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7243159\Documents\"/>
    </mc:Choice>
  </mc:AlternateContent>
  <bookViews>
    <workbookView xWindow="0" yWindow="0" windowWidth="28416" windowHeight="9660" tabRatio="718"/>
  </bookViews>
  <sheets>
    <sheet name="Список изменений" sheetId="1" r:id="rId1"/>
    <sheet name="S2T" sheetId="2" r:id="rId2"/>
    <sheet name="Source columns" sheetId="3" r:id="rId3"/>
    <sheet name="Target tables" sheetId="4" r:id="rId4"/>
    <sheet name="Target columns" sheetId="5" r:id="rId5"/>
    <sheet name="Метаданные для hadoop" sheetId="6" r:id="rId6"/>
    <sheet name="hadoop -&gt;A" sheetId="7" r:id="rId7"/>
    <sheet name="А-слой-&gt;В-слой-&gt;S-слой" sheetId="8" r:id="rId8"/>
    <sheet name="Additional objects" sheetId="9" r:id="rId9"/>
    <sheet name="Глоссарий" sheetId="10" state="hidden" r:id="rId10"/>
  </sheets>
  <externalReferences>
    <externalReference r:id="rId11"/>
  </externalReferences>
  <definedNames>
    <definedName name="_xlnm._FilterDatabase" localSheetId="1" hidden="1">S2T!$A$2:$AJ$456</definedName>
    <definedName name="_xlnm._FilterDatabase" localSheetId="5" hidden="1">'Метаданные для hadoop'!$A$1:$H$434</definedName>
    <definedName name="_xlnm._FilterDatabase" localSheetId="0" hidden="1">'Список изменений'!$A$1:$G$207</definedName>
    <definedName name="anchor_src_columns_note" localSheetId="8">#REF!</definedName>
    <definedName name="anchor_src_columns_note">#REF!</definedName>
    <definedName name="anchor_src_columns_null" localSheetId="8">#REF!</definedName>
    <definedName name="anchor_src_columns_null">#REF!</definedName>
    <definedName name="anchor_src_columns_pk" localSheetId="8">#REF!</definedName>
    <definedName name="anchor_src_columns_pk">#REF!</definedName>
    <definedName name="anchor_src_columns_type" localSheetId="8">#REF!</definedName>
    <definedName name="anchor_src_columns_type">#REF!</definedName>
    <definedName name="anchor_tgt_columns_def" localSheetId="8">#REF!</definedName>
    <definedName name="anchor_tgt_columns_def" localSheetId="2">'Source columns'!#REF!</definedName>
    <definedName name="anchor_tgt_columns_def">#REF!</definedName>
    <definedName name="anchor_tgt_columns_fk" localSheetId="8">#REF!</definedName>
    <definedName name="anchor_tgt_columns_fk" localSheetId="2">'Source columns'!$H$1</definedName>
    <definedName name="anchor_tgt_columns_fk">#REF!</definedName>
    <definedName name="anchor_tgt_columns_note" localSheetId="8">#REF!</definedName>
    <definedName name="anchor_tgt_columns_note" localSheetId="2">'Source columns'!$J$1</definedName>
    <definedName name="anchor_tgt_columns_note">#REF!</definedName>
    <definedName name="anchor_tgt_columns_null" localSheetId="8">#REF!</definedName>
    <definedName name="anchor_tgt_columns_null" localSheetId="2">'Source columns'!$E$1</definedName>
    <definedName name="anchor_tgt_columns_null">#REF!</definedName>
    <definedName name="anchor_tgt_columns_pk" localSheetId="8">#REF!</definedName>
    <definedName name="anchor_tgt_columns_pk" localSheetId="2">'Source columns'!$G$1</definedName>
    <definedName name="anchor_tgt_columns_pk">#REF!</definedName>
    <definedName name="anchor_tgt_columns_po" localSheetId="8">#REF!</definedName>
    <definedName name="anchor_tgt_columns_po" localSheetId="2">'Source columns'!$F$1</definedName>
    <definedName name="anchor_tgt_columns_po">#REF!</definedName>
    <definedName name="anchor_tgt_columns_type" localSheetId="8">#REF!</definedName>
    <definedName name="anchor_tgt_columns_type" localSheetId="2">'Source columns'!$D$1</definedName>
    <definedName name="anchor_tgt_columns_type">#REF!</definedName>
    <definedName name="anchor_tgt_tables_ntab" localSheetId="8">#REF!</definedName>
    <definedName name="anchor_tgt_tables_ntab" localSheetId="3">'Target tables'!$E$1</definedName>
    <definedName name="anchor_tgt_tables_ntab">#REF!</definedName>
    <definedName name="anchor_tgt_tables_sa" localSheetId="8">#REF!</definedName>
    <definedName name="anchor_tgt_tables_sa" localSheetId="3">'Target tables'!$D$1</definedName>
    <definedName name="anchor_tgt_tables_sa">#REF!</definedName>
    <definedName name="d">'[1]Target columns'!$D$1</definedName>
    <definedName name="first_value">Глоссарий!$I$1:$I$3</definedName>
    <definedName name="lst_src_columns" localSheetId="8">#REF!</definedName>
    <definedName name="lst_src_columns">#REF!</definedName>
    <definedName name="lst_tgt_columns" localSheetId="8">#REF!</definedName>
    <definedName name="lst_tgt_columns" localSheetId="2">'Source columns'!$A:$J</definedName>
    <definedName name="lst_tgt_columns">#REF!</definedName>
    <definedName name="lst_tgt_tables" localSheetId="8">#REF!</definedName>
    <definedName name="lst_tgt_tables" localSheetId="3">'Target tables'!$A:$E</definedName>
    <definedName name="lst_tgt_tables">#REF!</definedName>
    <definedName name="sff">'[1]Target columns'!$H$1</definedName>
    <definedName name="target_columns2">#REF!</definedName>
  </definedNames>
  <calcPr calcId="162913"/>
</workbook>
</file>

<file path=xl/calcChain.xml><?xml version="1.0" encoding="utf-8"?>
<calcChain xmlns="http://schemas.openxmlformats.org/spreadsheetml/2006/main">
  <c r="A553" i="3" l="1"/>
  <c r="A557" i="3" l="1"/>
  <c r="A558" i="3"/>
  <c r="A559" i="3"/>
  <c r="A560" i="3"/>
  <c r="A561" i="3"/>
  <c r="A562" i="3"/>
  <c r="A563" i="3"/>
  <c r="A564" i="3"/>
  <c r="A565" i="3"/>
  <c r="A566" i="3"/>
  <c r="A567" i="3"/>
  <c r="A568" i="3"/>
  <c r="A555" i="3"/>
  <c r="A556" i="3"/>
  <c r="A554" i="3"/>
  <c r="A552" i="3"/>
  <c r="V65" i="2"/>
  <c r="I65" i="2"/>
  <c r="H65" i="2"/>
  <c r="G65" i="2"/>
  <c r="F65" i="2"/>
  <c r="E65" i="2"/>
  <c r="C65" i="2"/>
  <c r="A57" i="3"/>
  <c r="A38" i="5" l="1"/>
  <c r="V10" i="2" l="1"/>
  <c r="C10" i="2"/>
  <c r="A17" i="3"/>
  <c r="A33" i="5"/>
  <c r="A481" i="5" l="1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7" i="5"/>
  <c r="A36" i="5"/>
  <c r="A35" i="5"/>
  <c r="A34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H60" i="2" s="1"/>
  <c r="J1" i="5"/>
  <c r="I1" i="5"/>
  <c r="H1" i="5"/>
  <c r="G1" i="5"/>
  <c r="F1" i="5"/>
  <c r="E1" i="5"/>
  <c r="D1" i="5"/>
  <c r="E46" i="4"/>
  <c r="E45" i="4"/>
  <c r="E44" i="4"/>
  <c r="E43" i="4"/>
  <c r="E42" i="4"/>
  <c r="V203" i="2" s="1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1" i="4"/>
  <c r="D1" i="4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G1" i="3"/>
  <c r="F1" i="3"/>
  <c r="E1" i="3"/>
  <c r="D1" i="3"/>
  <c r="V456" i="2"/>
  <c r="C456" i="2"/>
  <c r="V455" i="2"/>
  <c r="C455" i="2"/>
  <c r="V454" i="2"/>
  <c r="C454" i="2"/>
  <c r="V453" i="2"/>
  <c r="C453" i="2"/>
  <c r="V452" i="2"/>
  <c r="C452" i="2"/>
  <c r="V451" i="2"/>
  <c r="C451" i="2"/>
  <c r="V450" i="2"/>
  <c r="C450" i="2"/>
  <c r="V449" i="2"/>
  <c r="C449" i="2"/>
  <c r="V448" i="2"/>
  <c r="C448" i="2"/>
  <c r="V447" i="2"/>
  <c r="C447" i="2"/>
  <c r="V446" i="2"/>
  <c r="C446" i="2"/>
  <c r="A446" i="2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V445" i="2"/>
  <c r="C445" i="2"/>
  <c r="V444" i="2"/>
  <c r="M444" i="2"/>
  <c r="L444" i="2"/>
  <c r="C444" i="2"/>
  <c r="V443" i="2"/>
  <c r="C443" i="2"/>
  <c r="V442" i="2"/>
  <c r="C442" i="2"/>
  <c r="V441" i="2"/>
  <c r="C441" i="2"/>
  <c r="V440" i="2"/>
  <c r="C440" i="2"/>
  <c r="V439" i="2"/>
  <c r="C439" i="2"/>
  <c r="V438" i="2"/>
  <c r="C438" i="2"/>
  <c r="V437" i="2"/>
  <c r="C437" i="2"/>
  <c r="V436" i="2"/>
  <c r="C436" i="2"/>
  <c r="V435" i="2"/>
  <c r="C435" i="2"/>
  <c r="V434" i="2"/>
  <c r="C434" i="2"/>
  <c r="V433" i="2"/>
  <c r="C433" i="2"/>
  <c r="V432" i="2"/>
  <c r="C432" i="2"/>
  <c r="V431" i="2"/>
  <c r="C431" i="2"/>
  <c r="V430" i="2"/>
  <c r="C430" i="2"/>
  <c r="V429" i="2"/>
  <c r="C429" i="2"/>
  <c r="V428" i="2"/>
  <c r="C428" i="2"/>
  <c r="V427" i="2"/>
  <c r="C427" i="2"/>
  <c r="V426" i="2"/>
  <c r="C426" i="2"/>
  <c r="V425" i="2"/>
  <c r="C425" i="2"/>
  <c r="V424" i="2"/>
  <c r="C424" i="2"/>
  <c r="V423" i="2"/>
  <c r="C423" i="2"/>
  <c r="V422" i="2"/>
  <c r="C422" i="2"/>
  <c r="V421" i="2"/>
  <c r="C421" i="2"/>
  <c r="V420" i="2"/>
  <c r="C420" i="2"/>
  <c r="V419" i="2"/>
  <c r="C419" i="2"/>
  <c r="V418" i="2"/>
  <c r="C418" i="2"/>
  <c r="V417" i="2"/>
  <c r="C417" i="2"/>
  <c r="V416" i="2"/>
  <c r="C416" i="2"/>
  <c r="V415" i="2"/>
  <c r="C415" i="2"/>
  <c r="V414" i="2"/>
  <c r="C414" i="2"/>
  <c r="V413" i="2"/>
  <c r="C413" i="2"/>
  <c r="V412" i="2"/>
  <c r="C412" i="2"/>
  <c r="V411" i="2"/>
  <c r="C411" i="2"/>
  <c r="V410" i="2"/>
  <c r="C410" i="2"/>
  <c r="V409" i="2"/>
  <c r="C409" i="2"/>
  <c r="V408" i="2"/>
  <c r="C408" i="2"/>
  <c r="V407" i="2"/>
  <c r="M407" i="2"/>
  <c r="L407" i="2"/>
  <c r="C407" i="2"/>
  <c r="V406" i="2"/>
  <c r="C406" i="2"/>
  <c r="V405" i="2"/>
  <c r="C405" i="2"/>
  <c r="V404" i="2"/>
  <c r="C404" i="2"/>
  <c r="V403" i="2"/>
  <c r="C403" i="2"/>
  <c r="V402" i="2"/>
  <c r="C402" i="2"/>
  <c r="V401" i="2"/>
  <c r="C401" i="2"/>
  <c r="V400" i="2"/>
  <c r="C400" i="2"/>
  <c r="V399" i="2"/>
  <c r="C399" i="2"/>
  <c r="V398" i="2"/>
  <c r="C398" i="2"/>
  <c r="V397" i="2"/>
  <c r="C397" i="2"/>
  <c r="V396" i="2"/>
  <c r="C396" i="2"/>
  <c r="V395" i="2"/>
  <c r="C395" i="2"/>
  <c r="V394" i="2"/>
  <c r="C394" i="2"/>
  <c r="V393" i="2"/>
  <c r="C393" i="2"/>
  <c r="V392" i="2"/>
  <c r="C392" i="2"/>
  <c r="V391" i="2"/>
  <c r="C391" i="2"/>
  <c r="V390" i="2"/>
  <c r="C390" i="2"/>
  <c r="V389" i="2"/>
  <c r="C389" i="2"/>
  <c r="V388" i="2"/>
  <c r="C388" i="2"/>
  <c r="V387" i="2"/>
  <c r="C387" i="2"/>
  <c r="V386" i="2"/>
  <c r="C386" i="2"/>
  <c r="V385" i="2"/>
  <c r="C385" i="2"/>
  <c r="V384" i="2"/>
  <c r="C384" i="2"/>
  <c r="V383" i="2"/>
  <c r="C383" i="2"/>
  <c r="V382" i="2"/>
  <c r="C382" i="2"/>
  <c r="V381" i="2"/>
  <c r="C381" i="2"/>
  <c r="V380" i="2"/>
  <c r="C380" i="2"/>
  <c r="V379" i="2"/>
  <c r="C379" i="2"/>
  <c r="V378" i="2"/>
  <c r="C378" i="2"/>
  <c r="V377" i="2"/>
  <c r="C377" i="2"/>
  <c r="V376" i="2"/>
  <c r="C376" i="2"/>
  <c r="V375" i="2"/>
  <c r="C375" i="2"/>
  <c r="V374" i="2"/>
  <c r="C374" i="2"/>
  <c r="V373" i="2"/>
  <c r="C373" i="2"/>
  <c r="V372" i="2"/>
  <c r="C372" i="2"/>
  <c r="V371" i="2"/>
  <c r="C371" i="2"/>
  <c r="V370" i="2"/>
  <c r="C370" i="2"/>
  <c r="V369" i="2"/>
  <c r="C369" i="2"/>
  <c r="V368" i="2"/>
  <c r="C368" i="2"/>
  <c r="C367" i="2"/>
  <c r="C366" i="2"/>
  <c r="C365" i="2"/>
  <c r="A361" i="2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V360" i="2"/>
  <c r="C360" i="2"/>
  <c r="V359" i="2"/>
  <c r="C359" i="2"/>
  <c r="V358" i="2"/>
  <c r="C358" i="2"/>
  <c r="V357" i="2"/>
  <c r="C357" i="2"/>
  <c r="V356" i="2"/>
  <c r="C356" i="2"/>
  <c r="V355" i="2"/>
  <c r="C355" i="2"/>
  <c r="V354" i="2"/>
  <c r="C354" i="2"/>
  <c r="V353" i="2"/>
  <c r="C353" i="2"/>
  <c r="V352" i="2"/>
  <c r="C352" i="2"/>
  <c r="V351" i="2"/>
  <c r="C351" i="2"/>
  <c r="V350" i="2"/>
  <c r="C350" i="2"/>
  <c r="V349" i="2"/>
  <c r="C349" i="2"/>
  <c r="V348" i="2"/>
  <c r="C348" i="2"/>
  <c r="V347" i="2"/>
  <c r="C347" i="2"/>
  <c r="V346" i="2"/>
  <c r="C346" i="2"/>
  <c r="V345" i="2"/>
  <c r="C345" i="2"/>
  <c r="V344" i="2"/>
  <c r="C344" i="2"/>
  <c r="V343" i="2"/>
  <c r="C343" i="2"/>
  <c r="V342" i="2"/>
  <c r="C342" i="2"/>
  <c r="V341" i="2"/>
  <c r="C341" i="2"/>
  <c r="V340" i="2"/>
  <c r="C340" i="2"/>
  <c r="V339" i="2"/>
  <c r="C339" i="2"/>
  <c r="V338" i="2"/>
  <c r="C338" i="2"/>
  <c r="V337" i="2"/>
  <c r="C337" i="2"/>
  <c r="V336" i="2"/>
  <c r="C336" i="2"/>
  <c r="V335" i="2"/>
  <c r="C335" i="2"/>
  <c r="V334" i="2"/>
  <c r="C334" i="2"/>
  <c r="V333" i="2"/>
  <c r="C333" i="2"/>
  <c r="V332" i="2"/>
  <c r="C332" i="2"/>
  <c r="V331" i="2"/>
  <c r="C331" i="2"/>
  <c r="V330" i="2"/>
  <c r="C330" i="2"/>
  <c r="V329" i="2"/>
  <c r="C329" i="2"/>
  <c r="V328" i="2"/>
  <c r="C328" i="2"/>
  <c r="V327" i="2"/>
  <c r="C327" i="2"/>
  <c r="V326" i="2"/>
  <c r="C326" i="2"/>
  <c r="V325" i="2"/>
  <c r="C325" i="2"/>
  <c r="V324" i="2"/>
  <c r="C324" i="2"/>
  <c r="V323" i="2"/>
  <c r="C323" i="2"/>
  <c r="V322" i="2"/>
  <c r="C322" i="2"/>
  <c r="V321" i="2"/>
  <c r="C321" i="2"/>
  <c r="V320" i="2"/>
  <c r="C320" i="2"/>
  <c r="V319" i="2"/>
  <c r="C319" i="2"/>
  <c r="V318" i="2"/>
  <c r="C318" i="2"/>
  <c r="V317" i="2"/>
  <c r="C317" i="2"/>
  <c r="V316" i="2"/>
  <c r="C316" i="2"/>
  <c r="V315" i="2"/>
  <c r="C315" i="2"/>
  <c r="V314" i="2"/>
  <c r="C314" i="2"/>
  <c r="V313" i="2"/>
  <c r="C313" i="2"/>
  <c r="V312" i="2"/>
  <c r="C312" i="2"/>
  <c r="V311" i="2"/>
  <c r="C311" i="2"/>
  <c r="V310" i="2"/>
  <c r="C310" i="2"/>
  <c r="V309" i="2"/>
  <c r="C309" i="2"/>
  <c r="V308" i="2"/>
  <c r="C308" i="2"/>
  <c r="V307" i="2"/>
  <c r="C307" i="2"/>
  <c r="V306" i="2"/>
  <c r="C306" i="2"/>
  <c r="V305" i="2"/>
  <c r="C305" i="2"/>
  <c r="V304" i="2"/>
  <c r="C304" i="2"/>
  <c r="V303" i="2"/>
  <c r="C303" i="2"/>
  <c r="V302" i="2"/>
  <c r="C302" i="2"/>
  <c r="V301" i="2"/>
  <c r="C301" i="2"/>
  <c r="V300" i="2"/>
  <c r="C300" i="2"/>
  <c r="V299" i="2"/>
  <c r="C299" i="2"/>
  <c r="V298" i="2"/>
  <c r="C298" i="2"/>
  <c r="V297" i="2"/>
  <c r="C297" i="2"/>
  <c r="V296" i="2"/>
  <c r="C296" i="2"/>
  <c r="V295" i="2"/>
  <c r="C295" i="2"/>
  <c r="V294" i="2"/>
  <c r="C294" i="2"/>
  <c r="V293" i="2"/>
  <c r="C293" i="2"/>
  <c r="V292" i="2"/>
  <c r="C292" i="2"/>
  <c r="V291" i="2"/>
  <c r="C291" i="2"/>
  <c r="V290" i="2"/>
  <c r="C290" i="2"/>
  <c r="V289" i="2"/>
  <c r="C289" i="2"/>
  <c r="V288" i="2"/>
  <c r="C288" i="2"/>
  <c r="V287" i="2"/>
  <c r="C287" i="2"/>
  <c r="V286" i="2"/>
  <c r="C286" i="2"/>
  <c r="V285" i="2"/>
  <c r="C285" i="2"/>
  <c r="V284" i="2"/>
  <c r="C284" i="2"/>
  <c r="V283" i="2"/>
  <c r="C283" i="2"/>
  <c r="V282" i="2"/>
  <c r="C282" i="2"/>
  <c r="V281" i="2"/>
  <c r="C281" i="2"/>
  <c r="V280" i="2"/>
  <c r="C280" i="2"/>
  <c r="V279" i="2"/>
  <c r="C279" i="2"/>
  <c r="V278" i="2"/>
  <c r="C278" i="2"/>
  <c r="V277" i="2"/>
  <c r="C277" i="2"/>
  <c r="V276" i="2"/>
  <c r="C276" i="2"/>
  <c r="V275" i="2"/>
  <c r="C275" i="2"/>
  <c r="V274" i="2"/>
  <c r="C274" i="2"/>
  <c r="V273" i="2"/>
  <c r="C273" i="2"/>
  <c r="V272" i="2"/>
  <c r="C272" i="2"/>
  <c r="V271" i="2"/>
  <c r="C271" i="2"/>
  <c r="V270" i="2"/>
  <c r="C270" i="2"/>
  <c r="V269" i="2"/>
  <c r="C269" i="2"/>
  <c r="V268" i="2"/>
  <c r="C268" i="2"/>
  <c r="V267" i="2"/>
  <c r="C267" i="2"/>
  <c r="V266" i="2"/>
  <c r="C266" i="2"/>
  <c r="V265" i="2"/>
  <c r="C265" i="2"/>
  <c r="V264" i="2"/>
  <c r="C264" i="2"/>
  <c r="V263" i="2"/>
  <c r="C263" i="2"/>
  <c r="V262" i="2"/>
  <c r="C262" i="2"/>
  <c r="V261" i="2"/>
  <c r="C261" i="2"/>
  <c r="V260" i="2"/>
  <c r="C260" i="2"/>
  <c r="V259" i="2"/>
  <c r="C259" i="2"/>
  <c r="V258" i="2"/>
  <c r="C258" i="2"/>
  <c r="V257" i="2"/>
  <c r="C257" i="2"/>
  <c r="V256" i="2"/>
  <c r="C256" i="2"/>
  <c r="V255" i="2"/>
  <c r="C255" i="2"/>
  <c r="V254" i="2"/>
  <c r="C254" i="2"/>
  <c r="V253" i="2"/>
  <c r="C253" i="2"/>
  <c r="V252" i="2"/>
  <c r="C252" i="2"/>
  <c r="V251" i="2"/>
  <c r="C251" i="2"/>
  <c r="V250" i="2"/>
  <c r="C250" i="2"/>
  <c r="V249" i="2"/>
  <c r="C249" i="2"/>
  <c r="V248" i="2"/>
  <c r="C248" i="2"/>
  <c r="C247" i="2"/>
  <c r="C246" i="2"/>
  <c r="C245" i="2"/>
  <c r="C244" i="2"/>
  <c r="C243" i="2"/>
  <c r="V242" i="2"/>
  <c r="C242" i="2"/>
  <c r="V241" i="2"/>
  <c r="C241" i="2"/>
  <c r="V240" i="2"/>
  <c r="C240" i="2"/>
  <c r="V239" i="2"/>
  <c r="C239" i="2"/>
  <c r="V238" i="2"/>
  <c r="C238" i="2"/>
  <c r="V237" i="2"/>
  <c r="C237" i="2"/>
  <c r="V236" i="2"/>
  <c r="C236" i="2"/>
  <c r="V235" i="2"/>
  <c r="C235" i="2"/>
  <c r="V234" i="2"/>
  <c r="C234" i="2"/>
  <c r="V233" i="2"/>
  <c r="C233" i="2"/>
  <c r="V232" i="2"/>
  <c r="C232" i="2"/>
  <c r="V231" i="2"/>
  <c r="C231" i="2"/>
  <c r="V230" i="2"/>
  <c r="C230" i="2"/>
  <c r="V229" i="2"/>
  <c r="C229" i="2"/>
  <c r="V228" i="2"/>
  <c r="C228" i="2"/>
  <c r="V227" i="2"/>
  <c r="C227" i="2"/>
  <c r="V226" i="2"/>
  <c r="C226" i="2"/>
  <c r="V225" i="2"/>
  <c r="C225" i="2"/>
  <c r="V224" i="2"/>
  <c r="C224" i="2"/>
  <c r="V223" i="2"/>
  <c r="C223" i="2"/>
  <c r="V222" i="2"/>
  <c r="C222" i="2"/>
  <c r="V221" i="2"/>
  <c r="C221" i="2"/>
  <c r="V220" i="2"/>
  <c r="C220" i="2"/>
  <c r="V219" i="2"/>
  <c r="C219" i="2"/>
  <c r="V218" i="2"/>
  <c r="C218" i="2"/>
  <c r="V217" i="2"/>
  <c r="C217" i="2"/>
  <c r="V216" i="2"/>
  <c r="C216" i="2"/>
  <c r="V215" i="2"/>
  <c r="C215" i="2"/>
  <c r="V214" i="2"/>
  <c r="C214" i="2"/>
  <c r="V213" i="2"/>
  <c r="C213" i="2"/>
  <c r="V212" i="2"/>
  <c r="C212" i="2"/>
  <c r="V211" i="2"/>
  <c r="C211" i="2"/>
  <c r="V210" i="2"/>
  <c r="C210" i="2"/>
  <c r="V209" i="2"/>
  <c r="C209" i="2"/>
  <c r="V208" i="2"/>
  <c r="C208" i="2"/>
  <c r="V207" i="2"/>
  <c r="C207" i="2"/>
  <c r="V206" i="2"/>
  <c r="C206" i="2"/>
  <c r="V205" i="2"/>
  <c r="C205" i="2"/>
  <c r="V204" i="2"/>
  <c r="C204" i="2"/>
  <c r="C203" i="2"/>
  <c r="V202" i="2"/>
  <c r="C202" i="2"/>
  <c r="V201" i="2"/>
  <c r="C201" i="2"/>
  <c r="V200" i="2"/>
  <c r="C200" i="2"/>
  <c r="V199" i="2"/>
  <c r="C199" i="2"/>
  <c r="V198" i="2"/>
  <c r="C198" i="2"/>
  <c r="V197" i="2"/>
  <c r="C197" i="2"/>
  <c r="V196" i="2"/>
  <c r="C196" i="2"/>
  <c r="V195" i="2"/>
  <c r="C195" i="2"/>
  <c r="V194" i="2"/>
  <c r="C194" i="2"/>
  <c r="V193" i="2"/>
  <c r="C193" i="2"/>
  <c r="V192" i="2"/>
  <c r="C192" i="2"/>
  <c r="V191" i="2"/>
  <c r="C191" i="2"/>
  <c r="V190" i="2"/>
  <c r="C190" i="2"/>
  <c r="V189" i="2"/>
  <c r="C189" i="2"/>
  <c r="V188" i="2"/>
  <c r="C188" i="2"/>
  <c r="V187" i="2"/>
  <c r="C187" i="2"/>
  <c r="V186" i="2"/>
  <c r="C186" i="2"/>
  <c r="V185" i="2"/>
  <c r="C185" i="2"/>
  <c r="V184" i="2"/>
  <c r="C184" i="2"/>
  <c r="V183" i="2"/>
  <c r="C183" i="2"/>
  <c r="V182" i="2"/>
  <c r="C182" i="2"/>
  <c r="V181" i="2"/>
  <c r="C181" i="2"/>
  <c r="V180" i="2"/>
  <c r="C180" i="2"/>
  <c r="V179" i="2"/>
  <c r="C179" i="2"/>
  <c r="V178" i="2"/>
  <c r="C178" i="2"/>
  <c r="V177" i="2"/>
  <c r="C177" i="2"/>
  <c r="V176" i="2"/>
  <c r="C176" i="2"/>
  <c r="V175" i="2"/>
  <c r="C175" i="2"/>
  <c r="V174" i="2"/>
  <c r="C174" i="2"/>
  <c r="V173" i="2"/>
  <c r="C173" i="2"/>
  <c r="V172" i="2"/>
  <c r="C172" i="2"/>
  <c r="V171" i="2"/>
  <c r="C171" i="2"/>
  <c r="V170" i="2"/>
  <c r="C170" i="2"/>
  <c r="V169" i="2"/>
  <c r="C169" i="2"/>
  <c r="V168" i="2"/>
  <c r="C168" i="2"/>
  <c r="V167" i="2"/>
  <c r="C167" i="2"/>
  <c r="V166" i="2"/>
  <c r="C166" i="2"/>
  <c r="V165" i="2"/>
  <c r="C165" i="2"/>
  <c r="V164" i="2"/>
  <c r="C164" i="2"/>
  <c r="V163" i="2"/>
  <c r="C163" i="2"/>
  <c r="V162" i="2"/>
  <c r="C162" i="2"/>
  <c r="V161" i="2"/>
  <c r="C161" i="2"/>
  <c r="V160" i="2"/>
  <c r="C160" i="2"/>
  <c r="V159" i="2"/>
  <c r="C159" i="2"/>
  <c r="V158" i="2"/>
  <c r="C158" i="2"/>
  <c r="V157" i="2"/>
  <c r="C157" i="2"/>
  <c r="V156" i="2"/>
  <c r="C156" i="2"/>
  <c r="V155" i="2"/>
  <c r="C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C127" i="2"/>
  <c r="V126" i="2"/>
  <c r="C126" i="2"/>
  <c r="V125" i="2"/>
  <c r="C125" i="2"/>
  <c r="V124" i="2"/>
  <c r="C124" i="2"/>
  <c r="V123" i="2"/>
  <c r="C123" i="2"/>
  <c r="V122" i="2"/>
  <c r="C122" i="2"/>
  <c r="V121" i="2"/>
  <c r="C121" i="2"/>
  <c r="V120" i="2"/>
  <c r="C120" i="2"/>
  <c r="V119" i="2"/>
  <c r="C119" i="2"/>
  <c r="V118" i="2"/>
  <c r="C118" i="2"/>
  <c r="V117" i="2"/>
  <c r="C117" i="2"/>
  <c r="V116" i="2"/>
  <c r="C116" i="2"/>
  <c r="V115" i="2"/>
  <c r="M115" i="2"/>
  <c r="L115" i="2"/>
  <c r="C115" i="2"/>
  <c r="V114" i="2"/>
  <c r="C114" i="2"/>
  <c r="V113" i="2"/>
  <c r="C113" i="2"/>
  <c r="V112" i="2"/>
  <c r="C112" i="2"/>
  <c r="V111" i="2"/>
  <c r="C111" i="2"/>
  <c r="V110" i="2"/>
  <c r="C110" i="2"/>
  <c r="V109" i="2"/>
  <c r="C109" i="2"/>
  <c r="V108" i="2"/>
  <c r="C108" i="2"/>
  <c r="V107" i="2"/>
  <c r="C107" i="2"/>
  <c r="V106" i="2"/>
  <c r="C106" i="2"/>
  <c r="V105" i="2"/>
  <c r="C105" i="2"/>
  <c r="V104" i="2"/>
  <c r="C104" i="2"/>
  <c r="V103" i="2"/>
  <c r="C103" i="2"/>
  <c r="V102" i="2"/>
  <c r="C102" i="2"/>
  <c r="V101" i="2"/>
  <c r="C101" i="2"/>
  <c r="V100" i="2"/>
  <c r="C100" i="2"/>
  <c r="V99" i="2"/>
  <c r="C99" i="2"/>
  <c r="V98" i="2"/>
  <c r="C98" i="2"/>
  <c r="V97" i="2"/>
  <c r="C97" i="2"/>
  <c r="V96" i="2"/>
  <c r="C96" i="2"/>
  <c r="V95" i="2"/>
  <c r="C95" i="2"/>
  <c r="V94" i="2"/>
  <c r="C94" i="2"/>
  <c r="V93" i="2"/>
  <c r="C93" i="2"/>
  <c r="V92" i="2"/>
  <c r="C92" i="2"/>
  <c r="V91" i="2"/>
  <c r="C91" i="2"/>
  <c r="V90" i="2"/>
  <c r="C90" i="2"/>
  <c r="V89" i="2"/>
  <c r="C89" i="2"/>
  <c r="V88" i="2"/>
  <c r="C88" i="2"/>
  <c r="V87" i="2"/>
  <c r="C87" i="2"/>
  <c r="V86" i="2"/>
  <c r="C86" i="2"/>
  <c r="V85" i="2"/>
  <c r="C85" i="2"/>
  <c r="V84" i="2"/>
  <c r="C84" i="2"/>
  <c r="V83" i="2"/>
  <c r="C83" i="2"/>
  <c r="V82" i="2"/>
  <c r="C82" i="2"/>
  <c r="V81" i="2"/>
  <c r="C81" i="2"/>
  <c r="V80" i="2"/>
  <c r="C80" i="2"/>
  <c r="V79" i="2"/>
  <c r="C79" i="2"/>
  <c r="V78" i="2"/>
  <c r="C78" i="2"/>
  <c r="V77" i="2"/>
  <c r="C77" i="2"/>
  <c r="V76" i="2"/>
  <c r="C76" i="2"/>
  <c r="V75" i="2"/>
  <c r="C75" i="2"/>
  <c r="V74" i="2"/>
  <c r="C74" i="2"/>
  <c r="V73" i="2"/>
  <c r="C73" i="2"/>
  <c r="V72" i="2"/>
  <c r="C72" i="2"/>
  <c r="V71" i="2"/>
  <c r="C71" i="2"/>
  <c r="V70" i="2"/>
  <c r="C70" i="2"/>
  <c r="V69" i="2"/>
  <c r="C69" i="2"/>
  <c r="V68" i="2"/>
  <c r="C68" i="2"/>
  <c r="V67" i="2"/>
  <c r="C67" i="2"/>
  <c r="V66" i="2"/>
  <c r="C66" i="2"/>
  <c r="V64" i="2"/>
  <c r="C64" i="2"/>
  <c r="V63" i="2"/>
  <c r="C63" i="2"/>
  <c r="V62" i="2"/>
  <c r="C62" i="2"/>
  <c r="V61" i="2"/>
  <c r="C61" i="2"/>
  <c r="V60" i="2"/>
  <c r="C60" i="2"/>
  <c r="V59" i="2"/>
  <c r="C59" i="2"/>
  <c r="V58" i="2"/>
  <c r="C58" i="2"/>
  <c r="V57" i="2"/>
  <c r="C57" i="2"/>
  <c r="V56" i="2"/>
  <c r="C56" i="2"/>
  <c r="V55" i="2"/>
  <c r="C55" i="2"/>
  <c r="V54" i="2"/>
  <c r="C54" i="2"/>
  <c r="V53" i="2"/>
  <c r="C53" i="2"/>
  <c r="V52" i="2"/>
  <c r="C52" i="2"/>
  <c r="V51" i="2"/>
  <c r="C51" i="2"/>
  <c r="V50" i="2"/>
  <c r="C50" i="2"/>
  <c r="V49" i="2"/>
  <c r="C49" i="2"/>
  <c r="V48" i="2"/>
  <c r="C48" i="2"/>
  <c r="V47" i="2"/>
  <c r="C47" i="2"/>
  <c r="V46" i="2"/>
  <c r="C46" i="2"/>
  <c r="V45" i="2"/>
  <c r="C45" i="2"/>
  <c r="V44" i="2"/>
  <c r="C44" i="2"/>
  <c r="V43" i="2"/>
  <c r="C43" i="2"/>
  <c r="V42" i="2"/>
  <c r="C42" i="2"/>
  <c r="V41" i="2"/>
  <c r="C41" i="2"/>
  <c r="V40" i="2"/>
  <c r="C40" i="2"/>
  <c r="V39" i="2"/>
  <c r="C39" i="2"/>
  <c r="V38" i="2"/>
  <c r="C38" i="2"/>
  <c r="V37" i="2"/>
  <c r="C37" i="2"/>
  <c r="V36" i="2"/>
  <c r="C36" i="2"/>
  <c r="V35" i="2"/>
  <c r="C35" i="2"/>
  <c r="V34" i="2"/>
  <c r="C34" i="2"/>
  <c r="V33" i="2"/>
  <c r="C33" i="2"/>
  <c r="V32" i="2"/>
  <c r="C32" i="2"/>
  <c r="V31" i="2"/>
  <c r="C31" i="2"/>
  <c r="V30" i="2"/>
  <c r="C30" i="2"/>
  <c r="V29" i="2"/>
  <c r="C29" i="2"/>
  <c r="V28" i="2"/>
  <c r="C28" i="2"/>
  <c r="V27" i="2"/>
  <c r="C27" i="2"/>
  <c r="V26" i="2"/>
  <c r="C26" i="2"/>
  <c r="V25" i="2"/>
  <c r="C25" i="2"/>
  <c r="V24" i="2"/>
  <c r="C24" i="2"/>
  <c r="V23" i="2"/>
  <c r="C23" i="2"/>
  <c r="V22" i="2"/>
  <c r="C22" i="2"/>
  <c r="V21" i="2"/>
  <c r="C21" i="2"/>
  <c r="V20" i="2"/>
  <c r="C20" i="2"/>
  <c r="V19" i="2"/>
  <c r="C19" i="2"/>
  <c r="V18" i="2"/>
  <c r="C18" i="2"/>
  <c r="V17" i="2"/>
  <c r="C17" i="2"/>
  <c r="V16" i="2"/>
  <c r="C16" i="2"/>
  <c r="V15" i="2"/>
  <c r="C15" i="2"/>
  <c r="V14" i="2"/>
  <c r="C14" i="2"/>
  <c r="V13" i="2"/>
  <c r="C13" i="2"/>
  <c r="V12" i="2"/>
  <c r="C12" i="2"/>
  <c r="V11" i="2"/>
  <c r="C11" i="2"/>
  <c r="V9" i="2"/>
  <c r="C9" i="2"/>
  <c r="V8" i="2"/>
  <c r="C8" i="2"/>
  <c r="V7" i="2"/>
  <c r="C7" i="2"/>
  <c r="V6" i="2"/>
  <c r="C6" i="2"/>
  <c r="V5" i="2"/>
  <c r="C5" i="2"/>
  <c r="V4" i="2"/>
  <c r="C4" i="2"/>
  <c r="V3" i="2"/>
  <c r="C3" i="2"/>
  <c r="M90" i="2"/>
  <c r="M8" i="2" l="1"/>
  <c r="L65" i="2"/>
  <c r="M65" i="2"/>
  <c r="E59" i="2"/>
  <c r="L8" i="2"/>
  <c r="M3" i="2"/>
  <c r="H17" i="2"/>
  <c r="L53" i="2"/>
  <c r="L36" i="2"/>
  <c r="M5" i="2"/>
  <c r="M62" i="2"/>
  <c r="M10" i="2"/>
  <c r="L10" i="2"/>
  <c r="F60" i="2"/>
  <c r="G60" i="2"/>
  <c r="I10" i="2"/>
  <c r="H10" i="2"/>
  <c r="G10" i="2"/>
  <c r="F10" i="2"/>
  <c r="E10" i="2"/>
  <c r="I60" i="2"/>
  <c r="I125" i="2"/>
  <c r="F76" i="2"/>
  <c r="E20" i="2"/>
  <c r="L4" i="2"/>
  <c r="L9" i="2"/>
  <c r="M36" i="2"/>
  <c r="M53" i="2"/>
  <c r="L378" i="2"/>
  <c r="M236" i="2"/>
  <c r="M4" i="2"/>
  <c r="M9" i="2"/>
  <c r="L5" i="2"/>
  <c r="L62" i="2"/>
  <c r="L6" i="2"/>
  <c r="L13" i="2"/>
  <c r="M6" i="2"/>
  <c r="L14" i="2"/>
  <c r="M64" i="2"/>
  <c r="L41" i="2"/>
  <c r="M14" i="2"/>
  <c r="L42" i="2"/>
  <c r="L332" i="2"/>
  <c r="M13" i="2"/>
  <c r="L7" i="2"/>
  <c r="M41" i="2"/>
  <c r="M7" i="2"/>
  <c r="L3" i="2"/>
  <c r="M42" i="2"/>
  <c r="F27" i="2"/>
  <c r="H77" i="2"/>
  <c r="H21" i="2"/>
  <c r="I18" i="2"/>
  <c r="F203" i="2"/>
  <c r="F20" i="2"/>
  <c r="G20" i="2"/>
  <c r="F363" i="2"/>
  <c r="G24" i="2"/>
  <c r="I268" i="2"/>
  <c r="F124" i="2"/>
  <c r="I25" i="2"/>
  <c r="F33" i="2"/>
  <c r="H125" i="2"/>
  <c r="E33" i="2"/>
  <c r="G33" i="2"/>
  <c r="I21" i="2"/>
  <c r="I28" i="2"/>
  <c r="E17" i="2"/>
  <c r="G220" i="2"/>
  <c r="H28" i="2"/>
  <c r="F17" i="2"/>
  <c r="I90" i="2"/>
  <c r="F127" i="2"/>
  <c r="G17" i="2"/>
  <c r="E23" i="2"/>
  <c r="E187" i="2"/>
  <c r="I55" i="2"/>
  <c r="G122" i="2"/>
  <c r="H220" i="2"/>
  <c r="H55" i="2"/>
  <c r="E107" i="2"/>
  <c r="E444" i="2"/>
  <c r="E26" i="2"/>
  <c r="E75" i="2"/>
  <c r="F187" i="2"/>
  <c r="G299" i="2"/>
  <c r="I17" i="2"/>
  <c r="H20" i="2"/>
  <c r="G23" i="2"/>
  <c r="F26" i="2"/>
  <c r="I33" i="2"/>
  <c r="I42" i="2"/>
  <c r="F75" i="2"/>
  <c r="E78" i="2"/>
  <c r="G107" i="2"/>
  <c r="F115" i="2"/>
  <c r="F122" i="2"/>
  <c r="E126" i="2"/>
  <c r="G149" i="2"/>
  <c r="I20" i="2"/>
  <c r="H23" i="2"/>
  <c r="G26" i="2"/>
  <c r="G75" i="2"/>
  <c r="F78" i="2"/>
  <c r="F100" i="2"/>
  <c r="F126" i="2"/>
  <c r="G231" i="2"/>
  <c r="I14" i="2"/>
  <c r="I23" i="2"/>
  <c r="H26" i="2"/>
  <c r="E50" i="2"/>
  <c r="H75" i="2"/>
  <c r="G78" i="2"/>
  <c r="G126" i="2"/>
  <c r="H214" i="2"/>
  <c r="H231" i="2"/>
  <c r="E36" i="2"/>
  <c r="I77" i="2"/>
  <c r="E68" i="2"/>
  <c r="F299" i="2"/>
  <c r="F23" i="2"/>
  <c r="H33" i="2"/>
  <c r="F68" i="2"/>
  <c r="F107" i="2"/>
  <c r="F149" i="2"/>
  <c r="I26" i="2"/>
  <c r="E34" i="2"/>
  <c r="I214" i="2"/>
  <c r="G373" i="2"/>
  <c r="E9" i="2"/>
  <c r="F18" i="2"/>
  <c r="F34" i="2"/>
  <c r="F93" i="2"/>
  <c r="I373" i="2"/>
  <c r="H132" i="2"/>
  <c r="E84" i="2"/>
  <c r="E149" i="2"/>
  <c r="E355" i="2"/>
  <c r="G456" i="2"/>
  <c r="F84" i="2"/>
  <c r="E122" i="2"/>
  <c r="E18" i="2"/>
  <c r="F50" i="2"/>
  <c r="I75" i="2"/>
  <c r="H78" i="2"/>
  <c r="E93" i="2"/>
  <c r="H126" i="2"/>
  <c r="E21" i="2"/>
  <c r="F31" i="2"/>
  <c r="E38" i="2"/>
  <c r="I62" i="2"/>
  <c r="H70" i="2"/>
  <c r="I78" i="2"/>
  <c r="I126" i="2"/>
  <c r="E172" i="2"/>
  <c r="H181" i="2"/>
  <c r="E198" i="2"/>
  <c r="F9" i="2"/>
  <c r="G18" i="2"/>
  <c r="F21" i="2"/>
  <c r="E24" i="2"/>
  <c r="G31" i="2"/>
  <c r="G34" i="2"/>
  <c r="F38" i="2"/>
  <c r="I70" i="2"/>
  <c r="G93" i="2"/>
  <c r="E139" i="2"/>
  <c r="F172" i="2"/>
  <c r="I181" i="2"/>
  <c r="E242" i="2"/>
  <c r="G9" i="2"/>
  <c r="H18" i="2"/>
  <c r="G21" i="2"/>
  <c r="F24" i="2"/>
  <c r="E27" i="2"/>
  <c r="H31" i="2"/>
  <c r="H34" i="2"/>
  <c r="G38" i="2"/>
  <c r="E76" i="2"/>
  <c r="E87" i="2"/>
  <c r="E124" i="2"/>
  <c r="I154" i="2"/>
  <c r="G124" i="2"/>
  <c r="H124" i="2"/>
  <c r="G313" i="2"/>
  <c r="F16" i="2"/>
  <c r="E19" i="2"/>
  <c r="I27" i="2"/>
  <c r="F32" i="2"/>
  <c r="E35" i="2"/>
  <c r="E53" i="2"/>
  <c r="G59" i="2"/>
  <c r="I76" i="2"/>
  <c r="E104" i="2"/>
  <c r="F111" i="2"/>
  <c r="G118" i="2"/>
  <c r="I124" i="2"/>
  <c r="H127" i="2"/>
  <c r="E192" i="2"/>
  <c r="F209" i="2"/>
  <c r="G203" i="2"/>
  <c r="G76" i="2"/>
  <c r="I24" i="2"/>
  <c r="F118" i="2"/>
  <c r="F19" i="2"/>
  <c r="F35" i="2"/>
  <c r="F192" i="2"/>
  <c r="G19" i="2"/>
  <c r="F144" i="2"/>
  <c r="G12" i="2"/>
  <c r="I16" i="2"/>
  <c r="H19" i="2"/>
  <c r="G22" i="2"/>
  <c r="F25" i="2"/>
  <c r="E28" i="2"/>
  <c r="I32" i="2"/>
  <c r="H35" i="2"/>
  <c r="I40" i="2"/>
  <c r="E47" i="2"/>
  <c r="G73" i="2"/>
  <c r="E77" i="2"/>
  <c r="E125" i="2"/>
  <c r="G389" i="2"/>
  <c r="H255" i="2"/>
  <c r="G27" i="2"/>
  <c r="I225" i="2"/>
  <c r="H27" i="2"/>
  <c r="F59" i="2"/>
  <c r="H76" i="2"/>
  <c r="G127" i="2"/>
  <c r="E209" i="2"/>
  <c r="G16" i="2"/>
  <c r="E22" i="2"/>
  <c r="G32" i="2"/>
  <c r="G40" i="2"/>
  <c r="I127" i="2"/>
  <c r="H16" i="2"/>
  <c r="E25" i="2"/>
  <c r="G35" i="2"/>
  <c r="E96" i="2"/>
  <c r="H12" i="2"/>
  <c r="I19" i="2"/>
  <c r="H22" i="2"/>
  <c r="G25" i="2"/>
  <c r="F28" i="2"/>
  <c r="I35" i="2"/>
  <c r="F47" i="2"/>
  <c r="H73" i="2"/>
  <c r="F77" i="2"/>
  <c r="G90" i="2"/>
  <c r="F125" i="2"/>
  <c r="F268" i="2"/>
  <c r="E306" i="2"/>
  <c r="G55" i="2"/>
  <c r="I34" i="2"/>
  <c r="F87" i="2"/>
  <c r="E127" i="2"/>
  <c r="H24" i="2"/>
  <c r="E16" i="2"/>
  <c r="E32" i="2"/>
  <c r="E111" i="2"/>
  <c r="H59" i="2"/>
  <c r="H81" i="2"/>
  <c r="F104" i="2"/>
  <c r="G111" i="2"/>
  <c r="E144" i="2"/>
  <c r="G209" i="2"/>
  <c r="F22" i="2"/>
  <c r="H32" i="2"/>
  <c r="H40" i="2"/>
  <c r="I59" i="2"/>
  <c r="F73" i="2"/>
  <c r="E7" i="2"/>
  <c r="I12" i="2"/>
  <c r="I22" i="2"/>
  <c r="H25" i="2"/>
  <c r="G28" i="2"/>
  <c r="G47" i="2"/>
  <c r="E60" i="2"/>
  <c r="G77" i="2"/>
  <c r="H90" i="2"/>
  <c r="G125" i="2"/>
  <c r="F168" i="2"/>
  <c r="E203" i="2"/>
  <c r="I31" i="2"/>
  <c r="F53" i="2"/>
  <c r="M70" i="2"/>
  <c r="I81" i="2"/>
  <c r="H118" i="2"/>
  <c r="G144" i="2"/>
  <c r="E160" i="2"/>
  <c r="I177" i="2"/>
  <c r="I187" i="2"/>
  <c r="F198" i="2"/>
  <c r="F262" i="2"/>
  <c r="E282" i="2"/>
  <c r="H320" i="2"/>
  <c r="I355" i="2"/>
  <c r="I446" i="2"/>
  <c r="M12" i="2"/>
  <c r="I38" i="2"/>
  <c r="F45" i="2"/>
  <c r="H50" i="2"/>
  <c r="G53" i="2"/>
  <c r="H68" i="2"/>
  <c r="I93" i="2"/>
  <c r="E97" i="2"/>
  <c r="H104" i="2"/>
  <c r="L111" i="2"/>
  <c r="H115" i="2"/>
  <c r="M118" i="2"/>
  <c r="L122" i="2"/>
  <c r="F134" i="2"/>
  <c r="G139" i="2"/>
  <c r="H144" i="2"/>
  <c r="I149" i="2"/>
  <c r="F155" i="2"/>
  <c r="F160" i="2"/>
  <c r="F169" i="2"/>
  <c r="L182" i="2"/>
  <c r="H192" i="2"/>
  <c r="I198" i="2"/>
  <c r="M203" i="2"/>
  <c r="E237" i="2"/>
  <c r="I262" i="2"/>
  <c r="G269" i="2"/>
  <c r="E275" i="2"/>
  <c r="F282" i="2"/>
  <c r="L320" i="2"/>
  <c r="M341" i="2"/>
  <c r="M367" i="2"/>
  <c r="E374" i="2"/>
  <c r="F382" i="2"/>
  <c r="L390" i="2"/>
  <c r="L432" i="2"/>
  <c r="I328" i="2"/>
  <c r="L274" i="2"/>
  <c r="M57" i="2"/>
  <c r="M274" i="2"/>
  <c r="L78" i="2"/>
  <c r="G100" i="2"/>
  <c r="F139" i="2"/>
  <c r="H149" i="2"/>
  <c r="G192" i="2"/>
  <c r="H203" i="2"/>
  <c r="L209" i="2"/>
  <c r="M242" i="2"/>
  <c r="F333" i="2"/>
  <c r="F341" i="2"/>
  <c r="E432" i="2"/>
  <c r="E5" i="2"/>
  <c r="G7" i="2"/>
  <c r="I9" i="2"/>
  <c r="G36" i="2"/>
  <c r="M40" i="2"/>
  <c r="I47" i="2"/>
  <c r="E58" i="2"/>
  <c r="F66" i="2"/>
  <c r="L73" i="2"/>
  <c r="L81" i="2"/>
  <c r="H84" i="2"/>
  <c r="H100" i="2"/>
  <c r="F5" i="2"/>
  <c r="H7" i="2"/>
  <c r="E15" i="2"/>
  <c r="E29" i="2"/>
  <c r="H36" i="2"/>
  <c r="L38" i="2"/>
  <c r="E43" i="2"/>
  <c r="G45" i="2"/>
  <c r="I50" i="2"/>
  <c r="H53" i="2"/>
  <c r="F58" i="2"/>
  <c r="E63" i="2"/>
  <c r="G66" i="2"/>
  <c r="I68" i="2"/>
  <c r="M73" i="2"/>
  <c r="M81" i="2"/>
  <c r="I84" i="2"/>
  <c r="E88" i="2"/>
  <c r="L93" i="2"/>
  <c r="F97" i="2"/>
  <c r="M100" i="2"/>
  <c r="I104" i="2"/>
  <c r="M111" i="2"/>
  <c r="I115" i="2"/>
  <c r="M122" i="2"/>
  <c r="E129" i="2"/>
  <c r="G134" i="2"/>
  <c r="H139" i="2"/>
  <c r="I144" i="2"/>
  <c r="M149" i="2"/>
  <c r="G155" i="2"/>
  <c r="G160" i="2"/>
  <c r="E165" i="2"/>
  <c r="G169" i="2"/>
  <c r="M173" i="2"/>
  <c r="G282" i="2"/>
  <c r="F314" i="2"/>
  <c r="M382" i="2"/>
  <c r="L176" i="2"/>
  <c r="L40" i="2"/>
  <c r="G68" i="2"/>
  <c r="G84" i="2"/>
  <c r="F43" i="2"/>
  <c r="E71" i="2"/>
  <c r="L104" i="2"/>
  <c r="I139" i="2"/>
  <c r="H169" i="2"/>
  <c r="I169" i="2"/>
  <c r="G289" i="2"/>
  <c r="H295" i="2"/>
  <c r="G321" i="2"/>
  <c r="M342" i="2"/>
  <c r="M408" i="2"/>
  <c r="L127" i="2"/>
  <c r="M33" i="2"/>
  <c r="L214" i="2"/>
  <c r="L313" i="2"/>
  <c r="F7" i="2"/>
  <c r="L55" i="2"/>
  <c r="M38" i="2"/>
  <c r="L68" i="2"/>
  <c r="I108" i="2"/>
  <c r="L178" i="2"/>
  <c r="G43" i="2"/>
  <c r="I66" i="2"/>
  <c r="G3" i="2"/>
  <c r="I5" i="2"/>
  <c r="F13" i="2"/>
  <c r="H15" i="2"/>
  <c r="H29" i="2"/>
  <c r="F41" i="2"/>
  <c r="H43" i="2"/>
  <c r="L45" i="2"/>
  <c r="F48" i="2"/>
  <c r="E51" i="2"/>
  <c r="G56" i="2"/>
  <c r="I58" i="2"/>
  <c r="F61" i="2"/>
  <c r="H63" i="2"/>
  <c r="L66" i="2"/>
  <c r="G71" i="2"/>
  <c r="E74" i="2"/>
  <c r="H79" i="2"/>
  <c r="E82" i="2"/>
  <c r="H88" i="2"/>
  <c r="F91" i="2"/>
  <c r="I97" i="2"/>
  <c r="L101" i="2"/>
  <c r="M108" i="2"/>
  <c r="E112" i="2"/>
  <c r="M119" i="2"/>
  <c r="F123" i="2"/>
  <c r="I129" i="2"/>
  <c r="M134" i="2"/>
  <c r="H145" i="2"/>
  <c r="I165" i="2"/>
  <c r="L169" i="2"/>
  <c r="E174" i="2"/>
  <c r="M183" i="2"/>
  <c r="G189" i="2"/>
  <c r="M205" i="2"/>
  <c r="I211" i="2"/>
  <c r="L222" i="2"/>
  <c r="E228" i="2"/>
  <c r="M233" i="2"/>
  <c r="E245" i="2"/>
  <c r="E252" i="2"/>
  <c r="E258" i="2"/>
  <c r="H289" i="2"/>
  <c r="I295" i="2"/>
  <c r="E302" i="2"/>
  <c r="L368" i="2"/>
  <c r="G401" i="2"/>
  <c r="L57" i="2"/>
  <c r="L128" i="2"/>
  <c r="M128" i="2"/>
  <c r="F165" i="2"/>
  <c r="G15" i="2"/>
  <c r="F56" i="2"/>
  <c r="L119" i="2"/>
  <c r="G368" i="2"/>
  <c r="G13" i="2"/>
  <c r="L34" i="2"/>
  <c r="E39" i="2"/>
  <c r="I43" i="2"/>
  <c r="F51" i="2"/>
  <c r="L58" i="2"/>
  <c r="G61" i="2"/>
  <c r="I63" i="2"/>
  <c r="M66" i="2"/>
  <c r="H71" i="2"/>
  <c r="F74" i="2"/>
  <c r="I79" i="2"/>
  <c r="F82" i="2"/>
  <c r="I88" i="2"/>
  <c r="G91" i="2"/>
  <c r="M94" i="2"/>
  <c r="L97" i="2"/>
  <c r="E105" i="2"/>
  <c r="L129" i="2"/>
  <c r="H140" i="2"/>
  <c r="I151" i="2"/>
  <c r="G161" i="2"/>
  <c r="F174" i="2"/>
  <c r="H189" i="2"/>
  <c r="H200" i="2"/>
  <c r="L211" i="2"/>
  <c r="E217" i="2"/>
  <c r="M222" i="2"/>
  <c r="F228" i="2"/>
  <c r="E239" i="2"/>
  <c r="F245" i="2"/>
  <c r="G252" i="2"/>
  <c r="F258" i="2"/>
  <c r="M264" i="2"/>
  <c r="H271" i="2"/>
  <c r="I289" i="2"/>
  <c r="M295" i="2"/>
  <c r="G302" i="2"/>
  <c r="I309" i="2"/>
  <c r="E451" i="2"/>
  <c r="L255" i="2"/>
  <c r="E45" i="2"/>
  <c r="E134" i="2"/>
  <c r="I53" i="2"/>
  <c r="F129" i="2"/>
  <c r="M282" i="2"/>
  <c r="I45" i="2"/>
  <c r="M328" i="2"/>
  <c r="M45" i="2"/>
  <c r="F11" i="2"/>
  <c r="H13" i="2"/>
  <c r="L15" i="2"/>
  <c r="M34" i="2"/>
  <c r="F39" i="2"/>
  <c r="H41" i="2"/>
  <c r="L43" i="2"/>
  <c r="H48" i="2"/>
  <c r="G51" i="2"/>
  <c r="I56" i="2"/>
  <c r="M58" i="2"/>
  <c r="H61" i="2"/>
  <c r="L63" i="2"/>
  <c r="E69" i="2"/>
  <c r="I71" i="2"/>
  <c r="M74" i="2"/>
  <c r="L79" i="2"/>
  <c r="G82" i="2"/>
  <c r="L88" i="2"/>
  <c r="H91" i="2"/>
  <c r="M97" i="2"/>
  <c r="H105" i="2"/>
  <c r="E116" i="2"/>
  <c r="H135" i="2"/>
  <c r="H146" i="2"/>
  <c r="M151" i="2"/>
  <c r="E157" i="2"/>
  <c r="H174" i="2"/>
  <c r="E179" i="2"/>
  <c r="I189" i="2"/>
  <c r="L194" i="2"/>
  <c r="I200" i="2"/>
  <c r="M211" i="2"/>
  <c r="G217" i="2"/>
  <c r="H228" i="2"/>
  <c r="F239" i="2"/>
  <c r="G245" i="2"/>
  <c r="H252" i="2"/>
  <c r="G258" i="2"/>
  <c r="I271" i="2"/>
  <c r="H302" i="2"/>
  <c r="L309" i="2"/>
  <c r="E322" i="2"/>
  <c r="G329" i="2"/>
  <c r="E343" i="2"/>
  <c r="H384" i="2"/>
  <c r="F426" i="2"/>
  <c r="H47" i="2"/>
  <c r="H93" i="2"/>
  <c r="G5" i="2"/>
  <c r="I36" i="2"/>
  <c r="M356" i="2"/>
  <c r="H5" i="2"/>
  <c r="H58" i="2"/>
  <c r="G79" i="2"/>
  <c r="L108" i="2"/>
  <c r="H165" i="2"/>
  <c r="I15" i="2"/>
  <c r="G48" i="2"/>
  <c r="G11" i="2"/>
  <c r="I41" i="2"/>
  <c r="I48" i="2"/>
  <c r="E54" i="2"/>
  <c r="L56" i="2"/>
  <c r="I61" i="2"/>
  <c r="M63" i="2"/>
  <c r="F69" i="2"/>
  <c r="L71" i="2"/>
  <c r="M79" i="2"/>
  <c r="H82" i="2"/>
  <c r="M88" i="2"/>
  <c r="I91" i="2"/>
  <c r="E102" i="2"/>
  <c r="E109" i="2"/>
  <c r="E113" i="2"/>
  <c r="F116" i="2"/>
  <c r="E120" i="2"/>
  <c r="L126" i="2"/>
  <c r="F130" i="2"/>
  <c r="H141" i="2"/>
  <c r="I146" i="2"/>
  <c r="F157" i="2"/>
  <c r="H170" i="2"/>
  <c r="I174" i="2"/>
  <c r="G179" i="2"/>
  <c r="F184" i="2"/>
  <c r="L189" i="2"/>
  <c r="M194" i="2"/>
  <c r="L200" i="2"/>
  <c r="F206" i="2"/>
  <c r="L217" i="2"/>
  <c r="M228" i="2"/>
  <c r="E234" i="2"/>
  <c r="G239" i="2"/>
  <c r="H245" i="2"/>
  <c r="M252" i="2"/>
  <c r="I258" i="2"/>
  <c r="L271" i="2"/>
  <c r="F278" i="2"/>
  <c r="L302" i="2"/>
  <c r="M309" i="2"/>
  <c r="M329" i="2"/>
  <c r="F351" i="2"/>
  <c r="L402" i="2"/>
  <c r="I418" i="2"/>
  <c r="L352" i="2"/>
  <c r="E453" i="2"/>
  <c r="L33" i="2"/>
  <c r="M231" i="2"/>
  <c r="F407" i="2"/>
  <c r="H332" i="2"/>
  <c r="H324" i="2"/>
  <c r="F320" i="2"/>
  <c r="H309" i="2"/>
  <c r="G305" i="2"/>
  <c r="I274" i="2"/>
  <c r="G261" i="2"/>
  <c r="I251" i="2"/>
  <c r="E248" i="2"/>
  <c r="I241" i="2"/>
  <c r="F236" i="2"/>
  <c r="I233" i="2"/>
  <c r="H230" i="2"/>
  <c r="E225" i="2"/>
  <c r="H222" i="2"/>
  <c r="I219" i="2"/>
  <c r="E214" i="2"/>
  <c r="H211" i="2"/>
  <c r="G200" i="2"/>
  <c r="G197" i="2"/>
  <c r="I194" i="2"/>
  <c r="F189" i="2"/>
  <c r="F186" i="2"/>
  <c r="I183" i="2"/>
  <c r="I178" i="2"/>
  <c r="E176" i="2"/>
  <c r="G171" i="2"/>
  <c r="E169" i="2"/>
  <c r="H162" i="2"/>
  <c r="G154" i="2"/>
  <c r="H151" i="2"/>
  <c r="G298" i="2"/>
  <c r="G274" i="2"/>
  <c r="I264" i="2"/>
  <c r="F251" i="2"/>
  <c r="H244" i="2"/>
  <c r="H241" i="2"/>
  <c r="E236" i="2"/>
  <c r="F233" i="2"/>
  <c r="G230" i="2"/>
  <c r="E222" i="2"/>
  <c r="G219" i="2"/>
  <c r="G211" i="2"/>
  <c r="H208" i="2"/>
  <c r="I205" i="2"/>
  <c r="F200" i="2"/>
  <c r="E197" i="2"/>
  <c r="H194" i="2"/>
  <c r="E189" i="2"/>
  <c r="H183" i="2"/>
  <c r="H178" i="2"/>
  <c r="I173" i="2"/>
  <c r="F171" i="2"/>
  <c r="I164" i="2"/>
  <c r="G162" i="2"/>
  <c r="I159" i="2"/>
  <c r="F154" i="2"/>
  <c r="G151" i="2"/>
  <c r="G146" i="2"/>
  <c r="G141" i="2"/>
  <c r="G136" i="2"/>
  <c r="G131" i="2"/>
  <c r="I128" i="2"/>
  <c r="I119" i="2"/>
  <c r="G117" i="2"/>
  <c r="E115" i="2"/>
  <c r="H108" i="2"/>
  <c r="F106" i="2"/>
  <c r="I101" i="2"/>
  <c r="G99" i="2"/>
  <c r="H92" i="2"/>
  <c r="F90" i="2"/>
  <c r="I83" i="2"/>
  <c r="G81" i="2"/>
  <c r="E79" i="2"/>
  <c r="H72" i="2"/>
  <c r="F70" i="2"/>
  <c r="H312" i="2"/>
  <c r="E298" i="2"/>
  <c r="F288" i="2"/>
  <c r="I281" i="2"/>
  <c r="F274" i="2"/>
  <c r="I270" i="2"/>
  <c r="H267" i="2"/>
  <c r="H264" i="2"/>
  <c r="G241" i="2"/>
  <c r="F230" i="2"/>
  <c r="F219" i="2"/>
  <c r="I216" i="2"/>
  <c r="F208" i="2"/>
  <c r="H205" i="2"/>
  <c r="G194" i="2"/>
  <c r="G183" i="2"/>
  <c r="G178" i="2"/>
  <c r="H173" i="2"/>
  <c r="E171" i="2"/>
  <c r="H164" i="2"/>
  <c r="F162" i="2"/>
  <c r="H159" i="2"/>
  <c r="I156" i="2"/>
  <c r="E154" i="2"/>
  <c r="F151" i="2"/>
  <c r="F146" i="2"/>
  <c r="F141" i="2"/>
  <c r="F136" i="2"/>
  <c r="F131" i="2"/>
  <c r="H128" i="2"/>
  <c r="H119" i="2"/>
  <c r="F117" i="2"/>
  <c r="I110" i="2"/>
  <c r="G108" i="2"/>
  <c r="E106" i="2"/>
  <c r="H101" i="2"/>
  <c r="F99" i="2"/>
  <c r="I94" i="2"/>
  <c r="G92" i="2"/>
  <c r="E90" i="2"/>
  <c r="H83" i="2"/>
  <c r="F81" i="2"/>
  <c r="I74" i="2"/>
  <c r="G72" i="2"/>
  <c r="E70" i="2"/>
  <c r="I366" i="2"/>
  <c r="E354" i="2"/>
  <c r="F349" i="2"/>
  <c r="H327" i="2"/>
  <c r="E312" i="2"/>
  <c r="F301" i="2"/>
  <c r="I291" i="2"/>
  <c r="G277" i="2"/>
  <c r="E274" i="2"/>
  <c r="G270" i="2"/>
  <c r="G267" i="2"/>
  <c r="G264" i="2"/>
  <c r="I254" i="2"/>
  <c r="F241" i="2"/>
  <c r="I238" i="2"/>
  <c r="E230" i="2"/>
  <c r="I227" i="2"/>
  <c r="E219" i="2"/>
  <c r="H216" i="2"/>
  <c r="E208" i="2"/>
  <c r="G205" i="2"/>
  <c r="I202" i="2"/>
  <c r="F194" i="2"/>
  <c r="I191" i="2"/>
  <c r="F183" i="2"/>
  <c r="F178" i="2"/>
  <c r="F173" i="2"/>
  <c r="I166" i="2"/>
  <c r="G164" i="2"/>
  <c r="E162" i="2"/>
  <c r="G159" i="2"/>
  <c r="H156" i="2"/>
  <c r="E151" i="2"/>
  <c r="I148" i="2"/>
  <c r="E146" i="2"/>
  <c r="I143" i="2"/>
  <c r="E141" i="2"/>
  <c r="I138" i="2"/>
  <c r="E136" i="2"/>
  <c r="I133" i="2"/>
  <c r="E131" i="2"/>
  <c r="G128" i="2"/>
  <c r="I121" i="2"/>
  <c r="G119" i="2"/>
  <c r="E117" i="2"/>
  <c r="H110" i="2"/>
  <c r="F108" i="2"/>
  <c r="G101" i="2"/>
  <c r="E99" i="2"/>
  <c r="H94" i="2"/>
  <c r="F92" i="2"/>
  <c r="I85" i="2"/>
  <c r="G83" i="2"/>
  <c r="E81" i="2"/>
  <c r="H74" i="2"/>
  <c r="F72" i="2"/>
  <c r="E349" i="2"/>
  <c r="I340" i="2"/>
  <c r="G327" i="2"/>
  <c r="H323" i="2"/>
  <c r="I319" i="2"/>
  <c r="G308" i="2"/>
  <c r="I294" i="2"/>
  <c r="E291" i="2"/>
  <c r="I284" i="2"/>
  <c r="F277" i="2"/>
  <c r="F270" i="2"/>
  <c r="F267" i="2"/>
  <c r="E264" i="2"/>
  <c r="I260" i="2"/>
  <c r="H257" i="2"/>
  <c r="I247" i="2"/>
  <c r="E241" i="2"/>
  <c r="H238" i="2"/>
  <c r="H227" i="2"/>
  <c r="G216" i="2"/>
  <c r="F205" i="2"/>
  <c r="H202" i="2"/>
  <c r="I199" i="2"/>
  <c r="E194" i="2"/>
  <c r="H191" i="2"/>
  <c r="E183" i="2"/>
  <c r="I180" i="2"/>
  <c r="E178" i="2"/>
  <c r="H175" i="2"/>
  <c r="E173" i="2"/>
  <c r="H166" i="2"/>
  <c r="F164" i="2"/>
  <c r="F159" i="2"/>
  <c r="G156" i="2"/>
  <c r="H148" i="2"/>
  <c r="H143" i="2"/>
  <c r="H138" i="2"/>
  <c r="H133" i="2"/>
  <c r="F128" i="2"/>
  <c r="H121" i="2"/>
  <c r="F119" i="2"/>
  <c r="I112" i="2"/>
  <c r="G110" i="2"/>
  <c r="E108" i="2"/>
  <c r="F101" i="2"/>
  <c r="I96" i="2"/>
  <c r="G94" i="2"/>
  <c r="E92" i="2"/>
  <c r="H85" i="2"/>
  <c r="F83" i="2"/>
  <c r="G74" i="2"/>
  <c r="E72" i="2"/>
  <c r="F358" i="2"/>
  <c r="I344" i="2"/>
  <c r="H340" i="2"/>
  <c r="H331" i="2"/>
  <c r="F327" i="2"/>
  <c r="E323" i="2"/>
  <c r="H319" i="2"/>
  <c r="E308" i="2"/>
  <c r="I304" i="2"/>
  <c r="G294" i="2"/>
  <c r="H284" i="2"/>
  <c r="E277" i="2"/>
  <c r="E270" i="2"/>
  <c r="E267" i="2"/>
  <c r="H260" i="2"/>
  <c r="G257" i="2"/>
  <c r="I250" i="2"/>
  <c r="H247" i="2"/>
  <c r="I243" i="2"/>
  <c r="G238" i="2"/>
  <c r="H235" i="2"/>
  <c r="I232" i="2"/>
  <c r="G227" i="2"/>
  <c r="G224" i="2"/>
  <c r="I221" i="2"/>
  <c r="F216" i="2"/>
  <c r="I213" i="2"/>
  <c r="H210" i="2"/>
  <c r="E205" i="2"/>
  <c r="E202" i="2"/>
  <c r="G199" i="2"/>
  <c r="G191" i="2"/>
  <c r="H188" i="2"/>
  <c r="I185" i="2"/>
  <c r="H180" i="2"/>
  <c r="G175" i="2"/>
  <c r="I168" i="2"/>
  <c r="G166" i="2"/>
  <c r="E164" i="2"/>
  <c r="E159" i="2"/>
  <c r="F156" i="2"/>
  <c r="I153" i="2"/>
  <c r="G148" i="2"/>
  <c r="G143" i="2"/>
  <c r="G138" i="2"/>
  <c r="G133" i="2"/>
  <c r="I130" i="2"/>
  <c r="E128" i="2"/>
  <c r="I123" i="2"/>
  <c r="G121" i="2"/>
  <c r="E119" i="2"/>
  <c r="H112" i="2"/>
  <c r="F110" i="2"/>
  <c r="I103" i="2"/>
  <c r="E101" i="2"/>
  <c r="H96" i="2"/>
  <c r="F94" i="2"/>
  <c r="I87" i="2"/>
  <c r="G85" i="2"/>
  <c r="E83" i="2"/>
  <c r="F365" i="2"/>
  <c r="G344" i="2"/>
  <c r="G340" i="2"/>
  <c r="I335" i="2"/>
  <c r="F331" i="2"/>
  <c r="E327" i="2"/>
  <c r="G319" i="2"/>
  <c r="H315" i="2"/>
  <c r="H304" i="2"/>
  <c r="G297" i="2"/>
  <c r="F294" i="2"/>
  <c r="H287" i="2"/>
  <c r="G284" i="2"/>
  <c r="H280" i="2"/>
  <c r="H273" i="2"/>
  <c r="F260" i="2"/>
  <c r="F257" i="2"/>
  <c r="H250" i="2"/>
  <c r="G247" i="2"/>
  <c r="H243" i="2"/>
  <c r="F238" i="2"/>
  <c r="E235" i="2"/>
  <c r="H232" i="2"/>
  <c r="F227" i="2"/>
  <c r="H221" i="2"/>
  <c r="E216" i="2"/>
  <c r="F213" i="2"/>
  <c r="G210" i="2"/>
  <c r="F199" i="2"/>
  <c r="I196" i="2"/>
  <c r="F188" i="2"/>
  <c r="H185" i="2"/>
  <c r="G180" i="2"/>
  <c r="F175" i="2"/>
  <c r="H168" i="2"/>
  <c r="F166" i="2"/>
  <c r="I161" i="2"/>
  <c r="E156" i="2"/>
  <c r="H153" i="2"/>
  <c r="F148" i="2"/>
  <c r="F143" i="2"/>
  <c r="F138" i="2"/>
  <c r="F133" i="2"/>
  <c r="H130" i="2"/>
  <c r="H123" i="2"/>
  <c r="F121" i="2"/>
  <c r="I114" i="2"/>
  <c r="G112" i="2"/>
  <c r="E110" i="2"/>
  <c r="H103" i="2"/>
  <c r="I98" i="2"/>
  <c r="G96" i="2"/>
  <c r="E94" i="2"/>
  <c r="H87" i="2"/>
  <c r="F85" i="2"/>
  <c r="H335" i="2"/>
  <c r="F319" i="2"/>
  <c r="G304" i="2"/>
  <c r="I300" i="2"/>
  <c r="F297" i="2"/>
  <c r="E294" i="2"/>
  <c r="G287" i="2"/>
  <c r="G280" i="2"/>
  <c r="E260" i="2"/>
  <c r="E257" i="2"/>
  <c r="H253" i="2"/>
  <c r="G250" i="2"/>
  <c r="G243" i="2"/>
  <c r="E238" i="2"/>
  <c r="G232" i="2"/>
  <c r="E227" i="2"/>
  <c r="G221" i="2"/>
  <c r="F210" i="2"/>
  <c r="E199" i="2"/>
  <c r="H196" i="2"/>
  <c r="E188" i="2"/>
  <c r="G185" i="2"/>
  <c r="F180" i="2"/>
  <c r="E175" i="2"/>
  <c r="I170" i="2"/>
  <c r="G168" i="2"/>
  <c r="E166" i="2"/>
  <c r="H161" i="2"/>
  <c r="G153" i="2"/>
  <c r="I150" i="2"/>
  <c r="E148" i="2"/>
  <c r="I145" i="2"/>
  <c r="E143" i="2"/>
  <c r="I140" i="2"/>
  <c r="E138" i="2"/>
  <c r="I135" i="2"/>
  <c r="E133" i="2"/>
  <c r="G130" i="2"/>
  <c r="G123" i="2"/>
  <c r="E121" i="2"/>
  <c r="H114" i="2"/>
  <c r="F112" i="2"/>
  <c r="I105" i="2"/>
  <c r="G103" i="2"/>
  <c r="H98" i="2"/>
  <c r="F96" i="2"/>
  <c r="I89" i="2"/>
  <c r="G87" i="2"/>
  <c r="E85" i="2"/>
  <c r="F453" i="2"/>
  <c r="F447" i="2"/>
  <c r="G415" i="2"/>
  <c r="F398" i="2"/>
  <c r="G375" i="2"/>
  <c r="H370" i="2"/>
  <c r="F364" i="2"/>
  <c r="G357" i="2"/>
  <c r="H348" i="2"/>
  <c r="E335" i="2"/>
  <c r="F311" i="2"/>
  <c r="I307" i="2"/>
  <c r="H300" i="2"/>
  <c r="E297" i="2"/>
  <c r="H290" i="2"/>
  <c r="F287" i="2"/>
  <c r="F280" i="2"/>
  <c r="F263" i="2"/>
  <c r="G253" i="2"/>
  <c r="F250" i="2"/>
  <c r="F243" i="2"/>
  <c r="F232" i="2"/>
  <c r="I229" i="2"/>
  <c r="F221" i="2"/>
  <c r="I218" i="2"/>
  <c r="E210" i="2"/>
  <c r="I207" i="2"/>
  <c r="G196" i="2"/>
  <c r="H421" i="2"/>
  <c r="F370" i="2"/>
  <c r="E364" i="2"/>
  <c r="E357" i="2"/>
  <c r="E348" i="2"/>
  <c r="F339" i="2"/>
  <c r="I322" i="2"/>
  <c r="H307" i="2"/>
  <c r="G300" i="2"/>
  <c r="G290" i="2"/>
  <c r="E287" i="2"/>
  <c r="H283" i="2"/>
  <c r="I276" i="2"/>
  <c r="F253" i="2"/>
  <c r="E250" i="2"/>
  <c r="I246" i="2"/>
  <c r="E243" i="2"/>
  <c r="I240" i="2"/>
  <c r="E232" i="2"/>
  <c r="H229" i="2"/>
  <c r="E221" i="2"/>
  <c r="H218" i="2"/>
  <c r="H207" i="2"/>
  <c r="I201" i="2"/>
  <c r="F196" i="2"/>
  <c r="I193" i="2"/>
  <c r="H190" i="2"/>
  <c r="E185" i="2"/>
  <c r="I182" i="2"/>
  <c r="H177" i="2"/>
  <c r="I172" i="2"/>
  <c r="G170" i="2"/>
  <c r="E168" i="2"/>
  <c r="F161" i="2"/>
  <c r="H158" i="2"/>
  <c r="E153" i="2"/>
  <c r="G150" i="2"/>
  <c r="G145" i="2"/>
  <c r="G140" i="2"/>
  <c r="G135" i="2"/>
  <c r="E130" i="2"/>
  <c r="E123" i="2"/>
  <c r="H116" i="2"/>
  <c r="F114" i="2"/>
  <c r="I107" i="2"/>
  <c r="G105" i="2"/>
  <c r="E103" i="2"/>
  <c r="F98" i="2"/>
  <c r="G440" i="2"/>
  <c r="I427" i="2"/>
  <c r="H404" i="2"/>
  <c r="E370" i="2"/>
  <c r="H363" i="2"/>
  <c r="G352" i="2"/>
  <c r="I343" i="2"/>
  <c r="H330" i="2"/>
  <c r="G322" i="2"/>
  <c r="I314" i="2"/>
  <c r="F307" i="2"/>
  <c r="I303" i="2"/>
  <c r="E300" i="2"/>
  <c r="I293" i="2"/>
  <c r="F290" i="2"/>
  <c r="H276" i="2"/>
  <c r="I269" i="2"/>
  <c r="E266" i="2"/>
  <c r="H256" i="2"/>
  <c r="F246" i="2"/>
  <c r="H240" i="2"/>
  <c r="G229" i="2"/>
  <c r="I226" i="2"/>
  <c r="I223" i="2"/>
  <c r="G218" i="2"/>
  <c r="H215" i="2"/>
  <c r="I212" i="2"/>
  <c r="G207" i="2"/>
  <c r="G204" i="2"/>
  <c r="H201" i="2"/>
  <c r="E196" i="2"/>
  <c r="F193" i="2"/>
  <c r="G190" i="2"/>
  <c r="H182" i="2"/>
  <c r="G177" i="2"/>
  <c r="H172" i="2"/>
  <c r="F170" i="2"/>
  <c r="I163" i="2"/>
  <c r="E161" i="2"/>
  <c r="G158" i="2"/>
  <c r="I155" i="2"/>
  <c r="F150" i="2"/>
  <c r="F145" i="2"/>
  <c r="F140" i="2"/>
  <c r="F135" i="2"/>
  <c r="I118" i="2"/>
  <c r="G116" i="2"/>
  <c r="E114" i="2"/>
  <c r="H107" i="2"/>
  <c r="F105" i="2"/>
  <c r="I100" i="2"/>
  <c r="E98" i="2"/>
  <c r="I414" i="2"/>
  <c r="E379" i="2"/>
  <c r="G374" i="2"/>
  <c r="G363" i="2"/>
  <c r="F343" i="2"/>
  <c r="F330" i="2"/>
  <c r="F322" i="2"/>
  <c r="H318" i="2"/>
  <c r="G314" i="2"/>
  <c r="I310" i="2"/>
  <c r="E307" i="2"/>
  <c r="E303" i="2"/>
  <c r="F293" i="2"/>
  <c r="I279" i="2"/>
  <c r="I272" i="2"/>
  <c r="H269" i="2"/>
  <c r="I259" i="2"/>
  <c r="E256" i="2"/>
  <c r="E246" i="2"/>
  <c r="G240" i="2"/>
  <c r="G237" i="2"/>
  <c r="I234" i="2"/>
  <c r="F229" i="2"/>
  <c r="F226" i="2"/>
  <c r="H223" i="2"/>
  <c r="F218" i="2"/>
  <c r="E215" i="2"/>
  <c r="H212" i="2"/>
  <c r="F207" i="2"/>
  <c r="G201" i="2"/>
  <c r="F190" i="2"/>
  <c r="E182" i="2"/>
  <c r="E177" i="2"/>
  <c r="G172" i="2"/>
  <c r="E170" i="2"/>
  <c r="H163" i="2"/>
  <c r="F158" i="2"/>
  <c r="H155" i="2"/>
  <c r="E150" i="2"/>
  <c r="I147" i="2"/>
  <c r="E145" i="2"/>
  <c r="I142" i="2"/>
  <c r="E140" i="2"/>
  <c r="I137" i="2"/>
  <c r="E135" i="2"/>
  <c r="I132" i="2"/>
  <c r="E439" i="2"/>
  <c r="F420" i="2"/>
  <c r="E414" i="2"/>
  <c r="G403" i="2"/>
  <c r="G390" i="2"/>
  <c r="F384" i="2"/>
  <c r="I356" i="2"/>
  <c r="H338" i="2"/>
  <c r="F325" i="2"/>
  <c r="E314" i="2"/>
  <c r="G310" i="2"/>
  <c r="I299" i="2"/>
  <c r="E296" i="2"/>
  <c r="G279" i="2"/>
  <c r="E272" i="2"/>
  <c r="F269" i="2"/>
  <c r="H262" i="2"/>
  <c r="G259" i="2"/>
  <c r="G249" i="2"/>
  <c r="G234" i="2"/>
  <c r="F223" i="2"/>
  <c r="F212" i="2"/>
  <c r="I209" i="2"/>
  <c r="E201" i="2"/>
  <c r="H198" i="2"/>
  <c r="H187" i="2"/>
  <c r="I426" i="2"/>
  <c r="H408" i="2"/>
  <c r="H396" i="2"/>
  <c r="G356" i="2"/>
  <c r="F338" i="2"/>
  <c r="G333" i="2"/>
  <c r="E325" i="2"/>
  <c r="E310" i="2"/>
  <c r="H299" i="2"/>
  <c r="I282" i="2"/>
  <c r="F279" i="2"/>
  <c r="H275" i="2"/>
  <c r="E269" i="2"/>
  <c r="H265" i="2"/>
  <c r="G262" i="2"/>
  <c r="I252" i="2"/>
  <c r="I242" i="2"/>
  <c r="F234" i="2"/>
  <c r="I231" i="2"/>
  <c r="E223" i="2"/>
  <c r="I220" i="2"/>
  <c r="E212" i="2"/>
  <c r="H209" i="2"/>
  <c r="I203" i="2"/>
  <c r="G198" i="2"/>
  <c r="H195" i="2"/>
  <c r="I192" i="2"/>
  <c r="G187" i="2"/>
  <c r="G184" i="2"/>
  <c r="F179" i="2"/>
  <c r="G174" i="2"/>
  <c r="I167" i="2"/>
  <c r="G165" i="2"/>
  <c r="E163" i="2"/>
  <c r="H160" i="2"/>
  <c r="E155" i="2"/>
  <c r="G152" i="2"/>
  <c r="F147" i="2"/>
  <c r="F142" i="2"/>
  <c r="F137" i="2"/>
  <c r="F132" i="2"/>
  <c r="H129" i="2"/>
  <c r="I122" i="2"/>
  <c r="G120" i="2"/>
  <c r="E118" i="2"/>
  <c r="H111" i="2"/>
  <c r="F109" i="2"/>
  <c r="H102" i="2"/>
  <c r="E100" i="2"/>
  <c r="L107" i="2"/>
  <c r="G58" i="2"/>
  <c r="F79" i="2"/>
  <c r="M68" i="2"/>
  <c r="H97" i="2"/>
  <c r="M139" i="2"/>
  <c r="M178" i="2"/>
  <c r="I222" i="2"/>
  <c r="E11" i="2"/>
  <c r="I29" i="2"/>
  <c r="G41" i="2"/>
  <c r="H56" i="2"/>
  <c r="M15" i="2"/>
  <c r="L32" i="2"/>
  <c r="G39" i="2"/>
  <c r="M43" i="2"/>
  <c r="H51" i="2"/>
  <c r="F8" i="2"/>
  <c r="H11" i="2"/>
  <c r="E30" i="2"/>
  <c r="M32" i="2"/>
  <c r="F37" i="2"/>
  <c r="H39" i="2"/>
  <c r="E46" i="2"/>
  <c r="I51" i="2"/>
  <c r="F54" i="2"/>
  <c r="M56" i="2"/>
  <c r="L61" i="2"/>
  <c r="E67" i="2"/>
  <c r="G69" i="2"/>
  <c r="I82" i="2"/>
  <c r="E86" i="2"/>
  <c r="L91" i="2"/>
  <c r="E95" i="2"/>
  <c r="F102" i="2"/>
  <c r="G109" i="2"/>
  <c r="F113" i="2"/>
  <c r="I116" i="2"/>
  <c r="F120" i="2"/>
  <c r="M126" i="2"/>
  <c r="H136" i="2"/>
  <c r="I141" i="2"/>
  <c r="L146" i="2"/>
  <c r="E152" i="2"/>
  <c r="G157" i="2"/>
  <c r="I162" i="2"/>
  <c r="I179" i="2"/>
  <c r="M184" i="2"/>
  <c r="M189" i="2"/>
  <c r="M200" i="2"/>
  <c r="I206" i="2"/>
  <c r="G223" i="2"/>
  <c r="H234" i="2"/>
  <c r="I239" i="2"/>
  <c r="F265" i="2"/>
  <c r="M271" i="2"/>
  <c r="I278" i="2"/>
  <c r="I296" i="2"/>
  <c r="E317" i="2"/>
  <c r="M337" i="2"/>
  <c r="G351" i="2"/>
  <c r="L225" i="2"/>
  <c r="M249" i="2"/>
  <c r="L70" i="2"/>
  <c r="M164" i="2"/>
  <c r="G50" i="2"/>
  <c r="G97" i="2"/>
  <c r="I3" i="2"/>
  <c r="E8" i="2"/>
  <c r="I13" i="2"/>
  <c r="E37" i="2"/>
  <c r="E6" i="2"/>
  <c r="G8" i="2"/>
  <c r="I11" i="2"/>
  <c r="F30" i="2"/>
  <c r="G37" i="2"/>
  <c r="I39" i="2"/>
  <c r="F46" i="2"/>
  <c r="G54" i="2"/>
  <c r="M61" i="2"/>
  <c r="F67" i="2"/>
  <c r="H69" i="2"/>
  <c r="L82" i="2"/>
  <c r="F86" i="2"/>
  <c r="F95" i="2"/>
  <c r="G98" i="2"/>
  <c r="G102" i="2"/>
  <c r="G106" i="2"/>
  <c r="H109" i="2"/>
  <c r="G113" i="2"/>
  <c r="H120" i="2"/>
  <c r="H131" i="2"/>
  <c r="I136" i="2"/>
  <c r="L141" i="2"/>
  <c r="M146" i="2"/>
  <c r="F152" i="2"/>
  <c r="H157" i="2"/>
  <c r="L162" i="2"/>
  <c r="E167" i="2"/>
  <c r="G212" i="2"/>
  <c r="G265" i="2"/>
  <c r="E285" i="2"/>
  <c r="F317" i="2"/>
  <c r="H351" i="2"/>
  <c r="F378" i="2"/>
  <c r="E394" i="2"/>
  <c r="L172" i="2"/>
  <c r="M220" i="2"/>
  <c r="F347" i="2"/>
  <c r="L12" i="2"/>
  <c r="H122" i="2"/>
  <c r="H45" i="2"/>
  <c r="L84" i="2"/>
  <c r="I160" i="2"/>
  <c r="E13" i="2"/>
  <c r="E91" i="2"/>
  <c r="L77" i="2"/>
  <c r="E89" i="2"/>
  <c r="H106" i="2"/>
  <c r="I109" i="2"/>
  <c r="H113" i="2"/>
  <c r="L136" i="2"/>
  <c r="M141" i="2"/>
  <c r="H152" i="2"/>
  <c r="I157" i="2"/>
  <c r="M162" i="2"/>
  <c r="F167" i="2"/>
  <c r="H171" i="2"/>
  <c r="E195" i="2"/>
  <c r="E218" i="2"/>
  <c r="E229" i="2"/>
  <c r="H259" i="2"/>
  <c r="F285" i="2"/>
  <c r="H310" i="2"/>
  <c r="L317" i="2"/>
  <c r="E330" i="2"/>
  <c r="H378" i="2"/>
  <c r="M419" i="2"/>
  <c r="M44" i="2"/>
  <c r="L236" i="2"/>
  <c r="M325" i="2"/>
  <c r="H242" i="2"/>
  <c r="H414" i="2"/>
  <c r="H9" i="2"/>
  <c r="L90" i="2"/>
  <c r="E56" i="2"/>
  <c r="F3" i="2"/>
  <c r="G63" i="2"/>
  <c r="G88" i="2"/>
  <c r="G129" i="2"/>
  <c r="L183" i="2"/>
  <c r="H3" i="2"/>
  <c r="F6" i="2"/>
  <c r="E44" i="2"/>
  <c r="H54" i="2"/>
  <c r="G67" i="2"/>
  <c r="M82" i="2"/>
  <c r="I102" i="2"/>
  <c r="I8" i="2"/>
  <c r="I37" i="2"/>
  <c r="M39" i="2"/>
  <c r="F44" i="2"/>
  <c r="H46" i="2"/>
  <c r="F49" i="2"/>
  <c r="E52" i="2"/>
  <c r="I54" i="2"/>
  <c r="E57" i="2"/>
  <c r="F64" i="2"/>
  <c r="H67" i="2"/>
  <c r="L69" i="2"/>
  <c r="L72" i="2"/>
  <c r="M77" i="2"/>
  <c r="F80" i="2"/>
  <c r="H86" i="2"/>
  <c r="F89" i="2"/>
  <c r="I92" i="2"/>
  <c r="H95" i="2"/>
  <c r="L102" i="2"/>
  <c r="I106" i="2"/>
  <c r="I113" i="2"/>
  <c r="H117" i="2"/>
  <c r="L120" i="2"/>
  <c r="L131" i="2"/>
  <c r="M136" i="2"/>
  <c r="E147" i="2"/>
  <c r="I152" i="2"/>
  <c r="G167" i="2"/>
  <c r="I171" i="2"/>
  <c r="F185" i="2"/>
  <c r="E190" i="2"/>
  <c r="F201" i="2"/>
  <c r="E207" i="2"/>
  <c r="F240" i="2"/>
  <c r="F248" i="2"/>
  <c r="G272" i="2"/>
  <c r="E279" i="2"/>
  <c r="G285" i="2"/>
  <c r="M317" i="2"/>
  <c r="I324" i="2"/>
  <c r="E338" i="2"/>
  <c r="M345" i="2"/>
  <c r="E360" i="2"/>
  <c r="F437" i="2"/>
  <c r="M154" i="2"/>
  <c r="E262" i="2"/>
  <c r="M216" i="2"/>
  <c r="M208" i="2"/>
  <c r="L205" i="2"/>
  <c r="L173" i="2"/>
  <c r="L164" i="2"/>
  <c r="L159" i="2"/>
  <c r="M166" i="2"/>
  <c r="M148" i="2"/>
  <c r="M143" i="2"/>
  <c r="M138" i="2"/>
  <c r="M133" i="2"/>
  <c r="M121" i="2"/>
  <c r="L110" i="2"/>
  <c r="L94" i="2"/>
  <c r="M85" i="2"/>
  <c r="L74" i="2"/>
  <c r="L202" i="2"/>
  <c r="L191" i="2"/>
  <c r="M180" i="2"/>
  <c r="L166" i="2"/>
  <c r="L148" i="2"/>
  <c r="L143" i="2"/>
  <c r="L138" i="2"/>
  <c r="L133" i="2"/>
  <c r="L121" i="2"/>
  <c r="M112" i="2"/>
  <c r="M96" i="2"/>
  <c r="L85" i="2"/>
  <c r="M76" i="2"/>
  <c r="M224" i="2"/>
  <c r="M213" i="2"/>
  <c r="M185" i="2"/>
  <c r="L180" i="2"/>
  <c r="M175" i="2"/>
  <c r="M168" i="2"/>
  <c r="M123" i="2"/>
  <c r="L112" i="2"/>
  <c r="M103" i="2"/>
  <c r="L96" i="2"/>
  <c r="M87" i="2"/>
  <c r="L76" i="2"/>
  <c r="L213" i="2"/>
  <c r="L210" i="2"/>
  <c r="M196" i="2"/>
  <c r="M188" i="2"/>
  <c r="L185" i="2"/>
  <c r="L168" i="2"/>
  <c r="M153" i="2"/>
  <c r="L123" i="2"/>
  <c r="M114" i="2"/>
  <c r="L103" i="2"/>
  <c r="L87" i="2"/>
  <c r="M78" i="2"/>
  <c r="L196" i="2"/>
  <c r="M170" i="2"/>
  <c r="M150" i="2"/>
  <c r="M145" i="2"/>
  <c r="M140" i="2"/>
  <c r="M135" i="2"/>
  <c r="M125" i="2"/>
  <c r="L114" i="2"/>
  <c r="M105" i="2"/>
  <c r="M89" i="2"/>
  <c r="M229" i="2"/>
  <c r="M218" i="2"/>
  <c r="M207" i="2"/>
  <c r="L170" i="2"/>
  <c r="L150" i="2"/>
  <c r="L145" i="2"/>
  <c r="L140" i="2"/>
  <c r="L135" i="2"/>
  <c r="L125" i="2"/>
  <c r="M116" i="2"/>
  <c r="L105" i="2"/>
  <c r="L89" i="2"/>
  <c r="L218" i="2"/>
  <c r="L207" i="2"/>
  <c r="M193" i="2"/>
  <c r="M182" i="2"/>
  <c r="L177" i="2"/>
  <c r="M172" i="2"/>
  <c r="M127" i="2"/>
  <c r="L116" i="2"/>
  <c r="M107" i="2"/>
  <c r="M91" i="2"/>
  <c r="L80" i="2"/>
  <c r="M71" i="2"/>
  <c r="L322" i="2"/>
  <c r="M276" i="2"/>
  <c r="M269" i="2"/>
  <c r="M266" i="2"/>
  <c r="L240" i="2"/>
  <c r="M223" i="2"/>
  <c r="M204" i="2"/>
  <c r="M201" i="2"/>
  <c r="L223" i="2"/>
  <c r="M215" i="2"/>
  <c r="L212" i="2"/>
  <c r="L204" i="2"/>
  <c r="L163" i="2"/>
  <c r="L155" i="2"/>
  <c r="M147" i="2"/>
  <c r="M142" i="2"/>
  <c r="M137" i="2"/>
  <c r="M132" i="2"/>
  <c r="L118" i="2"/>
  <c r="M109" i="2"/>
  <c r="L100" i="2"/>
  <c r="L259" i="2"/>
  <c r="L237" i="2"/>
  <c r="L234" i="2"/>
  <c r="M198" i="2"/>
  <c r="M187" i="2"/>
  <c r="M179" i="2"/>
  <c r="M174" i="2"/>
  <c r="M165" i="2"/>
  <c r="L147" i="2"/>
  <c r="L142" i="2"/>
  <c r="L137" i="2"/>
  <c r="L132" i="2"/>
  <c r="M120" i="2"/>
  <c r="L109" i="2"/>
  <c r="M262" i="2"/>
  <c r="M209" i="2"/>
  <c r="L198" i="2"/>
  <c r="L187" i="2"/>
  <c r="L179" i="2"/>
  <c r="L174" i="2"/>
  <c r="L165" i="2"/>
  <c r="M152" i="2"/>
  <c r="M129" i="2"/>
  <c r="M333" i="2"/>
  <c r="M289" i="2"/>
  <c r="L286" i="2"/>
  <c r="L282" i="2"/>
  <c r="L275" i="2"/>
  <c r="M265" i="2"/>
  <c r="L252" i="2"/>
  <c r="M245" i="2"/>
  <c r="L242" i="2"/>
  <c r="L231" i="2"/>
  <c r="L220" i="2"/>
  <c r="L203" i="2"/>
  <c r="M195" i="2"/>
  <c r="L192" i="2"/>
  <c r="L184" i="2"/>
  <c r="M255" i="2"/>
  <c r="L245" i="2"/>
  <c r="M225" i="2"/>
  <c r="M214" i="2"/>
  <c r="M181" i="2"/>
  <c r="M176" i="2"/>
  <c r="M169" i="2"/>
  <c r="L149" i="2"/>
  <c r="L144" i="2"/>
  <c r="L139" i="2"/>
  <c r="L134" i="2"/>
  <c r="M124" i="2"/>
  <c r="L113" i="2"/>
  <c r="M104" i="2"/>
  <c r="V243" i="2"/>
  <c r="V245" i="2"/>
  <c r="V244" i="2"/>
  <c r="V247" i="2"/>
  <c r="V246" i="2"/>
  <c r="F36" i="2"/>
  <c r="G104" i="2"/>
  <c r="F15" i="2"/>
  <c r="M93" i="2"/>
  <c r="M144" i="2"/>
  <c r="M84" i="2"/>
  <c r="L233" i="2"/>
  <c r="H8" i="2"/>
  <c r="L39" i="2"/>
  <c r="E49" i="2"/>
  <c r="I69" i="2"/>
  <c r="E80" i="2"/>
  <c r="I120" i="2"/>
  <c r="G6" i="2"/>
  <c r="F4" i="2"/>
  <c r="H6" i="2"/>
  <c r="E14" i="2"/>
  <c r="I30" i="2"/>
  <c r="L37" i="2"/>
  <c r="E42" i="2"/>
  <c r="G44" i="2"/>
  <c r="I46" i="2"/>
  <c r="G49" i="2"/>
  <c r="F52" i="2"/>
  <c r="F57" i="2"/>
  <c r="E62" i="2"/>
  <c r="G64" i="2"/>
  <c r="I67" i="2"/>
  <c r="M69" i="2"/>
  <c r="M72" i="2"/>
  <c r="G80" i="2"/>
  <c r="I86" i="2"/>
  <c r="G89" i="2"/>
  <c r="L92" i="2"/>
  <c r="I95" i="2"/>
  <c r="H99" i="2"/>
  <c r="L106" i="2"/>
  <c r="M113" i="2"/>
  <c r="I117" i="2"/>
  <c r="L124" i="2"/>
  <c r="M131" i="2"/>
  <c r="E142" i="2"/>
  <c r="G147" i="2"/>
  <c r="H167" i="2"/>
  <c r="L171" i="2"/>
  <c r="F176" i="2"/>
  <c r="L190" i="2"/>
  <c r="H248" i="2"/>
  <c r="H279" i="2"/>
  <c r="L285" i="2"/>
  <c r="E292" i="2"/>
  <c r="L324" i="2"/>
  <c r="I338" i="2"/>
  <c r="F360" i="2"/>
  <c r="I412" i="2"/>
  <c r="H38" i="2"/>
  <c r="I111" i="2"/>
  <c r="E3" i="2"/>
  <c r="F29" i="2"/>
  <c r="H66" i="2"/>
  <c r="F289" i="2"/>
  <c r="G29" i="2"/>
  <c r="E61" i="2"/>
  <c r="I134" i="2"/>
  <c r="L193" i="2"/>
  <c r="G30" i="2"/>
  <c r="G46" i="2"/>
  <c r="G95" i="2"/>
  <c r="I131" i="2"/>
  <c r="M11" i="2"/>
  <c r="H30" i="2"/>
  <c r="G4" i="2"/>
  <c r="I6" i="2"/>
  <c r="F14" i="2"/>
  <c r="M37" i="2"/>
  <c r="F42" i="2"/>
  <c r="H44" i="2"/>
  <c r="L46" i="2"/>
  <c r="H49" i="2"/>
  <c r="G52" i="2"/>
  <c r="G57" i="2"/>
  <c r="F62" i="2"/>
  <c r="H64" i="2"/>
  <c r="L67" i="2"/>
  <c r="H80" i="2"/>
  <c r="L83" i="2"/>
  <c r="L86" i="2"/>
  <c r="H89" i="2"/>
  <c r="M92" i="2"/>
  <c r="L95" i="2"/>
  <c r="I99" i="2"/>
  <c r="M106" i="2"/>
  <c r="M110" i="2"/>
  <c r="L117" i="2"/>
  <c r="E137" i="2"/>
  <c r="G142" i="2"/>
  <c r="H147" i="2"/>
  <c r="F153" i="2"/>
  <c r="E158" i="2"/>
  <c r="F163" i="2"/>
  <c r="L167" i="2"/>
  <c r="M171" i="2"/>
  <c r="G176" i="2"/>
  <c r="E181" i="2"/>
  <c r="F225" i="2"/>
  <c r="L230" i="2"/>
  <c r="G236" i="2"/>
  <c r="I248" i="2"/>
  <c r="G292" i="2"/>
  <c r="M324" i="2"/>
  <c r="M360" i="2"/>
  <c r="M372" i="2"/>
  <c r="I420" i="2"/>
  <c r="E66" i="2"/>
  <c r="G115" i="2"/>
  <c r="I7" i="2"/>
  <c r="F63" i="2"/>
  <c r="F88" i="2"/>
  <c r="E295" i="2"/>
  <c r="E48" i="2"/>
  <c r="F71" i="2"/>
  <c r="H150" i="2"/>
  <c r="L11" i="2"/>
  <c r="H37" i="2"/>
  <c r="E64" i="2"/>
  <c r="I72" i="2"/>
  <c r="G86" i="2"/>
  <c r="E4" i="2"/>
  <c r="H4" i="2"/>
  <c r="E12" i="2"/>
  <c r="G14" i="2"/>
  <c r="L35" i="2"/>
  <c r="E40" i="2"/>
  <c r="G42" i="2"/>
  <c r="I44" i="2"/>
  <c r="I49" i="2"/>
  <c r="H52" i="2"/>
  <c r="E55" i="2"/>
  <c r="H57" i="2"/>
  <c r="G62" i="2"/>
  <c r="I64" i="2"/>
  <c r="M67" i="2"/>
  <c r="L75" i="2"/>
  <c r="I80" i="2"/>
  <c r="M83" i="2"/>
  <c r="M86" i="2"/>
  <c r="M95" i="2"/>
  <c r="L99" i="2"/>
  <c r="F103" i="2"/>
  <c r="M117" i="2"/>
  <c r="E132" i="2"/>
  <c r="G137" i="2"/>
  <c r="H142" i="2"/>
  <c r="I158" i="2"/>
  <c r="G163" i="2"/>
  <c r="M167" i="2"/>
  <c r="H176" i="2"/>
  <c r="F181" i="2"/>
  <c r="I186" i="2"/>
  <c r="F214" i="2"/>
  <c r="G225" i="2"/>
  <c r="H236" i="2"/>
  <c r="M241" i="2"/>
  <c r="M248" i="2"/>
  <c r="E255" i="2"/>
  <c r="H292" i="2"/>
  <c r="H305" i="2"/>
  <c r="F318" i="2"/>
  <c r="F346" i="2"/>
  <c r="H438" i="2"/>
  <c r="I73" i="2"/>
  <c r="H134" i="2"/>
  <c r="E41" i="2"/>
  <c r="I4" i="2"/>
  <c r="F12" i="2"/>
  <c r="H14" i="2"/>
  <c r="E31" i="2"/>
  <c r="M35" i="2"/>
  <c r="F40" i="2"/>
  <c r="H42" i="2"/>
  <c r="L44" i="2"/>
  <c r="I52" i="2"/>
  <c r="F55" i="2"/>
  <c r="I57" i="2"/>
  <c r="H62" i="2"/>
  <c r="L64" i="2"/>
  <c r="G70" i="2"/>
  <c r="E73" i="2"/>
  <c r="M75" i="2"/>
  <c r="M80" i="2"/>
  <c r="M99" i="2"/>
  <c r="G114" i="2"/>
  <c r="G132" i="2"/>
  <c r="H137" i="2"/>
  <c r="H154" i="2"/>
  <c r="M163" i="2"/>
  <c r="I176" i="2"/>
  <c r="G181" i="2"/>
  <c r="L197" i="2"/>
  <c r="G214" i="2"/>
  <c r="F220" i="2"/>
  <c r="H225" i="2"/>
  <c r="I236" i="2"/>
  <c r="F255" i="2"/>
  <c r="M261" i="2"/>
  <c r="M286" i="2"/>
  <c r="L292" i="2"/>
  <c r="E299" i="2"/>
  <c r="M305" i="2"/>
  <c r="I332" i="2"/>
  <c r="I346" i="2"/>
  <c r="L289" i="2"/>
  <c r="M292" i="2"/>
  <c r="M302" i="2"/>
  <c r="M306" i="2"/>
  <c r="L351" i="2"/>
  <c r="M378" i="2"/>
  <c r="L445" i="2"/>
  <c r="M351" i="2"/>
  <c r="M396" i="2"/>
  <c r="L408" i="2"/>
  <c r="L426" i="2"/>
  <c r="L453" i="2"/>
  <c r="M296" i="2"/>
  <c r="L384" i="2"/>
  <c r="M390" i="2"/>
  <c r="L272" i="2"/>
  <c r="M318" i="2"/>
  <c r="M384" i="2"/>
  <c r="M234" i="2"/>
  <c r="L266" i="2"/>
  <c r="L269" i="2"/>
  <c r="M272" i="2"/>
  <c r="L314" i="2"/>
  <c r="L326" i="2"/>
  <c r="L330" i="2"/>
  <c r="L343" i="2"/>
  <c r="M283" i="2"/>
  <c r="M273" i="2"/>
  <c r="L261" i="2"/>
  <c r="L249" i="2"/>
  <c r="M244" i="2"/>
  <c r="M226" i="2"/>
  <c r="L215" i="2"/>
  <c r="M206" i="2"/>
  <c r="L195" i="2"/>
  <c r="M186" i="2"/>
  <c r="L175" i="2"/>
  <c r="L226" i="2"/>
  <c r="M217" i="2"/>
  <c r="L206" i="2"/>
  <c r="M197" i="2"/>
  <c r="L186" i="2"/>
  <c r="M177" i="2"/>
  <c r="M392" i="2"/>
  <c r="L386" i="2"/>
  <c r="M374" i="2"/>
  <c r="M239" i="2"/>
  <c r="L228" i="2"/>
  <c r="M219" i="2"/>
  <c r="L208" i="2"/>
  <c r="M199" i="2"/>
  <c r="L188" i="2"/>
  <c r="L258" i="2"/>
  <c r="M253" i="2"/>
  <c r="L246" i="2"/>
  <c r="L239" i="2"/>
  <c r="M230" i="2"/>
  <c r="L219" i="2"/>
  <c r="M210" i="2"/>
  <c r="L199" i="2"/>
  <c r="M190" i="2"/>
  <c r="M447" i="2"/>
  <c r="M421" i="2"/>
  <c r="M418" i="2"/>
  <c r="L415" i="2"/>
  <c r="M412" i="2"/>
  <c r="L241" i="2"/>
  <c r="M232" i="2"/>
  <c r="L221" i="2"/>
  <c r="M212" i="2"/>
  <c r="L201" i="2"/>
  <c r="M192" i="2"/>
  <c r="L181" i="2"/>
  <c r="M388" i="2"/>
  <c r="L382" i="2"/>
  <c r="M376" i="2"/>
  <c r="L333" i="2"/>
  <c r="L325" i="2"/>
  <c r="M394" i="2"/>
  <c r="L388" i="2"/>
  <c r="L376" i="2"/>
  <c r="M357" i="2"/>
  <c r="M346" i="2"/>
  <c r="M338" i="2"/>
  <c r="L312" i="2"/>
  <c r="L307" i="2"/>
  <c r="M297" i="2"/>
  <c r="L277" i="2"/>
  <c r="L262" i="2"/>
  <c r="L250" i="2"/>
  <c r="M417" i="2"/>
  <c r="M406" i="2"/>
  <c r="L400" i="2"/>
  <c r="M453" i="2"/>
  <c r="M446" i="2"/>
  <c r="M439" i="2"/>
  <c r="M423" i="2"/>
  <c r="M420" i="2"/>
  <c r="M414" i="2"/>
  <c r="L406" i="2"/>
  <c r="L335" i="2"/>
  <c r="L327" i="2"/>
  <c r="M314" i="2"/>
  <c r="M304" i="2"/>
  <c r="I369" i="2"/>
  <c r="H366" i="2"/>
  <c r="I362" i="2"/>
  <c r="F356" i="2"/>
  <c r="I353" i="2"/>
  <c r="F345" i="2"/>
  <c r="F340" i="2"/>
  <c r="E332" i="2"/>
  <c r="G324" i="2"/>
  <c r="E319" i="2"/>
  <c r="I316" i="2"/>
  <c r="I311" i="2"/>
  <c r="F309" i="2"/>
  <c r="I301" i="2"/>
  <c r="H296" i="2"/>
  <c r="H291" i="2"/>
  <c r="E289" i="2"/>
  <c r="I286" i="2"/>
  <c r="H281" i="2"/>
  <c r="G276" i="2"/>
  <c r="G271" i="2"/>
  <c r="I266" i="2"/>
  <c r="F259" i="2"/>
  <c r="G254" i="2"/>
  <c r="F247" i="2"/>
  <c r="I321" i="2"/>
  <c r="H316" i="2"/>
  <c r="H311" i="2"/>
  <c r="E309" i="2"/>
  <c r="I306" i="2"/>
  <c r="H301" i="2"/>
  <c r="G296" i="2"/>
  <c r="G291" i="2"/>
  <c r="F286" i="2"/>
  <c r="G281" i="2"/>
  <c r="F276" i="2"/>
  <c r="F271" i="2"/>
  <c r="G266" i="2"/>
  <c r="I261" i="2"/>
  <c r="E259" i="2"/>
  <c r="F254" i="2"/>
  <c r="I249" i="2"/>
  <c r="E247" i="2"/>
  <c r="G242" i="2"/>
  <c r="E240" i="2"/>
  <c r="H233" i="2"/>
  <c r="F231" i="2"/>
  <c r="I224" i="2"/>
  <c r="G222" i="2"/>
  <c r="E220" i="2"/>
  <c r="H213" i="2"/>
  <c r="F211" i="2"/>
  <c r="I204" i="2"/>
  <c r="G202" i="2"/>
  <c r="E200" i="2"/>
  <c r="H193" i="2"/>
  <c r="F191" i="2"/>
  <c r="I184" i="2"/>
  <c r="G182" i="2"/>
  <c r="E180" i="2"/>
  <c r="H342" i="2"/>
  <c r="E337" i="2"/>
  <c r="I334" i="2"/>
  <c r="H329" i="2"/>
  <c r="H321" i="2"/>
  <c r="G316" i="2"/>
  <c r="G311" i="2"/>
  <c r="F306" i="2"/>
  <c r="G301" i="2"/>
  <c r="F296" i="2"/>
  <c r="F291" i="2"/>
  <c r="E286" i="2"/>
  <c r="I283" i="2"/>
  <c r="F281" i="2"/>
  <c r="E276" i="2"/>
  <c r="I273" i="2"/>
  <c r="E271" i="2"/>
  <c r="F266" i="2"/>
  <c r="H261" i="2"/>
  <c r="I256" i="2"/>
  <c r="E254" i="2"/>
  <c r="H249" i="2"/>
  <c r="I244" i="2"/>
  <c r="F242" i="2"/>
  <c r="I235" i="2"/>
  <c r="G233" i="2"/>
  <c r="E231" i="2"/>
  <c r="H224" i="2"/>
  <c r="F222" i="2"/>
  <c r="I215" i="2"/>
  <c r="G213" i="2"/>
  <c r="E211" i="2"/>
  <c r="H204" i="2"/>
  <c r="F202" i="2"/>
  <c r="I195" i="2"/>
  <c r="G193" i="2"/>
  <c r="E191" i="2"/>
  <c r="H184" i="2"/>
  <c r="F182" i="2"/>
  <c r="I175" i="2"/>
  <c r="G173" i="2"/>
  <c r="G448" i="2"/>
  <c r="I428" i="2"/>
  <c r="G425" i="2"/>
  <c r="F422" i="2"/>
  <c r="E413" i="2"/>
  <c r="I410" i="2"/>
  <c r="F405" i="2"/>
  <c r="E402" i="2"/>
  <c r="H380" i="2"/>
  <c r="I361" i="2"/>
  <c r="I358" i="2"/>
  <c r="F353" i="2"/>
  <c r="F350" i="2"/>
  <c r="I347" i="2"/>
  <c r="G342" i="2"/>
  <c r="G334" i="2"/>
  <c r="E350" i="2"/>
  <c r="H347" i="2"/>
  <c r="F342" i="2"/>
  <c r="I339" i="2"/>
  <c r="F334" i="2"/>
  <c r="F329" i="2"/>
  <c r="I326" i="2"/>
  <c r="F321" i="2"/>
  <c r="E316" i="2"/>
  <c r="I313" i="2"/>
  <c r="E311" i="2"/>
  <c r="H303" i="2"/>
  <c r="I298" i="2"/>
  <c r="H293" i="2"/>
  <c r="H288" i="2"/>
  <c r="F283" i="2"/>
  <c r="H278" i="2"/>
  <c r="G273" i="2"/>
  <c r="H268" i="2"/>
  <c r="I263" i="2"/>
  <c r="F261" i="2"/>
  <c r="G256" i="2"/>
  <c r="H251" i="2"/>
  <c r="F249" i="2"/>
  <c r="G244" i="2"/>
  <c r="I237" i="2"/>
  <c r="G235" i="2"/>
  <c r="E233" i="2"/>
  <c r="H226" i="2"/>
  <c r="F224" i="2"/>
  <c r="I217" i="2"/>
  <c r="G215" i="2"/>
  <c r="E213" i="2"/>
  <c r="H206" i="2"/>
  <c r="F204" i="2"/>
  <c r="I197" i="2"/>
  <c r="G195" i="2"/>
  <c r="E193" i="2"/>
  <c r="H186" i="2"/>
  <c r="F361" i="2"/>
  <c r="G358" i="2"/>
  <c r="G347" i="2"/>
  <c r="E342" i="2"/>
  <c r="G339" i="2"/>
  <c r="E334" i="2"/>
  <c r="I331" i="2"/>
  <c r="E329" i="2"/>
  <c r="F326" i="2"/>
  <c r="I323" i="2"/>
  <c r="I318" i="2"/>
  <c r="H313" i="2"/>
  <c r="H308" i="2"/>
  <c r="F303" i="2"/>
  <c r="H298" i="2"/>
  <c r="G293" i="2"/>
  <c r="G288" i="2"/>
  <c r="E283" i="2"/>
  <c r="G278" i="2"/>
  <c r="F273" i="2"/>
  <c r="G268" i="2"/>
  <c r="H263" i="2"/>
  <c r="F256" i="2"/>
  <c r="G251" i="2"/>
  <c r="E249" i="2"/>
  <c r="E244" i="2"/>
  <c r="H237" i="2"/>
  <c r="F235" i="2"/>
  <c r="I228" i="2"/>
  <c r="G226" i="2"/>
  <c r="E224" i="2"/>
  <c r="H217" i="2"/>
  <c r="F215" i="2"/>
  <c r="I208" i="2"/>
  <c r="G206" i="2"/>
  <c r="E204" i="2"/>
  <c r="H197" i="2"/>
  <c r="F195" i="2"/>
  <c r="I188" i="2"/>
  <c r="G186" i="2"/>
  <c r="E184" i="2"/>
  <c r="E455" i="2"/>
  <c r="G451" i="2"/>
  <c r="H437" i="2"/>
  <c r="F431" i="2"/>
  <c r="F410" i="2"/>
  <c r="H398" i="2"/>
  <c r="I395" i="2"/>
  <c r="G392" i="2"/>
  <c r="F374" i="2"/>
  <c r="G371" i="2"/>
  <c r="H368" i="2"/>
  <c r="I365" i="2"/>
  <c r="E358" i="2"/>
  <c r="H355" i="2"/>
  <c r="H352" i="2"/>
  <c r="E347" i="2"/>
  <c r="H344" i="2"/>
  <c r="E339" i="2"/>
  <c r="H336" i="2"/>
  <c r="G331" i="2"/>
  <c r="F323" i="2"/>
  <c r="G318" i="2"/>
  <c r="F313" i="2"/>
  <c r="F308" i="2"/>
  <c r="F298" i="2"/>
  <c r="I290" i="2"/>
  <c r="E288" i="2"/>
  <c r="H285" i="2"/>
  <c r="I280" i="2"/>
  <c r="E278" i="2"/>
  <c r="I275" i="2"/>
  <c r="H270" i="2"/>
  <c r="E268" i="2"/>
  <c r="E263" i="2"/>
  <c r="H258" i="2"/>
  <c r="I253" i="2"/>
  <c r="E251" i="2"/>
  <c r="G246" i="2"/>
  <c r="H239" i="2"/>
  <c r="F237" i="2"/>
  <c r="I230" i="2"/>
  <c r="G228" i="2"/>
  <c r="E226" i="2"/>
  <c r="H219" i="2"/>
  <c r="F217" i="2"/>
  <c r="I210" i="2"/>
  <c r="G208" i="2"/>
  <c r="E206" i="2"/>
  <c r="H199" i="2"/>
  <c r="F197" i="2"/>
  <c r="I190" i="2"/>
  <c r="G188" i="2"/>
  <c r="E186" i="2"/>
  <c r="H179" i="2"/>
  <c r="F177" i="2"/>
  <c r="E447" i="2"/>
  <c r="F440" i="2"/>
  <c r="H427" i="2"/>
  <c r="I424" i="2"/>
  <c r="G421" i="2"/>
  <c r="F418" i="2"/>
  <c r="F415" i="2"/>
  <c r="H412" i="2"/>
  <c r="E407" i="2"/>
  <c r="G404" i="2"/>
  <c r="E398" i="2"/>
  <c r="F368" i="2"/>
  <c r="I360" i="2"/>
  <c r="E352" i="2"/>
  <c r="I349" i="2"/>
  <c r="I341" i="2"/>
  <c r="F336" i="2"/>
  <c r="E331" i="2"/>
  <c r="H328" i="2"/>
  <c r="I320" i="2"/>
  <c r="E318" i="2"/>
  <c r="I315" i="2"/>
  <c r="G454" i="2"/>
  <c r="E440" i="2"/>
  <c r="H433" i="2"/>
  <c r="G427" i="2"/>
  <c r="F424" i="2"/>
  <c r="G412" i="2"/>
  <c r="F404" i="2"/>
  <c r="H382" i="2"/>
  <c r="I379" i="2"/>
  <c r="E368" i="2"/>
  <c r="I364" i="2"/>
  <c r="H360" i="2"/>
  <c r="H349" i="2"/>
  <c r="H341" i="2"/>
  <c r="E336" i="2"/>
  <c r="I333" i="2"/>
  <c r="F328" i="2"/>
  <c r="H325" i="2"/>
  <c r="G433" i="2"/>
  <c r="F412" i="2"/>
  <c r="H409" i="2"/>
  <c r="E404" i="2"/>
  <c r="H388" i="2"/>
  <c r="I385" i="2"/>
  <c r="G382" i="2"/>
  <c r="G379" i="2"/>
  <c r="H376" i="2"/>
  <c r="H364" i="2"/>
  <c r="G360" i="2"/>
  <c r="G349" i="2"/>
  <c r="G341" i="2"/>
  <c r="H333" i="2"/>
  <c r="E328" i="2"/>
  <c r="G325" i="2"/>
  <c r="G320" i="2"/>
  <c r="E315" i="2"/>
  <c r="F310" i="2"/>
  <c r="E305" i="2"/>
  <c r="I302" i="2"/>
  <c r="F300" i="2"/>
  <c r="I292" i="2"/>
  <c r="E290" i="2"/>
  <c r="I287" i="2"/>
  <c r="H282" i="2"/>
  <c r="E280" i="2"/>
  <c r="H272" i="2"/>
  <c r="I267" i="2"/>
  <c r="E265" i="2"/>
  <c r="G260" i="2"/>
  <c r="I255" i="2"/>
  <c r="G248" i="2"/>
  <c r="G450" i="2"/>
  <c r="I443" i="2"/>
  <c r="F436" i="2"/>
  <c r="F433" i="2"/>
  <c r="H430" i="2"/>
  <c r="F409" i="2"/>
  <c r="H394" i="2"/>
  <c r="I391" i="2"/>
  <c r="G388" i="2"/>
  <c r="G385" i="2"/>
  <c r="H443" i="2"/>
  <c r="E433" i="2"/>
  <c r="E430" i="2"/>
  <c r="I417" i="2"/>
  <c r="E409" i="2"/>
  <c r="H400" i="2"/>
  <c r="I397" i="2"/>
  <c r="G394" i="2"/>
  <c r="G391" i="2"/>
  <c r="F388" i="2"/>
  <c r="F446" i="2"/>
  <c r="G443" i="2"/>
  <c r="G439" i="2"/>
  <c r="I423" i="2"/>
  <c r="H417" i="2"/>
  <c r="I406" i="2"/>
  <c r="I403" i="2"/>
  <c r="G400" i="2"/>
  <c r="G397" i="2"/>
  <c r="F394" i="2"/>
  <c r="E388" i="2"/>
  <c r="E376" i="2"/>
  <c r="E373" i="2"/>
  <c r="G370" i="2"/>
  <c r="H367" i="2"/>
  <c r="F354" i="2"/>
  <c r="I351" i="2"/>
  <c r="H343" i="2"/>
  <c r="G338" i="2"/>
  <c r="G330" i="2"/>
  <c r="H322" i="2"/>
  <c r="G317" i="2"/>
  <c r="G312" i="2"/>
  <c r="G307" i="2"/>
  <c r="F302" i="2"/>
  <c r="F449" i="2"/>
  <c r="F435" i="2"/>
  <c r="H432" i="2"/>
  <c r="F429" i="2"/>
  <c r="E411" i="2"/>
  <c r="I408" i="2"/>
  <c r="H390" i="2"/>
  <c r="I387" i="2"/>
  <c r="G384" i="2"/>
  <c r="G381" i="2"/>
  <c r="G378" i="2"/>
  <c r="I375" i="2"/>
  <c r="E363" i="2"/>
  <c r="E359" i="2"/>
  <c r="H356" i="2"/>
  <c r="E351" i="2"/>
  <c r="F348" i="2"/>
  <c r="L229" i="2"/>
  <c r="M240" i="2"/>
  <c r="L263" i="2"/>
  <c r="L290" i="2"/>
  <c r="L311" i="2"/>
  <c r="M348" i="2"/>
  <c r="L370" i="2"/>
  <c r="E380" i="2"/>
  <c r="E435" i="2"/>
  <c r="G453" i="2"/>
  <c r="L253" i="2"/>
  <c r="M300" i="2"/>
  <c r="M311" i="2"/>
  <c r="L353" i="2"/>
  <c r="E392" i="2"/>
  <c r="G435" i="2"/>
  <c r="L280" i="2"/>
  <c r="L287" i="2"/>
  <c r="L297" i="2"/>
  <c r="L315" i="2"/>
  <c r="M335" i="2"/>
  <c r="L365" i="2"/>
  <c r="F386" i="2"/>
  <c r="L416" i="2"/>
  <c r="E429" i="2"/>
  <c r="H435" i="2"/>
  <c r="I442" i="2"/>
  <c r="M221" i="2"/>
  <c r="L224" i="2"/>
  <c r="L232" i="2"/>
  <c r="M235" i="2"/>
  <c r="L243" i="2"/>
  <c r="M250" i="2"/>
  <c r="L304" i="2"/>
  <c r="M331" i="2"/>
  <c r="E371" i="2"/>
  <c r="F376" i="2"/>
  <c r="I381" i="2"/>
  <c r="F406" i="2"/>
  <c r="F411" i="2"/>
  <c r="G423" i="2"/>
  <c r="I429" i="2"/>
  <c r="M435" i="2"/>
  <c r="M442" i="2"/>
  <c r="M243" i="2"/>
  <c r="L247" i="2"/>
  <c r="L257" i="2"/>
  <c r="L260" i="2"/>
  <c r="L284" i="2"/>
  <c r="L294" i="2"/>
  <c r="M323" i="2"/>
  <c r="L340" i="2"/>
  <c r="I371" i="2"/>
  <c r="G376" i="2"/>
  <c r="I393" i="2"/>
  <c r="E400" i="2"/>
  <c r="G406" i="2"/>
  <c r="H411" i="2"/>
  <c r="H423" i="2"/>
  <c r="E449" i="2"/>
  <c r="L227" i="2"/>
  <c r="L238" i="2"/>
  <c r="L254" i="2"/>
  <c r="M257" i="2"/>
  <c r="M277" i="2"/>
  <c r="M284" i="2"/>
  <c r="L291" i="2"/>
  <c r="M294" i="2"/>
  <c r="L301" i="2"/>
  <c r="F316" i="2"/>
  <c r="I327" i="2"/>
  <c r="G336" i="2"/>
  <c r="M340" i="2"/>
  <c r="G345" i="2"/>
  <c r="L349" i="2"/>
  <c r="G354" i="2"/>
  <c r="G359" i="2"/>
  <c r="G387" i="2"/>
  <c r="F400" i="2"/>
  <c r="H406" i="2"/>
  <c r="M411" i="2"/>
  <c r="G417" i="2"/>
  <c r="G449" i="2"/>
  <c r="M191" i="2"/>
  <c r="M202" i="2"/>
  <c r="L216" i="2"/>
  <c r="M227" i="2"/>
  <c r="M238" i="2"/>
  <c r="M254" i="2"/>
  <c r="L267" i="2"/>
  <c r="L281" i="2"/>
  <c r="M288" i="2"/>
  <c r="M291" i="2"/>
  <c r="M301" i="2"/>
  <c r="F305" i="2"/>
  <c r="G309" i="2"/>
  <c r="I312" i="2"/>
  <c r="M316" i="2"/>
  <c r="E320" i="2"/>
  <c r="G332" i="2"/>
  <c r="I336" i="2"/>
  <c r="H345" i="2"/>
  <c r="I354" i="2"/>
  <c r="I359" i="2"/>
  <c r="L449" i="2"/>
  <c r="L264" i="2"/>
  <c r="M281" i="2"/>
  <c r="L298" i="2"/>
  <c r="M312" i="2"/>
  <c r="L345" i="2"/>
  <c r="F367" i="2"/>
  <c r="H372" i="2"/>
  <c r="E377" i="2"/>
  <c r="E382" i="2"/>
  <c r="L424" i="2"/>
  <c r="M449" i="2"/>
  <c r="M353" i="2"/>
  <c r="L366" i="2"/>
  <c r="L372" i="2"/>
  <c r="L396" i="2"/>
  <c r="M402" i="2"/>
  <c r="M416" i="2"/>
  <c r="M438" i="2"/>
  <c r="L442" i="2"/>
  <c r="M445" i="2"/>
  <c r="L414" i="2"/>
  <c r="L420" i="2"/>
  <c r="M426" i="2"/>
  <c r="L456" i="2"/>
  <c r="L454" i="2"/>
  <c r="L452" i="2"/>
  <c r="L450" i="2"/>
  <c r="L448" i="2"/>
  <c r="M434" i="2"/>
  <c r="M432" i="2"/>
  <c r="M430" i="2"/>
  <c r="L401" i="2"/>
  <c r="L399" i="2"/>
  <c r="L397" i="2"/>
  <c r="L395" i="2"/>
  <c r="L393" i="2"/>
  <c r="L391" i="2"/>
  <c r="L389" i="2"/>
  <c r="L387" i="2"/>
  <c r="L385" i="2"/>
  <c r="L383" i="2"/>
  <c r="L381" i="2"/>
  <c r="L379" i="2"/>
  <c r="L377" i="2"/>
  <c r="L375" i="2"/>
  <c r="L373" i="2"/>
  <c r="L371" i="2"/>
  <c r="L369" i="2"/>
  <c r="L359" i="2"/>
  <c r="M350" i="2"/>
  <c r="L339" i="2"/>
  <c r="M330" i="2"/>
  <c r="L319" i="2"/>
  <c r="M310" i="2"/>
  <c r="L299" i="2"/>
  <c r="M290" i="2"/>
  <c r="L279" i="2"/>
  <c r="M270" i="2"/>
  <c r="M436" i="2"/>
  <c r="M352" i="2"/>
  <c r="L341" i="2"/>
  <c r="M332" i="2"/>
  <c r="L321" i="2"/>
  <c r="L411" i="2"/>
  <c r="L409" i="2"/>
  <c r="L405" i="2"/>
  <c r="M354" i="2"/>
  <c r="M415" i="2"/>
  <c r="L443" i="2"/>
  <c r="L427" i="2"/>
  <c r="L425" i="2"/>
  <c r="L423" i="2"/>
  <c r="L421" i="2"/>
  <c r="L419" i="2"/>
  <c r="L417" i="2"/>
  <c r="M366" i="2"/>
  <c r="L356" i="2"/>
  <c r="M347" i="2"/>
  <c r="L336" i="2"/>
  <c r="M327" i="2"/>
  <c r="L316" i="2"/>
  <c r="M307" i="2"/>
  <c r="L296" i="2"/>
  <c r="M287" i="2"/>
  <c r="L276" i="2"/>
  <c r="M267" i="2"/>
  <c r="L256" i="2"/>
  <c r="M247" i="2"/>
  <c r="L435" i="2"/>
  <c r="L433" i="2"/>
  <c r="L431" i="2"/>
  <c r="L360" i="2"/>
  <c r="M456" i="2"/>
  <c r="M454" i="2"/>
  <c r="M452" i="2"/>
  <c r="M450" i="2"/>
  <c r="M448" i="2"/>
  <c r="L446" i="2"/>
  <c r="M401" i="2"/>
  <c r="M399" i="2"/>
  <c r="M397" i="2"/>
  <c r="M395" i="2"/>
  <c r="M393" i="2"/>
  <c r="M391" i="2"/>
  <c r="M389" i="2"/>
  <c r="M387" i="2"/>
  <c r="M385" i="2"/>
  <c r="M383" i="2"/>
  <c r="M381" i="2"/>
  <c r="M379" i="2"/>
  <c r="M377" i="2"/>
  <c r="M375" i="2"/>
  <c r="M373" i="2"/>
  <c r="M371" i="2"/>
  <c r="M369" i="2"/>
  <c r="L367" i="2"/>
  <c r="M359" i="2"/>
  <c r="L348" i="2"/>
  <c r="M339" i="2"/>
  <c r="L328" i="2"/>
  <c r="M319" i="2"/>
  <c r="L308" i="2"/>
  <c r="M299" i="2"/>
  <c r="L288" i="2"/>
  <c r="M279" i="2"/>
  <c r="L268" i="2"/>
  <c r="M259" i="2"/>
  <c r="L248" i="2"/>
  <c r="F295" i="2"/>
  <c r="I288" i="2"/>
  <c r="G286" i="2"/>
  <c r="E284" i="2"/>
  <c r="H277" i="2"/>
  <c r="F275" i="2"/>
  <c r="I456" i="2"/>
  <c r="I454" i="2"/>
  <c r="I452" i="2"/>
  <c r="I450" i="2"/>
  <c r="I448" i="2"/>
  <c r="H446" i="2"/>
  <c r="E365" i="2"/>
  <c r="H359" i="2"/>
  <c r="F357" i="2"/>
  <c r="I350" i="2"/>
  <c r="G348" i="2"/>
  <c r="E346" i="2"/>
  <c r="H339" i="2"/>
  <c r="F337" i="2"/>
  <c r="I330" i="2"/>
  <c r="G328" i="2"/>
  <c r="E326" i="2"/>
  <c r="F389" i="2"/>
  <c r="F387" i="2"/>
  <c r="F385" i="2"/>
  <c r="F383" i="2"/>
  <c r="F381" i="2"/>
  <c r="F379" i="2"/>
  <c r="F377" i="2"/>
  <c r="F375" i="2"/>
  <c r="F373" i="2"/>
  <c r="F371" i="2"/>
  <c r="F369" i="2"/>
  <c r="E367" i="2"/>
  <c r="H361" i="2"/>
  <c r="F359" i="2"/>
  <c r="I352" i="2"/>
  <c r="G350" i="2"/>
  <c r="I413" i="2"/>
  <c r="I411" i="2"/>
  <c r="I409" i="2"/>
  <c r="I407" i="2"/>
  <c r="I405" i="2"/>
  <c r="E403" i="2"/>
  <c r="E401" i="2"/>
  <c r="E399" i="2"/>
  <c r="E397" i="2"/>
  <c r="E395" i="2"/>
  <c r="E393" i="2"/>
  <c r="E391" i="2"/>
  <c r="E389" i="2"/>
  <c r="E387" i="2"/>
  <c r="E385" i="2"/>
  <c r="E383" i="2"/>
  <c r="E381" i="2"/>
  <c r="I265" i="2"/>
  <c r="G263" i="2"/>
  <c r="E261" i="2"/>
  <c r="H254" i="2"/>
  <c r="F252" i="2"/>
  <c r="I245" i="2"/>
  <c r="I394" i="2"/>
  <c r="I392" i="2"/>
  <c r="I390" i="2"/>
  <c r="I388" i="2"/>
  <c r="I386" i="2"/>
  <c r="I384" i="2"/>
  <c r="I382" i="2"/>
  <c r="I380" i="2"/>
  <c r="I378" i="2"/>
  <c r="I376" i="2"/>
  <c r="I374" i="2"/>
  <c r="I372" i="2"/>
  <c r="I370" i="2"/>
  <c r="I368" i="2"/>
  <c r="G366" i="2"/>
  <c r="I363" i="2"/>
  <c r="G447" i="2"/>
  <c r="G445" i="2"/>
  <c r="E443" i="2"/>
  <c r="H440" i="2"/>
  <c r="I435" i="2"/>
  <c r="I433" i="2"/>
  <c r="I431" i="2"/>
  <c r="G429" i="2"/>
  <c r="E427" i="2"/>
  <c r="E425" i="2"/>
  <c r="E423" i="2"/>
  <c r="E421" i="2"/>
  <c r="E419" i="2"/>
  <c r="E417" i="2"/>
  <c r="H266" i="2"/>
  <c r="F264" i="2"/>
  <c r="I257" i="2"/>
  <c r="G255" i="2"/>
  <c r="E253" i="2"/>
  <c r="H246" i="2"/>
  <c r="F244" i="2"/>
  <c r="M322" i="2"/>
  <c r="L338" i="2"/>
  <c r="M343" i="2"/>
  <c r="L346" i="2"/>
  <c r="L354" i="2"/>
  <c r="L357" i="2"/>
  <c r="M370" i="2"/>
  <c r="L394" i="2"/>
  <c r="M400" i="2"/>
  <c r="L430" i="2"/>
  <c r="I436" i="2"/>
  <c r="M443" i="2"/>
  <c r="M409" i="2"/>
  <c r="M433" i="2"/>
  <c r="M260" i="2"/>
  <c r="L265" i="2"/>
  <c r="L295" i="2"/>
  <c r="L300" i="2"/>
  <c r="L305" i="2"/>
  <c r="L310" i="2"/>
  <c r="M315" i="2"/>
  <c r="M320" i="2"/>
  <c r="M349" i="2"/>
  <c r="E386" i="2"/>
  <c r="F392" i="2"/>
  <c r="G395" i="2"/>
  <c r="G398" i="2"/>
  <c r="I401" i="2"/>
  <c r="I404" i="2"/>
  <c r="H407" i="2"/>
  <c r="L412" i="2"/>
  <c r="H415" i="2"/>
  <c r="L418" i="2"/>
  <c r="I421" i="2"/>
  <c r="M424" i="2"/>
  <c r="M427" i="2"/>
  <c r="E431" i="2"/>
  <c r="G437" i="2"/>
  <c r="G444" i="2"/>
  <c r="I447" i="2"/>
  <c r="F451" i="2"/>
  <c r="L270" i="2"/>
  <c r="M275" i="2"/>
  <c r="M280" i="2"/>
  <c r="M285" i="2"/>
  <c r="M336" i="2"/>
  <c r="L344" i="2"/>
  <c r="L355" i="2"/>
  <c r="M365" i="2"/>
  <c r="M368" i="2"/>
  <c r="H374" i="2"/>
  <c r="G377" i="2"/>
  <c r="F380" i="2"/>
  <c r="G383" i="2"/>
  <c r="G386" i="2"/>
  <c r="I389" i="2"/>
  <c r="H392" i="2"/>
  <c r="L398" i="2"/>
  <c r="G410" i="2"/>
  <c r="G431" i="2"/>
  <c r="E434" i="2"/>
  <c r="I437" i="2"/>
  <c r="E441" i="2"/>
  <c r="L451" i="2"/>
  <c r="F455" i="2"/>
  <c r="M246" i="2"/>
  <c r="M258" i="2"/>
  <c r="M308" i="2"/>
  <c r="L318" i="2"/>
  <c r="L323" i="2"/>
  <c r="L331" i="2"/>
  <c r="M344" i="2"/>
  <c r="M355" i="2"/>
  <c r="H358" i="2"/>
  <c r="G361" i="2"/>
  <c r="L374" i="2"/>
  <c r="I377" i="2"/>
  <c r="G380" i="2"/>
  <c r="I383" i="2"/>
  <c r="H386" i="2"/>
  <c r="L392" i="2"/>
  <c r="M398" i="2"/>
  <c r="E405" i="2"/>
  <c r="H410" i="2"/>
  <c r="F428" i="2"/>
  <c r="H431" i="2"/>
  <c r="H434" i="2"/>
  <c r="M437" i="2"/>
  <c r="G441" i="2"/>
  <c r="M451" i="2"/>
  <c r="G455" i="2"/>
  <c r="M431" i="2"/>
  <c r="L434" i="2"/>
  <c r="L455" i="2"/>
  <c r="M237" i="2"/>
  <c r="L251" i="2"/>
  <c r="M263" i="2"/>
  <c r="M268" i="2"/>
  <c r="L278" i="2"/>
  <c r="L293" i="2"/>
  <c r="M298" i="2"/>
  <c r="L303" i="2"/>
  <c r="M313" i="2"/>
  <c r="M326" i="2"/>
  <c r="L347" i="2"/>
  <c r="H350" i="2"/>
  <c r="G353" i="2"/>
  <c r="L358" i="2"/>
  <c r="E362" i="2"/>
  <c r="E366" i="2"/>
  <c r="E369" i="2"/>
  <c r="E372" i="2"/>
  <c r="L380" i="2"/>
  <c r="M386" i="2"/>
  <c r="E396" i="2"/>
  <c r="F402" i="2"/>
  <c r="H405" i="2"/>
  <c r="L410" i="2"/>
  <c r="F413" i="2"/>
  <c r="E416" i="2"/>
  <c r="G419" i="2"/>
  <c r="I422" i="2"/>
  <c r="H425" i="2"/>
  <c r="E445" i="2"/>
  <c r="M455" i="2"/>
  <c r="L235" i="2"/>
  <c r="L244" i="2"/>
  <c r="M251" i="2"/>
  <c r="M256" i="2"/>
  <c r="L273" i="2"/>
  <c r="M278" i="2"/>
  <c r="L283" i="2"/>
  <c r="M293" i="2"/>
  <c r="M303" i="2"/>
  <c r="I329" i="2"/>
  <c r="L334" i="2"/>
  <c r="G337" i="2"/>
  <c r="E340" i="2"/>
  <c r="I342" i="2"/>
  <c r="E345" i="2"/>
  <c r="L350" i="2"/>
  <c r="H353" i="2"/>
  <c r="E356" i="2"/>
  <c r="M358" i="2"/>
  <c r="H362" i="2"/>
  <c r="F366" i="2"/>
  <c r="G369" i="2"/>
  <c r="F372" i="2"/>
  <c r="M380" i="2"/>
  <c r="E390" i="2"/>
  <c r="F396" i="2"/>
  <c r="G399" i="2"/>
  <c r="G402" i="2"/>
  <c r="M405" i="2"/>
  <c r="F408" i="2"/>
  <c r="M410" i="2"/>
  <c r="H413" i="2"/>
  <c r="H416" i="2"/>
  <c r="H419" i="2"/>
  <c r="L422" i="2"/>
  <c r="I425" i="2"/>
  <c r="F438" i="2"/>
  <c r="E442" i="2"/>
  <c r="F445" i="2"/>
  <c r="G452" i="2"/>
  <c r="L306" i="2"/>
  <c r="M321" i="2"/>
  <c r="L329" i="2"/>
  <c r="M334" i="2"/>
  <c r="L337" i="2"/>
  <c r="L342" i="2"/>
  <c r="G372" i="2"/>
  <c r="E375" i="2"/>
  <c r="E378" i="2"/>
  <c r="E384" i="2"/>
  <c r="F390" i="2"/>
  <c r="G393" i="2"/>
  <c r="G396" i="2"/>
  <c r="I399" i="2"/>
  <c r="H402" i="2"/>
  <c r="G408" i="2"/>
  <c r="I416" i="2"/>
  <c r="I419" i="2"/>
  <c r="M422" i="2"/>
  <c r="M425" i="2"/>
  <c r="G438" i="2"/>
  <c r="H442" i="2"/>
  <c r="I445" i="2"/>
  <c r="E273" i="2"/>
  <c r="G275" i="2"/>
  <c r="I277" i="2"/>
  <c r="F284" i="2"/>
  <c r="H286" i="2"/>
  <c r="E293" i="2"/>
  <c r="G295" i="2"/>
  <c r="I297" i="2"/>
  <c r="F304" i="2"/>
  <c r="H306" i="2"/>
  <c r="E313" i="2"/>
  <c r="G315" i="2"/>
  <c r="I317" i="2"/>
  <c r="F324" i="2"/>
  <c r="H326" i="2"/>
  <c r="E333" i="2"/>
  <c r="G335" i="2"/>
  <c r="I337" i="2"/>
  <c r="F344" i="2"/>
  <c r="H346" i="2"/>
  <c r="E353" i="2"/>
  <c r="G355" i="2"/>
  <c r="I357" i="2"/>
  <c r="G362" i="2"/>
  <c r="H365" i="2"/>
  <c r="E406" i="2"/>
  <c r="E408" i="2"/>
  <c r="E410" i="2"/>
  <c r="E412" i="2"/>
  <c r="G414" i="2"/>
  <c r="G416" i="2"/>
  <c r="H418" i="2"/>
  <c r="H420" i="2"/>
  <c r="H422" i="2"/>
  <c r="H424" i="2"/>
  <c r="H426" i="2"/>
  <c r="H428" i="2"/>
  <c r="E437" i="2"/>
  <c r="I439" i="2"/>
  <c r="G442" i="2"/>
  <c r="I444" i="2"/>
  <c r="H449" i="2"/>
  <c r="H451" i="2"/>
  <c r="H453" i="2"/>
  <c r="H455" i="2"/>
  <c r="I396" i="2"/>
  <c r="I398" i="2"/>
  <c r="I400" i="2"/>
  <c r="I402" i="2"/>
  <c r="E415" i="2"/>
  <c r="F417" i="2"/>
  <c r="F419" i="2"/>
  <c r="F421" i="2"/>
  <c r="F423" i="2"/>
  <c r="F425" i="2"/>
  <c r="F427" i="2"/>
  <c r="H429" i="2"/>
  <c r="E438" i="2"/>
  <c r="I440" i="2"/>
  <c r="F443" i="2"/>
  <c r="H445" i="2"/>
  <c r="H447" i="2"/>
  <c r="I449" i="2"/>
  <c r="I451" i="2"/>
  <c r="I453" i="2"/>
  <c r="I455" i="2"/>
  <c r="F272" i="2"/>
  <c r="H274" i="2"/>
  <c r="E281" i="2"/>
  <c r="G283" i="2"/>
  <c r="I285" i="2"/>
  <c r="F292" i="2"/>
  <c r="H294" i="2"/>
  <c r="E301" i="2"/>
  <c r="G303" i="2"/>
  <c r="I305" i="2"/>
  <c r="F312" i="2"/>
  <c r="H314" i="2"/>
  <c r="E321" i="2"/>
  <c r="G323" i="2"/>
  <c r="I325" i="2"/>
  <c r="F332" i="2"/>
  <c r="H334" i="2"/>
  <c r="E341" i="2"/>
  <c r="G343" i="2"/>
  <c r="I345" i="2"/>
  <c r="F352" i="2"/>
  <c r="H354" i="2"/>
  <c r="E361" i="2"/>
  <c r="G364" i="2"/>
  <c r="G405" i="2"/>
  <c r="G407" i="2"/>
  <c r="G409" i="2"/>
  <c r="G411" i="2"/>
  <c r="G413" i="2"/>
  <c r="I415" i="2"/>
  <c r="E436" i="2"/>
  <c r="I438" i="2"/>
  <c r="F441" i="2"/>
  <c r="F430" i="2"/>
  <c r="F432" i="2"/>
  <c r="F434" i="2"/>
  <c r="G436" i="2"/>
  <c r="H441" i="2"/>
  <c r="E448" i="2"/>
  <c r="E450" i="2"/>
  <c r="E452" i="2"/>
  <c r="E454" i="2"/>
  <c r="E456" i="2"/>
  <c r="F391" i="2"/>
  <c r="F393" i="2"/>
  <c r="F395" i="2"/>
  <c r="F397" i="2"/>
  <c r="F399" i="2"/>
  <c r="F401" i="2"/>
  <c r="F403" i="2"/>
  <c r="G430" i="2"/>
  <c r="G432" i="2"/>
  <c r="G434" i="2"/>
  <c r="H436" i="2"/>
  <c r="I441" i="2"/>
  <c r="E446" i="2"/>
  <c r="F448" i="2"/>
  <c r="F450" i="2"/>
  <c r="F452" i="2"/>
  <c r="F454" i="2"/>
  <c r="F456" i="2"/>
  <c r="G367" i="2"/>
  <c r="H369" i="2"/>
  <c r="H371" i="2"/>
  <c r="H373" i="2"/>
  <c r="H375" i="2"/>
  <c r="H377" i="2"/>
  <c r="H379" i="2"/>
  <c r="H381" i="2"/>
  <c r="H383" i="2"/>
  <c r="H385" i="2"/>
  <c r="H387" i="2"/>
  <c r="H389" i="2"/>
  <c r="H391" i="2"/>
  <c r="H393" i="2"/>
  <c r="H395" i="2"/>
  <c r="H397" i="2"/>
  <c r="H399" i="2"/>
  <c r="H401" i="2"/>
  <c r="H403" i="2"/>
  <c r="E418" i="2"/>
  <c r="E420" i="2"/>
  <c r="E422" i="2"/>
  <c r="E424" i="2"/>
  <c r="E426" i="2"/>
  <c r="E428" i="2"/>
  <c r="I430" i="2"/>
  <c r="I432" i="2"/>
  <c r="I434" i="2"/>
  <c r="F439" i="2"/>
  <c r="F444" i="2"/>
  <c r="G446" i="2"/>
  <c r="H448" i="2"/>
  <c r="H450" i="2"/>
  <c r="H452" i="2"/>
  <c r="H454" i="2"/>
  <c r="H456" i="2"/>
  <c r="H297" i="2"/>
  <c r="E304" i="2"/>
  <c r="G306" i="2"/>
  <c r="I308" i="2"/>
  <c r="F315" i="2"/>
  <c r="H317" i="2"/>
  <c r="E324" i="2"/>
  <c r="G326" i="2"/>
  <c r="F335" i="2"/>
  <c r="H337" i="2"/>
  <c r="E344" i="2"/>
  <c r="G346" i="2"/>
  <c r="I348" i="2"/>
  <c r="F355" i="2"/>
  <c r="H357" i="2"/>
  <c r="F362" i="2"/>
  <c r="G365" i="2"/>
  <c r="I367" i="2"/>
  <c r="F414" i="2"/>
  <c r="F416" i="2"/>
  <c r="G418" i="2"/>
  <c r="G420" i="2"/>
  <c r="G422" i="2"/>
  <c r="G424" i="2"/>
  <c r="G426" i="2"/>
  <c r="G428" i="2"/>
  <c r="H439" i="2"/>
  <c r="F442" i="2"/>
  <c r="H444" i="2"/>
</calcChain>
</file>

<file path=xl/comments1.xml><?xml version="1.0" encoding="utf-8"?>
<comments xmlns="http://schemas.openxmlformats.org/spreadsheetml/2006/main">
  <authors>
    <author>tc={E368DD6E-B53E-65D3-4BD9-BF6135C1968E}</author>
    <author>tc={1BE15413-D6FA-7007-5336-A180D07397A0}</author>
    <author>tc={77777878-FC93-2A0B-D48A-847F92E629B7}</author>
  </authors>
  <commentList>
    <comment ref="C230" authorId="0" shapeId="0">
      <text>
        <r>
          <rPr>
            <b/>
            <sz val="9"/>
            <rFont val="Tahoma"/>
            <family val="2"/>
            <charset val="204"/>
          </rPr>
          <t>17243159@sigma.sbrf.ru:</t>
        </r>
        <r>
          <rPr>
            <sz val="9"/>
            <rFont val="Tahoma"/>
            <family val="2"/>
            <charset val="204"/>
          </rPr>
          <t xml:space="preserve">
приходит ОСБ из двух символов 17, должно быть 4  = 0017
</t>
        </r>
      </text>
    </comment>
    <comment ref="C248" authorId="1" shapeId="0">
      <text>
        <r>
          <rPr>
            <b/>
            <sz val="9"/>
            <rFont val="Tahoma"/>
            <family val="2"/>
            <charset val="204"/>
          </rPr>
          <t>17243159@sigma.sbrf.ru:</t>
        </r>
        <r>
          <rPr>
            <sz val="9"/>
            <rFont val="Tahoma"/>
            <family val="2"/>
            <charset val="204"/>
          </rPr>
          <t xml:space="preserve">
приходит ОСБ из двух символов 17, должно быть 4  = 0017
</t>
        </r>
      </text>
    </comment>
    <comment ref="C250" authorId="2" shapeId="0">
      <text>
        <r>
          <rPr>
            <b/>
            <sz val="9"/>
            <rFont val="Tahoma"/>
            <family val="2"/>
            <charset val="204"/>
          </rPr>
          <t>17243159@sigma.sbrf.ru:</t>
        </r>
        <r>
          <rPr>
            <sz val="9"/>
            <rFont val="Tahoma"/>
            <family val="2"/>
            <charset val="204"/>
          </rPr>
          <t xml:space="preserve">
приходит ОСБ из двух символов 17, должно быть 4  = 0017
</t>
        </r>
      </text>
    </comment>
  </commentList>
</comments>
</file>

<file path=xl/sharedStrings.xml><?xml version="1.0" encoding="utf-8"?>
<sst xmlns="http://schemas.openxmlformats.org/spreadsheetml/2006/main" count="13916" uniqueCount="2201">
  <si>
    <t>Версия</t>
  </si>
  <si>
    <t>Дата</t>
  </si>
  <si>
    <t>Измененный объект</t>
  </si>
  <si>
    <t>Изменение</t>
  </si>
  <si>
    <t>Автор</t>
  </si>
  <si>
    <t>Комментарий</t>
  </si>
  <si>
    <t xml:space="preserve">Номер патча </t>
  </si>
  <si>
    <t>0.5</t>
  </si>
  <si>
    <t>S2T, Source columns, Target tables, Target columns</t>
  </si>
  <si>
    <t>Добавлен атрибут в t_registry, добавлена таблица t_registry_type. Изменен тип поля rateSubsidyScheme_agreement</t>
  </si>
  <si>
    <t xml:space="preserve">Свиридова </t>
  </si>
  <si>
    <t>0.6</t>
  </si>
  <si>
    <t>S2T, Additional objects</t>
  </si>
  <si>
    <t>Добавлено условие фильтрации для таблицы t_agr_escrow_int_org. Изменен SQL-запрос для V_B3080000460001_legalEpkId</t>
  </si>
  <si>
    <t>0.7</t>
  </si>
  <si>
    <t>Добавлено условие фильтрации для таблицы t_agr_escrow_int_org. Изменен SQL-запрос для V_B3080000460001_escrowBranchCode</t>
  </si>
  <si>
    <t>0.8</t>
  </si>
  <si>
    <t>Additional objects</t>
  </si>
  <si>
    <t>V_B3080000460001_developerLoanAgr</t>
  </si>
  <si>
    <t>Масальцева</t>
  </si>
  <si>
    <t>V_B3080000460001_externalRegistryId</t>
  </si>
  <si>
    <t>V_B3080000460001_rateSubsidyScheme</t>
  </si>
  <si>
    <t>V_B3080000460001_legalEpkId</t>
  </si>
  <si>
    <t>V_B3080000460001_currency</t>
  </si>
  <si>
    <t>V_B3080000460001_escrowBranchCode</t>
  </si>
  <si>
    <t>V_B3080000460005_tariffs</t>
  </si>
  <si>
    <t>V_B3080000460006_payments</t>
  </si>
  <si>
    <t>S2T</t>
  </si>
  <si>
    <t>t_agr_escrow (блок 530  )</t>
  </si>
  <si>
    <t>t_agr_escrow_agr_cred (блок 650, 960 )</t>
  </si>
  <si>
    <t>t_agr_escrow_cust (блок 690, 740, 790 )</t>
  </si>
  <si>
    <t>t_agr_escrow_int_org  (блок 840 )</t>
  </si>
  <si>
    <t>t_optn_type</t>
  </si>
  <si>
    <t>t_optn</t>
  </si>
  <si>
    <t>t_optn$gls</t>
  </si>
  <si>
    <t>t_registry</t>
  </si>
  <si>
    <t>t_agr_cred</t>
  </si>
  <si>
    <t>t_escrow_scheme</t>
  </si>
  <si>
    <t>t_cust</t>
  </si>
  <si>
    <t>t_int_org</t>
  </si>
  <si>
    <t>Source columns</t>
  </si>
  <si>
    <t>b3080000460002_escrow_legalgk_agreement_actual_dto</t>
  </si>
  <si>
    <t>b3080000460003_escrow_legalgk_beneficiariesindividual</t>
  </si>
  <si>
    <t>b3080000460004_escrow_legalgk_beneficiarieslegal</t>
  </si>
  <si>
    <t>b3080000460005_escrow_legalgk_tariffs</t>
  </si>
  <si>
    <t>b3080000460006_payments_2_0_posting_dto</t>
  </si>
  <si>
    <t>0.9</t>
  </si>
  <si>
    <t>t_registry (блок 205  )</t>
  </si>
  <si>
    <t>t_agr_frame_limit</t>
  </si>
  <si>
    <t>t_scheme</t>
  </si>
  <si>
    <t>t_agr_frame</t>
  </si>
  <si>
    <t>t_agr_frame_cust</t>
  </si>
  <si>
    <t>t_agr_frame_int_org</t>
  </si>
  <si>
    <t>Target tables</t>
  </si>
  <si>
    <t>t_agr_frame_cust_type</t>
  </si>
  <si>
    <t>b3080000460008_general_agreement_actual_limit_schedule</t>
  </si>
  <si>
    <t>b3080000460009_general_agreement_actual_dto</t>
  </si>
  <si>
    <t>b3080000460007_payments_2_0_account_dto</t>
  </si>
  <si>
    <t>0.10</t>
  </si>
  <si>
    <t>t_agr_escrow_int_org</t>
  </si>
  <si>
    <t>t_cust_org_idfn</t>
  </si>
  <si>
    <t>t_optn_fee_type</t>
  </si>
  <si>
    <t>0.11</t>
  </si>
  <si>
    <t>Изменение имени таблицы b3080000460008_general_agreement_actual_limitschedule</t>
  </si>
  <si>
    <t>ГС исключение счетов резерва</t>
  </si>
  <si>
    <t>Изменение имени таблицы b3080000460008_general_agreement_actual_limitschedule и названия поля external_id_uid (external_id)</t>
  </si>
  <si>
    <t>Метаданные для hadoop</t>
  </si>
  <si>
    <t>Изменение имени таблицы general_agreement_actual_limitschedule</t>
  </si>
  <si>
    <t>0.12</t>
  </si>
  <si>
    <t>lcl_agreement_actual: новая таблица
lcl_registry: новая таблица
payments_2_0_posting: добавлены поля postingEvent.accountDebit.number +  postingEvent.accountCredit.registerId + postingEvent.accountCredit.number + postingEvent.operationIdKt
payments_2_0_posting: изменен json путь к атрибутам
operationIdDt -&gt; postingEvent.operationIdDt
accountDebit.registerId -&gt; postingEvent.accountDebit.registerId
serviceId -&gt; postingEvent.serviceId</t>
  </si>
  <si>
    <t>Афанасова</t>
  </si>
  <si>
    <t>hadoop -&gt;A</t>
  </si>
  <si>
    <t>a_000046_lcl_agreement_actual_dto: новая таблица
a_000046_lcl_agreement_credit_contracts: новая таблица
a_000046_lcl_agreement_supply_contracts: новая таблица
a_000046_lcl_agreement_tariffs: новая таблица
a_000046_lcl_agreement_applicant_fee_accounts: новая таблица
a_000046_lcl_registry_dto: новая таблица</t>
  </si>
  <si>
    <t>А-слой-&gt;В-слой</t>
  </si>
  <si>
    <t>b3080000460009_lcl_agreement_actual_dto: новая таблица
b3080000460010_lcl_agreement_credit_contracts: новая таблица
b3080000460011_lcl_agreement_supply_contracts: новая таблица
b3080000460012_lcl_agreement_tariffs: новая таблица
b3080000460013_lcl_agreement_applicant_fee_accounts: новая таблица
b3080000460014_lcl_registry_dto: новая таблица</t>
  </si>
  <si>
    <t>b3080000460009_lcl_agreement_actual_dto: новая таблица
b3080000460010_lcl_agreement_credit_contracts: новая таблица
b3080000460011_lcl_agreement_supply_contracts: новая таблица
b3080000460012_lcl_agreement_tariffs: новая таблица
b3080000460013_lcl_agreement_applicant_fee_accounts: новая таблица
b3080000460013_lcl_registry_dto: новая таблица
b3080000460006_payments_2_0_posting_dto: добавлены поля postingevent_accountdebit_number + postingevent_accountcredit_registerid + postingevent_accountcredit_number + postingevent_operationidkt</t>
  </si>
  <si>
    <t>0.13</t>
  </si>
  <si>
    <t>Target columns</t>
  </si>
  <si>
    <t>t_agr_frame, изменено название поля start_dt на open_dt</t>
  </si>
  <si>
    <t>t_agr_frame, изменено название поля start_dt на open_dt
t_cust  --добавлено условие deleted='N' для B-таблиц
t_int_org  --добавлено условие deleted='N' для B-таблиц, поле rn вынесено во внешний подзапрос (иначе были дубли)
t_agr_escrow_int_org  --при заполнени action_cd учитывается значение deleted='Y'
t_optn_type  --добавлено условие deleted='N'
t_optn  --Создана таблица n308000046_optn, заполняемая функцией sp308000046_bn_00840_optn. При заполнени action_cd учитывается значение deleted='Y'.
t_optn$gls  --Создана таблица n308000046_optn$gls, заполняемая функцией sp308000046_bn_00920_optn$gls. При заполнени action_cd учитывается значение deleted='Y'.
t_cust_org_idfn  --при заполнени action_cd учитывается значение deleted='Y'
T_optn_fee_type  --добавлено условие deleted='N'</t>
  </si>
  <si>
    <t>0.14</t>
  </si>
  <si>
    <t>b3080000460006_payments_2_0_posting_dto: добавлено поле external_agreement_id</t>
  </si>
  <si>
    <t>s2t</t>
  </si>
  <si>
    <t>t_agr_accred</t>
  </si>
  <si>
    <t>новый блок - Аккредитивы ЮЛ</t>
  </si>
  <si>
    <t>t_agr_accred_fin</t>
  </si>
  <si>
    <t>t_accred_cover_type</t>
  </si>
  <si>
    <t>t_time_period_type</t>
  </si>
  <si>
    <t>t_agr_accred_type</t>
  </si>
  <si>
    <t>t_accred_income_scheme</t>
  </si>
  <si>
    <t>t_agr_accred_agr_cred</t>
  </si>
  <si>
    <t>t_agr_accred_bank</t>
  </si>
  <si>
    <t>t_agr_accred_contract</t>
  </si>
  <si>
    <t>t_agr_accred_cust</t>
  </si>
  <si>
    <t>t_agr_accred_int_org</t>
  </si>
  <si>
    <t>t_bank</t>
  </si>
  <si>
    <t>t_coa</t>
  </si>
  <si>
    <t>t_contract</t>
  </si>
  <si>
    <t>t_cust_coa</t>
  </si>
  <si>
    <t>t_cust_ind_idfn</t>
  </si>
  <si>
    <t>t_registry$gls_clsfctn</t>
  </si>
  <si>
    <t>добавлены Аккредитивы ЮЛ</t>
  </si>
  <si>
    <t>добавлены Аккредитивы ЮЛ + расширен атрибутный состав сущности host_external_agr_id + crd_coa_num + host_crd_optn_id + crd_registry_id + dbt_coa_num + host_dbt_optn_id + dbt_registry_id</t>
  </si>
  <si>
    <t>блок измнен - формирование справочника по всем продуктам из b3080000460006_payments_2_0_posting_dto</t>
  </si>
  <si>
    <t>t_crncy</t>
  </si>
  <si>
    <t>добавлены Аккредитивы ЮЛ + расширен атрибутный состав сущности bic_num + int_org_name</t>
  </si>
  <si>
    <t>добавлены Аккредитивы ЮЛ + расширен атрибутный состав сущности rsd_flag</t>
  </si>
  <si>
    <t>0.15</t>
  </si>
  <si>
    <t>изменено поле источника для agr_frame_id, добавлен атрибут host_ext_id</t>
  </si>
  <si>
    <t>изменено поле источника для agr_id</t>
  </si>
  <si>
    <t>изменено поле источника для agr_frame_id</t>
  </si>
  <si>
    <t>b3080000460009_general_agreement_actual_dto: добавлено поле id</t>
  </si>
  <si>
    <t>b3080000460008_general_agreement_actual_limitschedule: добавлено поле id</t>
  </si>
  <si>
    <t>t_agr_frame: добавлено поле host_ext_id</t>
  </si>
  <si>
    <t>0.16</t>
  </si>
  <si>
    <t>lcl_agreement_actual</t>
  </si>
  <si>
    <t>актуализировано поле для ссылки на ГС generalagreementexternalid -&gt; generalagreementfactoryid</t>
  </si>
  <si>
    <t>b3080000460009_lcl_agreement_actual_dto</t>
  </si>
  <si>
    <t>добавлено поле agr_frame_id + заполнение поля</t>
  </si>
  <si>
    <t>0.17</t>
  </si>
  <si>
    <t>А-слой-&gt;В-слой
Source columns
s2t</t>
  </si>
  <si>
    <t>переименование b3080000460009_lcl_agreement_actual_dto -&gt; b3080000460015_lcl_agreement_actual_dto</t>
  </si>
  <si>
    <t>0.18</t>
  </si>
  <si>
    <t>Метаданные для hadoop 
Source columns</t>
  </si>
  <si>
    <t>удалено поле isEarlyPayment.lcl_agreement_actual</t>
  </si>
  <si>
    <t>АЮЛ</t>
  </si>
  <si>
    <t>АЮЛ: актуализирован мэпинг для host_epk_cust_id: beneficiaryindepkid -&gt; beneficiaryindividualepkrbid</t>
  </si>
  <si>
    <t>АЮЛ: добавлен фильтр deleted = 'N'</t>
  </si>
  <si>
    <t>добавлены *_uid поля</t>
  </si>
  <si>
    <t>0.19</t>
  </si>
  <si>
    <t>S2T, Target columns</t>
  </si>
  <si>
    <t>снят фильтр на продукты, выбираются все коды комиссий</t>
  </si>
  <si>
    <t>0.20</t>
  </si>
  <si>
    <t>АЮЛ: заменен фильтр *_uid is not null -&gt; НК is not null (конкатенированный НК, *_uid всегда не пустой)</t>
  </si>
  <si>
    <t>0.21</t>
  </si>
  <si>
    <t>S2T
Target tables
Target columns</t>
  </si>
  <si>
    <t>t_agr_other</t>
  </si>
  <si>
    <t>Свиридова</t>
  </si>
  <si>
    <t>t_agr_other_cust</t>
  </si>
  <si>
    <t>t_agr_other_int_org</t>
  </si>
  <si>
    <t>Target tables
Target columns</t>
  </si>
  <si>
    <t>t_agr_other_cust_type</t>
  </si>
  <si>
    <t>t_agr_other_categ</t>
  </si>
  <si>
    <t>t_agr_other_int_org_type</t>
  </si>
  <si>
    <t>t_agr_other_bank</t>
  </si>
  <si>
    <t>t_agr_other_bank_type</t>
  </si>
  <si>
    <t>t_agr_other_coa_role</t>
  </si>
  <si>
    <t>t_agr_other_coa</t>
  </si>
  <si>
    <t>А-слой-&gt;В-слой
Source columns</t>
  </si>
  <si>
    <t>b3080000460016_inkasso_export_agreement_actual_dto</t>
  </si>
  <si>
    <t>b3080000460017_inkasso_import_agreement_actual_dto</t>
  </si>
  <si>
    <t>b3080000460018_reimbursement_agreement_actual_dto</t>
  </si>
  <si>
    <t>inkasso_export_agreement_actual_dto</t>
  </si>
  <si>
    <t>inkasso_import_agreement_actual_dto</t>
  </si>
  <si>
    <t>reimbursement_agreement_actual_dto</t>
  </si>
  <si>
    <t>Добавлены инкассо и рамбурсы</t>
  </si>
  <si>
    <t>0.22</t>
  </si>
  <si>
    <t>0.23</t>
  </si>
  <si>
    <t>АЮЛ: изменено условие фильтрации исходного набора</t>
  </si>
  <si>
    <t>АЮЛ: добавлен фильтр сортировки в  row_number()</t>
  </si>
  <si>
    <t>b3080000460010_lcl_agreement_credit_contracts</t>
  </si>
  <si>
    <t xml:space="preserve">Дабавлено поле status </t>
  </si>
  <si>
    <t>t_agr_escrow_cust</t>
  </si>
  <si>
    <t>0.24</t>
  </si>
  <si>
    <t>изменить СОД с Снимок-блочная история на Снимок-история</t>
  </si>
  <si>
    <t>0.27</t>
  </si>
  <si>
    <t>b3080000460015_lcl_agreement_actual_dto</t>
  </si>
  <si>
    <t>Изменено на : lpad(bankregionalunitosbcode, 4,'0' ), lpad(applicantterritoryosbcode, 4,'0' ), lpad(beneficiaryterritoryosbcode, 4,'0' )</t>
  </si>
  <si>
    <t>0.28</t>
  </si>
  <si>
    <t>изменено условие фильтрации исходного набора</t>
  </si>
  <si>
    <t>заполнение ТБ</t>
  </si>
  <si>
    <t>0.29</t>
  </si>
  <si>
    <t>Добавлен фильтр</t>
  </si>
  <si>
    <t>Добавлен блок</t>
  </si>
  <si>
    <t>t_agr_scheme</t>
  </si>
  <si>
    <t>b3080000460019_lcl_agreement_reportAttributes</t>
  </si>
  <si>
    <t>Добавлена таблица</t>
  </si>
  <si>
    <t>b3080000460020_lcl_agreement_versioned_dto</t>
  </si>
  <si>
    <t>А-слой-&gt;В-слой-&gt;S-слой</t>
  </si>
  <si>
    <t xml:space="preserve">s308_0020_lcl_agrmnt_versioned </t>
  </si>
  <si>
    <t>0.30</t>
  </si>
  <si>
    <t>Добавлены атрибуты</t>
  </si>
  <si>
    <t>DMLJL-1881</t>
  </si>
  <si>
    <t>lcl_agreement_versioned</t>
  </si>
  <si>
    <t>guarantee_actual_dto</t>
  </si>
  <si>
    <t>DMLJL-1876</t>
  </si>
  <si>
    <t>b3080000460021_guarantee_actual_dto</t>
  </si>
  <si>
    <t>t_agr_accred_stts</t>
  </si>
  <si>
    <t>t_agr_accred_stts_type</t>
  </si>
  <si>
    <t>t_agr_grntee</t>
  </si>
  <si>
    <t>t_agr_grntee_cust</t>
  </si>
  <si>
    <t>t_agr_grntee_int_org</t>
  </si>
  <si>
    <t>t_agr_grntee_bank</t>
  </si>
  <si>
    <t>t_agr_grntee_type</t>
  </si>
  <si>
    <t>0.31</t>
  </si>
  <si>
    <t>DMLJL-1884</t>
  </si>
  <si>
    <t>b3080000460022_escrow_legalgk_gods_actual_dto</t>
  </si>
  <si>
    <t>изменено условие фильтрации исходного набора для ГС и ГОДС</t>
  </si>
  <si>
    <t>изменено условие фильтрации исходного набора для ГОДС</t>
  </si>
  <si>
    <t>t_agr_escrow</t>
  </si>
  <si>
    <t>Добавлен атрибут agr_escrow_type_id</t>
  </si>
  <si>
    <t>t_agr_escrow_addendum</t>
  </si>
  <si>
    <t>t_agr_escrow_add_stts</t>
  </si>
  <si>
    <t>t_agr_escrow_add_stts_type</t>
  </si>
  <si>
    <t>t_agr_escrow_add_type</t>
  </si>
  <si>
    <t>t_agr_escrow_type</t>
  </si>
  <si>
    <t>t_agr_escrow_add_rate</t>
  </si>
  <si>
    <t>0.32</t>
  </si>
  <si>
    <t>b3080000460001_escrow_legal214_agreement_actual_dto</t>
  </si>
  <si>
    <t>Добавлен атрибут</t>
  </si>
  <si>
    <t>DMLJL-1917</t>
  </si>
  <si>
    <t>изменено условие фильтрации исходного набора блок 130</t>
  </si>
  <si>
    <t>t_agr_escrow_agr_cred</t>
  </si>
  <si>
    <t>изменено условие фильтрации исходного набора блок  270, 650, 960</t>
  </si>
  <si>
    <t>изменено условие фильтрации исходного набора блок 1790</t>
  </si>
  <si>
    <t>0.35</t>
  </si>
  <si>
    <t>изменено условие фильтрации исходного набора блок 430</t>
  </si>
  <si>
    <t>DMLJL-2010</t>
  </si>
  <si>
    <t>0.36</t>
  </si>
  <si>
    <t>Добавлен атрибут status_uid</t>
  </si>
  <si>
    <t>DMLJL-2066</t>
  </si>
  <si>
    <t>t_agr_frame_stts_type</t>
  </si>
  <si>
    <t>t_agr_frame_stts</t>
  </si>
  <si>
    <t>0.37</t>
  </si>
  <si>
    <t>lcl_agreement_restructureDetails</t>
  </si>
  <si>
    <t>DMLJL-2071</t>
  </si>
  <si>
    <t>a_000046_lcl_agreement_restructureDetails</t>
  </si>
  <si>
    <t>DMLJL-2084</t>
  </si>
  <si>
    <t>b3080000460023_restructureDetails</t>
  </si>
  <si>
    <t>t_agr_accred_addendum</t>
  </si>
  <si>
    <t>t_agr_accred_add_type</t>
  </si>
  <si>
    <t>№ ПП</t>
  </si>
  <si>
    <t>Предметная область</t>
  </si>
  <si>
    <t>Описание целевой таблицы</t>
  </si>
  <si>
    <t>Таблица-приемник</t>
  </si>
  <si>
    <t>Тип данных поля приемника</t>
  </si>
  <si>
    <t>Первичный ключ?</t>
  </si>
  <si>
    <t>Внешний ключ?</t>
  </si>
  <si>
    <t>NULL?</t>
  </si>
  <si>
    <t>Описание поля приемника</t>
  </si>
  <si>
    <t>Поле приемника</t>
  </si>
  <si>
    <t>Таблица-источник</t>
  </si>
  <si>
    <t>Тип данных поля источника</t>
  </si>
  <si>
    <t>Описание поля источника</t>
  </si>
  <si>
    <t>Трансформация поля источника</t>
  </si>
  <si>
    <t>Дополнительная таблица-источник</t>
  </si>
  <si>
    <t>Условия соединения с дополнительной таблицей</t>
  </si>
  <si>
    <t>K-таблица</t>
  </si>
  <si>
    <t>Условия соединения с K-таблицей</t>
  </si>
  <si>
    <r>
      <t xml:space="preserve">Условия фильтрации исходного набора 
</t>
    </r>
    <r>
      <rPr>
        <b/>
        <i/>
        <sz val="10"/>
        <rFont val="Arial"/>
        <family val="2"/>
        <charset val="204"/>
      </rPr>
      <t>общий фильтр deleted = 'N'</t>
    </r>
  </si>
  <si>
    <t>Пояснения к SQL исходного набора данных</t>
  </si>
  <si>
    <t>SQL исходного набора данных</t>
  </si>
  <si>
    <t>Название N-таблицы</t>
  </si>
  <si>
    <t>Роль в истории</t>
  </si>
  <si>
    <t>Since min date</t>
  </si>
  <si>
    <t>Till max date</t>
  </si>
  <si>
    <t>Restrict SQL</t>
  </si>
  <si>
    <t>Accumulate</t>
  </si>
  <si>
    <t>Full snapshot</t>
  </si>
  <si>
    <t>Valid from workaround</t>
  </si>
  <si>
    <t>Gaps</t>
  </si>
  <si>
    <t>First value</t>
  </si>
  <si>
    <t>СОД</t>
  </si>
  <si>
    <t>Опции проекта</t>
  </si>
  <si>
    <t>Кто менял</t>
  </si>
  <si>
    <t>Комментарии</t>
  </si>
  <si>
    <t>Эскроу</t>
  </si>
  <si>
    <t>agr_escrow_id</t>
  </si>
  <si>
    <t>escrowId_agreement_uid</t>
  </si>
  <si>
    <t>Ключ</t>
  </si>
  <si>
    <t>Снимок-снимок</t>
  </si>
  <si>
    <t>open_dt</t>
  </si>
  <si>
    <t>openDate_agreement</t>
  </si>
  <si>
    <t>-</t>
  </si>
  <si>
    <t>signed_dt</t>
  </si>
  <si>
    <t>close_dt</t>
  </si>
  <si>
    <t>closeDate_agreement</t>
  </si>
  <si>
    <t>agr_escrow_num</t>
  </si>
  <si>
    <t>reference_agreement</t>
  </si>
  <si>
    <t>host_agr_escrow_id</t>
  </si>
  <si>
    <t>escrowId_agreement</t>
  </si>
  <si>
    <t>permission_explotation_plan_dt</t>
  </si>
  <si>
    <t>estateObject_ExpireDate_agreementObject</t>
  </si>
  <si>
    <t>start_sum_crncy_amt</t>
  </si>
  <si>
    <t>escrowAmount_value_agreement</t>
  </si>
  <si>
    <t>В json максимальное значение - 10 в 15 степени</t>
  </si>
  <si>
    <t xml:space="preserve">crncy_id </t>
  </si>
  <si>
    <t>escrowAmount_currency_agreement_uid</t>
  </si>
  <si>
    <t>escrow_scheme_id</t>
  </si>
  <si>
    <t>rateSubsidyScheme_agreement_uid</t>
  </si>
  <si>
    <t>По эскроу 214 - это схема субсидирования ставки</t>
  </si>
  <si>
    <t>expiration_dt</t>
  </si>
  <si>
    <t>expireDate_agreementObject</t>
  </si>
  <si>
    <t>agr_214_fed_flag</t>
  </si>
  <si>
    <t>'Y'</t>
  </si>
  <si>
    <t>agr_cred_id</t>
  </si>
  <si>
    <t>ETL</t>
  </si>
  <si>
    <t xml:space="preserve">uuid            </t>
  </si>
  <si>
    <t>Номер кредитного договора</t>
  </si>
  <si>
    <t>developerLoanAgrNumber_cred_agreement_uid</t>
  </si>
  <si>
    <t>SELECT sub_2.agr_cred_id,
sub_2.signed_dt,
sub_2.agr_cred_num,
sub_2.host_eks_agrmnt_id,
sub_2.host_agr_cred_id,
sub_2.input_file_id,
sub_2.info_system_id,
CASE
WHEN sub_2.deleted_flag = 'Y'::text THEN 'D'::text
ELSE sub_2.action_cd
END AS action_cd,
sub_2.deleted_flag,
sub_2.workflow_run_id,
'-103500130'::integer AS session_inst_id
FROM ( SELECT sub_1.agr_cred_id,
sub_1.signed_dt,
sub_1.agr_cred_num,
sub_1.host_eks_agrmnt_id,
sub_1.host_agr_cred_id,
sub_1.input_file_id,
sub_1.info_system_id,
sub_1.ctl_action AS action_cd,
sub_1.deleted_flag,
sub_1.workflow_run_id,
row_number() OVER (PARTITION BY sub_1.agr_cred_id ORDER BY sub_1.signed_dt DESC, COALESCE(sub_1.host_agr_cred_id, '0'::text) DESC, COALESCE(sub_1.host_eks_agrmnt_id, '0'::text) DESC, sub_1.sys_date_create_or_update desc, sub_1.st ) AS rn
FROM ( SELECT COALESCE(b3080000460001_escrow_legal214_agreement_actual_dto.devloanagrkulid_agreement_uid, b3080000460001_escrow_legal214_agreement_actual_dto.developerloanagrnumber_cred_agreement_uid) AS agr_cred_id,
b3080000460001_escrow_legal214_agreement_actual_dto.developerloanagrdate_cred_agreement AS signed_dt,
b3080000460001_escrow_legal214_agreement_actual_dto.developerloanagrnumber_cred_agreement AS agr_cred_num,
b3080000460001_escrow_legal214_agreement_actual_dto.devloanagr_eksid_agreement AS host_eks_agrmnt_id,
b3080000460001_escrow_legal214_agreement_actual_dto.devloanagrkulid_agreement AS host_agr_cred_id,
2 AS st,
b3080000460001_escrow_legal214_agreement_actual_dto.sys_date_create_or_update,
b3080000460001_escrow_legal214_agreement_actual_dto.input_file_id,
b3080000460001_escrow_legal214_agreement_actual_dto.info_system_id,
b3080000460001_escrow_legal214_agreement_actual_dto.ctl_action,
b3080000460001_escrow_legal214_agreement_actual_dto.deleted_flag,
b3080000460001_escrow_legal214_agreement_actual_dto.workflow_run_id
FROM s_grnplm_as_t_didsd_308_db_stg.b3080000460001_escrow_legal214_agreement_actual_dto
WHERE (b3080000460001_escrow_legal214_agreement_actual_dto.developerloanagrnumber_cred_agreement IS NOT NULL OR b3080000460001_escrow_legal214_agreement_actual_dto.devloanagrkulid_agreement IS NOT NULL) AND b3080000460001_escrow_legal214_agreement_actual_dto.deleted = 'N'::text
UNION ALL
SELECT COALESCE(b3080000460002_escrow_legalgk_agreement_actual_dto.depositorlegal_creditcontract_kulid_uid, b3080000460002_escrow_legalgk_agreement_actual_dto.depositorlegal_creditcontract_number_uid) AS agr_cred_id,
b3080000460002_escrow_legalgk_agreement_actual_dto.depositorlegal_creditcontract_date AS signed_dt,
b3080000460002_escrow_legalgk_agreement_actual_dto.depositorlegal_creditcontract_number AS agr_cred_num,
b3080000460002_escrow_legalgk_agreement_actual_dto.depositorlegal_creditcontract_eks AS host_eks_agrmnt_id,
b3080000460002_escrow_legalgk_agreement_actual_dto.depositorlegal_creditcontract_kulid AS host_agr_cred_id,
2 AS st,
b3080000460002_escrow_legalgk_agreement_actual_dto.sys_date_create_or_update,
b3080000460002_escrow_legalgk_agreement_actual_dto.input_file_id,
b3080000460002_escrow_legalgk_agreement_actual_dto.info_system_id,
b3080000460002_escrow_legalgk_agreement_actual_dto.ctl_action,
b3080000460002_escrow_legalgk_agreement_actual_dto.deleted_flag,
b3080000460002_escrow_legalgk_agreement_actual_dto.workflow_run_id
FROM s_grnplm_as_t_didsd_308_db_stg.b3080000460002_escrow_legalgk_agreement_actual_dto
WHERE (b3080000460002_escrow_legalgk_agreement_actual_dto.depositorlegal_creditcontract_number IS NOT NULL OR b3080000460002_escrow_legalgk_agreement_actual_dto.depositorlegal_creditcontract_kulid IS NOT NULL) AND b3080000460002_escrow_legalgk_agreement_actual_dto.deleted = 'N'::text
UNION ALL
SELECT COALESCE(b3080000460004_escrow_legalgk_beneficiarieslegal.creditcontract_l_kulid_uid, b3080000460004_escrow_legalgk_beneficiarieslegal.creditcontract_d_l_uid) AS agr_cred_id,
b3080000460004_escrow_legalgk_beneficiarieslegal.creditcontract_l AS signed_dt,
b3080000460004_escrow_legalgk_beneficiarieslegal.creditcontract_d_l AS agr_cred_num,
b3080000460004_escrow_legalgk_beneficiarieslegal.creditcontract_l_eksid AS host_eks_agrmnt_id,
b3080000460004_escrow_legalgk_beneficiarieslegal.creditcontract_l_kulid AS host_agr_cred_id,
2 AS st,
b3080000460004_escrow_legalgk_beneficiarieslegal.sys_date_create_or_update,
b3080000460004_escrow_legalgk_beneficiarieslegal.input_file_id,
b3080000460004_escrow_legalgk_beneficiarieslegal.info_system_id,
b3080000460004_escrow_legalgk_beneficiarieslegal.ctl_action,
b3080000460004_escrow_legalgk_beneficiarieslegal.deleted_flag,
b3080000460004_escrow_legalgk_beneficiarieslegal.workflow_run_id
FROM s_grnplm_as_t_didsd_308_db_stg.b3080000460004_escrow_legalgk_beneficiarieslegal
WHERE (b3080000460004_escrow_legalgk_beneficiarieslegal.creditcontract_d_l IS NOT NULL OR b3080000460004_escrow_legalgk_beneficiarieslegal.creditcontract_l_kulid IS NOT NULL) AND b3080000460004_escrow_legalgk_beneficiarieslegal.deleted = 'N'::text
UNION ALL
SELECT
CASE
WHEN COALESCE(btrim(b10.creditcontracts_idpprbkul), '-1'::text) = '-1'::text THEN b10.creditcontracts_number_uid
ELSE b10.creditcontracts_idpprbkul_uid
END AS agr_cred_id,
b10.creditcontracts_date AS signed_dt,
b10.creditcontracts_number AS agr_cred_num,
b10.creditcontracts_eksid AS host_eks_agrmnt_id,
b10.creditcontracts_idpprbkul AS host_agr_cred_id,
CASE
WHEN upper(b10.status) = 'INACTIVE'::text THEN 1
WHEN upper(b10.status) = 'CLOSED'::text THEN 10
ELSE 2
END AS st,
b10.sys_date_create_or_update,
b10.input_file_id,
b10.info_system_id,
'I'::text AS ctl_action,
'N'::text AS deleted_flag,
b10.workflow_run_id
FROM s_grnplm_as_t_didsd_308_db_stg.b3080000460010_lcl_agreement_credit_contracts b10
WHERE (b10.creditcontracts_number_uid IS NOT NULL OR b10.creditcontracts_idpprbkul IS NOT NULL) AND b10.deleted = 'N'::text) sub_1) sub_2
WHERE sub_2.rn = 1</t>
  </si>
  <si>
    <t>это не ссылка на схему 700, на нее выйти технически невозможно</t>
  </si>
  <si>
    <t>date</t>
  </si>
  <si>
    <t>Дата кредитного договора</t>
  </si>
  <si>
    <t>developerLoanAgrDate_cred_agreement</t>
  </si>
  <si>
    <t>agr_cred_num</t>
  </si>
  <si>
    <t xml:space="preserve">text            </t>
  </si>
  <si>
    <t>developerLoanAgrNumber_cred_agreement</t>
  </si>
  <si>
    <t>host_eks_agrmnt_id</t>
  </si>
  <si>
    <t>ID договора в  ЕКС</t>
  </si>
  <si>
    <t>devLoanAgr_EksId_agreement</t>
  </si>
  <si>
    <t>host_agr_cred_id</t>
  </si>
  <si>
    <t>ИД договора в системе-источнике ППРБ.КЮЛ</t>
  </si>
  <si>
    <t>devLoanAgrKulId_agreement</t>
  </si>
  <si>
    <t>Эскроу, ГС, Аккредитив, УПФ</t>
  </si>
  <si>
    <t>registry_id</t>
  </si>
  <si>
    <t>uuid</t>
  </si>
  <si>
    <t>ID регистра счёта</t>
  </si>
  <si>
    <t xml:space="preserve"> select *
from 
( 
 -- Эскроу 214
 select 
  externalRegistryId_escrow_accountDetails_uid as registry_id,
  externalRegistryId_escrow_accountDetails as host_registry_id,
  escrowId_agreement_uid as agr_escrow_id,
  null as agr_id,
  number_escrow_accountDetails,
  '00000000-0000-0000-0000-0000fffffc14' as registry_type_id,
  cast(sys_date_create_or_update as date) as start_dt,
  cast('9999-12-31' as date) as end_dt,
  row_number() over (partition by externalregistryid_escrow_accountdetails order by sys_date_create_or_update desc) as rn
 from s_grnplm_as_t_didsd_308_db_stg.b3080000460001_escrow_legal214_agreement_actual_dto
 where externalRegistryId_escrow_accountDetails is not null 
) a
where a.rn = 1
union all
select *
from 
( 
 -- Эскроу ГК
 select 
  externalregistryid_uid as registry_id,
  externalregistryid  as host_registry_id,
  escrowid_uid as agr_escrow_id,
  null as agr_id,
  null as number_escrow_accountDetails,
  '00000000-0000-0000-0000-0000fffffc13' as registry_type_id,
  cast(sys_date_create_or_update as date) as start_dt,
  cast('9999-12-31' as date) as end_dt,
  row_number() over (partition by externalregistryid order by sys_date_create_or_update desc) as rn
 from s_grnplm_as_t_didsd_308_db_stg.b3080000460002_escrow_legalgk_agreement_actual_dto 
 where externalregistryid is not null 
) a
where a.rn = 1
union all
-- Аккредитивы ЮЛ
select  
 o.registerid_uid as registry_id
 , o.registerid as host_registry_id
 , null::uuid as agr_escrow_id
 , o.agreementreference_uid as agr_id
 , o.accountevent_number as coa_num
 , '00000000-0000-0000-0000-0000fffffc11' as registry_type_id -- accred^Аккредитивы ЮЛ
 , cast(sys_date_create_or_update as date) as start_dt
 , cast('9999-12-31' as date)  as end_dt
from s_grnplm_as_t_didsd_308_db_stg.b3080000460007_payments_2_0_account_dto as o  
inner join s_grnplm_as_t_didsd_308_db_stg.b3080000460015_lcl_agreement_actual_dto as b
 on o.agreementreference = b.reference
where 1 = 1
 and o.registerid_uid is not null
 and coalesce(upper(o.systemid), '') &lt;&gt; upper('reserve-factory')
union all
select  
 o.registerid_uid as registry_id
 , o.registerid as host_registry_id
 , null::uuid as agr_escrow_id
 , o.agreementreference_uid as agr_id
 , o.accountevent_number as coa_num
 , '00000000-0000-0000-0000-0000fffffc12' as registry_type_id -- reserve^Резервы
 , cast(sys_date_create_or_update as date) as start_dt
 , cast('9999-12-31' as date) as end_dt
from s_grnplm_as_t_didsd_308_db_stg.b3080000460007_payments_2_0_account_dto as o  
inner join s_grnplm_as_t_didsd_308_db_stg.b3080000460015_lcl_agreement_actual_dto as b
 on o.agreementreference = b.reference
where 1 = 1
 and o.registerid_uid is not null
 and coalesce(upper(o.systemid), '') = upper('reserve-factory')
--инкассо экспортное
 union all
select  
 o.registerid_uid as registry_id
 , o.registerid as host_registry_id
 , null::uuid as agr_escrow_id
 , o.agreementreference_uid as agr_id
 , o.accountevent_number as coa_num
 , '00000000-0000-0000-0000-0000fffffc0f' as registry_type_id -- -1009^exportinkasso^Эксп. Инкассо
 , cast(sys_date_create_or_update as date) as start_dt
 , cast('9999-12-31' as date) as end_dt
from s_grnplm_as_t_didsd_308_db_stg.b3080000460007_payments_2_0_account_dto as o  
inner join s_grnplm_as_t_didsd_308_db_stg.b3080000460016_inkasso_export_agreement_actual_dto as b
 on o.agreementreference = b.reference
where 1 = 1
 and o.registerid_uid is not null
 and coalesce(upper(o.systemid), '') &lt;&gt; upper('reserve-factory')
union all
select  
 o.registerid_uid as registry_id
 , o.registerid as host_registry_id
 , null::uuid as agr_escrow_id
 , o.agreementreference_uid as agr_id
 , o.accountevent_number as coa_num
 , '00000000-0000-0000-0000-0000fffffc12' as registry_type_id -- reserve^Резервы
 , cast(sys_date_create_or_update as date) as start_dt
 , cast('9999-12-31' as date) as end_dt
from s_grnplm_as_t_didsd_308_db_stg.b3080000460007_payments_2_0_account_dto as o  
inner join s_grnplm_as_t_didsd_308_db_stg.b3080000460016_inkasso_export_agreement_actual_dto as b
 on o.agreementreference = b.reference
where 1 = 1
 and o.registerid_uid is not null
 and coalesce(upper(o.systemid), '') = upper('reserve-factory')
--инкассо импортное
 union all
select  
 o.registerid_uid as registry_id
 , o.registerid as host_registry_id
 , null::uuid as agr_escrow_id
 , o.agreementreference_uid as agr_id
 , o.accountevent_number as coa_num
 , '00000000-0000-0000-0000-0000fffffc10' as registry_type_id -- -1008^importinkasso^Имп. Инкассо
 , cast(sys_date_create_or_update as date) as start_dt
 , cast('9999-12-31' as date) as end_dt
from s_grnplm_as_t_didsd_308_db_stg.b3080000460007_payments_2_0_account_dto as o  
inner join s_grnplm_as_t_didsd_308_db_stg.b3080000460017_inkasso_import_agreement_actual_dto as b
 on o.agreementreference = b.reference
where 1 = 1
 and o.registerid_uid is not null
 and coalesce(upper(o.systemid), '') &lt;&gt; upper('reserve-factory')
union all
select  
 o.registerid_uid as registry_id
 , o.registerid as host_registry_id
 , null::uuid as agr_escrow_id
 , o.agreementreference_uid as agr_id
 , o.accountevent_number as coa_num
 , '00000000-0000-0000-0000-0000fffffc12' as registry_type_id -- reserve^Резервы
 , cast(sys_date_create_or_update as date) as start_dt
 , cast('9999-12-31' as date) as as end_dt
from s_grnplm_as_t_didsd_308_db_stg.b3080000460007_payments_2_0_account_dto as o  
inner join s_grnplm_as_t_didsd_308_db_stg.b3080000460017_inkasso_import_agreement_actual_dto as b
 on o.agreementreference = b.reference
where 1 = 1
 and o.registerid_uid is not null
 and coalesce(upper(o.systemid), '') = upper('reserve-factory')
--рамбурсы
 union all
select  
 o.registerid_uid as registry_id
 , o.registerid as host_registry_id
 , null::uuid as agr_escrow_id
 , o.agreementreference_uid as agr_id
 , o.accountevent_number as coa_num
 , '00000000-0000-0000-0000-0000fffffc0e' as registry_type_id -- -1010^reimburs^Рамбурс
 , cast(sys_date_create_or_update as date) as start_dt
 , cast('9999-12-31' as date) as as end_dt
from s_grnplm_as_t_didsd_308_db_stg.b3080000460007_payments_2_0_account_dto as o  
inner join s_grnplm_as_t_didsd_308_db_stg.b3080000460018_reimbursement_agreement_actual_dto as b
 on o.agreementreference = b.reference
where 1 = 1
 and o.registerid_uid is not null
 and coalesce(upper(o.systemid), '') &lt;&gt; upper('reserve-factory')
union all
select  
 o.registerid_uid as registry_id
 , o.registerid as host_registry_id
 , null::uuid as agr_escrow_id
 , o.agreementreference_uid as agr_id
 , o.accountevent_number as coa_num
 , '00000000-0000-0000-0000-0000fffffc12' as registry_type_id -- reserve^Резервы
 , cast(sys_date_create_or_update as date) as start_dt
 , cast('9999-12-31' as date) as as end_dt
from s_grnplm_as_t_didsd_308_db_stg.b3080000460007_payments_2_0_account_dto as o  
inner join s_grnplm_as_t_didsd_308_db_stg.b3080000460018_reimbursement_agreement_actual_dto as b
 on o.agreementreference = b.reference
where 1 = 1
 and o.registerid_uid is not null
 and coalesce(upper(o.systemid), '') = upper('reserve-factory')
-- ГС
 union all
 select  
   o.registerid_uid as registry_id
 , o.registerid as host_registry_id
 , null::uuid as agr_escrow_id
 , b.id_uid as agr_id
 , o.accountevent_number as coa_num
 , '00000000-0000-0000-0000-0000fffffc17' as registry_type_id -- '-1001^Генеральное соглашение ^ gs
 , cast(o.sys_date_create_or_update as date) as start_dt
 , cast('9999-12-31' as date)  as end_dt
from s_grnplm_as_t_didsd_308_db_stg.b3080000460007_payments_2_0_account_dto as o  
inner join s_grnplm_as_t_didsd_308_db_stg.b3080000460009_general_agreement_actual_dto as b
 on o.external_agreement_id = b.external_id
where 1 = 1
 and o.registerid_uid is not null
 and coalesce(upper(o.systemid), '') &lt;&gt; upper('reserve-factory') 
 -- ГОДС
union all
select *,
ROW_NUMBER() OVER (PARTITION BY a.registry_id ORDER BY a.start_dt DESC, st ) as rn
from (
select 2 as st,
recipientaccount_externalregistryid_uid as registry_id
, recipientaccount_externalregistryid as host_registry_id
, null::uuid as agr_escrow_id
, externalid_uid as agr_id
, null as coa_num
, '00000000-0000-0000-0000-0000fffffc0c' as registry_type_id -- '-1001^ГОДС ^ gods
, cast(sys_date_create_or_update as date) as start_dt
, cast('9999-12-31' as date) as end_dt
from s_grnplm_as_t_didsd_308_db_stg.b3080000460022_escrow_legalgk_gods_actual_dto
where recipientaccount_externalregistryid is not null
union all
select 1 as st, o.registerid_uid as registry_id
, o.registerid as host_registry_id
, null::uuid as agr_escrow_id
, b.externalid_uid as agr_id
, o.accountevent_number as coa_num
, '00000000-0000-0000-0000-0000fffffc0c' as registry_type_id -- '-1001^ГОДС ^ gods
, cast(o.sys_date_create_or_update as date) as start_dt
, cast('9999-12-31' as date) as end_dt
from s_grnplm_as_t_didsd_308_db_stg.b3080000460007_payments_2_0_account_dto as o
inner join s_grnplm_as_t_didsd_308_db_stg.b3080000460022_escrow_legalgk_gods_actual_dto as b
on o.external_agreement_id = b.externalid
where 1 = 1
and o.registerid_uid is not null
and coalesce(upper(o.systemid), '') &lt;&gt; upper('reserve-factory')
) a
where a.rn = 1</t>
  </si>
  <si>
    <t>host_registry_id</t>
  </si>
  <si>
    <t>text</t>
  </si>
  <si>
    <t>registry_type_id</t>
  </si>
  <si>
    <t>Тип регистра счета</t>
  </si>
  <si>
    <t>Идентификатор договора эскроу</t>
  </si>
  <si>
    <t>agr_id</t>
  </si>
  <si>
    <t>Идентификатор договора</t>
  </si>
  <si>
    <t>связь со счетом регистра по референсу</t>
  </si>
  <si>
    <t>coa_num</t>
  </si>
  <si>
    <t>Номер счёта</t>
  </si>
  <si>
    <t>start_dt</t>
  </si>
  <si>
    <t>Начало</t>
  </si>
  <si>
    <t>end_dt</t>
  </si>
  <si>
    <t>Конец</t>
  </si>
  <si>
    <t>Схема субсидирования</t>
  </si>
  <si>
    <t xml:space="preserve">select *
from ( 
-- Эскроу 214 Схема субсидирования ставки
select 
rateSubsidyScheme_agreement_uid,
rateSubsidyScheme_agreement,
case when rateSubsidyScheme_agreement = '1' then 'Схема 1'
when rateSubsidyScheme_agreement = '2' then 'Схема 2'
when rateSubsidyScheme_agreement  = '0' then 'Схема 0'
else 'Схема 00' end as rateSubsidyScheme_agreement_name,
row_number() OVER (PARTITION BY rateSubsidyScheme_agreement ORDER BY sys_date_create_or_update DESC) AS rn
from s_grnplm_as_t_didsd_308_db_stg.b3080000460001_escrow_legal214_agreement_actual_dto
where rateSubsidyScheme_agreement is not null
 ) a
where a.rn = 1
union ALL
select *
from ( 
select 
-- Эскроу ГКсхема распределения дохода
profitscheme_uid as rateSubsidyScheme_agreement_uid,
profitscheme as rateSubsidyScheme_agreement,
case when profitscheme = 'DEPONENT' then 'Схема 0 – 100% депонент'
when profitscheme = 'BENEFICIARY' then 'Схема 2 – 100% бенефициар'
when profitscheme  = 'EQUALLY' then 'Схема 1 – 50%/50% депонент/бенефициар' end as rateSubsidyScheme_agreement_name,
row_number() OVER (PARTITION BY profitscheme ORDER BY sys_date_create_or_update DESC) AS rn
from s_grnplm_as_t_didsd_308_db_stg.b3080000460002_escrow_legalgk_agreement_actual_dto
where profitscheme is not null
 ) a
where a.rn = 1
</t>
  </si>
  <si>
    <t>escrow_scheme_cd</t>
  </si>
  <si>
    <t>rateSubsidyScheme_agreement</t>
  </si>
  <si>
    <t>escrow_scheme_name</t>
  </si>
  <si>
    <t>Название схемы субсидирования</t>
  </si>
  <si>
    <t>rateSubsidyScheme_agreement_name</t>
  </si>
  <si>
    <t xml:space="preserve">escrowId_agreement_uid </t>
  </si>
  <si>
    <t>developerLoanAgrNumber_cred_agreement is not null or  devLoanAgrKulId_agreement is not null</t>
  </si>
  <si>
    <t>Снимок-история</t>
  </si>
  <si>
    <t>COALESCE (devLoanAgrKulId_agreement_uid, developerLoanAgrNumber_cred_agreement_uid)</t>
  </si>
  <si>
    <t>cast(sys_date_create_or_update as date)</t>
  </si>
  <si>
    <t>cast('9999-12-31' as date)</t>
  </si>
  <si>
    <t>legalEpkId_deponent is not null</t>
  </si>
  <si>
    <t>cust_id</t>
  </si>
  <si>
    <t>legalEpkId_deponent_uid</t>
  </si>
  <si>
    <t xml:space="preserve">select agr_escrow_cust_type_id from s_grnplm_as_t_didsd_308_db_dwh.t_agr_escrow_cust_type where agr_escrow_cust_type_cd = 'deponent' </t>
  </si>
  <si>
    <t>agr_escrow_cust_type_id</t>
  </si>
  <si>
    <t>00000000-0000-0000-0000-0000fffffc16 -- Депонент</t>
  </si>
  <si>
    <t>legalEpkId_beneficiary is not null</t>
  </si>
  <si>
    <t>legalEpkId_beneficiary_uid</t>
  </si>
  <si>
    <t>select agr_escrow_cust_type_id from s_grnplm_as_t_didsd_308_db_dwh.t_agr_escrow_cust_type where agr_escrow_cust_type_cd = 'beneficiary'</t>
  </si>
  <si>
    <t>00000000-0000-0000-0000-0000fffffc17 -- Бенефициар</t>
  </si>
  <si>
    <t>id клиента</t>
  </si>
  <si>
    <t>cust_uid</t>
  </si>
  <si>
    <t xml:space="preserve">  select 
 v.cust_id
, v.cust_epk as host_epk_cust_id
, v.ind_flag
, v.workflow_run_id
, v.input_file_id
, v.info_system_id
, 'I' as action_cd
, 'N' as deleted_flag
, -103500410::integer as session_inst_id
from
(
select 
 q.cust_id
, q.cust_epk
, q.ind_flag
, row_number() over (partition by q.cust_id order by q.ind_flag, q.sys_date_create_or_update desc) as rn
from ( 
--гарантии   
select 
  b.beneficiary_epkId_uid as cust_id
, b.beneficiary_epkId as cust_epk
, case when beneficiary_type = 'INDIVIDUAL_ENTREPRENEUR' then 'Y' when beneficiary_type = 'LEGAL' then 'N' else null end as ind_flag
from s_grnplm_as_t_didsd_308_db_stg.b3080000460021_guarantee_actual_dto b
where b.beneficiary_epkId_uid is not null
and b.deleted = 'N'
union all
select 
  b.applicant_epkId_uid as cust_id
, b.applicant_epkId as cust_epk
, case when applicant_type = 'INDIVIDUAL_ENTREPRENEUR' then 'Y'  when applicant_type = 'LEGAL' then 'N' else null end as ind_flag
from s_grnplm_as_t_didsd_308_db_stg.b3080000460021_guarantee_actual_dto b
where b.applicant_epkId_uid is not null
and b.deleted = 'N'
-- не клиенты банка
union all
select b.applicant_taxId_uid  
, null::text as host_epk_cust_id
, case when applicant_type = 'INDIVIDUAL_ENTREPRENEUR' then 'Y'  when applicant_type = 'LEGAL' then 'N' else null end as ind_flag
from s_grnplm_as_t_didsd_308_db_stg.b3080000460021_guarantee_actual_dto b
where  b.applicant_epkId is null
and b.deleted = 'N'
and (b.applicant_taxId is not null or applicant_fullName is not null)
union all
select   b.beneficiary_taxId_uid as cust_id
, null::text as cust_epk
, case when beneficiary_type = 'INDIVIDUAL_ENTREPRENEUR' then 'Y' when beneficiary_type = 'LEGAL' then 'N' else null end as ind_flag
from s_grnplm_as_t_didsd_308_db_stg.b3080000460021_guarantee_actual_dto b
where b.beneficiary_epkId is null
and b.deleted = 'N'
and (b.beneficiary_taxId is not null or beneficiary_fullName is not null)
union all
--214
select 
 b1_1.legalepkid_beneficiary_uid as cust_id
, b1_1.legalepkid_beneficiary as cust_epk
, 'N' as ind_flag
from s_grnplm_as_t_didsd_308_db_stg.b3080000460001_escrow_legal214_agreement_actual_dto b1_1
where b1_1.legalepkid_beneficiary is not null
and b1_1.deleted = 'N'
union all
select 
 b1_2.legalepkid_deponent_uid as cust_id
, b1_2.legalepkid_deponent as cust_epk
, 'N' as ind_flag
from s_grnplm_as_t_didsd_308_db_stg.b3080000460001_escrow_legal214_agreement_actual_dto b1_2
where b1_2.legalepkid_deponent is not null
and b1_2.deleted = 'N'
union all
--гк
--клиенты
select
 b2.depositorlegal_epkid_uid as cust_id
, b2.depositorlegal_epkid as cust_epk
, 'N' as ind_flag
from s_grnplm_as_t_didsd_308_db_stg.b3080000460002_escrow_legalgk_agreement_actual_dto b2
where b2.depositorlegal_epkid is not null
and b2.deleted = 'N'
union all
select 
 b3_1.epkid_i_uid as cust_id
, b3_1.epkid_i as cust_epk
, 'Y' as ind_flag
from s_grnplm_as_t_didsd_308_db_stg.b3080000460003_escrow_legalgk_beneficiariesindividual b3_1
where b3_1.epkid_i is not null
and b3_1.deleted = 'N'
union all
select 
 b4_1.epkid_l_uid as cust_id
, b4_1.epkid_l as cust_epk
, 'N' as ind_flag
from s_grnplm_as_t_didsd_308_db_stg.b3080000460004_escrow_legalgk_beneficiarieslegal b4_1
where b4_1.epkid_l is not null
and b4_1.deleted = 'N'
union all
select 
 b5.comissionerid_uid as cust_id
, b5.comissionerid as cust_epk
, null as ind_flag
from s_grnplm_as_t_didsd_308_db_stg.b3080000460005_escrow_legalgk_tariffs b5
where b5.comissionerid_uid is not null
and b5.deleted = 'N'
--не клиенты банка
union all
select 
 b3_2.beneficiariesindividual_uid as cust_id
, null as cust_epk
, 'Y' as ind_flag
from s_grnplm_as_t_didsd_308_db_stg.b3080000460003_escrow_legalgk_beneficiariesindividual b3_2
where b3_2.epkid_i is null
and b3_2.deleted = 'N'
union all
select 
 b4_2.beneficiarieslegal_uid as cust_id
, null as cust_epk
, 'N' as ind_flag
from s_grnplm_as_t_didsd_308_db_stg.b3080000460004_escrow_legalgk_beneficiarieslegal b4_2
where b4_2.epkid_l is null
and b4_2.deleted = 'N'
union all
--гс
select 
  b.epkid_client_uid as cust_id
, b.epkid_client as cust_epk
, null as ind_flag
from s_grnplm_as_t_didsd_308_db_stg.b3080000460009_general_agreement_actual_dto b
where b.epkid_client_uid is not null
and b.deleted = 'N'
union all
--эксп.инкассо
select 
  b.beneficiaryepkid_versionedattr_uid as cust_id
, b.beneficiaryepkid_versionedattr as cust_epk
, null as ind_flag
from s_grnplm_as_t_didsd_308_db_stg.b3080000460016_inkasso_export_agreement_actual_dto b
where b.beneficiaryepkid_versionedattr_uid is not null
and b.deleted = 'N'
union all
select 
  b.applicantepkid_versionedattr_uid as cust_id
, b.applicantepkid_versionedattr as cust_epk
, null as ind_flag
from s_grnplm_as_t_didsd_308_db_stg.b3080000460016_inkasso_export_agreement_actual_dto b
where b.applicantepkid_versionedattr_uid is not null
and b.deleted = 'N'
-- не клиенты банка
union all
select  b.beneficiaryname_taxid_versionedattr_uid as cust_id
, null::text as cust_epk
, null as ind_flag
from s_grnplm_as_t_didsd_308_db_stg.b3080000460016_inkasso_export_agreement_actual_dto b
where  b.beneficiaryepkid_versionedattr is null
and b.deleted = 'N'
and (b.beneficiaryname_versionedattr is not null or beneficiarytaxid_versionedattr is not null)
union all
select 
  b.applicantname_taxid_versionedattr_uid as cust_id
, null::text as cust_epk
, null as ind_flag
from s_grnplm_as_t_didsd_308_db_stg.b3080000460016_inkasso_export_agreement_actual_dto b
where b.applicantepkid_versionedattr is null
and b.deleted = 'N'
and (b.applicantname_versionedattr is not null or applicanttaxid_versionedattr is not null)
union all
--имп.инкассо
select 
  b.beneficiaryepkid_versionedattr_uid as cust_id
, b.beneficiaryepkid_versionedattr as cust_epk
, null as ind_flag
from s_grnplm_as_t_didsd_308_db_stg.b3080000460017_inkasso_import_agreement_actual_dto b
where b.beneficiaryepkid_versionedattr_uid is not null
and b.deleted = 'N'
union all
select 
  b.applicantepkid_versionedattr_uid as cust_id
, b.applicantepkid_versionedattr as cust_epk
, null as ind_flag
from s_grnplm_as_t_didsd_308_db_stg.b3080000460017_inkasso_import_agreement_actual_dto b
where b.applicantepkid_versionedattr_uid is not null
and b.deleted = 'N'
-- не клиенты банка
union all
select b.beneficiaryname_taxid_versionedattr_uid  
, null::text as host_epk_cust_id
, null as ind_flag
from s_grnplm_as_t_didsd_308_db_stg.b3080000460017_inkasso_import_agreement_actual_dto b
where  b.beneficiaryepkid_versionedattr is null
and b.deleted = 'N'
and (b.beneficiaryname_versionedattr is not null or beneficiarytaxid_versionedattr is not null)
union all
select   b.applicantname_taxid_versionedattr_uid as cust_id
, null::text as cust_epk
, null as ind_flag
from s_grnplm_as_t_didsd_308_db_stg.b3080000460017_inkasso_import_agreement_actual_dto b
where b.applicantepkid_versionedattr is null
and b.deleted = 'N'
and (b.applicantname_versionedattr is not null or applicanttaxid_versionedattr is not null)
union all
-- Аккредитивы ЮЛ
select 
  b15_1.applicantepkid_uid as cust_id
, b15_1.applicantepkid as host_epk_cust_id
, 'N' as ind_flag
from s_grnplm_as_t_didsd_308_db_stg.b3080000460015_lcl_agreement_actual_dto as b15_1
where b15_1.applicantepkid_uid is not null
and b15_1.deleted = 'N'
union all
select 
  b15_2.applicantlegalname_tax_uid as cust_id
, null::text as host_epk_cust_id
, 'N' as ind_flag
from s_grnplm_as_t_didsd_308_db_stg.b3080000460015_lcl_agreement_actual_dto as b15_2
where b15_2.applicantepkid_uid is null -- нет ЕПК, только по наименованию и ИНН
and coalesce(b15_2.applicantlegalname, '')||coalesce(b15_2.applicanttaxid, '') &lt;&gt; '' -- конкатенированный НК, *_uid всегда не пустой
and b15_2.deleted = 'N'
union all
select 
  b15_3.beneficiarylegalepkid_uid as cust_id
, b15_3.beneficiarylegalepkid as host_epk_cust_id
, 'N' as ind_flag
from s_grnplm_as_t_didsd_308_db_stg.b3080000460015_lcl_agreement_actual_dto as b15_3
where b15_3.beneficiarylegalepkid_uid is not null
and b15_3.deleted = 'N'
union all
select 
  b15_4.beneficiarylegalname_tax_uid as cust_id
, null::text as host_epk_cust_id
, 'N' as ind_flag
from s_grnplm_as_t_didsd_308_db_stg.b3080000460015_lcl_agreement_actual_dto as b15_4
where b15_4.beneficiarylegalepkid_uid is null -- нет ЕПК, только по наименованию и ИНН
and coalesce(b15_4.beneficiarylegalname, '')||coalesce(b15_4.beneficiarylegaltaxid, '') &lt;&gt; '' -- конкатенированный НК, *_uid всегда не пустой
and b15_4.deleted = 'N'
union all
select 
  b15_5.beneficiaryindepkid_uid as cust_id
, null::text as host_epk_cust_id
, 'Y' as ind_flag
from s_grnplm_as_t_didsd_308_db_stg.b3080000460015_lcl_agreement_actual_dto as b15_5
where b15_5.beneficiaryindepkid_uid is not null
and b15_5.deleted = 'N'
union all
select 
  b15_6.beneficiaryindname_tax_uid as cust_id
, null::text as host_epk_cust_id
, 'Y' as ind_flag
from s_grnplm_as_t_didsd_308_db_stg.b3080000460015_lcl_agreement_actual_dto as b15_6
where b15_6.beneficiaryindepkid_uid is null -- нет ЕПК, только по наименованию и ИНН
and coalesce(b15_6.beneficiaryindividualname, '')||coalesce(b15_6.beneficiaryindividualtaxid, '') &lt;&gt; '' -- конкатенированный НК, *_uid всегда не пустой
and b15_6.deleted = 'N'
) q 
) v
where v.rn = 1; </t>
  </si>
  <si>
    <t>host_epk_cust_id</t>
  </si>
  <si>
    <t>ЕПК id юр.лица</t>
  </si>
  <si>
    <t>cust_epk</t>
  </si>
  <si>
    <t>ind_flag</t>
  </si>
  <si>
    <t>Физическое лицо</t>
  </si>
  <si>
    <t>int_org_id</t>
  </si>
  <si>
    <t>Идентификатор оргструктуры</t>
  </si>
  <si>
    <t xml:space="preserve"> select 
   v2.int_org_id
 , v2.int_org_num
 , v2.bic_num
 , v2.int_org_name
from
(
 select 
   v.int_org_id
 , v.int_org_num
 , row_number() over (partition by v.int_org_id order by v.sys_date_create_or_update desc) as rn
 from 
 ( 
 -- Гарантии
select 
    b2_2.bankBranchOsbCode_uid as int_org_id
  , concat(b2_2.bankBranch, b2_2.osbCode) as int_org_num
  , null::text as bic_num
  , null::text as int_org_name
  , b2_2.sys_date_create_or_update
  from s_grnplm_as_t_didsd_308_db_stg.b3080000460021_guarantee_actual_dto b2_2
  where bankBranchOsbCode_uid is not null
  and b2_2.deleted = 'N'
  union all 
  select 
    b2_2.beneficiaryBankBranchOsbCode_uid as int_org_id
  , concat(b2_2.beneficiaryBankOsbCode, b2_2.beneficiaryBankOsbCode) as int_org_num
  , null::text as bic_num
  , null::text as int_org_name
  , b2_2.sys_date_create_or_update
  from s_grnplm_as_t_didsd_308_db_stg.b3080000460021_guarantee_actual_dto b2_2
  where beneficiaryBankBranchOsbCode_uid is not null
  and b2_2.deleted = 'N'
  union all 
  --214
  -- депонент / счет / сопровождение договора
  select 
    b1_1.escrowbranchcode_agreement_uid as int_org_id
  , b1_1.escrowbranchcode_agreement as int_org_num
  , null::text as bic_num
  , null::text as int_org_name
  , b1_1.sys_date_create_or_update
  from s_grnplm_as_t_didsd_308_db_stg.b3080000460001_escrow_legal214_agreement_actual_dto b1_1
  where b1_1.escrowbranchcode_agreement is not null
  and b1_1.deleted = 'N'
  union all
  -- бенефициар
  select 
    b1_2.bankunitcode_beneficiary_uid as int_org_id
  , b1_2.bankunitcode_beneficiary as int_org_num
  , null::text as bic_num
  , null::text as int_org_name
  , b1_2.sys_date_create_or_update
  from s_grnplm_as_t_didsd_308_db_stg.b3080000460001_escrow_legal214_agreement_actual_dto b1_2
  where b1_2.bankunitcode_beneficiary is not null
  and b1_2.deleted = 'N'
  --гк
  -- сопровождение договора / значение по балансу
  union all
  select 
    b2_1.escrowbankregionaloffice_uid as int_org_id
  , b2_1.escrowbankregionaloffice as int_org_num
  , null::text as bic_num
  , null::text as int_org_name
  , b2_1.sys_date_create_or_update
  from s_grnplm_as_t_didsd_308_db_stg.b3080000460002_escrow_legalgk_agreement_actual_dto b2_1
  where b2_1.escrowbankregionaloffice is not null
  and b2_1.deleted = 'N'
  -- по схеме распределения дохода депонент
  union all
  select 
    b2_2.deponentbank_uid as int_org_id
  , concat(b2_2.deponentbankbranch, b2_2.deponentbankregionalunit) as int_org_num
  , null::text as bic_num
  , null::text as int_org_name
  , b2_2.sys_date_create_or_update
  from s_grnplm_as_t_didsd_308_db_stg.b3080000460002_escrow_legalgk_agreement_actual_dto b2_2
  where b2_2.deponentbankbranch is not null
  and b2_2.deleted = 'N'
  -- по схеме распределения дохода бенефициар
  union all
  select 
    b2_3.beneficiarybank_uid as int_org_id
  , concat(b2_3.beneficiarybankbranch, b2_3.beneficiarybankregionalunit) as int_org_num
  , null::text as bic_num
  , null::text as int_org_name
  , b2_3.sys_date_create_or_update
  from s_grnplm_as_t_didsd_308_db_stg.b3080000460002_escrow_legalgk_agreement_actual_dto b2_3
  where b2_3.beneficiarybankbranch is not null
  and b2_3.deleted = 'N'
  --гс
  union all
  select 
    b9.bankbranchosb_uid as int_org_id
  , b9.bankbranchosb as int_org_num
  , null::text as bic_num
  , null::text as int_org_name
  , b9.sys_date_create_or_update
  from s_grnplm_as_t_didsd_308_db_stg.b3080000460009_general_agreement_actual_dto b9
  where b9.bankbranchosb is not null
  and b9.deleted = 'N'
  union all
  -- Аккредитивы ЮЛ
  select
   b.applicant_tbosb_uid as int_org_id
   , coalesce(b.applicantterritorybankbranchcode,'')||coalesce(b.applicantterritoryosbcode,'') as int_org_num
   , b.applicantterritorybic as bic_num
   , b.applicantterritoryname as int_org_name
   , b.sys_date_create_or_update
  from s_grnplm_as_t_didsd_308_db_stg.b3080000460015_lcl_agreement_actual_dto as b
  where 1 = 1
   and coalesce(b.applicantterritorybankbranchcode,'')||coalesce(b.applicantterritoryosbcode,'') &lt;&gt; '' -- конкатенированный НК, *_uid всегда не пустой
   and upper(b.deleted) = 'N'
  union all 
  select
   b.beneficiary_tbosb_uid as int_org_id
   , coalesce(b.beneficiaryterritorybankbranchcode,'')||coalesce(b.beneficiaryterritoryosbcode,'') as int_org_num
   , b.beneficiaryterritorybic as bic_num
   , b.beneficiaryterritoryname as int_org_name
   , b.sys_date_create_or_update
  from s_grnplm_as_t_didsd_308_db_stg.b3080000460015_lcl_agreement_actual_dto as b
  where 1 = 1
   and coalesce(b.beneficiaryterritorybankbranchcode,'')||coalesce(b.beneficiaryterritoryosbcode,'') &lt;&gt; '' -- конкатенированный НК, *_uid всегда не пустой
   and upper(b.deleted) = 'N'
  union all 
  select
   b.regionalunit_tbosb_uid as int_org_id
   , coalesce(b.bankregionalunitbankbranchcode,'')||coalesce(b.bankregionalunitosbcode,'') as int_org_num
   , b.bankregionalunitbic as bic_num
   , b.bankregionalunitname as int_org_name
   , b.sys_date_create_or_update
  from s_grnplm_as_t_didsd_308_db_stg.b3080000460015_lcl_agreement_actual_dto as b
  where 1 = 1
   and coalesce(b.bankregionalunitbankbranchcode,'')||coalesce(b.bankregionalunitosbcode,'') &lt;&gt; '' -- конкатенированный НК, *_uid всегда не пустой 
   and upper(b.deleted) = 'N'
  union all
  -- Эксп.инкассо
  select 
    b.bankregionalunitcode_versionedattr_uid as int_org_id
  , b.bankregionalunitcode_versionedattr as int_org_num
  , null::text as bic_num
  , bankregionalunitname_versionedattr::text as int_org_name
  , b.sys_date_create_or_update
  from s_grnplm_as_t_didsd_308_db_stg.b3080000460016_inkasso_export_agreement_actual_dto b
  where b.bankregionalunitcode_versionedattr is not null
  and b.deleted = 'N'
  union all
    select 
    b.beneficiarybankunitcode_versionedattr_uid as int_org_id
  , b.beneficiarybankunitcode_versionedattr as int_org_num
  , null::text as bic_num
  , bankregionalunitname_versionedattr::text as int_org_name
  , b.sys_date_create_or_update
  from s_grnplm_as_t_didsd_308_db_stg.b3080000460016_inkasso_export_agreement_actual_dto b
  where b.beneficiarybankunitcode_versionedattr is not null
  and b.deleted = 'N'
    union all
  -- Имп.инкассо
  select 
    b.bankregionalunitcode_versionedattr_uid as int_org_id
  , b.bankregionalunitcode_versionedattr as int_org_num
  , null::text as bic_num
  , bankregionalunitname_versionedattr::text as int_org_name
  , b.sys_date_create_or_update
  from s_grnplm_as_t_didsd_308_db_stg.b3080000460017_inkasso_import_agreement_actual_dto b
  where b.bankregionalunitcode_versionedattr is not null
  and b.deleted = 'N'
  union all
    select 
    b.applicantbankunitcode_versionedattr_uid as int_org_id
  , b.applicantbankunitcode_versionedattr as int_org_num
  , null::text as bic_num
  , bankregionalunitname_versionedattr::text as int_org_name
  , b.sys_date_create_or_update
  from s_grnplm_as_t_didsd_308_db_stg.b3080000460017_inkasso_import_agreement_actual_dto b
  where b.applicantbankunitcode_versionedattr is not null
  and b.deleted = 'N'
  union all
  -- Рамбурс
  select 
    b.bankregionalunitcode_uid as int_org_id
  , b.bankregionalunitcode as int_org_num
  , null::text as bic_num
  , null::text as int_org_name
  , b.sys_date_create_or_update
  from s_grnplm_as_t_didsd_308_db_stg.b3080000460018_reimbursement_agreement_actual_dto b
  where b.bankregionalunitcode is not null
  and b.deleted = 'N'
 ) v
) v2
where v2.rn = 1</t>
  </si>
  <si>
    <t>int_org_num</t>
  </si>
  <si>
    <t>Номер внутреннего подразделения</t>
  </si>
  <si>
    <t>bic_num</t>
  </si>
  <si>
    <t>БИК</t>
  </si>
  <si>
    <t>int_org_name</t>
  </si>
  <si>
    <t>Наименование</t>
  </si>
  <si>
    <t>bankunitcode_beneficiary is not null or
escrowBranchCode_agreement is not null</t>
  </si>
  <si>
    <t>null</t>
  </si>
  <si>
    <t>ben_int_org_id</t>
  </si>
  <si>
    <t>Код ВСП бенефициара</t>
  </si>
  <si>
    <t>bankunitcode_beneficiary_uid</t>
  </si>
  <si>
    <t>dep_int_org_id</t>
  </si>
  <si>
    <t>escrowBranchCode_agreement_uid</t>
  </si>
  <si>
    <t>crncy_id</t>
  </si>
  <si>
    <t>Валюта суммы депонирования</t>
  </si>
  <si>
    <t xml:space="preserve">  from (
select 
  sub_1.crncy_id
, sub_1.iso_crncy_cd
, row_number() over (partition by sub_1.crncy_id order by sub_1.sys_date_create_or_update desc) as rn
from (
select 
  b1.escrowAmount_currency_agreement_uid as crncy_id
, b1.escrowAmount_currency_agreement as iso_crncy_cd
from s_grnplm_as_t_didsd_308_db_stg.b3080000460001_escrow_legal214_agreement_actual_dto b1
where b1.escrowAmount_currency_agreement is not null 
and b1.deleted = 'N'
union all
select 
  b2.escrowamount_currency_uid as crncy_id
, b2.escrowamount_currency as iso_crncy_cd
from s_grnplm_as_t_didsd_308_db_stg.b3080000460002_escrow_legalgk_agreement_actual_dto b2
where b2.escrowamount_currency is not null
and b2.deleted = 'N'
union all
select 
  b6.currency_uid as crncy_id
, b6.currency as iso_crncy_cd
from s_grnplm_as_t_didsd_308_db_stg.b3080000460006_payments_2_0_posting_dto b6
where b6.currency is not null
and b6.deleted = 'N'
union all
select 
  b8.currency_amnt_limitschedule_uid as crncy_id
, b8.currency_amnt_limitschedule as iso_crncy_cd
from s_grnplm_as_t_didsd_308_db_stg.b3080000460008_general_agreement_actual_limitschedule b8
where b8.currency_amnt_limitschedule is not null
and b8.deleted = 'N'
union all
-- Аккредитивы ЮЛ
select
  b15.amountcurrencycode_uid as crncy_id
, b15.amountcurrencycode as iso_crncy_cd
from s_grnplm_as_t_didsd_308_db_stg.b3080000460015_lcl_agreement_actual_dto as b15
where b15.amountcurrencycode_uid is not null
and b15.deleted = 'N'
--Имп.инкассо
select
  b17.currencycode_versionedattr_uid as crncy_id
, b17.currencycode_versionedattr as iso_crncy_cd
from s_grnplm_as_t_didsd_308_db_stg.b3080000460017_inkasso_import_agreement_actual_dto as b17
where b17.currencycode_versionedattr_uid is not null and b17.deleted = 'N'
union all
--Эксп.инкассо
select
  b16.currencycode_versionedattr_uid as crncy_id
, b16.currencycode_versionedattr as iso_crncy_cd
from s_grnplm_as_t_didsd_308_db_stg.b3080000460016_inkasso_export_agreement_actual_dto as b16
where b16.currencycode_versionedattr_uid is not null and b16.deleted = 'N'
union all
--Рамбурс
select
  b18.currencycode_uid as crncy_id
, b18.currencycode as iso_crncy_cd
from s_grnplm_as_t_didsd_308_db_stg.b3080000460018_reimbursement_agreement_actual_dto as b18
where b18.currencycode_uid is not null and b18.deleted = 'N'
union all
--Гарантии
select
  b19.amount_currency_uid as crncy_id
, b19.amount_currency as iso_crncy_cd
from s_grnplm_as_t_didsd_308_db_stg.b3080000460021_guarantee_actual_dto as b19
where b19.amount_currency is not null and b19.deleted = 'N'
union all
--ГОДС
select
  b19.conventionAmount_currency_uid as crncy_id
, b19.conventionAmount_currency as iso_crncy_cd
from s_grnplm_as_t_didsd_308_db_stg.b3080000460022_escrow_legalgk_gods_actual_dto as b19
where b19.conventionAmount_currency is not null and b19.deleted = 'N'
) sub_1  </t>
  </si>
  <si>
    <t>iso_crncy_cd</t>
  </si>
  <si>
    <t>escrowid_uid</t>
  </si>
  <si>
    <t>conclusiondate</t>
  </si>
  <si>
    <t>Null</t>
  </si>
  <si>
    <t>closedate</t>
  </si>
  <si>
    <t>reference</t>
  </si>
  <si>
    <t>agr_escrow_type_id</t>
  </si>
  <si>
    <t>escrowType_code_uid</t>
  </si>
  <si>
    <t>escrowid</t>
  </si>
  <si>
    <t>escrowamount_value</t>
  </si>
  <si>
    <t>escrowamount_currency_uid</t>
  </si>
  <si>
    <t>profitscheme_uid</t>
  </si>
  <si>
    <t>Для эскроу ГК - это схема распределения дохода</t>
  </si>
  <si>
    <t>expiredate</t>
  </si>
  <si>
    <t>N'</t>
  </si>
  <si>
    <t>depositorlegal_creditcontract_number is not null or depositorlegal_creditcontract_kulid is not null</t>
  </si>
  <si>
    <t>COALESCE( depositorlegal_creditcontract_kulid_uid ,depositorlegal_creditcontract_number_uid)</t>
  </si>
  <si>
    <t>depositorlegal_epkid is not null</t>
  </si>
  <si>
    <t>depositorlegal_epkid_uid</t>
  </si>
  <si>
    <t xml:space="preserve">epkid_i  is not null or beneficiariesindividual_uid is not null </t>
  </si>
  <si>
    <t>Снимок-блочная история</t>
  </si>
  <si>
    <t>coalesce(epkid_i_uid,beneficiariesindividual_uid)</t>
  </si>
  <si>
    <t>epkid_l  is not null or beneficiarieslegal_uid  is not null</t>
  </si>
  <si>
    <t>coalesce(epkid_l_uid, beneficiarieslegal_uid)</t>
  </si>
  <si>
    <t xml:space="preserve">escrowbankregionaloffice is not null or beneficiaryBankBranch  is not null or deponentBankBranch  is not null </t>
  </si>
  <si>
    <t>escrowbankregionaloffice_uid</t>
  </si>
  <si>
    <t>ТБ обязательно должен быть заполнено, иначе функция РДМ не верно расспарсит терр структуру</t>
  </si>
  <si>
    <t>beneficiaryBank_uid</t>
  </si>
  <si>
    <t>deponentBank_uid</t>
  </si>
  <si>
    <t>optn_type_id</t>
  </si>
  <si>
    <t>processCode_uid</t>
  </si>
  <si>
    <t xml:space="preserve"> select * 
from (
select processCode_uid, 
processCode,  
row_number() OVER (PARTITION BY processCode ORDER BY sys_date_create_or_update DESC) AS rn
from b3080000460006_payments_2_0_posting_dto
where processCode is not null  and deleted = 'N'
) a
where a.rn = 1 </t>
  </si>
  <si>
    <t>optn_type_cd</t>
  </si>
  <si>
    <t>Код типа операции</t>
  </si>
  <si>
    <t>processCode</t>
  </si>
  <si>
    <t>optn_type_name</t>
  </si>
  <si>
    <t>Наименование типа операции</t>
  </si>
  <si>
    <t>NULL</t>
  </si>
  <si>
    <t>optn_id</t>
  </si>
  <si>
    <t>id_uid</t>
  </si>
  <si>
    <t xml:space="preserve">  select
   b6.id_uid as optn_id
 , b6.processcode_uid as optn_type_id
 , b6.agreementid_uid as agr_id
 , b6.purpose as optn_cd
 , b6.datep as optn_dt
 , b6.amount as optn_amt
 , b6.currency_uid as crncy_id
 , b6.serviceid_uid as bus_srv_id
 , b6.id as host_optn_id
from s_grnplm_as_t_didsd_308_db_stg.b3080000460006_payments_2_0_posting_dto as b6
join s_grnplm_as_t_didsd_308_db_stg.b3080000460002_escrow_legalgk_agreement_actual_dto as b2
 on b6.agreementid = b2.escrowid
--АЮЛ
union all
select  
 o.id_uid as optn_id
 , o.processсode_uid as optn_type_id
 , o.agreementreference_uid as agr_id
 , o.purpose as optn_cd
 , o.datep as optn_dt
 , o.amount as optn_amt
 , o.currency_uid as crncy_id
 , o.serviceid_uid as bus_srv_id
 , o.id as host_optn_id
from s_grnplm_as_t_didsd_308_db_stg.b3080000460006_payments_2_0_posting_dto as o  
inner join s_grnplm_as_t_didsd_308_db_stg.b3080000460015_lcl_agreement_actual_dto as b
 on o.agreementreference = b.reference
--инкассо экспортное
union all
select  
 o.id_uid as optn_id
 , o.processсode_uid as optn_type_id
 , o.agreementreference_uid as agr_id
 , o.purpose as optn_cd
 , o.datep as optn_dt
 , o.amount as optn_amt
 , o.currency_uid as crncy_id
 , o.serviceid_uid as bus_srv_id
 , o.id as host_optn_id
from s_grnplm_as_t_didsd_308_db_stg.b3080000460006_payments_2_0_posting_dto as o  
inner join s_grnplm_as_t_didsd_308_db_stg.b3080000460016_inkasso_export_agreement_actual_dto as b
 on o.agreementreference = b.reference
--инкассо импортное
union all
select  
 o.id_uid as optn_id
 , o.processсode_uid as optn_type_id
 , o.agreementreference_uid as agr_id
 , o.purpose as optn_cd
 , o.datep as optn_dt
 , o.amount as optn_amt
 , o.currency_uid as crncy_id
 , o.serviceid_uid as bus_srv_id
 , o.id as host_optn_id
from s_grnplm_as_t_didsd_308_db_stg.b3080000460006_payments_2_0_posting_dto as o  
inner join s_grnplm_as_t_didsd_308_db_stg.b3080000460017_inkasso_import_agreement_actual_dto as b
 on o.agreementreference = b.reference
--рамбурсы
union all
select  
 o.id_uid as optn_id
 , o.processсode_uid as optn_type_id
 , o.agreementreference_uid as agr_id
 , o.purpose as optn_cd
 , o.datep as optn_dt
 , o.amount as optn_amt
 , o.currency_uid as crncy_id
 , o.serviceid_uid as bus_srv_id
 , o.id as host_optn_id
from s_grnplm_as_t_didsd_308_db_stg.b3080000460006_payments_2_0_posting_dto as o  
inner join s_grnplm_as_t_didsd_308_db_stg.b3080000460018_reimbursement_agreement_actual_dto as b
 on o.agreementreference = b.reference
--ГС
union all
  select
   b6.id_uid as optn_id
 , b6.processcode_uid as optn_type_id
 , b2.id_uid as agr_id
 , b6.purpose as optn_cd
 , b6.datep as optn_dt
 , b6.amount as optn_amt
 , b6.currency_uid as crncy_id
 , b6.serviceid_uid as bus_srv_id
 , b6.id as host_optn_id
from s_grnplm_as_t_didsd_308_db_stg.b3080000460006_payments_2_0_posting_dto as b6
join s_grnplm_as_t_didsd_308_db_stg.b3080000460009_general_agreement_actual_dto as b2
 on b6.external_agreement_id = b2.external_id
 --Гарантии
union all
  select
   b6.id_uid as optn_id
 , b6.processcode_uid as optn_type_id
 , b2.externalId_uid as agr_id
 , b6.purpose as optn_cd
 , b6.datep as optn_dt
 , b6.amount as optn_amt
 , b6.currency_uid as crncy_id
 , b6.serviceid_uid as bus_srv_id
 , b6.id as host_optn_id
from s_grnplm_as_t_didsd_308_db_stg.b3080000460006_payments_2_0_posting_dto as b6
join s_grnplm_as_t_didsd_308_db_stg.b3080000460021_guarantee_actual_dto as b2
 on b6.external_agreement_id = b2.external_id
 --ГОДС
union all
  select
   b6.id_uid as optn_id
 , b6.processcode_uid as optn_type_id
 , b2.externalId_uid as agr_id
 , b6.purpose as optn_cd
 , b6.datep as optn_dt
 , b6.amount as optn_amt
 , b6.currency_uid as crncy_id
 , b6.serviceid_uid as bus_srv_id
 , b6.id as host_optn_id
from s_grnplm_as_t_didsd_308_db_stg.b3080000460006_payments_2_0_posting_dto as b6
join s_grnplm_as_t_didsd_308_db_stg.b3080000460022_escrow_legalgk_gods_actual_dto as b2
 on b6.external_agreement_id = b2.external_id
</t>
  </si>
  <si>
    <t>agreementid_uid</t>
  </si>
  <si>
    <t>optn_cd</t>
  </si>
  <si>
    <t>purpose</t>
  </si>
  <si>
    <t>optn_dt</t>
  </si>
  <si>
    <t>datep</t>
  </si>
  <si>
    <t>optn_amt</t>
  </si>
  <si>
    <t>amount</t>
  </si>
  <si>
    <t>currency_uid</t>
  </si>
  <si>
    <t>host_optn_id</t>
  </si>
  <si>
    <t>id</t>
  </si>
  <si>
    <t>bus_srv_id</t>
  </si>
  <si>
    <t>serviceid_uid</t>
  </si>
  <si>
    <t xml:space="preserve">  select
   b6.id_uid as optn_id
 , b6.comminstanceid as host_rpfi_appl_id
 , case when b5.comissioner = 'BENEFICIARY' then b5.comissionerid_uid else null::uuid end as payer_ben_cust_id
 , b6.codecommission_uid as optn_fee_type_id
 , case when b5.comissioner = 'DEPONENT' then b5.comissionerid_uid else null::uuid end as payer_dep_cust_id
 , b6.external_agreement_id as host_external_agr_id
 , b6.postingevent_accountcredit_number as crd_coa_num
 , b6.postingevent_operationidkt as host_crd_optn_id
 , b6.postingevent_accountcredit_registerid_uid as crd_registry_id
 , b6.postingevent_accountdebit_number as dbt_coa_num
 , b6.operationiddt as host_dbt_optn_id
 , b6.registeriddt_uid as dbt_registry_id 
from s_grnplm_as_t_didsd_308_db_stg.b3080000460005_escrow_legalgk_tariffs as b5
inner join s_grnplm_as_t_didsd_308_db_stg.b3080000460006_payments_2_0_posting_dto as b6
 on b5.escrowid = b6.agreementid
--АЮЛ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s_grnplm_as_t_didsd_308_db_stg.b3080000460015_lcl_agreement_actual_dto as b
 on o.agreementreference = b.reference
where 1 = 1
--инкассо экспортное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s_grnplm_as_t_didsd_308_db_stg.b3080000460016_inkasso_export_agreement_actual_dto as b
 on o.agreementreference = b.reference
where 1 = 1
--инкассо импортное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s_grnplm_as_t_didsd_308_db_stg.b3080000460017_inkasso_import_agreement_actual_dto as b
 on o.agreementreference = b.reference
where 1 = 1
--рамбурсы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s_grnplm_as_t_didsd_308_db_stg.b3080000460018_reimbursement_agreement_actual_dto as b
 on o.agreementreference = b.reference
where 1 = 1 
--ГС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s_grnplm_as_t_didsd_308_db_stg.b3080000460009_general_agreement_actual_dto as b
 on o.external_agreement_id = b.external_id
where 1 = 1 
 --Гарантии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s_grnplm_as_t_didsd_308_db_stg.b3080000460021_guarantee_actual_dto as b
 on o.external_agreement_id = b.external_id
where 1 = 1 
 --ГОДС
union all
select  
 o.id_uid as optn_id
 , o.comminstanceid as host_rpfi_appl_id
 , null::uuid as payer_ben_cust_id
 , o.codecommission_uid as optn_fee_type_id
 , null::uuid as payer_dep_cust_id
 , o.external_agreement_id as host_external_agr_id
 , o.postingevent_accountcredit_number as crd_coa_num
 , o.postingevent_operationidkt as host_crd_optn_id
 , o.postingevent_accountcredit_registerid_uid as crd_registry_id
 , o.postingevent_accountdebit_number as dbt_coa_num
 , o.operationiddt as host_dbt_optn_id
 , o.registeriddt_uid as dbt_registry_id
from s_grnplm_as_t_didsd_308_db_stg.b3080000460006_payments_2_0_posting_dto as o  
inner join s_grnplm_as_t_didsd_308_db_stg.b3080000460022_escrow_legalgk_gods_actual_dto as b
 on o.external_agreement_id = b.external_id
where 1 = 1 
 </t>
  </si>
  <si>
    <t>host_rpfi_appl_id</t>
  </si>
  <si>
    <t>payer_ben_cust_id</t>
  </si>
  <si>
    <t>optn_fee_type_id</t>
  </si>
  <si>
    <t>payer_dep_cust_id</t>
  </si>
  <si>
    <t>host_external_agr_id</t>
  </si>
  <si>
    <t>crd_coa_num</t>
  </si>
  <si>
    <t>host_crd_optn_id</t>
  </si>
  <si>
    <t>crd_registry_id</t>
  </si>
  <si>
    <t>dbt_coa_num</t>
  </si>
  <si>
    <t>host_dbt_optn_id</t>
  </si>
  <si>
    <t>dbt_registry_id</t>
  </si>
  <si>
    <t>creditcontract_d_l is not null or creditcontract_l_kulid is not null</t>
  </si>
  <si>
    <t>COALESCE ( creditcontract_l_kulid_uid , creditcontract_d_l_uid )</t>
  </si>
  <si>
    <t>ГС</t>
  </si>
  <si>
    <t>Договор ГС</t>
  </si>
  <si>
    <t>agr_frame_id</t>
  </si>
  <si>
    <t>host_agr_frame_id</t>
  </si>
  <si>
    <t>host_ext_id</t>
  </si>
  <si>
    <t>external_id</t>
  </si>
  <si>
    <t>expirationdate</t>
  </si>
  <si>
    <t>scheme_id</t>
  </si>
  <si>
    <t>gatype_uid</t>
  </si>
  <si>
    <t>agr_frame_num</t>
  </si>
  <si>
    <t>revolving_limit_flag</t>
  </si>
  <si>
    <t>limitrevolvingpattern</t>
  </si>
  <si>
    <t>Схема заведения договора</t>
  </si>
  <si>
    <t>"select *
from (
-- ГС Схема заведения договора
         select
             gatype_uid,
             gatype,
             case
                 when gatype = 'MMB' then 'малый и микробизнес'
                 when gatype = 'KSB' then 'крупный и средний бизнес'
                 else null end as scheme_agreement_name,
             row_number() OVER (PARTITION BY gatype ORDER BY sys_date_create_or_update DESC) AS rn
         from s_grnplm_as_t_didsd_308_db_stg.b3080000460009_general_agreement_actual_dto
         where gatype is not null
     ) a
where a.rn = 1"</t>
  </si>
  <si>
    <t>scheme_name</t>
  </si>
  <si>
    <t>scheme_agreement_name</t>
  </si>
  <si>
    <t>scheme_cd</t>
  </si>
  <si>
    <t>gatype</t>
  </si>
  <si>
    <t>Связь договора со справочником огрструктуры</t>
  </si>
  <si>
    <t>bankbranchosb_uid</t>
  </si>
  <si>
    <t>Таблица лимитов по условиям генерального соглашения</t>
  </si>
  <si>
    <t>b3080000460008_general_agreement_actual_limitschedule</t>
  </si>
  <si>
    <t>firstdate_limitschedule</t>
  </si>
  <si>
    <t>lastdate_limitschedule</t>
  </si>
  <si>
    <t>accred_limit_amt</t>
  </si>
  <si>
    <t>value_amnt_limitschedule</t>
  </si>
  <si>
    <t>accred_limit_crncy_id</t>
  </si>
  <si>
    <t>currency_amnt_limitschedule_uid</t>
  </si>
  <si>
    <t>Таблица связей контрагентов с договором генерального соглашения</t>
  </si>
  <si>
    <t>epkid_client  is not null</t>
  </si>
  <si>
    <t>epkid_client_uid</t>
  </si>
  <si>
    <t>agr_frame_cust_type_id</t>
  </si>
  <si>
    <t>id юр.лица</t>
  </si>
  <si>
    <t xml:space="preserve">  with src_raw as
(
  -- Гарантии
 select 
  , b.applicant_taxId_uid   as cust_id
  , b.applicant_fullName  as short_name
  , b.applicant_taxId as inn_num
  , null::text as rsd_flag
  , b.sys_date_create_or_update
from s_grnplm_as_t_didsd_308_db_stg.b3080000460021_guarantee_actual_dto b
where  b.applicant_epkId is null
and b.deleted = 'N'
and (b.applicant_taxId is not null or applicant_fullName is not null)
and applicant_type = 'LEGAL'
  union all 
  select 
  , b.beneficiary_taxId_uid   as cust_id
  , b.beneficiary_fullName  as short_name
  , b.beneficiary_taxId as inn_num
  , null::text as rsd_flag
  , b.sys_date_create_or_update
from s_grnplm_as_t_didsd_308_db_stg.b3080000460021_guarantee_actual_dto b
where  b.beneficiary_epkId is null
and b.deleted = 'N'
and (b.beneficiary_taxId is not null or beneficiary_fullName is not null)
and beneficiary_type = 'LEGAL'
  union all 
 -- Эскроу
 select 
  , b.beneficiarieslegal_uid as cust_id
  , b.name as short_name
  , b.taxid as inn_num
  , null::text as rsd_flag
  , b.sys_date_create_or_update
 from s_grnplm_as_t_didsd_308_db_stg.b3080000460004_escrow_legalgk_beneficiarieslegal as b
 where 1 = 1
  and b.epkid_l is null
 union all
 -- Аккредитивы ЮЛ
 select 
  b.applicantlegalname_tax_uid as cust_id
  , b.applicantlegalname as short_name
  , b.applicanttaxid as inn_num
  , case when b.applicantisresident = true then 'Y' when b.applicantisresident = false then 'N' end as rsd_flag
  , b.sys_date_create_or_update
 from s_grnplm_as_t_didsd_308_db_stg.b3080000460015_lcl_agreement_actual_dto as b
 where 1 = 1
  and b.applicantepkid_uid is null
  and coalesce(b.applicantlegalname, '')||coalesce(b.applicanttaxid, '') &lt;&gt; '' -- конкатенированный НК, *_uid всегда не пустой
  and upper(b.deleted) = 'N'
 union all
 select 
  b.beneficiarylegalname_tax_uid as cust_id
  , b.beneficiarylegalname as short_name
  , b.beneficiarylegaltaxid as inn_num
  , case when b.beneficiarylegalisresident = true then 'Y' when b.beneficiarylegalisresident = false then 'N' end as rsd_flag
  , b.sys_date_create_or_update
 from s_grnplm_as_t_didsd_308_db_stg.b3080000460015_lcl_agreement_actual_dto as b
 where 1 = 1
  and b.beneficiarylegalepkid_uid is null
  and coalesce(b.beneficiarylegalname, '')||coalesce(b.beneficiarylegaltaxid, '') &lt;&gt; '' -- конкатенированный НК, *_uid всегда не пустой
  and upper(b.deleted) = 'N'
  --эксп. инкассо
  -- не клиенты банка
union all
select  b.beneficiaryname_taxid_versionedattr_uid as cust_id
  , b.beneficiaryname_versionedattr as short_name
  , b.beneficiarytaxid_versionedattr as inn_num
 , null::text as rsd_flag
 , b.sys_date_create_or_update
from s_grnplm_as_t_didsd_308_db_stg.b3080000460016_inkasso_export_agreement_actual_dto b
where  b.beneficiaryepkid_versionedattr is null
and b.deleted = 'N'
and (b.beneficiaryname_versionedattr is not null or beneficiarytaxid_versionedattr is not null)
union all
select 
  b.applicantname_taxid_versionedattr_uid as cust_id
  , b.applicantname_versionedattr as short_name
  , b.applicanttaxid_versionedattr as inn_num
 , null::text as rsd_flag
 , b.sys_date_create_or_update
from s_grnplm_as_t_didsd_308_db_stg.b3080000460016_inkasso_export_agreement_actual_dto b
where b.applicantepkid_versionedattr is null
and b.deleted = 'N'
and (b.applicantname_versionedattr is not null or applicanttaxid_versionedattr is not null)
  --имп. инкассо
  -- не клиенты банка
union all
select b.beneficiaryname_taxid_versionedattr_uid  
   , b.beneficiaryname_versionedattr as short_name
   , b.beneficiarytaxid_versionedattr as inn_num
   , null::text as rsd_flag
   , b.sys_date_create_or_update
from s_grnplm_as_t_didsd_308_db_stg.b3080000460017_inkasso_import_agreement_actual_dto b
where  b.beneficiaryepkid_versionedattr is null
and b.deleted = 'N'
and (b.beneficiaryname_versionedattr is not null or beneficiarytaxid_versionedattr is not null)
union all
select   b.applicantname_taxid_versionedattr_uid as cust_id
  , b.applicantname_versionedattr as short_name
  , b.applicanttaxid_versionedattr as inn_num
 , null::text as rsd_flag
 , b.sys_date_create_or_update
from s_grnplm_as_t_didsd_308_db_stg.b3080000460017_inkasso_import_agreement_actual_dto b
where b.applicantepkid_versionedattr is null
and b.deleted = 'N'
and (b.applicantname_versionedattr is not null or applicanttaxid_versionedattr is not null)
)
, src as
(
 select 
  b.*
  , row_number() over (partition by b.cust_id order by b.sys_date_create_or_update desc) as rn
 from src_raw as b
)
select *
from src as b
where b.rn = 1 
</t>
  </si>
  <si>
    <t>short_name</t>
  </si>
  <si>
    <t>inn_num</t>
  </si>
  <si>
    <t>rsd_flag</t>
  </si>
  <si>
    <t>Признак резидента</t>
  </si>
  <si>
    <t>codecommission_uid</t>
  </si>
  <si>
    <t>with src as
(
 select  
  o.codecommission_uid as optn_fee_type_id
  , o.codecommission as optn_fee_type_cd
  , row_number() over (partition by o.codecommission_uid order by o.sys_date_create_or_update desc) as rn
 from s_grnplm_as_t_didsd_308_db_stg.b3080000460006_payments_2_0_posting_dto as o  
 where 1 = 1
  and o.codecommission_uid is not null
  and upper(o.deleted) = 'N'
)
select *
from src as b
where b.rn = 1</t>
  </si>
  <si>
    <t>optn_fee_type_cd</t>
  </si>
  <si>
    <t>Код типа комиссии по операции</t>
  </si>
  <si>
    <t>codecommission</t>
  </si>
  <si>
    <t>optn_fee_type_name</t>
  </si>
  <si>
    <t>Наименование комиссии по операции</t>
  </si>
  <si>
    <t>agr_accred_id</t>
  </si>
  <si>
    <t>reference_uid</t>
  </si>
  <si>
    <t>reference_uid is not null</t>
  </si>
  <si>
    <t>agr_accred_add_txt</t>
  </si>
  <si>
    <t>additionalconditions</t>
  </si>
  <si>
    <t>agr_accred_num</t>
  </si>
  <si>
    <t>agr_accred_type_id</t>
  </si>
  <si>
    <t>producttype_uid</t>
  </si>
  <si>
    <t>dateclose</t>
  </si>
  <si>
    <t>amountcurrencycode_uid</t>
  </si>
  <si>
    <t>dateexpiry</t>
  </si>
  <si>
    <t>issuer_agr_num</t>
  </si>
  <si>
    <t>referencerelated</t>
  </si>
  <si>
    <t>dateconclusion</t>
  </si>
  <si>
    <t>host_agr_accred_id</t>
  </si>
  <si>
    <t>generalagreementfactoryid_uid</t>
  </si>
  <si>
    <t>with src as 
(
 select
  b.producttype_uid as agr_accred_type_id
  , b.producttype as agr_accred_type_cd
  , b.producttype as host_agr_accred_type_id
  , row_number() over (partition by b.producttype_uid order by b.sys_date_create_or_update desc) as rn
 from s_grnplm_as_t_didsd_308_db_stg.b3080000460015_lcl_agreement_actual_dto as b
 where 1 = 1
  and b.producttype_uid is not null
  and upper(b.deleted) = 'N'
)
select *
from src as b
where b.rn = 1</t>
  </si>
  <si>
    <t>agr_accred_type_cd</t>
  </si>
  <si>
    <t>producttype</t>
  </si>
  <si>
    <t>agr_accred_type_name</t>
  </si>
  <si>
    <t>host_agr_accred_type_id</t>
  </si>
  <si>
    <t>select
 b.reference_uid as agr_accred_id
 , b.sys_date_create_or_update::date as start_dt
 , b.amountvalue as agr_accred_amt
 , case when b.isecacovered = true then 'Y' when b.isecacovered = false then 'N' end as eca_covered_flag
 , b.datefinancingend as fin_end_dt
 , b.beneficiarydeferredpaymentperiodduration as pmnt_delay_duration_val
 , b.beneficiarydeferredpaymentfixeddate as pmnt_delay_fixed_dt
 , case when t.reference is not null then 'Y' else 'N' end pmnt_early_flag
 , case when b.isrevocable = true then 'Y' when b.isrevocable = false then 'N' end as revocable_flag
 , b.sourceofcover_uid as accred_cover_type_id
 , b.beneficiarydeferredpaymentperioddurationunit_uid as time_period_type_id
 , b.incomedistributionscheme_uid as accred_income_scheme_id
 , '9999-12-31'::date as end_dt
from s_grnplm_as_t_didsd_308_db_stg.b3080000460015_lcl_agreement_actual_dto as b
left join 
(
 select 
  b012.*
  , row_number() over (partition by b012.reference order by b012.sys_date_create_or_update desc) as rn
 from s_grnplm_as_t_didsd_308_db_stg.b3080000460012_lcl_agreement_tariffs as b012
 where upper(b012.tariffs_feeeventtype) = upper('EARLY_PAYMENT_FEE')
) as t
 on b.reference = t.reference
 and t.rn = 1 -- исключение дублей, вдруг в источнике может быть много записей на тип тарифа
where 1 = 1
 and b.reference_uid is not null</t>
  </si>
  <si>
    <t>sys_date_create_or_update</t>
  </si>
  <si>
    <t>agr_accred_amt</t>
  </si>
  <si>
    <t>amountvalue</t>
  </si>
  <si>
    <t>eca_covered_flag</t>
  </si>
  <si>
    <t>fin_end_dt</t>
  </si>
  <si>
    <t>datefinancingend</t>
  </si>
  <si>
    <t>pmnt_delay_duration_val</t>
  </si>
  <si>
    <t>beneficiarydeferredpaymentperiodduration</t>
  </si>
  <si>
    <t>pmnt_delay_fixed_dt</t>
  </si>
  <si>
    <t>beneficiarydeferredpaymentfixeddate</t>
  </si>
  <si>
    <t>pmnt_early_flag</t>
  </si>
  <si>
    <t>revocable_flag</t>
  </si>
  <si>
    <t>accred_cover_type_id</t>
  </si>
  <si>
    <t>sourceofcover_uid</t>
  </si>
  <si>
    <t>time_period_type_id</t>
  </si>
  <si>
    <t>beneficiarydeferredpaymentperioddurationunit_uid</t>
  </si>
  <si>
    <t>accred_income_scheme_id</t>
  </si>
  <si>
    <t>incomedistributionscheme_uid</t>
  </si>
  <si>
    <t>'9999-12-31'::date</t>
  </si>
  <si>
    <t>with src as 
(
 select
  b.sourceofcover_uid as accred_cover_type_id
  , b.sourceofcover as accred_cover_type_cd
  , b.sourceofcover as host_accred_cover_type_id
  , row_number() over (partition by b.sourceofcover_uid order by b.sys_date_create_or_update desc) as rn
 from s_grnplm_as_t_didsd_308_db_stg.b3080000460015_lcl_agreement_actual_dto as b
 where 1 = 1
  and b.sourceofcover_uid is not null
  and upper(b.deleted) = 'N'
)
select *
from src as b
where b.rn = 1</t>
  </si>
  <si>
    <t>accred_cover_type_cd</t>
  </si>
  <si>
    <t>sourceofcover</t>
  </si>
  <si>
    <t>accred_cover_type_name</t>
  </si>
  <si>
    <t>host_accred_cover_type_id</t>
  </si>
  <si>
    <t>with src as 
(
 select
  b.beneficiarydeferredpaymentperioddurationunit_uid as time_period_type_id
  , b.beneficiarydeferredpaymentperioddurationunit as time_period_type_cd
  , b.beneficiarydeferredpaymentperioddurationunit as host_time_period_type_id
  , row_number() over (partition by b.beneficiarydeferredpaymentperioddurationunit_uid order by b.sys_date_create_or_update desc) as rn
 from s_grnplm_as_t_didsd_308_db_stg.b3080000460015_lcl_agreement_actual_dto as b
 where 1 = 1
  and b.beneficiarydeferredpaymentperioddurationunit_uid is not null
  and upper(b.deleted) = 'N'
)
select *
from src as b
where b.rn = 1</t>
  </si>
  <si>
    <t>time_period_type_cd</t>
  </si>
  <si>
    <t>beneficiarydeferredpaymentperioddurationunit</t>
  </si>
  <si>
    <t>time_period_type_name</t>
  </si>
  <si>
    <t>host_time_period_type_id</t>
  </si>
  <si>
    <t>with src as 
(
 select
  b.incomedistributionscheme_uid as accred_income_scheme_id
  , b.incomedistributionscheme as accred_income_scheme_cd
  , b.incomedistributionscheme as host_accred_income_scheme_id
  , row_number() over (partition by b.incomedistributionscheme_uid order by b.sys_date_create_or_update desc) as rn
 from s_grnplm_as_t_didsd_308_db_stg.b3080000460015_lcl_agreement_actual_dto as b
 where 1 = 1
  and b.incomedistributionscheme_uid is not null
  and upper(b.deleted) = 'N'
)
select *
from src as b
where b.rn = 1</t>
  </si>
  <si>
    <t>accred_income_scheme_cd</t>
  </si>
  <si>
    <t>incomedistributionscheme</t>
  </si>
  <si>
    <t>accred_income_scheme_name</t>
  </si>
  <si>
    <t>host_accred_income_scheme_id</t>
  </si>
  <si>
    <t>contract_id</t>
  </si>
  <si>
    <t>b3080000460011_lcl_agreement_supply_contracts</t>
  </si>
  <si>
    <t>contracts_number_reference_uid</t>
  </si>
  <si>
    <t>coalesce(supplycontracts_number, '')||coalesce(reference, '')||coalesce(supplycontracts_date::text, '') &lt;&gt; ''
 and upper(deleted) = 'N'</t>
  </si>
  <si>
    <t>contract_num</t>
  </si>
  <si>
    <t>supplycontracts_number</t>
  </si>
  <si>
    <t>supplycontracts_date</t>
  </si>
  <si>
    <t>host_contract_id</t>
  </si>
  <si>
    <t>coalesce(supplycontracts_number, '')||';'||coalesce(reference, '')</t>
  </si>
  <si>
    <t>reference_uid is not null
 and coalesce(supplycontracts_number, '')||coalesce(reference, '')||coalesce(supplycontracts_date::text, '') &lt;&gt; ''</t>
  </si>
  <si>
    <t>sys_date_create_or_update::date</t>
  </si>
  <si>
    <t>reference_uid is not null
 and  (creditcontracts_number_uid is not null or creditcontracts_idpprbkul is not null)
 row_number() OVER (PARTITION BY b.reference_uid ORDER BY
CASE
WHEN upper(b.status) = 'INACTIVE'::text THEN 1
WHEN upper(b.status) = 'CLOSED'::text THEN 10
ELSE 2
END, b.creditcontracts_date desc, coalesce (creditcontracts_idpprbkul, '0') desc, coalesce(creditcontracts_eksid, '0') desc, b.sys_date_create_or_update desc, coalesce(b.creditcontracts_number, '0'))  =1</t>
  </si>
  <si>
    <t xml:space="preserve"> case when  COALESCE(trim(creditcontracts_idpprbkul), '-1') = '-1' then creditcontracts_number_uid else creditcontracts_idpprbkul_uid end</t>
  </si>
  <si>
    <t>coa_id</t>
  </si>
  <si>
    <t xml:space="preserve">select 
  sub_2.coa_id
, sub_2.coa_num
, sub_2.host_coa_id
from (
select 
  sub_1.coa_id
, sub_1.coa_num
, sub_1.host_coa_id
, row_number() over (partition by sub_1.coa_id order by sub_1.sys_date_create_or_update desc) as rn
from ( 
select 
  b13.applicantfeeaccounts_number_uid as coa_id
, b13.applicantfeeaccounts_number as coa_num
, b13.applicantfeeaccounts_number as host_coa_id
from s_grnplm_as_t_didsd_308_db_stg.b3080000460013_lcl_agreement_applicant_fee_accounts as b13
where b13.applicantfeeaccounts_number_uid is not null
and b13.deleted = 'N'
union all
select 
  b15.beneficiaryaccountnumber_uid as coa_id
, b15.beneficiaryaccountnumber as coa_num
, b15.beneficiaryaccountnumber as host_coa_id
from s_grnplm_as_t_didsd_308_db_stg.b3080000460015_lcl_agreement_actual_dto as b15
where b15.beneficiaryaccountnumber_uid is not null
and b15.deleted = 'N'
union all
--Имп.инкассо
select 
  b17.applicantfeeaccount_versionedattr_uid as coa_id
, b17.applicantfeeaccount_versionedattr as coa_num
, b17.applicantfeeaccount_versionedattr as host_coa_id
from s_grnplm_as_t_didsd_308_db_stg.b3080000460017_inkasso_import_agreement_actual_dto as b17
where b17.applicantfeeaccount_versionedattr is not null
and b17.deleted = 'N'
union all
--Эксп.инкассо
select 
  b16.beneficiaryfeeaccount_versionedattr_uid as coa_id
, b16.beneficiaryfeeaccount_versionedattr as coa_num
, b16.beneficiaryfeeaccount_versionedattr as host_coa_id
from s_grnplm_as_t_didsd_308_db_stg.b3080000460016_inkasso_export_agreement_actual_dto as b16
where b16.beneficiaryfeeaccount_versionedattr_uid is not null
and b16.deleted = 'N'
) sub_1
) sub_2
where sub_2.rn = 1
;
</t>
  </si>
  <si>
    <t>host_coa_id</t>
  </si>
  <si>
    <t>with src_raw as
(
 select 
  coalesce(b.applicantepkid_uid, b.applicantlegalname_tax_uid) as cust_id
  , coa.reference_uid as agr_accred_id
  , coa.applicantfeeaccounts_number_uid as coa_id
  , '00000000-0000-0000-0000-0000fffffc17' as cust_coa_type_id -- -1001^Счет для уплаты комиссии 
  , coa.sys_date_create_or_update
 from s_grnplm_as_t_didsd_308_db_stg.b3080000460013_lcl_agreement_applicant_fee_accounts as coa
 inner join s_grnplm_as_t_didsd_308_db_stg.b3080000460015_lcl_agreement_actual_dto as b
  on coa.reference = b.reference
 where 1 = 1
  and coa.applicantfeeaccounts_number_uid is not null
  and (b.applicantepkid_uid is not null or coalesce(b.applicantlegalname, '')||coalesce(b.applicanttaxid, '') &lt;&gt; '') -- конкатенированный НК, *_uid всегда не пустой
 union all
 select 
  coalesce(b.beneficiarylegalepkid_uid, b.beneficiarylegalname_tax_uid) as cust_id
  , b.reference_uid as agr_accred_id
  , b.beneficiaryaccountnumber_uid as coa_id
  , '00000000-0000-0000-0000-0000fffffc17' as cust_coa_type_id -- -1001^Счет для уплаты комиссии 
  , b.sys_date_create_or_update
 from s_grnplm_as_t_didsd_308_db_stg.b3080000460015_lcl_agreement_actual_dto as b
 where 1 = 1
  and b.beneficiaryaccountnumber_uid is not null
  and (b.beneficiarylegalepkid_uid is not null or coalesce(b.beneficiarylegalname, '')||coalesce(b.beneficiarylegaltaxid, '') &lt;&gt; '') -- конкатенированный НК, *_uid всегда не пустой
 union all
 select 
  coalesce(b.beneficiaryindepkid_uid, b.beneficiaryindname_tax_uid) as cust_id
  , b.reference_uid as agr_accred_id
  , b.beneficiaryaccountnumber_uid as coa_id
  , '00000000-0000-0000-0000-0000fffffc17' as cust_coa_type_id -- -1001^Счет для уплаты комиссии 
  , b.sys_date_create_or_update
 from s_grnplm_as_t_didsd_308_db_stg.b3080000460015_lcl_agreement_actual_dto as b
 where 1 = 1
  and b.beneficiaryaccountnumber_uid is not null
  and (b.beneficiaryindepkid_uid is not null or coalesce(b.beneficiaryindividualname, '')||coalesce(b.beneficiaryindividualtaxid, '') &lt;&gt; '') -- конкатенированный НК, *_uid всегда не пустой
)
, src as
(
 select 
  b.*
  , row_number() over (partition by b.cust_id, b.agr_accred_id, b.coa_id order by b.sys_date_create_or_update desc) as rn
 from src_raw as b
)
select *
from src as b
where b.rn = 1</t>
  </si>
  <si>
    <t>cust_coa_type_id</t>
  </si>
  <si>
    <t>00000000-0000-0000-0000-0000fffffc16 Бенефециар
00000000-0000-0000-0000-0000fffffc17 Заявитель
with src_raw as
(
 select 
  b.reference_uid as agr_accred_id
  , b.sys_date_create_or_update::date as start_dt 
  , '00000000-0000-0000-0000-0000fffffc17' as agr_accred_cust_type_id -- -1001^Заявитель
  , coalesce(b.applicantepkid_uid, b.applicantlegalname_tax_uid) as cust_id
  , '9999-12-31'::date as end_dt
  , b.sys_date_create_or_update
 from s_grnplm_as_t_didsd_308_db_stg.b3080000460015_lcl_agreement_actual_dto as b
 where 1 = 1
  and b.reference_uid is not null
  and (b.applicantepkid_uid is not null or coalesce(b.applicantlegalname, '')||coalesce(b.applicanttaxid, '') &lt;&gt; '') -- конкатенированный НК, *_uid всегда не пустой
 union all
 select 
  b.reference_uid as agr_accred_id
  , b.sys_date_create_or_update::date as start_dt 
  , '00000000-0000-0000-0000-0000fffffc16' as agr_accred_cust_type_id -- -1002^Бенефециар
  , coalesce(b.beneficiarylegalepkid_uid, b.beneficiarylegalname_tax_uid) as cust_id
  , '9999-12-31'::date as end_dt
  , b.sys_date_create_or_update
 from s_grnplm_as_t_didsd_308_db_stg.b3080000460015_lcl_agreement_actual_dto as b
 where 1 = 1
  and b.reference_uid is not null
  and (b.beneficiarylegalepkid_uid is not null or coalesce(b.beneficiarylegalname, '')||coalesce(b.beneficiarylegaltaxid, '') &lt;&gt; '') -- конкатенированный НК, *_uid всегда не пустой
 union all
 select 
  b.reference_uid as agr_accred_id
  , b.sys_date_create_or_update::date as start_dt 
  , '00000000-0000-0000-0000-0000fffffc16' as agr_accred_cust_type_id -- -1002^Бенефециар
  , coalesce(b.beneficiaryindepkid_uid, b.beneficiaryindname_tax_uid) as cust_id
  , '9999-12-31'::date as end_dt
  , b.sys_date_create_or_update
 from s_grnplm_as_t_didsd_308_db_stg.b3080000460015_lcl_agreement_actual_dto as b
 where 1 = 1
  and b.reference_uid is not null
  and (b.beneficiaryindepkid_uid is not null or coalesce(b.beneficiaryindividualname, '')||coalesce(b.beneficiaryindividualtaxid, '') &lt;&gt; '') -- конкатенированный НК, *_uid всегда не пустой
)
, src as
(
 select 
  b.*
  , row_number() over (partition by b.agr_accred_id, b.agr_accred_cust_type_id order by b.sys_date_create_or_update desc) as rn
 from src_raw as b
)
select *
from src as b
where b.rn = 1</t>
  </si>
  <si>
    <t>agr_accred_cust_type_id</t>
  </si>
  <si>
    <t>beneficiaryindname_tax_uid</t>
  </si>
  <si>
    <t xml:space="preserve">with src as
(
 -- Гарантии
 select 
  , b.applicant_taxId_uid   as cust_id
  , b.applicant_fullName  as short_name
  , b.applicant_taxId as inn_num
  , null::text as rsd_flag
  , b.sys_date_create_or_update
from s_grnplm_as_t_didsd_308_db_stg.b3080000460021_guarantee_actual_dto b
where  b.applicant_epkId is null
and b.deleted = 'N'
and (b.applicant_taxId is not null or applicant_fullName is not null)
and applicant_type = 'INDIVIDUAL_ENTREPRENEUR'
  union all 
  select 
  , b.beneficiary_taxId_uid   as cust_id
  , b.beneficiary_fullName  as short_name
  , b.beneficiary_taxId as inn_num
  , null::text as rsd_flag
  , b.sys_date_create_or_update
from s_grnplm_as_t_didsd_308_db_stg.b3080000460021_guarantee_actual_dto b
where  b.beneficiary_epkId is null
and b.deleted = 'N'
and (b.beneficiary_taxId is not null or beneficiary_fullName is not null)
and beneficiary_type = 'INDIVIDUAL_ENTREPRENEUR'
union all
 select 
  b.beneficiaryindname_tax_uid as cust_id
  , b.beneficiaryindividualname as short_name
  , null as inn_num
  , null /* case when b.beneficiaryindividualisresident = true then 'Y' when b.beneficiaryindividualisresident = false then 'N' end */ as rsd_flag
 -- , row_number() over (partition by b.beneficiaryindname_tax_uid order by b.sys_date_create_or_update desc) as rn
 from s_grnplm_as_t_didsd_308_db_stg.b3080000460015_lcl_agreement_actual_dto as b
 where 1 = 1
  and b.beneficiaryindepkid_uid is null
  and coalesce(b.beneficiaryindividualname, '')||coalesce(b.beneficiaryindividualtaxid, '') &lt;&gt; '' -- конкатенированный НК, *_uid всегда не пустой
  and b.deleted = 'N'  
 union all
 select 
 b3_2.beneficiariesindividual_uid as cust_id
, b3_2.lastname as short_name
 , null as inn_num
 , null as rsd_flag
-- , row_number() over (partition by b.beneficiariesindividual_uid order by b.sys_date_create_or_update desc) as rn
from s_grnplm_as_t_didsd_308_db_stg.b3080000460003_escrow_legalgk_beneficiariesindividual b3_2
where b3_2.epkid_i is null
and b3_2.deleted = 'N'  
)
select *, row_number() over (partition by b.cust_id order by b.sys_date_create_or_update desc) as rn
from src as b
where b.rn = 1
 </t>
  </si>
  <si>
    <t>beneficiaryindividualtaxid</t>
  </si>
  <si>
    <t>beneficiaryindividualname</t>
  </si>
  <si>
    <t>external_registry_id_uid</t>
  </si>
  <si>
    <t>select  
 o.external_registry_id_uid as registry_id
 , o.registryevent_name_code as registry_kind_cd
from s_grnplm_as_t_didsd_308_db_stg.b3080000460014_lcl_registry_dto as o  
inner join s_grnplm_as_t_didsd_308_db_stg.b3080000460015_lcl_agreement_actual_dto as b
 on o.registryevent_agreement_reference = b.reference
where 1 = 1
 and o.external_registry_id_uid is not null
 and o.registryevent_name_code  is not null</t>
  </si>
  <si>
    <t>registry_kind_cd</t>
  </si>
  <si>
    <t>registryevent_name_code</t>
  </si>
  <si>
    <t>select
 b.reference_uid as agr_accred_id
 , b.sys_date_create_or_update::date as start_dt
 , '00000000-0000-0000-0000-0000fffffc17' as agr_accred_int_org_type_id -- -1001^Подразделение заявителя
 , b.applicant_tbosb_uid as int_org_id
 , '9999-12-31'::date as end_dt
from s_grnplm_as_t_didsd_308_db_stg.b3080000460015_lcl_agreement_actual_dto as b
where 1 = 1
 and b.reference_uid is not null
 and coalesce(b.applicantterritorybankbranchcode,'')||coalesce(b.applicantterritoryosbcode,'') &lt;&gt; '' -- конкатенированный НК, *_uid всегда не пустой
union all
select
 b.reference_uid as agr_accred_id
 , b.sys_date_create_or_update::date as start_dt
 , '00000000-0000-0000-0000-0000fffffc16' as agr_accred_int_org_type_id -- -1002^Подразделение бенефициара
 , b.beneficiary_tbosb_uid as int_org_id
 , '9999-12-31'::date as end_dt
from s_grnplm_as_t_didsd_308_db_stg.b3080000460015_lcl_agreement_actual_dto as b
where 1 = 1
 and b.reference_uid is not null
 and coalesce(b.beneficiaryterritorybankbranchcode,'')||coalesce(b.beneficiaryterritoryosbcode,'') &lt;&gt; '' -- конкатенированный НК, *_uid всегда не пустой
union all
select
 b.reference_uid as agr_accred_id
 , b.sys_date_create_or_update::date as start_dt
 , '00000000-0000-0000-0000-0000fffffc15' as agr_accred_int_org_type_id -- -1003^Подразделение - владелец досье
 , b.regionalunit_tbosb_uid as int_org_id
 , '9999-12-31'::date as end_dt
from s_grnplm_as_t_didsd_308_db_stg.b3080000460015_lcl_agreement_actual_dto as b
where 1 = 1
 and b.reference_uid is not null
 and coalesce(b.bankregionalunitbankbranchcode,'')||coalesce(b.bankregionalunitosbcode,'') &lt;&gt; '' -- конкатенированный НК, *_uid всегда не пустой</t>
  </si>
  <si>
    <t>agr_accred_int_org_type_id</t>
  </si>
  <si>
    <t>bank_id</t>
  </si>
  <si>
    <t xml:space="preserve">select 
  sub_2.bank_id
, sub_2.bank_name
, sub_2.bic_num
, sub_2.rsd_flag
, sub_2.swift_num
, sub_2.host_bank_id
from (
select 
  sub_1.bank_id
, sub_1.bank_name
, sub_1.bic_num
, sub_1.rsd_flag
, sub_1.swift_num
, sub_1.host_bank_id
, row_number() over (partition by sub_1.bank_id order by sub_1.sys_date_create_or_update desc) as rn
from (
-- Гарантии 
-- Банк-гарант
select guarantorBank_uid as bank_id
, guarantorBank_name as bank_name
, guarantorBank_bic as bic_num
, null::text as rsd_flag
, null::text as swift_num
, concat(guarantorBank_name, guarantorBank_bic) as host_bank_id
from s_grnplm_as_t_didsd_308_db_stg.b3080000460021_guarantee_actual_dto as b15_1
where (guarantorBank_uid is not null)
and b15_1.deleted = 'N'
union all
select 
  coalesce(b15_1.issuingbankbic_uid, b15_1.issuingbankswift_uid) as bank_id
, b15_1.issuingbankname as bank_name
, b15_1.issuingbankbic as bic_num
, null::text as rsd_flag
, b15_1.issuingbankswift as swift_num
, coalesce(b15_1.issuingbankbic, b15_1.issuingbankswift) as host_bank_id
from s_grnplm_as_t_didsd_308_db_stg.b3080000460015_lcl_agreement_actual_dto as b15_1
where (b15_1.issuingbankbic_uid is not null or b15_1.issuingbankswift_uid is not null)
and b15_1.deleted = 'N'
union all
select 
  coalesce(b15_2.advisingbankbic_uid, b15_2.advisingbankswift_uid) as bank_id
, b15_2.advisingbankname as bank_name
, b15_2.advisingbankbic as bic_num
, null::text as rsd_flag
, b15_2.advisingbankswift as swift_num
, coalesce(b15_2.advisingbankbic, b15_2.advisingbankswift) as host_bank_id
from s_grnplm_as_t_didsd_308_db_stg.b3080000460015_lcl_agreement_actual_dto as b15_2
where (b15_2.advisingbankbic_uid is not null or b15_2.advisingbankswift_uid is not null)
and b15_2.deleted = 'N'
union all
select 
  coalesce(b15_3.nominatedbankbic_uid, b15_3.nominatedbankswift_uid) as bank_id
, b15_3.nominatedbankname as bank_name
, b15_3.nominatedbankbic as bic_num
, null::text as rsd_flag
, b15_3.nominatedbankswift as swift_num
, coalesce(b15_3.nominatedbankbic, b15_3.nominatedbankswift) as host_bank_id
from s_grnplm_as_t_didsd_308_db_stg.b3080000460015_lcl_agreement_actual_dto as b15_3
where (b15_3.nominatedbankbic_uid is not null or b15_3.nominatedbankswift_uid is not null)
and b15_3.deleted = 'N'
union all
select 
  coalesce(b15_4.applicantbankbic_uid, b15_4.applicantbankswift_uid) as bank_id
, b15_4.applicantbankname as bank_name
, b15_4.applicantbankbic as bic_num
, null::text as rsd_flag
, b15_4.applicantbankswift as swift_num
, coalesce(b15_4.applicantbankbic, b15_4.applicantbankswift) as host_bank_id
from s_grnplm_as_t_didsd_308_db_stg.b3080000460015_lcl_agreement_actual_dto as b15_4
where (b15_4.applicantbankbic_uid is not null or b15_4.applicantbankswift_uid is not null)
and b15_4.deleted = 'N'
union all
select 
  coalesce(b15_5.beneficiarybankbic_uid, b15_5.beneficiarybankswift_uid) as bank_id
, b15_5.beneficiarybankname as bank_name
, b15_5.beneficiarybankbic as bic_num
, null::text as rsd_flag
, b15_5.beneficiarybankswift as swift_num
, coalesce(b15_5.beneficiarybankbic, b15_5.beneficiarybankswift) as host_bank_id
from s_grnplm_as_t_didsd_308_db_stg.b3080000460015_lcl_agreement_actual_dto as b15_5
where (b15_5.beneficiarybankbic_uid is not null or b15_5.beneficiarybankswift_uid is not null)
and b15_5.deleted = 'N'
union all
--Имп.инкассо
--Банк эмитента
select 
  b17_1.issuingbankswift_versionedattr_uid as bank_id
, b17_1.issuingbankname_versionedattr as bank_name
, null::text as bic_num
, null::text as rsd_flag
, b17_1.issuingbankswift_versionedattr as swift_num
, b17_1.issuingbankswift_versionedattr as host_bank_id
from s_grnplm_as_t_didsd_308_db_stg.b3080000460017_inkasso_import_agreement_actual_dto as b17_1
where (b17_1.issuingbankswift_versionedattr_uid is not null)
and b17_1.deleted = 'N'
union all
--Эксп.инкассо
--Инкассирующий банк
select
  b16_1.presentingbankswift_versionedattr_uid as bank_id
, b16_1.presentingbankname_versionedattr as bank_name
, null::text as bic_num
, null::text as rsd_flag
, b16_1.presentingbankswift_versionedattr as swift_num
, b16_1.presentingbankswift_versionedattr as host_bank_id
from s_grnplm_as_t_didsd_308_db_stg.b3080000460016_inkasso_export_agreement_actual_dto as b16_1
where (b16_1.presentingbankswift_versionedattr_uid is not null)
and b16_1.deleted = 'N'
union all
--Рамбурс
--Банк эмитента
select 
  b18_1.issuingbankswift_uid as bank_id
, b18_1.issuingbankname as bank_name
, null::text as bic_num
, null::text as rsd_flag
, b18_1.issuingbankswift as swift_num
, b18_1.issuingbankswift as host_bank_id
from s_grnplm_as_t_didsd_308_db_stg.b3080000460018_reimbursement_agreement_actual_dto as b18_1
where (b18_1.issuingbankswift_uid is not null)
and b18_1.deleted = 'N'
union all
--Рамбурсирующий банк
select 
  b18_2.reimbursingbankswift_uid as bank_id
, b18_2.reimbursingbankname as bank_name
, null::text as bic_num
, null::text as rsd_flag
, b18_2.reimbursingbankswift as swift_num
, b18_2.reimbursingbankswift as host_bank_id
from s_grnplm_as_t_didsd_308_db_stg.b3080000460018_reimbursement_agreement_actual_dto as b18_2
where (b18_2.reimbursingbankswift_uid is not null)
and b18_2.deleted = 'N'
union all
--Банк бенефициара
select 
  b18_3.beneficiarybankswift_uid as bank_id
, b18_3.beneficiarybankname as bank_name
, null::text as bic_num
, null::text as rsd_flag
, b18_3.beneficiarybankswift as swift_num
, b18_3.beneficiarybankswift as host_bank_id
from s_grnplm_as_t_didsd_308_db_stg.b3080000460018_reimbursement_agreement_actual_dto as b18_3
where (b18_3.beneficiarybankswift_uid is not null)
and b18_3.deleted = 'N'
) sub_1
) sub_2
where sub_2.rn = 1
;
</t>
  </si>
  <si>
    <t>bank_name</t>
  </si>
  <si>
    <t>swift_num</t>
  </si>
  <si>
    <t>host_bank_id</t>
  </si>
  <si>
    <t>select
 b.reference_uid as agr_accred_id
 , b.sys_date_create_or_update::date as start_dt
 , '00000000-0000-0000-0000-0000fffffc17' as agr_accred_bank_type_id -- -1001^Банк - эмитент
 , coalesce(b.issuingbankbic_uid, b.issuingbankswift_uid) as bank_id
 , '9999-12-31'::date as end_dt
from s_grnplm_as_t_didsd_308_db_stg.b3080000460015_lcl_agreement_actual_dto as b
where 1 = 1
 and b.reference_uid is not null
 and (b.issuingbankbic_uid is not null or b.issuingbankswift_uid is not null)
union all
select
 b.reference_uid as agr_accred_id
 , b.sys_date_create_or_update::date as start_dt
 , '00000000-0000-0000-0000-0000fffffc16' as agr_accred_bank_type_id -- -1002^Рамбурсирующий банк
 , coalesce(b.advisingbankbic_uid, b.advisingbankswift_uid) as bank_id
 , '9999-12-31'::date as end_dt
from s_grnplm_as_t_didsd_308_db_stg.b3080000460015_lcl_agreement_actual_dto as b
where 1 = 1
 and b.reference_uid is not null
 and (b.advisingbankbic_uid is not null or b.advisingbankswift_uid is not null)
union all
select
 b.reference_uid as agr_accred_id
 , b.sys_date_create_or_update::date as start_dt
 , '00000000-0000-0000-0000-0000fffffc15' as agr_accred_bank_type_id -- -1003^Исполняющий банк
 , coalesce(b.nominatedbankbic_uid, b.nominatedbankswift_uid) as bank_id
 , '9999-12-31'::date as end_dt
from s_grnplm_as_t_didsd_308_db_stg.b3080000460015_lcl_agreement_actual_dto as b
where 1 = 1
 and b.reference_uid is not null
 and (b.nominatedbankbic_uid is not null or b.nominatedbankswift_uid is not null)
union all
select
 b.reference_uid as agr_accred_id
 , b.sys_date_create_or_update::date as start_dt
 , '00000000-0000-0000-0000-0000fffffc14' as agr_accred_bank_type_id -- -1004^Банк плательщика
 , coalesce(b.applicantbankbic_uid, b.applicantbankswift_uid) as bank_id
 , '9999-12-31'::date as end_dt
from s_grnplm_as_t_didsd_308_db_stg.b3080000460015_lcl_agreement_actual_dto as b
where 1 = 1
 and b.reference_uid is not null
 and (b.applicantbankbic_uid is not null or b.applicantbankswift_uid is not null)
union all
select
 b.reference_uid as agr_accred_id
 , b.sys_date_create_or_update::date as start_dt
 , '00000000-0000-0000-0000-0000fffffc13' as agr_accred_bank_type_id -- -1005^Банк получателя
 , coalesce(b.beneficiarybankbic_uid, b.beneficiarybankswift_uid) as bank_id
 , '9999-12-31'::date as end_dt
from s_grnplm_as_t_didsd_308_db_stg.b3080000460015_lcl_agreement_actual_dto as b
where 1 = 1
 and b.reference_uid is not null
 and (b.beneficiarybankbic_uid is not null or b.beneficiarybankswift_uid is not null)</t>
  </si>
  <si>
    <t>agr_accred_bank_type_id</t>
  </si>
  <si>
    <t>УПФ (Эксп.инкассо)</t>
  </si>
  <si>
    <t>agr_other_id</t>
  </si>
  <si>
    <t>conclusiondate_attr</t>
  </si>
  <si>
    <t>agr_num</t>
  </si>
  <si>
    <t>advisingsidereference_attr</t>
  </si>
  <si>
    <t>agr_other_categ_id</t>
  </si>
  <si>
    <t>00000000-0000-0000-0000-0000fffffc15'::uuid -- Эксп.инкассо</t>
  </si>
  <si>
    <t>host_agr_other_id</t>
  </si>
  <si>
    <t>amountvalue_versionedattr</t>
  </si>
  <si>
    <t>currencycode_versionedattr_uid</t>
  </si>
  <si>
    <t>planpaymentdate_versionedattr</t>
  </si>
  <si>
    <t>presentingbankswift_versionedattr_uid is not null</t>
  </si>
  <si>
    <t>agr_other_bank_type_id</t>
  </si>
  <si>
    <t>00000000-0000-0000-0000-0000fffffc14'::uuid -- Инкассирующий банк</t>
  </si>
  <si>
    <t>presentingbankswift_versionedattr_uid</t>
  </si>
  <si>
    <t>9999-12-31'::date</t>
  </si>
  <si>
    <t>applicantepkid_versionedattr_uid is not null or applicantname_taxid_versionedattr_uid is not null 
and deleted = 'N'</t>
  </si>
  <si>
    <t>coalesce(applicantepkid_versionedattr_uid, applicantname_taxid_versionedattr_uid)</t>
  </si>
  <si>
    <t>9999-12-31'</t>
  </si>
  <si>
    <t>agr_other_cust_type_id</t>
  </si>
  <si>
    <t>00000000-0000-0000-0000-0000fffffc16'::uuid -- Аппликант</t>
  </si>
  <si>
    <t>beneficiaryepkid_versionedattr_uid is not null or beneficiaryname_taxid_versionedattr_uid is not null
and deleted = 'N'</t>
  </si>
  <si>
    <t>coalesce(beneficiaryepkid_versionedattr_uid,  beneficiaryname_taxid_versionedattr_uid)</t>
  </si>
  <si>
    <t>00000000-0000-0000-0000-0000fffffc17'::uuid-- Бенефициар</t>
  </si>
  <si>
    <t>bankregionalunitcode_versionedattr_uid is not null</t>
  </si>
  <si>
    <t>bankregionalunitcode_versionedattr_uid</t>
  </si>
  <si>
    <t>agr_other_int_org_type_id</t>
  </si>
  <si>
    <t>00000000-0000-0000-0000-0000fffffc17'::uuid -- Терр. структура сопровождения договора</t>
  </si>
  <si>
    <t>beneficiarybankunitcode_versionedattr_uid is not null</t>
  </si>
  <si>
    <t>beneficiarybankunitcode_versionedattr_uid</t>
  </si>
  <si>
    <t>00000000-0000-0000-0000-0000fffffc16'::uuid -- Терр.структура бенефициара</t>
  </si>
  <si>
    <t>beneficiaryfeeaccount_versionedattr_uid is not null</t>
  </si>
  <si>
    <t>agr_other_coa_role_id</t>
  </si>
  <si>
    <t>00000000-0000-0000-0000-0000fffffc17'::uuid -- Счет бенефициара/получателя для списания комиссий</t>
  </si>
  <si>
    <t>beneficiaryfeeaccount_versionedattr_uid</t>
  </si>
  <si>
    <t>УПФ (Имп.инкассо)</t>
  </si>
  <si>
    <t>00000000-0000-0000-0000-0000fffffc16'::uuid -- Имп.инкассо</t>
  </si>
  <si>
    <t>issuingbankswift_versionedattr_uid is not null</t>
  </si>
  <si>
    <t>00000000-0000-0000-0000-0000fffffc17'::uuid -- Банк-эмитент</t>
  </si>
  <si>
    <t>issuingbankswift_versionedattr_uid</t>
  </si>
  <si>
    <t>00000000-0000-0000-0000-0000fffffc17'::uuid -- Бенефициар</t>
  </si>
  <si>
    <t>applicantbankunitcode_versionedattr_uid is not null</t>
  </si>
  <si>
    <t>applicantbankunitcode_versionedattr_uid</t>
  </si>
  <si>
    <t>00000000-0000-0000-0000-0000fffffc15'::uuid -- Терр.структура аппликанта</t>
  </si>
  <si>
    <t>00000000-0000-0000-0000-0000fffffc16'::uuid -- Счет аппликанта/плательщика для списания комиссий</t>
  </si>
  <si>
    <t>applicantfeeaccount_versionedattr_uid</t>
  </si>
  <si>
    <t>УПФ (Рамбурсные обязательства)</t>
  </si>
  <si>
    <t>sidereference</t>
  </si>
  <si>
    <t>00000000-0000-0000-0000-0000fffffc17'::uuid -- Рамбурс</t>
  </si>
  <si>
    <t>currencycode_uid</t>
  </si>
  <si>
    <t>planpaymentdatedexpire</t>
  </si>
  <si>
    <t>issuingbankswift_uid is not null</t>
  </si>
  <si>
    <t>issuingbankswift_uid</t>
  </si>
  <si>
    <t>reimbursingbankswift_uid is not null</t>
  </si>
  <si>
    <t>00000000-0000-0000-0000-0000fffffc15'::uuid -- Рамбурсирующий банк</t>
  </si>
  <si>
    <t>reimbursingbankswift_uid</t>
  </si>
  <si>
    <t>beneficiarybankswift_uid is not null</t>
  </si>
  <si>
    <t>00000000-0000-0000-0000-0000fffffc16'::uuid -- Банк бенефициара</t>
  </si>
  <si>
    <t>beneficiarybankswift_uid</t>
  </si>
  <si>
    <t>bankregionalunitcode_uid is not null</t>
  </si>
  <si>
    <t>bankregionalunitcode_uid</t>
  </si>
  <si>
    <t>Схема заведения аккредитива</t>
  </si>
  <si>
    <t>reportAttributes_code_uid</t>
  </si>
  <si>
    <t>"select *
from (
-- Аккред Схема заведения договора
         select
             reportAttributes_code_uid,
             reportAttributes_code,
             reportAttributes_name,
             row_number() OVER (PARTITION BY  reportAttributes_code ORDER BY sys_date_create_or_update DESC) AS rn
         from b3080000460019_lcl_agreement_reportAttributes
         where reportAttributes_code is not null
     ) a
where a.rn = 1"</t>
  </si>
  <si>
    <t>n308000046_scheme</t>
  </si>
  <si>
    <t>reportAttributes_code</t>
  </si>
  <si>
    <t>scheme_categ_id</t>
  </si>
  <si>
    <t xml:space="preserve">Идентификатор категории схем </t>
  </si>
  <si>
    <t>00000000-0000-0000-0000-0000fffffc17 -- '-1001^agr_scheme^Схема заведения договора</t>
  </si>
  <si>
    <t>Название схема заведения аккредитива</t>
  </si>
  <si>
    <t>reportAttributes_name</t>
  </si>
  <si>
    <t>reportAttributes_code is not null</t>
  </si>
  <si>
    <t>n308000046_agr_scheme</t>
  </si>
  <si>
    <t>agr_scheme_type_id</t>
  </si>
  <si>
    <t>00000000-0000-0000-0000-0000fffffc17 -- '-1001^accred_scheme_type^Схема заведения аккредитива</t>
  </si>
  <si>
    <t>УПФ (Гарантии)</t>
  </si>
  <si>
    <t>agr_grntee_id</t>
  </si>
  <si>
    <t>externalId_uid</t>
  </si>
  <si>
    <t>externalId_uid is not null and deleted = 'N'</t>
  </si>
  <si>
    <t>conclusionDate</t>
  </si>
  <si>
    <t>closeDate</t>
  </si>
  <si>
    <t>agr_grntee_num</t>
  </si>
  <si>
    <t>agr_grntee_type_id</t>
  </si>
  <si>
    <t>guaranteeType_uid</t>
  </si>
  <si>
    <t>host_agr_grntee_id</t>
  </si>
  <si>
    <t>externalId</t>
  </si>
  <si>
    <t>amount_value</t>
  </si>
  <si>
    <t>amount_currency_uid</t>
  </si>
  <si>
    <t>expirationDate</t>
  </si>
  <si>
    <t>applicant_epkId_uid is not null or applicant_taxId_uid is not null 
and deleted = 'N'</t>
  </si>
  <si>
    <t>coalesce(applicant_epkId_uid, applicant_taxId_uid)</t>
  </si>
  <si>
    <t>agr_grntee_cust_type_id</t>
  </si>
  <si>
    <t>beneficiary_epkId_uid is not null or beneficiary_taxId_uid is not null
and deleted = 'N'</t>
  </si>
  <si>
    <t>coalesce(beneficiary_epkId_uid,  beneficiary_taxId_uid)</t>
  </si>
  <si>
    <t>bankBranchOsbCode_uid is not null</t>
  </si>
  <si>
    <t>bankBranchOsbCode_uid</t>
  </si>
  <si>
    <t>agr_grntee_int_org_type_id</t>
  </si>
  <si>
    <t>beneficiaryBankBranchOsbCode_uid is not null</t>
  </si>
  <si>
    <t>beneficiaryBankBranchOsbCode_uid</t>
  </si>
  <si>
    <t>guarantorBank_uid is not null</t>
  </si>
  <si>
    <t>agr_grntee_bank_type_id</t>
  </si>
  <si>
    <t>00000000-0000-0000-0000-0000fffffc17'::uuid -- Банк-гарант</t>
  </si>
  <si>
    <t>guarantorBank_uid</t>
  </si>
  <si>
    <t>agr_accred_stts_type_id</t>
  </si>
  <si>
    <t>status_id</t>
  </si>
  <si>
    <t xml:space="preserve">  from (
select 
  sub_1.status_id
, sub_1.status
, row_number() over (partition by sub_1.status_id order by sub_1.sys_date_create_or_update desc) as rn
from (
-- Аккредитивы ЮЛ
select
  b15.status_uid as status_id
, b15.status as status
, sys_date_create_or_update
from s_grnplm_as_t_didsd_308_db_stg.b3080000460015_lcl_agreement_actual_dto as b15
where b15.status_id is not null
and b15.deleted = 'N'
) sub_1 
where sub_1.rn = 1  </t>
  </si>
  <si>
    <t>agr_accred_stts_type_name</t>
  </si>
  <si>
    <t>status</t>
  </si>
  <si>
    <t>status_uid is not null</t>
  </si>
  <si>
    <t>status_uid</t>
  </si>
  <si>
    <t xml:space="preserve"> with src as 
(
 select
  b.guaranteeType_uid  
  , b.guaranteeType   
  , row_number() over (partition by b.guaranteeType_uid order by b.sys_date_create_or_update desc) as rn
 from s_grnplm_as_t_didsd_308_db_stg.b3080000460021_guarantee_actual_dto as b
 where 1 = 1
  and b.guaranteeType_uid is not null
  and upper(b.deleted) = 'N'
)
select *
from src as b
where b.rn = 1 </t>
  </si>
  <si>
    <t>agr_grntee_type_name</t>
  </si>
  <si>
    <t>agr_grntee_type_cd</t>
  </si>
  <si>
    <t>guaranteeType</t>
  </si>
  <si>
    <t>addendum_id</t>
  </si>
  <si>
    <t>coalesce(escrowId_uid, '00000000-0000-0000-0000-0000ffffffff')</t>
  </si>
  <si>
    <t>startDate</t>
  </si>
  <si>
    <t>endDate</t>
  </si>
  <si>
    <t>depositWithdrawalDate</t>
  </si>
  <si>
    <t>addendum_num</t>
  </si>
  <si>
    <t>addendum_type_id</t>
  </si>
  <si>
    <t>srlCategory_code_uid</t>
  </si>
  <si>
    <t>recipientEpkId_uid</t>
  </si>
  <si>
    <t>host_addendum_id</t>
  </si>
  <si>
    <t>conventionAmount_value</t>
  </si>
  <si>
    <t>conventionAmount_currency_uid</t>
  </si>
  <si>
    <t>agr_escrow_add_id</t>
  </si>
  <si>
    <t>agr_escrow_add_stts_type_id</t>
  </si>
  <si>
    <t>coalesce(modificationDate,sys_date_create_or_update)</t>
  </si>
  <si>
    <t xml:space="preserve">  from (
select 
  sub_1.status_id
, sub_1.status
, row_number() over (partition by sub_1.status_id order by sub_1.sys_date_create_or_update desc) as rn
from (
-- Соглашение ГОДС
select
  b15.status_uid as status_id
, b15.status as status
, sys_date_create_or_update
from s_grnplm_as_t_didsd_308_db_stg.b3080000460022_escrow_legalgk_gods_actual_dto as b15
where b15.status_uid is not null
and b15.deleted = 'N'
) sub_1 
where sub_1.rn = 1  
</t>
  </si>
  <si>
    <t>agr_escrow_add_stts_type_name</t>
  </si>
  <si>
    <t>agr_escrow_add_type_id</t>
  </si>
  <si>
    <t xml:space="preserve"> with src as 
(
 select
  b.srlCategory_code_uid  
  , b.srlCategory_code   
  , b.srlCategory_description 
  , row_number() over (partition by b.srlCategory_code_uid order by b.sys_date_create_or_update desc) as rn
 from s_grnplm_as_t_didsd_308_db_stg.b3080000460022_escrow_legalgk_gods_actual_dto as b
 where 1 = 1
  and b.srlCategory_code_uid is not null
  and upper(b.deleted) = 'N'
)
select *
from src as b
where b.rn = 1 
</t>
  </si>
  <si>
    <t>agr_escrow_add_type_cd</t>
  </si>
  <si>
    <t>srlCategory_code</t>
  </si>
  <si>
    <t>agr_escrow_add_type_name</t>
  </si>
  <si>
    <t>srlCategory_description</t>
  </si>
  <si>
    <t>escrowTyp_code_uid</t>
  </si>
  <si>
    <t xml:space="preserve">  with src as 
(
 select
  b.escrowType_code_uid  
  , b.escrowType_code   
  , b.escrowType_description 
  , row_number() over (partition by b.escrowType_code_uid order by b.sys_date_create_or_update desc) as rn
 from s_grnplm_as_t_didsd_308_db_stg.b3080000460002_escrow_legalgk_agreement_actual_dto as b
 where 1 = 1
  and b.escrowType_code_uid is not null
  and upper(b.deleted) = 'N'
)
select *
from src as b
where b.rn = 1 </t>
  </si>
  <si>
    <t>agr_escrow_type_cd</t>
  </si>
  <si>
    <t>escrowTyp_code</t>
  </si>
  <si>
    <t>agr_escrow_type_name</t>
  </si>
  <si>
    <t>escrowTyp_description</t>
  </si>
  <si>
    <t>rate is not null</t>
  </si>
  <si>
    <t>addendum_rate</t>
  </si>
  <si>
    <t>rate</t>
  </si>
  <si>
    <t>agr_frame_stts_type_id</t>
  </si>
  <si>
    <t xml:space="preserve">from (
select 
  sub_1.status_id
, sub_1.status
, row_number() over (partition by sub_1.status_id order by sub_1.sys_date_create_or_update desc) as rn
from (
-- Соглашение ГС
select
  b15.status_uid as status_id
, b15.status as status
, sys_date_create_or_update
from s_grnplm_as_t_didsd_308_db_stg.b3080000460009_general_agreement_actual_dto as b15
where b15.status_uid is not null
and b15.deleted = 'N'
) sub_1 
where sub_1.rn = 1  </t>
  </si>
  <si>
    <t>agr_frame_stts_type_name</t>
  </si>
  <si>
    <t>restructureDetails_uid</t>
  </si>
  <si>
    <t>restructureDetails_implementationDate</t>
  </si>
  <si>
    <t>restructureDetails_date</t>
  </si>
  <si>
    <t>restructureDetails_plannedTerminationDate</t>
  </si>
  <si>
    <t>restructureDetails_factualTerminationDate</t>
  </si>
  <si>
    <t>restructureDetails_type_uid</t>
  </si>
  <si>
    <t>concat (reference + restructureDetails_date )</t>
  </si>
  <si>
    <t>agr_accred_add_type_id</t>
  </si>
  <si>
    <t xml:space="preserve"> with src as 
(
 select
  b.restructureDetails_type_uid  
  , b.restructureDetails_type   
  -- описание взято по ссылке  на 11/02/2026 https://confluence.delta.sbrf.ru/pages/viewpage.action?pageId=13905106964
  , case when b.restructureDetails_type   = 'DEBT_REPAYMENT_PERIOD_INCREASE' 
  then 'Увеличение срока возврата основного долга'
  when b.restructureDetails_type   = 'INTEREST_RATE_REDUCTION' 
  then 'Снижение процентной ставки'
  when b.restructureDetails_type   = 'DEBT_AMOUNT_INCREASE' 
  then 'Увеличение суммы основного долга'
  when b.restructureDetails_type   = 'LOAN_INTEREST_PAYMENT_SCHEDULE_CHANGE' 
  then 'Изменение графика уплаты процентов по ссуде'
  when b.restructureDetails_type   = 'INTEREST_RATE_ALGORITHM_CHANGE' 
  then 'Изменение алгоритма расчета процентной ставки'
  when b.restructureDetails_type   = 'AGREEMENT_CURRENCY_CHANGE' 
  then 'Изменение валюты договора'
  when b.restructureDetails_type   = 'OTHER' 
  then 'Другое' as restructureDetails_type_name
end
  , row_number() over (partition by b.restructureDetails_type_uid order by b.sys_date_create_or_update desc) as rn
 from s_grnplm_as_t_didsd_308_db_stg.b3080000460023_restructureDetails as b
 where 1 = 1
  and b.restructureDetails_type_uid is not null
  and upper(b.deleted) = 'N'
)
select *
from src as b
where b.rn = 1 </t>
  </si>
  <si>
    <t>agr_accred_add_type_cd</t>
  </si>
  <si>
    <t>restructureDetails_type</t>
  </si>
  <si>
    <t>agr_accred_add_type_name</t>
  </si>
  <si>
    <t>restructureDetails_type_name</t>
  </si>
  <si>
    <t>Проверка соответствия типов S2T</t>
  </si>
  <si>
    <t>Seek</t>
  </si>
  <si>
    <t>Название таблицы STAGE</t>
  </si>
  <si>
    <t>Название поля</t>
  </si>
  <si>
    <t>Тип поля</t>
  </si>
  <si>
    <t>Первичный ключ</t>
  </si>
  <si>
    <t>Описание поля</t>
  </si>
  <si>
    <t>Описание таблицы</t>
  </si>
  <si>
    <t>YES</t>
  </si>
  <si>
    <t>NOT NULL</t>
  </si>
  <si>
    <t>NO</t>
  </si>
  <si>
    <t>Дата открытия договора эскроу</t>
  </si>
  <si>
    <t>Дата закрытия договора эскроу</t>
  </si>
  <si>
    <t>Номер договора</t>
  </si>
  <si>
    <t>legalEpkId_beneficiary</t>
  </si>
  <si>
    <t>ЕПК id юр.лица бенефициара</t>
  </si>
  <si>
    <t>Срок депонирования объекта</t>
  </si>
  <si>
    <t>status_agreement</t>
  </si>
  <si>
    <t>Статус договора эскроу</t>
  </si>
  <si>
    <t>lastModifiedDate_agreement</t>
  </si>
  <si>
    <t>Дата и время последнего обновления</t>
  </si>
  <si>
    <t>parentAgreementId_agreement</t>
  </si>
  <si>
    <t>ИД родительской сделки, если текущая создана через уступку</t>
  </si>
  <si>
    <t>Срок депонирования договора</t>
  </si>
  <si>
    <t>ЕКС ИД кредитного договора</t>
  </si>
  <si>
    <t>ППРБ КЮЛ ИД  кредитного договора</t>
  </si>
  <si>
    <t>devLoanAgrKulId_agreement_uid</t>
  </si>
  <si>
    <t>decimal(38 , 16)</t>
  </si>
  <si>
    <t>Сумма депонирования</t>
  </si>
  <si>
    <t>escrowAmount_currency_agreement</t>
  </si>
  <si>
    <t>legalEpkId_deponent</t>
  </si>
  <si>
    <t>ЕПК id юр.лица депонента</t>
  </si>
  <si>
    <t>number_escrow_accountDetails</t>
  </si>
  <si>
    <t>Номер счёта эскроу</t>
  </si>
  <si>
    <t>openDate_accountDetails</t>
  </si>
  <si>
    <t>Дата и время открытия счета эскроу</t>
  </si>
  <si>
    <t>externalRegistryId_escrow_accountDetails</t>
  </si>
  <si>
    <t>externalRegistryId_escrow_accountDetails_uid</t>
  </si>
  <si>
    <t>legalName_deponent</t>
  </si>
  <si>
    <t>Наименование юр.лица депонента</t>
  </si>
  <si>
    <t>taxId_deponent</t>
  </si>
  <si>
    <t>ИНН юр.лица депонента</t>
  </si>
  <si>
    <t>bank_correspondentAccount_escrow_accountDetails</t>
  </si>
  <si>
    <t>Корр. счет</t>
  </si>
  <si>
    <t>bankunitcode_beneficiary</t>
  </si>
  <si>
    <t>Терр структура   бенефициара</t>
  </si>
  <si>
    <t>escrowBranchCode_agreement</t>
  </si>
  <si>
    <t>Терр структура  ведения договора</t>
  </si>
  <si>
    <t>registryTypeCode_accountDetails</t>
  </si>
  <si>
    <t>Код типа регистра</t>
  </si>
  <si>
    <t>registryTypeName_accountDetails</t>
  </si>
  <si>
    <t>Наименование типа регистра</t>
  </si>
  <si>
    <t>legalName_beneficiary</t>
  </si>
  <si>
    <t>Наименование юр.лица бенефициара</t>
  </si>
  <si>
    <t>taxId_beneficiary</t>
  </si>
  <si>
    <t>ИНН юр.лица бенефициара</t>
  </si>
  <si>
    <t>eksAccountId_accountDetails</t>
  </si>
  <si>
    <t>ЕКС ID счёта эскроу</t>
  </si>
  <si>
    <t>bigint</t>
  </si>
  <si>
    <t>ID записи</t>
  </si>
  <si>
    <t xml:space="preserve">timestamp </t>
  </si>
  <si>
    <t>Дата и время последнего изменения</t>
  </si>
  <si>
    <t>deleted</t>
  </si>
  <si>
    <t>Признак удаления</t>
  </si>
  <si>
    <t>case when deleted = true then 'y' else 'n'</t>
  </si>
  <si>
    <t>beneficiarybankregionalunit</t>
  </si>
  <si>
    <t>ОСБ бенефициара по схеме распределения дохода / отчетность</t>
  </si>
  <si>
    <t>beneficiaryBankBranch</t>
  </si>
  <si>
    <t>ТБ бенефициара  по схеме распределения дохода / отчетность</t>
  </si>
  <si>
    <t>Терр структура бенефициара  по схеме распределения дохода / отчетность</t>
  </si>
  <si>
    <t>Составной( beneficiaryBankBranch + beneficiarybankregionalunit)</t>
  </si>
  <si>
    <t>deponentBankRegionalUnit</t>
  </si>
  <si>
    <t>ОСБ депонента по схеме распределения дохода / отчетность</t>
  </si>
  <si>
    <t>deponentBankBranch</t>
  </si>
  <si>
    <t>ТБ депонента  по схеме распределения дохода / отчетность</t>
  </si>
  <si>
    <t>Терр структура депонента  по схеме распределения дохода / отчетность</t>
  </si>
  <si>
    <t>Составной( deponentBankBranch + deponentBankRegionalUnit)</t>
  </si>
  <si>
    <t>boolean</t>
  </si>
  <si>
    <t>case when deleted = true then 'Y' else 'N'</t>
  </si>
  <si>
    <t>depositorlegal_creditcontract_date</t>
  </si>
  <si>
    <t>Дата кредитного договора у депонента</t>
  </si>
  <si>
    <t>depositorlegal_creditcontract_eks</t>
  </si>
  <si>
    <t>ИД кредитного договора в  ЕКС у депонента</t>
  </si>
  <si>
    <t>depositorlegal_creditcontract_kulid</t>
  </si>
  <si>
    <t>ИД ППРБ.КЮЛ у депонента</t>
  </si>
  <si>
    <t>depositorlegal_creditcontract_kulid_uid</t>
  </si>
  <si>
    <t>depositorlegal_creditcontract_number</t>
  </si>
  <si>
    <t>Номер кредитного договора у депонента</t>
  </si>
  <si>
    <t>depositorlegal_creditcontract_number_uid</t>
  </si>
  <si>
    <t>depositorlegal_epkid</t>
  </si>
  <si>
    <t>ИД ЕПК депонента</t>
  </si>
  <si>
    <t>escrowamount_currency</t>
  </si>
  <si>
    <t>Валюта договора</t>
  </si>
  <si>
    <t>numeric(38 , 16)</t>
  </si>
  <si>
    <t>Сумма договора</t>
  </si>
  <si>
    <t>escrowbankregionaloffice</t>
  </si>
  <si>
    <t>Терр. Структура по балансу /Договора</t>
  </si>
  <si>
    <t>Дата истечения срока действия сделки эскроу</t>
  </si>
  <si>
    <t>externalregistryid</t>
  </si>
  <si>
    <t>ИД регистра счета эскроу</t>
  </si>
  <si>
    <t>externalregistryid_uid</t>
  </si>
  <si>
    <t>profitscheme</t>
  </si>
  <si>
    <t>Код схемы распределения дохода</t>
  </si>
  <si>
    <t>profitscheme_description</t>
  </si>
  <si>
    <t>Наименование схемы распределения дохода</t>
  </si>
  <si>
    <t>escrowType_code</t>
  </si>
  <si>
    <t>Тип договора эскроу ГК</t>
  </si>
  <si>
    <t>escrowType_description</t>
  </si>
  <si>
    <t>Наименование тип договора эскроу ГК</t>
  </si>
  <si>
    <t>creditcontract_d_i</t>
  </si>
  <si>
    <t>Номер кредитного договора у бенефициара ФЛ</t>
  </si>
  <si>
    <t>creditcontract_i</t>
  </si>
  <si>
    <t>Дата кредитного договора у бенефициара ФЛ</t>
  </si>
  <si>
    <t>dateofbirth</t>
  </si>
  <si>
    <t>Дата рождения</t>
  </si>
  <si>
    <t>epkid_i</t>
  </si>
  <si>
    <t>ИД ЕПК бенефициара ФЛ</t>
  </si>
  <si>
    <t>epkid_i_uid</t>
  </si>
  <si>
    <t>firstname</t>
  </si>
  <si>
    <t>Имя бенефициара ФЛ</t>
  </si>
  <si>
    <t>case when lastname is not null then 'individual' end</t>
  </si>
  <si>
    <t>Фамилия бенефициара ФЛ</t>
  </si>
  <si>
    <t>middlename</t>
  </si>
  <si>
    <t>Отчество бенефициара ФЛ</t>
  </si>
  <si>
    <t>beneficiariesindividual_uid</t>
  </si>
  <si>
    <t>ИД бенефициара ФЛ не клиента банка</t>
  </si>
  <si>
    <t>Составной( lastname + firstname + middlename+dateofbirth)</t>
  </si>
  <si>
    <t>acc_number</t>
  </si>
  <si>
    <t>Счет бенефициара ЮЛ</t>
  </si>
  <si>
    <t>creditcontract_d_l</t>
  </si>
  <si>
    <t>Номер кредитного договора у бенефициара ЮЛ</t>
  </si>
  <si>
    <t>creditcontract_d_l_uid</t>
  </si>
  <si>
    <t>creditcontract_l</t>
  </si>
  <si>
    <t>Дата кредитного договора у бенефициара ЮЛ</t>
  </si>
  <si>
    <t>creditcontract_l_eksid</t>
  </si>
  <si>
    <t>ИД кредитного договора в  ЕКС у бенефициара ЮЛ</t>
  </si>
  <si>
    <t>creditcontract_l_kulid</t>
  </si>
  <si>
    <t>ИД ППРБ.КЮЛ у бенефициара ЮЛ</t>
  </si>
  <si>
    <t>creditcontract_l_kulid_uid</t>
  </si>
  <si>
    <t>epkid_l</t>
  </si>
  <si>
    <t>ИД ЕПК бенефициара ЮЛ</t>
  </si>
  <si>
    <t>epkid_l_uid</t>
  </si>
  <si>
    <t>name</t>
  </si>
  <si>
    <t>Наименование бенефициара ЮЛ</t>
  </si>
  <si>
    <t>beneficiarieslegal_uid</t>
  </si>
  <si>
    <t>ИД бенефициара ЮЛ не клиента банка</t>
  </si>
  <si>
    <t>Составной(name + taxid)</t>
  </si>
  <si>
    <t>taxid</t>
  </si>
  <si>
    <t>ИНН бенефициара ЮЛ</t>
  </si>
  <si>
    <t>comissioner</t>
  </si>
  <si>
    <t>Код типа плательщика</t>
  </si>
  <si>
    <t>comissioner_d</t>
  </si>
  <si>
    <t>Наименование типа плательщика</t>
  </si>
  <si>
    <t>comissionerid</t>
  </si>
  <si>
    <t>ИД ЕПК плательщика</t>
  </si>
  <si>
    <t>comissionerid_uid</t>
  </si>
  <si>
    <t>event_type_code</t>
  </si>
  <si>
    <t>event_type_code_uid</t>
  </si>
  <si>
    <t>event_type_desc</t>
  </si>
  <si>
    <t>startdate</t>
  </si>
  <si>
    <t>Дата начала действия тарифа</t>
  </si>
  <si>
    <t>agreementid</t>
  </si>
  <si>
    <t>agreementreference</t>
  </si>
  <si>
    <t>Сумма операции</t>
  </si>
  <si>
    <t>Код типа комиссии</t>
  </si>
  <si>
    <t>comminstanceid</t>
  </si>
  <si>
    <t>commInstanceId</t>
  </si>
  <si>
    <t>currency</t>
  </si>
  <si>
    <t>Валюта операции</t>
  </si>
  <si>
    <t>Дата операции</t>
  </si>
  <si>
    <t>ID операции</t>
  </si>
  <si>
    <t>operationiddt</t>
  </si>
  <si>
    <t>ИД операции</t>
  </si>
  <si>
    <t>Наименование операции</t>
  </si>
  <si>
    <t>registeriddt</t>
  </si>
  <si>
    <t>ИД регистра ДТ</t>
  </si>
  <si>
    <t>serviceid</t>
  </si>
  <si>
    <t>ИД сервиса</t>
  </si>
  <si>
    <t>external_agreement_id</t>
  </si>
  <si>
    <t>Внешний уникальный идентификатор продукта потребителя</t>
  </si>
  <si>
    <t>external_agreement_id_uid</t>
  </si>
  <si>
    <t>Идентификатор продукта потребителя</t>
  </si>
  <si>
    <t>Референс договора/сделки</t>
  </si>
  <si>
    <t>agreementreference_uid</t>
  </si>
  <si>
    <t>SK(agreementreference)</t>
  </si>
  <si>
    <t>registerid</t>
  </si>
  <si>
    <t>Идентификатор регистра счета</t>
  </si>
  <si>
    <t>registerid_uid</t>
  </si>
  <si>
    <t>accountevent_number</t>
  </si>
  <si>
    <t>Номер лицевого счета</t>
  </si>
  <si>
    <t>accountevent_status</t>
  </si>
  <si>
    <t>Статус счета</t>
  </si>
  <si>
    <t>systemid</t>
  </si>
  <si>
    <t>Код АС-инициатора по потребителям ПЭЙ2.0</t>
  </si>
  <si>
    <t>Тип продукта</t>
  </si>
  <si>
    <t>eventtype</t>
  </si>
  <si>
    <t>Тип события, для событий счетов из PAY2.0 константа accountEvent_Pay2.0</t>
  </si>
  <si>
    <t>processid</t>
  </si>
  <si>
    <t>Идентификатор бизнес-процесса потребителя</t>
  </si>
  <si>
    <t>dateopen</t>
  </si>
  <si>
    <t>Дата открытия счета</t>
  </si>
  <si>
    <t>currency_amnt_limitschedule</t>
  </si>
  <si>
    <t>Внешний идентификатор договора</t>
  </si>
  <si>
    <t>external_id_uid</t>
  </si>
  <si>
    <t>Дата окончания действия лимита</t>
  </si>
  <si>
    <t>Дата начала действия лимита</t>
  </si>
  <si>
    <t>date_version</t>
  </si>
  <si>
    <t>Дата, на которую действует событие договора</t>
  </si>
  <si>
    <t>bankbranchosb</t>
  </si>
  <si>
    <t>Террструктура генерального соглашения</t>
  </si>
  <si>
    <t>CONCAT(bankbranch, osbcode) AS bankbranchosb</t>
  </si>
  <si>
    <t>Признак возобновляемости лимита</t>
  </si>
  <si>
    <t>Тип заведения договора</t>
  </si>
  <si>
    <t>Референс договора</t>
  </si>
  <si>
    <t xml:space="preserve">Статус договора </t>
  </si>
  <si>
    <t>type_client</t>
  </si>
  <si>
    <t>Тип клиента</t>
  </si>
  <si>
    <t>epkid_client</t>
  </si>
  <si>
    <t>ЕПК ИД клиента</t>
  </si>
  <si>
    <t>taxid_client</t>
  </si>
  <si>
    <t>ИНН клиента</t>
  </si>
  <si>
    <t>period_maxduration</t>
  </si>
  <si>
    <t>Срок действия аккредитива</t>
  </si>
  <si>
    <t>period_fundingperiod</t>
  </si>
  <si>
    <t>Срок финансирования</t>
  </si>
  <si>
    <t>dateversion</t>
  </si>
  <si>
    <t>Дата события</t>
  </si>
  <si>
    <t>Дата заключения</t>
  </si>
  <si>
    <t xml:space="preserve">Дата истечения </t>
  </si>
  <si>
    <t xml:space="preserve">Дата закрытия </t>
  </si>
  <si>
    <t>issuingbankbic</t>
  </si>
  <si>
    <t>БИК банка-эмитента</t>
  </si>
  <si>
    <t>advisingbankbic</t>
  </si>
  <si>
    <t>Адрес авизующкго банка</t>
  </si>
  <si>
    <t>nominatedbankbic</t>
  </si>
  <si>
    <t>БИК исполняющего банка</t>
  </si>
  <si>
    <t>applicantbankbic</t>
  </si>
  <si>
    <t>БИК банка плательщика</t>
  </si>
  <si>
    <t>beneficiarybankbic</t>
  </si>
  <si>
    <t>БИК банка получателя</t>
  </si>
  <si>
    <t>issuingbankissbbranch</t>
  </si>
  <si>
    <t>Банк-эмитент - подразделение СБ</t>
  </si>
  <si>
    <t>advisingbankissbbranch</t>
  </si>
  <si>
    <t>SWIFT код авизующкго банка</t>
  </si>
  <si>
    <t>nominatedbankissbbranch</t>
  </si>
  <si>
    <t>Исполняющий банк - подразделение СБ</t>
  </si>
  <si>
    <t>applicantbankissbbranch</t>
  </si>
  <si>
    <t>Банк плательщика - подразделения СБ</t>
  </si>
  <si>
    <t>beneficiarybankissbbranch</t>
  </si>
  <si>
    <t>Банк получателя - подразделение СБ</t>
  </si>
  <si>
    <t>applicantisresident</t>
  </si>
  <si>
    <t>Гражданство плательщика</t>
  </si>
  <si>
    <t>beneficiarylegalisresident</t>
  </si>
  <si>
    <t>Гражданство получателя ЮЛ</t>
  </si>
  <si>
    <t>beneficiaryindividualisresident</t>
  </si>
  <si>
    <t>Гражданство получателя ФЛ</t>
  </si>
  <si>
    <t>issuingbankname</t>
  </si>
  <si>
    <t>Наименование банка-эмитента</t>
  </si>
  <si>
    <t>advisingbankname</t>
  </si>
  <si>
    <t>БИК авизующкго банка</t>
  </si>
  <si>
    <t>nominatedbankname</t>
  </si>
  <si>
    <t>Наименование исполняющего банка</t>
  </si>
  <si>
    <t>applicantbankname</t>
  </si>
  <si>
    <t>Наименование банка плательщика</t>
  </si>
  <si>
    <t>beneficiarybankname</t>
  </si>
  <si>
    <t xml:space="preserve">Наименование банка получателя </t>
  </si>
  <si>
    <t>Дата закрытия</t>
  </si>
  <si>
    <t>Дата открытия</t>
  </si>
  <si>
    <t>Схема распределения доходов</t>
  </si>
  <si>
    <t>isecacovered</t>
  </si>
  <si>
    <t>Покрытие ЭКА</t>
  </si>
  <si>
    <t>Референс</t>
  </si>
  <si>
    <t>externalid</t>
  </si>
  <si>
    <t>Уникальный идентификатор сделки</t>
  </si>
  <si>
    <t>generalagreementfactoryid</t>
  </si>
  <si>
    <t>Генеральное соглашение. Внешний ID</t>
  </si>
  <si>
    <t xml:space="preserve">   case when SUBSTR( bankregionalunitbankbranchcode,1,1) = '0' and SUBSTR( bankregionalunitbankbranchcode,2,1) &lt;&gt; '0' and length(bankregionalunitbankbranchcode)= 3
   then SUBSTR( bankregionalunitbankbranchcode, 2) else bankregionalunitbankbranchcode end</t>
  </si>
  <si>
    <t>Подразделение - владелец досье. Код ТБ</t>
  </si>
  <si>
    <t>lpad(bankregionalunitosbcode, 4, '0')  as bankregionalunitosbcode</t>
  </si>
  <si>
    <t>Подразделение - владелец досье. Код ОСБ сделки</t>
  </si>
  <si>
    <t>sberbankdeferredpaymentisavailability</t>
  </si>
  <si>
    <t>Отсрочка Банка. Наличие отсрочки Банка</t>
  </si>
  <si>
    <t>Дополнительные условия</t>
  </si>
  <si>
    <t>Связанный референс сделки</t>
  </si>
  <si>
    <t>beneficiaryaccountnumber</t>
  </si>
  <si>
    <t>Номер счета получателя</t>
  </si>
  <si>
    <t>applicantepkid</t>
  </si>
  <si>
    <t>Идентификатор ЕПК плательщика</t>
  </si>
  <si>
    <t>beneficiarylegalepkid</t>
  </si>
  <si>
    <t>ЕПК ID получателя ЮЛ</t>
  </si>
  <si>
    <t>beneficiaryindividualepkrbid</t>
  </si>
  <si>
    <t>Идентификатор ЕПК РБ получателя ФЛ</t>
  </si>
  <si>
    <t>applicanttaxid</t>
  </si>
  <si>
    <t>ИНН плательщика</t>
  </si>
  <si>
    <t>beneficiarylegaltaxid</t>
  </si>
  <si>
    <t>ИНН получателя ЮЛ</t>
  </si>
  <si>
    <t>ИНН получателя ФЛ</t>
  </si>
  <si>
    <t>applicantlegalname</t>
  </si>
  <si>
    <t>Наименование плательщика</t>
  </si>
  <si>
    <t>beneficiarylegalname</t>
  </si>
  <si>
    <t>Наименование получателя ЮЛ</t>
  </si>
  <si>
    <t>case when beneficiaryindividualname is not null then 'individual' end</t>
  </si>
  <si>
    <t>Наименование получателя ФЛ</t>
  </si>
  <si>
    <t>applicantterritorybic</t>
  </si>
  <si>
    <t>БИК территориального банка плательщика</t>
  </si>
  <si>
    <t>beneficiaryterritorybic</t>
  </si>
  <si>
    <t>БИК территориального банка получателя</t>
  </si>
  <si>
    <t>case when SUBSTR( applicantterritorybankbranchcode,1,1) = '0' and SUBSTR( applicantterritorybankbranchcode,2,1) &lt;&gt; '0' and length(applicantterritorybankbranchcode)= 3
   then SUBSTR( applicantterritorybankbranchcode, 2) else applicantterritorybankbranchcode end</t>
  </si>
  <si>
    <t>Код территориального банка плательщика</t>
  </si>
  <si>
    <t>lpad(applicantterritoryosbcode, 4, '0') as applicantterritoryosbcode</t>
  </si>
  <si>
    <t>Код ОСБ плательщика</t>
  </si>
  <si>
    <t xml:space="preserve">  case when SUBSTR( beneficiaryterritorybankbranchcode,1,1) = '0' and SUBSTR( beneficiaryterritorybankbranchcode,2,1) &lt;&gt; '0' and length(beneficiaryterritorybankbranchcode)= 3
   then SUBSTR( beneficiaryterritorybankbranchcode, 2) else beneficiaryterritorybankbranchcode end</t>
  </si>
  <si>
    <t>Код территориального банка получателя</t>
  </si>
  <si>
    <t>lpad(beneficiaryterritoryosbcode, 4, '0') as beneficiaryterritoryosbcode</t>
  </si>
  <si>
    <t>Код ОСБ получателя</t>
  </si>
  <si>
    <t>applicantterritoryname</t>
  </si>
  <si>
    <t>Наименование ОСБ плательщика</t>
  </si>
  <si>
    <t>beneficiaryterritoryname</t>
  </si>
  <si>
    <t>Наименование ОСБ пполучателя</t>
  </si>
  <si>
    <t>bankregionalunitbic</t>
  </si>
  <si>
    <t>Подразделение - владелец досье. БИК</t>
  </si>
  <si>
    <t>bankregionalunitname</t>
  </si>
  <si>
    <t>Подразделение - владелец досье. Наименование</t>
  </si>
  <si>
    <t>Дата окончания финансирования</t>
  </si>
  <si>
    <t>Дата истечения</t>
  </si>
  <si>
    <t>beneficiarybankswift</t>
  </si>
  <si>
    <t>SWIFT код банка получателя</t>
  </si>
  <si>
    <t>advisingbankswift</t>
  </si>
  <si>
    <t>Наименование авизующкго банка</t>
  </si>
  <si>
    <t>issuingbankswift</t>
  </si>
  <si>
    <t>SWIFT код банка-эмитента</t>
  </si>
  <si>
    <t>nominatedbankswift</t>
  </si>
  <si>
    <t>SWIFT код исполняющего банка</t>
  </si>
  <si>
    <t>applicantbankswift</t>
  </si>
  <si>
    <t>СВИФТ код банка плательщика</t>
  </si>
  <si>
    <t>Источник формирования покрытия</t>
  </si>
  <si>
    <t>isrevocable</t>
  </si>
  <si>
    <t>Отзывный</t>
  </si>
  <si>
    <t>Сумма сделки</t>
  </si>
  <si>
    <t>amountcurrencycode</t>
  </si>
  <si>
    <t>Валюта сделки</t>
  </si>
  <si>
    <t>Отсрочка бенефициара. Единица измерения срока</t>
  </si>
  <si>
    <t>Отсрочка бенефициара. Фиксированная дата отсрочки платежа</t>
  </si>
  <si>
    <t>decimal(38,16)</t>
  </si>
  <si>
    <t>Отсрочка бенефициара. Срок</t>
  </si>
  <si>
    <t>Статус договора</t>
  </si>
  <si>
    <t>timestamp</t>
  </si>
  <si>
    <t>SK(reference)</t>
  </si>
  <si>
    <t>SK(status)</t>
  </si>
  <si>
    <t>SK(amountcurrencycode)</t>
  </si>
  <si>
    <t>SK(producttype)</t>
  </si>
  <si>
    <t>SK(sourceofcover)</t>
  </si>
  <si>
    <t>SK(beneficiarydeferredpaymentperioddurationunit)</t>
  </si>
  <si>
    <t>SK(incomedistributionscheme)</t>
  </si>
  <si>
    <t>beneficiaryaccountnumber_uid</t>
  </si>
  <si>
    <t>SK(beneficiaryaccountnumber)</t>
  </si>
  <si>
    <t>applicantepkid_uid</t>
  </si>
  <si>
    <t>SK(applicantepkid, '000001')</t>
  </si>
  <si>
    <t>applicantlegalname_tax_uid</t>
  </si>
  <si>
    <t>SK(coalesce(applicantlegalname, '')||coalesce(applicanttaxid, ''))</t>
  </si>
  <si>
    <t>beneficiarylegalepkid_uid</t>
  </si>
  <si>
    <t>SK('000001', beneficiarylegalepkid)</t>
  </si>
  <si>
    <t>beneficiarylegalname_tax_uid</t>
  </si>
  <si>
    <t>SK(coalesce(beneficiarylegalname, '')||coalesce(beneficiarylegaltaxid, ''))</t>
  </si>
  <si>
    <t>beneficiaryindepkid_uid</t>
  </si>
  <si>
    <t>SK(beneficiaryindividualepkrbid, '000001')</t>
  </si>
  <si>
    <t>SK(coalesce(beneficiaryindividualname, '')||coalesce(beneficiaryindividualtaxid, ''))</t>
  </si>
  <si>
    <t>applicant_tbosb_uid</t>
  </si>
  <si>
    <t>SK(coalesce(applicantterritorybankbranchcode,'')||coalesce(applicantterritoryosbcode,''))</t>
  </si>
  <si>
    <t>beneficiary_tbosb_uid</t>
  </si>
  <si>
    <t>SK(coalesce(beneficiaryterritorybankbranchcode,'')||coalesce(beneficiaryterritoryosbcode,''))</t>
  </si>
  <si>
    <t>regionalunit_tbosb_uid</t>
  </si>
  <si>
    <t>SK(coalesce(bankregionalunitbankbranchcode,'')||coalesce(bankregionalunitosbcode,''))</t>
  </si>
  <si>
    <t>issuingbankbic_uid</t>
  </si>
  <si>
    <t>SK(issuingbankbic)</t>
  </si>
  <si>
    <t>SK(issuingbankswift)</t>
  </si>
  <si>
    <t>advisingbankbic_uid</t>
  </si>
  <si>
    <t>SK(advisingbankbic)</t>
  </si>
  <si>
    <t>advisingbankswift_uid</t>
  </si>
  <si>
    <t>SK(advisingbankswift)</t>
  </si>
  <si>
    <t>nominatedbankbic_uid</t>
  </si>
  <si>
    <t>SK(nominatedbankbic)</t>
  </si>
  <si>
    <t>nominatedbankswift_uid</t>
  </si>
  <si>
    <t>SK(nominatedbankswift)</t>
  </si>
  <si>
    <t>applicantbankbic_uid</t>
  </si>
  <si>
    <t>SK(applicantbankbic)</t>
  </si>
  <si>
    <t>applicantbankswift_uid</t>
  </si>
  <si>
    <t>SK(applicantbankswift)</t>
  </si>
  <si>
    <t>beneficiarybankbic_uid</t>
  </si>
  <si>
    <t>SK(beneficiarybankbic)</t>
  </si>
  <si>
    <t>SK(beneficiarybankswift)</t>
  </si>
  <si>
    <t>SK(generalagreementfactoryid)</t>
  </si>
  <si>
    <t>additionalconditions_versionedattr</t>
  </si>
  <si>
    <t>Примечание</t>
  </si>
  <si>
    <t>Номер сделки у иностранного банка</t>
  </si>
  <si>
    <t>ID договора в источнике (отсутствует в ПРОМ)</t>
  </si>
  <si>
    <t>agreementstatus</t>
  </si>
  <si>
    <t>Статус сделки</t>
  </si>
  <si>
    <t>Сумма сделки</t>
  </si>
  <si>
    <t>applicantepkid_versionedattr</t>
  </si>
  <si>
    <t>ЕПК ID аппликанта\плательщика</t>
  </si>
  <si>
    <t>applicantepkid_versionedattr_uid</t>
  </si>
  <si>
    <t>applicantname_versionedattr</t>
  </si>
  <si>
    <t>Наименование аппликанта\плательщика</t>
  </si>
  <si>
    <t>applicanttaxid_versionedattr</t>
  </si>
  <si>
    <t>ИНН аппликанта\плательщика</t>
  </si>
  <si>
    <t>applicantname_taxid_versionedattr_uid</t>
  </si>
  <si>
    <t>СК coalesce(applicantname_versionedattr, '')||coalesce(applicanttaxid_versionedattr, '')</t>
  </si>
  <si>
    <t>availabilitytype_versionedattr</t>
  </si>
  <si>
    <t>Условие выдачи</t>
  </si>
  <si>
    <t>case when SUBSTR( bankregionalunitcode_versionedattr,1,1) = '0' and SUBSTR( bankregionalunitcode_versionedattr,2,1) &lt;&gt; '0' 
   then SUBSTR( bankregionalunitcode_versionedattr, 2) else bankregionalunitcode_versionedattr end</t>
  </si>
  <si>
    <t>Код подразделения - владельца досье</t>
  </si>
  <si>
    <t>bankregionalunitname_versionedattr</t>
  </si>
  <si>
    <t>Наименование Тербанка - владельца досье</t>
  </si>
  <si>
    <t>beneficiarybankunitcode_versionedattr</t>
  </si>
  <si>
    <t>Код подразделения Банка бенефициара</t>
  </si>
  <si>
    <t>beneficiarybankunitname_versionedattr</t>
  </si>
  <si>
    <t>Наименование Банка бенефициара</t>
  </si>
  <si>
    <t>beneficiaryepkid_versionedattr</t>
  </si>
  <si>
    <t>ЕПК ID бенефициара\доверителя</t>
  </si>
  <si>
    <t>beneficiaryepkid_versionedattr_uid</t>
  </si>
  <si>
    <t>beneficiaryfeeaccount_versionedattr</t>
  </si>
  <si>
    <t>Счет получателя для списания комиссий</t>
  </si>
  <si>
    <t>beneficiaryname_versionedattr</t>
  </si>
  <si>
    <t>Наименование бенефициара\доверителя</t>
  </si>
  <si>
    <t>beneficiarytaxid_versionedattr</t>
  </si>
  <si>
    <t>ИНН бенефициара\доверителя</t>
  </si>
  <si>
    <t>beneficiaryname_taxid_versionedattr_uid</t>
  </si>
  <si>
    <t>СК coalesce(beneficiaryname_versionedattr, '')||coalesce(beneficiarytaxid_versionedattr, '')</t>
  </si>
  <si>
    <t>changeid_versionedattr</t>
  </si>
  <si>
    <t>ID строки из таблицы с изменениями</t>
  </si>
  <si>
    <t>Дата заключения сделки</t>
  </si>
  <si>
    <t>currencycode_versionedattr</t>
  </si>
  <si>
    <t>event_id</t>
  </si>
  <si>
    <t>Идентификатор события на источнике</t>
  </si>
  <si>
    <t>headers</t>
  </si>
  <si>
    <t>Поле заголовка dto</t>
  </si>
  <si>
    <t>incassotype</t>
  </si>
  <si>
    <t>Вид Инкассо</t>
  </si>
  <si>
    <t>modifiedtime</t>
  </si>
  <si>
    <t>Дата и время операции изменения</t>
  </si>
  <si>
    <t>Плановая дата платежа</t>
  </si>
  <si>
    <t>presentingbankname_versionedattr</t>
  </si>
  <si>
    <t>Наименование инкассирующего Банка</t>
  </si>
  <si>
    <t>presentingbankswift_versionedattr</t>
  </si>
  <si>
    <t>SWIFT код инкассирующего Банка</t>
  </si>
  <si>
    <t>productcode</t>
  </si>
  <si>
    <t>Код продукта</t>
  </si>
  <si>
    <t>Референс сделки</t>
  </si>
  <si>
    <t>applicantfeeaccount_versionedattr</t>
  </si>
  <si>
    <t>Счет плательщика для списания комиссий</t>
  </si>
  <si>
    <t>applicantbankname_versionedattr</t>
  </si>
  <si>
    <t>Наименование Банка аппликанта</t>
  </si>
  <si>
    <t>applicantbankunitcode_versionedattr</t>
  </si>
  <si>
    <t>Код подразделения Банка аппликанта</t>
  </si>
  <si>
    <t>issuingbankname_versionedattr</t>
  </si>
  <si>
    <t>Наименование Банка эмитента</t>
  </si>
  <si>
    <t>issuingbankswift_versionedattr</t>
  </si>
  <si>
    <t>SWIFT код Банка эмитента</t>
  </si>
  <si>
    <t>case when SUBSTR( bankregionalunitcode,1,1) = '0' and SUBSTR( bankregionalunitcode,2,1) &lt;&gt; '0' 
   then SUBSTR( bankregionalunitcode, 2) else bankregionalunitcode end</t>
  </si>
  <si>
    <t>SWIFT код Банка бенефициара</t>
  </si>
  <si>
    <t>currencycode</t>
  </si>
  <si>
    <t>reimbursingbankname</t>
  </si>
  <si>
    <t>Наименование Рамбурсирующего банка</t>
  </si>
  <si>
    <t>SWIFT код Рамбурсирующего банка</t>
  </si>
  <si>
    <t>reimbursingbankswift</t>
  </si>
  <si>
    <t>Код ВНД</t>
  </si>
  <si>
    <t>СК ВНД</t>
  </si>
  <si>
    <t>Наименование ВНД</t>
  </si>
  <si>
    <t>СК Аккредитив</t>
  </si>
  <si>
    <t>creditcontracts_number</t>
  </si>
  <si>
    <t>creditcontracts_number_uid</t>
  </si>
  <si>
    <t>SK(creditcontracts_number)</t>
  </si>
  <si>
    <t>creditcontracts_idpprbkul</t>
  </si>
  <si>
    <t>ID кредитного договора в КЮЛ</t>
  </si>
  <si>
    <t>creditcontracts_idpprbkul_uid</t>
  </si>
  <si>
    <t>creditcontracts_date</t>
  </si>
  <si>
    <t>Дата заключения кредитного договора</t>
  </si>
  <si>
    <t>creditcontracts_eksid</t>
  </si>
  <si>
    <t>ID кредитного договора в ЕКС</t>
  </si>
  <si>
    <t>Статус договора аккредитива</t>
  </si>
  <si>
    <t>Дата контракта</t>
  </si>
  <si>
    <t>Номер контракта</t>
  </si>
  <si>
    <t>SK(coalesce(supplycontracts_number, '')||coalesce(reference, ''))</t>
  </si>
  <si>
    <t>b3080000460012_lcl_agreement_tariffs</t>
  </si>
  <si>
    <t>tariffs_feeeventtype</t>
  </si>
  <si>
    <t>Тип комиссии</t>
  </si>
  <si>
    <t>b3080000460013_lcl_agreement_applicant_fee_accounts</t>
  </si>
  <si>
    <t>applicantfeeaccounts_number</t>
  </si>
  <si>
    <t>Номер счёта плательщика</t>
  </si>
  <si>
    <t>applicantfeeaccounts_number_uid</t>
  </si>
  <si>
    <t>SK(applicantfeeaccounts_number)</t>
  </si>
  <si>
    <t>b3080000460014_lcl_registry_dto</t>
  </si>
  <si>
    <t>Код регистра</t>
  </si>
  <si>
    <t>registryevent_account_number</t>
  </si>
  <si>
    <t>Счет</t>
  </si>
  <si>
    <t>registryevent_agreement_reference</t>
  </si>
  <si>
    <t>ID регистра</t>
  </si>
  <si>
    <t>SK(external_registry_id, '000004')</t>
  </si>
  <si>
    <t>external_registry_id</t>
  </si>
  <si>
    <t>Идентификатор регистра счета в системах банка</t>
  </si>
  <si>
    <t>postingevent_accountdebit_number</t>
  </si>
  <si>
    <t>Номер счета Дт</t>
  </si>
  <si>
    <t>postingevent_accountcredit_registerid</t>
  </si>
  <si>
    <t>ID регистра счета Кт</t>
  </si>
  <si>
    <t>ID договора в источнике</t>
  </si>
  <si>
    <t>postingevent_accountcredit_number</t>
  </si>
  <si>
    <t>Номер счета Кт</t>
  </si>
  <si>
    <t>postingevent_operationidkt</t>
  </si>
  <si>
    <t>ID операции справа (считаем что по Кт проводки)</t>
  </si>
  <si>
    <t>SK(codecommission)</t>
  </si>
  <si>
    <t>postingevent_accountcredit_registerid_uid</t>
  </si>
  <si>
    <t>SK(postingevent_accountcredit_registerid, '000004')</t>
  </si>
  <si>
    <t>registeriddt_uid</t>
  </si>
  <si>
    <t>SK(registeriddt, '000004')</t>
  </si>
  <si>
    <t>date_from</t>
  </si>
  <si>
    <t>Дата изенения</t>
  </si>
  <si>
    <t>reference_dto</t>
  </si>
  <si>
    <t>reference_dto_uid</t>
  </si>
  <si>
    <t>СК договора</t>
  </si>
  <si>
    <t>dateExpiry</t>
  </si>
  <si>
    <t>amountValue</t>
  </si>
  <si>
    <t>amountCurrencyCode</t>
  </si>
  <si>
    <t>Валюта</t>
  </si>
  <si>
    <t>dateConclusion</t>
  </si>
  <si>
    <t>Дата аключения сделки</t>
  </si>
  <si>
    <t>system_code</t>
  </si>
  <si>
    <t>Код системы</t>
  </si>
  <si>
    <t>Дата закрытия договора</t>
  </si>
  <si>
    <t>Дата заключения договора</t>
  </si>
  <si>
    <t>osbCode</t>
  </si>
  <si>
    <t>ОСБ гарантии</t>
  </si>
  <si>
    <t>bankBranch</t>
  </si>
  <si>
    <t>Тербанк гарантии</t>
  </si>
  <si>
    <t xml:space="preserve">Терр структура гарантии </t>
  </si>
  <si>
    <t>Составной( bankBranch + osbCode)</t>
  </si>
  <si>
    <t>Тип гарантии</t>
  </si>
  <si>
    <t>Статус</t>
  </si>
  <si>
    <t>guarantorBankReference</t>
  </si>
  <si>
    <t>Референс второй стороны</t>
  </si>
  <si>
    <t>applicant_type</t>
  </si>
  <si>
    <t>Тип клиента принципала (ЮЛ, ФЛ)</t>
  </si>
  <si>
    <t>beneficiary_type</t>
  </si>
  <si>
    <t>Тип клиента бенефициара (ЮЛ, ФЛ)</t>
  </si>
  <si>
    <t>applicant_epkId</t>
  </si>
  <si>
    <t>ЕПК ИД принципала</t>
  </si>
  <si>
    <t>applicant_epkId_uid</t>
  </si>
  <si>
    <t>beneficiary_epkId</t>
  </si>
  <si>
    <t>ЕПК ИД бенефициара</t>
  </si>
  <si>
    <t>beneficiary_epkId_uid</t>
  </si>
  <si>
    <t>applicant_taxId</t>
  </si>
  <si>
    <t>ИНН принципала</t>
  </si>
  <si>
    <t>beneficiary_taxId</t>
  </si>
  <si>
    <t>ИНН бенефициара</t>
  </si>
  <si>
    <t xml:space="preserve">case when  applicant_type = 'INDIVIDUAL_ENTREPRENEUR' then 'individual' else applicant_fullName end as applicant_fullName </t>
  </si>
  <si>
    <t>Наименование клиента принципала</t>
  </si>
  <si>
    <t>case when beneficiary_type = 'INDIVIDUAL_ENTREPRENEUR' then 'individual' else beneficiary_fullName end as beneficiary_fullName</t>
  </si>
  <si>
    <t>Наименование клиента бенефициара</t>
  </si>
  <si>
    <t>applicant_taxId_uid</t>
  </si>
  <si>
    <t>Составной( applicant_taxId + applicant_fullName  )</t>
  </si>
  <si>
    <t>beneficiary_taxId_uid</t>
  </si>
  <si>
    <t>Составной( beneficiary_taxId + beneficiary_fullName  )</t>
  </si>
  <si>
    <t>guarantorBank_name</t>
  </si>
  <si>
    <t>Банк-гарант</t>
  </si>
  <si>
    <t>guarantorBank_bic</t>
  </si>
  <si>
    <t>Банк-гарант БИК</t>
  </si>
  <si>
    <t>guarantorBank_branchCountryCode</t>
  </si>
  <si>
    <t>Банк-гарант бранч</t>
  </si>
  <si>
    <t>Составной( guarantorBank_name + guarantorBank_bic  )</t>
  </si>
  <si>
    <t>dateVersion</t>
  </si>
  <si>
    <t>beneficiaryBankBankBranch</t>
  </si>
  <si>
    <t>Тербанк банка бенефициара</t>
  </si>
  <si>
    <t>beneficiaryBankOsbCode</t>
  </si>
  <si>
    <t>ОСБ банка бенефициара</t>
  </si>
  <si>
    <t>Терр структура бенефициара</t>
  </si>
  <si>
    <t>Составной( beneficiaryBankBankBranch + beneficiaryBankOsbCode)</t>
  </si>
  <si>
    <t>Сумма гарантии</t>
  </si>
  <si>
    <t>additionalConditions</t>
  </si>
  <si>
    <t>amount_currency</t>
  </si>
  <si>
    <t>guaranteeFree</t>
  </si>
  <si>
    <t>Признак бесплатного обслуживания по гарантии</t>
  </si>
  <si>
    <t>escrowId</t>
  </si>
  <si>
    <t>escrowId_uid</t>
  </si>
  <si>
    <t>Референс соглашения ГОДС</t>
  </si>
  <si>
    <t>Код категории СРЛ</t>
  </si>
  <si>
    <t>Описание категории СРЛ</t>
  </si>
  <si>
    <t>Суммa</t>
  </si>
  <si>
    <t>conventionAmount_currency</t>
  </si>
  <si>
    <t>Вaлютa суммы</t>
  </si>
  <si>
    <t>Дата начала действия соглашения</t>
  </si>
  <si>
    <t>Дата окончания действия соглашения</t>
  </si>
  <si>
    <t>recipientAccount_number</t>
  </si>
  <si>
    <t>Номер счёта получателя</t>
  </si>
  <si>
    <t>recipientAccount_bank_bic</t>
  </si>
  <si>
    <t>БИК банка</t>
  </si>
  <si>
    <t>recipientAccount_bank_name</t>
  </si>
  <si>
    <t>Банк открытия счёта</t>
  </si>
  <si>
    <t>recipientAccount_externalRegistryId</t>
  </si>
  <si>
    <t>recipientAccount_externalRegistryId_uid</t>
  </si>
  <si>
    <t>recipientEpkId</t>
  </si>
  <si>
    <t>ЕПК ID получателя</t>
  </si>
  <si>
    <t>Статус соглашения</t>
  </si>
  <si>
    <t>creationDate</t>
  </si>
  <si>
    <t>Дата и время создания</t>
  </si>
  <si>
    <t>modificationDate</t>
  </si>
  <si>
    <t>Дата изъятия депозита</t>
  </si>
  <si>
    <t>Процентная ставка</t>
  </si>
  <si>
    <t>ПРОВЕРИТЬ ЧТО ПОСЛЕ ЗАПЯТОЙ ВСЕ ОК</t>
  </si>
  <si>
    <t>SK(reference + restructureDetails_date )</t>
  </si>
  <si>
    <t>Дата реструктуризации/ дата, когда заключено доп. соглашение или принято решение о реструктуризации</t>
  </si>
  <si>
    <t>Дата вступления реструктуризации в силу / дата, с которой вступают в силу изменения</t>
  </si>
  <si>
    <t>Плановая дата прекращения действия реструктуризации / дата, до которой по плану действует реструктуризация (например, если по реструктуризации установлен льготный период)</t>
  </si>
  <si>
    <t>Фактическая дата прекращения действия реструктуризации / дата, в которую реструктуризация закончила действовать на самом деле (например, актуально для льготного периода)</t>
  </si>
  <si>
    <t xml:space="preserve">Вид реструктуризации </t>
  </si>
  <si>
    <t>SK(restructureDetails_type)</t>
  </si>
  <si>
    <t>Референс аккредитива</t>
  </si>
  <si>
    <t>Table Name</t>
  </si>
  <si>
    <t>Table Entity Definition</t>
  </si>
  <si>
    <t>Table Entity Note</t>
  </si>
  <si>
    <t>Table Is In Subject Area Name</t>
  </si>
  <si>
    <t>Суффикс N-таблицы</t>
  </si>
  <si>
    <t>Справочник валюты</t>
  </si>
  <si>
    <t>crncy</t>
  </si>
  <si>
    <t>Кредитный договор</t>
  </si>
  <si>
    <t>agr_cred</t>
  </si>
  <si>
    <t>Таблица регистров</t>
  </si>
  <si>
    <t>registry</t>
  </si>
  <si>
    <t>Таблица связей кредитного договора с договором эскроу</t>
  </si>
  <si>
    <t>agr_escrow_agr_cred</t>
  </si>
  <si>
    <t>Справочник схем субсидирования</t>
  </si>
  <si>
    <t>escrow_scheme</t>
  </si>
  <si>
    <t>Договор эскроу</t>
  </si>
  <si>
    <t>agr_escrow</t>
  </si>
  <si>
    <t>Таблица связей контрагентов с договором эскроу</t>
  </si>
  <si>
    <t>agr_escrow_cust</t>
  </si>
  <si>
    <t>t_agr_escrow_cust_type</t>
  </si>
  <si>
    <t>Справочник ролей клиента в договоре эскроу</t>
  </si>
  <si>
    <t>agr_escrow_cust_type</t>
  </si>
  <si>
    <t>Контрагенты</t>
  </si>
  <si>
    <t>cust</t>
  </si>
  <si>
    <t>Справочник оргструктуры</t>
  </si>
  <si>
    <t>int_org</t>
  </si>
  <si>
    <t>Таблица связей договора эскроу со справочником оргструктуры</t>
  </si>
  <si>
    <t>agr_escrow_int_org</t>
  </si>
  <si>
    <t>t_registry_type</t>
  </si>
  <si>
    <t>Справочник типов регистра счета</t>
  </si>
  <si>
    <t>registry_type</t>
  </si>
  <si>
    <t>Тип операции</t>
  </si>
  <si>
    <t>optn_type</t>
  </si>
  <si>
    <t>Операции</t>
  </si>
  <si>
    <t>optn</t>
  </si>
  <si>
    <t>optn$gls</t>
  </si>
  <si>
    <t>agr_frame_limit</t>
  </si>
  <si>
    <t>Справочник схем заведения договора</t>
  </si>
  <si>
    <t>frame_scheme</t>
  </si>
  <si>
    <t>Договор генерального соглашения</t>
  </si>
  <si>
    <t>agr_frame</t>
  </si>
  <si>
    <t>agr_frame_cust</t>
  </si>
  <si>
    <t>Справочник ролей клиента в договоре генерального соглашения</t>
  </si>
  <si>
    <t>agr_frame_cust_type</t>
  </si>
  <si>
    <t>Таблица связей договора генерального соглашения со справочником оргструктуры</t>
  </si>
  <si>
    <t>agr_frame_int_org</t>
  </si>
  <si>
    <t>Клиенты Юр. Лица</t>
  </si>
  <si>
    <t>cust_org_idfn</t>
  </si>
  <si>
    <t>Тип комиссии по операции</t>
  </si>
  <si>
    <t>optn_fee_type</t>
  </si>
  <si>
    <t>Договор аккредитива ЮЛ</t>
  </si>
  <si>
    <t>Характеристики договора аккредитива ЮЛ</t>
  </si>
  <si>
    <t>Тип источника формирования покрытия</t>
  </si>
  <si>
    <t>Тип периода отсрочки платежа</t>
  </si>
  <si>
    <t>Тип договора аккредитива ЮЛ</t>
  </si>
  <si>
    <t>Связь договора аккредитива ЮЛ и кредитного договора</t>
  </si>
  <si>
    <t>Связь договора аккредитива ЮЛ и банка</t>
  </si>
  <si>
    <t>t_agr_accred_bank_type</t>
  </si>
  <si>
    <t>Тип связи договора аккредитива ЮЛ и банка</t>
  </si>
  <si>
    <t>Связь договора аккредитива ЮЛ и контракта</t>
  </si>
  <si>
    <t>Связь договора аккредитива ЮЛ и контрагента</t>
  </si>
  <si>
    <t>t_agr_accred_cust_type</t>
  </si>
  <si>
    <t>Тип связи договора аккредитива ЮЛ и контрагента</t>
  </si>
  <si>
    <t>Связь договора аккредитива ЮЛ и подразделения</t>
  </si>
  <si>
    <t>t_agr_accred_int_org_type</t>
  </si>
  <si>
    <t>Тип связи договора аккредитива ЮЛ и подразделения</t>
  </si>
  <si>
    <t>Банк</t>
  </si>
  <si>
    <t>Контракт</t>
  </si>
  <si>
    <t>Связь контрагента и счета</t>
  </si>
  <si>
    <t>t_cust_coa_type</t>
  </si>
  <si>
    <t>Тип связи контрагента и счета</t>
  </si>
  <si>
    <t>Идентификационные характеристики контрагентов - ФЛ</t>
  </si>
  <si>
    <t>Классификационные характеристики регистров</t>
  </si>
  <si>
    <t>Договора, для которых не созданы собственные agrmnt</t>
  </si>
  <si>
    <t>agr_other</t>
  </si>
  <si>
    <t>Связь договора с контрагентом</t>
  </si>
  <si>
    <t>agr_other_cust</t>
  </si>
  <si>
    <t>agr_other_int_org</t>
  </si>
  <si>
    <t>Связь договора и банка</t>
  </si>
  <si>
    <t>agr_other_bank</t>
  </si>
  <si>
    <t>Связь договора и счета</t>
  </si>
  <si>
    <t>agr_other_coa</t>
  </si>
  <si>
    <t>Тип связи договора и счета</t>
  </si>
  <si>
    <t>agr_other_coa_role</t>
  </si>
  <si>
    <t>Типа связи договора с терр. структурой</t>
  </si>
  <si>
    <t>agr_other_int_org_type</t>
  </si>
  <si>
    <t>Тип связи договора и банка</t>
  </si>
  <si>
    <t>agr_accred_bank_type</t>
  </si>
  <si>
    <t xml:space="preserve">Тип клиента на договоре </t>
  </si>
  <si>
    <t>agr_other_cust_type</t>
  </si>
  <si>
    <t>Типы досье</t>
  </si>
  <si>
    <t>agr_other_categ</t>
  </si>
  <si>
    <t>Связь договора со схемами</t>
  </si>
  <si>
    <t>agr_scheme</t>
  </si>
  <si>
    <t>agr_accred_stts</t>
  </si>
  <si>
    <t>Тип статус договора</t>
  </si>
  <si>
    <t>agr_accred_stts_type</t>
  </si>
  <si>
    <t>Гарантии</t>
  </si>
  <si>
    <t>agr_grntee</t>
  </si>
  <si>
    <t>agr_grntee_cust</t>
  </si>
  <si>
    <t>agr_grntee_int_org</t>
  </si>
  <si>
    <t>agr_grntee_bank</t>
  </si>
  <si>
    <t>agr_grntee_type</t>
  </si>
  <si>
    <t>Соглашения ГОДС</t>
  </si>
  <si>
    <t>agr_escrow_addendum</t>
  </si>
  <si>
    <t>agr_escrow_add_stts</t>
  </si>
  <si>
    <t>Тип статус соглашения</t>
  </si>
  <si>
    <t>agr_escrow_add_stts_type</t>
  </si>
  <si>
    <t>Категория соглашения</t>
  </si>
  <si>
    <t>agr_escrow_add_type</t>
  </si>
  <si>
    <t>Тип договора эскроу</t>
  </si>
  <si>
    <t>agr_escrow_type</t>
  </si>
  <si>
    <t>Процентные ставки по соглашениям ГОДС(гарантированный остаток депонированной суммы)</t>
  </si>
  <si>
    <t>agr_escrow_add_rate</t>
  </si>
  <si>
    <t>Статус ГС</t>
  </si>
  <si>
    <t>agr_frame_stts</t>
  </si>
  <si>
    <t>Тип статус ГС</t>
  </si>
  <si>
    <t>agr_frame_stts_type</t>
  </si>
  <si>
    <t>Доп. соглашения по АЮЛ</t>
  </si>
  <si>
    <t>agr_accred_addendum</t>
  </si>
  <si>
    <t>Тип доп. Соглашения по АЮЛ</t>
  </si>
  <si>
    <t>agr_accred_add_type</t>
  </si>
  <si>
    <t>ColumnTableName</t>
  </si>
  <si>
    <t>ColumnName</t>
  </si>
  <si>
    <t>Column Datatype</t>
  </si>
  <si>
    <t>Column Null Option</t>
  </si>
  <si>
    <t>Column Physical Only</t>
  </si>
  <si>
    <t>Column Is PK</t>
  </si>
  <si>
    <t>Column Is FK</t>
  </si>
  <si>
    <t>Column Attribute Definition</t>
  </si>
  <si>
    <t>Column Attribute Note</t>
  </si>
  <si>
    <t>UUID</t>
  </si>
  <si>
    <t>Yes</t>
  </si>
  <si>
    <t>No</t>
  </si>
  <si>
    <t>Идентификатор валюты</t>
  </si>
  <si>
    <t>TEXT</t>
  </si>
  <si>
    <t>Буквенный код валюты</t>
  </si>
  <si>
    <t>ИД кредитного договора с застройщиком</t>
  </si>
  <si>
    <t>DATE</t>
  </si>
  <si>
    <t>Дата подписания договора</t>
  </si>
  <si>
    <t>Идентификатор регистра</t>
  </si>
  <si>
    <t>Идентификатор регистра в системе-источнике</t>
  </si>
  <si>
    <t>Номер счета</t>
  </si>
  <si>
    <t>Дата начала действия регистра</t>
  </si>
  <si>
    <t>Дата окончания действия регистра</t>
  </si>
  <si>
    <t>ИД  договора эскроу</t>
  </si>
  <si>
    <t>Дата начала действия связи между кредитным договором и договором эскроу</t>
  </si>
  <si>
    <t>Дата окончания действия связи между кредитным договором и договором эскроу</t>
  </si>
  <si>
    <t>Идентификатор схемы субсидирования ставки</t>
  </si>
  <si>
    <t>Код схемы субсидирования</t>
  </si>
  <si>
    <t>Наименование схемы субсидирования</t>
  </si>
  <si>
    <t>Дата подписания договора эскроу</t>
  </si>
  <si>
    <t>Номер договора эскроу</t>
  </si>
  <si>
    <t>Идентификатор типа договора эскроу</t>
  </si>
  <si>
    <t>Идентификатор договора эскроу в системе-источнике</t>
  </si>
  <si>
    <t>Плановая дата ввода в эксплуатацию объекта строительства</t>
  </si>
  <si>
    <t>DECIMAL(26,4)</t>
  </si>
  <si>
    <t>Сумма депонирования эскроу</t>
  </si>
  <si>
    <t>Идентификатор схемы</t>
  </si>
  <si>
    <t>Признак работы в рамках 214-ФЗ</t>
  </si>
  <si>
    <t>Идентификатор контрагента</t>
  </si>
  <si>
    <t>Дата начала действия</t>
  </si>
  <si>
    <t>Дата окончания действия</t>
  </si>
  <si>
    <t>Роль клиента в договоре - ID</t>
  </si>
  <si>
    <t>Роль клиента в договоре эскроу - ID</t>
  </si>
  <si>
    <t>agr_escrow_cust_type_cd</t>
  </si>
  <si>
    <t>Код роли клиента в договоре эскроу</t>
  </si>
  <si>
    <t>agr_escrow_cust_type_name</t>
  </si>
  <si>
    <t>Наименование роли клиента в договоре эскроу</t>
  </si>
  <si>
    <t xml:space="preserve">Идентификатор контрагента </t>
  </si>
  <si>
    <t>Идентификатор контрагента в ЕПК</t>
  </si>
  <si>
    <t>host_cust_id</t>
  </si>
  <si>
    <t>Идентификатор контрагента в системе-источника</t>
  </si>
  <si>
    <t>Краткое наименование юр. Лица</t>
  </si>
  <si>
    <t>ИНН</t>
  </si>
  <si>
    <t>Наименование подразделения</t>
  </si>
  <si>
    <t>Код ВСП ведения договора</t>
  </si>
  <si>
    <t>Код ВСП открытия счета бенефициара</t>
  </si>
  <si>
    <t>Код ВСП открытия счета депонента</t>
  </si>
  <si>
    <t>Дата начала действия связи</t>
  </si>
  <si>
    <t>Дата окончания действия связи</t>
  </si>
  <si>
    <t>registry_type_name</t>
  </si>
  <si>
    <t>Наименование типа регистра счета</t>
  </si>
  <si>
    <t>registry_type_cd</t>
  </si>
  <si>
    <t>Код типа регистра счета</t>
  </si>
  <si>
    <t>Уникальный идентификатор  типа операции</t>
  </si>
  <si>
    <t>Наименовние типа оперции</t>
  </si>
  <si>
    <t>Уникальный идентификатор операции</t>
  </si>
  <si>
    <t>Код операции</t>
  </si>
  <si>
    <t>NUMERIC</t>
  </si>
  <si>
    <t>Сумма в валюте операции</t>
  </si>
  <si>
    <t>Идентификатор операции в системе-источнике</t>
  </si>
  <si>
    <t>id сервиса</t>
  </si>
  <si>
    <t>Уникальный идентификатор типа комиссии по операции</t>
  </si>
  <si>
    <t>Идентификатор заявки из РПФИ</t>
  </si>
  <si>
    <t>Плательщик-бенефициар</t>
  </si>
  <si>
    <t>Плательщик-депонент</t>
  </si>
  <si>
    <t xml:space="preserve">ИД договора </t>
  </si>
  <si>
    <t>Сумма лимита на общую сумму аккредитивов</t>
  </si>
  <si>
    <t>Валюта лимита на общую сумму аккредитивов</t>
  </si>
  <si>
    <t>Идентификатор схемы заведения договора</t>
  </si>
  <si>
    <t>Код схемы заведения договора</t>
  </si>
  <si>
    <t>Наименование схемы заведения договора</t>
  </si>
  <si>
    <t xml:space="preserve">Идентификатор договора </t>
  </si>
  <si>
    <t>Дата открытия договора</t>
  </si>
  <si>
    <t xml:space="preserve">Дата закрытия договора </t>
  </si>
  <si>
    <t>Идентификатор договора в системе-источнике</t>
  </si>
  <si>
    <t>Плановая дата окончания</t>
  </si>
  <si>
    <t>Признак возобновляемого лимита</t>
  </si>
  <si>
    <t>agr_frame_cust_type_cd</t>
  </si>
  <si>
    <t>Код роли клиента в договоре</t>
  </si>
  <si>
    <t>agr_frame_cust_type_name</t>
  </si>
  <si>
    <t>Наименование роли клиента в договоре</t>
  </si>
  <si>
    <t xml:space="preserve">Идентификатор оргструктуры </t>
  </si>
  <si>
    <t>Идентификатор договора аккредитива ЮЛ</t>
  </si>
  <si>
    <t>Дополнительные условия договора</t>
  </si>
  <si>
    <t>Идентификатор типа договора</t>
  </si>
  <si>
    <t>Номер аккредитива банка-эмитента</t>
  </si>
  <si>
    <t>Уникальный идентификатор генсоглашения</t>
  </si>
  <si>
    <t>Идентификатор договора аккредитива ЮЛ в системе-источнике</t>
  </si>
  <si>
    <t>numeric</t>
  </si>
  <si>
    <t>Флаг покрытия ЭКА</t>
  </si>
  <si>
    <t>Флаг возможности досрочного платежа</t>
  </si>
  <si>
    <t>Флаг отзывного аккредитива</t>
  </si>
  <si>
    <t>Идентификатор источника формирования покрытия</t>
  </si>
  <si>
    <t>Идентификатор типа периода отсрочки</t>
  </si>
  <si>
    <t>Идентификатор схемы распределения доходов</t>
  </si>
  <si>
    <t>Код источника формирования покрытия</t>
  </si>
  <si>
    <t>Наименование источника формирования покрытия</t>
  </si>
  <si>
    <t>Идентификатор источника формирования покрытия в системе-источнике</t>
  </si>
  <si>
    <t>Код типа периода отсрочки</t>
  </si>
  <si>
    <t>Наименование типа периода отсрочки</t>
  </si>
  <si>
    <t>Идентификатор типа периода отсрочки в системе-источнике</t>
  </si>
  <si>
    <t>Код типа договора</t>
  </si>
  <si>
    <t>Наименование типа договора</t>
  </si>
  <si>
    <t>Идентификатор типа договора в системе-источнике</t>
  </si>
  <si>
    <t>Код схемы распределения доходов</t>
  </si>
  <si>
    <t>Наименование схемы распределения доходов</t>
  </si>
  <si>
    <t>Идентификатор схемы распределения доходов в системе-источнике</t>
  </si>
  <si>
    <t>Идентификатор кредитного договора</t>
  </si>
  <si>
    <t>Идентификатор типа связи договора аккредитива ЮЛ и банка</t>
  </si>
  <si>
    <t>Идентификатор банка</t>
  </si>
  <si>
    <t>agr_accred_bank_type_cd</t>
  </si>
  <si>
    <t>Код типа связи договора аккредитива ЮЛ и банка</t>
  </si>
  <si>
    <t>agr_accred_bank_type_name</t>
  </si>
  <si>
    <t>Наименование типа связи договора аккредитива ЮЛ и банка</t>
  </si>
  <si>
    <t>host_agr_accred_bank_type_id</t>
  </si>
  <si>
    <t>Идентификатор типа связи договора аккредитива ЮЛ и банка в системе-источнике</t>
  </si>
  <si>
    <t>Идентификатор контракта</t>
  </si>
  <si>
    <t>Идентификатор типа связи договора аккредитива ЮЛ и контрагента</t>
  </si>
  <si>
    <t>agr_accred_cust_type_cd</t>
  </si>
  <si>
    <t>Код типа связи договора аккредитива ЮЛ и контрагента</t>
  </si>
  <si>
    <t>agr_accred_cust_type_name</t>
  </si>
  <si>
    <t>Наименование типа связи договора аккредитива ЮЛ и контрагента</t>
  </si>
  <si>
    <t>host_agr_accred_cust_type_id</t>
  </si>
  <si>
    <t>Идентификатор типа связи договора аккредитива ЮЛ и контрагента в системе-источнике</t>
  </si>
  <si>
    <t>Идентификатор типа связи договора аккредитива ЮЛ и подразделения</t>
  </si>
  <si>
    <t>Идентификатор подразделения</t>
  </si>
  <si>
    <t>agr_accred_int_org_type_cd</t>
  </si>
  <si>
    <t>Код типа связи договора аккредитива ЮЛ и подразделения</t>
  </si>
  <si>
    <t>agr_accred_int_org_type_name</t>
  </si>
  <si>
    <t>Наименование типа связи договора аккредитива ЮЛ и подразделения</t>
  </si>
  <si>
    <t>host_agr_accred_int_org_type_id</t>
  </si>
  <si>
    <t>Идентификатор типа связи договора аккредитива ЮЛ и подразделения в системе-источнике</t>
  </si>
  <si>
    <t>Наименование банка</t>
  </si>
  <si>
    <t>Флаг резидента</t>
  </si>
  <si>
    <t>Номер SWIFT</t>
  </si>
  <si>
    <t>Идентификатор банка в системе-источнике</t>
  </si>
  <si>
    <t>Идентификатор счета</t>
  </si>
  <si>
    <t>Идентификатор счета в системе-источнике</t>
  </si>
  <si>
    <t>Дата конктракта</t>
  </si>
  <si>
    <t>Идентификатор контракта в системе-источнике</t>
  </si>
  <si>
    <t>Идентификатор типа связи контрагента и счета</t>
  </si>
  <si>
    <t>cust_coa_type_cd</t>
  </si>
  <si>
    <t>Код типа связи контрагента и счета</t>
  </si>
  <si>
    <t>cust_coa_type_name</t>
  </si>
  <si>
    <t>Наименование типа связи контрагента и счета</t>
  </si>
  <si>
    <t>host_cust_coa_type_id</t>
  </si>
  <si>
    <t>Идентификатор типа связи контрагента и счета в системе-источнике</t>
  </si>
  <si>
    <t>Наименование контрагента</t>
  </si>
  <si>
    <t>Номер счета по Кт</t>
  </si>
  <si>
    <t>Идентификатор операции по Кт в системе-источнике</t>
  </si>
  <si>
    <t>Идентификатор регистра по Кт</t>
  </si>
  <si>
    <t>Номер счета по Дт</t>
  </si>
  <si>
    <t>Идентификатор операции по Дт в системе-источнике</t>
  </si>
  <si>
    <t>Идентификатор регистра по Дт</t>
  </si>
  <si>
    <t>Код вида регистра</t>
  </si>
  <si>
    <t>agr_other_type_id</t>
  </si>
  <si>
    <t xml:space="preserve">Идентификатор типа договора </t>
  </si>
  <si>
    <t>Номер договора банка эмитента</t>
  </si>
  <si>
    <t>Идентификатор категория договора</t>
  </si>
  <si>
    <t>Идентификатор типа связи договора и банка</t>
  </si>
  <si>
    <t>agr_other_bank_type_cd</t>
  </si>
  <si>
    <t>Код типа связи договора и банка</t>
  </si>
  <si>
    <t>agr_other_bank_type_name</t>
  </si>
  <si>
    <t>Наименование типа связи договора и банка</t>
  </si>
  <si>
    <t>agr_other_categ_name</t>
  </si>
  <si>
    <t>Наименование категория договора</t>
  </si>
  <si>
    <t xml:space="preserve">Идентификатор типа клиента в договоре </t>
  </si>
  <si>
    <t>agr_other_cust_type_name</t>
  </si>
  <si>
    <t>Наименование типа клиента в договоре</t>
  </si>
  <si>
    <t>Идентификатор терр. структуры</t>
  </si>
  <si>
    <t>Идентификатор типа связи договора с терр. структурой</t>
  </si>
  <si>
    <t>agr_other_int_org_type_name</t>
  </si>
  <si>
    <t>Наименование  типа связи договора с терр. структурой</t>
  </si>
  <si>
    <t>Идентификатор типа связи договора и счета</t>
  </si>
  <si>
    <t>t_agr_other_coa_role_id</t>
  </si>
  <si>
    <t>t_agr_other_coa_role_name</t>
  </si>
  <si>
    <t>Наименование типа связи договора и счета</t>
  </si>
  <si>
    <t xml:space="preserve">Тип схемы на договоре </t>
  </si>
  <si>
    <t>Идентификатор типа статуса</t>
  </si>
  <si>
    <t>Наименования типа статуса</t>
  </si>
  <si>
    <t>Идентификатор типа договора гарантии</t>
  </si>
  <si>
    <t>Наименование типа договора гарантии</t>
  </si>
  <si>
    <t>Код типа договора гарантии</t>
  </si>
  <si>
    <t>Идентификатор договора гарантии</t>
  </si>
  <si>
    <t>Дата открытия договора гарантии</t>
  </si>
  <si>
    <t>Дата подписания договора гарантии</t>
  </si>
  <si>
    <t>Дата закрытия договора гарантии</t>
  </si>
  <si>
    <t>Номер договора гарантии</t>
  </si>
  <si>
    <t>Сумма договора  гарантии</t>
  </si>
  <si>
    <t>Дата истечения договора гарантии</t>
  </si>
  <si>
    <t>Идентификатор валюты гарантии</t>
  </si>
  <si>
    <t>Идентификатор соглашения ГОДС (гарантированный остаток депонированной суммы)</t>
  </si>
  <si>
    <t>Дата начала действия дополнительного соглашения ГОДС</t>
  </si>
  <si>
    <t>Дата подписания дополнительного соглашения ГОДС</t>
  </si>
  <si>
    <t>Дата окончания действия соглашения (плановая) ГОДС</t>
  </si>
  <si>
    <t>Дата окончания действия соглашения ГОДС</t>
  </si>
  <si>
    <t>Номер соглашения ГОДС</t>
  </si>
  <si>
    <t>Идентификатор типа соглашения ГОДС</t>
  </si>
  <si>
    <t>Идентификатор клиента</t>
  </si>
  <si>
    <t>Идентификатор соглашения ГОДС в системе-источнике</t>
  </si>
  <si>
    <t>Сумма соглашения ГОДС</t>
  </si>
  <si>
    <t>Идентификатор валюты соглашения ГОДС</t>
  </si>
  <si>
    <t>Идентификатор соглашения ГОДС</t>
  </si>
  <si>
    <t>Идентификатор типа статуса соглашени ГОДС</t>
  </si>
  <si>
    <t>Наименования типа статуса соглашения ГОДС</t>
  </si>
  <si>
    <t>Идентификатор категории соглашения</t>
  </si>
  <si>
    <t>Код  категории соглашения</t>
  </si>
  <si>
    <t>Наименования категории соглашения</t>
  </si>
  <si>
    <t>Код типа договора эскроу</t>
  </si>
  <si>
    <t>Наименование типа договора эскроу</t>
  </si>
  <si>
    <t>Идентификатор ГС</t>
  </si>
  <si>
    <t>Идентификатор типа статуса ГС</t>
  </si>
  <si>
    <t>Наименования типа статуса ГС</t>
  </si>
  <si>
    <t>Идентификатор доп. соглашения</t>
  </si>
  <si>
    <t>Идентификатор договора аккредитива</t>
  </si>
  <si>
    <t>Дата начала действия дополнительного соглашения</t>
  </si>
  <si>
    <t>Дата подписания дополнительного соглашения</t>
  </si>
  <si>
    <t>Дата окончания действия соглашения (плановая)</t>
  </si>
  <si>
    <t>Дата окончания действия соглашения (фактическая)</t>
  </si>
  <si>
    <t>Идентификатор типа доп. cоглашения</t>
  </si>
  <si>
    <t>Идентификатор доп. соглашения в системе-источнике</t>
  </si>
  <si>
    <t>Наименование таблицы источника (схема в Haduoop show create table custom_t_processing_308.lcl…таблица)</t>
  </si>
  <si>
    <t>Поле источника</t>
  </si>
  <si>
    <t>JSON путь</t>
  </si>
  <si>
    <t>Наименование таблицы приемника</t>
  </si>
  <si>
    <t>Наименования атрибута</t>
  </si>
  <si>
    <t>escrow_legal214_agreement_actual</t>
  </si>
  <si>
    <t>dto</t>
  </si>
  <si>
    <t>JSONB</t>
  </si>
  <si>
    <t>agreement.escrowId</t>
  </si>
  <si>
    <t>escrow_legal214_agreement_actual_dto</t>
  </si>
  <si>
    <t>string</t>
  </si>
  <si>
    <t>agreement.openDate</t>
  </si>
  <si>
    <t xml:space="preserve">agreement.closeDate </t>
  </si>
  <si>
    <t>agreement.reference</t>
  </si>
  <si>
    <t>beneficiary.legalEpkId</t>
  </si>
  <si>
    <t>agreementObject.estateObjectExpireDate</t>
  </si>
  <si>
    <t>agreement.rateSubsidyScheme</t>
  </si>
  <si>
    <t>agreement.status</t>
  </si>
  <si>
    <t xml:space="preserve">agreement.lastModifiedDate </t>
  </si>
  <si>
    <t>agreement.parentAgreementId</t>
  </si>
  <si>
    <t>agreementObject.expireDate</t>
  </si>
  <si>
    <t>agreement.developerLoanAgreementDate</t>
  </si>
  <si>
    <t xml:space="preserve">agreement.developerLoanAgreementNumber </t>
  </si>
  <si>
    <t>agreement.escrowAmount.value</t>
  </si>
  <si>
    <t>agreement.escrowAmount.currency</t>
  </si>
  <si>
    <t>deponent.legalParty.legalEpkId</t>
  </si>
  <si>
    <t>accountDetails.escrowAccount.number</t>
  </si>
  <si>
    <t xml:space="preserve">accountDetails.openDate </t>
  </si>
  <si>
    <t>accountDetails.escrowAccount.externalRegistryId</t>
  </si>
  <si>
    <t>deponent.legalParty.legalName</t>
  </si>
  <si>
    <t>deponent.legalParty.taxId</t>
  </si>
  <si>
    <t>accountDetails.escrowAccount.bank.correspondentAccount</t>
  </si>
  <si>
    <t>agreement.escrowBranchCode</t>
  </si>
  <si>
    <t xml:space="preserve">accountDetails.registryTypeCode </t>
  </si>
  <si>
    <t>accountDetails.registryTypeName</t>
  </si>
  <si>
    <t>beneficiary.legalName</t>
  </si>
  <si>
    <t>beneficiary.taxId</t>
  </si>
  <si>
    <t>beneficiary.bankUnitCode</t>
  </si>
  <si>
    <t>agreement.developerLoanAgreementEksId</t>
  </si>
  <si>
    <t xml:space="preserve">agreement.developerLoanAgreementKulId </t>
  </si>
  <si>
    <t>accountDetails.eksAccountId</t>
  </si>
  <si>
    <t>BIGINT</t>
  </si>
  <si>
    <t>escrow_id</t>
  </si>
  <si>
    <t>escrow_legalgk_agreement_actual</t>
  </si>
  <si>
    <t>agreement.beneficiaryBankRegionalUnit</t>
  </si>
  <si>
    <t>escrow_legalgk_agreement_actual_dto</t>
  </si>
  <si>
    <t>agreement.beneficiaryBankBranch</t>
  </si>
  <si>
    <t>agreement.deponentBankRegionalUnit</t>
  </si>
  <si>
    <t>agreement.deponentBankBranch</t>
  </si>
  <si>
    <t>accounts.closeDate</t>
  </si>
  <si>
    <t>accounts.conclusionDate</t>
  </si>
  <si>
    <t>depositorLegal.creditContract.date</t>
  </si>
  <si>
    <t>depositorLegal.creditContract.crmId</t>
  </si>
  <si>
    <t>depositorLegal.creditContract.contractId</t>
  </si>
  <si>
    <t>depositorLegal.creditContract.number</t>
  </si>
  <si>
    <t>depositorLegal.epkId</t>
  </si>
  <si>
    <t>decimal(38, 16)</t>
  </si>
  <si>
    <t>agreement.escrowBankRegionalOffice</t>
  </si>
  <si>
    <t>agreement.expireDate</t>
  </si>
  <si>
    <t>accounts.escrowAccount.externalRegistryId</t>
  </si>
  <si>
    <t>agreement.profitScheme.code</t>
  </si>
  <si>
    <t>agreement.profitScheme.description</t>
  </si>
  <si>
    <t>agreement.escrowType.code</t>
  </si>
  <si>
    <t>agreement.escrowType.description</t>
  </si>
  <si>
    <t>beneficiarysIndividual.creditContract.number</t>
  </si>
  <si>
    <t>escrow_legalgk_beneficiariesindividual</t>
  </si>
  <si>
    <t>beneficiarysIndividual.creditContract.date</t>
  </si>
  <si>
    <t>beneficiarysIndividual.dateOfBirth</t>
  </si>
  <si>
    <t>beneficiarysIndividual.epkId</t>
  </si>
  <si>
    <t>beneficiarysIndividual.firstName</t>
  </si>
  <si>
    <t>beneficiarysIndividual.lastName</t>
  </si>
  <si>
    <t>lastname</t>
  </si>
  <si>
    <t>beneficiarysIndividual.middleName</t>
  </si>
  <si>
    <t>beneficiarysLegal.executionAccount.number</t>
  </si>
  <si>
    <t>escrow_legalgk_beneficiarieslegal</t>
  </si>
  <si>
    <t>beneficiarysLegal.creditContract.number</t>
  </si>
  <si>
    <t>beneficiarysLegal.creditContract.date</t>
  </si>
  <si>
    <t>beneficiarysLegal.creditContract.crmId</t>
  </si>
  <si>
    <t>beneficiarysLegal.creditContract.contractId</t>
  </si>
  <si>
    <t>beneficiarysLegal.epkId</t>
  </si>
  <si>
    <t>beneficiarysLegal.name</t>
  </si>
  <si>
    <t>beneficiarysLegal.taxId</t>
  </si>
  <si>
    <t>tariffs.comissionerType.code</t>
  </si>
  <si>
    <t>escrow_legalgk_tariffs</t>
  </si>
  <si>
    <t>tariffs.comissionerType.description</t>
  </si>
  <si>
    <t>tariffs.comissionerId</t>
  </si>
  <si>
    <t>tariffs.feeEventType.code</t>
  </si>
  <si>
    <t>tariffs.event_type_desc</t>
  </si>
  <si>
    <t>tariffs.startDate</t>
  </si>
  <si>
    <t>payments_2_0_posting</t>
  </si>
  <si>
    <t>agreementId</t>
  </si>
  <si>
    <t>payments_2_0_posting_dto</t>
  </si>
  <si>
    <t>agreementReference</t>
  </si>
  <si>
    <t>postingEvent.amount.value</t>
  </si>
  <si>
    <t>postingEvent.codeCommission</t>
  </si>
  <si>
    <t>postingEvent.commInstanceId</t>
  </si>
  <si>
    <t>postingEvent.amount.currency</t>
  </si>
  <si>
    <t>postingEvent.date</t>
  </si>
  <si>
    <t>postingEvent.operationIdDt</t>
  </si>
  <si>
    <t>postingEvent.purpose</t>
  </si>
  <si>
    <t>postingEvent.accountDebit.registerId</t>
  </si>
  <si>
    <t>jsonb</t>
  </si>
  <si>
    <t>postingEvent.accountDebit.number</t>
  </si>
  <si>
    <t>postingEvent.accountCredit.registerId</t>
  </si>
  <si>
    <t>postingEvent.accountCredit.number</t>
  </si>
  <si>
    <t>postingEvent.operationIdKt</t>
  </si>
  <si>
    <t>postingEvent.serviceId</t>
  </si>
  <si>
    <t>postingEvent.rule.processCode</t>
  </si>
  <si>
    <t>general_agreement_actual</t>
  </si>
  <si>
    <t>general_agreement_actual_dto</t>
  </si>
  <si>
    <t>limitRevolvingPattern</t>
  </si>
  <si>
    <t>gaType</t>
  </si>
  <si>
    <t>client.type</t>
  </si>
  <si>
    <t>client.epkId</t>
  </si>
  <si>
    <t>epkId_client</t>
  </si>
  <si>
    <t>client.taxId</t>
  </si>
  <si>
    <t>taxId_client</t>
  </si>
  <si>
    <t>maxDuration.period</t>
  </si>
  <si>
    <t>period_maxDuration</t>
  </si>
  <si>
    <t>fundingPeriod.period</t>
  </si>
  <si>
    <t>period_fundingPeriod</t>
  </si>
  <si>
    <t>limitSchedule.firstDate</t>
  </si>
  <si>
    <t>general_agreement_actual_limitschedule</t>
  </si>
  <si>
    <t>firstDate_limitSchedule</t>
  </si>
  <si>
    <t>limitSchedule.lastDate</t>
  </si>
  <si>
    <t>lastDate_limitSchedule</t>
  </si>
  <si>
    <t>limitSchedule.amount.currency</t>
  </si>
  <si>
    <t>currency_amnt_limitSchedule</t>
  </si>
  <si>
    <t>limitSchedule.amount.value</t>
  </si>
  <si>
    <t>value_amnt_limitSchedule</t>
  </si>
  <si>
    <t>payments_2_0_account</t>
  </si>
  <si>
    <t>payments_2_0_account_dto</t>
  </si>
  <si>
    <t>accountEvent.dateOpen</t>
  </si>
  <si>
    <t>dateOpen</t>
  </si>
  <si>
    <t>accountEvent.registerId</t>
  </si>
  <si>
    <t>registerId</t>
  </si>
  <si>
    <t>accountEvent.number</t>
  </si>
  <si>
    <t>accountEvent_number</t>
  </si>
  <si>
    <t>accountEvent.status</t>
  </si>
  <si>
    <t>accountEvent_status</t>
  </si>
  <si>
    <t>systemId</t>
  </si>
  <si>
    <t>productType</t>
  </si>
  <si>
    <t>eventType</t>
  </si>
  <si>
    <t>processId</t>
  </si>
  <si>
    <t>reimbursement_agreement_actual</t>
  </si>
  <si>
    <t>versionedAttributes.planPaymentDate</t>
  </si>
  <si>
    <t>planPaymentDateDEXPIRE</t>
  </si>
  <si>
    <t>attributes.conclusionDate</t>
  </si>
  <si>
    <t>versionedAttributes.amountValue</t>
  </si>
  <si>
    <t>versionedAttributes.currencyCode</t>
  </si>
  <si>
    <t>currencyCode</t>
  </si>
  <si>
    <t>versionedAttributes.bankRegionalUnitCode</t>
  </si>
  <si>
    <t>bankRegionalUnitCode</t>
  </si>
  <si>
    <t>versionedAttributes.beneficiaryBankName</t>
  </si>
  <si>
    <t>beneficiaryBankName</t>
  </si>
  <si>
    <t>versionedAttributes.beneficiaryBankSwift</t>
  </si>
  <si>
    <t>beneficiaryBankSwift</t>
  </si>
  <si>
    <t>versionedAttributes.issuingBankName</t>
  </si>
  <si>
    <t>issuingBankName</t>
  </si>
  <si>
    <t>versionedAttributes.issuingBankSwift</t>
  </si>
  <si>
    <t>issuingBankSwift</t>
  </si>
  <si>
    <t>versionedAttributes.reimbursingBankName</t>
  </si>
  <si>
    <t>reimbursingBankName</t>
  </si>
  <si>
    <t>versionedAttributes.reimbursingBankSwift</t>
  </si>
  <si>
    <t>reimbursingBankSwift</t>
  </si>
  <si>
    <t>agreementID</t>
  </si>
  <si>
    <t>Reference</t>
  </si>
  <si>
    <t>attributes.advisingSideReference</t>
  </si>
  <si>
    <t>SideReference</t>
  </si>
  <si>
    <t>productCode</t>
  </si>
  <si>
    <t>issuingBankBic</t>
  </si>
  <si>
    <t>lcl_agreement_actual_dto</t>
  </si>
  <si>
    <t>advisingBankBic</t>
  </si>
  <si>
    <t>nominatedBankBic</t>
  </si>
  <si>
    <t>applicantBankBic</t>
  </si>
  <si>
    <t>beneficiaryBankBic</t>
  </si>
  <si>
    <t>issuingBankIsSbBranch</t>
  </si>
  <si>
    <t>advisingBankIsSbBranch</t>
  </si>
  <si>
    <t>nominatedBankIsSbBranch</t>
  </si>
  <si>
    <t>applicantBankIsSbBranch</t>
  </si>
  <si>
    <t>beneficiaryBankIsSbBranch</t>
  </si>
  <si>
    <t>applicantIsResident</t>
  </si>
  <si>
    <t>beneficiaryLegalIsResident</t>
  </si>
  <si>
    <t>beneficiaryIndividualIsResident</t>
  </si>
  <si>
    <t>advisingBankName</t>
  </si>
  <si>
    <t>nominatedBankName</t>
  </si>
  <si>
    <t>applicantBankName</t>
  </si>
  <si>
    <t>dateClose</t>
  </si>
  <si>
    <t>incomeDistributionScheme</t>
  </si>
  <si>
    <t>isEcaCovered</t>
  </si>
  <si>
    <t>generalAgreementFactoryId</t>
  </si>
  <si>
    <t>bankRegionalUnitBankBranchCode</t>
  </si>
  <si>
    <t>bankregionalunitbankbranchcode</t>
  </si>
  <si>
    <t>bankRegionalUnitOsbCode</t>
  </si>
  <si>
    <t>bankregionalunitosbcode</t>
  </si>
  <si>
    <t>sberbankDeferredPaymentIsAvailability</t>
  </si>
  <si>
    <t>referenceRelated</t>
  </si>
  <si>
    <t>beneficiaryAccountNumber</t>
  </si>
  <si>
    <t>applicantEpkId</t>
  </si>
  <si>
    <t>beneficiaryLegalEpkId</t>
  </si>
  <si>
    <t>beneficiaryIndividualEpkRbId</t>
  </si>
  <si>
    <t>applicantTaxId</t>
  </si>
  <si>
    <t>beneficiaryLegalTaxId</t>
  </si>
  <si>
    <t>beneficiaryIndividualTaxId</t>
  </si>
  <si>
    <t>applicantLegalName</t>
  </si>
  <si>
    <t>beneficiaryLegalName</t>
  </si>
  <si>
    <t>beneficiaryIndividualName</t>
  </si>
  <si>
    <t>applicantTerritoryBic</t>
  </si>
  <si>
    <t>beneficiaryTerritoryBic</t>
  </si>
  <si>
    <t>applicantTerritoryBankBranchCode</t>
  </si>
  <si>
    <t>applicantterritorybankbranchcode</t>
  </si>
  <si>
    <t>applicantTerritoryOsbCode</t>
  </si>
  <si>
    <t>applicantterritoryosbcode</t>
  </si>
  <si>
    <t>beneficiaryTerritoryBankBranchCode</t>
  </si>
  <si>
    <t>beneficiaryterritorybankbranchcode</t>
  </si>
  <si>
    <t>beneficiaryTerritoryOsbCode</t>
  </si>
  <si>
    <t>beneficiaryterritoryosbcode</t>
  </si>
  <si>
    <t>applicantTerritoryName</t>
  </si>
  <si>
    <t>beneficiaryTerritoryName</t>
  </si>
  <si>
    <t>bankRegionalUnitName</t>
  </si>
  <si>
    <t>bankRegionalUnitBic</t>
  </si>
  <si>
    <t>dateFinancingEnd</t>
  </si>
  <si>
    <t>advisingBankSwift</t>
  </si>
  <si>
    <t>nominatedBankSwift</t>
  </si>
  <si>
    <t>applicantBankSwift</t>
  </si>
  <si>
    <t>sourceOfCover</t>
  </si>
  <si>
    <t>isRevocable</t>
  </si>
  <si>
    <t>beneficiaryDeferredPaymentPeriodDurationUnit</t>
  </si>
  <si>
    <t>beneficiaryDeferredPaymentFixedDate</t>
  </si>
  <si>
    <t>beneficiaryDeferredPaymentPeriodDuration</t>
  </si>
  <si>
    <t>creditContracts.number</t>
  </si>
  <si>
    <t>lcl_agreement_credit_contracts</t>
  </si>
  <si>
    <t>creditContracts.idPprbKul</t>
  </si>
  <si>
    <t>creditContracts.date</t>
  </si>
  <si>
    <t>creditContracts.eksId</t>
  </si>
  <si>
    <t>supplyContracts.date</t>
  </si>
  <si>
    <t>lcl_agreement_supply_contracts</t>
  </si>
  <si>
    <t>supplyContracts.number</t>
  </si>
  <si>
    <t>tariffs.feeEventType</t>
  </si>
  <si>
    <t>lcl_agreement_tariffs</t>
  </si>
  <si>
    <t>reportAttributes.code</t>
  </si>
  <si>
    <t>lcl_agreement_reportAttributes</t>
  </si>
  <si>
    <t>reportAttributes.name</t>
  </si>
  <si>
    <t>applicantFeeAccounts.number</t>
  </si>
  <si>
    <t>lcl_agreement_applicant_fee_accounts</t>
  </si>
  <si>
    <t>lcl_registry</t>
  </si>
  <si>
    <t>registryEvent.name.code</t>
  </si>
  <si>
    <t>lcl_registry_dto</t>
  </si>
  <si>
    <t>registryEvent.account.number</t>
  </si>
  <si>
    <t>registryEvent.agreement.reference</t>
  </si>
  <si>
    <t>inkasso_export_agreement_actual</t>
  </si>
  <si>
    <t>versionedAttributes.beneficiaryName</t>
  </si>
  <si>
    <t>beneficiaryName_versionedattr</t>
  </si>
  <si>
    <t>versionedAttributes.presentingBankName</t>
  </si>
  <si>
    <t>presentingBankName_versionedattr</t>
  </si>
  <si>
    <t>bankRegionalUnitCode_versionedattr</t>
  </si>
  <si>
    <t>versionedAttributes.bankRegionalUnitName</t>
  </si>
  <si>
    <t>modifiedTime</t>
  </si>
  <si>
    <t>planPaymentDate_versionedattr</t>
  </si>
  <si>
    <t>versionedAttributes.availabilityType</t>
  </si>
  <si>
    <t>availabilityType_versionedattr</t>
  </si>
  <si>
    <t>versionedAttributes.presentingBankSwift</t>
  </si>
  <si>
    <t>presentingBankSwift_versionedattr</t>
  </si>
  <si>
    <t>versionedAttributes.changeId</t>
  </si>
  <si>
    <t>changeId_versionedattr</t>
  </si>
  <si>
    <t>incassoType</t>
  </si>
  <si>
    <t>amountValue_versionedattr</t>
  </si>
  <si>
    <t>versionedAttributes.beneficiaryFeeAccount</t>
  </si>
  <si>
    <t>beneficiaryFeeAccount_versionedattr</t>
  </si>
  <si>
    <t>versionedAttributes.additionalConditions</t>
  </si>
  <si>
    <t>additionalConditions_versionedattr</t>
  </si>
  <si>
    <t>currencyCode_versionedattr</t>
  </si>
  <si>
    <t>conclusionDate_attr</t>
  </si>
  <si>
    <t>agreementStatus</t>
  </si>
  <si>
    <t>advisingSideReference_attr</t>
  </si>
  <si>
    <t>versionedAttributes.applicantEpkId</t>
  </si>
  <si>
    <t>applicantEpkId_versionedattr</t>
  </si>
  <si>
    <t>versionedAttributes.beneficiaryEpkId</t>
  </si>
  <si>
    <t>beneficiaryEpkId_versionedattr</t>
  </si>
  <si>
    <t>versionedAttributes.applicantTaxId</t>
  </si>
  <si>
    <t>applicantTaxId_versionedattr</t>
  </si>
  <si>
    <t>versionedAttributes.beneficiaryTaxId</t>
  </si>
  <si>
    <t>beneficiaryTaxId_versionedattr</t>
  </si>
  <si>
    <t>versionedAttributes.applicantName</t>
  </si>
  <si>
    <t>applicantName_versionedattr</t>
  </si>
  <si>
    <t>inkasso_import_agreement_actual</t>
  </si>
  <si>
    <t>versionedAttributes.applicantFeeAccount</t>
  </si>
  <si>
    <t>lcl_agreement_versioned_dto</t>
  </si>
  <si>
    <t>guarantee_actual</t>
  </si>
  <si>
    <t>integer</t>
  </si>
  <si>
    <t>applicant.type</t>
  </si>
  <si>
    <t>beneficiary.type</t>
  </si>
  <si>
    <t>applicant.epkId</t>
  </si>
  <si>
    <t>beneficiary.epkId</t>
  </si>
  <si>
    <t>applicant.taxId</t>
  </si>
  <si>
    <t>applicant.fullName</t>
  </si>
  <si>
    <t>applicant_fullName</t>
  </si>
  <si>
    <t>beneficiary.fullName</t>
  </si>
  <si>
    <t>beneficiary_fullName</t>
  </si>
  <si>
    <t>guarantorBank.name</t>
  </si>
  <si>
    <t>guarantorBank.bic</t>
  </si>
  <si>
    <t>guarantorBank.branchCountryCode</t>
  </si>
  <si>
    <t>amount.value</t>
  </si>
  <si>
    <t>amount.currency</t>
  </si>
  <si>
    <t>escrow_legalgk_gods</t>
  </si>
  <si>
    <t>escrow_legalgk_gods_actual_dto</t>
  </si>
  <si>
    <t>srlCategory.code</t>
  </si>
  <si>
    <t>srlCategory.description</t>
  </si>
  <si>
    <t>conventionAmount.value</t>
  </si>
  <si>
    <t>Сумма</t>
  </si>
  <si>
    <t>conventionAmount.currency</t>
  </si>
  <si>
    <t>recipientAccount.number</t>
  </si>
  <si>
    <t>recipientAccount.bank.bic</t>
  </si>
  <si>
    <t>recipientAccount.bank.name</t>
  </si>
  <si>
    <t>recipientAccount.externalRegistryId</t>
  </si>
  <si>
    <t>restructureDetails.date</t>
  </si>
  <si>
    <t>restructureDetail_date</t>
  </si>
  <si>
    <t>restructureDetails.implementationDate</t>
  </si>
  <si>
    <t>restructureDetail_implementationDate</t>
  </si>
  <si>
    <t>restructureDetails.plannedTerminationDate</t>
  </si>
  <si>
    <t>restructureDetail_plannedTerminationDate</t>
  </si>
  <si>
    <t>restructureDetails.factualTerminationDate</t>
  </si>
  <si>
    <t>restructureDetail_factualTerminationDate</t>
  </si>
  <si>
    <t>restructureDetails.type</t>
  </si>
  <si>
    <t>restructureDetail_type</t>
  </si>
  <si>
    <t>Название таблицы в Hadoop (схема custom_t_processing_308 )</t>
  </si>
  <si>
    <t>Название внешней A-таблицы</t>
  </si>
  <si>
    <t>Название таблицы реплики</t>
  </si>
  <si>
    <t>a_000046_escrow_legal214_agreement_actual_dto_snp_ext</t>
  </si>
  <si>
    <t>a_000046_escrow_legal214_agreement_actual_dto</t>
  </si>
  <si>
    <t>a_000046_escrow_legalgk_agreement_actual_dto_snp_ext</t>
  </si>
  <si>
    <t>a_000046_escrow_legalgk_agreement_actual_dto</t>
  </si>
  <si>
    <t>a_000046_escrow_legalgk_beneficiariesindividualс</t>
  </si>
  <si>
    <t>a_000046_escrow_legalgk_beneficiariesindividual</t>
  </si>
  <si>
    <t>a_000046_escrow_legalgk_beneficiarieslegal_snp_ext</t>
  </si>
  <si>
    <t>a_000046_escrow_legalgk_beneficiarieslegal</t>
  </si>
  <si>
    <t>a_000046_escrow_legalgk_tariffs_snp_ext</t>
  </si>
  <si>
    <t>a_000046_escrow_legalgk_tariffs</t>
  </si>
  <si>
    <t>a_000046_payments_2_0_posting_dto_snp_ext</t>
  </si>
  <si>
    <t>a_000046_payments_2_0_posting_dto</t>
  </si>
  <si>
    <t>a_000046_general_agreement_actual_dto_snp_ext</t>
  </si>
  <si>
    <t>a_000046_general_agreement_actual_dto</t>
  </si>
  <si>
    <t>a_000046_general_agreement_actual_limitschedule_snp_ext</t>
  </si>
  <si>
    <t>a_000046_general_agreement_actual_limitschedule</t>
  </si>
  <si>
    <t>a_000046_payments_2_0_account_dto_snp_ext</t>
  </si>
  <si>
    <t>a_000046_payments_2_0_account_dto</t>
  </si>
  <si>
    <t>a_000046_lcl_agreement_actual_dto_snp_ext</t>
  </si>
  <si>
    <t>a_000046_lcl_agreement_actual_dto</t>
  </si>
  <si>
    <t>a_000046_lcl_agreement_credit_contracts_snp_ext</t>
  </si>
  <si>
    <t>a_000046_lcl_agreement_credit_contracts</t>
  </si>
  <si>
    <t>a_000046_lcl_agreement_supply_contracts_snp_ext</t>
  </si>
  <si>
    <t>a_000046_lcl_agreement_supply_contracts</t>
  </si>
  <si>
    <t>a_000046_lcl_agreement_tariffs_snp_ext</t>
  </si>
  <si>
    <t>a_000046_lcl_agreement_tariffs</t>
  </si>
  <si>
    <t>a_000046_lcl_agreement_applicant_fee_accounts_snp_ext</t>
  </si>
  <si>
    <t>a_000046_lcl_agreement_applicant_fee_accounts</t>
  </si>
  <si>
    <t>a_000046_lcl_registry_dto_snp_ext</t>
  </si>
  <si>
    <t>a_000046_lcl_registry_dto</t>
  </si>
  <si>
    <t>a_000046_inkasso_export_agreement_actual_dto_snp_ext</t>
  </si>
  <si>
    <t>a_000046_inkasso_export_agreement_actual_dto</t>
  </si>
  <si>
    <t>a_000046_inkasso_import_agreement_actual_dto_snp_ext</t>
  </si>
  <si>
    <t>a_000046_inkasso_import_agreement_actual_dto</t>
  </si>
  <si>
    <t>a_000046_reimbursement_agreement_actual_dto_snp_ext</t>
  </si>
  <si>
    <t>a_000046_reimbursement_agreement_actual_dto</t>
  </si>
  <si>
    <t>a_000046_lcl_agreement_versioned_dto_snp_ext</t>
  </si>
  <si>
    <t>a_000046_lcl_agreement_versioned_dto</t>
  </si>
  <si>
    <t>a_000046_lcl_agreement_reportAttributes_snp_ext</t>
  </si>
  <si>
    <t>a_000046_lcl_agreement_reportAttributes</t>
  </si>
  <si>
    <t>a_000046_guarantee_actual_dto_snp_ext</t>
  </si>
  <si>
    <t>a_000046_guarantee_actual_dto</t>
  </si>
  <si>
    <t>a_000046_escrow_legalgk_gods_actual_dto_snp_ext</t>
  </si>
  <si>
    <t>a_000046_escrow_legalgk_gods_actual_dto</t>
  </si>
  <si>
    <t>a_000046_lcl_agreement_restructureDetails_snp_ext</t>
  </si>
  <si>
    <t>Название объектов STAGE</t>
  </si>
  <si>
    <t>А-слой</t>
  </si>
  <si>
    <t>В-слой</t>
  </si>
  <si>
    <t>S-слой</t>
  </si>
  <si>
    <t>s308_0020_lcl_agreement_versioned</t>
  </si>
  <si>
    <t>При изменении S таблицы не удаляйте ее, БЕЗ сохранения бэкапа</t>
  </si>
  <si>
    <t>Название объекта</t>
  </si>
  <si>
    <t>Тип объекта</t>
  </si>
  <si>
    <t>SQL</t>
  </si>
  <si>
    <t>Словесное описание</t>
  </si>
  <si>
    <t xml:space="preserve">Дата </t>
  </si>
  <si>
    <t>Буль</t>
  </si>
  <si>
    <t>Тип S2T</t>
  </si>
  <si>
    <t>Блок-снимок</t>
  </si>
  <si>
    <t>Да</t>
  </si>
  <si>
    <t>D first</t>
  </si>
  <si>
    <t>DWH</t>
  </si>
  <si>
    <t>Блок-история</t>
  </si>
  <si>
    <t>Нет</t>
  </si>
  <si>
    <t>D last</t>
  </si>
  <si>
    <t>n</t>
  </si>
  <si>
    <t>MART</t>
  </si>
  <si>
    <t>off</t>
  </si>
  <si>
    <t>История-история</t>
  </si>
  <si>
    <t>Бизнес начало</t>
  </si>
  <si>
    <t>Бизнес конец</t>
  </si>
  <si>
    <t>agreementObject.completeEstimateDate</t>
  </si>
  <si>
    <t>completeEstimateDate_agreementObject</t>
  </si>
  <si>
    <t>0.38</t>
  </si>
  <si>
    <t>DMLJL-2110</t>
  </si>
  <si>
    <t>Плановая дата окончания/Срок условного депонирования договора</t>
  </si>
  <si>
    <t>depositing_object_dt</t>
  </si>
  <si>
    <t>Плановая дата ввода ОС в эксплуатацию</t>
  </si>
  <si>
    <t>Изменено формирование атрибута permission_explotation_plan_dt</t>
  </si>
  <si>
    <t>Добавлен атрибут depositing_object_dt</t>
  </si>
  <si>
    <t>DMLJL-2112</t>
  </si>
  <si>
    <t>Добавлен атрибут agreementObject.completeEstimateDate</t>
  </si>
  <si>
    <t>Добавлен атрибут completeEstimateDate_agreementObject</t>
  </si>
  <si>
    <r>
      <t xml:space="preserve">restructureDetails_uid is not null and </t>
    </r>
    <r>
      <rPr>
        <b/>
        <sz val="10"/>
        <rFont val="Arial"/>
        <family val="2"/>
        <charset val="204"/>
      </rPr>
      <t xml:space="preserve">restructureDetails_date s not null </t>
    </r>
    <r>
      <rPr>
        <sz val="10"/>
        <rFont val="Arial"/>
        <family val="2"/>
        <charset val="204"/>
      </rPr>
      <t>and  deleted = 'N'</t>
    </r>
  </si>
  <si>
    <t xml:space="preserve">percent_payment </t>
  </si>
  <si>
    <t>0.39</t>
  </si>
  <si>
    <t>factoryId</t>
  </si>
  <si>
    <t>eventStatus</t>
  </si>
  <si>
    <t>feeEventType.code</t>
  </si>
  <si>
    <t>feeEventType.description</t>
  </si>
  <si>
    <t>scheduleEntry.type.code</t>
  </si>
  <si>
    <t>scheduleEntry.status.code</t>
  </si>
  <si>
    <t>scheduleEntry.status.description</t>
  </si>
  <si>
    <t>scheduleEntry.scheduleDate</t>
  </si>
  <si>
    <t>scheduleEntry.scheduleAmount.value</t>
  </si>
  <si>
    <t>scheduleEntry.scheduleAmount.currency</t>
  </si>
  <si>
    <t>scheduleEntry.dateFrom</t>
  </si>
  <si>
    <t>scheduleEntry.dateTill</t>
  </si>
  <si>
    <t>percent_payment_dto</t>
  </si>
  <si>
    <t>feeEventType_code</t>
  </si>
  <si>
    <t>feeEventType_description</t>
  </si>
  <si>
    <t>scheduleEntry_type_code</t>
  </si>
  <si>
    <t>scheduleEntry_status_code</t>
  </si>
  <si>
    <t>scheduleEntry_status_description</t>
  </si>
  <si>
    <t>scheduleEntry_scheduleDate</t>
  </si>
  <si>
    <t>scheduleEntry_scheduleAmount_value</t>
  </si>
  <si>
    <t>scheduleEntry_scheduleAmount_currency</t>
  </si>
  <si>
    <t>scheduleEntry_dateFrom</t>
  </si>
  <si>
    <t>scheduleEntry_dateTill</t>
  </si>
  <si>
    <t>scheduleEntry.type.description</t>
  </si>
  <si>
    <t>scheduleEntry_type_description</t>
  </si>
  <si>
    <t>agreement.depositWithdrawalDate</t>
  </si>
  <si>
    <t>Добавлен атрибут agreement.depositWithdrawalDate</t>
  </si>
  <si>
    <t>DMLJL-2129</t>
  </si>
  <si>
    <t>t_agr_escrow_add_plan_schdl</t>
  </si>
  <si>
    <t>Плановый график выплат процентов</t>
  </si>
  <si>
    <t>t_agr_escrow_schdl_type</t>
  </si>
  <si>
    <t>Тип графика платежей</t>
  </si>
  <si>
    <t>agr_escrow_add_plan_schdl</t>
  </si>
  <si>
    <t>agr_escrow_schdl_type</t>
  </si>
  <si>
    <t>depositing_dt</t>
  </si>
  <si>
    <t>Срок депонирования суммы</t>
  </si>
  <si>
    <t>plan_schdl_dt</t>
  </si>
  <si>
    <t>plan_schdl_crncy_amt</t>
  </si>
  <si>
    <t>agr_escrow_schdl_type_id</t>
  </si>
  <si>
    <t>Идентификатор доп. соглашения ГОДС</t>
  </si>
  <si>
    <t>Дата планового платежа</t>
  </si>
  <si>
    <t>Валюта планового платежа</t>
  </si>
  <si>
    <t>Сумма в валюте платежа</t>
  </si>
  <si>
    <t xml:space="preserve">Дата окончания действия </t>
  </si>
  <si>
    <t>Идентификатор типа графика платежа</t>
  </si>
  <si>
    <t>agr_escrow_schdl_type_cd</t>
  </si>
  <si>
    <t>agr_escrow_schdl_type_name</t>
  </si>
  <si>
    <t>Код типа графика платежа</t>
  </si>
  <si>
    <t>Наименование типа графика платежа</t>
  </si>
  <si>
    <t>Срок депонированной суммы</t>
  </si>
  <si>
    <t>a_000046_percent_payment_dto_snp_ext</t>
  </si>
  <si>
    <t>a_000046_percent_payment_dto</t>
  </si>
  <si>
    <t>b3080000460024_percent_payment_dto</t>
  </si>
  <si>
    <t>Уникальный идентификатор договора</t>
  </si>
  <si>
    <t>Статус события</t>
  </si>
  <si>
    <t>Наименование типа комиссии</t>
  </si>
  <si>
    <t>Код типа строки графика</t>
  </si>
  <si>
    <t>Название типа строки графика</t>
  </si>
  <si>
    <t>Код статуса строки графика</t>
  </si>
  <si>
    <t>Название статуса строки графика</t>
  </si>
  <si>
    <t>Плановая дата</t>
  </si>
  <si>
    <t>Плановая сумма</t>
  </si>
  <si>
    <t>Дата начала периода</t>
  </si>
  <si>
    <t>Дата окончаниия периода</t>
  </si>
  <si>
    <t>Уникальный идентификатор</t>
  </si>
  <si>
    <t>Добавлен атрибут depositing_dt</t>
  </si>
  <si>
    <t>DMLJL-2139</t>
  </si>
  <si>
    <t>Добавлен атрибут depositWithdrawalDate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</si>
</sst>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_);[Red]\(#,##0\)"/>
    <numFmt numFmtId="165" formatCode="#,##0_р_.;[Red]\-#,##0_р_."/>
    <numFmt numFmtId="166" formatCode="dd/mm/yy;@"/>
  </numFmts>
  <fonts count="66" x14ac:knownFonts="1">
    <font>
      <sz val="11"/>
      <color theme="1"/>
      <name val="Calibri"/>
    </font>
    <font>
      <sz val="10"/>
      <name val="Arial"/>
      <family val="2"/>
      <charset val="204"/>
    </font>
    <font>
      <sz val="11"/>
      <name val="Calibri"/>
      <family val="2"/>
      <charset val="204"/>
    </font>
    <font>
      <sz val="11"/>
      <color theme="0"/>
      <name val="Calibri"/>
      <family val="2"/>
      <charset val="204"/>
    </font>
    <font>
      <sz val="10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sz val="11"/>
      <color rgb="FF9C0006"/>
      <name val="Calibri"/>
      <family val="2"/>
      <charset val="204"/>
    </font>
    <font>
      <sz val="10"/>
      <color indexed="20"/>
      <name val="Arial"/>
      <family val="2"/>
      <charset val="204"/>
    </font>
    <font>
      <b/>
      <sz val="11"/>
      <color rgb="FFFA7D00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theme="0"/>
      <name val="Calibri"/>
      <family val="2"/>
      <charset val="204"/>
    </font>
    <font>
      <b/>
      <sz val="10"/>
      <color indexed="65"/>
      <name val="Arial"/>
      <family val="2"/>
      <charset val="204"/>
    </font>
    <font>
      <i/>
      <sz val="11"/>
      <color rgb="FF7F7F7F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17"/>
      <name val="Arial"/>
      <family val="2"/>
      <charset val="204"/>
    </font>
    <font>
      <sz val="11"/>
      <color rgb="FF006100"/>
      <name val="Calibri"/>
      <family val="2"/>
      <charset val="204"/>
    </font>
    <font>
      <b/>
      <sz val="15"/>
      <color indexed="56"/>
      <name val="Arial"/>
      <family val="2"/>
      <charset val="204"/>
    </font>
    <font>
      <b/>
      <sz val="15"/>
      <color theme="3"/>
      <name val="Calibri"/>
      <family val="2"/>
      <charset val="204"/>
    </font>
    <font>
      <b/>
      <sz val="13"/>
      <color indexed="56"/>
      <name val="Arial"/>
      <family val="2"/>
      <charset val="204"/>
    </font>
    <font>
      <b/>
      <sz val="13"/>
      <color theme="3"/>
      <name val="Calibri"/>
      <family val="2"/>
      <charset val="204"/>
    </font>
    <font>
      <b/>
      <sz val="11"/>
      <color theme="3"/>
      <name val="Calibri"/>
      <family val="2"/>
      <charset val="204"/>
    </font>
    <font>
      <b/>
      <sz val="11"/>
      <color indexed="56"/>
      <name val="Arial"/>
      <family val="2"/>
      <charset val="204"/>
    </font>
    <font>
      <sz val="10"/>
      <name val="Arial Cyr"/>
    </font>
    <font>
      <sz val="11"/>
      <color rgb="FF3F3F76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rgb="FFFA7D00"/>
      <name val="Calibri"/>
      <family val="2"/>
      <charset val="204"/>
    </font>
    <font>
      <sz val="10"/>
      <color indexed="52"/>
      <name val="Arial"/>
      <family val="2"/>
      <charset val="204"/>
    </font>
    <font>
      <sz val="10"/>
      <color indexed="60"/>
      <name val="Arial"/>
      <family val="2"/>
      <charset val="204"/>
    </font>
    <font>
      <sz val="11"/>
      <color rgb="FF9C6500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8"/>
      <name val="Arial"/>
      <family val="2"/>
      <charset val="204"/>
    </font>
    <font>
      <b/>
      <sz val="18"/>
      <color theme="3"/>
      <name val="Calibri Light"/>
      <family val="2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</font>
    <font>
      <b/>
      <sz val="11"/>
      <color theme="1"/>
      <name val="Calibri"/>
      <family val="2"/>
      <charset val="204"/>
    </font>
    <font>
      <b/>
      <sz val="10"/>
      <name val="Arial"/>
      <family val="2"/>
      <charset val="204"/>
    </font>
    <font>
      <sz val="11"/>
      <color indexed="2"/>
      <name val="Calibri"/>
      <family val="2"/>
      <charset val="204"/>
    </font>
    <font>
      <sz val="10"/>
      <color indexed="2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8.8000000000000007"/>
      <color indexed="4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65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name val="Arial"/>
      <family val="2"/>
      <charset val="204"/>
    </font>
    <font>
      <sz val="11"/>
      <name val="Tahoma"/>
      <family val="2"/>
      <charset val="204"/>
    </font>
    <font>
      <sz val="10"/>
      <name val="Tahoma"/>
      <family val="2"/>
      <charset val="204"/>
    </font>
    <font>
      <sz val="10"/>
      <color rgb="FFC00000"/>
      <name val="Arial"/>
      <family val="2"/>
      <charset val="204"/>
    </font>
    <font>
      <sz val="10"/>
      <name val="Calibri"/>
      <family val="2"/>
      <charset val="204"/>
    </font>
    <font>
      <b/>
      <sz val="11"/>
      <name val="Arial"/>
      <family val="2"/>
      <charset val="204"/>
    </font>
    <font>
      <sz val="11"/>
      <color rgb="FFC0000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1"/>
      <color theme="1"/>
      <name val="Calibri"/>
      <family val="2"/>
      <charset val="204"/>
    </font>
    <font>
      <b/>
      <i/>
      <sz val="10"/>
      <name val="Arial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trike/>
      <sz val="10"/>
      <name val="Arial"/>
      <family val="2"/>
      <charset val="204"/>
    </font>
    <font>
      <sz val="10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sz val="10"/>
      <name val="Arial"/>
    </font>
  </fonts>
  <fills count="62">
    <fill>
      <patternFill patternType="none"/>
    </fill>
    <fill>
      <patternFill patternType="gray125"/>
    </fill>
    <fill>
      <patternFill patternType="solid">
        <fgColor theme="4" tint="0.79979857783745845"/>
        <bgColor rgb="FFDAE3F3"/>
      </patternFill>
    </fill>
    <fill>
      <patternFill patternType="solid">
        <fgColor indexed="31"/>
        <bgColor rgb="FFBDD7EE"/>
      </patternFill>
    </fill>
    <fill>
      <patternFill patternType="solid">
        <fgColor theme="5" tint="0.79979857783745845"/>
        <bgColor rgb="FFFFF2CC"/>
      </patternFill>
    </fill>
    <fill>
      <patternFill patternType="solid">
        <fgColor indexed="45"/>
        <bgColor rgb="FFF6B588"/>
      </patternFill>
    </fill>
    <fill>
      <patternFill patternType="solid">
        <fgColor theme="6" tint="0.79979857783745845"/>
        <bgColor rgb="FFF2F2F2"/>
      </patternFill>
    </fill>
    <fill>
      <patternFill patternType="solid">
        <fgColor rgb="FFDEFFD1"/>
        <bgColor rgb="FFE2F0D9"/>
      </patternFill>
    </fill>
    <fill>
      <patternFill patternType="solid">
        <fgColor theme="7" tint="0.79979857783745845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theme="8" tint="0.79979857783745845"/>
        <bgColor rgb="FFDEEBF7"/>
      </patternFill>
    </fill>
    <fill>
      <patternFill patternType="solid">
        <fgColor indexed="27"/>
        <bgColor rgb="FFDEFFD1"/>
      </patternFill>
    </fill>
    <fill>
      <patternFill patternType="solid">
        <fgColor theme="9" tint="0.79979857783745845"/>
        <bgColor rgb="FFEDEDED"/>
      </patternFill>
    </fill>
    <fill>
      <patternFill patternType="solid">
        <fgColor rgb="FFFBCCA7"/>
        <bgColor rgb="FFF9CBAD"/>
      </patternFill>
    </fill>
    <fill>
      <patternFill patternType="solid">
        <fgColor theme="4" tint="0.59959715567491678"/>
        <bgColor indexed="31"/>
      </patternFill>
    </fill>
    <fill>
      <patternFill patternType="solid">
        <fgColor rgb="FF9BCAFA"/>
        <bgColor rgb="FF9CC4EA"/>
      </patternFill>
    </fill>
    <fill>
      <patternFill patternType="solid">
        <fgColor theme="5" tint="0.59959715567491678"/>
        <bgColor rgb="FFFBCCA7"/>
      </patternFill>
    </fill>
    <fill>
      <patternFill patternType="solid">
        <fgColor rgb="FFFF8079"/>
        <bgColor rgb="FFED7D31"/>
      </patternFill>
    </fill>
    <fill>
      <patternFill patternType="solid">
        <fgColor theme="6" tint="0.59959715567491678"/>
        <bgColor rgb="FFD9D9D9"/>
      </patternFill>
    </fill>
    <fill>
      <patternFill patternType="solid">
        <fgColor indexed="3"/>
        <bgColor indexed="49"/>
      </patternFill>
    </fill>
    <fill>
      <patternFill patternType="solid">
        <fgColor theme="7" tint="0.59959715567491678"/>
        <bgColor rgb="FFFFDC6D"/>
      </patternFill>
    </fill>
    <fill>
      <patternFill patternType="solid">
        <fgColor theme="8" tint="0.59959715567491678"/>
        <bgColor rgb="FF9CC4EA"/>
      </patternFill>
    </fill>
    <fill>
      <patternFill patternType="darkGray">
        <fgColor theme="9" tint="0.59959715567491678"/>
        <bgColor rgb="FFD9D9D9"/>
      </patternFill>
    </fill>
    <fill>
      <patternFill patternType="solid">
        <fgColor indexed="51"/>
        <bgColor rgb="FFFFC000"/>
      </patternFill>
    </fill>
    <fill>
      <patternFill patternType="darkGray">
        <fgColor theme="4" tint="0.39939573351237523"/>
        <bgColor rgb="FF9BCAFA"/>
      </patternFill>
    </fill>
    <fill>
      <patternFill patternType="solid">
        <fgColor indexed="30"/>
        <bgColor rgb="FF4472C4"/>
      </patternFill>
    </fill>
    <fill>
      <patternFill patternType="solid">
        <fgColor theme="4" tint="0.39939573351237523"/>
        <bgColor rgb="FF9BCAFA"/>
      </patternFill>
    </fill>
    <fill>
      <patternFill patternType="darkGray">
        <fgColor theme="5" tint="0.39939573351237523"/>
        <bgColor rgb="FFFBCCA7"/>
      </patternFill>
    </fill>
    <fill>
      <patternFill patternType="solid">
        <fgColor theme="5" tint="0.39939573351237523"/>
        <bgColor rgb="FFFBCCA7"/>
      </patternFill>
    </fill>
    <fill>
      <patternFill patternType="darkGray">
        <fgColor theme="6" tint="0.39939573351237523"/>
        <bgColor rgb="FFD9D9D9"/>
      </patternFill>
    </fill>
    <fill>
      <patternFill patternType="solid">
        <fgColor theme="6" tint="0.39939573351237523"/>
        <bgColor rgb="FFB4C7E7"/>
      </patternFill>
    </fill>
    <fill>
      <patternFill patternType="darkGray">
        <fgColor theme="7" tint="0.39939573351237523"/>
        <bgColor rgb="FFFFE699"/>
      </patternFill>
    </fill>
    <fill>
      <patternFill patternType="solid">
        <fgColor rgb="FF920307"/>
        <bgColor rgb="FFEE0F0D"/>
      </patternFill>
    </fill>
    <fill>
      <patternFill patternType="solid">
        <fgColor theme="7" tint="0.39939573351237523"/>
        <bgColor rgb="FFFFE699"/>
      </patternFill>
    </fill>
    <fill>
      <patternFill patternType="solid">
        <fgColor theme="8" tint="0.39939573351237523"/>
        <bgColor rgb="FF9CC4EA"/>
      </patternFill>
    </fill>
    <fill>
      <patternFill patternType="solid">
        <fgColor indexed="49"/>
        <bgColor rgb="FF5B9BD5"/>
      </patternFill>
    </fill>
    <fill>
      <patternFill patternType="solid">
        <fgColor theme="9" tint="0.39939573351237523"/>
        <bgColor rgb="FFCACBCA"/>
      </patternFill>
    </fill>
    <fill>
      <patternFill patternType="solid">
        <fgColor indexed="52"/>
        <bgColor rgb="FFFA7D00"/>
      </patternFill>
    </fill>
    <fill>
      <patternFill patternType="solid">
        <fgColor theme="4"/>
        <bgColor rgb="FF8FAADC"/>
      </patternFill>
    </fill>
    <fill>
      <patternFill patternType="solid">
        <fgColor rgb="FF373588"/>
        <bgColor rgb="FF44546A"/>
      </patternFill>
    </fill>
    <fill>
      <patternFill patternType="solid">
        <fgColor theme="5"/>
        <bgColor rgb="FFFA7D00"/>
      </patternFill>
    </fill>
    <fill>
      <patternFill patternType="solid">
        <fgColor indexed="2"/>
        <bgColor rgb="FFEE0F0D"/>
      </patternFill>
    </fill>
    <fill>
      <patternFill patternType="solid">
        <fgColor theme="6"/>
        <bgColor rgb="FF949594"/>
      </patternFill>
    </fill>
    <fill>
      <patternFill patternType="darkGray">
        <fgColor rgb="FF0C6113"/>
        <bgColor rgb="FF44546A"/>
      </patternFill>
    </fill>
    <fill>
      <patternFill patternType="solid">
        <fgColor theme="7"/>
        <bgColor indexed="51"/>
      </patternFill>
    </fill>
    <fill>
      <patternFill patternType="solid">
        <fgColor theme="8"/>
        <bgColor rgb="FF5B9BD5"/>
      </patternFill>
    </fill>
    <fill>
      <patternFill patternType="darkGray">
        <fgColor theme="9"/>
        <bgColor rgb="FF949594"/>
      </patternFill>
    </fill>
    <fill>
      <patternFill patternType="solid">
        <fgColor rgb="FFFA6E03"/>
        <bgColor rgb="FFFA7D00"/>
      </patternFill>
    </fill>
    <fill>
      <patternFill patternType="solid">
        <fgColor rgb="FFF9CBAD"/>
        <bgColor rgb="FFFBCCA7"/>
      </patternFill>
    </fill>
    <fill>
      <patternFill patternType="solid">
        <fgColor rgb="FFF2F2F2"/>
        <bgColor rgb="FFEDEDED"/>
      </patternFill>
    </fill>
    <fill>
      <patternFill patternType="solid">
        <fgColor rgb="FFCACBCA"/>
        <bgColor rgb="FFD9D9D9"/>
      </patternFill>
    </fill>
    <fill>
      <patternFill patternType="mediumGray">
        <fgColor rgb="FF949594"/>
        <bgColor rgb="FFA5A5A5"/>
      </patternFill>
    </fill>
    <fill>
      <patternFill patternType="darkGray">
        <fgColor rgb="FFDEFFD1"/>
        <bgColor rgb="FFE2F0D9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rgb="FFFFF2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1"/>
      </patternFill>
    </fill>
    <fill>
      <patternFill patternType="solid">
        <fgColor theme="0"/>
        <bgColor theme="0"/>
      </patternFill>
    </fill>
    <fill>
      <patternFill patternType="solid">
        <fgColor rgb="FF7CB557"/>
        <bgColor rgb="FF949594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indexed="65"/>
        <bgColor rgb="FFF2F2F2"/>
      </patternFill>
    </fill>
    <fill>
      <patternFill patternType="solid">
        <fgColor theme="1"/>
        <bgColor indexed="56"/>
      </patternFill>
    </fill>
  </fills>
  <borders count="51">
    <border>
      <left/>
      <right/>
      <top/>
      <bottom/>
      <diagonal/>
    </border>
    <border>
      <left style="thin">
        <color rgb="FF8C7308"/>
      </left>
      <right style="thin">
        <color rgb="FF8C7308"/>
      </right>
      <top style="thin">
        <color rgb="FF8C7308"/>
      </top>
      <bottom style="thin">
        <color rgb="FF8C7308"/>
      </bottom>
      <diagonal/>
    </border>
    <border>
      <left style="double">
        <color rgb="FF363636"/>
      </left>
      <right style="double">
        <color rgb="FF363636"/>
      </right>
      <top style="double">
        <color rgb="FF363636"/>
      </top>
      <bottom style="double">
        <color rgb="FF363636"/>
      </bottom>
      <diagonal/>
    </border>
    <border>
      <left/>
      <right/>
      <top/>
      <bottom style="thick">
        <color rgb="FF37358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CACBCA"/>
      </bottom>
      <diagonal/>
    </border>
    <border>
      <left/>
      <right/>
      <top/>
      <bottom style="thick">
        <color theme="4" tint="0.49949644459364606"/>
      </bottom>
      <diagonal/>
    </border>
    <border>
      <left/>
      <right/>
      <top/>
      <bottom style="medium">
        <color theme="4" tint="0.399395733512375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A7D00"/>
      </bottom>
      <diagonal/>
    </border>
    <border>
      <left/>
      <right/>
      <top/>
      <bottom style="double">
        <color indexed="52"/>
      </bottom>
      <diagonal/>
    </border>
    <border>
      <left style="thin">
        <color rgb="FFCACBCA"/>
      </left>
      <right style="thin">
        <color rgb="FFCACBCA"/>
      </right>
      <top style="thin">
        <color rgb="FFCACBCA"/>
      </top>
      <bottom style="thin">
        <color rgb="FFCACBCA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73588"/>
      </top>
      <bottom style="double">
        <color rgb="FF3735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/>
      <top style="medium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984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2" borderId="0"/>
    <xf numFmtId="0" fontId="1" fillId="3" borderId="0"/>
    <xf numFmtId="0" fontId="1" fillId="3" borderId="0"/>
    <xf numFmtId="0" fontId="58" fillId="2" borderId="0"/>
    <xf numFmtId="0" fontId="58" fillId="4" borderId="0"/>
    <xf numFmtId="0" fontId="1" fillId="5" borderId="0"/>
    <xf numFmtId="0" fontId="1" fillId="5" borderId="0"/>
    <xf numFmtId="0" fontId="58" fillId="4" borderId="0"/>
    <xf numFmtId="0" fontId="58" fillId="6" borderId="0"/>
    <xf numFmtId="0" fontId="1" fillId="7" borderId="0"/>
    <xf numFmtId="0" fontId="1" fillId="7" borderId="0"/>
    <xf numFmtId="0" fontId="58" fillId="6" borderId="0"/>
    <xf numFmtId="0" fontId="58" fillId="8" borderId="0"/>
    <xf numFmtId="0" fontId="1" fillId="9" borderId="0"/>
    <xf numFmtId="0" fontId="1" fillId="9" borderId="0"/>
    <xf numFmtId="0" fontId="58" fillId="8" borderId="0"/>
    <xf numFmtId="0" fontId="58" fillId="10" borderId="0"/>
    <xf numFmtId="0" fontId="1" fillId="11" borderId="0"/>
    <xf numFmtId="0" fontId="1" fillId="11" borderId="0"/>
    <xf numFmtId="0" fontId="58" fillId="10" borderId="0"/>
    <xf numFmtId="0" fontId="58" fillId="12" borderId="0"/>
    <xf numFmtId="0" fontId="1" fillId="13" borderId="0"/>
    <xf numFmtId="0" fontId="1" fillId="13" borderId="0"/>
    <xf numFmtId="0" fontId="58" fillId="12" borderId="0"/>
    <xf numFmtId="0" fontId="2" fillId="3" borderId="0"/>
    <xf numFmtId="0" fontId="58" fillId="2" borderId="0"/>
    <xf numFmtId="0" fontId="2" fillId="3" borderId="0"/>
    <xf numFmtId="0" fontId="2" fillId="5" borderId="0"/>
    <xf numFmtId="0" fontId="58" fillId="4" borderId="0"/>
    <xf numFmtId="0" fontId="2" fillId="5" borderId="0"/>
    <xf numFmtId="0" fontId="2" fillId="7" borderId="0"/>
    <xf numFmtId="0" fontId="58" fillId="6" borderId="0"/>
    <xf numFmtId="0" fontId="2" fillId="7" borderId="0"/>
    <xf numFmtId="0" fontId="2" fillId="9" borderId="0"/>
    <xf numFmtId="0" fontId="58" fillId="8" borderId="0"/>
    <xf numFmtId="0" fontId="2" fillId="9" borderId="0"/>
    <xf numFmtId="0" fontId="2" fillId="11" borderId="0"/>
    <xf numFmtId="0" fontId="58" fillId="10" borderId="0"/>
    <xf numFmtId="0" fontId="2" fillId="11" borderId="0"/>
    <xf numFmtId="0" fontId="2" fillId="13" borderId="0"/>
    <xf numFmtId="0" fontId="58" fillId="12" borderId="0"/>
    <xf numFmtId="0" fontId="2" fillId="13" borderId="0"/>
    <xf numFmtId="0" fontId="58" fillId="14" borderId="0"/>
    <xf numFmtId="0" fontId="1" fillId="15" borderId="0"/>
    <xf numFmtId="0" fontId="1" fillId="15" borderId="0"/>
    <xf numFmtId="0" fontId="58" fillId="14" borderId="0"/>
    <xf numFmtId="0" fontId="58" fillId="16" borderId="0"/>
    <xf numFmtId="0" fontId="1" fillId="17" borderId="0"/>
    <xf numFmtId="0" fontId="1" fillId="17" borderId="0"/>
    <xf numFmtId="0" fontId="58" fillId="16" borderId="0"/>
    <xf numFmtId="0" fontId="58" fillId="18" borderId="0"/>
    <xf numFmtId="0" fontId="1" fillId="19" borderId="0"/>
    <xf numFmtId="0" fontId="1" fillId="19" borderId="0"/>
    <xf numFmtId="0" fontId="58" fillId="18" borderId="0"/>
    <xf numFmtId="0" fontId="58" fillId="20" borderId="0"/>
    <xf numFmtId="0" fontId="1" fillId="9" borderId="0"/>
    <xf numFmtId="0" fontId="1" fillId="9" borderId="0"/>
    <xf numFmtId="0" fontId="58" fillId="20" borderId="0"/>
    <xf numFmtId="0" fontId="58" fillId="21" borderId="0"/>
    <xf numFmtId="0" fontId="1" fillId="15" borderId="0"/>
    <xf numFmtId="0" fontId="1" fillId="15" borderId="0"/>
    <xf numFmtId="0" fontId="58" fillId="21" borderId="0"/>
    <xf numFmtId="0" fontId="58" fillId="22" borderId="0"/>
    <xf numFmtId="0" fontId="1" fillId="23" borderId="0"/>
    <xf numFmtId="0" fontId="1" fillId="23" borderId="0"/>
    <xf numFmtId="0" fontId="58" fillId="22" borderId="0"/>
    <xf numFmtId="0" fontId="2" fillId="15" borderId="0"/>
    <xf numFmtId="0" fontId="58" fillId="14" borderId="0"/>
    <xf numFmtId="0" fontId="2" fillId="15" borderId="0"/>
    <xf numFmtId="0" fontId="2" fillId="17" borderId="0"/>
    <xf numFmtId="0" fontId="58" fillId="16" borderId="0"/>
    <xf numFmtId="0" fontId="2" fillId="17" borderId="0"/>
    <xf numFmtId="0" fontId="2" fillId="19" borderId="0"/>
    <xf numFmtId="0" fontId="58" fillId="18" borderId="0"/>
    <xf numFmtId="0" fontId="2" fillId="19" borderId="0"/>
    <xf numFmtId="0" fontId="2" fillId="9" borderId="0"/>
    <xf numFmtId="0" fontId="58" fillId="20" borderId="0"/>
    <xf numFmtId="0" fontId="2" fillId="9" borderId="0"/>
    <xf numFmtId="0" fontId="2" fillId="15" borderId="0"/>
    <xf numFmtId="0" fontId="58" fillId="21" borderId="0"/>
    <xf numFmtId="0" fontId="2" fillId="15" borderId="0"/>
    <xf numFmtId="0" fontId="2" fillId="23" borderId="0"/>
    <xf numFmtId="0" fontId="58" fillId="22" borderId="0"/>
    <xf numFmtId="0" fontId="2" fillId="23" borderId="0"/>
    <xf numFmtId="0" fontId="3" fillId="24" borderId="0"/>
    <xf numFmtId="0" fontId="4" fillId="25" borderId="0"/>
    <xf numFmtId="0" fontId="4" fillId="25" borderId="0"/>
    <xf numFmtId="0" fontId="3" fillId="26" borderId="0"/>
    <xf numFmtId="0" fontId="3" fillId="27" borderId="0"/>
    <xf numFmtId="0" fontId="4" fillId="17" borderId="0"/>
    <xf numFmtId="0" fontId="4" fillId="17" borderId="0"/>
    <xf numFmtId="0" fontId="3" fillId="28" borderId="0"/>
    <xf numFmtId="0" fontId="3" fillId="29" borderId="0"/>
    <xf numFmtId="0" fontId="4" fillId="19" borderId="0"/>
    <xf numFmtId="0" fontId="4" fillId="19" borderId="0"/>
    <xf numFmtId="0" fontId="3" fillId="30" borderId="0"/>
    <xf numFmtId="0" fontId="3" fillId="31" borderId="0"/>
    <xf numFmtId="0" fontId="4" fillId="32" borderId="0"/>
    <xf numFmtId="0" fontId="4" fillId="32" borderId="0"/>
    <xf numFmtId="0" fontId="3" fillId="33" borderId="0"/>
    <xf numFmtId="0" fontId="3" fillId="34" borderId="0"/>
    <xf numFmtId="0" fontId="4" fillId="35" borderId="0"/>
    <xf numFmtId="0" fontId="4" fillId="35" borderId="0"/>
    <xf numFmtId="0" fontId="3" fillId="34" borderId="0"/>
    <xf numFmtId="0" fontId="3" fillId="36" borderId="0"/>
    <xf numFmtId="0" fontId="4" fillId="37" borderId="0"/>
    <xf numFmtId="0" fontId="4" fillId="37" borderId="0"/>
    <xf numFmtId="0" fontId="3" fillId="36" borderId="0"/>
    <xf numFmtId="0" fontId="5" fillId="25" borderId="0"/>
    <xf numFmtId="0" fontId="5" fillId="25" borderId="0"/>
    <xf numFmtId="0" fontId="5" fillId="17" borderId="0"/>
    <xf numFmtId="0" fontId="5" fillId="17" borderId="0"/>
    <xf numFmtId="0" fontId="5" fillId="19" borderId="0"/>
    <xf numFmtId="0" fontId="5" fillId="19" borderId="0"/>
    <xf numFmtId="0" fontId="5" fillId="32" borderId="0"/>
    <xf numFmtId="0" fontId="5" fillId="32" borderId="0"/>
    <xf numFmtId="0" fontId="5" fillId="35" borderId="0"/>
    <xf numFmtId="0" fontId="5" fillId="35" borderId="0"/>
    <xf numFmtId="0" fontId="5" fillId="37" borderId="0"/>
    <xf numFmtId="0" fontId="5" fillId="37" borderId="0"/>
    <xf numFmtId="0" fontId="3" fillId="38" borderId="0"/>
    <xf numFmtId="0" fontId="4" fillId="39" borderId="0"/>
    <xf numFmtId="0" fontId="4" fillId="39" borderId="0"/>
    <xf numFmtId="0" fontId="3" fillId="38" borderId="0"/>
    <xf numFmtId="0" fontId="3" fillId="40" borderId="0"/>
    <xf numFmtId="0" fontId="4" fillId="41" borderId="0"/>
    <xf numFmtId="0" fontId="4" fillId="41" borderId="0"/>
    <xf numFmtId="0" fontId="3" fillId="40" borderId="0"/>
    <xf numFmtId="0" fontId="3" fillId="42" borderId="0"/>
    <xf numFmtId="0" fontId="4" fillId="43" borderId="0"/>
    <xf numFmtId="0" fontId="4" fillId="43" borderId="0"/>
    <xf numFmtId="0" fontId="3" fillId="42" borderId="0"/>
    <xf numFmtId="0" fontId="3" fillId="44" borderId="0"/>
    <xf numFmtId="0" fontId="4" fillId="32" borderId="0"/>
    <xf numFmtId="0" fontId="4" fillId="32" borderId="0"/>
    <xf numFmtId="0" fontId="3" fillId="44" borderId="0"/>
    <xf numFmtId="0" fontId="3" fillId="45" borderId="0"/>
    <xf numFmtId="0" fontId="4" fillId="35" borderId="0"/>
    <xf numFmtId="0" fontId="4" fillId="35" borderId="0"/>
    <xf numFmtId="0" fontId="3" fillId="45" borderId="0"/>
    <xf numFmtId="0" fontId="3" fillId="46" borderId="0"/>
    <xf numFmtId="0" fontId="4" fillId="47" borderId="0"/>
    <xf numFmtId="0" fontId="4" fillId="47" borderId="0"/>
    <xf numFmtId="0" fontId="3" fillId="46" borderId="0"/>
    <xf numFmtId="0" fontId="6" fillId="48" borderId="0"/>
    <xf numFmtId="0" fontId="7" fillId="5" borderId="0"/>
    <xf numFmtId="0" fontId="7" fillId="5" borderId="0"/>
    <xf numFmtId="0" fontId="8" fillId="49" borderId="1"/>
    <xf numFmtId="0" fontId="9" fillId="50" borderId="1"/>
    <xf numFmtId="0" fontId="9" fillId="50" borderId="1"/>
    <xf numFmtId="0" fontId="8" fillId="49" borderId="1"/>
    <xf numFmtId="0" fontId="10" fillId="42" borderId="2"/>
    <xf numFmtId="0" fontId="11" fillId="51" borderId="2"/>
    <xf numFmtId="0" fontId="11" fillId="51" borderId="2"/>
    <xf numFmtId="0" fontId="10" fillId="42" borderId="2"/>
    <xf numFmtId="0" fontId="12" fillId="0" borderId="0"/>
    <xf numFmtId="0" fontId="13" fillId="0" borderId="0"/>
    <xf numFmtId="0" fontId="13" fillId="0" borderId="0"/>
    <xf numFmtId="0" fontId="12" fillId="0" borderId="0"/>
    <xf numFmtId="0" fontId="14" fillId="7" borderId="0"/>
    <xf numFmtId="0" fontId="14" fillId="7" borderId="0"/>
    <xf numFmtId="0" fontId="15" fillId="52" borderId="0"/>
    <xf numFmtId="0" fontId="16" fillId="0" borderId="3"/>
    <xf numFmtId="0" fontId="16" fillId="0" borderId="3"/>
    <xf numFmtId="0" fontId="17" fillId="0" borderId="4"/>
    <xf numFmtId="0" fontId="18" fillId="0" borderId="5"/>
    <xf numFmtId="0" fontId="18" fillId="0" borderId="5"/>
    <xf numFmtId="0" fontId="19" fillId="0" borderId="6"/>
    <xf numFmtId="0" fontId="20" fillId="0" borderId="7"/>
    <xf numFmtId="0" fontId="21" fillId="0" borderId="8"/>
    <xf numFmtId="0" fontId="21" fillId="0" borderId="8"/>
    <xf numFmtId="0" fontId="20" fillId="0" borderId="7"/>
    <xf numFmtId="0" fontId="20" fillId="0" borderId="0"/>
    <xf numFmtId="0" fontId="21" fillId="0" borderId="0"/>
    <xf numFmtId="0" fontId="21" fillId="0" borderId="0"/>
    <xf numFmtId="0" fontId="20" fillId="0" borderId="0"/>
    <xf numFmtId="0" fontId="22" fillId="0" borderId="0"/>
    <xf numFmtId="0" fontId="23" fillId="13" borderId="1"/>
    <xf numFmtId="0" fontId="24" fillId="13" borderId="1"/>
    <xf numFmtId="0" fontId="24" fillId="13" borderId="1"/>
    <xf numFmtId="0" fontId="23" fillId="13" borderId="1"/>
    <xf numFmtId="0" fontId="25" fillId="0" borderId="9"/>
    <xf numFmtId="0" fontId="26" fillId="0" borderId="10"/>
    <xf numFmtId="0" fontId="26" fillId="0" borderId="10"/>
    <xf numFmtId="0" fontId="25" fillId="0" borderId="9"/>
    <xf numFmtId="164" fontId="22" fillId="0" borderId="0"/>
    <xf numFmtId="165" fontId="22" fillId="0" borderId="0"/>
    <xf numFmtId="0" fontId="27" fillId="53" borderId="0"/>
    <xf numFmtId="0" fontId="27" fillId="53" borderId="0"/>
    <xf numFmtId="0" fontId="28" fillId="20" borderId="0"/>
    <xf numFmtId="0" fontId="58" fillId="0" borderId="0"/>
    <xf numFmtId="0" fontId="1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1" fillId="0" borderId="0"/>
    <xf numFmtId="0" fontId="58" fillId="0" borderId="0"/>
    <xf numFmtId="0" fontId="58" fillId="0" borderId="0"/>
    <xf numFmtId="0" fontId="1" fillId="0" borderId="0"/>
    <xf numFmtId="0" fontId="1" fillId="0" borderId="0"/>
    <xf numFmtId="0" fontId="58" fillId="54" borderId="11"/>
    <xf numFmtId="0" fontId="58" fillId="54" borderId="11"/>
    <xf numFmtId="0" fontId="58" fillId="54" borderId="12"/>
    <xf numFmtId="0" fontId="58" fillId="54" borderId="11"/>
    <xf numFmtId="0" fontId="29" fillId="49" borderId="13"/>
    <xf numFmtId="0" fontId="30" fillId="50" borderId="13"/>
    <xf numFmtId="0" fontId="30" fillId="50" borderId="13"/>
    <xf numFmtId="0" fontId="29" fillId="49" borderId="13"/>
    <xf numFmtId="0" fontId="31" fillId="7" borderId="0">
      <alignment horizontal="center" vertical="center"/>
    </xf>
    <xf numFmtId="0" fontId="31" fillId="54" borderId="0">
      <alignment horizontal="center" vertical="center"/>
    </xf>
    <xf numFmtId="0" fontId="31" fillId="0" borderId="0">
      <alignment horizontal="center" vertical="center"/>
    </xf>
    <xf numFmtId="0" fontId="31" fillId="0" borderId="0">
      <alignment horizontal="left" vertical="center"/>
    </xf>
    <xf numFmtId="0" fontId="31" fillId="0" borderId="0">
      <alignment horizontal="right" vertical="center"/>
    </xf>
    <xf numFmtId="0" fontId="31" fillId="0" borderId="0">
      <alignment horizontal="right" vertical="center"/>
    </xf>
    <xf numFmtId="0" fontId="32" fillId="0" borderId="0"/>
    <xf numFmtId="0" fontId="33" fillId="0" borderId="0"/>
    <xf numFmtId="0" fontId="33" fillId="0" borderId="0"/>
    <xf numFmtId="0" fontId="34" fillId="0" borderId="0"/>
    <xf numFmtId="0" fontId="35" fillId="0" borderId="14"/>
    <xf numFmtId="0" fontId="36" fillId="0" borderId="15"/>
    <xf numFmtId="0" fontId="36" fillId="0" borderId="15"/>
    <xf numFmtId="0" fontId="35" fillId="0" borderId="14"/>
    <xf numFmtId="0" fontId="37" fillId="0" borderId="0"/>
    <xf numFmtId="0" fontId="38" fillId="0" borderId="0"/>
    <xf numFmtId="0" fontId="38" fillId="0" borderId="0"/>
    <xf numFmtId="0" fontId="37" fillId="0" borderId="0"/>
    <xf numFmtId="0" fontId="5" fillId="39" borderId="0"/>
    <xf numFmtId="0" fontId="5" fillId="39" borderId="0"/>
    <xf numFmtId="0" fontId="5" fillId="41" borderId="0"/>
    <xf numFmtId="0" fontId="5" fillId="41" borderId="0"/>
    <xf numFmtId="0" fontId="5" fillId="43" borderId="0"/>
    <xf numFmtId="0" fontId="5" fillId="43" borderId="0"/>
    <xf numFmtId="0" fontId="5" fillId="32" borderId="0"/>
    <xf numFmtId="0" fontId="5" fillId="32" borderId="0"/>
    <xf numFmtId="0" fontId="5" fillId="35" borderId="0"/>
    <xf numFmtId="0" fontId="5" fillId="35" borderId="0"/>
    <xf numFmtId="0" fontId="5" fillId="47" borderId="0"/>
    <xf numFmtId="0" fontId="5" fillId="47" borderId="0"/>
    <xf numFmtId="0" fontId="39" fillId="13" borderId="1"/>
    <xf numFmtId="0" fontId="39" fillId="13" borderId="1"/>
    <xf numFmtId="0" fontId="40" fillId="50" borderId="13"/>
    <xf numFmtId="0" fontId="40" fillId="50" borderId="13"/>
    <xf numFmtId="0" fontId="41" fillId="50" borderId="1"/>
    <xf numFmtId="0" fontId="41" fillId="50" borderId="1"/>
    <xf numFmtId="0" fontId="42" fillId="0" borderId="0"/>
    <xf numFmtId="0" fontId="42" fillId="0" borderId="0"/>
    <xf numFmtId="0" fontId="42" fillId="0" borderId="0">
      <alignment vertical="top"/>
    </xf>
    <xf numFmtId="0" fontId="22" fillId="0" borderId="0"/>
    <xf numFmtId="0" fontId="43" fillId="0" borderId="3"/>
    <xf numFmtId="0" fontId="43" fillId="0" borderId="3"/>
    <xf numFmtId="0" fontId="44" fillId="0" borderId="5"/>
    <xf numFmtId="0" fontId="44" fillId="0" borderId="5"/>
    <xf numFmtId="0" fontId="45" fillId="0" borderId="8"/>
    <xf numFmtId="0" fontId="45" fillId="0" borderId="8"/>
    <xf numFmtId="0" fontId="45" fillId="0" borderId="0"/>
    <xf numFmtId="0" fontId="45" fillId="0" borderId="0"/>
    <xf numFmtId="0" fontId="46" fillId="0" borderId="15"/>
    <xf numFmtId="0" fontId="46" fillId="0" borderId="15"/>
    <xf numFmtId="0" fontId="47" fillId="51" borderId="2"/>
    <xf numFmtId="0" fontId="47" fillId="51" borderId="2"/>
    <xf numFmtId="0" fontId="33" fillId="0" borderId="0"/>
    <xf numFmtId="0" fontId="33" fillId="0" borderId="0"/>
    <xf numFmtId="0" fontId="48" fillId="53" borderId="0"/>
    <xf numFmtId="0" fontId="48" fillId="53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318">
    <xf numFmtId="0" fontId="0" fillId="0" borderId="0" xfId="0"/>
    <xf numFmtId="0" fontId="1" fillId="0" borderId="0" xfId="1537" applyFont="1" applyProtection="1"/>
    <xf numFmtId="0" fontId="1" fillId="0" borderId="0" xfId="1537" applyFont="1" applyAlignment="1" applyProtection="1">
      <alignment horizontal="left" vertical="top"/>
    </xf>
    <xf numFmtId="0" fontId="1" fillId="0" borderId="0" xfId="1537" applyFont="1" applyAlignment="1" applyProtection="1">
      <alignment horizontal="center" vertical="center"/>
    </xf>
    <xf numFmtId="0" fontId="36" fillId="55" borderId="16" xfId="1537" applyFont="1" applyFill="1" applyBorder="1" applyAlignment="1" applyProtection="1">
      <alignment horizontal="center" vertical="center" wrapText="1"/>
    </xf>
    <xf numFmtId="0" fontId="36" fillId="55" borderId="16" xfId="1537" applyFont="1" applyFill="1" applyBorder="1" applyAlignment="1" applyProtection="1">
      <alignment horizontal="center" vertical="top" wrapText="1"/>
    </xf>
    <xf numFmtId="0" fontId="1" fillId="0" borderId="16" xfId="1537" applyFont="1" applyBorder="1" applyAlignment="1" applyProtection="1">
      <alignment horizontal="left" vertical="top" wrapText="1"/>
    </xf>
    <xf numFmtId="14" fontId="1" fillId="0" borderId="16" xfId="1537" applyNumberFormat="1" applyFont="1" applyBorder="1" applyAlignment="1" applyProtection="1">
      <alignment horizontal="left" vertical="top" wrapText="1"/>
    </xf>
    <xf numFmtId="0" fontId="1" fillId="0" borderId="16" xfId="1537" applyFont="1" applyBorder="1" applyProtection="1"/>
    <xf numFmtId="0" fontId="1" fillId="0" borderId="16" xfId="1537" applyFont="1" applyBorder="1" applyAlignment="1" applyProtection="1">
      <alignment horizontal="left" vertical="top" wrapText="1"/>
      <protection locked="0"/>
    </xf>
    <xf numFmtId="0" fontId="1" fillId="0" borderId="16" xfId="1537" applyFont="1" applyBorder="1" applyAlignment="1" applyProtection="1">
      <alignment horizontal="left" vertical="top"/>
    </xf>
    <xf numFmtId="0" fontId="1" fillId="0" borderId="0" xfId="1537" applyFont="1" applyAlignment="1" applyProtection="1">
      <alignment vertical="top"/>
    </xf>
    <xf numFmtId="0" fontId="1" fillId="0" borderId="16" xfId="1537" applyFont="1" applyBorder="1" applyAlignment="1" applyProtection="1">
      <alignment vertical="top"/>
    </xf>
    <xf numFmtId="49" fontId="1" fillId="0" borderId="16" xfId="1537" applyNumberFormat="1" applyFont="1" applyBorder="1" applyAlignment="1" applyProtection="1">
      <alignment horizontal="left" vertical="center"/>
    </xf>
    <xf numFmtId="0" fontId="1" fillId="0" borderId="16" xfId="1537" applyFont="1" applyBorder="1" applyAlignment="1" applyProtection="1">
      <alignment vertical="top" wrapText="1"/>
    </xf>
    <xf numFmtId="14" fontId="1" fillId="0" borderId="16" xfId="1537" applyNumberFormat="1" applyFont="1" applyBorder="1" applyAlignment="1" applyProtection="1">
      <alignment vertical="top"/>
    </xf>
    <xf numFmtId="0" fontId="1" fillId="0" borderId="16" xfId="288" applyFont="1" applyBorder="1" applyAlignment="1" applyProtection="1">
      <alignment horizontal="left" vertical="top" wrapText="1"/>
    </xf>
    <xf numFmtId="14" fontId="1" fillId="0" borderId="16" xfId="1537" applyNumberFormat="1" applyFont="1" applyBorder="1" applyAlignment="1" applyProtection="1">
      <alignment horizontal="left" vertical="top"/>
    </xf>
    <xf numFmtId="0" fontId="1" fillId="0" borderId="17" xfId="1537" applyFont="1" applyBorder="1" applyAlignment="1" applyProtection="1">
      <alignment vertical="top"/>
    </xf>
    <xf numFmtId="14" fontId="1" fillId="0" borderId="17" xfId="1537" applyNumberFormat="1" applyFont="1" applyBorder="1" applyAlignment="1" applyProtection="1">
      <alignment vertical="top"/>
    </xf>
    <xf numFmtId="0" fontId="1" fillId="0" borderId="17" xfId="1537" applyFont="1" applyBorder="1" applyProtection="1"/>
    <xf numFmtId="0" fontId="1" fillId="0" borderId="18" xfId="1537" applyFont="1" applyBorder="1" applyAlignment="1" applyProtection="1">
      <alignment vertical="top"/>
    </xf>
    <xf numFmtId="14" fontId="1" fillId="0" borderId="18" xfId="1537" applyNumberFormat="1" applyFont="1" applyBorder="1" applyProtection="1"/>
    <xf numFmtId="0" fontId="1" fillId="0" borderId="18" xfId="1537" applyFont="1" applyBorder="1" applyProtection="1"/>
    <xf numFmtId="0" fontId="1" fillId="0" borderId="18" xfId="1537" applyFont="1" applyBorder="1" applyAlignment="1" applyProtection="1">
      <alignment horizontal="left" vertical="top"/>
    </xf>
    <xf numFmtId="14" fontId="1" fillId="0" borderId="16" xfId="1537" applyNumberFormat="1" applyFont="1" applyBorder="1" applyProtection="1"/>
    <xf numFmtId="14" fontId="1" fillId="0" borderId="17" xfId="1537" applyNumberFormat="1" applyFont="1" applyBorder="1" applyProtection="1"/>
    <xf numFmtId="0" fontId="1" fillId="0" borderId="17" xfId="1537" applyFont="1" applyBorder="1" applyAlignment="1" applyProtection="1">
      <alignment horizontal="left" vertical="top"/>
    </xf>
    <xf numFmtId="0" fontId="49" fillId="0" borderId="18" xfId="1537" applyFont="1" applyBorder="1" applyProtection="1"/>
    <xf numFmtId="0" fontId="50" fillId="0" borderId="18" xfId="0" applyFont="1" applyBorder="1"/>
    <xf numFmtId="0" fontId="49" fillId="0" borderId="16" xfId="1537" applyFont="1" applyBorder="1" applyProtection="1"/>
    <xf numFmtId="0" fontId="50" fillId="0" borderId="16" xfId="0" applyFont="1" applyBorder="1"/>
    <xf numFmtId="0" fontId="51" fillId="0" borderId="16" xfId="0" applyFont="1" applyBorder="1"/>
    <xf numFmtId="0" fontId="51" fillId="0" borderId="17" xfId="0" applyFont="1" applyBorder="1"/>
    <xf numFmtId="0" fontId="2" fillId="0" borderId="18" xfId="0" applyFont="1" applyBorder="1"/>
    <xf numFmtId="0" fontId="51" fillId="0" borderId="18" xfId="0" applyFont="1" applyBorder="1"/>
    <xf numFmtId="0" fontId="2" fillId="0" borderId="16" xfId="0" applyFont="1" applyBorder="1"/>
    <xf numFmtId="0" fontId="1" fillId="0" borderId="19" xfId="1537" applyFont="1" applyBorder="1" applyProtection="1"/>
    <xf numFmtId="14" fontId="1" fillId="0" borderId="19" xfId="1537" applyNumberFormat="1" applyFont="1" applyBorder="1" applyProtection="1"/>
    <xf numFmtId="0" fontId="1" fillId="0" borderId="20" xfId="1537" applyFont="1" applyBorder="1" applyProtection="1"/>
    <xf numFmtId="0" fontId="1" fillId="0" borderId="21" xfId="1537" applyFont="1" applyBorder="1" applyProtection="1"/>
    <xf numFmtId="0" fontId="1" fillId="0" borderId="22" xfId="1537" applyFont="1" applyBorder="1" applyAlignment="1" applyProtection="1">
      <alignment horizontal="left" vertical="top"/>
    </xf>
    <xf numFmtId="0" fontId="1" fillId="0" borderId="23" xfId="1537" applyFont="1" applyBorder="1" applyProtection="1"/>
    <xf numFmtId="14" fontId="1" fillId="0" borderId="23" xfId="1537" applyNumberFormat="1" applyFont="1" applyBorder="1" applyProtection="1"/>
    <xf numFmtId="0" fontId="1" fillId="0" borderId="23" xfId="1537" applyFont="1" applyBorder="1" applyAlignment="1" applyProtection="1">
      <alignment horizontal="left" vertical="top"/>
    </xf>
    <xf numFmtId="0" fontId="52" fillId="0" borderId="18" xfId="1537" applyFont="1" applyBorder="1" applyProtection="1"/>
    <xf numFmtId="0" fontId="52" fillId="0" borderId="18" xfId="1537" applyFont="1" applyBorder="1" applyAlignment="1" applyProtection="1">
      <alignment horizontal="left" vertical="top"/>
    </xf>
    <xf numFmtId="0" fontId="1" fillId="0" borderId="0" xfId="292" applyFont="1" applyAlignment="1" applyProtection="1">
      <alignment horizontal="left" vertical="top"/>
    </xf>
    <xf numFmtId="0" fontId="1" fillId="0" borderId="0" xfId="292" applyFont="1" applyAlignment="1" applyProtection="1">
      <alignment horizontal="center" vertical="top"/>
    </xf>
    <xf numFmtId="0" fontId="1" fillId="0" borderId="0" xfId="292" applyFont="1" applyAlignment="1" applyProtection="1">
      <alignment vertical="top"/>
    </xf>
    <xf numFmtId="0" fontId="1" fillId="0" borderId="0" xfId="292" applyFont="1" applyAlignment="1" applyProtection="1">
      <alignment horizontal="left" vertical="top" wrapText="1"/>
    </xf>
    <xf numFmtId="166" fontId="1" fillId="0" borderId="0" xfId="292" applyNumberFormat="1" applyFont="1" applyAlignment="1" applyProtection="1">
      <alignment horizontal="center" vertical="center"/>
    </xf>
    <xf numFmtId="0" fontId="36" fillId="0" borderId="0" xfId="292" applyFont="1" applyAlignment="1" applyProtection="1">
      <alignment horizontal="center" vertical="center"/>
    </xf>
    <xf numFmtId="0" fontId="36" fillId="23" borderId="16" xfId="292" applyFont="1" applyFill="1" applyBorder="1" applyAlignment="1" applyProtection="1">
      <alignment horizontal="center" vertical="center" wrapText="1"/>
    </xf>
    <xf numFmtId="0" fontId="36" fillId="23" borderId="16" xfId="292" applyFont="1" applyFill="1" applyBorder="1" applyAlignment="1" applyProtection="1">
      <alignment horizontal="center" vertical="center"/>
    </xf>
    <xf numFmtId="0" fontId="36" fillId="23" borderId="16" xfId="292" applyFont="1" applyFill="1" applyBorder="1" applyAlignment="1" applyProtection="1">
      <alignment vertical="top"/>
    </xf>
    <xf numFmtId="0" fontId="36" fillId="23" borderId="16" xfId="291" applyFont="1" applyFill="1" applyBorder="1" applyAlignment="1" applyProtection="1">
      <alignment horizontal="center" vertical="center" wrapText="1"/>
    </xf>
    <xf numFmtId="0" fontId="36" fillId="20" borderId="16" xfId="292" applyFont="1" applyFill="1" applyBorder="1" applyAlignment="1" applyProtection="1">
      <alignment horizontal="center" vertical="center" wrapText="1"/>
    </xf>
    <xf numFmtId="0" fontId="36" fillId="45" borderId="16" xfId="292" applyFont="1" applyFill="1" applyBorder="1" applyAlignment="1" applyProtection="1">
      <alignment horizontal="center" vertical="center" wrapText="1"/>
    </xf>
    <xf numFmtId="0" fontId="36" fillId="22" borderId="16" xfId="292" applyFont="1" applyFill="1" applyBorder="1" applyAlignment="1" applyProtection="1">
      <alignment horizontal="center" vertical="center" wrapText="1"/>
    </xf>
    <xf numFmtId="0" fontId="36" fillId="34" borderId="16" xfId="292" applyFont="1" applyFill="1" applyBorder="1" applyAlignment="1" applyProtection="1">
      <alignment horizontal="center" vertical="center" wrapText="1"/>
    </xf>
    <xf numFmtId="166" fontId="36" fillId="34" borderId="16" xfId="292" applyNumberFormat="1" applyFont="1" applyFill="1" applyBorder="1" applyAlignment="1" applyProtection="1">
      <alignment horizontal="center" vertical="center" wrapText="1"/>
    </xf>
    <xf numFmtId="0" fontId="36" fillId="34" borderId="24" xfId="292" applyFont="1" applyFill="1" applyBorder="1" applyAlignment="1" applyProtection="1">
      <alignment horizontal="center" vertical="center" wrapText="1"/>
    </xf>
    <xf numFmtId="0" fontId="36" fillId="0" borderId="25" xfId="292" applyFont="1" applyBorder="1" applyAlignment="1" applyProtection="1">
      <alignment horizontal="center" vertical="center"/>
    </xf>
    <xf numFmtId="0" fontId="1" fillId="0" borderId="16" xfId="292" applyFont="1" applyBorder="1" applyAlignment="1" applyProtection="1">
      <alignment horizontal="center" vertical="top"/>
    </xf>
    <xf numFmtId="0" fontId="1" fillId="0" borderId="16" xfId="292" applyFont="1" applyBorder="1" applyAlignment="1" applyProtection="1">
      <alignment horizontal="left" vertical="top"/>
    </xf>
    <xf numFmtId="0" fontId="1" fillId="56" borderId="16" xfId="292" applyFont="1" applyFill="1" applyBorder="1" applyAlignment="1" applyProtection="1">
      <alignment horizontal="left" vertical="top"/>
    </xf>
    <xf numFmtId="166" fontId="1" fillId="0" borderId="16" xfId="292" applyNumberFormat="1" applyFont="1" applyBorder="1" applyAlignment="1" applyProtection="1">
      <alignment horizontal="left" vertical="top"/>
    </xf>
    <xf numFmtId="0" fontId="1" fillId="0" borderId="24" xfId="292" applyFont="1" applyBorder="1" applyAlignment="1" applyProtection="1">
      <alignment horizontal="left" vertical="top"/>
    </xf>
    <xf numFmtId="0" fontId="1" fillId="0" borderId="25" xfId="292" applyFont="1" applyBorder="1" applyAlignment="1" applyProtection="1">
      <alignment horizontal="left" vertical="top"/>
    </xf>
    <xf numFmtId="0" fontId="1" fillId="0" borderId="17" xfId="292" applyFont="1" applyBorder="1" applyAlignment="1" applyProtection="1">
      <alignment horizontal="center" vertical="top"/>
    </xf>
    <xf numFmtId="0" fontId="1" fillId="0" borderId="17" xfId="292" applyFont="1" applyBorder="1" applyAlignment="1" applyProtection="1">
      <alignment horizontal="left" vertical="top"/>
    </xf>
    <xf numFmtId="0" fontId="1" fillId="0" borderId="17" xfId="1537" applyFont="1" applyBorder="1" applyAlignment="1" applyProtection="1">
      <alignment horizontal="left" vertical="top" wrapText="1"/>
    </xf>
    <xf numFmtId="0" fontId="1" fillId="56" borderId="17" xfId="292" applyFont="1" applyFill="1" applyBorder="1" applyAlignment="1" applyProtection="1">
      <alignment horizontal="left" vertical="top"/>
    </xf>
    <xf numFmtId="166" fontId="1" fillId="0" borderId="17" xfId="292" applyNumberFormat="1" applyFont="1" applyBorder="1" applyAlignment="1" applyProtection="1">
      <alignment horizontal="left" vertical="top"/>
    </xf>
    <xf numFmtId="0" fontId="1" fillId="0" borderId="29" xfId="292" applyFont="1" applyBorder="1" applyAlignment="1" applyProtection="1">
      <alignment horizontal="left" vertical="top"/>
    </xf>
    <xf numFmtId="0" fontId="1" fillId="0" borderId="18" xfId="292" applyFont="1" applyBorder="1" applyAlignment="1" applyProtection="1">
      <alignment horizontal="center" vertical="top"/>
    </xf>
    <xf numFmtId="0" fontId="1" fillId="0" borderId="18" xfId="292" applyFont="1" applyBorder="1" applyAlignment="1" applyProtection="1">
      <alignment horizontal="left" vertical="top"/>
    </xf>
    <xf numFmtId="0" fontId="1" fillId="56" borderId="18" xfId="292" applyFont="1" applyFill="1" applyBorder="1" applyAlignment="1" applyProtection="1">
      <alignment horizontal="left" vertical="top"/>
    </xf>
    <xf numFmtId="166" fontId="1" fillId="0" borderId="18" xfId="292" applyNumberFormat="1" applyFont="1" applyBorder="1" applyAlignment="1" applyProtection="1">
      <alignment horizontal="left" vertical="top"/>
    </xf>
    <xf numFmtId="0" fontId="1" fillId="0" borderId="30" xfId="292" applyFont="1" applyBorder="1" applyAlignment="1" applyProtection="1">
      <alignment horizontal="left" vertical="top"/>
    </xf>
    <xf numFmtId="0" fontId="1" fillId="0" borderId="31" xfId="292" applyFont="1" applyBorder="1" applyAlignment="1" applyProtection="1">
      <alignment horizontal="center" vertical="top"/>
    </xf>
    <xf numFmtId="0" fontId="1" fillId="0" borderId="31" xfId="292" applyFont="1" applyBorder="1" applyAlignment="1" applyProtection="1">
      <alignment horizontal="left" vertical="top"/>
    </xf>
    <xf numFmtId="0" fontId="1" fillId="0" borderId="31" xfId="1537" applyFont="1" applyBorder="1" applyAlignment="1" applyProtection="1">
      <alignment horizontal="left" vertical="top"/>
    </xf>
    <xf numFmtId="0" fontId="1" fillId="56" borderId="31" xfId="292" applyFont="1" applyFill="1" applyBorder="1" applyAlignment="1" applyProtection="1">
      <alignment horizontal="left" vertical="top"/>
    </xf>
    <xf numFmtId="0" fontId="1" fillId="56" borderId="28" xfId="292" applyFont="1" applyFill="1" applyBorder="1" applyAlignment="1" applyProtection="1">
      <alignment horizontal="left" vertical="top"/>
    </xf>
    <xf numFmtId="0" fontId="1" fillId="56" borderId="27" xfId="292" applyFont="1" applyFill="1" applyBorder="1" applyAlignment="1" applyProtection="1">
      <alignment horizontal="left" vertical="top"/>
    </xf>
    <xf numFmtId="166" fontId="1" fillId="0" borderId="27" xfId="292" applyNumberFormat="1" applyFont="1" applyBorder="1" applyAlignment="1" applyProtection="1">
      <alignment horizontal="left" vertical="top"/>
    </xf>
    <xf numFmtId="0" fontId="1" fillId="0" borderId="32" xfId="292" applyFont="1" applyBorder="1" applyAlignment="1" applyProtection="1">
      <alignment horizontal="center" vertical="top"/>
    </xf>
    <xf numFmtId="0" fontId="1" fillId="0" borderId="31" xfId="292" applyFont="1" applyBorder="1" applyAlignment="1" applyProtection="1">
      <alignment horizontal="left" vertical="top" wrapText="1"/>
    </xf>
    <xf numFmtId="166" fontId="1" fillId="0" borderId="31" xfId="292" applyNumberFormat="1" applyFont="1" applyBorder="1" applyAlignment="1" applyProtection="1">
      <alignment horizontal="left" vertical="top"/>
    </xf>
    <xf numFmtId="0" fontId="1" fillId="0" borderId="34" xfId="292" applyFont="1" applyBorder="1" applyAlignment="1" applyProtection="1">
      <alignment horizontal="left" vertical="top"/>
    </xf>
    <xf numFmtId="0" fontId="1" fillId="0" borderId="35" xfId="292" applyFont="1" applyBorder="1" applyAlignment="1" applyProtection="1">
      <alignment horizontal="center" vertical="top"/>
    </xf>
    <xf numFmtId="0" fontId="1" fillId="0" borderId="36" xfId="292" applyFont="1" applyBorder="1" applyAlignment="1" applyProtection="1">
      <alignment horizontal="center" vertical="top"/>
    </xf>
    <xf numFmtId="0" fontId="1" fillId="0" borderId="37" xfId="1537" applyFont="1" applyBorder="1" applyAlignment="1" applyProtection="1">
      <alignment horizontal="left" vertical="top"/>
    </xf>
    <xf numFmtId="0" fontId="1" fillId="0" borderId="29" xfId="1537" applyFont="1" applyBorder="1" applyProtection="1"/>
    <xf numFmtId="0" fontId="1" fillId="0" borderId="37" xfId="1537" applyFont="1" applyBorder="1" applyAlignment="1" applyProtection="1">
      <alignment horizontal="left" vertical="top" wrapText="1"/>
    </xf>
    <xf numFmtId="0" fontId="1" fillId="0" borderId="26" xfId="292" applyFont="1" applyBorder="1" applyAlignment="1" applyProtection="1">
      <alignment horizontal="center" vertical="top"/>
    </xf>
    <xf numFmtId="0" fontId="1" fillId="0" borderId="26" xfId="292" applyFont="1" applyBorder="1" applyAlignment="1" applyProtection="1">
      <alignment horizontal="left" vertical="top" wrapText="1"/>
    </xf>
    <xf numFmtId="166" fontId="1" fillId="0" borderId="26" xfId="292" applyNumberFormat="1" applyFont="1" applyBorder="1" applyAlignment="1" applyProtection="1">
      <alignment horizontal="left" vertical="top"/>
    </xf>
    <xf numFmtId="0" fontId="1" fillId="0" borderId="38" xfId="292" applyFont="1" applyBorder="1" applyAlignment="1" applyProtection="1">
      <alignment horizontal="left" vertical="top"/>
    </xf>
    <xf numFmtId="0" fontId="1" fillId="56" borderId="26" xfId="292" applyFont="1" applyFill="1" applyBorder="1" applyAlignment="1" applyProtection="1">
      <alignment horizontal="left" vertical="top"/>
    </xf>
    <xf numFmtId="0" fontId="1" fillId="0" borderId="18" xfId="1537" applyFont="1" applyBorder="1" applyAlignment="1" applyProtection="1">
      <alignment horizontal="left" vertical="top" wrapText="1"/>
    </xf>
    <xf numFmtId="0" fontId="1" fillId="0" borderId="40" xfId="292" applyFont="1" applyBorder="1" applyAlignment="1" applyProtection="1">
      <alignment horizontal="left" vertical="top" wrapText="1"/>
    </xf>
    <xf numFmtId="0" fontId="1" fillId="0" borderId="0" xfId="1537" applyFont="1" applyAlignment="1" applyProtection="1">
      <alignment horizontal="left" vertical="top" wrapText="1"/>
    </xf>
    <xf numFmtId="0" fontId="1" fillId="0" borderId="26" xfId="1537" applyFont="1" applyBorder="1" applyAlignment="1" applyProtection="1">
      <alignment horizontal="left" vertical="top"/>
    </xf>
    <xf numFmtId="0" fontId="1" fillId="0" borderId="41" xfId="292" applyFont="1" applyBorder="1" applyAlignment="1" applyProtection="1">
      <alignment horizontal="left" vertical="top" wrapText="1"/>
    </xf>
    <xf numFmtId="0" fontId="1" fillId="0" borderId="42" xfId="292" applyFont="1" applyBorder="1" applyAlignment="1" applyProtection="1">
      <alignment horizontal="center" vertical="top"/>
    </xf>
    <xf numFmtId="0" fontId="1" fillId="0" borderId="43" xfId="292" applyFont="1" applyBorder="1" applyAlignment="1" applyProtection="1">
      <alignment horizontal="center" vertical="top"/>
    </xf>
    <xf numFmtId="0" fontId="1" fillId="0" borderId="44" xfId="292" applyFont="1" applyBorder="1" applyAlignment="1" applyProtection="1">
      <alignment horizontal="center" vertical="top"/>
    </xf>
    <xf numFmtId="0" fontId="1" fillId="0" borderId="45" xfId="292" applyFont="1" applyBorder="1" applyAlignment="1" applyProtection="1">
      <alignment horizontal="left" vertical="top"/>
    </xf>
    <xf numFmtId="0" fontId="1" fillId="0" borderId="46" xfId="292" applyFont="1" applyBorder="1" applyAlignment="1" applyProtection="1">
      <alignment horizontal="left" vertical="top"/>
    </xf>
    <xf numFmtId="0" fontId="1" fillId="0" borderId="47" xfId="292" applyFont="1" applyBorder="1" applyAlignment="1" applyProtection="1">
      <alignment horizontal="center" vertical="top"/>
    </xf>
    <xf numFmtId="0" fontId="1" fillId="0" borderId="31" xfId="1537" applyFont="1" applyBorder="1" applyProtection="1"/>
    <xf numFmtId="0" fontId="1" fillId="0" borderId="42" xfId="1537" applyFont="1" applyBorder="1" applyAlignment="1" applyProtection="1">
      <alignment horizontal="center"/>
    </xf>
    <xf numFmtId="0" fontId="1" fillId="0" borderId="35" xfId="1537" applyFont="1" applyBorder="1" applyAlignment="1" applyProtection="1">
      <alignment horizontal="center"/>
    </xf>
    <xf numFmtId="0" fontId="1" fillId="0" borderId="36" xfId="1537" applyFont="1" applyBorder="1" applyAlignment="1" applyProtection="1">
      <alignment horizontal="center"/>
    </xf>
    <xf numFmtId="0" fontId="1" fillId="57" borderId="16" xfId="1537" applyFont="1" applyFill="1" applyBorder="1" applyProtection="1"/>
    <xf numFmtId="0" fontId="2" fillId="0" borderId="0" xfId="1537" applyFont="1" applyProtection="1"/>
    <xf numFmtId="0" fontId="1" fillId="0" borderId="26" xfId="1537" applyFont="1" applyBorder="1" applyProtection="1"/>
    <xf numFmtId="0" fontId="1" fillId="0" borderId="26" xfId="292" applyFont="1" applyBorder="1" applyAlignment="1" applyProtection="1">
      <alignment vertical="top"/>
    </xf>
    <xf numFmtId="0" fontId="1" fillId="0" borderId="31" xfId="1537" applyFont="1" applyBorder="1" applyAlignment="1" applyProtection="1">
      <alignment horizontal="left" vertical="top" wrapText="1"/>
    </xf>
    <xf numFmtId="0" fontId="2" fillId="0" borderId="31" xfId="1537" applyFont="1" applyBorder="1" applyProtection="1"/>
    <xf numFmtId="0" fontId="2" fillId="0" borderId="34" xfId="1537" applyFont="1" applyBorder="1" applyProtection="1"/>
    <xf numFmtId="0" fontId="2" fillId="0" borderId="25" xfId="1537" applyFont="1" applyBorder="1" applyProtection="1"/>
    <xf numFmtId="0" fontId="2" fillId="0" borderId="16" xfId="1537" applyFont="1" applyBorder="1" applyProtection="1"/>
    <xf numFmtId="0" fontId="2" fillId="0" borderId="24" xfId="1537" applyFont="1" applyBorder="1" applyProtection="1"/>
    <xf numFmtId="0" fontId="2" fillId="0" borderId="16" xfId="11622" applyFont="1" applyBorder="1" applyAlignment="1">
      <alignment horizontal="left" vertical="top"/>
    </xf>
    <xf numFmtId="0" fontId="2" fillId="0" borderId="17" xfId="1537" applyFont="1" applyBorder="1" applyProtection="1"/>
    <xf numFmtId="0" fontId="2" fillId="0" borderId="29" xfId="1537" applyFont="1" applyBorder="1" applyProtection="1"/>
    <xf numFmtId="0" fontId="2" fillId="0" borderId="18" xfId="11622" applyFont="1" applyBorder="1" applyAlignment="1">
      <alignment horizontal="left" vertical="top"/>
    </xf>
    <xf numFmtId="0" fontId="2" fillId="0" borderId="18" xfId="1537" applyFont="1" applyBorder="1" applyProtection="1"/>
    <xf numFmtId="0" fontId="2" fillId="0" borderId="30" xfId="1537" applyFont="1" applyBorder="1" applyProtection="1"/>
    <xf numFmtId="166" fontId="1" fillId="0" borderId="16" xfId="292" applyNumberFormat="1" applyFont="1" applyBorder="1" applyAlignment="1" applyProtection="1">
      <alignment horizontal="center" vertical="center"/>
    </xf>
    <xf numFmtId="0" fontId="2" fillId="0" borderId="17" xfId="11622" applyFont="1" applyBorder="1" applyAlignment="1">
      <alignment horizontal="left" vertical="top"/>
    </xf>
    <xf numFmtId="0" fontId="49" fillId="0" borderId="17" xfId="1537" applyFont="1" applyBorder="1" applyProtection="1"/>
    <xf numFmtId="0" fontId="50" fillId="0" borderId="17" xfId="0" applyFont="1" applyBorder="1"/>
    <xf numFmtId="166" fontId="1" fillId="0" borderId="17" xfId="292" applyNumberFormat="1" applyFont="1" applyBorder="1" applyAlignment="1" applyProtection="1">
      <alignment horizontal="center" vertical="center"/>
    </xf>
    <xf numFmtId="0" fontId="1" fillId="0" borderId="28" xfId="1537" applyFont="1" applyBorder="1" applyProtection="1"/>
    <xf numFmtId="0" fontId="1" fillId="0" borderId="48" xfId="292" applyFont="1" applyBorder="1" applyAlignment="1" applyProtection="1">
      <alignment horizontal="center" vertical="top"/>
    </xf>
    <xf numFmtId="0" fontId="1" fillId="58" borderId="0" xfId="1537" applyFont="1" applyFill="1" applyAlignment="1" applyProtection="1">
      <alignment horizontal="center" vertical="center"/>
    </xf>
    <xf numFmtId="0" fontId="1" fillId="0" borderId="49" xfId="1537" applyFont="1" applyBorder="1" applyAlignment="1" applyProtection="1">
      <alignment horizontal="left" vertical="top"/>
    </xf>
    <xf numFmtId="0" fontId="36" fillId="59" borderId="18" xfId="1537" applyFont="1" applyFill="1" applyBorder="1" applyAlignment="1" applyProtection="1">
      <alignment horizontal="center" vertical="center" wrapText="1"/>
    </xf>
    <xf numFmtId="0" fontId="1" fillId="0" borderId="16" xfId="11806" applyFont="1" applyBorder="1" applyAlignment="1">
      <alignment horizontal="left" vertical="top"/>
    </xf>
    <xf numFmtId="0" fontId="1" fillId="0" borderId="16" xfId="11720" applyFont="1" applyBorder="1" applyAlignment="1">
      <alignment horizontal="left" vertical="top"/>
    </xf>
    <xf numFmtId="0" fontId="1" fillId="58" borderId="0" xfId="1537" applyFont="1" applyFill="1" applyAlignment="1" applyProtection="1">
      <alignment horizontal="left" vertical="top"/>
    </xf>
    <xf numFmtId="0" fontId="36" fillId="59" borderId="0" xfId="1537" applyFont="1" applyFill="1" applyAlignment="1" applyProtection="1">
      <alignment horizontal="left" vertical="top" wrapText="1"/>
    </xf>
    <xf numFmtId="0" fontId="1" fillId="0" borderId="49" xfId="1537" applyFont="1" applyBorder="1" applyAlignment="1" applyProtection="1">
      <alignment horizontal="left" vertical="top" wrapText="1"/>
    </xf>
    <xf numFmtId="0" fontId="1" fillId="0" borderId="50" xfId="1537" applyFont="1" applyBorder="1" applyAlignment="1" applyProtection="1">
      <alignment horizontal="left" vertical="top" wrapText="1"/>
    </xf>
    <xf numFmtId="0" fontId="2" fillId="0" borderId="0" xfId="0" applyFont="1"/>
    <xf numFmtId="0" fontId="2" fillId="0" borderId="0" xfId="11622" applyFont="1" applyAlignment="1">
      <alignment horizontal="left" vertical="top"/>
    </xf>
    <xf numFmtId="0" fontId="1" fillId="0" borderId="49" xfId="11622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0" xfId="11622" applyFont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6" xfId="11622" applyFont="1" applyBorder="1" applyAlignment="1">
      <alignment horizontal="left" vertical="top"/>
    </xf>
    <xf numFmtId="0" fontId="1" fillId="0" borderId="49" xfId="292" applyFont="1" applyBorder="1" applyAlignment="1" applyProtection="1">
      <alignment horizontal="left" vertical="top" wrapText="1"/>
    </xf>
    <xf numFmtId="0" fontId="49" fillId="0" borderId="0" xfId="1537" applyFont="1" applyProtection="1"/>
    <xf numFmtId="0" fontId="49" fillId="0" borderId="0" xfId="1537" applyFont="1" applyAlignment="1" applyProtection="1">
      <alignment horizontal="center" vertical="center" wrapText="1"/>
    </xf>
    <xf numFmtId="0" fontId="36" fillId="59" borderId="16" xfId="1537" applyFont="1" applyFill="1" applyBorder="1" applyAlignment="1" applyProtection="1">
      <alignment horizontal="center" vertical="center" wrapText="1"/>
    </xf>
    <xf numFmtId="0" fontId="54" fillId="22" borderId="16" xfId="1537" applyFont="1" applyFill="1" applyBorder="1" applyAlignment="1" applyProtection="1">
      <alignment horizontal="center" wrapText="1"/>
    </xf>
    <xf numFmtId="0" fontId="54" fillId="22" borderId="16" xfId="1537" applyFont="1" applyFill="1" applyBorder="1" applyAlignment="1" applyProtection="1">
      <alignment horizontal="center" vertical="center" wrapText="1"/>
    </xf>
    <xf numFmtId="49" fontId="49" fillId="0" borderId="16" xfId="1537" applyNumberFormat="1" applyFont="1" applyBorder="1" applyAlignment="1" applyProtection="1">
      <alignment horizontal="left" vertical="center"/>
    </xf>
    <xf numFmtId="49" fontId="49" fillId="0" borderId="16" xfId="1537" applyNumberFormat="1" applyFont="1" applyBorder="1" applyProtection="1"/>
    <xf numFmtId="49" fontId="49" fillId="0" borderId="17" xfId="1537" applyNumberFormat="1" applyFont="1" applyBorder="1" applyAlignment="1" applyProtection="1">
      <alignment horizontal="left" vertical="center"/>
    </xf>
    <xf numFmtId="49" fontId="49" fillId="0" borderId="18" xfId="1537" applyNumberFormat="1" applyFont="1" applyBorder="1" applyAlignment="1" applyProtection="1">
      <alignment horizontal="left" vertical="center"/>
    </xf>
    <xf numFmtId="0" fontId="55" fillId="0" borderId="18" xfId="1537" applyFont="1" applyBorder="1" applyProtection="1"/>
    <xf numFmtId="0" fontId="55" fillId="0" borderId="16" xfId="1537" applyFont="1" applyBorder="1" applyProtection="1"/>
    <xf numFmtId="0" fontId="55" fillId="0" borderId="17" xfId="1537" applyFont="1" applyBorder="1" applyProtection="1"/>
    <xf numFmtId="0" fontId="36" fillId="0" borderId="16" xfId="1537" applyFont="1" applyBorder="1" applyAlignment="1" applyProtection="1">
      <alignment horizontal="center" vertical="center" wrapText="1"/>
    </xf>
    <xf numFmtId="0" fontId="36" fillId="0" borderId="16" xfId="1537" applyFont="1" applyBorder="1" applyAlignment="1" applyProtection="1">
      <alignment horizontal="center" vertical="center"/>
    </xf>
    <xf numFmtId="0" fontId="53" fillId="0" borderId="0" xfId="1537" applyFont="1" applyProtection="1"/>
    <xf numFmtId="0" fontId="1" fillId="0" borderId="16" xfId="1537" applyFont="1" applyBorder="1" applyAlignment="1" applyProtection="1">
      <alignment horizontal="left" vertical="center"/>
    </xf>
    <xf numFmtId="0" fontId="1" fillId="0" borderId="16" xfId="1537" applyFont="1" applyBorder="1" applyAlignment="1" applyProtection="1">
      <alignment horizontal="center" vertical="center"/>
    </xf>
    <xf numFmtId="0" fontId="2" fillId="0" borderId="0" xfId="1537" applyFont="1" applyAlignment="1" applyProtection="1">
      <alignment horizontal="center" wrapText="1"/>
    </xf>
    <xf numFmtId="0" fontId="1" fillId="0" borderId="26" xfId="1537" applyFont="1" applyBorder="1" applyAlignment="1" applyProtection="1">
      <alignment horizontal="center" vertical="center"/>
    </xf>
    <xf numFmtId="0" fontId="53" fillId="0" borderId="0" xfId="1537" applyFont="1" applyAlignment="1" applyProtection="1">
      <alignment horizontal="left" vertical="top" wrapText="1"/>
    </xf>
    <xf numFmtId="0" fontId="2" fillId="0" borderId="0" xfId="1537" applyFont="1" applyAlignment="1" applyProtection="1">
      <alignment horizontal="center" vertical="center"/>
    </xf>
    <xf numFmtId="0" fontId="54" fillId="59" borderId="16" xfId="1537" applyFont="1" applyFill="1" applyBorder="1" applyAlignment="1" applyProtection="1">
      <alignment horizontal="center" vertical="center"/>
    </xf>
    <xf numFmtId="0" fontId="56" fillId="0" borderId="0" xfId="1537" applyFont="1" applyAlignment="1" applyProtection="1">
      <alignment horizontal="center" vertical="center"/>
    </xf>
    <xf numFmtId="0" fontId="2" fillId="0" borderId="0" xfId="1537" applyFont="1" applyAlignment="1" applyProtection="1">
      <alignment wrapText="1"/>
    </xf>
    <xf numFmtId="0" fontId="53" fillId="0" borderId="0" xfId="1537" applyFont="1" applyProtection="1">
      <protection locked="0"/>
    </xf>
    <xf numFmtId="0" fontId="53" fillId="0" borderId="0" xfId="1537" applyFont="1" applyAlignment="1" applyProtection="1">
      <alignment wrapText="1"/>
      <protection locked="0"/>
    </xf>
    <xf numFmtId="0" fontId="53" fillId="0" borderId="0" xfId="1537" applyFont="1" applyAlignment="1" applyProtection="1">
      <alignment vertical="center"/>
      <protection locked="0"/>
    </xf>
    <xf numFmtId="0" fontId="53" fillId="34" borderId="16" xfId="1537" applyFont="1" applyFill="1" applyBorder="1" applyAlignment="1" applyProtection="1">
      <alignment horizontal="center" vertical="center"/>
      <protection locked="0"/>
    </xf>
    <xf numFmtId="0" fontId="53" fillId="34" borderId="16" xfId="1537" applyFont="1" applyFill="1" applyBorder="1" applyAlignment="1" applyProtection="1">
      <alignment horizontal="center" vertical="center" wrapText="1"/>
      <protection locked="0"/>
    </xf>
    <xf numFmtId="0" fontId="53" fillId="34" borderId="27" xfId="1537" applyFont="1" applyFill="1" applyBorder="1" applyAlignment="1" applyProtection="1">
      <alignment horizontal="center" vertical="center" wrapText="1"/>
      <protection locked="0"/>
    </xf>
    <xf numFmtId="0" fontId="53" fillId="34" borderId="27" xfId="1537" applyFont="1" applyFill="1" applyBorder="1" applyAlignment="1" applyProtection="1">
      <alignment horizontal="center" vertical="center"/>
      <protection locked="0"/>
    </xf>
    <xf numFmtId="0" fontId="57" fillId="0" borderId="16" xfId="1537" applyFont="1" applyBorder="1" applyAlignment="1" applyProtection="1">
      <alignment horizontal="left" vertical="top" wrapText="1"/>
      <protection locked="0"/>
    </xf>
    <xf numFmtId="0" fontId="57" fillId="0" borderId="26" xfId="1537" applyFont="1" applyBorder="1" applyAlignment="1" applyProtection="1">
      <alignment horizontal="left" vertical="top" wrapText="1"/>
      <protection locked="0"/>
    </xf>
    <xf numFmtId="0" fontId="57" fillId="0" borderId="24" xfId="1537" applyFont="1" applyBorder="1" applyAlignment="1" applyProtection="1">
      <alignment horizontal="left" vertical="top" wrapText="1"/>
      <protection locked="0"/>
    </xf>
    <xf numFmtId="0" fontId="57" fillId="0" borderId="18" xfId="1537" applyFont="1" applyBorder="1" applyAlignment="1" applyProtection="1">
      <alignment horizontal="left" vertical="top" wrapText="1"/>
      <protection locked="0"/>
    </xf>
    <xf numFmtId="0" fontId="57" fillId="0" borderId="16" xfId="1537" applyFont="1" applyBorder="1" applyAlignment="1" applyProtection="1">
      <alignment wrapText="1"/>
      <protection locked="0"/>
    </xf>
    <xf numFmtId="0" fontId="57" fillId="0" borderId="26" xfId="1537" applyFont="1" applyBorder="1" applyAlignment="1" applyProtection="1">
      <alignment wrapText="1"/>
      <protection locked="0"/>
    </xf>
    <xf numFmtId="0" fontId="58" fillId="0" borderId="0" xfId="1537" applyProtection="1"/>
    <xf numFmtId="0" fontId="10" fillId="61" borderId="33" xfId="1537" applyFont="1" applyFill="1" applyBorder="1" applyProtection="1"/>
    <xf numFmtId="0" fontId="58" fillId="59" borderId="16" xfId="1537" applyFill="1" applyBorder="1" applyAlignment="1" applyProtection="1">
      <alignment horizontal="left"/>
    </xf>
    <xf numFmtId="0" fontId="58" fillId="0" borderId="16" xfId="1537" applyBorder="1" applyProtection="1"/>
    <xf numFmtId="0" fontId="62" fillId="0" borderId="0" xfId="1537" applyFont="1" applyAlignment="1" applyProtection="1">
      <alignment horizontal="left" vertical="top"/>
    </xf>
    <xf numFmtId="0" fontId="62" fillId="0" borderId="0" xfId="1537" applyFont="1" applyProtection="1"/>
    <xf numFmtId="0" fontId="63" fillId="0" borderId="0" xfId="0" applyFont="1"/>
    <xf numFmtId="0" fontId="1" fillId="0" borderId="18" xfId="292" applyFont="1" applyBorder="1" applyAlignment="1" applyProtection="1">
      <alignment horizontal="left" vertical="top" wrapText="1"/>
    </xf>
    <xf numFmtId="0" fontId="1" fillId="0" borderId="16" xfId="292" applyFont="1" applyBorder="1" applyAlignment="1" applyProtection="1">
      <alignment horizontal="left" vertical="top" wrapText="1"/>
    </xf>
    <xf numFmtId="0" fontId="1" fillId="0" borderId="17" xfId="292" applyFont="1" applyBorder="1" applyAlignment="1" applyProtection="1">
      <alignment horizontal="left" vertical="top" wrapText="1"/>
    </xf>
    <xf numFmtId="0" fontId="1" fillId="0" borderId="27" xfId="292" applyFont="1" applyBorder="1" applyAlignment="1" applyProtection="1">
      <alignment horizontal="center" vertical="top"/>
    </xf>
    <xf numFmtId="0" fontId="1" fillId="0" borderId="28" xfId="292" applyFont="1" applyBorder="1" applyAlignment="1" applyProtection="1">
      <alignment horizontal="center" vertical="top"/>
    </xf>
    <xf numFmtId="0" fontId="1" fillId="0" borderId="28" xfId="292" applyFont="1" applyBorder="1" applyAlignment="1" applyProtection="1">
      <alignment horizontal="left" vertical="top"/>
    </xf>
    <xf numFmtId="0" fontId="1" fillId="0" borderId="27" xfId="292" applyFont="1" applyBorder="1" applyAlignment="1" applyProtection="1">
      <alignment horizontal="left" vertical="top"/>
    </xf>
    <xf numFmtId="0" fontId="1" fillId="0" borderId="18" xfId="292" applyFont="1" applyBorder="1" applyAlignment="1" applyProtection="1">
      <alignment vertical="top"/>
    </xf>
    <xf numFmtId="0" fontId="1" fillId="0" borderId="27" xfId="292" applyFont="1" applyBorder="1" applyAlignment="1" applyProtection="1">
      <alignment horizontal="left" vertical="top" wrapText="1"/>
    </xf>
    <xf numFmtId="0" fontId="1" fillId="0" borderId="31" xfId="292" applyFont="1" applyBorder="1" applyAlignment="1" applyProtection="1">
      <alignment vertical="top"/>
    </xf>
    <xf numFmtId="0" fontId="1" fillId="0" borderId="16" xfId="292" applyFont="1" applyBorder="1" applyAlignment="1" applyProtection="1">
      <alignment vertical="top"/>
    </xf>
    <xf numFmtId="0" fontId="1" fillId="0" borderId="17" xfId="292" applyFont="1" applyBorder="1" applyAlignment="1" applyProtection="1">
      <alignment vertical="top"/>
    </xf>
    <xf numFmtId="0" fontId="1" fillId="0" borderId="28" xfId="1537" applyFont="1" applyBorder="1" applyAlignment="1" applyProtection="1">
      <alignment horizontal="left" vertical="top"/>
    </xf>
    <xf numFmtId="0" fontId="1" fillId="0" borderId="26" xfId="292" applyFont="1" applyBorder="1" applyAlignment="1" applyProtection="1">
      <alignment horizontal="left" vertical="top"/>
    </xf>
    <xf numFmtId="0" fontId="36" fillId="59" borderId="0" xfId="1537" applyFont="1" applyFill="1" applyAlignment="1" applyProtection="1">
      <alignment horizontal="center" vertical="center"/>
    </xf>
    <xf numFmtId="0" fontId="36" fillId="0" borderId="0" xfId="1537" applyFont="1" applyAlignment="1" applyProtection="1">
      <alignment horizontal="center" vertical="center"/>
    </xf>
    <xf numFmtId="0" fontId="1" fillId="0" borderId="0" xfId="1537" applyFont="1" applyAlignment="1" applyProtection="1">
      <alignment horizontal="left"/>
    </xf>
    <xf numFmtId="0" fontId="1" fillId="60" borderId="0" xfId="1537" applyFont="1" applyFill="1" applyAlignment="1" applyProtection="1">
      <alignment horizontal="left" vertical="top"/>
    </xf>
    <xf numFmtId="0" fontId="1" fillId="0" borderId="49" xfId="1537" applyFont="1" applyBorder="1" applyProtection="1"/>
    <xf numFmtId="0" fontId="1" fillId="0" borderId="38" xfId="1537" applyFont="1" applyBorder="1" applyAlignment="1" applyProtection="1">
      <alignment horizontal="left" vertical="top"/>
    </xf>
    <xf numFmtId="0" fontId="1" fillId="0" borderId="50" xfId="1537" applyFont="1" applyBorder="1" applyAlignment="1" applyProtection="1">
      <alignment horizontal="left" vertical="top"/>
    </xf>
    <xf numFmtId="0" fontId="1" fillId="0" borderId="50" xfId="1537" applyFont="1" applyBorder="1" applyProtection="1"/>
    <xf numFmtId="0" fontId="1" fillId="0" borderId="25" xfId="1537" applyFont="1" applyBorder="1" applyAlignment="1" applyProtection="1">
      <alignment horizontal="left" vertical="top"/>
    </xf>
    <xf numFmtId="0" fontId="1" fillId="0" borderId="30" xfId="1537" applyFont="1" applyBorder="1" applyAlignment="1" applyProtection="1">
      <alignment horizontal="left" vertical="top"/>
    </xf>
    <xf numFmtId="0" fontId="53" fillId="0" borderId="0" xfId="1537" applyFont="1" applyAlignment="1" applyProtection="1">
      <alignment horizontal="left" vertical="top"/>
    </xf>
    <xf numFmtId="49" fontId="1" fillId="0" borderId="0" xfId="1537" applyNumberFormat="1" applyFont="1" applyAlignment="1" applyProtection="1">
      <alignment horizontal="left" vertical="center"/>
    </xf>
    <xf numFmtId="49" fontId="1" fillId="0" borderId="49" xfId="1537" applyNumberFormat="1" applyFont="1" applyBorder="1" applyAlignment="1" applyProtection="1">
      <alignment horizontal="left" vertical="center"/>
    </xf>
    <xf numFmtId="0" fontId="1" fillId="0" borderId="49" xfId="1537" applyFont="1" applyBorder="1" applyAlignment="1" applyProtection="1">
      <alignment horizontal="left"/>
    </xf>
    <xf numFmtId="14" fontId="52" fillId="0" borderId="18" xfId="1537" applyNumberFormat="1" applyFont="1" applyBorder="1" applyProtection="1"/>
    <xf numFmtId="49" fontId="55" fillId="0" borderId="16" xfId="1537" applyNumberFormat="1" applyFont="1" applyBorder="1" applyAlignment="1" applyProtection="1">
      <alignment horizontal="left" vertical="center"/>
    </xf>
    <xf numFmtId="49" fontId="55" fillId="0" borderId="17" xfId="1537" applyNumberFormat="1" applyFont="1" applyBorder="1" applyAlignment="1" applyProtection="1">
      <alignment horizontal="left" vertical="center"/>
    </xf>
    <xf numFmtId="0" fontId="55" fillId="0" borderId="0" xfId="1537" applyFont="1" applyProtection="1"/>
    <xf numFmtId="0" fontId="52" fillId="0" borderId="16" xfId="1537" applyFont="1" applyBorder="1" applyProtection="1"/>
    <xf numFmtId="14" fontId="52" fillId="0" borderId="16" xfId="1537" applyNumberFormat="1" applyFont="1" applyBorder="1" applyProtection="1"/>
    <xf numFmtId="0" fontId="52" fillId="0" borderId="16" xfId="1537" applyFont="1" applyBorder="1" applyAlignment="1" applyProtection="1">
      <alignment horizontal="left" vertical="top"/>
    </xf>
    <xf numFmtId="0" fontId="52" fillId="0" borderId="16" xfId="1537" applyFont="1" applyBorder="1" applyAlignment="1" applyProtection="1">
      <alignment horizontal="left" vertical="top" wrapText="1"/>
    </xf>
    <xf numFmtId="0" fontId="1" fillId="0" borderId="0" xfId="1537" applyFont="1" applyBorder="1" applyAlignment="1" applyProtection="1">
      <alignment horizontal="left" vertical="top" wrapText="1"/>
    </xf>
    <xf numFmtId="0" fontId="52" fillId="0" borderId="0" xfId="1537" applyFont="1" applyAlignment="1" applyProtection="1">
      <alignment horizontal="left" vertical="top" wrapText="1"/>
    </xf>
    <xf numFmtId="0" fontId="52" fillId="0" borderId="0" xfId="1537" applyFont="1" applyBorder="1" applyAlignment="1" applyProtection="1">
      <alignment horizontal="left" vertical="top" wrapText="1"/>
    </xf>
    <xf numFmtId="0" fontId="52" fillId="0" borderId="0" xfId="1537" applyFont="1" applyAlignment="1" applyProtection="1">
      <alignment horizontal="left" vertical="top"/>
    </xf>
    <xf numFmtId="0" fontId="52" fillId="0" borderId="0" xfId="11622" applyFont="1" applyAlignment="1">
      <alignment horizontal="left" vertical="top"/>
    </xf>
    <xf numFmtId="0" fontId="52" fillId="0" borderId="49" xfId="1537" applyFont="1" applyBorder="1" applyAlignment="1" applyProtection="1">
      <alignment horizontal="left" vertical="top"/>
    </xf>
    <xf numFmtId="0" fontId="52" fillId="0" borderId="49" xfId="1537" applyFont="1" applyBorder="1" applyAlignment="1" applyProtection="1">
      <alignment horizontal="left" vertical="top" wrapText="1"/>
    </xf>
    <xf numFmtId="0" fontId="52" fillId="0" borderId="0" xfId="1537" applyFont="1" applyBorder="1" applyAlignment="1" applyProtection="1">
      <alignment horizontal="left" vertical="top"/>
    </xf>
    <xf numFmtId="0" fontId="52" fillId="0" borderId="0" xfId="1537" applyFont="1" applyProtection="1"/>
    <xf numFmtId="0" fontId="52" fillId="0" borderId="16" xfId="292" applyFont="1" applyBorder="1" applyAlignment="1" applyProtection="1">
      <alignment horizontal="left" vertical="top"/>
    </xf>
    <xf numFmtId="0" fontId="52" fillId="56" borderId="16" xfId="292" applyFont="1" applyFill="1" applyBorder="1" applyAlignment="1" applyProtection="1">
      <alignment horizontal="left" vertical="top"/>
    </xf>
    <xf numFmtId="0" fontId="52" fillId="0" borderId="16" xfId="292" applyFont="1" applyBorder="1" applyAlignment="1" applyProtection="1">
      <alignment horizontal="center" vertical="top"/>
    </xf>
    <xf numFmtId="0" fontId="52" fillId="0" borderId="16" xfId="292" applyFont="1" applyBorder="1" applyAlignment="1" applyProtection="1">
      <alignment horizontal="left" vertical="top" wrapText="1"/>
    </xf>
    <xf numFmtId="166" fontId="52" fillId="0" borderId="16" xfId="292" applyNumberFormat="1" applyFont="1" applyBorder="1" applyAlignment="1" applyProtection="1">
      <alignment horizontal="left" vertical="top"/>
    </xf>
    <xf numFmtId="0" fontId="52" fillId="0" borderId="24" xfId="292" applyFont="1" applyBorder="1" applyAlignment="1" applyProtection="1">
      <alignment horizontal="left" vertical="top"/>
    </xf>
    <xf numFmtId="0" fontId="52" fillId="0" borderId="25" xfId="292" applyFont="1" applyBorder="1" applyAlignment="1" applyProtection="1">
      <alignment horizontal="left" vertical="top"/>
    </xf>
    <xf numFmtId="0" fontId="52" fillId="0" borderId="0" xfId="292" applyFont="1" applyAlignment="1" applyProtection="1">
      <alignment horizontal="left" vertical="top"/>
    </xf>
    <xf numFmtId="0" fontId="52" fillId="0" borderId="16" xfId="1537" applyFont="1" applyBorder="1" applyAlignment="1" applyProtection="1">
      <alignment horizontal="left" vertical="center"/>
    </xf>
    <xf numFmtId="0" fontId="52" fillId="0" borderId="16" xfId="1537" applyFont="1" applyBorder="1" applyAlignment="1" applyProtection="1">
      <alignment horizontal="center" vertical="center"/>
    </xf>
    <xf numFmtId="0" fontId="64" fillId="0" borderId="16" xfId="1537" applyFont="1" applyBorder="1" applyProtection="1"/>
    <xf numFmtId="0" fontId="52" fillId="0" borderId="0" xfId="1537" applyFont="1" applyAlignment="1" applyProtection="1">
      <alignment horizontal="left"/>
    </xf>
    <xf numFmtId="0" fontId="52" fillId="0" borderId="0" xfId="1537" applyFont="1" applyBorder="1" applyAlignment="1" applyProtection="1">
      <alignment horizontal="left"/>
    </xf>
    <xf numFmtId="0" fontId="52" fillId="0" borderId="0" xfId="1537" applyFont="1" applyBorder="1" applyProtection="1"/>
    <xf numFmtId="0" fontId="52" fillId="0" borderId="49" xfId="1537" applyFont="1" applyBorder="1" applyAlignment="1" applyProtection="1">
      <alignment horizontal="left"/>
    </xf>
    <xf numFmtId="0" fontId="52" fillId="0" borderId="49" xfId="1537" applyFont="1" applyBorder="1" applyProtection="1"/>
    <xf numFmtId="0" fontId="1" fillId="0" borderId="0" xfId="1537" applyFont="1" applyAlignment="1" applyProtection="1"/>
    <xf numFmtId="0" fontId="65" fillId="0" borderId="0" xfId="1537" applyFont="1" applyAlignment="1" applyProtection="1"/>
    <xf numFmtId="0" fontId="52" fillId="0" borderId="17" xfId="292" applyFont="1" applyBorder="1" applyAlignment="1" applyProtection="1">
      <alignment horizontal="left" vertical="top"/>
    </xf>
    <xf numFmtId="0" fontId="52" fillId="0" borderId="17" xfId="1537" applyFont="1" applyBorder="1" applyAlignment="1" applyProtection="1">
      <alignment horizontal="left" vertical="top" wrapText="1"/>
    </xf>
    <xf numFmtId="0" fontId="1" fillId="0" borderId="26" xfId="292" applyFont="1" applyBorder="1" applyAlignment="1" applyProtection="1">
      <alignment horizontal="left" vertical="top"/>
    </xf>
    <xf numFmtId="0" fontId="1" fillId="0" borderId="27" xfId="292" applyFont="1" applyBorder="1" applyAlignment="1" applyProtection="1">
      <alignment horizontal="left" vertical="top"/>
    </xf>
    <xf numFmtId="0" fontId="1" fillId="0" borderId="28" xfId="292" applyFont="1" applyBorder="1" applyAlignment="1" applyProtection="1">
      <alignment horizontal="left" vertical="top"/>
    </xf>
    <xf numFmtId="0" fontId="1" fillId="0" borderId="17" xfId="292" applyFont="1" applyBorder="1" applyAlignment="1" applyProtection="1">
      <alignment horizontal="center" vertical="center" wrapText="1"/>
    </xf>
    <xf numFmtId="0" fontId="1" fillId="0" borderId="28" xfId="292" applyFont="1" applyBorder="1" applyAlignment="1" applyProtection="1">
      <alignment horizontal="left" vertical="top" wrapText="1"/>
    </xf>
    <xf numFmtId="0" fontId="1" fillId="0" borderId="28" xfId="292" applyFont="1" applyBorder="1" applyAlignment="1" applyProtection="1">
      <alignment horizontal="center" vertical="center" wrapText="1"/>
    </xf>
    <xf numFmtId="0" fontId="1" fillId="0" borderId="21" xfId="292" applyFont="1" applyBorder="1" applyAlignment="1" applyProtection="1">
      <alignment horizontal="left" vertical="top" wrapText="1"/>
    </xf>
    <xf numFmtId="0" fontId="1" fillId="0" borderId="27" xfId="292" applyFont="1" applyBorder="1" applyAlignment="1" applyProtection="1">
      <alignment horizontal="left" vertical="top" wrapText="1"/>
    </xf>
    <xf numFmtId="0" fontId="1" fillId="0" borderId="21" xfId="1537" applyFont="1" applyBorder="1" applyAlignment="1" applyProtection="1">
      <alignment horizontal="left" vertical="top"/>
    </xf>
    <xf numFmtId="0" fontId="1" fillId="0" borderId="27" xfId="1537" applyFont="1" applyBorder="1" applyAlignment="1" applyProtection="1">
      <alignment horizontal="left" vertical="top"/>
    </xf>
    <xf numFmtId="0" fontId="1" fillId="0" borderId="28" xfId="1537" applyFont="1" applyBorder="1" applyAlignment="1" applyProtection="1">
      <alignment horizontal="left" vertical="top"/>
    </xf>
    <xf numFmtId="0" fontId="1" fillId="0" borderId="27" xfId="292" applyFont="1" applyBorder="1" applyAlignment="1" applyProtection="1">
      <alignment horizontal="center" vertical="center" wrapText="1"/>
    </xf>
    <xf numFmtId="0" fontId="1" fillId="0" borderId="33" xfId="292" applyFont="1" applyBorder="1" applyAlignment="1" applyProtection="1">
      <alignment horizontal="left" vertical="top" wrapText="1"/>
    </xf>
    <xf numFmtId="0" fontId="1" fillId="0" borderId="33" xfId="292" applyFont="1" applyBorder="1" applyAlignment="1" applyProtection="1">
      <alignment horizontal="center" vertical="center" wrapText="1"/>
    </xf>
    <xf numFmtId="0" fontId="1" fillId="0" borderId="28" xfId="292" applyFont="1" applyBorder="1" applyAlignment="1" applyProtection="1">
      <alignment vertical="top" wrapText="1"/>
    </xf>
    <xf numFmtId="0" fontId="1" fillId="0" borderId="31" xfId="292" applyFont="1" applyBorder="1" applyAlignment="1" applyProtection="1">
      <alignment vertical="top"/>
    </xf>
    <xf numFmtId="0" fontId="1" fillId="0" borderId="16" xfId="292" applyFont="1" applyBorder="1" applyAlignment="1" applyProtection="1">
      <alignment vertical="top"/>
    </xf>
    <xf numFmtId="0" fontId="1" fillId="0" borderId="17" xfId="292" applyFont="1" applyBorder="1" applyAlignment="1" applyProtection="1">
      <alignment vertical="top"/>
    </xf>
    <xf numFmtId="0" fontId="1" fillId="0" borderId="18" xfId="292" applyFont="1" applyBorder="1" applyAlignment="1" applyProtection="1">
      <alignment vertical="top"/>
    </xf>
    <xf numFmtId="0" fontId="1" fillId="0" borderId="28" xfId="292" applyFont="1" applyBorder="1" applyAlignment="1" applyProtection="1">
      <alignment vertical="top"/>
    </xf>
    <xf numFmtId="0" fontId="1" fillId="0" borderId="24" xfId="292" applyFont="1" applyBorder="1" applyAlignment="1" applyProtection="1">
      <alignment horizontal="left" vertical="top" wrapText="1"/>
    </xf>
    <xf numFmtId="0" fontId="1" fillId="0" borderId="26" xfId="292" applyFont="1" applyBorder="1" applyAlignment="1" applyProtection="1">
      <alignment horizontal="center" vertical="center" wrapText="1"/>
    </xf>
    <xf numFmtId="0" fontId="1" fillId="0" borderId="27" xfId="292" applyFont="1" applyBorder="1" applyAlignment="1" applyProtection="1">
      <alignment horizontal="center" vertical="top"/>
    </xf>
    <xf numFmtId="0" fontId="1" fillId="0" borderId="28" xfId="292" applyFont="1" applyBorder="1" applyAlignment="1" applyProtection="1">
      <alignment horizontal="center" vertical="top"/>
    </xf>
    <xf numFmtId="0" fontId="1" fillId="0" borderId="39" xfId="292" applyFont="1" applyBorder="1" applyAlignment="1" applyProtection="1">
      <alignment horizontal="center" vertical="center" wrapText="1"/>
    </xf>
    <xf numFmtId="0" fontId="1" fillId="0" borderId="33" xfId="292" applyFont="1" applyBorder="1" applyAlignment="1" applyProtection="1">
      <alignment vertical="top" wrapText="1"/>
    </xf>
    <xf numFmtId="0" fontId="1" fillId="0" borderId="21" xfId="292" applyFont="1" applyBorder="1" applyAlignment="1" applyProtection="1">
      <alignment horizontal="center" vertical="center" wrapText="1"/>
    </xf>
    <xf numFmtId="0" fontId="1" fillId="0" borderId="27" xfId="292" applyFont="1" applyBorder="1" applyAlignment="1" applyProtection="1">
      <alignment vertical="top"/>
    </xf>
    <xf numFmtId="0" fontId="1" fillId="0" borderId="21" xfId="292" applyFont="1" applyBorder="1" applyAlignment="1" applyProtection="1">
      <alignment vertical="top"/>
    </xf>
    <xf numFmtId="0" fontId="1" fillId="0" borderId="33" xfId="292" applyFont="1" applyBorder="1" applyAlignment="1" applyProtection="1">
      <alignment vertical="top"/>
    </xf>
    <xf numFmtId="0" fontId="1" fillId="0" borderId="16" xfId="292" applyFont="1" applyBorder="1" applyAlignment="1" applyProtection="1">
      <alignment horizontal="center" vertical="center" wrapText="1"/>
    </xf>
    <xf numFmtId="0" fontId="1" fillId="0" borderId="27" xfId="292" applyFont="1" applyBorder="1" applyAlignment="1" applyProtection="1">
      <alignment vertical="top" wrapText="1"/>
    </xf>
    <xf numFmtId="0" fontId="1" fillId="0" borderId="33" xfId="292" applyFont="1" applyBorder="1" applyAlignment="1" applyProtection="1">
      <alignment horizontal="left" vertical="top"/>
    </xf>
    <xf numFmtId="0" fontId="1" fillId="0" borderId="33" xfId="292" applyFont="1" applyBorder="1" applyAlignment="1" applyProtection="1">
      <alignment horizontal="center" vertical="top" wrapText="1"/>
    </xf>
    <xf numFmtId="0" fontId="1" fillId="0" borderId="28" xfId="292" applyFont="1" applyBorder="1" applyAlignment="1" applyProtection="1">
      <alignment horizontal="left" wrapText="1"/>
    </xf>
    <xf numFmtId="0" fontId="1" fillId="0" borderId="28" xfId="292" applyFont="1" applyBorder="1" applyAlignment="1" applyProtection="1">
      <alignment horizontal="center" vertical="top" wrapText="1"/>
    </xf>
    <xf numFmtId="0" fontId="1" fillId="0" borderId="33" xfId="292" applyFont="1" applyBorder="1" applyAlignment="1" applyProtection="1">
      <alignment horizontal="left" wrapText="1"/>
    </xf>
    <xf numFmtId="0" fontId="1" fillId="0" borderId="31" xfId="292" applyFont="1" applyBorder="1" applyAlignment="1" applyProtection="1">
      <alignment horizontal="center" vertical="top" wrapText="1"/>
    </xf>
    <xf numFmtId="0" fontId="1" fillId="0" borderId="21" xfId="292" applyFont="1" applyBorder="1" applyAlignment="1" applyProtection="1">
      <alignment horizontal="center" vertical="top" wrapText="1"/>
    </xf>
    <xf numFmtId="0" fontId="1" fillId="0" borderId="31" xfId="292" applyFont="1" applyBorder="1" applyAlignment="1" applyProtection="1">
      <alignment vertical="top" wrapText="1"/>
    </xf>
    <xf numFmtId="0" fontId="1" fillId="0" borderId="16" xfId="292" applyFont="1" applyBorder="1" applyAlignment="1" applyProtection="1">
      <alignment vertical="top" wrapText="1"/>
    </xf>
    <xf numFmtId="0" fontId="1" fillId="0" borderId="17" xfId="292" applyFont="1" applyBorder="1" applyAlignment="1" applyProtection="1">
      <alignment vertical="top" wrapText="1"/>
    </xf>
    <xf numFmtId="0" fontId="1" fillId="0" borderId="31" xfId="292" applyFont="1" applyBorder="1" applyAlignment="1" applyProtection="1">
      <alignment horizontal="center" vertical="center" wrapText="1"/>
    </xf>
    <xf numFmtId="0" fontId="1" fillId="0" borderId="18" xfId="292" applyFont="1" applyBorder="1" applyAlignment="1" applyProtection="1">
      <alignment horizontal="left" vertical="top" wrapText="1"/>
    </xf>
    <xf numFmtId="0" fontId="1" fillId="0" borderId="16" xfId="292" applyFont="1" applyBorder="1" applyAlignment="1" applyProtection="1">
      <alignment horizontal="left" vertical="top" wrapText="1"/>
    </xf>
    <xf numFmtId="0" fontId="1" fillId="0" borderId="17" xfId="292" applyFont="1" applyBorder="1" applyAlignment="1" applyProtection="1">
      <alignment horizontal="left" vertical="top" wrapText="1"/>
    </xf>
    <xf numFmtId="0" fontId="1" fillId="0" borderId="18" xfId="292" applyFont="1" applyBorder="1" applyAlignment="1" applyProtection="1">
      <alignment horizontal="center" vertical="top" wrapText="1"/>
    </xf>
    <xf numFmtId="0" fontId="1" fillId="0" borderId="16" xfId="292" applyFont="1" applyBorder="1" applyAlignment="1" applyProtection="1">
      <alignment horizontal="center" vertical="top" wrapText="1"/>
    </xf>
    <xf numFmtId="0" fontId="1" fillId="0" borderId="17" xfId="292" applyFont="1" applyBorder="1" applyAlignment="1" applyProtection="1">
      <alignment horizontal="center" vertical="top" wrapText="1"/>
    </xf>
    <xf numFmtId="0" fontId="1" fillId="59" borderId="0" xfId="1537" applyFont="1" applyFill="1" applyAlignment="1" applyProtection="1">
      <alignment horizontal="center" vertical="center"/>
    </xf>
    <xf numFmtId="0" fontId="36" fillId="59" borderId="30" xfId="1537" applyFont="1" applyFill="1" applyBorder="1" applyAlignment="1" applyProtection="1">
      <alignment horizontal="center" vertical="center" wrapText="1"/>
    </xf>
    <xf numFmtId="0" fontId="36" fillId="59" borderId="49" xfId="1537" applyFont="1" applyFill="1" applyBorder="1" applyAlignment="1" applyProtection="1">
      <alignment horizontal="center" vertical="center" wrapText="1"/>
    </xf>
  </cellXfs>
  <cellStyles count="59845">
    <cellStyle name="_12-8" xfId="1"/>
    <cellStyle name="_344_4_26" xfId="2"/>
    <cellStyle name="_344_4_37" xfId="3"/>
    <cellStyle name="_344_4_38" xfId="4"/>
    <cellStyle name="_Раздел 12" xfId="5"/>
    <cellStyle name="_Таблица для УРФ" xfId="6"/>
    <cellStyle name="_Таблица для УРФ_fMSFO" xfId="7"/>
    <cellStyle name="_Таблица для УРФ_form_07-5043" xfId="8"/>
    <cellStyle name="_Таблица для УРФ_tab3" xfId="9"/>
    <cellStyle name="_Таблица для УРФ_tab4" xfId="10"/>
    <cellStyle name="_Таблица для УРФ_tab5" xfId="11"/>
    <cellStyle name="_Таблица для УРФ_tab6" xfId="12"/>
    <cellStyle name="_Таблица для УРФ_tab7" xfId="13"/>
    <cellStyle name="_Таблица для УРФ_Книга2" xfId="14"/>
    <cellStyle name="_Таблица для УРФ_отчет по труду" xfId="15"/>
    <cellStyle name="_Таблица для УРФ_Страхование 11 6" xfId="16"/>
    <cellStyle name="_Таблица для УРФ_Форма 7.43 (март 2009)" xfId="17"/>
    <cellStyle name="_ф.7.79" xfId="18"/>
    <cellStyle name="_ф.7.79_fMSFO" xfId="19"/>
    <cellStyle name="_ф.7.79_form_07-5043" xfId="20"/>
    <cellStyle name="_ф.7.79_tab3" xfId="21"/>
    <cellStyle name="_ф.7.79_tab4" xfId="22"/>
    <cellStyle name="_ф.7.79_tab5" xfId="23"/>
    <cellStyle name="_ф.7.79_tab6" xfId="24"/>
    <cellStyle name="_ф.7.79_tab7" xfId="25"/>
    <cellStyle name="_ф.7.79_Книга2" xfId="26"/>
    <cellStyle name="_ф.7.79_отчет по труду" xfId="27"/>
    <cellStyle name="_ф.7.79_Страхование 11 6" xfId="28"/>
    <cellStyle name="_ф.7.79_Форма 7 30 (3)" xfId="29"/>
    <cellStyle name="_ф.7.79_Форма 7.43 (март 2009)" xfId="30"/>
    <cellStyle name="_ф.7.797.807.817.82" xfId="31"/>
    <cellStyle name="_ф.7.797.807.817.82_fMSFO" xfId="32"/>
    <cellStyle name="_ф.7.797.807.817.82_form_07-5043" xfId="33"/>
    <cellStyle name="_ф.7.797.807.817.82_tab3" xfId="34"/>
    <cellStyle name="_ф.7.797.807.817.82_tab4" xfId="35"/>
    <cellStyle name="_ф.7.797.807.817.82_tab5" xfId="36"/>
    <cellStyle name="_ф.7.797.807.817.82_tab6" xfId="37"/>
    <cellStyle name="_ф.7.797.807.817.82_tab7" xfId="38"/>
    <cellStyle name="_ф.7.797.807.817.82_Книга2" xfId="39"/>
    <cellStyle name="_ф.7.797.807.817.82_отчет по труду" xfId="40"/>
    <cellStyle name="_ф.7.797.807.817.82_Страхование 11 6" xfId="41"/>
    <cellStyle name="_ф.7.797.807.817.82_Форма 7 30 (3)" xfId="42"/>
    <cellStyle name="_ф.7.797.807.817.82_Форма 7.43 (март 2009)" xfId="43"/>
    <cellStyle name="_Формы для 7 стандарта 9" xfId="44"/>
    <cellStyle name="_Формы для 7 стандарта 9_344_4_34" xfId="45"/>
    <cellStyle name="_Формы для 7 стандарта 9_344_4_36" xfId="46"/>
    <cellStyle name="_Формы для 7 стандарта 9_fMSFO" xfId="47"/>
    <cellStyle name="_Формы для 7 стандарта 9_form_07-5043" xfId="48"/>
    <cellStyle name="_Формы для 7 стандарта 9_tab3" xfId="49"/>
    <cellStyle name="_Формы для 7 стандарта 9_tab4" xfId="50"/>
    <cellStyle name="_Формы для 7 стандарта 9_tab5" xfId="51"/>
    <cellStyle name="_Формы для 7 стандарта 9_tab6" xfId="52"/>
    <cellStyle name="_Формы для 7 стандарта 9_tab7" xfId="53"/>
    <cellStyle name="_Формы для 7 стандарта 9_Книга2" xfId="54"/>
    <cellStyle name="_Формы для 7 стандарта 9_Макеты формы на 2009" xfId="55"/>
    <cellStyle name="_Формы для 7 стандарта 9_Макеты формы на 2010 печать А3" xfId="56"/>
    <cellStyle name="_Формы для 7 стандарта 9_отчет по труду" xfId="57"/>
    <cellStyle name="_Шаблон 01.07.08" xfId="58"/>
    <cellStyle name="_Шаблон01-12-07" xfId="59"/>
    <cellStyle name="20% - Accent1" xfId="60"/>
    <cellStyle name="20% - Accent1 2" xfId="61"/>
    <cellStyle name="20% - Accent1 3" xfId="62"/>
    <cellStyle name="20% - Accent1 4" xfId="63"/>
    <cellStyle name="20% - Accent2" xfId="64"/>
    <cellStyle name="20% - Accent2 2" xfId="65"/>
    <cellStyle name="20% - Accent2 3" xfId="66"/>
    <cellStyle name="20% - Accent2 4" xfId="67"/>
    <cellStyle name="20% - Accent3" xfId="68"/>
    <cellStyle name="20% - Accent3 2" xfId="69"/>
    <cellStyle name="20% - Accent3 3" xfId="70"/>
    <cellStyle name="20% - Accent3 4" xfId="71"/>
    <cellStyle name="20% - Accent4" xfId="72"/>
    <cellStyle name="20% - Accent4 2" xfId="73"/>
    <cellStyle name="20% - Accent4 3" xfId="74"/>
    <cellStyle name="20% - Accent4 4" xfId="75"/>
    <cellStyle name="20% - Accent5" xfId="76"/>
    <cellStyle name="20% - Accent5 2" xfId="77"/>
    <cellStyle name="20% - Accent5 3" xfId="78"/>
    <cellStyle name="20% - Accent5 4" xfId="79"/>
    <cellStyle name="20% - Accent6" xfId="80"/>
    <cellStyle name="20% - Accent6 2" xfId="81"/>
    <cellStyle name="20% - Accent6 3" xfId="82"/>
    <cellStyle name="20% - Accent6 4" xfId="83"/>
    <cellStyle name="20% - Акцент1 2" xfId="84"/>
    <cellStyle name="20% - Акцент1 2 2" xfId="85"/>
    <cellStyle name="20% - Акцент1 3" xfId="86"/>
    <cellStyle name="20% - Акцент2 2" xfId="87"/>
    <cellStyle name="20% - Акцент2 2 2" xfId="88"/>
    <cellStyle name="20% - Акцент2 3" xfId="89"/>
    <cellStyle name="20% - Акцент3 2" xfId="90"/>
    <cellStyle name="20% - Акцент3 2 2" xfId="91"/>
    <cellStyle name="20% - Акцент3 3" xfId="92"/>
    <cellStyle name="20% - Акцент4 2" xfId="93"/>
    <cellStyle name="20% - Акцент4 2 2" xfId="94"/>
    <cellStyle name="20% - Акцент4 3" xfId="95"/>
    <cellStyle name="20% - Акцент5 2" xfId="96"/>
    <cellStyle name="20% - Акцент5 2 2" xfId="97"/>
    <cellStyle name="20% - Акцент5 3" xfId="98"/>
    <cellStyle name="20% - Акцент6 2" xfId="99"/>
    <cellStyle name="20% - Акцент6 2 2" xfId="100"/>
    <cellStyle name="20% - Акцент6 3" xfId="101"/>
    <cellStyle name="40% - Accent1" xfId="102"/>
    <cellStyle name="40% - Accent1 2" xfId="103"/>
    <cellStyle name="40% - Accent1 3" xfId="104"/>
    <cellStyle name="40% - Accent1 4" xfId="105"/>
    <cellStyle name="40% - Accent2" xfId="106"/>
    <cellStyle name="40% - Accent2 2" xfId="107"/>
    <cellStyle name="40% - Accent2 3" xfId="108"/>
    <cellStyle name="40% - Accent2 4" xfId="109"/>
    <cellStyle name="40% - Accent3" xfId="110"/>
    <cellStyle name="40% - Accent3 2" xfId="111"/>
    <cellStyle name="40% - Accent3 3" xfId="112"/>
    <cellStyle name="40% - Accent3 4" xfId="113"/>
    <cellStyle name="40% - Accent4" xfId="114"/>
    <cellStyle name="40% - Accent4 2" xfId="115"/>
    <cellStyle name="40% - Accent4 3" xfId="116"/>
    <cellStyle name="40% - Accent4 4" xfId="117"/>
    <cellStyle name="40% - Accent5" xfId="118"/>
    <cellStyle name="40% - Accent5 2" xfId="119"/>
    <cellStyle name="40% - Accent5 3" xfId="120"/>
    <cellStyle name="40% - Accent5 4" xfId="121"/>
    <cellStyle name="40% - Accent6" xfId="122"/>
    <cellStyle name="40% - Accent6 2" xfId="123"/>
    <cellStyle name="40% - Accent6 3" xfId="124"/>
    <cellStyle name="40% - Accent6 4" xfId="125"/>
    <cellStyle name="40% - Акцент1 2" xfId="126"/>
    <cellStyle name="40% - Акцент1 2 2" xfId="127"/>
    <cellStyle name="40% - Акцент1 3" xfId="128"/>
    <cellStyle name="40% - Акцент2 2" xfId="129"/>
    <cellStyle name="40% - Акцент2 2 2" xfId="130"/>
    <cellStyle name="40% - Акцент2 3" xfId="131"/>
    <cellStyle name="40% - Акцент3 2" xfId="132"/>
    <cellStyle name="40% - Акцент3 2 2" xfId="133"/>
    <cellStyle name="40% - Акцент3 3" xfId="134"/>
    <cellStyle name="40% - Акцент4 2" xfId="135"/>
    <cellStyle name="40% - Акцент4 2 2" xfId="136"/>
    <cellStyle name="40% - Акцент4 3" xfId="137"/>
    <cellStyle name="40% - Акцент5 2" xfId="138"/>
    <cellStyle name="40% - Акцент5 2 2" xfId="139"/>
    <cellStyle name="40% - Акцент5 3" xfId="140"/>
    <cellStyle name="40% - Акцент6 2" xfId="141"/>
    <cellStyle name="40% - Акцент6 2 2" xfId="142"/>
    <cellStyle name="40% - Акцент6 3" xfId="143"/>
    <cellStyle name="60% - Accent1" xfId="144"/>
    <cellStyle name="60% - Accent1 2" xfId="145"/>
    <cellStyle name="60% - Accent1 3" xfId="146"/>
    <cellStyle name="60% - Accent1 4" xfId="147"/>
    <cellStyle name="60% - Accent2" xfId="148"/>
    <cellStyle name="60% - Accent2 2" xfId="149"/>
    <cellStyle name="60% - Accent2 3" xfId="150"/>
    <cellStyle name="60% - Accent2 4" xfId="151"/>
    <cellStyle name="60% - Accent3" xfId="152"/>
    <cellStyle name="60% - Accent3 2" xfId="153"/>
    <cellStyle name="60% - Accent3 3" xfId="154"/>
    <cellStyle name="60% - Accent3 4" xfId="155"/>
    <cellStyle name="60% - Accent4" xfId="156"/>
    <cellStyle name="60% - Accent4 2" xfId="157"/>
    <cellStyle name="60% - Accent4 3" xfId="158"/>
    <cellStyle name="60% - Accent4 4" xfId="159"/>
    <cellStyle name="60% - Accent5" xfId="160"/>
    <cellStyle name="60% - Accent5 2" xfId="161"/>
    <cellStyle name="60% - Accent5 3" xfId="162"/>
    <cellStyle name="60% - Accent5 4" xfId="163"/>
    <cellStyle name="60% - Accent6" xfId="164"/>
    <cellStyle name="60% - Accent6 2" xfId="165"/>
    <cellStyle name="60% - Accent6 3" xfId="166"/>
    <cellStyle name="60% - Accent6 4" xfId="167"/>
    <cellStyle name="60% - Акцент1 2" xfId="168"/>
    <cellStyle name="60% - Акцент1 3" xfId="169"/>
    <cellStyle name="60% - Акцент2 2" xfId="170"/>
    <cellStyle name="60% - Акцент2 3" xfId="171"/>
    <cellStyle name="60% - Акцент3 2" xfId="172"/>
    <cellStyle name="60% - Акцент3 3" xfId="173"/>
    <cellStyle name="60% - Акцент4 2" xfId="174"/>
    <cellStyle name="60% - Акцент4 3" xfId="175"/>
    <cellStyle name="60% - Акцент5 2" xfId="176"/>
    <cellStyle name="60% - Акцент5 3" xfId="177"/>
    <cellStyle name="60% - Акцент6 2" xfId="178"/>
    <cellStyle name="60% - Акцент6 3" xfId="179"/>
    <cellStyle name="Accent1" xfId="180"/>
    <cellStyle name="Accent1 2" xfId="181"/>
    <cellStyle name="Accent1 3" xfId="182"/>
    <cellStyle name="Accent1 4" xfId="183"/>
    <cellStyle name="Accent2" xfId="184"/>
    <cellStyle name="Accent2 2" xfId="185"/>
    <cellStyle name="Accent2 3" xfId="186"/>
    <cellStyle name="Accent2 4" xfId="187"/>
    <cellStyle name="Accent3" xfId="188"/>
    <cellStyle name="Accent3 2" xfId="189"/>
    <cellStyle name="Accent3 3" xfId="190"/>
    <cellStyle name="Accent3 4" xfId="191"/>
    <cellStyle name="Accent4" xfId="192"/>
    <cellStyle name="Accent4 2" xfId="193"/>
    <cellStyle name="Accent4 3" xfId="194"/>
    <cellStyle name="Accent4 4" xfId="195"/>
    <cellStyle name="Accent5" xfId="196"/>
    <cellStyle name="Accent5 2" xfId="197"/>
    <cellStyle name="Accent5 3" xfId="198"/>
    <cellStyle name="Accent5 4" xfId="199"/>
    <cellStyle name="Accent6" xfId="200"/>
    <cellStyle name="Accent6 2" xfId="201"/>
    <cellStyle name="Accent6 3" xfId="202"/>
    <cellStyle name="Accent6 4" xfId="203"/>
    <cellStyle name="Bad 1" xfId="204"/>
    <cellStyle name="Bad 2" xfId="205"/>
    <cellStyle name="Bad 3" xfId="206"/>
    <cellStyle name="Calculation" xfId="207"/>
    <cellStyle name="Calculation 2" xfId="208"/>
    <cellStyle name="Calculation 3" xfId="209"/>
    <cellStyle name="Calculation 4" xfId="210"/>
    <cellStyle name="Check Cell" xfId="211"/>
    <cellStyle name="Check Cell 2" xfId="212"/>
    <cellStyle name="Check Cell 3" xfId="213"/>
    <cellStyle name="Check Cell 4" xfId="214"/>
    <cellStyle name="Explanatory Text" xfId="215"/>
    <cellStyle name="Explanatory Text 2" xfId="216"/>
    <cellStyle name="Explanatory Text 3" xfId="217"/>
    <cellStyle name="Explanatory Text 4" xfId="218"/>
    <cellStyle name="Good 2" xfId="219"/>
    <cellStyle name="Good 3" xfId="220"/>
    <cellStyle name="Good 4" xfId="221"/>
    <cellStyle name="Heading 1 2" xfId="222"/>
    <cellStyle name="Heading 1 3" xfId="223"/>
    <cellStyle name="Heading 1 5" xfId="224"/>
    <cellStyle name="Heading 2 2" xfId="225"/>
    <cellStyle name="Heading 2 3" xfId="226"/>
    <cellStyle name="Heading 2 6" xfId="227"/>
    <cellStyle name="Heading 3" xfId="228"/>
    <cellStyle name="Heading 3 2" xfId="229"/>
    <cellStyle name="Heading 3 3" xfId="230"/>
    <cellStyle name="Heading 3 4" xfId="231"/>
    <cellStyle name="Heading 4" xfId="232"/>
    <cellStyle name="Heading 4 2" xfId="233"/>
    <cellStyle name="Heading 4 3" xfId="234"/>
    <cellStyle name="Heading 4 4" xfId="235"/>
    <cellStyle name="Iau?iue_Aretniil odd. (doa.)" xfId="236"/>
    <cellStyle name="Input" xfId="237"/>
    <cellStyle name="Input 2" xfId="238"/>
    <cellStyle name="Input 3" xfId="239"/>
    <cellStyle name="Input 4" xfId="240"/>
    <cellStyle name="Linked Cell" xfId="241"/>
    <cellStyle name="Linked Cell 2" xfId="242"/>
    <cellStyle name="Linked Cell 3" xfId="243"/>
    <cellStyle name="Linked Cell 4" xfId="244"/>
    <cellStyle name="Money" xfId="245"/>
    <cellStyle name="Money 2" xfId="246"/>
    <cellStyle name="Neutral 2" xfId="247"/>
    <cellStyle name="Neutral 3" xfId="248"/>
    <cellStyle name="Neutral 7" xfId="249"/>
    <cellStyle name="Normal 10" xfId="250"/>
    <cellStyle name="Normal 2" xfId="251"/>
    <cellStyle name="Normal 2 2" xfId="252"/>
    <cellStyle name="Normal 3" xfId="253"/>
    <cellStyle name="Normal 3 2" xfId="254"/>
    <cellStyle name="Normal 3 2 2" xfId="255"/>
    <cellStyle name="Normal 3 2 2 2" xfId="256"/>
    <cellStyle name="Normal 3 2 2 3" xfId="257"/>
    <cellStyle name="Normal 3 2 2 4" xfId="258"/>
    <cellStyle name="Normal 3 2 3" xfId="259"/>
    <cellStyle name="Normal 3 2 3 2" xfId="260"/>
    <cellStyle name="Normal 3 2 3 3" xfId="261"/>
    <cellStyle name="Normal 3 2 4" xfId="262"/>
    <cellStyle name="Normal 3 2 4 2" xfId="263"/>
    <cellStyle name="Normal 3 2 4 3" xfId="264"/>
    <cellStyle name="Normal 3 2 5" xfId="265"/>
    <cellStyle name="Normal 3 2 6" xfId="266"/>
    <cellStyle name="Normal 3 2 7" xfId="267"/>
    <cellStyle name="Normal 3 3" xfId="268"/>
    <cellStyle name="Normal 3 3 2" xfId="269"/>
    <cellStyle name="Normal 3 3 3" xfId="270"/>
    <cellStyle name="Normal 3 3 4" xfId="271"/>
    <cellStyle name="Normal 3 4" xfId="272"/>
    <cellStyle name="Normal 3 4 2" xfId="273"/>
    <cellStyle name="Normal 3 4 3" xfId="274"/>
    <cellStyle name="Normal 3 5" xfId="275"/>
    <cellStyle name="Normal 3 5 2" xfId="276"/>
    <cellStyle name="Normal 3 5 3" xfId="277"/>
    <cellStyle name="Normal 3 6" xfId="278"/>
    <cellStyle name="Normal 3 7" xfId="279"/>
    <cellStyle name="Normal 3 8" xfId="280"/>
    <cellStyle name="Normal 4" xfId="281"/>
    <cellStyle name="Normal 4 2" xfId="282"/>
    <cellStyle name="Normal 4 3" xfId="283"/>
    <cellStyle name="Normal 5" xfId="284"/>
    <cellStyle name="Normal 6" xfId="285"/>
    <cellStyle name="Normal 6 2" xfId="286"/>
    <cellStyle name="Normal 6 3" xfId="287"/>
    <cellStyle name="Normal 7" xfId="288"/>
    <cellStyle name="Normal 8" xfId="289"/>
    <cellStyle name="Normal 9" xfId="290"/>
    <cellStyle name="Normal_DW_Pilot_STM_Agreement_Party_and_Product_00.02.00" xfId="291"/>
    <cellStyle name="Normal_DW_Pilot_STM_ss185206_00.00.00" xfId="292"/>
    <cellStyle name="Note 2" xfId="293"/>
    <cellStyle name="Note 3" xfId="294"/>
    <cellStyle name="Note 4" xfId="295"/>
    <cellStyle name="Note 8" xfId="296"/>
    <cellStyle name="Output" xfId="297"/>
    <cellStyle name="Output 2" xfId="298"/>
    <cellStyle name="Output 3" xfId="299"/>
    <cellStyle name="Output 4" xfId="300"/>
    <cellStyle name="S1" xfId="301"/>
    <cellStyle name="S2" xfId="302"/>
    <cellStyle name="S3" xfId="303"/>
    <cellStyle name="S4" xfId="304"/>
    <cellStyle name="S5" xfId="305"/>
    <cellStyle name="S6" xfId="306"/>
    <cellStyle name="Title" xfId="307"/>
    <cellStyle name="Title 2" xfId="308"/>
    <cellStyle name="Title 3" xfId="309"/>
    <cellStyle name="Title 4" xfId="310"/>
    <cellStyle name="Total" xfId="311"/>
    <cellStyle name="Total 2" xfId="312"/>
    <cellStyle name="Total 3" xfId="313"/>
    <cellStyle name="Total 4" xfId="314"/>
    <cellStyle name="Warning Text" xfId="315"/>
    <cellStyle name="Warning Text 2" xfId="316"/>
    <cellStyle name="Warning Text 3" xfId="317"/>
    <cellStyle name="Warning Text 4" xfId="318"/>
    <cellStyle name="Акцент1 2" xfId="319"/>
    <cellStyle name="Акцент1 3" xfId="320"/>
    <cellStyle name="Акцент2 2" xfId="321"/>
    <cellStyle name="Акцент2 3" xfId="322"/>
    <cellStyle name="Акцент3 2" xfId="323"/>
    <cellStyle name="Акцент3 3" xfId="324"/>
    <cellStyle name="Акцент4 2" xfId="325"/>
    <cellStyle name="Акцент4 3" xfId="326"/>
    <cellStyle name="Акцент5 2" xfId="327"/>
    <cellStyle name="Акцент5 3" xfId="328"/>
    <cellStyle name="Акцент6 2" xfId="329"/>
    <cellStyle name="Акцент6 3" xfId="330"/>
    <cellStyle name="Ввод  2" xfId="331"/>
    <cellStyle name="Ввод  3" xfId="332"/>
    <cellStyle name="Вывод 2" xfId="333"/>
    <cellStyle name="Вывод 3" xfId="334"/>
    <cellStyle name="Вычисление 2" xfId="335"/>
    <cellStyle name="Вычисление 3" xfId="336"/>
    <cellStyle name="Гиперссылка 2" xfId="337"/>
    <cellStyle name="Гиперссылка 2 2" xfId="338"/>
    <cellStyle name="Гиперссылка 3" xfId="339"/>
    <cellStyle name="Ђ_x0005_" xfId="340"/>
    <cellStyle name="Заголовок 1 2" xfId="341"/>
    <cellStyle name="Заголовок 1 3" xfId="342"/>
    <cellStyle name="Заголовок 2 2" xfId="343"/>
    <cellStyle name="Заголовок 2 3" xfId="344"/>
    <cellStyle name="Заголовок 3 2" xfId="345"/>
    <cellStyle name="Заголовок 3 3" xfId="346"/>
    <cellStyle name="Заголовок 4 2" xfId="347"/>
    <cellStyle name="Заголовок 4 3" xfId="348"/>
    <cellStyle name="Итог 2" xfId="349"/>
    <cellStyle name="Итог 3" xfId="350"/>
    <cellStyle name="Контрольная ячейка 2" xfId="351"/>
    <cellStyle name="Контрольная ячейка 3" xfId="352"/>
    <cellStyle name="Название 2" xfId="353"/>
    <cellStyle name="Название 3" xfId="354"/>
    <cellStyle name="Нейтральный 2" xfId="355"/>
    <cellStyle name="Нейтральный 3" xfId="356"/>
    <cellStyle name="Обычный" xfId="0" builtinId="0"/>
    <cellStyle name="Обычный 10" xfId="357"/>
    <cellStyle name="Обычный 10 10" xfId="358"/>
    <cellStyle name="Обычный 10 10 10" xfId="359"/>
    <cellStyle name="Обычный 10 10 2" xfId="360"/>
    <cellStyle name="Обычный 10 10 2 2" xfId="361"/>
    <cellStyle name="Обычный 10 10 2 2 2" xfId="362"/>
    <cellStyle name="Обычный 10 10 2 2 2 2" xfId="363"/>
    <cellStyle name="Обычный 10 10 2 2 2 2 2" xfId="364"/>
    <cellStyle name="Обычный 10 10 2 2 2 2 2 2" xfId="365"/>
    <cellStyle name="Обычный 10 10 2 2 2 2 2 3" xfId="366"/>
    <cellStyle name="Обычный 10 10 2 2 2 2 3" xfId="367"/>
    <cellStyle name="Обычный 10 10 2 2 2 2 3 2" xfId="368"/>
    <cellStyle name="Обычный 10 10 2 2 2 2 3 3" xfId="369"/>
    <cellStyle name="Обычный 10 10 2 2 2 2 4" xfId="370"/>
    <cellStyle name="Обычный 10 10 2 2 2 2 4 2" xfId="371"/>
    <cellStyle name="Обычный 10 10 2 2 2 2 5" xfId="372"/>
    <cellStyle name="Обычный 10 10 2 2 2 2 6" xfId="373"/>
    <cellStyle name="Обычный 10 10 2 2 2 3" xfId="374"/>
    <cellStyle name="Обычный 10 10 2 2 2 3 2" xfId="375"/>
    <cellStyle name="Обычный 10 10 2 2 2 3 3" xfId="376"/>
    <cellStyle name="Обычный 10 10 2 2 2 4" xfId="377"/>
    <cellStyle name="Обычный 10 10 2 2 2 4 2" xfId="378"/>
    <cellStyle name="Обычный 10 10 2 2 2 4 3" xfId="379"/>
    <cellStyle name="Обычный 10 10 2 2 2 5" xfId="380"/>
    <cellStyle name="Обычный 10 10 2 2 2 5 2" xfId="381"/>
    <cellStyle name="Обычный 10 10 2 2 2 6" xfId="382"/>
    <cellStyle name="Обычный 10 10 2 2 2 7" xfId="383"/>
    <cellStyle name="Обычный 10 10 2 2 3" xfId="384"/>
    <cellStyle name="Обычный 10 10 2 2 3 2" xfId="385"/>
    <cellStyle name="Обычный 10 10 2 2 3 2 2" xfId="386"/>
    <cellStyle name="Обычный 10 10 2 2 3 2 3" xfId="387"/>
    <cellStyle name="Обычный 10 10 2 2 3 3" xfId="388"/>
    <cellStyle name="Обычный 10 10 2 2 3 3 2" xfId="389"/>
    <cellStyle name="Обычный 10 10 2 2 3 3 3" xfId="390"/>
    <cellStyle name="Обычный 10 10 2 2 3 4" xfId="391"/>
    <cellStyle name="Обычный 10 10 2 2 3 4 2" xfId="392"/>
    <cellStyle name="Обычный 10 10 2 2 3 5" xfId="393"/>
    <cellStyle name="Обычный 10 10 2 2 3 6" xfId="394"/>
    <cellStyle name="Обычный 10 10 2 2 4" xfId="395"/>
    <cellStyle name="Обычный 10 10 2 2 4 2" xfId="396"/>
    <cellStyle name="Обычный 10 10 2 2 4 3" xfId="397"/>
    <cellStyle name="Обычный 10 10 2 2 5" xfId="398"/>
    <cellStyle name="Обычный 10 10 2 2 5 2" xfId="399"/>
    <cellStyle name="Обычный 10 10 2 2 5 3" xfId="400"/>
    <cellStyle name="Обычный 10 10 2 2 6" xfId="401"/>
    <cellStyle name="Обычный 10 10 2 2 6 2" xfId="402"/>
    <cellStyle name="Обычный 10 10 2 2 7" xfId="403"/>
    <cellStyle name="Обычный 10 10 2 2 8" xfId="404"/>
    <cellStyle name="Обычный 10 10 2 3" xfId="405"/>
    <cellStyle name="Обычный 10 10 2 3 2" xfId="406"/>
    <cellStyle name="Обычный 10 10 2 3 2 2" xfId="407"/>
    <cellStyle name="Обычный 10 10 2 3 2 2 2" xfId="408"/>
    <cellStyle name="Обычный 10 10 2 3 2 2 3" xfId="409"/>
    <cellStyle name="Обычный 10 10 2 3 2 3" xfId="410"/>
    <cellStyle name="Обычный 10 10 2 3 2 3 2" xfId="411"/>
    <cellStyle name="Обычный 10 10 2 3 2 3 3" xfId="412"/>
    <cellStyle name="Обычный 10 10 2 3 2 4" xfId="413"/>
    <cellStyle name="Обычный 10 10 2 3 2 4 2" xfId="414"/>
    <cellStyle name="Обычный 10 10 2 3 2 5" xfId="415"/>
    <cellStyle name="Обычный 10 10 2 3 2 6" xfId="416"/>
    <cellStyle name="Обычный 10 10 2 3 3" xfId="417"/>
    <cellStyle name="Обычный 10 10 2 3 3 2" xfId="418"/>
    <cellStyle name="Обычный 10 10 2 3 3 3" xfId="419"/>
    <cellStyle name="Обычный 10 10 2 3 4" xfId="420"/>
    <cellStyle name="Обычный 10 10 2 3 4 2" xfId="421"/>
    <cellStyle name="Обычный 10 10 2 3 4 3" xfId="422"/>
    <cellStyle name="Обычный 10 10 2 3 5" xfId="423"/>
    <cellStyle name="Обычный 10 10 2 3 5 2" xfId="424"/>
    <cellStyle name="Обычный 10 10 2 3 6" xfId="425"/>
    <cellStyle name="Обычный 10 10 2 3 7" xfId="426"/>
    <cellStyle name="Обычный 10 10 2 4" xfId="427"/>
    <cellStyle name="Обычный 10 10 2 4 2" xfId="428"/>
    <cellStyle name="Обычный 10 10 2 4 2 2" xfId="429"/>
    <cellStyle name="Обычный 10 10 2 4 2 3" xfId="430"/>
    <cellStyle name="Обычный 10 10 2 4 3" xfId="431"/>
    <cellStyle name="Обычный 10 10 2 4 3 2" xfId="432"/>
    <cellStyle name="Обычный 10 10 2 4 3 3" xfId="433"/>
    <cellStyle name="Обычный 10 10 2 4 4" xfId="434"/>
    <cellStyle name="Обычный 10 10 2 4 4 2" xfId="435"/>
    <cellStyle name="Обычный 10 10 2 4 5" xfId="436"/>
    <cellStyle name="Обычный 10 10 2 4 6" xfId="437"/>
    <cellStyle name="Обычный 10 10 2 5" xfId="438"/>
    <cellStyle name="Обычный 10 10 2 5 2" xfId="439"/>
    <cellStyle name="Обычный 10 10 2 5 3" xfId="440"/>
    <cellStyle name="Обычный 10 10 2 6" xfId="441"/>
    <cellStyle name="Обычный 10 10 2 6 2" xfId="442"/>
    <cellStyle name="Обычный 10 10 2 6 3" xfId="443"/>
    <cellStyle name="Обычный 10 10 2 7" xfId="444"/>
    <cellStyle name="Обычный 10 10 2 7 2" xfId="445"/>
    <cellStyle name="Обычный 10 10 2 8" xfId="446"/>
    <cellStyle name="Обычный 10 10 2 9" xfId="447"/>
    <cellStyle name="Обычный 10 10 3" xfId="448"/>
    <cellStyle name="Обычный 10 10 3 2" xfId="449"/>
    <cellStyle name="Обычный 10 10 3 2 2" xfId="450"/>
    <cellStyle name="Обычный 10 10 3 2 2 2" xfId="451"/>
    <cellStyle name="Обычный 10 10 3 2 2 2 2" xfId="452"/>
    <cellStyle name="Обычный 10 10 3 2 2 2 3" xfId="453"/>
    <cellStyle name="Обычный 10 10 3 2 2 3" xfId="454"/>
    <cellStyle name="Обычный 10 10 3 2 2 3 2" xfId="455"/>
    <cellStyle name="Обычный 10 10 3 2 2 3 3" xfId="456"/>
    <cellStyle name="Обычный 10 10 3 2 2 4" xfId="457"/>
    <cellStyle name="Обычный 10 10 3 2 2 4 2" xfId="458"/>
    <cellStyle name="Обычный 10 10 3 2 2 5" xfId="459"/>
    <cellStyle name="Обычный 10 10 3 2 2 6" xfId="460"/>
    <cellStyle name="Обычный 10 10 3 2 3" xfId="461"/>
    <cellStyle name="Обычный 10 10 3 2 3 2" xfId="462"/>
    <cellStyle name="Обычный 10 10 3 2 3 3" xfId="463"/>
    <cellStyle name="Обычный 10 10 3 2 4" xfId="464"/>
    <cellStyle name="Обычный 10 10 3 2 4 2" xfId="465"/>
    <cellStyle name="Обычный 10 10 3 2 4 3" xfId="466"/>
    <cellStyle name="Обычный 10 10 3 2 5" xfId="467"/>
    <cellStyle name="Обычный 10 10 3 2 5 2" xfId="468"/>
    <cellStyle name="Обычный 10 10 3 2 6" xfId="469"/>
    <cellStyle name="Обычный 10 10 3 2 7" xfId="470"/>
    <cellStyle name="Обычный 10 10 3 3" xfId="471"/>
    <cellStyle name="Обычный 10 10 3 3 2" xfId="472"/>
    <cellStyle name="Обычный 10 10 3 3 2 2" xfId="473"/>
    <cellStyle name="Обычный 10 10 3 3 2 3" xfId="474"/>
    <cellStyle name="Обычный 10 10 3 3 3" xfId="475"/>
    <cellStyle name="Обычный 10 10 3 3 3 2" xfId="476"/>
    <cellStyle name="Обычный 10 10 3 3 3 3" xfId="477"/>
    <cellStyle name="Обычный 10 10 3 3 4" xfId="478"/>
    <cellStyle name="Обычный 10 10 3 3 4 2" xfId="479"/>
    <cellStyle name="Обычный 10 10 3 3 5" xfId="480"/>
    <cellStyle name="Обычный 10 10 3 3 6" xfId="481"/>
    <cellStyle name="Обычный 10 10 3 4" xfId="482"/>
    <cellStyle name="Обычный 10 10 3 4 2" xfId="483"/>
    <cellStyle name="Обычный 10 10 3 4 3" xfId="484"/>
    <cellStyle name="Обычный 10 10 3 5" xfId="485"/>
    <cellStyle name="Обычный 10 10 3 5 2" xfId="486"/>
    <cellStyle name="Обычный 10 10 3 5 3" xfId="487"/>
    <cellStyle name="Обычный 10 10 3 6" xfId="488"/>
    <cellStyle name="Обычный 10 10 3 6 2" xfId="489"/>
    <cellStyle name="Обычный 10 10 3 7" xfId="490"/>
    <cellStyle name="Обычный 10 10 3 8" xfId="491"/>
    <cellStyle name="Обычный 10 10 4" xfId="492"/>
    <cellStyle name="Обычный 10 10 4 2" xfId="493"/>
    <cellStyle name="Обычный 10 10 4 2 2" xfId="494"/>
    <cellStyle name="Обычный 10 10 4 2 2 2" xfId="495"/>
    <cellStyle name="Обычный 10 10 4 2 2 3" xfId="496"/>
    <cellStyle name="Обычный 10 10 4 2 3" xfId="497"/>
    <cellStyle name="Обычный 10 10 4 2 3 2" xfId="498"/>
    <cellStyle name="Обычный 10 10 4 2 3 3" xfId="499"/>
    <cellStyle name="Обычный 10 10 4 2 4" xfId="500"/>
    <cellStyle name="Обычный 10 10 4 2 4 2" xfId="501"/>
    <cellStyle name="Обычный 10 10 4 2 5" xfId="502"/>
    <cellStyle name="Обычный 10 10 4 2 6" xfId="503"/>
    <cellStyle name="Обычный 10 10 4 3" xfId="504"/>
    <cellStyle name="Обычный 10 10 4 3 2" xfId="505"/>
    <cellStyle name="Обычный 10 10 4 3 3" xfId="506"/>
    <cellStyle name="Обычный 10 10 4 4" xfId="507"/>
    <cellStyle name="Обычный 10 10 4 4 2" xfId="508"/>
    <cellStyle name="Обычный 10 10 4 4 3" xfId="509"/>
    <cellStyle name="Обычный 10 10 4 5" xfId="510"/>
    <cellStyle name="Обычный 10 10 4 5 2" xfId="511"/>
    <cellStyle name="Обычный 10 10 4 6" xfId="512"/>
    <cellStyle name="Обычный 10 10 4 7" xfId="513"/>
    <cellStyle name="Обычный 10 10 5" xfId="514"/>
    <cellStyle name="Обычный 10 10 5 2" xfId="515"/>
    <cellStyle name="Обычный 10 10 5 2 2" xfId="516"/>
    <cellStyle name="Обычный 10 10 5 2 3" xfId="517"/>
    <cellStyle name="Обычный 10 10 5 3" xfId="518"/>
    <cellStyle name="Обычный 10 10 5 3 2" xfId="519"/>
    <cellStyle name="Обычный 10 10 5 3 3" xfId="520"/>
    <cellStyle name="Обычный 10 10 5 4" xfId="521"/>
    <cellStyle name="Обычный 10 10 5 4 2" xfId="522"/>
    <cellStyle name="Обычный 10 10 5 5" xfId="523"/>
    <cellStyle name="Обычный 10 10 5 6" xfId="524"/>
    <cellStyle name="Обычный 10 10 6" xfId="525"/>
    <cellStyle name="Обычный 10 10 6 2" xfId="526"/>
    <cellStyle name="Обычный 10 10 6 3" xfId="527"/>
    <cellStyle name="Обычный 10 10 7" xfId="528"/>
    <cellStyle name="Обычный 10 10 7 2" xfId="529"/>
    <cellStyle name="Обычный 10 10 7 3" xfId="530"/>
    <cellStyle name="Обычный 10 10 8" xfId="531"/>
    <cellStyle name="Обычный 10 10 8 2" xfId="532"/>
    <cellStyle name="Обычный 10 10 9" xfId="533"/>
    <cellStyle name="Обычный 10 11" xfId="534"/>
    <cellStyle name="Обычный 10 11 10" xfId="535"/>
    <cellStyle name="Обычный 10 11 2" xfId="536"/>
    <cellStyle name="Обычный 10 11 2 2" xfId="537"/>
    <cellStyle name="Обычный 10 11 2 2 2" xfId="538"/>
    <cellStyle name="Обычный 10 11 2 2 2 2" xfId="539"/>
    <cellStyle name="Обычный 10 11 2 2 2 2 2" xfId="540"/>
    <cellStyle name="Обычный 10 11 2 2 2 2 2 2" xfId="541"/>
    <cellStyle name="Обычный 10 11 2 2 2 2 2 3" xfId="542"/>
    <cellStyle name="Обычный 10 11 2 2 2 2 3" xfId="543"/>
    <cellStyle name="Обычный 10 11 2 2 2 2 3 2" xfId="544"/>
    <cellStyle name="Обычный 10 11 2 2 2 2 3 3" xfId="545"/>
    <cellStyle name="Обычный 10 11 2 2 2 2 4" xfId="546"/>
    <cellStyle name="Обычный 10 11 2 2 2 2 4 2" xfId="547"/>
    <cellStyle name="Обычный 10 11 2 2 2 2 5" xfId="548"/>
    <cellStyle name="Обычный 10 11 2 2 2 2 6" xfId="549"/>
    <cellStyle name="Обычный 10 11 2 2 2 3" xfId="550"/>
    <cellStyle name="Обычный 10 11 2 2 2 3 2" xfId="551"/>
    <cellStyle name="Обычный 10 11 2 2 2 3 3" xfId="552"/>
    <cellStyle name="Обычный 10 11 2 2 2 4" xfId="553"/>
    <cellStyle name="Обычный 10 11 2 2 2 4 2" xfId="554"/>
    <cellStyle name="Обычный 10 11 2 2 2 4 3" xfId="555"/>
    <cellStyle name="Обычный 10 11 2 2 2 5" xfId="556"/>
    <cellStyle name="Обычный 10 11 2 2 2 5 2" xfId="557"/>
    <cellStyle name="Обычный 10 11 2 2 2 6" xfId="558"/>
    <cellStyle name="Обычный 10 11 2 2 2 7" xfId="559"/>
    <cellStyle name="Обычный 10 11 2 2 3" xfId="560"/>
    <cellStyle name="Обычный 10 11 2 2 3 2" xfId="561"/>
    <cellStyle name="Обычный 10 11 2 2 3 2 2" xfId="562"/>
    <cellStyle name="Обычный 10 11 2 2 3 2 3" xfId="563"/>
    <cellStyle name="Обычный 10 11 2 2 3 3" xfId="564"/>
    <cellStyle name="Обычный 10 11 2 2 3 3 2" xfId="565"/>
    <cellStyle name="Обычный 10 11 2 2 3 3 3" xfId="566"/>
    <cellStyle name="Обычный 10 11 2 2 3 4" xfId="567"/>
    <cellStyle name="Обычный 10 11 2 2 3 4 2" xfId="568"/>
    <cellStyle name="Обычный 10 11 2 2 3 5" xfId="569"/>
    <cellStyle name="Обычный 10 11 2 2 3 6" xfId="570"/>
    <cellStyle name="Обычный 10 11 2 2 4" xfId="571"/>
    <cellStyle name="Обычный 10 11 2 2 4 2" xfId="572"/>
    <cellStyle name="Обычный 10 11 2 2 4 3" xfId="573"/>
    <cellStyle name="Обычный 10 11 2 2 5" xfId="574"/>
    <cellStyle name="Обычный 10 11 2 2 5 2" xfId="575"/>
    <cellStyle name="Обычный 10 11 2 2 5 3" xfId="576"/>
    <cellStyle name="Обычный 10 11 2 2 6" xfId="577"/>
    <cellStyle name="Обычный 10 11 2 2 6 2" xfId="578"/>
    <cellStyle name="Обычный 10 11 2 2 7" xfId="579"/>
    <cellStyle name="Обычный 10 11 2 2 8" xfId="580"/>
    <cellStyle name="Обычный 10 11 2 3" xfId="581"/>
    <cellStyle name="Обычный 10 11 2 3 2" xfId="582"/>
    <cellStyle name="Обычный 10 11 2 3 2 2" xfId="583"/>
    <cellStyle name="Обычный 10 11 2 3 2 2 2" xfId="584"/>
    <cellStyle name="Обычный 10 11 2 3 2 2 3" xfId="585"/>
    <cellStyle name="Обычный 10 11 2 3 2 3" xfId="586"/>
    <cellStyle name="Обычный 10 11 2 3 2 3 2" xfId="587"/>
    <cellStyle name="Обычный 10 11 2 3 2 3 3" xfId="588"/>
    <cellStyle name="Обычный 10 11 2 3 2 4" xfId="589"/>
    <cellStyle name="Обычный 10 11 2 3 2 4 2" xfId="590"/>
    <cellStyle name="Обычный 10 11 2 3 2 5" xfId="591"/>
    <cellStyle name="Обычный 10 11 2 3 2 6" xfId="592"/>
    <cellStyle name="Обычный 10 11 2 3 3" xfId="593"/>
    <cellStyle name="Обычный 10 11 2 3 3 2" xfId="594"/>
    <cellStyle name="Обычный 10 11 2 3 3 3" xfId="595"/>
    <cellStyle name="Обычный 10 11 2 3 4" xfId="596"/>
    <cellStyle name="Обычный 10 11 2 3 4 2" xfId="597"/>
    <cellStyle name="Обычный 10 11 2 3 4 3" xfId="598"/>
    <cellStyle name="Обычный 10 11 2 3 5" xfId="599"/>
    <cellStyle name="Обычный 10 11 2 3 5 2" xfId="600"/>
    <cellStyle name="Обычный 10 11 2 3 6" xfId="601"/>
    <cellStyle name="Обычный 10 11 2 3 7" xfId="602"/>
    <cellStyle name="Обычный 10 11 2 4" xfId="603"/>
    <cellStyle name="Обычный 10 11 2 4 2" xfId="604"/>
    <cellStyle name="Обычный 10 11 2 4 2 2" xfId="605"/>
    <cellStyle name="Обычный 10 11 2 4 2 3" xfId="606"/>
    <cellStyle name="Обычный 10 11 2 4 3" xfId="607"/>
    <cellStyle name="Обычный 10 11 2 4 3 2" xfId="608"/>
    <cellStyle name="Обычный 10 11 2 4 3 3" xfId="609"/>
    <cellStyle name="Обычный 10 11 2 4 4" xfId="610"/>
    <cellStyle name="Обычный 10 11 2 4 4 2" xfId="611"/>
    <cellStyle name="Обычный 10 11 2 4 5" xfId="612"/>
    <cellStyle name="Обычный 10 11 2 4 6" xfId="613"/>
    <cellStyle name="Обычный 10 11 2 5" xfId="614"/>
    <cellStyle name="Обычный 10 11 2 5 2" xfId="615"/>
    <cellStyle name="Обычный 10 11 2 5 3" xfId="616"/>
    <cellStyle name="Обычный 10 11 2 6" xfId="617"/>
    <cellStyle name="Обычный 10 11 2 6 2" xfId="618"/>
    <cellStyle name="Обычный 10 11 2 6 3" xfId="619"/>
    <cellStyle name="Обычный 10 11 2 7" xfId="620"/>
    <cellStyle name="Обычный 10 11 2 7 2" xfId="621"/>
    <cellStyle name="Обычный 10 11 2 8" xfId="622"/>
    <cellStyle name="Обычный 10 11 2 9" xfId="623"/>
    <cellStyle name="Обычный 10 11 3" xfId="624"/>
    <cellStyle name="Обычный 10 11 3 2" xfId="625"/>
    <cellStyle name="Обычный 10 11 3 2 2" xfId="626"/>
    <cellStyle name="Обычный 10 11 3 2 2 2" xfId="627"/>
    <cellStyle name="Обычный 10 11 3 2 2 2 2" xfId="628"/>
    <cellStyle name="Обычный 10 11 3 2 2 2 3" xfId="629"/>
    <cellStyle name="Обычный 10 11 3 2 2 3" xfId="630"/>
    <cellStyle name="Обычный 10 11 3 2 2 3 2" xfId="631"/>
    <cellStyle name="Обычный 10 11 3 2 2 3 3" xfId="632"/>
    <cellStyle name="Обычный 10 11 3 2 2 4" xfId="633"/>
    <cellStyle name="Обычный 10 11 3 2 2 4 2" xfId="634"/>
    <cellStyle name="Обычный 10 11 3 2 2 5" xfId="635"/>
    <cellStyle name="Обычный 10 11 3 2 2 6" xfId="636"/>
    <cellStyle name="Обычный 10 11 3 2 3" xfId="637"/>
    <cellStyle name="Обычный 10 11 3 2 3 2" xfId="638"/>
    <cellStyle name="Обычный 10 11 3 2 3 3" xfId="639"/>
    <cellStyle name="Обычный 10 11 3 2 4" xfId="640"/>
    <cellStyle name="Обычный 10 11 3 2 4 2" xfId="641"/>
    <cellStyle name="Обычный 10 11 3 2 4 3" xfId="642"/>
    <cellStyle name="Обычный 10 11 3 2 5" xfId="643"/>
    <cellStyle name="Обычный 10 11 3 2 5 2" xfId="644"/>
    <cellStyle name="Обычный 10 11 3 2 6" xfId="645"/>
    <cellStyle name="Обычный 10 11 3 2 7" xfId="646"/>
    <cellStyle name="Обычный 10 11 3 3" xfId="647"/>
    <cellStyle name="Обычный 10 11 3 3 2" xfId="648"/>
    <cellStyle name="Обычный 10 11 3 3 2 2" xfId="649"/>
    <cellStyle name="Обычный 10 11 3 3 2 3" xfId="650"/>
    <cellStyle name="Обычный 10 11 3 3 3" xfId="651"/>
    <cellStyle name="Обычный 10 11 3 3 3 2" xfId="652"/>
    <cellStyle name="Обычный 10 11 3 3 3 3" xfId="653"/>
    <cellStyle name="Обычный 10 11 3 3 4" xfId="654"/>
    <cellStyle name="Обычный 10 11 3 3 4 2" xfId="655"/>
    <cellStyle name="Обычный 10 11 3 3 5" xfId="656"/>
    <cellStyle name="Обычный 10 11 3 3 6" xfId="657"/>
    <cellStyle name="Обычный 10 11 3 4" xfId="658"/>
    <cellStyle name="Обычный 10 11 3 4 2" xfId="659"/>
    <cellStyle name="Обычный 10 11 3 4 3" xfId="660"/>
    <cellStyle name="Обычный 10 11 3 5" xfId="661"/>
    <cellStyle name="Обычный 10 11 3 5 2" xfId="662"/>
    <cellStyle name="Обычный 10 11 3 5 3" xfId="663"/>
    <cellStyle name="Обычный 10 11 3 6" xfId="664"/>
    <cellStyle name="Обычный 10 11 3 6 2" xfId="665"/>
    <cellStyle name="Обычный 10 11 3 7" xfId="666"/>
    <cellStyle name="Обычный 10 11 3 8" xfId="667"/>
    <cellStyle name="Обычный 10 11 4" xfId="668"/>
    <cellStyle name="Обычный 10 11 4 2" xfId="669"/>
    <cellStyle name="Обычный 10 11 4 2 2" xfId="670"/>
    <cellStyle name="Обычный 10 11 4 2 2 2" xfId="671"/>
    <cellStyle name="Обычный 10 11 4 2 2 3" xfId="672"/>
    <cellStyle name="Обычный 10 11 4 2 3" xfId="673"/>
    <cellStyle name="Обычный 10 11 4 2 3 2" xfId="674"/>
    <cellStyle name="Обычный 10 11 4 2 3 3" xfId="675"/>
    <cellStyle name="Обычный 10 11 4 2 4" xfId="676"/>
    <cellStyle name="Обычный 10 11 4 2 4 2" xfId="677"/>
    <cellStyle name="Обычный 10 11 4 2 5" xfId="678"/>
    <cellStyle name="Обычный 10 11 4 2 6" xfId="679"/>
    <cellStyle name="Обычный 10 11 4 3" xfId="680"/>
    <cellStyle name="Обычный 10 11 4 3 2" xfId="681"/>
    <cellStyle name="Обычный 10 11 4 3 3" xfId="682"/>
    <cellStyle name="Обычный 10 11 4 4" xfId="683"/>
    <cellStyle name="Обычный 10 11 4 4 2" xfId="684"/>
    <cellStyle name="Обычный 10 11 4 4 3" xfId="685"/>
    <cellStyle name="Обычный 10 11 4 5" xfId="686"/>
    <cellStyle name="Обычный 10 11 4 5 2" xfId="687"/>
    <cellStyle name="Обычный 10 11 4 6" xfId="688"/>
    <cellStyle name="Обычный 10 11 4 7" xfId="689"/>
    <cellStyle name="Обычный 10 11 5" xfId="690"/>
    <cellStyle name="Обычный 10 11 5 2" xfId="691"/>
    <cellStyle name="Обычный 10 11 5 2 2" xfId="692"/>
    <cellStyle name="Обычный 10 11 5 2 3" xfId="693"/>
    <cellStyle name="Обычный 10 11 5 3" xfId="694"/>
    <cellStyle name="Обычный 10 11 5 3 2" xfId="695"/>
    <cellStyle name="Обычный 10 11 5 3 3" xfId="696"/>
    <cellStyle name="Обычный 10 11 5 4" xfId="697"/>
    <cellStyle name="Обычный 10 11 5 4 2" xfId="698"/>
    <cellStyle name="Обычный 10 11 5 5" xfId="699"/>
    <cellStyle name="Обычный 10 11 5 6" xfId="700"/>
    <cellStyle name="Обычный 10 11 6" xfId="701"/>
    <cellStyle name="Обычный 10 11 6 2" xfId="702"/>
    <cellStyle name="Обычный 10 11 6 3" xfId="703"/>
    <cellStyle name="Обычный 10 11 7" xfId="704"/>
    <cellStyle name="Обычный 10 11 7 2" xfId="705"/>
    <cellStyle name="Обычный 10 11 7 3" xfId="706"/>
    <cellStyle name="Обычный 10 11 8" xfId="707"/>
    <cellStyle name="Обычный 10 11 8 2" xfId="708"/>
    <cellStyle name="Обычный 10 11 9" xfId="709"/>
    <cellStyle name="Обычный 10 12" xfId="710"/>
    <cellStyle name="Обычный 10 12 10" xfId="711"/>
    <cellStyle name="Обычный 10 12 2" xfId="712"/>
    <cellStyle name="Обычный 10 12 2 2" xfId="713"/>
    <cellStyle name="Обычный 10 12 2 2 2" xfId="714"/>
    <cellStyle name="Обычный 10 12 2 2 2 2" xfId="715"/>
    <cellStyle name="Обычный 10 12 2 2 2 2 2" xfId="716"/>
    <cellStyle name="Обычный 10 12 2 2 2 2 2 2" xfId="717"/>
    <cellStyle name="Обычный 10 12 2 2 2 2 2 3" xfId="718"/>
    <cellStyle name="Обычный 10 12 2 2 2 2 3" xfId="719"/>
    <cellStyle name="Обычный 10 12 2 2 2 2 3 2" xfId="720"/>
    <cellStyle name="Обычный 10 12 2 2 2 2 3 3" xfId="721"/>
    <cellStyle name="Обычный 10 12 2 2 2 2 4" xfId="722"/>
    <cellStyle name="Обычный 10 12 2 2 2 2 4 2" xfId="723"/>
    <cellStyle name="Обычный 10 12 2 2 2 2 5" xfId="724"/>
    <cellStyle name="Обычный 10 12 2 2 2 2 6" xfId="725"/>
    <cellStyle name="Обычный 10 12 2 2 2 3" xfId="726"/>
    <cellStyle name="Обычный 10 12 2 2 2 3 2" xfId="727"/>
    <cellStyle name="Обычный 10 12 2 2 2 3 3" xfId="728"/>
    <cellStyle name="Обычный 10 12 2 2 2 4" xfId="729"/>
    <cellStyle name="Обычный 10 12 2 2 2 4 2" xfId="730"/>
    <cellStyle name="Обычный 10 12 2 2 2 4 3" xfId="731"/>
    <cellStyle name="Обычный 10 12 2 2 2 5" xfId="732"/>
    <cellStyle name="Обычный 10 12 2 2 2 5 2" xfId="733"/>
    <cellStyle name="Обычный 10 12 2 2 2 6" xfId="734"/>
    <cellStyle name="Обычный 10 12 2 2 2 7" xfId="735"/>
    <cellStyle name="Обычный 10 12 2 2 3" xfId="736"/>
    <cellStyle name="Обычный 10 12 2 2 3 2" xfId="737"/>
    <cellStyle name="Обычный 10 12 2 2 3 2 2" xfId="738"/>
    <cellStyle name="Обычный 10 12 2 2 3 2 3" xfId="739"/>
    <cellStyle name="Обычный 10 12 2 2 3 3" xfId="740"/>
    <cellStyle name="Обычный 10 12 2 2 3 3 2" xfId="741"/>
    <cellStyle name="Обычный 10 12 2 2 3 3 3" xfId="742"/>
    <cellStyle name="Обычный 10 12 2 2 3 4" xfId="743"/>
    <cellStyle name="Обычный 10 12 2 2 3 4 2" xfId="744"/>
    <cellStyle name="Обычный 10 12 2 2 3 5" xfId="745"/>
    <cellStyle name="Обычный 10 12 2 2 3 6" xfId="746"/>
    <cellStyle name="Обычный 10 12 2 2 4" xfId="747"/>
    <cellStyle name="Обычный 10 12 2 2 4 2" xfId="748"/>
    <cellStyle name="Обычный 10 12 2 2 4 3" xfId="749"/>
    <cellStyle name="Обычный 10 12 2 2 5" xfId="750"/>
    <cellStyle name="Обычный 10 12 2 2 5 2" xfId="751"/>
    <cellStyle name="Обычный 10 12 2 2 5 3" xfId="752"/>
    <cellStyle name="Обычный 10 12 2 2 6" xfId="753"/>
    <cellStyle name="Обычный 10 12 2 2 6 2" xfId="754"/>
    <cellStyle name="Обычный 10 12 2 2 7" xfId="755"/>
    <cellStyle name="Обычный 10 12 2 2 8" xfId="756"/>
    <cellStyle name="Обычный 10 12 2 3" xfId="757"/>
    <cellStyle name="Обычный 10 12 2 3 2" xfId="758"/>
    <cellStyle name="Обычный 10 12 2 3 2 2" xfId="759"/>
    <cellStyle name="Обычный 10 12 2 3 2 2 2" xfId="760"/>
    <cellStyle name="Обычный 10 12 2 3 2 2 3" xfId="761"/>
    <cellStyle name="Обычный 10 12 2 3 2 3" xfId="762"/>
    <cellStyle name="Обычный 10 12 2 3 2 3 2" xfId="763"/>
    <cellStyle name="Обычный 10 12 2 3 2 3 3" xfId="764"/>
    <cellStyle name="Обычный 10 12 2 3 2 4" xfId="765"/>
    <cellStyle name="Обычный 10 12 2 3 2 4 2" xfId="766"/>
    <cellStyle name="Обычный 10 12 2 3 2 5" xfId="767"/>
    <cellStyle name="Обычный 10 12 2 3 2 6" xfId="768"/>
    <cellStyle name="Обычный 10 12 2 3 3" xfId="769"/>
    <cellStyle name="Обычный 10 12 2 3 3 2" xfId="770"/>
    <cellStyle name="Обычный 10 12 2 3 3 3" xfId="771"/>
    <cellStyle name="Обычный 10 12 2 3 4" xfId="772"/>
    <cellStyle name="Обычный 10 12 2 3 4 2" xfId="773"/>
    <cellStyle name="Обычный 10 12 2 3 4 3" xfId="774"/>
    <cellStyle name="Обычный 10 12 2 3 5" xfId="775"/>
    <cellStyle name="Обычный 10 12 2 3 5 2" xfId="776"/>
    <cellStyle name="Обычный 10 12 2 3 6" xfId="777"/>
    <cellStyle name="Обычный 10 12 2 3 7" xfId="778"/>
    <cellStyle name="Обычный 10 12 2 4" xfId="779"/>
    <cellStyle name="Обычный 10 12 2 4 2" xfId="780"/>
    <cellStyle name="Обычный 10 12 2 4 2 2" xfId="781"/>
    <cellStyle name="Обычный 10 12 2 4 2 3" xfId="782"/>
    <cellStyle name="Обычный 10 12 2 4 3" xfId="783"/>
    <cellStyle name="Обычный 10 12 2 4 3 2" xfId="784"/>
    <cellStyle name="Обычный 10 12 2 4 3 3" xfId="785"/>
    <cellStyle name="Обычный 10 12 2 4 4" xfId="786"/>
    <cellStyle name="Обычный 10 12 2 4 4 2" xfId="787"/>
    <cellStyle name="Обычный 10 12 2 4 5" xfId="788"/>
    <cellStyle name="Обычный 10 12 2 4 6" xfId="789"/>
    <cellStyle name="Обычный 10 12 2 5" xfId="790"/>
    <cellStyle name="Обычный 10 12 2 5 2" xfId="791"/>
    <cellStyle name="Обычный 10 12 2 5 3" xfId="792"/>
    <cellStyle name="Обычный 10 12 2 6" xfId="793"/>
    <cellStyle name="Обычный 10 12 2 6 2" xfId="794"/>
    <cellStyle name="Обычный 10 12 2 6 3" xfId="795"/>
    <cellStyle name="Обычный 10 12 2 7" xfId="796"/>
    <cellStyle name="Обычный 10 12 2 7 2" xfId="797"/>
    <cellStyle name="Обычный 10 12 2 8" xfId="798"/>
    <cellStyle name="Обычный 10 12 2 9" xfId="799"/>
    <cellStyle name="Обычный 10 12 3" xfId="800"/>
    <cellStyle name="Обычный 10 12 3 2" xfId="801"/>
    <cellStyle name="Обычный 10 12 3 2 2" xfId="802"/>
    <cellStyle name="Обычный 10 12 3 2 2 2" xfId="803"/>
    <cellStyle name="Обычный 10 12 3 2 2 2 2" xfId="804"/>
    <cellStyle name="Обычный 10 12 3 2 2 2 3" xfId="805"/>
    <cellStyle name="Обычный 10 12 3 2 2 3" xfId="806"/>
    <cellStyle name="Обычный 10 12 3 2 2 3 2" xfId="807"/>
    <cellStyle name="Обычный 10 12 3 2 2 3 3" xfId="808"/>
    <cellStyle name="Обычный 10 12 3 2 2 4" xfId="809"/>
    <cellStyle name="Обычный 10 12 3 2 2 4 2" xfId="810"/>
    <cellStyle name="Обычный 10 12 3 2 2 5" xfId="811"/>
    <cellStyle name="Обычный 10 12 3 2 2 6" xfId="812"/>
    <cellStyle name="Обычный 10 12 3 2 3" xfId="813"/>
    <cellStyle name="Обычный 10 12 3 2 3 2" xfId="814"/>
    <cellStyle name="Обычный 10 12 3 2 3 3" xfId="815"/>
    <cellStyle name="Обычный 10 12 3 2 4" xfId="816"/>
    <cellStyle name="Обычный 10 12 3 2 4 2" xfId="817"/>
    <cellStyle name="Обычный 10 12 3 2 4 3" xfId="818"/>
    <cellStyle name="Обычный 10 12 3 2 5" xfId="819"/>
    <cellStyle name="Обычный 10 12 3 2 5 2" xfId="820"/>
    <cellStyle name="Обычный 10 12 3 2 6" xfId="821"/>
    <cellStyle name="Обычный 10 12 3 2 7" xfId="822"/>
    <cellStyle name="Обычный 10 12 3 3" xfId="823"/>
    <cellStyle name="Обычный 10 12 3 3 2" xfId="824"/>
    <cellStyle name="Обычный 10 12 3 3 2 2" xfId="825"/>
    <cellStyle name="Обычный 10 12 3 3 2 3" xfId="826"/>
    <cellStyle name="Обычный 10 12 3 3 3" xfId="827"/>
    <cellStyle name="Обычный 10 12 3 3 3 2" xfId="828"/>
    <cellStyle name="Обычный 10 12 3 3 3 3" xfId="829"/>
    <cellStyle name="Обычный 10 12 3 3 4" xfId="830"/>
    <cellStyle name="Обычный 10 12 3 3 4 2" xfId="831"/>
    <cellStyle name="Обычный 10 12 3 3 5" xfId="832"/>
    <cellStyle name="Обычный 10 12 3 3 6" xfId="833"/>
    <cellStyle name="Обычный 10 12 3 4" xfId="834"/>
    <cellStyle name="Обычный 10 12 3 4 2" xfId="835"/>
    <cellStyle name="Обычный 10 12 3 4 3" xfId="836"/>
    <cellStyle name="Обычный 10 12 3 5" xfId="837"/>
    <cellStyle name="Обычный 10 12 3 5 2" xfId="838"/>
    <cellStyle name="Обычный 10 12 3 5 3" xfId="839"/>
    <cellStyle name="Обычный 10 12 3 6" xfId="840"/>
    <cellStyle name="Обычный 10 12 3 6 2" xfId="841"/>
    <cellStyle name="Обычный 10 12 3 7" xfId="842"/>
    <cellStyle name="Обычный 10 12 3 8" xfId="843"/>
    <cellStyle name="Обычный 10 12 4" xfId="844"/>
    <cellStyle name="Обычный 10 12 4 2" xfId="845"/>
    <cellStyle name="Обычный 10 12 4 2 2" xfId="846"/>
    <cellStyle name="Обычный 10 12 4 2 2 2" xfId="847"/>
    <cellStyle name="Обычный 10 12 4 2 2 3" xfId="848"/>
    <cellStyle name="Обычный 10 12 4 2 3" xfId="849"/>
    <cellStyle name="Обычный 10 12 4 2 3 2" xfId="850"/>
    <cellStyle name="Обычный 10 12 4 2 3 3" xfId="851"/>
    <cellStyle name="Обычный 10 12 4 2 4" xfId="852"/>
    <cellStyle name="Обычный 10 12 4 2 4 2" xfId="853"/>
    <cellStyle name="Обычный 10 12 4 2 5" xfId="854"/>
    <cellStyle name="Обычный 10 12 4 2 6" xfId="855"/>
    <cellStyle name="Обычный 10 12 4 3" xfId="856"/>
    <cellStyle name="Обычный 10 12 4 3 2" xfId="857"/>
    <cellStyle name="Обычный 10 12 4 3 3" xfId="858"/>
    <cellStyle name="Обычный 10 12 4 4" xfId="859"/>
    <cellStyle name="Обычный 10 12 4 4 2" xfId="860"/>
    <cellStyle name="Обычный 10 12 4 4 3" xfId="861"/>
    <cellStyle name="Обычный 10 12 4 5" xfId="862"/>
    <cellStyle name="Обычный 10 12 4 5 2" xfId="863"/>
    <cellStyle name="Обычный 10 12 4 6" xfId="864"/>
    <cellStyle name="Обычный 10 12 4 7" xfId="865"/>
    <cellStyle name="Обычный 10 12 5" xfId="866"/>
    <cellStyle name="Обычный 10 12 5 2" xfId="867"/>
    <cellStyle name="Обычный 10 12 5 2 2" xfId="868"/>
    <cellStyle name="Обычный 10 12 5 2 3" xfId="869"/>
    <cellStyle name="Обычный 10 12 5 3" xfId="870"/>
    <cellStyle name="Обычный 10 12 5 3 2" xfId="871"/>
    <cellStyle name="Обычный 10 12 5 3 3" xfId="872"/>
    <cellStyle name="Обычный 10 12 5 4" xfId="873"/>
    <cellStyle name="Обычный 10 12 5 4 2" xfId="874"/>
    <cellStyle name="Обычный 10 12 5 5" xfId="875"/>
    <cellStyle name="Обычный 10 12 5 6" xfId="876"/>
    <cellStyle name="Обычный 10 12 6" xfId="877"/>
    <cellStyle name="Обычный 10 12 6 2" xfId="878"/>
    <cellStyle name="Обычный 10 12 6 3" xfId="879"/>
    <cellStyle name="Обычный 10 12 7" xfId="880"/>
    <cellStyle name="Обычный 10 12 7 2" xfId="881"/>
    <cellStyle name="Обычный 10 12 7 3" xfId="882"/>
    <cellStyle name="Обычный 10 12 8" xfId="883"/>
    <cellStyle name="Обычный 10 12 8 2" xfId="884"/>
    <cellStyle name="Обычный 10 12 9" xfId="885"/>
    <cellStyle name="Обычный 10 13" xfId="886"/>
    <cellStyle name="Обычный 10 13 2" xfId="887"/>
    <cellStyle name="Обычный 10 13 2 2" xfId="888"/>
    <cellStyle name="Обычный 10 13 2 2 2" xfId="889"/>
    <cellStyle name="Обычный 10 13 2 2 2 2" xfId="890"/>
    <cellStyle name="Обычный 10 13 2 2 2 2 2" xfId="891"/>
    <cellStyle name="Обычный 10 13 2 2 2 2 3" xfId="892"/>
    <cellStyle name="Обычный 10 13 2 2 2 3" xfId="893"/>
    <cellStyle name="Обычный 10 13 2 2 2 3 2" xfId="894"/>
    <cellStyle name="Обычный 10 13 2 2 2 3 3" xfId="895"/>
    <cellStyle name="Обычный 10 13 2 2 2 4" xfId="896"/>
    <cellStyle name="Обычный 10 13 2 2 2 4 2" xfId="897"/>
    <cellStyle name="Обычный 10 13 2 2 2 5" xfId="898"/>
    <cellStyle name="Обычный 10 13 2 2 2 6" xfId="899"/>
    <cellStyle name="Обычный 10 13 2 2 3" xfId="900"/>
    <cellStyle name="Обычный 10 13 2 2 3 2" xfId="901"/>
    <cellStyle name="Обычный 10 13 2 2 3 3" xfId="902"/>
    <cellStyle name="Обычный 10 13 2 2 4" xfId="903"/>
    <cellStyle name="Обычный 10 13 2 2 4 2" xfId="904"/>
    <cellStyle name="Обычный 10 13 2 2 4 3" xfId="905"/>
    <cellStyle name="Обычный 10 13 2 2 5" xfId="906"/>
    <cellStyle name="Обычный 10 13 2 2 5 2" xfId="907"/>
    <cellStyle name="Обычный 10 13 2 2 6" xfId="908"/>
    <cellStyle name="Обычный 10 13 2 2 7" xfId="909"/>
    <cellStyle name="Обычный 10 13 2 3" xfId="910"/>
    <cellStyle name="Обычный 10 13 2 3 2" xfId="911"/>
    <cellStyle name="Обычный 10 13 2 3 2 2" xfId="912"/>
    <cellStyle name="Обычный 10 13 2 3 2 3" xfId="913"/>
    <cellStyle name="Обычный 10 13 2 3 3" xfId="914"/>
    <cellStyle name="Обычный 10 13 2 3 3 2" xfId="915"/>
    <cellStyle name="Обычный 10 13 2 3 3 3" xfId="916"/>
    <cellStyle name="Обычный 10 13 2 3 4" xfId="917"/>
    <cellStyle name="Обычный 10 13 2 3 4 2" xfId="918"/>
    <cellStyle name="Обычный 10 13 2 3 5" xfId="919"/>
    <cellStyle name="Обычный 10 13 2 3 6" xfId="920"/>
    <cellStyle name="Обычный 10 13 2 4" xfId="921"/>
    <cellStyle name="Обычный 10 13 2 4 2" xfId="922"/>
    <cellStyle name="Обычный 10 13 2 4 3" xfId="923"/>
    <cellStyle name="Обычный 10 13 2 5" xfId="924"/>
    <cellStyle name="Обычный 10 13 2 5 2" xfId="925"/>
    <cellStyle name="Обычный 10 13 2 5 3" xfId="926"/>
    <cellStyle name="Обычный 10 13 2 6" xfId="927"/>
    <cellStyle name="Обычный 10 13 2 6 2" xfId="928"/>
    <cellStyle name="Обычный 10 13 2 7" xfId="929"/>
    <cellStyle name="Обычный 10 13 2 8" xfId="930"/>
    <cellStyle name="Обычный 10 13 3" xfId="931"/>
    <cellStyle name="Обычный 10 13 3 2" xfId="932"/>
    <cellStyle name="Обычный 10 13 3 2 2" xfId="933"/>
    <cellStyle name="Обычный 10 13 3 2 2 2" xfId="934"/>
    <cellStyle name="Обычный 10 13 3 2 2 3" xfId="935"/>
    <cellStyle name="Обычный 10 13 3 2 3" xfId="936"/>
    <cellStyle name="Обычный 10 13 3 2 3 2" xfId="937"/>
    <cellStyle name="Обычный 10 13 3 2 3 3" xfId="938"/>
    <cellStyle name="Обычный 10 13 3 2 4" xfId="939"/>
    <cellStyle name="Обычный 10 13 3 2 4 2" xfId="940"/>
    <cellStyle name="Обычный 10 13 3 2 5" xfId="941"/>
    <cellStyle name="Обычный 10 13 3 2 6" xfId="942"/>
    <cellStyle name="Обычный 10 13 3 3" xfId="943"/>
    <cellStyle name="Обычный 10 13 3 3 2" xfId="944"/>
    <cellStyle name="Обычный 10 13 3 3 3" xfId="945"/>
    <cellStyle name="Обычный 10 13 3 4" xfId="946"/>
    <cellStyle name="Обычный 10 13 3 4 2" xfId="947"/>
    <cellStyle name="Обычный 10 13 3 4 3" xfId="948"/>
    <cellStyle name="Обычный 10 13 3 5" xfId="949"/>
    <cellStyle name="Обычный 10 13 3 5 2" xfId="950"/>
    <cellStyle name="Обычный 10 13 3 6" xfId="951"/>
    <cellStyle name="Обычный 10 13 3 7" xfId="952"/>
    <cellStyle name="Обычный 10 13 4" xfId="953"/>
    <cellStyle name="Обычный 10 13 4 2" xfId="954"/>
    <cellStyle name="Обычный 10 13 4 2 2" xfId="955"/>
    <cellStyle name="Обычный 10 13 4 2 3" xfId="956"/>
    <cellStyle name="Обычный 10 13 4 3" xfId="957"/>
    <cellStyle name="Обычный 10 13 4 3 2" xfId="958"/>
    <cellStyle name="Обычный 10 13 4 3 3" xfId="959"/>
    <cellStyle name="Обычный 10 13 4 4" xfId="960"/>
    <cellStyle name="Обычный 10 13 4 4 2" xfId="961"/>
    <cellStyle name="Обычный 10 13 4 5" xfId="962"/>
    <cellStyle name="Обычный 10 13 4 6" xfId="963"/>
    <cellStyle name="Обычный 10 13 5" xfId="964"/>
    <cellStyle name="Обычный 10 13 5 2" xfId="965"/>
    <cellStyle name="Обычный 10 13 5 3" xfId="966"/>
    <cellStyle name="Обычный 10 13 6" xfId="967"/>
    <cellStyle name="Обычный 10 13 6 2" xfId="968"/>
    <cellStyle name="Обычный 10 13 6 3" xfId="969"/>
    <cellStyle name="Обычный 10 13 7" xfId="970"/>
    <cellStyle name="Обычный 10 13 7 2" xfId="971"/>
    <cellStyle name="Обычный 10 13 8" xfId="972"/>
    <cellStyle name="Обычный 10 13 9" xfId="973"/>
    <cellStyle name="Обычный 10 14" xfId="974"/>
    <cellStyle name="Обычный 10 14 2" xfId="975"/>
    <cellStyle name="Обычный 10 14 2 2" xfId="976"/>
    <cellStyle name="Обычный 10 14 2 2 2" xfId="977"/>
    <cellStyle name="Обычный 10 14 2 2 2 2" xfId="978"/>
    <cellStyle name="Обычный 10 14 2 2 2 3" xfId="979"/>
    <cellStyle name="Обычный 10 14 2 2 3" xfId="980"/>
    <cellStyle name="Обычный 10 14 2 2 3 2" xfId="981"/>
    <cellStyle name="Обычный 10 14 2 2 3 3" xfId="982"/>
    <cellStyle name="Обычный 10 14 2 2 4" xfId="983"/>
    <cellStyle name="Обычный 10 14 2 2 4 2" xfId="984"/>
    <cellStyle name="Обычный 10 14 2 2 5" xfId="985"/>
    <cellStyle name="Обычный 10 14 2 2 6" xfId="986"/>
    <cellStyle name="Обычный 10 14 2 3" xfId="987"/>
    <cellStyle name="Обычный 10 14 2 3 3" xfId="988"/>
    <cellStyle name="Обычный 10 14 2 4" xfId="989"/>
    <cellStyle name="Обычный 10 14 2 4 2" xfId="990"/>
    <cellStyle name="Обычный 10 14 2 4 3" xfId="991"/>
    <cellStyle name="Обычный 10 14 2 5" xfId="992"/>
    <cellStyle name="Обычный 10 14 2 5 2" xfId="993"/>
    <cellStyle name="Обычный 10 14 2 6" xfId="994"/>
    <cellStyle name="Обычный 10 14 2 7" xfId="995"/>
    <cellStyle name="Обычный 10 14 3" xfId="996"/>
    <cellStyle name="Обычный 10 14 3 2" xfId="997"/>
    <cellStyle name="Обычный 10 14 3 2 2" xfId="998"/>
    <cellStyle name="Обычный 10 14 3 2 3" xfId="999"/>
    <cellStyle name="Обычный 10 14 3 3" xfId="1000"/>
    <cellStyle name="Обычный 10 14 3 3 2" xfId="1001"/>
    <cellStyle name="Обычный 10 14 3 3 3" xfId="1002"/>
    <cellStyle name="Обычный 10 14 3 4" xfId="1003"/>
    <cellStyle name="Обычный 10 14 3 4 2" xfId="1004"/>
    <cellStyle name="Обычный 10 14 3 5" xfId="1005"/>
    <cellStyle name="Обычный 10 14 3 6" xfId="1006"/>
    <cellStyle name="Обычный 10 14 4" xfId="1007"/>
    <cellStyle name="Обычный 10 14 4 2" xfId="1008"/>
    <cellStyle name="Обычный 10 14 4 3" xfId="1009"/>
    <cellStyle name="Обычный 10 14 5" xfId="1010"/>
    <cellStyle name="Обычный 10 14 5 2" xfId="1011"/>
    <cellStyle name="Обычный 10 14 5 3" xfId="1012"/>
    <cellStyle name="Обычный 10 14 6" xfId="1013"/>
    <cellStyle name="Обычный 10 14 6 2" xfId="1014"/>
    <cellStyle name="Обычный 10 14 7" xfId="1015"/>
    <cellStyle name="Обычный 10 14 8" xfId="1016"/>
    <cellStyle name="Обычный 10 15" xfId="1017"/>
    <cellStyle name="Обычный 10 15 2" xfId="1018"/>
    <cellStyle name="Обычный 10 15 2 2" xfId="1019"/>
    <cellStyle name="Обычный 10 15 2 2 2" xfId="1020"/>
    <cellStyle name="Обычный 10 15 2 2 3" xfId="1021"/>
    <cellStyle name="Обычный 10 15 2 3" xfId="1022"/>
    <cellStyle name="Обычный 10 15 2 3 2" xfId="1023"/>
    <cellStyle name="Обычный 10 15 2 3 3" xfId="1024"/>
    <cellStyle name="Обычный 10 15 2 4" xfId="1025"/>
    <cellStyle name="Обычный 10 15 2 4 2" xfId="1026"/>
    <cellStyle name="Обычный 10 15 2 5" xfId="1027"/>
    <cellStyle name="Обычный 10 15 2 6" xfId="1028"/>
    <cellStyle name="Обычный 10 15 3" xfId="1029"/>
    <cellStyle name="Обычный 10 15 3 2" xfId="1030"/>
    <cellStyle name="Обычный 10 15 3 3" xfId="1031"/>
    <cellStyle name="Обычный 10 15 4" xfId="1032"/>
    <cellStyle name="Обычный 10 15 4 2" xfId="1033"/>
    <cellStyle name="Обычный 10 15 4 3" xfId="1034"/>
    <cellStyle name="Обычный 10 15 5" xfId="1035"/>
    <cellStyle name="Обычный 10 15 5 2" xfId="1036"/>
    <cellStyle name="Обычный 10 15 6" xfId="1037"/>
    <cellStyle name="Обычный 10 15 7" xfId="1038"/>
    <cellStyle name="Обычный 10 16" xfId="1039"/>
    <cellStyle name="Обычный 10 16 2" xfId="1040"/>
    <cellStyle name="Обычный 10 16 2 2" xfId="1041"/>
    <cellStyle name="Обычный 10 16 2 3" xfId="1042"/>
    <cellStyle name="Обычный 10 16 3" xfId="1043"/>
    <cellStyle name="Обычный 10 16 3 2" xfId="1044"/>
    <cellStyle name="Обычный 10 16 3 3" xfId="1045"/>
    <cellStyle name="Обычный 10 16 4" xfId="1046"/>
    <cellStyle name="Обычный 10 16 4 2" xfId="1047"/>
    <cellStyle name="Обычный 10 16 5" xfId="1048"/>
    <cellStyle name="Обычный 10 16 6" xfId="1049"/>
    <cellStyle name="Обычный 10 17" xfId="1050"/>
    <cellStyle name="Обычный 10 17 2" xfId="1051"/>
    <cellStyle name="Обычный 10 17 3" xfId="1052"/>
    <cellStyle name="Обычный 10 18" xfId="1053"/>
    <cellStyle name="Обычный 10 18 2" xfId="1054"/>
    <cellStyle name="Обычный 10 18 3" xfId="1055"/>
    <cellStyle name="Обычный 10 19" xfId="1056"/>
    <cellStyle name="Обычный 10 19 2" xfId="1057"/>
    <cellStyle name="Обычный 10 2" xfId="1058"/>
    <cellStyle name="Обычный 10 2 10" xfId="1059"/>
    <cellStyle name="Обычный 10 2 10 2" xfId="1060"/>
    <cellStyle name="Обычный 10 2 10 3" xfId="1061"/>
    <cellStyle name="Обычный 10 2 11" xfId="1062"/>
    <cellStyle name="Обычный 10 2 11 2" xfId="1063"/>
    <cellStyle name="Обычный 10 2 11 3" xfId="1064"/>
    <cellStyle name="Обычный 10 2 12" xfId="1065"/>
    <cellStyle name="Обычный 10 2 12 2" xfId="1066"/>
    <cellStyle name="Обычный 10 2 13" xfId="1067"/>
    <cellStyle name="Обычный 10 2 14" xfId="1068"/>
    <cellStyle name="Обычный 10 2 2" xfId="1069"/>
    <cellStyle name="Обычный 10 2 2 10" xfId="1070"/>
    <cellStyle name="Обычный 10 2 2 10 2" xfId="1071"/>
    <cellStyle name="Обычный 10 2 2 10 3" xfId="1072"/>
    <cellStyle name="Обычный 10 2 2 11" xfId="1073"/>
    <cellStyle name="Обычный 10 2 2 11 2" xfId="1074"/>
    <cellStyle name="Обычный 10 2 2 12" xfId="1075"/>
    <cellStyle name="Обычный 10 2 2 13" xfId="1076"/>
    <cellStyle name="Обычный 10 2 2 2" xfId="1077"/>
    <cellStyle name="Обычный 10 2 2 2 10" xfId="1078"/>
    <cellStyle name="Обычный 10 2 2 2 2" xfId="1079"/>
    <cellStyle name="Обычный 10 2 2 2 2 2" xfId="1080"/>
    <cellStyle name="Обычный 10 2 2 2 2 2 2" xfId="1081"/>
    <cellStyle name="Обычный 10 2 2 2 2 2 2 2" xfId="1082"/>
    <cellStyle name="Обычный 10 2 2 2 2 2 2 2 2" xfId="1083"/>
    <cellStyle name="Обычный 10 2 2 2 2 2 2 2 2 2" xfId="1084"/>
    <cellStyle name="Обычный 10 2 2 2 2 2 2 2 2 3" xfId="1085"/>
    <cellStyle name="Обычный 10 2 2 2 2 2 2 2 3" xfId="1086"/>
    <cellStyle name="Обычный 10 2 2 2 2 2 2 2 3 2" xfId="1087"/>
    <cellStyle name="Обычный 10 2 2 2 2 2 2 2 3 3" xfId="1088"/>
    <cellStyle name="Обычный 10 2 2 2 2 2 2 2 4" xfId="1089"/>
    <cellStyle name="Обычный 10 2 2 2 2 2 2 2 4 2" xfId="1090"/>
    <cellStyle name="Обычный 10 2 2 2 2 2 2 2 5" xfId="1091"/>
    <cellStyle name="Обычный 10 2 2 2 2 2 2 2 6" xfId="1092"/>
    <cellStyle name="Обычный 10 2 2 2 2 2 2 3" xfId="1093"/>
    <cellStyle name="Обычный 10 2 2 2 2 2 2 3 2" xfId="1094"/>
    <cellStyle name="Обычный 10 2 2 2 2 2 2 3 3" xfId="1095"/>
    <cellStyle name="Обычный 10 2 2 2 2 2 2 4" xfId="1096"/>
    <cellStyle name="Обычный 10 2 2 2 2 2 2 4 2" xfId="1097"/>
    <cellStyle name="Обычный 10 2 2 2 2 2 2 4 3" xfId="1098"/>
    <cellStyle name="Обычный 10 2 2 2 2 2 2 5" xfId="1099"/>
    <cellStyle name="Обычный 10 2 2 2 2 2 2 5 2" xfId="1100"/>
    <cellStyle name="Обычный 10 2 2 2 2 2 2 6" xfId="1101"/>
    <cellStyle name="Обычный 10 2 2 2 2 2 2 7" xfId="1102"/>
    <cellStyle name="Обычный 10 2 2 2 2 2 3" xfId="1103"/>
    <cellStyle name="Обычный 10 2 2 2 2 2 3 2" xfId="1104"/>
    <cellStyle name="Обычный 10 2 2 2 2 2 3 2 2" xfId="1105"/>
    <cellStyle name="Обычный 10 2 2 2 2 2 3 2 3" xfId="1106"/>
    <cellStyle name="Обычный 10 2 2 2 2 2 3 3" xfId="1107"/>
    <cellStyle name="Обычный 10 2 2 2 2 2 3 3 2" xfId="1108"/>
    <cellStyle name="Обычный 10 2 2 2 2 2 3 3 3" xfId="1109"/>
    <cellStyle name="Обычный 10 2 2 2 2 2 3 4" xfId="1110"/>
    <cellStyle name="Обычный 10 2 2 2 2 2 3 4 2" xfId="1111"/>
    <cellStyle name="Обычный 10 2 2 2 2 2 3 5" xfId="1112"/>
    <cellStyle name="Обычный 10 2 2 2 2 2 3 6" xfId="1113"/>
    <cellStyle name="Обычный 10 2 2 2 2 2 4" xfId="1114"/>
    <cellStyle name="Обычный 10 2 2 2 2 2 4 2" xfId="1115"/>
    <cellStyle name="Обычный 10 2 2 2 2 2 4 3" xfId="1116"/>
    <cellStyle name="Обычный 10 2 2 2 2 2 5" xfId="1117"/>
    <cellStyle name="Обычный 10 2 2 2 2 2 5 2" xfId="1118"/>
    <cellStyle name="Обычный 10 2 2 2 2 2 5 3" xfId="1119"/>
    <cellStyle name="Обычный 10 2 2 2 2 2 6" xfId="1120"/>
    <cellStyle name="Обычный 10 2 2 2 2 2 6 2" xfId="1121"/>
    <cellStyle name="Обычный 10 2 2 2 2 2 7" xfId="1122"/>
    <cellStyle name="Обычный 10 2 2 2 2 2 8" xfId="1123"/>
    <cellStyle name="Обычный 10 2 2 2 2 3" xfId="1124"/>
    <cellStyle name="Обычный 10 2 2 2 2 3 2" xfId="1125"/>
    <cellStyle name="Обычный 10 2 2 2 2 3 2 2" xfId="1126"/>
    <cellStyle name="Обычный 10 2 2 2 2 3 2 2 2" xfId="1127"/>
    <cellStyle name="Обычный 10 2 2 2 2 3 2 2 3" xfId="1128"/>
    <cellStyle name="Обычный 10 2 2 2 2 3 2 3" xfId="1129"/>
    <cellStyle name="Обычный 10 2 2 2 2 3 2 3 2" xfId="1130"/>
    <cellStyle name="Обычный 10 2 2 2 2 3 2 3 3" xfId="1131"/>
    <cellStyle name="Обычный 10 2 2 2 2 3 2 4" xfId="1132"/>
    <cellStyle name="Обычный 10 2 2 2 2 3 2 4 2" xfId="1133"/>
    <cellStyle name="Обычный 10 2 2 2 2 3 2 5" xfId="1134"/>
    <cellStyle name="Обычный 10 2 2 2 2 3 2 6" xfId="1135"/>
    <cellStyle name="Обычный 10 2 2 2 2 3 3" xfId="1136"/>
    <cellStyle name="Обычный 10 2 2 2 2 3 3 2" xfId="1137"/>
    <cellStyle name="Обычный 10 2 2 2 2 3 3 3" xfId="1138"/>
    <cellStyle name="Обычный 10 2 2 2 2 3 4" xfId="1139"/>
    <cellStyle name="Обычный 10 2 2 2 2 3 4 2" xfId="1140"/>
    <cellStyle name="Обычный 10 2 2 2 2 3 4 3" xfId="1141"/>
    <cellStyle name="Обычный 10 2 2 2 2 3 5" xfId="1142"/>
    <cellStyle name="Обычный 10 2 2 2 2 3 5 2" xfId="1143"/>
    <cellStyle name="Обычный 10 2 2 2 2 3 6" xfId="1144"/>
    <cellStyle name="Обычный 10 2 2 2 2 3 7" xfId="1145"/>
    <cellStyle name="Обычный 10 2 2 2 2 4" xfId="1146"/>
    <cellStyle name="Обычный 10 2 2 2 2 4 2" xfId="1147"/>
    <cellStyle name="Обычный 10 2 2 2 2 4 2 2" xfId="1148"/>
    <cellStyle name="Обычный 10 2 2 2 2 4 2 3" xfId="1149"/>
    <cellStyle name="Обычный 10 2 2 2 2 4 3" xfId="1150"/>
    <cellStyle name="Обычный 10 2 2 2 2 4 3 2" xfId="1151"/>
    <cellStyle name="Обычный 10 2 2 2 2 4 3 3" xfId="1152"/>
    <cellStyle name="Обычный 10 2 2 2 2 4 4" xfId="1153"/>
    <cellStyle name="Обычный 10 2 2 2 2 4 4 2" xfId="1154"/>
    <cellStyle name="Обычный 10 2 2 2 2 4 5" xfId="1155"/>
    <cellStyle name="Обычный 10 2 2 2 2 4 6" xfId="1156"/>
    <cellStyle name="Обычный 10 2 2 2 2 5" xfId="1157"/>
    <cellStyle name="Обычный 10 2 2 2 2 5 2" xfId="1158"/>
    <cellStyle name="Обычный 10 2 2 2 2 5 3" xfId="1159"/>
    <cellStyle name="Обычный 10 2 2 2 2 6" xfId="1160"/>
    <cellStyle name="Обычный 10 2 2 2 2 6 2" xfId="1161"/>
    <cellStyle name="Обычный 10 2 2 2 2 6 3" xfId="1162"/>
    <cellStyle name="Обычный 10 2 2 2 2 7" xfId="1163"/>
    <cellStyle name="Обычный 10 2 2 2 2 7 2" xfId="1164"/>
    <cellStyle name="Обычный 10 2 2 2 2 8" xfId="1165"/>
    <cellStyle name="Обычный 10 2 2 2 2 9" xfId="1166"/>
    <cellStyle name="Обычный 10 2 2 2 3" xfId="1167"/>
    <cellStyle name="Обычный 10 2 2 2 3 2" xfId="1168"/>
    <cellStyle name="Обычный 10 2 2 2 3 2 2" xfId="1169"/>
    <cellStyle name="Обычный 10 2 2 2 3 2 2 2" xfId="1170"/>
    <cellStyle name="Обычный 10 2 2 2 3 2 2 2 2" xfId="1171"/>
    <cellStyle name="Обычный 10 2 2 2 3 2 2 2 3" xfId="1172"/>
    <cellStyle name="Обычный 10 2 2 2 3 2 2 3" xfId="1173"/>
    <cellStyle name="Обычный 10 2 2 2 3 2 2 3 2" xfId="1174"/>
    <cellStyle name="Обычный 10 2 2 2 3 2 2 3 3" xfId="1175"/>
    <cellStyle name="Обычный 10 2 2 2 3 2 2 4" xfId="1176"/>
    <cellStyle name="Обычный 10 2 2 2 3 2 2 4 2" xfId="1177"/>
    <cellStyle name="Обычный 10 2 2 2 3 2 2 5" xfId="1178"/>
    <cellStyle name="Обычный 10 2 2 2 3 2 2 6" xfId="1179"/>
    <cellStyle name="Обычный 10 2 2 2 3 2 3" xfId="1180"/>
    <cellStyle name="Обычный 10 2 2 2 3 2 3 2" xfId="1181"/>
    <cellStyle name="Обычный 10 2 2 2 3 2 3 3" xfId="1182"/>
    <cellStyle name="Обычный 10 2 2 2 3 2 4" xfId="1183"/>
    <cellStyle name="Обычный 10 2 2 2 3 2 4 2" xfId="1184"/>
    <cellStyle name="Обычный 10 2 2 2 3 2 4 3" xfId="1185"/>
    <cellStyle name="Обычный 10 2 2 2 3 2 5" xfId="1186"/>
    <cellStyle name="Обычный 10 2 2 2 3 2 5 2" xfId="1187"/>
    <cellStyle name="Обычный 10 2 2 2 3 2 6" xfId="1188"/>
    <cellStyle name="Обычный 10 2 2 2 3 2 7" xfId="1189"/>
    <cellStyle name="Обычный 10 2 2 2 3 3" xfId="1190"/>
    <cellStyle name="Обычный 10 2 2 2 3 3 2" xfId="1191"/>
    <cellStyle name="Обычный 10 2 2 2 3 3 2 2" xfId="1192"/>
    <cellStyle name="Обычный 10 2 2 2 3 3 2 3" xfId="1193"/>
    <cellStyle name="Обычный 10 2 2 2 3 3 3" xfId="1194"/>
    <cellStyle name="Обычный 10 2 2 2 3 3 3 2" xfId="1195"/>
    <cellStyle name="Обычный 10 2 2 2 3 3 3 3" xfId="1196"/>
    <cellStyle name="Обычный 10 2 2 2 3 3 4" xfId="1197"/>
    <cellStyle name="Обычный 10 2 2 2 3 3 4 2" xfId="1198"/>
    <cellStyle name="Обычный 10 2 2 2 3 3 5" xfId="1199"/>
    <cellStyle name="Обычный 10 2 2 2 3 3 6" xfId="1200"/>
    <cellStyle name="Обычный 10 2 2 2 3 4" xfId="1201"/>
    <cellStyle name="Обычный 10 2 2 2 3 4 2" xfId="1202"/>
    <cellStyle name="Обычный 10 2 2 2 3 4 3" xfId="1203"/>
    <cellStyle name="Обычный 10 2 2 2 3 5" xfId="1204"/>
    <cellStyle name="Обычный 10 2 2 2 3 5 2" xfId="1205"/>
    <cellStyle name="Обычный 10 2 2 2 3 5 3" xfId="1206"/>
    <cellStyle name="Обычный 10 2 2 2 3 6" xfId="1207"/>
    <cellStyle name="Обычный 10 2 2 2 3 6 2" xfId="1208"/>
    <cellStyle name="Обычный 10 2 2 2 3 7" xfId="1209"/>
    <cellStyle name="Обычный 10 2 2 2 3 8" xfId="1210"/>
    <cellStyle name="Обычный 10 2 2 2 4" xfId="1211"/>
    <cellStyle name="Обычный 10 2 2 2 4 2" xfId="1212"/>
    <cellStyle name="Обычный 10 2 2 2 4 2 2" xfId="1213"/>
    <cellStyle name="Обычный 10 2 2 2 4 2 2 2" xfId="1214"/>
    <cellStyle name="Обычный 10 2 2 2 4 2 2 3" xfId="1215"/>
    <cellStyle name="Обычный 10 2 2 2 4 2 3" xfId="1216"/>
    <cellStyle name="Обычный 10 2 2 2 4 2 3 2" xfId="1217"/>
    <cellStyle name="Обычный 10 2 2 2 4 2 3 3" xfId="1218"/>
    <cellStyle name="Обычный 10 2 2 2 4 2 4" xfId="1219"/>
    <cellStyle name="Обычный 10 2 2 2 4 2 4 2" xfId="1220"/>
    <cellStyle name="Обычный 10 2 2 2 4 2 5" xfId="1221"/>
    <cellStyle name="Обычный 10 2 2 2 4 2 6" xfId="1222"/>
    <cellStyle name="Обычный 10 2 2 2 4 3" xfId="1223"/>
    <cellStyle name="Обычный 10 2 2 2 4 3 2" xfId="1224"/>
    <cellStyle name="Обычный 10 2 2 2 4 3 3" xfId="1225"/>
    <cellStyle name="Обычный 10 2 2 2 4 4" xfId="1226"/>
    <cellStyle name="Обычный 10 2 2 2 4 4 2" xfId="1227"/>
    <cellStyle name="Обычный 10 2 2 2 4 4 3" xfId="1228"/>
    <cellStyle name="Обычный 10 2 2 2 4 5" xfId="1229"/>
    <cellStyle name="Обычный 10 2 2 2 4 5 2" xfId="1230"/>
    <cellStyle name="Обычный 10 2 2 2 4 6" xfId="1231"/>
    <cellStyle name="Обычный 10 2 2 2 4 7" xfId="1232"/>
    <cellStyle name="Обычный 10 2 2 2 5" xfId="1233"/>
    <cellStyle name="Обычный 10 2 2 2 5 2" xfId="1234"/>
    <cellStyle name="Обычный 10 2 2 2 5 2 2" xfId="1235"/>
    <cellStyle name="Обычный 10 2 2 2 5 2 3" xfId="1236"/>
    <cellStyle name="Обычный 10 2 2 2 5 3" xfId="1237"/>
    <cellStyle name="Обычный 10 2 2 2 5 3 2" xfId="1238"/>
    <cellStyle name="Обычный 10 2 2 2 5 3 3" xfId="1239"/>
    <cellStyle name="Обычный 10 2 2 2 5 4" xfId="1240"/>
    <cellStyle name="Обычный 10 2 2 2 5 4 2" xfId="1241"/>
    <cellStyle name="Обычный 10 2 2 2 5 5" xfId="1242"/>
    <cellStyle name="Обычный 10 2 2 2 5 6" xfId="1243"/>
    <cellStyle name="Обычный 10 2 2 2 6" xfId="1244"/>
    <cellStyle name="Обычный 10 2 2 2 6 2" xfId="1245"/>
    <cellStyle name="Обычный 10 2 2 2 6 3" xfId="1246"/>
    <cellStyle name="Обычный 10 2 2 2 7" xfId="1247"/>
    <cellStyle name="Обычный 10 2 2 2 7 2" xfId="1248"/>
    <cellStyle name="Обычный 10 2 2 2 7 3" xfId="1249"/>
    <cellStyle name="Обычный 10 2 2 2 8" xfId="1250"/>
    <cellStyle name="Обычный 10 2 2 2 8 2" xfId="1251"/>
    <cellStyle name="Обычный 10 2 2 2 9" xfId="1252"/>
    <cellStyle name="Обычный 10 2 2 3" xfId="1253"/>
    <cellStyle name="Обычный 10 2 2 3 10" xfId="1254"/>
    <cellStyle name="Обычный 10 2 2 3 2" xfId="1255"/>
    <cellStyle name="Обычный 10 2 2 3 2 2" xfId="1256"/>
    <cellStyle name="Обычный 10 2 2 3 2 2 2" xfId="1257"/>
    <cellStyle name="Обычный 10 2 2 3 2 2 2 2" xfId="1258"/>
    <cellStyle name="Обычный 10 2 2 3 2 2 2 2 2" xfId="1259"/>
    <cellStyle name="Обычный 10 2 2 3 2 2 2 2 2 2" xfId="1260"/>
    <cellStyle name="Обычный 10 2 2 3 2 2 2 2 2 3" xfId="1261"/>
    <cellStyle name="Обычный 10 2 2 3 2 2 2 2 3" xfId="1262"/>
    <cellStyle name="Обычный 10 2 2 3 2 2 2 2 3 2" xfId="1263"/>
    <cellStyle name="Обычный 10 2 2 3 2 2 2 2 3 3" xfId="1264"/>
    <cellStyle name="Обычный 10 2 2 3 2 2 2 2 4" xfId="1265"/>
    <cellStyle name="Обычный 10 2 2 3 2 2 2 2 4 2" xfId="1266"/>
    <cellStyle name="Обычный 10 2 2 3 2 2 2 2 5" xfId="1267"/>
    <cellStyle name="Обычный 10 2 2 3 2 2 2 2 6" xfId="1268"/>
    <cellStyle name="Обычный 10 2 2 3 2 2 2 3" xfId="1269"/>
    <cellStyle name="Обычный 10 2 2 3 2 2 2 3 2" xfId="1270"/>
    <cellStyle name="Обычный 10 2 2 3 2 2 2 3 3" xfId="1271"/>
    <cellStyle name="Обычный 10 2 2 3 2 2 2 4" xfId="1272"/>
    <cellStyle name="Обычный 10 2 2 3 2 2 2 4 2" xfId="1273"/>
    <cellStyle name="Обычный 10 2 2 3 2 2 2 4 3" xfId="1274"/>
    <cellStyle name="Обычный 10 2 2 3 2 2 2 5" xfId="1275"/>
    <cellStyle name="Обычный 10 2 2 3 2 2 2 5 2" xfId="1276"/>
    <cellStyle name="Обычный 10 2 2 3 2 2 2 6" xfId="1277"/>
    <cellStyle name="Обычный 10 2 2 3 2 2 2 7" xfId="1278"/>
    <cellStyle name="Обычный 10 2 2 3 2 2 3" xfId="1279"/>
    <cellStyle name="Обычный 10 2 2 3 2 2 3 2" xfId="1280"/>
    <cellStyle name="Обычный 10 2 2 3 2 2 3 2 2" xfId="1281"/>
    <cellStyle name="Обычный 10 2 2 3 2 2 3 2 3" xfId="1282"/>
    <cellStyle name="Обычный 10 2 2 3 2 2 3 3" xfId="1283"/>
    <cellStyle name="Обычный 10 2 2 3 2 2 3 3 2" xfId="1284"/>
    <cellStyle name="Обычный 10 2 2 3 2 2 3 3 3" xfId="1285"/>
    <cellStyle name="Обычный 10 2 2 3 2 2 3 4" xfId="1286"/>
    <cellStyle name="Обычный 10 2 2 3 2 2 3 4 2" xfId="1287"/>
    <cellStyle name="Обычный 10 2 2 3 2 2 3 5" xfId="1288"/>
    <cellStyle name="Обычный 10 2 2 3 2 2 3 6" xfId="1289"/>
    <cellStyle name="Обычный 10 2 2 3 2 2 4" xfId="1290"/>
    <cellStyle name="Обычный 10 2 2 3 2 2 4 2" xfId="1291"/>
    <cellStyle name="Обычный 10 2 2 3 2 2 4 3" xfId="1292"/>
    <cellStyle name="Обычный 10 2 2 3 2 2 5" xfId="1293"/>
    <cellStyle name="Обычный 10 2 2 3 2 2 5 2" xfId="1294"/>
    <cellStyle name="Обычный 10 2 2 3 2 2 5 3" xfId="1295"/>
    <cellStyle name="Обычный 10 2 2 3 2 2 6" xfId="1296"/>
    <cellStyle name="Обычный 10 2 2 3 2 2 6 2" xfId="1297"/>
    <cellStyle name="Обычный 10 2 2 3 2 2 7" xfId="1298"/>
    <cellStyle name="Обычный 10 2 2 3 2 2 8" xfId="1299"/>
    <cellStyle name="Обычный 10 2 2 3 2 3" xfId="1300"/>
    <cellStyle name="Обычный 10 2 2 3 2 3 2" xfId="1301"/>
    <cellStyle name="Обычный 10 2 2 3 2 3 2 2" xfId="1302"/>
    <cellStyle name="Обычный 10 2 2 3 2 3 2 2 2" xfId="1303"/>
    <cellStyle name="Обычный 10 2 2 3 2 3 2 2 3" xfId="1304"/>
    <cellStyle name="Обычный 10 2 2 3 2 3 2 3" xfId="1305"/>
    <cellStyle name="Обычный 10 2 2 3 2 3 2 3 2" xfId="1306"/>
    <cellStyle name="Обычный 10 2 2 3 2 3 2 3 3" xfId="1307"/>
    <cellStyle name="Обычный 10 2 2 3 2 3 2 4" xfId="1308"/>
    <cellStyle name="Обычный 10 2 2 3 2 3 2 4 2" xfId="1309"/>
    <cellStyle name="Обычный 10 2 2 3 2 3 2 5" xfId="1310"/>
    <cellStyle name="Обычный 10 2 2 3 2 3 2 6" xfId="1311"/>
    <cellStyle name="Обычный 10 2 2 3 2 3 3" xfId="1312"/>
    <cellStyle name="Обычный 10 2 2 3 2 3 3 2" xfId="1313"/>
    <cellStyle name="Обычный 10 2 2 3 2 3 3 3" xfId="1314"/>
    <cellStyle name="Обычный 10 2 2 3 2 3 4" xfId="1315"/>
    <cellStyle name="Обычный 10 2 2 3 2 3 4 2" xfId="1316"/>
    <cellStyle name="Обычный 10 2 2 3 2 3 4 3" xfId="1317"/>
    <cellStyle name="Обычный 10 2 2 3 2 3 5" xfId="1318"/>
    <cellStyle name="Обычный 10 2 2 3 2 3 5 2" xfId="1319"/>
    <cellStyle name="Обычный 10 2 2 3 2 3 6" xfId="1320"/>
    <cellStyle name="Обычный 10 2 2 3 2 3 7" xfId="1321"/>
    <cellStyle name="Обычный 10 2 2 3 2 4" xfId="1322"/>
    <cellStyle name="Обычный 10 2 2 3 2 4 2" xfId="1323"/>
    <cellStyle name="Обычный 10 2 2 3 2 4 2 2" xfId="1324"/>
    <cellStyle name="Обычный 10 2 2 3 2 4 2 3" xfId="1325"/>
    <cellStyle name="Обычный 10 2 2 3 2 4 3" xfId="1326"/>
    <cellStyle name="Обычный 10 2 2 3 2 4 3 2" xfId="1327"/>
    <cellStyle name="Обычный 10 2 2 3 2 4 3 3" xfId="1328"/>
    <cellStyle name="Обычный 10 2 2 3 2 4 4" xfId="1329"/>
    <cellStyle name="Обычный 10 2 2 3 2 4 4 2" xfId="1330"/>
    <cellStyle name="Обычный 10 2 2 3 2 4 5" xfId="1331"/>
    <cellStyle name="Обычный 10 2 2 3 2 4 6" xfId="1332"/>
    <cellStyle name="Обычный 10 2 2 3 2 5" xfId="1333"/>
    <cellStyle name="Обычный 10 2 2 3 2 5 2" xfId="1334"/>
    <cellStyle name="Обычный 10 2 2 3 2 5 3" xfId="1335"/>
    <cellStyle name="Обычный 10 2 2 3 2 6" xfId="1336"/>
    <cellStyle name="Обычный 10 2 2 3 2 6 2" xfId="1337"/>
    <cellStyle name="Обычный 10 2 2 3 2 6 3" xfId="1338"/>
    <cellStyle name="Обычный 10 2 2 3 2 7" xfId="1339"/>
    <cellStyle name="Обычный 10 2 2 3 2 7 2" xfId="1340"/>
    <cellStyle name="Обычный 10 2 2 3 2 8" xfId="1341"/>
    <cellStyle name="Обычный 10 2 2 3 2 9" xfId="1342"/>
    <cellStyle name="Обычный 10 2 2 3 3" xfId="1343"/>
    <cellStyle name="Обычный 10 2 2 3 3 2" xfId="1344"/>
    <cellStyle name="Обычный 10 2 2 3 3 2 2" xfId="1345"/>
    <cellStyle name="Обычный 10 2 2 3 3 2 2 2" xfId="1346"/>
    <cellStyle name="Обычный 10 2 2 3 3 2 2 2 2" xfId="1347"/>
    <cellStyle name="Обычный 10 2 2 3 3 2 2 2 3" xfId="1348"/>
    <cellStyle name="Обычный 10 2 2 3 3 2 2 3" xfId="1349"/>
    <cellStyle name="Обычный 10 2 2 3 3 2 2 3 2" xfId="1350"/>
    <cellStyle name="Обычный 10 2 2 3 3 2 2 3 3" xfId="1351"/>
    <cellStyle name="Обычный 10 2 2 3 3 2 2 4" xfId="1352"/>
    <cellStyle name="Обычный 10 2 2 3 3 2 2 4 2" xfId="1353"/>
    <cellStyle name="Обычный 10 2 2 3 3 2 2 5" xfId="1354"/>
    <cellStyle name="Обычный 10 2 2 3 3 2 2 6" xfId="1355"/>
    <cellStyle name="Обычный 10 2 2 3 3 2 3" xfId="1356"/>
    <cellStyle name="Обычный 10 2 2 3 3 2 3 2" xfId="1357"/>
    <cellStyle name="Обычный 10 2 2 3 3 2 3 3" xfId="1358"/>
    <cellStyle name="Обычный 10 2 2 3 3 2 4" xfId="1359"/>
    <cellStyle name="Обычный 10 2 2 3 3 2 4 2" xfId="1360"/>
    <cellStyle name="Обычный 10 2 2 3 3 2 4 3" xfId="1361"/>
    <cellStyle name="Обычный 10 2 2 3 3 2 5" xfId="1362"/>
    <cellStyle name="Обычный 10 2 2 3 3 2 5 2" xfId="1363"/>
    <cellStyle name="Обычный 10 2 2 3 3 2 6" xfId="1364"/>
    <cellStyle name="Обычный 10 2 2 3 3 2 7" xfId="1365"/>
    <cellStyle name="Обычный 10 2 2 3 3 3" xfId="1366"/>
    <cellStyle name="Обычный 10 2 2 3 3 3 2" xfId="1367"/>
    <cellStyle name="Обычный 10 2 2 3 3 3 2 2" xfId="1368"/>
    <cellStyle name="Обычный 10 2 2 3 3 3 2 3" xfId="1369"/>
    <cellStyle name="Обычный 10 2 2 3 3 3 3" xfId="1370"/>
    <cellStyle name="Обычный 10 2 2 3 3 3 3 2" xfId="1371"/>
    <cellStyle name="Обычный 10 2 2 3 3 3 3 3" xfId="1372"/>
    <cellStyle name="Обычный 10 2 2 3 3 3 4" xfId="1373"/>
    <cellStyle name="Обычный 10 2 2 3 3 3 4 2" xfId="1374"/>
    <cellStyle name="Обычный 10 2 2 3 3 3 5" xfId="1375"/>
    <cellStyle name="Обычный 10 2 2 3 3 3 6" xfId="1376"/>
    <cellStyle name="Обычный 10 2 2 3 3 4" xfId="1377"/>
    <cellStyle name="Обычный 10 2 2 3 3 4 2" xfId="1378"/>
    <cellStyle name="Обычный 10 2 2 3 3 4 3" xfId="1379"/>
    <cellStyle name="Обычный 10 2 2 3 3 5" xfId="1380"/>
    <cellStyle name="Обычный 10 2 2 3 3 5 2" xfId="1381"/>
    <cellStyle name="Обычный 10 2 2 3 3 5 3" xfId="1382"/>
    <cellStyle name="Обычный 10 2 2 3 3 6" xfId="1383"/>
    <cellStyle name="Обычный 10 2 2 3 3 6 2" xfId="1384"/>
    <cellStyle name="Обычный 10 2 2 3 3 7" xfId="1385"/>
    <cellStyle name="Обычный 10 2 2 3 3 8" xfId="1386"/>
    <cellStyle name="Обычный 10 2 2 3 4" xfId="1387"/>
    <cellStyle name="Обычный 10 2 2 3 4 2" xfId="1388"/>
    <cellStyle name="Обычный 10 2 2 3 4 2 2" xfId="1389"/>
    <cellStyle name="Обычный 10 2 2 3 4 2 2 2" xfId="1390"/>
    <cellStyle name="Обычный 10 2 2 3 4 2 2 3" xfId="1391"/>
    <cellStyle name="Обычный 10 2 2 3 4 2 3" xfId="1392"/>
    <cellStyle name="Обычный 10 2 2 3 4 2 3 2" xfId="1393"/>
    <cellStyle name="Обычный 10 2 2 3 4 2 3 3" xfId="1394"/>
    <cellStyle name="Обычный 10 2 2 3 4 2 4" xfId="1395"/>
    <cellStyle name="Обычный 10 2 2 3 4 2 4 2" xfId="1396"/>
    <cellStyle name="Обычный 10 2 2 3 4 2 5" xfId="1397"/>
    <cellStyle name="Обычный 10 2 2 3 4 2 6" xfId="1398"/>
    <cellStyle name="Обычный 10 2 2 3 4 3" xfId="1399"/>
    <cellStyle name="Обычный 10 2 2 3 4 3 2" xfId="1400"/>
    <cellStyle name="Обычный 10 2 2 3 4 3 3" xfId="1401"/>
    <cellStyle name="Обычный 10 2 2 3 4 4" xfId="1402"/>
    <cellStyle name="Обычный 10 2 2 3 4 4 2" xfId="1403"/>
    <cellStyle name="Обычный 10 2 2 3 4 4 3" xfId="1404"/>
    <cellStyle name="Обычный 10 2 2 3 4 5" xfId="1405"/>
    <cellStyle name="Обычный 10 2 2 3 4 5 2" xfId="1406"/>
    <cellStyle name="Обычный 10 2 2 3 4 6" xfId="1407"/>
    <cellStyle name="Обычный 10 2 2 3 4 7" xfId="1408"/>
    <cellStyle name="Обычный 10 2 2 3 5" xfId="1409"/>
    <cellStyle name="Обычный 10 2 2 3 5 2" xfId="1410"/>
    <cellStyle name="Обычный 10 2 2 3 5 2 2" xfId="1411"/>
    <cellStyle name="Обычный 10 2 2 3 5 2 3" xfId="1412"/>
    <cellStyle name="Обычный 10 2 2 3 5 3" xfId="1413"/>
    <cellStyle name="Обычный 10 2 2 3 5 3 2" xfId="1414"/>
    <cellStyle name="Обычный 10 2 2 3 5 3 3" xfId="1415"/>
    <cellStyle name="Обычный 10 2 2 3 5 4" xfId="1416"/>
    <cellStyle name="Обычный 10 2 2 3 5 4 2" xfId="1417"/>
    <cellStyle name="Обычный 10 2 2 3 5 5" xfId="1418"/>
    <cellStyle name="Обычный 10 2 2 3 5 6" xfId="1419"/>
    <cellStyle name="Обычный 10 2 2 3 6" xfId="1420"/>
    <cellStyle name="Обычный 10 2 2 3 6 2" xfId="1421"/>
    <cellStyle name="Обычный 10 2 2 3 6 3" xfId="1422"/>
    <cellStyle name="Обычный 10 2 2 3 7" xfId="1423"/>
    <cellStyle name="Обычный 10 2 2 3 7 2" xfId="1424"/>
    <cellStyle name="Обычный 10 2 2 3 7 3" xfId="1425"/>
    <cellStyle name="Обычный 10 2 2 3 8" xfId="1426"/>
    <cellStyle name="Обычный 10 2 2 3 8 2" xfId="1427"/>
    <cellStyle name="Обычный 10 2 2 3 9" xfId="1428"/>
    <cellStyle name="Обычный 10 2 2 4" xfId="1429"/>
    <cellStyle name="Обычный 10 2 2 4 10" xfId="1430"/>
    <cellStyle name="Обычный 10 2 2 4 2" xfId="1431"/>
    <cellStyle name="Обычный 10 2 2 4 2 2" xfId="1432"/>
    <cellStyle name="Обычный 10 2 2 4 2 2 2" xfId="1433"/>
    <cellStyle name="Обычный 10 2 2 4 2 2 2 2" xfId="1434"/>
    <cellStyle name="Обычный 10 2 2 4 2 2 2 2 2" xfId="1435"/>
    <cellStyle name="Обычный 10 2 2 4 2 2 2 2 2 2" xfId="1436"/>
    <cellStyle name="Обычный 10 2 2 4 2 2 2 2 2 3" xfId="1437"/>
    <cellStyle name="Обычный 10 2 2 4 2 2 2 2 3" xfId="1438"/>
    <cellStyle name="Обычный 10 2 2 4 2 2 2 2 3 2" xfId="1439"/>
    <cellStyle name="Обычный 10 2 2 4 2 2 2 2 3 3" xfId="1440"/>
    <cellStyle name="Обычный 10 2 2 4 2 2 2 2 4" xfId="1441"/>
    <cellStyle name="Обычный 10 2 2 4 2 2 2 2 4 2" xfId="1442"/>
    <cellStyle name="Обычный 10 2 2 4 2 2 2 2 5" xfId="1443"/>
    <cellStyle name="Обычный 10 2 2 4 2 2 2 2 6" xfId="1444"/>
    <cellStyle name="Обычный 10 2 2 4 2 2 2 3" xfId="1445"/>
    <cellStyle name="Обычный 10 2 2 4 2 2 2 3 2" xfId="1446"/>
    <cellStyle name="Обычный 10 2 2 4 2 2 2 3 3" xfId="1447"/>
    <cellStyle name="Обычный 10 2 2 4 2 2 2 4" xfId="1448"/>
    <cellStyle name="Обычный 10 2 2 4 2 2 2 4 2" xfId="1449"/>
    <cellStyle name="Обычный 10 2 2 4 2 2 2 4 3" xfId="1450"/>
    <cellStyle name="Обычный 10 2 2 4 2 2 2 5" xfId="1451"/>
    <cellStyle name="Обычный 10 2 2 4 2 2 2 5 2" xfId="1452"/>
    <cellStyle name="Обычный 10 2 2 4 2 2 2 6" xfId="1453"/>
    <cellStyle name="Обычный 10 2 2 4 2 2 2 7" xfId="1454"/>
    <cellStyle name="Обычный 10 2 2 4 2 2 3" xfId="1455"/>
    <cellStyle name="Обычный 10 2 2 4 2 2 3 2" xfId="1456"/>
    <cellStyle name="Обычный 10 2 2 4 2 2 3 2 2" xfId="1457"/>
    <cellStyle name="Обычный 10 2 2 4 2 2 3 2 3" xfId="1458"/>
    <cellStyle name="Обычный 10 2 2 4 2 2 3 3" xfId="1459"/>
    <cellStyle name="Обычный 10 2 2 4 2 2 3 3 2" xfId="1460"/>
    <cellStyle name="Обычный 10 2 2 4 2 2 3 3 3" xfId="1461"/>
    <cellStyle name="Обычный 10 2 2 4 2 2 3 4" xfId="1462"/>
    <cellStyle name="Обычный 10 2 2 4 2 2 3 4 2" xfId="1463"/>
    <cellStyle name="Обычный 10 2 2 4 2 2 3 5" xfId="1464"/>
    <cellStyle name="Обычный 10 2 2 4 2 2 3 6" xfId="1465"/>
    <cellStyle name="Обычный 10 2 2 4 2 2 4" xfId="1466"/>
    <cellStyle name="Обычный 10 2 2 4 2 2 4 2" xfId="1467"/>
    <cellStyle name="Обычный 10 2 2 4 2 2 4 3" xfId="1468"/>
    <cellStyle name="Обычный 10 2 2 4 2 2 5" xfId="1469"/>
    <cellStyle name="Обычный 10 2 2 4 2 2 5 2" xfId="1470"/>
    <cellStyle name="Обычный 10 2 2 4 2 2 5 3" xfId="1471"/>
    <cellStyle name="Обычный 10 2 2 4 2 2 6" xfId="1472"/>
    <cellStyle name="Обычный 10 2 2 4 2 2 6 2" xfId="1473"/>
    <cellStyle name="Обычный 10 2 2 4 2 2 7" xfId="1474"/>
    <cellStyle name="Обычный 10 2 2 4 2 2 8" xfId="1475"/>
    <cellStyle name="Обычный 10 2 2 4 2 3" xfId="1476"/>
    <cellStyle name="Обычный 10 2 2 4 2 3 2" xfId="1477"/>
    <cellStyle name="Обычный 10 2 2 4 2 3 2 2" xfId="1478"/>
    <cellStyle name="Обычный 10 2 2 4 2 3 2 2 2" xfId="1479"/>
    <cellStyle name="Обычный 10 2 2 4 2 3 2 2 3" xfId="1480"/>
    <cellStyle name="Обычный 10 2 2 4 2 3 2 3" xfId="1481"/>
    <cellStyle name="Обычный 10 2 2 4 2 3 2 3 2" xfId="1482"/>
    <cellStyle name="Обычный 10 2 2 4 2 3 2 3 3" xfId="1483"/>
    <cellStyle name="Обычный 10 2 2 4 2 3 2 4" xfId="1484"/>
    <cellStyle name="Обычный 10 2 2 4 2 3 2 4 2" xfId="1485"/>
    <cellStyle name="Обычный 10 2 2 4 2 3 2 5" xfId="1486"/>
    <cellStyle name="Обычный 10 2 2 4 2 3 2 6" xfId="1487"/>
    <cellStyle name="Обычный 10 2 2 4 2 3 3" xfId="1488"/>
    <cellStyle name="Обычный 10 2 2 4 2 3 3 2" xfId="1489"/>
    <cellStyle name="Обычный 10 2 2 4 2 3 3 3" xfId="1490"/>
    <cellStyle name="Обычный 10 2 2 4 2 3 4" xfId="1491"/>
    <cellStyle name="Обычный 10 2 2 4 2 3 4 2" xfId="1492"/>
    <cellStyle name="Обычный 10 2 2 4 2 3 4 3" xfId="1493"/>
    <cellStyle name="Обычный 10 2 2 4 2 3 5" xfId="1494"/>
    <cellStyle name="Обычный 10 2 2 4 2 3 5 2" xfId="1495"/>
    <cellStyle name="Обычный 10 2 2 4 2 3 6" xfId="1496"/>
    <cellStyle name="Обычный 10 2 2 4 2 3 7" xfId="1497"/>
    <cellStyle name="Обычный 10 2 2 4 2 4" xfId="1498"/>
    <cellStyle name="Обычный 10 2 2 4 2 4 2" xfId="1499"/>
    <cellStyle name="Обычный 10 2 2 4 2 4 2 2" xfId="1500"/>
    <cellStyle name="Обычный 10 2 2 4 2 4 2 3" xfId="1501"/>
    <cellStyle name="Обычный 10 2 2 4 2 4 3" xfId="1502"/>
    <cellStyle name="Обычный 10 2 2 4 2 4 3 2" xfId="1503"/>
    <cellStyle name="Обычный 10 2 2 4 2 4 3 3" xfId="1504"/>
    <cellStyle name="Обычный 10 2 2 4 2 4 4" xfId="1505"/>
    <cellStyle name="Обычный 10 2 2 4 2 4 4 2" xfId="1506"/>
    <cellStyle name="Обычный 10 2 2 4 2 4 5" xfId="1507"/>
    <cellStyle name="Обычный 10 2 2 4 2 4 6" xfId="1508"/>
    <cellStyle name="Обычный 10 2 2 4 2 5" xfId="1509"/>
    <cellStyle name="Обычный 10 2 2 4 2 5 2" xfId="1510"/>
    <cellStyle name="Обычный 10 2 2 4 2 5 3" xfId="1511"/>
    <cellStyle name="Обычный 10 2 2 4 2 6" xfId="1512"/>
    <cellStyle name="Обычный 10 2 2 4 2 6 2" xfId="1513"/>
    <cellStyle name="Обычный 10 2 2 4 2 6 3" xfId="1514"/>
    <cellStyle name="Обычный 10 2 2 4 2 7" xfId="1515"/>
    <cellStyle name="Обычный 10 2 2 4 2 7 2" xfId="1516"/>
    <cellStyle name="Обычный 10 2 2 4 2 8" xfId="1517"/>
    <cellStyle name="Обычный 10 2 2 4 2 9" xfId="1518"/>
    <cellStyle name="Обычный 10 2 2 4 3" xfId="1519"/>
    <cellStyle name="Обычный 10 2 2 4 3 2" xfId="1520"/>
    <cellStyle name="Обычный 10 2 2 4 3 2 2" xfId="1521"/>
    <cellStyle name="Обычный 10 2 2 4 3 2 2 2" xfId="1522"/>
    <cellStyle name="Обычный 10 2 2 4 3 2 2 2 2" xfId="1523"/>
    <cellStyle name="Обычный 10 2 2 4 3 2 2 2 3" xfId="1524"/>
    <cellStyle name="Обычный 10 2 2 4 3 2 2 3" xfId="1525"/>
    <cellStyle name="Обычный 10 2 2 4 3 2 2 3 2" xfId="1526"/>
    <cellStyle name="Обычный 10 2 2 4 3 2 2 3 3" xfId="1527"/>
    <cellStyle name="Обычный 10 2 2 4 3 2 2 4" xfId="1528"/>
    <cellStyle name="Обычный 10 2 2 4 3 2 2 4 2" xfId="1529"/>
    <cellStyle name="Обычный 10 2 2 4 3 2 2 5" xfId="1530"/>
    <cellStyle name="Обычный 10 2 2 4 3 2 2 6" xfId="1531"/>
    <cellStyle name="Обычный 10 2 2 4 3 2 3" xfId="1532"/>
    <cellStyle name="Обычный 10 2 2 4 3 2 3 2" xfId="1533"/>
    <cellStyle name="Обычный 10 2 2 4 3 2 3 3" xfId="1534"/>
    <cellStyle name="Обычный 10 2 2 4 3 2 4" xfId="1535"/>
    <cellStyle name="Обычный 10 2 2 4 3 2 4 2" xfId="1536"/>
    <cellStyle name="Обычный 10 2 2 4 3 2 4 3" xfId="1537"/>
    <cellStyle name="Обычный 10 2 2 4 3 2 5" xfId="1538"/>
    <cellStyle name="Обычный 10 2 2 4 3 2 5 2" xfId="1539"/>
    <cellStyle name="Обычный 10 2 2 4 3 2 6" xfId="1540"/>
    <cellStyle name="Обычный 10 2 2 4 3 2 7" xfId="1541"/>
    <cellStyle name="Обычный 10 2 2 4 3 3" xfId="1542"/>
    <cellStyle name="Обычный 10 2 2 4 3 3 2" xfId="1543"/>
    <cellStyle name="Обычный 10 2 2 4 3 3 2 2" xfId="1544"/>
    <cellStyle name="Обычный 10 2 2 4 3 3 2 3" xfId="1545"/>
    <cellStyle name="Обычный 10 2 2 4 3 3 3" xfId="1546"/>
    <cellStyle name="Обычный 10 2 2 4 3 3 3 2" xfId="1547"/>
    <cellStyle name="Обычный 10 2 2 4 3 3 3 3" xfId="1548"/>
    <cellStyle name="Обычный 10 2 2 4 3 3 4" xfId="1549"/>
    <cellStyle name="Обычный 10 2 2 4 3 3 4 2" xfId="1550"/>
    <cellStyle name="Обычный 10 2 2 4 3 3 5" xfId="1551"/>
    <cellStyle name="Обычный 10 2 2 4 3 3 6" xfId="1552"/>
    <cellStyle name="Обычный 10 2 2 4 3 4" xfId="1553"/>
    <cellStyle name="Обычный 10 2 2 4 3 4 2" xfId="1554"/>
    <cellStyle name="Обычный 10 2 2 4 3 4 3" xfId="1555"/>
    <cellStyle name="Обычный 10 2 2 4 3 5" xfId="1556"/>
    <cellStyle name="Обычный 10 2 2 4 3 5 2" xfId="1557"/>
    <cellStyle name="Обычный 10 2 2 4 3 5 3" xfId="1558"/>
    <cellStyle name="Обычный 10 2 2 4 3 6" xfId="1559"/>
    <cellStyle name="Обычный 10 2 2 4 3 6 2" xfId="1560"/>
    <cellStyle name="Обычный 10 2 2 4 3 7" xfId="1561"/>
    <cellStyle name="Обычный 10 2 2 4 3 8" xfId="1562"/>
    <cellStyle name="Обычный 10 2 2 4 4" xfId="1563"/>
    <cellStyle name="Обычный 10 2 2 4 4 2" xfId="1564"/>
    <cellStyle name="Обычный 10 2 2 4 4 2 2" xfId="1565"/>
    <cellStyle name="Обычный 10 2 2 4 4 2 2 2" xfId="1566"/>
    <cellStyle name="Обычный 10 2 2 4 4 2 2 3" xfId="1567"/>
    <cellStyle name="Обычный 10 2 2 4 4 2 3" xfId="1568"/>
    <cellStyle name="Обычный 10 2 2 4 4 2 3 2" xfId="1569"/>
    <cellStyle name="Обычный 10 2 2 4 4 2 3 3" xfId="1570"/>
    <cellStyle name="Обычный 10 2 2 4 4 2 4" xfId="1571"/>
    <cellStyle name="Обычный 10 2 2 4 4 2 4 2" xfId="1572"/>
    <cellStyle name="Обычный 10 2 2 4 4 2 5" xfId="1573"/>
    <cellStyle name="Обычный 10 2 2 4 4 2 6" xfId="1574"/>
    <cellStyle name="Обычный 10 2 2 4 4 3" xfId="1575"/>
    <cellStyle name="Обычный 10 2 2 4 4 3 2" xfId="1576"/>
    <cellStyle name="Обычный 10 2 2 4 4 3 3" xfId="1577"/>
    <cellStyle name="Обычный 10 2 2 4 4 4" xfId="1578"/>
    <cellStyle name="Обычный 10 2 2 4 4 4 2" xfId="1579"/>
    <cellStyle name="Обычный 10 2 2 4 4 4 3" xfId="1580"/>
    <cellStyle name="Обычный 10 2 2 4 4 5" xfId="1581"/>
    <cellStyle name="Обычный 10 2 2 4 4 5 2" xfId="1582"/>
    <cellStyle name="Обычный 10 2 2 4 4 6" xfId="1583"/>
    <cellStyle name="Обычный 10 2 2 4 4 7" xfId="1584"/>
    <cellStyle name="Обычный 10 2 2 4 5" xfId="1585"/>
    <cellStyle name="Обычный 10 2 2 4 5 2" xfId="1586"/>
    <cellStyle name="Обычный 10 2 2 4 5 2 2" xfId="1587"/>
    <cellStyle name="Обычный 10 2 2 4 5 2 3" xfId="1588"/>
    <cellStyle name="Обычный 10 2 2 4 5 3" xfId="1589"/>
    <cellStyle name="Обычный 10 2 2 4 5 3 2" xfId="1590"/>
    <cellStyle name="Обычный 10 2 2 4 5 3 3" xfId="1591"/>
    <cellStyle name="Обычный 10 2 2 4 5 4" xfId="1592"/>
    <cellStyle name="Обычный 10 2 2 4 5 4 2" xfId="1593"/>
    <cellStyle name="Обычный 10 2 2 4 5 5" xfId="1594"/>
    <cellStyle name="Обычный 10 2 2 4 5 6" xfId="1595"/>
    <cellStyle name="Обычный 10 2 2 4 6" xfId="1596"/>
    <cellStyle name="Обычный 10 2 2 4 6 2" xfId="1597"/>
    <cellStyle name="Обычный 10 2 2 4 6 3" xfId="1598"/>
    <cellStyle name="Обычный 10 2 2 4 7" xfId="1599"/>
    <cellStyle name="Обычный 10 2 2 4 7 2" xfId="1600"/>
    <cellStyle name="Обычный 10 2 2 4 7 3" xfId="1601"/>
    <cellStyle name="Обычный 10 2 2 4 8" xfId="1602"/>
    <cellStyle name="Обычный 10 2 2 4 8 2" xfId="1603"/>
    <cellStyle name="Обычный 10 2 2 4 9" xfId="1604"/>
    <cellStyle name="Обычный 10 2 2 5" xfId="1605"/>
    <cellStyle name="Обычный 10 2 2 5 2" xfId="1606"/>
    <cellStyle name="Обычный 10 2 2 5 2 2" xfId="1607"/>
    <cellStyle name="Обычный 10 2 2 5 2 2 2" xfId="1608"/>
    <cellStyle name="Обычный 10 2 2 5 2 2 2 2" xfId="1609"/>
    <cellStyle name="Обычный 10 2 2 5 2 2 2 2 2" xfId="1610"/>
    <cellStyle name="Обычный 10 2 2 5 2 2 2 2 3" xfId="1611"/>
    <cellStyle name="Обычный 10 2 2 5 2 2 2 3" xfId="1612"/>
    <cellStyle name="Обычный 10 2 2 5 2 2 2 3 2" xfId="1613"/>
    <cellStyle name="Обычный 10 2 2 5 2 2 2 3 3" xfId="1614"/>
    <cellStyle name="Обычный 10 2 2 5 2 2 2 4" xfId="1615"/>
    <cellStyle name="Обычный 10 2 2 5 2 2 2 4 2" xfId="1616"/>
    <cellStyle name="Обычный 10 2 2 5 2 2 2 5" xfId="1617"/>
    <cellStyle name="Обычный 10 2 2 5 2 2 2 6" xfId="1618"/>
    <cellStyle name="Обычный 10 2 2 5 2 2 3" xfId="1619"/>
    <cellStyle name="Обычный 10 2 2 5 2 2 3 2" xfId="1620"/>
    <cellStyle name="Обычный 10 2 2 5 2 2 3 3" xfId="1621"/>
    <cellStyle name="Обычный 10 2 2 5 2 2 4" xfId="1622"/>
    <cellStyle name="Обычный 10 2 2 5 2 2 4 2" xfId="1623"/>
    <cellStyle name="Обычный 10 2 2 5 2 2 4 3" xfId="1624"/>
    <cellStyle name="Обычный 10 2 2 5 2 2 5" xfId="1625"/>
    <cellStyle name="Обычный 10 2 2 5 2 2 5 2" xfId="1626"/>
    <cellStyle name="Обычный 10 2 2 5 2 2 6" xfId="1627"/>
    <cellStyle name="Обычный 10 2 2 5 2 2 7" xfId="1628"/>
    <cellStyle name="Обычный 10 2 2 5 2 3" xfId="1629"/>
    <cellStyle name="Обычный 10 2 2 5 2 3 2" xfId="1630"/>
    <cellStyle name="Обычный 10 2 2 5 2 3 2 2" xfId="1631"/>
    <cellStyle name="Обычный 10 2 2 5 2 3 2 3" xfId="1632"/>
    <cellStyle name="Обычный 10 2 2 5 2 3 3" xfId="1633"/>
    <cellStyle name="Обычный 10 2 2 5 2 3 3 2" xfId="1634"/>
    <cellStyle name="Обычный 10 2 2 5 2 3 3 3" xfId="1635"/>
    <cellStyle name="Обычный 10 2 2 5 2 3 4" xfId="1636"/>
    <cellStyle name="Обычный 10 2 2 5 2 3 4 2" xfId="1637"/>
    <cellStyle name="Обычный 10 2 2 5 2 3 5" xfId="1638"/>
    <cellStyle name="Обычный 10 2 2 5 2 3 6" xfId="1639"/>
    <cellStyle name="Обычный 10 2 2 5 2 4" xfId="1640"/>
    <cellStyle name="Обычный 10 2 2 5 2 4 2" xfId="1641"/>
    <cellStyle name="Обычный 10 2 2 5 2 4 3" xfId="1642"/>
    <cellStyle name="Обычный 10 2 2 5 2 5" xfId="1643"/>
    <cellStyle name="Обычный 10 2 2 5 2 5 2" xfId="1644"/>
    <cellStyle name="Обычный 10 2 2 5 2 5 3" xfId="1645"/>
    <cellStyle name="Обычный 10 2 2 5 2 6" xfId="1646"/>
    <cellStyle name="Обычный 10 2 2 5 2 6 2" xfId="1647"/>
    <cellStyle name="Обычный 10 2 2 5 2 7" xfId="1648"/>
    <cellStyle name="Обычный 10 2 2 5 2 8" xfId="1649"/>
    <cellStyle name="Обычный 10 2 2 5 3" xfId="1650"/>
    <cellStyle name="Обычный 10 2 2 5 3 2" xfId="1651"/>
    <cellStyle name="Обычный 10 2 2 5 3 2 2" xfId="1652"/>
    <cellStyle name="Обычный 10 2 2 5 3 2 2 2" xfId="1653"/>
    <cellStyle name="Обычный 10 2 2 5 3 2 2 3" xfId="1654"/>
    <cellStyle name="Обычный 10 2 2 5 3 2 3" xfId="1655"/>
    <cellStyle name="Обычный 10 2 2 5 3 2 3 2" xfId="1656"/>
    <cellStyle name="Обычный 10 2 2 5 3 2 3 3" xfId="1657"/>
    <cellStyle name="Обычный 10 2 2 5 3 2 4" xfId="1658"/>
    <cellStyle name="Обычный 10 2 2 5 3 2 4 2" xfId="1659"/>
    <cellStyle name="Обычный 10 2 2 5 3 2 5" xfId="1660"/>
    <cellStyle name="Обычный 10 2 2 5 3 2 6" xfId="1661"/>
    <cellStyle name="Обычный 10 2 2 5 3 3" xfId="1662"/>
    <cellStyle name="Обычный 10 2 2 5 3 3 2" xfId="1663"/>
    <cellStyle name="Обычный 10 2 2 5 3 3 3" xfId="1664"/>
    <cellStyle name="Обычный 10 2 2 5 3 4" xfId="1665"/>
    <cellStyle name="Обычный 10 2 2 5 3 4 2" xfId="1666"/>
    <cellStyle name="Обычный 10 2 2 5 3 4 3" xfId="1667"/>
    <cellStyle name="Обычный 10 2 2 5 3 5" xfId="1668"/>
    <cellStyle name="Обычный 10 2 2 5 3 5 2" xfId="1669"/>
    <cellStyle name="Обычный 10 2 2 5 3 6" xfId="1670"/>
    <cellStyle name="Обычный 10 2 2 5 3 7" xfId="1671"/>
    <cellStyle name="Обычный 10 2 2 5 4" xfId="1672"/>
    <cellStyle name="Обычный 10 2 2 5 4 2" xfId="1673"/>
    <cellStyle name="Обычный 10 2 2 5 4 2 2" xfId="1674"/>
    <cellStyle name="Обычный 10 2 2 5 4 2 3" xfId="1675"/>
    <cellStyle name="Обычный 10 2 2 5 4 3" xfId="1676"/>
    <cellStyle name="Обычный 10 2 2 5 4 3 2" xfId="1677"/>
    <cellStyle name="Обычный 10 2 2 5 4 3 3" xfId="1678"/>
    <cellStyle name="Обычный 10 2 2 5 4 4" xfId="1679"/>
    <cellStyle name="Обычный 10 2 2 5 4 4 2" xfId="1680"/>
    <cellStyle name="Обычный 10 2 2 5 4 5" xfId="1681"/>
    <cellStyle name="Обычный 10 2 2 5 4 6" xfId="1682"/>
    <cellStyle name="Обычный 10 2 2 5 5" xfId="1683"/>
    <cellStyle name="Обычный 10 2 2 5 5 2" xfId="1684"/>
    <cellStyle name="Обычный 10 2 2 5 5 3" xfId="1685"/>
    <cellStyle name="Обычный 10 2 2 5 6" xfId="1686"/>
    <cellStyle name="Обычный 10 2 2 5 6 2" xfId="1687"/>
    <cellStyle name="Обычный 10 2 2 5 6 3" xfId="1688"/>
    <cellStyle name="Обычный 10 2 2 5 7" xfId="1689"/>
    <cellStyle name="Обычный 10 2 2 5 7 2" xfId="1690"/>
    <cellStyle name="Обычный 10 2 2 5 8" xfId="1691"/>
    <cellStyle name="Обычный 10 2 2 5 9" xfId="1692"/>
    <cellStyle name="Обычный 10 2 2 6" xfId="1693"/>
    <cellStyle name="Обычный 10 2 2 6 2" xfId="1694"/>
    <cellStyle name="Обычный 10 2 2 6 2 2" xfId="1695"/>
    <cellStyle name="Обычный 10 2 2 6 2 2 2" xfId="1696"/>
    <cellStyle name="Обычный 10 2 2 6 2 2 2 2" xfId="1697"/>
    <cellStyle name="Обычный 10 2 2 6 2 2 2 3" xfId="1698"/>
    <cellStyle name="Обычный 10 2 2 6 2 2 3" xfId="1699"/>
    <cellStyle name="Обычный 10 2 2 6 2 2 3 2" xfId="1700"/>
    <cellStyle name="Обычный 10 2 2 6 2 2 3 3" xfId="1701"/>
    <cellStyle name="Обычный 10 2 2 6 2 2 4" xfId="1702"/>
    <cellStyle name="Обычный 10 2 2 6 2 2 4 2" xfId="1703"/>
    <cellStyle name="Обычный 10 2 2 6 2 2 5" xfId="1704"/>
    <cellStyle name="Обычный 10 2 2 6 2 2 6" xfId="1705"/>
    <cellStyle name="Обычный 10 2 2 6 2 3" xfId="1706"/>
    <cellStyle name="Обычный 10 2 2 6 2 3 2" xfId="1707"/>
    <cellStyle name="Обычный 10 2 2 6 2 3 3" xfId="1708"/>
    <cellStyle name="Обычный 10 2 2 6 2 4" xfId="1709"/>
    <cellStyle name="Обычный 10 2 2 6 2 4 2" xfId="1710"/>
    <cellStyle name="Обычный 10 2 2 6 2 4 3" xfId="1711"/>
    <cellStyle name="Обычный 10 2 2 6 2 5" xfId="1712"/>
    <cellStyle name="Обычный 10 2 2 6 2 5 2" xfId="1713"/>
    <cellStyle name="Обычный 10 2 2 6 2 6" xfId="1714"/>
    <cellStyle name="Обычный 10 2 2 6 2 7" xfId="1715"/>
    <cellStyle name="Обычный 10 2 2 6 3" xfId="1716"/>
    <cellStyle name="Обычный 10 2 2 6 3 2" xfId="1717"/>
    <cellStyle name="Обычный 10 2 2 6 3 2 2" xfId="1718"/>
    <cellStyle name="Обычный 10 2 2 6 3 2 3" xfId="1719"/>
    <cellStyle name="Обычный 10 2 2 6 3 3" xfId="1720"/>
    <cellStyle name="Обычный 10 2 2 6 3 3 2" xfId="1721"/>
    <cellStyle name="Обычный 10 2 2 6 3 3 3" xfId="1722"/>
    <cellStyle name="Обычный 10 2 2 6 3 4" xfId="1723"/>
    <cellStyle name="Обычный 10 2 2 6 3 4 2" xfId="1724"/>
    <cellStyle name="Обычный 10 2 2 6 3 5" xfId="1725"/>
    <cellStyle name="Обычный 10 2 2 6 3 6" xfId="1726"/>
    <cellStyle name="Обычный 10 2 2 6 4" xfId="1727"/>
    <cellStyle name="Обычный 10 2 2 6 4 2" xfId="1728"/>
    <cellStyle name="Обычный 10 2 2 6 4 3" xfId="1729"/>
    <cellStyle name="Обычный 10 2 2 6 5" xfId="1730"/>
    <cellStyle name="Обычный 10 2 2 6 5 2" xfId="1731"/>
    <cellStyle name="Обычный 10 2 2 6 5 3" xfId="1732"/>
    <cellStyle name="Обычный 10 2 2 6 6" xfId="1733"/>
    <cellStyle name="Обычный 10 2 2 6 6 2" xfId="1734"/>
    <cellStyle name="Обычный 10 2 2 6 7" xfId="1735"/>
    <cellStyle name="Обычный 10 2 2 6 8" xfId="1736"/>
    <cellStyle name="Обычный 10 2 2 7" xfId="1737"/>
    <cellStyle name="Обычный 10 2 2 7 2" xfId="1738"/>
    <cellStyle name="Обычный 10 2 2 7 2 2" xfId="1739"/>
    <cellStyle name="Обычный 10 2 2 7 2 2 2" xfId="1740"/>
    <cellStyle name="Обычный 10 2 2 7 2 2 3" xfId="1741"/>
    <cellStyle name="Обычный 10 2 2 7 2 3" xfId="1742"/>
    <cellStyle name="Обычный 10 2 2 7 2 3 2" xfId="1743"/>
    <cellStyle name="Обычный 10 2 2 7 2 3 3" xfId="1744"/>
    <cellStyle name="Обычный 10 2 2 7 2 4" xfId="1745"/>
    <cellStyle name="Обычный 10 2 2 7 2 4 2" xfId="1746"/>
    <cellStyle name="Обычный 10 2 2 7 2 5" xfId="1747"/>
    <cellStyle name="Обычный 10 2 2 7 2 6" xfId="1748"/>
    <cellStyle name="Обычный 10 2 2 7 3" xfId="1749"/>
    <cellStyle name="Обычный 10 2 2 7 3 2" xfId="1750"/>
    <cellStyle name="Обычный 10 2 2 7 3 3" xfId="1751"/>
    <cellStyle name="Обычный 10 2 2 7 4" xfId="1752"/>
    <cellStyle name="Обычный 10 2 2 7 4 2" xfId="1753"/>
    <cellStyle name="Обычный 10 2 2 7 4 3" xfId="1754"/>
    <cellStyle name="Обычный 10 2 2 7 5" xfId="1755"/>
    <cellStyle name="Обычный 10 2 2 7 5 2" xfId="1756"/>
    <cellStyle name="Обычный 10 2 2 7 6" xfId="1757"/>
    <cellStyle name="Обычный 10 2 2 7 7" xfId="1758"/>
    <cellStyle name="Обычный 10 2 2 8" xfId="1759"/>
    <cellStyle name="Обычный 10 2 2 8 2" xfId="1760"/>
    <cellStyle name="Обычный 10 2 2 8 2 2" xfId="1761"/>
    <cellStyle name="Обычный 10 2 2 8 2 3" xfId="1762"/>
    <cellStyle name="Обычный 10 2 2 8 3" xfId="1763"/>
    <cellStyle name="Обычный 10 2 2 8 3 2" xfId="1764"/>
    <cellStyle name="Обычный 10 2 2 8 3 3" xfId="1765"/>
    <cellStyle name="Обычный 10 2 2 8 4" xfId="1766"/>
    <cellStyle name="Обычный 10 2 2 8 4 2" xfId="1767"/>
    <cellStyle name="Обычный 10 2 2 8 5" xfId="1768"/>
    <cellStyle name="Обычный 10 2 2 8 6" xfId="1769"/>
    <cellStyle name="Обычный 10 2 2 9" xfId="1770"/>
    <cellStyle name="Обычный 10 2 2 9 2" xfId="1771"/>
    <cellStyle name="Обычный 10 2 2 9 3" xfId="1772"/>
    <cellStyle name="Обычный 10 2 3" xfId="1773"/>
    <cellStyle name="Обычный 10 2 3 10" xfId="1774"/>
    <cellStyle name="Обычный 10 2 3 2" xfId="1775"/>
    <cellStyle name="Обычный 10 2 3 2 2" xfId="1776"/>
    <cellStyle name="Обычный 10 2 3 2 2 2" xfId="1777"/>
    <cellStyle name="Обычный 10 2 3 2 2 2 2" xfId="1778"/>
    <cellStyle name="Обычный 10 2 3 2 2 2 2 2" xfId="1779"/>
    <cellStyle name="Обычный 10 2 3 2 2 2 2 2 2" xfId="1780"/>
    <cellStyle name="Обычный 10 2 3 2 2 2 2 2 3" xfId="1781"/>
    <cellStyle name="Обычный 10 2 3 2 2 2 2 3" xfId="1782"/>
    <cellStyle name="Обычный 10 2 3 2 2 2 2 3 2" xfId="1783"/>
    <cellStyle name="Обычный 10 2 3 2 2 2 2 3 3" xfId="1784"/>
    <cellStyle name="Обычный 10 2 3 2 2 2 2 4" xfId="1785"/>
    <cellStyle name="Обычный 10 2 3 2 2 2 2 4 2" xfId="1786"/>
    <cellStyle name="Обычный 10 2 3 2 2 2 2 5" xfId="1787"/>
    <cellStyle name="Обычный 10 2 3 2 2 2 2 6" xfId="1788"/>
    <cellStyle name="Обычный 10 2 3 2 2 2 3" xfId="1789"/>
    <cellStyle name="Обычный 10 2 3 2 2 2 3 2" xfId="1790"/>
    <cellStyle name="Обычный 10 2 3 2 2 2 3 3" xfId="1791"/>
    <cellStyle name="Обычный 10 2 3 2 2 2 4" xfId="1792"/>
    <cellStyle name="Обычный 10 2 3 2 2 2 4 2" xfId="1793"/>
    <cellStyle name="Обычный 10 2 3 2 2 2 4 3" xfId="1794"/>
    <cellStyle name="Обычный 10 2 3 2 2 2 5" xfId="1795"/>
    <cellStyle name="Обычный 10 2 3 2 2 2 5 2" xfId="1796"/>
    <cellStyle name="Обычный 10 2 3 2 2 2 6" xfId="1797"/>
    <cellStyle name="Обычный 10 2 3 2 2 2 7" xfId="1798"/>
    <cellStyle name="Обычный 10 2 3 2 2 3" xfId="1799"/>
    <cellStyle name="Обычный 10 2 3 2 2 3 2" xfId="1800"/>
    <cellStyle name="Обычный 10 2 3 2 2 3 2 2" xfId="1801"/>
    <cellStyle name="Обычный 10 2 3 2 2 3 2 3" xfId="1802"/>
    <cellStyle name="Обычный 10 2 3 2 2 3 3" xfId="1803"/>
    <cellStyle name="Обычный 10 2 3 2 2 3 3 2" xfId="1804"/>
    <cellStyle name="Обычный 10 2 3 2 2 3 3 3" xfId="1805"/>
    <cellStyle name="Обычный 10 2 3 2 2 3 4" xfId="1806"/>
    <cellStyle name="Обычный 10 2 3 2 2 3 4 2" xfId="1807"/>
    <cellStyle name="Обычный 10 2 3 2 2 3 5" xfId="1808"/>
    <cellStyle name="Обычный 10 2 3 2 2 3 6" xfId="1809"/>
    <cellStyle name="Обычный 10 2 3 2 2 4" xfId="1810"/>
    <cellStyle name="Обычный 10 2 3 2 2 4 2" xfId="1811"/>
    <cellStyle name="Обычный 10 2 3 2 2 4 3" xfId="1812"/>
    <cellStyle name="Обычный 10 2 3 2 2 5" xfId="1813"/>
    <cellStyle name="Обычный 10 2 3 2 2 5 2" xfId="1814"/>
    <cellStyle name="Обычный 10 2 3 2 2 5 3" xfId="1815"/>
    <cellStyle name="Обычный 10 2 3 2 2 6" xfId="1816"/>
    <cellStyle name="Обычный 10 2 3 2 2 6 2" xfId="1817"/>
    <cellStyle name="Обычный 10 2 3 2 2 7" xfId="1818"/>
    <cellStyle name="Обычный 10 2 3 2 2 8" xfId="1819"/>
    <cellStyle name="Обычный 10 2 3 2 3" xfId="1820"/>
    <cellStyle name="Обычный 10 2 3 2 3 2" xfId="1821"/>
    <cellStyle name="Обычный 10 2 3 2 3 2 2" xfId="1822"/>
    <cellStyle name="Обычный 10 2 3 2 3 2 2 2" xfId="1823"/>
    <cellStyle name="Обычный 10 2 3 2 3 2 2 3" xfId="1824"/>
    <cellStyle name="Обычный 10 2 3 2 3 2 3" xfId="1825"/>
    <cellStyle name="Обычный 10 2 3 2 3 2 3 2" xfId="1826"/>
    <cellStyle name="Обычный 10 2 3 2 3 2 3 3" xfId="1827"/>
    <cellStyle name="Обычный 10 2 3 2 3 2 4" xfId="1828"/>
    <cellStyle name="Обычный 10 2 3 2 3 2 4 2" xfId="1829"/>
    <cellStyle name="Обычный 10 2 3 2 3 2 5" xfId="1830"/>
    <cellStyle name="Обычный 10 2 3 2 3 2 6" xfId="1831"/>
    <cellStyle name="Обычный 10 2 3 2 3 3" xfId="1832"/>
    <cellStyle name="Обычный 10 2 3 2 3 3 2" xfId="1833"/>
    <cellStyle name="Обычный 10 2 3 2 3 3 3" xfId="1834"/>
    <cellStyle name="Обычный 10 2 3 2 3 4" xfId="1835"/>
    <cellStyle name="Обычный 10 2 3 2 3 4 2" xfId="1836"/>
    <cellStyle name="Обычный 10 2 3 2 3 4 3" xfId="1837"/>
    <cellStyle name="Обычный 10 2 3 2 3 5" xfId="1838"/>
    <cellStyle name="Обычный 10 2 3 2 3 5 2" xfId="1839"/>
    <cellStyle name="Обычный 10 2 3 2 3 6" xfId="1840"/>
    <cellStyle name="Обычный 10 2 3 2 3 7" xfId="1841"/>
    <cellStyle name="Обычный 10 2 3 2 4" xfId="1842"/>
    <cellStyle name="Обычный 10 2 3 2 4 2" xfId="1843"/>
    <cellStyle name="Обычный 10 2 3 2 4 2 2" xfId="1844"/>
    <cellStyle name="Обычный 10 2 3 2 4 2 3" xfId="1845"/>
    <cellStyle name="Обычный 10 2 3 2 4 3" xfId="1846"/>
    <cellStyle name="Обычный 10 2 3 2 4 3 2" xfId="1847"/>
    <cellStyle name="Обычный 10 2 3 2 4 3 3" xfId="1848"/>
    <cellStyle name="Обычный 10 2 3 2 4 4" xfId="1849"/>
    <cellStyle name="Обычный 10 2 3 2 4 4 2" xfId="1850"/>
    <cellStyle name="Обычный 10 2 3 2 4 5" xfId="1851"/>
    <cellStyle name="Обычный 10 2 3 2 4 6" xfId="1852"/>
    <cellStyle name="Обычный 10 2 3 2 5" xfId="1853"/>
    <cellStyle name="Обычный 10 2 3 2 5 2" xfId="1854"/>
    <cellStyle name="Обычный 10 2 3 2 5 3" xfId="1855"/>
    <cellStyle name="Обычный 10 2 3 2 6" xfId="1856"/>
    <cellStyle name="Обычный 10 2 3 2 6 2" xfId="1857"/>
    <cellStyle name="Обычный 10 2 3 2 6 3" xfId="1858"/>
    <cellStyle name="Обычный 10 2 3 2 7" xfId="1859"/>
    <cellStyle name="Обычный 10 2 3 2 7 2" xfId="1860"/>
    <cellStyle name="Обычный 10 2 3 2 8" xfId="1861"/>
    <cellStyle name="Обычный 10 2 3 2 9" xfId="1862"/>
    <cellStyle name="Обычный 10 2 3 3" xfId="1863"/>
    <cellStyle name="Обычный 10 2 3 3 2" xfId="1864"/>
    <cellStyle name="Обычный 10 2 3 3 2 2" xfId="1865"/>
    <cellStyle name="Обычный 10 2 3 3 2 2 2" xfId="1866"/>
    <cellStyle name="Обычный 10 2 3 3 2 2 2 2" xfId="1867"/>
    <cellStyle name="Обычный 10 2 3 3 2 2 2 3" xfId="1868"/>
    <cellStyle name="Обычный 10 2 3 3 2 2 3" xfId="1869"/>
    <cellStyle name="Обычный 10 2 3 3 2 2 3 2" xfId="1870"/>
    <cellStyle name="Обычный 10 2 3 3 2 2 3 3" xfId="1871"/>
    <cellStyle name="Обычный 10 2 3 3 2 2 4" xfId="1872"/>
    <cellStyle name="Обычный 10 2 3 3 2 2 4 2" xfId="1873"/>
    <cellStyle name="Обычный 10 2 3 3 2 2 5" xfId="1874"/>
    <cellStyle name="Обычный 10 2 3 3 2 2 6" xfId="1875"/>
    <cellStyle name="Обычный 10 2 3 3 2 3" xfId="1876"/>
    <cellStyle name="Обычный 10 2 3 3 2 3 2" xfId="1877"/>
    <cellStyle name="Обычный 10 2 3 3 2 3 3" xfId="1878"/>
    <cellStyle name="Обычный 10 2 3 3 2 4" xfId="1879"/>
    <cellStyle name="Обычный 10 2 3 3 2 4 2" xfId="1880"/>
    <cellStyle name="Обычный 10 2 3 3 2 4 3" xfId="1881"/>
    <cellStyle name="Обычный 10 2 3 3 2 5" xfId="1882"/>
    <cellStyle name="Обычный 10 2 3 3 2 5 2" xfId="1883"/>
    <cellStyle name="Обычный 10 2 3 3 2 6" xfId="1884"/>
    <cellStyle name="Обычный 10 2 3 3 2 7" xfId="1885"/>
    <cellStyle name="Обычный 10 2 3 3 3" xfId="1886"/>
    <cellStyle name="Обычный 10 2 3 3 3 2" xfId="1887"/>
    <cellStyle name="Обычный 10 2 3 3 3 2 2" xfId="1888"/>
    <cellStyle name="Обычный 10 2 3 3 3 2 3" xfId="1889"/>
    <cellStyle name="Обычный 10 2 3 3 3 3" xfId="1890"/>
    <cellStyle name="Обычный 10 2 3 3 3 3 2" xfId="1891"/>
    <cellStyle name="Обычный 10 2 3 3 3 3 3" xfId="1892"/>
    <cellStyle name="Обычный 10 2 3 3 3 4" xfId="1893"/>
    <cellStyle name="Обычный 10 2 3 3 3 4 2" xfId="1894"/>
    <cellStyle name="Обычный 10 2 3 3 3 5" xfId="1895"/>
    <cellStyle name="Обычный 10 2 3 3 3 6" xfId="1896"/>
    <cellStyle name="Обычный 10 2 3 3 4" xfId="1897"/>
    <cellStyle name="Обычный 10 2 3 3 4 2" xfId="1898"/>
    <cellStyle name="Обычный 10 2 3 3 4 3" xfId="1899"/>
    <cellStyle name="Обычный 10 2 3 3 5" xfId="1900"/>
    <cellStyle name="Обычный 10 2 3 3 5 2" xfId="1901"/>
    <cellStyle name="Обычный 10 2 3 3 5 3" xfId="1902"/>
    <cellStyle name="Обычный 10 2 3 3 6" xfId="1903"/>
    <cellStyle name="Обычный 10 2 3 3 6 2" xfId="1904"/>
    <cellStyle name="Обычный 10 2 3 3 7" xfId="1905"/>
    <cellStyle name="Обычный 10 2 3 3 8" xfId="1906"/>
    <cellStyle name="Обычный 10 2 3 4" xfId="1907"/>
    <cellStyle name="Обычный 10 2 3 4 2" xfId="1908"/>
    <cellStyle name="Обычный 10 2 3 4 2 2" xfId="1909"/>
    <cellStyle name="Обычный 10 2 3 4 2 2 2" xfId="1910"/>
    <cellStyle name="Обычный 10 2 3 4 2 2 3" xfId="1911"/>
    <cellStyle name="Обычный 10 2 3 4 2 3" xfId="1912"/>
    <cellStyle name="Обычный 10 2 3 4 2 3 2" xfId="1913"/>
    <cellStyle name="Обычный 10 2 3 4 2 3 3" xfId="1914"/>
    <cellStyle name="Обычный 10 2 3 4 2 4" xfId="1915"/>
    <cellStyle name="Обычный 10 2 3 4 2 4 2" xfId="1916"/>
    <cellStyle name="Обычный 10 2 3 4 2 5" xfId="1917"/>
    <cellStyle name="Обычный 10 2 3 4 2 6" xfId="1918"/>
    <cellStyle name="Обычный 10 2 3 4 3" xfId="1919"/>
    <cellStyle name="Обычный 10 2 3 4 3 2" xfId="1920"/>
    <cellStyle name="Обычный 10 2 3 4 3 3" xfId="1921"/>
    <cellStyle name="Обычный 10 2 3 4 4" xfId="1922"/>
    <cellStyle name="Обычный 10 2 3 4 4 2" xfId="1923"/>
    <cellStyle name="Обычный 10 2 3 4 4 3" xfId="1924"/>
    <cellStyle name="Обычный 10 2 3 4 5" xfId="1925"/>
    <cellStyle name="Обычный 10 2 3 4 5 2" xfId="1926"/>
    <cellStyle name="Обычный 10 2 3 4 6" xfId="1927"/>
    <cellStyle name="Обычный 10 2 3 4 7" xfId="1928"/>
    <cellStyle name="Обычный 10 2 3 5" xfId="1929"/>
    <cellStyle name="Обычный 10 2 3 5 2" xfId="1930"/>
    <cellStyle name="Обычный 10 2 3 5 2 2" xfId="1931"/>
    <cellStyle name="Обычный 10 2 3 5 2 3" xfId="1932"/>
    <cellStyle name="Обычный 10 2 3 5 3" xfId="1933"/>
    <cellStyle name="Обычный 10 2 3 5 3 2" xfId="1934"/>
    <cellStyle name="Обычный 10 2 3 5 3 3" xfId="1935"/>
    <cellStyle name="Обычный 10 2 3 5 4" xfId="1936"/>
    <cellStyle name="Обычный 10 2 3 5 4 2" xfId="1937"/>
    <cellStyle name="Обычный 10 2 3 5 5" xfId="1938"/>
    <cellStyle name="Обычный 10 2 3 5 6" xfId="1939"/>
    <cellStyle name="Обычный 10 2 3 6" xfId="1940"/>
    <cellStyle name="Обычный 10 2 3 6 2" xfId="1941"/>
    <cellStyle name="Обычный 10 2 3 6 3" xfId="1942"/>
    <cellStyle name="Обычный 10 2 3 7" xfId="1943"/>
    <cellStyle name="Обычный 10 2 3 7 2" xfId="1944"/>
    <cellStyle name="Обычный 10 2 3 7 3" xfId="1945"/>
    <cellStyle name="Обычный 10 2 3 8" xfId="1946"/>
    <cellStyle name="Обычный 10 2 3 8 2" xfId="1947"/>
    <cellStyle name="Обычный 10 2 3 9" xfId="1948"/>
    <cellStyle name="Обычный 10 2 4" xfId="1949"/>
    <cellStyle name="Обычный 10 2 4 10" xfId="1950"/>
    <cellStyle name="Обычный 10 2 4 2" xfId="1951"/>
    <cellStyle name="Обычный 10 2 4 2 2" xfId="1952"/>
    <cellStyle name="Обычный 10 2 4 2 2 2" xfId="1953"/>
    <cellStyle name="Обычный 10 2 4 2 2 2 2" xfId="1954"/>
    <cellStyle name="Обычный 10 2 4 2 2 2 2 2" xfId="1955"/>
    <cellStyle name="Обычный 10 2 4 2 2 2 2 2 2" xfId="1956"/>
    <cellStyle name="Обычный 10 2 4 2 2 2 2 2 3" xfId="1957"/>
    <cellStyle name="Обычный 10 2 4 2 2 2 2 3" xfId="1958"/>
    <cellStyle name="Обычный 10 2 4 2 2 2 2 3 2" xfId="1959"/>
    <cellStyle name="Обычный 10 2 4 2 2 2 2 3 3" xfId="1960"/>
    <cellStyle name="Обычный 10 2 4 2 2 2 2 4" xfId="1961"/>
    <cellStyle name="Обычный 10 2 4 2 2 2 2 4 2" xfId="1962"/>
    <cellStyle name="Обычный 10 2 4 2 2 2 2 5" xfId="1963"/>
    <cellStyle name="Обычный 10 2 4 2 2 2 2 6" xfId="1964"/>
    <cellStyle name="Обычный 10 2 4 2 2 2 3" xfId="1965"/>
    <cellStyle name="Обычный 10 2 4 2 2 2 3 2" xfId="1966"/>
    <cellStyle name="Обычный 10 2 4 2 2 2 3 3" xfId="1967"/>
    <cellStyle name="Обычный 10 2 4 2 2 2 4" xfId="1968"/>
    <cellStyle name="Обычный 10 2 4 2 2 2 4 2" xfId="1969"/>
    <cellStyle name="Обычный 10 2 4 2 2 2 4 3" xfId="1970"/>
    <cellStyle name="Обычный 10 2 4 2 2 2 5" xfId="1971"/>
    <cellStyle name="Обычный 10 2 4 2 2 2 5 2" xfId="1972"/>
    <cellStyle name="Обычный 10 2 4 2 2 2 6" xfId="1973"/>
    <cellStyle name="Обычный 10 2 4 2 2 2 7" xfId="1974"/>
    <cellStyle name="Обычный 10 2 4 2 2 3" xfId="1975"/>
    <cellStyle name="Обычный 10 2 4 2 2 3 2" xfId="1976"/>
    <cellStyle name="Обычный 10 2 4 2 2 3 2 2" xfId="1977"/>
    <cellStyle name="Обычный 10 2 4 2 2 3 2 3" xfId="1978"/>
    <cellStyle name="Обычный 10 2 4 2 2 3 3" xfId="1979"/>
    <cellStyle name="Обычный 10 2 4 2 2 3 3 2" xfId="1980"/>
    <cellStyle name="Обычный 10 2 4 2 2 3 3 3" xfId="1981"/>
    <cellStyle name="Обычный 10 2 4 2 2 3 4" xfId="1982"/>
    <cellStyle name="Обычный 10 2 4 2 2 3 4 2" xfId="1983"/>
    <cellStyle name="Обычный 10 2 4 2 2 3 5" xfId="1984"/>
    <cellStyle name="Обычный 10 2 4 2 2 3 6" xfId="1985"/>
    <cellStyle name="Обычный 10 2 4 2 2 4" xfId="1986"/>
    <cellStyle name="Обычный 10 2 4 2 2 4 2" xfId="1987"/>
    <cellStyle name="Обычный 10 2 4 2 2 4 3" xfId="1988"/>
    <cellStyle name="Обычный 10 2 4 2 2 5" xfId="1989"/>
    <cellStyle name="Обычный 10 2 4 2 2 5 2" xfId="1990"/>
    <cellStyle name="Обычный 10 2 4 2 2 5 3" xfId="1991"/>
    <cellStyle name="Обычный 10 2 4 2 2 6" xfId="1992"/>
    <cellStyle name="Обычный 10 2 4 2 2 6 2" xfId="1993"/>
    <cellStyle name="Обычный 10 2 4 2 2 7" xfId="1994"/>
    <cellStyle name="Обычный 10 2 4 2 2 8" xfId="1995"/>
    <cellStyle name="Обычный 10 2 4 2 3" xfId="1996"/>
    <cellStyle name="Обычный 10 2 4 2 3 2" xfId="1997"/>
    <cellStyle name="Обычный 10 2 4 2 3 2 2" xfId="1998"/>
    <cellStyle name="Обычный 10 2 4 2 3 2 2 2" xfId="1999"/>
    <cellStyle name="Обычный 10 2 4 2 3 2 2 3" xfId="2000"/>
    <cellStyle name="Обычный 10 2 4 2 3 2 3" xfId="2001"/>
    <cellStyle name="Обычный 10 2 4 2 3 2 3 2" xfId="2002"/>
    <cellStyle name="Обычный 10 2 4 2 3 2 3 3" xfId="2003"/>
    <cellStyle name="Обычный 10 2 4 2 3 2 4" xfId="2004"/>
    <cellStyle name="Обычный 10 2 4 2 3 2 4 2" xfId="2005"/>
    <cellStyle name="Обычный 10 2 4 2 3 2 5" xfId="2006"/>
    <cellStyle name="Обычный 10 2 4 2 3 2 6" xfId="2007"/>
    <cellStyle name="Обычный 10 2 4 2 3 3" xfId="2008"/>
    <cellStyle name="Обычный 10 2 4 2 3 3 2" xfId="2009"/>
    <cellStyle name="Обычный 10 2 4 2 3 3 3" xfId="2010"/>
    <cellStyle name="Обычный 10 2 4 2 3 4" xfId="2011"/>
    <cellStyle name="Обычный 10 2 4 2 3 4 2" xfId="2012"/>
    <cellStyle name="Обычный 10 2 4 2 3 4 3" xfId="2013"/>
    <cellStyle name="Обычный 10 2 4 2 3 5" xfId="2014"/>
    <cellStyle name="Обычный 10 2 4 2 3 5 2" xfId="2015"/>
    <cellStyle name="Обычный 10 2 4 2 3 6" xfId="2016"/>
    <cellStyle name="Обычный 10 2 4 2 3 7" xfId="2017"/>
    <cellStyle name="Обычный 10 2 4 2 4" xfId="2018"/>
    <cellStyle name="Обычный 10 2 4 2 4 2" xfId="2019"/>
    <cellStyle name="Обычный 10 2 4 2 4 2 2" xfId="2020"/>
    <cellStyle name="Обычный 10 2 4 2 4 2 3" xfId="2021"/>
    <cellStyle name="Обычный 10 2 4 2 4 3" xfId="2022"/>
    <cellStyle name="Обычный 10 2 4 2 4 3 2" xfId="2023"/>
    <cellStyle name="Обычный 10 2 4 2 4 3 3" xfId="2024"/>
    <cellStyle name="Обычный 10 2 4 2 4 4" xfId="2025"/>
    <cellStyle name="Обычный 10 2 4 2 4 4 2" xfId="2026"/>
    <cellStyle name="Обычный 10 2 4 2 4 5" xfId="2027"/>
    <cellStyle name="Обычный 10 2 4 2 4 6" xfId="2028"/>
    <cellStyle name="Обычный 10 2 4 2 5" xfId="2029"/>
    <cellStyle name="Обычный 10 2 4 2 5 2" xfId="2030"/>
    <cellStyle name="Обычный 10 2 4 2 5 3" xfId="2031"/>
    <cellStyle name="Обычный 10 2 4 2 6" xfId="2032"/>
    <cellStyle name="Обычный 10 2 4 2 6 2" xfId="2033"/>
    <cellStyle name="Обычный 10 2 4 2 6 3" xfId="2034"/>
    <cellStyle name="Обычный 10 2 4 2 7" xfId="2035"/>
    <cellStyle name="Обычный 10 2 4 2 7 2" xfId="2036"/>
    <cellStyle name="Обычный 10 2 4 2 8" xfId="2037"/>
    <cellStyle name="Обычный 10 2 4 2 9" xfId="2038"/>
    <cellStyle name="Обычный 10 2 4 3" xfId="2039"/>
    <cellStyle name="Обычный 10 2 4 3 2" xfId="2040"/>
    <cellStyle name="Обычный 10 2 4 3 2 2" xfId="2041"/>
    <cellStyle name="Обычный 10 2 4 3 2 2 2" xfId="2042"/>
    <cellStyle name="Обычный 10 2 4 3 2 2 2 2" xfId="2043"/>
    <cellStyle name="Обычный 10 2 4 3 2 2 2 3" xfId="2044"/>
    <cellStyle name="Обычный 10 2 4 3 2 2 3" xfId="2045"/>
    <cellStyle name="Обычный 10 2 4 3 2 2 3 2" xfId="2046"/>
    <cellStyle name="Обычный 10 2 4 3 2 2 3 3" xfId="2047"/>
    <cellStyle name="Обычный 10 2 4 3 2 2 4" xfId="2048"/>
    <cellStyle name="Обычный 10 2 4 3 2 2 4 2" xfId="2049"/>
    <cellStyle name="Обычный 10 2 4 3 2 2 5" xfId="2050"/>
    <cellStyle name="Обычный 10 2 4 3 2 2 6" xfId="2051"/>
    <cellStyle name="Обычный 10 2 4 3 2 3" xfId="2052"/>
    <cellStyle name="Обычный 10 2 4 3 2 3 2" xfId="2053"/>
    <cellStyle name="Обычный 10 2 4 3 2 3 3" xfId="2054"/>
    <cellStyle name="Обычный 10 2 4 3 2 4" xfId="2055"/>
    <cellStyle name="Обычный 10 2 4 3 2 4 2" xfId="2056"/>
    <cellStyle name="Обычный 10 2 4 3 2 4 3" xfId="2057"/>
    <cellStyle name="Обычный 10 2 4 3 2 5" xfId="2058"/>
    <cellStyle name="Обычный 10 2 4 3 2 5 2" xfId="2059"/>
    <cellStyle name="Обычный 10 2 4 3 2 6" xfId="2060"/>
    <cellStyle name="Обычный 10 2 4 3 2 7" xfId="2061"/>
    <cellStyle name="Обычный 10 2 4 3 3" xfId="2062"/>
    <cellStyle name="Обычный 10 2 4 3 3 2" xfId="2063"/>
    <cellStyle name="Обычный 10 2 4 3 3 2 2" xfId="2064"/>
    <cellStyle name="Обычный 10 2 4 3 3 2 3" xfId="2065"/>
    <cellStyle name="Обычный 10 2 4 3 3 3" xfId="2066"/>
    <cellStyle name="Обычный 10 2 4 3 3 3 2" xfId="2067"/>
    <cellStyle name="Обычный 10 2 4 3 3 3 3" xfId="2068"/>
    <cellStyle name="Обычный 10 2 4 3 3 4" xfId="2069"/>
    <cellStyle name="Обычный 10 2 4 3 3 4 2" xfId="2070"/>
    <cellStyle name="Обычный 10 2 4 3 3 5" xfId="2071"/>
    <cellStyle name="Обычный 10 2 4 3 3 6" xfId="2072"/>
    <cellStyle name="Обычный 10 2 4 3 4" xfId="2073"/>
    <cellStyle name="Обычный 10 2 4 3 4 2" xfId="2074"/>
    <cellStyle name="Обычный 10 2 4 3 4 3" xfId="2075"/>
    <cellStyle name="Обычный 10 2 4 3 5" xfId="2076"/>
    <cellStyle name="Обычный 10 2 4 3 5 2" xfId="2077"/>
    <cellStyle name="Обычный 10 2 4 3 5 3" xfId="2078"/>
    <cellStyle name="Обычный 10 2 4 3 6" xfId="2079"/>
    <cellStyle name="Обычный 10 2 4 3 6 2" xfId="2080"/>
    <cellStyle name="Обычный 10 2 4 3 7" xfId="2081"/>
    <cellStyle name="Обычный 10 2 4 3 8" xfId="2082"/>
    <cellStyle name="Обычный 10 2 4 4" xfId="2083"/>
    <cellStyle name="Обычный 10 2 4 4 2" xfId="2084"/>
    <cellStyle name="Обычный 10 2 4 4 2 2" xfId="2085"/>
    <cellStyle name="Обычный 10 2 4 4 2 2 2" xfId="2086"/>
    <cellStyle name="Обычный 10 2 4 4 2 2 3" xfId="2087"/>
    <cellStyle name="Обычный 10 2 4 4 2 3" xfId="2088"/>
    <cellStyle name="Обычный 10 2 4 4 2 3 2" xfId="2089"/>
    <cellStyle name="Обычный 10 2 4 4 2 3 3" xfId="2090"/>
    <cellStyle name="Обычный 10 2 4 4 2 4" xfId="2091"/>
    <cellStyle name="Обычный 10 2 4 4 2 4 2" xfId="2092"/>
    <cellStyle name="Обычный 10 2 4 4 2 5" xfId="2093"/>
    <cellStyle name="Обычный 10 2 4 4 2 6" xfId="2094"/>
    <cellStyle name="Обычный 10 2 4 4 3" xfId="2095"/>
    <cellStyle name="Обычный 10 2 4 4 3 2" xfId="2096"/>
    <cellStyle name="Обычный 10 2 4 4 3 3" xfId="2097"/>
    <cellStyle name="Обычный 10 2 4 4 4" xfId="2098"/>
    <cellStyle name="Обычный 10 2 4 4 4 2" xfId="2099"/>
    <cellStyle name="Обычный 10 2 4 4 4 3" xfId="2100"/>
    <cellStyle name="Обычный 10 2 4 4 5" xfId="2101"/>
    <cellStyle name="Обычный 10 2 4 4 5 2" xfId="2102"/>
    <cellStyle name="Обычный 10 2 4 4 6" xfId="2103"/>
    <cellStyle name="Обычный 10 2 4 4 7" xfId="2104"/>
    <cellStyle name="Обычный 10 2 4 5" xfId="2105"/>
    <cellStyle name="Обычный 10 2 4 5 2" xfId="2106"/>
    <cellStyle name="Обычный 10 2 4 5 2 2" xfId="2107"/>
    <cellStyle name="Обычный 10 2 4 5 2 3" xfId="2108"/>
    <cellStyle name="Обычный 10 2 4 5 3" xfId="2109"/>
    <cellStyle name="Обычный 10 2 4 5 3 2" xfId="2110"/>
    <cellStyle name="Обычный 10 2 4 5 3 3" xfId="2111"/>
    <cellStyle name="Обычный 10 2 4 5 4" xfId="2112"/>
    <cellStyle name="Обычный 10 2 4 5 4 2" xfId="2113"/>
    <cellStyle name="Обычный 10 2 4 5 5" xfId="2114"/>
    <cellStyle name="Обычный 10 2 4 5 6" xfId="2115"/>
    <cellStyle name="Обычный 10 2 4 6" xfId="2116"/>
    <cellStyle name="Обычный 10 2 4 6 2" xfId="2117"/>
    <cellStyle name="Обычный 10 2 4 6 3" xfId="2118"/>
    <cellStyle name="Обычный 10 2 4 7" xfId="2119"/>
    <cellStyle name="Обычный 10 2 4 7 2" xfId="2120"/>
    <cellStyle name="Обычный 10 2 4 7 3" xfId="2121"/>
    <cellStyle name="Обычный 10 2 4 8" xfId="2122"/>
    <cellStyle name="Обычный 10 2 4 8 2" xfId="2123"/>
    <cellStyle name="Обычный 10 2 4 9" xfId="2124"/>
    <cellStyle name="Обычный 10 2 5" xfId="2125"/>
    <cellStyle name="Обычный 10 2 5 10" xfId="2126"/>
    <cellStyle name="Обычный 10 2 5 2" xfId="2127"/>
    <cellStyle name="Обычный 10 2 5 2 2" xfId="2128"/>
    <cellStyle name="Обычный 10 2 5 2 2 2" xfId="2129"/>
    <cellStyle name="Обычный 10 2 5 2 2 2 2" xfId="2130"/>
    <cellStyle name="Обычный 10 2 5 2 2 2 2 2" xfId="2131"/>
    <cellStyle name="Обычный 10 2 5 2 2 2 2 2 2" xfId="2132"/>
    <cellStyle name="Обычный 10 2 5 2 2 2 2 2 3" xfId="2133"/>
    <cellStyle name="Обычный 10 2 5 2 2 2 2 3" xfId="2134"/>
    <cellStyle name="Обычный 10 2 5 2 2 2 2 3 2" xfId="2135"/>
    <cellStyle name="Обычный 10 2 5 2 2 2 2 3 3" xfId="2136"/>
    <cellStyle name="Обычный 10 2 5 2 2 2 2 4" xfId="2137"/>
    <cellStyle name="Обычный 10 2 5 2 2 2 2 4 2" xfId="2138"/>
    <cellStyle name="Обычный 10 2 5 2 2 2 2 5" xfId="2139"/>
    <cellStyle name="Обычный 10 2 5 2 2 2 2 6" xfId="2140"/>
    <cellStyle name="Обычный 10 2 5 2 2 2 3" xfId="2141"/>
    <cellStyle name="Обычный 10 2 5 2 2 2 3 2" xfId="2142"/>
    <cellStyle name="Обычный 10 2 5 2 2 2 3 3" xfId="2143"/>
    <cellStyle name="Обычный 10 2 5 2 2 2 4" xfId="2144"/>
    <cellStyle name="Обычный 10 2 5 2 2 2 4 2" xfId="2145"/>
    <cellStyle name="Обычный 10 2 5 2 2 2 4 3" xfId="2146"/>
    <cellStyle name="Обычный 10 2 5 2 2 2 5" xfId="2147"/>
    <cellStyle name="Обычный 10 2 5 2 2 2 5 2" xfId="2148"/>
    <cellStyle name="Обычный 10 2 5 2 2 2 6" xfId="2149"/>
    <cellStyle name="Обычный 10 2 5 2 2 2 7" xfId="2150"/>
    <cellStyle name="Обычный 10 2 5 2 2 3" xfId="2151"/>
    <cellStyle name="Обычный 10 2 5 2 2 3 2" xfId="2152"/>
    <cellStyle name="Обычный 10 2 5 2 2 3 2 2" xfId="2153"/>
    <cellStyle name="Обычный 10 2 5 2 2 3 2 3" xfId="2154"/>
    <cellStyle name="Обычный 10 2 5 2 2 3 3" xfId="2155"/>
    <cellStyle name="Обычный 10 2 5 2 2 3 3 2" xfId="2156"/>
    <cellStyle name="Обычный 10 2 5 2 2 3 3 3" xfId="2157"/>
    <cellStyle name="Обычный 10 2 5 2 2 3 4" xfId="2158"/>
    <cellStyle name="Обычный 10 2 5 2 2 3 4 2" xfId="2159"/>
    <cellStyle name="Обычный 10 2 5 2 2 3 5" xfId="2160"/>
    <cellStyle name="Обычный 10 2 5 2 2 3 6" xfId="2161"/>
    <cellStyle name="Обычный 10 2 5 2 2 4" xfId="2162"/>
    <cellStyle name="Обычный 10 2 5 2 2 4 2" xfId="2163"/>
    <cellStyle name="Обычный 10 2 5 2 2 4 3" xfId="2164"/>
    <cellStyle name="Обычный 10 2 5 2 2 5" xfId="2165"/>
    <cellStyle name="Обычный 10 2 5 2 2 5 2" xfId="2166"/>
    <cellStyle name="Обычный 10 2 5 2 2 5 3" xfId="2167"/>
    <cellStyle name="Обычный 10 2 5 2 2 6" xfId="2168"/>
    <cellStyle name="Обычный 10 2 5 2 2 6 2" xfId="2169"/>
    <cellStyle name="Обычный 10 2 5 2 2 7" xfId="2170"/>
    <cellStyle name="Обычный 10 2 5 2 2 8" xfId="2171"/>
    <cellStyle name="Обычный 10 2 5 2 3" xfId="2172"/>
    <cellStyle name="Обычный 10 2 5 2 3 2" xfId="2173"/>
    <cellStyle name="Обычный 10 2 5 2 3 2 2" xfId="2174"/>
    <cellStyle name="Обычный 10 2 5 2 3 2 2 2" xfId="2175"/>
    <cellStyle name="Обычный 10 2 5 2 3 2 2 3" xfId="2176"/>
    <cellStyle name="Обычный 10 2 5 2 3 2 3" xfId="2177"/>
    <cellStyle name="Обычный 10 2 5 2 3 2 3 2" xfId="2178"/>
    <cellStyle name="Обычный 10 2 5 2 3 2 3 3" xfId="2179"/>
    <cellStyle name="Обычный 10 2 5 2 3 2 4" xfId="2180"/>
    <cellStyle name="Обычный 10 2 5 2 3 2 4 2" xfId="2181"/>
    <cellStyle name="Обычный 10 2 5 2 3 2 5" xfId="2182"/>
    <cellStyle name="Обычный 10 2 5 2 3 2 6" xfId="2183"/>
    <cellStyle name="Обычный 10 2 5 2 3 3" xfId="2184"/>
    <cellStyle name="Обычный 10 2 5 2 3 3 2" xfId="2185"/>
    <cellStyle name="Обычный 10 2 5 2 3 3 3" xfId="2186"/>
    <cellStyle name="Обычный 10 2 5 2 3 4" xfId="2187"/>
    <cellStyle name="Обычный 10 2 5 2 3 4 2" xfId="2188"/>
    <cellStyle name="Обычный 10 2 5 2 3 4 3" xfId="2189"/>
    <cellStyle name="Обычный 10 2 5 2 3 5" xfId="2190"/>
    <cellStyle name="Обычный 10 2 5 2 3 5 2" xfId="2191"/>
    <cellStyle name="Обычный 10 2 5 2 3 6" xfId="2192"/>
    <cellStyle name="Обычный 10 2 5 2 3 7" xfId="2193"/>
    <cellStyle name="Обычный 10 2 5 2 4" xfId="2194"/>
    <cellStyle name="Обычный 10 2 5 2 4 2" xfId="2195"/>
    <cellStyle name="Обычный 10 2 5 2 4 2 2" xfId="2196"/>
    <cellStyle name="Обычный 10 2 5 2 4 2 3" xfId="2197"/>
    <cellStyle name="Обычный 10 2 5 2 4 3" xfId="2198"/>
    <cellStyle name="Обычный 10 2 5 2 4 3 2" xfId="2199"/>
    <cellStyle name="Обычный 10 2 5 2 4 3 3" xfId="2200"/>
    <cellStyle name="Обычный 10 2 5 2 4 4" xfId="2201"/>
    <cellStyle name="Обычный 10 2 5 2 4 4 2" xfId="2202"/>
    <cellStyle name="Обычный 10 2 5 2 4 5" xfId="2203"/>
    <cellStyle name="Обычный 10 2 5 2 4 6" xfId="2204"/>
    <cellStyle name="Обычный 10 2 5 2 5" xfId="2205"/>
    <cellStyle name="Обычный 10 2 5 2 5 2" xfId="2206"/>
    <cellStyle name="Обычный 10 2 5 2 5 3" xfId="2207"/>
    <cellStyle name="Обычный 10 2 5 2 6" xfId="2208"/>
    <cellStyle name="Обычный 10 2 5 2 6 2" xfId="2209"/>
    <cellStyle name="Обычный 10 2 5 2 6 3" xfId="2210"/>
    <cellStyle name="Обычный 10 2 5 2 7" xfId="2211"/>
    <cellStyle name="Обычный 10 2 5 2 7 2" xfId="2212"/>
    <cellStyle name="Обычный 10 2 5 2 8" xfId="2213"/>
    <cellStyle name="Обычный 10 2 5 2 9" xfId="2214"/>
    <cellStyle name="Обычный 10 2 5 3" xfId="2215"/>
    <cellStyle name="Обычный 10 2 5 3 2" xfId="2216"/>
    <cellStyle name="Обычный 10 2 5 3 2 2" xfId="2217"/>
    <cellStyle name="Обычный 10 2 5 3 2 2 2" xfId="2218"/>
    <cellStyle name="Обычный 10 2 5 3 2 2 2 2" xfId="2219"/>
    <cellStyle name="Обычный 10 2 5 3 2 2 2 3" xfId="2220"/>
    <cellStyle name="Обычный 10 2 5 3 2 2 3" xfId="2221"/>
    <cellStyle name="Обычный 10 2 5 3 2 2 3 2" xfId="2222"/>
    <cellStyle name="Обычный 10 2 5 3 2 2 3 3" xfId="2223"/>
    <cellStyle name="Обычный 10 2 5 3 2 2 4" xfId="2224"/>
    <cellStyle name="Обычный 10 2 5 3 2 2 4 2" xfId="2225"/>
    <cellStyle name="Обычный 10 2 5 3 2 2 5" xfId="2226"/>
    <cellStyle name="Обычный 10 2 5 3 2 2 6" xfId="2227"/>
    <cellStyle name="Обычный 10 2 5 3 2 3" xfId="2228"/>
    <cellStyle name="Обычный 10 2 5 3 2 3 2" xfId="2229"/>
    <cellStyle name="Обычный 10 2 5 3 2 3 3" xfId="2230"/>
    <cellStyle name="Обычный 10 2 5 3 2 4" xfId="2231"/>
    <cellStyle name="Обычный 10 2 5 3 2 4 2" xfId="2232"/>
    <cellStyle name="Обычный 10 2 5 3 2 4 3" xfId="2233"/>
    <cellStyle name="Обычный 10 2 5 3 2 5" xfId="2234"/>
    <cellStyle name="Обычный 10 2 5 3 2 5 2" xfId="2235"/>
    <cellStyle name="Обычный 10 2 5 3 2 6" xfId="2236"/>
    <cellStyle name="Обычный 10 2 5 3 2 7" xfId="2237"/>
    <cellStyle name="Обычный 10 2 5 3 3" xfId="2238"/>
    <cellStyle name="Обычный 10 2 5 3 3 2" xfId="2239"/>
    <cellStyle name="Обычный 10 2 5 3 3 2 2" xfId="2240"/>
    <cellStyle name="Обычный 10 2 5 3 3 2 3" xfId="2241"/>
    <cellStyle name="Обычный 10 2 5 3 3 3" xfId="2242"/>
    <cellStyle name="Обычный 10 2 5 3 3 3 2" xfId="2243"/>
    <cellStyle name="Обычный 10 2 5 3 3 3 3" xfId="2244"/>
    <cellStyle name="Обычный 10 2 5 3 3 4" xfId="2245"/>
    <cellStyle name="Обычный 10 2 5 3 3 4 2" xfId="2246"/>
    <cellStyle name="Обычный 10 2 5 3 3 5" xfId="2247"/>
    <cellStyle name="Обычный 10 2 5 3 3 6" xfId="2248"/>
    <cellStyle name="Обычный 10 2 5 3 4" xfId="2249"/>
    <cellStyle name="Обычный 10 2 5 3 4 2" xfId="2250"/>
    <cellStyle name="Обычный 10 2 5 3 4 3" xfId="2251"/>
    <cellStyle name="Обычный 10 2 5 3 5" xfId="2252"/>
    <cellStyle name="Обычный 10 2 5 3 5 2" xfId="2253"/>
    <cellStyle name="Обычный 10 2 5 3 5 3" xfId="2254"/>
    <cellStyle name="Обычный 10 2 5 3 6" xfId="2255"/>
    <cellStyle name="Обычный 10 2 5 3 6 2" xfId="2256"/>
    <cellStyle name="Обычный 10 2 5 3 7" xfId="2257"/>
    <cellStyle name="Обычный 10 2 5 3 8" xfId="2258"/>
    <cellStyle name="Обычный 10 2 5 4" xfId="2259"/>
    <cellStyle name="Обычный 10 2 5 4 2" xfId="2260"/>
    <cellStyle name="Обычный 10 2 5 4 2 2" xfId="2261"/>
    <cellStyle name="Обычный 10 2 5 4 2 2 2" xfId="2262"/>
    <cellStyle name="Обычный 10 2 5 4 2 2 3" xfId="2263"/>
    <cellStyle name="Обычный 10 2 5 4 2 3" xfId="2264"/>
    <cellStyle name="Обычный 10 2 5 4 2 3 2" xfId="2265"/>
    <cellStyle name="Обычный 10 2 5 4 2 3 3" xfId="2266"/>
    <cellStyle name="Обычный 10 2 5 4 2 4" xfId="2267"/>
    <cellStyle name="Обычный 10 2 5 4 2 4 2" xfId="2268"/>
    <cellStyle name="Обычный 10 2 5 4 2 5" xfId="2269"/>
    <cellStyle name="Обычный 10 2 5 4 2 6" xfId="2270"/>
    <cellStyle name="Обычный 10 2 5 4 3" xfId="2271"/>
    <cellStyle name="Обычный 10 2 5 4 3 2" xfId="2272"/>
    <cellStyle name="Обычный 10 2 5 4 3 3" xfId="2273"/>
    <cellStyle name="Обычный 10 2 5 4 4" xfId="2274"/>
    <cellStyle name="Обычный 10 2 5 4 4 2" xfId="2275"/>
    <cellStyle name="Обычный 10 2 5 4 4 3" xfId="2276"/>
    <cellStyle name="Обычный 10 2 5 4 5" xfId="2277"/>
    <cellStyle name="Обычный 10 2 5 4 5 2" xfId="2278"/>
    <cellStyle name="Обычный 10 2 5 4 6" xfId="2279"/>
    <cellStyle name="Обычный 10 2 5 4 7" xfId="2280"/>
    <cellStyle name="Обычный 10 2 5 5" xfId="2281"/>
    <cellStyle name="Обычный 10 2 5 5 2" xfId="2282"/>
    <cellStyle name="Обычный 10 2 5 5 2 2" xfId="2283"/>
    <cellStyle name="Обычный 10 2 5 5 2 3" xfId="2284"/>
    <cellStyle name="Обычный 10 2 5 5 3" xfId="2285"/>
    <cellStyle name="Обычный 10 2 5 5 3 2" xfId="2286"/>
    <cellStyle name="Обычный 10 2 5 5 3 3" xfId="2287"/>
    <cellStyle name="Обычный 10 2 5 5 4" xfId="2288"/>
    <cellStyle name="Обычный 10 2 5 5 4 2" xfId="2289"/>
    <cellStyle name="Обычный 10 2 5 5 5" xfId="2290"/>
    <cellStyle name="Обычный 10 2 5 5 6" xfId="2291"/>
    <cellStyle name="Обычный 10 2 5 6" xfId="2292"/>
    <cellStyle name="Обычный 10 2 5 6 2" xfId="2293"/>
    <cellStyle name="Обычный 10 2 5 6 3" xfId="2294"/>
    <cellStyle name="Обычный 10 2 5 7" xfId="2295"/>
    <cellStyle name="Обычный 10 2 5 7 2" xfId="2296"/>
    <cellStyle name="Обычный 10 2 5 7 3" xfId="2297"/>
    <cellStyle name="Обычный 10 2 5 8" xfId="2298"/>
    <cellStyle name="Обычный 10 2 5 8 2" xfId="2299"/>
    <cellStyle name="Обычный 10 2 5 9" xfId="2300"/>
    <cellStyle name="Обычный 10 2 6" xfId="2301"/>
    <cellStyle name="Обычный 10 2 6 2" xfId="2302"/>
    <cellStyle name="Обычный 10 2 6 2 2" xfId="2303"/>
    <cellStyle name="Обычный 10 2 6 2 2 2" xfId="2304"/>
    <cellStyle name="Обычный 10 2 6 2 2 2 2" xfId="2305"/>
    <cellStyle name="Обычный 10 2 6 2 2 2 2 2" xfId="2306"/>
    <cellStyle name="Обычный 10 2 6 2 2 2 2 3" xfId="2307"/>
    <cellStyle name="Обычный 10 2 6 2 2 2 3" xfId="2308"/>
    <cellStyle name="Обычный 10 2 6 2 2 2 3 2" xfId="2309"/>
    <cellStyle name="Обычный 10 2 6 2 2 2 3 3" xfId="2310"/>
    <cellStyle name="Обычный 10 2 6 2 2 2 4" xfId="2311"/>
    <cellStyle name="Обычный 10 2 6 2 2 2 4 2" xfId="2312"/>
    <cellStyle name="Обычный 10 2 6 2 2 2 5" xfId="2313"/>
    <cellStyle name="Обычный 10 2 6 2 2 2 6" xfId="2314"/>
    <cellStyle name="Обычный 10 2 6 2 2 3" xfId="2315"/>
    <cellStyle name="Обычный 10 2 6 2 2 3 2" xfId="2316"/>
    <cellStyle name="Обычный 10 2 6 2 2 3 3" xfId="2317"/>
    <cellStyle name="Обычный 10 2 6 2 2 4" xfId="2318"/>
    <cellStyle name="Обычный 10 2 6 2 2 4 2" xfId="2319"/>
    <cellStyle name="Обычный 10 2 6 2 2 4 3" xfId="2320"/>
    <cellStyle name="Обычный 10 2 6 2 2 5" xfId="2321"/>
    <cellStyle name="Обычный 10 2 6 2 2 5 2" xfId="2322"/>
    <cellStyle name="Обычный 10 2 6 2 2 6" xfId="2323"/>
    <cellStyle name="Обычный 10 2 6 2 2 7" xfId="2324"/>
    <cellStyle name="Обычный 10 2 6 2 3" xfId="2325"/>
    <cellStyle name="Обычный 10 2 6 2 3 2" xfId="2326"/>
    <cellStyle name="Обычный 10 2 6 2 3 2 2" xfId="2327"/>
    <cellStyle name="Обычный 10 2 6 2 3 2 3" xfId="2328"/>
    <cellStyle name="Обычный 10 2 6 2 3 3" xfId="2329"/>
    <cellStyle name="Обычный 10 2 6 2 3 3 2" xfId="2330"/>
    <cellStyle name="Обычный 10 2 6 2 3 3 3" xfId="2331"/>
    <cellStyle name="Обычный 10 2 6 2 3 4" xfId="2332"/>
    <cellStyle name="Обычный 10 2 6 2 3 4 2" xfId="2333"/>
    <cellStyle name="Обычный 10 2 6 2 3 5" xfId="2334"/>
    <cellStyle name="Обычный 10 2 6 2 3 6" xfId="2335"/>
    <cellStyle name="Обычный 10 2 6 2 4" xfId="2336"/>
    <cellStyle name="Обычный 10 2 6 2 4 2" xfId="2337"/>
    <cellStyle name="Обычный 10 2 6 2 4 3" xfId="2338"/>
    <cellStyle name="Обычный 10 2 6 2 5" xfId="2339"/>
    <cellStyle name="Обычный 10 2 6 2 5 2" xfId="2340"/>
    <cellStyle name="Обычный 10 2 6 2 5 3" xfId="2341"/>
    <cellStyle name="Обычный 10 2 6 2 6" xfId="2342"/>
    <cellStyle name="Обычный 10 2 6 2 6 2" xfId="2343"/>
    <cellStyle name="Обычный 10 2 6 2 7" xfId="2344"/>
    <cellStyle name="Обычный 10 2 6 2 8" xfId="2345"/>
    <cellStyle name="Обычный 10 2 6 3" xfId="2346"/>
    <cellStyle name="Обычный 10 2 6 3 2" xfId="2347"/>
    <cellStyle name="Обычный 10 2 6 3 2 2" xfId="2348"/>
    <cellStyle name="Обычный 10 2 6 3 2 2 2" xfId="2349"/>
    <cellStyle name="Обычный 10 2 6 3 2 2 3" xfId="2350"/>
    <cellStyle name="Обычный 10 2 6 3 2 3" xfId="2351"/>
    <cellStyle name="Обычный 10 2 6 3 2 3 2" xfId="2352"/>
    <cellStyle name="Обычный 10 2 6 3 2 3 3" xfId="2353"/>
    <cellStyle name="Обычный 10 2 6 3 2 4" xfId="2354"/>
    <cellStyle name="Обычный 10 2 6 3 2 4 2" xfId="2355"/>
    <cellStyle name="Обычный 10 2 6 3 2 5" xfId="2356"/>
    <cellStyle name="Обычный 10 2 6 3 2 6" xfId="2357"/>
    <cellStyle name="Обычный 10 2 6 3 3" xfId="2358"/>
    <cellStyle name="Обычный 10 2 6 3 3 2" xfId="2359"/>
    <cellStyle name="Обычный 10 2 6 3 3 3" xfId="2360"/>
    <cellStyle name="Обычный 10 2 6 3 4" xfId="2361"/>
    <cellStyle name="Обычный 10 2 6 3 4 2" xfId="2362"/>
    <cellStyle name="Обычный 10 2 6 3 4 3" xfId="2363"/>
    <cellStyle name="Обычный 10 2 6 3 5" xfId="2364"/>
    <cellStyle name="Обычный 10 2 6 3 5 2" xfId="2365"/>
    <cellStyle name="Обычный 10 2 6 3 6" xfId="2366"/>
    <cellStyle name="Обычный 10 2 6 3 7" xfId="2367"/>
    <cellStyle name="Обычный 10 2 6 4" xfId="2368"/>
    <cellStyle name="Обычный 10 2 6 4 2" xfId="2369"/>
    <cellStyle name="Обычный 10 2 6 4 2 2" xfId="2370"/>
    <cellStyle name="Обычный 10 2 6 4 2 3" xfId="2371"/>
    <cellStyle name="Обычный 10 2 6 4 3" xfId="2372"/>
    <cellStyle name="Обычный 10 2 6 4 3 2" xfId="2373"/>
    <cellStyle name="Обычный 10 2 6 4 3 3" xfId="2374"/>
    <cellStyle name="Обычный 10 2 6 4 4" xfId="2375"/>
    <cellStyle name="Обычный 10 2 6 4 4 2" xfId="2376"/>
    <cellStyle name="Обычный 10 2 6 4 5" xfId="2377"/>
    <cellStyle name="Обычный 10 2 6 4 6" xfId="2378"/>
    <cellStyle name="Обычный 10 2 6 5" xfId="2379"/>
    <cellStyle name="Обычный 10 2 6 5 2" xfId="2380"/>
    <cellStyle name="Обычный 10 2 6 5 3" xfId="2381"/>
    <cellStyle name="Обычный 10 2 6 6" xfId="2382"/>
    <cellStyle name="Обычный 10 2 6 6 2" xfId="2383"/>
    <cellStyle name="Обычный 10 2 6 6 3" xfId="2384"/>
    <cellStyle name="Обычный 10 2 6 7" xfId="2385"/>
    <cellStyle name="Обычный 10 2 6 7 2" xfId="2386"/>
    <cellStyle name="Обычный 10 2 6 8" xfId="2387"/>
    <cellStyle name="Обычный 10 2 6 9" xfId="2388"/>
    <cellStyle name="Обычный 10 2 7" xfId="2389"/>
    <cellStyle name="Обычный 10 2 7 2" xfId="2390"/>
    <cellStyle name="Обычный 10 2 7 2 2" xfId="2391"/>
    <cellStyle name="Обычный 10 2 7 2 2 2" xfId="2392"/>
    <cellStyle name="Обычный 10 2 7 2 2 2 2" xfId="2393"/>
    <cellStyle name="Обычный 10 2 7 2 2 2 3" xfId="2394"/>
    <cellStyle name="Обычный 10 2 7 2 2 3" xfId="2395"/>
    <cellStyle name="Обычный 10 2 7 2 2 3 2" xfId="2396"/>
    <cellStyle name="Обычный 10 2 7 2 2 3 3" xfId="2397"/>
    <cellStyle name="Обычный 10 2 7 2 2 4" xfId="2398"/>
    <cellStyle name="Обычный 10 2 7 2 2 4 2" xfId="2399"/>
    <cellStyle name="Обычный 10 2 7 2 2 5" xfId="2400"/>
    <cellStyle name="Обычный 10 2 7 2 2 6" xfId="2401"/>
    <cellStyle name="Обычный 10 2 7 2 3" xfId="2402"/>
    <cellStyle name="Обычный 10 2 7 2 3 2" xfId="2403"/>
    <cellStyle name="Обычный 10 2 7 2 3 3" xfId="2404"/>
    <cellStyle name="Обычный 10 2 7 2 4" xfId="2405"/>
    <cellStyle name="Обычный 10 2 7 2 4 2" xfId="2406"/>
    <cellStyle name="Обычный 10 2 7 2 4 3" xfId="2407"/>
    <cellStyle name="Обычный 10 2 7 2 5" xfId="2408"/>
    <cellStyle name="Обычный 10 2 7 2 5 2" xfId="2409"/>
    <cellStyle name="Обычный 10 2 7 2 6" xfId="2410"/>
    <cellStyle name="Обычный 10 2 7 2 7" xfId="2411"/>
    <cellStyle name="Обычный 10 2 7 3" xfId="2412"/>
    <cellStyle name="Обычный 10 2 7 3 2" xfId="2413"/>
    <cellStyle name="Обычный 10 2 7 3 2 2" xfId="2414"/>
    <cellStyle name="Обычный 10 2 7 3 2 3" xfId="2415"/>
    <cellStyle name="Обычный 10 2 7 3 3" xfId="2416"/>
    <cellStyle name="Обычный 10 2 7 3 3 2" xfId="2417"/>
    <cellStyle name="Обычный 10 2 7 3 3 3" xfId="2418"/>
    <cellStyle name="Обычный 10 2 7 3 4" xfId="2419"/>
    <cellStyle name="Обычный 10 2 7 3 4 2" xfId="2420"/>
    <cellStyle name="Обычный 10 2 7 3 5" xfId="2421"/>
    <cellStyle name="Обычный 10 2 7 3 6" xfId="2422"/>
    <cellStyle name="Обычный 10 2 7 4" xfId="2423"/>
    <cellStyle name="Обычный 10 2 7 4 2" xfId="2424"/>
    <cellStyle name="Обычный 10 2 7 4 3" xfId="2425"/>
    <cellStyle name="Обычный 10 2 7 5" xfId="2426"/>
    <cellStyle name="Обычный 10 2 7 5 2" xfId="2427"/>
    <cellStyle name="Обычный 10 2 7 5 3" xfId="2428"/>
    <cellStyle name="Обычный 10 2 7 6" xfId="2429"/>
    <cellStyle name="Обычный 10 2 7 6 2" xfId="2430"/>
    <cellStyle name="Обычный 10 2 7 7" xfId="2431"/>
    <cellStyle name="Обычный 10 2 7 8" xfId="2432"/>
    <cellStyle name="Обычный 10 2 8" xfId="2433"/>
    <cellStyle name="Обычный 10 2 8 2" xfId="2434"/>
    <cellStyle name="Обычный 10 2 8 2 2" xfId="2435"/>
    <cellStyle name="Обычный 10 2 8 2 2 2" xfId="2436"/>
    <cellStyle name="Обычный 10 2 8 2 2 3" xfId="2437"/>
    <cellStyle name="Обычный 10 2 8 2 3" xfId="2438"/>
    <cellStyle name="Обычный 10 2 8 2 3 2" xfId="2439"/>
    <cellStyle name="Обычный 10 2 8 2 3 3" xfId="2440"/>
    <cellStyle name="Обычный 10 2 8 2 4" xfId="2441"/>
    <cellStyle name="Обычный 10 2 8 2 4 2" xfId="2442"/>
    <cellStyle name="Обычный 10 2 8 2 5" xfId="2443"/>
    <cellStyle name="Обычный 10 2 8 2 6" xfId="2444"/>
    <cellStyle name="Обычный 10 2 8 3" xfId="2445"/>
    <cellStyle name="Обычный 10 2 8 3 2" xfId="2446"/>
    <cellStyle name="Обычный 10 2 8 3 3" xfId="2447"/>
    <cellStyle name="Обычный 10 2 8 4" xfId="2448"/>
    <cellStyle name="Обычный 10 2 8 4 2" xfId="2449"/>
    <cellStyle name="Обычный 10 2 8 4 3" xfId="2450"/>
    <cellStyle name="Обычный 10 2 8 5" xfId="2451"/>
    <cellStyle name="Обычный 10 2 8 5 2" xfId="2452"/>
    <cellStyle name="Обычный 10 2 8 6" xfId="2453"/>
    <cellStyle name="Обычный 10 2 8 7" xfId="2454"/>
    <cellStyle name="Обычный 10 2 9" xfId="2455"/>
    <cellStyle name="Обычный 10 2 9 2" xfId="2456"/>
    <cellStyle name="Обычный 10 2 9 2 2" xfId="2457"/>
    <cellStyle name="Обычный 10 2 9 2 3" xfId="2458"/>
    <cellStyle name="Обычный 10 2 9 3" xfId="2459"/>
    <cellStyle name="Обычный 10 2 9 3 2" xfId="2460"/>
    <cellStyle name="Обычный 10 2 9 3 3" xfId="2461"/>
    <cellStyle name="Обычный 10 2 9 4" xfId="2462"/>
    <cellStyle name="Обычный 10 2 9 4 2" xfId="2463"/>
    <cellStyle name="Обычный 10 2 9 5" xfId="2464"/>
    <cellStyle name="Обычный 10 2 9 6" xfId="2465"/>
    <cellStyle name="Обычный 10 20" xfId="2466"/>
    <cellStyle name="Обычный 10 21" xfId="2467"/>
    <cellStyle name="Обычный 10 3" xfId="2468"/>
    <cellStyle name="Обычный 10 3 10" xfId="2469"/>
    <cellStyle name="Обычный 10 3 10 2" xfId="2470"/>
    <cellStyle name="Обычный 10 3 10 3" xfId="2471"/>
    <cellStyle name="Обычный 10 3 11" xfId="2472"/>
    <cellStyle name="Обычный 10 3 11 2" xfId="2473"/>
    <cellStyle name="Обычный 10 3 11 3" xfId="2474"/>
    <cellStyle name="Обычный 10 3 12" xfId="2475"/>
    <cellStyle name="Обычный 10 3 12 2" xfId="2476"/>
    <cellStyle name="Обычный 10 3 13" xfId="2477"/>
    <cellStyle name="Обычный 10 3 14" xfId="2478"/>
    <cellStyle name="Обычный 10 3 2" xfId="2479"/>
    <cellStyle name="Обычный 10 3 2 10" xfId="2480"/>
    <cellStyle name="Обычный 10 3 2 10 2" xfId="2481"/>
    <cellStyle name="Обычный 10 3 2 10 3" xfId="2482"/>
    <cellStyle name="Обычный 10 3 2 11" xfId="2483"/>
    <cellStyle name="Обычный 10 3 2 11 2" xfId="2484"/>
    <cellStyle name="Обычный 10 3 2 12" xfId="2485"/>
    <cellStyle name="Обычный 10 3 2 13" xfId="2486"/>
    <cellStyle name="Обычный 10 3 2 2" xfId="2487"/>
    <cellStyle name="Обычный 10 3 2 2 10" xfId="2488"/>
    <cellStyle name="Обычный 10 3 2 2 2" xfId="2489"/>
    <cellStyle name="Обычный 10 3 2 2 2 2" xfId="2490"/>
    <cellStyle name="Обычный 10 3 2 2 2 2 2" xfId="2491"/>
    <cellStyle name="Обычный 10 3 2 2 2 2 2 2" xfId="2492"/>
    <cellStyle name="Обычный 10 3 2 2 2 2 2 2 2" xfId="2493"/>
    <cellStyle name="Обычный 10 3 2 2 2 2 2 2 2 2" xfId="2494"/>
    <cellStyle name="Обычный 10 3 2 2 2 2 2 2 2 3" xfId="2495"/>
    <cellStyle name="Обычный 10 3 2 2 2 2 2 2 3" xfId="2496"/>
    <cellStyle name="Обычный 10 3 2 2 2 2 2 2 3 2" xfId="2497"/>
    <cellStyle name="Обычный 10 3 2 2 2 2 2 2 3 3" xfId="2498"/>
    <cellStyle name="Обычный 10 3 2 2 2 2 2 2 4" xfId="2499"/>
    <cellStyle name="Обычный 10 3 2 2 2 2 2 2 4 2" xfId="2500"/>
    <cellStyle name="Обычный 10 3 2 2 2 2 2 2 5" xfId="2501"/>
    <cellStyle name="Обычный 10 3 2 2 2 2 2 2 6" xfId="2502"/>
    <cellStyle name="Обычный 10 3 2 2 2 2 2 3" xfId="2503"/>
    <cellStyle name="Обычный 10 3 2 2 2 2 2 3 2" xfId="2504"/>
    <cellStyle name="Обычный 10 3 2 2 2 2 2 3 3" xfId="2505"/>
    <cellStyle name="Обычный 10 3 2 2 2 2 2 4" xfId="2506"/>
    <cellStyle name="Обычный 10 3 2 2 2 2 2 4 2" xfId="2507"/>
    <cellStyle name="Обычный 10 3 2 2 2 2 2 4 3" xfId="2508"/>
    <cellStyle name="Обычный 10 3 2 2 2 2 2 5" xfId="2509"/>
    <cellStyle name="Обычный 10 3 2 2 2 2 2 5 2" xfId="2510"/>
    <cellStyle name="Обычный 10 3 2 2 2 2 2 6" xfId="2511"/>
    <cellStyle name="Обычный 10 3 2 2 2 2 2 7" xfId="2512"/>
    <cellStyle name="Обычный 10 3 2 2 2 2 3" xfId="2513"/>
    <cellStyle name="Обычный 10 3 2 2 2 2 3 2" xfId="2514"/>
    <cellStyle name="Обычный 10 3 2 2 2 2 3 2 2" xfId="2515"/>
    <cellStyle name="Обычный 10 3 2 2 2 2 3 2 3" xfId="2516"/>
    <cellStyle name="Обычный 10 3 2 2 2 2 3 3" xfId="2517"/>
    <cellStyle name="Обычный 10 3 2 2 2 2 3 3 2" xfId="2518"/>
    <cellStyle name="Обычный 10 3 2 2 2 2 3 3 3" xfId="2519"/>
    <cellStyle name="Обычный 10 3 2 2 2 2 3 4" xfId="2520"/>
    <cellStyle name="Обычный 10 3 2 2 2 2 3 4 2" xfId="2521"/>
    <cellStyle name="Обычный 10 3 2 2 2 2 3 5" xfId="2522"/>
    <cellStyle name="Обычный 10 3 2 2 2 2 3 6" xfId="2523"/>
    <cellStyle name="Обычный 10 3 2 2 2 2 4" xfId="2524"/>
    <cellStyle name="Обычный 10 3 2 2 2 2 4 2" xfId="2525"/>
    <cellStyle name="Обычный 10 3 2 2 2 2 4 3" xfId="2526"/>
    <cellStyle name="Обычный 10 3 2 2 2 2 5" xfId="2527"/>
    <cellStyle name="Обычный 10 3 2 2 2 2 5 2" xfId="2528"/>
    <cellStyle name="Обычный 10 3 2 2 2 2 5 3" xfId="2529"/>
    <cellStyle name="Обычный 10 3 2 2 2 2 6" xfId="2530"/>
    <cellStyle name="Обычный 10 3 2 2 2 2 6 2" xfId="2531"/>
    <cellStyle name="Обычный 10 3 2 2 2 2 7" xfId="2532"/>
    <cellStyle name="Обычный 10 3 2 2 2 2 8" xfId="2533"/>
    <cellStyle name="Обычный 10 3 2 2 2 3" xfId="2534"/>
    <cellStyle name="Обычный 10 3 2 2 2 3 2" xfId="2535"/>
    <cellStyle name="Обычный 10 3 2 2 2 3 2 2" xfId="2536"/>
    <cellStyle name="Обычный 10 3 2 2 2 3 2 2 2" xfId="2537"/>
    <cellStyle name="Обычный 10 3 2 2 2 3 2 2 3" xfId="2538"/>
    <cellStyle name="Обычный 10 3 2 2 2 3 2 3" xfId="2539"/>
    <cellStyle name="Обычный 10 3 2 2 2 3 2 3 2" xfId="2540"/>
    <cellStyle name="Обычный 10 3 2 2 2 3 2 3 3" xfId="2541"/>
    <cellStyle name="Обычный 10 3 2 2 2 3 2 4" xfId="2542"/>
    <cellStyle name="Обычный 10 3 2 2 2 3 2 4 2" xfId="2543"/>
    <cellStyle name="Обычный 10 3 2 2 2 3 2 5" xfId="2544"/>
    <cellStyle name="Обычный 10 3 2 2 2 3 2 6" xfId="2545"/>
    <cellStyle name="Обычный 10 3 2 2 2 3 3" xfId="2546"/>
    <cellStyle name="Обычный 10 3 2 2 2 3 3 2" xfId="2547"/>
    <cellStyle name="Обычный 10 3 2 2 2 3 3 3" xfId="2548"/>
    <cellStyle name="Обычный 10 3 2 2 2 3 4" xfId="2549"/>
    <cellStyle name="Обычный 10 3 2 2 2 3 4 2" xfId="2550"/>
    <cellStyle name="Обычный 10 3 2 2 2 3 4 3" xfId="2551"/>
    <cellStyle name="Обычный 10 3 2 2 2 3 5" xfId="2552"/>
    <cellStyle name="Обычный 10 3 2 2 2 3 5 2" xfId="2553"/>
    <cellStyle name="Обычный 10 3 2 2 2 3 6" xfId="2554"/>
    <cellStyle name="Обычный 10 3 2 2 2 3 7" xfId="2555"/>
    <cellStyle name="Обычный 10 3 2 2 2 4" xfId="2556"/>
    <cellStyle name="Обычный 10 3 2 2 2 4 2" xfId="2557"/>
    <cellStyle name="Обычный 10 3 2 2 2 4 2 2" xfId="2558"/>
    <cellStyle name="Обычный 10 3 2 2 2 4 2 3" xfId="2559"/>
    <cellStyle name="Обычный 10 3 2 2 2 4 3" xfId="2560"/>
    <cellStyle name="Обычный 10 3 2 2 2 4 3 2" xfId="2561"/>
    <cellStyle name="Обычный 10 3 2 2 2 4 3 3" xfId="2562"/>
    <cellStyle name="Обычный 10 3 2 2 2 4 4" xfId="2563"/>
    <cellStyle name="Обычный 10 3 2 2 2 4 4 2" xfId="2564"/>
    <cellStyle name="Обычный 10 3 2 2 2 4 5" xfId="2565"/>
    <cellStyle name="Обычный 10 3 2 2 2 4 6" xfId="2566"/>
    <cellStyle name="Обычный 10 3 2 2 2 5" xfId="2567"/>
    <cellStyle name="Обычный 10 3 2 2 2 5 2" xfId="2568"/>
    <cellStyle name="Обычный 10 3 2 2 2 5 3" xfId="2569"/>
    <cellStyle name="Обычный 10 3 2 2 2 6" xfId="2570"/>
    <cellStyle name="Обычный 10 3 2 2 2 6 2" xfId="2571"/>
    <cellStyle name="Обычный 10 3 2 2 2 6 3" xfId="2572"/>
    <cellStyle name="Обычный 10 3 2 2 2 7" xfId="2573"/>
    <cellStyle name="Обычный 10 3 2 2 2 7 2" xfId="2574"/>
    <cellStyle name="Обычный 10 3 2 2 2 8" xfId="2575"/>
    <cellStyle name="Обычный 10 3 2 2 2 9" xfId="2576"/>
    <cellStyle name="Обычный 10 3 2 2 3" xfId="2577"/>
    <cellStyle name="Обычный 10 3 2 2 3 2" xfId="2578"/>
    <cellStyle name="Обычный 10 3 2 2 3 2 2" xfId="2579"/>
    <cellStyle name="Обычный 10 3 2 2 3 2 2 2" xfId="2580"/>
    <cellStyle name="Обычный 10 3 2 2 3 2 2 2 2" xfId="2581"/>
    <cellStyle name="Обычный 10 3 2 2 3 2 2 2 3" xfId="2582"/>
    <cellStyle name="Обычный 10 3 2 2 3 2 2 3" xfId="2583"/>
    <cellStyle name="Обычный 10 3 2 2 3 2 2 3 2" xfId="2584"/>
    <cellStyle name="Обычный 10 3 2 2 3 2 2 3 3" xfId="2585"/>
    <cellStyle name="Обычный 10 3 2 2 3 2 2 4" xfId="2586"/>
    <cellStyle name="Обычный 10 3 2 2 3 2 2 4 2" xfId="2587"/>
    <cellStyle name="Обычный 10 3 2 2 3 2 2 5" xfId="2588"/>
    <cellStyle name="Обычный 10 3 2 2 3 2 2 6" xfId="2589"/>
    <cellStyle name="Обычный 10 3 2 2 3 2 3" xfId="2590"/>
    <cellStyle name="Обычный 10 3 2 2 3 2 3 2" xfId="2591"/>
    <cellStyle name="Обычный 10 3 2 2 3 2 3 3" xfId="2592"/>
    <cellStyle name="Обычный 10 3 2 2 3 2 4" xfId="2593"/>
    <cellStyle name="Обычный 10 3 2 2 3 2 4 2" xfId="2594"/>
    <cellStyle name="Обычный 10 3 2 2 3 2 4 3" xfId="2595"/>
    <cellStyle name="Обычный 10 3 2 2 3 2 5" xfId="2596"/>
    <cellStyle name="Обычный 10 3 2 2 3 2 5 2" xfId="2597"/>
    <cellStyle name="Обычный 10 3 2 2 3 2 6" xfId="2598"/>
    <cellStyle name="Обычный 10 3 2 2 3 2 7" xfId="2599"/>
    <cellStyle name="Обычный 10 3 2 2 3 3" xfId="2600"/>
    <cellStyle name="Обычный 10 3 2 2 3 3 2" xfId="2601"/>
    <cellStyle name="Обычный 10 3 2 2 3 3 2 2" xfId="2602"/>
    <cellStyle name="Обычный 10 3 2 2 3 3 2 3" xfId="2603"/>
    <cellStyle name="Обычный 10 3 2 2 3 3 3" xfId="2604"/>
    <cellStyle name="Обычный 10 3 2 2 3 3 3 2" xfId="2605"/>
    <cellStyle name="Обычный 10 3 2 2 3 3 3 3" xfId="2606"/>
    <cellStyle name="Обычный 10 3 2 2 3 3 4" xfId="2607"/>
    <cellStyle name="Обычный 10 3 2 2 3 3 4 2" xfId="2608"/>
    <cellStyle name="Обычный 10 3 2 2 3 3 5" xfId="2609"/>
    <cellStyle name="Обычный 10 3 2 2 3 3 6" xfId="2610"/>
    <cellStyle name="Обычный 10 3 2 2 3 4" xfId="2611"/>
    <cellStyle name="Обычный 10 3 2 2 3 4 2" xfId="2612"/>
    <cellStyle name="Обычный 10 3 2 2 3 4 3" xfId="2613"/>
    <cellStyle name="Обычный 10 3 2 2 3 5" xfId="2614"/>
    <cellStyle name="Обычный 10 3 2 2 3 5 2" xfId="2615"/>
    <cellStyle name="Обычный 10 3 2 2 3 5 3" xfId="2616"/>
    <cellStyle name="Обычный 10 3 2 2 3 6" xfId="2617"/>
    <cellStyle name="Обычный 10 3 2 2 3 6 2" xfId="2618"/>
    <cellStyle name="Обычный 10 3 2 2 3 7" xfId="2619"/>
    <cellStyle name="Обычный 10 3 2 2 3 8" xfId="2620"/>
    <cellStyle name="Обычный 10 3 2 2 4" xfId="2621"/>
    <cellStyle name="Обычный 10 3 2 2 4 2" xfId="2622"/>
    <cellStyle name="Обычный 10 3 2 2 4 2 2" xfId="2623"/>
    <cellStyle name="Обычный 10 3 2 2 4 2 2 2" xfId="2624"/>
    <cellStyle name="Обычный 10 3 2 2 4 2 2 3" xfId="2625"/>
    <cellStyle name="Обычный 10 3 2 2 4 2 3" xfId="2626"/>
    <cellStyle name="Обычный 10 3 2 2 4 2 3 2" xfId="2627"/>
    <cellStyle name="Обычный 10 3 2 2 4 2 3 3" xfId="2628"/>
    <cellStyle name="Обычный 10 3 2 2 4 2 4" xfId="2629"/>
    <cellStyle name="Обычный 10 3 2 2 4 2 4 2" xfId="2630"/>
    <cellStyle name="Обычный 10 3 2 2 4 2 5" xfId="2631"/>
    <cellStyle name="Обычный 10 3 2 2 4 2 6" xfId="2632"/>
    <cellStyle name="Обычный 10 3 2 2 4 3" xfId="2633"/>
    <cellStyle name="Обычный 10 3 2 2 4 3 2" xfId="2634"/>
    <cellStyle name="Обычный 10 3 2 2 4 3 3" xfId="2635"/>
    <cellStyle name="Обычный 10 3 2 2 4 4" xfId="2636"/>
    <cellStyle name="Обычный 10 3 2 2 4 4 2" xfId="2637"/>
    <cellStyle name="Обычный 10 3 2 2 4 4 3" xfId="2638"/>
    <cellStyle name="Обычный 10 3 2 2 4 5" xfId="2639"/>
    <cellStyle name="Обычный 10 3 2 2 4 5 2" xfId="2640"/>
    <cellStyle name="Обычный 10 3 2 2 4 6" xfId="2641"/>
    <cellStyle name="Обычный 10 3 2 2 4 7" xfId="2642"/>
    <cellStyle name="Обычный 10 3 2 2 5" xfId="2643"/>
    <cellStyle name="Обычный 10 3 2 2 5 2" xfId="2644"/>
    <cellStyle name="Обычный 10 3 2 2 5 2 2" xfId="2645"/>
    <cellStyle name="Обычный 10 3 2 2 5 2 3" xfId="2646"/>
    <cellStyle name="Обычный 10 3 2 2 5 3" xfId="2647"/>
    <cellStyle name="Обычный 10 3 2 2 5 3 2" xfId="2648"/>
    <cellStyle name="Обычный 10 3 2 2 5 3 3" xfId="2649"/>
    <cellStyle name="Обычный 10 3 2 2 5 4" xfId="2650"/>
    <cellStyle name="Обычный 10 3 2 2 5 4 2" xfId="2651"/>
    <cellStyle name="Обычный 10 3 2 2 5 5" xfId="2652"/>
    <cellStyle name="Обычный 10 3 2 2 5 6" xfId="2653"/>
    <cellStyle name="Обычный 10 3 2 2 6" xfId="2654"/>
    <cellStyle name="Обычный 10 3 2 2 6 2" xfId="2655"/>
    <cellStyle name="Обычный 10 3 2 2 6 3" xfId="2656"/>
    <cellStyle name="Обычный 10 3 2 2 7" xfId="2657"/>
    <cellStyle name="Обычный 10 3 2 2 7 2" xfId="2658"/>
    <cellStyle name="Обычный 10 3 2 2 7 3" xfId="2659"/>
    <cellStyle name="Обычный 10 3 2 2 8" xfId="2660"/>
    <cellStyle name="Обычный 10 3 2 2 8 2" xfId="2661"/>
    <cellStyle name="Обычный 10 3 2 2 9" xfId="2662"/>
    <cellStyle name="Обычный 10 3 2 3" xfId="2663"/>
    <cellStyle name="Обычный 10 3 2 3 10" xfId="2664"/>
    <cellStyle name="Обычный 10 3 2 3 2" xfId="2665"/>
    <cellStyle name="Обычный 10 3 2 3 2 2" xfId="2666"/>
    <cellStyle name="Обычный 10 3 2 3 2 2 2" xfId="2667"/>
    <cellStyle name="Обычный 10 3 2 3 2 2 2 2" xfId="2668"/>
    <cellStyle name="Обычный 10 3 2 3 2 2 2 2 2" xfId="2669"/>
    <cellStyle name="Обычный 10 3 2 3 2 2 2 2 2 2" xfId="2670"/>
    <cellStyle name="Обычный 10 3 2 3 2 2 2 2 2 3" xfId="2671"/>
    <cellStyle name="Обычный 10 3 2 3 2 2 2 2 3" xfId="2672"/>
    <cellStyle name="Обычный 10 3 2 3 2 2 2 2 3 2" xfId="2673"/>
    <cellStyle name="Обычный 10 3 2 3 2 2 2 2 3 3" xfId="2674"/>
    <cellStyle name="Обычный 10 3 2 3 2 2 2 2 4" xfId="2675"/>
    <cellStyle name="Обычный 10 3 2 3 2 2 2 2 4 2" xfId="2676"/>
    <cellStyle name="Обычный 10 3 2 3 2 2 2 2 5" xfId="2677"/>
    <cellStyle name="Обычный 10 3 2 3 2 2 2 2 6" xfId="2678"/>
    <cellStyle name="Обычный 10 3 2 3 2 2 2 3" xfId="2679"/>
    <cellStyle name="Обычный 10 3 2 3 2 2 2 3 2" xfId="2680"/>
    <cellStyle name="Обычный 10 3 2 3 2 2 2 3 3" xfId="2681"/>
    <cellStyle name="Обычный 10 3 2 3 2 2 2 4" xfId="2682"/>
    <cellStyle name="Обычный 10 3 2 3 2 2 2 4 2" xfId="2683"/>
    <cellStyle name="Обычный 10 3 2 3 2 2 2 4 3" xfId="2684"/>
    <cellStyle name="Обычный 10 3 2 3 2 2 2 5" xfId="2685"/>
    <cellStyle name="Обычный 10 3 2 3 2 2 2 5 2" xfId="2686"/>
    <cellStyle name="Обычный 10 3 2 3 2 2 2 6" xfId="2687"/>
    <cellStyle name="Обычный 10 3 2 3 2 2 2 7" xfId="2688"/>
    <cellStyle name="Обычный 10 3 2 3 2 2 3" xfId="2689"/>
    <cellStyle name="Обычный 10 3 2 3 2 2 3 2" xfId="2690"/>
    <cellStyle name="Обычный 10 3 2 3 2 2 3 2 2" xfId="2691"/>
    <cellStyle name="Обычный 10 3 2 3 2 2 3 2 3" xfId="2692"/>
    <cellStyle name="Обычный 10 3 2 3 2 2 3 3" xfId="2693"/>
    <cellStyle name="Обычный 10 3 2 3 2 2 3 3 2" xfId="2694"/>
    <cellStyle name="Обычный 10 3 2 3 2 2 3 3 3" xfId="2695"/>
    <cellStyle name="Обычный 10 3 2 3 2 2 3 4" xfId="2696"/>
    <cellStyle name="Обычный 10 3 2 3 2 2 3 4 2" xfId="2697"/>
    <cellStyle name="Обычный 10 3 2 3 2 2 3 5" xfId="2698"/>
    <cellStyle name="Обычный 10 3 2 3 2 2 3 6" xfId="2699"/>
    <cellStyle name="Обычный 10 3 2 3 2 2 4" xfId="2700"/>
    <cellStyle name="Обычный 10 3 2 3 2 2 4 2" xfId="2701"/>
    <cellStyle name="Обычный 10 3 2 3 2 2 4 3" xfId="2702"/>
    <cellStyle name="Обычный 10 3 2 3 2 2 5" xfId="2703"/>
    <cellStyle name="Обычный 10 3 2 3 2 2 5 2" xfId="2704"/>
    <cellStyle name="Обычный 10 3 2 3 2 2 5 3" xfId="2705"/>
    <cellStyle name="Обычный 10 3 2 3 2 2 6" xfId="2706"/>
    <cellStyle name="Обычный 10 3 2 3 2 2 6 2" xfId="2707"/>
    <cellStyle name="Обычный 10 3 2 3 2 2 7" xfId="2708"/>
    <cellStyle name="Обычный 10 3 2 3 2 2 8" xfId="2709"/>
    <cellStyle name="Обычный 10 3 2 3 2 3" xfId="2710"/>
    <cellStyle name="Обычный 10 3 2 3 2 3 2" xfId="2711"/>
    <cellStyle name="Обычный 10 3 2 3 2 3 2 2" xfId="2712"/>
    <cellStyle name="Обычный 10 3 2 3 2 3 2 2 2" xfId="2713"/>
    <cellStyle name="Обычный 10 3 2 3 2 3 2 2 3" xfId="2714"/>
    <cellStyle name="Обычный 10 3 2 3 2 3 2 3" xfId="2715"/>
    <cellStyle name="Обычный 10 3 2 3 2 3 2 3 2" xfId="2716"/>
    <cellStyle name="Обычный 10 3 2 3 2 3 2 3 3" xfId="2717"/>
    <cellStyle name="Обычный 10 3 2 3 2 3 2 4" xfId="2718"/>
    <cellStyle name="Обычный 10 3 2 3 2 3 2 4 2" xfId="2719"/>
    <cellStyle name="Обычный 10 3 2 3 2 3 2 5" xfId="2720"/>
    <cellStyle name="Обычный 10 3 2 3 2 3 2 6" xfId="2721"/>
    <cellStyle name="Обычный 10 3 2 3 2 3 3" xfId="2722"/>
    <cellStyle name="Обычный 10 3 2 3 2 3 3 2" xfId="2723"/>
    <cellStyle name="Обычный 10 3 2 3 2 3 3 3" xfId="2724"/>
    <cellStyle name="Обычный 10 3 2 3 2 3 4" xfId="2725"/>
    <cellStyle name="Обычный 10 3 2 3 2 3 4 2" xfId="2726"/>
    <cellStyle name="Обычный 10 3 2 3 2 3 4 3" xfId="2727"/>
    <cellStyle name="Обычный 10 3 2 3 2 3 5" xfId="2728"/>
    <cellStyle name="Обычный 10 3 2 3 2 3 5 2" xfId="2729"/>
    <cellStyle name="Обычный 10 3 2 3 2 3 6" xfId="2730"/>
    <cellStyle name="Обычный 10 3 2 3 2 3 7" xfId="2731"/>
    <cellStyle name="Обычный 10 3 2 3 2 4" xfId="2732"/>
    <cellStyle name="Обычный 10 3 2 3 2 4 2" xfId="2733"/>
    <cellStyle name="Обычный 10 3 2 3 2 4 2 2" xfId="2734"/>
    <cellStyle name="Обычный 10 3 2 3 2 4 2 3" xfId="2735"/>
    <cellStyle name="Обычный 10 3 2 3 2 4 3" xfId="2736"/>
    <cellStyle name="Обычный 10 3 2 3 2 4 3 2" xfId="2737"/>
    <cellStyle name="Обычный 10 3 2 3 2 4 3 3" xfId="2738"/>
    <cellStyle name="Обычный 10 3 2 3 2 4 4" xfId="2739"/>
    <cellStyle name="Обычный 10 3 2 3 2 4 4 2" xfId="2740"/>
    <cellStyle name="Обычный 10 3 2 3 2 4 5" xfId="2741"/>
    <cellStyle name="Обычный 10 3 2 3 2 4 6" xfId="2742"/>
    <cellStyle name="Обычный 10 3 2 3 2 5" xfId="2743"/>
    <cellStyle name="Обычный 10 3 2 3 2 5 2" xfId="2744"/>
    <cellStyle name="Обычный 10 3 2 3 2 5 3" xfId="2745"/>
    <cellStyle name="Обычный 10 3 2 3 2 6" xfId="2746"/>
    <cellStyle name="Обычный 10 3 2 3 2 6 2" xfId="2747"/>
    <cellStyle name="Обычный 10 3 2 3 2 6 3" xfId="2748"/>
    <cellStyle name="Обычный 10 3 2 3 2 7" xfId="2749"/>
    <cellStyle name="Обычный 10 3 2 3 2 7 2" xfId="2750"/>
    <cellStyle name="Обычный 10 3 2 3 2 8" xfId="2751"/>
    <cellStyle name="Обычный 10 3 2 3 2 9" xfId="2752"/>
    <cellStyle name="Обычный 10 3 2 3 3" xfId="2753"/>
    <cellStyle name="Обычный 10 3 2 3 3 2" xfId="2754"/>
    <cellStyle name="Обычный 10 3 2 3 3 2 2" xfId="2755"/>
    <cellStyle name="Обычный 10 3 2 3 3 2 2 2" xfId="2756"/>
    <cellStyle name="Обычный 10 3 2 3 3 2 2 2 2" xfId="2757"/>
    <cellStyle name="Обычный 10 3 2 3 3 2 2 2 3" xfId="2758"/>
    <cellStyle name="Обычный 10 3 2 3 3 2 2 3" xfId="2759"/>
    <cellStyle name="Обычный 10 3 2 3 3 2 2 3 2" xfId="2760"/>
    <cellStyle name="Обычный 10 3 2 3 3 2 2 3 3" xfId="2761"/>
    <cellStyle name="Обычный 10 3 2 3 3 2 2 4" xfId="2762"/>
    <cellStyle name="Обычный 10 3 2 3 3 2 2 4 2" xfId="2763"/>
    <cellStyle name="Обычный 10 3 2 3 3 2 2 5" xfId="2764"/>
    <cellStyle name="Обычный 10 3 2 3 3 2 2 6" xfId="2765"/>
    <cellStyle name="Обычный 10 3 2 3 3 2 3" xfId="2766"/>
    <cellStyle name="Обычный 10 3 2 3 3 2 3 2" xfId="2767"/>
    <cellStyle name="Обычный 10 3 2 3 3 2 3 3" xfId="2768"/>
    <cellStyle name="Обычный 10 3 2 3 3 2 4" xfId="2769"/>
    <cellStyle name="Обычный 10 3 2 3 3 2 4 2" xfId="2770"/>
    <cellStyle name="Обычный 10 3 2 3 3 2 4 3" xfId="2771"/>
    <cellStyle name="Обычный 10 3 2 3 3 2 5" xfId="2772"/>
    <cellStyle name="Обычный 10 3 2 3 3 2 5 2" xfId="2773"/>
    <cellStyle name="Обычный 10 3 2 3 3 2 6" xfId="2774"/>
    <cellStyle name="Обычный 10 3 2 3 3 2 7" xfId="2775"/>
    <cellStyle name="Обычный 10 3 2 3 3 3" xfId="2776"/>
    <cellStyle name="Обычный 10 3 2 3 3 3 2" xfId="2777"/>
    <cellStyle name="Обычный 10 3 2 3 3 3 2 2" xfId="2778"/>
    <cellStyle name="Обычный 10 3 2 3 3 3 2 3" xfId="2779"/>
    <cellStyle name="Обычный 10 3 2 3 3 3 3" xfId="2780"/>
    <cellStyle name="Обычный 10 3 2 3 3 3 3 2" xfId="2781"/>
    <cellStyle name="Обычный 10 3 2 3 3 3 3 3" xfId="2782"/>
    <cellStyle name="Обычный 10 3 2 3 3 3 4" xfId="2783"/>
    <cellStyle name="Обычный 10 3 2 3 3 3 4 2" xfId="2784"/>
    <cellStyle name="Обычный 10 3 2 3 3 3 5" xfId="2785"/>
    <cellStyle name="Обычный 10 3 2 3 3 3 6" xfId="2786"/>
    <cellStyle name="Обычный 10 3 2 3 3 4" xfId="2787"/>
    <cellStyle name="Обычный 10 3 2 3 3 4 2" xfId="2788"/>
    <cellStyle name="Обычный 10 3 2 3 3 4 3" xfId="2789"/>
    <cellStyle name="Обычный 10 3 2 3 3 5" xfId="2790"/>
    <cellStyle name="Обычный 10 3 2 3 3 5 2" xfId="2791"/>
    <cellStyle name="Обычный 10 3 2 3 3 5 3" xfId="2792"/>
    <cellStyle name="Обычный 10 3 2 3 3 6" xfId="2793"/>
    <cellStyle name="Обычный 10 3 2 3 3 6 2" xfId="2794"/>
    <cellStyle name="Обычный 10 3 2 3 3 7" xfId="2795"/>
    <cellStyle name="Обычный 10 3 2 3 3 8" xfId="2796"/>
    <cellStyle name="Обычный 10 3 2 3 4" xfId="2797"/>
    <cellStyle name="Обычный 10 3 2 3 4 2" xfId="2798"/>
    <cellStyle name="Обычный 10 3 2 3 4 2 2" xfId="2799"/>
    <cellStyle name="Обычный 10 3 2 3 4 2 2 2" xfId="2800"/>
    <cellStyle name="Обычный 10 3 2 3 4 2 2 3" xfId="2801"/>
    <cellStyle name="Обычный 10 3 2 3 4 2 3" xfId="2802"/>
    <cellStyle name="Обычный 10 3 2 3 4 2 3 2" xfId="2803"/>
    <cellStyle name="Обычный 10 3 2 3 4 2 3 3" xfId="2804"/>
    <cellStyle name="Обычный 10 3 2 3 4 2 4" xfId="2805"/>
    <cellStyle name="Обычный 10 3 2 3 4 2 4 2" xfId="2806"/>
    <cellStyle name="Обычный 10 3 2 3 4 2 5" xfId="2807"/>
    <cellStyle name="Обычный 10 3 2 3 4 2 6" xfId="2808"/>
    <cellStyle name="Обычный 10 3 2 3 4 3" xfId="2809"/>
    <cellStyle name="Обычный 10 3 2 3 4 3 2" xfId="2810"/>
    <cellStyle name="Обычный 10 3 2 3 4 3 3" xfId="2811"/>
    <cellStyle name="Обычный 10 3 2 3 4 4" xfId="2812"/>
    <cellStyle name="Обычный 10 3 2 3 4 4 2" xfId="2813"/>
    <cellStyle name="Обычный 10 3 2 3 4 4 3" xfId="2814"/>
    <cellStyle name="Обычный 10 3 2 3 4 5" xfId="2815"/>
    <cellStyle name="Обычный 10 3 2 3 4 5 2" xfId="2816"/>
    <cellStyle name="Обычный 10 3 2 3 4 6" xfId="2817"/>
    <cellStyle name="Обычный 10 3 2 3 4 7" xfId="2818"/>
    <cellStyle name="Обычный 10 3 2 3 5" xfId="2819"/>
    <cellStyle name="Обычный 10 3 2 3 5 2" xfId="2820"/>
    <cellStyle name="Обычный 10 3 2 3 5 2 2" xfId="2821"/>
    <cellStyle name="Обычный 10 3 2 3 5 2 3" xfId="2822"/>
    <cellStyle name="Обычный 10 3 2 3 5 3" xfId="2823"/>
    <cellStyle name="Обычный 10 3 2 3 5 3 2" xfId="2824"/>
    <cellStyle name="Обычный 10 3 2 3 5 3 3" xfId="2825"/>
    <cellStyle name="Обычный 10 3 2 3 5 4" xfId="2826"/>
    <cellStyle name="Обычный 10 3 2 3 5 4 2" xfId="2827"/>
    <cellStyle name="Обычный 10 3 2 3 5 5" xfId="2828"/>
    <cellStyle name="Обычный 10 3 2 3 5 6" xfId="2829"/>
    <cellStyle name="Обычный 10 3 2 3 6" xfId="2830"/>
    <cellStyle name="Обычный 10 3 2 3 6 2" xfId="2831"/>
    <cellStyle name="Обычный 10 3 2 3 6 3" xfId="2832"/>
    <cellStyle name="Обычный 10 3 2 3 7" xfId="2833"/>
    <cellStyle name="Обычный 10 3 2 3 7 2" xfId="2834"/>
    <cellStyle name="Обычный 10 3 2 3 7 3" xfId="2835"/>
    <cellStyle name="Обычный 10 3 2 3 8" xfId="2836"/>
    <cellStyle name="Обычный 10 3 2 3 8 2" xfId="2837"/>
    <cellStyle name="Обычный 10 3 2 3 9" xfId="2838"/>
    <cellStyle name="Обычный 10 3 2 4" xfId="2839"/>
    <cellStyle name="Обычный 10 3 2 4 10" xfId="2840"/>
    <cellStyle name="Обычный 10 3 2 4 2" xfId="2841"/>
    <cellStyle name="Обычный 10 3 2 4 2 2" xfId="2842"/>
    <cellStyle name="Обычный 10 3 2 4 2 2 2" xfId="2843"/>
    <cellStyle name="Обычный 10 3 2 4 2 2 2 2" xfId="2844"/>
    <cellStyle name="Обычный 10 3 2 4 2 2 2 2 2" xfId="2845"/>
    <cellStyle name="Обычный 10 3 2 4 2 2 2 2 2 2" xfId="2846"/>
    <cellStyle name="Обычный 10 3 2 4 2 2 2 2 2 3" xfId="2847"/>
    <cellStyle name="Обычный 10 3 2 4 2 2 2 2 3" xfId="2848"/>
    <cellStyle name="Обычный 10 3 2 4 2 2 2 2 3 2" xfId="2849"/>
    <cellStyle name="Обычный 10 3 2 4 2 2 2 2 3 3" xfId="2850"/>
    <cellStyle name="Обычный 10 3 2 4 2 2 2 2 4" xfId="2851"/>
    <cellStyle name="Обычный 10 3 2 4 2 2 2 2 4 2" xfId="2852"/>
    <cellStyle name="Обычный 10 3 2 4 2 2 2 2 5" xfId="2853"/>
    <cellStyle name="Обычный 10 3 2 4 2 2 2 2 6" xfId="2854"/>
    <cellStyle name="Обычный 10 3 2 4 2 2 2 3" xfId="2855"/>
    <cellStyle name="Обычный 10 3 2 4 2 2 2 3 2" xfId="2856"/>
    <cellStyle name="Обычный 10 3 2 4 2 2 2 3 3" xfId="2857"/>
    <cellStyle name="Обычный 10 3 2 4 2 2 2 4" xfId="2858"/>
    <cellStyle name="Обычный 10 3 2 4 2 2 2 4 2" xfId="2859"/>
    <cellStyle name="Обычный 10 3 2 4 2 2 2 4 3" xfId="2860"/>
    <cellStyle name="Обычный 10 3 2 4 2 2 2 5" xfId="2861"/>
    <cellStyle name="Обычный 10 3 2 4 2 2 2 5 2" xfId="2862"/>
    <cellStyle name="Обычный 10 3 2 4 2 2 2 6" xfId="2863"/>
    <cellStyle name="Обычный 10 3 2 4 2 2 2 7" xfId="2864"/>
    <cellStyle name="Обычный 10 3 2 4 2 2 3" xfId="2865"/>
    <cellStyle name="Обычный 10 3 2 4 2 2 3 2" xfId="2866"/>
    <cellStyle name="Обычный 10 3 2 4 2 2 3 2 2" xfId="2867"/>
    <cellStyle name="Обычный 10 3 2 4 2 2 3 2 3" xfId="2868"/>
    <cellStyle name="Обычный 10 3 2 4 2 2 3 3" xfId="2869"/>
    <cellStyle name="Обычный 10 3 2 4 2 2 3 3 2" xfId="2870"/>
    <cellStyle name="Обычный 10 3 2 4 2 2 3 3 3" xfId="2871"/>
    <cellStyle name="Обычный 10 3 2 4 2 2 3 4" xfId="2872"/>
    <cellStyle name="Обычный 10 3 2 4 2 2 3 4 2" xfId="2873"/>
    <cellStyle name="Обычный 10 3 2 4 2 2 3 5" xfId="2874"/>
    <cellStyle name="Обычный 10 3 2 4 2 2 3 6" xfId="2875"/>
    <cellStyle name="Обычный 10 3 2 4 2 2 4" xfId="2876"/>
    <cellStyle name="Обычный 10 3 2 4 2 2 4 2" xfId="2877"/>
    <cellStyle name="Обычный 10 3 2 4 2 2 4 3" xfId="2878"/>
    <cellStyle name="Обычный 10 3 2 4 2 2 5" xfId="2879"/>
    <cellStyle name="Обычный 10 3 2 4 2 2 5 2" xfId="2880"/>
    <cellStyle name="Обычный 10 3 2 4 2 2 5 3" xfId="2881"/>
    <cellStyle name="Обычный 10 3 2 4 2 2 6" xfId="2882"/>
    <cellStyle name="Обычный 10 3 2 4 2 2 6 2" xfId="2883"/>
    <cellStyle name="Обычный 10 3 2 4 2 2 7" xfId="2884"/>
    <cellStyle name="Обычный 10 3 2 4 2 2 8" xfId="2885"/>
    <cellStyle name="Обычный 10 3 2 4 2 3" xfId="2886"/>
    <cellStyle name="Обычный 10 3 2 4 2 3 2" xfId="2887"/>
    <cellStyle name="Обычный 10 3 2 4 2 3 2 2" xfId="2888"/>
    <cellStyle name="Обычный 10 3 2 4 2 3 2 2 2" xfId="2889"/>
    <cellStyle name="Обычный 10 3 2 4 2 3 2 2 3" xfId="2890"/>
    <cellStyle name="Обычный 10 3 2 4 2 3 2 3" xfId="2891"/>
    <cellStyle name="Обычный 10 3 2 4 2 3 2 3 2" xfId="2892"/>
    <cellStyle name="Обычный 10 3 2 4 2 3 2 3 3" xfId="2893"/>
    <cellStyle name="Обычный 10 3 2 4 2 3 2 4" xfId="2894"/>
    <cellStyle name="Обычный 10 3 2 4 2 3 2 4 2" xfId="2895"/>
    <cellStyle name="Обычный 10 3 2 4 2 3 2 5" xfId="2896"/>
    <cellStyle name="Обычный 10 3 2 4 2 3 2 6" xfId="2897"/>
    <cellStyle name="Обычный 10 3 2 4 2 3 3" xfId="2898"/>
    <cellStyle name="Обычный 10 3 2 4 2 3 3 2" xfId="2899"/>
    <cellStyle name="Обычный 10 3 2 4 2 3 3 3" xfId="2900"/>
    <cellStyle name="Обычный 10 3 2 4 2 3 4" xfId="2901"/>
    <cellStyle name="Обычный 10 3 2 4 2 3 4 2" xfId="2902"/>
    <cellStyle name="Обычный 10 3 2 4 2 3 4 3" xfId="2903"/>
    <cellStyle name="Обычный 10 3 2 4 2 3 5" xfId="2904"/>
    <cellStyle name="Обычный 10 3 2 4 2 3 5 2" xfId="2905"/>
    <cellStyle name="Обычный 10 3 2 4 2 3 6" xfId="2906"/>
    <cellStyle name="Обычный 10 3 2 4 2 3 7" xfId="2907"/>
    <cellStyle name="Обычный 10 3 2 4 2 4" xfId="2908"/>
    <cellStyle name="Обычный 10 3 2 4 2 4 2" xfId="2909"/>
    <cellStyle name="Обычный 10 3 2 4 2 4 2 2" xfId="2910"/>
    <cellStyle name="Обычный 10 3 2 4 2 4 2 3" xfId="2911"/>
    <cellStyle name="Обычный 10 3 2 4 2 4 3" xfId="2912"/>
    <cellStyle name="Обычный 10 3 2 4 2 4 3 2" xfId="2913"/>
    <cellStyle name="Обычный 10 3 2 4 2 4 3 3" xfId="2914"/>
    <cellStyle name="Обычный 10 3 2 4 2 4 4" xfId="2915"/>
    <cellStyle name="Обычный 10 3 2 4 2 4 4 2" xfId="2916"/>
    <cellStyle name="Обычный 10 3 2 4 2 4 5" xfId="2917"/>
    <cellStyle name="Обычный 10 3 2 4 2 4 6" xfId="2918"/>
    <cellStyle name="Обычный 10 3 2 4 2 5" xfId="2919"/>
    <cellStyle name="Обычный 10 3 2 4 2 5 2" xfId="2920"/>
    <cellStyle name="Обычный 10 3 2 4 2 5 3" xfId="2921"/>
    <cellStyle name="Обычный 10 3 2 4 2 6" xfId="2922"/>
    <cellStyle name="Обычный 10 3 2 4 2 6 2" xfId="2923"/>
    <cellStyle name="Обычный 10 3 2 4 2 6 3" xfId="2924"/>
    <cellStyle name="Обычный 10 3 2 4 2 7" xfId="2925"/>
    <cellStyle name="Обычный 10 3 2 4 2 7 2" xfId="2926"/>
    <cellStyle name="Обычный 10 3 2 4 2 8" xfId="2927"/>
    <cellStyle name="Обычный 10 3 2 4 2 9" xfId="2928"/>
    <cellStyle name="Обычный 10 3 2 4 3" xfId="2929"/>
    <cellStyle name="Обычный 10 3 2 4 3 2" xfId="2930"/>
    <cellStyle name="Обычный 10 3 2 4 3 2 2" xfId="2931"/>
    <cellStyle name="Обычный 10 3 2 4 3 2 2 2" xfId="2932"/>
    <cellStyle name="Обычный 10 3 2 4 3 2 2 2 2" xfId="2933"/>
    <cellStyle name="Обычный 10 3 2 4 3 2 2 2 3" xfId="2934"/>
    <cellStyle name="Обычный 10 3 2 4 3 2 2 3" xfId="2935"/>
    <cellStyle name="Обычный 10 3 2 4 3 2 2 3 2" xfId="2936"/>
    <cellStyle name="Обычный 10 3 2 4 3 2 2 3 3" xfId="2937"/>
    <cellStyle name="Обычный 10 3 2 4 3 2 2 4" xfId="2938"/>
    <cellStyle name="Обычный 10 3 2 4 3 2 2 4 2" xfId="2939"/>
    <cellStyle name="Обычный 10 3 2 4 3 2 2 5" xfId="2940"/>
    <cellStyle name="Обычный 10 3 2 4 3 2 2 6" xfId="2941"/>
    <cellStyle name="Обычный 10 3 2 4 3 2 3" xfId="2942"/>
    <cellStyle name="Обычный 10 3 2 4 3 2 3 2" xfId="2943"/>
    <cellStyle name="Обычный 10 3 2 4 3 2 3 3" xfId="2944"/>
    <cellStyle name="Обычный 10 3 2 4 3 2 4" xfId="2945"/>
    <cellStyle name="Обычный 10 3 2 4 3 2 4 2" xfId="2946"/>
    <cellStyle name="Обычный 10 3 2 4 3 2 4 3" xfId="2947"/>
    <cellStyle name="Обычный 10 3 2 4 3 2 5" xfId="2948"/>
    <cellStyle name="Обычный 10 3 2 4 3 2 5 2" xfId="2949"/>
    <cellStyle name="Обычный 10 3 2 4 3 2 6" xfId="2950"/>
    <cellStyle name="Обычный 10 3 2 4 3 2 7" xfId="2951"/>
    <cellStyle name="Обычный 10 3 2 4 3 3" xfId="2952"/>
    <cellStyle name="Обычный 10 3 2 4 3 3 2" xfId="2953"/>
    <cellStyle name="Обычный 10 3 2 4 3 3 2 2" xfId="2954"/>
    <cellStyle name="Обычный 10 3 2 4 3 3 2 3" xfId="2955"/>
    <cellStyle name="Обычный 10 3 2 4 3 3 3" xfId="2956"/>
    <cellStyle name="Обычный 10 3 2 4 3 3 3 2" xfId="2957"/>
    <cellStyle name="Обычный 10 3 2 4 3 3 3 3" xfId="2958"/>
    <cellStyle name="Обычный 10 3 2 4 3 3 4" xfId="2959"/>
    <cellStyle name="Обычный 10 3 2 4 3 3 4 2" xfId="2960"/>
    <cellStyle name="Обычный 10 3 2 4 3 3 5" xfId="2961"/>
    <cellStyle name="Обычный 10 3 2 4 3 3 6" xfId="2962"/>
    <cellStyle name="Обычный 10 3 2 4 3 4" xfId="2963"/>
    <cellStyle name="Обычный 10 3 2 4 3 4 2" xfId="2964"/>
    <cellStyle name="Обычный 10 3 2 4 3 4 3" xfId="2965"/>
    <cellStyle name="Обычный 10 3 2 4 3 5" xfId="2966"/>
    <cellStyle name="Обычный 10 3 2 4 3 5 2" xfId="2967"/>
    <cellStyle name="Обычный 10 3 2 4 3 5 3" xfId="2968"/>
    <cellStyle name="Обычный 10 3 2 4 3 6" xfId="2969"/>
    <cellStyle name="Обычный 10 3 2 4 3 6 2" xfId="2970"/>
    <cellStyle name="Обычный 10 3 2 4 3 7" xfId="2971"/>
    <cellStyle name="Обычный 10 3 2 4 3 8" xfId="2972"/>
    <cellStyle name="Обычный 10 3 2 4 4" xfId="2973"/>
    <cellStyle name="Обычный 10 3 2 4 4 2" xfId="2974"/>
    <cellStyle name="Обычный 10 3 2 4 4 2 2" xfId="2975"/>
    <cellStyle name="Обычный 10 3 2 4 4 2 2 2" xfId="2976"/>
    <cellStyle name="Обычный 10 3 2 4 4 2 2 3" xfId="2977"/>
    <cellStyle name="Обычный 10 3 2 4 4 2 3" xfId="2978"/>
    <cellStyle name="Обычный 10 3 2 4 4 2 3 2" xfId="2979"/>
    <cellStyle name="Обычный 10 3 2 4 4 2 3 3" xfId="2980"/>
    <cellStyle name="Обычный 10 3 2 4 4 2 4" xfId="2981"/>
    <cellStyle name="Обычный 10 3 2 4 4 2 4 2" xfId="2982"/>
    <cellStyle name="Обычный 10 3 2 4 4 2 5" xfId="2983"/>
    <cellStyle name="Обычный 10 3 2 4 4 2 6" xfId="2984"/>
    <cellStyle name="Обычный 10 3 2 4 4 3" xfId="2985"/>
    <cellStyle name="Обычный 10 3 2 4 4 3 2" xfId="2986"/>
    <cellStyle name="Обычный 10 3 2 4 4 3 3" xfId="2987"/>
    <cellStyle name="Обычный 10 3 2 4 4 4" xfId="2988"/>
    <cellStyle name="Обычный 10 3 2 4 4 4 2" xfId="2989"/>
    <cellStyle name="Обычный 10 3 2 4 4 4 3" xfId="2990"/>
    <cellStyle name="Обычный 10 3 2 4 4 5" xfId="2991"/>
    <cellStyle name="Обычный 10 3 2 4 4 5 2" xfId="2992"/>
    <cellStyle name="Обычный 10 3 2 4 4 6" xfId="2993"/>
    <cellStyle name="Обычный 10 3 2 4 4 7" xfId="2994"/>
    <cellStyle name="Обычный 10 3 2 4 5" xfId="2995"/>
    <cellStyle name="Обычный 10 3 2 4 5 2" xfId="2996"/>
    <cellStyle name="Обычный 10 3 2 4 5 2 2" xfId="2997"/>
    <cellStyle name="Обычный 10 3 2 4 5 2 3" xfId="2998"/>
    <cellStyle name="Обычный 10 3 2 4 5 3" xfId="2999"/>
    <cellStyle name="Обычный 10 3 2 4 5 3 2" xfId="3000"/>
    <cellStyle name="Обычный 10 3 2 4 5 3 3" xfId="3001"/>
    <cellStyle name="Обычный 10 3 2 4 5 4" xfId="3002"/>
    <cellStyle name="Обычный 10 3 2 4 5 4 2" xfId="3003"/>
    <cellStyle name="Обычный 10 3 2 4 5 5" xfId="3004"/>
    <cellStyle name="Обычный 10 3 2 4 5 6" xfId="3005"/>
    <cellStyle name="Обычный 10 3 2 4 6" xfId="3006"/>
    <cellStyle name="Обычный 10 3 2 4 6 2" xfId="3007"/>
    <cellStyle name="Обычный 10 3 2 4 6 3" xfId="3008"/>
    <cellStyle name="Обычный 10 3 2 4 7" xfId="3009"/>
    <cellStyle name="Обычный 10 3 2 4 7 2" xfId="3010"/>
    <cellStyle name="Обычный 10 3 2 4 7 3" xfId="3011"/>
    <cellStyle name="Обычный 10 3 2 4 8" xfId="3012"/>
    <cellStyle name="Обычный 10 3 2 4 8 2" xfId="3013"/>
    <cellStyle name="Обычный 10 3 2 4 9" xfId="3014"/>
    <cellStyle name="Обычный 10 3 2 5" xfId="3015"/>
    <cellStyle name="Обычный 10 3 2 5 2" xfId="3016"/>
    <cellStyle name="Обычный 10 3 2 5 2 2" xfId="3017"/>
    <cellStyle name="Обычный 10 3 2 5 2 2 2" xfId="3018"/>
    <cellStyle name="Обычный 10 3 2 5 2 2 2 2" xfId="3019"/>
    <cellStyle name="Обычный 10 3 2 5 2 2 2 2 2" xfId="3020"/>
    <cellStyle name="Обычный 10 3 2 5 2 2 2 2 3" xfId="3021"/>
    <cellStyle name="Обычный 10 3 2 5 2 2 2 3" xfId="3022"/>
    <cellStyle name="Обычный 10 3 2 5 2 2 2 3 2" xfId="3023"/>
    <cellStyle name="Обычный 10 3 2 5 2 2 2 3 3" xfId="3024"/>
    <cellStyle name="Обычный 10 3 2 5 2 2 2 4" xfId="3025"/>
    <cellStyle name="Обычный 10 3 2 5 2 2 2 4 2" xfId="3026"/>
    <cellStyle name="Обычный 10 3 2 5 2 2 2 5" xfId="3027"/>
    <cellStyle name="Обычный 10 3 2 5 2 2 2 6" xfId="3028"/>
    <cellStyle name="Обычный 10 3 2 5 2 2 3" xfId="3029"/>
    <cellStyle name="Обычный 10 3 2 5 2 2 3 2" xfId="3030"/>
    <cellStyle name="Обычный 10 3 2 5 2 2 3 3" xfId="3031"/>
    <cellStyle name="Обычный 10 3 2 5 2 2 4" xfId="3032"/>
    <cellStyle name="Обычный 10 3 2 5 2 2 4 2" xfId="3033"/>
    <cellStyle name="Обычный 10 3 2 5 2 2 4 3" xfId="3034"/>
    <cellStyle name="Обычный 10 3 2 5 2 2 5" xfId="3035"/>
    <cellStyle name="Обычный 10 3 2 5 2 2 5 2" xfId="3036"/>
    <cellStyle name="Обычный 10 3 2 5 2 2 6" xfId="3037"/>
    <cellStyle name="Обычный 10 3 2 5 2 2 7" xfId="3038"/>
    <cellStyle name="Обычный 10 3 2 5 2 3" xfId="3039"/>
    <cellStyle name="Обычный 10 3 2 5 2 3 2" xfId="3040"/>
    <cellStyle name="Обычный 10 3 2 5 2 3 2 2" xfId="3041"/>
    <cellStyle name="Обычный 10 3 2 5 2 3 2 3" xfId="3042"/>
    <cellStyle name="Обычный 10 3 2 5 2 3 3" xfId="3043"/>
    <cellStyle name="Обычный 10 3 2 5 2 3 3 2" xfId="3044"/>
    <cellStyle name="Обычный 10 3 2 5 2 3 3 3" xfId="3045"/>
    <cellStyle name="Обычный 10 3 2 5 2 3 4" xfId="3046"/>
    <cellStyle name="Обычный 10 3 2 5 2 3 4 2" xfId="3047"/>
    <cellStyle name="Обычный 10 3 2 5 2 3 5" xfId="3048"/>
    <cellStyle name="Обычный 10 3 2 5 2 3 6" xfId="3049"/>
    <cellStyle name="Обычный 10 3 2 5 2 4" xfId="3050"/>
    <cellStyle name="Обычный 10 3 2 5 2 4 2" xfId="3051"/>
    <cellStyle name="Обычный 10 3 2 5 2 4 3" xfId="3052"/>
    <cellStyle name="Обычный 10 3 2 5 2 5" xfId="3053"/>
    <cellStyle name="Обычный 10 3 2 5 2 5 2" xfId="3054"/>
    <cellStyle name="Обычный 10 3 2 5 2 5 3" xfId="3055"/>
    <cellStyle name="Обычный 10 3 2 5 2 6" xfId="3056"/>
    <cellStyle name="Обычный 10 3 2 5 2 6 2" xfId="3057"/>
    <cellStyle name="Обычный 10 3 2 5 2 7" xfId="3058"/>
    <cellStyle name="Обычный 10 3 2 5 2 8" xfId="3059"/>
    <cellStyle name="Обычный 10 3 2 5 3" xfId="3060"/>
    <cellStyle name="Обычный 10 3 2 5 3 2" xfId="3061"/>
    <cellStyle name="Обычный 10 3 2 5 3 2 2" xfId="3062"/>
    <cellStyle name="Обычный 10 3 2 5 3 2 2 2" xfId="3063"/>
    <cellStyle name="Обычный 10 3 2 5 3 2 2 3" xfId="3064"/>
    <cellStyle name="Обычный 10 3 2 5 3 2 3" xfId="3065"/>
    <cellStyle name="Обычный 10 3 2 5 3 2 3 2" xfId="3066"/>
    <cellStyle name="Обычный 10 3 2 5 3 2 3 3" xfId="3067"/>
    <cellStyle name="Обычный 10 3 2 5 3 2 4" xfId="3068"/>
    <cellStyle name="Обычный 10 3 2 5 3 2 4 2" xfId="3069"/>
    <cellStyle name="Обычный 10 3 2 5 3 2 5" xfId="3070"/>
    <cellStyle name="Обычный 10 3 2 5 3 2 6" xfId="3071"/>
    <cellStyle name="Обычный 10 3 2 5 3 3" xfId="3072"/>
    <cellStyle name="Обычный 10 3 2 5 3 3 2" xfId="3073"/>
    <cellStyle name="Обычный 10 3 2 5 3 3 3" xfId="3074"/>
    <cellStyle name="Обычный 10 3 2 5 3 4" xfId="3075"/>
    <cellStyle name="Обычный 10 3 2 5 3 4 2" xfId="3076"/>
    <cellStyle name="Обычный 10 3 2 5 3 4 3" xfId="3077"/>
    <cellStyle name="Обычный 10 3 2 5 3 5" xfId="3078"/>
    <cellStyle name="Обычный 10 3 2 5 3 5 2" xfId="3079"/>
    <cellStyle name="Обычный 10 3 2 5 3 6" xfId="3080"/>
    <cellStyle name="Обычный 10 3 2 5 3 7" xfId="3081"/>
    <cellStyle name="Обычный 10 3 2 5 4" xfId="3082"/>
    <cellStyle name="Обычный 10 3 2 5 4 2" xfId="3083"/>
    <cellStyle name="Обычный 10 3 2 5 4 2 2" xfId="3084"/>
    <cellStyle name="Обычный 10 3 2 5 4 2 3" xfId="3085"/>
    <cellStyle name="Обычный 10 3 2 5 4 3" xfId="3086"/>
    <cellStyle name="Обычный 10 3 2 5 4 3 2" xfId="3087"/>
    <cellStyle name="Обычный 10 3 2 5 4 3 3" xfId="3088"/>
    <cellStyle name="Обычный 10 3 2 5 4 4" xfId="3089"/>
    <cellStyle name="Обычный 10 3 2 5 4 4 2" xfId="3090"/>
    <cellStyle name="Обычный 10 3 2 5 4 5" xfId="3091"/>
    <cellStyle name="Обычный 10 3 2 5 4 6" xfId="3092"/>
    <cellStyle name="Обычный 10 3 2 5 5" xfId="3093"/>
    <cellStyle name="Обычный 10 3 2 5 5 2" xfId="3094"/>
    <cellStyle name="Обычный 10 3 2 5 5 3" xfId="3095"/>
    <cellStyle name="Обычный 10 3 2 5 6" xfId="3096"/>
    <cellStyle name="Обычный 10 3 2 5 6 2" xfId="3097"/>
    <cellStyle name="Обычный 10 3 2 5 6 3" xfId="3098"/>
    <cellStyle name="Обычный 10 3 2 5 7" xfId="3099"/>
    <cellStyle name="Обычный 10 3 2 5 7 2" xfId="3100"/>
    <cellStyle name="Обычный 10 3 2 5 8" xfId="3101"/>
    <cellStyle name="Обычный 10 3 2 5 9" xfId="3102"/>
    <cellStyle name="Обычный 10 3 2 6" xfId="3103"/>
    <cellStyle name="Обычный 10 3 2 6 2" xfId="3104"/>
    <cellStyle name="Обычный 10 3 2 6 2 2" xfId="3105"/>
    <cellStyle name="Обычный 10 3 2 6 2 2 2" xfId="3106"/>
    <cellStyle name="Обычный 10 3 2 6 2 2 2 2" xfId="3107"/>
    <cellStyle name="Обычный 10 3 2 6 2 2 2 3" xfId="3108"/>
    <cellStyle name="Обычный 10 3 2 6 2 2 3" xfId="3109"/>
    <cellStyle name="Обычный 10 3 2 6 2 2 3 2" xfId="3110"/>
    <cellStyle name="Обычный 10 3 2 6 2 2 3 3" xfId="3111"/>
    <cellStyle name="Обычный 10 3 2 6 2 2 4" xfId="3112"/>
    <cellStyle name="Обычный 10 3 2 6 2 2 4 2" xfId="3113"/>
    <cellStyle name="Обычный 10 3 2 6 2 2 5" xfId="3114"/>
    <cellStyle name="Обычный 10 3 2 6 2 2 6" xfId="3115"/>
    <cellStyle name="Обычный 10 3 2 6 2 3" xfId="3116"/>
    <cellStyle name="Обычный 10 3 2 6 2 3 2" xfId="3117"/>
    <cellStyle name="Обычный 10 3 2 6 2 3 3" xfId="3118"/>
    <cellStyle name="Обычный 10 3 2 6 2 4" xfId="3119"/>
    <cellStyle name="Обычный 10 3 2 6 2 4 2" xfId="3120"/>
    <cellStyle name="Обычный 10 3 2 6 2 4 3" xfId="3121"/>
    <cellStyle name="Обычный 10 3 2 6 2 5" xfId="3122"/>
    <cellStyle name="Обычный 10 3 2 6 2 5 2" xfId="3123"/>
    <cellStyle name="Обычный 10 3 2 6 2 6" xfId="3124"/>
    <cellStyle name="Обычный 10 3 2 6 2 7" xfId="3125"/>
    <cellStyle name="Обычный 10 3 2 6 3" xfId="3126"/>
    <cellStyle name="Обычный 10 3 2 6 3 2" xfId="3127"/>
    <cellStyle name="Обычный 10 3 2 6 3 2 2" xfId="3128"/>
    <cellStyle name="Обычный 10 3 2 6 3 2 3" xfId="3129"/>
    <cellStyle name="Обычный 10 3 2 6 3 3" xfId="3130"/>
    <cellStyle name="Обычный 10 3 2 6 3 3 2" xfId="3131"/>
    <cellStyle name="Обычный 10 3 2 6 3 3 3" xfId="3132"/>
    <cellStyle name="Обычный 10 3 2 6 3 4" xfId="3133"/>
    <cellStyle name="Обычный 10 3 2 6 3 4 2" xfId="3134"/>
    <cellStyle name="Обычный 10 3 2 6 3 5" xfId="3135"/>
    <cellStyle name="Обычный 10 3 2 6 3 6" xfId="3136"/>
    <cellStyle name="Обычный 10 3 2 6 4" xfId="3137"/>
    <cellStyle name="Обычный 10 3 2 6 4 2" xfId="3138"/>
    <cellStyle name="Обычный 10 3 2 6 4 3" xfId="3139"/>
    <cellStyle name="Обычный 10 3 2 6 5" xfId="3140"/>
    <cellStyle name="Обычный 10 3 2 6 5 2" xfId="3141"/>
    <cellStyle name="Обычный 10 3 2 6 5 3" xfId="3142"/>
    <cellStyle name="Обычный 10 3 2 6 6" xfId="3143"/>
    <cellStyle name="Обычный 10 3 2 6 6 2" xfId="3144"/>
    <cellStyle name="Обычный 10 3 2 6 7" xfId="3145"/>
    <cellStyle name="Обычный 10 3 2 6 8" xfId="3146"/>
    <cellStyle name="Обычный 10 3 2 7" xfId="3147"/>
    <cellStyle name="Обычный 10 3 2 7 2" xfId="3148"/>
    <cellStyle name="Обычный 10 3 2 7 2 2" xfId="3149"/>
    <cellStyle name="Обычный 10 3 2 7 2 2 2" xfId="3150"/>
    <cellStyle name="Обычный 10 3 2 7 2 2 3" xfId="3151"/>
    <cellStyle name="Обычный 10 3 2 7 2 3" xfId="3152"/>
    <cellStyle name="Обычный 10 3 2 7 2 3 2" xfId="3153"/>
    <cellStyle name="Обычный 10 3 2 7 2 3 3" xfId="3154"/>
    <cellStyle name="Обычный 10 3 2 7 2 4" xfId="3155"/>
    <cellStyle name="Обычный 10 3 2 7 2 4 2" xfId="3156"/>
    <cellStyle name="Обычный 10 3 2 7 2 5" xfId="3157"/>
    <cellStyle name="Обычный 10 3 2 7 2 6" xfId="3158"/>
    <cellStyle name="Обычный 10 3 2 7 3" xfId="3159"/>
    <cellStyle name="Обычный 10 3 2 7 3 2" xfId="3160"/>
    <cellStyle name="Обычный 10 3 2 7 3 3" xfId="3161"/>
    <cellStyle name="Обычный 10 3 2 7 4" xfId="3162"/>
    <cellStyle name="Обычный 10 3 2 7 4 2" xfId="3163"/>
    <cellStyle name="Обычный 10 3 2 7 4 3" xfId="3164"/>
    <cellStyle name="Обычный 10 3 2 7 5" xfId="3165"/>
    <cellStyle name="Обычный 10 3 2 7 5 2" xfId="3166"/>
    <cellStyle name="Обычный 10 3 2 7 6" xfId="3167"/>
    <cellStyle name="Обычный 10 3 2 7 7" xfId="3168"/>
    <cellStyle name="Обычный 10 3 2 8" xfId="3169"/>
    <cellStyle name="Обычный 10 3 2 8 2" xfId="3170"/>
    <cellStyle name="Обычный 10 3 2 8 2 2" xfId="3171"/>
    <cellStyle name="Обычный 10 3 2 8 2 3" xfId="3172"/>
    <cellStyle name="Обычный 10 3 2 8 3" xfId="3173"/>
    <cellStyle name="Обычный 10 3 2 8 3 2" xfId="3174"/>
    <cellStyle name="Обычный 10 3 2 8 3 3" xfId="3175"/>
    <cellStyle name="Обычный 10 3 2 8 4" xfId="3176"/>
    <cellStyle name="Обычный 10 3 2 8 4 2" xfId="3177"/>
    <cellStyle name="Обычный 10 3 2 8 5" xfId="3178"/>
    <cellStyle name="Обычный 10 3 2 8 6" xfId="3179"/>
    <cellStyle name="Обычный 10 3 2 9" xfId="3180"/>
    <cellStyle name="Обычный 10 3 2 9 2" xfId="3181"/>
    <cellStyle name="Обычный 10 3 2 9 3" xfId="3182"/>
    <cellStyle name="Обычный 10 3 3" xfId="3183"/>
    <cellStyle name="Обычный 10 3 3 10" xfId="3184"/>
    <cellStyle name="Обычный 10 3 3 2" xfId="3185"/>
    <cellStyle name="Обычный 10 3 3 2 2" xfId="3186"/>
    <cellStyle name="Обычный 10 3 3 2 2 2" xfId="3187"/>
    <cellStyle name="Обычный 10 3 3 2 2 2 2" xfId="3188"/>
    <cellStyle name="Обычный 10 3 3 2 2 2 2 2" xfId="3189"/>
    <cellStyle name="Обычный 10 3 3 2 2 2 2 2 2" xfId="3190"/>
    <cellStyle name="Обычный 10 3 3 2 2 2 2 2 3" xfId="3191"/>
    <cellStyle name="Обычный 10 3 3 2 2 2 2 3" xfId="3192"/>
    <cellStyle name="Обычный 10 3 3 2 2 2 2 3 2" xfId="3193"/>
    <cellStyle name="Обычный 10 3 3 2 2 2 2 3 3" xfId="3194"/>
    <cellStyle name="Обычный 10 3 3 2 2 2 2 4" xfId="3195"/>
    <cellStyle name="Обычный 10 3 3 2 2 2 2 4 2" xfId="3196"/>
    <cellStyle name="Обычный 10 3 3 2 2 2 2 5" xfId="3197"/>
    <cellStyle name="Обычный 10 3 3 2 2 2 2 6" xfId="3198"/>
    <cellStyle name="Обычный 10 3 3 2 2 2 3" xfId="3199"/>
    <cellStyle name="Обычный 10 3 3 2 2 2 3 2" xfId="3200"/>
    <cellStyle name="Обычный 10 3 3 2 2 2 3 3" xfId="3201"/>
    <cellStyle name="Обычный 10 3 3 2 2 2 4" xfId="3202"/>
    <cellStyle name="Обычный 10 3 3 2 2 2 4 2" xfId="3203"/>
    <cellStyle name="Обычный 10 3 3 2 2 2 4 3" xfId="3204"/>
    <cellStyle name="Обычный 10 3 3 2 2 2 5" xfId="3205"/>
    <cellStyle name="Обычный 10 3 3 2 2 2 5 2" xfId="3206"/>
    <cellStyle name="Обычный 10 3 3 2 2 2 6" xfId="3207"/>
    <cellStyle name="Обычный 10 3 3 2 2 2 7" xfId="3208"/>
    <cellStyle name="Обычный 10 3 3 2 2 3" xfId="3209"/>
    <cellStyle name="Обычный 10 3 3 2 2 3 2" xfId="3210"/>
    <cellStyle name="Обычный 10 3 3 2 2 3 2 2" xfId="3211"/>
    <cellStyle name="Обычный 10 3 3 2 2 3 2 3" xfId="3212"/>
    <cellStyle name="Обычный 10 3 3 2 2 3 3" xfId="3213"/>
    <cellStyle name="Обычный 10 3 3 2 2 3 3 2" xfId="3214"/>
    <cellStyle name="Обычный 10 3 3 2 2 3 3 3" xfId="3215"/>
    <cellStyle name="Обычный 10 3 3 2 2 3 4" xfId="3216"/>
    <cellStyle name="Обычный 10 3 3 2 2 3 4 2" xfId="3217"/>
    <cellStyle name="Обычный 10 3 3 2 2 3 5" xfId="3218"/>
    <cellStyle name="Обычный 10 3 3 2 2 3 6" xfId="3219"/>
    <cellStyle name="Обычный 10 3 3 2 2 4" xfId="3220"/>
    <cellStyle name="Обычный 10 3 3 2 2 4 2" xfId="3221"/>
    <cellStyle name="Обычный 10 3 3 2 2 4 3" xfId="3222"/>
    <cellStyle name="Обычный 10 3 3 2 2 5" xfId="3223"/>
    <cellStyle name="Обычный 10 3 3 2 2 5 2" xfId="3224"/>
    <cellStyle name="Обычный 10 3 3 2 2 5 3" xfId="3225"/>
    <cellStyle name="Обычный 10 3 3 2 2 6" xfId="3226"/>
    <cellStyle name="Обычный 10 3 3 2 2 6 2" xfId="3227"/>
    <cellStyle name="Обычный 10 3 3 2 2 7" xfId="3228"/>
    <cellStyle name="Обычный 10 3 3 2 2 8" xfId="3229"/>
    <cellStyle name="Обычный 10 3 3 2 3" xfId="3230"/>
    <cellStyle name="Обычный 10 3 3 2 3 2" xfId="3231"/>
    <cellStyle name="Обычный 10 3 3 2 3 2 2" xfId="3232"/>
    <cellStyle name="Обычный 10 3 3 2 3 2 2 2" xfId="3233"/>
    <cellStyle name="Обычный 10 3 3 2 3 2 2 3" xfId="3234"/>
    <cellStyle name="Обычный 10 3 3 2 3 2 3" xfId="3235"/>
    <cellStyle name="Обычный 10 3 3 2 3 2 3 2" xfId="3236"/>
    <cellStyle name="Обычный 10 3 3 2 3 2 3 3" xfId="3237"/>
    <cellStyle name="Обычный 10 3 3 2 3 2 4" xfId="3238"/>
    <cellStyle name="Обычный 10 3 3 2 3 2 4 2" xfId="3239"/>
    <cellStyle name="Обычный 10 3 3 2 3 2 5" xfId="3240"/>
    <cellStyle name="Обычный 10 3 3 2 3 2 6" xfId="3241"/>
    <cellStyle name="Обычный 10 3 3 2 3 3" xfId="3242"/>
    <cellStyle name="Обычный 10 3 3 2 3 3 2" xfId="3243"/>
    <cellStyle name="Обычный 10 3 3 2 3 3 3" xfId="3244"/>
    <cellStyle name="Обычный 10 3 3 2 3 4" xfId="3245"/>
    <cellStyle name="Обычный 10 3 3 2 3 4 2" xfId="3246"/>
    <cellStyle name="Обычный 10 3 3 2 3 4 3" xfId="3247"/>
    <cellStyle name="Обычный 10 3 3 2 3 5" xfId="3248"/>
    <cellStyle name="Обычный 10 3 3 2 3 5 2" xfId="3249"/>
    <cellStyle name="Обычный 10 3 3 2 3 6" xfId="3250"/>
    <cellStyle name="Обычный 10 3 3 2 3 7" xfId="3251"/>
    <cellStyle name="Обычный 10 3 3 2 4" xfId="3252"/>
    <cellStyle name="Обычный 10 3 3 2 4 2" xfId="3253"/>
    <cellStyle name="Обычный 10 3 3 2 4 2 2" xfId="3254"/>
    <cellStyle name="Обычный 10 3 3 2 4 2 3" xfId="3255"/>
    <cellStyle name="Обычный 10 3 3 2 4 3" xfId="3256"/>
    <cellStyle name="Обычный 10 3 3 2 4 3 2" xfId="3257"/>
    <cellStyle name="Обычный 10 3 3 2 4 3 3" xfId="3258"/>
    <cellStyle name="Обычный 10 3 3 2 4 4" xfId="3259"/>
    <cellStyle name="Обычный 10 3 3 2 4 4 2" xfId="3260"/>
    <cellStyle name="Обычный 10 3 3 2 4 5" xfId="3261"/>
    <cellStyle name="Обычный 10 3 3 2 4 6" xfId="3262"/>
    <cellStyle name="Обычный 10 3 3 2 5" xfId="3263"/>
    <cellStyle name="Обычный 10 3 3 2 5 2" xfId="3264"/>
    <cellStyle name="Обычный 10 3 3 2 5 3" xfId="3265"/>
    <cellStyle name="Обычный 10 3 3 2 6" xfId="3266"/>
    <cellStyle name="Обычный 10 3 3 2 6 2" xfId="3267"/>
    <cellStyle name="Обычный 10 3 3 2 6 3" xfId="3268"/>
    <cellStyle name="Обычный 10 3 3 2 7" xfId="3269"/>
    <cellStyle name="Обычный 10 3 3 2 7 2" xfId="3270"/>
    <cellStyle name="Обычный 10 3 3 2 8" xfId="3271"/>
    <cellStyle name="Обычный 10 3 3 2 9" xfId="3272"/>
    <cellStyle name="Обычный 10 3 3 3" xfId="3273"/>
    <cellStyle name="Обычный 10 3 3 3 2" xfId="3274"/>
    <cellStyle name="Обычный 10 3 3 3 2 2" xfId="3275"/>
    <cellStyle name="Обычный 10 3 3 3 2 2 2" xfId="3276"/>
    <cellStyle name="Обычный 10 3 3 3 2 2 2 2" xfId="3277"/>
    <cellStyle name="Обычный 10 3 3 3 2 2 2 3" xfId="3278"/>
    <cellStyle name="Обычный 10 3 3 3 2 2 3" xfId="3279"/>
    <cellStyle name="Обычный 10 3 3 3 2 2 3 2" xfId="3280"/>
    <cellStyle name="Обычный 10 3 3 3 2 2 3 3" xfId="3281"/>
    <cellStyle name="Обычный 10 3 3 3 2 2 4" xfId="3282"/>
    <cellStyle name="Обычный 10 3 3 3 2 2 4 2" xfId="3283"/>
    <cellStyle name="Обычный 10 3 3 3 2 2 5" xfId="3284"/>
    <cellStyle name="Обычный 10 3 3 3 2 2 6" xfId="3285"/>
    <cellStyle name="Обычный 10 3 3 3 2 3" xfId="3286"/>
    <cellStyle name="Обычный 10 3 3 3 2 3 2" xfId="3287"/>
    <cellStyle name="Обычный 10 3 3 3 2 3 3" xfId="3288"/>
    <cellStyle name="Обычный 10 3 3 3 2 4" xfId="3289"/>
    <cellStyle name="Обычный 10 3 3 3 2 4 2" xfId="3290"/>
    <cellStyle name="Обычный 10 3 3 3 2 4 3" xfId="3291"/>
    <cellStyle name="Обычный 10 3 3 3 2 5" xfId="3292"/>
    <cellStyle name="Обычный 10 3 3 3 2 5 2" xfId="3293"/>
    <cellStyle name="Обычный 10 3 3 3 2 6" xfId="3294"/>
    <cellStyle name="Обычный 10 3 3 3 2 7" xfId="3295"/>
    <cellStyle name="Обычный 10 3 3 3 3" xfId="3296"/>
    <cellStyle name="Обычный 10 3 3 3 3 2" xfId="3297"/>
    <cellStyle name="Обычный 10 3 3 3 3 2 2" xfId="3298"/>
    <cellStyle name="Обычный 10 3 3 3 3 2 3" xfId="3299"/>
    <cellStyle name="Обычный 10 3 3 3 3 3" xfId="3300"/>
    <cellStyle name="Обычный 10 3 3 3 3 3 2" xfId="3301"/>
    <cellStyle name="Обычный 10 3 3 3 3 3 3" xfId="3302"/>
    <cellStyle name="Обычный 10 3 3 3 3 4" xfId="3303"/>
    <cellStyle name="Обычный 10 3 3 3 3 4 2" xfId="3304"/>
    <cellStyle name="Обычный 10 3 3 3 3 5" xfId="3305"/>
    <cellStyle name="Обычный 10 3 3 3 3 6" xfId="3306"/>
    <cellStyle name="Обычный 10 3 3 3 4" xfId="3307"/>
    <cellStyle name="Обычный 10 3 3 3 4 2" xfId="3308"/>
    <cellStyle name="Обычный 10 3 3 3 4 3" xfId="3309"/>
    <cellStyle name="Обычный 10 3 3 3 5" xfId="3310"/>
    <cellStyle name="Обычный 10 3 3 3 5 2" xfId="3311"/>
    <cellStyle name="Обычный 10 3 3 3 5 3" xfId="3312"/>
    <cellStyle name="Обычный 10 3 3 3 6" xfId="3313"/>
    <cellStyle name="Обычный 10 3 3 3 6 2" xfId="3314"/>
    <cellStyle name="Обычный 10 3 3 3 7" xfId="3315"/>
    <cellStyle name="Обычный 10 3 3 3 8" xfId="3316"/>
    <cellStyle name="Обычный 10 3 3 4" xfId="3317"/>
    <cellStyle name="Обычный 10 3 3 4 2" xfId="3318"/>
    <cellStyle name="Обычный 10 3 3 4 2 2" xfId="3319"/>
    <cellStyle name="Обычный 10 3 3 4 2 2 2" xfId="3320"/>
    <cellStyle name="Обычный 10 3 3 4 2 2 3" xfId="3321"/>
    <cellStyle name="Обычный 10 3 3 4 2 3" xfId="3322"/>
    <cellStyle name="Обычный 10 3 3 4 2 3 2" xfId="3323"/>
    <cellStyle name="Обычный 10 3 3 4 2 3 3" xfId="3324"/>
    <cellStyle name="Обычный 10 3 3 4 2 4" xfId="3325"/>
    <cellStyle name="Обычный 10 3 3 4 2 4 2" xfId="3326"/>
    <cellStyle name="Обычный 10 3 3 4 2 5" xfId="3327"/>
    <cellStyle name="Обычный 10 3 3 4 2 6" xfId="3328"/>
    <cellStyle name="Обычный 10 3 3 4 3" xfId="3329"/>
    <cellStyle name="Обычный 10 3 3 4 3 2" xfId="3330"/>
    <cellStyle name="Обычный 10 3 3 4 3 3" xfId="3331"/>
    <cellStyle name="Обычный 10 3 3 4 4" xfId="3332"/>
    <cellStyle name="Обычный 10 3 3 4 4 2" xfId="3333"/>
    <cellStyle name="Обычный 10 3 3 4 4 3" xfId="3334"/>
    <cellStyle name="Обычный 10 3 3 4 5" xfId="3335"/>
    <cellStyle name="Обычный 10 3 3 4 5 2" xfId="3336"/>
    <cellStyle name="Обычный 10 3 3 4 6" xfId="3337"/>
    <cellStyle name="Обычный 10 3 3 4 7" xfId="3338"/>
    <cellStyle name="Обычный 10 3 3 5" xfId="3339"/>
    <cellStyle name="Обычный 10 3 3 5 2" xfId="3340"/>
    <cellStyle name="Обычный 10 3 3 5 2 2" xfId="3341"/>
    <cellStyle name="Обычный 10 3 3 5 2 3" xfId="3342"/>
    <cellStyle name="Обычный 10 3 3 5 3" xfId="3343"/>
    <cellStyle name="Обычный 10 3 3 5 3 2" xfId="3344"/>
    <cellStyle name="Обычный 10 3 3 5 3 3" xfId="3345"/>
    <cellStyle name="Обычный 10 3 3 5 4" xfId="3346"/>
    <cellStyle name="Обычный 10 3 3 5 4 2" xfId="3347"/>
    <cellStyle name="Обычный 10 3 3 5 5" xfId="3348"/>
    <cellStyle name="Обычный 10 3 3 5 6" xfId="3349"/>
    <cellStyle name="Обычный 10 3 3 6" xfId="3350"/>
    <cellStyle name="Обычный 10 3 3 6 2" xfId="3351"/>
    <cellStyle name="Обычный 10 3 3 6 3" xfId="3352"/>
    <cellStyle name="Обычный 10 3 3 7" xfId="3353"/>
    <cellStyle name="Обычный 10 3 3 7 2" xfId="3354"/>
    <cellStyle name="Обычный 10 3 3 7 3" xfId="3355"/>
    <cellStyle name="Обычный 10 3 3 8" xfId="3356"/>
    <cellStyle name="Обычный 10 3 3 8 2" xfId="3357"/>
    <cellStyle name="Обычный 10 3 3 9" xfId="3358"/>
    <cellStyle name="Обычный 10 3 4" xfId="3359"/>
    <cellStyle name="Обычный 10 3 4 10" xfId="3360"/>
    <cellStyle name="Обычный 10 3 4 2" xfId="3361"/>
    <cellStyle name="Обычный 10 3 4 2 2" xfId="3362"/>
    <cellStyle name="Обычный 10 3 4 2 2 2" xfId="3363"/>
    <cellStyle name="Обычный 10 3 4 2 2 2 2" xfId="3364"/>
    <cellStyle name="Обычный 10 3 4 2 2 2 2 2" xfId="3365"/>
    <cellStyle name="Обычный 10 3 4 2 2 2 2 2 2" xfId="3366"/>
    <cellStyle name="Обычный 10 3 4 2 2 2 2 2 3" xfId="3367"/>
    <cellStyle name="Обычный 10 3 4 2 2 2 2 3" xfId="3368"/>
    <cellStyle name="Обычный 10 3 4 2 2 2 2 3 2" xfId="3369"/>
    <cellStyle name="Обычный 10 3 4 2 2 2 2 3 3" xfId="3370"/>
    <cellStyle name="Обычный 10 3 4 2 2 2 2 4" xfId="3371"/>
    <cellStyle name="Обычный 10 3 4 2 2 2 2 4 2" xfId="3372"/>
    <cellStyle name="Обычный 10 3 4 2 2 2 2 5" xfId="3373"/>
    <cellStyle name="Обычный 10 3 4 2 2 2 2 6" xfId="3374"/>
    <cellStyle name="Обычный 10 3 4 2 2 2 3" xfId="3375"/>
    <cellStyle name="Обычный 10 3 4 2 2 2 3 2" xfId="3376"/>
    <cellStyle name="Обычный 10 3 4 2 2 2 3 3" xfId="3377"/>
    <cellStyle name="Обычный 10 3 4 2 2 2 4" xfId="3378"/>
    <cellStyle name="Обычный 10 3 4 2 2 2 4 2" xfId="3379"/>
    <cellStyle name="Обычный 10 3 4 2 2 2 4 3" xfId="3380"/>
    <cellStyle name="Обычный 10 3 4 2 2 2 5" xfId="3381"/>
    <cellStyle name="Обычный 10 3 4 2 2 2 5 2" xfId="3382"/>
    <cellStyle name="Обычный 10 3 4 2 2 2 6" xfId="3383"/>
    <cellStyle name="Обычный 10 3 4 2 2 2 7" xfId="3384"/>
    <cellStyle name="Обычный 10 3 4 2 2 3" xfId="3385"/>
    <cellStyle name="Обычный 10 3 4 2 2 3 2" xfId="3386"/>
    <cellStyle name="Обычный 10 3 4 2 2 3 2 2" xfId="3387"/>
    <cellStyle name="Обычный 10 3 4 2 2 3 2 3" xfId="3388"/>
    <cellStyle name="Обычный 10 3 4 2 2 3 3" xfId="3389"/>
    <cellStyle name="Обычный 10 3 4 2 2 3 3 2" xfId="3390"/>
    <cellStyle name="Обычный 10 3 4 2 2 3 3 3" xfId="3391"/>
    <cellStyle name="Обычный 10 3 4 2 2 3 4" xfId="3392"/>
    <cellStyle name="Обычный 10 3 4 2 2 3 4 2" xfId="3393"/>
    <cellStyle name="Обычный 10 3 4 2 2 3 5" xfId="3394"/>
    <cellStyle name="Обычный 10 3 4 2 2 3 6" xfId="3395"/>
    <cellStyle name="Обычный 10 3 4 2 2 4" xfId="3396"/>
    <cellStyle name="Обычный 10 3 4 2 2 4 2" xfId="3397"/>
    <cellStyle name="Обычный 10 3 4 2 2 4 3" xfId="3398"/>
    <cellStyle name="Обычный 10 3 4 2 2 5" xfId="3399"/>
    <cellStyle name="Обычный 10 3 4 2 2 5 2" xfId="3400"/>
    <cellStyle name="Обычный 10 3 4 2 2 5 3" xfId="3401"/>
    <cellStyle name="Обычный 10 3 4 2 2 6" xfId="3402"/>
    <cellStyle name="Обычный 10 3 4 2 2 6 2" xfId="3403"/>
    <cellStyle name="Обычный 10 3 4 2 2 7" xfId="3404"/>
    <cellStyle name="Обычный 10 3 4 2 2 8" xfId="3405"/>
    <cellStyle name="Обычный 10 3 4 2 3" xfId="3406"/>
    <cellStyle name="Обычный 10 3 4 2 3 2" xfId="3407"/>
    <cellStyle name="Обычный 10 3 4 2 3 2 2" xfId="3408"/>
    <cellStyle name="Обычный 10 3 4 2 3 2 2 2" xfId="3409"/>
    <cellStyle name="Обычный 10 3 4 2 3 2 2 3" xfId="3410"/>
    <cellStyle name="Обычный 10 3 4 2 3 2 3" xfId="3411"/>
    <cellStyle name="Обычный 10 3 4 2 3 2 3 2" xfId="3412"/>
    <cellStyle name="Обычный 10 3 4 2 3 2 3 3" xfId="3413"/>
    <cellStyle name="Обычный 10 3 4 2 3 2 4" xfId="3414"/>
    <cellStyle name="Обычный 10 3 4 2 3 2 4 2" xfId="3415"/>
    <cellStyle name="Обычный 10 3 4 2 3 2 5" xfId="3416"/>
    <cellStyle name="Обычный 10 3 4 2 3 2 6" xfId="3417"/>
    <cellStyle name="Обычный 10 3 4 2 3 3" xfId="3418"/>
    <cellStyle name="Обычный 10 3 4 2 3 3 2" xfId="3419"/>
    <cellStyle name="Обычный 10 3 4 2 3 3 3" xfId="3420"/>
    <cellStyle name="Обычный 10 3 4 2 3 4" xfId="3421"/>
    <cellStyle name="Обычный 10 3 4 2 3 4 2" xfId="3422"/>
    <cellStyle name="Обычный 10 3 4 2 3 4 3" xfId="3423"/>
    <cellStyle name="Обычный 10 3 4 2 3 5" xfId="3424"/>
    <cellStyle name="Обычный 10 3 4 2 3 5 2" xfId="3425"/>
    <cellStyle name="Обычный 10 3 4 2 3 6" xfId="3426"/>
    <cellStyle name="Обычный 10 3 4 2 3 7" xfId="3427"/>
    <cellStyle name="Обычный 10 3 4 2 4" xfId="3428"/>
    <cellStyle name="Обычный 10 3 4 2 4 2" xfId="3429"/>
    <cellStyle name="Обычный 10 3 4 2 4 2 2" xfId="3430"/>
    <cellStyle name="Обычный 10 3 4 2 4 2 3" xfId="3431"/>
    <cellStyle name="Обычный 10 3 4 2 4 3" xfId="3432"/>
    <cellStyle name="Обычный 10 3 4 2 4 3 2" xfId="3433"/>
    <cellStyle name="Обычный 10 3 4 2 4 3 3" xfId="3434"/>
    <cellStyle name="Обычный 10 3 4 2 4 4" xfId="3435"/>
    <cellStyle name="Обычный 10 3 4 2 4 4 2" xfId="3436"/>
    <cellStyle name="Обычный 10 3 4 2 4 5" xfId="3437"/>
    <cellStyle name="Обычный 10 3 4 2 4 6" xfId="3438"/>
    <cellStyle name="Обычный 10 3 4 2 5" xfId="3439"/>
    <cellStyle name="Обычный 10 3 4 2 5 2" xfId="3440"/>
    <cellStyle name="Обычный 10 3 4 2 5 3" xfId="3441"/>
    <cellStyle name="Обычный 10 3 4 2 6" xfId="3442"/>
    <cellStyle name="Обычный 10 3 4 2 6 2" xfId="3443"/>
    <cellStyle name="Обычный 10 3 4 2 6 3" xfId="3444"/>
    <cellStyle name="Обычный 10 3 4 2 7" xfId="3445"/>
    <cellStyle name="Обычный 10 3 4 2 7 2" xfId="3446"/>
    <cellStyle name="Обычный 10 3 4 2 8" xfId="3447"/>
    <cellStyle name="Обычный 10 3 4 2 9" xfId="3448"/>
    <cellStyle name="Обычный 10 3 4 3" xfId="3449"/>
    <cellStyle name="Обычный 10 3 4 3 2" xfId="3450"/>
    <cellStyle name="Обычный 10 3 4 3 2 2" xfId="3451"/>
    <cellStyle name="Обычный 10 3 4 3 2 2 2" xfId="3452"/>
    <cellStyle name="Обычный 10 3 4 3 2 2 2 2" xfId="3453"/>
    <cellStyle name="Обычный 10 3 4 3 2 2 2 3" xfId="3454"/>
    <cellStyle name="Обычный 10 3 4 3 2 2 3" xfId="3455"/>
    <cellStyle name="Обычный 10 3 4 3 2 2 3 2" xfId="3456"/>
    <cellStyle name="Обычный 10 3 4 3 2 2 3 3" xfId="3457"/>
    <cellStyle name="Обычный 10 3 4 3 2 2 4" xfId="3458"/>
    <cellStyle name="Обычный 10 3 4 3 2 2 4 2" xfId="3459"/>
    <cellStyle name="Обычный 10 3 4 3 2 2 5" xfId="3460"/>
    <cellStyle name="Обычный 10 3 4 3 2 2 6" xfId="3461"/>
    <cellStyle name="Обычный 10 3 4 3 2 3" xfId="3462"/>
    <cellStyle name="Обычный 10 3 4 3 2 3 2" xfId="3463"/>
    <cellStyle name="Обычный 10 3 4 3 2 3 3" xfId="3464"/>
    <cellStyle name="Обычный 10 3 4 3 2 4" xfId="3465"/>
    <cellStyle name="Обычный 10 3 4 3 2 4 2" xfId="3466"/>
    <cellStyle name="Обычный 10 3 4 3 2 4 3" xfId="3467"/>
    <cellStyle name="Обычный 10 3 4 3 2 5" xfId="3468"/>
    <cellStyle name="Обычный 10 3 4 3 2 5 2" xfId="3469"/>
    <cellStyle name="Обычный 10 3 4 3 2 6" xfId="3470"/>
    <cellStyle name="Обычный 10 3 4 3 2 7" xfId="3471"/>
    <cellStyle name="Обычный 10 3 4 3 3" xfId="3472"/>
    <cellStyle name="Обычный 10 3 4 3 3 2" xfId="3473"/>
    <cellStyle name="Обычный 10 3 4 3 3 2 2" xfId="3474"/>
    <cellStyle name="Обычный 10 3 4 3 3 2 3" xfId="3475"/>
    <cellStyle name="Обычный 10 3 4 3 3 3" xfId="3476"/>
    <cellStyle name="Обычный 10 3 4 3 3 3 2" xfId="3477"/>
    <cellStyle name="Обычный 10 3 4 3 3 3 3" xfId="3478"/>
    <cellStyle name="Обычный 10 3 4 3 3 4" xfId="3479"/>
    <cellStyle name="Обычный 10 3 4 3 3 4 2" xfId="3480"/>
    <cellStyle name="Обычный 10 3 4 3 3 5" xfId="3481"/>
    <cellStyle name="Обычный 10 3 4 3 3 6" xfId="3482"/>
    <cellStyle name="Обычный 10 3 4 3 4" xfId="3483"/>
    <cellStyle name="Обычный 10 3 4 3 4 2" xfId="3484"/>
    <cellStyle name="Обычный 10 3 4 3 4 3" xfId="3485"/>
    <cellStyle name="Обычный 10 3 4 3 5" xfId="3486"/>
    <cellStyle name="Обычный 10 3 4 3 5 2" xfId="3487"/>
    <cellStyle name="Обычный 10 3 4 3 5 3" xfId="3488"/>
    <cellStyle name="Обычный 10 3 4 3 6" xfId="3489"/>
    <cellStyle name="Обычный 10 3 4 3 6 2" xfId="3490"/>
    <cellStyle name="Обычный 10 3 4 3 7" xfId="3491"/>
    <cellStyle name="Обычный 10 3 4 3 8" xfId="3492"/>
    <cellStyle name="Обычный 10 3 4 4" xfId="3493"/>
    <cellStyle name="Обычный 10 3 4 4 2" xfId="3494"/>
    <cellStyle name="Обычный 10 3 4 4 2 2" xfId="3495"/>
    <cellStyle name="Обычный 10 3 4 4 2 2 2" xfId="3496"/>
    <cellStyle name="Обычный 10 3 4 4 2 2 3" xfId="3497"/>
    <cellStyle name="Обычный 10 3 4 4 2 3" xfId="3498"/>
    <cellStyle name="Обычный 10 3 4 4 2 3 2" xfId="3499"/>
    <cellStyle name="Обычный 10 3 4 4 2 3 3" xfId="3500"/>
    <cellStyle name="Обычный 10 3 4 4 2 4" xfId="3501"/>
    <cellStyle name="Обычный 10 3 4 4 2 4 2" xfId="3502"/>
    <cellStyle name="Обычный 10 3 4 4 2 5" xfId="3503"/>
    <cellStyle name="Обычный 10 3 4 4 2 6" xfId="3504"/>
    <cellStyle name="Обычный 10 3 4 4 3" xfId="3505"/>
    <cellStyle name="Обычный 10 3 4 4 3 2" xfId="3506"/>
    <cellStyle name="Обычный 10 3 4 4 3 3" xfId="3507"/>
    <cellStyle name="Обычный 10 3 4 4 4" xfId="3508"/>
    <cellStyle name="Обычный 10 3 4 4 4 2" xfId="3509"/>
    <cellStyle name="Обычный 10 3 4 4 4 3" xfId="3510"/>
    <cellStyle name="Обычный 10 3 4 4 5" xfId="3511"/>
    <cellStyle name="Обычный 10 3 4 4 5 2" xfId="3512"/>
    <cellStyle name="Обычный 10 3 4 4 6" xfId="3513"/>
    <cellStyle name="Обычный 10 3 4 4 7" xfId="3514"/>
    <cellStyle name="Обычный 10 3 4 5" xfId="3515"/>
    <cellStyle name="Обычный 10 3 4 5 2" xfId="3516"/>
    <cellStyle name="Обычный 10 3 4 5 2 2" xfId="3517"/>
    <cellStyle name="Обычный 10 3 4 5 2 3" xfId="3518"/>
    <cellStyle name="Обычный 10 3 4 5 3" xfId="3519"/>
    <cellStyle name="Обычный 10 3 4 5 3 2" xfId="3520"/>
    <cellStyle name="Обычный 10 3 4 5 3 3" xfId="3521"/>
    <cellStyle name="Обычный 10 3 4 5 4" xfId="3522"/>
    <cellStyle name="Обычный 10 3 4 5 4 2" xfId="3523"/>
    <cellStyle name="Обычный 10 3 4 5 5" xfId="3524"/>
    <cellStyle name="Обычный 10 3 4 5 6" xfId="3525"/>
    <cellStyle name="Обычный 10 3 4 6" xfId="3526"/>
    <cellStyle name="Обычный 10 3 4 6 2" xfId="3527"/>
    <cellStyle name="Обычный 10 3 4 6 3" xfId="3528"/>
    <cellStyle name="Обычный 10 3 4 7" xfId="3529"/>
    <cellStyle name="Обычный 10 3 4 7 2" xfId="3530"/>
    <cellStyle name="Обычный 10 3 4 7 3" xfId="3531"/>
    <cellStyle name="Обычный 10 3 4 8" xfId="3532"/>
    <cellStyle name="Обычный 10 3 4 8 2" xfId="3533"/>
    <cellStyle name="Обычный 10 3 4 9" xfId="3534"/>
    <cellStyle name="Обычный 10 3 5" xfId="3535"/>
    <cellStyle name="Обычный 10 3 5 10" xfId="3536"/>
    <cellStyle name="Обычный 10 3 5 2" xfId="3537"/>
    <cellStyle name="Обычный 10 3 5 2 2" xfId="3538"/>
    <cellStyle name="Обычный 10 3 5 2 2 2" xfId="3539"/>
    <cellStyle name="Обычный 10 3 5 2 2 2 2" xfId="3540"/>
    <cellStyle name="Обычный 10 3 5 2 2 2 2 2" xfId="3541"/>
    <cellStyle name="Обычный 10 3 5 2 2 2 2 2 2" xfId="3542"/>
    <cellStyle name="Обычный 10 3 5 2 2 2 2 2 3" xfId="3543"/>
    <cellStyle name="Обычный 10 3 5 2 2 2 2 3" xfId="3544"/>
    <cellStyle name="Обычный 10 3 5 2 2 2 2 3 2" xfId="3545"/>
    <cellStyle name="Обычный 10 3 5 2 2 2 2 3 3" xfId="3546"/>
    <cellStyle name="Обычный 10 3 5 2 2 2 2 4" xfId="3547"/>
    <cellStyle name="Обычный 10 3 5 2 2 2 2 4 2" xfId="3548"/>
    <cellStyle name="Обычный 10 3 5 2 2 2 2 5" xfId="3549"/>
    <cellStyle name="Обычный 10 3 5 2 2 2 2 6" xfId="3550"/>
    <cellStyle name="Обычный 10 3 5 2 2 2 3" xfId="3551"/>
    <cellStyle name="Обычный 10 3 5 2 2 2 3 2" xfId="3552"/>
    <cellStyle name="Обычный 10 3 5 2 2 2 3 3" xfId="3553"/>
    <cellStyle name="Обычный 10 3 5 2 2 2 4" xfId="3554"/>
    <cellStyle name="Обычный 10 3 5 2 2 2 4 2" xfId="3555"/>
    <cellStyle name="Обычный 10 3 5 2 2 2 4 3" xfId="3556"/>
    <cellStyle name="Обычный 10 3 5 2 2 2 5" xfId="3557"/>
    <cellStyle name="Обычный 10 3 5 2 2 2 5 2" xfId="3558"/>
    <cellStyle name="Обычный 10 3 5 2 2 2 6" xfId="3559"/>
    <cellStyle name="Обычный 10 3 5 2 2 2 7" xfId="3560"/>
    <cellStyle name="Обычный 10 3 5 2 2 3" xfId="3561"/>
    <cellStyle name="Обычный 10 3 5 2 2 3 2" xfId="3562"/>
    <cellStyle name="Обычный 10 3 5 2 2 3 2 2" xfId="3563"/>
    <cellStyle name="Обычный 10 3 5 2 2 3 2 3" xfId="3564"/>
    <cellStyle name="Обычный 10 3 5 2 2 3 3" xfId="3565"/>
    <cellStyle name="Обычный 10 3 5 2 2 3 3 2" xfId="3566"/>
    <cellStyle name="Обычный 10 3 5 2 2 3 3 3" xfId="3567"/>
    <cellStyle name="Обычный 10 3 5 2 2 3 4" xfId="3568"/>
    <cellStyle name="Обычный 10 3 5 2 2 3 4 2" xfId="3569"/>
    <cellStyle name="Обычный 10 3 5 2 2 3 5" xfId="3570"/>
    <cellStyle name="Обычный 10 3 5 2 2 3 6" xfId="3571"/>
    <cellStyle name="Обычный 10 3 5 2 2 4" xfId="3572"/>
    <cellStyle name="Обычный 10 3 5 2 2 4 2" xfId="3573"/>
    <cellStyle name="Обычный 10 3 5 2 2 4 3" xfId="3574"/>
    <cellStyle name="Обычный 10 3 5 2 2 5" xfId="3575"/>
    <cellStyle name="Обычный 10 3 5 2 2 5 2" xfId="3576"/>
    <cellStyle name="Обычный 10 3 5 2 2 5 3" xfId="3577"/>
    <cellStyle name="Обычный 10 3 5 2 2 6" xfId="3578"/>
    <cellStyle name="Обычный 10 3 5 2 2 6 2" xfId="3579"/>
    <cellStyle name="Обычный 10 3 5 2 2 7" xfId="3580"/>
    <cellStyle name="Обычный 10 3 5 2 2 8" xfId="3581"/>
    <cellStyle name="Обычный 10 3 5 2 3" xfId="3582"/>
    <cellStyle name="Обычный 10 3 5 2 3 2" xfId="3583"/>
    <cellStyle name="Обычный 10 3 5 2 3 2 2" xfId="3584"/>
    <cellStyle name="Обычный 10 3 5 2 3 2 2 2" xfId="3585"/>
    <cellStyle name="Обычный 10 3 5 2 3 2 2 3" xfId="3586"/>
    <cellStyle name="Обычный 10 3 5 2 3 2 3" xfId="3587"/>
    <cellStyle name="Обычный 10 3 5 2 3 2 3 2" xfId="3588"/>
    <cellStyle name="Обычный 10 3 5 2 3 2 3 3" xfId="3589"/>
    <cellStyle name="Обычный 10 3 5 2 3 2 4" xfId="3590"/>
    <cellStyle name="Обычный 10 3 5 2 3 2 4 2" xfId="3591"/>
    <cellStyle name="Обычный 10 3 5 2 3 2 5" xfId="3592"/>
    <cellStyle name="Обычный 10 3 5 2 3 2 6" xfId="3593"/>
    <cellStyle name="Обычный 10 3 5 2 3 3" xfId="3594"/>
    <cellStyle name="Обычный 10 3 5 2 3 3 2" xfId="3595"/>
    <cellStyle name="Обычный 10 3 5 2 3 3 3" xfId="3596"/>
    <cellStyle name="Обычный 10 3 5 2 3 4" xfId="3597"/>
    <cellStyle name="Обычный 10 3 5 2 3 4 2" xfId="3598"/>
    <cellStyle name="Обычный 10 3 5 2 3 4 3" xfId="3599"/>
    <cellStyle name="Обычный 10 3 5 2 3 5" xfId="3600"/>
    <cellStyle name="Обычный 10 3 5 2 3 5 2" xfId="3601"/>
    <cellStyle name="Обычный 10 3 5 2 3 6" xfId="3602"/>
    <cellStyle name="Обычный 10 3 5 2 3 7" xfId="3603"/>
    <cellStyle name="Обычный 10 3 5 2 4" xfId="3604"/>
    <cellStyle name="Обычный 10 3 5 2 4 2" xfId="3605"/>
    <cellStyle name="Обычный 10 3 5 2 4 2 2" xfId="3606"/>
    <cellStyle name="Обычный 10 3 5 2 4 2 3" xfId="3607"/>
    <cellStyle name="Обычный 10 3 5 2 4 3" xfId="3608"/>
    <cellStyle name="Обычный 10 3 5 2 4 3 2" xfId="3609"/>
    <cellStyle name="Обычный 10 3 5 2 4 3 3" xfId="3610"/>
    <cellStyle name="Обычный 10 3 5 2 4 4" xfId="3611"/>
    <cellStyle name="Обычный 10 3 5 2 4 4 2" xfId="3612"/>
    <cellStyle name="Обычный 10 3 5 2 4 5" xfId="3613"/>
    <cellStyle name="Обычный 10 3 5 2 4 6" xfId="3614"/>
    <cellStyle name="Обычный 10 3 5 2 5" xfId="3615"/>
    <cellStyle name="Обычный 10 3 5 2 5 2" xfId="3616"/>
    <cellStyle name="Обычный 10 3 5 2 5 3" xfId="3617"/>
    <cellStyle name="Обычный 10 3 5 2 6" xfId="3618"/>
    <cellStyle name="Обычный 10 3 5 2 6 2" xfId="3619"/>
    <cellStyle name="Обычный 10 3 5 2 6 3" xfId="3620"/>
    <cellStyle name="Обычный 10 3 5 2 7" xfId="3621"/>
    <cellStyle name="Обычный 10 3 5 2 7 2" xfId="3622"/>
    <cellStyle name="Обычный 10 3 5 2 8" xfId="3623"/>
    <cellStyle name="Обычный 10 3 5 2 9" xfId="3624"/>
    <cellStyle name="Обычный 10 3 5 3" xfId="3625"/>
    <cellStyle name="Обычный 10 3 5 3 2" xfId="3626"/>
    <cellStyle name="Обычный 10 3 5 3 2 2" xfId="3627"/>
    <cellStyle name="Обычный 10 3 5 3 2 2 2" xfId="3628"/>
    <cellStyle name="Обычный 10 3 5 3 2 2 2 2" xfId="3629"/>
    <cellStyle name="Обычный 10 3 5 3 2 2 2 3" xfId="3630"/>
    <cellStyle name="Обычный 10 3 5 3 2 2 3" xfId="3631"/>
    <cellStyle name="Обычный 10 3 5 3 2 2 3 2" xfId="3632"/>
    <cellStyle name="Обычный 10 3 5 3 2 2 3 3" xfId="3633"/>
    <cellStyle name="Обычный 10 3 5 3 2 2 4" xfId="3634"/>
    <cellStyle name="Обычный 10 3 5 3 2 2 4 2" xfId="3635"/>
    <cellStyle name="Обычный 10 3 5 3 2 2 5" xfId="3636"/>
    <cellStyle name="Обычный 10 3 5 3 2 2 6" xfId="3637"/>
    <cellStyle name="Обычный 10 3 5 3 2 3" xfId="3638"/>
    <cellStyle name="Обычный 10 3 5 3 2 3 2" xfId="3639"/>
    <cellStyle name="Обычный 10 3 5 3 2 3 3" xfId="3640"/>
    <cellStyle name="Обычный 10 3 5 3 2 4" xfId="3641"/>
    <cellStyle name="Обычный 10 3 5 3 2 4 2" xfId="3642"/>
    <cellStyle name="Обычный 10 3 5 3 2 4 3" xfId="3643"/>
    <cellStyle name="Обычный 10 3 5 3 2 5" xfId="3644"/>
    <cellStyle name="Обычный 10 3 5 3 2 5 2" xfId="3645"/>
    <cellStyle name="Обычный 10 3 5 3 2 6" xfId="3646"/>
    <cellStyle name="Обычный 10 3 5 3 2 7" xfId="3647"/>
    <cellStyle name="Обычный 10 3 5 3 3" xfId="3648"/>
    <cellStyle name="Обычный 10 3 5 3 3 2" xfId="3649"/>
    <cellStyle name="Обычный 10 3 5 3 3 2 2" xfId="3650"/>
    <cellStyle name="Обычный 10 3 5 3 3 2 3" xfId="3651"/>
    <cellStyle name="Обычный 10 3 5 3 3 3" xfId="3652"/>
    <cellStyle name="Обычный 10 3 5 3 3 3 2" xfId="3653"/>
    <cellStyle name="Обычный 10 3 5 3 3 3 3" xfId="3654"/>
    <cellStyle name="Обычный 10 3 5 3 3 4" xfId="3655"/>
    <cellStyle name="Обычный 10 3 5 3 3 4 2" xfId="3656"/>
    <cellStyle name="Обычный 10 3 5 3 3 5" xfId="3657"/>
    <cellStyle name="Обычный 10 3 5 3 3 6" xfId="3658"/>
    <cellStyle name="Обычный 10 3 5 3 4" xfId="3659"/>
    <cellStyle name="Обычный 10 3 5 3 4 2" xfId="3660"/>
    <cellStyle name="Обычный 10 3 5 3 4 3" xfId="3661"/>
    <cellStyle name="Обычный 10 3 5 3 5" xfId="3662"/>
    <cellStyle name="Обычный 10 3 5 3 5 2" xfId="3663"/>
    <cellStyle name="Обычный 10 3 5 3 5 3" xfId="3664"/>
    <cellStyle name="Обычный 10 3 5 3 6" xfId="3665"/>
    <cellStyle name="Обычный 10 3 5 3 6 2" xfId="3666"/>
    <cellStyle name="Обычный 10 3 5 3 7" xfId="3667"/>
    <cellStyle name="Обычный 10 3 5 3 8" xfId="3668"/>
    <cellStyle name="Обычный 10 3 5 4" xfId="3669"/>
    <cellStyle name="Обычный 10 3 5 4 2" xfId="3670"/>
    <cellStyle name="Обычный 10 3 5 4 2 2" xfId="3671"/>
    <cellStyle name="Обычный 10 3 5 4 2 2 2" xfId="3672"/>
    <cellStyle name="Обычный 10 3 5 4 2 2 3" xfId="3673"/>
    <cellStyle name="Обычный 10 3 5 4 2 3" xfId="3674"/>
    <cellStyle name="Обычный 10 3 5 4 2 3 2" xfId="3675"/>
    <cellStyle name="Обычный 10 3 5 4 2 3 3" xfId="3676"/>
    <cellStyle name="Обычный 10 3 5 4 2 4" xfId="3677"/>
    <cellStyle name="Обычный 10 3 5 4 2 4 2" xfId="3678"/>
    <cellStyle name="Обычный 10 3 5 4 2 5" xfId="3679"/>
    <cellStyle name="Обычный 10 3 5 4 2 6" xfId="3680"/>
    <cellStyle name="Обычный 10 3 5 4 3" xfId="3681"/>
    <cellStyle name="Обычный 10 3 5 4 3 2" xfId="3682"/>
    <cellStyle name="Обычный 10 3 5 4 3 3" xfId="3683"/>
    <cellStyle name="Обычный 10 3 5 4 4" xfId="3684"/>
    <cellStyle name="Обычный 10 3 5 4 4 2" xfId="3685"/>
    <cellStyle name="Обычный 10 3 5 4 4 3" xfId="3686"/>
    <cellStyle name="Обычный 10 3 5 4 5" xfId="3687"/>
    <cellStyle name="Обычный 10 3 5 4 5 2" xfId="3688"/>
    <cellStyle name="Обычный 10 3 5 4 6" xfId="3689"/>
    <cellStyle name="Обычный 10 3 5 4 7" xfId="3690"/>
    <cellStyle name="Обычный 10 3 5 5" xfId="3691"/>
    <cellStyle name="Обычный 10 3 5 5 2" xfId="3692"/>
    <cellStyle name="Обычный 10 3 5 5 2 2" xfId="3693"/>
    <cellStyle name="Обычный 10 3 5 5 2 3" xfId="3694"/>
    <cellStyle name="Обычный 10 3 5 5 3" xfId="3695"/>
    <cellStyle name="Обычный 10 3 5 5 3 2" xfId="3696"/>
    <cellStyle name="Обычный 10 3 5 5 3 3" xfId="3697"/>
    <cellStyle name="Обычный 10 3 5 5 4" xfId="3698"/>
    <cellStyle name="Обычный 10 3 5 5 4 2" xfId="3699"/>
    <cellStyle name="Обычный 10 3 5 5 5" xfId="3700"/>
    <cellStyle name="Обычный 10 3 5 5 6" xfId="3701"/>
    <cellStyle name="Обычный 10 3 5 6" xfId="3702"/>
    <cellStyle name="Обычный 10 3 5 6 2" xfId="3703"/>
    <cellStyle name="Обычный 10 3 5 6 3" xfId="3704"/>
    <cellStyle name="Обычный 10 3 5 7" xfId="3705"/>
    <cellStyle name="Обычный 10 3 5 7 2" xfId="3706"/>
    <cellStyle name="Обычный 10 3 5 7 3" xfId="3707"/>
    <cellStyle name="Обычный 10 3 5 8" xfId="3708"/>
    <cellStyle name="Обычный 10 3 5 8 2" xfId="3709"/>
    <cellStyle name="Обычный 10 3 5 9" xfId="3710"/>
    <cellStyle name="Обычный 10 3 6" xfId="3711"/>
    <cellStyle name="Обычный 10 3 6 2" xfId="3712"/>
    <cellStyle name="Обычный 10 3 6 2 2" xfId="3713"/>
    <cellStyle name="Обычный 10 3 6 2 2 2" xfId="3714"/>
    <cellStyle name="Обычный 10 3 6 2 2 2 2" xfId="3715"/>
    <cellStyle name="Обычный 10 3 6 2 2 2 2 2" xfId="3716"/>
    <cellStyle name="Обычный 10 3 6 2 2 2 2 3" xfId="3717"/>
    <cellStyle name="Обычный 10 3 6 2 2 2 3" xfId="3718"/>
    <cellStyle name="Обычный 10 3 6 2 2 2 3 2" xfId="3719"/>
    <cellStyle name="Обычный 10 3 6 2 2 2 3 3" xfId="3720"/>
    <cellStyle name="Обычный 10 3 6 2 2 2 4" xfId="3721"/>
    <cellStyle name="Обычный 10 3 6 2 2 2 4 2" xfId="3722"/>
    <cellStyle name="Обычный 10 3 6 2 2 2 5" xfId="3723"/>
    <cellStyle name="Обычный 10 3 6 2 2 2 6" xfId="3724"/>
    <cellStyle name="Обычный 10 3 6 2 2 3" xfId="3725"/>
    <cellStyle name="Обычный 10 3 6 2 2 3 2" xfId="3726"/>
    <cellStyle name="Обычный 10 3 6 2 2 3 3" xfId="3727"/>
    <cellStyle name="Обычный 10 3 6 2 2 4" xfId="3728"/>
    <cellStyle name="Обычный 10 3 6 2 2 4 2" xfId="3729"/>
    <cellStyle name="Обычный 10 3 6 2 2 4 3" xfId="3730"/>
    <cellStyle name="Обычный 10 3 6 2 2 5" xfId="3731"/>
    <cellStyle name="Обычный 10 3 6 2 2 5 2" xfId="3732"/>
    <cellStyle name="Обычный 10 3 6 2 2 6" xfId="3733"/>
    <cellStyle name="Обычный 10 3 6 2 2 7" xfId="3734"/>
    <cellStyle name="Обычный 10 3 6 2 3" xfId="3735"/>
    <cellStyle name="Обычный 10 3 6 2 3 2" xfId="3736"/>
    <cellStyle name="Обычный 10 3 6 2 3 2 2" xfId="3737"/>
    <cellStyle name="Обычный 10 3 6 2 3 2 3" xfId="3738"/>
    <cellStyle name="Обычный 10 3 6 2 3 3" xfId="3739"/>
    <cellStyle name="Обычный 10 3 6 2 3 3 2" xfId="3740"/>
    <cellStyle name="Обычный 10 3 6 2 3 3 3" xfId="3741"/>
    <cellStyle name="Обычный 10 3 6 2 3 4" xfId="3742"/>
    <cellStyle name="Обычный 10 3 6 2 3 4 2" xfId="3743"/>
    <cellStyle name="Обычный 10 3 6 2 3 5" xfId="3744"/>
    <cellStyle name="Обычный 10 3 6 2 3 6" xfId="3745"/>
    <cellStyle name="Обычный 10 3 6 2 4" xfId="3746"/>
    <cellStyle name="Обычный 10 3 6 2 4 2" xfId="3747"/>
    <cellStyle name="Обычный 10 3 6 2 4 3" xfId="3748"/>
    <cellStyle name="Обычный 10 3 6 2 5" xfId="3749"/>
    <cellStyle name="Обычный 10 3 6 2 5 2" xfId="3750"/>
    <cellStyle name="Обычный 10 3 6 2 5 3" xfId="3751"/>
    <cellStyle name="Обычный 10 3 6 2 6" xfId="3752"/>
    <cellStyle name="Обычный 10 3 6 2 6 2" xfId="3753"/>
    <cellStyle name="Обычный 10 3 6 2 7" xfId="3754"/>
    <cellStyle name="Обычный 10 3 6 2 8" xfId="3755"/>
    <cellStyle name="Обычный 10 3 6 3" xfId="3756"/>
    <cellStyle name="Обычный 10 3 6 3 2" xfId="3757"/>
    <cellStyle name="Обычный 10 3 6 3 2 2" xfId="3758"/>
    <cellStyle name="Обычный 10 3 6 3 2 2 2" xfId="3759"/>
    <cellStyle name="Обычный 10 3 6 3 2 2 3" xfId="3760"/>
    <cellStyle name="Обычный 10 3 6 3 2 3" xfId="3761"/>
    <cellStyle name="Обычный 10 3 6 3 2 3 2" xfId="3762"/>
    <cellStyle name="Обычный 10 3 6 3 2 3 3" xfId="3763"/>
    <cellStyle name="Обычный 10 3 6 3 2 4" xfId="3764"/>
    <cellStyle name="Обычный 10 3 6 3 2 4 2" xfId="3765"/>
    <cellStyle name="Обычный 10 3 6 3 2 5" xfId="3766"/>
    <cellStyle name="Обычный 10 3 6 3 2 6" xfId="3767"/>
    <cellStyle name="Обычный 10 3 6 3 3" xfId="3768"/>
    <cellStyle name="Обычный 10 3 6 3 3 2" xfId="3769"/>
    <cellStyle name="Обычный 10 3 6 3 3 3" xfId="3770"/>
    <cellStyle name="Обычный 10 3 6 3 4" xfId="3771"/>
    <cellStyle name="Обычный 10 3 6 3 4 2" xfId="3772"/>
    <cellStyle name="Обычный 10 3 6 3 4 3" xfId="3773"/>
    <cellStyle name="Обычный 10 3 6 3 5" xfId="3774"/>
    <cellStyle name="Обычный 10 3 6 3 5 2" xfId="3775"/>
    <cellStyle name="Обычный 10 3 6 3 6" xfId="3776"/>
    <cellStyle name="Обычный 10 3 6 3 7" xfId="3777"/>
    <cellStyle name="Обычный 10 3 6 4" xfId="3778"/>
    <cellStyle name="Обычный 10 3 6 4 2" xfId="3779"/>
    <cellStyle name="Обычный 10 3 6 4 2 2" xfId="3780"/>
    <cellStyle name="Обычный 10 3 6 4 2 3" xfId="3781"/>
    <cellStyle name="Обычный 10 3 6 4 3" xfId="3782"/>
    <cellStyle name="Обычный 10 3 6 4 3 2" xfId="3783"/>
    <cellStyle name="Обычный 10 3 6 4 3 3" xfId="3784"/>
    <cellStyle name="Обычный 10 3 6 4 4" xfId="3785"/>
    <cellStyle name="Обычный 10 3 6 4 4 2" xfId="3786"/>
    <cellStyle name="Обычный 10 3 6 4 5" xfId="3787"/>
    <cellStyle name="Обычный 10 3 6 4 6" xfId="3788"/>
    <cellStyle name="Обычный 10 3 6 5" xfId="3789"/>
    <cellStyle name="Обычный 10 3 6 5 2" xfId="3790"/>
    <cellStyle name="Обычный 10 3 6 5 3" xfId="3791"/>
    <cellStyle name="Обычный 10 3 6 6" xfId="3792"/>
    <cellStyle name="Обычный 10 3 6 6 2" xfId="3793"/>
    <cellStyle name="Обычный 10 3 6 6 3" xfId="3794"/>
    <cellStyle name="Обычный 10 3 6 7" xfId="3795"/>
    <cellStyle name="Обычный 10 3 6 7 2" xfId="3796"/>
    <cellStyle name="Обычный 10 3 6 8" xfId="3797"/>
    <cellStyle name="Обычный 10 3 6 9" xfId="3798"/>
    <cellStyle name="Обычный 10 3 7" xfId="3799"/>
    <cellStyle name="Обычный 10 3 7 2" xfId="3800"/>
    <cellStyle name="Обычный 10 3 7 2 2" xfId="3801"/>
    <cellStyle name="Обычный 10 3 7 2 2 2" xfId="3802"/>
    <cellStyle name="Обычный 10 3 7 2 2 2 2" xfId="3803"/>
    <cellStyle name="Обычный 10 3 7 2 2 2 3" xfId="3804"/>
    <cellStyle name="Обычный 10 3 7 2 2 3" xfId="3805"/>
    <cellStyle name="Обычный 10 3 7 2 2 3 2" xfId="3806"/>
    <cellStyle name="Обычный 10 3 7 2 2 3 3" xfId="3807"/>
    <cellStyle name="Обычный 10 3 7 2 2 4" xfId="3808"/>
    <cellStyle name="Обычный 10 3 7 2 2 4 2" xfId="3809"/>
    <cellStyle name="Обычный 10 3 7 2 2 5" xfId="3810"/>
    <cellStyle name="Обычный 10 3 7 2 2 6" xfId="3811"/>
    <cellStyle name="Обычный 10 3 7 2 3" xfId="3812"/>
    <cellStyle name="Обычный 10 3 7 2 3 2" xfId="3813"/>
    <cellStyle name="Обычный 10 3 7 2 3 3" xfId="3814"/>
    <cellStyle name="Обычный 10 3 7 2 4" xfId="3815"/>
    <cellStyle name="Обычный 10 3 7 2 4 2" xfId="3816"/>
    <cellStyle name="Обычный 10 3 7 2 4 3" xfId="3817"/>
    <cellStyle name="Обычный 10 3 7 2 5" xfId="3818"/>
    <cellStyle name="Обычный 10 3 7 2 5 2" xfId="3819"/>
    <cellStyle name="Обычный 10 3 7 2 6" xfId="3820"/>
    <cellStyle name="Обычный 10 3 7 2 7" xfId="3821"/>
    <cellStyle name="Обычный 10 3 7 3" xfId="3822"/>
    <cellStyle name="Обычный 10 3 7 3 2" xfId="3823"/>
    <cellStyle name="Обычный 10 3 7 3 2 2" xfId="3824"/>
    <cellStyle name="Обычный 10 3 7 3 2 3" xfId="3825"/>
    <cellStyle name="Обычный 10 3 7 3 3" xfId="3826"/>
    <cellStyle name="Обычный 10 3 7 3 3 2" xfId="3827"/>
    <cellStyle name="Обычный 10 3 7 3 3 3" xfId="3828"/>
    <cellStyle name="Обычный 10 3 7 3 4" xfId="3829"/>
    <cellStyle name="Обычный 10 3 7 3 4 2" xfId="3830"/>
    <cellStyle name="Обычный 10 3 7 3 5" xfId="3831"/>
    <cellStyle name="Обычный 10 3 7 3 6" xfId="3832"/>
    <cellStyle name="Обычный 10 3 7 4" xfId="3833"/>
    <cellStyle name="Обычный 10 3 7 4 2" xfId="3834"/>
    <cellStyle name="Обычный 10 3 7 4 3" xfId="3835"/>
    <cellStyle name="Обычный 10 3 7 5" xfId="3836"/>
    <cellStyle name="Обычный 10 3 7 5 2" xfId="3837"/>
    <cellStyle name="Обычный 10 3 7 5 3" xfId="3838"/>
    <cellStyle name="Обычный 10 3 7 6" xfId="3839"/>
    <cellStyle name="Обычный 10 3 7 6 2" xfId="3840"/>
    <cellStyle name="Обычный 10 3 7 7" xfId="3841"/>
    <cellStyle name="Обычный 10 3 7 8" xfId="3842"/>
    <cellStyle name="Обычный 10 3 8" xfId="3843"/>
    <cellStyle name="Обычный 10 3 8 2" xfId="3844"/>
    <cellStyle name="Обычный 10 3 8 2 2" xfId="3845"/>
    <cellStyle name="Обычный 10 3 8 2 2 2" xfId="3846"/>
    <cellStyle name="Обычный 10 3 8 2 2 3" xfId="3847"/>
    <cellStyle name="Обычный 10 3 8 2 3" xfId="3848"/>
    <cellStyle name="Обычный 10 3 8 2 3 2" xfId="3849"/>
    <cellStyle name="Обычный 10 3 8 2 3 3" xfId="3850"/>
    <cellStyle name="Обычный 10 3 8 2 4" xfId="3851"/>
    <cellStyle name="Обычный 10 3 8 2 4 2" xfId="3852"/>
    <cellStyle name="Обычный 10 3 8 2 5" xfId="3853"/>
    <cellStyle name="Обычный 10 3 8 2 6" xfId="3854"/>
    <cellStyle name="Обычный 10 3 8 3" xfId="3855"/>
    <cellStyle name="Обычный 10 3 8 3 2" xfId="3856"/>
    <cellStyle name="Обычный 10 3 8 3 3" xfId="3857"/>
    <cellStyle name="Обычный 10 3 8 4" xfId="3858"/>
    <cellStyle name="Обычный 10 3 8 4 2" xfId="3859"/>
    <cellStyle name="Обычный 10 3 8 4 3" xfId="3860"/>
    <cellStyle name="Обычный 10 3 8 5" xfId="3861"/>
    <cellStyle name="Обычный 10 3 8 5 2" xfId="3862"/>
    <cellStyle name="Обычный 10 3 8 6" xfId="3863"/>
    <cellStyle name="Обычный 10 3 8 7" xfId="3864"/>
    <cellStyle name="Обычный 10 3 9" xfId="3865"/>
    <cellStyle name="Обычный 10 3 9 2" xfId="3866"/>
    <cellStyle name="Обычный 10 3 9 2 2" xfId="3867"/>
    <cellStyle name="Обычный 10 3 9 2 3" xfId="3868"/>
    <cellStyle name="Обычный 10 3 9 3" xfId="3869"/>
    <cellStyle name="Обычный 10 3 9 3 2" xfId="3870"/>
    <cellStyle name="Обычный 10 3 9 3 3" xfId="3871"/>
    <cellStyle name="Обычный 10 3 9 4" xfId="3872"/>
    <cellStyle name="Обычный 10 3 9 4 2" xfId="3873"/>
    <cellStyle name="Обычный 10 3 9 5" xfId="3874"/>
    <cellStyle name="Обычный 10 3 9 6" xfId="3875"/>
    <cellStyle name="Обычный 10 4" xfId="3876"/>
    <cellStyle name="Обычный 10 4 10" xfId="3877"/>
    <cellStyle name="Обычный 10 4 10 2" xfId="3878"/>
    <cellStyle name="Обычный 10 4 10 3" xfId="3879"/>
    <cellStyle name="Обычный 10 4 11" xfId="3880"/>
    <cellStyle name="Обычный 10 4 11 2" xfId="3881"/>
    <cellStyle name="Обычный 10 4 11 3" xfId="3882"/>
    <cellStyle name="Обычный 10 4 12" xfId="3883"/>
    <cellStyle name="Обычный 10 4 12 2" xfId="3884"/>
    <cellStyle name="Обычный 10 4 13" xfId="3885"/>
    <cellStyle name="Обычный 10 4 14" xfId="3886"/>
    <cellStyle name="Обычный 10 4 2" xfId="3887"/>
    <cellStyle name="Обычный 10 4 2 10" xfId="3888"/>
    <cellStyle name="Обычный 10 4 2 10 2" xfId="3889"/>
    <cellStyle name="Обычный 10 4 2 10 3" xfId="3890"/>
    <cellStyle name="Обычный 10 4 2 11" xfId="3891"/>
    <cellStyle name="Обычный 10 4 2 11 2" xfId="3892"/>
    <cellStyle name="Обычный 10 4 2 12" xfId="3893"/>
    <cellStyle name="Обычный 10 4 2 13" xfId="3894"/>
    <cellStyle name="Обычный 10 4 2 2" xfId="3895"/>
    <cellStyle name="Обычный 10 4 2 2 10" xfId="3896"/>
    <cellStyle name="Обычный 10 4 2 2 2" xfId="3897"/>
    <cellStyle name="Обычный 10 4 2 2 2 2" xfId="3898"/>
    <cellStyle name="Обычный 10 4 2 2 2 2 2" xfId="3899"/>
    <cellStyle name="Обычный 10 4 2 2 2 2 2 2" xfId="3900"/>
    <cellStyle name="Обычный 10 4 2 2 2 2 2 2 2" xfId="3901"/>
    <cellStyle name="Обычный 10 4 2 2 2 2 2 2 2 2" xfId="3902"/>
    <cellStyle name="Обычный 10 4 2 2 2 2 2 2 2 3" xfId="3903"/>
    <cellStyle name="Обычный 10 4 2 2 2 2 2 2 3" xfId="3904"/>
    <cellStyle name="Обычный 10 4 2 2 2 2 2 2 3 2" xfId="3905"/>
    <cellStyle name="Обычный 10 4 2 2 2 2 2 2 3 3" xfId="3906"/>
    <cellStyle name="Обычный 10 4 2 2 2 2 2 2 4" xfId="3907"/>
    <cellStyle name="Обычный 10 4 2 2 2 2 2 2 4 2" xfId="3908"/>
    <cellStyle name="Обычный 10 4 2 2 2 2 2 2 5" xfId="3909"/>
    <cellStyle name="Обычный 10 4 2 2 2 2 2 2 6" xfId="3910"/>
    <cellStyle name="Обычный 10 4 2 2 2 2 2 3" xfId="3911"/>
    <cellStyle name="Обычный 10 4 2 2 2 2 2 3 2" xfId="3912"/>
    <cellStyle name="Обычный 10 4 2 2 2 2 2 3 3" xfId="3913"/>
    <cellStyle name="Обычный 10 4 2 2 2 2 2 4" xfId="3914"/>
    <cellStyle name="Обычный 10 4 2 2 2 2 2 4 2" xfId="3915"/>
    <cellStyle name="Обычный 10 4 2 2 2 2 2 4 3" xfId="3916"/>
    <cellStyle name="Обычный 10 4 2 2 2 2 2 5" xfId="3917"/>
    <cellStyle name="Обычный 10 4 2 2 2 2 2 5 2" xfId="3918"/>
    <cellStyle name="Обычный 10 4 2 2 2 2 2 6" xfId="3919"/>
    <cellStyle name="Обычный 10 4 2 2 2 2 2 7" xfId="3920"/>
    <cellStyle name="Обычный 10 4 2 2 2 2 3" xfId="3921"/>
    <cellStyle name="Обычный 10 4 2 2 2 2 3 2" xfId="3922"/>
    <cellStyle name="Обычный 10 4 2 2 2 2 3 2 2" xfId="3923"/>
    <cellStyle name="Обычный 10 4 2 2 2 2 3 2 3" xfId="3924"/>
    <cellStyle name="Обычный 10 4 2 2 2 2 3 3" xfId="3925"/>
    <cellStyle name="Обычный 10 4 2 2 2 2 3 3 2" xfId="3926"/>
    <cellStyle name="Обычный 10 4 2 2 2 2 3 3 3" xfId="3927"/>
    <cellStyle name="Обычный 10 4 2 2 2 2 3 4" xfId="3928"/>
    <cellStyle name="Обычный 10 4 2 2 2 2 3 4 2" xfId="3929"/>
    <cellStyle name="Обычный 10 4 2 2 2 2 3 5" xfId="3930"/>
    <cellStyle name="Обычный 10 4 2 2 2 2 3 6" xfId="3931"/>
    <cellStyle name="Обычный 10 4 2 2 2 2 4" xfId="3932"/>
    <cellStyle name="Обычный 10 4 2 2 2 2 4 2" xfId="3933"/>
    <cellStyle name="Обычный 10 4 2 2 2 2 4 3" xfId="3934"/>
    <cellStyle name="Обычный 10 4 2 2 2 2 5" xfId="3935"/>
    <cellStyle name="Обычный 10 4 2 2 2 2 5 2" xfId="3936"/>
    <cellStyle name="Обычный 10 4 2 2 2 2 5 3" xfId="3937"/>
    <cellStyle name="Обычный 10 4 2 2 2 2 6" xfId="3938"/>
    <cellStyle name="Обычный 10 4 2 2 2 2 6 2" xfId="3939"/>
    <cellStyle name="Обычный 10 4 2 2 2 2 7" xfId="3940"/>
    <cellStyle name="Обычный 10 4 2 2 2 2 8" xfId="3941"/>
    <cellStyle name="Обычный 10 4 2 2 2 3" xfId="3942"/>
    <cellStyle name="Обычный 10 4 2 2 2 3 2" xfId="3943"/>
    <cellStyle name="Обычный 10 4 2 2 2 3 2 2" xfId="3944"/>
    <cellStyle name="Обычный 10 4 2 2 2 3 2 2 2" xfId="3945"/>
    <cellStyle name="Обычный 10 4 2 2 2 3 2 2 3" xfId="3946"/>
    <cellStyle name="Обычный 10 4 2 2 2 3 2 3" xfId="3947"/>
    <cellStyle name="Обычный 10 4 2 2 2 3 2 3 2" xfId="3948"/>
    <cellStyle name="Обычный 10 4 2 2 2 3 2 3 3" xfId="3949"/>
    <cellStyle name="Обычный 10 4 2 2 2 3 2 4" xfId="3950"/>
    <cellStyle name="Обычный 10 4 2 2 2 3 2 4 2" xfId="3951"/>
    <cellStyle name="Обычный 10 4 2 2 2 3 2 5" xfId="3952"/>
    <cellStyle name="Обычный 10 4 2 2 2 3 2 6" xfId="3953"/>
    <cellStyle name="Обычный 10 4 2 2 2 3 3" xfId="3954"/>
    <cellStyle name="Обычный 10 4 2 2 2 3 3 2" xfId="3955"/>
    <cellStyle name="Обычный 10 4 2 2 2 3 3 3" xfId="3956"/>
    <cellStyle name="Обычный 10 4 2 2 2 3 4" xfId="3957"/>
    <cellStyle name="Обычный 10 4 2 2 2 3 4 2" xfId="3958"/>
    <cellStyle name="Обычный 10 4 2 2 2 3 4 3" xfId="3959"/>
    <cellStyle name="Обычный 10 4 2 2 2 3 5" xfId="3960"/>
    <cellStyle name="Обычный 10 4 2 2 2 3 5 2" xfId="3961"/>
    <cellStyle name="Обычный 10 4 2 2 2 3 6" xfId="3962"/>
    <cellStyle name="Обычный 10 4 2 2 2 3 7" xfId="3963"/>
    <cellStyle name="Обычный 10 4 2 2 2 4" xfId="3964"/>
    <cellStyle name="Обычный 10 4 2 2 2 4 2" xfId="3965"/>
    <cellStyle name="Обычный 10 4 2 2 2 4 2 2" xfId="3966"/>
    <cellStyle name="Обычный 10 4 2 2 2 4 2 3" xfId="3967"/>
    <cellStyle name="Обычный 10 4 2 2 2 4 3" xfId="3968"/>
    <cellStyle name="Обычный 10 4 2 2 2 4 3 2" xfId="3969"/>
    <cellStyle name="Обычный 10 4 2 2 2 4 3 3" xfId="3970"/>
    <cellStyle name="Обычный 10 4 2 2 2 4 4" xfId="3971"/>
    <cellStyle name="Обычный 10 4 2 2 2 4 4 2" xfId="3972"/>
    <cellStyle name="Обычный 10 4 2 2 2 4 5" xfId="3973"/>
    <cellStyle name="Обычный 10 4 2 2 2 4 6" xfId="3974"/>
    <cellStyle name="Обычный 10 4 2 2 2 5" xfId="3975"/>
    <cellStyle name="Обычный 10 4 2 2 2 5 2" xfId="3976"/>
    <cellStyle name="Обычный 10 4 2 2 2 5 3" xfId="3977"/>
    <cellStyle name="Обычный 10 4 2 2 2 6" xfId="3978"/>
    <cellStyle name="Обычный 10 4 2 2 2 6 2" xfId="3979"/>
    <cellStyle name="Обычный 10 4 2 2 2 6 3" xfId="3980"/>
    <cellStyle name="Обычный 10 4 2 2 2 7" xfId="3981"/>
    <cellStyle name="Обычный 10 4 2 2 2 7 2" xfId="3982"/>
    <cellStyle name="Обычный 10 4 2 2 2 8" xfId="3983"/>
    <cellStyle name="Обычный 10 4 2 2 2 9" xfId="3984"/>
    <cellStyle name="Обычный 10 4 2 2 3" xfId="3985"/>
    <cellStyle name="Обычный 10 4 2 2 3 2" xfId="3986"/>
    <cellStyle name="Обычный 10 4 2 2 3 2 2" xfId="3987"/>
    <cellStyle name="Обычный 10 4 2 2 3 2 2 2" xfId="3988"/>
    <cellStyle name="Обычный 10 4 2 2 3 2 2 2 2" xfId="3989"/>
    <cellStyle name="Обычный 10 4 2 2 3 2 2 2 3" xfId="3990"/>
    <cellStyle name="Обычный 10 4 2 2 3 2 2 3" xfId="3991"/>
    <cellStyle name="Обычный 10 4 2 2 3 2 2 3 2" xfId="3992"/>
    <cellStyle name="Обычный 10 4 2 2 3 2 2 3 3" xfId="3993"/>
    <cellStyle name="Обычный 10 4 2 2 3 2 2 4" xfId="3994"/>
    <cellStyle name="Обычный 10 4 2 2 3 2 2 4 2" xfId="3995"/>
    <cellStyle name="Обычный 10 4 2 2 3 2 2 5" xfId="3996"/>
    <cellStyle name="Обычный 10 4 2 2 3 2 2 6" xfId="3997"/>
    <cellStyle name="Обычный 10 4 2 2 3 2 3" xfId="3998"/>
    <cellStyle name="Обычный 10 4 2 2 3 2 3 2" xfId="3999"/>
    <cellStyle name="Обычный 10 4 2 2 3 2 3 3" xfId="4000"/>
    <cellStyle name="Обычный 10 4 2 2 3 2 4" xfId="4001"/>
    <cellStyle name="Обычный 10 4 2 2 3 2 4 2" xfId="4002"/>
    <cellStyle name="Обычный 10 4 2 2 3 2 4 3" xfId="4003"/>
    <cellStyle name="Обычный 10 4 2 2 3 2 5" xfId="4004"/>
    <cellStyle name="Обычный 10 4 2 2 3 2 5 2" xfId="4005"/>
    <cellStyle name="Обычный 10 4 2 2 3 2 6" xfId="4006"/>
    <cellStyle name="Обычный 10 4 2 2 3 2 7" xfId="4007"/>
    <cellStyle name="Обычный 10 4 2 2 3 3" xfId="4008"/>
    <cellStyle name="Обычный 10 4 2 2 3 3 2" xfId="4009"/>
    <cellStyle name="Обычный 10 4 2 2 3 3 2 2" xfId="4010"/>
    <cellStyle name="Обычный 10 4 2 2 3 3 2 3" xfId="4011"/>
    <cellStyle name="Обычный 10 4 2 2 3 3 3" xfId="4012"/>
    <cellStyle name="Обычный 10 4 2 2 3 3 3 2" xfId="4013"/>
    <cellStyle name="Обычный 10 4 2 2 3 3 3 3" xfId="4014"/>
    <cellStyle name="Обычный 10 4 2 2 3 3 4" xfId="4015"/>
    <cellStyle name="Обычный 10 4 2 2 3 3 4 2" xfId="4016"/>
    <cellStyle name="Обычный 10 4 2 2 3 3 5" xfId="4017"/>
    <cellStyle name="Обычный 10 4 2 2 3 3 6" xfId="4018"/>
    <cellStyle name="Обычный 10 4 2 2 3 4" xfId="4019"/>
    <cellStyle name="Обычный 10 4 2 2 3 4 2" xfId="4020"/>
    <cellStyle name="Обычный 10 4 2 2 3 4 3" xfId="4021"/>
    <cellStyle name="Обычный 10 4 2 2 3 5" xfId="4022"/>
    <cellStyle name="Обычный 10 4 2 2 3 5 2" xfId="4023"/>
    <cellStyle name="Обычный 10 4 2 2 3 5 3" xfId="4024"/>
    <cellStyle name="Обычный 10 4 2 2 3 6" xfId="4025"/>
    <cellStyle name="Обычный 10 4 2 2 3 6 2" xfId="4026"/>
    <cellStyle name="Обычный 10 4 2 2 3 7" xfId="4027"/>
    <cellStyle name="Обычный 10 4 2 2 3 8" xfId="4028"/>
    <cellStyle name="Обычный 10 4 2 2 4" xfId="4029"/>
    <cellStyle name="Обычный 10 4 2 2 4 2" xfId="4030"/>
    <cellStyle name="Обычный 10 4 2 2 4 2 2" xfId="4031"/>
    <cellStyle name="Обычный 10 4 2 2 4 2 2 2" xfId="4032"/>
    <cellStyle name="Обычный 10 4 2 2 4 2 2 3" xfId="4033"/>
    <cellStyle name="Обычный 10 4 2 2 4 2 3" xfId="4034"/>
    <cellStyle name="Обычный 10 4 2 2 4 2 3 2" xfId="4035"/>
    <cellStyle name="Обычный 10 4 2 2 4 2 3 3" xfId="4036"/>
    <cellStyle name="Обычный 10 4 2 2 4 2 4" xfId="4037"/>
    <cellStyle name="Обычный 10 4 2 2 4 2 4 2" xfId="4038"/>
    <cellStyle name="Обычный 10 4 2 2 4 2 5" xfId="4039"/>
    <cellStyle name="Обычный 10 4 2 2 4 2 6" xfId="4040"/>
    <cellStyle name="Обычный 10 4 2 2 4 3" xfId="4041"/>
    <cellStyle name="Обычный 10 4 2 2 4 3 2" xfId="4042"/>
    <cellStyle name="Обычный 10 4 2 2 4 3 3" xfId="4043"/>
    <cellStyle name="Обычный 10 4 2 2 4 4" xfId="4044"/>
    <cellStyle name="Обычный 10 4 2 2 4 4 2" xfId="4045"/>
    <cellStyle name="Обычный 10 4 2 2 4 4 3" xfId="4046"/>
    <cellStyle name="Обычный 10 4 2 2 4 5" xfId="4047"/>
    <cellStyle name="Обычный 10 4 2 2 4 5 2" xfId="4048"/>
    <cellStyle name="Обычный 10 4 2 2 4 6" xfId="4049"/>
    <cellStyle name="Обычный 10 4 2 2 4 7" xfId="4050"/>
    <cellStyle name="Обычный 10 4 2 2 5" xfId="4051"/>
    <cellStyle name="Обычный 10 4 2 2 5 2" xfId="4052"/>
    <cellStyle name="Обычный 10 4 2 2 5 2 2" xfId="4053"/>
    <cellStyle name="Обычный 10 4 2 2 5 2 3" xfId="4054"/>
    <cellStyle name="Обычный 10 4 2 2 5 3" xfId="4055"/>
    <cellStyle name="Обычный 10 4 2 2 5 3 2" xfId="4056"/>
    <cellStyle name="Обычный 10 4 2 2 5 3 3" xfId="4057"/>
    <cellStyle name="Обычный 10 4 2 2 5 4" xfId="4058"/>
    <cellStyle name="Обычный 10 4 2 2 5 4 2" xfId="4059"/>
    <cellStyle name="Обычный 10 4 2 2 5 5" xfId="4060"/>
    <cellStyle name="Обычный 10 4 2 2 5 6" xfId="4061"/>
    <cellStyle name="Обычный 10 4 2 2 6" xfId="4062"/>
    <cellStyle name="Обычный 10 4 2 2 6 2" xfId="4063"/>
    <cellStyle name="Обычный 10 4 2 2 6 3" xfId="4064"/>
    <cellStyle name="Обычный 10 4 2 2 7" xfId="4065"/>
    <cellStyle name="Обычный 10 4 2 2 7 2" xfId="4066"/>
    <cellStyle name="Обычный 10 4 2 2 7 3" xfId="4067"/>
    <cellStyle name="Обычный 10 4 2 2 8" xfId="4068"/>
    <cellStyle name="Обычный 10 4 2 2 8 2" xfId="4069"/>
    <cellStyle name="Обычный 10 4 2 2 9" xfId="4070"/>
    <cellStyle name="Обычный 10 4 2 3" xfId="4071"/>
    <cellStyle name="Обычный 10 4 2 3 10" xfId="4072"/>
    <cellStyle name="Обычный 10 4 2 3 2" xfId="4073"/>
    <cellStyle name="Обычный 10 4 2 3 2 2" xfId="4074"/>
    <cellStyle name="Обычный 10 4 2 3 2 2 2" xfId="4075"/>
    <cellStyle name="Обычный 10 4 2 3 2 2 2 2" xfId="4076"/>
    <cellStyle name="Обычный 10 4 2 3 2 2 2 2 2" xfId="4077"/>
    <cellStyle name="Обычный 10 4 2 3 2 2 2 2 2 2" xfId="4078"/>
    <cellStyle name="Обычный 10 4 2 3 2 2 2 2 2 3" xfId="4079"/>
    <cellStyle name="Обычный 10 4 2 3 2 2 2 2 3" xfId="4080"/>
    <cellStyle name="Обычный 10 4 2 3 2 2 2 2 3 2" xfId="4081"/>
    <cellStyle name="Обычный 10 4 2 3 2 2 2 2 3 3" xfId="4082"/>
    <cellStyle name="Обычный 10 4 2 3 2 2 2 2 4" xfId="4083"/>
    <cellStyle name="Обычный 10 4 2 3 2 2 2 2 4 2" xfId="4084"/>
    <cellStyle name="Обычный 10 4 2 3 2 2 2 2 5" xfId="4085"/>
    <cellStyle name="Обычный 10 4 2 3 2 2 2 2 6" xfId="4086"/>
    <cellStyle name="Обычный 10 4 2 3 2 2 2 3" xfId="4087"/>
    <cellStyle name="Обычный 10 4 2 3 2 2 2 3 2" xfId="4088"/>
    <cellStyle name="Обычный 10 4 2 3 2 2 2 3 3" xfId="4089"/>
    <cellStyle name="Обычный 10 4 2 3 2 2 2 4" xfId="4090"/>
    <cellStyle name="Обычный 10 4 2 3 2 2 2 4 2" xfId="4091"/>
    <cellStyle name="Обычный 10 4 2 3 2 2 2 4 3" xfId="4092"/>
    <cellStyle name="Обычный 10 4 2 3 2 2 2 5" xfId="4093"/>
    <cellStyle name="Обычный 10 4 2 3 2 2 2 5 2" xfId="4094"/>
    <cellStyle name="Обычный 10 4 2 3 2 2 2 6" xfId="4095"/>
    <cellStyle name="Обычный 10 4 2 3 2 2 2 7" xfId="4096"/>
    <cellStyle name="Обычный 10 4 2 3 2 2 3" xfId="4097"/>
    <cellStyle name="Обычный 10 4 2 3 2 2 3 2" xfId="4098"/>
    <cellStyle name="Обычный 10 4 2 3 2 2 3 2 2" xfId="4099"/>
    <cellStyle name="Обычный 10 4 2 3 2 2 3 2 3" xfId="4100"/>
    <cellStyle name="Обычный 10 4 2 3 2 2 3 3" xfId="4101"/>
    <cellStyle name="Обычный 10 4 2 3 2 2 3 3 2" xfId="4102"/>
    <cellStyle name="Обычный 10 4 2 3 2 2 3 3 3" xfId="4103"/>
    <cellStyle name="Обычный 10 4 2 3 2 2 3 4" xfId="4104"/>
    <cellStyle name="Обычный 10 4 2 3 2 2 3 4 2" xfId="4105"/>
    <cellStyle name="Обычный 10 4 2 3 2 2 3 5" xfId="4106"/>
    <cellStyle name="Обычный 10 4 2 3 2 2 3 6" xfId="4107"/>
    <cellStyle name="Обычный 10 4 2 3 2 2 4" xfId="4108"/>
    <cellStyle name="Обычный 10 4 2 3 2 2 4 2" xfId="4109"/>
    <cellStyle name="Обычный 10 4 2 3 2 2 4 3" xfId="4110"/>
    <cellStyle name="Обычный 10 4 2 3 2 2 5" xfId="4111"/>
    <cellStyle name="Обычный 10 4 2 3 2 2 5 2" xfId="4112"/>
    <cellStyle name="Обычный 10 4 2 3 2 2 5 3" xfId="4113"/>
    <cellStyle name="Обычный 10 4 2 3 2 2 6" xfId="4114"/>
    <cellStyle name="Обычный 10 4 2 3 2 2 6 2" xfId="4115"/>
    <cellStyle name="Обычный 10 4 2 3 2 2 7" xfId="4116"/>
    <cellStyle name="Обычный 10 4 2 3 2 2 8" xfId="4117"/>
    <cellStyle name="Обычный 10 4 2 3 2 3" xfId="4118"/>
    <cellStyle name="Обычный 10 4 2 3 2 3 2" xfId="4119"/>
    <cellStyle name="Обычный 10 4 2 3 2 3 2 2" xfId="4120"/>
    <cellStyle name="Обычный 10 4 2 3 2 3 2 2 2" xfId="4121"/>
    <cellStyle name="Обычный 10 4 2 3 2 3 2 2 3" xfId="4122"/>
    <cellStyle name="Обычный 10 4 2 3 2 3 2 3" xfId="4123"/>
    <cellStyle name="Обычный 10 4 2 3 2 3 2 3 2" xfId="4124"/>
    <cellStyle name="Обычный 10 4 2 3 2 3 2 3 3" xfId="4125"/>
    <cellStyle name="Обычный 10 4 2 3 2 3 2 4" xfId="4126"/>
    <cellStyle name="Обычный 10 4 2 3 2 3 2 4 2" xfId="4127"/>
    <cellStyle name="Обычный 10 4 2 3 2 3 2 5" xfId="4128"/>
    <cellStyle name="Обычный 10 4 2 3 2 3 2 6" xfId="4129"/>
    <cellStyle name="Обычный 10 4 2 3 2 3 3" xfId="4130"/>
    <cellStyle name="Обычный 10 4 2 3 2 3 3 2" xfId="4131"/>
    <cellStyle name="Обычный 10 4 2 3 2 3 3 3" xfId="4132"/>
    <cellStyle name="Обычный 10 4 2 3 2 3 4" xfId="4133"/>
    <cellStyle name="Обычный 10 4 2 3 2 3 4 2" xfId="4134"/>
    <cellStyle name="Обычный 10 4 2 3 2 3 4 3" xfId="4135"/>
    <cellStyle name="Обычный 10 4 2 3 2 3 5" xfId="4136"/>
    <cellStyle name="Обычный 10 4 2 3 2 3 5 2" xfId="4137"/>
    <cellStyle name="Обычный 10 4 2 3 2 3 6" xfId="4138"/>
    <cellStyle name="Обычный 10 4 2 3 2 3 7" xfId="4139"/>
    <cellStyle name="Обычный 10 4 2 3 2 4" xfId="4140"/>
    <cellStyle name="Обычный 10 4 2 3 2 4 2" xfId="4141"/>
    <cellStyle name="Обычный 10 4 2 3 2 4 2 2" xfId="4142"/>
    <cellStyle name="Обычный 10 4 2 3 2 4 2 3" xfId="4143"/>
    <cellStyle name="Обычный 10 4 2 3 2 4 3" xfId="4144"/>
    <cellStyle name="Обычный 10 4 2 3 2 4 3 2" xfId="4145"/>
    <cellStyle name="Обычный 10 4 2 3 2 4 3 3" xfId="4146"/>
    <cellStyle name="Обычный 10 4 2 3 2 4 4" xfId="4147"/>
    <cellStyle name="Обычный 10 4 2 3 2 4 4 2" xfId="4148"/>
    <cellStyle name="Обычный 10 4 2 3 2 4 5" xfId="4149"/>
    <cellStyle name="Обычный 10 4 2 3 2 4 6" xfId="4150"/>
    <cellStyle name="Обычный 10 4 2 3 2 5" xfId="4151"/>
    <cellStyle name="Обычный 10 4 2 3 2 5 2" xfId="4152"/>
    <cellStyle name="Обычный 10 4 2 3 2 5 3" xfId="4153"/>
    <cellStyle name="Обычный 10 4 2 3 2 6" xfId="4154"/>
    <cellStyle name="Обычный 10 4 2 3 2 6 2" xfId="4155"/>
    <cellStyle name="Обычный 10 4 2 3 2 6 3" xfId="4156"/>
    <cellStyle name="Обычный 10 4 2 3 2 7" xfId="4157"/>
    <cellStyle name="Обычный 10 4 2 3 2 7 2" xfId="4158"/>
    <cellStyle name="Обычный 10 4 2 3 2 8" xfId="4159"/>
    <cellStyle name="Обычный 10 4 2 3 2 9" xfId="4160"/>
    <cellStyle name="Обычный 10 4 2 3 3" xfId="4161"/>
    <cellStyle name="Обычный 10 4 2 3 3 2" xfId="4162"/>
    <cellStyle name="Обычный 10 4 2 3 3 2 2" xfId="4163"/>
    <cellStyle name="Обычный 10 4 2 3 3 2 2 2" xfId="4164"/>
    <cellStyle name="Обычный 10 4 2 3 3 2 2 2 2" xfId="4165"/>
    <cellStyle name="Обычный 10 4 2 3 3 2 2 2 3" xfId="4166"/>
    <cellStyle name="Обычный 10 4 2 3 3 2 2 3" xfId="4167"/>
    <cellStyle name="Обычный 10 4 2 3 3 2 2 3 2" xfId="4168"/>
    <cellStyle name="Обычный 10 4 2 3 3 2 2 3 3" xfId="4169"/>
    <cellStyle name="Обычный 10 4 2 3 3 2 2 4" xfId="4170"/>
    <cellStyle name="Обычный 10 4 2 3 3 2 2 4 2" xfId="4171"/>
    <cellStyle name="Обычный 10 4 2 3 3 2 2 5" xfId="4172"/>
    <cellStyle name="Обычный 10 4 2 3 3 2 2 6" xfId="4173"/>
    <cellStyle name="Обычный 10 4 2 3 3 2 3" xfId="4174"/>
    <cellStyle name="Обычный 10 4 2 3 3 2 3 2" xfId="4175"/>
    <cellStyle name="Обычный 10 4 2 3 3 2 3 3" xfId="4176"/>
    <cellStyle name="Обычный 10 4 2 3 3 2 4" xfId="4177"/>
    <cellStyle name="Обычный 10 4 2 3 3 2 4 2" xfId="4178"/>
    <cellStyle name="Обычный 10 4 2 3 3 2 4 3" xfId="4179"/>
    <cellStyle name="Обычный 10 4 2 3 3 2 5" xfId="4180"/>
    <cellStyle name="Обычный 10 4 2 3 3 2 5 2" xfId="4181"/>
    <cellStyle name="Обычный 10 4 2 3 3 2 6" xfId="4182"/>
    <cellStyle name="Обычный 10 4 2 3 3 2 7" xfId="4183"/>
    <cellStyle name="Обычный 10 4 2 3 3 3" xfId="4184"/>
    <cellStyle name="Обычный 10 4 2 3 3 3 2" xfId="4185"/>
    <cellStyle name="Обычный 10 4 2 3 3 3 2 2" xfId="4186"/>
    <cellStyle name="Обычный 10 4 2 3 3 3 2 3" xfId="4187"/>
    <cellStyle name="Обычный 10 4 2 3 3 3 3" xfId="4188"/>
    <cellStyle name="Обычный 10 4 2 3 3 3 3 2" xfId="4189"/>
    <cellStyle name="Обычный 10 4 2 3 3 3 3 3" xfId="4190"/>
    <cellStyle name="Обычный 10 4 2 3 3 3 4" xfId="4191"/>
    <cellStyle name="Обычный 10 4 2 3 3 3 4 2" xfId="4192"/>
    <cellStyle name="Обычный 10 4 2 3 3 3 5" xfId="4193"/>
    <cellStyle name="Обычный 10 4 2 3 3 3 6" xfId="4194"/>
    <cellStyle name="Обычный 10 4 2 3 3 4" xfId="4195"/>
    <cellStyle name="Обычный 10 4 2 3 3 4 2" xfId="4196"/>
    <cellStyle name="Обычный 10 4 2 3 3 4 3" xfId="4197"/>
    <cellStyle name="Обычный 10 4 2 3 3 5" xfId="4198"/>
    <cellStyle name="Обычный 10 4 2 3 3 5 2" xfId="4199"/>
    <cellStyle name="Обычный 10 4 2 3 3 5 3" xfId="4200"/>
    <cellStyle name="Обычный 10 4 2 3 3 6" xfId="4201"/>
    <cellStyle name="Обычный 10 4 2 3 3 6 2" xfId="4202"/>
    <cellStyle name="Обычный 10 4 2 3 3 7" xfId="4203"/>
    <cellStyle name="Обычный 10 4 2 3 3 8" xfId="4204"/>
    <cellStyle name="Обычный 10 4 2 3 4" xfId="4205"/>
    <cellStyle name="Обычный 10 4 2 3 4 2" xfId="4206"/>
    <cellStyle name="Обычный 10 4 2 3 4 2 2" xfId="4207"/>
    <cellStyle name="Обычный 10 4 2 3 4 2 2 2" xfId="4208"/>
    <cellStyle name="Обычный 10 4 2 3 4 2 2 3" xfId="4209"/>
    <cellStyle name="Обычный 10 4 2 3 4 2 3" xfId="4210"/>
    <cellStyle name="Обычный 10 4 2 3 4 2 3 2" xfId="4211"/>
    <cellStyle name="Обычный 10 4 2 3 4 2 3 3" xfId="4212"/>
    <cellStyle name="Обычный 10 4 2 3 4 2 4" xfId="4213"/>
    <cellStyle name="Обычный 10 4 2 3 4 2 4 2" xfId="4214"/>
    <cellStyle name="Обычный 10 4 2 3 4 2 5" xfId="4215"/>
    <cellStyle name="Обычный 10 4 2 3 4 2 6" xfId="4216"/>
    <cellStyle name="Обычный 10 4 2 3 4 3" xfId="4217"/>
    <cellStyle name="Обычный 10 4 2 3 4 3 2" xfId="4218"/>
    <cellStyle name="Обычный 10 4 2 3 4 3 3" xfId="4219"/>
    <cellStyle name="Обычный 10 4 2 3 4 4" xfId="4220"/>
    <cellStyle name="Обычный 10 4 2 3 4 4 2" xfId="4221"/>
    <cellStyle name="Обычный 10 4 2 3 4 4 3" xfId="4222"/>
    <cellStyle name="Обычный 10 4 2 3 4 5" xfId="4223"/>
    <cellStyle name="Обычный 10 4 2 3 4 5 2" xfId="4224"/>
    <cellStyle name="Обычный 10 4 2 3 4 6" xfId="4225"/>
    <cellStyle name="Обычный 10 4 2 3 4 7" xfId="4226"/>
    <cellStyle name="Обычный 10 4 2 3 5" xfId="4227"/>
    <cellStyle name="Обычный 10 4 2 3 5 2" xfId="4228"/>
    <cellStyle name="Обычный 10 4 2 3 5 2 2" xfId="4229"/>
    <cellStyle name="Обычный 10 4 2 3 5 2 3" xfId="4230"/>
    <cellStyle name="Обычный 10 4 2 3 5 3" xfId="4231"/>
    <cellStyle name="Обычный 10 4 2 3 5 3 2" xfId="4232"/>
    <cellStyle name="Обычный 10 4 2 3 5 3 3" xfId="4233"/>
    <cellStyle name="Обычный 10 4 2 3 5 4" xfId="4234"/>
    <cellStyle name="Обычный 10 4 2 3 5 4 2" xfId="4235"/>
    <cellStyle name="Обычный 10 4 2 3 5 5" xfId="4236"/>
    <cellStyle name="Обычный 10 4 2 3 5 6" xfId="4237"/>
    <cellStyle name="Обычный 10 4 2 3 6" xfId="4238"/>
    <cellStyle name="Обычный 10 4 2 3 6 2" xfId="4239"/>
    <cellStyle name="Обычный 10 4 2 3 6 3" xfId="4240"/>
    <cellStyle name="Обычный 10 4 2 3 7" xfId="4241"/>
    <cellStyle name="Обычный 10 4 2 3 7 2" xfId="4242"/>
    <cellStyle name="Обычный 10 4 2 3 7 3" xfId="4243"/>
    <cellStyle name="Обычный 10 4 2 3 8" xfId="4244"/>
    <cellStyle name="Обычный 10 4 2 3 8 2" xfId="4245"/>
    <cellStyle name="Обычный 10 4 2 3 9" xfId="4246"/>
    <cellStyle name="Обычный 10 4 2 4" xfId="4247"/>
    <cellStyle name="Обычный 10 4 2 4 10" xfId="4248"/>
    <cellStyle name="Обычный 10 4 2 4 2" xfId="4249"/>
    <cellStyle name="Обычный 10 4 2 4 2 2" xfId="4250"/>
    <cellStyle name="Обычный 10 4 2 4 2 2 2" xfId="4251"/>
    <cellStyle name="Обычный 10 4 2 4 2 2 2 2" xfId="4252"/>
    <cellStyle name="Обычный 10 4 2 4 2 2 2 2 2" xfId="4253"/>
    <cellStyle name="Обычный 10 4 2 4 2 2 2 2 2 2" xfId="4254"/>
    <cellStyle name="Обычный 10 4 2 4 2 2 2 2 2 3" xfId="4255"/>
    <cellStyle name="Обычный 10 4 2 4 2 2 2 2 3" xfId="4256"/>
    <cellStyle name="Обычный 10 4 2 4 2 2 2 2 3 2" xfId="4257"/>
    <cellStyle name="Обычный 10 4 2 4 2 2 2 2 3 3" xfId="4258"/>
    <cellStyle name="Обычный 10 4 2 4 2 2 2 2 4" xfId="4259"/>
    <cellStyle name="Обычный 10 4 2 4 2 2 2 2 4 2" xfId="4260"/>
    <cellStyle name="Обычный 10 4 2 4 2 2 2 2 5" xfId="4261"/>
    <cellStyle name="Обычный 10 4 2 4 2 2 2 2 6" xfId="4262"/>
    <cellStyle name="Обычный 10 4 2 4 2 2 2 3" xfId="4263"/>
    <cellStyle name="Обычный 10 4 2 4 2 2 2 3 2" xfId="4264"/>
    <cellStyle name="Обычный 10 4 2 4 2 2 2 3 3" xfId="4265"/>
    <cellStyle name="Обычный 10 4 2 4 2 2 2 4" xfId="4266"/>
    <cellStyle name="Обычный 10 4 2 4 2 2 2 4 2" xfId="4267"/>
    <cellStyle name="Обычный 10 4 2 4 2 2 2 4 3" xfId="4268"/>
    <cellStyle name="Обычный 10 4 2 4 2 2 2 5" xfId="4269"/>
    <cellStyle name="Обычный 10 4 2 4 2 2 2 5 2" xfId="4270"/>
    <cellStyle name="Обычный 10 4 2 4 2 2 2 6" xfId="4271"/>
    <cellStyle name="Обычный 10 4 2 4 2 2 2 7" xfId="4272"/>
    <cellStyle name="Обычный 10 4 2 4 2 2 3" xfId="4273"/>
    <cellStyle name="Обычный 10 4 2 4 2 2 3 2" xfId="4274"/>
    <cellStyle name="Обычный 10 4 2 4 2 2 3 2 2" xfId="4275"/>
    <cellStyle name="Обычный 10 4 2 4 2 2 3 2 3" xfId="4276"/>
    <cellStyle name="Обычный 10 4 2 4 2 2 3 3" xfId="4277"/>
    <cellStyle name="Обычный 10 4 2 4 2 2 3 3 2" xfId="4278"/>
    <cellStyle name="Обычный 10 4 2 4 2 2 3 3 3" xfId="4279"/>
    <cellStyle name="Обычный 10 4 2 4 2 2 3 4" xfId="4280"/>
    <cellStyle name="Обычный 10 4 2 4 2 2 3 4 2" xfId="4281"/>
    <cellStyle name="Обычный 10 4 2 4 2 2 3 5" xfId="4282"/>
    <cellStyle name="Обычный 10 4 2 4 2 2 3 6" xfId="4283"/>
    <cellStyle name="Обычный 10 4 2 4 2 2 4" xfId="4284"/>
    <cellStyle name="Обычный 10 4 2 4 2 2 4 2" xfId="4285"/>
    <cellStyle name="Обычный 10 4 2 4 2 2 4 3" xfId="4286"/>
    <cellStyle name="Обычный 10 4 2 4 2 2 5" xfId="4287"/>
    <cellStyle name="Обычный 10 4 2 4 2 2 5 2" xfId="4288"/>
    <cellStyle name="Обычный 10 4 2 4 2 2 5 3" xfId="4289"/>
    <cellStyle name="Обычный 10 4 2 4 2 2 6" xfId="4290"/>
    <cellStyle name="Обычный 10 4 2 4 2 2 6 2" xfId="4291"/>
    <cellStyle name="Обычный 10 4 2 4 2 2 7" xfId="4292"/>
    <cellStyle name="Обычный 10 4 2 4 2 2 8" xfId="4293"/>
    <cellStyle name="Обычный 10 4 2 4 2 3" xfId="4294"/>
    <cellStyle name="Обычный 10 4 2 4 2 3 2" xfId="4295"/>
    <cellStyle name="Обычный 10 4 2 4 2 3 2 2" xfId="4296"/>
    <cellStyle name="Обычный 10 4 2 4 2 3 2 2 2" xfId="4297"/>
    <cellStyle name="Обычный 10 4 2 4 2 3 2 2 3" xfId="4298"/>
    <cellStyle name="Обычный 10 4 2 4 2 3 2 3" xfId="4299"/>
    <cellStyle name="Обычный 10 4 2 4 2 3 2 3 2" xfId="4300"/>
    <cellStyle name="Обычный 10 4 2 4 2 3 2 3 3" xfId="4301"/>
    <cellStyle name="Обычный 10 4 2 4 2 3 2 4" xfId="4302"/>
    <cellStyle name="Обычный 10 4 2 4 2 3 2 4 2" xfId="4303"/>
    <cellStyle name="Обычный 10 4 2 4 2 3 2 5" xfId="4304"/>
    <cellStyle name="Обычный 10 4 2 4 2 3 2 6" xfId="4305"/>
    <cellStyle name="Обычный 10 4 2 4 2 3 3" xfId="4306"/>
    <cellStyle name="Обычный 10 4 2 4 2 3 3 2" xfId="4307"/>
    <cellStyle name="Обычный 10 4 2 4 2 3 3 3" xfId="4308"/>
    <cellStyle name="Обычный 10 4 2 4 2 3 4" xfId="4309"/>
    <cellStyle name="Обычный 10 4 2 4 2 3 4 2" xfId="4310"/>
    <cellStyle name="Обычный 10 4 2 4 2 3 4 3" xfId="4311"/>
    <cellStyle name="Обычный 10 4 2 4 2 3 5" xfId="4312"/>
    <cellStyle name="Обычный 10 4 2 4 2 3 5 2" xfId="4313"/>
    <cellStyle name="Обычный 10 4 2 4 2 3 6" xfId="4314"/>
    <cellStyle name="Обычный 10 4 2 4 2 3 7" xfId="4315"/>
    <cellStyle name="Обычный 10 4 2 4 2 4" xfId="4316"/>
    <cellStyle name="Обычный 10 4 2 4 2 4 2" xfId="4317"/>
    <cellStyle name="Обычный 10 4 2 4 2 4 2 2" xfId="4318"/>
    <cellStyle name="Обычный 10 4 2 4 2 4 2 3" xfId="4319"/>
    <cellStyle name="Обычный 10 4 2 4 2 4 3" xfId="4320"/>
    <cellStyle name="Обычный 10 4 2 4 2 4 3 2" xfId="4321"/>
    <cellStyle name="Обычный 10 4 2 4 2 4 3 3" xfId="4322"/>
    <cellStyle name="Обычный 10 4 2 4 2 4 4" xfId="4323"/>
    <cellStyle name="Обычный 10 4 2 4 2 4 4 2" xfId="4324"/>
    <cellStyle name="Обычный 10 4 2 4 2 4 5" xfId="4325"/>
    <cellStyle name="Обычный 10 4 2 4 2 4 6" xfId="4326"/>
    <cellStyle name="Обычный 10 4 2 4 2 5" xfId="4327"/>
    <cellStyle name="Обычный 10 4 2 4 2 5 2" xfId="4328"/>
    <cellStyle name="Обычный 10 4 2 4 2 5 3" xfId="4329"/>
    <cellStyle name="Обычный 10 4 2 4 2 6" xfId="4330"/>
    <cellStyle name="Обычный 10 4 2 4 2 6 2" xfId="4331"/>
    <cellStyle name="Обычный 10 4 2 4 2 6 3" xfId="4332"/>
    <cellStyle name="Обычный 10 4 2 4 2 7" xfId="4333"/>
    <cellStyle name="Обычный 10 4 2 4 2 7 2" xfId="4334"/>
    <cellStyle name="Обычный 10 4 2 4 2 8" xfId="4335"/>
    <cellStyle name="Обычный 10 4 2 4 2 9" xfId="4336"/>
    <cellStyle name="Обычный 10 4 2 4 3" xfId="4337"/>
    <cellStyle name="Обычный 10 4 2 4 3 2" xfId="4338"/>
    <cellStyle name="Обычный 10 4 2 4 3 2 2" xfId="4339"/>
    <cellStyle name="Обычный 10 4 2 4 3 2 2 2" xfId="4340"/>
    <cellStyle name="Обычный 10 4 2 4 3 2 2 2 2" xfId="4341"/>
    <cellStyle name="Обычный 10 4 2 4 3 2 2 2 3" xfId="4342"/>
    <cellStyle name="Обычный 10 4 2 4 3 2 2 3" xfId="4343"/>
    <cellStyle name="Обычный 10 4 2 4 3 2 2 3 2" xfId="4344"/>
    <cellStyle name="Обычный 10 4 2 4 3 2 2 3 3" xfId="4345"/>
    <cellStyle name="Обычный 10 4 2 4 3 2 2 4" xfId="4346"/>
    <cellStyle name="Обычный 10 4 2 4 3 2 2 4 2" xfId="4347"/>
    <cellStyle name="Обычный 10 4 2 4 3 2 2 5" xfId="4348"/>
    <cellStyle name="Обычный 10 4 2 4 3 2 2 6" xfId="4349"/>
    <cellStyle name="Обычный 10 4 2 4 3 2 3" xfId="4350"/>
    <cellStyle name="Обычный 10 4 2 4 3 2 3 2" xfId="4351"/>
    <cellStyle name="Обычный 10 4 2 4 3 2 3 3" xfId="4352"/>
    <cellStyle name="Обычный 10 4 2 4 3 2 4" xfId="4353"/>
    <cellStyle name="Обычный 10 4 2 4 3 2 4 2" xfId="4354"/>
    <cellStyle name="Обычный 10 4 2 4 3 2 4 3" xfId="4355"/>
    <cellStyle name="Обычный 10 4 2 4 3 2 5" xfId="4356"/>
    <cellStyle name="Обычный 10 4 2 4 3 2 5 2" xfId="4357"/>
    <cellStyle name="Обычный 10 4 2 4 3 2 6" xfId="4358"/>
    <cellStyle name="Обычный 10 4 2 4 3 2 7" xfId="4359"/>
    <cellStyle name="Обычный 10 4 2 4 3 3" xfId="4360"/>
    <cellStyle name="Обычный 10 4 2 4 3 3 2" xfId="4361"/>
    <cellStyle name="Обычный 10 4 2 4 3 3 2 2" xfId="4362"/>
    <cellStyle name="Обычный 10 4 2 4 3 3 2 3" xfId="4363"/>
    <cellStyle name="Обычный 10 4 2 4 3 3 3" xfId="4364"/>
    <cellStyle name="Обычный 10 4 2 4 3 3 3 2" xfId="4365"/>
    <cellStyle name="Обычный 10 4 2 4 3 3 3 3" xfId="4366"/>
    <cellStyle name="Обычный 10 4 2 4 3 3 4" xfId="4367"/>
    <cellStyle name="Обычный 10 4 2 4 3 3 4 2" xfId="4368"/>
    <cellStyle name="Обычный 10 4 2 4 3 3 5" xfId="4369"/>
    <cellStyle name="Обычный 10 4 2 4 3 3 6" xfId="4370"/>
    <cellStyle name="Обычный 10 4 2 4 3 4" xfId="4371"/>
    <cellStyle name="Обычный 10 4 2 4 3 4 2" xfId="4372"/>
    <cellStyle name="Обычный 10 4 2 4 3 4 3" xfId="4373"/>
    <cellStyle name="Обычный 10 4 2 4 3 5" xfId="4374"/>
    <cellStyle name="Обычный 10 4 2 4 3 5 2" xfId="4375"/>
    <cellStyle name="Обычный 10 4 2 4 3 5 3" xfId="4376"/>
    <cellStyle name="Обычный 10 4 2 4 3 6" xfId="4377"/>
    <cellStyle name="Обычный 10 4 2 4 3 6 2" xfId="4378"/>
    <cellStyle name="Обычный 10 4 2 4 3 7" xfId="4379"/>
    <cellStyle name="Обычный 10 4 2 4 3 8" xfId="4380"/>
    <cellStyle name="Обычный 10 4 2 4 4" xfId="4381"/>
    <cellStyle name="Обычный 10 4 2 4 4 2" xfId="4382"/>
    <cellStyle name="Обычный 10 4 2 4 4 2 2" xfId="4383"/>
    <cellStyle name="Обычный 10 4 2 4 4 2 2 2" xfId="4384"/>
    <cellStyle name="Обычный 10 4 2 4 4 2 2 3" xfId="4385"/>
    <cellStyle name="Обычный 10 4 2 4 4 2 3" xfId="4386"/>
    <cellStyle name="Обычный 10 4 2 4 4 2 3 2" xfId="4387"/>
    <cellStyle name="Обычный 10 4 2 4 4 2 3 3" xfId="4388"/>
    <cellStyle name="Обычный 10 4 2 4 4 2 4" xfId="4389"/>
    <cellStyle name="Обычный 10 4 2 4 4 2 4 2" xfId="4390"/>
    <cellStyle name="Обычный 10 4 2 4 4 2 5" xfId="4391"/>
    <cellStyle name="Обычный 10 4 2 4 4 2 6" xfId="4392"/>
    <cellStyle name="Обычный 10 4 2 4 4 3" xfId="4393"/>
    <cellStyle name="Обычный 10 4 2 4 4 3 2" xfId="4394"/>
    <cellStyle name="Обычный 10 4 2 4 4 3 3" xfId="4395"/>
    <cellStyle name="Обычный 10 4 2 4 4 4" xfId="4396"/>
    <cellStyle name="Обычный 10 4 2 4 4 4 2" xfId="4397"/>
    <cellStyle name="Обычный 10 4 2 4 4 4 3" xfId="4398"/>
    <cellStyle name="Обычный 10 4 2 4 4 5" xfId="4399"/>
    <cellStyle name="Обычный 10 4 2 4 4 5 2" xfId="4400"/>
    <cellStyle name="Обычный 10 4 2 4 4 6" xfId="4401"/>
    <cellStyle name="Обычный 10 4 2 4 4 7" xfId="4402"/>
    <cellStyle name="Обычный 10 4 2 4 5" xfId="4403"/>
    <cellStyle name="Обычный 10 4 2 4 5 2" xfId="4404"/>
    <cellStyle name="Обычный 10 4 2 4 5 2 2" xfId="4405"/>
    <cellStyle name="Обычный 10 4 2 4 5 2 3" xfId="4406"/>
    <cellStyle name="Обычный 10 4 2 4 5 3" xfId="4407"/>
    <cellStyle name="Обычный 10 4 2 4 5 3 2" xfId="4408"/>
    <cellStyle name="Обычный 10 4 2 4 5 3 3" xfId="4409"/>
    <cellStyle name="Обычный 10 4 2 4 5 4" xfId="4410"/>
    <cellStyle name="Обычный 10 4 2 4 5 4 2" xfId="4411"/>
    <cellStyle name="Обычный 10 4 2 4 5 5" xfId="4412"/>
    <cellStyle name="Обычный 10 4 2 4 5 6" xfId="4413"/>
    <cellStyle name="Обычный 10 4 2 4 6" xfId="4414"/>
    <cellStyle name="Обычный 10 4 2 4 6 2" xfId="4415"/>
    <cellStyle name="Обычный 10 4 2 4 6 3" xfId="4416"/>
    <cellStyle name="Обычный 10 4 2 4 7" xfId="4417"/>
    <cellStyle name="Обычный 10 4 2 4 7 2" xfId="4418"/>
    <cellStyle name="Обычный 10 4 2 4 7 3" xfId="4419"/>
    <cellStyle name="Обычный 10 4 2 4 8" xfId="4420"/>
    <cellStyle name="Обычный 10 4 2 4 8 2" xfId="4421"/>
    <cellStyle name="Обычный 10 4 2 4 9" xfId="4422"/>
    <cellStyle name="Обычный 10 4 2 5" xfId="4423"/>
    <cellStyle name="Обычный 10 4 2 5 2" xfId="4424"/>
    <cellStyle name="Обычный 10 4 2 5 2 2" xfId="4425"/>
    <cellStyle name="Обычный 10 4 2 5 2 2 2" xfId="4426"/>
    <cellStyle name="Обычный 10 4 2 5 2 2 2 2" xfId="4427"/>
    <cellStyle name="Обычный 10 4 2 5 2 2 2 2 2" xfId="4428"/>
    <cellStyle name="Обычный 10 4 2 5 2 2 2 2 3" xfId="4429"/>
    <cellStyle name="Обычный 10 4 2 5 2 2 2 3" xfId="4430"/>
    <cellStyle name="Обычный 10 4 2 5 2 2 2 3 2" xfId="4431"/>
    <cellStyle name="Обычный 10 4 2 5 2 2 2 3 3" xfId="4432"/>
    <cellStyle name="Обычный 10 4 2 5 2 2 2 4" xfId="4433"/>
    <cellStyle name="Обычный 10 4 2 5 2 2 2 4 2" xfId="4434"/>
    <cellStyle name="Обычный 10 4 2 5 2 2 2 5" xfId="4435"/>
    <cellStyle name="Обычный 10 4 2 5 2 2 2 6" xfId="4436"/>
    <cellStyle name="Обычный 10 4 2 5 2 2 3" xfId="4437"/>
    <cellStyle name="Обычный 10 4 2 5 2 2 3 2" xfId="4438"/>
    <cellStyle name="Обычный 10 4 2 5 2 2 3 3" xfId="4439"/>
    <cellStyle name="Обычный 10 4 2 5 2 2 4" xfId="4440"/>
    <cellStyle name="Обычный 10 4 2 5 2 2 4 2" xfId="4441"/>
    <cellStyle name="Обычный 10 4 2 5 2 2 4 3" xfId="4442"/>
    <cellStyle name="Обычный 10 4 2 5 2 2 5" xfId="4443"/>
    <cellStyle name="Обычный 10 4 2 5 2 2 5 2" xfId="4444"/>
    <cellStyle name="Обычный 10 4 2 5 2 2 6" xfId="4445"/>
    <cellStyle name="Обычный 10 4 2 5 2 2 7" xfId="4446"/>
    <cellStyle name="Обычный 10 4 2 5 2 3" xfId="4447"/>
    <cellStyle name="Обычный 10 4 2 5 2 3 2" xfId="4448"/>
    <cellStyle name="Обычный 10 4 2 5 2 3 2 2" xfId="4449"/>
    <cellStyle name="Обычный 10 4 2 5 2 3 2 3" xfId="4450"/>
    <cellStyle name="Обычный 10 4 2 5 2 3 3" xfId="4451"/>
    <cellStyle name="Обычный 10 4 2 5 2 3 3 2" xfId="4452"/>
    <cellStyle name="Обычный 10 4 2 5 2 3 3 3" xfId="4453"/>
    <cellStyle name="Обычный 10 4 2 5 2 3 4" xfId="4454"/>
    <cellStyle name="Обычный 10 4 2 5 2 3 4 2" xfId="4455"/>
    <cellStyle name="Обычный 10 4 2 5 2 3 5" xfId="4456"/>
    <cellStyle name="Обычный 10 4 2 5 2 3 6" xfId="4457"/>
    <cellStyle name="Обычный 10 4 2 5 2 4" xfId="4458"/>
    <cellStyle name="Обычный 10 4 2 5 2 4 2" xfId="4459"/>
    <cellStyle name="Обычный 10 4 2 5 2 4 3" xfId="4460"/>
    <cellStyle name="Обычный 10 4 2 5 2 5" xfId="4461"/>
    <cellStyle name="Обычный 10 4 2 5 2 5 2" xfId="4462"/>
    <cellStyle name="Обычный 10 4 2 5 2 5 3" xfId="4463"/>
    <cellStyle name="Обычный 10 4 2 5 2 6" xfId="4464"/>
    <cellStyle name="Обычный 10 4 2 5 2 6 2" xfId="4465"/>
    <cellStyle name="Обычный 10 4 2 5 2 7" xfId="4466"/>
    <cellStyle name="Обычный 10 4 2 5 2 8" xfId="4467"/>
    <cellStyle name="Обычный 10 4 2 5 3" xfId="4468"/>
    <cellStyle name="Обычный 10 4 2 5 3 2" xfId="4469"/>
    <cellStyle name="Обычный 10 4 2 5 3 2 2" xfId="4470"/>
    <cellStyle name="Обычный 10 4 2 5 3 2 2 2" xfId="4471"/>
    <cellStyle name="Обычный 10 4 2 5 3 2 2 3" xfId="4472"/>
    <cellStyle name="Обычный 10 4 2 5 3 2 3" xfId="4473"/>
    <cellStyle name="Обычный 10 4 2 5 3 2 3 2" xfId="4474"/>
    <cellStyle name="Обычный 10 4 2 5 3 2 3 3" xfId="4475"/>
    <cellStyle name="Обычный 10 4 2 5 3 2 4" xfId="4476"/>
    <cellStyle name="Обычный 10 4 2 5 3 2 4 2" xfId="4477"/>
    <cellStyle name="Обычный 10 4 2 5 3 2 5" xfId="4478"/>
    <cellStyle name="Обычный 10 4 2 5 3 2 6" xfId="4479"/>
    <cellStyle name="Обычный 10 4 2 5 3 3" xfId="4480"/>
    <cellStyle name="Обычный 10 4 2 5 3 3 2" xfId="4481"/>
    <cellStyle name="Обычный 10 4 2 5 3 3 3" xfId="4482"/>
    <cellStyle name="Обычный 10 4 2 5 3 4" xfId="4483"/>
    <cellStyle name="Обычный 10 4 2 5 3 4 2" xfId="4484"/>
    <cellStyle name="Обычный 10 4 2 5 3 4 3" xfId="4485"/>
    <cellStyle name="Обычный 10 4 2 5 3 5" xfId="4486"/>
    <cellStyle name="Обычный 10 4 2 5 3 5 2" xfId="4487"/>
    <cellStyle name="Обычный 10 4 2 5 3 6" xfId="4488"/>
    <cellStyle name="Обычный 10 4 2 5 3 7" xfId="4489"/>
    <cellStyle name="Обычный 10 4 2 5 4" xfId="4490"/>
    <cellStyle name="Обычный 10 4 2 5 4 2" xfId="4491"/>
    <cellStyle name="Обычный 10 4 2 5 4 2 2" xfId="4492"/>
    <cellStyle name="Обычный 10 4 2 5 4 2 3" xfId="4493"/>
    <cellStyle name="Обычный 10 4 2 5 4 3" xfId="4494"/>
    <cellStyle name="Обычный 10 4 2 5 4 3 2" xfId="4495"/>
    <cellStyle name="Обычный 10 4 2 5 4 3 3" xfId="4496"/>
    <cellStyle name="Обычный 10 4 2 5 4 4" xfId="4497"/>
    <cellStyle name="Обычный 10 4 2 5 4 4 2" xfId="4498"/>
    <cellStyle name="Обычный 10 4 2 5 4 5" xfId="4499"/>
    <cellStyle name="Обычный 10 4 2 5 4 6" xfId="4500"/>
    <cellStyle name="Обычный 10 4 2 5 5" xfId="4501"/>
    <cellStyle name="Обычный 10 4 2 5 5 2" xfId="4502"/>
    <cellStyle name="Обычный 10 4 2 5 5 3" xfId="4503"/>
    <cellStyle name="Обычный 10 4 2 5 6" xfId="4504"/>
    <cellStyle name="Обычный 10 4 2 5 6 2" xfId="4505"/>
    <cellStyle name="Обычный 10 4 2 5 6 3" xfId="4506"/>
    <cellStyle name="Обычный 10 4 2 5 7" xfId="4507"/>
    <cellStyle name="Обычный 10 4 2 5 7 2" xfId="4508"/>
    <cellStyle name="Обычный 10 4 2 5 8" xfId="4509"/>
    <cellStyle name="Обычный 10 4 2 5 9" xfId="4510"/>
    <cellStyle name="Обычный 10 4 2 6" xfId="4511"/>
    <cellStyle name="Обычный 10 4 2 6 2" xfId="4512"/>
    <cellStyle name="Обычный 10 4 2 6 2 2" xfId="4513"/>
    <cellStyle name="Обычный 10 4 2 6 2 2 2" xfId="4514"/>
    <cellStyle name="Обычный 10 4 2 6 2 2 2 2" xfId="4515"/>
    <cellStyle name="Обычный 10 4 2 6 2 2 2 3" xfId="4516"/>
    <cellStyle name="Обычный 10 4 2 6 2 2 3" xfId="4517"/>
    <cellStyle name="Обычный 10 4 2 6 2 2 3 2" xfId="4518"/>
    <cellStyle name="Обычный 10 4 2 6 2 2 3 3" xfId="4519"/>
    <cellStyle name="Обычный 10 4 2 6 2 2 4" xfId="4520"/>
    <cellStyle name="Обычный 10 4 2 6 2 2 4 2" xfId="4521"/>
    <cellStyle name="Обычный 10 4 2 6 2 2 5" xfId="4522"/>
    <cellStyle name="Обычный 10 4 2 6 2 2 6" xfId="4523"/>
    <cellStyle name="Обычный 10 4 2 6 2 3" xfId="4524"/>
    <cellStyle name="Обычный 10 4 2 6 2 3 2" xfId="4525"/>
    <cellStyle name="Обычный 10 4 2 6 2 3 3" xfId="4526"/>
    <cellStyle name="Обычный 10 4 2 6 2 4" xfId="4527"/>
    <cellStyle name="Обычный 10 4 2 6 2 4 2" xfId="4528"/>
    <cellStyle name="Обычный 10 4 2 6 2 4 3" xfId="4529"/>
    <cellStyle name="Обычный 10 4 2 6 2 5" xfId="4530"/>
    <cellStyle name="Обычный 10 4 2 6 2 5 2" xfId="4531"/>
    <cellStyle name="Обычный 10 4 2 6 2 6" xfId="4532"/>
    <cellStyle name="Обычный 10 4 2 6 2 7" xfId="4533"/>
    <cellStyle name="Обычный 10 4 2 6 3" xfId="4534"/>
    <cellStyle name="Обычный 10 4 2 6 3 2" xfId="4535"/>
    <cellStyle name="Обычный 10 4 2 6 3 2 2" xfId="4536"/>
    <cellStyle name="Обычный 10 4 2 6 3 2 3" xfId="4537"/>
    <cellStyle name="Обычный 10 4 2 6 3 3" xfId="4538"/>
    <cellStyle name="Обычный 10 4 2 6 3 3 2" xfId="4539"/>
    <cellStyle name="Обычный 10 4 2 6 3 3 3" xfId="4540"/>
    <cellStyle name="Обычный 10 4 2 6 3 4" xfId="4541"/>
    <cellStyle name="Обычный 10 4 2 6 3 4 2" xfId="4542"/>
    <cellStyle name="Обычный 10 4 2 6 3 5" xfId="4543"/>
    <cellStyle name="Обычный 10 4 2 6 3 6" xfId="4544"/>
    <cellStyle name="Обычный 10 4 2 6 4" xfId="4545"/>
    <cellStyle name="Обычный 10 4 2 6 4 2" xfId="4546"/>
    <cellStyle name="Обычный 10 4 2 6 4 3" xfId="4547"/>
    <cellStyle name="Обычный 10 4 2 6 5" xfId="4548"/>
    <cellStyle name="Обычный 10 4 2 6 5 2" xfId="4549"/>
    <cellStyle name="Обычный 10 4 2 6 5 3" xfId="4550"/>
    <cellStyle name="Обычный 10 4 2 6 6" xfId="4551"/>
    <cellStyle name="Обычный 10 4 2 6 6 2" xfId="4552"/>
    <cellStyle name="Обычный 10 4 2 6 7" xfId="4553"/>
    <cellStyle name="Обычный 10 4 2 6 8" xfId="4554"/>
    <cellStyle name="Обычный 10 4 2 7" xfId="4555"/>
    <cellStyle name="Обычный 10 4 2 7 2" xfId="4556"/>
    <cellStyle name="Обычный 10 4 2 7 2 2" xfId="4557"/>
    <cellStyle name="Обычный 10 4 2 7 2 2 2" xfId="4558"/>
    <cellStyle name="Обычный 10 4 2 7 2 2 3" xfId="4559"/>
    <cellStyle name="Обычный 10 4 2 7 2 3" xfId="4560"/>
    <cellStyle name="Обычный 10 4 2 7 2 3 2" xfId="4561"/>
    <cellStyle name="Обычный 10 4 2 7 2 3 3" xfId="4562"/>
    <cellStyle name="Обычный 10 4 2 7 2 4" xfId="4563"/>
    <cellStyle name="Обычный 10 4 2 7 2 4 2" xfId="4564"/>
    <cellStyle name="Обычный 10 4 2 7 2 5" xfId="4565"/>
    <cellStyle name="Обычный 10 4 2 7 2 6" xfId="4566"/>
    <cellStyle name="Обычный 10 4 2 7 3" xfId="4567"/>
    <cellStyle name="Обычный 10 4 2 7 3 2" xfId="4568"/>
    <cellStyle name="Обычный 10 4 2 7 3 3" xfId="4569"/>
    <cellStyle name="Обычный 10 4 2 7 4" xfId="4570"/>
    <cellStyle name="Обычный 10 4 2 7 4 2" xfId="4571"/>
    <cellStyle name="Обычный 10 4 2 7 4 3" xfId="4572"/>
    <cellStyle name="Обычный 10 4 2 7 5" xfId="4573"/>
    <cellStyle name="Обычный 10 4 2 7 5 2" xfId="4574"/>
    <cellStyle name="Обычный 10 4 2 7 6" xfId="4575"/>
    <cellStyle name="Обычный 10 4 2 7 7" xfId="4576"/>
    <cellStyle name="Обычный 10 4 2 8" xfId="4577"/>
    <cellStyle name="Обычный 10 4 2 8 2" xfId="4578"/>
    <cellStyle name="Обычный 10 4 2 8 2 2" xfId="4579"/>
    <cellStyle name="Обычный 10 4 2 8 2 3" xfId="4580"/>
    <cellStyle name="Обычный 10 4 2 8 3" xfId="4581"/>
    <cellStyle name="Обычный 10 4 2 8 3 2" xfId="4582"/>
    <cellStyle name="Обычный 10 4 2 8 3 3" xfId="4583"/>
    <cellStyle name="Обычный 10 4 2 8 4" xfId="4584"/>
    <cellStyle name="Обычный 10 4 2 8 4 2" xfId="4585"/>
    <cellStyle name="Обычный 10 4 2 8 5" xfId="4586"/>
    <cellStyle name="Обычный 10 4 2 8 6" xfId="4587"/>
    <cellStyle name="Обычный 10 4 2 9" xfId="4588"/>
    <cellStyle name="Обычный 10 4 2 9 2" xfId="4589"/>
    <cellStyle name="Обычный 10 4 2 9 3" xfId="4590"/>
    <cellStyle name="Обычный 10 4 3" xfId="4591"/>
    <cellStyle name="Обычный 10 4 3 10" xfId="4592"/>
    <cellStyle name="Обычный 10 4 3 2" xfId="4593"/>
    <cellStyle name="Обычный 10 4 3 2 2" xfId="4594"/>
    <cellStyle name="Обычный 10 4 3 2 2 2" xfId="4595"/>
    <cellStyle name="Обычный 10 4 3 2 2 2 2" xfId="4596"/>
    <cellStyle name="Обычный 10 4 3 2 2 2 2 2" xfId="4597"/>
    <cellStyle name="Обычный 10 4 3 2 2 2 2 2 2" xfId="4598"/>
    <cellStyle name="Обычный 10 4 3 2 2 2 2 2 3" xfId="4599"/>
    <cellStyle name="Обычный 10 4 3 2 2 2 2 3" xfId="4600"/>
    <cellStyle name="Обычный 10 4 3 2 2 2 2 3 2" xfId="4601"/>
    <cellStyle name="Обычный 10 4 3 2 2 2 2 3 3" xfId="4602"/>
    <cellStyle name="Обычный 10 4 3 2 2 2 2 4" xfId="4603"/>
    <cellStyle name="Обычный 10 4 3 2 2 2 2 4 2" xfId="4604"/>
    <cellStyle name="Обычный 10 4 3 2 2 2 2 5" xfId="4605"/>
    <cellStyle name="Обычный 10 4 3 2 2 2 2 6" xfId="4606"/>
    <cellStyle name="Обычный 10 4 3 2 2 2 3" xfId="4607"/>
    <cellStyle name="Обычный 10 4 3 2 2 2 3 2" xfId="4608"/>
    <cellStyle name="Обычный 10 4 3 2 2 2 3 3" xfId="4609"/>
    <cellStyle name="Обычный 10 4 3 2 2 2 4" xfId="4610"/>
    <cellStyle name="Обычный 10 4 3 2 2 2 4 2" xfId="4611"/>
    <cellStyle name="Обычный 10 4 3 2 2 2 4 3" xfId="4612"/>
    <cellStyle name="Обычный 10 4 3 2 2 2 5" xfId="4613"/>
    <cellStyle name="Обычный 10 4 3 2 2 2 5 2" xfId="4614"/>
    <cellStyle name="Обычный 10 4 3 2 2 2 6" xfId="4615"/>
    <cellStyle name="Обычный 10 4 3 2 2 2 7" xfId="4616"/>
    <cellStyle name="Обычный 10 4 3 2 2 3" xfId="4617"/>
    <cellStyle name="Обычный 10 4 3 2 2 3 2" xfId="4618"/>
    <cellStyle name="Обычный 10 4 3 2 2 3 2 2" xfId="4619"/>
    <cellStyle name="Обычный 10 4 3 2 2 3 2 3" xfId="4620"/>
    <cellStyle name="Обычный 10 4 3 2 2 3 3" xfId="4621"/>
    <cellStyle name="Обычный 10 4 3 2 2 3 3 2" xfId="4622"/>
    <cellStyle name="Обычный 10 4 3 2 2 3 3 3" xfId="4623"/>
    <cellStyle name="Обычный 10 4 3 2 2 3 4" xfId="4624"/>
    <cellStyle name="Обычный 10 4 3 2 2 3 4 2" xfId="4625"/>
    <cellStyle name="Обычный 10 4 3 2 2 3 5" xfId="4626"/>
    <cellStyle name="Обычный 10 4 3 2 2 3 6" xfId="4627"/>
    <cellStyle name="Обычный 10 4 3 2 2 4" xfId="4628"/>
    <cellStyle name="Обычный 10 4 3 2 2 4 2" xfId="4629"/>
    <cellStyle name="Обычный 10 4 3 2 2 4 3" xfId="4630"/>
    <cellStyle name="Обычный 10 4 3 2 2 5" xfId="4631"/>
    <cellStyle name="Обычный 10 4 3 2 2 5 2" xfId="4632"/>
    <cellStyle name="Обычный 10 4 3 2 2 5 3" xfId="4633"/>
    <cellStyle name="Обычный 10 4 3 2 2 6" xfId="4634"/>
    <cellStyle name="Обычный 10 4 3 2 2 6 2" xfId="4635"/>
    <cellStyle name="Обычный 10 4 3 2 2 7" xfId="4636"/>
    <cellStyle name="Обычный 10 4 3 2 2 8" xfId="4637"/>
    <cellStyle name="Обычный 10 4 3 2 3" xfId="4638"/>
    <cellStyle name="Обычный 10 4 3 2 3 2" xfId="4639"/>
    <cellStyle name="Обычный 10 4 3 2 3 2 2" xfId="4640"/>
    <cellStyle name="Обычный 10 4 3 2 3 2 2 2" xfId="4641"/>
    <cellStyle name="Обычный 10 4 3 2 3 2 2 3" xfId="4642"/>
    <cellStyle name="Обычный 10 4 3 2 3 2 3" xfId="4643"/>
    <cellStyle name="Обычный 10 4 3 2 3 2 3 2" xfId="4644"/>
    <cellStyle name="Обычный 10 4 3 2 3 2 3 3" xfId="4645"/>
    <cellStyle name="Обычный 10 4 3 2 3 2 4" xfId="4646"/>
    <cellStyle name="Обычный 10 4 3 2 3 2 4 2" xfId="4647"/>
    <cellStyle name="Обычный 10 4 3 2 3 2 5" xfId="4648"/>
    <cellStyle name="Обычный 10 4 3 2 3 2 6" xfId="4649"/>
    <cellStyle name="Обычный 10 4 3 2 3 3" xfId="4650"/>
    <cellStyle name="Обычный 10 4 3 2 3 3 2" xfId="4651"/>
    <cellStyle name="Обычный 10 4 3 2 3 3 3" xfId="4652"/>
    <cellStyle name="Обычный 10 4 3 2 3 4" xfId="4653"/>
    <cellStyle name="Обычный 10 4 3 2 3 4 2" xfId="4654"/>
    <cellStyle name="Обычный 10 4 3 2 3 4 3" xfId="4655"/>
    <cellStyle name="Обычный 10 4 3 2 3 5" xfId="4656"/>
    <cellStyle name="Обычный 10 4 3 2 3 5 2" xfId="4657"/>
    <cellStyle name="Обычный 10 4 3 2 3 6" xfId="4658"/>
    <cellStyle name="Обычный 10 4 3 2 3 7" xfId="4659"/>
    <cellStyle name="Обычный 10 4 3 2 4" xfId="4660"/>
    <cellStyle name="Обычный 10 4 3 2 4 2" xfId="4661"/>
    <cellStyle name="Обычный 10 4 3 2 4 2 2" xfId="4662"/>
    <cellStyle name="Обычный 10 4 3 2 4 2 3" xfId="4663"/>
    <cellStyle name="Обычный 10 4 3 2 4 3" xfId="4664"/>
    <cellStyle name="Обычный 10 4 3 2 4 3 2" xfId="4665"/>
    <cellStyle name="Обычный 10 4 3 2 4 3 3" xfId="4666"/>
    <cellStyle name="Обычный 10 4 3 2 4 4" xfId="4667"/>
    <cellStyle name="Обычный 10 4 3 2 4 4 2" xfId="4668"/>
    <cellStyle name="Обычный 10 4 3 2 4 5" xfId="4669"/>
    <cellStyle name="Обычный 10 4 3 2 4 6" xfId="4670"/>
    <cellStyle name="Обычный 10 4 3 2 5" xfId="4671"/>
    <cellStyle name="Обычный 10 4 3 2 5 2" xfId="4672"/>
    <cellStyle name="Обычный 10 4 3 2 5 3" xfId="4673"/>
    <cellStyle name="Обычный 10 4 3 2 6" xfId="4674"/>
    <cellStyle name="Обычный 10 4 3 2 6 2" xfId="4675"/>
    <cellStyle name="Обычный 10 4 3 2 6 3" xfId="4676"/>
    <cellStyle name="Обычный 10 4 3 2 7" xfId="4677"/>
    <cellStyle name="Обычный 10 4 3 2 7 2" xfId="4678"/>
    <cellStyle name="Обычный 10 4 3 2 8" xfId="4679"/>
    <cellStyle name="Обычный 10 4 3 2 9" xfId="4680"/>
    <cellStyle name="Обычный 10 4 3 3" xfId="4681"/>
    <cellStyle name="Обычный 10 4 3 3 2" xfId="4682"/>
    <cellStyle name="Обычный 10 4 3 3 2 2" xfId="4683"/>
    <cellStyle name="Обычный 10 4 3 3 2 2 2" xfId="4684"/>
    <cellStyle name="Обычный 10 4 3 3 2 2 2 2" xfId="4685"/>
    <cellStyle name="Обычный 10 4 3 3 2 2 2 3" xfId="4686"/>
    <cellStyle name="Обычный 10 4 3 3 2 2 3" xfId="4687"/>
    <cellStyle name="Обычный 10 4 3 3 2 2 3 2" xfId="4688"/>
    <cellStyle name="Обычный 10 4 3 3 2 2 3 3" xfId="4689"/>
    <cellStyle name="Обычный 10 4 3 3 2 2 4" xfId="4690"/>
    <cellStyle name="Обычный 10 4 3 3 2 2 4 2" xfId="4691"/>
    <cellStyle name="Обычный 10 4 3 3 2 2 5" xfId="4692"/>
    <cellStyle name="Обычный 10 4 3 3 2 2 6" xfId="4693"/>
    <cellStyle name="Обычный 10 4 3 3 2 3" xfId="4694"/>
    <cellStyle name="Обычный 10 4 3 3 2 3 2" xfId="4695"/>
    <cellStyle name="Обычный 10 4 3 3 2 3 3" xfId="4696"/>
    <cellStyle name="Обычный 10 4 3 3 2 4" xfId="4697"/>
    <cellStyle name="Обычный 10 4 3 3 2 4 2" xfId="4698"/>
    <cellStyle name="Обычный 10 4 3 3 2 4 3" xfId="4699"/>
    <cellStyle name="Обычный 10 4 3 3 2 5" xfId="4700"/>
    <cellStyle name="Обычный 10 4 3 3 2 5 2" xfId="4701"/>
    <cellStyle name="Обычный 10 4 3 3 2 6" xfId="4702"/>
    <cellStyle name="Обычный 10 4 3 3 2 7" xfId="4703"/>
    <cellStyle name="Обычный 10 4 3 3 3" xfId="4704"/>
    <cellStyle name="Обычный 10 4 3 3 3 2" xfId="4705"/>
    <cellStyle name="Обычный 10 4 3 3 3 2 2" xfId="4706"/>
    <cellStyle name="Обычный 10 4 3 3 3 2 3" xfId="4707"/>
    <cellStyle name="Обычный 10 4 3 3 3 3" xfId="4708"/>
    <cellStyle name="Обычный 10 4 3 3 3 3 2" xfId="4709"/>
    <cellStyle name="Обычный 10 4 3 3 3 3 3" xfId="4710"/>
    <cellStyle name="Обычный 10 4 3 3 3 4" xfId="4711"/>
    <cellStyle name="Обычный 10 4 3 3 3 4 2" xfId="4712"/>
    <cellStyle name="Обычный 10 4 3 3 3 5" xfId="4713"/>
    <cellStyle name="Обычный 10 4 3 3 3 6" xfId="4714"/>
    <cellStyle name="Обычный 10 4 3 3 4" xfId="4715"/>
    <cellStyle name="Обычный 10 4 3 3 4 2" xfId="4716"/>
    <cellStyle name="Обычный 10 4 3 3 4 3" xfId="4717"/>
    <cellStyle name="Обычный 10 4 3 3 5" xfId="4718"/>
    <cellStyle name="Обычный 10 4 3 3 5 2" xfId="4719"/>
    <cellStyle name="Обычный 10 4 3 3 5 3" xfId="4720"/>
    <cellStyle name="Обычный 10 4 3 3 6" xfId="4721"/>
    <cellStyle name="Обычный 10 4 3 3 6 2" xfId="4722"/>
    <cellStyle name="Обычный 10 4 3 3 7" xfId="4723"/>
    <cellStyle name="Обычный 10 4 3 3 8" xfId="4724"/>
    <cellStyle name="Обычный 10 4 3 4" xfId="4725"/>
    <cellStyle name="Обычный 10 4 3 4 2" xfId="4726"/>
    <cellStyle name="Обычный 10 4 3 4 2 2" xfId="4727"/>
    <cellStyle name="Обычный 10 4 3 4 2 2 2" xfId="4728"/>
    <cellStyle name="Обычный 10 4 3 4 2 2 3" xfId="4729"/>
    <cellStyle name="Обычный 10 4 3 4 2 3" xfId="4730"/>
    <cellStyle name="Обычный 10 4 3 4 2 3 2" xfId="4731"/>
    <cellStyle name="Обычный 10 4 3 4 2 3 3" xfId="4732"/>
    <cellStyle name="Обычный 10 4 3 4 2 4" xfId="4733"/>
    <cellStyle name="Обычный 10 4 3 4 2 4 2" xfId="4734"/>
    <cellStyle name="Обычный 10 4 3 4 2 5" xfId="4735"/>
    <cellStyle name="Обычный 10 4 3 4 2 6" xfId="4736"/>
    <cellStyle name="Обычный 10 4 3 4 3" xfId="4737"/>
    <cellStyle name="Обычный 10 4 3 4 3 2" xfId="4738"/>
    <cellStyle name="Обычный 10 4 3 4 3 3" xfId="4739"/>
    <cellStyle name="Обычный 10 4 3 4 4" xfId="4740"/>
    <cellStyle name="Обычный 10 4 3 4 4 2" xfId="4741"/>
    <cellStyle name="Обычный 10 4 3 4 4 3" xfId="4742"/>
    <cellStyle name="Обычный 10 4 3 4 5" xfId="4743"/>
    <cellStyle name="Обычный 10 4 3 4 5 2" xfId="4744"/>
    <cellStyle name="Обычный 10 4 3 4 6" xfId="4745"/>
    <cellStyle name="Обычный 10 4 3 4 7" xfId="4746"/>
    <cellStyle name="Обычный 10 4 3 5" xfId="4747"/>
    <cellStyle name="Обычный 10 4 3 5 2" xfId="4748"/>
    <cellStyle name="Обычный 10 4 3 5 2 2" xfId="4749"/>
    <cellStyle name="Обычный 10 4 3 5 2 3" xfId="4750"/>
    <cellStyle name="Обычный 10 4 3 5 3" xfId="4751"/>
    <cellStyle name="Обычный 10 4 3 5 3 2" xfId="4752"/>
    <cellStyle name="Обычный 10 4 3 5 3 3" xfId="4753"/>
    <cellStyle name="Обычный 10 4 3 5 4" xfId="4754"/>
    <cellStyle name="Обычный 10 4 3 5 4 2" xfId="4755"/>
    <cellStyle name="Обычный 10 4 3 5 5" xfId="4756"/>
    <cellStyle name="Обычный 10 4 3 5 6" xfId="4757"/>
    <cellStyle name="Обычный 10 4 3 6" xfId="4758"/>
    <cellStyle name="Обычный 10 4 3 6 2" xfId="4759"/>
    <cellStyle name="Обычный 10 4 3 6 3" xfId="4760"/>
    <cellStyle name="Обычный 10 4 3 7" xfId="4761"/>
    <cellStyle name="Обычный 10 4 3 7 2" xfId="4762"/>
    <cellStyle name="Обычный 10 4 3 7 3" xfId="4763"/>
    <cellStyle name="Обычный 10 4 3 8" xfId="4764"/>
    <cellStyle name="Обычный 10 4 3 8 2" xfId="4765"/>
    <cellStyle name="Обычный 10 4 3 9" xfId="4766"/>
    <cellStyle name="Обычный 10 4 4" xfId="4767"/>
    <cellStyle name="Обычный 10 4 4 10" xfId="4768"/>
    <cellStyle name="Обычный 10 4 4 2" xfId="4769"/>
    <cellStyle name="Обычный 10 4 4 2 2" xfId="4770"/>
    <cellStyle name="Обычный 10 4 4 2 2 2" xfId="4771"/>
    <cellStyle name="Обычный 10 4 4 2 2 2 2" xfId="4772"/>
    <cellStyle name="Обычный 10 4 4 2 2 2 2 2" xfId="4773"/>
    <cellStyle name="Обычный 10 4 4 2 2 2 2 2 2" xfId="4774"/>
    <cellStyle name="Обычный 10 4 4 2 2 2 2 2 3" xfId="4775"/>
    <cellStyle name="Обычный 10 4 4 2 2 2 2 3" xfId="4776"/>
    <cellStyle name="Обычный 10 4 4 2 2 2 2 3 2" xfId="4777"/>
    <cellStyle name="Обычный 10 4 4 2 2 2 2 3 3" xfId="4778"/>
    <cellStyle name="Обычный 10 4 4 2 2 2 2 4" xfId="4779"/>
    <cellStyle name="Обычный 10 4 4 2 2 2 2 4 2" xfId="4780"/>
    <cellStyle name="Обычный 10 4 4 2 2 2 2 5" xfId="4781"/>
    <cellStyle name="Обычный 10 4 4 2 2 2 2 6" xfId="4782"/>
    <cellStyle name="Обычный 10 4 4 2 2 2 3" xfId="4783"/>
    <cellStyle name="Обычный 10 4 4 2 2 2 3 2" xfId="4784"/>
    <cellStyle name="Обычный 10 4 4 2 2 2 3 3" xfId="4785"/>
    <cellStyle name="Обычный 10 4 4 2 2 2 4" xfId="4786"/>
    <cellStyle name="Обычный 10 4 4 2 2 2 4 2" xfId="4787"/>
    <cellStyle name="Обычный 10 4 4 2 2 2 4 3" xfId="4788"/>
    <cellStyle name="Обычный 10 4 4 2 2 2 5" xfId="4789"/>
    <cellStyle name="Обычный 10 4 4 2 2 2 5 2" xfId="4790"/>
    <cellStyle name="Обычный 10 4 4 2 2 2 6" xfId="4791"/>
    <cellStyle name="Обычный 10 4 4 2 2 2 7" xfId="4792"/>
    <cellStyle name="Обычный 10 4 4 2 2 3" xfId="4793"/>
    <cellStyle name="Обычный 10 4 4 2 2 3 2" xfId="4794"/>
    <cellStyle name="Обычный 10 4 4 2 2 3 2 2" xfId="4795"/>
    <cellStyle name="Обычный 10 4 4 2 2 3 2 3" xfId="4796"/>
    <cellStyle name="Обычный 10 4 4 2 2 3 3" xfId="4797"/>
    <cellStyle name="Обычный 10 4 4 2 2 3 3 2" xfId="4798"/>
    <cellStyle name="Обычный 10 4 4 2 2 3 3 3" xfId="4799"/>
    <cellStyle name="Обычный 10 4 4 2 2 3 4" xfId="4800"/>
    <cellStyle name="Обычный 10 4 4 2 2 3 4 2" xfId="4801"/>
    <cellStyle name="Обычный 10 4 4 2 2 3 5" xfId="4802"/>
    <cellStyle name="Обычный 10 4 4 2 2 3 6" xfId="4803"/>
    <cellStyle name="Обычный 10 4 4 2 2 4" xfId="4804"/>
    <cellStyle name="Обычный 10 4 4 2 2 4 2" xfId="4805"/>
    <cellStyle name="Обычный 10 4 4 2 2 4 3" xfId="4806"/>
    <cellStyle name="Обычный 10 4 4 2 2 5" xfId="4807"/>
    <cellStyle name="Обычный 10 4 4 2 2 5 2" xfId="4808"/>
    <cellStyle name="Обычный 10 4 4 2 2 5 3" xfId="4809"/>
    <cellStyle name="Обычный 10 4 4 2 2 6" xfId="4810"/>
    <cellStyle name="Обычный 10 4 4 2 2 6 2" xfId="4811"/>
    <cellStyle name="Обычный 10 4 4 2 2 7" xfId="4812"/>
    <cellStyle name="Обычный 10 4 4 2 2 8" xfId="4813"/>
    <cellStyle name="Обычный 10 4 4 2 3" xfId="4814"/>
    <cellStyle name="Обычный 10 4 4 2 3 2" xfId="4815"/>
    <cellStyle name="Обычный 10 4 4 2 3 2 2" xfId="4816"/>
    <cellStyle name="Обычный 10 4 4 2 3 2 2 2" xfId="4817"/>
    <cellStyle name="Обычный 10 4 4 2 3 2 2 3" xfId="4818"/>
    <cellStyle name="Обычный 10 4 4 2 3 2 3" xfId="4819"/>
    <cellStyle name="Обычный 10 4 4 2 3 2 3 2" xfId="4820"/>
    <cellStyle name="Обычный 10 4 4 2 3 2 3 3" xfId="4821"/>
    <cellStyle name="Обычный 10 4 4 2 3 2 4" xfId="4822"/>
    <cellStyle name="Обычный 10 4 4 2 3 2 4 2" xfId="4823"/>
    <cellStyle name="Обычный 10 4 4 2 3 2 5" xfId="4824"/>
    <cellStyle name="Обычный 10 4 4 2 3 2 6" xfId="4825"/>
    <cellStyle name="Обычный 10 4 4 2 3 3" xfId="4826"/>
    <cellStyle name="Обычный 10 4 4 2 3 3 2" xfId="4827"/>
    <cellStyle name="Обычный 10 4 4 2 3 3 3" xfId="4828"/>
    <cellStyle name="Обычный 10 4 4 2 3 4" xfId="4829"/>
    <cellStyle name="Обычный 10 4 4 2 3 4 2" xfId="4830"/>
    <cellStyle name="Обычный 10 4 4 2 3 4 3" xfId="4831"/>
    <cellStyle name="Обычный 10 4 4 2 3 5" xfId="4832"/>
    <cellStyle name="Обычный 10 4 4 2 3 5 2" xfId="4833"/>
    <cellStyle name="Обычный 10 4 4 2 3 6" xfId="4834"/>
    <cellStyle name="Обычный 10 4 4 2 3 7" xfId="4835"/>
    <cellStyle name="Обычный 10 4 4 2 4" xfId="4836"/>
    <cellStyle name="Обычный 10 4 4 2 4 2" xfId="4837"/>
    <cellStyle name="Обычный 10 4 4 2 4 2 2" xfId="4838"/>
    <cellStyle name="Обычный 10 4 4 2 4 2 3" xfId="4839"/>
    <cellStyle name="Обычный 10 4 4 2 4 3" xfId="4840"/>
    <cellStyle name="Обычный 10 4 4 2 4 3 2" xfId="4841"/>
    <cellStyle name="Обычный 10 4 4 2 4 3 3" xfId="4842"/>
    <cellStyle name="Обычный 10 4 4 2 4 4" xfId="4843"/>
    <cellStyle name="Обычный 10 4 4 2 4 4 2" xfId="4844"/>
    <cellStyle name="Обычный 10 4 4 2 4 5" xfId="4845"/>
    <cellStyle name="Обычный 10 4 4 2 4 6" xfId="4846"/>
    <cellStyle name="Обычный 10 4 4 2 5" xfId="4847"/>
    <cellStyle name="Обычный 10 4 4 2 5 2" xfId="4848"/>
    <cellStyle name="Обычный 10 4 4 2 5 3" xfId="4849"/>
    <cellStyle name="Обычный 10 4 4 2 6" xfId="4850"/>
    <cellStyle name="Обычный 10 4 4 2 6 2" xfId="4851"/>
    <cellStyle name="Обычный 10 4 4 2 6 3" xfId="4852"/>
    <cellStyle name="Обычный 10 4 4 2 7" xfId="4853"/>
    <cellStyle name="Обычный 10 4 4 2 7 2" xfId="4854"/>
    <cellStyle name="Обычный 10 4 4 2 8" xfId="4855"/>
    <cellStyle name="Обычный 10 4 4 2 9" xfId="4856"/>
    <cellStyle name="Обычный 10 4 4 3" xfId="4857"/>
    <cellStyle name="Обычный 10 4 4 3 2" xfId="4858"/>
    <cellStyle name="Обычный 10 4 4 3 2 2" xfId="4859"/>
    <cellStyle name="Обычный 10 4 4 3 2 2 2" xfId="4860"/>
    <cellStyle name="Обычный 10 4 4 3 2 2 2 2" xfId="4861"/>
    <cellStyle name="Обычный 10 4 4 3 2 2 2 3" xfId="4862"/>
    <cellStyle name="Обычный 10 4 4 3 2 2 3" xfId="4863"/>
    <cellStyle name="Обычный 10 4 4 3 2 2 3 2" xfId="4864"/>
    <cellStyle name="Обычный 10 4 4 3 2 2 3 3" xfId="4865"/>
    <cellStyle name="Обычный 10 4 4 3 2 2 4" xfId="4866"/>
    <cellStyle name="Обычный 10 4 4 3 2 2 4 2" xfId="4867"/>
    <cellStyle name="Обычный 10 4 4 3 2 2 5" xfId="4868"/>
    <cellStyle name="Обычный 10 4 4 3 2 2 6" xfId="4869"/>
    <cellStyle name="Обычный 10 4 4 3 2 3" xfId="4870"/>
    <cellStyle name="Обычный 10 4 4 3 2 3 2" xfId="4871"/>
    <cellStyle name="Обычный 10 4 4 3 2 3 3" xfId="4872"/>
    <cellStyle name="Обычный 10 4 4 3 2 4" xfId="4873"/>
    <cellStyle name="Обычный 10 4 4 3 2 4 2" xfId="4874"/>
    <cellStyle name="Обычный 10 4 4 3 2 4 3" xfId="4875"/>
    <cellStyle name="Обычный 10 4 4 3 2 5" xfId="4876"/>
    <cellStyle name="Обычный 10 4 4 3 2 5 2" xfId="4877"/>
    <cellStyle name="Обычный 10 4 4 3 2 6" xfId="4878"/>
    <cellStyle name="Обычный 10 4 4 3 2 7" xfId="4879"/>
    <cellStyle name="Обычный 10 4 4 3 3" xfId="4880"/>
    <cellStyle name="Обычный 10 4 4 3 3 2" xfId="4881"/>
    <cellStyle name="Обычный 10 4 4 3 3 2 2" xfId="4882"/>
    <cellStyle name="Обычный 10 4 4 3 3 2 3" xfId="4883"/>
    <cellStyle name="Обычный 10 4 4 3 3 3" xfId="4884"/>
    <cellStyle name="Обычный 10 4 4 3 3 3 2" xfId="4885"/>
    <cellStyle name="Обычный 10 4 4 3 3 3 3" xfId="4886"/>
    <cellStyle name="Обычный 10 4 4 3 3 4" xfId="4887"/>
    <cellStyle name="Обычный 10 4 4 3 3 4 2" xfId="4888"/>
    <cellStyle name="Обычный 10 4 4 3 3 5" xfId="4889"/>
    <cellStyle name="Обычный 10 4 4 3 3 6" xfId="4890"/>
    <cellStyle name="Обычный 10 4 4 3 4" xfId="4891"/>
    <cellStyle name="Обычный 10 4 4 3 4 2" xfId="4892"/>
    <cellStyle name="Обычный 10 4 4 3 4 3" xfId="4893"/>
    <cellStyle name="Обычный 10 4 4 3 5" xfId="4894"/>
    <cellStyle name="Обычный 10 4 4 3 5 2" xfId="4895"/>
    <cellStyle name="Обычный 10 4 4 3 5 3" xfId="4896"/>
    <cellStyle name="Обычный 10 4 4 3 6" xfId="4897"/>
    <cellStyle name="Обычный 10 4 4 3 6 2" xfId="4898"/>
    <cellStyle name="Обычный 10 4 4 3 7" xfId="4899"/>
    <cellStyle name="Обычный 10 4 4 3 8" xfId="4900"/>
    <cellStyle name="Обычный 10 4 4 4" xfId="4901"/>
    <cellStyle name="Обычный 10 4 4 4 2" xfId="4902"/>
    <cellStyle name="Обычный 10 4 4 4 2 2" xfId="4903"/>
    <cellStyle name="Обычный 10 4 4 4 2 2 2" xfId="4904"/>
    <cellStyle name="Обычный 10 4 4 4 2 2 3" xfId="4905"/>
    <cellStyle name="Обычный 10 4 4 4 2 3" xfId="4906"/>
    <cellStyle name="Обычный 10 4 4 4 2 3 2" xfId="4907"/>
    <cellStyle name="Обычный 10 4 4 4 2 3 3" xfId="4908"/>
    <cellStyle name="Обычный 10 4 4 4 2 4" xfId="4909"/>
    <cellStyle name="Обычный 10 4 4 4 2 4 2" xfId="4910"/>
    <cellStyle name="Обычный 10 4 4 4 2 5" xfId="4911"/>
    <cellStyle name="Обычный 10 4 4 4 2 6" xfId="4912"/>
    <cellStyle name="Обычный 10 4 4 4 3" xfId="4913"/>
    <cellStyle name="Обычный 10 4 4 4 3 2" xfId="4914"/>
    <cellStyle name="Обычный 10 4 4 4 3 3" xfId="4915"/>
    <cellStyle name="Обычный 10 4 4 4 4" xfId="4916"/>
    <cellStyle name="Обычный 10 4 4 4 4 2" xfId="4917"/>
    <cellStyle name="Обычный 10 4 4 4 4 3" xfId="4918"/>
    <cellStyle name="Обычный 10 4 4 4 5" xfId="4919"/>
    <cellStyle name="Обычный 10 4 4 4 5 2" xfId="4920"/>
    <cellStyle name="Обычный 10 4 4 4 6" xfId="4921"/>
    <cellStyle name="Обычный 10 4 4 4 7" xfId="4922"/>
    <cellStyle name="Обычный 10 4 4 5" xfId="4923"/>
    <cellStyle name="Обычный 10 4 4 5 2" xfId="4924"/>
    <cellStyle name="Обычный 10 4 4 5 2 2" xfId="4925"/>
    <cellStyle name="Обычный 10 4 4 5 2 3" xfId="4926"/>
    <cellStyle name="Обычный 10 4 4 5 3" xfId="4927"/>
    <cellStyle name="Обычный 10 4 4 5 3 2" xfId="4928"/>
    <cellStyle name="Обычный 10 4 4 5 3 3" xfId="4929"/>
    <cellStyle name="Обычный 10 4 4 5 4" xfId="4930"/>
    <cellStyle name="Обычный 10 4 4 5 4 2" xfId="4931"/>
    <cellStyle name="Обычный 10 4 4 5 5" xfId="4932"/>
    <cellStyle name="Обычный 10 4 4 5 6" xfId="4933"/>
    <cellStyle name="Обычный 10 4 4 6" xfId="4934"/>
    <cellStyle name="Обычный 10 4 4 6 2" xfId="4935"/>
    <cellStyle name="Обычный 10 4 4 6 3" xfId="4936"/>
    <cellStyle name="Обычный 10 4 4 7" xfId="4937"/>
    <cellStyle name="Обычный 10 4 4 7 2" xfId="4938"/>
    <cellStyle name="Обычный 10 4 4 7 3" xfId="4939"/>
    <cellStyle name="Обычный 10 4 4 8" xfId="4940"/>
    <cellStyle name="Обычный 10 4 4 8 2" xfId="4941"/>
    <cellStyle name="Обычный 10 4 4 9" xfId="4942"/>
    <cellStyle name="Обычный 10 4 5" xfId="4943"/>
    <cellStyle name="Обычный 10 4 5 10" xfId="4944"/>
    <cellStyle name="Обычный 10 4 5 2" xfId="4945"/>
    <cellStyle name="Обычный 10 4 5 2 2" xfId="4946"/>
    <cellStyle name="Обычный 10 4 5 2 2 2" xfId="4947"/>
    <cellStyle name="Обычный 10 4 5 2 2 2 2" xfId="4948"/>
    <cellStyle name="Обычный 10 4 5 2 2 2 2 2" xfId="4949"/>
    <cellStyle name="Обычный 10 4 5 2 2 2 2 2 2" xfId="4950"/>
    <cellStyle name="Обычный 10 4 5 2 2 2 2 2 3" xfId="4951"/>
    <cellStyle name="Обычный 10 4 5 2 2 2 2 3" xfId="4952"/>
    <cellStyle name="Обычный 10 4 5 2 2 2 2 3 2" xfId="4953"/>
    <cellStyle name="Обычный 10 4 5 2 2 2 2 3 3" xfId="4954"/>
    <cellStyle name="Обычный 10 4 5 2 2 2 2 4" xfId="4955"/>
    <cellStyle name="Обычный 10 4 5 2 2 2 2 4 2" xfId="4956"/>
    <cellStyle name="Обычный 10 4 5 2 2 2 2 5" xfId="4957"/>
    <cellStyle name="Обычный 10 4 5 2 2 2 2 6" xfId="4958"/>
    <cellStyle name="Обычный 10 4 5 2 2 2 3" xfId="4959"/>
    <cellStyle name="Обычный 10 4 5 2 2 2 3 2" xfId="4960"/>
    <cellStyle name="Обычный 10 4 5 2 2 2 3 3" xfId="4961"/>
    <cellStyle name="Обычный 10 4 5 2 2 2 4" xfId="4962"/>
    <cellStyle name="Обычный 10 4 5 2 2 2 4 2" xfId="4963"/>
    <cellStyle name="Обычный 10 4 5 2 2 2 4 3" xfId="4964"/>
    <cellStyle name="Обычный 10 4 5 2 2 2 5" xfId="4965"/>
    <cellStyle name="Обычный 10 4 5 2 2 2 5 2" xfId="4966"/>
    <cellStyle name="Обычный 10 4 5 2 2 2 6" xfId="4967"/>
    <cellStyle name="Обычный 10 4 5 2 2 2 7" xfId="4968"/>
    <cellStyle name="Обычный 10 4 5 2 2 3" xfId="4969"/>
    <cellStyle name="Обычный 10 4 5 2 2 3 2" xfId="4970"/>
    <cellStyle name="Обычный 10 4 5 2 2 3 2 2" xfId="4971"/>
    <cellStyle name="Обычный 10 4 5 2 2 3 2 3" xfId="4972"/>
    <cellStyle name="Обычный 10 4 5 2 2 3 3" xfId="4973"/>
    <cellStyle name="Обычный 10 4 5 2 2 3 3 2" xfId="4974"/>
    <cellStyle name="Обычный 10 4 5 2 2 3 3 3" xfId="4975"/>
    <cellStyle name="Обычный 10 4 5 2 2 3 4" xfId="4976"/>
    <cellStyle name="Обычный 10 4 5 2 2 3 4 2" xfId="4977"/>
    <cellStyle name="Обычный 10 4 5 2 2 3 5" xfId="4978"/>
    <cellStyle name="Обычный 10 4 5 2 2 3 6" xfId="4979"/>
    <cellStyle name="Обычный 10 4 5 2 2 4" xfId="4980"/>
    <cellStyle name="Обычный 10 4 5 2 2 4 2" xfId="4981"/>
    <cellStyle name="Обычный 10 4 5 2 2 4 3" xfId="4982"/>
    <cellStyle name="Обычный 10 4 5 2 2 5" xfId="4983"/>
    <cellStyle name="Обычный 10 4 5 2 2 5 2" xfId="4984"/>
    <cellStyle name="Обычный 10 4 5 2 2 5 3" xfId="4985"/>
    <cellStyle name="Обычный 10 4 5 2 2 6" xfId="4986"/>
    <cellStyle name="Обычный 10 4 5 2 2 6 2" xfId="4987"/>
    <cellStyle name="Обычный 10 4 5 2 2 7" xfId="4988"/>
    <cellStyle name="Обычный 10 4 5 2 2 8" xfId="4989"/>
    <cellStyle name="Обычный 10 4 5 2 3" xfId="4990"/>
    <cellStyle name="Обычный 10 4 5 2 3 2" xfId="4991"/>
    <cellStyle name="Обычный 10 4 5 2 3 2 2" xfId="4992"/>
    <cellStyle name="Обычный 10 4 5 2 3 2 2 2" xfId="4993"/>
    <cellStyle name="Обычный 10 4 5 2 3 2 2 3" xfId="4994"/>
    <cellStyle name="Обычный 10 4 5 2 3 2 3" xfId="4995"/>
    <cellStyle name="Обычный 10 4 5 2 3 2 3 2" xfId="4996"/>
    <cellStyle name="Обычный 10 4 5 2 3 2 3 3" xfId="4997"/>
    <cellStyle name="Обычный 10 4 5 2 3 2 4" xfId="4998"/>
    <cellStyle name="Обычный 10 4 5 2 3 2 4 2" xfId="4999"/>
    <cellStyle name="Обычный 10 4 5 2 3 2 5" xfId="5000"/>
    <cellStyle name="Обычный 10 4 5 2 3 2 6" xfId="5001"/>
    <cellStyle name="Обычный 10 4 5 2 3 3" xfId="5002"/>
    <cellStyle name="Обычный 10 4 5 2 3 3 2" xfId="5003"/>
    <cellStyle name="Обычный 10 4 5 2 3 3 3" xfId="5004"/>
    <cellStyle name="Обычный 10 4 5 2 3 4" xfId="5005"/>
    <cellStyle name="Обычный 10 4 5 2 3 4 2" xfId="5006"/>
    <cellStyle name="Обычный 10 4 5 2 3 4 3" xfId="5007"/>
    <cellStyle name="Обычный 10 4 5 2 3 5" xfId="5008"/>
    <cellStyle name="Обычный 10 4 5 2 3 5 2" xfId="5009"/>
    <cellStyle name="Обычный 10 4 5 2 3 6" xfId="5010"/>
    <cellStyle name="Обычный 10 4 5 2 3 7" xfId="5011"/>
    <cellStyle name="Обычный 10 4 5 2 4" xfId="5012"/>
    <cellStyle name="Обычный 10 4 5 2 4 2" xfId="5013"/>
    <cellStyle name="Обычный 10 4 5 2 4 2 2" xfId="5014"/>
    <cellStyle name="Обычный 10 4 5 2 4 2 3" xfId="5015"/>
    <cellStyle name="Обычный 10 4 5 2 4 3" xfId="5016"/>
    <cellStyle name="Обычный 10 4 5 2 4 3 2" xfId="5017"/>
    <cellStyle name="Обычный 10 4 5 2 4 3 3" xfId="5018"/>
    <cellStyle name="Обычный 10 4 5 2 4 4" xfId="5019"/>
    <cellStyle name="Обычный 10 4 5 2 4 4 2" xfId="5020"/>
    <cellStyle name="Обычный 10 4 5 2 4 5" xfId="5021"/>
    <cellStyle name="Обычный 10 4 5 2 4 6" xfId="5022"/>
    <cellStyle name="Обычный 10 4 5 2 5" xfId="5023"/>
    <cellStyle name="Обычный 10 4 5 2 5 2" xfId="5024"/>
    <cellStyle name="Обычный 10 4 5 2 5 3" xfId="5025"/>
    <cellStyle name="Обычный 10 4 5 2 6" xfId="5026"/>
    <cellStyle name="Обычный 10 4 5 2 6 2" xfId="5027"/>
    <cellStyle name="Обычный 10 4 5 2 6 3" xfId="5028"/>
    <cellStyle name="Обычный 10 4 5 2 7" xfId="5029"/>
    <cellStyle name="Обычный 10 4 5 2 7 2" xfId="5030"/>
    <cellStyle name="Обычный 10 4 5 2 8" xfId="5031"/>
    <cellStyle name="Обычный 10 4 5 2 9" xfId="5032"/>
    <cellStyle name="Обычный 10 4 5 3" xfId="5033"/>
    <cellStyle name="Обычный 10 4 5 3 2" xfId="5034"/>
    <cellStyle name="Обычный 10 4 5 3 2 2" xfId="5035"/>
    <cellStyle name="Обычный 10 4 5 3 2 2 2" xfId="5036"/>
    <cellStyle name="Обычный 10 4 5 3 2 2 2 2" xfId="5037"/>
    <cellStyle name="Обычный 10 4 5 3 2 2 2 3" xfId="5038"/>
    <cellStyle name="Обычный 10 4 5 3 2 2 3" xfId="5039"/>
    <cellStyle name="Обычный 10 4 5 3 2 2 3 2" xfId="5040"/>
    <cellStyle name="Обычный 10 4 5 3 2 2 3 3" xfId="5041"/>
    <cellStyle name="Обычный 10 4 5 3 2 2 4" xfId="5042"/>
    <cellStyle name="Обычный 10 4 5 3 2 2 4 2" xfId="5043"/>
    <cellStyle name="Обычный 10 4 5 3 2 2 5" xfId="5044"/>
    <cellStyle name="Обычный 10 4 5 3 2 2 6" xfId="5045"/>
    <cellStyle name="Обычный 10 4 5 3 2 3" xfId="5046"/>
    <cellStyle name="Обычный 10 4 5 3 2 3 2" xfId="5047"/>
    <cellStyle name="Обычный 10 4 5 3 2 3 3" xfId="5048"/>
    <cellStyle name="Обычный 10 4 5 3 2 4" xfId="5049"/>
    <cellStyle name="Обычный 10 4 5 3 2 4 2" xfId="5050"/>
    <cellStyle name="Обычный 10 4 5 3 2 4 3" xfId="5051"/>
    <cellStyle name="Обычный 10 4 5 3 2 5" xfId="5052"/>
    <cellStyle name="Обычный 10 4 5 3 2 5 2" xfId="5053"/>
    <cellStyle name="Обычный 10 4 5 3 2 6" xfId="5054"/>
    <cellStyle name="Обычный 10 4 5 3 2 7" xfId="5055"/>
    <cellStyle name="Обычный 10 4 5 3 3" xfId="5056"/>
    <cellStyle name="Обычный 10 4 5 3 3 2" xfId="5057"/>
    <cellStyle name="Обычный 10 4 5 3 3 2 2" xfId="5058"/>
    <cellStyle name="Обычный 10 4 5 3 3 2 3" xfId="5059"/>
    <cellStyle name="Обычный 10 4 5 3 3 3" xfId="5060"/>
    <cellStyle name="Обычный 10 4 5 3 3 3 2" xfId="5061"/>
    <cellStyle name="Обычный 10 4 5 3 3 3 3" xfId="5062"/>
    <cellStyle name="Обычный 10 4 5 3 3 4" xfId="5063"/>
    <cellStyle name="Обычный 10 4 5 3 3 4 2" xfId="5064"/>
    <cellStyle name="Обычный 10 4 5 3 3 5" xfId="5065"/>
    <cellStyle name="Обычный 10 4 5 3 3 6" xfId="5066"/>
    <cellStyle name="Обычный 10 4 5 3 4" xfId="5067"/>
    <cellStyle name="Обычный 10 4 5 3 4 2" xfId="5068"/>
    <cellStyle name="Обычный 10 4 5 3 4 3" xfId="5069"/>
    <cellStyle name="Обычный 10 4 5 3 5" xfId="5070"/>
    <cellStyle name="Обычный 10 4 5 3 5 2" xfId="5071"/>
    <cellStyle name="Обычный 10 4 5 3 5 3" xfId="5072"/>
    <cellStyle name="Обычный 10 4 5 3 6" xfId="5073"/>
    <cellStyle name="Обычный 10 4 5 3 6 2" xfId="5074"/>
    <cellStyle name="Обычный 10 4 5 3 7" xfId="5075"/>
    <cellStyle name="Обычный 10 4 5 3 8" xfId="5076"/>
    <cellStyle name="Обычный 10 4 5 4" xfId="5077"/>
    <cellStyle name="Обычный 10 4 5 4 2" xfId="5078"/>
    <cellStyle name="Обычный 10 4 5 4 2 2" xfId="5079"/>
    <cellStyle name="Обычный 10 4 5 4 2 2 2" xfId="5080"/>
    <cellStyle name="Обычный 10 4 5 4 2 2 3" xfId="5081"/>
    <cellStyle name="Обычный 10 4 5 4 2 3" xfId="5082"/>
    <cellStyle name="Обычный 10 4 5 4 2 3 2" xfId="5083"/>
    <cellStyle name="Обычный 10 4 5 4 2 3 3" xfId="5084"/>
    <cellStyle name="Обычный 10 4 5 4 2 4" xfId="5085"/>
    <cellStyle name="Обычный 10 4 5 4 2 4 2" xfId="5086"/>
    <cellStyle name="Обычный 10 4 5 4 2 5" xfId="5087"/>
    <cellStyle name="Обычный 10 4 5 4 2 6" xfId="5088"/>
    <cellStyle name="Обычный 10 4 5 4 3" xfId="5089"/>
    <cellStyle name="Обычный 10 4 5 4 3 2" xfId="5090"/>
    <cellStyle name="Обычный 10 4 5 4 3 3" xfId="5091"/>
    <cellStyle name="Обычный 10 4 5 4 4" xfId="5092"/>
    <cellStyle name="Обычный 10 4 5 4 4 2" xfId="5093"/>
    <cellStyle name="Обычный 10 4 5 4 4 3" xfId="5094"/>
    <cellStyle name="Обычный 10 4 5 4 5" xfId="5095"/>
    <cellStyle name="Обычный 10 4 5 4 5 2" xfId="5096"/>
    <cellStyle name="Обычный 10 4 5 4 6" xfId="5097"/>
    <cellStyle name="Обычный 10 4 5 4 7" xfId="5098"/>
    <cellStyle name="Обычный 10 4 5 5" xfId="5099"/>
    <cellStyle name="Обычный 10 4 5 5 2" xfId="5100"/>
    <cellStyle name="Обычный 10 4 5 5 2 2" xfId="5101"/>
    <cellStyle name="Обычный 10 4 5 5 2 3" xfId="5102"/>
    <cellStyle name="Обычный 10 4 5 5 3" xfId="5103"/>
    <cellStyle name="Обычный 10 4 5 5 3 2" xfId="5104"/>
    <cellStyle name="Обычный 10 4 5 5 3 3" xfId="5105"/>
    <cellStyle name="Обычный 10 4 5 5 4" xfId="5106"/>
    <cellStyle name="Обычный 10 4 5 5 4 2" xfId="5107"/>
    <cellStyle name="Обычный 10 4 5 5 5" xfId="5108"/>
    <cellStyle name="Обычный 10 4 5 5 6" xfId="5109"/>
    <cellStyle name="Обычный 10 4 5 6" xfId="5110"/>
    <cellStyle name="Обычный 10 4 5 6 2" xfId="5111"/>
    <cellStyle name="Обычный 10 4 5 6 3" xfId="5112"/>
    <cellStyle name="Обычный 10 4 5 7" xfId="5113"/>
    <cellStyle name="Обычный 10 4 5 7 2" xfId="5114"/>
    <cellStyle name="Обычный 10 4 5 7 3" xfId="5115"/>
    <cellStyle name="Обычный 10 4 5 8" xfId="5116"/>
    <cellStyle name="Обычный 10 4 5 8 2" xfId="5117"/>
    <cellStyle name="Обычный 10 4 5 9" xfId="5118"/>
    <cellStyle name="Обычный 10 4 6" xfId="5119"/>
    <cellStyle name="Обычный 10 4 6 2" xfId="5120"/>
    <cellStyle name="Обычный 10 4 6 2 2" xfId="5121"/>
    <cellStyle name="Обычный 10 4 6 2 2 2" xfId="5122"/>
    <cellStyle name="Обычный 10 4 6 2 2 2 2" xfId="5123"/>
    <cellStyle name="Обычный 10 4 6 2 2 2 2 2" xfId="5124"/>
    <cellStyle name="Обычный 10 4 6 2 2 2 2 3" xfId="5125"/>
    <cellStyle name="Обычный 10 4 6 2 2 2 3" xfId="5126"/>
    <cellStyle name="Обычный 10 4 6 2 2 2 3 2" xfId="5127"/>
    <cellStyle name="Обычный 10 4 6 2 2 2 3 3" xfId="5128"/>
    <cellStyle name="Обычный 10 4 6 2 2 2 4" xfId="5129"/>
    <cellStyle name="Обычный 10 4 6 2 2 2 4 2" xfId="5130"/>
    <cellStyle name="Обычный 10 4 6 2 2 2 5" xfId="5131"/>
    <cellStyle name="Обычный 10 4 6 2 2 2 6" xfId="5132"/>
    <cellStyle name="Обычный 10 4 6 2 2 3" xfId="5133"/>
    <cellStyle name="Обычный 10 4 6 2 2 3 2" xfId="5134"/>
    <cellStyle name="Обычный 10 4 6 2 2 3 3" xfId="5135"/>
    <cellStyle name="Обычный 10 4 6 2 2 4" xfId="5136"/>
    <cellStyle name="Обычный 10 4 6 2 2 4 2" xfId="5137"/>
    <cellStyle name="Обычный 10 4 6 2 2 4 3" xfId="5138"/>
    <cellStyle name="Обычный 10 4 6 2 2 5" xfId="5139"/>
    <cellStyle name="Обычный 10 4 6 2 2 5 2" xfId="5140"/>
    <cellStyle name="Обычный 10 4 6 2 2 6" xfId="5141"/>
    <cellStyle name="Обычный 10 4 6 2 2 7" xfId="5142"/>
    <cellStyle name="Обычный 10 4 6 2 3" xfId="5143"/>
    <cellStyle name="Обычный 10 4 6 2 3 2" xfId="5144"/>
    <cellStyle name="Обычный 10 4 6 2 3 2 2" xfId="5145"/>
    <cellStyle name="Обычный 10 4 6 2 3 2 3" xfId="5146"/>
    <cellStyle name="Обычный 10 4 6 2 3 3" xfId="5147"/>
    <cellStyle name="Обычный 10 4 6 2 3 3 2" xfId="5148"/>
    <cellStyle name="Обычный 10 4 6 2 3 3 3" xfId="5149"/>
    <cellStyle name="Обычный 10 4 6 2 3 4" xfId="5150"/>
    <cellStyle name="Обычный 10 4 6 2 3 4 2" xfId="5151"/>
    <cellStyle name="Обычный 10 4 6 2 3 5" xfId="5152"/>
    <cellStyle name="Обычный 10 4 6 2 3 6" xfId="5153"/>
    <cellStyle name="Обычный 10 4 6 2 4" xfId="5154"/>
    <cellStyle name="Обычный 10 4 6 2 4 2" xfId="5155"/>
    <cellStyle name="Обычный 10 4 6 2 4 3" xfId="5156"/>
    <cellStyle name="Обычный 10 4 6 2 5" xfId="5157"/>
    <cellStyle name="Обычный 10 4 6 2 5 2" xfId="5158"/>
    <cellStyle name="Обычный 10 4 6 2 5 3" xfId="5159"/>
    <cellStyle name="Обычный 10 4 6 2 6" xfId="5160"/>
    <cellStyle name="Обычный 10 4 6 2 6 2" xfId="5161"/>
    <cellStyle name="Обычный 10 4 6 2 7" xfId="5162"/>
    <cellStyle name="Обычный 10 4 6 2 8" xfId="5163"/>
    <cellStyle name="Обычный 10 4 6 3" xfId="5164"/>
    <cellStyle name="Обычный 10 4 6 3 2" xfId="5165"/>
    <cellStyle name="Обычный 10 4 6 3 2 2" xfId="5166"/>
    <cellStyle name="Обычный 10 4 6 3 2 2 2" xfId="5167"/>
    <cellStyle name="Обычный 10 4 6 3 2 2 3" xfId="5168"/>
    <cellStyle name="Обычный 10 4 6 3 2 3" xfId="5169"/>
    <cellStyle name="Обычный 10 4 6 3 2 3 2" xfId="5170"/>
    <cellStyle name="Обычный 10 4 6 3 2 3 3" xfId="5171"/>
    <cellStyle name="Обычный 10 4 6 3 2 4" xfId="5172"/>
    <cellStyle name="Обычный 10 4 6 3 2 4 2" xfId="5173"/>
    <cellStyle name="Обычный 10 4 6 3 2 5" xfId="5174"/>
    <cellStyle name="Обычный 10 4 6 3 2 6" xfId="5175"/>
    <cellStyle name="Обычный 10 4 6 3 3" xfId="5176"/>
    <cellStyle name="Обычный 10 4 6 3 3 2" xfId="5177"/>
    <cellStyle name="Обычный 10 4 6 3 3 3" xfId="5178"/>
    <cellStyle name="Обычный 10 4 6 3 4" xfId="5179"/>
    <cellStyle name="Обычный 10 4 6 3 4 2" xfId="5180"/>
    <cellStyle name="Обычный 10 4 6 3 4 3" xfId="5181"/>
    <cellStyle name="Обычный 10 4 6 3 5" xfId="5182"/>
    <cellStyle name="Обычный 10 4 6 3 5 2" xfId="5183"/>
    <cellStyle name="Обычный 10 4 6 3 6" xfId="5184"/>
    <cellStyle name="Обычный 10 4 6 3 7" xfId="5185"/>
    <cellStyle name="Обычный 10 4 6 4" xfId="5186"/>
    <cellStyle name="Обычный 10 4 6 4 2" xfId="5187"/>
    <cellStyle name="Обычный 10 4 6 4 2 2" xfId="5188"/>
    <cellStyle name="Обычный 10 4 6 4 2 3" xfId="5189"/>
    <cellStyle name="Обычный 10 4 6 4 3" xfId="5190"/>
    <cellStyle name="Обычный 10 4 6 4 3 2" xfId="5191"/>
    <cellStyle name="Обычный 10 4 6 4 3 3" xfId="5192"/>
    <cellStyle name="Обычный 10 4 6 4 4" xfId="5193"/>
    <cellStyle name="Обычный 10 4 6 4 4 2" xfId="5194"/>
    <cellStyle name="Обычный 10 4 6 4 5" xfId="5195"/>
    <cellStyle name="Обычный 10 4 6 4 6" xfId="5196"/>
    <cellStyle name="Обычный 10 4 6 5" xfId="5197"/>
    <cellStyle name="Обычный 10 4 6 5 2" xfId="5198"/>
    <cellStyle name="Обычный 10 4 6 5 3" xfId="5199"/>
    <cellStyle name="Обычный 10 4 6 6" xfId="5200"/>
    <cellStyle name="Обычный 10 4 6 6 2" xfId="5201"/>
    <cellStyle name="Обычный 10 4 6 6 3" xfId="5202"/>
    <cellStyle name="Обычный 10 4 6 7" xfId="5203"/>
    <cellStyle name="Обычный 10 4 6 7 2" xfId="5204"/>
    <cellStyle name="Обычный 10 4 6 8" xfId="5205"/>
    <cellStyle name="Обычный 10 4 6 9" xfId="5206"/>
    <cellStyle name="Обычный 10 4 7" xfId="5207"/>
    <cellStyle name="Обычный 10 4 7 2" xfId="5208"/>
    <cellStyle name="Обычный 10 4 7 2 2" xfId="5209"/>
    <cellStyle name="Обычный 10 4 7 2 2 2" xfId="5210"/>
    <cellStyle name="Обычный 10 4 7 2 2 2 2" xfId="5211"/>
    <cellStyle name="Обычный 10 4 7 2 2 2 3" xfId="5212"/>
    <cellStyle name="Обычный 10 4 7 2 2 3" xfId="5213"/>
    <cellStyle name="Обычный 10 4 7 2 2 3 2" xfId="5214"/>
    <cellStyle name="Обычный 10 4 7 2 2 3 3" xfId="5215"/>
    <cellStyle name="Обычный 10 4 7 2 2 4" xfId="5216"/>
    <cellStyle name="Обычный 10 4 7 2 2 4 2" xfId="5217"/>
    <cellStyle name="Обычный 10 4 7 2 2 5" xfId="5218"/>
    <cellStyle name="Обычный 10 4 7 2 2 6" xfId="5219"/>
    <cellStyle name="Обычный 10 4 7 2 3" xfId="5220"/>
    <cellStyle name="Обычный 10 4 7 2 3 2" xfId="5221"/>
    <cellStyle name="Обычный 10 4 7 2 3 3" xfId="5222"/>
    <cellStyle name="Обычный 10 4 7 2 4" xfId="5223"/>
    <cellStyle name="Обычный 10 4 7 2 4 2" xfId="5224"/>
    <cellStyle name="Обычный 10 4 7 2 4 3" xfId="5225"/>
    <cellStyle name="Обычный 10 4 7 2 5" xfId="5226"/>
    <cellStyle name="Обычный 10 4 7 2 5 2" xfId="5227"/>
    <cellStyle name="Обычный 10 4 7 2 6" xfId="5228"/>
    <cellStyle name="Обычный 10 4 7 2 7" xfId="5229"/>
    <cellStyle name="Обычный 10 4 7 3" xfId="5230"/>
    <cellStyle name="Обычный 10 4 7 3 2" xfId="5231"/>
    <cellStyle name="Обычный 10 4 7 3 2 2" xfId="5232"/>
    <cellStyle name="Обычный 10 4 7 3 2 3" xfId="5233"/>
    <cellStyle name="Обычный 10 4 7 3 3" xfId="5234"/>
    <cellStyle name="Обычный 10 4 7 3 3 2" xfId="5235"/>
    <cellStyle name="Обычный 10 4 7 3 3 3" xfId="5236"/>
    <cellStyle name="Обычный 10 4 7 3 4" xfId="5237"/>
    <cellStyle name="Обычный 10 4 7 3 4 2" xfId="5238"/>
    <cellStyle name="Обычный 10 4 7 3 5" xfId="5239"/>
    <cellStyle name="Обычный 10 4 7 3 6" xfId="5240"/>
    <cellStyle name="Обычный 10 4 7 4" xfId="5241"/>
    <cellStyle name="Обычный 10 4 7 4 2" xfId="5242"/>
    <cellStyle name="Обычный 10 4 7 4 3" xfId="5243"/>
    <cellStyle name="Обычный 10 4 7 5" xfId="5244"/>
    <cellStyle name="Обычный 10 4 7 5 2" xfId="5245"/>
    <cellStyle name="Обычный 10 4 7 5 3" xfId="5246"/>
    <cellStyle name="Обычный 10 4 7 6" xfId="5247"/>
    <cellStyle name="Обычный 10 4 7 6 2" xfId="5248"/>
    <cellStyle name="Обычный 10 4 7 7" xfId="5249"/>
    <cellStyle name="Обычный 10 4 7 8" xfId="5250"/>
    <cellStyle name="Обычный 10 4 8" xfId="5251"/>
    <cellStyle name="Обычный 10 4 8 2" xfId="5252"/>
    <cellStyle name="Обычный 10 4 8 2 2" xfId="5253"/>
    <cellStyle name="Обычный 10 4 8 2 2 2" xfId="5254"/>
    <cellStyle name="Обычный 10 4 8 2 2 3" xfId="5255"/>
    <cellStyle name="Обычный 10 4 8 2 3" xfId="5256"/>
    <cellStyle name="Обычный 10 4 8 2 3 2" xfId="5257"/>
    <cellStyle name="Обычный 10 4 8 2 3 3" xfId="5258"/>
    <cellStyle name="Обычный 10 4 8 2 4" xfId="5259"/>
    <cellStyle name="Обычный 10 4 8 2 4 2" xfId="5260"/>
    <cellStyle name="Обычный 10 4 8 2 5" xfId="5261"/>
    <cellStyle name="Обычный 10 4 8 2 6" xfId="5262"/>
    <cellStyle name="Обычный 10 4 8 3" xfId="5263"/>
    <cellStyle name="Обычный 10 4 8 3 2" xfId="5264"/>
    <cellStyle name="Обычный 10 4 8 3 3" xfId="5265"/>
    <cellStyle name="Обычный 10 4 8 4" xfId="5266"/>
    <cellStyle name="Обычный 10 4 8 4 2" xfId="5267"/>
    <cellStyle name="Обычный 10 4 8 4 3" xfId="5268"/>
    <cellStyle name="Обычный 10 4 8 5" xfId="5269"/>
    <cellStyle name="Обычный 10 4 8 5 2" xfId="5270"/>
    <cellStyle name="Обычный 10 4 8 6" xfId="5271"/>
    <cellStyle name="Обычный 10 4 8 7" xfId="5272"/>
    <cellStyle name="Обычный 10 4 9" xfId="5273"/>
    <cellStyle name="Обычный 10 4 9 2" xfId="5274"/>
    <cellStyle name="Обычный 10 4 9 2 2" xfId="5275"/>
    <cellStyle name="Обычный 10 4 9 2 3" xfId="5276"/>
    <cellStyle name="Обычный 10 4 9 3" xfId="5277"/>
    <cellStyle name="Обычный 10 4 9 3 2" xfId="5278"/>
    <cellStyle name="Обычный 10 4 9 3 3" xfId="5279"/>
    <cellStyle name="Обычный 10 4 9 4" xfId="5280"/>
    <cellStyle name="Обычный 10 4 9 4 2" xfId="5281"/>
    <cellStyle name="Обычный 10 4 9 5" xfId="5282"/>
    <cellStyle name="Обычный 10 4 9 6" xfId="5283"/>
    <cellStyle name="Обычный 10 5" xfId="5284"/>
    <cellStyle name="Обычный 10 5 10" xfId="5285"/>
    <cellStyle name="Обычный 10 5 10 2" xfId="5286"/>
    <cellStyle name="Обычный 10 5 10 3" xfId="5287"/>
    <cellStyle name="Обычный 10 5 11" xfId="5288"/>
    <cellStyle name="Обычный 10 5 11 2" xfId="5289"/>
    <cellStyle name="Обычный 10 5 11 3" xfId="5290"/>
    <cellStyle name="Обычный 10 5 12" xfId="5291"/>
    <cellStyle name="Обычный 10 5 12 2" xfId="5292"/>
    <cellStyle name="Обычный 10 5 13" xfId="5293"/>
    <cellStyle name="Обычный 10 5 14" xfId="5294"/>
    <cellStyle name="Обычный 10 5 2" xfId="5295"/>
    <cellStyle name="Обычный 10 5 2 10" xfId="5296"/>
    <cellStyle name="Обычный 10 5 2 10 2" xfId="5297"/>
    <cellStyle name="Обычный 10 5 2 10 3" xfId="5298"/>
    <cellStyle name="Обычный 10 5 2 11" xfId="5299"/>
    <cellStyle name="Обычный 10 5 2 11 2" xfId="5300"/>
    <cellStyle name="Обычный 10 5 2 12" xfId="5301"/>
    <cellStyle name="Обычный 10 5 2 13" xfId="5302"/>
    <cellStyle name="Обычный 10 5 2 2" xfId="5303"/>
    <cellStyle name="Обычный 10 5 2 2 10" xfId="5304"/>
    <cellStyle name="Обычный 10 5 2 2 2" xfId="5305"/>
    <cellStyle name="Обычный 10 5 2 2 2 2" xfId="5306"/>
    <cellStyle name="Обычный 10 5 2 2 2 2 2" xfId="5307"/>
    <cellStyle name="Обычный 10 5 2 2 2 2 2 2" xfId="5308"/>
    <cellStyle name="Обычный 10 5 2 2 2 2 2 2 2" xfId="5309"/>
    <cellStyle name="Обычный 10 5 2 2 2 2 2 2 2 2" xfId="5310"/>
    <cellStyle name="Обычный 10 5 2 2 2 2 2 2 2 3" xfId="5311"/>
    <cellStyle name="Обычный 10 5 2 2 2 2 2 2 3" xfId="5312"/>
    <cellStyle name="Обычный 10 5 2 2 2 2 2 2 3 2" xfId="5313"/>
    <cellStyle name="Обычный 10 5 2 2 2 2 2 2 3 3" xfId="5314"/>
    <cellStyle name="Обычный 10 5 2 2 2 2 2 2 4" xfId="5315"/>
    <cellStyle name="Обычный 10 5 2 2 2 2 2 2 4 2" xfId="5316"/>
    <cellStyle name="Обычный 10 5 2 2 2 2 2 2 5" xfId="5317"/>
    <cellStyle name="Обычный 10 5 2 2 2 2 2 2 6" xfId="5318"/>
    <cellStyle name="Обычный 10 5 2 2 2 2 2 3" xfId="5319"/>
    <cellStyle name="Обычный 10 5 2 2 2 2 2 3 2" xfId="5320"/>
    <cellStyle name="Обычный 10 5 2 2 2 2 2 3 3" xfId="5321"/>
    <cellStyle name="Обычный 10 5 2 2 2 2 2 4" xfId="5322"/>
    <cellStyle name="Обычный 10 5 2 2 2 2 2 4 2" xfId="5323"/>
    <cellStyle name="Обычный 10 5 2 2 2 2 2 4 3" xfId="5324"/>
    <cellStyle name="Обычный 10 5 2 2 2 2 2 5" xfId="5325"/>
    <cellStyle name="Обычный 10 5 2 2 2 2 2 5 2" xfId="5326"/>
    <cellStyle name="Обычный 10 5 2 2 2 2 2 6" xfId="5327"/>
    <cellStyle name="Обычный 10 5 2 2 2 2 2 7" xfId="5328"/>
    <cellStyle name="Обычный 10 5 2 2 2 2 3" xfId="5329"/>
    <cellStyle name="Обычный 10 5 2 2 2 2 3 2" xfId="5330"/>
    <cellStyle name="Обычный 10 5 2 2 2 2 3 2 2" xfId="5331"/>
    <cellStyle name="Обычный 10 5 2 2 2 2 3 2 3" xfId="5332"/>
    <cellStyle name="Обычный 10 5 2 2 2 2 3 3" xfId="5333"/>
    <cellStyle name="Обычный 10 5 2 2 2 2 3 3 2" xfId="5334"/>
    <cellStyle name="Обычный 10 5 2 2 2 2 3 3 3" xfId="5335"/>
    <cellStyle name="Обычный 10 5 2 2 2 2 3 4" xfId="5336"/>
    <cellStyle name="Обычный 10 5 2 2 2 2 3 4 2" xfId="5337"/>
    <cellStyle name="Обычный 10 5 2 2 2 2 3 5" xfId="5338"/>
    <cellStyle name="Обычный 10 5 2 2 2 2 3 6" xfId="5339"/>
    <cellStyle name="Обычный 10 5 2 2 2 2 4" xfId="5340"/>
    <cellStyle name="Обычный 10 5 2 2 2 2 4 2" xfId="5341"/>
    <cellStyle name="Обычный 10 5 2 2 2 2 4 3" xfId="5342"/>
    <cellStyle name="Обычный 10 5 2 2 2 2 5" xfId="5343"/>
    <cellStyle name="Обычный 10 5 2 2 2 2 5 2" xfId="5344"/>
    <cellStyle name="Обычный 10 5 2 2 2 2 5 3" xfId="5345"/>
    <cellStyle name="Обычный 10 5 2 2 2 2 6" xfId="5346"/>
    <cellStyle name="Обычный 10 5 2 2 2 2 6 2" xfId="5347"/>
    <cellStyle name="Обычный 10 5 2 2 2 2 7" xfId="5348"/>
    <cellStyle name="Обычный 10 5 2 2 2 2 8" xfId="5349"/>
    <cellStyle name="Обычный 10 5 2 2 2 3" xfId="5350"/>
    <cellStyle name="Обычный 10 5 2 2 2 3 2" xfId="5351"/>
    <cellStyle name="Обычный 10 5 2 2 2 3 2 2" xfId="5352"/>
    <cellStyle name="Обычный 10 5 2 2 2 3 2 2 2" xfId="5353"/>
    <cellStyle name="Обычный 10 5 2 2 2 3 2 2 3" xfId="5354"/>
    <cellStyle name="Обычный 10 5 2 2 2 3 2 3" xfId="5355"/>
    <cellStyle name="Обычный 10 5 2 2 2 3 2 3 2" xfId="5356"/>
    <cellStyle name="Обычный 10 5 2 2 2 3 2 3 3" xfId="5357"/>
    <cellStyle name="Обычный 10 5 2 2 2 3 2 4" xfId="5358"/>
    <cellStyle name="Обычный 10 5 2 2 2 3 2 4 2" xfId="5359"/>
    <cellStyle name="Обычный 10 5 2 2 2 3 2 5" xfId="5360"/>
    <cellStyle name="Обычный 10 5 2 2 2 3 2 6" xfId="5361"/>
    <cellStyle name="Обычный 10 5 2 2 2 3 3" xfId="5362"/>
    <cellStyle name="Обычный 10 5 2 2 2 3 3 2" xfId="5363"/>
    <cellStyle name="Обычный 10 5 2 2 2 3 3 3" xfId="5364"/>
    <cellStyle name="Обычный 10 5 2 2 2 3 4" xfId="5365"/>
    <cellStyle name="Обычный 10 5 2 2 2 3 4 2" xfId="5366"/>
    <cellStyle name="Обычный 10 5 2 2 2 3 4 3" xfId="5367"/>
    <cellStyle name="Обычный 10 5 2 2 2 3 5" xfId="5368"/>
    <cellStyle name="Обычный 10 5 2 2 2 3 5 2" xfId="5369"/>
    <cellStyle name="Обычный 10 5 2 2 2 3 6" xfId="5370"/>
    <cellStyle name="Обычный 10 5 2 2 2 3 7" xfId="5371"/>
    <cellStyle name="Обычный 10 5 2 2 2 4" xfId="5372"/>
    <cellStyle name="Обычный 10 5 2 2 2 4 2" xfId="5373"/>
    <cellStyle name="Обычный 10 5 2 2 2 4 2 2" xfId="5374"/>
    <cellStyle name="Обычный 10 5 2 2 2 4 2 3" xfId="5375"/>
    <cellStyle name="Обычный 10 5 2 2 2 4 3" xfId="5376"/>
    <cellStyle name="Обычный 10 5 2 2 2 4 3 2" xfId="5377"/>
    <cellStyle name="Обычный 10 5 2 2 2 4 3 3" xfId="5378"/>
    <cellStyle name="Обычный 10 5 2 2 2 4 4" xfId="5379"/>
    <cellStyle name="Обычный 10 5 2 2 2 4 4 2" xfId="5380"/>
    <cellStyle name="Обычный 10 5 2 2 2 4 5" xfId="5381"/>
    <cellStyle name="Обычный 10 5 2 2 2 4 6" xfId="5382"/>
    <cellStyle name="Обычный 10 5 2 2 2 5" xfId="5383"/>
    <cellStyle name="Обычный 10 5 2 2 2 5 2" xfId="5384"/>
    <cellStyle name="Обычный 10 5 2 2 2 5 3" xfId="5385"/>
    <cellStyle name="Обычный 10 5 2 2 2 6" xfId="5386"/>
    <cellStyle name="Обычный 10 5 2 2 2 6 2" xfId="5387"/>
    <cellStyle name="Обычный 10 5 2 2 2 6 3" xfId="5388"/>
    <cellStyle name="Обычный 10 5 2 2 2 7" xfId="5389"/>
    <cellStyle name="Обычный 10 5 2 2 2 7 2" xfId="5390"/>
    <cellStyle name="Обычный 10 5 2 2 2 8" xfId="5391"/>
    <cellStyle name="Обычный 10 5 2 2 2 9" xfId="5392"/>
    <cellStyle name="Обычный 10 5 2 2 3" xfId="5393"/>
    <cellStyle name="Обычный 10 5 2 2 3 2" xfId="5394"/>
    <cellStyle name="Обычный 10 5 2 2 3 2 2" xfId="5395"/>
    <cellStyle name="Обычный 10 5 2 2 3 2 2 2" xfId="5396"/>
    <cellStyle name="Обычный 10 5 2 2 3 2 2 2 2" xfId="5397"/>
    <cellStyle name="Обычный 10 5 2 2 3 2 2 2 3" xfId="5398"/>
    <cellStyle name="Обычный 10 5 2 2 3 2 2 3" xfId="5399"/>
    <cellStyle name="Обычный 10 5 2 2 3 2 2 3 2" xfId="5400"/>
    <cellStyle name="Обычный 10 5 2 2 3 2 2 3 3" xfId="5401"/>
    <cellStyle name="Обычный 10 5 2 2 3 2 2 4" xfId="5402"/>
    <cellStyle name="Обычный 10 5 2 2 3 2 2 4 2" xfId="5403"/>
    <cellStyle name="Обычный 10 5 2 2 3 2 2 5" xfId="5404"/>
    <cellStyle name="Обычный 10 5 2 2 3 2 2 6" xfId="5405"/>
    <cellStyle name="Обычный 10 5 2 2 3 2 3" xfId="5406"/>
    <cellStyle name="Обычный 10 5 2 2 3 2 3 2" xfId="5407"/>
    <cellStyle name="Обычный 10 5 2 2 3 2 3 3" xfId="5408"/>
    <cellStyle name="Обычный 10 5 2 2 3 2 4" xfId="5409"/>
    <cellStyle name="Обычный 10 5 2 2 3 2 4 2" xfId="5410"/>
    <cellStyle name="Обычный 10 5 2 2 3 2 4 3" xfId="5411"/>
    <cellStyle name="Обычный 10 5 2 2 3 2 5" xfId="5412"/>
    <cellStyle name="Обычный 10 5 2 2 3 2 5 2" xfId="5413"/>
    <cellStyle name="Обычный 10 5 2 2 3 2 6" xfId="5414"/>
    <cellStyle name="Обычный 10 5 2 2 3 2 7" xfId="5415"/>
    <cellStyle name="Обычный 10 5 2 2 3 3" xfId="5416"/>
    <cellStyle name="Обычный 10 5 2 2 3 3 2" xfId="5417"/>
    <cellStyle name="Обычный 10 5 2 2 3 3 2 2" xfId="5418"/>
    <cellStyle name="Обычный 10 5 2 2 3 3 2 3" xfId="5419"/>
    <cellStyle name="Обычный 10 5 2 2 3 3 3" xfId="5420"/>
    <cellStyle name="Обычный 10 5 2 2 3 3 3 2" xfId="5421"/>
    <cellStyle name="Обычный 10 5 2 2 3 3 3 3" xfId="5422"/>
    <cellStyle name="Обычный 10 5 2 2 3 3 4" xfId="5423"/>
    <cellStyle name="Обычный 10 5 2 2 3 3 4 2" xfId="5424"/>
    <cellStyle name="Обычный 10 5 2 2 3 3 5" xfId="5425"/>
    <cellStyle name="Обычный 10 5 2 2 3 3 6" xfId="5426"/>
    <cellStyle name="Обычный 10 5 2 2 3 4" xfId="5427"/>
    <cellStyle name="Обычный 10 5 2 2 3 4 2" xfId="5428"/>
    <cellStyle name="Обычный 10 5 2 2 3 4 3" xfId="5429"/>
    <cellStyle name="Обычный 10 5 2 2 3 5" xfId="5430"/>
    <cellStyle name="Обычный 10 5 2 2 3 5 2" xfId="5431"/>
    <cellStyle name="Обычный 10 5 2 2 3 5 3" xfId="5432"/>
    <cellStyle name="Обычный 10 5 2 2 3 6" xfId="5433"/>
    <cellStyle name="Обычный 10 5 2 2 3 6 2" xfId="5434"/>
    <cellStyle name="Обычный 10 5 2 2 3 7" xfId="5435"/>
    <cellStyle name="Обычный 10 5 2 2 3 8" xfId="5436"/>
    <cellStyle name="Обычный 10 5 2 2 4" xfId="5437"/>
    <cellStyle name="Обычный 10 5 2 2 4 2" xfId="5438"/>
    <cellStyle name="Обычный 10 5 2 2 4 2 2" xfId="5439"/>
    <cellStyle name="Обычный 10 5 2 2 4 2 2 2" xfId="5440"/>
    <cellStyle name="Обычный 10 5 2 2 4 2 2 3" xfId="5441"/>
    <cellStyle name="Обычный 10 5 2 2 4 2 3" xfId="5442"/>
    <cellStyle name="Обычный 10 5 2 2 4 2 3 2" xfId="5443"/>
    <cellStyle name="Обычный 10 5 2 2 4 2 3 3" xfId="5444"/>
    <cellStyle name="Обычный 10 5 2 2 4 2 4" xfId="5445"/>
    <cellStyle name="Обычный 10 5 2 2 4 2 4 2" xfId="5446"/>
    <cellStyle name="Обычный 10 5 2 2 4 2 5" xfId="5447"/>
    <cellStyle name="Обычный 10 5 2 2 4 2 6" xfId="5448"/>
    <cellStyle name="Обычный 10 5 2 2 4 3" xfId="5449"/>
    <cellStyle name="Обычный 10 5 2 2 4 3 2" xfId="5450"/>
    <cellStyle name="Обычный 10 5 2 2 4 3 3" xfId="5451"/>
    <cellStyle name="Обычный 10 5 2 2 4 4" xfId="5452"/>
    <cellStyle name="Обычный 10 5 2 2 4 4 2" xfId="5453"/>
    <cellStyle name="Обычный 10 5 2 2 4 4 3" xfId="5454"/>
    <cellStyle name="Обычный 10 5 2 2 4 5" xfId="5455"/>
    <cellStyle name="Обычный 10 5 2 2 4 5 2" xfId="5456"/>
    <cellStyle name="Обычный 10 5 2 2 4 6" xfId="5457"/>
    <cellStyle name="Обычный 10 5 2 2 4 7" xfId="5458"/>
    <cellStyle name="Обычный 10 5 2 2 5" xfId="5459"/>
    <cellStyle name="Обычный 10 5 2 2 5 2" xfId="5460"/>
    <cellStyle name="Обычный 10 5 2 2 5 2 2" xfId="5461"/>
    <cellStyle name="Обычный 10 5 2 2 5 2 3" xfId="5462"/>
    <cellStyle name="Обычный 10 5 2 2 5 3" xfId="5463"/>
    <cellStyle name="Обычный 10 5 2 2 5 3 2" xfId="5464"/>
    <cellStyle name="Обычный 10 5 2 2 5 3 3" xfId="5465"/>
    <cellStyle name="Обычный 10 5 2 2 5 4" xfId="5466"/>
    <cellStyle name="Обычный 10 5 2 2 5 4 2" xfId="5467"/>
    <cellStyle name="Обычный 10 5 2 2 5 5" xfId="5468"/>
    <cellStyle name="Обычный 10 5 2 2 5 6" xfId="5469"/>
    <cellStyle name="Обычный 10 5 2 2 6" xfId="5470"/>
    <cellStyle name="Обычный 10 5 2 2 6 2" xfId="5471"/>
    <cellStyle name="Обычный 10 5 2 2 6 3" xfId="5472"/>
    <cellStyle name="Обычный 10 5 2 2 7" xfId="5473"/>
    <cellStyle name="Обычный 10 5 2 2 7 2" xfId="5474"/>
    <cellStyle name="Обычный 10 5 2 2 7 3" xfId="5475"/>
    <cellStyle name="Обычный 10 5 2 2 8" xfId="5476"/>
    <cellStyle name="Обычный 10 5 2 2 8 2" xfId="5477"/>
    <cellStyle name="Обычный 10 5 2 2 9" xfId="5478"/>
    <cellStyle name="Обычный 10 5 2 3" xfId="5479"/>
    <cellStyle name="Обычный 10 5 2 3 10" xfId="5480"/>
    <cellStyle name="Обычный 10 5 2 3 2" xfId="5481"/>
    <cellStyle name="Обычный 10 5 2 3 2 2" xfId="5482"/>
    <cellStyle name="Обычный 10 5 2 3 2 2 2" xfId="5483"/>
    <cellStyle name="Обычный 10 5 2 3 2 2 2 2" xfId="5484"/>
    <cellStyle name="Обычный 10 5 2 3 2 2 2 2 2" xfId="5485"/>
    <cellStyle name="Обычный 10 5 2 3 2 2 2 2 2 2" xfId="5486"/>
    <cellStyle name="Обычный 10 5 2 3 2 2 2 2 2 3" xfId="5487"/>
    <cellStyle name="Обычный 10 5 2 3 2 2 2 2 3" xfId="5488"/>
    <cellStyle name="Обычный 10 5 2 3 2 2 2 2 3 2" xfId="5489"/>
    <cellStyle name="Обычный 10 5 2 3 2 2 2 2 3 3" xfId="5490"/>
    <cellStyle name="Обычный 10 5 2 3 2 2 2 2 4" xfId="5491"/>
    <cellStyle name="Обычный 10 5 2 3 2 2 2 2 4 2" xfId="5492"/>
    <cellStyle name="Обычный 10 5 2 3 2 2 2 2 5" xfId="5493"/>
    <cellStyle name="Обычный 10 5 2 3 2 2 2 2 6" xfId="5494"/>
    <cellStyle name="Обычный 10 5 2 3 2 2 2 3" xfId="5495"/>
    <cellStyle name="Обычный 10 5 2 3 2 2 2 3 2" xfId="5496"/>
    <cellStyle name="Обычный 10 5 2 3 2 2 2 3 3" xfId="5497"/>
    <cellStyle name="Обычный 10 5 2 3 2 2 2 4" xfId="5498"/>
    <cellStyle name="Обычный 10 5 2 3 2 2 2 4 2" xfId="5499"/>
    <cellStyle name="Обычный 10 5 2 3 2 2 2 4 3" xfId="5500"/>
    <cellStyle name="Обычный 10 5 2 3 2 2 2 5" xfId="5501"/>
    <cellStyle name="Обычный 10 5 2 3 2 2 2 5 2" xfId="5502"/>
    <cellStyle name="Обычный 10 5 2 3 2 2 2 6" xfId="5503"/>
    <cellStyle name="Обычный 10 5 2 3 2 2 2 7" xfId="5504"/>
    <cellStyle name="Обычный 10 5 2 3 2 2 3" xfId="5505"/>
    <cellStyle name="Обычный 10 5 2 3 2 2 3 2" xfId="5506"/>
    <cellStyle name="Обычный 10 5 2 3 2 2 3 2 2" xfId="5507"/>
    <cellStyle name="Обычный 10 5 2 3 2 2 3 2 3" xfId="5508"/>
    <cellStyle name="Обычный 10 5 2 3 2 2 3 3" xfId="5509"/>
    <cellStyle name="Обычный 10 5 2 3 2 2 3 3 2" xfId="5510"/>
    <cellStyle name="Обычный 10 5 2 3 2 2 3 3 3" xfId="5511"/>
    <cellStyle name="Обычный 10 5 2 3 2 2 3 4" xfId="5512"/>
    <cellStyle name="Обычный 10 5 2 3 2 2 3 4 2" xfId="5513"/>
    <cellStyle name="Обычный 10 5 2 3 2 2 3 5" xfId="5514"/>
    <cellStyle name="Обычный 10 5 2 3 2 2 3 6" xfId="5515"/>
    <cellStyle name="Обычный 10 5 2 3 2 2 4" xfId="5516"/>
    <cellStyle name="Обычный 10 5 2 3 2 2 4 2" xfId="5517"/>
    <cellStyle name="Обычный 10 5 2 3 2 2 4 3" xfId="5518"/>
    <cellStyle name="Обычный 10 5 2 3 2 2 5" xfId="5519"/>
    <cellStyle name="Обычный 10 5 2 3 2 2 5 2" xfId="5520"/>
    <cellStyle name="Обычный 10 5 2 3 2 2 5 3" xfId="5521"/>
    <cellStyle name="Обычный 10 5 2 3 2 2 6" xfId="5522"/>
    <cellStyle name="Обычный 10 5 2 3 2 2 6 2" xfId="5523"/>
    <cellStyle name="Обычный 10 5 2 3 2 2 7" xfId="5524"/>
    <cellStyle name="Обычный 10 5 2 3 2 2 8" xfId="5525"/>
    <cellStyle name="Обычный 10 5 2 3 2 3" xfId="5526"/>
    <cellStyle name="Обычный 10 5 2 3 2 3 2" xfId="5527"/>
    <cellStyle name="Обычный 10 5 2 3 2 3 2 2" xfId="5528"/>
    <cellStyle name="Обычный 10 5 2 3 2 3 2 2 2" xfId="5529"/>
    <cellStyle name="Обычный 10 5 2 3 2 3 2 2 3" xfId="5530"/>
    <cellStyle name="Обычный 10 5 2 3 2 3 2 3" xfId="5531"/>
    <cellStyle name="Обычный 10 5 2 3 2 3 2 3 2" xfId="5532"/>
    <cellStyle name="Обычный 10 5 2 3 2 3 2 3 3" xfId="5533"/>
    <cellStyle name="Обычный 10 5 2 3 2 3 2 4" xfId="5534"/>
    <cellStyle name="Обычный 10 5 2 3 2 3 2 4 2" xfId="5535"/>
    <cellStyle name="Обычный 10 5 2 3 2 3 2 5" xfId="5536"/>
    <cellStyle name="Обычный 10 5 2 3 2 3 2 6" xfId="5537"/>
    <cellStyle name="Обычный 10 5 2 3 2 3 3" xfId="5538"/>
    <cellStyle name="Обычный 10 5 2 3 2 3 3 2" xfId="5539"/>
    <cellStyle name="Обычный 10 5 2 3 2 3 3 3" xfId="5540"/>
    <cellStyle name="Обычный 10 5 2 3 2 3 4" xfId="5541"/>
    <cellStyle name="Обычный 10 5 2 3 2 3 4 2" xfId="5542"/>
    <cellStyle name="Обычный 10 5 2 3 2 3 4 3" xfId="5543"/>
    <cellStyle name="Обычный 10 5 2 3 2 3 5" xfId="5544"/>
    <cellStyle name="Обычный 10 5 2 3 2 3 5 2" xfId="5545"/>
    <cellStyle name="Обычный 10 5 2 3 2 3 6" xfId="5546"/>
    <cellStyle name="Обычный 10 5 2 3 2 3 7" xfId="5547"/>
    <cellStyle name="Обычный 10 5 2 3 2 4" xfId="5548"/>
    <cellStyle name="Обычный 10 5 2 3 2 4 2" xfId="5549"/>
    <cellStyle name="Обычный 10 5 2 3 2 4 2 2" xfId="5550"/>
    <cellStyle name="Обычный 10 5 2 3 2 4 2 3" xfId="5551"/>
    <cellStyle name="Обычный 10 5 2 3 2 4 3" xfId="5552"/>
    <cellStyle name="Обычный 10 5 2 3 2 4 3 2" xfId="5553"/>
    <cellStyle name="Обычный 10 5 2 3 2 4 3 3" xfId="5554"/>
    <cellStyle name="Обычный 10 5 2 3 2 4 4" xfId="5555"/>
    <cellStyle name="Обычный 10 5 2 3 2 4 4 2" xfId="5556"/>
    <cellStyle name="Обычный 10 5 2 3 2 4 5" xfId="5557"/>
    <cellStyle name="Обычный 10 5 2 3 2 4 6" xfId="5558"/>
    <cellStyle name="Обычный 10 5 2 3 2 5" xfId="5559"/>
    <cellStyle name="Обычный 10 5 2 3 2 5 2" xfId="5560"/>
    <cellStyle name="Обычный 10 5 2 3 2 5 3" xfId="5561"/>
    <cellStyle name="Обычный 10 5 2 3 2 6" xfId="5562"/>
    <cellStyle name="Обычный 10 5 2 3 2 6 2" xfId="5563"/>
    <cellStyle name="Обычный 10 5 2 3 2 6 3" xfId="5564"/>
    <cellStyle name="Обычный 10 5 2 3 2 7" xfId="5565"/>
    <cellStyle name="Обычный 10 5 2 3 2 7 2" xfId="5566"/>
    <cellStyle name="Обычный 10 5 2 3 2 8" xfId="5567"/>
    <cellStyle name="Обычный 10 5 2 3 2 9" xfId="5568"/>
    <cellStyle name="Обычный 10 5 2 3 3" xfId="5569"/>
    <cellStyle name="Обычный 10 5 2 3 3 2" xfId="5570"/>
    <cellStyle name="Обычный 10 5 2 3 3 2 2" xfId="5571"/>
    <cellStyle name="Обычный 10 5 2 3 3 2 2 2" xfId="5572"/>
    <cellStyle name="Обычный 10 5 2 3 3 2 2 2 2" xfId="5573"/>
    <cellStyle name="Обычный 10 5 2 3 3 2 2 2 3" xfId="5574"/>
    <cellStyle name="Обычный 10 5 2 3 3 2 2 3" xfId="5575"/>
    <cellStyle name="Обычный 10 5 2 3 3 2 2 3 2" xfId="5576"/>
    <cellStyle name="Обычный 10 5 2 3 3 2 2 3 3" xfId="5577"/>
    <cellStyle name="Обычный 10 5 2 3 3 2 2 4" xfId="5578"/>
    <cellStyle name="Обычный 10 5 2 3 3 2 2 4 2" xfId="5579"/>
    <cellStyle name="Обычный 10 5 2 3 3 2 2 5" xfId="5580"/>
    <cellStyle name="Обычный 10 5 2 3 3 2 2 6" xfId="5581"/>
    <cellStyle name="Обычный 10 5 2 3 3 2 3" xfId="5582"/>
    <cellStyle name="Обычный 10 5 2 3 3 2 3 2" xfId="5583"/>
    <cellStyle name="Обычный 10 5 2 3 3 2 3 3" xfId="5584"/>
    <cellStyle name="Обычный 10 5 2 3 3 2 4" xfId="5585"/>
    <cellStyle name="Обычный 10 5 2 3 3 2 4 2" xfId="5586"/>
    <cellStyle name="Обычный 10 5 2 3 3 2 4 3" xfId="5587"/>
    <cellStyle name="Обычный 10 5 2 3 3 2 5" xfId="5588"/>
    <cellStyle name="Обычный 10 5 2 3 3 2 5 2" xfId="5589"/>
    <cellStyle name="Обычный 10 5 2 3 3 2 6" xfId="5590"/>
    <cellStyle name="Обычный 10 5 2 3 3 2 7" xfId="5591"/>
    <cellStyle name="Обычный 10 5 2 3 3 3" xfId="5592"/>
    <cellStyle name="Обычный 10 5 2 3 3 3 2" xfId="5593"/>
    <cellStyle name="Обычный 10 5 2 3 3 3 2 2" xfId="5594"/>
    <cellStyle name="Обычный 10 5 2 3 3 3 2 3" xfId="5595"/>
    <cellStyle name="Обычный 10 5 2 3 3 3 3" xfId="5596"/>
    <cellStyle name="Обычный 10 5 2 3 3 3 3 2" xfId="5597"/>
    <cellStyle name="Обычный 10 5 2 3 3 3 3 3" xfId="5598"/>
    <cellStyle name="Обычный 10 5 2 3 3 3 4" xfId="5599"/>
    <cellStyle name="Обычный 10 5 2 3 3 3 4 2" xfId="5600"/>
    <cellStyle name="Обычный 10 5 2 3 3 3 5" xfId="5601"/>
    <cellStyle name="Обычный 10 5 2 3 3 3 6" xfId="5602"/>
    <cellStyle name="Обычный 10 5 2 3 3 4" xfId="5603"/>
    <cellStyle name="Обычный 10 5 2 3 3 4 2" xfId="5604"/>
    <cellStyle name="Обычный 10 5 2 3 3 4 3" xfId="5605"/>
    <cellStyle name="Обычный 10 5 2 3 3 5" xfId="5606"/>
    <cellStyle name="Обычный 10 5 2 3 3 5 2" xfId="5607"/>
    <cellStyle name="Обычный 10 5 2 3 3 5 3" xfId="5608"/>
    <cellStyle name="Обычный 10 5 2 3 3 6" xfId="5609"/>
    <cellStyle name="Обычный 10 5 2 3 3 6 2" xfId="5610"/>
    <cellStyle name="Обычный 10 5 2 3 3 7" xfId="5611"/>
    <cellStyle name="Обычный 10 5 2 3 3 8" xfId="5612"/>
    <cellStyle name="Обычный 10 5 2 3 4" xfId="5613"/>
    <cellStyle name="Обычный 10 5 2 3 4 2" xfId="5614"/>
    <cellStyle name="Обычный 10 5 2 3 4 2 2" xfId="5615"/>
    <cellStyle name="Обычный 10 5 2 3 4 2 2 2" xfId="5616"/>
    <cellStyle name="Обычный 10 5 2 3 4 2 2 3" xfId="5617"/>
    <cellStyle name="Обычный 10 5 2 3 4 2 3" xfId="5618"/>
    <cellStyle name="Обычный 10 5 2 3 4 2 3 2" xfId="5619"/>
    <cellStyle name="Обычный 10 5 2 3 4 2 3 3" xfId="5620"/>
    <cellStyle name="Обычный 10 5 2 3 4 2 4" xfId="5621"/>
    <cellStyle name="Обычный 10 5 2 3 4 2 4 2" xfId="5622"/>
    <cellStyle name="Обычный 10 5 2 3 4 2 5" xfId="5623"/>
    <cellStyle name="Обычный 10 5 2 3 4 2 6" xfId="5624"/>
    <cellStyle name="Обычный 10 5 2 3 4 3" xfId="5625"/>
    <cellStyle name="Обычный 10 5 2 3 4 3 2" xfId="5626"/>
    <cellStyle name="Обычный 10 5 2 3 4 3 3" xfId="5627"/>
    <cellStyle name="Обычный 10 5 2 3 4 4" xfId="5628"/>
    <cellStyle name="Обычный 10 5 2 3 4 4 2" xfId="5629"/>
    <cellStyle name="Обычный 10 5 2 3 4 4 3" xfId="5630"/>
    <cellStyle name="Обычный 10 5 2 3 4 5" xfId="5631"/>
    <cellStyle name="Обычный 10 5 2 3 4 5 2" xfId="5632"/>
    <cellStyle name="Обычный 10 5 2 3 4 6" xfId="5633"/>
    <cellStyle name="Обычный 10 5 2 3 4 7" xfId="5634"/>
    <cellStyle name="Обычный 10 5 2 3 5" xfId="5635"/>
    <cellStyle name="Обычный 10 5 2 3 5 2" xfId="5636"/>
    <cellStyle name="Обычный 10 5 2 3 5 2 2" xfId="5637"/>
    <cellStyle name="Обычный 10 5 2 3 5 2 3" xfId="5638"/>
    <cellStyle name="Обычный 10 5 2 3 5 3" xfId="5639"/>
    <cellStyle name="Обычный 10 5 2 3 5 3 2" xfId="5640"/>
    <cellStyle name="Обычный 10 5 2 3 5 3 3" xfId="5641"/>
    <cellStyle name="Обычный 10 5 2 3 5 4" xfId="5642"/>
    <cellStyle name="Обычный 10 5 2 3 5 4 2" xfId="5643"/>
    <cellStyle name="Обычный 10 5 2 3 5 5" xfId="5644"/>
    <cellStyle name="Обычный 10 5 2 3 5 6" xfId="5645"/>
    <cellStyle name="Обычный 10 5 2 3 6" xfId="5646"/>
    <cellStyle name="Обычный 10 5 2 3 6 2" xfId="5647"/>
    <cellStyle name="Обычный 10 5 2 3 6 3" xfId="5648"/>
    <cellStyle name="Обычный 10 5 2 3 7" xfId="5649"/>
    <cellStyle name="Обычный 10 5 2 3 7 2" xfId="5650"/>
    <cellStyle name="Обычный 10 5 2 3 7 3" xfId="5651"/>
    <cellStyle name="Обычный 10 5 2 3 8" xfId="5652"/>
    <cellStyle name="Обычный 10 5 2 3 8 2" xfId="5653"/>
    <cellStyle name="Обычный 10 5 2 3 9" xfId="5654"/>
    <cellStyle name="Обычный 10 5 2 4" xfId="5655"/>
    <cellStyle name="Обычный 10 5 2 4 10" xfId="5656"/>
    <cellStyle name="Обычный 10 5 2 4 2" xfId="5657"/>
    <cellStyle name="Обычный 10 5 2 4 2 2" xfId="5658"/>
    <cellStyle name="Обычный 10 5 2 4 2 2 2" xfId="5659"/>
    <cellStyle name="Обычный 10 5 2 4 2 2 2 2" xfId="5660"/>
    <cellStyle name="Обычный 10 5 2 4 2 2 2 2 2" xfId="5661"/>
    <cellStyle name="Обычный 10 5 2 4 2 2 2 2 2 2" xfId="5662"/>
    <cellStyle name="Обычный 10 5 2 4 2 2 2 2 2 3" xfId="5663"/>
    <cellStyle name="Обычный 10 5 2 4 2 2 2 2 3" xfId="5664"/>
    <cellStyle name="Обычный 10 5 2 4 2 2 2 2 3 2" xfId="5665"/>
    <cellStyle name="Обычный 10 5 2 4 2 2 2 2 3 3" xfId="5666"/>
    <cellStyle name="Обычный 10 5 2 4 2 2 2 2 4" xfId="5667"/>
    <cellStyle name="Обычный 10 5 2 4 2 2 2 2 4 2" xfId="5668"/>
    <cellStyle name="Обычный 10 5 2 4 2 2 2 2 5" xfId="5669"/>
    <cellStyle name="Обычный 10 5 2 4 2 2 2 2 6" xfId="5670"/>
    <cellStyle name="Обычный 10 5 2 4 2 2 2 3" xfId="5671"/>
    <cellStyle name="Обычный 10 5 2 4 2 2 2 3 2" xfId="5672"/>
    <cellStyle name="Обычный 10 5 2 4 2 2 2 3 3" xfId="5673"/>
    <cellStyle name="Обычный 10 5 2 4 2 2 2 4" xfId="5674"/>
    <cellStyle name="Обычный 10 5 2 4 2 2 2 4 2" xfId="5675"/>
    <cellStyle name="Обычный 10 5 2 4 2 2 2 4 3" xfId="5676"/>
    <cellStyle name="Обычный 10 5 2 4 2 2 2 5" xfId="5677"/>
    <cellStyle name="Обычный 10 5 2 4 2 2 2 5 2" xfId="5678"/>
    <cellStyle name="Обычный 10 5 2 4 2 2 2 6" xfId="5679"/>
    <cellStyle name="Обычный 10 5 2 4 2 2 2 7" xfId="5680"/>
    <cellStyle name="Обычный 10 5 2 4 2 2 3" xfId="5681"/>
    <cellStyle name="Обычный 10 5 2 4 2 2 3 2" xfId="5682"/>
    <cellStyle name="Обычный 10 5 2 4 2 2 3 2 2" xfId="5683"/>
    <cellStyle name="Обычный 10 5 2 4 2 2 3 2 3" xfId="5684"/>
    <cellStyle name="Обычный 10 5 2 4 2 2 3 3" xfId="5685"/>
    <cellStyle name="Обычный 10 5 2 4 2 2 3 3 2" xfId="5686"/>
    <cellStyle name="Обычный 10 5 2 4 2 2 3 3 3" xfId="5687"/>
    <cellStyle name="Обычный 10 5 2 4 2 2 3 4" xfId="5688"/>
    <cellStyle name="Обычный 10 5 2 4 2 2 3 4 2" xfId="5689"/>
    <cellStyle name="Обычный 10 5 2 4 2 2 3 5" xfId="5690"/>
    <cellStyle name="Обычный 10 5 2 4 2 2 3 6" xfId="5691"/>
    <cellStyle name="Обычный 10 5 2 4 2 2 4" xfId="5692"/>
    <cellStyle name="Обычный 10 5 2 4 2 2 4 2" xfId="5693"/>
    <cellStyle name="Обычный 10 5 2 4 2 2 4 3" xfId="5694"/>
    <cellStyle name="Обычный 10 5 2 4 2 2 5" xfId="5695"/>
    <cellStyle name="Обычный 10 5 2 4 2 2 5 2" xfId="5696"/>
    <cellStyle name="Обычный 10 5 2 4 2 2 5 3" xfId="5697"/>
    <cellStyle name="Обычный 10 5 2 4 2 2 6" xfId="5698"/>
    <cellStyle name="Обычный 10 5 2 4 2 2 6 2" xfId="5699"/>
    <cellStyle name="Обычный 10 5 2 4 2 2 7" xfId="5700"/>
    <cellStyle name="Обычный 10 5 2 4 2 2 8" xfId="5701"/>
    <cellStyle name="Обычный 10 5 2 4 2 3" xfId="5702"/>
    <cellStyle name="Обычный 10 5 2 4 2 3 2" xfId="5703"/>
    <cellStyle name="Обычный 10 5 2 4 2 3 2 2" xfId="5704"/>
    <cellStyle name="Обычный 10 5 2 4 2 3 2 2 2" xfId="5705"/>
    <cellStyle name="Обычный 10 5 2 4 2 3 2 2 3" xfId="5706"/>
    <cellStyle name="Обычный 10 5 2 4 2 3 2 3" xfId="5707"/>
    <cellStyle name="Обычный 10 5 2 4 2 3 2 3 2" xfId="5708"/>
    <cellStyle name="Обычный 10 5 2 4 2 3 2 3 3" xfId="5709"/>
    <cellStyle name="Обычный 10 5 2 4 2 3 2 4" xfId="5710"/>
    <cellStyle name="Обычный 10 5 2 4 2 3 2 4 2" xfId="5711"/>
    <cellStyle name="Обычный 10 5 2 4 2 3 2 5" xfId="5712"/>
    <cellStyle name="Обычный 10 5 2 4 2 3 2 6" xfId="5713"/>
    <cellStyle name="Обычный 10 5 2 4 2 3 3" xfId="5714"/>
    <cellStyle name="Обычный 10 5 2 4 2 3 3 2" xfId="5715"/>
    <cellStyle name="Обычный 10 5 2 4 2 3 3 3" xfId="5716"/>
    <cellStyle name="Обычный 10 5 2 4 2 3 4" xfId="5717"/>
    <cellStyle name="Обычный 10 5 2 4 2 3 4 2" xfId="5718"/>
    <cellStyle name="Обычный 10 5 2 4 2 3 4 3" xfId="5719"/>
    <cellStyle name="Обычный 10 5 2 4 2 3 5" xfId="5720"/>
    <cellStyle name="Обычный 10 5 2 4 2 3 5 2" xfId="5721"/>
    <cellStyle name="Обычный 10 5 2 4 2 3 6" xfId="5722"/>
    <cellStyle name="Обычный 10 5 2 4 2 3 7" xfId="5723"/>
    <cellStyle name="Обычный 10 5 2 4 2 4" xfId="5724"/>
    <cellStyle name="Обычный 10 5 2 4 2 4 2" xfId="5725"/>
    <cellStyle name="Обычный 10 5 2 4 2 4 2 2" xfId="5726"/>
    <cellStyle name="Обычный 10 5 2 4 2 4 2 3" xfId="5727"/>
    <cellStyle name="Обычный 10 5 2 4 2 4 3" xfId="5728"/>
    <cellStyle name="Обычный 10 5 2 4 2 4 3 2" xfId="5729"/>
    <cellStyle name="Обычный 10 5 2 4 2 4 3 3" xfId="5730"/>
    <cellStyle name="Обычный 10 5 2 4 2 4 4" xfId="5731"/>
    <cellStyle name="Обычный 10 5 2 4 2 4 4 2" xfId="5732"/>
    <cellStyle name="Обычный 10 5 2 4 2 4 5" xfId="5733"/>
    <cellStyle name="Обычный 10 5 2 4 2 4 6" xfId="5734"/>
    <cellStyle name="Обычный 10 5 2 4 2 5" xfId="5735"/>
    <cellStyle name="Обычный 10 5 2 4 2 5 2" xfId="5736"/>
    <cellStyle name="Обычный 10 5 2 4 2 5 3" xfId="5737"/>
    <cellStyle name="Обычный 10 5 2 4 2 6" xfId="5738"/>
    <cellStyle name="Обычный 10 5 2 4 2 6 2" xfId="5739"/>
    <cellStyle name="Обычный 10 5 2 4 2 6 3" xfId="5740"/>
    <cellStyle name="Обычный 10 5 2 4 2 7" xfId="5741"/>
    <cellStyle name="Обычный 10 5 2 4 2 7 2" xfId="5742"/>
    <cellStyle name="Обычный 10 5 2 4 2 8" xfId="5743"/>
    <cellStyle name="Обычный 10 5 2 4 2 9" xfId="5744"/>
    <cellStyle name="Обычный 10 5 2 4 3" xfId="5745"/>
    <cellStyle name="Обычный 10 5 2 4 3 2" xfId="5746"/>
    <cellStyle name="Обычный 10 5 2 4 3 2 2" xfId="5747"/>
    <cellStyle name="Обычный 10 5 2 4 3 2 2 2" xfId="5748"/>
    <cellStyle name="Обычный 10 5 2 4 3 2 2 2 2" xfId="5749"/>
    <cellStyle name="Обычный 10 5 2 4 3 2 2 2 3" xfId="5750"/>
    <cellStyle name="Обычный 10 5 2 4 3 2 2 3" xfId="5751"/>
    <cellStyle name="Обычный 10 5 2 4 3 2 2 3 2" xfId="5752"/>
    <cellStyle name="Обычный 10 5 2 4 3 2 2 3 3" xfId="5753"/>
    <cellStyle name="Обычный 10 5 2 4 3 2 2 4" xfId="5754"/>
    <cellStyle name="Обычный 10 5 2 4 3 2 2 4 2" xfId="5755"/>
    <cellStyle name="Обычный 10 5 2 4 3 2 2 5" xfId="5756"/>
    <cellStyle name="Обычный 10 5 2 4 3 2 2 6" xfId="5757"/>
    <cellStyle name="Обычный 10 5 2 4 3 2 3" xfId="5758"/>
    <cellStyle name="Обычный 10 5 2 4 3 2 3 2" xfId="5759"/>
    <cellStyle name="Обычный 10 5 2 4 3 2 3 3" xfId="5760"/>
    <cellStyle name="Обычный 10 5 2 4 3 2 4" xfId="5761"/>
    <cellStyle name="Обычный 10 5 2 4 3 2 4 2" xfId="5762"/>
    <cellStyle name="Обычный 10 5 2 4 3 2 4 3" xfId="5763"/>
    <cellStyle name="Обычный 10 5 2 4 3 2 5" xfId="5764"/>
    <cellStyle name="Обычный 10 5 2 4 3 2 5 2" xfId="5765"/>
    <cellStyle name="Обычный 10 5 2 4 3 2 6" xfId="5766"/>
    <cellStyle name="Обычный 10 5 2 4 3 2 7" xfId="5767"/>
    <cellStyle name="Обычный 10 5 2 4 3 3" xfId="5768"/>
    <cellStyle name="Обычный 10 5 2 4 3 3 2" xfId="5769"/>
    <cellStyle name="Обычный 10 5 2 4 3 3 2 2" xfId="5770"/>
    <cellStyle name="Обычный 10 5 2 4 3 3 2 3" xfId="5771"/>
    <cellStyle name="Обычный 10 5 2 4 3 3 3" xfId="5772"/>
    <cellStyle name="Обычный 10 5 2 4 3 3 3 2" xfId="5773"/>
    <cellStyle name="Обычный 10 5 2 4 3 3 3 3" xfId="5774"/>
    <cellStyle name="Обычный 10 5 2 4 3 3 4" xfId="5775"/>
    <cellStyle name="Обычный 10 5 2 4 3 3 4 2" xfId="5776"/>
    <cellStyle name="Обычный 10 5 2 4 3 3 5" xfId="5777"/>
    <cellStyle name="Обычный 10 5 2 4 3 3 6" xfId="5778"/>
    <cellStyle name="Обычный 10 5 2 4 3 4" xfId="5779"/>
    <cellStyle name="Обычный 10 5 2 4 3 4 2" xfId="5780"/>
    <cellStyle name="Обычный 10 5 2 4 3 4 3" xfId="5781"/>
    <cellStyle name="Обычный 10 5 2 4 3 5" xfId="5782"/>
    <cellStyle name="Обычный 10 5 2 4 3 5 2" xfId="5783"/>
    <cellStyle name="Обычный 10 5 2 4 3 5 3" xfId="5784"/>
    <cellStyle name="Обычный 10 5 2 4 3 6" xfId="5785"/>
    <cellStyle name="Обычный 10 5 2 4 3 6 2" xfId="5786"/>
    <cellStyle name="Обычный 10 5 2 4 3 7" xfId="5787"/>
    <cellStyle name="Обычный 10 5 2 4 3 8" xfId="5788"/>
    <cellStyle name="Обычный 10 5 2 4 4" xfId="5789"/>
    <cellStyle name="Обычный 10 5 2 4 4 2" xfId="5790"/>
    <cellStyle name="Обычный 10 5 2 4 4 2 2" xfId="5791"/>
    <cellStyle name="Обычный 10 5 2 4 4 2 2 2" xfId="5792"/>
    <cellStyle name="Обычный 10 5 2 4 4 2 2 3" xfId="5793"/>
    <cellStyle name="Обычный 10 5 2 4 4 2 3" xfId="5794"/>
    <cellStyle name="Обычный 10 5 2 4 4 2 3 2" xfId="5795"/>
    <cellStyle name="Обычный 10 5 2 4 4 2 3 3" xfId="5796"/>
    <cellStyle name="Обычный 10 5 2 4 4 2 4" xfId="5797"/>
    <cellStyle name="Обычный 10 5 2 4 4 2 4 2" xfId="5798"/>
    <cellStyle name="Обычный 10 5 2 4 4 2 5" xfId="5799"/>
    <cellStyle name="Обычный 10 5 2 4 4 2 6" xfId="5800"/>
    <cellStyle name="Обычный 10 5 2 4 4 3" xfId="5801"/>
    <cellStyle name="Обычный 10 5 2 4 4 3 2" xfId="5802"/>
    <cellStyle name="Обычный 10 5 2 4 4 3 3" xfId="5803"/>
    <cellStyle name="Обычный 10 5 2 4 4 4" xfId="5804"/>
    <cellStyle name="Обычный 10 5 2 4 4 4 2" xfId="5805"/>
    <cellStyle name="Обычный 10 5 2 4 4 4 3" xfId="5806"/>
    <cellStyle name="Обычный 10 5 2 4 4 5" xfId="5807"/>
    <cellStyle name="Обычный 10 5 2 4 4 5 2" xfId="5808"/>
    <cellStyle name="Обычный 10 5 2 4 4 6" xfId="5809"/>
    <cellStyle name="Обычный 10 5 2 4 4 7" xfId="5810"/>
    <cellStyle name="Обычный 10 5 2 4 5" xfId="5811"/>
    <cellStyle name="Обычный 10 5 2 4 5 2" xfId="5812"/>
    <cellStyle name="Обычный 10 5 2 4 5 2 2" xfId="5813"/>
    <cellStyle name="Обычный 10 5 2 4 5 2 3" xfId="5814"/>
    <cellStyle name="Обычный 10 5 2 4 5 3" xfId="5815"/>
    <cellStyle name="Обычный 10 5 2 4 5 3 2" xfId="5816"/>
    <cellStyle name="Обычный 10 5 2 4 5 3 3" xfId="5817"/>
    <cellStyle name="Обычный 10 5 2 4 5 4" xfId="5818"/>
    <cellStyle name="Обычный 10 5 2 4 5 4 2" xfId="5819"/>
    <cellStyle name="Обычный 10 5 2 4 5 5" xfId="5820"/>
    <cellStyle name="Обычный 10 5 2 4 5 6" xfId="5821"/>
    <cellStyle name="Обычный 10 5 2 4 6" xfId="5822"/>
    <cellStyle name="Обычный 10 5 2 4 6 2" xfId="5823"/>
    <cellStyle name="Обычный 10 5 2 4 6 3" xfId="5824"/>
    <cellStyle name="Обычный 10 5 2 4 7" xfId="5825"/>
    <cellStyle name="Обычный 10 5 2 4 7 2" xfId="5826"/>
    <cellStyle name="Обычный 10 5 2 4 7 3" xfId="5827"/>
    <cellStyle name="Обычный 10 5 2 4 8" xfId="5828"/>
    <cellStyle name="Обычный 10 5 2 4 8 2" xfId="5829"/>
    <cellStyle name="Обычный 10 5 2 4 9" xfId="5830"/>
    <cellStyle name="Обычный 10 5 2 5" xfId="5831"/>
    <cellStyle name="Обычный 10 5 2 5 2" xfId="5832"/>
    <cellStyle name="Обычный 10 5 2 5 2 2" xfId="5833"/>
    <cellStyle name="Обычный 10 5 2 5 2 2 2" xfId="5834"/>
    <cellStyle name="Обычный 10 5 2 5 2 2 2 2" xfId="5835"/>
    <cellStyle name="Обычный 10 5 2 5 2 2 2 2 2" xfId="5836"/>
    <cellStyle name="Обычный 10 5 2 5 2 2 2 2 3" xfId="5837"/>
    <cellStyle name="Обычный 10 5 2 5 2 2 2 3" xfId="5838"/>
    <cellStyle name="Обычный 10 5 2 5 2 2 2 3 2" xfId="5839"/>
    <cellStyle name="Обычный 10 5 2 5 2 2 2 3 3" xfId="5840"/>
    <cellStyle name="Обычный 10 5 2 5 2 2 2 4" xfId="5841"/>
    <cellStyle name="Обычный 10 5 2 5 2 2 2 4 2" xfId="5842"/>
    <cellStyle name="Обычный 10 5 2 5 2 2 2 5" xfId="5843"/>
    <cellStyle name="Обычный 10 5 2 5 2 2 2 6" xfId="5844"/>
    <cellStyle name="Обычный 10 5 2 5 2 2 3" xfId="5845"/>
    <cellStyle name="Обычный 10 5 2 5 2 2 3 2" xfId="5846"/>
    <cellStyle name="Обычный 10 5 2 5 2 2 3 3" xfId="5847"/>
    <cellStyle name="Обычный 10 5 2 5 2 2 4" xfId="5848"/>
    <cellStyle name="Обычный 10 5 2 5 2 2 4 2" xfId="5849"/>
    <cellStyle name="Обычный 10 5 2 5 2 2 4 3" xfId="5850"/>
    <cellStyle name="Обычный 10 5 2 5 2 2 5" xfId="5851"/>
    <cellStyle name="Обычный 10 5 2 5 2 2 5 2" xfId="5852"/>
    <cellStyle name="Обычный 10 5 2 5 2 2 6" xfId="5853"/>
    <cellStyle name="Обычный 10 5 2 5 2 2 7" xfId="5854"/>
    <cellStyle name="Обычный 10 5 2 5 2 3" xfId="5855"/>
    <cellStyle name="Обычный 10 5 2 5 2 3 2" xfId="5856"/>
    <cellStyle name="Обычный 10 5 2 5 2 3 2 2" xfId="5857"/>
    <cellStyle name="Обычный 10 5 2 5 2 3 2 3" xfId="5858"/>
    <cellStyle name="Обычный 10 5 2 5 2 3 3" xfId="5859"/>
    <cellStyle name="Обычный 10 5 2 5 2 3 3 2" xfId="5860"/>
    <cellStyle name="Обычный 10 5 2 5 2 3 3 3" xfId="5861"/>
    <cellStyle name="Обычный 10 5 2 5 2 3 4" xfId="5862"/>
    <cellStyle name="Обычный 10 5 2 5 2 3 4 2" xfId="5863"/>
    <cellStyle name="Обычный 10 5 2 5 2 3 5" xfId="5864"/>
    <cellStyle name="Обычный 10 5 2 5 2 3 6" xfId="5865"/>
    <cellStyle name="Обычный 10 5 2 5 2 4" xfId="5866"/>
    <cellStyle name="Обычный 10 5 2 5 2 4 2" xfId="5867"/>
    <cellStyle name="Обычный 10 5 2 5 2 4 3" xfId="5868"/>
    <cellStyle name="Обычный 10 5 2 5 2 5" xfId="5869"/>
    <cellStyle name="Обычный 10 5 2 5 2 5 2" xfId="5870"/>
    <cellStyle name="Обычный 10 5 2 5 2 5 3" xfId="5871"/>
    <cellStyle name="Обычный 10 5 2 5 2 6" xfId="5872"/>
    <cellStyle name="Обычный 10 5 2 5 2 6 2" xfId="5873"/>
    <cellStyle name="Обычный 10 5 2 5 2 7" xfId="5874"/>
    <cellStyle name="Обычный 10 5 2 5 2 8" xfId="5875"/>
    <cellStyle name="Обычный 10 5 2 5 3" xfId="5876"/>
    <cellStyle name="Обычный 10 5 2 5 3 2" xfId="5877"/>
    <cellStyle name="Обычный 10 5 2 5 3 2 2" xfId="5878"/>
    <cellStyle name="Обычный 10 5 2 5 3 2 2 2" xfId="5879"/>
    <cellStyle name="Обычный 10 5 2 5 3 2 2 3" xfId="5880"/>
    <cellStyle name="Обычный 10 5 2 5 3 2 3" xfId="5881"/>
    <cellStyle name="Обычный 10 5 2 5 3 2 3 2" xfId="5882"/>
    <cellStyle name="Обычный 10 5 2 5 3 2 3 3" xfId="5883"/>
    <cellStyle name="Обычный 10 5 2 5 3 2 4" xfId="5884"/>
    <cellStyle name="Обычный 10 5 2 5 3 2 4 2" xfId="5885"/>
    <cellStyle name="Обычный 10 5 2 5 3 2 5" xfId="5886"/>
    <cellStyle name="Обычный 10 5 2 5 3 2 6" xfId="5887"/>
    <cellStyle name="Обычный 10 5 2 5 3 3" xfId="5888"/>
    <cellStyle name="Обычный 10 5 2 5 3 3 2" xfId="5889"/>
    <cellStyle name="Обычный 10 5 2 5 3 3 3" xfId="5890"/>
    <cellStyle name="Обычный 10 5 2 5 3 4" xfId="5891"/>
    <cellStyle name="Обычный 10 5 2 5 3 4 2" xfId="5892"/>
    <cellStyle name="Обычный 10 5 2 5 3 4 3" xfId="5893"/>
    <cellStyle name="Обычный 10 5 2 5 3 5" xfId="5894"/>
    <cellStyle name="Обычный 10 5 2 5 3 5 2" xfId="5895"/>
    <cellStyle name="Обычный 10 5 2 5 3 6" xfId="5896"/>
    <cellStyle name="Обычный 10 5 2 5 3 7" xfId="5897"/>
    <cellStyle name="Обычный 10 5 2 5 4" xfId="5898"/>
    <cellStyle name="Обычный 10 5 2 5 4 2" xfId="5899"/>
    <cellStyle name="Обычный 10 5 2 5 4 2 2" xfId="5900"/>
    <cellStyle name="Обычный 10 5 2 5 4 2 3" xfId="5901"/>
    <cellStyle name="Обычный 10 5 2 5 4 3" xfId="5902"/>
    <cellStyle name="Обычный 10 5 2 5 4 3 2" xfId="5903"/>
    <cellStyle name="Обычный 10 5 2 5 4 3 3" xfId="5904"/>
    <cellStyle name="Обычный 10 5 2 5 4 4" xfId="5905"/>
    <cellStyle name="Обычный 10 5 2 5 4 4 2" xfId="5906"/>
    <cellStyle name="Обычный 10 5 2 5 4 5" xfId="5907"/>
    <cellStyle name="Обычный 10 5 2 5 4 6" xfId="5908"/>
    <cellStyle name="Обычный 10 5 2 5 5" xfId="5909"/>
    <cellStyle name="Обычный 10 5 2 5 5 2" xfId="5910"/>
    <cellStyle name="Обычный 10 5 2 5 5 3" xfId="5911"/>
    <cellStyle name="Обычный 10 5 2 5 6" xfId="5912"/>
    <cellStyle name="Обычный 10 5 2 5 6 2" xfId="5913"/>
    <cellStyle name="Обычный 10 5 2 5 6 3" xfId="5914"/>
    <cellStyle name="Обычный 10 5 2 5 7" xfId="5915"/>
    <cellStyle name="Обычный 10 5 2 5 7 2" xfId="5916"/>
    <cellStyle name="Обычный 10 5 2 5 8" xfId="5917"/>
    <cellStyle name="Обычный 10 5 2 5 9" xfId="5918"/>
    <cellStyle name="Обычный 10 5 2 6" xfId="5919"/>
    <cellStyle name="Обычный 10 5 2 6 2" xfId="5920"/>
    <cellStyle name="Обычный 10 5 2 6 2 2" xfId="5921"/>
    <cellStyle name="Обычный 10 5 2 6 2 2 2" xfId="5922"/>
    <cellStyle name="Обычный 10 5 2 6 2 2 2 2" xfId="5923"/>
    <cellStyle name="Обычный 10 5 2 6 2 2 2 3" xfId="5924"/>
    <cellStyle name="Обычный 10 5 2 6 2 2 3" xfId="5925"/>
    <cellStyle name="Обычный 10 5 2 6 2 2 3 2" xfId="5926"/>
    <cellStyle name="Обычный 10 5 2 6 2 2 3 3" xfId="5927"/>
    <cellStyle name="Обычный 10 5 2 6 2 2 4" xfId="5928"/>
    <cellStyle name="Обычный 10 5 2 6 2 2 4 2" xfId="5929"/>
    <cellStyle name="Обычный 10 5 2 6 2 2 5" xfId="5930"/>
    <cellStyle name="Обычный 10 5 2 6 2 2 6" xfId="5931"/>
    <cellStyle name="Обычный 10 5 2 6 2 3" xfId="5932"/>
    <cellStyle name="Обычный 10 5 2 6 2 3 2" xfId="5933"/>
    <cellStyle name="Обычный 10 5 2 6 2 3 3" xfId="5934"/>
    <cellStyle name="Обычный 10 5 2 6 2 4" xfId="5935"/>
    <cellStyle name="Обычный 10 5 2 6 2 4 2" xfId="5936"/>
    <cellStyle name="Обычный 10 5 2 6 2 4 3" xfId="5937"/>
    <cellStyle name="Обычный 10 5 2 6 2 5" xfId="5938"/>
    <cellStyle name="Обычный 10 5 2 6 2 5 2" xfId="5939"/>
    <cellStyle name="Обычный 10 5 2 6 2 6" xfId="5940"/>
    <cellStyle name="Обычный 10 5 2 6 2 7" xfId="5941"/>
    <cellStyle name="Обычный 10 5 2 6 3" xfId="5942"/>
    <cellStyle name="Обычный 10 5 2 6 3 2" xfId="5943"/>
    <cellStyle name="Обычный 10 5 2 6 3 2 2" xfId="5944"/>
    <cellStyle name="Обычный 10 5 2 6 3 2 3" xfId="5945"/>
    <cellStyle name="Обычный 10 5 2 6 3 3" xfId="5946"/>
    <cellStyle name="Обычный 10 5 2 6 3 3 2" xfId="5947"/>
    <cellStyle name="Обычный 10 5 2 6 3 3 3" xfId="5948"/>
    <cellStyle name="Обычный 10 5 2 6 3 4" xfId="5949"/>
    <cellStyle name="Обычный 10 5 2 6 3 4 2" xfId="5950"/>
    <cellStyle name="Обычный 10 5 2 6 3 5" xfId="5951"/>
    <cellStyle name="Обычный 10 5 2 6 3 6" xfId="5952"/>
    <cellStyle name="Обычный 10 5 2 6 4" xfId="5953"/>
    <cellStyle name="Обычный 10 5 2 6 4 2" xfId="5954"/>
    <cellStyle name="Обычный 10 5 2 6 4 3" xfId="5955"/>
    <cellStyle name="Обычный 10 5 2 6 5" xfId="5956"/>
    <cellStyle name="Обычный 10 5 2 6 5 2" xfId="5957"/>
    <cellStyle name="Обычный 10 5 2 6 5 3" xfId="5958"/>
    <cellStyle name="Обычный 10 5 2 6 6" xfId="5959"/>
    <cellStyle name="Обычный 10 5 2 6 6 2" xfId="5960"/>
    <cellStyle name="Обычный 10 5 2 6 7" xfId="5961"/>
    <cellStyle name="Обычный 10 5 2 6 8" xfId="5962"/>
    <cellStyle name="Обычный 10 5 2 7" xfId="5963"/>
    <cellStyle name="Обычный 10 5 2 7 2" xfId="5964"/>
    <cellStyle name="Обычный 10 5 2 7 2 2" xfId="5965"/>
    <cellStyle name="Обычный 10 5 2 7 2 2 2" xfId="5966"/>
    <cellStyle name="Обычный 10 5 2 7 2 2 3" xfId="5967"/>
    <cellStyle name="Обычный 10 5 2 7 2 3" xfId="5968"/>
    <cellStyle name="Обычный 10 5 2 7 2 3 2" xfId="5969"/>
    <cellStyle name="Обычный 10 5 2 7 2 3 3" xfId="5970"/>
    <cellStyle name="Обычный 10 5 2 7 2 4" xfId="5971"/>
    <cellStyle name="Обычный 10 5 2 7 2 4 2" xfId="5972"/>
    <cellStyle name="Обычный 10 5 2 7 2 5" xfId="5973"/>
    <cellStyle name="Обычный 10 5 2 7 2 6" xfId="5974"/>
    <cellStyle name="Обычный 10 5 2 7 3" xfId="5975"/>
    <cellStyle name="Обычный 10 5 2 7 3 2" xfId="5976"/>
    <cellStyle name="Обычный 10 5 2 7 3 3" xfId="5977"/>
    <cellStyle name="Обычный 10 5 2 7 4" xfId="5978"/>
    <cellStyle name="Обычный 10 5 2 7 4 2" xfId="5979"/>
    <cellStyle name="Обычный 10 5 2 7 4 3" xfId="5980"/>
    <cellStyle name="Обычный 10 5 2 7 5" xfId="5981"/>
    <cellStyle name="Обычный 10 5 2 7 5 2" xfId="5982"/>
    <cellStyle name="Обычный 10 5 2 7 6" xfId="5983"/>
    <cellStyle name="Обычный 10 5 2 7 7" xfId="5984"/>
    <cellStyle name="Обычный 10 5 2 8" xfId="5985"/>
    <cellStyle name="Обычный 10 5 2 8 2" xfId="5986"/>
    <cellStyle name="Обычный 10 5 2 8 2 2" xfId="5987"/>
    <cellStyle name="Обычный 10 5 2 8 2 3" xfId="5988"/>
    <cellStyle name="Обычный 10 5 2 8 3" xfId="5989"/>
    <cellStyle name="Обычный 10 5 2 8 3 2" xfId="5990"/>
    <cellStyle name="Обычный 10 5 2 8 3 3" xfId="5991"/>
    <cellStyle name="Обычный 10 5 2 8 4" xfId="5992"/>
    <cellStyle name="Обычный 10 5 2 8 4 2" xfId="5993"/>
    <cellStyle name="Обычный 10 5 2 8 5" xfId="5994"/>
    <cellStyle name="Обычный 10 5 2 8 6" xfId="5995"/>
    <cellStyle name="Обычный 10 5 2 9" xfId="5996"/>
    <cellStyle name="Обычный 10 5 2 9 2" xfId="5997"/>
    <cellStyle name="Обычный 10 5 2 9 3" xfId="5998"/>
    <cellStyle name="Обычный 10 5 3" xfId="5999"/>
    <cellStyle name="Обычный 10 5 3 10" xfId="6000"/>
    <cellStyle name="Обычный 10 5 3 2" xfId="6001"/>
    <cellStyle name="Обычный 10 5 3 2 2" xfId="6002"/>
    <cellStyle name="Обычный 10 5 3 2 2 2" xfId="6003"/>
    <cellStyle name="Обычный 10 5 3 2 2 2 2" xfId="6004"/>
    <cellStyle name="Обычный 10 5 3 2 2 2 2 2" xfId="6005"/>
    <cellStyle name="Обычный 10 5 3 2 2 2 2 2 2" xfId="6006"/>
    <cellStyle name="Обычный 10 5 3 2 2 2 2 2 3" xfId="6007"/>
    <cellStyle name="Обычный 10 5 3 2 2 2 2 3" xfId="6008"/>
    <cellStyle name="Обычный 10 5 3 2 2 2 2 3 2" xfId="6009"/>
    <cellStyle name="Обычный 10 5 3 2 2 2 2 3 3" xfId="6010"/>
    <cellStyle name="Обычный 10 5 3 2 2 2 2 4" xfId="6011"/>
    <cellStyle name="Обычный 10 5 3 2 2 2 2 4 2" xfId="6012"/>
    <cellStyle name="Обычный 10 5 3 2 2 2 2 5" xfId="6013"/>
    <cellStyle name="Обычный 10 5 3 2 2 2 2 6" xfId="6014"/>
    <cellStyle name="Обычный 10 5 3 2 2 2 3" xfId="6015"/>
    <cellStyle name="Обычный 10 5 3 2 2 2 3 2" xfId="6016"/>
    <cellStyle name="Обычный 10 5 3 2 2 2 3 3" xfId="6017"/>
    <cellStyle name="Обычный 10 5 3 2 2 2 4" xfId="6018"/>
    <cellStyle name="Обычный 10 5 3 2 2 2 4 2" xfId="6019"/>
    <cellStyle name="Обычный 10 5 3 2 2 2 4 3" xfId="6020"/>
    <cellStyle name="Обычный 10 5 3 2 2 2 5" xfId="6021"/>
    <cellStyle name="Обычный 10 5 3 2 2 2 5 2" xfId="6022"/>
    <cellStyle name="Обычный 10 5 3 2 2 2 6" xfId="6023"/>
    <cellStyle name="Обычный 10 5 3 2 2 2 7" xfId="6024"/>
    <cellStyle name="Обычный 10 5 3 2 2 3" xfId="6025"/>
    <cellStyle name="Обычный 10 5 3 2 2 3 2" xfId="6026"/>
    <cellStyle name="Обычный 10 5 3 2 2 3 2 2" xfId="6027"/>
    <cellStyle name="Обычный 10 5 3 2 2 3 2 3" xfId="6028"/>
    <cellStyle name="Обычный 10 5 3 2 2 3 3" xfId="6029"/>
    <cellStyle name="Обычный 10 5 3 2 2 3 3 2" xfId="6030"/>
    <cellStyle name="Обычный 10 5 3 2 2 3 3 3" xfId="6031"/>
    <cellStyle name="Обычный 10 5 3 2 2 3 4" xfId="6032"/>
    <cellStyle name="Обычный 10 5 3 2 2 3 4 2" xfId="6033"/>
    <cellStyle name="Обычный 10 5 3 2 2 3 5" xfId="6034"/>
    <cellStyle name="Обычный 10 5 3 2 2 3 6" xfId="6035"/>
    <cellStyle name="Обычный 10 5 3 2 2 4" xfId="6036"/>
    <cellStyle name="Обычный 10 5 3 2 2 4 2" xfId="6037"/>
    <cellStyle name="Обычный 10 5 3 2 2 4 3" xfId="6038"/>
    <cellStyle name="Обычный 10 5 3 2 2 5" xfId="6039"/>
    <cellStyle name="Обычный 10 5 3 2 2 5 2" xfId="6040"/>
    <cellStyle name="Обычный 10 5 3 2 2 5 3" xfId="6041"/>
    <cellStyle name="Обычный 10 5 3 2 2 6" xfId="6042"/>
    <cellStyle name="Обычный 10 5 3 2 2 6 2" xfId="6043"/>
    <cellStyle name="Обычный 10 5 3 2 2 7" xfId="6044"/>
    <cellStyle name="Обычный 10 5 3 2 2 8" xfId="6045"/>
    <cellStyle name="Обычный 10 5 3 2 3" xfId="6046"/>
    <cellStyle name="Обычный 10 5 3 2 3 2" xfId="6047"/>
    <cellStyle name="Обычный 10 5 3 2 3 2 2" xfId="6048"/>
    <cellStyle name="Обычный 10 5 3 2 3 2 2 2" xfId="6049"/>
    <cellStyle name="Обычный 10 5 3 2 3 2 2 3" xfId="6050"/>
    <cellStyle name="Обычный 10 5 3 2 3 2 3" xfId="6051"/>
    <cellStyle name="Обычный 10 5 3 2 3 2 3 2" xfId="6052"/>
    <cellStyle name="Обычный 10 5 3 2 3 2 3 3" xfId="6053"/>
    <cellStyle name="Обычный 10 5 3 2 3 2 4" xfId="6054"/>
    <cellStyle name="Обычный 10 5 3 2 3 2 4 2" xfId="6055"/>
    <cellStyle name="Обычный 10 5 3 2 3 2 5" xfId="6056"/>
    <cellStyle name="Обычный 10 5 3 2 3 2 6" xfId="6057"/>
    <cellStyle name="Обычный 10 5 3 2 3 3" xfId="6058"/>
    <cellStyle name="Обычный 10 5 3 2 3 3 2" xfId="6059"/>
    <cellStyle name="Обычный 10 5 3 2 3 3 3" xfId="6060"/>
    <cellStyle name="Обычный 10 5 3 2 3 4" xfId="6061"/>
    <cellStyle name="Обычный 10 5 3 2 3 4 2" xfId="6062"/>
    <cellStyle name="Обычный 10 5 3 2 3 4 3" xfId="6063"/>
    <cellStyle name="Обычный 10 5 3 2 3 5" xfId="6064"/>
    <cellStyle name="Обычный 10 5 3 2 3 5 2" xfId="6065"/>
    <cellStyle name="Обычный 10 5 3 2 3 6" xfId="6066"/>
    <cellStyle name="Обычный 10 5 3 2 3 7" xfId="6067"/>
    <cellStyle name="Обычный 10 5 3 2 4" xfId="6068"/>
    <cellStyle name="Обычный 10 5 3 2 4 2" xfId="6069"/>
    <cellStyle name="Обычный 10 5 3 2 4 2 2" xfId="6070"/>
    <cellStyle name="Обычный 10 5 3 2 4 2 3" xfId="6071"/>
    <cellStyle name="Обычный 10 5 3 2 4 3" xfId="6072"/>
    <cellStyle name="Обычный 10 5 3 2 4 3 2" xfId="6073"/>
    <cellStyle name="Обычный 10 5 3 2 4 3 3" xfId="6074"/>
    <cellStyle name="Обычный 10 5 3 2 4 4" xfId="6075"/>
    <cellStyle name="Обычный 10 5 3 2 4 4 2" xfId="6076"/>
    <cellStyle name="Обычный 10 5 3 2 4 5" xfId="6077"/>
    <cellStyle name="Обычный 10 5 3 2 4 6" xfId="6078"/>
    <cellStyle name="Обычный 10 5 3 2 5" xfId="6079"/>
    <cellStyle name="Обычный 10 5 3 2 5 2" xfId="6080"/>
    <cellStyle name="Обычный 10 5 3 2 5 3" xfId="6081"/>
    <cellStyle name="Обычный 10 5 3 2 6" xfId="6082"/>
    <cellStyle name="Обычный 10 5 3 2 6 2" xfId="6083"/>
    <cellStyle name="Обычный 10 5 3 2 6 3" xfId="6084"/>
    <cellStyle name="Обычный 10 5 3 2 7" xfId="6085"/>
    <cellStyle name="Обычный 10 5 3 2 7 2" xfId="6086"/>
    <cellStyle name="Обычный 10 5 3 2 8" xfId="6087"/>
    <cellStyle name="Обычный 10 5 3 2 9" xfId="6088"/>
    <cellStyle name="Обычный 10 5 3 3" xfId="6089"/>
    <cellStyle name="Обычный 10 5 3 3 2" xfId="6090"/>
    <cellStyle name="Обычный 10 5 3 3 2 2" xfId="6091"/>
    <cellStyle name="Обычный 10 5 3 3 2 2 2" xfId="6092"/>
    <cellStyle name="Обычный 10 5 3 3 2 2 2 2" xfId="6093"/>
    <cellStyle name="Обычный 10 5 3 3 2 2 2 3" xfId="6094"/>
    <cellStyle name="Обычный 10 5 3 3 2 2 3" xfId="6095"/>
    <cellStyle name="Обычный 10 5 3 3 2 2 3 2" xfId="6096"/>
    <cellStyle name="Обычный 10 5 3 3 2 2 3 3" xfId="6097"/>
    <cellStyle name="Обычный 10 5 3 3 2 2 4" xfId="6098"/>
    <cellStyle name="Обычный 10 5 3 3 2 2 4 2" xfId="6099"/>
    <cellStyle name="Обычный 10 5 3 3 2 2 5" xfId="6100"/>
    <cellStyle name="Обычный 10 5 3 3 2 2 6" xfId="6101"/>
    <cellStyle name="Обычный 10 5 3 3 2 3" xfId="6102"/>
    <cellStyle name="Обычный 10 5 3 3 2 3 2" xfId="6103"/>
    <cellStyle name="Обычный 10 5 3 3 2 3 3" xfId="6104"/>
    <cellStyle name="Обычный 10 5 3 3 2 4" xfId="6105"/>
    <cellStyle name="Обычный 10 5 3 3 2 4 2" xfId="6106"/>
    <cellStyle name="Обычный 10 5 3 3 2 4 3" xfId="6107"/>
    <cellStyle name="Обычный 10 5 3 3 2 5" xfId="6108"/>
    <cellStyle name="Обычный 10 5 3 3 2 5 2" xfId="6109"/>
    <cellStyle name="Обычный 10 5 3 3 2 6" xfId="6110"/>
    <cellStyle name="Обычный 10 5 3 3 2 7" xfId="6111"/>
    <cellStyle name="Обычный 10 5 3 3 3" xfId="6112"/>
    <cellStyle name="Обычный 10 5 3 3 3 2" xfId="6113"/>
    <cellStyle name="Обычный 10 5 3 3 3 2 2" xfId="6114"/>
    <cellStyle name="Обычный 10 5 3 3 3 2 3" xfId="6115"/>
    <cellStyle name="Обычный 10 5 3 3 3 3" xfId="6116"/>
    <cellStyle name="Обычный 10 5 3 3 3 3 2" xfId="6117"/>
    <cellStyle name="Обычный 10 5 3 3 3 3 3" xfId="6118"/>
    <cellStyle name="Обычный 10 5 3 3 3 4" xfId="6119"/>
    <cellStyle name="Обычный 10 5 3 3 3 4 2" xfId="6120"/>
    <cellStyle name="Обычный 10 5 3 3 3 5" xfId="6121"/>
    <cellStyle name="Обычный 10 5 3 3 3 6" xfId="6122"/>
    <cellStyle name="Обычный 10 5 3 3 4" xfId="6123"/>
    <cellStyle name="Обычный 10 5 3 3 4 2" xfId="6124"/>
    <cellStyle name="Обычный 10 5 3 3 4 3" xfId="6125"/>
    <cellStyle name="Обычный 10 5 3 3 5" xfId="6126"/>
    <cellStyle name="Обычный 10 5 3 3 5 2" xfId="6127"/>
    <cellStyle name="Обычный 10 5 3 3 5 3" xfId="6128"/>
    <cellStyle name="Обычный 10 5 3 3 6" xfId="6129"/>
    <cellStyle name="Обычный 10 5 3 3 6 2" xfId="6130"/>
    <cellStyle name="Обычный 10 5 3 3 7" xfId="6131"/>
    <cellStyle name="Обычный 10 5 3 3 8" xfId="6132"/>
    <cellStyle name="Обычный 10 5 3 4" xfId="6133"/>
    <cellStyle name="Обычный 10 5 3 4 2" xfId="6134"/>
    <cellStyle name="Обычный 10 5 3 4 2 2" xfId="6135"/>
    <cellStyle name="Обычный 10 5 3 4 2 2 2" xfId="6136"/>
    <cellStyle name="Обычный 10 5 3 4 2 2 3" xfId="6137"/>
    <cellStyle name="Обычный 10 5 3 4 2 3" xfId="6138"/>
    <cellStyle name="Обычный 10 5 3 4 2 3 2" xfId="6139"/>
    <cellStyle name="Обычный 10 5 3 4 2 3 3" xfId="6140"/>
    <cellStyle name="Обычный 10 5 3 4 2 4" xfId="6141"/>
    <cellStyle name="Обычный 10 5 3 4 2 4 2" xfId="6142"/>
    <cellStyle name="Обычный 10 5 3 4 2 5" xfId="6143"/>
    <cellStyle name="Обычный 10 5 3 4 2 6" xfId="6144"/>
    <cellStyle name="Обычный 10 5 3 4 3" xfId="6145"/>
    <cellStyle name="Обычный 10 5 3 4 3 2" xfId="6146"/>
    <cellStyle name="Обычный 10 5 3 4 3 3" xfId="6147"/>
    <cellStyle name="Обычный 10 5 3 4 4" xfId="6148"/>
    <cellStyle name="Обычный 10 5 3 4 4 2" xfId="6149"/>
    <cellStyle name="Обычный 10 5 3 4 4 3" xfId="6150"/>
    <cellStyle name="Обычный 10 5 3 4 5" xfId="6151"/>
    <cellStyle name="Обычный 10 5 3 4 5 2" xfId="6152"/>
    <cellStyle name="Обычный 10 5 3 4 6" xfId="6153"/>
    <cellStyle name="Обычный 10 5 3 4 7" xfId="6154"/>
    <cellStyle name="Обычный 10 5 3 5" xfId="6155"/>
    <cellStyle name="Обычный 10 5 3 5 2" xfId="6156"/>
    <cellStyle name="Обычный 10 5 3 5 2 2" xfId="6157"/>
    <cellStyle name="Обычный 10 5 3 5 2 3" xfId="6158"/>
    <cellStyle name="Обычный 10 5 3 5 3" xfId="6159"/>
    <cellStyle name="Обычный 10 5 3 5 3 2" xfId="6160"/>
    <cellStyle name="Обычный 10 5 3 5 3 3" xfId="6161"/>
    <cellStyle name="Обычный 10 5 3 5 4" xfId="6162"/>
    <cellStyle name="Обычный 10 5 3 5 4 2" xfId="6163"/>
    <cellStyle name="Обычный 10 5 3 5 5" xfId="6164"/>
    <cellStyle name="Обычный 10 5 3 5 6" xfId="6165"/>
    <cellStyle name="Обычный 10 5 3 6" xfId="6166"/>
    <cellStyle name="Обычный 10 5 3 6 2" xfId="6167"/>
    <cellStyle name="Обычный 10 5 3 6 3" xfId="6168"/>
    <cellStyle name="Обычный 10 5 3 7" xfId="6169"/>
    <cellStyle name="Обычный 10 5 3 7 2" xfId="6170"/>
    <cellStyle name="Обычный 10 5 3 7 3" xfId="6171"/>
    <cellStyle name="Обычный 10 5 3 8" xfId="6172"/>
    <cellStyle name="Обычный 10 5 3 8 2" xfId="6173"/>
    <cellStyle name="Обычный 10 5 3 9" xfId="6174"/>
    <cellStyle name="Обычный 10 5 4" xfId="6175"/>
    <cellStyle name="Обычный 10 5 4 10" xfId="6176"/>
    <cellStyle name="Обычный 10 5 4 2" xfId="6177"/>
    <cellStyle name="Обычный 10 5 4 2 2" xfId="6178"/>
    <cellStyle name="Обычный 10 5 4 2 2 2" xfId="6179"/>
    <cellStyle name="Обычный 10 5 4 2 2 2 2" xfId="6180"/>
    <cellStyle name="Обычный 10 5 4 2 2 2 2 2" xfId="6181"/>
    <cellStyle name="Обычный 10 5 4 2 2 2 2 2 2" xfId="6182"/>
    <cellStyle name="Обычный 10 5 4 2 2 2 2 2 3" xfId="6183"/>
    <cellStyle name="Обычный 10 5 4 2 2 2 2 3" xfId="6184"/>
    <cellStyle name="Обычный 10 5 4 2 2 2 2 3 2" xfId="6185"/>
    <cellStyle name="Обычный 10 5 4 2 2 2 2 3 3" xfId="6186"/>
    <cellStyle name="Обычный 10 5 4 2 2 2 2 4" xfId="6187"/>
    <cellStyle name="Обычный 10 5 4 2 2 2 2 4 2" xfId="6188"/>
    <cellStyle name="Обычный 10 5 4 2 2 2 2 5" xfId="6189"/>
    <cellStyle name="Обычный 10 5 4 2 2 2 2 6" xfId="6190"/>
    <cellStyle name="Обычный 10 5 4 2 2 2 3" xfId="6191"/>
    <cellStyle name="Обычный 10 5 4 2 2 2 3 2" xfId="6192"/>
    <cellStyle name="Обычный 10 5 4 2 2 2 3 3" xfId="6193"/>
    <cellStyle name="Обычный 10 5 4 2 2 2 4" xfId="6194"/>
    <cellStyle name="Обычный 10 5 4 2 2 2 4 2" xfId="6195"/>
    <cellStyle name="Обычный 10 5 4 2 2 2 4 3" xfId="6196"/>
    <cellStyle name="Обычный 10 5 4 2 2 2 5" xfId="6197"/>
    <cellStyle name="Обычный 10 5 4 2 2 2 5 2" xfId="6198"/>
    <cellStyle name="Обычный 10 5 4 2 2 2 6" xfId="6199"/>
    <cellStyle name="Обычный 10 5 4 2 2 2 7" xfId="6200"/>
    <cellStyle name="Обычный 10 5 4 2 2 3" xfId="6201"/>
    <cellStyle name="Обычный 10 5 4 2 2 3 2" xfId="6202"/>
    <cellStyle name="Обычный 10 5 4 2 2 3 2 2" xfId="6203"/>
    <cellStyle name="Обычный 10 5 4 2 2 3 2 3" xfId="6204"/>
    <cellStyle name="Обычный 10 5 4 2 2 3 3" xfId="6205"/>
    <cellStyle name="Обычный 10 5 4 2 2 3 3 2" xfId="6206"/>
    <cellStyle name="Обычный 10 5 4 2 2 3 3 3" xfId="6207"/>
    <cellStyle name="Обычный 10 5 4 2 2 3 4" xfId="6208"/>
    <cellStyle name="Обычный 10 5 4 2 2 3 4 2" xfId="6209"/>
    <cellStyle name="Обычный 10 5 4 2 2 3 5" xfId="6210"/>
    <cellStyle name="Обычный 10 5 4 2 2 3 6" xfId="6211"/>
    <cellStyle name="Обычный 10 5 4 2 2 4" xfId="6212"/>
    <cellStyle name="Обычный 10 5 4 2 2 4 2" xfId="6213"/>
    <cellStyle name="Обычный 10 5 4 2 2 4 3" xfId="6214"/>
    <cellStyle name="Обычный 10 5 4 2 2 5" xfId="6215"/>
    <cellStyle name="Обычный 10 5 4 2 2 5 2" xfId="6216"/>
    <cellStyle name="Обычный 10 5 4 2 2 5 3" xfId="6217"/>
    <cellStyle name="Обычный 10 5 4 2 2 6" xfId="6218"/>
    <cellStyle name="Обычный 10 5 4 2 2 6 2" xfId="6219"/>
    <cellStyle name="Обычный 10 5 4 2 2 7" xfId="6220"/>
    <cellStyle name="Обычный 10 5 4 2 2 8" xfId="6221"/>
    <cellStyle name="Обычный 10 5 4 2 3" xfId="6222"/>
    <cellStyle name="Обычный 10 5 4 2 3 2" xfId="6223"/>
    <cellStyle name="Обычный 10 5 4 2 3 2 2" xfId="6224"/>
    <cellStyle name="Обычный 10 5 4 2 3 2 2 2" xfId="6225"/>
    <cellStyle name="Обычный 10 5 4 2 3 2 2 3" xfId="6226"/>
    <cellStyle name="Обычный 10 5 4 2 3 2 3" xfId="6227"/>
    <cellStyle name="Обычный 10 5 4 2 3 2 3 2" xfId="6228"/>
    <cellStyle name="Обычный 10 5 4 2 3 2 3 3" xfId="6229"/>
    <cellStyle name="Обычный 10 5 4 2 3 2 4" xfId="6230"/>
    <cellStyle name="Обычный 10 5 4 2 3 2 4 2" xfId="6231"/>
    <cellStyle name="Обычный 10 5 4 2 3 2 5" xfId="6232"/>
    <cellStyle name="Обычный 10 5 4 2 3 2 6" xfId="6233"/>
    <cellStyle name="Обычный 10 5 4 2 3 3" xfId="6234"/>
    <cellStyle name="Обычный 10 5 4 2 3 3 2" xfId="6235"/>
    <cellStyle name="Обычный 10 5 4 2 3 3 3" xfId="6236"/>
    <cellStyle name="Обычный 10 5 4 2 3 4" xfId="6237"/>
    <cellStyle name="Обычный 10 5 4 2 3 4 2" xfId="6238"/>
    <cellStyle name="Обычный 10 5 4 2 3 4 3" xfId="6239"/>
    <cellStyle name="Обычный 10 5 4 2 3 5" xfId="6240"/>
    <cellStyle name="Обычный 10 5 4 2 3 5 2" xfId="6241"/>
    <cellStyle name="Обычный 10 5 4 2 3 6" xfId="6242"/>
    <cellStyle name="Обычный 10 5 4 2 3 7" xfId="6243"/>
    <cellStyle name="Обычный 10 5 4 2 4" xfId="6244"/>
    <cellStyle name="Обычный 10 5 4 2 4 2" xfId="6245"/>
    <cellStyle name="Обычный 10 5 4 2 4 2 2" xfId="6246"/>
    <cellStyle name="Обычный 10 5 4 2 4 2 3" xfId="6247"/>
    <cellStyle name="Обычный 10 5 4 2 4 3" xfId="6248"/>
    <cellStyle name="Обычный 10 5 4 2 4 3 2" xfId="6249"/>
    <cellStyle name="Обычный 10 5 4 2 4 3 3" xfId="6250"/>
    <cellStyle name="Обычный 10 5 4 2 4 4" xfId="6251"/>
    <cellStyle name="Обычный 10 5 4 2 4 4 2" xfId="6252"/>
    <cellStyle name="Обычный 10 5 4 2 4 5" xfId="6253"/>
    <cellStyle name="Обычный 10 5 4 2 4 6" xfId="6254"/>
    <cellStyle name="Обычный 10 5 4 2 5" xfId="6255"/>
    <cellStyle name="Обычный 10 5 4 2 5 2" xfId="6256"/>
    <cellStyle name="Обычный 10 5 4 2 5 3" xfId="6257"/>
    <cellStyle name="Обычный 10 5 4 2 6" xfId="6258"/>
    <cellStyle name="Обычный 10 5 4 2 6 2" xfId="6259"/>
    <cellStyle name="Обычный 10 5 4 2 6 3" xfId="6260"/>
    <cellStyle name="Обычный 10 5 4 2 7" xfId="6261"/>
    <cellStyle name="Обычный 10 5 4 2 7 2" xfId="6262"/>
    <cellStyle name="Обычный 10 5 4 2 8" xfId="6263"/>
    <cellStyle name="Обычный 10 5 4 2 9" xfId="6264"/>
    <cellStyle name="Обычный 10 5 4 3" xfId="6265"/>
    <cellStyle name="Обычный 10 5 4 3 2" xfId="6266"/>
    <cellStyle name="Обычный 10 5 4 3 2 2" xfId="6267"/>
    <cellStyle name="Обычный 10 5 4 3 2 2 2" xfId="6268"/>
    <cellStyle name="Обычный 10 5 4 3 2 2 2 2" xfId="6269"/>
    <cellStyle name="Обычный 10 5 4 3 2 2 2 3" xfId="6270"/>
    <cellStyle name="Обычный 10 5 4 3 2 2 3" xfId="6271"/>
    <cellStyle name="Обычный 10 5 4 3 2 2 3 2" xfId="6272"/>
    <cellStyle name="Обычный 10 5 4 3 2 2 3 3" xfId="6273"/>
    <cellStyle name="Обычный 10 5 4 3 2 2 4" xfId="6274"/>
    <cellStyle name="Обычный 10 5 4 3 2 2 4 2" xfId="6275"/>
    <cellStyle name="Обычный 10 5 4 3 2 2 5" xfId="6276"/>
    <cellStyle name="Обычный 10 5 4 3 2 2 6" xfId="6277"/>
    <cellStyle name="Обычный 10 5 4 3 2 3" xfId="6278"/>
    <cellStyle name="Обычный 10 5 4 3 2 3 2" xfId="6279"/>
    <cellStyle name="Обычный 10 5 4 3 2 3 3" xfId="6280"/>
    <cellStyle name="Обычный 10 5 4 3 2 4" xfId="6281"/>
    <cellStyle name="Обычный 10 5 4 3 2 4 2" xfId="6282"/>
    <cellStyle name="Обычный 10 5 4 3 2 4 3" xfId="6283"/>
    <cellStyle name="Обычный 10 5 4 3 2 5" xfId="6284"/>
    <cellStyle name="Обычный 10 5 4 3 2 5 2" xfId="6285"/>
    <cellStyle name="Обычный 10 5 4 3 2 6" xfId="6286"/>
    <cellStyle name="Обычный 10 5 4 3 2 7" xfId="6287"/>
    <cellStyle name="Обычный 10 5 4 3 3" xfId="6288"/>
    <cellStyle name="Обычный 10 5 4 3 3 2" xfId="6289"/>
    <cellStyle name="Обычный 10 5 4 3 3 2 2" xfId="6290"/>
    <cellStyle name="Обычный 10 5 4 3 3 2 3" xfId="6291"/>
    <cellStyle name="Обычный 10 5 4 3 3 3" xfId="6292"/>
    <cellStyle name="Обычный 10 5 4 3 3 3 2" xfId="6293"/>
    <cellStyle name="Обычный 10 5 4 3 3 3 3" xfId="6294"/>
    <cellStyle name="Обычный 10 5 4 3 3 4" xfId="6295"/>
    <cellStyle name="Обычный 10 5 4 3 3 4 2" xfId="6296"/>
    <cellStyle name="Обычный 10 5 4 3 3 5" xfId="6297"/>
    <cellStyle name="Обычный 10 5 4 3 3 6" xfId="6298"/>
    <cellStyle name="Обычный 10 5 4 3 4" xfId="6299"/>
    <cellStyle name="Обычный 10 5 4 3 4 2" xfId="6300"/>
    <cellStyle name="Обычный 10 5 4 3 4 3" xfId="6301"/>
    <cellStyle name="Обычный 10 5 4 3 5" xfId="6302"/>
    <cellStyle name="Обычный 10 5 4 3 5 2" xfId="6303"/>
    <cellStyle name="Обычный 10 5 4 3 5 3" xfId="6304"/>
    <cellStyle name="Обычный 10 5 4 3 6" xfId="6305"/>
    <cellStyle name="Обычный 10 5 4 3 6 2" xfId="6306"/>
    <cellStyle name="Обычный 10 5 4 3 7" xfId="6307"/>
    <cellStyle name="Обычный 10 5 4 3 8" xfId="6308"/>
    <cellStyle name="Обычный 10 5 4 4" xfId="6309"/>
    <cellStyle name="Обычный 10 5 4 4 2" xfId="6310"/>
    <cellStyle name="Обычный 10 5 4 4 2 2" xfId="6311"/>
    <cellStyle name="Обычный 10 5 4 4 2 2 2" xfId="6312"/>
    <cellStyle name="Обычный 10 5 4 4 2 2 3" xfId="6313"/>
    <cellStyle name="Обычный 10 5 4 4 2 3" xfId="6314"/>
    <cellStyle name="Обычный 10 5 4 4 2 3 2" xfId="6315"/>
    <cellStyle name="Обычный 10 5 4 4 2 3 3" xfId="6316"/>
    <cellStyle name="Обычный 10 5 4 4 2 4" xfId="6317"/>
    <cellStyle name="Обычный 10 5 4 4 2 4 2" xfId="6318"/>
    <cellStyle name="Обычный 10 5 4 4 2 5" xfId="6319"/>
    <cellStyle name="Обычный 10 5 4 4 2 6" xfId="6320"/>
    <cellStyle name="Обычный 10 5 4 4 3" xfId="6321"/>
    <cellStyle name="Обычный 10 5 4 4 3 2" xfId="6322"/>
    <cellStyle name="Обычный 10 5 4 4 3 3" xfId="6323"/>
    <cellStyle name="Обычный 10 5 4 4 4" xfId="6324"/>
    <cellStyle name="Обычный 10 5 4 4 4 2" xfId="6325"/>
    <cellStyle name="Обычный 10 5 4 4 4 3" xfId="6326"/>
    <cellStyle name="Обычный 10 5 4 4 5" xfId="6327"/>
    <cellStyle name="Обычный 10 5 4 4 5 2" xfId="6328"/>
    <cellStyle name="Обычный 10 5 4 4 6" xfId="6329"/>
    <cellStyle name="Обычный 10 5 4 4 7" xfId="6330"/>
    <cellStyle name="Обычный 10 5 4 5" xfId="6331"/>
    <cellStyle name="Обычный 10 5 4 5 2" xfId="6332"/>
    <cellStyle name="Обычный 10 5 4 5 2 2" xfId="6333"/>
    <cellStyle name="Обычный 10 5 4 5 2 3" xfId="6334"/>
    <cellStyle name="Обычный 10 5 4 5 3" xfId="6335"/>
    <cellStyle name="Обычный 10 5 4 5 3 2" xfId="6336"/>
    <cellStyle name="Обычный 10 5 4 5 3 3" xfId="6337"/>
    <cellStyle name="Обычный 10 5 4 5 4" xfId="6338"/>
    <cellStyle name="Обычный 10 5 4 5 4 2" xfId="6339"/>
    <cellStyle name="Обычный 10 5 4 5 5" xfId="6340"/>
    <cellStyle name="Обычный 10 5 4 5 6" xfId="6341"/>
    <cellStyle name="Обычный 10 5 4 6" xfId="6342"/>
    <cellStyle name="Обычный 10 5 4 6 2" xfId="6343"/>
    <cellStyle name="Обычный 10 5 4 6 3" xfId="6344"/>
    <cellStyle name="Обычный 10 5 4 7" xfId="6345"/>
    <cellStyle name="Обычный 10 5 4 7 2" xfId="6346"/>
    <cellStyle name="Обычный 10 5 4 7 3" xfId="6347"/>
    <cellStyle name="Обычный 10 5 4 8" xfId="6348"/>
    <cellStyle name="Обычный 10 5 4 8 2" xfId="6349"/>
    <cellStyle name="Обычный 10 5 4 9" xfId="6350"/>
    <cellStyle name="Обычный 10 5 5" xfId="6351"/>
    <cellStyle name="Обычный 10 5 5 10" xfId="6352"/>
    <cellStyle name="Обычный 10 5 5 2" xfId="6353"/>
    <cellStyle name="Обычный 10 5 5 2 2" xfId="6354"/>
    <cellStyle name="Обычный 10 5 5 2 2 2" xfId="6355"/>
    <cellStyle name="Обычный 10 5 5 2 2 2 2" xfId="6356"/>
    <cellStyle name="Обычный 10 5 5 2 2 2 2 2" xfId="6357"/>
    <cellStyle name="Обычный 10 5 5 2 2 2 2 2 2" xfId="6358"/>
    <cellStyle name="Обычный 10 5 5 2 2 2 2 2 3" xfId="6359"/>
    <cellStyle name="Обычный 10 5 5 2 2 2 2 3" xfId="6360"/>
    <cellStyle name="Обычный 10 5 5 2 2 2 2 3 2" xfId="6361"/>
    <cellStyle name="Обычный 10 5 5 2 2 2 2 3 3" xfId="6362"/>
    <cellStyle name="Обычный 10 5 5 2 2 2 2 4" xfId="6363"/>
    <cellStyle name="Обычный 10 5 5 2 2 2 2 4 2" xfId="6364"/>
    <cellStyle name="Обычный 10 5 5 2 2 2 2 5" xfId="6365"/>
    <cellStyle name="Обычный 10 5 5 2 2 2 2 6" xfId="6366"/>
    <cellStyle name="Обычный 10 5 5 2 2 2 3" xfId="6367"/>
    <cellStyle name="Обычный 10 5 5 2 2 2 3 2" xfId="6368"/>
    <cellStyle name="Обычный 10 5 5 2 2 2 3 3" xfId="6369"/>
    <cellStyle name="Обычный 10 5 5 2 2 2 4" xfId="6370"/>
    <cellStyle name="Обычный 10 5 5 2 2 2 4 2" xfId="6371"/>
    <cellStyle name="Обычный 10 5 5 2 2 2 4 3" xfId="6372"/>
    <cellStyle name="Обычный 10 5 5 2 2 2 5" xfId="6373"/>
    <cellStyle name="Обычный 10 5 5 2 2 2 5 2" xfId="6374"/>
    <cellStyle name="Обычный 10 5 5 2 2 2 6" xfId="6375"/>
    <cellStyle name="Обычный 10 5 5 2 2 2 7" xfId="6376"/>
    <cellStyle name="Обычный 10 5 5 2 2 3" xfId="6377"/>
    <cellStyle name="Обычный 10 5 5 2 2 3 2" xfId="6378"/>
    <cellStyle name="Обычный 10 5 5 2 2 3 2 2" xfId="6379"/>
    <cellStyle name="Обычный 10 5 5 2 2 3 2 3" xfId="6380"/>
    <cellStyle name="Обычный 10 5 5 2 2 3 3" xfId="6381"/>
    <cellStyle name="Обычный 10 5 5 2 2 3 3 2" xfId="6382"/>
    <cellStyle name="Обычный 10 5 5 2 2 3 3 3" xfId="6383"/>
    <cellStyle name="Обычный 10 5 5 2 2 3 4" xfId="6384"/>
    <cellStyle name="Обычный 10 5 5 2 2 3 4 2" xfId="6385"/>
    <cellStyle name="Обычный 10 5 5 2 2 3 5" xfId="6386"/>
    <cellStyle name="Обычный 10 5 5 2 2 3 6" xfId="6387"/>
    <cellStyle name="Обычный 10 5 5 2 2 4" xfId="6388"/>
    <cellStyle name="Обычный 10 5 5 2 2 4 2" xfId="6389"/>
    <cellStyle name="Обычный 10 5 5 2 2 4 3" xfId="6390"/>
    <cellStyle name="Обычный 10 5 5 2 2 5" xfId="6391"/>
    <cellStyle name="Обычный 10 5 5 2 2 5 2" xfId="6392"/>
    <cellStyle name="Обычный 10 5 5 2 2 5 3" xfId="6393"/>
    <cellStyle name="Обычный 10 5 5 2 2 6" xfId="6394"/>
    <cellStyle name="Обычный 10 5 5 2 2 6 2" xfId="6395"/>
    <cellStyle name="Обычный 10 5 5 2 2 7" xfId="6396"/>
    <cellStyle name="Обычный 10 5 5 2 2 8" xfId="6397"/>
    <cellStyle name="Обычный 10 5 5 2 3" xfId="6398"/>
    <cellStyle name="Обычный 10 5 5 2 3 2" xfId="6399"/>
    <cellStyle name="Обычный 10 5 5 2 3 2 2" xfId="6400"/>
    <cellStyle name="Обычный 10 5 5 2 3 2 2 2" xfId="6401"/>
    <cellStyle name="Обычный 10 5 5 2 3 2 2 3" xfId="6402"/>
    <cellStyle name="Обычный 10 5 5 2 3 2 3" xfId="6403"/>
    <cellStyle name="Обычный 10 5 5 2 3 2 3 2" xfId="6404"/>
    <cellStyle name="Обычный 10 5 5 2 3 2 3 3" xfId="6405"/>
    <cellStyle name="Обычный 10 5 5 2 3 2 4" xfId="6406"/>
    <cellStyle name="Обычный 10 5 5 2 3 2 4 2" xfId="6407"/>
    <cellStyle name="Обычный 10 5 5 2 3 2 5" xfId="6408"/>
    <cellStyle name="Обычный 10 5 5 2 3 2 6" xfId="6409"/>
    <cellStyle name="Обычный 10 5 5 2 3 3" xfId="6410"/>
    <cellStyle name="Обычный 10 5 5 2 3 3 2" xfId="6411"/>
    <cellStyle name="Обычный 10 5 5 2 3 3 3" xfId="6412"/>
    <cellStyle name="Обычный 10 5 5 2 3 4" xfId="6413"/>
    <cellStyle name="Обычный 10 5 5 2 3 4 2" xfId="6414"/>
    <cellStyle name="Обычный 10 5 5 2 3 4 3" xfId="6415"/>
    <cellStyle name="Обычный 10 5 5 2 3 5" xfId="6416"/>
    <cellStyle name="Обычный 10 5 5 2 3 5 2" xfId="6417"/>
    <cellStyle name="Обычный 10 5 5 2 3 6" xfId="6418"/>
    <cellStyle name="Обычный 10 5 5 2 3 7" xfId="6419"/>
    <cellStyle name="Обычный 10 5 5 2 4" xfId="6420"/>
    <cellStyle name="Обычный 10 5 5 2 4 2" xfId="6421"/>
    <cellStyle name="Обычный 10 5 5 2 4 2 2" xfId="6422"/>
    <cellStyle name="Обычный 10 5 5 2 4 2 3" xfId="6423"/>
    <cellStyle name="Обычный 10 5 5 2 4 3" xfId="6424"/>
    <cellStyle name="Обычный 10 5 5 2 4 3 2" xfId="6425"/>
    <cellStyle name="Обычный 10 5 5 2 4 3 3" xfId="6426"/>
    <cellStyle name="Обычный 10 5 5 2 4 4" xfId="6427"/>
    <cellStyle name="Обычный 10 5 5 2 4 4 2" xfId="6428"/>
    <cellStyle name="Обычный 10 5 5 2 4 5" xfId="6429"/>
    <cellStyle name="Обычный 10 5 5 2 4 6" xfId="6430"/>
    <cellStyle name="Обычный 10 5 5 2 5" xfId="6431"/>
    <cellStyle name="Обычный 10 5 5 2 5 2" xfId="6432"/>
    <cellStyle name="Обычный 10 5 5 2 5 3" xfId="6433"/>
    <cellStyle name="Обычный 10 5 5 2 6" xfId="6434"/>
    <cellStyle name="Обычный 10 5 5 2 6 2" xfId="6435"/>
    <cellStyle name="Обычный 10 5 5 2 6 3" xfId="6436"/>
    <cellStyle name="Обычный 10 5 5 2 7" xfId="6437"/>
    <cellStyle name="Обычный 10 5 5 2 7 2" xfId="6438"/>
    <cellStyle name="Обычный 10 5 5 2 8" xfId="6439"/>
    <cellStyle name="Обычный 10 5 5 2 9" xfId="6440"/>
    <cellStyle name="Обычный 10 5 5 3" xfId="6441"/>
    <cellStyle name="Обычный 10 5 5 3 2" xfId="6442"/>
    <cellStyle name="Обычный 10 5 5 3 2 2" xfId="6443"/>
    <cellStyle name="Обычный 10 5 5 3 2 2 2" xfId="6444"/>
    <cellStyle name="Обычный 10 5 5 3 2 2 2 2" xfId="6445"/>
    <cellStyle name="Обычный 10 5 5 3 2 2 2 3" xfId="6446"/>
    <cellStyle name="Обычный 10 5 5 3 2 2 3" xfId="6447"/>
    <cellStyle name="Обычный 10 5 5 3 2 2 3 2" xfId="6448"/>
    <cellStyle name="Обычный 10 5 5 3 2 2 3 3" xfId="6449"/>
    <cellStyle name="Обычный 10 5 5 3 2 2 4" xfId="6450"/>
    <cellStyle name="Обычный 10 5 5 3 2 2 4 2" xfId="6451"/>
    <cellStyle name="Обычный 10 5 5 3 2 2 5" xfId="6452"/>
    <cellStyle name="Обычный 10 5 5 3 2 2 6" xfId="6453"/>
    <cellStyle name="Обычный 10 5 5 3 2 3" xfId="6454"/>
    <cellStyle name="Обычный 10 5 5 3 2 3 2" xfId="6455"/>
    <cellStyle name="Обычный 10 5 5 3 2 3 3" xfId="6456"/>
    <cellStyle name="Обычный 10 5 5 3 2 4" xfId="6457"/>
    <cellStyle name="Обычный 10 5 5 3 2 4 2" xfId="6458"/>
    <cellStyle name="Обычный 10 5 5 3 2 4 3" xfId="6459"/>
    <cellStyle name="Обычный 10 5 5 3 2 5" xfId="6460"/>
    <cellStyle name="Обычный 10 5 5 3 2 5 2" xfId="6461"/>
    <cellStyle name="Обычный 10 5 5 3 2 6" xfId="6462"/>
    <cellStyle name="Обычный 10 5 5 3 2 7" xfId="6463"/>
    <cellStyle name="Обычный 10 5 5 3 3" xfId="6464"/>
    <cellStyle name="Обычный 10 5 5 3 3 2" xfId="6465"/>
    <cellStyle name="Обычный 10 5 5 3 3 2 2" xfId="6466"/>
    <cellStyle name="Обычный 10 5 5 3 3 2 3" xfId="6467"/>
    <cellStyle name="Обычный 10 5 5 3 3 3" xfId="6468"/>
    <cellStyle name="Обычный 10 5 5 3 3 3 2" xfId="6469"/>
    <cellStyle name="Обычный 10 5 5 3 3 3 3" xfId="6470"/>
    <cellStyle name="Обычный 10 5 5 3 3 4" xfId="6471"/>
    <cellStyle name="Обычный 10 5 5 3 3 4 2" xfId="6472"/>
    <cellStyle name="Обычный 10 5 5 3 3 5" xfId="6473"/>
    <cellStyle name="Обычный 10 5 5 3 3 6" xfId="6474"/>
    <cellStyle name="Обычный 10 5 5 3 4" xfId="6475"/>
    <cellStyle name="Обычный 10 5 5 3 4 2" xfId="6476"/>
    <cellStyle name="Обычный 10 5 5 3 4 3" xfId="6477"/>
    <cellStyle name="Обычный 10 5 5 3 5" xfId="6478"/>
    <cellStyle name="Обычный 10 5 5 3 5 2" xfId="6479"/>
    <cellStyle name="Обычный 10 5 5 3 5 3" xfId="6480"/>
    <cellStyle name="Обычный 10 5 5 3 6" xfId="6481"/>
    <cellStyle name="Обычный 10 5 5 3 6 2" xfId="6482"/>
    <cellStyle name="Обычный 10 5 5 3 7" xfId="6483"/>
    <cellStyle name="Обычный 10 5 5 3 8" xfId="6484"/>
    <cellStyle name="Обычный 10 5 5 4" xfId="6485"/>
    <cellStyle name="Обычный 10 5 5 4 2" xfId="6486"/>
    <cellStyle name="Обычный 10 5 5 4 2 2" xfId="6487"/>
    <cellStyle name="Обычный 10 5 5 4 2 2 2" xfId="6488"/>
    <cellStyle name="Обычный 10 5 5 4 2 2 3" xfId="6489"/>
    <cellStyle name="Обычный 10 5 5 4 2 3" xfId="6490"/>
    <cellStyle name="Обычный 10 5 5 4 2 3 2" xfId="6491"/>
    <cellStyle name="Обычный 10 5 5 4 2 3 3" xfId="6492"/>
    <cellStyle name="Обычный 10 5 5 4 2 4" xfId="6493"/>
    <cellStyle name="Обычный 10 5 5 4 2 4 2" xfId="6494"/>
    <cellStyle name="Обычный 10 5 5 4 2 5" xfId="6495"/>
    <cellStyle name="Обычный 10 5 5 4 2 6" xfId="6496"/>
    <cellStyle name="Обычный 10 5 5 4 3" xfId="6497"/>
    <cellStyle name="Обычный 10 5 5 4 3 2" xfId="6498"/>
    <cellStyle name="Обычный 10 5 5 4 3 3" xfId="6499"/>
    <cellStyle name="Обычный 10 5 5 4 4" xfId="6500"/>
    <cellStyle name="Обычный 10 5 5 4 4 2" xfId="6501"/>
    <cellStyle name="Обычный 10 5 5 4 4 3" xfId="6502"/>
    <cellStyle name="Обычный 10 5 5 4 5" xfId="6503"/>
    <cellStyle name="Обычный 10 5 5 4 5 2" xfId="6504"/>
    <cellStyle name="Обычный 10 5 5 4 6" xfId="6505"/>
    <cellStyle name="Обычный 10 5 5 4 7" xfId="6506"/>
    <cellStyle name="Обычный 10 5 5 5" xfId="6507"/>
    <cellStyle name="Обычный 10 5 5 5 2" xfId="6508"/>
    <cellStyle name="Обычный 10 5 5 5 2 2" xfId="6509"/>
    <cellStyle name="Обычный 10 5 5 5 2 3" xfId="6510"/>
    <cellStyle name="Обычный 10 5 5 5 3" xfId="6511"/>
    <cellStyle name="Обычный 10 5 5 5 3 2" xfId="6512"/>
    <cellStyle name="Обычный 10 5 5 5 3 3" xfId="6513"/>
    <cellStyle name="Обычный 10 5 5 5 4" xfId="6514"/>
    <cellStyle name="Обычный 10 5 5 5 4 2" xfId="6515"/>
    <cellStyle name="Обычный 10 5 5 5 5" xfId="6516"/>
    <cellStyle name="Обычный 10 5 5 5 6" xfId="6517"/>
    <cellStyle name="Обычный 10 5 5 6" xfId="6518"/>
    <cellStyle name="Обычный 10 5 5 6 2" xfId="6519"/>
    <cellStyle name="Обычный 10 5 5 6 3" xfId="6520"/>
    <cellStyle name="Обычный 10 5 5 7" xfId="6521"/>
    <cellStyle name="Обычный 10 5 5 7 2" xfId="6522"/>
    <cellStyle name="Обычный 10 5 5 7 3" xfId="6523"/>
    <cellStyle name="Обычный 10 5 5 8" xfId="6524"/>
    <cellStyle name="Обычный 10 5 5 8 2" xfId="6525"/>
    <cellStyle name="Обычный 10 5 5 9" xfId="6526"/>
    <cellStyle name="Обычный 10 5 6" xfId="6527"/>
    <cellStyle name="Обычный 10 5 6 2" xfId="6528"/>
    <cellStyle name="Обычный 10 5 6 2 2" xfId="6529"/>
    <cellStyle name="Обычный 10 5 6 2 2 2" xfId="6530"/>
    <cellStyle name="Обычный 10 5 6 2 2 2 2" xfId="6531"/>
    <cellStyle name="Обычный 10 5 6 2 2 2 2 2" xfId="6532"/>
    <cellStyle name="Обычный 10 5 6 2 2 2 2 3" xfId="6533"/>
    <cellStyle name="Обычный 10 5 6 2 2 2 3" xfId="6534"/>
    <cellStyle name="Обычный 10 5 6 2 2 2 3 2" xfId="6535"/>
    <cellStyle name="Обычный 10 5 6 2 2 2 3 3" xfId="6536"/>
    <cellStyle name="Обычный 10 5 6 2 2 2 4" xfId="6537"/>
    <cellStyle name="Обычный 10 5 6 2 2 2 4 2" xfId="6538"/>
    <cellStyle name="Обычный 10 5 6 2 2 2 5" xfId="6539"/>
    <cellStyle name="Обычный 10 5 6 2 2 2 6" xfId="6540"/>
    <cellStyle name="Обычный 10 5 6 2 2 3" xfId="6541"/>
    <cellStyle name="Обычный 10 5 6 2 2 3 2" xfId="6542"/>
    <cellStyle name="Обычный 10 5 6 2 2 3 3" xfId="6543"/>
    <cellStyle name="Обычный 10 5 6 2 2 4" xfId="6544"/>
    <cellStyle name="Обычный 10 5 6 2 2 4 2" xfId="6545"/>
    <cellStyle name="Обычный 10 5 6 2 2 4 3" xfId="6546"/>
    <cellStyle name="Обычный 10 5 6 2 2 5" xfId="6547"/>
    <cellStyle name="Обычный 10 5 6 2 2 5 2" xfId="6548"/>
    <cellStyle name="Обычный 10 5 6 2 2 6" xfId="6549"/>
    <cellStyle name="Обычный 10 5 6 2 2 7" xfId="6550"/>
    <cellStyle name="Обычный 10 5 6 2 3" xfId="6551"/>
    <cellStyle name="Обычный 10 5 6 2 3 2" xfId="6552"/>
    <cellStyle name="Обычный 10 5 6 2 3 2 2" xfId="6553"/>
    <cellStyle name="Обычный 10 5 6 2 3 2 3" xfId="6554"/>
    <cellStyle name="Обычный 10 5 6 2 3 3" xfId="6555"/>
    <cellStyle name="Обычный 10 5 6 2 3 3 2" xfId="6556"/>
    <cellStyle name="Обычный 10 5 6 2 3 3 3" xfId="6557"/>
    <cellStyle name="Обычный 10 5 6 2 3 4" xfId="6558"/>
    <cellStyle name="Обычный 10 5 6 2 3 4 2" xfId="6559"/>
    <cellStyle name="Обычный 10 5 6 2 3 5" xfId="6560"/>
    <cellStyle name="Обычный 10 5 6 2 3 6" xfId="6561"/>
    <cellStyle name="Обычный 10 5 6 2 4" xfId="6562"/>
    <cellStyle name="Обычный 10 5 6 2 4 2" xfId="6563"/>
    <cellStyle name="Обычный 10 5 6 2 4 3" xfId="6564"/>
    <cellStyle name="Обычный 10 5 6 2 5" xfId="6565"/>
    <cellStyle name="Обычный 10 5 6 2 5 2" xfId="6566"/>
    <cellStyle name="Обычный 10 5 6 2 5 3" xfId="6567"/>
    <cellStyle name="Обычный 10 5 6 2 6" xfId="6568"/>
    <cellStyle name="Обычный 10 5 6 2 6 2" xfId="6569"/>
    <cellStyle name="Обычный 10 5 6 2 7" xfId="6570"/>
    <cellStyle name="Обычный 10 5 6 2 8" xfId="6571"/>
    <cellStyle name="Обычный 10 5 6 3" xfId="6572"/>
    <cellStyle name="Обычный 10 5 6 3 2" xfId="6573"/>
    <cellStyle name="Обычный 10 5 6 3 2 2" xfId="6574"/>
    <cellStyle name="Обычный 10 5 6 3 2 2 2" xfId="6575"/>
    <cellStyle name="Обычный 10 5 6 3 2 2 3" xfId="6576"/>
    <cellStyle name="Обычный 10 5 6 3 2 3" xfId="6577"/>
    <cellStyle name="Обычный 10 5 6 3 2 3 2" xfId="6578"/>
    <cellStyle name="Обычный 10 5 6 3 2 3 3" xfId="6579"/>
    <cellStyle name="Обычный 10 5 6 3 2 4" xfId="6580"/>
    <cellStyle name="Обычный 10 5 6 3 2 4 2" xfId="6581"/>
    <cellStyle name="Обычный 10 5 6 3 2 5" xfId="6582"/>
    <cellStyle name="Обычный 10 5 6 3 2 6" xfId="6583"/>
    <cellStyle name="Обычный 10 5 6 3 3" xfId="6584"/>
    <cellStyle name="Обычный 10 5 6 3 3 2" xfId="6585"/>
    <cellStyle name="Обычный 10 5 6 3 3 3" xfId="6586"/>
    <cellStyle name="Обычный 10 5 6 3 4" xfId="6587"/>
    <cellStyle name="Обычный 10 5 6 3 4 2" xfId="6588"/>
    <cellStyle name="Обычный 10 5 6 3 4 3" xfId="6589"/>
    <cellStyle name="Обычный 10 5 6 3 5" xfId="6590"/>
    <cellStyle name="Обычный 10 5 6 3 5 2" xfId="6591"/>
    <cellStyle name="Обычный 10 5 6 3 6" xfId="6592"/>
    <cellStyle name="Обычный 10 5 6 3 7" xfId="6593"/>
    <cellStyle name="Обычный 10 5 6 4" xfId="6594"/>
    <cellStyle name="Обычный 10 5 6 4 2" xfId="6595"/>
    <cellStyle name="Обычный 10 5 6 4 2 2" xfId="6596"/>
    <cellStyle name="Обычный 10 5 6 4 2 3" xfId="6597"/>
    <cellStyle name="Обычный 10 5 6 4 3" xfId="6598"/>
    <cellStyle name="Обычный 10 5 6 4 3 2" xfId="6599"/>
    <cellStyle name="Обычный 10 5 6 4 3 3" xfId="6600"/>
    <cellStyle name="Обычный 10 5 6 4 4" xfId="6601"/>
    <cellStyle name="Обычный 10 5 6 4 4 2" xfId="6602"/>
    <cellStyle name="Обычный 10 5 6 4 5" xfId="6603"/>
    <cellStyle name="Обычный 10 5 6 4 6" xfId="6604"/>
    <cellStyle name="Обычный 10 5 6 5" xfId="6605"/>
    <cellStyle name="Обычный 10 5 6 5 2" xfId="6606"/>
    <cellStyle name="Обычный 10 5 6 5 3" xfId="6607"/>
    <cellStyle name="Обычный 10 5 6 6" xfId="6608"/>
    <cellStyle name="Обычный 10 5 6 6 2" xfId="6609"/>
    <cellStyle name="Обычный 10 5 6 6 3" xfId="6610"/>
    <cellStyle name="Обычный 10 5 6 7" xfId="6611"/>
    <cellStyle name="Обычный 10 5 6 7 2" xfId="6612"/>
    <cellStyle name="Обычный 10 5 6 8" xfId="6613"/>
    <cellStyle name="Обычный 10 5 6 9" xfId="6614"/>
    <cellStyle name="Обычный 10 5 7" xfId="6615"/>
    <cellStyle name="Обычный 10 5 7 2" xfId="6616"/>
    <cellStyle name="Обычный 10 5 7 2 2" xfId="6617"/>
    <cellStyle name="Обычный 10 5 7 2 2 2" xfId="6618"/>
    <cellStyle name="Обычный 10 5 7 2 2 2 2" xfId="6619"/>
    <cellStyle name="Обычный 10 5 7 2 2 2 3" xfId="6620"/>
    <cellStyle name="Обычный 10 5 7 2 2 3" xfId="6621"/>
    <cellStyle name="Обычный 10 5 7 2 2 3 2" xfId="6622"/>
    <cellStyle name="Обычный 10 5 7 2 2 3 3" xfId="6623"/>
    <cellStyle name="Обычный 10 5 7 2 2 4" xfId="6624"/>
    <cellStyle name="Обычный 10 5 7 2 2 4 2" xfId="6625"/>
    <cellStyle name="Обычный 10 5 7 2 2 5" xfId="6626"/>
    <cellStyle name="Обычный 10 5 7 2 2 6" xfId="6627"/>
    <cellStyle name="Обычный 10 5 7 2 3" xfId="6628"/>
    <cellStyle name="Обычный 10 5 7 2 3 2" xfId="6629"/>
    <cellStyle name="Обычный 10 5 7 2 3 3" xfId="6630"/>
    <cellStyle name="Обычный 10 5 7 2 4" xfId="6631"/>
    <cellStyle name="Обычный 10 5 7 2 4 2" xfId="6632"/>
    <cellStyle name="Обычный 10 5 7 2 4 3" xfId="6633"/>
    <cellStyle name="Обычный 10 5 7 2 5" xfId="6634"/>
    <cellStyle name="Обычный 10 5 7 2 5 2" xfId="6635"/>
    <cellStyle name="Обычный 10 5 7 2 6" xfId="6636"/>
    <cellStyle name="Обычный 10 5 7 2 7" xfId="6637"/>
    <cellStyle name="Обычный 10 5 7 3" xfId="6638"/>
    <cellStyle name="Обычный 10 5 7 3 2" xfId="6639"/>
    <cellStyle name="Обычный 10 5 7 3 2 2" xfId="6640"/>
    <cellStyle name="Обычный 10 5 7 3 2 3" xfId="6641"/>
    <cellStyle name="Обычный 10 5 7 3 3" xfId="6642"/>
    <cellStyle name="Обычный 10 5 7 3 3 2" xfId="6643"/>
    <cellStyle name="Обычный 10 5 7 3 3 3" xfId="6644"/>
    <cellStyle name="Обычный 10 5 7 3 4" xfId="6645"/>
    <cellStyle name="Обычный 10 5 7 3 4 2" xfId="6646"/>
    <cellStyle name="Обычный 10 5 7 3 5" xfId="6647"/>
    <cellStyle name="Обычный 10 5 7 3 6" xfId="6648"/>
    <cellStyle name="Обычный 10 5 7 4" xfId="6649"/>
    <cellStyle name="Обычный 10 5 7 4 2" xfId="6650"/>
    <cellStyle name="Обычный 10 5 7 4 3" xfId="6651"/>
    <cellStyle name="Обычный 10 5 7 5" xfId="6652"/>
    <cellStyle name="Обычный 10 5 7 5 2" xfId="6653"/>
    <cellStyle name="Обычный 10 5 7 5 3" xfId="6654"/>
    <cellStyle name="Обычный 10 5 7 6" xfId="6655"/>
    <cellStyle name="Обычный 10 5 7 6 2" xfId="6656"/>
    <cellStyle name="Обычный 10 5 7 7" xfId="6657"/>
    <cellStyle name="Обычный 10 5 7 8" xfId="6658"/>
    <cellStyle name="Обычный 10 5 8" xfId="6659"/>
    <cellStyle name="Обычный 10 5 8 2" xfId="6660"/>
    <cellStyle name="Обычный 10 5 8 2 2" xfId="6661"/>
    <cellStyle name="Обычный 10 5 8 2 2 2" xfId="6662"/>
    <cellStyle name="Обычный 10 5 8 2 2 3" xfId="6663"/>
    <cellStyle name="Обычный 10 5 8 2 3" xfId="6664"/>
    <cellStyle name="Обычный 10 5 8 2 3 2" xfId="6665"/>
    <cellStyle name="Обычный 10 5 8 2 3 3" xfId="6666"/>
    <cellStyle name="Обычный 10 5 8 2 4" xfId="6667"/>
    <cellStyle name="Обычный 10 5 8 2 4 2" xfId="6668"/>
    <cellStyle name="Обычный 10 5 8 2 5" xfId="6669"/>
    <cellStyle name="Обычный 10 5 8 2 6" xfId="6670"/>
    <cellStyle name="Обычный 10 5 8 3" xfId="6671"/>
    <cellStyle name="Обычный 10 5 8 3 2" xfId="6672"/>
    <cellStyle name="Обычный 10 5 8 3 3" xfId="6673"/>
    <cellStyle name="Обычный 10 5 8 4" xfId="6674"/>
    <cellStyle name="Обычный 10 5 8 4 2" xfId="6675"/>
    <cellStyle name="Обычный 10 5 8 4 3" xfId="6676"/>
    <cellStyle name="Обычный 10 5 8 5" xfId="6677"/>
    <cellStyle name="Обычный 10 5 8 5 2" xfId="6678"/>
    <cellStyle name="Обычный 10 5 8 6" xfId="6679"/>
    <cellStyle name="Обычный 10 5 8 7" xfId="6680"/>
    <cellStyle name="Обычный 10 5 9" xfId="6681"/>
    <cellStyle name="Обычный 10 5 9 2" xfId="6682"/>
    <cellStyle name="Обычный 10 5 9 2 2" xfId="6683"/>
    <cellStyle name="Обычный 10 5 9 2 3" xfId="6684"/>
    <cellStyle name="Обычный 10 5 9 3" xfId="6685"/>
    <cellStyle name="Обычный 10 5 9 3 2" xfId="6686"/>
    <cellStyle name="Обычный 10 5 9 3 3" xfId="6687"/>
    <cellStyle name="Обычный 10 5 9 4" xfId="6688"/>
    <cellStyle name="Обычный 10 5 9 4 2" xfId="6689"/>
    <cellStyle name="Обычный 10 5 9 5" xfId="6690"/>
    <cellStyle name="Обычный 10 5 9 6" xfId="6691"/>
    <cellStyle name="Обычный 10 6" xfId="6692"/>
    <cellStyle name="Обычный 10 6 10" xfId="6693"/>
    <cellStyle name="Обычный 10 6 10 2" xfId="6694"/>
    <cellStyle name="Обычный 10 6 10 3" xfId="6695"/>
    <cellStyle name="Обычный 10 6 11" xfId="6696"/>
    <cellStyle name="Обычный 10 6 11 2" xfId="6697"/>
    <cellStyle name="Обычный 10 6 11 3" xfId="6698"/>
    <cellStyle name="Обычный 10 6 12" xfId="6699"/>
    <cellStyle name="Обычный 10 6 12 2" xfId="6700"/>
    <cellStyle name="Обычный 10 6 13" xfId="6701"/>
    <cellStyle name="Обычный 10 6 14" xfId="6702"/>
    <cellStyle name="Обычный 10 6 2" xfId="6703"/>
    <cellStyle name="Обычный 10 6 2 10" xfId="6704"/>
    <cellStyle name="Обычный 10 6 2 10 2" xfId="6705"/>
    <cellStyle name="Обычный 10 6 2 10 3" xfId="6706"/>
    <cellStyle name="Обычный 10 6 2 11" xfId="6707"/>
    <cellStyle name="Обычный 10 6 2 11 2" xfId="6708"/>
    <cellStyle name="Обычный 10 6 2 12" xfId="6709"/>
    <cellStyle name="Обычный 10 6 2 13" xfId="6710"/>
    <cellStyle name="Обычный 10 6 2 2" xfId="6711"/>
    <cellStyle name="Обычный 10 6 2 2 10" xfId="6712"/>
    <cellStyle name="Обычный 10 6 2 2 2" xfId="6713"/>
    <cellStyle name="Обычный 10 6 2 2 2 2" xfId="6714"/>
    <cellStyle name="Обычный 10 6 2 2 2 2 2" xfId="6715"/>
    <cellStyle name="Обычный 10 6 2 2 2 2 2 2" xfId="6716"/>
    <cellStyle name="Обычный 10 6 2 2 2 2 2 2 2" xfId="6717"/>
    <cellStyle name="Обычный 10 6 2 2 2 2 2 2 2 2" xfId="6718"/>
    <cellStyle name="Обычный 10 6 2 2 2 2 2 2 2 3" xfId="6719"/>
    <cellStyle name="Обычный 10 6 2 2 2 2 2 2 3" xfId="6720"/>
    <cellStyle name="Обычный 10 6 2 2 2 2 2 2 3 2" xfId="6721"/>
    <cellStyle name="Обычный 10 6 2 2 2 2 2 2 3 3" xfId="6722"/>
    <cellStyle name="Обычный 10 6 2 2 2 2 2 2 4" xfId="6723"/>
    <cellStyle name="Обычный 10 6 2 2 2 2 2 2 4 2" xfId="6724"/>
    <cellStyle name="Обычный 10 6 2 2 2 2 2 2 5" xfId="6725"/>
    <cellStyle name="Обычный 10 6 2 2 2 2 2 2 6" xfId="6726"/>
    <cellStyle name="Обычный 10 6 2 2 2 2 2 3" xfId="6727"/>
    <cellStyle name="Обычный 10 6 2 2 2 2 2 3 2" xfId="6728"/>
    <cellStyle name="Обычный 10 6 2 2 2 2 2 3 3" xfId="6729"/>
    <cellStyle name="Обычный 10 6 2 2 2 2 2 4" xfId="6730"/>
    <cellStyle name="Обычный 10 6 2 2 2 2 2 4 2" xfId="6731"/>
    <cellStyle name="Обычный 10 6 2 2 2 2 2 4 3" xfId="6732"/>
    <cellStyle name="Обычный 10 6 2 2 2 2 2 5" xfId="6733"/>
    <cellStyle name="Обычный 10 6 2 2 2 2 2 5 2" xfId="6734"/>
    <cellStyle name="Обычный 10 6 2 2 2 2 2 6" xfId="6735"/>
    <cellStyle name="Обычный 10 6 2 2 2 2 2 7" xfId="6736"/>
    <cellStyle name="Обычный 10 6 2 2 2 2 3" xfId="6737"/>
    <cellStyle name="Обычный 10 6 2 2 2 2 3 2" xfId="6738"/>
    <cellStyle name="Обычный 10 6 2 2 2 2 3 2 2" xfId="6739"/>
    <cellStyle name="Обычный 10 6 2 2 2 2 3 2 3" xfId="6740"/>
    <cellStyle name="Обычный 10 6 2 2 2 2 3 3" xfId="6741"/>
    <cellStyle name="Обычный 10 6 2 2 2 2 3 3 2" xfId="6742"/>
    <cellStyle name="Обычный 10 6 2 2 2 2 3 3 3" xfId="6743"/>
    <cellStyle name="Обычный 10 6 2 2 2 2 3 4" xfId="6744"/>
    <cellStyle name="Обычный 10 6 2 2 2 2 3 4 2" xfId="6745"/>
    <cellStyle name="Обычный 10 6 2 2 2 2 3 5" xfId="6746"/>
    <cellStyle name="Обычный 10 6 2 2 2 2 3 6" xfId="6747"/>
    <cellStyle name="Обычный 10 6 2 2 2 2 4" xfId="6748"/>
    <cellStyle name="Обычный 10 6 2 2 2 2 4 2" xfId="6749"/>
    <cellStyle name="Обычный 10 6 2 2 2 2 4 3" xfId="6750"/>
    <cellStyle name="Обычный 10 6 2 2 2 2 5" xfId="6751"/>
    <cellStyle name="Обычный 10 6 2 2 2 2 5 2" xfId="6752"/>
    <cellStyle name="Обычный 10 6 2 2 2 2 5 3" xfId="6753"/>
    <cellStyle name="Обычный 10 6 2 2 2 2 6" xfId="6754"/>
    <cellStyle name="Обычный 10 6 2 2 2 2 6 2" xfId="6755"/>
    <cellStyle name="Обычный 10 6 2 2 2 2 7" xfId="6756"/>
    <cellStyle name="Обычный 10 6 2 2 2 2 8" xfId="6757"/>
    <cellStyle name="Обычный 10 6 2 2 2 3" xfId="6758"/>
    <cellStyle name="Обычный 10 6 2 2 2 3 2" xfId="6759"/>
    <cellStyle name="Обычный 10 6 2 2 2 3 2 2" xfId="6760"/>
    <cellStyle name="Обычный 10 6 2 2 2 3 2 2 2" xfId="6761"/>
    <cellStyle name="Обычный 10 6 2 2 2 3 2 2 3" xfId="6762"/>
    <cellStyle name="Обычный 10 6 2 2 2 3 2 3" xfId="6763"/>
    <cellStyle name="Обычный 10 6 2 2 2 3 2 3 2" xfId="6764"/>
    <cellStyle name="Обычный 10 6 2 2 2 3 2 3 3" xfId="6765"/>
    <cellStyle name="Обычный 10 6 2 2 2 3 2 4" xfId="6766"/>
    <cellStyle name="Обычный 10 6 2 2 2 3 2 4 2" xfId="6767"/>
    <cellStyle name="Обычный 10 6 2 2 2 3 2 5" xfId="6768"/>
    <cellStyle name="Обычный 10 6 2 2 2 3 2 6" xfId="6769"/>
    <cellStyle name="Обычный 10 6 2 2 2 3 3" xfId="6770"/>
    <cellStyle name="Обычный 10 6 2 2 2 3 3 2" xfId="6771"/>
    <cellStyle name="Обычный 10 6 2 2 2 3 3 3" xfId="6772"/>
    <cellStyle name="Обычный 10 6 2 2 2 3 4" xfId="6773"/>
    <cellStyle name="Обычный 10 6 2 2 2 3 4 2" xfId="6774"/>
    <cellStyle name="Обычный 10 6 2 2 2 3 4 3" xfId="6775"/>
    <cellStyle name="Обычный 10 6 2 2 2 3 5" xfId="6776"/>
    <cellStyle name="Обычный 10 6 2 2 2 3 5 2" xfId="6777"/>
    <cellStyle name="Обычный 10 6 2 2 2 3 6" xfId="6778"/>
    <cellStyle name="Обычный 10 6 2 2 2 3 7" xfId="6779"/>
    <cellStyle name="Обычный 10 6 2 2 2 4" xfId="6780"/>
    <cellStyle name="Обычный 10 6 2 2 2 4 2" xfId="6781"/>
    <cellStyle name="Обычный 10 6 2 2 2 4 2 2" xfId="6782"/>
    <cellStyle name="Обычный 10 6 2 2 2 4 2 3" xfId="6783"/>
    <cellStyle name="Обычный 10 6 2 2 2 4 3" xfId="6784"/>
    <cellStyle name="Обычный 10 6 2 2 2 4 3 2" xfId="6785"/>
    <cellStyle name="Обычный 10 6 2 2 2 4 3 3" xfId="6786"/>
    <cellStyle name="Обычный 10 6 2 2 2 4 4" xfId="6787"/>
    <cellStyle name="Обычный 10 6 2 2 2 4 4 2" xfId="6788"/>
    <cellStyle name="Обычный 10 6 2 2 2 4 5" xfId="6789"/>
    <cellStyle name="Обычный 10 6 2 2 2 4 6" xfId="6790"/>
    <cellStyle name="Обычный 10 6 2 2 2 5" xfId="6791"/>
    <cellStyle name="Обычный 10 6 2 2 2 5 2" xfId="6792"/>
    <cellStyle name="Обычный 10 6 2 2 2 5 3" xfId="6793"/>
    <cellStyle name="Обычный 10 6 2 2 2 6" xfId="6794"/>
    <cellStyle name="Обычный 10 6 2 2 2 6 2" xfId="6795"/>
    <cellStyle name="Обычный 10 6 2 2 2 6 3" xfId="6796"/>
    <cellStyle name="Обычный 10 6 2 2 2 7" xfId="6797"/>
    <cellStyle name="Обычный 10 6 2 2 2 7 2" xfId="6798"/>
    <cellStyle name="Обычный 10 6 2 2 2 8" xfId="6799"/>
    <cellStyle name="Обычный 10 6 2 2 2 9" xfId="6800"/>
    <cellStyle name="Обычный 10 6 2 2 3" xfId="6801"/>
    <cellStyle name="Обычный 10 6 2 2 3 2" xfId="6802"/>
    <cellStyle name="Обычный 10 6 2 2 3 2 2" xfId="6803"/>
    <cellStyle name="Обычный 10 6 2 2 3 2 2 2" xfId="6804"/>
    <cellStyle name="Обычный 10 6 2 2 3 2 2 2 2" xfId="6805"/>
    <cellStyle name="Обычный 10 6 2 2 3 2 2 2 3" xfId="6806"/>
    <cellStyle name="Обычный 10 6 2 2 3 2 2 3" xfId="6807"/>
    <cellStyle name="Обычный 10 6 2 2 3 2 2 3 2" xfId="6808"/>
    <cellStyle name="Обычный 10 6 2 2 3 2 2 3 3" xfId="6809"/>
    <cellStyle name="Обычный 10 6 2 2 3 2 2 4" xfId="6810"/>
    <cellStyle name="Обычный 10 6 2 2 3 2 2 4 2" xfId="6811"/>
    <cellStyle name="Обычный 10 6 2 2 3 2 2 5" xfId="6812"/>
    <cellStyle name="Обычный 10 6 2 2 3 2 2 6" xfId="6813"/>
    <cellStyle name="Обычный 10 6 2 2 3 2 3" xfId="6814"/>
    <cellStyle name="Обычный 10 6 2 2 3 2 3 2" xfId="6815"/>
    <cellStyle name="Обычный 10 6 2 2 3 2 3 3" xfId="6816"/>
    <cellStyle name="Обычный 10 6 2 2 3 2 4" xfId="6817"/>
    <cellStyle name="Обычный 10 6 2 2 3 2 4 2" xfId="6818"/>
    <cellStyle name="Обычный 10 6 2 2 3 2 4 3" xfId="6819"/>
    <cellStyle name="Обычный 10 6 2 2 3 2 5" xfId="6820"/>
    <cellStyle name="Обычный 10 6 2 2 3 2 5 2" xfId="6821"/>
    <cellStyle name="Обычный 10 6 2 2 3 2 6" xfId="6822"/>
    <cellStyle name="Обычный 10 6 2 2 3 2 7" xfId="6823"/>
    <cellStyle name="Обычный 10 6 2 2 3 3" xfId="6824"/>
    <cellStyle name="Обычный 10 6 2 2 3 3 2" xfId="6825"/>
    <cellStyle name="Обычный 10 6 2 2 3 3 2 2" xfId="6826"/>
    <cellStyle name="Обычный 10 6 2 2 3 3 2 3" xfId="6827"/>
    <cellStyle name="Обычный 10 6 2 2 3 3 3" xfId="6828"/>
    <cellStyle name="Обычный 10 6 2 2 3 3 3 2" xfId="6829"/>
    <cellStyle name="Обычный 10 6 2 2 3 3 3 3" xfId="6830"/>
    <cellStyle name="Обычный 10 6 2 2 3 3 4" xfId="6831"/>
    <cellStyle name="Обычный 10 6 2 2 3 3 4 2" xfId="6832"/>
    <cellStyle name="Обычный 10 6 2 2 3 3 5" xfId="6833"/>
    <cellStyle name="Обычный 10 6 2 2 3 3 6" xfId="6834"/>
    <cellStyle name="Обычный 10 6 2 2 3 4" xfId="6835"/>
    <cellStyle name="Обычный 10 6 2 2 3 4 2" xfId="6836"/>
    <cellStyle name="Обычный 10 6 2 2 3 4 3" xfId="6837"/>
    <cellStyle name="Обычный 10 6 2 2 3 5" xfId="6838"/>
    <cellStyle name="Обычный 10 6 2 2 3 5 2" xfId="6839"/>
    <cellStyle name="Обычный 10 6 2 2 3 5 3" xfId="6840"/>
    <cellStyle name="Обычный 10 6 2 2 3 6" xfId="6841"/>
    <cellStyle name="Обычный 10 6 2 2 3 6 2" xfId="6842"/>
    <cellStyle name="Обычный 10 6 2 2 3 7" xfId="6843"/>
    <cellStyle name="Обычный 10 6 2 2 3 8" xfId="6844"/>
    <cellStyle name="Обычный 10 6 2 2 4" xfId="6845"/>
    <cellStyle name="Обычный 10 6 2 2 4 2" xfId="6846"/>
    <cellStyle name="Обычный 10 6 2 2 4 2 2" xfId="6847"/>
    <cellStyle name="Обычный 10 6 2 2 4 2 2 2" xfId="6848"/>
    <cellStyle name="Обычный 10 6 2 2 4 2 2 3" xfId="6849"/>
    <cellStyle name="Обычный 10 6 2 2 4 2 3" xfId="6850"/>
    <cellStyle name="Обычный 10 6 2 2 4 2 3 2" xfId="6851"/>
    <cellStyle name="Обычный 10 6 2 2 4 2 3 3" xfId="6852"/>
    <cellStyle name="Обычный 10 6 2 2 4 2 4" xfId="6853"/>
    <cellStyle name="Обычный 10 6 2 2 4 2 4 2" xfId="6854"/>
    <cellStyle name="Обычный 10 6 2 2 4 2 5" xfId="6855"/>
    <cellStyle name="Обычный 10 6 2 2 4 2 6" xfId="6856"/>
    <cellStyle name="Обычный 10 6 2 2 4 3" xfId="6857"/>
    <cellStyle name="Обычный 10 6 2 2 4 3 2" xfId="6858"/>
    <cellStyle name="Обычный 10 6 2 2 4 3 3" xfId="6859"/>
    <cellStyle name="Обычный 10 6 2 2 4 4" xfId="6860"/>
    <cellStyle name="Обычный 10 6 2 2 4 4 2" xfId="6861"/>
    <cellStyle name="Обычный 10 6 2 2 4 4 3" xfId="6862"/>
    <cellStyle name="Обычный 10 6 2 2 4 5" xfId="6863"/>
    <cellStyle name="Обычный 10 6 2 2 4 5 2" xfId="6864"/>
    <cellStyle name="Обычный 10 6 2 2 4 6" xfId="6865"/>
    <cellStyle name="Обычный 10 6 2 2 4 7" xfId="6866"/>
    <cellStyle name="Обычный 10 6 2 2 5" xfId="6867"/>
    <cellStyle name="Обычный 10 6 2 2 5 2" xfId="6868"/>
    <cellStyle name="Обычный 10 6 2 2 5 2 2" xfId="6869"/>
    <cellStyle name="Обычный 10 6 2 2 5 2 3" xfId="6870"/>
    <cellStyle name="Обычный 10 6 2 2 5 3" xfId="6871"/>
    <cellStyle name="Обычный 10 6 2 2 5 3 2" xfId="6872"/>
    <cellStyle name="Обычный 10 6 2 2 5 3 3" xfId="6873"/>
    <cellStyle name="Обычный 10 6 2 2 5 4" xfId="6874"/>
    <cellStyle name="Обычный 10 6 2 2 5 4 2" xfId="6875"/>
    <cellStyle name="Обычный 10 6 2 2 5 5" xfId="6876"/>
    <cellStyle name="Обычный 10 6 2 2 5 6" xfId="6877"/>
    <cellStyle name="Обычный 10 6 2 2 6" xfId="6878"/>
    <cellStyle name="Обычный 10 6 2 2 6 2" xfId="6879"/>
    <cellStyle name="Обычный 10 6 2 2 6 3" xfId="6880"/>
    <cellStyle name="Обычный 10 6 2 2 7" xfId="6881"/>
    <cellStyle name="Обычный 10 6 2 2 7 2" xfId="6882"/>
    <cellStyle name="Обычный 10 6 2 2 7 3" xfId="6883"/>
    <cellStyle name="Обычный 10 6 2 2 8" xfId="6884"/>
    <cellStyle name="Обычный 10 6 2 2 8 2" xfId="6885"/>
    <cellStyle name="Обычный 10 6 2 2 9" xfId="6886"/>
    <cellStyle name="Обычный 10 6 2 3" xfId="6887"/>
    <cellStyle name="Обычный 10 6 2 3 10" xfId="6888"/>
    <cellStyle name="Обычный 10 6 2 3 2" xfId="6889"/>
    <cellStyle name="Обычный 10 6 2 3 2 2" xfId="6890"/>
    <cellStyle name="Обычный 10 6 2 3 2 2 2" xfId="6891"/>
    <cellStyle name="Обычный 10 6 2 3 2 2 2 2" xfId="6892"/>
    <cellStyle name="Обычный 10 6 2 3 2 2 2 2 2" xfId="6893"/>
    <cellStyle name="Обычный 10 6 2 3 2 2 2 2 2 2" xfId="6894"/>
    <cellStyle name="Обычный 10 6 2 3 2 2 2 2 2 3" xfId="6895"/>
    <cellStyle name="Обычный 10 6 2 3 2 2 2 2 3" xfId="6896"/>
    <cellStyle name="Обычный 10 6 2 3 2 2 2 2 3 2" xfId="6897"/>
    <cellStyle name="Обычный 10 6 2 3 2 2 2 2 3 3" xfId="6898"/>
    <cellStyle name="Обычный 10 6 2 3 2 2 2 2 4" xfId="6899"/>
    <cellStyle name="Обычный 10 6 2 3 2 2 2 2 4 2" xfId="6900"/>
    <cellStyle name="Обычный 10 6 2 3 2 2 2 2 5" xfId="6901"/>
    <cellStyle name="Обычный 10 6 2 3 2 2 2 2 6" xfId="6902"/>
    <cellStyle name="Обычный 10 6 2 3 2 2 2 3" xfId="6903"/>
    <cellStyle name="Обычный 10 6 2 3 2 2 2 3 2" xfId="6904"/>
    <cellStyle name="Обычный 10 6 2 3 2 2 2 3 3" xfId="6905"/>
    <cellStyle name="Обычный 10 6 2 3 2 2 2 4" xfId="6906"/>
    <cellStyle name="Обычный 10 6 2 3 2 2 2 4 2" xfId="6907"/>
    <cellStyle name="Обычный 10 6 2 3 2 2 2 4 3" xfId="6908"/>
    <cellStyle name="Обычный 10 6 2 3 2 2 2 5" xfId="6909"/>
    <cellStyle name="Обычный 10 6 2 3 2 2 2 5 2" xfId="6910"/>
    <cellStyle name="Обычный 10 6 2 3 2 2 2 6" xfId="6911"/>
    <cellStyle name="Обычный 10 6 2 3 2 2 2 7" xfId="6912"/>
    <cellStyle name="Обычный 10 6 2 3 2 2 3" xfId="6913"/>
    <cellStyle name="Обычный 10 6 2 3 2 2 3 2" xfId="6914"/>
    <cellStyle name="Обычный 10 6 2 3 2 2 3 2 2" xfId="6915"/>
    <cellStyle name="Обычный 10 6 2 3 2 2 3 2 3" xfId="6916"/>
    <cellStyle name="Обычный 10 6 2 3 2 2 3 3" xfId="6917"/>
    <cellStyle name="Обычный 10 6 2 3 2 2 3 3 2" xfId="6918"/>
    <cellStyle name="Обычный 10 6 2 3 2 2 3 3 3" xfId="6919"/>
    <cellStyle name="Обычный 10 6 2 3 2 2 3 4" xfId="6920"/>
    <cellStyle name="Обычный 10 6 2 3 2 2 3 4 2" xfId="6921"/>
    <cellStyle name="Обычный 10 6 2 3 2 2 3 5" xfId="6922"/>
    <cellStyle name="Обычный 10 6 2 3 2 2 3 6" xfId="6923"/>
    <cellStyle name="Обычный 10 6 2 3 2 2 4" xfId="6924"/>
    <cellStyle name="Обычный 10 6 2 3 2 2 4 2" xfId="6925"/>
    <cellStyle name="Обычный 10 6 2 3 2 2 4 3" xfId="6926"/>
    <cellStyle name="Обычный 10 6 2 3 2 2 5" xfId="6927"/>
    <cellStyle name="Обычный 10 6 2 3 2 2 5 2" xfId="6928"/>
    <cellStyle name="Обычный 10 6 2 3 2 2 5 3" xfId="6929"/>
    <cellStyle name="Обычный 10 6 2 3 2 2 6" xfId="6930"/>
    <cellStyle name="Обычный 10 6 2 3 2 2 6 2" xfId="6931"/>
    <cellStyle name="Обычный 10 6 2 3 2 2 7" xfId="6932"/>
    <cellStyle name="Обычный 10 6 2 3 2 2 8" xfId="6933"/>
    <cellStyle name="Обычный 10 6 2 3 2 3" xfId="6934"/>
    <cellStyle name="Обычный 10 6 2 3 2 3 2" xfId="6935"/>
    <cellStyle name="Обычный 10 6 2 3 2 3 2 2" xfId="6936"/>
    <cellStyle name="Обычный 10 6 2 3 2 3 2 2 2" xfId="6937"/>
    <cellStyle name="Обычный 10 6 2 3 2 3 2 2 3" xfId="6938"/>
    <cellStyle name="Обычный 10 6 2 3 2 3 2 3" xfId="6939"/>
    <cellStyle name="Обычный 10 6 2 3 2 3 2 3 2" xfId="6940"/>
    <cellStyle name="Обычный 10 6 2 3 2 3 2 3 3" xfId="6941"/>
    <cellStyle name="Обычный 10 6 2 3 2 3 2 4" xfId="6942"/>
    <cellStyle name="Обычный 10 6 2 3 2 3 2 4 2" xfId="6943"/>
    <cellStyle name="Обычный 10 6 2 3 2 3 2 5" xfId="6944"/>
    <cellStyle name="Обычный 10 6 2 3 2 3 2 6" xfId="6945"/>
    <cellStyle name="Обычный 10 6 2 3 2 3 3" xfId="6946"/>
    <cellStyle name="Обычный 10 6 2 3 2 3 3 2" xfId="6947"/>
    <cellStyle name="Обычный 10 6 2 3 2 3 3 3" xfId="6948"/>
    <cellStyle name="Обычный 10 6 2 3 2 3 4" xfId="6949"/>
    <cellStyle name="Обычный 10 6 2 3 2 3 4 2" xfId="6950"/>
    <cellStyle name="Обычный 10 6 2 3 2 3 4 3" xfId="6951"/>
    <cellStyle name="Обычный 10 6 2 3 2 3 5" xfId="6952"/>
    <cellStyle name="Обычный 10 6 2 3 2 3 5 2" xfId="6953"/>
    <cellStyle name="Обычный 10 6 2 3 2 3 6" xfId="6954"/>
    <cellStyle name="Обычный 10 6 2 3 2 3 7" xfId="6955"/>
    <cellStyle name="Обычный 10 6 2 3 2 4" xfId="6956"/>
    <cellStyle name="Обычный 10 6 2 3 2 4 2" xfId="6957"/>
    <cellStyle name="Обычный 10 6 2 3 2 4 2 2" xfId="6958"/>
    <cellStyle name="Обычный 10 6 2 3 2 4 2 3" xfId="6959"/>
    <cellStyle name="Обычный 10 6 2 3 2 4 3" xfId="6960"/>
    <cellStyle name="Обычный 10 6 2 3 2 4 3 2" xfId="6961"/>
    <cellStyle name="Обычный 10 6 2 3 2 4 3 3" xfId="6962"/>
    <cellStyle name="Обычный 10 6 2 3 2 4 4" xfId="6963"/>
    <cellStyle name="Обычный 10 6 2 3 2 4 4 2" xfId="6964"/>
    <cellStyle name="Обычный 10 6 2 3 2 4 5" xfId="6965"/>
    <cellStyle name="Обычный 10 6 2 3 2 4 6" xfId="6966"/>
    <cellStyle name="Обычный 10 6 2 3 2 5" xfId="6967"/>
    <cellStyle name="Обычный 10 6 2 3 2 5 2" xfId="6968"/>
    <cellStyle name="Обычный 10 6 2 3 2 5 3" xfId="6969"/>
    <cellStyle name="Обычный 10 6 2 3 2 6" xfId="6970"/>
    <cellStyle name="Обычный 10 6 2 3 2 6 2" xfId="6971"/>
    <cellStyle name="Обычный 10 6 2 3 2 6 3" xfId="6972"/>
    <cellStyle name="Обычный 10 6 2 3 2 7" xfId="6973"/>
    <cellStyle name="Обычный 10 6 2 3 2 7 2" xfId="6974"/>
    <cellStyle name="Обычный 10 6 2 3 2 8" xfId="6975"/>
    <cellStyle name="Обычный 10 6 2 3 2 9" xfId="6976"/>
    <cellStyle name="Обычный 10 6 2 3 3" xfId="6977"/>
    <cellStyle name="Обычный 10 6 2 3 3 2" xfId="6978"/>
    <cellStyle name="Обычный 10 6 2 3 3 2 2" xfId="6979"/>
    <cellStyle name="Обычный 10 6 2 3 3 2 2 2" xfId="6980"/>
    <cellStyle name="Обычный 10 6 2 3 3 2 2 2 2" xfId="6981"/>
    <cellStyle name="Обычный 10 6 2 3 3 2 2 2 3" xfId="6982"/>
    <cellStyle name="Обычный 10 6 2 3 3 2 2 3" xfId="6983"/>
    <cellStyle name="Обычный 10 6 2 3 3 2 2 3 2" xfId="6984"/>
    <cellStyle name="Обычный 10 6 2 3 3 2 2 3 3" xfId="6985"/>
    <cellStyle name="Обычный 10 6 2 3 3 2 2 4" xfId="6986"/>
    <cellStyle name="Обычный 10 6 2 3 3 2 2 4 2" xfId="6987"/>
    <cellStyle name="Обычный 10 6 2 3 3 2 2 5" xfId="6988"/>
    <cellStyle name="Обычный 10 6 2 3 3 2 2 6" xfId="6989"/>
    <cellStyle name="Обычный 10 6 2 3 3 2 3" xfId="6990"/>
    <cellStyle name="Обычный 10 6 2 3 3 2 3 2" xfId="6991"/>
    <cellStyle name="Обычный 10 6 2 3 3 2 3 3" xfId="6992"/>
    <cellStyle name="Обычный 10 6 2 3 3 2 4" xfId="6993"/>
    <cellStyle name="Обычный 10 6 2 3 3 2 4 2" xfId="6994"/>
    <cellStyle name="Обычный 10 6 2 3 3 2 4 3" xfId="6995"/>
    <cellStyle name="Обычный 10 6 2 3 3 2 5" xfId="6996"/>
    <cellStyle name="Обычный 10 6 2 3 3 2 5 2" xfId="6997"/>
    <cellStyle name="Обычный 10 6 2 3 3 2 6" xfId="6998"/>
    <cellStyle name="Обычный 10 6 2 3 3 2 7" xfId="6999"/>
    <cellStyle name="Обычный 10 6 2 3 3 3" xfId="7000"/>
    <cellStyle name="Обычный 10 6 2 3 3 3 2" xfId="7001"/>
    <cellStyle name="Обычный 10 6 2 3 3 3 2 2" xfId="7002"/>
    <cellStyle name="Обычный 10 6 2 3 3 3 2 3" xfId="7003"/>
    <cellStyle name="Обычный 10 6 2 3 3 3 3" xfId="7004"/>
    <cellStyle name="Обычный 10 6 2 3 3 3 3 2" xfId="7005"/>
    <cellStyle name="Обычный 10 6 2 3 3 3 3 3" xfId="7006"/>
    <cellStyle name="Обычный 10 6 2 3 3 3 4" xfId="7007"/>
    <cellStyle name="Обычный 10 6 2 3 3 3 4 2" xfId="7008"/>
    <cellStyle name="Обычный 10 6 2 3 3 3 5" xfId="7009"/>
    <cellStyle name="Обычный 10 6 2 3 3 3 6" xfId="7010"/>
    <cellStyle name="Обычный 10 6 2 3 3 4" xfId="7011"/>
    <cellStyle name="Обычный 10 6 2 3 3 4 2" xfId="7012"/>
    <cellStyle name="Обычный 10 6 2 3 3 4 3" xfId="7013"/>
    <cellStyle name="Обычный 10 6 2 3 3 5" xfId="7014"/>
    <cellStyle name="Обычный 10 6 2 3 3 5 2" xfId="7015"/>
    <cellStyle name="Обычный 10 6 2 3 3 5 3" xfId="7016"/>
    <cellStyle name="Обычный 10 6 2 3 3 6" xfId="7017"/>
    <cellStyle name="Обычный 10 6 2 3 3 6 2" xfId="7018"/>
    <cellStyle name="Обычный 10 6 2 3 3 7" xfId="7019"/>
    <cellStyle name="Обычный 10 6 2 3 3 8" xfId="7020"/>
    <cellStyle name="Обычный 10 6 2 3 4" xfId="7021"/>
    <cellStyle name="Обычный 10 6 2 3 4 2" xfId="7022"/>
    <cellStyle name="Обычный 10 6 2 3 4 2 2" xfId="7023"/>
    <cellStyle name="Обычный 10 6 2 3 4 2 2 2" xfId="7024"/>
    <cellStyle name="Обычный 10 6 2 3 4 2 2 3" xfId="7025"/>
    <cellStyle name="Обычный 10 6 2 3 4 2 3" xfId="7026"/>
    <cellStyle name="Обычный 10 6 2 3 4 2 3 2" xfId="7027"/>
    <cellStyle name="Обычный 10 6 2 3 4 2 3 3" xfId="7028"/>
    <cellStyle name="Обычный 10 6 2 3 4 2 4" xfId="7029"/>
    <cellStyle name="Обычный 10 6 2 3 4 2 4 2" xfId="7030"/>
    <cellStyle name="Обычный 10 6 2 3 4 2 5" xfId="7031"/>
    <cellStyle name="Обычный 10 6 2 3 4 2 6" xfId="7032"/>
    <cellStyle name="Обычный 10 6 2 3 4 3" xfId="7033"/>
    <cellStyle name="Обычный 10 6 2 3 4 3 2" xfId="7034"/>
    <cellStyle name="Обычный 10 6 2 3 4 3 3" xfId="7035"/>
    <cellStyle name="Обычный 10 6 2 3 4 4" xfId="7036"/>
    <cellStyle name="Обычный 10 6 2 3 4 4 2" xfId="7037"/>
    <cellStyle name="Обычный 10 6 2 3 4 4 3" xfId="7038"/>
    <cellStyle name="Обычный 10 6 2 3 4 5" xfId="7039"/>
    <cellStyle name="Обычный 10 6 2 3 4 5 2" xfId="7040"/>
    <cellStyle name="Обычный 10 6 2 3 4 6" xfId="7041"/>
    <cellStyle name="Обычный 10 6 2 3 4 7" xfId="7042"/>
    <cellStyle name="Обычный 10 6 2 3 5" xfId="7043"/>
    <cellStyle name="Обычный 10 6 2 3 5 2" xfId="7044"/>
    <cellStyle name="Обычный 10 6 2 3 5 2 2" xfId="7045"/>
    <cellStyle name="Обычный 10 6 2 3 5 2 3" xfId="7046"/>
    <cellStyle name="Обычный 10 6 2 3 5 3" xfId="7047"/>
    <cellStyle name="Обычный 10 6 2 3 5 3 2" xfId="7048"/>
    <cellStyle name="Обычный 10 6 2 3 5 3 3" xfId="7049"/>
    <cellStyle name="Обычный 10 6 2 3 5 4" xfId="7050"/>
    <cellStyle name="Обычный 10 6 2 3 5 4 2" xfId="7051"/>
    <cellStyle name="Обычный 10 6 2 3 5 5" xfId="7052"/>
    <cellStyle name="Обычный 10 6 2 3 5 6" xfId="7053"/>
    <cellStyle name="Обычный 10 6 2 3 6" xfId="7054"/>
    <cellStyle name="Обычный 10 6 2 3 6 2" xfId="7055"/>
    <cellStyle name="Обычный 10 6 2 3 6 3" xfId="7056"/>
    <cellStyle name="Обычный 10 6 2 3 7" xfId="7057"/>
    <cellStyle name="Обычный 10 6 2 3 7 2" xfId="7058"/>
    <cellStyle name="Обычный 10 6 2 3 7 3" xfId="7059"/>
    <cellStyle name="Обычный 10 6 2 3 8" xfId="7060"/>
    <cellStyle name="Обычный 10 6 2 3 8 2" xfId="7061"/>
    <cellStyle name="Обычный 10 6 2 3 9" xfId="7062"/>
    <cellStyle name="Обычный 10 6 2 4" xfId="7063"/>
    <cellStyle name="Обычный 10 6 2 4 10" xfId="7064"/>
    <cellStyle name="Обычный 10 6 2 4 2" xfId="7065"/>
    <cellStyle name="Обычный 10 6 2 4 2 2" xfId="7066"/>
    <cellStyle name="Обычный 10 6 2 4 2 2 2" xfId="7067"/>
    <cellStyle name="Обычный 10 6 2 4 2 2 2 2" xfId="7068"/>
    <cellStyle name="Обычный 10 6 2 4 2 2 2 2 2" xfId="7069"/>
    <cellStyle name="Обычный 10 6 2 4 2 2 2 2 2 2" xfId="7070"/>
    <cellStyle name="Обычный 10 6 2 4 2 2 2 2 2 3" xfId="7071"/>
    <cellStyle name="Обычный 10 6 2 4 2 2 2 2 3" xfId="7072"/>
    <cellStyle name="Обычный 10 6 2 4 2 2 2 2 3 2" xfId="7073"/>
    <cellStyle name="Обычный 10 6 2 4 2 2 2 2 3 3" xfId="7074"/>
    <cellStyle name="Обычный 10 6 2 4 2 2 2 2 4" xfId="7075"/>
    <cellStyle name="Обычный 10 6 2 4 2 2 2 2 4 2" xfId="7076"/>
    <cellStyle name="Обычный 10 6 2 4 2 2 2 2 5" xfId="7077"/>
    <cellStyle name="Обычный 10 6 2 4 2 2 2 2 6" xfId="7078"/>
    <cellStyle name="Обычный 10 6 2 4 2 2 2 3" xfId="7079"/>
    <cellStyle name="Обычный 10 6 2 4 2 2 2 3 2" xfId="7080"/>
    <cellStyle name="Обычный 10 6 2 4 2 2 2 3 3" xfId="7081"/>
    <cellStyle name="Обычный 10 6 2 4 2 2 2 4" xfId="7082"/>
    <cellStyle name="Обычный 10 6 2 4 2 2 2 4 2" xfId="7083"/>
    <cellStyle name="Обычный 10 6 2 4 2 2 2 4 3" xfId="7084"/>
    <cellStyle name="Обычный 10 6 2 4 2 2 2 5" xfId="7085"/>
    <cellStyle name="Обычный 10 6 2 4 2 2 2 5 2" xfId="7086"/>
    <cellStyle name="Обычный 10 6 2 4 2 2 2 6" xfId="7087"/>
    <cellStyle name="Обычный 10 6 2 4 2 2 2 7" xfId="7088"/>
    <cellStyle name="Обычный 10 6 2 4 2 2 3" xfId="7089"/>
    <cellStyle name="Обычный 10 6 2 4 2 2 3 2" xfId="7090"/>
    <cellStyle name="Обычный 10 6 2 4 2 2 3 2 2" xfId="7091"/>
    <cellStyle name="Обычный 10 6 2 4 2 2 3 2 3" xfId="7092"/>
    <cellStyle name="Обычный 10 6 2 4 2 2 3 3" xfId="7093"/>
    <cellStyle name="Обычный 10 6 2 4 2 2 3 3 2" xfId="7094"/>
    <cellStyle name="Обычный 10 6 2 4 2 2 3 3 3" xfId="7095"/>
    <cellStyle name="Обычный 10 6 2 4 2 2 3 4" xfId="7096"/>
    <cellStyle name="Обычный 10 6 2 4 2 2 3 4 2" xfId="7097"/>
    <cellStyle name="Обычный 10 6 2 4 2 2 3 5" xfId="7098"/>
    <cellStyle name="Обычный 10 6 2 4 2 2 3 6" xfId="7099"/>
    <cellStyle name="Обычный 10 6 2 4 2 2 4" xfId="7100"/>
    <cellStyle name="Обычный 10 6 2 4 2 2 4 2" xfId="7101"/>
    <cellStyle name="Обычный 10 6 2 4 2 2 4 3" xfId="7102"/>
    <cellStyle name="Обычный 10 6 2 4 2 2 5" xfId="7103"/>
    <cellStyle name="Обычный 10 6 2 4 2 2 5 2" xfId="7104"/>
    <cellStyle name="Обычный 10 6 2 4 2 2 5 3" xfId="7105"/>
    <cellStyle name="Обычный 10 6 2 4 2 2 6" xfId="7106"/>
    <cellStyle name="Обычный 10 6 2 4 2 2 6 2" xfId="7107"/>
    <cellStyle name="Обычный 10 6 2 4 2 2 7" xfId="7108"/>
    <cellStyle name="Обычный 10 6 2 4 2 2 8" xfId="7109"/>
    <cellStyle name="Обычный 10 6 2 4 2 3" xfId="7110"/>
    <cellStyle name="Обычный 10 6 2 4 2 3 2" xfId="7111"/>
    <cellStyle name="Обычный 10 6 2 4 2 3 2 2" xfId="7112"/>
    <cellStyle name="Обычный 10 6 2 4 2 3 2 2 2" xfId="7113"/>
    <cellStyle name="Обычный 10 6 2 4 2 3 2 2 3" xfId="7114"/>
    <cellStyle name="Обычный 10 6 2 4 2 3 2 3" xfId="7115"/>
    <cellStyle name="Обычный 10 6 2 4 2 3 2 3 2" xfId="7116"/>
    <cellStyle name="Обычный 10 6 2 4 2 3 2 3 3" xfId="7117"/>
    <cellStyle name="Обычный 10 6 2 4 2 3 2 4" xfId="7118"/>
    <cellStyle name="Обычный 10 6 2 4 2 3 2 4 2" xfId="7119"/>
    <cellStyle name="Обычный 10 6 2 4 2 3 2 5" xfId="7120"/>
    <cellStyle name="Обычный 10 6 2 4 2 3 2 6" xfId="7121"/>
    <cellStyle name="Обычный 10 6 2 4 2 3 3" xfId="7122"/>
    <cellStyle name="Обычный 10 6 2 4 2 3 3 2" xfId="7123"/>
    <cellStyle name="Обычный 10 6 2 4 2 3 3 3" xfId="7124"/>
    <cellStyle name="Обычный 10 6 2 4 2 3 4" xfId="7125"/>
    <cellStyle name="Обычный 10 6 2 4 2 3 4 2" xfId="7126"/>
    <cellStyle name="Обычный 10 6 2 4 2 3 4 3" xfId="7127"/>
    <cellStyle name="Обычный 10 6 2 4 2 3 5" xfId="7128"/>
    <cellStyle name="Обычный 10 6 2 4 2 3 5 2" xfId="7129"/>
    <cellStyle name="Обычный 10 6 2 4 2 3 6" xfId="7130"/>
    <cellStyle name="Обычный 10 6 2 4 2 3 7" xfId="7131"/>
    <cellStyle name="Обычный 10 6 2 4 2 4" xfId="7132"/>
    <cellStyle name="Обычный 10 6 2 4 2 4 2" xfId="7133"/>
    <cellStyle name="Обычный 10 6 2 4 2 4 2 2" xfId="7134"/>
    <cellStyle name="Обычный 10 6 2 4 2 4 2 3" xfId="7135"/>
    <cellStyle name="Обычный 10 6 2 4 2 4 3" xfId="7136"/>
    <cellStyle name="Обычный 10 6 2 4 2 4 3 2" xfId="7137"/>
    <cellStyle name="Обычный 10 6 2 4 2 4 3 3" xfId="7138"/>
    <cellStyle name="Обычный 10 6 2 4 2 4 4" xfId="7139"/>
    <cellStyle name="Обычный 10 6 2 4 2 4 4 2" xfId="7140"/>
    <cellStyle name="Обычный 10 6 2 4 2 4 5" xfId="7141"/>
    <cellStyle name="Обычный 10 6 2 4 2 4 6" xfId="7142"/>
    <cellStyle name="Обычный 10 6 2 4 2 5" xfId="7143"/>
    <cellStyle name="Обычный 10 6 2 4 2 5 2" xfId="7144"/>
    <cellStyle name="Обычный 10 6 2 4 2 5 3" xfId="7145"/>
    <cellStyle name="Обычный 10 6 2 4 2 6" xfId="7146"/>
    <cellStyle name="Обычный 10 6 2 4 2 6 2" xfId="7147"/>
    <cellStyle name="Обычный 10 6 2 4 2 6 3" xfId="7148"/>
    <cellStyle name="Обычный 10 6 2 4 2 7" xfId="7149"/>
    <cellStyle name="Обычный 10 6 2 4 2 7 2" xfId="7150"/>
    <cellStyle name="Обычный 10 6 2 4 2 8" xfId="7151"/>
    <cellStyle name="Обычный 10 6 2 4 2 9" xfId="7152"/>
    <cellStyle name="Обычный 10 6 2 4 3" xfId="7153"/>
    <cellStyle name="Обычный 10 6 2 4 3 2" xfId="7154"/>
    <cellStyle name="Обычный 10 6 2 4 3 2 2" xfId="7155"/>
    <cellStyle name="Обычный 10 6 2 4 3 2 2 2" xfId="7156"/>
    <cellStyle name="Обычный 10 6 2 4 3 2 2 2 2" xfId="7157"/>
    <cellStyle name="Обычный 10 6 2 4 3 2 2 2 3" xfId="7158"/>
    <cellStyle name="Обычный 10 6 2 4 3 2 2 3" xfId="7159"/>
    <cellStyle name="Обычный 10 6 2 4 3 2 2 3 2" xfId="7160"/>
    <cellStyle name="Обычный 10 6 2 4 3 2 2 3 3" xfId="7161"/>
    <cellStyle name="Обычный 10 6 2 4 3 2 2 4" xfId="7162"/>
    <cellStyle name="Обычный 10 6 2 4 3 2 2 4 2" xfId="7163"/>
    <cellStyle name="Обычный 10 6 2 4 3 2 2 5" xfId="7164"/>
    <cellStyle name="Обычный 10 6 2 4 3 2 2 6" xfId="7165"/>
    <cellStyle name="Обычный 10 6 2 4 3 2 3" xfId="7166"/>
    <cellStyle name="Обычный 10 6 2 4 3 2 3 2" xfId="7167"/>
    <cellStyle name="Обычный 10 6 2 4 3 2 3 3" xfId="7168"/>
    <cellStyle name="Обычный 10 6 2 4 3 2 4" xfId="7169"/>
    <cellStyle name="Обычный 10 6 2 4 3 2 4 2" xfId="7170"/>
    <cellStyle name="Обычный 10 6 2 4 3 2 4 3" xfId="7171"/>
    <cellStyle name="Обычный 10 6 2 4 3 2 5" xfId="7172"/>
    <cellStyle name="Обычный 10 6 2 4 3 2 5 2" xfId="7173"/>
    <cellStyle name="Обычный 10 6 2 4 3 2 6" xfId="7174"/>
    <cellStyle name="Обычный 10 6 2 4 3 2 7" xfId="7175"/>
    <cellStyle name="Обычный 10 6 2 4 3 3" xfId="7176"/>
    <cellStyle name="Обычный 10 6 2 4 3 3 2" xfId="7177"/>
    <cellStyle name="Обычный 10 6 2 4 3 3 2 2" xfId="7178"/>
    <cellStyle name="Обычный 10 6 2 4 3 3 2 3" xfId="7179"/>
    <cellStyle name="Обычный 10 6 2 4 3 3 3" xfId="7180"/>
    <cellStyle name="Обычный 10 6 2 4 3 3 3 2" xfId="7181"/>
    <cellStyle name="Обычный 10 6 2 4 3 3 3 3" xfId="7182"/>
    <cellStyle name="Обычный 10 6 2 4 3 3 4" xfId="7183"/>
    <cellStyle name="Обычный 10 6 2 4 3 3 4 2" xfId="7184"/>
    <cellStyle name="Обычный 10 6 2 4 3 3 5" xfId="7185"/>
    <cellStyle name="Обычный 10 6 2 4 3 3 6" xfId="7186"/>
    <cellStyle name="Обычный 10 6 2 4 3 4" xfId="7187"/>
    <cellStyle name="Обычный 10 6 2 4 3 4 2" xfId="7188"/>
    <cellStyle name="Обычный 10 6 2 4 3 4 3" xfId="7189"/>
    <cellStyle name="Обычный 10 6 2 4 3 5" xfId="7190"/>
    <cellStyle name="Обычный 10 6 2 4 3 5 2" xfId="7191"/>
    <cellStyle name="Обычный 10 6 2 4 3 5 3" xfId="7192"/>
    <cellStyle name="Обычный 10 6 2 4 3 6" xfId="7193"/>
    <cellStyle name="Обычный 10 6 2 4 3 6 2" xfId="7194"/>
    <cellStyle name="Обычный 10 6 2 4 3 7" xfId="7195"/>
    <cellStyle name="Обычный 10 6 2 4 3 8" xfId="7196"/>
    <cellStyle name="Обычный 10 6 2 4 4" xfId="7197"/>
    <cellStyle name="Обычный 10 6 2 4 4 2" xfId="7198"/>
    <cellStyle name="Обычный 10 6 2 4 4 2 2" xfId="7199"/>
    <cellStyle name="Обычный 10 6 2 4 4 2 2 2" xfId="7200"/>
    <cellStyle name="Обычный 10 6 2 4 4 2 2 3" xfId="7201"/>
    <cellStyle name="Обычный 10 6 2 4 4 2 3" xfId="7202"/>
    <cellStyle name="Обычный 10 6 2 4 4 2 3 2" xfId="7203"/>
    <cellStyle name="Обычный 10 6 2 4 4 2 3 3" xfId="7204"/>
    <cellStyle name="Обычный 10 6 2 4 4 2 4" xfId="7205"/>
    <cellStyle name="Обычный 10 6 2 4 4 2 4 2" xfId="7206"/>
    <cellStyle name="Обычный 10 6 2 4 4 2 5" xfId="7207"/>
    <cellStyle name="Обычный 10 6 2 4 4 2 6" xfId="7208"/>
    <cellStyle name="Обычный 10 6 2 4 4 3" xfId="7209"/>
    <cellStyle name="Обычный 10 6 2 4 4 3 2" xfId="7210"/>
    <cellStyle name="Обычный 10 6 2 4 4 3 3" xfId="7211"/>
    <cellStyle name="Обычный 10 6 2 4 4 4" xfId="7212"/>
    <cellStyle name="Обычный 10 6 2 4 4 4 2" xfId="7213"/>
    <cellStyle name="Обычный 10 6 2 4 4 4 3" xfId="7214"/>
    <cellStyle name="Обычный 10 6 2 4 4 5" xfId="7215"/>
    <cellStyle name="Обычный 10 6 2 4 4 5 2" xfId="7216"/>
    <cellStyle name="Обычный 10 6 2 4 4 6" xfId="7217"/>
    <cellStyle name="Обычный 10 6 2 4 4 7" xfId="7218"/>
    <cellStyle name="Обычный 10 6 2 4 5" xfId="7219"/>
    <cellStyle name="Обычный 10 6 2 4 5 2" xfId="7220"/>
    <cellStyle name="Обычный 10 6 2 4 5 2 2" xfId="7221"/>
    <cellStyle name="Обычный 10 6 2 4 5 2 3" xfId="7222"/>
    <cellStyle name="Обычный 10 6 2 4 5 3" xfId="7223"/>
    <cellStyle name="Обычный 10 6 2 4 5 3 2" xfId="7224"/>
    <cellStyle name="Обычный 10 6 2 4 5 3 3" xfId="7225"/>
    <cellStyle name="Обычный 10 6 2 4 5 4" xfId="7226"/>
    <cellStyle name="Обычный 10 6 2 4 5 4 2" xfId="7227"/>
    <cellStyle name="Обычный 10 6 2 4 5 5" xfId="7228"/>
    <cellStyle name="Обычный 10 6 2 4 5 6" xfId="7229"/>
    <cellStyle name="Обычный 10 6 2 4 6" xfId="7230"/>
    <cellStyle name="Обычный 10 6 2 4 6 2" xfId="7231"/>
    <cellStyle name="Обычный 10 6 2 4 6 3" xfId="7232"/>
    <cellStyle name="Обычный 10 6 2 4 7" xfId="7233"/>
    <cellStyle name="Обычный 10 6 2 4 7 2" xfId="7234"/>
    <cellStyle name="Обычный 10 6 2 4 7 3" xfId="7235"/>
    <cellStyle name="Обычный 10 6 2 4 8" xfId="7236"/>
    <cellStyle name="Обычный 10 6 2 4 8 2" xfId="7237"/>
    <cellStyle name="Обычный 10 6 2 4 9" xfId="7238"/>
    <cellStyle name="Обычный 10 6 2 5" xfId="7239"/>
    <cellStyle name="Обычный 10 6 2 5 2" xfId="7240"/>
    <cellStyle name="Обычный 10 6 2 5 2 2" xfId="7241"/>
    <cellStyle name="Обычный 10 6 2 5 2 2 2" xfId="7242"/>
    <cellStyle name="Обычный 10 6 2 5 2 2 2 2" xfId="7243"/>
    <cellStyle name="Обычный 10 6 2 5 2 2 2 2 2" xfId="7244"/>
    <cellStyle name="Обычный 10 6 2 5 2 2 2 2 3" xfId="7245"/>
    <cellStyle name="Обычный 10 6 2 5 2 2 2 3" xfId="7246"/>
    <cellStyle name="Обычный 10 6 2 5 2 2 2 3 2" xfId="7247"/>
    <cellStyle name="Обычный 10 6 2 5 2 2 2 3 3" xfId="7248"/>
    <cellStyle name="Обычный 10 6 2 5 2 2 2 4" xfId="7249"/>
    <cellStyle name="Обычный 10 6 2 5 2 2 2 4 2" xfId="7250"/>
    <cellStyle name="Обычный 10 6 2 5 2 2 2 5" xfId="7251"/>
    <cellStyle name="Обычный 10 6 2 5 2 2 2 6" xfId="7252"/>
    <cellStyle name="Обычный 10 6 2 5 2 2 3" xfId="7253"/>
    <cellStyle name="Обычный 10 6 2 5 2 2 3 2" xfId="7254"/>
    <cellStyle name="Обычный 10 6 2 5 2 2 3 3" xfId="7255"/>
    <cellStyle name="Обычный 10 6 2 5 2 2 4" xfId="7256"/>
    <cellStyle name="Обычный 10 6 2 5 2 2 4 2" xfId="7257"/>
    <cellStyle name="Обычный 10 6 2 5 2 2 4 3" xfId="7258"/>
    <cellStyle name="Обычный 10 6 2 5 2 2 5" xfId="7259"/>
    <cellStyle name="Обычный 10 6 2 5 2 2 5 2" xfId="7260"/>
    <cellStyle name="Обычный 10 6 2 5 2 2 6" xfId="7261"/>
    <cellStyle name="Обычный 10 6 2 5 2 2 7" xfId="7262"/>
    <cellStyle name="Обычный 10 6 2 5 2 3" xfId="7263"/>
    <cellStyle name="Обычный 10 6 2 5 2 3 2" xfId="7264"/>
    <cellStyle name="Обычный 10 6 2 5 2 3 2 2" xfId="7265"/>
    <cellStyle name="Обычный 10 6 2 5 2 3 2 3" xfId="7266"/>
    <cellStyle name="Обычный 10 6 2 5 2 3 3" xfId="7267"/>
    <cellStyle name="Обычный 10 6 2 5 2 3 3 2" xfId="7268"/>
    <cellStyle name="Обычный 10 6 2 5 2 3 3 3" xfId="7269"/>
    <cellStyle name="Обычный 10 6 2 5 2 3 4" xfId="7270"/>
    <cellStyle name="Обычный 10 6 2 5 2 3 4 2" xfId="7271"/>
    <cellStyle name="Обычный 10 6 2 5 2 3 5" xfId="7272"/>
    <cellStyle name="Обычный 10 6 2 5 2 3 6" xfId="7273"/>
    <cellStyle name="Обычный 10 6 2 5 2 4" xfId="7274"/>
    <cellStyle name="Обычный 10 6 2 5 2 4 2" xfId="7275"/>
    <cellStyle name="Обычный 10 6 2 5 2 4 3" xfId="7276"/>
    <cellStyle name="Обычный 10 6 2 5 2 5" xfId="7277"/>
    <cellStyle name="Обычный 10 6 2 5 2 5 2" xfId="7278"/>
    <cellStyle name="Обычный 10 6 2 5 2 5 3" xfId="7279"/>
    <cellStyle name="Обычный 10 6 2 5 2 6" xfId="7280"/>
    <cellStyle name="Обычный 10 6 2 5 2 6 2" xfId="7281"/>
    <cellStyle name="Обычный 10 6 2 5 2 7" xfId="7282"/>
    <cellStyle name="Обычный 10 6 2 5 2 8" xfId="7283"/>
    <cellStyle name="Обычный 10 6 2 5 3" xfId="7284"/>
    <cellStyle name="Обычный 10 6 2 5 3 2" xfId="7285"/>
    <cellStyle name="Обычный 10 6 2 5 3 2 2" xfId="7286"/>
    <cellStyle name="Обычный 10 6 2 5 3 2 2 2" xfId="7287"/>
    <cellStyle name="Обычный 10 6 2 5 3 2 2 3" xfId="7288"/>
    <cellStyle name="Обычный 10 6 2 5 3 2 3" xfId="7289"/>
    <cellStyle name="Обычный 10 6 2 5 3 2 3 2" xfId="7290"/>
    <cellStyle name="Обычный 10 6 2 5 3 2 3 3" xfId="7291"/>
    <cellStyle name="Обычный 10 6 2 5 3 2 4" xfId="7292"/>
    <cellStyle name="Обычный 10 6 2 5 3 2 4 2" xfId="7293"/>
    <cellStyle name="Обычный 10 6 2 5 3 2 5" xfId="7294"/>
    <cellStyle name="Обычный 10 6 2 5 3 2 6" xfId="7295"/>
    <cellStyle name="Обычный 10 6 2 5 3 3" xfId="7296"/>
    <cellStyle name="Обычный 10 6 2 5 3 3 2" xfId="7297"/>
    <cellStyle name="Обычный 10 6 2 5 3 3 3" xfId="7298"/>
    <cellStyle name="Обычный 10 6 2 5 3 4" xfId="7299"/>
    <cellStyle name="Обычный 10 6 2 5 3 4 2" xfId="7300"/>
    <cellStyle name="Обычный 10 6 2 5 3 4 3" xfId="7301"/>
    <cellStyle name="Обычный 10 6 2 5 3 5" xfId="7302"/>
    <cellStyle name="Обычный 10 6 2 5 3 5 2" xfId="7303"/>
    <cellStyle name="Обычный 10 6 2 5 3 6" xfId="7304"/>
    <cellStyle name="Обычный 10 6 2 5 3 7" xfId="7305"/>
    <cellStyle name="Обычный 10 6 2 5 4" xfId="7306"/>
    <cellStyle name="Обычный 10 6 2 5 4 2" xfId="7307"/>
    <cellStyle name="Обычный 10 6 2 5 4 2 2" xfId="7308"/>
    <cellStyle name="Обычный 10 6 2 5 4 2 3" xfId="7309"/>
    <cellStyle name="Обычный 10 6 2 5 4 3" xfId="7310"/>
    <cellStyle name="Обычный 10 6 2 5 4 3 2" xfId="7311"/>
    <cellStyle name="Обычный 10 6 2 5 4 3 3" xfId="7312"/>
    <cellStyle name="Обычный 10 6 2 5 4 4" xfId="7313"/>
    <cellStyle name="Обычный 10 6 2 5 4 4 2" xfId="7314"/>
    <cellStyle name="Обычный 10 6 2 5 4 5" xfId="7315"/>
    <cellStyle name="Обычный 10 6 2 5 4 6" xfId="7316"/>
    <cellStyle name="Обычный 10 6 2 5 5" xfId="7317"/>
    <cellStyle name="Обычный 10 6 2 5 5 2" xfId="7318"/>
    <cellStyle name="Обычный 10 6 2 5 5 3" xfId="7319"/>
    <cellStyle name="Обычный 10 6 2 5 6" xfId="7320"/>
    <cellStyle name="Обычный 10 6 2 5 6 2" xfId="7321"/>
    <cellStyle name="Обычный 10 6 2 5 6 3" xfId="7322"/>
    <cellStyle name="Обычный 10 6 2 5 7" xfId="7323"/>
    <cellStyle name="Обычный 10 6 2 5 7 2" xfId="7324"/>
    <cellStyle name="Обычный 10 6 2 5 8" xfId="7325"/>
    <cellStyle name="Обычный 10 6 2 5 9" xfId="7326"/>
    <cellStyle name="Обычный 10 6 2 6" xfId="7327"/>
    <cellStyle name="Обычный 10 6 2 6 2" xfId="7328"/>
    <cellStyle name="Обычный 10 6 2 6 2 2" xfId="7329"/>
    <cellStyle name="Обычный 10 6 2 6 2 2 2" xfId="7330"/>
    <cellStyle name="Обычный 10 6 2 6 2 2 2 2" xfId="7331"/>
    <cellStyle name="Обычный 10 6 2 6 2 2 2 3" xfId="7332"/>
    <cellStyle name="Обычный 10 6 2 6 2 2 3" xfId="7333"/>
    <cellStyle name="Обычный 10 6 2 6 2 2 3 2" xfId="7334"/>
    <cellStyle name="Обычный 10 6 2 6 2 2 3 3" xfId="7335"/>
    <cellStyle name="Обычный 10 6 2 6 2 2 4" xfId="7336"/>
    <cellStyle name="Обычный 10 6 2 6 2 2 4 2" xfId="7337"/>
    <cellStyle name="Обычный 10 6 2 6 2 2 5" xfId="7338"/>
    <cellStyle name="Обычный 10 6 2 6 2 2 6" xfId="7339"/>
    <cellStyle name="Обычный 10 6 2 6 2 3" xfId="7340"/>
    <cellStyle name="Обычный 10 6 2 6 2 3 2" xfId="7341"/>
    <cellStyle name="Обычный 10 6 2 6 2 3 3" xfId="7342"/>
    <cellStyle name="Обычный 10 6 2 6 2 4" xfId="7343"/>
    <cellStyle name="Обычный 10 6 2 6 2 4 2" xfId="7344"/>
    <cellStyle name="Обычный 10 6 2 6 2 4 3" xfId="7345"/>
    <cellStyle name="Обычный 10 6 2 6 2 5" xfId="7346"/>
    <cellStyle name="Обычный 10 6 2 6 2 5 2" xfId="7347"/>
    <cellStyle name="Обычный 10 6 2 6 2 6" xfId="7348"/>
    <cellStyle name="Обычный 10 6 2 6 2 7" xfId="7349"/>
    <cellStyle name="Обычный 10 6 2 6 3" xfId="7350"/>
    <cellStyle name="Обычный 10 6 2 6 3 2" xfId="7351"/>
    <cellStyle name="Обычный 10 6 2 6 3 2 2" xfId="7352"/>
    <cellStyle name="Обычный 10 6 2 6 3 2 3" xfId="7353"/>
    <cellStyle name="Обычный 10 6 2 6 3 3" xfId="7354"/>
    <cellStyle name="Обычный 10 6 2 6 3 3 2" xfId="7355"/>
    <cellStyle name="Обычный 10 6 2 6 3 3 3" xfId="7356"/>
    <cellStyle name="Обычный 10 6 2 6 3 4" xfId="7357"/>
    <cellStyle name="Обычный 10 6 2 6 3 4 2" xfId="7358"/>
    <cellStyle name="Обычный 10 6 2 6 3 5" xfId="7359"/>
    <cellStyle name="Обычный 10 6 2 6 3 6" xfId="7360"/>
    <cellStyle name="Обычный 10 6 2 6 4" xfId="7361"/>
    <cellStyle name="Обычный 10 6 2 6 4 2" xfId="7362"/>
    <cellStyle name="Обычный 10 6 2 6 4 3" xfId="7363"/>
    <cellStyle name="Обычный 10 6 2 6 5" xfId="7364"/>
    <cellStyle name="Обычный 10 6 2 6 5 2" xfId="7365"/>
    <cellStyle name="Обычный 10 6 2 6 5 3" xfId="7366"/>
    <cellStyle name="Обычный 10 6 2 6 6" xfId="7367"/>
    <cellStyle name="Обычный 10 6 2 6 6 2" xfId="7368"/>
    <cellStyle name="Обычный 10 6 2 6 7" xfId="7369"/>
    <cellStyle name="Обычный 10 6 2 6 8" xfId="7370"/>
    <cellStyle name="Обычный 10 6 2 7" xfId="7371"/>
    <cellStyle name="Обычный 10 6 2 7 2" xfId="7372"/>
    <cellStyle name="Обычный 10 6 2 7 2 2" xfId="7373"/>
    <cellStyle name="Обычный 10 6 2 7 2 2 2" xfId="7374"/>
    <cellStyle name="Обычный 10 6 2 7 2 2 3" xfId="7375"/>
    <cellStyle name="Обычный 10 6 2 7 2 3" xfId="7376"/>
    <cellStyle name="Обычный 10 6 2 7 2 3 2" xfId="7377"/>
    <cellStyle name="Обычный 10 6 2 7 2 3 3" xfId="7378"/>
    <cellStyle name="Обычный 10 6 2 7 2 4" xfId="7379"/>
    <cellStyle name="Обычный 10 6 2 7 2 4 2" xfId="7380"/>
    <cellStyle name="Обычный 10 6 2 7 2 5" xfId="7381"/>
    <cellStyle name="Обычный 10 6 2 7 2 6" xfId="7382"/>
    <cellStyle name="Обычный 10 6 2 7 3" xfId="7383"/>
    <cellStyle name="Обычный 10 6 2 7 3 2" xfId="7384"/>
    <cellStyle name="Обычный 10 6 2 7 3 3" xfId="7385"/>
    <cellStyle name="Обычный 10 6 2 7 4" xfId="7386"/>
    <cellStyle name="Обычный 10 6 2 7 4 2" xfId="7387"/>
    <cellStyle name="Обычный 10 6 2 7 4 3" xfId="7388"/>
    <cellStyle name="Обычный 10 6 2 7 5" xfId="7389"/>
    <cellStyle name="Обычный 10 6 2 7 5 2" xfId="7390"/>
    <cellStyle name="Обычный 10 6 2 7 6" xfId="7391"/>
    <cellStyle name="Обычный 10 6 2 7 7" xfId="7392"/>
    <cellStyle name="Обычный 10 6 2 8" xfId="7393"/>
    <cellStyle name="Обычный 10 6 2 8 2" xfId="7394"/>
    <cellStyle name="Обычный 10 6 2 8 2 2" xfId="7395"/>
    <cellStyle name="Обычный 10 6 2 8 2 3" xfId="7396"/>
    <cellStyle name="Обычный 10 6 2 8 3" xfId="7397"/>
    <cellStyle name="Обычный 10 6 2 8 3 2" xfId="7398"/>
    <cellStyle name="Обычный 10 6 2 8 3 3" xfId="7399"/>
    <cellStyle name="Обычный 10 6 2 8 4" xfId="7400"/>
    <cellStyle name="Обычный 10 6 2 8 4 2" xfId="7401"/>
    <cellStyle name="Обычный 10 6 2 8 5" xfId="7402"/>
    <cellStyle name="Обычный 10 6 2 8 6" xfId="7403"/>
    <cellStyle name="Обычный 10 6 2 9" xfId="7404"/>
    <cellStyle name="Обычный 10 6 2 9 2" xfId="7405"/>
    <cellStyle name="Обычный 10 6 2 9 3" xfId="7406"/>
    <cellStyle name="Обычный 10 6 3" xfId="7407"/>
    <cellStyle name="Обычный 10 6 3 10" xfId="7408"/>
    <cellStyle name="Обычный 10 6 3 2" xfId="7409"/>
    <cellStyle name="Обычный 10 6 3 2 2" xfId="7410"/>
    <cellStyle name="Обычный 10 6 3 2 2 2" xfId="7411"/>
    <cellStyle name="Обычный 10 6 3 2 2 2 2" xfId="7412"/>
    <cellStyle name="Обычный 10 6 3 2 2 2 2 2" xfId="7413"/>
    <cellStyle name="Обычный 10 6 3 2 2 2 2 2 2" xfId="7414"/>
    <cellStyle name="Обычный 10 6 3 2 2 2 2 2 3" xfId="7415"/>
    <cellStyle name="Обычный 10 6 3 2 2 2 2 3" xfId="7416"/>
    <cellStyle name="Обычный 10 6 3 2 2 2 2 3 2" xfId="7417"/>
    <cellStyle name="Обычный 10 6 3 2 2 2 2 3 3" xfId="7418"/>
    <cellStyle name="Обычный 10 6 3 2 2 2 2 4" xfId="7419"/>
    <cellStyle name="Обычный 10 6 3 2 2 2 2 4 2" xfId="7420"/>
    <cellStyle name="Обычный 10 6 3 2 2 2 2 5" xfId="7421"/>
    <cellStyle name="Обычный 10 6 3 2 2 2 2 6" xfId="7422"/>
    <cellStyle name="Обычный 10 6 3 2 2 2 3" xfId="7423"/>
    <cellStyle name="Обычный 10 6 3 2 2 2 3 2" xfId="7424"/>
    <cellStyle name="Обычный 10 6 3 2 2 2 3 3" xfId="7425"/>
    <cellStyle name="Обычный 10 6 3 2 2 2 4" xfId="7426"/>
    <cellStyle name="Обычный 10 6 3 2 2 2 4 2" xfId="7427"/>
    <cellStyle name="Обычный 10 6 3 2 2 2 4 3" xfId="7428"/>
    <cellStyle name="Обычный 10 6 3 2 2 2 5" xfId="7429"/>
    <cellStyle name="Обычный 10 6 3 2 2 2 5 2" xfId="7430"/>
    <cellStyle name="Обычный 10 6 3 2 2 2 6" xfId="7431"/>
    <cellStyle name="Обычный 10 6 3 2 2 2 7" xfId="7432"/>
    <cellStyle name="Обычный 10 6 3 2 2 3" xfId="7433"/>
    <cellStyle name="Обычный 10 6 3 2 2 3 2" xfId="7434"/>
    <cellStyle name="Обычный 10 6 3 2 2 3 2 2" xfId="7435"/>
    <cellStyle name="Обычный 10 6 3 2 2 3 2 3" xfId="7436"/>
    <cellStyle name="Обычный 10 6 3 2 2 3 3" xfId="7437"/>
    <cellStyle name="Обычный 10 6 3 2 2 3 3 2" xfId="7438"/>
    <cellStyle name="Обычный 10 6 3 2 2 3 3 3" xfId="7439"/>
    <cellStyle name="Обычный 10 6 3 2 2 3 4" xfId="7440"/>
    <cellStyle name="Обычный 10 6 3 2 2 3 4 2" xfId="7441"/>
    <cellStyle name="Обычный 10 6 3 2 2 3 5" xfId="7442"/>
    <cellStyle name="Обычный 10 6 3 2 2 3 6" xfId="7443"/>
    <cellStyle name="Обычный 10 6 3 2 2 4" xfId="7444"/>
    <cellStyle name="Обычный 10 6 3 2 2 4 2" xfId="7445"/>
    <cellStyle name="Обычный 10 6 3 2 2 4 3" xfId="7446"/>
    <cellStyle name="Обычный 10 6 3 2 2 5" xfId="7447"/>
    <cellStyle name="Обычный 10 6 3 2 2 5 2" xfId="7448"/>
    <cellStyle name="Обычный 10 6 3 2 2 5 3" xfId="7449"/>
    <cellStyle name="Обычный 10 6 3 2 2 6" xfId="7450"/>
    <cellStyle name="Обычный 10 6 3 2 2 6 2" xfId="7451"/>
    <cellStyle name="Обычный 10 6 3 2 2 7" xfId="7452"/>
    <cellStyle name="Обычный 10 6 3 2 2 8" xfId="7453"/>
    <cellStyle name="Обычный 10 6 3 2 3" xfId="7454"/>
    <cellStyle name="Обычный 10 6 3 2 3 2" xfId="7455"/>
    <cellStyle name="Обычный 10 6 3 2 3 2 2" xfId="7456"/>
    <cellStyle name="Обычный 10 6 3 2 3 2 2 2" xfId="7457"/>
    <cellStyle name="Обычный 10 6 3 2 3 2 2 3" xfId="7458"/>
    <cellStyle name="Обычный 10 6 3 2 3 2 3" xfId="7459"/>
    <cellStyle name="Обычный 10 6 3 2 3 2 3 2" xfId="7460"/>
    <cellStyle name="Обычный 10 6 3 2 3 2 3 3" xfId="7461"/>
    <cellStyle name="Обычный 10 6 3 2 3 2 4" xfId="7462"/>
    <cellStyle name="Обычный 10 6 3 2 3 2 4 2" xfId="7463"/>
    <cellStyle name="Обычный 10 6 3 2 3 2 5" xfId="7464"/>
    <cellStyle name="Обычный 10 6 3 2 3 2 6" xfId="7465"/>
    <cellStyle name="Обычный 10 6 3 2 3 3" xfId="7466"/>
    <cellStyle name="Обычный 10 6 3 2 3 3 2" xfId="7467"/>
    <cellStyle name="Обычный 10 6 3 2 3 3 3" xfId="7468"/>
    <cellStyle name="Обычный 10 6 3 2 3 4" xfId="7469"/>
    <cellStyle name="Обычный 10 6 3 2 3 4 2" xfId="7470"/>
    <cellStyle name="Обычный 10 6 3 2 3 4 3" xfId="7471"/>
    <cellStyle name="Обычный 10 6 3 2 3 5" xfId="7472"/>
    <cellStyle name="Обычный 10 6 3 2 3 5 2" xfId="7473"/>
    <cellStyle name="Обычный 10 6 3 2 3 6" xfId="7474"/>
    <cellStyle name="Обычный 10 6 3 2 3 7" xfId="7475"/>
    <cellStyle name="Обычный 10 6 3 2 4" xfId="7476"/>
    <cellStyle name="Обычный 10 6 3 2 4 2" xfId="7477"/>
    <cellStyle name="Обычный 10 6 3 2 4 2 2" xfId="7478"/>
    <cellStyle name="Обычный 10 6 3 2 4 2 3" xfId="7479"/>
    <cellStyle name="Обычный 10 6 3 2 4 3" xfId="7480"/>
    <cellStyle name="Обычный 10 6 3 2 4 3 2" xfId="7481"/>
    <cellStyle name="Обычный 10 6 3 2 4 3 3" xfId="7482"/>
    <cellStyle name="Обычный 10 6 3 2 4 4" xfId="7483"/>
    <cellStyle name="Обычный 10 6 3 2 4 4 2" xfId="7484"/>
    <cellStyle name="Обычный 10 6 3 2 4 5" xfId="7485"/>
    <cellStyle name="Обычный 10 6 3 2 4 6" xfId="7486"/>
    <cellStyle name="Обычный 10 6 3 2 5" xfId="7487"/>
    <cellStyle name="Обычный 10 6 3 2 5 2" xfId="7488"/>
    <cellStyle name="Обычный 10 6 3 2 5 3" xfId="7489"/>
    <cellStyle name="Обычный 10 6 3 2 6" xfId="7490"/>
    <cellStyle name="Обычный 10 6 3 2 6 2" xfId="7491"/>
    <cellStyle name="Обычный 10 6 3 2 6 3" xfId="7492"/>
    <cellStyle name="Обычный 10 6 3 2 7" xfId="7493"/>
    <cellStyle name="Обычный 10 6 3 2 7 2" xfId="7494"/>
    <cellStyle name="Обычный 10 6 3 2 8" xfId="7495"/>
    <cellStyle name="Обычный 10 6 3 2 9" xfId="7496"/>
    <cellStyle name="Обычный 10 6 3 3" xfId="7497"/>
    <cellStyle name="Обычный 10 6 3 3 2" xfId="7498"/>
    <cellStyle name="Обычный 10 6 3 3 2 2" xfId="7499"/>
    <cellStyle name="Обычный 10 6 3 3 2 2 2" xfId="7500"/>
    <cellStyle name="Обычный 10 6 3 3 2 2 2 2" xfId="7501"/>
    <cellStyle name="Обычный 10 6 3 3 2 2 2 3" xfId="7502"/>
    <cellStyle name="Обычный 10 6 3 3 2 2 3" xfId="7503"/>
    <cellStyle name="Обычный 10 6 3 3 2 2 3 2" xfId="7504"/>
    <cellStyle name="Обычный 10 6 3 3 2 2 3 3" xfId="7505"/>
    <cellStyle name="Обычный 10 6 3 3 2 2 4" xfId="7506"/>
    <cellStyle name="Обычный 10 6 3 3 2 2 4 2" xfId="7507"/>
    <cellStyle name="Обычный 10 6 3 3 2 2 5" xfId="7508"/>
    <cellStyle name="Обычный 10 6 3 3 2 2 6" xfId="7509"/>
    <cellStyle name="Обычный 10 6 3 3 2 3" xfId="7510"/>
    <cellStyle name="Обычный 10 6 3 3 2 3 2" xfId="7511"/>
    <cellStyle name="Обычный 10 6 3 3 2 3 3" xfId="7512"/>
    <cellStyle name="Обычный 10 6 3 3 2 4" xfId="7513"/>
    <cellStyle name="Обычный 10 6 3 3 2 4 2" xfId="7514"/>
    <cellStyle name="Обычный 10 6 3 3 2 4 3" xfId="7515"/>
    <cellStyle name="Обычный 10 6 3 3 2 5" xfId="7516"/>
    <cellStyle name="Обычный 10 6 3 3 2 5 2" xfId="7517"/>
    <cellStyle name="Обычный 10 6 3 3 2 6" xfId="7518"/>
    <cellStyle name="Обычный 10 6 3 3 2 7" xfId="7519"/>
    <cellStyle name="Обычный 10 6 3 3 3" xfId="7520"/>
    <cellStyle name="Обычный 10 6 3 3 3 2" xfId="7521"/>
    <cellStyle name="Обычный 10 6 3 3 3 2 2" xfId="7522"/>
    <cellStyle name="Обычный 10 6 3 3 3 2 3" xfId="7523"/>
    <cellStyle name="Обычный 10 6 3 3 3 3" xfId="7524"/>
    <cellStyle name="Обычный 10 6 3 3 3 3 2" xfId="7525"/>
    <cellStyle name="Обычный 10 6 3 3 3 3 3" xfId="7526"/>
    <cellStyle name="Обычный 10 6 3 3 3 4" xfId="7527"/>
    <cellStyle name="Обычный 10 6 3 3 3 4 2" xfId="7528"/>
    <cellStyle name="Обычный 10 6 3 3 3 5" xfId="7529"/>
    <cellStyle name="Обычный 10 6 3 3 3 6" xfId="7530"/>
    <cellStyle name="Обычный 10 6 3 3 4" xfId="7531"/>
    <cellStyle name="Обычный 10 6 3 3 4 2" xfId="7532"/>
    <cellStyle name="Обычный 10 6 3 3 4 3" xfId="7533"/>
    <cellStyle name="Обычный 10 6 3 3 5" xfId="7534"/>
    <cellStyle name="Обычный 10 6 3 3 5 2" xfId="7535"/>
    <cellStyle name="Обычный 10 6 3 3 5 3" xfId="7536"/>
    <cellStyle name="Обычный 10 6 3 3 6" xfId="7537"/>
    <cellStyle name="Обычный 10 6 3 3 6 2" xfId="7538"/>
    <cellStyle name="Обычный 10 6 3 3 7" xfId="7539"/>
    <cellStyle name="Обычный 10 6 3 3 8" xfId="7540"/>
    <cellStyle name="Обычный 10 6 3 4" xfId="7541"/>
    <cellStyle name="Обычный 10 6 3 4 2" xfId="7542"/>
    <cellStyle name="Обычный 10 6 3 4 2 2" xfId="7543"/>
    <cellStyle name="Обычный 10 6 3 4 2 2 2" xfId="7544"/>
    <cellStyle name="Обычный 10 6 3 4 2 2 3" xfId="7545"/>
    <cellStyle name="Обычный 10 6 3 4 2 3" xfId="7546"/>
    <cellStyle name="Обычный 10 6 3 4 2 3 2" xfId="7547"/>
    <cellStyle name="Обычный 10 6 3 4 2 3 3" xfId="7548"/>
    <cellStyle name="Обычный 10 6 3 4 2 4" xfId="7549"/>
    <cellStyle name="Обычный 10 6 3 4 2 4 2" xfId="7550"/>
    <cellStyle name="Обычный 10 6 3 4 2 5" xfId="7551"/>
    <cellStyle name="Обычный 10 6 3 4 2 6" xfId="7552"/>
    <cellStyle name="Обычный 10 6 3 4 3" xfId="7553"/>
    <cellStyle name="Обычный 10 6 3 4 3 2" xfId="7554"/>
    <cellStyle name="Обычный 10 6 3 4 3 3" xfId="7555"/>
    <cellStyle name="Обычный 10 6 3 4 4" xfId="7556"/>
    <cellStyle name="Обычный 10 6 3 4 4 2" xfId="7557"/>
    <cellStyle name="Обычный 10 6 3 4 4 3" xfId="7558"/>
    <cellStyle name="Обычный 10 6 3 4 5" xfId="7559"/>
    <cellStyle name="Обычный 10 6 3 4 5 2" xfId="7560"/>
    <cellStyle name="Обычный 10 6 3 4 6" xfId="7561"/>
    <cellStyle name="Обычный 10 6 3 4 7" xfId="7562"/>
    <cellStyle name="Обычный 10 6 3 5" xfId="7563"/>
    <cellStyle name="Обычный 10 6 3 5 2" xfId="7564"/>
    <cellStyle name="Обычный 10 6 3 5 2 2" xfId="7565"/>
    <cellStyle name="Обычный 10 6 3 5 2 3" xfId="7566"/>
    <cellStyle name="Обычный 10 6 3 5 3" xfId="7567"/>
    <cellStyle name="Обычный 10 6 3 5 3 2" xfId="7568"/>
    <cellStyle name="Обычный 10 6 3 5 3 3" xfId="7569"/>
    <cellStyle name="Обычный 10 6 3 5 4" xfId="7570"/>
    <cellStyle name="Обычный 10 6 3 5 4 2" xfId="7571"/>
    <cellStyle name="Обычный 10 6 3 5 5" xfId="7572"/>
    <cellStyle name="Обычный 10 6 3 5 6" xfId="7573"/>
    <cellStyle name="Обычный 10 6 3 6" xfId="7574"/>
    <cellStyle name="Обычный 10 6 3 6 2" xfId="7575"/>
    <cellStyle name="Обычный 10 6 3 6 3" xfId="7576"/>
    <cellStyle name="Обычный 10 6 3 7" xfId="7577"/>
    <cellStyle name="Обычный 10 6 3 7 2" xfId="7578"/>
    <cellStyle name="Обычный 10 6 3 7 3" xfId="7579"/>
    <cellStyle name="Обычный 10 6 3 8" xfId="7580"/>
    <cellStyle name="Обычный 10 6 3 8 2" xfId="7581"/>
    <cellStyle name="Обычный 10 6 3 9" xfId="7582"/>
    <cellStyle name="Обычный 10 6 4" xfId="7583"/>
    <cellStyle name="Обычный 10 6 4 10" xfId="7584"/>
    <cellStyle name="Обычный 10 6 4 2" xfId="7585"/>
    <cellStyle name="Обычный 10 6 4 2 2" xfId="7586"/>
    <cellStyle name="Обычный 10 6 4 2 2 2" xfId="7587"/>
    <cellStyle name="Обычный 10 6 4 2 2 2 2" xfId="7588"/>
    <cellStyle name="Обычный 10 6 4 2 2 2 2 2" xfId="7589"/>
    <cellStyle name="Обычный 10 6 4 2 2 2 2 2 2" xfId="7590"/>
    <cellStyle name="Обычный 10 6 4 2 2 2 2 2 3" xfId="7591"/>
    <cellStyle name="Обычный 10 6 4 2 2 2 2 3" xfId="7592"/>
    <cellStyle name="Обычный 10 6 4 2 2 2 2 3 2" xfId="7593"/>
    <cellStyle name="Обычный 10 6 4 2 2 2 2 3 3" xfId="7594"/>
    <cellStyle name="Обычный 10 6 4 2 2 2 2 4" xfId="7595"/>
    <cellStyle name="Обычный 10 6 4 2 2 2 2 4 2" xfId="7596"/>
    <cellStyle name="Обычный 10 6 4 2 2 2 2 5" xfId="7597"/>
    <cellStyle name="Обычный 10 6 4 2 2 2 2 6" xfId="7598"/>
    <cellStyle name="Обычный 10 6 4 2 2 2 3" xfId="7599"/>
    <cellStyle name="Обычный 10 6 4 2 2 2 3 2" xfId="7600"/>
    <cellStyle name="Обычный 10 6 4 2 2 2 3 3" xfId="7601"/>
    <cellStyle name="Обычный 10 6 4 2 2 2 4" xfId="7602"/>
    <cellStyle name="Обычный 10 6 4 2 2 2 4 2" xfId="7603"/>
    <cellStyle name="Обычный 10 6 4 2 2 2 4 3" xfId="7604"/>
    <cellStyle name="Обычный 10 6 4 2 2 2 5" xfId="7605"/>
    <cellStyle name="Обычный 10 6 4 2 2 2 5 2" xfId="7606"/>
    <cellStyle name="Обычный 10 6 4 2 2 2 6" xfId="7607"/>
    <cellStyle name="Обычный 10 6 4 2 2 2 7" xfId="7608"/>
    <cellStyle name="Обычный 10 6 4 2 2 3" xfId="7609"/>
    <cellStyle name="Обычный 10 6 4 2 2 3 2" xfId="7610"/>
    <cellStyle name="Обычный 10 6 4 2 2 3 2 2" xfId="7611"/>
    <cellStyle name="Обычный 10 6 4 2 2 3 2 3" xfId="7612"/>
    <cellStyle name="Обычный 10 6 4 2 2 3 3" xfId="7613"/>
    <cellStyle name="Обычный 10 6 4 2 2 3 3 2" xfId="7614"/>
    <cellStyle name="Обычный 10 6 4 2 2 3 3 3" xfId="7615"/>
    <cellStyle name="Обычный 10 6 4 2 2 3 4" xfId="7616"/>
    <cellStyle name="Обычный 10 6 4 2 2 3 4 2" xfId="7617"/>
    <cellStyle name="Обычный 10 6 4 2 2 3 5" xfId="7618"/>
    <cellStyle name="Обычный 10 6 4 2 2 3 6" xfId="7619"/>
    <cellStyle name="Обычный 10 6 4 2 2 4" xfId="7620"/>
    <cellStyle name="Обычный 10 6 4 2 2 4 2" xfId="7621"/>
    <cellStyle name="Обычный 10 6 4 2 2 4 3" xfId="7622"/>
    <cellStyle name="Обычный 10 6 4 2 2 5" xfId="7623"/>
    <cellStyle name="Обычный 10 6 4 2 2 5 2" xfId="7624"/>
    <cellStyle name="Обычный 10 6 4 2 2 5 3" xfId="7625"/>
    <cellStyle name="Обычный 10 6 4 2 2 6" xfId="7626"/>
    <cellStyle name="Обычный 10 6 4 2 2 6 2" xfId="7627"/>
    <cellStyle name="Обычный 10 6 4 2 2 7" xfId="7628"/>
    <cellStyle name="Обычный 10 6 4 2 2 8" xfId="7629"/>
    <cellStyle name="Обычный 10 6 4 2 3" xfId="7630"/>
    <cellStyle name="Обычный 10 6 4 2 3 2" xfId="7631"/>
    <cellStyle name="Обычный 10 6 4 2 3 2 2" xfId="7632"/>
    <cellStyle name="Обычный 10 6 4 2 3 2 2 2" xfId="7633"/>
    <cellStyle name="Обычный 10 6 4 2 3 2 2 3" xfId="7634"/>
    <cellStyle name="Обычный 10 6 4 2 3 2 3" xfId="7635"/>
    <cellStyle name="Обычный 10 6 4 2 3 2 3 2" xfId="7636"/>
    <cellStyle name="Обычный 10 6 4 2 3 2 3 3" xfId="7637"/>
    <cellStyle name="Обычный 10 6 4 2 3 2 4" xfId="7638"/>
    <cellStyle name="Обычный 10 6 4 2 3 2 4 2" xfId="7639"/>
    <cellStyle name="Обычный 10 6 4 2 3 2 5" xfId="7640"/>
    <cellStyle name="Обычный 10 6 4 2 3 2 6" xfId="7641"/>
    <cellStyle name="Обычный 10 6 4 2 3 3" xfId="7642"/>
    <cellStyle name="Обычный 10 6 4 2 3 3 2" xfId="7643"/>
    <cellStyle name="Обычный 10 6 4 2 3 3 3" xfId="7644"/>
    <cellStyle name="Обычный 10 6 4 2 3 4" xfId="7645"/>
    <cellStyle name="Обычный 10 6 4 2 3 4 2" xfId="7646"/>
    <cellStyle name="Обычный 10 6 4 2 3 4 3" xfId="7647"/>
    <cellStyle name="Обычный 10 6 4 2 3 5" xfId="7648"/>
    <cellStyle name="Обычный 10 6 4 2 3 5 2" xfId="7649"/>
    <cellStyle name="Обычный 10 6 4 2 3 6" xfId="7650"/>
    <cellStyle name="Обычный 10 6 4 2 3 7" xfId="7651"/>
    <cellStyle name="Обычный 10 6 4 2 4" xfId="7652"/>
    <cellStyle name="Обычный 10 6 4 2 4 2" xfId="7653"/>
    <cellStyle name="Обычный 10 6 4 2 4 2 2" xfId="7654"/>
    <cellStyle name="Обычный 10 6 4 2 4 2 3" xfId="7655"/>
    <cellStyle name="Обычный 10 6 4 2 4 3" xfId="7656"/>
    <cellStyle name="Обычный 10 6 4 2 4 3 2" xfId="7657"/>
    <cellStyle name="Обычный 10 6 4 2 4 3 3" xfId="7658"/>
    <cellStyle name="Обычный 10 6 4 2 4 4" xfId="7659"/>
    <cellStyle name="Обычный 10 6 4 2 4 4 2" xfId="7660"/>
    <cellStyle name="Обычный 10 6 4 2 4 5" xfId="7661"/>
    <cellStyle name="Обычный 10 6 4 2 4 6" xfId="7662"/>
    <cellStyle name="Обычный 10 6 4 2 5" xfId="7663"/>
    <cellStyle name="Обычный 10 6 4 2 5 2" xfId="7664"/>
    <cellStyle name="Обычный 10 6 4 2 5 3" xfId="7665"/>
    <cellStyle name="Обычный 10 6 4 2 6" xfId="7666"/>
    <cellStyle name="Обычный 10 6 4 2 6 2" xfId="7667"/>
    <cellStyle name="Обычный 10 6 4 2 6 3" xfId="7668"/>
    <cellStyle name="Обычный 10 6 4 2 7" xfId="7669"/>
    <cellStyle name="Обычный 10 6 4 2 7 2" xfId="7670"/>
    <cellStyle name="Обычный 10 6 4 2 8" xfId="7671"/>
    <cellStyle name="Обычный 10 6 4 2 9" xfId="7672"/>
    <cellStyle name="Обычный 10 6 4 3" xfId="7673"/>
    <cellStyle name="Обычный 10 6 4 3 2" xfId="7674"/>
    <cellStyle name="Обычный 10 6 4 3 2 2" xfId="7675"/>
    <cellStyle name="Обычный 10 6 4 3 2 2 2" xfId="7676"/>
    <cellStyle name="Обычный 10 6 4 3 2 2 2 2" xfId="7677"/>
    <cellStyle name="Обычный 10 6 4 3 2 2 2 3" xfId="7678"/>
    <cellStyle name="Обычный 10 6 4 3 2 2 3" xfId="7679"/>
    <cellStyle name="Обычный 10 6 4 3 2 2 3 2" xfId="7680"/>
    <cellStyle name="Обычный 10 6 4 3 2 2 3 3" xfId="7681"/>
    <cellStyle name="Обычный 10 6 4 3 2 2 4" xfId="7682"/>
    <cellStyle name="Обычный 10 6 4 3 2 2 4 2" xfId="7683"/>
    <cellStyle name="Обычный 10 6 4 3 2 2 5" xfId="7684"/>
    <cellStyle name="Обычный 10 6 4 3 2 2 6" xfId="7685"/>
    <cellStyle name="Обычный 10 6 4 3 2 3" xfId="7686"/>
    <cellStyle name="Обычный 10 6 4 3 2 3 2" xfId="7687"/>
    <cellStyle name="Обычный 10 6 4 3 2 3 3" xfId="7688"/>
    <cellStyle name="Обычный 10 6 4 3 2 4" xfId="7689"/>
    <cellStyle name="Обычный 10 6 4 3 2 4 2" xfId="7690"/>
    <cellStyle name="Обычный 10 6 4 3 2 4 3" xfId="7691"/>
    <cellStyle name="Обычный 10 6 4 3 2 5" xfId="7692"/>
    <cellStyle name="Обычный 10 6 4 3 2 5 2" xfId="7693"/>
    <cellStyle name="Обычный 10 6 4 3 2 6" xfId="7694"/>
    <cellStyle name="Обычный 10 6 4 3 2 7" xfId="7695"/>
    <cellStyle name="Обычный 10 6 4 3 3" xfId="7696"/>
    <cellStyle name="Обычный 10 6 4 3 3 2" xfId="7697"/>
    <cellStyle name="Обычный 10 6 4 3 3 2 2" xfId="7698"/>
    <cellStyle name="Обычный 10 6 4 3 3 2 3" xfId="7699"/>
    <cellStyle name="Обычный 10 6 4 3 3 3" xfId="7700"/>
    <cellStyle name="Обычный 10 6 4 3 3 3 2" xfId="7701"/>
    <cellStyle name="Обычный 10 6 4 3 3 3 3" xfId="7702"/>
    <cellStyle name="Обычный 10 6 4 3 3 4" xfId="7703"/>
    <cellStyle name="Обычный 10 6 4 3 3 4 2" xfId="7704"/>
    <cellStyle name="Обычный 10 6 4 3 3 5" xfId="7705"/>
    <cellStyle name="Обычный 10 6 4 3 3 6" xfId="7706"/>
    <cellStyle name="Обычный 10 6 4 3 4" xfId="7707"/>
    <cellStyle name="Обычный 10 6 4 3 4 2" xfId="7708"/>
    <cellStyle name="Обычный 10 6 4 3 4 3" xfId="7709"/>
    <cellStyle name="Обычный 10 6 4 3 5" xfId="7710"/>
    <cellStyle name="Обычный 10 6 4 3 5 2" xfId="7711"/>
    <cellStyle name="Обычный 10 6 4 3 5 3" xfId="7712"/>
    <cellStyle name="Обычный 10 6 4 3 6" xfId="7713"/>
    <cellStyle name="Обычный 10 6 4 3 6 2" xfId="7714"/>
    <cellStyle name="Обычный 10 6 4 3 7" xfId="7715"/>
    <cellStyle name="Обычный 10 6 4 3 8" xfId="7716"/>
    <cellStyle name="Обычный 10 6 4 4" xfId="7717"/>
    <cellStyle name="Обычный 10 6 4 4 2" xfId="7718"/>
    <cellStyle name="Обычный 10 6 4 4 2 2" xfId="7719"/>
    <cellStyle name="Обычный 10 6 4 4 2 2 2" xfId="7720"/>
    <cellStyle name="Обычный 10 6 4 4 2 2 3" xfId="7721"/>
    <cellStyle name="Обычный 10 6 4 4 2 3" xfId="7722"/>
    <cellStyle name="Обычный 10 6 4 4 2 3 2" xfId="7723"/>
    <cellStyle name="Обычный 10 6 4 4 2 3 3" xfId="7724"/>
    <cellStyle name="Обычный 10 6 4 4 2 4" xfId="7725"/>
    <cellStyle name="Обычный 10 6 4 4 2 4 2" xfId="7726"/>
    <cellStyle name="Обычный 10 6 4 4 2 5" xfId="7727"/>
    <cellStyle name="Обычный 10 6 4 4 2 6" xfId="7728"/>
    <cellStyle name="Обычный 10 6 4 4 3" xfId="7729"/>
    <cellStyle name="Обычный 10 6 4 4 3 2" xfId="7730"/>
    <cellStyle name="Обычный 10 6 4 4 3 3" xfId="7731"/>
    <cellStyle name="Обычный 10 6 4 4 4" xfId="7732"/>
    <cellStyle name="Обычный 10 6 4 4 4 2" xfId="7733"/>
    <cellStyle name="Обычный 10 6 4 4 4 3" xfId="7734"/>
    <cellStyle name="Обычный 10 6 4 4 5" xfId="7735"/>
    <cellStyle name="Обычный 10 6 4 4 5 2" xfId="7736"/>
    <cellStyle name="Обычный 10 6 4 4 6" xfId="7737"/>
    <cellStyle name="Обычный 10 6 4 4 7" xfId="7738"/>
    <cellStyle name="Обычный 10 6 4 5" xfId="7739"/>
    <cellStyle name="Обычный 10 6 4 5 2" xfId="7740"/>
    <cellStyle name="Обычный 10 6 4 5 2 2" xfId="7741"/>
    <cellStyle name="Обычный 10 6 4 5 2 3" xfId="7742"/>
    <cellStyle name="Обычный 10 6 4 5 3" xfId="7743"/>
    <cellStyle name="Обычный 10 6 4 5 3 2" xfId="7744"/>
    <cellStyle name="Обычный 10 6 4 5 3 3" xfId="7745"/>
    <cellStyle name="Обычный 10 6 4 5 4" xfId="7746"/>
    <cellStyle name="Обычный 10 6 4 5 4 2" xfId="7747"/>
    <cellStyle name="Обычный 10 6 4 5 5" xfId="7748"/>
    <cellStyle name="Обычный 10 6 4 5 6" xfId="7749"/>
    <cellStyle name="Обычный 10 6 4 6" xfId="7750"/>
    <cellStyle name="Обычный 10 6 4 6 2" xfId="7751"/>
    <cellStyle name="Обычный 10 6 4 6 3" xfId="7752"/>
    <cellStyle name="Обычный 10 6 4 7" xfId="7753"/>
    <cellStyle name="Обычный 10 6 4 7 2" xfId="7754"/>
    <cellStyle name="Обычный 10 6 4 7 3" xfId="7755"/>
    <cellStyle name="Обычный 10 6 4 8" xfId="7756"/>
    <cellStyle name="Обычный 10 6 4 8 2" xfId="7757"/>
    <cellStyle name="Обычный 10 6 4 9" xfId="7758"/>
    <cellStyle name="Обычный 10 6 5" xfId="7759"/>
    <cellStyle name="Обычный 10 6 5 10" xfId="7760"/>
    <cellStyle name="Обычный 10 6 5 2" xfId="7761"/>
    <cellStyle name="Обычный 10 6 5 2 2" xfId="7762"/>
    <cellStyle name="Обычный 10 6 5 2 2 2" xfId="7763"/>
    <cellStyle name="Обычный 10 6 5 2 2 2 2" xfId="7764"/>
    <cellStyle name="Обычный 10 6 5 2 2 2 2 2" xfId="7765"/>
    <cellStyle name="Обычный 10 6 5 2 2 2 2 2 2" xfId="7766"/>
    <cellStyle name="Обычный 10 6 5 2 2 2 2 2 3" xfId="7767"/>
    <cellStyle name="Обычный 10 6 5 2 2 2 2 3" xfId="7768"/>
    <cellStyle name="Обычный 10 6 5 2 2 2 2 3 2" xfId="7769"/>
    <cellStyle name="Обычный 10 6 5 2 2 2 2 3 3" xfId="7770"/>
    <cellStyle name="Обычный 10 6 5 2 2 2 2 4" xfId="7771"/>
    <cellStyle name="Обычный 10 6 5 2 2 2 2 4 2" xfId="7772"/>
    <cellStyle name="Обычный 10 6 5 2 2 2 2 5" xfId="7773"/>
    <cellStyle name="Обычный 10 6 5 2 2 2 2 6" xfId="7774"/>
    <cellStyle name="Обычный 10 6 5 2 2 2 3" xfId="7775"/>
    <cellStyle name="Обычный 10 6 5 2 2 2 3 2" xfId="7776"/>
    <cellStyle name="Обычный 10 6 5 2 2 2 3 3" xfId="7777"/>
    <cellStyle name="Обычный 10 6 5 2 2 2 4" xfId="7778"/>
    <cellStyle name="Обычный 10 6 5 2 2 2 4 2" xfId="7779"/>
    <cellStyle name="Обычный 10 6 5 2 2 2 4 3" xfId="7780"/>
    <cellStyle name="Обычный 10 6 5 2 2 2 5" xfId="7781"/>
    <cellStyle name="Обычный 10 6 5 2 2 2 5 2" xfId="7782"/>
    <cellStyle name="Обычный 10 6 5 2 2 2 6" xfId="7783"/>
    <cellStyle name="Обычный 10 6 5 2 2 2 7" xfId="7784"/>
    <cellStyle name="Обычный 10 6 5 2 2 3" xfId="7785"/>
    <cellStyle name="Обычный 10 6 5 2 2 3 2" xfId="7786"/>
    <cellStyle name="Обычный 10 6 5 2 2 3 2 2" xfId="7787"/>
    <cellStyle name="Обычный 10 6 5 2 2 3 2 3" xfId="7788"/>
    <cellStyle name="Обычный 10 6 5 2 2 3 3" xfId="7789"/>
    <cellStyle name="Обычный 10 6 5 2 2 3 3 2" xfId="7790"/>
    <cellStyle name="Обычный 10 6 5 2 2 3 3 3" xfId="7791"/>
    <cellStyle name="Обычный 10 6 5 2 2 3 4" xfId="7792"/>
    <cellStyle name="Обычный 10 6 5 2 2 3 4 2" xfId="7793"/>
    <cellStyle name="Обычный 10 6 5 2 2 3 5" xfId="7794"/>
    <cellStyle name="Обычный 10 6 5 2 2 3 6" xfId="7795"/>
    <cellStyle name="Обычный 10 6 5 2 2 4" xfId="7796"/>
    <cellStyle name="Обычный 10 6 5 2 2 4 2" xfId="7797"/>
    <cellStyle name="Обычный 10 6 5 2 2 4 3" xfId="7798"/>
    <cellStyle name="Обычный 10 6 5 2 2 5" xfId="7799"/>
    <cellStyle name="Обычный 10 6 5 2 2 5 2" xfId="7800"/>
    <cellStyle name="Обычный 10 6 5 2 2 5 3" xfId="7801"/>
    <cellStyle name="Обычный 10 6 5 2 2 6" xfId="7802"/>
    <cellStyle name="Обычный 10 6 5 2 2 6 2" xfId="7803"/>
    <cellStyle name="Обычный 10 6 5 2 2 7" xfId="7804"/>
    <cellStyle name="Обычный 10 6 5 2 2 8" xfId="7805"/>
    <cellStyle name="Обычный 10 6 5 2 3" xfId="7806"/>
    <cellStyle name="Обычный 10 6 5 2 3 2" xfId="7807"/>
    <cellStyle name="Обычный 10 6 5 2 3 2 2" xfId="7808"/>
    <cellStyle name="Обычный 10 6 5 2 3 2 2 2" xfId="7809"/>
    <cellStyle name="Обычный 10 6 5 2 3 2 2 3" xfId="7810"/>
    <cellStyle name="Обычный 10 6 5 2 3 2 3" xfId="7811"/>
    <cellStyle name="Обычный 10 6 5 2 3 2 3 2" xfId="7812"/>
    <cellStyle name="Обычный 10 6 5 2 3 2 3 3" xfId="7813"/>
    <cellStyle name="Обычный 10 6 5 2 3 2 4" xfId="7814"/>
    <cellStyle name="Обычный 10 6 5 2 3 2 4 2" xfId="7815"/>
    <cellStyle name="Обычный 10 6 5 2 3 2 5" xfId="7816"/>
    <cellStyle name="Обычный 10 6 5 2 3 2 6" xfId="7817"/>
    <cellStyle name="Обычный 10 6 5 2 3 3" xfId="7818"/>
    <cellStyle name="Обычный 10 6 5 2 3 3 2" xfId="7819"/>
    <cellStyle name="Обычный 10 6 5 2 3 3 3" xfId="7820"/>
    <cellStyle name="Обычный 10 6 5 2 3 4" xfId="7821"/>
    <cellStyle name="Обычный 10 6 5 2 3 4 2" xfId="7822"/>
    <cellStyle name="Обычный 10 6 5 2 3 4 3" xfId="7823"/>
    <cellStyle name="Обычный 10 6 5 2 3 5" xfId="7824"/>
    <cellStyle name="Обычный 10 6 5 2 3 5 2" xfId="7825"/>
    <cellStyle name="Обычный 10 6 5 2 3 6" xfId="7826"/>
    <cellStyle name="Обычный 10 6 5 2 3 7" xfId="7827"/>
    <cellStyle name="Обычный 10 6 5 2 4" xfId="7828"/>
    <cellStyle name="Обычный 10 6 5 2 4 2" xfId="7829"/>
    <cellStyle name="Обычный 10 6 5 2 4 2 2" xfId="7830"/>
    <cellStyle name="Обычный 10 6 5 2 4 2 3" xfId="7831"/>
    <cellStyle name="Обычный 10 6 5 2 4 3" xfId="7832"/>
    <cellStyle name="Обычный 10 6 5 2 4 3 2" xfId="7833"/>
    <cellStyle name="Обычный 10 6 5 2 4 3 3" xfId="7834"/>
    <cellStyle name="Обычный 10 6 5 2 4 4" xfId="7835"/>
    <cellStyle name="Обычный 10 6 5 2 4 4 2" xfId="7836"/>
    <cellStyle name="Обычный 10 6 5 2 4 5" xfId="7837"/>
    <cellStyle name="Обычный 10 6 5 2 4 6" xfId="7838"/>
    <cellStyle name="Обычный 10 6 5 2 5" xfId="7839"/>
    <cellStyle name="Обычный 10 6 5 2 5 2" xfId="7840"/>
    <cellStyle name="Обычный 10 6 5 2 5 3" xfId="7841"/>
    <cellStyle name="Обычный 10 6 5 2 6" xfId="7842"/>
    <cellStyle name="Обычный 10 6 5 2 6 2" xfId="7843"/>
    <cellStyle name="Обычный 10 6 5 2 6 3" xfId="7844"/>
    <cellStyle name="Обычный 10 6 5 2 7" xfId="7845"/>
    <cellStyle name="Обычный 10 6 5 2 7 2" xfId="7846"/>
    <cellStyle name="Обычный 10 6 5 2 8" xfId="7847"/>
    <cellStyle name="Обычный 10 6 5 2 9" xfId="7848"/>
    <cellStyle name="Обычный 10 6 5 3" xfId="7849"/>
    <cellStyle name="Обычный 10 6 5 3 2" xfId="7850"/>
    <cellStyle name="Обычный 10 6 5 3 2 2" xfId="7851"/>
    <cellStyle name="Обычный 10 6 5 3 2 2 2" xfId="7852"/>
    <cellStyle name="Обычный 10 6 5 3 2 2 2 2" xfId="7853"/>
    <cellStyle name="Обычный 10 6 5 3 2 2 2 3" xfId="7854"/>
    <cellStyle name="Обычный 10 6 5 3 2 2 3" xfId="7855"/>
    <cellStyle name="Обычный 10 6 5 3 2 2 3 2" xfId="7856"/>
    <cellStyle name="Обычный 10 6 5 3 2 2 3 3" xfId="7857"/>
    <cellStyle name="Обычный 10 6 5 3 2 2 4" xfId="7858"/>
    <cellStyle name="Обычный 10 6 5 3 2 2 4 2" xfId="7859"/>
    <cellStyle name="Обычный 10 6 5 3 2 2 5" xfId="7860"/>
    <cellStyle name="Обычный 10 6 5 3 2 2 6" xfId="7861"/>
    <cellStyle name="Обычный 10 6 5 3 2 3" xfId="7862"/>
    <cellStyle name="Обычный 10 6 5 3 2 3 2" xfId="7863"/>
    <cellStyle name="Обычный 10 6 5 3 2 3 3" xfId="7864"/>
    <cellStyle name="Обычный 10 6 5 3 2 4" xfId="7865"/>
    <cellStyle name="Обычный 10 6 5 3 2 4 2" xfId="7866"/>
    <cellStyle name="Обычный 10 6 5 3 2 4 3" xfId="7867"/>
    <cellStyle name="Обычный 10 6 5 3 2 5" xfId="7868"/>
    <cellStyle name="Обычный 10 6 5 3 2 5 2" xfId="7869"/>
    <cellStyle name="Обычный 10 6 5 3 2 6" xfId="7870"/>
    <cellStyle name="Обычный 10 6 5 3 2 7" xfId="7871"/>
    <cellStyle name="Обычный 10 6 5 3 3" xfId="7872"/>
    <cellStyle name="Обычный 10 6 5 3 3 2" xfId="7873"/>
    <cellStyle name="Обычный 10 6 5 3 3 2 2" xfId="7874"/>
    <cellStyle name="Обычный 10 6 5 3 3 2 3" xfId="7875"/>
    <cellStyle name="Обычный 10 6 5 3 3 3" xfId="7876"/>
    <cellStyle name="Обычный 10 6 5 3 3 3 2" xfId="7877"/>
    <cellStyle name="Обычный 10 6 5 3 3 3 3" xfId="7878"/>
    <cellStyle name="Обычный 10 6 5 3 3 4" xfId="7879"/>
    <cellStyle name="Обычный 10 6 5 3 3 4 2" xfId="7880"/>
    <cellStyle name="Обычный 10 6 5 3 3 5" xfId="7881"/>
    <cellStyle name="Обычный 10 6 5 3 3 6" xfId="7882"/>
    <cellStyle name="Обычный 10 6 5 3 4" xfId="7883"/>
    <cellStyle name="Обычный 10 6 5 3 4 2" xfId="7884"/>
    <cellStyle name="Обычный 10 6 5 3 4 3" xfId="7885"/>
    <cellStyle name="Обычный 10 6 5 3 5" xfId="7886"/>
    <cellStyle name="Обычный 10 6 5 3 5 2" xfId="7887"/>
    <cellStyle name="Обычный 10 6 5 3 5 3" xfId="7888"/>
    <cellStyle name="Обычный 10 6 5 3 6" xfId="7889"/>
    <cellStyle name="Обычный 10 6 5 3 6 2" xfId="7890"/>
    <cellStyle name="Обычный 10 6 5 3 7" xfId="7891"/>
    <cellStyle name="Обычный 10 6 5 3 8" xfId="7892"/>
    <cellStyle name="Обычный 10 6 5 4" xfId="7893"/>
    <cellStyle name="Обычный 10 6 5 4 2" xfId="7894"/>
    <cellStyle name="Обычный 10 6 5 4 2 2" xfId="7895"/>
    <cellStyle name="Обычный 10 6 5 4 2 2 2" xfId="7896"/>
    <cellStyle name="Обычный 10 6 5 4 2 2 3" xfId="7897"/>
    <cellStyle name="Обычный 10 6 5 4 2 3" xfId="7898"/>
    <cellStyle name="Обычный 10 6 5 4 2 3 2" xfId="7899"/>
    <cellStyle name="Обычный 10 6 5 4 2 3 3" xfId="7900"/>
    <cellStyle name="Обычный 10 6 5 4 2 4" xfId="7901"/>
    <cellStyle name="Обычный 10 6 5 4 2 4 2" xfId="7902"/>
    <cellStyle name="Обычный 10 6 5 4 2 5" xfId="7903"/>
    <cellStyle name="Обычный 10 6 5 4 2 6" xfId="7904"/>
    <cellStyle name="Обычный 10 6 5 4 3" xfId="7905"/>
    <cellStyle name="Обычный 10 6 5 4 3 2" xfId="7906"/>
    <cellStyle name="Обычный 10 6 5 4 3 3" xfId="7907"/>
    <cellStyle name="Обычный 10 6 5 4 4" xfId="7908"/>
    <cellStyle name="Обычный 10 6 5 4 4 2" xfId="7909"/>
    <cellStyle name="Обычный 10 6 5 4 4 3" xfId="7910"/>
    <cellStyle name="Обычный 10 6 5 4 5" xfId="7911"/>
    <cellStyle name="Обычный 10 6 5 4 5 2" xfId="7912"/>
    <cellStyle name="Обычный 10 6 5 4 6" xfId="7913"/>
    <cellStyle name="Обычный 10 6 5 4 7" xfId="7914"/>
    <cellStyle name="Обычный 10 6 5 5" xfId="7915"/>
    <cellStyle name="Обычный 10 6 5 5 2" xfId="7916"/>
    <cellStyle name="Обычный 10 6 5 5 2 2" xfId="7917"/>
    <cellStyle name="Обычный 10 6 5 5 2 3" xfId="7918"/>
    <cellStyle name="Обычный 10 6 5 5 3" xfId="7919"/>
    <cellStyle name="Обычный 10 6 5 5 3 2" xfId="7920"/>
    <cellStyle name="Обычный 10 6 5 5 3 3" xfId="7921"/>
    <cellStyle name="Обычный 10 6 5 5 4" xfId="7922"/>
    <cellStyle name="Обычный 10 6 5 5 4 2" xfId="7923"/>
    <cellStyle name="Обычный 10 6 5 5 5" xfId="7924"/>
    <cellStyle name="Обычный 10 6 5 5 6" xfId="7925"/>
    <cellStyle name="Обычный 10 6 5 6" xfId="7926"/>
    <cellStyle name="Обычный 10 6 5 6 2" xfId="7927"/>
    <cellStyle name="Обычный 10 6 5 6 3" xfId="7928"/>
    <cellStyle name="Обычный 10 6 5 7" xfId="7929"/>
    <cellStyle name="Обычный 10 6 5 7 2" xfId="7930"/>
    <cellStyle name="Обычный 10 6 5 7 3" xfId="7931"/>
    <cellStyle name="Обычный 10 6 5 8" xfId="7932"/>
    <cellStyle name="Обычный 10 6 5 8 2" xfId="7933"/>
    <cellStyle name="Обычный 10 6 5 9" xfId="7934"/>
    <cellStyle name="Обычный 10 6 6" xfId="7935"/>
    <cellStyle name="Обычный 10 6 6 2" xfId="7936"/>
    <cellStyle name="Обычный 10 6 6 2 2" xfId="7937"/>
    <cellStyle name="Обычный 10 6 6 2 2 2" xfId="7938"/>
    <cellStyle name="Обычный 10 6 6 2 2 2 2" xfId="7939"/>
    <cellStyle name="Обычный 10 6 6 2 2 2 2 2" xfId="7940"/>
    <cellStyle name="Обычный 10 6 6 2 2 2 2 3" xfId="7941"/>
    <cellStyle name="Обычный 10 6 6 2 2 2 3" xfId="7942"/>
    <cellStyle name="Обычный 10 6 6 2 2 2 3 2" xfId="7943"/>
    <cellStyle name="Обычный 10 6 6 2 2 2 3 3" xfId="7944"/>
    <cellStyle name="Обычный 10 6 6 2 2 2 4" xfId="7945"/>
    <cellStyle name="Обычный 10 6 6 2 2 2 4 2" xfId="7946"/>
    <cellStyle name="Обычный 10 6 6 2 2 2 5" xfId="7947"/>
    <cellStyle name="Обычный 10 6 6 2 2 2 6" xfId="7948"/>
    <cellStyle name="Обычный 10 6 6 2 2 3" xfId="7949"/>
    <cellStyle name="Обычный 10 6 6 2 2 3 2" xfId="7950"/>
    <cellStyle name="Обычный 10 6 6 2 2 3 3" xfId="7951"/>
    <cellStyle name="Обычный 10 6 6 2 2 4" xfId="7952"/>
    <cellStyle name="Обычный 10 6 6 2 2 4 2" xfId="7953"/>
    <cellStyle name="Обычный 10 6 6 2 2 4 3" xfId="7954"/>
    <cellStyle name="Обычный 10 6 6 2 2 5" xfId="7955"/>
    <cellStyle name="Обычный 10 6 6 2 2 5 2" xfId="7956"/>
    <cellStyle name="Обычный 10 6 6 2 2 6" xfId="7957"/>
    <cellStyle name="Обычный 10 6 6 2 2 7" xfId="7958"/>
    <cellStyle name="Обычный 10 6 6 2 3" xfId="7959"/>
    <cellStyle name="Обычный 10 6 6 2 3 2" xfId="7960"/>
    <cellStyle name="Обычный 10 6 6 2 3 2 2" xfId="7961"/>
    <cellStyle name="Обычный 10 6 6 2 3 2 3" xfId="7962"/>
    <cellStyle name="Обычный 10 6 6 2 3 3" xfId="7963"/>
    <cellStyle name="Обычный 10 6 6 2 3 3 2" xfId="7964"/>
    <cellStyle name="Обычный 10 6 6 2 3 3 3" xfId="7965"/>
    <cellStyle name="Обычный 10 6 6 2 3 4" xfId="7966"/>
    <cellStyle name="Обычный 10 6 6 2 3 4 2" xfId="7967"/>
    <cellStyle name="Обычный 10 6 6 2 3 5" xfId="7968"/>
    <cellStyle name="Обычный 10 6 6 2 3 6" xfId="7969"/>
    <cellStyle name="Обычный 10 6 6 2 4" xfId="7970"/>
    <cellStyle name="Обычный 10 6 6 2 4 2" xfId="7971"/>
    <cellStyle name="Обычный 10 6 6 2 4 3" xfId="7972"/>
    <cellStyle name="Обычный 10 6 6 2 5" xfId="7973"/>
    <cellStyle name="Обычный 10 6 6 2 5 2" xfId="7974"/>
    <cellStyle name="Обычный 10 6 6 2 5 3" xfId="7975"/>
    <cellStyle name="Обычный 10 6 6 2 6" xfId="7976"/>
    <cellStyle name="Обычный 10 6 6 2 6 2" xfId="7977"/>
    <cellStyle name="Обычный 10 6 6 2 7" xfId="7978"/>
    <cellStyle name="Обычный 10 6 6 2 8" xfId="7979"/>
    <cellStyle name="Обычный 10 6 6 3" xfId="7980"/>
    <cellStyle name="Обычный 10 6 6 3 2" xfId="7981"/>
    <cellStyle name="Обычный 10 6 6 3 2 2" xfId="7982"/>
    <cellStyle name="Обычный 10 6 6 3 2 2 2" xfId="7983"/>
    <cellStyle name="Обычный 10 6 6 3 2 2 3" xfId="7984"/>
    <cellStyle name="Обычный 10 6 6 3 2 3" xfId="7985"/>
    <cellStyle name="Обычный 10 6 6 3 2 3 2" xfId="7986"/>
    <cellStyle name="Обычный 10 6 6 3 2 3 3" xfId="7987"/>
    <cellStyle name="Обычный 10 6 6 3 2 4" xfId="7988"/>
    <cellStyle name="Обычный 10 6 6 3 2 4 2" xfId="7989"/>
    <cellStyle name="Обычный 10 6 6 3 2 5" xfId="7990"/>
    <cellStyle name="Обычный 10 6 6 3 2 6" xfId="7991"/>
    <cellStyle name="Обычный 10 6 6 3 3" xfId="7992"/>
    <cellStyle name="Обычный 10 6 6 3 3 2" xfId="7993"/>
    <cellStyle name="Обычный 10 6 6 3 3 3" xfId="7994"/>
    <cellStyle name="Обычный 10 6 6 3 4" xfId="7995"/>
    <cellStyle name="Обычный 10 6 6 3 4 2" xfId="7996"/>
    <cellStyle name="Обычный 10 6 6 3 4 3" xfId="7997"/>
    <cellStyle name="Обычный 10 6 6 3 5" xfId="7998"/>
    <cellStyle name="Обычный 10 6 6 3 5 2" xfId="7999"/>
    <cellStyle name="Обычный 10 6 6 3 6" xfId="8000"/>
    <cellStyle name="Обычный 10 6 6 3 7" xfId="8001"/>
    <cellStyle name="Обычный 10 6 6 4" xfId="8002"/>
    <cellStyle name="Обычный 10 6 6 4 2" xfId="8003"/>
    <cellStyle name="Обычный 10 6 6 4 2 2" xfId="8004"/>
    <cellStyle name="Обычный 10 6 6 4 2 3" xfId="8005"/>
    <cellStyle name="Обычный 10 6 6 4 3" xfId="8006"/>
    <cellStyle name="Обычный 10 6 6 4 3 2" xfId="8007"/>
    <cellStyle name="Обычный 10 6 6 4 3 3" xfId="8008"/>
    <cellStyle name="Обычный 10 6 6 4 4" xfId="8009"/>
    <cellStyle name="Обычный 10 6 6 4 4 2" xfId="8010"/>
    <cellStyle name="Обычный 10 6 6 4 5" xfId="8011"/>
    <cellStyle name="Обычный 10 6 6 4 6" xfId="8012"/>
    <cellStyle name="Обычный 10 6 6 5" xfId="8013"/>
    <cellStyle name="Обычный 10 6 6 5 2" xfId="8014"/>
    <cellStyle name="Обычный 10 6 6 5 3" xfId="8015"/>
    <cellStyle name="Обычный 10 6 6 6" xfId="8016"/>
    <cellStyle name="Обычный 10 6 6 6 2" xfId="8017"/>
    <cellStyle name="Обычный 10 6 6 6 3" xfId="8018"/>
    <cellStyle name="Обычный 10 6 6 7" xfId="8019"/>
    <cellStyle name="Обычный 10 6 6 7 2" xfId="8020"/>
    <cellStyle name="Обычный 10 6 6 8" xfId="8021"/>
    <cellStyle name="Обычный 10 6 6 9" xfId="8022"/>
    <cellStyle name="Обычный 10 6 7" xfId="8023"/>
    <cellStyle name="Обычный 10 6 7 2" xfId="8024"/>
    <cellStyle name="Обычный 10 6 7 2 2" xfId="8025"/>
    <cellStyle name="Обычный 10 6 7 2 2 2" xfId="8026"/>
    <cellStyle name="Обычный 10 6 7 2 2 2 2" xfId="8027"/>
    <cellStyle name="Обычный 10 6 7 2 2 2 3" xfId="8028"/>
    <cellStyle name="Обычный 10 6 7 2 2 3" xfId="8029"/>
    <cellStyle name="Обычный 10 6 7 2 2 3 2" xfId="8030"/>
    <cellStyle name="Обычный 10 6 7 2 2 3 3" xfId="8031"/>
    <cellStyle name="Обычный 10 6 7 2 2 4" xfId="8032"/>
    <cellStyle name="Обычный 10 6 7 2 2 4 2" xfId="8033"/>
    <cellStyle name="Обычный 10 6 7 2 2 5" xfId="8034"/>
    <cellStyle name="Обычный 10 6 7 2 2 6" xfId="8035"/>
    <cellStyle name="Обычный 10 6 7 2 3" xfId="8036"/>
    <cellStyle name="Обычный 10 6 7 2 3 2" xfId="8037"/>
    <cellStyle name="Обычный 10 6 7 2 3 3" xfId="8038"/>
    <cellStyle name="Обычный 10 6 7 2 4" xfId="8039"/>
    <cellStyle name="Обычный 10 6 7 2 4 2" xfId="8040"/>
    <cellStyle name="Обычный 10 6 7 2 4 3" xfId="8041"/>
    <cellStyle name="Обычный 10 6 7 2 5" xfId="8042"/>
    <cellStyle name="Обычный 10 6 7 2 5 2" xfId="8043"/>
    <cellStyle name="Обычный 10 6 7 2 6" xfId="8044"/>
    <cellStyle name="Обычный 10 6 7 2 7" xfId="8045"/>
    <cellStyle name="Обычный 10 6 7 3" xfId="8046"/>
    <cellStyle name="Обычный 10 6 7 3 2" xfId="8047"/>
    <cellStyle name="Обычный 10 6 7 3 2 2" xfId="8048"/>
    <cellStyle name="Обычный 10 6 7 3 2 3" xfId="8049"/>
    <cellStyle name="Обычный 10 6 7 3 3" xfId="8050"/>
    <cellStyle name="Обычный 10 6 7 3 3 2" xfId="8051"/>
    <cellStyle name="Обычный 10 6 7 3 3 3" xfId="8052"/>
    <cellStyle name="Обычный 10 6 7 3 4" xfId="8053"/>
    <cellStyle name="Обычный 10 6 7 3 4 2" xfId="8054"/>
    <cellStyle name="Обычный 10 6 7 3 5" xfId="8055"/>
    <cellStyle name="Обычный 10 6 7 3 6" xfId="8056"/>
    <cellStyle name="Обычный 10 6 7 4" xfId="8057"/>
    <cellStyle name="Обычный 10 6 7 4 2" xfId="8058"/>
    <cellStyle name="Обычный 10 6 7 4 3" xfId="8059"/>
    <cellStyle name="Обычный 10 6 7 5" xfId="8060"/>
    <cellStyle name="Обычный 10 6 7 5 2" xfId="8061"/>
    <cellStyle name="Обычный 10 6 7 5 3" xfId="8062"/>
    <cellStyle name="Обычный 10 6 7 6" xfId="8063"/>
    <cellStyle name="Обычный 10 6 7 6 2" xfId="8064"/>
    <cellStyle name="Обычный 10 6 7 7" xfId="8065"/>
    <cellStyle name="Обычный 10 6 7 8" xfId="8066"/>
    <cellStyle name="Обычный 10 6 8" xfId="8067"/>
    <cellStyle name="Обычный 10 6 8 2" xfId="8068"/>
    <cellStyle name="Обычный 10 6 8 2 2" xfId="8069"/>
    <cellStyle name="Обычный 10 6 8 2 2 2" xfId="8070"/>
    <cellStyle name="Обычный 10 6 8 2 2 3" xfId="8071"/>
    <cellStyle name="Обычный 10 6 8 2 3" xfId="8072"/>
    <cellStyle name="Обычный 10 6 8 2 3 2" xfId="8073"/>
    <cellStyle name="Обычный 10 6 8 2 3 3" xfId="8074"/>
    <cellStyle name="Обычный 10 6 8 2 4" xfId="8075"/>
    <cellStyle name="Обычный 10 6 8 2 4 2" xfId="8076"/>
    <cellStyle name="Обычный 10 6 8 2 5" xfId="8077"/>
    <cellStyle name="Обычный 10 6 8 2 6" xfId="8078"/>
    <cellStyle name="Обычный 10 6 8 3" xfId="8079"/>
    <cellStyle name="Обычный 10 6 8 3 2" xfId="8080"/>
    <cellStyle name="Обычный 10 6 8 3 3" xfId="8081"/>
    <cellStyle name="Обычный 10 6 8 4" xfId="8082"/>
    <cellStyle name="Обычный 10 6 8 4 2" xfId="8083"/>
    <cellStyle name="Обычный 10 6 8 4 3" xfId="8084"/>
    <cellStyle name="Обычный 10 6 8 5" xfId="8085"/>
    <cellStyle name="Обычный 10 6 8 5 2" xfId="8086"/>
    <cellStyle name="Обычный 10 6 8 6" xfId="8087"/>
    <cellStyle name="Обычный 10 6 8 7" xfId="8088"/>
    <cellStyle name="Обычный 10 6 9" xfId="8089"/>
    <cellStyle name="Обычный 10 6 9 2" xfId="8090"/>
    <cellStyle name="Обычный 10 6 9 2 2" xfId="8091"/>
    <cellStyle name="Обычный 10 6 9 2 3" xfId="8092"/>
    <cellStyle name="Обычный 10 6 9 3" xfId="8093"/>
    <cellStyle name="Обычный 10 6 9 3 2" xfId="8094"/>
    <cellStyle name="Обычный 10 6 9 3 3" xfId="8095"/>
    <cellStyle name="Обычный 10 6 9 4" xfId="8096"/>
    <cellStyle name="Обычный 10 6 9 4 2" xfId="8097"/>
    <cellStyle name="Обычный 10 6 9 5" xfId="8098"/>
    <cellStyle name="Обычный 10 6 9 6" xfId="8099"/>
    <cellStyle name="Обычный 10 7" xfId="8100"/>
    <cellStyle name="Обычный 10 7 10" xfId="8101"/>
    <cellStyle name="Обычный 10 7 10 2" xfId="8102"/>
    <cellStyle name="Обычный 10 7 10 3" xfId="8103"/>
    <cellStyle name="Обычный 10 7 11" xfId="8104"/>
    <cellStyle name="Обычный 10 7 11 2" xfId="8105"/>
    <cellStyle name="Обычный 10 7 11 3" xfId="8106"/>
    <cellStyle name="Обычный 10 7 12" xfId="8107"/>
    <cellStyle name="Обычный 10 7 12 2" xfId="8108"/>
    <cellStyle name="Обычный 10 7 13" xfId="8109"/>
    <cellStyle name="Обычный 10 7 14" xfId="8110"/>
    <cellStyle name="Обычный 10 7 2" xfId="8111"/>
    <cellStyle name="Обычный 10 7 2 10" xfId="8112"/>
    <cellStyle name="Обычный 10 7 2 10 2" xfId="8113"/>
    <cellStyle name="Обычный 10 7 2 10 3" xfId="8114"/>
    <cellStyle name="Обычный 10 7 2 11" xfId="8115"/>
    <cellStyle name="Обычный 10 7 2 11 2" xfId="8116"/>
    <cellStyle name="Обычный 10 7 2 12" xfId="8117"/>
    <cellStyle name="Обычный 10 7 2 13" xfId="8118"/>
    <cellStyle name="Обычный 10 7 2 2" xfId="8119"/>
    <cellStyle name="Обычный 10 7 2 2 10" xfId="8120"/>
    <cellStyle name="Обычный 10 7 2 2 2" xfId="8121"/>
    <cellStyle name="Обычный 10 7 2 2 2 2" xfId="8122"/>
    <cellStyle name="Обычный 10 7 2 2 2 2 2" xfId="8123"/>
    <cellStyle name="Обычный 10 7 2 2 2 2 2 2" xfId="8124"/>
    <cellStyle name="Обычный 10 7 2 2 2 2 2 2 2" xfId="8125"/>
    <cellStyle name="Обычный 10 7 2 2 2 2 2 2 2 2" xfId="8126"/>
    <cellStyle name="Обычный 10 7 2 2 2 2 2 2 2 3" xfId="8127"/>
    <cellStyle name="Обычный 10 7 2 2 2 2 2 2 3" xfId="8128"/>
    <cellStyle name="Обычный 10 7 2 2 2 2 2 2 3 2" xfId="8129"/>
    <cellStyle name="Обычный 10 7 2 2 2 2 2 2 3 3" xfId="8130"/>
    <cellStyle name="Обычный 10 7 2 2 2 2 2 2 4" xfId="8131"/>
    <cellStyle name="Обычный 10 7 2 2 2 2 2 2 4 2" xfId="8132"/>
    <cellStyle name="Обычный 10 7 2 2 2 2 2 2 5" xfId="8133"/>
    <cellStyle name="Обычный 10 7 2 2 2 2 2 2 6" xfId="8134"/>
    <cellStyle name="Обычный 10 7 2 2 2 2 2 3" xfId="8135"/>
    <cellStyle name="Обычный 10 7 2 2 2 2 2 3 2" xfId="8136"/>
    <cellStyle name="Обычный 10 7 2 2 2 2 2 3 3" xfId="8137"/>
    <cellStyle name="Обычный 10 7 2 2 2 2 2 4" xfId="8138"/>
    <cellStyle name="Обычный 10 7 2 2 2 2 2 4 2" xfId="8139"/>
    <cellStyle name="Обычный 10 7 2 2 2 2 2 4 3" xfId="8140"/>
    <cellStyle name="Обычный 10 7 2 2 2 2 2 5" xfId="8141"/>
    <cellStyle name="Обычный 10 7 2 2 2 2 2 5 2" xfId="8142"/>
    <cellStyle name="Обычный 10 7 2 2 2 2 2 6" xfId="8143"/>
    <cellStyle name="Обычный 10 7 2 2 2 2 2 7" xfId="8144"/>
    <cellStyle name="Обычный 10 7 2 2 2 2 3" xfId="8145"/>
    <cellStyle name="Обычный 10 7 2 2 2 2 3 2" xfId="8146"/>
    <cellStyle name="Обычный 10 7 2 2 2 2 3 2 2" xfId="8147"/>
    <cellStyle name="Обычный 10 7 2 2 2 2 3 2 3" xfId="8148"/>
    <cellStyle name="Обычный 10 7 2 2 2 2 3 3" xfId="8149"/>
    <cellStyle name="Обычный 10 7 2 2 2 2 3 3 2" xfId="8150"/>
    <cellStyle name="Обычный 10 7 2 2 2 2 3 3 3" xfId="8151"/>
    <cellStyle name="Обычный 10 7 2 2 2 2 3 4" xfId="8152"/>
    <cellStyle name="Обычный 10 7 2 2 2 2 3 4 2" xfId="8153"/>
    <cellStyle name="Обычный 10 7 2 2 2 2 3 5" xfId="8154"/>
    <cellStyle name="Обычный 10 7 2 2 2 2 3 6" xfId="8155"/>
    <cellStyle name="Обычный 10 7 2 2 2 2 4" xfId="8156"/>
    <cellStyle name="Обычный 10 7 2 2 2 2 4 2" xfId="8157"/>
    <cellStyle name="Обычный 10 7 2 2 2 2 4 3" xfId="8158"/>
    <cellStyle name="Обычный 10 7 2 2 2 2 5" xfId="8159"/>
    <cellStyle name="Обычный 10 7 2 2 2 2 5 2" xfId="8160"/>
    <cellStyle name="Обычный 10 7 2 2 2 2 5 3" xfId="8161"/>
    <cellStyle name="Обычный 10 7 2 2 2 2 6" xfId="8162"/>
    <cellStyle name="Обычный 10 7 2 2 2 2 6 2" xfId="8163"/>
    <cellStyle name="Обычный 10 7 2 2 2 2 7" xfId="8164"/>
    <cellStyle name="Обычный 10 7 2 2 2 2 8" xfId="8165"/>
    <cellStyle name="Обычный 10 7 2 2 2 3" xfId="8166"/>
    <cellStyle name="Обычный 10 7 2 2 2 3 2" xfId="8167"/>
    <cellStyle name="Обычный 10 7 2 2 2 3 2 2" xfId="8168"/>
    <cellStyle name="Обычный 10 7 2 2 2 3 2 2 2" xfId="8169"/>
    <cellStyle name="Обычный 10 7 2 2 2 3 2 2 3" xfId="8170"/>
    <cellStyle name="Обычный 10 7 2 2 2 3 2 3" xfId="8171"/>
    <cellStyle name="Обычный 10 7 2 2 2 3 2 3 2" xfId="8172"/>
    <cellStyle name="Обычный 10 7 2 2 2 3 2 3 3" xfId="8173"/>
    <cellStyle name="Обычный 10 7 2 2 2 3 2 4" xfId="8174"/>
    <cellStyle name="Обычный 10 7 2 2 2 3 2 4 2" xfId="8175"/>
    <cellStyle name="Обычный 10 7 2 2 2 3 2 5" xfId="8176"/>
    <cellStyle name="Обычный 10 7 2 2 2 3 2 6" xfId="8177"/>
    <cellStyle name="Обычный 10 7 2 2 2 3 3" xfId="8178"/>
    <cellStyle name="Обычный 10 7 2 2 2 3 3 2" xfId="8179"/>
    <cellStyle name="Обычный 10 7 2 2 2 3 3 3" xfId="8180"/>
    <cellStyle name="Обычный 10 7 2 2 2 3 4" xfId="8181"/>
    <cellStyle name="Обычный 10 7 2 2 2 3 4 2" xfId="8182"/>
    <cellStyle name="Обычный 10 7 2 2 2 3 4 3" xfId="8183"/>
    <cellStyle name="Обычный 10 7 2 2 2 3 5" xfId="8184"/>
    <cellStyle name="Обычный 10 7 2 2 2 3 5 2" xfId="8185"/>
    <cellStyle name="Обычный 10 7 2 2 2 3 6" xfId="8186"/>
    <cellStyle name="Обычный 10 7 2 2 2 3 7" xfId="8187"/>
    <cellStyle name="Обычный 10 7 2 2 2 4" xfId="8188"/>
    <cellStyle name="Обычный 10 7 2 2 2 4 2" xfId="8189"/>
    <cellStyle name="Обычный 10 7 2 2 2 4 2 2" xfId="8190"/>
    <cellStyle name="Обычный 10 7 2 2 2 4 2 3" xfId="8191"/>
    <cellStyle name="Обычный 10 7 2 2 2 4 3" xfId="8192"/>
    <cellStyle name="Обычный 10 7 2 2 2 4 3 2" xfId="8193"/>
    <cellStyle name="Обычный 10 7 2 2 2 4 3 3" xfId="8194"/>
    <cellStyle name="Обычный 10 7 2 2 2 4 4" xfId="8195"/>
    <cellStyle name="Обычный 10 7 2 2 2 4 4 2" xfId="8196"/>
    <cellStyle name="Обычный 10 7 2 2 2 4 5" xfId="8197"/>
    <cellStyle name="Обычный 10 7 2 2 2 4 6" xfId="8198"/>
    <cellStyle name="Обычный 10 7 2 2 2 5" xfId="8199"/>
    <cellStyle name="Обычный 10 7 2 2 2 5 2" xfId="8200"/>
    <cellStyle name="Обычный 10 7 2 2 2 5 3" xfId="8201"/>
    <cellStyle name="Обычный 10 7 2 2 2 6" xfId="8202"/>
    <cellStyle name="Обычный 10 7 2 2 2 6 2" xfId="8203"/>
    <cellStyle name="Обычный 10 7 2 2 2 6 3" xfId="8204"/>
    <cellStyle name="Обычный 10 7 2 2 2 7" xfId="8205"/>
    <cellStyle name="Обычный 10 7 2 2 2 7 2" xfId="8206"/>
    <cellStyle name="Обычный 10 7 2 2 2 8" xfId="8207"/>
    <cellStyle name="Обычный 10 7 2 2 2 9" xfId="8208"/>
    <cellStyle name="Обычный 10 7 2 2 3" xfId="8209"/>
    <cellStyle name="Обычный 10 7 2 2 3 2" xfId="8210"/>
    <cellStyle name="Обычный 10 7 2 2 3 2 2" xfId="8211"/>
    <cellStyle name="Обычный 10 7 2 2 3 2 2 2" xfId="8212"/>
    <cellStyle name="Обычный 10 7 2 2 3 2 2 2 2" xfId="8213"/>
    <cellStyle name="Обычный 10 7 2 2 3 2 2 2 3" xfId="8214"/>
    <cellStyle name="Обычный 10 7 2 2 3 2 2 3" xfId="8215"/>
    <cellStyle name="Обычный 10 7 2 2 3 2 2 3 2" xfId="8216"/>
    <cellStyle name="Обычный 10 7 2 2 3 2 2 3 3" xfId="8217"/>
    <cellStyle name="Обычный 10 7 2 2 3 2 2 4" xfId="8218"/>
    <cellStyle name="Обычный 10 7 2 2 3 2 2 4 2" xfId="8219"/>
    <cellStyle name="Обычный 10 7 2 2 3 2 2 5" xfId="8220"/>
    <cellStyle name="Обычный 10 7 2 2 3 2 2 6" xfId="8221"/>
    <cellStyle name="Обычный 10 7 2 2 3 2 3" xfId="8222"/>
    <cellStyle name="Обычный 10 7 2 2 3 2 3 2" xfId="8223"/>
    <cellStyle name="Обычный 10 7 2 2 3 2 3 3" xfId="8224"/>
    <cellStyle name="Обычный 10 7 2 2 3 2 4" xfId="8225"/>
    <cellStyle name="Обычный 10 7 2 2 3 2 4 2" xfId="8226"/>
    <cellStyle name="Обычный 10 7 2 2 3 2 4 3" xfId="8227"/>
    <cellStyle name="Обычный 10 7 2 2 3 2 5" xfId="8228"/>
    <cellStyle name="Обычный 10 7 2 2 3 2 5 2" xfId="8229"/>
    <cellStyle name="Обычный 10 7 2 2 3 2 6" xfId="8230"/>
    <cellStyle name="Обычный 10 7 2 2 3 2 7" xfId="8231"/>
    <cellStyle name="Обычный 10 7 2 2 3 3" xfId="8232"/>
    <cellStyle name="Обычный 10 7 2 2 3 3 2" xfId="8233"/>
    <cellStyle name="Обычный 10 7 2 2 3 3 2 2" xfId="8234"/>
    <cellStyle name="Обычный 10 7 2 2 3 3 2 3" xfId="8235"/>
    <cellStyle name="Обычный 10 7 2 2 3 3 3" xfId="8236"/>
    <cellStyle name="Обычный 10 7 2 2 3 3 3 2" xfId="8237"/>
    <cellStyle name="Обычный 10 7 2 2 3 3 3 3" xfId="8238"/>
    <cellStyle name="Обычный 10 7 2 2 3 3 4" xfId="8239"/>
    <cellStyle name="Обычный 10 7 2 2 3 3 4 2" xfId="8240"/>
    <cellStyle name="Обычный 10 7 2 2 3 3 5" xfId="8241"/>
    <cellStyle name="Обычный 10 7 2 2 3 3 6" xfId="8242"/>
    <cellStyle name="Обычный 10 7 2 2 3 4" xfId="8243"/>
    <cellStyle name="Обычный 10 7 2 2 3 4 2" xfId="8244"/>
    <cellStyle name="Обычный 10 7 2 2 3 4 3" xfId="8245"/>
    <cellStyle name="Обычный 10 7 2 2 3 5" xfId="8246"/>
    <cellStyle name="Обычный 10 7 2 2 3 5 2" xfId="8247"/>
    <cellStyle name="Обычный 10 7 2 2 3 5 3" xfId="8248"/>
    <cellStyle name="Обычный 10 7 2 2 3 6" xfId="8249"/>
    <cellStyle name="Обычный 10 7 2 2 3 6 2" xfId="8250"/>
    <cellStyle name="Обычный 10 7 2 2 3 7" xfId="8251"/>
    <cellStyle name="Обычный 10 7 2 2 3 8" xfId="8252"/>
    <cellStyle name="Обычный 10 7 2 2 4" xfId="8253"/>
    <cellStyle name="Обычный 10 7 2 2 4 2" xfId="8254"/>
    <cellStyle name="Обычный 10 7 2 2 4 2 2" xfId="8255"/>
    <cellStyle name="Обычный 10 7 2 2 4 2 2 2" xfId="8256"/>
    <cellStyle name="Обычный 10 7 2 2 4 2 2 3" xfId="8257"/>
    <cellStyle name="Обычный 10 7 2 2 4 2 3" xfId="8258"/>
    <cellStyle name="Обычный 10 7 2 2 4 2 3 2" xfId="8259"/>
    <cellStyle name="Обычный 10 7 2 2 4 2 3 3" xfId="8260"/>
    <cellStyle name="Обычный 10 7 2 2 4 2 4" xfId="8261"/>
    <cellStyle name="Обычный 10 7 2 2 4 2 4 2" xfId="8262"/>
    <cellStyle name="Обычный 10 7 2 2 4 2 5" xfId="8263"/>
    <cellStyle name="Обычный 10 7 2 2 4 2 6" xfId="8264"/>
    <cellStyle name="Обычный 10 7 2 2 4 3" xfId="8265"/>
    <cellStyle name="Обычный 10 7 2 2 4 3 2" xfId="8266"/>
    <cellStyle name="Обычный 10 7 2 2 4 3 3" xfId="8267"/>
    <cellStyle name="Обычный 10 7 2 2 4 4" xfId="8268"/>
    <cellStyle name="Обычный 10 7 2 2 4 4 2" xfId="8269"/>
    <cellStyle name="Обычный 10 7 2 2 4 4 3" xfId="8270"/>
    <cellStyle name="Обычный 10 7 2 2 4 5" xfId="8271"/>
    <cellStyle name="Обычный 10 7 2 2 4 5 2" xfId="8272"/>
    <cellStyle name="Обычный 10 7 2 2 4 6" xfId="8273"/>
    <cellStyle name="Обычный 10 7 2 2 4 7" xfId="8274"/>
    <cellStyle name="Обычный 10 7 2 2 5" xfId="8275"/>
    <cellStyle name="Обычный 10 7 2 2 5 2" xfId="8276"/>
    <cellStyle name="Обычный 10 7 2 2 5 2 2" xfId="8277"/>
    <cellStyle name="Обычный 10 7 2 2 5 2 3" xfId="8278"/>
    <cellStyle name="Обычный 10 7 2 2 5 3" xfId="8279"/>
    <cellStyle name="Обычный 10 7 2 2 5 3 2" xfId="8280"/>
    <cellStyle name="Обычный 10 7 2 2 5 3 3" xfId="8281"/>
    <cellStyle name="Обычный 10 7 2 2 5 4" xfId="8282"/>
    <cellStyle name="Обычный 10 7 2 2 5 4 2" xfId="8283"/>
    <cellStyle name="Обычный 10 7 2 2 5 5" xfId="8284"/>
    <cellStyle name="Обычный 10 7 2 2 5 6" xfId="8285"/>
    <cellStyle name="Обычный 10 7 2 2 6" xfId="8286"/>
    <cellStyle name="Обычный 10 7 2 2 6 2" xfId="8287"/>
    <cellStyle name="Обычный 10 7 2 2 6 3" xfId="8288"/>
    <cellStyle name="Обычный 10 7 2 2 7" xfId="8289"/>
    <cellStyle name="Обычный 10 7 2 2 7 2" xfId="8290"/>
    <cellStyle name="Обычный 10 7 2 2 7 3" xfId="8291"/>
    <cellStyle name="Обычный 10 7 2 2 8" xfId="8292"/>
    <cellStyle name="Обычный 10 7 2 2 8 2" xfId="8293"/>
    <cellStyle name="Обычный 10 7 2 2 9" xfId="8294"/>
    <cellStyle name="Обычный 10 7 2 3" xfId="8295"/>
    <cellStyle name="Обычный 10 7 2 3 10" xfId="8296"/>
    <cellStyle name="Обычный 10 7 2 3 2" xfId="8297"/>
    <cellStyle name="Обычный 10 7 2 3 2 2" xfId="8298"/>
    <cellStyle name="Обычный 10 7 2 3 2 2 2" xfId="8299"/>
    <cellStyle name="Обычный 10 7 2 3 2 2 2 2" xfId="8300"/>
    <cellStyle name="Обычный 10 7 2 3 2 2 2 2 2" xfId="8301"/>
    <cellStyle name="Обычный 10 7 2 3 2 2 2 2 2 2" xfId="8302"/>
    <cellStyle name="Обычный 10 7 2 3 2 2 2 2 2 3" xfId="8303"/>
    <cellStyle name="Обычный 10 7 2 3 2 2 2 2 3" xfId="8304"/>
    <cellStyle name="Обычный 10 7 2 3 2 2 2 2 3 2" xfId="8305"/>
    <cellStyle name="Обычный 10 7 2 3 2 2 2 2 3 3" xfId="8306"/>
    <cellStyle name="Обычный 10 7 2 3 2 2 2 2 4" xfId="8307"/>
    <cellStyle name="Обычный 10 7 2 3 2 2 2 2 4 2" xfId="8308"/>
    <cellStyle name="Обычный 10 7 2 3 2 2 2 2 5" xfId="8309"/>
    <cellStyle name="Обычный 10 7 2 3 2 2 2 2 6" xfId="8310"/>
    <cellStyle name="Обычный 10 7 2 3 2 2 2 3" xfId="8311"/>
    <cellStyle name="Обычный 10 7 2 3 2 2 2 3 2" xfId="8312"/>
    <cellStyle name="Обычный 10 7 2 3 2 2 2 3 3" xfId="8313"/>
    <cellStyle name="Обычный 10 7 2 3 2 2 2 4" xfId="8314"/>
    <cellStyle name="Обычный 10 7 2 3 2 2 2 4 2" xfId="8315"/>
    <cellStyle name="Обычный 10 7 2 3 2 2 2 4 3" xfId="8316"/>
    <cellStyle name="Обычный 10 7 2 3 2 2 2 5" xfId="8317"/>
    <cellStyle name="Обычный 10 7 2 3 2 2 2 5 2" xfId="8318"/>
    <cellStyle name="Обычный 10 7 2 3 2 2 2 6" xfId="8319"/>
    <cellStyle name="Обычный 10 7 2 3 2 2 2 7" xfId="8320"/>
    <cellStyle name="Обычный 10 7 2 3 2 2 3" xfId="8321"/>
    <cellStyle name="Обычный 10 7 2 3 2 2 3 2" xfId="8322"/>
    <cellStyle name="Обычный 10 7 2 3 2 2 3 2 2" xfId="8323"/>
    <cellStyle name="Обычный 10 7 2 3 2 2 3 2 3" xfId="8324"/>
    <cellStyle name="Обычный 10 7 2 3 2 2 3 3" xfId="8325"/>
    <cellStyle name="Обычный 10 7 2 3 2 2 3 3 2" xfId="8326"/>
    <cellStyle name="Обычный 10 7 2 3 2 2 3 3 3" xfId="8327"/>
    <cellStyle name="Обычный 10 7 2 3 2 2 3 4" xfId="8328"/>
    <cellStyle name="Обычный 10 7 2 3 2 2 3 4 2" xfId="8329"/>
    <cellStyle name="Обычный 10 7 2 3 2 2 3 5" xfId="8330"/>
    <cellStyle name="Обычный 10 7 2 3 2 2 3 6" xfId="8331"/>
    <cellStyle name="Обычный 10 7 2 3 2 2 4" xfId="8332"/>
    <cellStyle name="Обычный 10 7 2 3 2 2 4 2" xfId="8333"/>
    <cellStyle name="Обычный 10 7 2 3 2 2 4 3" xfId="8334"/>
    <cellStyle name="Обычный 10 7 2 3 2 2 5" xfId="8335"/>
    <cellStyle name="Обычный 10 7 2 3 2 2 5 2" xfId="8336"/>
    <cellStyle name="Обычный 10 7 2 3 2 2 5 3" xfId="8337"/>
    <cellStyle name="Обычный 10 7 2 3 2 2 6" xfId="8338"/>
    <cellStyle name="Обычный 10 7 2 3 2 2 6 2" xfId="8339"/>
    <cellStyle name="Обычный 10 7 2 3 2 2 7" xfId="8340"/>
    <cellStyle name="Обычный 10 7 2 3 2 2 8" xfId="8341"/>
    <cellStyle name="Обычный 10 7 2 3 2 3" xfId="8342"/>
    <cellStyle name="Обычный 10 7 2 3 2 3 2" xfId="8343"/>
    <cellStyle name="Обычный 10 7 2 3 2 3 2 2" xfId="8344"/>
    <cellStyle name="Обычный 10 7 2 3 2 3 2 2 2" xfId="8345"/>
    <cellStyle name="Обычный 10 7 2 3 2 3 2 2 3" xfId="8346"/>
    <cellStyle name="Обычный 10 7 2 3 2 3 2 3" xfId="8347"/>
    <cellStyle name="Обычный 10 7 2 3 2 3 2 3 2" xfId="8348"/>
    <cellStyle name="Обычный 10 7 2 3 2 3 2 3 3" xfId="8349"/>
    <cellStyle name="Обычный 10 7 2 3 2 3 2 4" xfId="8350"/>
    <cellStyle name="Обычный 10 7 2 3 2 3 2 4 2" xfId="8351"/>
    <cellStyle name="Обычный 10 7 2 3 2 3 2 5" xfId="8352"/>
    <cellStyle name="Обычный 10 7 2 3 2 3 2 6" xfId="8353"/>
    <cellStyle name="Обычный 10 7 2 3 2 3 3" xfId="8354"/>
    <cellStyle name="Обычный 10 7 2 3 2 3 3 2" xfId="8355"/>
    <cellStyle name="Обычный 10 7 2 3 2 3 3 3" xfId="8356"/>
    <cellStyle name="Обычный 10 7 2 3 2 3 4" xfId="8357"/>
    <cellStyle name="Обычный 10 7 2 3 2 3 4 2" xfId="8358"/>
    <cellStyle name="Обычный 10 7 2 3 2 3 4 3" xfId="8359"/>
    <cellStyle name="Обычный 10 7 2 3 2 3 5" xfId="8360"/>
    <cellStyle name="Обычный 10 7 2 3 2 3 5 2" xfId="8361"/>
    <cellStyle name="Обычный 10 7 2 3 2 3 6" xfId="8362"/>
    <cellStyle name="Обычный 10 7 2 3 2 3 7" xfId="8363"/>
    <cellStyle name="Обычный 10 7 2 3 2 4" xfId="8364"/>
    <cellStyle name="Обычный 10 7 2 3 2 4 2" xfId="8365"/>
    <cellStyle name="Обычный 10 7 2 3 2 4 2 2" xfId="8366"/>
    <cellStyle name="Обычный 10 7 2 3 2 4 2 3" xfId="8367"/>
    <cellStyle name="Обычный 10 7 2 3 2 4 3" xfId="8368"/>
    <cellStyle name="Обычный 10 7 2 3 2 4 3 2" xfId="8369"/>
    <cellStyle name="Обычный 10 7 2 3 2 4 3 3" xfId="8370"/>
    <cellStyle name="Обычный 10 7 2 3 2 4 4" xfId="8371"/>
    <cellStyle name="Обычный 10 7 2 3 2 4 4 2" xfId="8372"/>
    <cellStyle name="Обычный 10 7 2 3 2 4 5" xfId="8373"/>
    <cellStyle name="Обычный 10 7 2 3 2 4 6" xfId="8374"/>
    <cellStyle name="Обычный 10 7 2 3 2 5" xfId="8375"/>
    <cellStyle name="Обычный 10 7 2 3 2 5 2" xfId="8376"/>
    <cellStyle name="Обычный 10 7 2 3 2 5 3" xfId="8377"/>
    <cellStyle name="Обычный 10 7 2 3 2 6" xfId="8378"/>
    <cellStyle name="Обычный 10 7 2 3 2 6 2" xfId="8379"/>
    <cellStyle name="Обычный 10 7 2 3 2 6 3" xfId="8380"/>
    <cellStyle name="Обычный 10 7 2 3 2 7" xfId="8381"/>
    <cellStyle name="Обычный 10 7 2 3 2 7 2" xfId="8382"/>
    <cellStyle name="Обычный 10 7 2 3 2 8" xfId="8383"/>
    <cellStyle name="Обычный 10 7 2 3 2 9" xfId="8384"/>
    <cellStyle name="Обычный 10 7 2 3 3" xfId="8385"/>
    <cellStyle name="Обычный 10 7 2 3 3 2" xfId="8386"/>
    <cellStyle name="Обычный 10 7 2 3 3 2 2" xfId="8387"/>
    <cellStyle name="Обычный 10 7 2 3 3 2 2 2" xfId="8388"/>
    <cellStyle name="Обычный 10 7 2 3 3 2 2 2 2" xfId="8389"/>
    <cellStyle name="Обычный 10 7 2 3 3 2 2 2 3" xfId="8390"/>
    <cellStyle name="Обычный 10 7 2 3 3 2 2 3" xfId="8391"/>
    <cellStyle name="Обычный 10 7 2 3 3 2 2 3 2" xfId="8392"/>
    <cellStyle name="Обычный 10 7 2 3 3 2 2 3 3" xfId="8393"/>
    <cellStyle name="Обычный 10 7 2 3 3 2 2 4" xfId="8394"/>
    <cellStyle name="Обычный 10 7 2 3 3 2 2 4 2" xfId="8395"/>
    <cellStyle name="Обычный 10 7 2 3 3 2 2 5" xfId="8396"/>
    <cellStyle name="Обычный 10 7 2 3 3 2 2 6" xfId="8397"/>
    <cellStyle name="Обычный 10 7 2 3 3 2 3" xfId="8398"/>
    <cellStyle name="Обычный 10 7 2 3 3 2 3 2" xfId="8399"/>
    <cellStyle name="Обычный 10 7 2 3 3 2 3 3" xfId="8400"/>
    <cellStyle name="Обычный 10 7 2 3 3 2 4" xfId="8401"/>
    <cellStyle name="Обычный 10 7 2 3 3 2 4 2" xfId="8402"/>
    <cellStyle name="Обычный 10 7 2 3 3 2 4 3" xfId="8403"/>
    <cellStyle name="Обычный 10 7 2 3 3 2 5" xfId="8404"/>
    <cellStyle name="Обычный 10 7 2 3 3 2 5 2" xfId="8405"/>
    <cellStyle name="Обычный 10 7 2 3 3 2 6" xfId="8406"/>
    <cellStyle name="Обычный 10 7 2 3 3 2 7" xfId="8407"/>
    <cellStyle name="Обычный 10 7 2 3 3 3" xfId="8408"/>
    <cellStyle name="Обычный 10 7 2 3 3 3 2" xfId="8409"/>
    <cellStyle name="Обычный 10 7 2 3 3 3 2 2" xfId="8410"/>
    <cellStyle name="Обычный 10 7 2 3 3 3 2 3" xfId="8411"/>
    <cellStyle name="Обычный 10 7 2 3 3 3 3" xfId="8412"/>
    <cellStyle name="Обычный 10 7 2 3 3 3 3 2" xfId="8413"/>
    <cellStyle name="Обычный 10 7 2 3 3 3 3 3" xfId="8414"/>
    <cellStyle name="Обычный 10 7 2 3 3 3 4" xfId="8415"/>
    <cellStyle name="Обычный 10 7 2 3 3 3 4 2" xfId="8416"/>
    <cellStyle name="Обычный 10 7 2 3 3 3 5" xfId="8417"/>
    <cellStyle name="Обычный 10 7 2 3 3 3 6" xfId="8418"/>
    <cellStyle name="Обычный 10 7 2 3 3 4" xfId="8419"/>
    <cellStyle name="Обычный 10 7 2 3 3 4 2" xfId="8420"/>
    <cellStyle name="Обычный 10 7 2 3 3 4 3" xfId="8421"/>
    <cellStyle name="Обычный 10 7 2 3 3 5" xfId="8422"/>
    <cellStyle name="Обычный 10 7 2 3 3 5 2" xfId="8423"/>
    <cellStyle name="Обычный 10 7 2 3 3 5 3" xfId="8424"/>
    <cellStyle name="Обычный 10 7 2 3 3 6" xfId="8425"/>
    <cellStyle name="Обычный 10 7 2 3 3 6 2" xfId="8426"/>
    <cellStyle name="Обычный 10 7 2 3 3 7" xfId="8427"/>
    <cellStyle name="Обычный 10 7 2 3 3 8" xfId="8428"/>
    <cellStyle name="Обычный 10 7 2 3 4" xfId="8429"/>
    <cellStyle name="Обычный 10 7 2 3 4 2" xfId="8430"/>
    <cellStyle name="Обычный 10 7 2 3 4 2 2" xfId="8431"/>
    <cellStyle name="Обычный 10 7 2 3 4 2 2 2" xfId="8432"/>
    <cellStyle name="Обычный 10 7 2 3 4 2 2 3" xfId="8433"/>
    <cellStyle name="Обычный 10 7 2 3 4 2 3" xfId="8434"/>
    <cellStyle name="Обычный 10 7 2 3 4 2 3 2" xfId="8435"/>
    <cellStyle name="Обычный 10 7 2 3 4 2 3 3" xfId="8436"/>
    <cellStyle name="Обычный 10 7 2 3 4 2 4" xfId="8437"/>
    <cellStyle name="Обычный 10 7 2 3 4 2 4 2" xfId="8438"/>
    <cellStyle name="Обычный 10 7 2 3 4 2 5" xfId="8439"/>
    <cellStyle name="Обычный 10 7 2 3 4 2 6" xfId="8440"/>
    <cellStyle name="Обычный 10 7 2 3 4 3" xfId="8441"/>
    <cellStyle name="Обычный 10 7 2 3 4 3 2" xfId="8442"/>
    <cellStyle name="Обычный 10 7 2 3 4 3 3" xfId="8443"/>
    <cellStyle name="Обычный 10 7 2 3 4 4" xfId="8444"/>
    <cellStyle name="Обычный 10 7 2 3 4 4 2" xfId="8445"/>
    <cellStyle name="Обычный 10 7 2 3 4 4 3" xfId="8446"/>
    <cellStyle name="Обычный 10 7 2 3 4 5" xfId="8447"/>
    <cellStyle name="Обычный 10 7 2 3 4 5 2" xfId="8448"/>
    <cellStyle name="Обычный 10 7 2 3 4 6" xfId="8449"/>
    <cellStyle name="Обычный 10 7 2 3 4 7" xfId="8450"/>
    <cellStyle name="Обычный 10 7 2 3 5" xfId="8451"/>
    <cellStyle name="Обычный 10 7 2 3 5 2" xfId="8452"/>
    <cellStyle name="Обычный 10 7 2 3 5 2 2" xfId="8453"/>
    <cellStyle name="Обычный 10 7 2 3 5 2 3" xfId="8454"/>
    <cellStyle name="Обычный 10 7 2 3 5 3" xfId="8455"/>
    <cellStyle name="Обычный 10 7 2 3 5 3 2" xfId="8456"/>
    <cellStyle name="Обычный 10 7 2 3 5 3 3" xfId="8457"/>
    <cellStyle name="Обычный 10 7 2 3 5 4" xfId="8458"/>
    <cellStyle name="Обычный 10 7 2 3 5 4 2" xfId="8459"/>
    <cellStyle name="Обычный 10 7 2 3 5 5" xfId="8460"/>
    <cellStyle name="Обычный 10 7 2 3 5 6" xfId="8461"/>
    <cellStyle name="Обычный 10 7 2 3 6" xfId="8462"/>
    <cellStyle name="Обычный 10 7 2 3 6 2" xfId="8463"/>
    <cellStyle name="Обычный 10 7 2 3 6 3" xfId="8464"/>
    <cellStyle name="Обычный 10 7 2 3 7" xfId="8465"/>
    <cellStyle name="Обычный 10 7 2 3 7 2" xfId="8466"/>
    <cellStyle name="Обычный 10 7 2 3 7 3" xfId="8467"/>
    <cellStyle name="Обычный 10 7 2 3 8" xfId="8468"/>
    <cellStyle name="Обычный 10 7 2 3 8 2" xfId="8469"/>
    <cellStyle name="Обычный 10 7 2 3 9" xfId="8470"/>
    <cellStyle name="Обычный 10 7 2 4" xfId="8471"/>
    <cellStyle name="Обычный 10 7 2 4 10" xfId="8472"/>
    <cellStyle name="Обычный 10 7 2 4 2" xfId="8473"/>
    <cellStyle name="Обычный 10 7 2 4 2 2" xfId="8474"/>
    <cellStyle name="Обычный 10 7 2 4 2 2 2" xfId="8475"/>
    <cellStyle name="Обычный 10 7 2 4 2 2 2 2" xfId="8476"/>
    <cellStyle name="Обычный 10 7 2 4 2 2 2 2 2" xfId="8477"/>
    <cellStyle name="Обычный 10 7 2 4 2 2 2 2 2 2" xfId="8478"/>
    <cellStyle name="Обычный 10 7 2 4 2 2 2 2 2 3" xfId="8479"/>
    <cellStyle name="Обычный 10 7 2 4 2 2 2 2 3" xfId="8480"/>
    <cellStyle name="Обычный 10 7 2 4 2 2 2 2 3 2" xfId="8481"/>
    <cellStyle name="Обычный 10 7 2 4 2 2 2 2 3 3" xfId="8482"/>
    <cellStyle name="Обычный 10 7 2 4 2 2 2 2 4" xfId="8483"/>
    <cellStyle name="Обычный 10 7 2 4 2 2 2 2 4 2" xfId="8484"/>
    <cellStyle name="Обычный 10 7 2 4 2 2 2 2 5" xfId="8485"/>
    <cellStyle name="Обычный 10 7 2 4 2 2 2 2 6" xfId="8486"/>
    <cellStyle name="Обычный 10 7 2 4 2 2 2 3" xfId="8487"/>
    <cellStyle name="Обычный 10 7 2 4 2 2 2 3 2" xfId="8488"/>
    <cellStyle name="Обычный 10 7 2 4 2 2 2 3 3" xfId="8489"/>
    <cellStyle name="Обычный 10 7 2 4 2 2 2 4" xfId="8490"/>
    <cellStyle name="Обычный 10 7 2 4 2 2 2 4 2" xfId="8491"/>
    <cellStyle name="Обычный 10 7 2 4 2 2 2 4 3" xfId="8492"/>
    <cellStyle name="Обычный 10 7 2 4 2 2 2 5" xfId="8493"/>
    <cellStyle name="Обычный 10 7 2 4 2 2 2 5 2" xfId="8494"/>
    <cellStyle name="Обычный 10 7 2 4 2 2 2 6" xfId="8495"/>
    <cellStyle name="Обычный 10 7 2 4 2 2 2 7" xfId="8496"/>
    <cellStyle name="Обычный 10 7 2 4 2 2 3" xfId="8497"/>
    <cellStyle name="Обычный 10 7 2 4 2 2 3 2" xfId="8498"/>
    <cellStyle name="Обычный 10 7 2 4 2 2 3 2 2" xfId="8499"/>
    <cellStyle name="Обычный 10 7 2 4 2 2 3 2 3" xfId="8500"/>
    <cellStyle name="Обычный 10 7 2 4 2 2 3 3" xfId="8501"/>
    <cellStyle name="Обычный 10 7 2 4 2 2 3 3 2" xfId="8502"/>
    <cellStyle name="Обычный 10 7 2 4 2 2 3 3 3" xfId="8503"/>
    <cellStyle name="Обычный 10 7 2 4 2 2 3 4" xfId="8504"/>
    <cellStyle name="Обычный 10 7 2 4 2 2 3 4 2" xfId="8505"/>
    <cellStyle name="Обычный 10 7 2 4 2 2 3 5" xfId="8506"/>
    <cellStyle name="Обычный 10 7 2 4 2 2 3 6" xfId="8507"/>
    <cellStyle name="Обычный 10 7 2 4 2 2 4" xfId="8508"/>
    <cellStyle name="Обычный 10 7 2 4 2 2 4 2" xfId="8509"/>
    <cellStyle name="Обычный 10 7 2 4 2 2 4 3" xfId="8510"/>
    <cellStyle name="Обычный 10 7 2 4 2 2 5" xfId="8511"/>
    <cellStyle name="Обычный 10 7 2 4 2 2 5 2" xfId="8512"/>
    <cellStyle name="Обычный 10 7 2 4 2 2 5 3" xfId="8513"/>
    <cellStyle name="Обычный 10 7 2 4 2 2 6" xfId="8514"/>
    <cellStyle name="Обычный 10 7 2 4 2 2 6 2" xfId="8515"/>
    <cellStyle name="Обычный 10 7 2 4 2 2 7" xfId="8516"/>
    <cellStyle name="Обычный 10 7 2 4 2 2 8" xfId="8517"/>
    <cellStyle name="Обычный 10 7 2 4 2 3" xfId="8518"/>
    <cellStyle name="Обычный 10 7 2 4 2 3 2" xfId="8519"/>
    <cellStyle name="Обычный 10 7 2 4 2 3 2 2" xfId="8520"/>
    <cellStyle name="Обычный 10 7 2 4 2 3 2 2 2" xfId="8521"/>
    <cellStyle name="Обычный 10 7 2 4 2 3 2 2 3" xfId="8522"/>
    <cellStyle name="Обычный 10 7 2 4 2 3 2 3" xfId="8523"/>
    <cellStyle name="Обычный 10 7 2 4 2 3 2 3 2" xfId="8524"/>
    <cellStyle name="Обычный 10 7 2 4 2 3 2 3 3" xfId="8525"/>
    <cellStyle name="Обычный 10 7 2 4 2 3 2 4" xfId="8526"/>
    <cellStyle name="Обычный 10 7 2 4 2 3 2 4 2" xfId="8527"/>
    <cellStyle name="Обычный 10 7 2 4 2 3 2 5" xfId="8528"/>
    <cellStyle name="Обычный 10 7 2 4 2 3 2 6" xfId="8529"/>
    <cellStyle name="Обычный 10 7 2 4 2 3 3" xfId="8530"/>
    <cellStyle name="Обычный 10 7 2 4 2 3 3 2" xfId="8531"/>
    <cellStyle name="Обычный 10 7 2 4 2 3 3 3" xfId="8532"/>
    <cellStyle name="Обычный 10 7 2 4 2 3 4" xfId="8533"/>
    <cellStyle name="Обычный 10 7 2 4 2 3 4 2" xfId="8534"/>
    <cellStyle name="Обычный 10 7 2 4 2 3 4 3" xfId="8535"/>
    <cellStyle name="Обычный 10 7 2 4 2 3 5" xfId="8536"/>
    <cellStyle name="Обычный 10 7 2 4 2 3 5 2" xfId="8537"/>
    <cellStyle name="Обычный 10 7 2 4 2 3 6" xfId="8538"/>
    <cellStyle name="Обычный 10 7 2 4 2 3 7" xfId="8539"/>
    <cellStyle name="Обычный 10 7 2 4 2 4" xfId="8540"/>
    <cellStyle name="Обычный 10 7 2 4 2 4 2" xfId="8541"/>
    <cellStyle name="Обычный 10 7 2 4 2 4 2 2" xfId="8542"/>
    <cellStyle name="Обычный 10 7 2 4 2 4 2 3" xfId="8543"/>
    <cellStyle name="Обычный 10 7 2 4 2 4 3" xfId="8544"/>
    <cellStyle name="Обычный 10 7 2 4 2 4 3 2" xfId="8545"/>
    <cellStyle name="Обычный 10 7 2 4 2 4 3 3" xfId="8546"/>
    <cellStyle name="Обычный 10 7 2 4 2 4 4" xfId="8547"/>
    <cellStyle name="Обычный 10 7 2 4 2 4 4 2" xfId="8548"/>
    <cellStyle name="Обычный 10 7 2 4 2 4 5" xfId="8549"/>
    <cellStyle name="Обычный 10 7 2 4 2 4 6" xfId="8550"/>
    <cellStyle name="Обычный 10 7 2 4 2 5" xfId="8551"/>
    <cellStyle name="Обычный 10 7 2 4 2 5 2" xfId="8552"/>
    <cellStyle name="Обычный 10 7 2 4 2 5 3" xfId="8553"/>
    <cellStyle name="Обычный 10 7 2 4 2 6" xfId="8554"/>
    <cellStyle name="Обычный 10 7 2 4 2 6 2" xfId="8555"/>
    <cellStyle name="Обычный 10 7 2 4 2 6 3" xfId="8556"/>
    <cellStyle name="Обычный 10 7 2 4 2 7" xfId="8557"/>
    <cellStyle name="Обычный 10 7 2 4 2 7 2" xfId="8558"/>
    <cellStyle name="Обычный 10 7 2 4 2 8" xfId="8559"/>
    <cellStyle name="Обычный 10 7 2 4 2 9" xfId="8560"/>
    <cellStyle name="Обычный 10 7 2 4 3" xfId="8561"/>
    <cellStyle name="Обычный 10 7 2 4 3 2" xfId="8562"/>
    <cellStyle name="Обычный 10 7 2 4 3 2 2" xfId="8563"/>
    <cellStyle name="Обычный 10 7 2 4 3 2 2 2" xfId="8564"/>
    <cellStyle name="Обычный 10 7 2 4 3 2 2 2 2" xfId="8565"/>
    <cellStyle name="Обычный 10 7 2 4 3 2 2 2 3" xfId="8566"/>
    <cellStyle name="Обычный 10 7 2 4 3 2 2 3" xfId="8567"/>
    <cellStyle name="Обычный 10 7 2 4 3 2 2 3 2" xfId="8568"/>
    <cellStyle name="Обычный 10 7 2 4 3 2 2 3 3" xfId="8569"/>
    <cellStyle name="Обычный 10 7 2 4 3 2 2 4" xfId="8570"/>
    <cellStyle name="Обычный 10 7 2 4 3 2 2 4 2" xfId="8571"/>
    <cellStyle name="Обычный 10 7 2 4 3 2 2 5" xfId="8572"/>
    <cellStyle name="Обычный 10 7 2 4 3 2 2 6" xfId="8573"/>
    <cellStyle name="Обычный 10 7 2 4 3 2 3" xfId="8574"/>
    <cellStyle name="Обычный 10 7 2 4 3 2 3 2" xfId="8575"/>
    <cellStyle name="Обычный 10 7 2 4 3 2 3 3" xfId="8576"/>
    <cellStyle name="Обычный 10 7 2 4 3 2 4" xfId="8577"/>
    <cellStyle name="Обычный 10 7 2 4 3 2 4 2" xfId="8578"/>
    <cellStyle name="Обычный 10 7 2 4 3 2 4 3" xfId="8579"/>
    <cellStyle name="Обычный 10 7 2 4 3 2 5" xfId="8580"/>
    <cellStyle name="Обычный 10 7 2 4 3 2 5 2" xfId="8581"/>
    <cellStyle name="Обычный 10 7 2 4 3 2 6" xfId="8582"/>
    <cellStyle name="Обычный 10 7 2 4 3 2 7" xfId="8583"/>
    <cellStyle name="Обычный 10 7 2 4 3 3" xfId="8584"/>
    <cellStyle name="Обычный 10 7 2 4 3 3 2" xfId="8585"/>
    <cellStyle name="Обычный 10 7 2 4 3 3 2 2" xfId="8586"/>
    <cellStyle name="Обычный 10 7 2 4 3 3 2 3" xfId="8587"/>
    <cellStyle name="Обычный 10 7 2 4 3 3 3" xfId="8588"/>
    <cellStyle name="Обычный 10 7 2 4 3 3 3 2" xfId="8589"/>
    <cellStyle name="Обычный 10 7 2 4 3 3 3 3" xfId="8590"/>
    <cellStyle name="Обычный 10 7 2 4 3 3 4" xfId="8591"/>
    <cellStyle name="Обычный 10 7 2 4 3 3 4 2" xfId="8592"/>
    <cellStyle name="Обычный 10 7 2 4 3 3 5" xfId="8593"/>
    <cellStyle name="Обычный 10 7 2 4 3 3 6" xfId="8594"/>
    <cellStyle name="Обычный 10 7 2 4 3 4" xfId="8595"/>
    <cellStyle name="Обычный 10 7 2 4 3 4 2" xfId="8596"/>
    <cellStyle name="Обычный 10 7 2 4 3 4 3" xfId="8597"/>
    <cellStyle name="Обычный 10 7 2 4 3 5" xfId="8598"/>
    <cellStyle name="Обычный 10 7 2 4 3 5 2" xfId="8599"/>
    <cellStyle name="Обычный 10 7 2 4 3 5 3" xfId="8600"/>
    <cellStyle name="Обычный 10 7 2 4 3 6" xfId="8601"/>
    <cellStyle name="Обычный 10 7 2 4 3 6 2" xfId="8602"/>
    <cellStyle name="Обычный 10 7 2 4 3 7" xfId="8603"/>
    <cellStyle name="Обычный 10 7 2 4 3 8" xfId="8604"/>
    <cellStyle name="Обычный 10 7 2 4 4" xfId="8605"/>
    <cellStyle name="Обычный 10 7 2 4 4 2" xfId="8606"/>
    <cellStyle name="Обычный 10 7 2 4 4 2 2" xfId="8607"/>
    <cellStyle name="Обычный 10 7 2 4 4 2 2 2" xfId="8608"/>
    <cellStyle name="Обычный 10 7 2 4 4 2 2 3" xfId="8609"/>
    <cellStyle name="Обычный 10 7 2 4 4 2 3" xfId="8610"/>
    <cellStyle name="Обычный 10 7 2 4 4 2 3 2" xfId="8611"/>
    <cellStyle name="Обычный 10 7 2 4 4 2 3 3" xfId="8612"/>
    <cellStyle name="Обычный 10 7 2 4 4 2 4" xfId="8613"/>
    <cellStyle name="Обычный 10 7 2 4 4 2 4 2" xfId="8614"/>
    <cellStyle name="Обычный 10 7 2 4 4 2 5" xfId="8615"/>
    <cellStyle name="Обычный 10 7 2 4 4 2 6" xfId="8616"/>
    <cellStyle name="Обычный 10 7 2 4 4 3" xfId="8617"/>
    <cellStyle name="Обычный 10 7 2 4 4 3 2" xfId="8618"/>
    <cellStyle name="Обычный 10 7 2 4 4 3 3" xfId="8619"/>
    <cellStyle name="Обычный 10 7 2 4 4 4" xfId="8620"/>
    <cellStyle name="Обычный 10 7 2 4 4 4 2" xfId="8621"/>
    <cellStyle name="Обычный 10 7 2 4 4 4 3" xfId="8622"/>
    <cellStyle name="Обычный 10 7 2 4 4 5" xfId="8623"/>
    <cellStyle name="Обычный 10 7 2 4 4 5 2" xfId="8624"/>
    <cellStyle name="Обычный 10 7 2 4 4 6" xfId="8625"/>
    <cellStyle name="Обычный 10 7 2 4 4 7" xfId="8626"/>
    <cellStyle name="Обычный 10 7 2 4 5" xfId="8627"/>
    <cellStyle name="Обычный 10 7 2 4 5 2" xfId="8628"/>
    <cellStyle name="Обычный 10 7 2 4 5 2 2" xfId="8629"/>
    <cellStyle name="Обычный 10 7 2 4 5 2 3" xfId="8630"/>
    <cellStyle name="Обычный 10 7 2 4 5 3" xfId="8631"/>
    <cellStyle name="Обычный 10 7 2 4 5 3 2" xfId="8632"/>
    <cellStyle name="Обычный 10 7 2 4 5 3 3" xfId="8633"/>
    <cellStyle name="Обычный 10 7 2 4 5 4" xfId="8634"/>
    <cellStyle name="Обычный 10 7 2 4 5 4 2" xfId="8635"/>
    <cellStyle name="Обычный 10 7 2 4 5 5" xfId="8636"/>
    <cellStyle name="Обычный 10 7 2 4 5 6" xfId="8637"/>
    <cellStyle name="Обычный 10 7 2 4 6" xfId="8638"/>
    <cellStyle name="Обычный 10 7 2 4 6 2" xfId="8639"/>
    <cellStyle name="Обычный 10 7 2 4 6 3" xfId="8640"/>
    <cellStyle name="Обычный 10 7 2 4 7" xfId="8641"/>
    <cellStyle name="Обычный 10 7 2 4 7 2" xfId="8642"/>
    <cellStyle name="Обычный 10 7 2 4 7 3" xfId="8643"/>
    <cellStyle name="Обычный 10 7 2 4 8" xfId="8644"/>
    <cellStyle name="Обычный 10 7 2 4 8 2" xfId="8645"/>
    <cellStyle name="Обычный 10 7 2 4 9" xfId="8646"/>
    <cellStyle name="Обычный 10 7 2 5" xfId="8647"/>
    <cellStyle name="Обычный 10 7 2 5 2" xfId="8648"/>
    <cellStyle name="Обычный 10 7 2 5 2 2" xfId="8649"/>
    <cellStyle name="Обычный 10 7 2 5 2 2 2" xfId="8650"/>
    <cellStyle name="Обычный 10 7 2 5 2 2 2 2" xfId="8651"/>
    <cellStyle name="Обычный 10 7 2 5 2 2 2 2 2" xfId="8652"/>
    <cellStyle name="Обычный 10 7 2 5 2 2 2 2 3" xfId="8653"/>
    <cellStyle name="Обычный 10 7 2 5 2 2 2 3" xfId="8654"/>
    <cellStyle name="Обычный 10 7 2 5 2 2 2 3 2" xfId="8655"/>
    <cellStyle name="Обычный 10 7 2 5 2 2 2 3 3" xfId="8656"/>
    <cellStyle name="Обычный 10 7 2 5 2 2 2 4" xfId="8657"/>
    <cellStyle name="Обычный 10 7 2 5 2 2 2 4 2" xfId="8658"/>
    <cellStyle name="Обычный 10 7 2 5 2 2 2 5" xfId="8659"/>
    <cellStyle name="Обычный 10 7 2 5 2 2 2 6" xfId="8660"/>
    <cellStyle name="Обычный 10 7 2 5 2 2 3" xfId="8661"/>
    <cellStyle name="Обычный 10 7 2 5 2 2 3 2" xfId="8662"/>
    <cellStyle name="Обычный 10 7 2 5 2 2 3 3" xfId="8663"/>
    <cellStyle name="Обычный 10 7 2 5 2 2 4" xfId="8664"/>
    <cellStyle name="Обычный 10 7 2 5 2 2 4 2" xfId="8665"/>
    <cellStyle name="Обычный 10 7 2 5 2 2 4 3" xfId="8666"/>
    <cellStyle name="Обычный 10 7 2 5 2 2 5" xfId="8667"/>
    <cellStyle name="Обычный 10 7 2 5 2 2 5 2" xfId="8668"/>
    <cellStyle name="Обычный 10 7 2 5 2 2 6" xfId="8669"/>
    <cellStyle name="Обычный 10 7 2 5 2 2 7" xfId="8670"/>
    <cellStyle name="Обычный 10 7 2 5 2 3" xfId="8671"/>
    <cellStyle name="Обычный 10 7 2 5 2 3 2" xfId="8672"/>
    <cellStyle name="Обычный 10 7 2 5 2 3 2 2" xfId="8673"/>
    <cellStyle name="Обычный 10 7 2 5 2 3 2 3" xfId="8674"/>
    <cellStyle name="Обычный 10 7 2 5 2 3 3" xfId="8675"/>
    <cellStyle name="Обычный 10 7 2 5 2 3 3 2" xfId="8676"/>
    <cellStyle name="Обычный 10 7 2 5 2 3 3 3" xfId="8677"/>
    <cellStyle name="Обычный 10 7 2 5 2 3 4" xfId="8678"/>
    <cellStyle name="Обычный 10 7 2 5 2 3 4 2" xfId="8679"/>
    <cellStyle name="Обычный 10 7 2 5 2 3 5" xfId="8680"/>
    <cellStyle name="Обычный 10 7 2 5 2 3 6" xfId="8681"/>
    <cellStyle name="Обычный 10 7 2 5 2 4" xfId="8682"/>
    <cellStyle name="Обычный 10 7 2 5 2 4 2" xfId="8683"/>
    <cellStyle name="Обычный 10 7 2 5 2 4 3" xfId="8684"/>
    <cellStyle name="Обычный 10 7 2 5 2 5" xfId="8685"/>
    <cellStyle name="Обычный 10 7 2 5 2 5 2" xfId="8686"/>
    <cellStyle name="Обычный 10 7 2 5 2 5 3" xfId="8687"/>
    <cellStyle name="Обычный 10 7 2 5 2 6" xfId="8688"/>
    <cellStyle name="Обычный 10 7 2 5 2 6 2" xfId="8689"/>
    <cellStyle name="Обычный 10 7 2 5 2 7" xfId="8690"/>
    <cellStyle name="Обычный 10 7 2 5 2 8" xfId="8691"/>
    <cellStyle name="Обычный 10 7 2 5 3" xfId="8692"/>
    <cellStyle name="Обычный 10 7 2 5 3 2" xfId="8693"/>
    <cellStyle name="Обычный 10 7 2 5 3 2 2" xfId="8694"/>
    <cellStyle name="Обычный 10 7 2 5 3 2 2 2" xfId="8695"/>
    <cellStyle name="Обычный 10 7 2 5 3 2 2 3" xfId="8696"/>
    <cellStyle name="Обычный 10 7 2 5 3 2 3" xfId="8697"/>
    <cellStyle name="Обычный 10 7 2 5 3 2 3 2" xfId="8698"/>
    <cellStyle name="Обычный 10 7 2 5 3 2 3 3" xfId="8699"/>
    <cellStyle name="Обычный 10 7 2 5 3 2 4" xfId="8700"/>
    <cellStyle name="Обычный 10 7 2 5 3 2 4 2" xfId="8701"/>
    <cellStyle name="Обычный 10 7 2 5 3 2 5" xfId="8702"/>
    <cellStyle name="Обычный 10 7 2 5 3 2 6" xfId="8703"/>
    <cellStyle name="Обычный 10 7 2 5 3 3" xfId="8704"/>
    <cellStyle name="Обычный 10 7 2 5 3 3 2" xfId="8705"/>
    <cellStyle name="Обычный 10 7 2 5 3 3 3" xfId="8706"/>
    <cellStyle name="Обычный 10 7 2 5 3 4" xfId="8707"/>
    <cellStyle name="Обычный 10 7 2 5 3 4 2" xfId="8708"/>
    <cellStyle name="Обычный 10 7 2 5 3 4 3" xfId="8709"/>
    <cellStyle name="Обычный 10 7 2 5 3 5" xfId="8710"/>
    <cellStyle name="Обычный 10 7 2 5 3 5 2" xfId="8711"/>
    <cellStyle name="Обычный 10 7 2 5 3 6" xfId="8712"/>
    <cellStyle name="Обычный 10 7 2 5 3 7" xfId="8713"/>
    <cellStyle name="Обычный 10 7 2 5 4" xfId="8714"/>
    <cellStyle name="Обычный 10 7 2 5 4 2" xfId="8715"/>
    <cellStyle name="Обычный 10 7 2 5 4 2 2" xfId="8716"/>
    <cellStyle name="Обычный 10 7 2 5 4 2 3" xfId="8717"/>
    <cellStyle name="Обычный 10 7 2 5 4 3" xfId="8718"/>
    <cellStyle name="Обычный 10 7 2 5 4 3 2" xfId="8719"/>
    <cellStyle name="Обычный 10 7 2 5 4 3 3" xfId="8720"/>
    <cellStyle name="Обычный 10 7 2 5 4 4" xfId="8721"/>
    <cellStyle name="Обычный 10 7 2 5 4 4 2" xfId="8722"/>
    <cellStyle name="Обычный 10 7 2 5 4 5" xfId="8723"/>
    <cellStyle name="Обычный 10 7 2 5 4 6" xfId="8724"/>
    <cellStyle name="Обычный 10 7 2 5 5" xfId="8725"/>
    <cellStyle name="Обычный 10 7 2 5 5 2" xfId="8726"/>
    <cellStyle name="Обычный 10 7 2 5 5 3" xfId="8727"/>
    <cellStyle name="Обычный 10 7 2 5 6" xfId="8728"/>
    <cellStyle name="Обычный 10 7 2 5 6 2" xfId="8729"/>
    <cellStyle name="Обычный 10 7 2 5 6 3" xfId="8730"/>
    <cellStyle name="Обычный 10 7 2 5 7" xfId="8731"/>
    <cellStyle name="Обычный 10 7 2 5 7 2" xfId="8732"/>
    <cellStyle name="Обычный 10 7 2 5 8" xfId="8733"/>
    <cellStyle name="Обычный 10 7 2 5 9" xfId="8734"/>
    <cellStyle name="Обычный 10 7 2 6" xfId="8735"/>
    <cellStyle name="Обычный 10 7 2 6 2" xfId="8736"/>
    <cellStyle name="Обычный 10 7 2 6 2 2" xfId="8737"/>
    <cellStyle name="Обычный 10 7 2 6 2 2 2" xfId="8738"/>
    <cellStyle name="Обычный 10 7 2 6 2 2 2 2" xfId="8739"/>
    <cellStyle name="Обычный 10 7 2 6 2 2 2 3" xfId="8740"/>
    <cellStyle name="Обычный 10 7 2 6 2 2 3" xfId="8741"/>
    <cellStyle name="Обычный 10 7 2 6 2 2 3 2" xfId="8742"/>
    <cellStyle name="Обычный 10 7 2 6 2 2 3 3" xfId="8743"/>
    <cellStyle name="Обычный 10 7 2 6 2 2 4" xfId="8744"/>
    <cellStyle name="Обычный 10 7 2 6 2 2 4 2" xfId="8745"/>
    <cellStyle name="Обычный 10 7 2 6 2 2 5" xfId="8746"/>
    <cellStyle name="Обычный 10 7 2 6 2 2 6" xfId="8747"/>
    <cellStyle name="Обычный 10 7 2 6 2 3" xfId="8748"/>
    <cellStyle name="Обычный 10 7 2 6 2 3 2" xfId="8749"/>
    <cellStyle name="Обычный 10 7 2 6 2 3 3" xfId="8750"/>
    <cellStyle name="Обычный 10 7 2 6 2 4" xfId="8751"/>
    <cellStyle name="Обычный 10 7 2 6 2 4 2" xfId="8752"/>
    <cellStyle name="Обычный 10 7 2 6 2 4 3" xfId="8753"/>
    <cellStyle name="Обычный 10 7 2 6 2 5" xfId="8754"/>
    <cellStyle name="Обычный 10 7 2 6 2 5 2" xfId="8755"/>
    <cellStyle name="Обычный 10 7 2 6 2 6" xfId="8756"/>
    <cellStyle name="Обычный 10 7 2 6 2 7" xfId="8757"/>
    <cellStyle name="Обычный 10 7 2 6 3" xfId="8758"/>
    <cellStyle name="Обычный 10 7 2 6 3 2" xfId="8759"/>
    <cellStyle name="Обычный 10 7 2 6 3 2 2" xfId="8760"/>
    <cellStyle name="Обычный 10 7 2 6 3 2 3" xfId="8761"/>
    <cellStyle name="Обычный 10 7 2 6 3 3" xfId="8762"/>
    <cellStyle name="Обычный 10 7 2 6 3 3 2" xfId="8763"/>
    <cellStyle name="Обычный 10 7 2 6 3 3 3" xfId="8764"/>
    <cellStyle name="Обычный 10 7 2 6 3 4" xfId="8765"/>
    <cellStyle name="Обычный 10 7 2 6 3 4 2" xfId="8766"/>
    <cellStyle name="Обычный 10 7 2 6 3 5" xfId="8767"/>
    <cellStyle name="Обычный 10 7 2 6 3 6" xfId="8768"/>
    <cellStyle name="Обычный 10 7 2 6 4" xfId="8769"/>
    <cellStyle name="Обычный 10 7 2 6 4 2" xfId="8770"/>
    <cellStyle name="Обычный 10 7 2 6 4 3" xfId="8771"/>
    <cellStyle name="Обычный 10 7 2 6 5" xfId="8772"/>
    <cellStyle name="Обычный 10 7 2 6 5 2" xfId="8773"/>
    <cellStyle name="Обычный 10 7 2 6 5 3" xfId="8774"/>
    <cellStyle name="Обычный 10 7 2 6 6" xfId="8775"/>
    <cellStyle name="Обычный 10 7 2 6 6 2" xfId="8776"/>
    <cellStyle name="Обычный 10 7 2 6 7" xfId="8777"/>
    <cellStyle name="Обычный 10 7 2 6 8" xfId="8778"/>
    <cellStyle name="Обычный 10 7 2 7" xfId="8779"/>
    <cellStyle name="Обычный 10 7 2 7 2" xfId="8780"/>
    <cellStyle name="Обычный 10 7 2 7 2 2" xfId="8781"/>
    <cellStyle name="Обычный 10 7 2 7 2 2 2" xfId="8782"/>
    <cellStyle name="Обычный 10 7 2 7 2 2 3" xfId="8783"/>
    <cellStyle name="Обычный 10 7 2 7 2 3" xfId="8784"/>
    <cellStyle name="Обычный 10 7 2 7 2 3 2" xfId="8785"/>
    <cellStyle name="Обычный 10 7 2 7 2 3 3" xfId="8786"/>
    <cellStyle name="Обычный 10 7 2 7 2 4" xfId="8787"/>
    <cellStyle name="Обычный 10 7 2 7 2 4 2" xfId="8788"/>
    <cellStyle name="Обычный 10 7 2 7 2 5" xfId="8789"/>
    <cellStyle name="Обычный 10 7 2 7 2 6" xfId="8790"/>
    <cellStyle name="Обычный 10 7 2 7 3" xfId="8791"/>
    <cellStyle name="Обычный 10 7 2 7 3 2" xfId="8792"/>
    <cellStyle name="Обычный 10 7 2 7 3 3" xfId="8793"/>
    <cellStyle name="Обычный 10 7 2 7 4" xfId="8794"/>
    <cellStyle name="Обычный 10 7 2 7 4 2" xfId="8795"/>
    <cellStyle name="Обычный 10 7 2 7 4 3" xfId="8796"/>
    <cellStyle name="Обычный 10 7 2 7 5" xfId="8797"/>
    <cellStyle name="Обычный 10 7 2 7 5 2" xfId="8798"/>
    <cellStyle name="Обычный 10 7 2 7 6" xfId="8799"/>
    <cellStyle name="Обычный 10 7 2 7 7" xfId="8800"/>
    <cellStyle name="Обычный 10 7 2 8" xfId="8801"/>
    <cellStyle name="Обычный 10 7 2 8 2" xfId="8802"/>
    <cellStyle name="Обычный 10 7 2 8 2 2" xfId="8803"/>
    <cellStyle name="Обычный 10 7 2 8 2 3" xfId="8804"/>
    <cellStyle name="Обычный 10 7 2 8 3" xfId="8805"/>
    <cellStyle name="Обычный 10 7 2 8 3 2" xfId="8806"/>
    <cellStyle name="Обычный 10 7 2 8 3 3" xfId="8807"/>
    <cellStyle name="Обычный 10 7 2 8 4" xfId="8808"/>
    <cellStyle name="Обычный 10 7 2 8 4 2" xfId="8809"/>
    <cellStyle name="Обычный 10 7 2 8 5" xfId="8810"/>
    <cellStyle name="Обычный 10 7 2 8 6" xfId="8811"/>
    <cellStyle name="Обычный 10 7 2 9" xfId="8812"/>
    <cellStyle name="Обычный 10 7 2 9 2" xfId="8813"/>
    <cellStyle name="Обычный 10 7 2 9 3" xfId="8814"/>
    <cellStyle name="Обычный 10 7 3" xfId="8815"/>
    <cellStyle name="Обычный 10 7 3 10" xfId="8816"/>
    <cellStyle name="Обычный 10 7 3 2" xfId="8817"/>
    <cellStyle name="Обычный 10 7 3 2 2" xfId="8818"/>
    <cellStyle name="Обычный 10 7 3 2 2 2" xfId="8819"/>
    <cellStyle name="Обычный 10 7 3 2 2 2 2" xfId="8820"/>
    <cellStyle name="Обычный 10 7 3 2 2 2 2 2" xfId="8821"/>
    <cellStyle name="Обычный 10 7 3 2 2 2 2 2 2" xfId="8822"/>
    <cellStyle name="Обычный 10 7 3 2 2 2 2 2 3" xfId="8823"/>
    <cellStyle name="Обычный 10 7 3 2 2 2 2 3" xfId="8824"/>
    <cellStyle name="Обычный 10 7 3 2 2 2 2 3 2" xfId="8825"/>
    <cellStyle name="Обычный 10 7 3 2 2 2 2 3 3" xfId="8826"/>
    <cellStyle name="Обычный 10 7 3 2 2 2 2 4" xfId="8827"/>
    <cellStyle name="Обычный 10 7 3 2 2 2 2 4 2" xfId="8828"/>
    <cellStyle name="Обычный 10 7 3 2 2 2 2 5" xfId="8829"/>
    <cellStyle name="Обычный 10 7 3 2 2 2 2 6" xfId="8830"/>
    <cellStyle name="Обычный 10 7 3 2 2 2 3" xfId="8831"/>
    <cellStyle name="Обычный 10 7 3 2 2 2 3 2" xfId="8832"/>
    <cellStyle name="Обычный 10 7 3 2 2 2 3 3" xfId="8833"/>
    <cellStyle name="Обычный 10 7 3 2 2 2 4" xfId="8834"/>
    <cellStyle name="Обычный 10 7 3 2 2 2 4 2" xfId="8835"/>
    <cellStyle name="Обычный 10 7 3 2 2 2 4 3" xfId="8836"/>
    <cellStyle name="Обычный 10 7 3 2 2 2 5" xfId="8837"/>
    <cellStyle name="Обычный 10 7 3 2 2 2 5 2" xfId="8838"/>
    <cellStyle name="Обычный 10 7 3 2 2 2 6" xfId="8839"/>
    <cellStyle name="Обычный 10 7 3 2 2 2 7" xfId="8840"/>
    <cellStyle name="Обычный 10 7 3 2 2 3" xfId="8841"/>
    <cellStyle name="Обычный 10 7 3 2 2 3 2" xfId="8842"/>
    <cellStyle name="Обычный 10 7 3 2 2 3 2 2" xfId="8843"/>
    <cellStyle name="Обычный 10 7 3 2 2 3 2 3" xfId="8844"/>
    <cellStyle name="Обычный 10 7 3 2 2 3 3" xfId="8845"/>
    <cellStyle name="Обычный 10 7 3 2 2 3 3 2" xfId="8846"/>
    <cellStyle name="Обычный 10 7 3 2 2 3 3 3" xfId="8847"/>
    <cellStyle name="Обычный 10 7 3 2 2 3 4" xfId="8848"/>
    <cellStyle name="Обычный 10 7 3 2 2 3 4 2" xfId="8849"/>
    <cellStyle name="Обычный 10 7 3 2 2 3 5" xfId="8850"/>
    <cellStyle name="Обычный 10 7 3 2 2 3 6" xfId="8851"/>
    <cellStyle name="Обычный 10 7 3 2 2 4" xfId="8852"/>
    <cellStyle name="Обычный 10 7 3 2 2 4 2" xfId="8853"/>
    <cellStyle name="Обычный 10 7 3 2 2 4 3" xfId="8854"/>
    <cellStyle name="Обычный 10 7 3 2 2 5" xfId="8855"/>
    <cellStyle name="Обычный 10 7 3 2 2 5 2" xfId="8856"/>
    <cellStyle name="Обычный 10 7 3 2 2 5 3" xfId="8857"/>
    <cellStyle name="Обычный 10 7 3 2 2 6" xfId="8858"/>
    <cellStyle name="Обычный 10 7 3 2 2 6 2" xfId="8859"/>
    <cellStyle name="Обычный 10 7 3 2 2 7" xfId="8860"/>
    <cellStyle name="Обычный 10 7 3 2 2 8" xfId="8861"/>
    <cellStyle name="Обычный 10 7 3 2 3" xfId="8862"/>
    <cellStyle name="Обычный 10 7 3 2 3 2" xfId="8863"/>
    <cellStyle name="Обычный 10 7 3 2 3 2 2" xfId="8864"/>
    <cellStyle name="Обычный 10 7 3 2 3 2 2 2" xfId="8865"/>
    <cellStyle name="Обычный 10 7 3 2 3 2 2 3" xfId="8866"/>
    <cellStyle name="Обычный 10 7 3 2 3 2 3" xfId="8867"/>
    <cellStyle name="Обычный 10 7 3 2 3 2 3 2" xfId="8868"/>
    <cellStyle name="Обычный 10 7 3 2 3 2 3 3" xfId="8869"/>
    <cellStyle name="Обычный 10 7 3 2 3 2 4" xfId="8870"/>
    <cellStyle name="Обычный 10 7 3 2 3 2 4 2" xfId="8871"/>
    <cellStyle name="Обычный 10 7 3 2 3 2 5" xfId="8872"/>
    <cellStyle name="Обычный 10 7 3 2 3 2 6" xfId="8873"/>
    <cellStyle name="Обычный 10 7 3 2 3 3" xfId="8874"/>
    <cellStyle name="Обычный 10 7 3 2 3 3 2" xfId="8875"/>
    <cellStyle name="Обычный 10 7 3 2 3 3 3" xfId="8876"/>
    <cellStyle name="Обычный 10 7 3 2 3 4" xfId="8877"/>
    <cellStyle name="Обычный 10 7 3 2 3 4 2" xfId="8878"/>
    <cellStyle name="Обычный 10 7 3 2 3 4 3" xfId="8879"/>
    <cellStyle name="Обычный 10 7 3 2 3 5" xfId="8880"/>
    <cellStyle name="Обычный 10 7 3 2 3 5 2" xfId="8881"/>
    <cellStyle name="Обычный 10 7 3 2 3 6" xfId="8882"/>
    <cellStyle name="Обычный 10 7 3 2 3 7" xfId="8883"/>
    <cellStyle name="Обычный 10 7 3 2 4" xfId="8884"/>
    <cellStyle name="Обычный 10 7 3 2 4 2" xfId="8885"/>
    <cellStyle name="Обычный 10 7 3 2 4 2 2" xfId="8886"/>
    <cellStyle name="Обычный 10 7 3 2 4 2 3" xfId="8887"/>
    <cellStyle name="Обычный 10 7 3 2 4 3" xfId="8888"/>
    <cellStyle name="Обычный 10 7 3 2 4 3 2" xfId="8889"/>
    <cellStyle name="Обычный 10 7 3 2 4 3 3" xfId="8890"/>
    <cellStyle name="Обычный 10 7 3 2 4 4" xfId="8891"/>
    <cellStyle name="Обычный 10 7 3 2 4 4 2" xfId="8892"/>
    <cellStyle name="Обычный 10 7 3 2 4 5" xfId="8893"/>
    <cellStyle name="Обычный 10 7 3 2 4 6" xfId="8894"/>
    <cellStyle name="Обычный 10 7 3 2 5" xfId="8895"/>
    <cellStyle name="Обычный 10 7 3 2 5 2" xfId="8896"/>
    <cellStyle name="Обычный 10 7 3 2 5 3" xfId="8897"/>
    <cellStyle name="Обычный 10 7 3 2 6" xfId="8898"/>
    <cellStyle name="Обычный 10 7 3 2 6 2" xfId="8899"/>
    <cellStyle name="Обычный 10 7 3 2 6 3" xfId="8900"/>
    <cellStyle name="Обычный 10 7 3 2 7" xfId="8901"/>
    <cellStyle name="Обычный 10 7 3 2 7 2" xfId="8902"/>
    <cellStyle name="Обычный 10 7 3 2 8" xfId="8903"/>
    <cellStyle name="Обычный 10 7 3 2 9" xfId="8904"/>
    <cellStyle name="Обычный 10 7 3 3" xfId="8905"/>
    <cellStyle name="Обычный 10 7 3 3 2" xfId="8906"/>
    <cellStyle name="Обычный 10 7 3 3 2 2" xfId="8907"/>
    <cellStyle name="Обычный 10 7 3 3 2 2 2" xfId="8908"/>
    <cellStyle name="Обычный 10 7 3 3 2 2 2 2" xfId="8909"/>
    <cellStyle name="Обычный 10 7 3 3 2 2 2 3" xfId="8910"/>
    <cellStyle name="Обычный 10 7 3 3 2 2 3" xfId="8911"/>
    <cellStyle name="Обычный 10 7 3 3 2 2 3 2" xfId="8912"/>
    <cellStyle name="Обычный 10 7 3 3 2 2 3 3" xfId="8913"/>
    <cellStyle name="Обычный 10 7 3 3 2 2 4" xfId="8914"/>
    <cellStyle name="Обычный 10 7 3 3 2 2 4 2" xfId="8915"/>
    <cellStyle name="Обычный 10 7 3 3 2 2 5" xfId="8916"/>
    <cellStyle name="Обычный 10 7 3 3 2 2 6" xfId="8917"/>
    <cellStyle name="Обычный 10 7 3 3 2 3" xfId="8918"/>
    <cellStyle name="Обычный 10 7 3 3 2 3 2" xfId="8919"/>
    <cellStyle name="Обычный 10 7 3 3 2 3 3" xfId="8920"/>
    <cellStyle name="Обычный 10 7 3 3 2 4" xfId="8921"/>
    <cellStyle name="Обычный 10 7 3 3 2 4 2" xfId="8922"/>
    <cellStyle name="Обычный 10 7 3 3 2 4 3" xfId="8923"/>
    <cellStyle name="Обычный 10 7 3 3 2 5" xfId="8924"/>
    <cellStyle name="Обычный 10 7 3 3 2 5 2" xfId="8925"/>
    <cellStyle name="Обычный 10 7 3 3 2 6" xfId="8926"/>
    <cellStyle name="Обычный 10 7 3 3 2 7" xfId="8927"/>
    <cellStyle name="Обычный 10 7 3 3 3" xfId="8928"/>
    <cellStyle name="Обычный 10 7 3 3 3 2" xfId="8929"/>
    <cellStyle name="Обычный 10 7 3 3 3 2 2" xfId="8930"/>
    <cellStyle name="Обычный 10 7 3 3 3 2 3" xfId="8931"/>
    <cellStyle name="Обычный 10 7 3 3 3 3" xfId="8932"/>
    <cellStyle name="Обычный 10 7 3 3 3 3 2" xfId="8933"/>
    <cellStyle name="Обычный 10 7 3 3 3 3 3" xfId="8934"/>
    <cellStyle name="Обычный 10 7 3 3 3 4" xfId="8935"/>
    <cellStyle name="Обычный 10 7 3 3 3 4 2" xfId="8936"/>
    <cellStyle name="Обычный 10 7 3 3 3 5" xfId="8937"/>
    <cellStyle name="Обычный 10 7 3 3 3 6" xfId="8938"/>
    <cellStyle name="Обычный 10 7 3 3 4" xfId="8939"/>
    <cellStyle name="Обычный 10 7 3 3 4 2" xfId="8940"/>
    <cellStyle name="Обычный 10 7 3 3 4 3" xfId="8941"/>
    <cellStyle name="Обычный 10 7 3 3 5" xfId="8942"/>
    <cellStyle name="Обычный 10 7 3 3 5 2" xfId="8943"/>
    <cellStyle name="Обычный 10 7 3 3 5 3" xfId="8944"/>
    <cellStyle name="Обычный 10 7 3 3 6" xfId="8945"/>
    <cellStyle name="Обычный 10 7 3 3 6 2" xfId="8946"/>
    <cellStyle name="Обычный 10 7 3 3 7" xfId="8947"/>
    <cellStyle name="Обычный 10 7 3 3 8" xfId="8948"/>
    <cellStyle name="Обычный 10 7 3 4" xfId="8949"/>
    <cellStyle name="Обычный 10 7 3 4 2" xfId="8950"/>
    <cellStyle name="Обычный 10 7 3 4 2 2" xfId="8951"/>
    <cellStyle name="Обычный 10 7 3 4 2 2 2" xfId="8952"/>
    <cellStyle name="Обычный 10 7 3 4 2 2 3" xfId="8953"/>
    <cellStyle name="Обычный 10 7 3 4 2 3" xfId="8954"/>
    <cellStyle name="Обычный 10 7 3 4 2 3 2" xfId="8955"/>
    <cellStyle name="Обычный 10 7 3 4 2 3 3" xfId="8956"/>
    <cellStyle name="Обычный 10 7 3 4 2 4" xfId="8957"/>
    <cellStyle name="Обычный 10 7 3 4 2 4 2" xfId="8958"/>
    <cellStyle name="Обычный 10 7 3 4 2 5" xfId="8959"/>
    <cellStyle name="Обычный 10 7 3 4 2 6" xfId="8960"/>
    <cellStyle name="Обычный 10 7 3 4 3" xfId="8961"/>
    <cellStyle name="Обычный 10 7 3 4 3 2" xfId="8962"/>
    <cellStyle name="Обычный 10 7 3 4 3 3" xfId="8963"/>
    <cellStyle name="Обычный 10 7 3 4 4" xfId="8964"/>
    <cellStyle name="Обычный 10 7 3 4 4 2" xfId="8965"/>
    <cellStyle name="Обычный 10 7 3 4 4 3" xfId="8966"/>
    <cellStyle name="Обычный 10 7 3 4 5" xfId="8967"/>
    <cellStyle name="Обычный 10 7 3 4 5 2" xfId="8968"/>
    <cellStyle name="Обычный 10 7 3 4 6" xfId="8969"/>
    <cellStyle name="Обычный 10 7 3 4 7" xfId="8970"/>
    <cellStyle name="Обычный 10 7 3 5" xfId="8971"/>
    <cellStyle name="Обычный 10 7 3 5 2" xfId="8972"/>
    <cellStyle name="Обычный 10 7 3 5 2 2" xfId="8973"/>
    <cellStyle name="Обычный 10 7 3 5 2 3" xfId="8974"/>
    <cellStyle name="Обычный 10 7 3 5 3" xfId="8975"/>
    <cellStyle name="Обычный 10 7 3 5 3 2" xfId="8976"/>
    <cellStyle name="Обычный 10 7 3 5 3 3" xfId="8977"/>
    <cellStyle name="Обычный 10 7 3 5 4" xfId="8978"/>
    <cellStyle name="Обычный 10 7 3 5 4 2" xfId="8979"/>
    <cellStyle name="Обычный 10 7 3 5 5" xfId="8980"/>
    <cellStyle name="Обычный 10 7 3 5 6" xfId="8981"/>
    <cellStyle name="Обычный 10 7 3 6" xfId="8982"/>
    <cellStyle name="Обычный 10 7 3 6 2" xfId="8983"/>
    <cellStyle name="Обычный 10 7 3 6 3" xfId="8984"/>
    <cellStyle name="Обычный 10 7 3 7" xfId="8985"/>
    <cellStyle name="Обычный 10 7 3 7 2" xfId="8986"/>
    <cellStyle name="Обычный 10 7 3 7 3" xfId="8987"/>
    <cellStyle name="Обычный 10 7 3 8" xfId="8988"/>
    <cellStyle name="Обычный 10 7 3 8 2" xfId="8989"/>
    <cellStyle name="Обычный 10 7 3 9" xfId="8990"/>
    <cellStyle name="Обычный 10 7 4" xfId="8991"/>
    <cellStyle name="Обычный 10 7 4 10" xfId="8992"/>
    <cellStyle name="Обычный 10 7 4 2" xfId="8993"/>
    <cellStyle name="Обычный 10 7 4 2 2" xfId="8994"/>
    <cellStyle name="Обычный 10 7 4 2 2 2" xfId="8995"/>
    <cellStyle name="Обычный 10 7 4 2 2 2 2" xfId="8996"/>
    <cellStyle name="Обычный 10 7 4 2 2 2 2 2" xfId="8997"/>
    <cellStyle name="Обычный 10 7 4 2 2 2 2 2 2" xfId="8998"/>
    <cellStyle name="Обычный 10 7 4 2 2 2 2 2 3" xfId="8999"/>
    <cellStyle name="Обычный 10 7 4 2 2 2 2 3" xfId="9000"/>
    <cellStyle name="Обычный 10 7 4 2 2 2 2 3 2" xfId="9001"/>
    <cellStyle name="Обычный 10 7 4 2 2 2 2 3 3" xfId="9002"/>
    <cellStyle name="Обычный 10 7 4 2 2 2 2 4" xfId="9003"/>
    <cellStyle name="Обычный 10 7 4 2 2 2 2 4 2" xfId="9004"/>
    <cellStyle name="Обычный 10 7 4 2 2 2 2 5" xfId="9005"/>
    <cellStyle name="Обычный 10 7 4 2 2 2 2 6" xfId="9006"/>
    <cellStyle name="Обычный 10 7 4 2 2 2 3" xfId="9007"/>
    <cellStyle name="Обычный 10 7 4 2 2 2 3 2" xfId="9008"/>
    <cellStyle name="Обычный 10 7 4 2 2 2 3 3" xfId="9009"/>
    <cellStyle name="Обычный 10 7 4 2 2 2 4" xfId="9010"/>
    <cellStyle name="Обычный 10 7 4 2 2 2 4 2" xfId="9011"/>
    <cellStyle name="Обычный 10 7 4 2 2 2 4 3" xfId="9012"/>
    <cellStyle name="Обычный 10 7 4 2 2 2 5" xfId="9013"/>
    <cellStyle name="Обычный 10 7 4 2 2 2 5 2" xfId="9014"/>
    <cellStyle name="Обычный 10 7 4 2 2 2 6" xfId="9015"/>
    <cellStyle name="Обычный 10 7 4 2 2 2 7" xfId="9016"/>
    <cellStyle name="Обычный 10 7 4 2 2 3" xfId="9017"/>
    <cellStyle name="Обычный 10 7 4 2 2 3 2" xfId="9018"/>
    <cellStyle name="Обычный 10 7 4 2 2 3 2 2" xfId="9019"/>
    <cellStyle name="Обычный 10 7 4 2 2 3 2 3" xfId="9020"/>
    <cellStyle name="Обычный 10 7 4 2 2 3 3" xfId="9021"/>
    <cellStyle name="Обычный 10 7 4 2 2 3 3 2" xfId="9022"/>
    <cellStyle name="Обычный 10 7 4 2 2 3 3 3" xfId="9023"/>
    <cellStyle name="Обычный 10 7 4 2 2 3 4" xfId="9024"/>
    <cellStyle name="Обычный 10 7 4 2 2 3 4 2" xfId="9025"/>
    <cellStyle name="Обычный 10 7 4 2 2 3 5" xfId="9026"/>
    <cellStyle name="Обычный 10 7 4 2 2 3 6" xfId="9027"/>
    <cellStyle name="Обычный 10 7 4 2 2 4" xfId="9028"/>
    <cellStyle name="Обычный 10 7 4 2 2 4 2" xfId="9029"/>
    <cellStyle name="Обычный 10 7 4 2 2 4 3" xfId="9030"/>
    <cellStyle name="Обычный 10 7 4 2 2 5" xfId="9031"/>
    <cellStyle name="Обычный 10 7 4 2 2 5 2" xfId="9032"/>
    <cellStyle name="Обычный 10 7 4 2 2 5 3" xfId="9033"/>
    <cellStyle name="Обычный 10 7 4 2 2 6" xfId="9034"/>
    <cellStyle name="Обычный 10 7 4 2 2 6 2" xfId="9035"/>
    <cellStyle name="Обычный 10 7 4 2 2 7" xfId="9036"/>
    <cellStyle name="Обычный 10 7 4 2 2 8" xfId="9037"/>
    <cellStyle name="Обычный 10 7 4 2 3" xfId="9038"/>
    <cellStyle name="Обычный 10 7 4 2 3 2" xfId="9039"/>
    <cellStyle name="Обычный 10 7 4 2 3 2 2" xfId="9040"/>
    <cellStyle name="Обычный 10 7 4 2 3 2 2 2" xfId="9041"/>
    <cellStyle name="Обычный 10 7 4 2 3 2 2 3" xfId="9042"/>
    <cellStyle name="Обычный 10 7 4 2 3 2 3" xfId="9043"/>
    <cellStyle name="Обычный 10 7 4 2 3 2 3 2" xfId="9044"/>
    <cellStyle name="Обычный 10 7 4 2 3 2 3 3" xfId="9045"/>
    <cellStyle name="Обычный 10 7 4 2 3 2 4" xfId="9046"/>
    <cellStyle name="Обычный 10 7 4 2 3 2 4 2" xfId="9047"/>
    <cellStyle name="Обычный 10 7 4 2 3 2 5" xfId="9048"/>
    <cellStyle name="Обычный 10 7 4 2 3 2 6" xfId="9049"/>
    <cellStyle name="Обычный 10 7 4 2 3 3" xfId="9050"/>
    <cellStyle name="Обычный 10 7 4 2 3 3 2" xfId="9051"/>
    <cellStyle name="Обычный 10 7 4 2 3 3 3" xfId="9052"/>
    <cellStyle name="Обычный 10 7 4 2 3 4" xfId="9053"/>
    <cellStyle name="Обычный 10 7 4 2 3 4 2" xfId="9054"/>
    <cellStyle name="Обычный 10 7 4 2 3 4 3" xfId="9055"/>
    <cellStyle name="Обычный 10 7 4 2 3 5" xfId="9056"/>
    <cellStyle name="Обычный 10 7 4 2 3 5 2" xfId="9057"/>
    <cellStyle name="Обычный 10 7 4 2 3 6" xfId="9058"/>
    <cellStyle name="Обычный 10 7 4 2 3 7" xfId="9059"/>
    <cellStyle name="Обычный 10 7 4 2 4" xfId="9060"/>
    <cellStyle name="Обычный 10 7 4 2 4 2" xfId="9061"/>
    <cellStyle name="Обычный 10 7 4 2 4 2 2" xfId="9062"/>
    <cellStyle name="Обычный 10 7 4 2 4 2 3" xfId="9063"/>
    <cellStyle name="Обычный 10 7 4 2 4 3" xfId="9064"/>
    <cellStyle name="Обычный 10 7 4 2 4 3 2" xfId="9065"/>
    <cellStyle name="Обычный 10 7 4 2 4 3 3" xfId="9066"/>
    <cellStyle name="Обычный 10 7 4 2 4 4" xfId="9067"/>
    <cellStyle name="Обычный 10 7 4 2 4 4 2" xfId="9068"/>
    <cellStyle name="Обычный 10 7 4 2 4 5" xfId="9069"/>
    <cellStyle name="Обычный 10 7 4 2 4 6" xfId="9070"/>
    <cellStyle name="Обычный 10 7 4 2 5" xfId="9071"/>
    <cellStyle name="Обычный 10 7 4 2 5 2" xfId="9072"/>
    <cellStyle name="Обычный 10 7 4 2 5 3" xfId="9073"/>
    <cellStyle name="Обычный 10 7 4 2 6" xfId="9074"/>
    <cellStyle name="Обычный 10 7 4 2 6 2" xfId="9075"/>
    <cellStyle name="Обычный 10 7 4 2 6 3" xfId="9076"/>
    <cellStyle name="Обычный 10 7 4 2 7" xfId="9077"/>
    <cellStyle name="Обычный 10 7 4 2 7 2" xfId="9078"/>
    <cellStyle name="Обычный 10 7 4 2 8" xfId="9079"/>
    <cellStyle name="Обычный 10 7 4 2 9" xfId="9080"/>
    <cellStyle name="Обычный 10 7 4 3" xfId="9081"/>
    <cellStyle name="Обычный 10 7 4 3 2" xfId="9082"/>
    <cellStyle name="Обычный 10 7 4 3 2 2" xfId="9083"/>
    <cellStyle name="Обычный 10 7 4 3 2 2 2" xfId="9084"/>
    <cellStyle name="Обычный 10 7 4 3 2 2 2 2" xfId="9085"/>
    <cellStyle name="Обычный 10 7 4 3 2 2 2 3" xfId="9086"/>
    <cellStyle name="Обычный 10 7 4 3 2 2 3" xfId="9087"/>
    <cellStyle name="Обычный 10 7 4 3 2 2 3 2" xfId="9088"/>
    <cellStyle name="Обычный 10 7 4 3 2 2 3 3" xfId="9089"/>
    <cellStyle name="Обычный 10 7 4 3 2 2 4" xfId="9090"/>
    <cellStyle name="Обычный 10 7 4 3 2 2 4 2" xfId="9091"/>
    <cellStyle name="Обычный 10 7 4 3 2 2 5" xfId="9092"/>
    <cellStyle name="Обычный 10 7 4 3 2 2 6" xfId="9093"/>
    <cellStyle name="Обычный 10 7 4 3 2 3" xfId="9094"/>
    <cellStyle name="Обычный 10 7 4 3 2 3 2" xfId="9095"/>
    <cellStyle name="Обычный 10 7 4 3 2 3 3" xfId="9096"/>
    <cellStyle name="Обычный 10 7 4 3 2 4" xfId="9097"/>
    <cellStyle name="Обычный 10 7 4 3 2 4 2" xfId="9098"/>
    <cellStyle name="Обычный 10 7 4 3 2 4 3" xfId="9099"/>
    <cellStyle name="Обычный 10 7 4 3 2 5" xfId="9100"/>
    <cellStyle name="Обычный 10 7 4 3 2 5 2" xfId="9101"/>
    <cellStyle name="Обычный 10 7 4 3 2 6" xfId="9102"/>
    <cellStyle name="Обычный 10 7 4 3 2 7" xfId="9103"/>
    <cellStyle name="Обычный 10 7 4 3 3" xfId="9104"/>
    <cellStyle name="Обычный 10 7 4 3 3 2" xfId="9105"/>
    <cellStyle name="Обычный 10 7 4 3 3 2 2" xfId="9106"/>
    <cellStyle name="Обычный 10 7 4 3 3 2 3" xfId="9107"/>
    <cellStyle name="Обычный 10 7 4 3 3 3" xfId="9108"/>
    <cellStyle name="Обычный 10 7 4 3 3 3 2" xfId="9109"/>
    <cellStyle name="Обычный 10 7 4 3 3 3 3" xfId="9110"/>
    <cellStyle name="Обычный 10 7 4 3 3 4" xfId="9111"/>
    <cellStyle name="Обычный 10 7 4 3 3 4 2" xfId="9112"/>
    <cellStyle name="Обычный 10 7 4 3 3 5" xfId="9113"/>
    <cellStyle name="Обычный 10 7 4 3 3 6" xfId="9114"/>
    <cellStyle name="Обычный 10 7 4 3 4" xfId="9115"/>
    <cellStyle name="Обычный 10 7 4 3 4 2" xfId="9116"/>
    <cellStyle name="Обычный 10 7 4 3 4 3" xfId="9117"/>
    <cellStyle name="Обычный 10 7 4 3 5" xfId="9118"/>
    <cellStyle name="Обычный 10 7 4 3 5 2" xfId="9119"/>
    <cellStyle name="Обычный 10 7 4 3 5 3" xfId="9120"/>
    <cellStyle name="Обычный 10 7 4 3 6" xfId="9121"/>
    <cellStyle name="Обычный 10 7 4 3 6 2" xfId="9122"/>
    <cellStyle name="Обычный 10 7 4 3 7" xfId="9123"/>
    <cellStyle name="Обычный 10 7 4 3 8" xfId="9124"/>
    <cellStyle name="Обычный 10 7 4 4" xfId="9125"/>
    <cellStyle name="Обычный 10 7 4 4 2" xfId="9126"/>
    <cellStyle name="Обычный 10 7 4 4 2 2" xfId="9127"/>
    <cellStyle name="Обычный 10 7 4 4 2 2 2" xfId="9128"/>
    <cellStyle name="Обычный 10 7 4 4 2 2 3" xfId="9129"/>
    <cellStyle name="Обычный 10 7 4 4 2 3" xfId="9130"/>
    <cellStyle name="Обычный 10 7 4 4 2 3 2" xfId="9131"/>
    <cellStyle name="Обычный 10 7 4 4 2 3 3" xfId="9132"/>
    <cellStyle name="Обычный 10 7 4 4 2 4" xfId="9133"/>
    <cellStyle name="Обычный 10 7 4 4 2 4 2" xfId="9134"/>
    <cellStyle name="Обычный 10 7 4 4 2 5" xfId="9135"/>
    <cellStyle name="Обычный 10 7 4 4 2 6" xfId="9136"/>
    <cellStyle name="Обычный 10 7 4 4 3" xfId="9137"/>
    <cellStyle name="Обычный 10 7 4 4 3 2" xfId="9138"/>
    <cellStyle name="Обычный 10 7 4 4 3 3" xfId="9139"/>
    <cellStyle name="Обычный 10 7 4 4 4" xfId="9140"/>
    <cellStyle name="Обычный 10 7 4 4 4 2" xfId="9141"/>
    <cellStyle name="Обычный 10 7 4 4 4 3" xfId="9142"/>
    <cellStyle name="Обычный 10 7 4 4 5" xfId="9143"/>
    <cellStyle name="Обычный 10 7 4 4 5 2" xfId="9144"/>
    <cellStyle name="Обычный 10 7 4 4 6" xfId="9145"/>
    <cellStyle name="Обычный 10 7 4 4 7" xfId="9146"/>
    <cellStyle name="Обычный 10 7 4 5" xfId="9147"/>
    <cellStyle name="Обычный 10 7 4 5 2" xfId="9148"/>
    <cellStyle name="Обычный 10 7 4 5 2 2" xfId="9149"/>
    <cellStyle name="Обычный 10 7 4 5 2 3" xfId="9150"/>
    <cellStyle name="Обычный 10 7 4 5 3" xfId="9151"/>
    <cellStyle name="Обычный 10 7 4 5 3 2" xfId="9152"/>
    <cellStyle name="Обычный 10 7 4 5 3 3" xfId="9153"/>
    <cellStyle name="Обычный 10 7 4 5 4" xfId="9154"/>
    <cellStyle name="Обычный 10 7 4 5 4 2" xfId="9155"/>
    <cellStyle name="Обычный 10 7 4 5 5" xfId="9156"/>
    <cellStyle name="Обычный 10 7 4 5 6" xfId="9157"/>
    <cellStyle name="Обычный 10 7 4 6" xfId="9158"/>
    <cellStyle name="Обычный 10 7 4 6 2" xfId="9159"/>
    <cellStyle name="Обычный 10 7 4 6 3" xfId="9160"/>
    <cellStyle name="Обычный 10 7 4 7" xfId="9161"/>
    <cellStyle name="Обычный 10 7 4 7 2" xfId="9162"/>
    <cellStyle name="Обычный 10 7 4 7 3" xfId="9163"/>
    <cellStyle name="Обычный 10 7 4 8" xfId="9164"/>
    <cellStyle name="Обычный 10 7 4 8 2" xfId="9165"/>
    <cellStyle name="Обычный 10 7 4 9" xfId="9166"/>
    <cellStyle name="Обычный 10 7 5" xfId="9167"/>
    <cellStyle name="Обычный 10 7 5 10" xfId="9168"/>
    <cellStyle name="Обычный 10 7 5 2" xfId="9169"/>
    <cellStyle name="Обычный 10 7 5 2 2" xfId="9170"/>
    <cellStyle name="Обычный 10 7 5 2 2 2" xfId="9171"/>
    <cellStyle name="Обычный 10 7 5 2 2 2 2" xfId="9172"/>
    <cellStyle name="Обычный 10 7 5 2 2 2 2 2" xfId="9173"/>
    <cellStyle name="Обычный 10 7 5 2 2 2 2 2 2" xfId="9174"/>
    <cellStyle name="Обычный 10 7 5 2 2 2 2 2 3" xfId="9175"/>
    <cellStyle name="Обычный 10 7 5 2 2 2 2 3" xfId="9176"/>
    <cellStyle name="Обычный 10 7 5 2 2 2 2 3 2" xfId="9177"/>
    <cellStyle name="Обычный 10 7 5 2 2 2 2 3 3" xfId="9178"/>
    <cellStyle name="Обычный 10 7 5 2 2 2 2 4" xfId="9179"/>
    <cellStyle name="Обычный 10 7 5 2 2 2 2 4 2" xfId="9180"/>
    <cellStyle name="Обычный 10 7 5 2 2 2 2 5" xfId="9181"/>
    <cellStyle name="Обычный 10 7 5 2 2 2 2 6" xfId="9182"/>
    <cellStyle name="Обычный 10 7 5 2 2 2 3" xfId="9183"/>
    <cellStyle name="Обычный 10 7 5 2 2 2 3 2" xfId="9184"/>
    <cellStyle name="Обычный 10 7 5 2 2 2 3 3" xfId="9185"/>
    <cellStyle name="Обычный 10 7 5 2 2 2 4" xfId="9186"/>
    <cellStyle name="Обычный 10 7 5 2 2 2 4 2" xfId="9187"/>
    <cellStyle name="Обычный 10 7 5 2 2 2 4 3" xfId="9188"/>
    <cellStyle name="Обычный 10 7 5 2 2 2 5" xfId="9189"/>
    <cellStyle name="Обычный 10 7 5 2 2 2 5 2" xfId="9190"/>
    <cellStyle name="Обычный 10 7 5 2 2 2 6" xfId="9191"/>
    <cellStyle name="Обычный 10 7 5 2 2 2 7" xfId="9192"/>
    <cellStyle name="Обычный 10 7 5 2 2 3" xfId="9193"/>
    <cellStyle name="Обычный 10 7 5 2 2 3 2" xfId="9194"/>
    <cellStyle name="Обычный 10 7 5 2 2 3 2 2" xfId="9195"/>
    <cellStyle name="Обычный 10 7 5 2 2 3 2 3" xfId="9196"/>
    <cellStyle name="Обычный 10 7 5 2 2 3 3" xfId="9197"/>
    <cellStyle name="Обычный 10 7 5 2 2 3 3 2" xfId="9198"/>
    <cellStyle name="Обычный 10 7 5 2 2 3 3 3" xfId="9199"/>
    <cellStyle name="Обычный 10 7 5 2 2 3 4" xfId="9200"/>
    <cellStyle name="Обычный 10 7 5 2 2 3 4 2" xfId="9201"/>
    <cellStyle name="Обычный 10 7 5 2 2 3 5" xfId="9202"/>
    <cellStyle name="Обычный 10 7 5 2 2 3 6" xfId="9203"/>
    <cellStyle name="Обычный 10 7 5 2 2 4" xfId="9204"/>
    <cellStyle name="Обычный 10 7 5 2 2 4 2" xfId="9205"/>
    <cellStyle name="Обычный 10 7 5 2 2 4 3" xfId="9206"/>
    <cellStyle name="Обычный 10 7 5 2 2 5" xfId="9207"/>
    <cellStyle name="Обычный 10 7 5 2 2 5 2" xfId="9208"/>
    <cellStyle name="Обычный 10 7 5 2 2 5 3" xfId="9209"/>
    <cellStyle name="Обычный 10 7 5 2 2 6" xfId="9210"/>
    <cellStyle name="Обычный 10 7 5 2 2 6 2" xfId="9211"/>
    <cellStyle name="Обычный 10 7 5 2 2 7" xfId="9212"/>
    <cellStyle name="Обычный 10 7 5 2 2 8" xfId="9213"/>
    <cellStyle name="Обычный 10 7 5 2 3" xfId="9214"/>
    <cellStyle name="Обычный 10 7 5 2 3 2" xfId="9215"/>
    <cellStyle name="Обычный 10 7 5 2 3 2 2" xfId="9216"/>
    <cellStyle name="Обычный 10 7 5 2 3 2 2 2" xfId="9217"/>
    <cellStyle name="Обычный 10 7 5 2 3 2 2 3" xfId="9218"/>
    <cellStyle name="Обычный 10 7 5 2 3 2 3" xfId="9219"/>
    <cellStyle name="Обычный 10 7 5 2 3 2 3 2" xfId="9220"/>
    <cellStyle name="Обычный 10 7 5 2 3 2 3 3" xfId="9221"/>
    <cellStyle name="Обычный 10 7 5 2 3 2 4" xfId="9222"/>
    <cellStyle name="Обычный 10 7 5 2 3 2 4 2" xfId="9223"/>
    <cellStyle name="Обычный 10 7 5 2 3 2 5" xfId="9224"/>
    <cellStyle name="Обычный 10 7 5 2 3 2 6" xfId="9225"/>
    <cellStyle name="Обычный 10 7 5 2 3 3" xfId="9226"/>
    <cellStyle name="Обычный 10 7 5 2 3 3 2" xfId="9227"/>
    <cellStyle name="Обычный 10 7 5 2 3 3 3" xfId="9228"/>
    <cellStyle name="Обычный 10 7 5 2 3 4" xfId="9229"/>
    <cellStyle name="Обычный 10 7 5 2 3 4 2" xfId="9230"/>
    <cellStyle name="Обычный 10 7 5 2 3 4 3" xfId="9231"/>
    <cellStyle name="Обычный 10 7 5 2 3 5" xfId="9232"/>
    <cellStyle name="Обычный 10 7 5 2 3 5 2" xfId="9233"/>
    <cellStyle name="Обычный 10 7 5 2 3 6" xfId="9234"/>
    <cellStyle name="Обычный 10 7 5 2 3 7" xfId="9235"/>
    <cellStyle name="Обычный 10 7 5 2 4" xfId="9236"/>
    <cellStyle name="Обычный 10 7 5 2 4 2" xfId="9237"/>
    <cellStyle name="Обычный 10 7 5 2 4 2 2" xfId="9238"/>
    <cellStyle name="Обычный 10 7 5 2 4 2 3" xfId="9239"/>
    <cellStyle name="Обычный 10 7 5 2 4 3" xfId="9240"/>
    <cellStyle name="Обычный 10 7 5 2 4 3 2" xfId="9241"/>
    <cellStyle name="Обычный 10 7 5 2 4 3 3" xfId="9242"/>
    <cellStyle name="Обычный 10 7 5 2 4 4" xfId="9243"/>
    <cellStyle name="Обычный 10 7 5 2 4 4 2" xfId="9244"/>
    <cellStyle name="Обычный 10 7 5 2 4 5" xfId="9245"/>
    <cellStyle name="Обычный 10 7 5 2 4 6" xfId="9246"/>
    <cellStyle name="Обычный 10 7 5 2 5" xfId="9247"/>
    <cellStyle name="Обычный 10 7 5 2 5 2" xfId="9248"/>
    <cellStyle name="Обычный 10 7 5 2 5 3" xfId="9249"/>
    <cellStyle name="Обычный 10 7 5 2 6" xfId="9250"/>
    <cellStyle name="Обычный 10 7 5 2 6 2" xfId="9251"/>
    <cellStyle name="Обычный 10 7 5 2 6 3" xfId="9252"/>
    <cellStyle name="Обычный 10 7 5 2 7" xfId="9253"/>
    <cellStyle name="Обычный 10 7 5 2 7 2" xfId="9254"/>
    <cellStyle name="Обычный 10 7 5 2 8" xfId="9255"/>
    <cellStyle name="Обычный 10 7 5 2 9" xfId="9256"/>
    <cellStyle name="Обычный 10 7 5 3" xfId="9257"/>
    <cellStyle name="Обычный 10 7 5 3 2" xfId="9258"/>
    <cellStyle name="Обычный 10 7 5 3 2 2" xfId="9259"/>
    <cellStyle name="Обычный 10 7 5 3 2 2 2" xfId="9260"/>
    <cellStyle name="Обычный 10 7 5 3 2 2 2 2" xfId="9261"/>
    <cellStyle name="Обычный 10 7 5 3 2 2 2 3" xfId="9262"/>
    <cellStyle name="Обычный 10 7 5 3 2 2 3" xfId="9263"/>
    <cellStyle name="Обычный 10 7 5 3 2 2 3 2" xfId="9264"/>
    <cellStyle name="Обычный 10 7 5 3 2 2 3 3" xfId="9265"/>
    <cellStyle name="Обычный 10 7 5 3 2 2 4" xfId="9266"/>
    <cellStyle name="Обычный 10 7 5 3 2 2 4 2" xfId="9267"/>
    <cellStyle name="Обычный 10 7 5 3 2 2 5" xfId="9268"/>
    <cellStyle name="Обычный 10 7 5 3 2 2 6" xfId="9269"/>
    <cellStyle name="Обычный 10 7 5 3 2 3" xfId="9270"/>
    <cellStyle name="Обычный 10 7 5 3 2 3 2" xfId="9271"/>
    <cellStyle name="Обычный 10 7 5 3 2 3 3" xfId="9272"/>
    <cellStyle name="Обычный 10 7 5 3 2 4" xfId="9273"/>
    <cellStyle name="Обычный 10 7 5 3 2 4 2" xfId="9274"/>
    <cellStyle name="Обычный 10 7 5 3 2 4 3" xfId="9275"/>
    <cellStyle name="Обычный 10 7 5 3 2 5" xfId="9276"/>
    <cellStyle name="Обычный 10 7 5 3 2 5 2" xfId="9277"/>
    <cellStyle name="Обычный 10 7 5 3 2 6" xfId="9278"/>
    <cellStyle name="Обычный 10 7 5 3 2 7" xfId="9279"/>
    <cellStyle name="Обычный 10 7 5 3 3" xfId="9280"/>
    <cellStyle name="Обычный 10 7 5 3 3 2" xfId="9281"/>
    <cellStyle name="Обычный 10 7 5 3 3 2 2" xfId="9282"/>
    <cellStyle name="Обычный 10 7 5 3 3 2 3" xfId="9283"/>
    <cellStyle name="Обычный 10 7 5 3 3 3" xfId="9284"/>
    <cellStyle name="Обычный 10 7 5 3 3 3 2" xfId="9285"/>
    <cellStyle name="Обычный 10 7 5 3 3 3 3" xfId="9286"/>
    <cellStyle name="Обычный 10 7 5 3 3 4" xfId="9287"/>
    <cellStyle name="Обычный 10 7 5 3 3 4 2" xfId="9288"/>
    <cellStyle name="Обычный 10 7 5 3 3 5" xfId="9289"/>
    <cellStyle name="Обычный 10 7 5 3 3 6" xfId="9290"/>
    <cellStyle name="Обычный 10 7 5 3 4" xfId="9291"/>
    <cellStyle name="Обычный 10 7 5 3 4 2" xfId="9292"/>
    <cellStyle name="Обычный 10 7 5 3 4 3" xfId="9293"/>
    <cellStyle name="Обычный 10 7 5 3 5" xfId="9294"/>
    <cellStyle name="Обычный 10 7 5 3 5 2" xfId="9295"/>
    <cellStyle name="Обычный 10 7 5 3 5 3" xfId="9296"/>
    <cellStyle name="Обычный 10 7 5 3 6" xfId="9297"/>
    <cellStyle name="Обычный 10 7 5 3 6 2" xfId="9298"/>
    <cellStyle name="Обычный 10 7 5 3 7" xfId="9299"/>
    <cellStyle name="Обычный 10 7 5 3 8" xfId="9300"/>
    <cellStyle name="Обычный 10 7 5 4" xfId="9301"/>
    <cellStyle name="Обычный 10 7 5 4 2" xfId="9302"/>
    <cellStyle name="Обычный 10 7 5 4 2 2" xfId="9303"/>
    <cellStyle name="Обычный 10 7 5 4 2 2 2" xfId="9304"/>
    <cellStyle name="Обычный 10 7 5 4 2 2 3" xfId="9305"/>
    <cellStyle name="Обычный 10 7 5 4 2 3" xfId="9306"/>
    <cellStyle name="Обычный 10 7 5 4 2 3 2" xfId="9307"/>
    <cellStyle name="Обычный 10 7 5 4 2 3 3" xfId="9308"/>
    <cellStyle name="Обычный 10 7 5 4 2 4" xfId="9309"/>
    <cellStyle name="Обычный 10 7 5 4 2 4 2" xfId="9310"/>
    <cellStyle name="Обычный 10 7 5 4 2 5" xfId="9311"/>
    <cellStyle name="Обычный 10 7 5 4 2 6" xfId="9312"/>
    <cellStyle name="Обычный 10 7 5 4 3" xfId="9313"/>
    <cellStyle name="Обычный 10 7 5 4 3 2" xfId="9314"/>
    <cellStyle name="Обычный 10 7 5 4 3 3" xfId="9315"/>
    <cellStyle name="Обычный 10 7 5 4 4" xfId="9316"/>
    <cellStyle name="Обычный 10 7 5 4 4 2" xfId="9317"/>
    <cellStyle name="Обычный 10 7 5 4 4 3" xfId="9318"/>
    <cellStyle name="Обычный 10 7 5 4 5" xfId="9319"/>
    <cellStyle name="Обычный 10 7 5 4 5 2" xfId="9320"/>
    <cellStyle name="Обычный 10 7 5 4 6" xfId="9321"/>
    <cellStyle name="Обычный 10 7 5 4 7" xfId="9322"/>
    <cellStyle name="Обычный 10 7 5 5" xfId="9323"/>
    <cellStyle name="Обычный 10 7 5 5 2" xfId="9324"/>
    <cellStyle name="Обычный 10 7 5 5 2 2" xfId="9325"/>
    <cellStyle name="Обычный 10 7 5 5 2 3" xfId="9326"/>
    <cellStyle name="Обычный 10 7 5 5 3" xfId="9327"/>
    <cellStyle name="Обычный 10 7 5 5 3 2" xfId="9328"/>
    <cellStyle name="Обычный 10 7 5 5 3 3" xfId="9329"/>
    <cellStyle name="Обычный 10 7 5 5 4" xfId="9330"/>
    <cellStyle name="Обычный 10 7 5 5 4 2" xfId="9331"/>
    <cellStyle name="Обычный 10 7 5 5 5" xfId="9332"/>
    <cellStyle name="Обычный 10 7 5 5 6" xfId="9333"/>
    <cellStyle name="Обычный 10 7 5 6" xfId="9334"/>
    <cellStyle name="Обычный 10 7 5 6 2" xfId="9335"/>
    <cellStyle name="Обычный 10 7 5 6 3" xfId="9336"/>
    <cellStyle name="Обычный 10 7 5 7" xfId="9337"/>
    <cellStyle name="Обычный 10 7 5 7 2" xfId="9338"/>
    <cellStyle name="Обычный 10 7 5 7 3" xfId="9339"/>
    <cellStyle name="Обычный 10 7 5 8" xfId="9340"/>
    <cellStyle name="Обычный 10 7 5 8 2" xfId="9341"/>
    <cellStyle name="Обычный 10 7 5 9" xfId="9342"/>
    <cellStyle name="Обычный 10 7 6" xfId="9343"/>
    <cellStyle name="Обычный 10 7 6 2" xfId="9344"/>
    <cellStyle name="Обычный 10 7 6 2 2" xfId="9345"/>
    <cellStyle name="Обычный 10 7 6 2 2 2" xfId="9346"/>
    <cellStyle name="Обычный 10 7 6 2 2 2 2" xfId="9347"/>
    <cellStyle name="Обычный 10 7 6 2 2 2 2 2" xfId="9348"/>
    <cellStyle name="Обычный 10 7 6 2 2 2 2 3" xfId="9349"/>
    <cellStyle name="Обычный 10 7 6 2 2 2 3" xfId="9350"/>
    <cellStyle name="Обычный 10 7 6 2 2 2 3 2" xfId="9351"/>
    <cellStyle name="Обычный 10 7 6 2 2 2 3 3" xfId="9352"/>
    <cellStyle name="Обычный 10 7 6 2 2 2 4" xfId="9353"/>
    <cellStyle name="Обычный 10 7 6 2 2 2 4 2" xfId="9354"/>
    <cellStyle name="Обычный 10 7 6 2 2 2 5" xfId="9355"/>
    <cellStyle name="Обычный 10 7 6 2 2 2 6" xfId="9356"/>
    <cellStyle name="Обычный 10 7 6 2 2 3" xfId="9357"/>
    <cellStyle name="Обычный 10 7 6 2 2 3 2" xfId="9358"/>
    <cellStyle name="Обычный 10 7 6 2 2 3 3" xfId="9359"/>
    <cellStyle name="Обычный 10 7 6 2 2 4" xfId="9360"/>
    <cellStyle name="Обычный 10 7 6 2 2 4 2" xfId="9361"/>
    <cellStyle name="Обычный 10 7 6 2 2 4 3" xfId="9362"/>
    <cellStyle name="Обычный 10 7 6 2 2 5" xfId="9363"/>
    <cellStyle name="Обычный 10 7 6 2 2 5 2" xfId="9364"/>
    <cellStyle name="Обычный 10 7 6 2 2 6" xfId="9365"/>
    <cellStyle name="Обычный 10 7 6 2 2 7" xfId="9366"/>
    <cellStyle name="Обычный 10 7 6 2 3" xfId="9367"/>
    <cellStyle name="Обычный 10 7 6 2 3 2" xfId="9368"/>
    <cellStyle name="Обычный 10 7 6 2 3 2 2" xfId="9369"/>
    <cellStyle name="Обычный 10 7 6 2 3 2 3" xfId="9370"/>
    <cellStyle name="Обычный 10 7 6 2 3 3" xfId="9371"/>
    <cellStyle name="Обычный 10 7 6 2 3 3 2" xfId="9372"/>
    <cellStyle name="Обычный 10 7 6 2 3 3 3" xfId="9373"/>
    <cellStyle name="Обычный 10 7 6 2 3 4" xfId="9374"/>
    <cellStyle name="Обычный 10 7 6 2 3 4 2" xfId="9375"/>
    <cellStyle name="Обычный 10 7 6 2 3 5" xfId="9376"/>
    <cellStyle name="Обычный 10 7 6 2 3 6" xfId="9377"/>
    <cellStyle name="Обычный 10 7 6 2 4" xfId="9378"/>
    <cellStyle name="Обычный 10 7 6 2 4 2" xfId="9379"/>
    <cellStyle name="Обычный 10 7 6 2 4 3" xfId="9380"/>
    <cellStyle name="Обычный 10 7 6 2 5" xfId="9381"/>
    <cellStyle name="Обычный 10 7 6 2 5 2" xfId="9382"/>
    <cellStyle name="Обычный 10 7 6 2 5 3" xfId="9383"/>
    <cellStyle name="Обычный 10 7 6 2 6" xfId="9384"/>
    <cellStyle name="Обычный 10 7 6 2 6 2" xfId="9385"/>
    <cellStyle name="Обычный 10 7 6 2 7" xfId="9386"/>
    <cellStyle name="Обычный 10 7 6 2 8" xfId="9387"/>
    <cellStyle name="Обычный 10 7 6 3" xfId="9388"/>
    <cellStyle name="Обычный 10 7 6 3 2" xfId="9389"/>
    <cellStyle name="Обычный 10 7 6 3 2 2" xfId="9390"/>
    <cellStyle name="Обычный 10 7 6 3 2 2 2" xfId="9391"/>
    <cellStyle name="Обычный 10 7 6 3 2 2 3" xfId="9392"/>
    <cellStyle name="Обычный 10 7 6 3 2 3" xfId="9393"/>
    <cellStyle name="Обычный 10 7 6 3 2 3 2" xfId="9394"/>
    <cellStyle name="Обычный 10 7 6 3 2 3 3" xfId="9395"/>
    <cellStyle name="Обычный 10 7 6 3 2 4" xfId="9396"/>
    <cellStyle name="Обычный 10 7 6 3 2 4 2" xfId="9397"/>
    <cellStyle name="Обычный 10 7 6 3 2 5" xfId="9398"/>
    <cellStyle name="Обычный 10 7 6 3 2 6" xfId="9399"/>
    <cellStyle name="Обычный 10 7 6 3 3" xfId="9400"/>
    <cellStyle name="Обычный 10 7 6 3 3 2" xfId="9401"/>
    <cellStyle name="Обычный 10 7 6 3 3 3" xfId="9402"/>
    <cellStyle name="Обычный 10 7 6 3 4" xfId="9403"/>
    <cellStyle name="Обычный 10 7 6 3 4 2" xfId="9404"/>
    <cellStyle name="Обычный 10 7 6 3 4 3" xfId="9405"/>
    <cellStyle name="Обычный 10 7 6 3 5" xfId="9406"/>
    <cellStyle name="Обычный 10 7 6 3 5 2" xfId="9407"/>
    <cellStyle name="Обычный 10 7 6 3 6" xfId="9408"/>
    <cellStyle name="Обычный 10 7 6 3 7" xfId="9409"/>
    <cellStyle name="Обычный 10 7 6 4" xfId="9410"/>
    <cellStyle name="Обычный 10 7 6 4 2" xfId="9411"/>
    <cellStyle name="Обычный 10 7 6 4 2 2" xfId="9412"/>
    <cellStyle name="Обычный 10 7 6 4 2 3" xfId="9413"/>
    <cellStyle name="Обычный 10 7 6 4 3" xfId="9414"/>
    <cellStyle name="Обычный 10 7 6 4 3 2" xfId="9415"/>
    <cellStyle name="Обычный 10 7 6 4 3 3" xfId="9416"/>
    <cellStyle name="Обычный 10 7 6 4 4" xfId="9417"/>
    <cellStyle name="Обычный 10 7 6 4 4 2" xfId="9418"/>
    <cellStyle name="Обычный 10 7 6 4 5" xfId="9419"/>
    <cellStyle name="Обычный 10 7 6 4 6" xfId="9420"/>
    <cellStyle name="Обычный 10 7 6 5" xfId="9421"/>
    <cellStyle name="Обычный 10 7 6 5 2" xfId="9422"/>
    <cellStyle name="Обычный 10 7 6 5 3" xfId="9423"/>
    <cellStyle name="Обычный 10 7 6 6" xfId="9424"/>
    <cellStyle name="Обычный 10 7 6 6 2" xfId="9425"/>
    <cellStyle name="Обычный 10 7 6 6 3" xfId="9426"/>
    <cellStyle name="Обычный 10 7 6 7" xfId="9427"/>
    <cellStyle name="Обычный 10 7 6 7 2" xfId="9428"/>
    <cellStyle name="Обычный 10 7 6 8" xfId="9429"/>
    <cellStyle name="Обычный 10 7 6 9" xfId="9430"/>
    <cellStyle name="Обычный 10 7 7" xfId="9431"/>
    <cellStyle name="Обычный 10 7 7 2" xfId="9432"/>
    <cellStyle name="Обычный 10 7 7 2 2" xfId="9433"/>
    <cellStyle name="Обычный 10 7 7 2 2 2" xfId="9434"/>
    <cellStyle name="Обычный 10 7 7 2 2 2 2" xfId="9435"/>
    <cellStyle name="Обычный 10 7 7 2 2 2 3" xfId="9436"/>
    <cellStyle name="Обычный 10 7 7 2 2 3" xfId="9437"/>
    <cellStyle name="Обычный 10 7 7 2 2 3 2" xfId="9438"/>
    <cellStyle name="Обычный 10 7 7 2 2 3 3" xfId="9439"/>
    <cellStyle name="Обычный 10 7 7 2 2 4" xfId="9440"/>
    <cellStyle name="Обычный 10 7 7 2 2 4 2" xfId="9441"/>
    <cellStyle name="Обычный 10 7 7 2 2 5" xfId="9442"/>
    <cellStyle name="Обычный 10 7 7 2 2 6" xfId="9443"/>
    <cellStyle name="Обычный 10 7 7 2 3" xfId="9444"/>
    <cellStyle name="Обычный 10 7 7 2 3 2" xfId="9445"/>
    <cellStyle name="Обычный 10 7 7 2 3 3" xfId="9446"/>
    <cellStyle name="Обычный 10 7 7 2 4" xfId="9447"/>
    <cellStyle name="Обычный 10 7 7 2 4 2" xfId="9448"/>
    <cellStyle name="Обычный 10 7 7 2 4 3" xfId="9449"/>
    <cellStyle name="Обычный 10 7 7 2 5" xfId="9450"/>
    <cellStyle name="Обычный 10 7 7 2 5 2" xfId="9451"/>
    <cellStyle name="Обычный 10 7 7 2 6" xfId="9452"/>
    <cellStyle name="Обычный 10 7 7 2 7" xfId="9453"/>
    <cellStyle name="Обычный 10 7 7 3" xfId="9454"/>
    <cellStyle name="Обычный 10 7 7 3 2" xfId="9455"/>
    <cellStyle name="Обычный 10 7 7 3 2 2" xfId="9456"/>
    <cellStyle name="Обычный 10 7 7 3 2 3" xfId="9457"/>
    <cellStyle name="Обычный 10 7 7 3 3" xfId="9458"/>
    <cellStyle name="Обычный 10 7 7 3 3 2" xfId="9459"/>
    <cellStyle name="Обычный 10 7 7 3 3 3" xfId="9460"/>
    <cellStyle name="Обычный 10 7 7 3 4" xfId="9461"/>
    <cellStyle name="Обычный 10 7 7 3 4 2" xfId="9462"/>
    <cellStyle name="Обычный 10 7 7 3 5" xfId="9463"/>
    <cellStyle name="Обычный 10 7 7 3 6" xfId="9464"/>
    <cellStyle name="Обычный 10 7 7 4" xfId="9465"/>
    <cellStyle name="Обычный 10 7 7 4 2" xfId="9466"/>
    <cellStyle name="Обычный 10 7 7 4 3" xfId="9467"/>
    <cellStyle name="Обычный 10 7 7 5" xfId="9468"/>
    <cellStyle name="Обычный 10 7 7 5 2" xfId="9469"/>
    <cellStyle name="Обычный 10 7 7 5 3" xfId="9470"/>
    <cellStyle name="Обычный 10 7 7 6" xfId="9471"/>
    <cellStyle name="Обычный 10 7 7 6 2" xfId="9472"/>
    <cellStyle name="Обычный 10 7 7 7" xfId="9473"/>
    <cellStyle name="Обычный 10 7 7 8" xfId="9474"/>
    <cellStyle name="Обычный 10 7 8" xfId="9475"/>
    <cellStyle name="Обычный 10 7 8 2" xfId="9476"/>
    <cellStyle name="Обычный 10 7 8 2 2" xfId="9477"/>
    <cellStyle name="Обычный 10 7 8 2 2 2" xfId="9478"/>
    <cellStyle name="Обычный 10 7 8 2 2 3" xfId="9479"/>
    <cellStyle name="Обычный 10 7 8 2 3" xfId="9480"/>
    <cellStyle name="Обычный 10 7 8 2 3 2" xfId="9481"/>
    <cellStyle name="Обычный 10 7 8 2 3 3" xfId="9482"/>
    <cellStyle name="Обычный 10 7 8 2 4" xfId="9483"/>
    <cellStyle name="Обычный 10 7 8 2 4 2" xfId="9484"/>
    <cellStyle name="Обычный 10 7 8 2 5" xfId="9485"/>
    <cellStyle name="Обычный 10 7 8 2 6" xfId="9486"/>
    <cellStyle name="Обычный 10 7 8 3" xfId="9487"/>
    <cellStyle name="Обычный 10 7 8 3 2" xfId="9488"/>
    <cellStyle name="Обычный 10 7 8 3 3" xfId="9489"/>
    <cellStyle name="Обычный 10 7 8 4" xfId="9490"/>
    <cellStyle name="Обычный 10 7 8 4 2" xfId="9491"/>
    <cellStyle name="Обычный 10 7 8 4 3" xfId="9492"/>
    <cellStyle name="Обычный 10 7 8 5" xfId="9493"/>
    <cellStyle name="Обычный 10 7 8 5 2" xfId="9494"/>
    <cellStyle name="Обычный 10 7 8 6" xfId="9495"/>
    <cellStyle name="Обычный 10 7 8 7" xfId="9496"/>
    <cellStyle name="Обычный 10 7 9" xfId="9497"/>
    <cellStyle name="Обычный 10 7 9 2" xfId="9498"/>
    <cellStyle name="Обычный 10 7 9 2 2" xfId="9499"/>
    <cellStyle name="Обычный 10 7 9 2 3" xfId="9500"/>
    <cellStyle name="Обычный 10 7 9 3" xfId="9501"/>
    <cellStyle name="Обычный 10 7 9 3 2" xfId="9502"/>
    <cellStyle name="Обычный 10 7 9 3 3" xfId="9503"/>
    <cellStyle name="Обычный 10 7 9 4" xfId="9504"/>
    <cellStyle name="Обычный 10 7 9 4 2" xfId="9505"/>
    <cellStyle name="Обычный 10 7 9 5" xfId="9506"/>
    <cellStyle name="Обычный 10 7 9 6" xfId="9507"/>
    <cellStyle name="Обычный 10 8" xfId="9508"/>
    <cellStyle name="Обычный 10 8 10" xfId="9509"/>
    <cellStyle name="Обычный 10 8 10 2" xfId="9510"/>
    <cellStyle name="Обычный 10 8 10 3" xfId="9511"/>
    <cellStyle name="Обычный 10 8 11" xfId="9512"/>
    <cellStyle name="Обычный 10 8 11 2" xfId="9513"/>
    <cellStyle name="Обычный 10 8 11 3" xfId="9514"/>
    <cellStyle name="Обычный 10 8 12" xfId="9515"/>
    <cellStyle name="Обычный 10 8 12 2" xfId="9516"/>
    <cellStyle name="Обычный 10 8 13" xfId="9517"/>
    <cellStyle name="Обычный 10 8 14" xfId="9518"/>
    <cellStyle name="Обычный 10 8 2" xfId="9519"/>
    <cellStyle name="Обычный 10 8 2 10" xfId="9520"/>
    <cellStyle name="Обычный 10 8 2 10 2" xfId="9521"/>
    <cellStyle name="Обычный 10 8 2 10 3" xfId="9522"/>
    <cellStyle name="Обычный 10 8 2 11" xfId="9523"/>
    <cellStyle name="Обычный 10 8 2 11 2" xfId="9524"/>
    <cellStyle name="Обычный 10 8 2 12" xfId="9525"/>
    <cellStyle name="Обычный 10 8 2 13" xfId="9526"/>
    <cellStyle name="Обычный 10 8 2 2" xfId="9527"/>
    <cellStyle name="Обычный 10 8 2 2 10" xfId="9528"/>
    <cellStyle name="Обычный 10 8 2 2 2" xfId="9529"/>
    <cellStyle name="Обычный 10 8 2 2 2 2" xfId="9530"/>
    <cellStyle name="Обычный 10 8 2 2 2 2 2" xfId="9531"/>
    <cellStyle name="Обычный 10 8 2 2 2 2 2 2" xfId="9532"/>
    <cellStyle name="Обычный 10 8 2 2 2 2 2 2 2" xfId="9533"/>
    <cellStyle name="Обычный 10 8 2 2 2 2 2 2 2 2" xfId="9534"/>
    <cellStyle name="Обычный 10 8 2 2 2 2 2 2 2 3" xfId="9535"/>
    <cellStyle name="Обычный 10 8 2 2 2 2 2 2 3" xfId="9536"/>
    <cellStyle name="Обычный 10 8 2 2 2 2 2 2 3 2" xfId="9537"/>
    <cellStyle name="Обычный 10 8 2 2 2 2 2 2 3 3" xfId="9538"/>
    <cellStyle name="Обычный 10 8 2 2 2 2 2 2 4" xfId="9539"/>
    <cellStyle name="Обычный 10 8 2 2 2 2 2 2 4 2" xfId="9540"/>
    <cellStyle name="Обычный 10 8 2 2 2 2 2 2 5" xfId="9541"/>
    <cellStyle name="Обычный 10 8 2 2 2 2 2 2 6" xfId="9542"/>
    <cellStyle name="Обычный 10 8 2 2 2 2 2 3" xfId="9543"/>
    <cellStyle name="Обычный 10 8 2 2 2 2 2 3 2" xfId="9544"/>
    <cellStyle name="Обычный 10 8 2 2 2 2 2 3 3" xfId="9545"/>
    <cellStyle name="Обычный 10 8 2 2 2 2 2 4" xfId="9546"/>
    <cellStyle name="Обычный 10 8 2 2 2 2 2 4 2" xfId="9547"/>
    <cellStyle name="Обычный 10 8 2 2 2 2 2 4 3" xfId="9548"/>
    <cellStyle name="Обычный 10 8 2 2 2 2 2 5" xfId="9549"/>
    <cellStyle name="Обычный 10 8 2 2 2 2 2 5 2" xfId="9550"/>
    <cellStyle name="Обычный 10 8 2 2 2 2 2 6" xfId="9551"/>
    <cellStyle name="Обычный 10 8 2 2 2 2 2 7" xfId="9552"/>
    <cellStyle name="Обычный 10 8 2 2 2 2 3" xfId="9553"/>
    <cellStyle name="Обычный 10 8 2 2 2 2 3 2" xfId="9554"/>
    <cellStyle name="Обычный 10 8 2 2 2 2 3 2 2" xfId="9555"/>
    <cellStyle name="Обычный 10 8 2 2 2 2 3 2 3" xfId="9556"/>
    <cellStyle name="Обычный 10 8 2 2 2 2 3 3" xfId="9557"/>
    <cellStyle name="Обычный 10 8 2 2 2 2 3 3 2" xfId="9558"/>
    <cellStyle name="Обычный 10 8 2 2 2 2 3 3 3" xfId="9559"/>
    <cellStyle name="Обычный 10 8 2 2 2 2 3 4" xfId="9560"/>
    <cellStyle name="Обычный 10 8 2 2 2 2 3 4 2" xfId="9561"/>
    <cellStyle name="Обычный 10 8 2 2 2 2 3 5" xfId="9562"/>
    <cellStyle name="Обычный 10 8 2 2 2 2 3 6" xfId="9563"/>
    <cellStyle name="Обычный 10 8 2 2 2 2 4" xfId="9564"/>
    <cellStyle name="Обычный 10 8 2 2 2 2 4 2" xfId="9565"/>
    <cellStyle name="Обычный 10 8 2 2 2 2 4 3" xfId="9566"/>
    <cellStyle name="Обычный 10 8 2 2 2 2 5" xfId="9567"/>
    <cellStyle name="Обычный 10 8 2 2 2 2 5 2" xfId="9568"/>
    <cellStyle name="Обычный 10 8 2 2 2 2 5 3" xfId="9569"/>
    <cellStyle name="Обычный 10 8 2 2 2 2 6" xfId="9570"/>
    <cellStyle name="Обычный 10 8 2 2 2 2 6 2" xfId="9571"/>
    <cellStyle name="Обычный 10 8 2 2 2 2 7" xfId="9572"/>
    <cellStyle name="Обычный 10 8 2 2 2 2 8" xfId="9573"/>
    <cellStyle name="Обычный 10 8 2 2 2 3" xfId="9574"/>
    <cellStyle name="Обычный 10 8 2 2 2 3 2" xfId="9575"/>
    <cellStyle name="Обычный 10 8 2 2 2 3 2 2" xfId="9576"/>
    <cellStyle name="Обычный 10 8 2 2 2 3 2 2 2" xfId="9577"/>
    <cellStyle name="Обычный 10 8 2 2 2 3 2 2 3" xfId="9578"/>
    <cellStyle name="Обычный 10 8 2 2 2 3 2 3" xfId="9579"/>
    <cellStyle name="Обычный 10 8 2 2 2 3 2 3 2" xfId="9580"/>
    <cellStyle name="Обычный 10 8 2 2 2 3 2 3 3" xfId="9581"/>
    <cellStyle name="Обычный 10 8 2 2 2 3 2 4" xfId="9582"/>
    <cellStyle name="Обычный 10 8 2 2 2 3 2 4 2" xfId="9583"/>
    <cellStyle name="Обычный 10 8 2 2 2 3 2 5" xfId="9584"/>
    <cellStyle name="Обычный 10 8 2 2 2 3 2 6" xfId="9585"/>
    <cellStyle name="Обычный 10 8 2 2 2 3 3" xfId="9586"/>
    <cellStyle name="Обычный 10 8 2 2 2 3 3 2" xfId="9587"/>
    <cellStyle name="Обычный 10 8 2 2 2 3 3 3" xfId="9588"/>
    <cellStyle name="Обычный 10 8 2 2 2 3 4" xfId="9589"/>
    <cellStyle name="Обычный 10 8 2 2 2 3 4 2" xfId="9590"/>
    <cellStyle name="Обычный 10 8 2 2 2 3 4 3" xfId="9591"/>
    <cellStyle name="Обычный 10 8 2 2 2 3 5" xfId="9592"/>
    <cellStyle name="Обычный 10 8 2 2 2 3 5 2" xfId="9593"/>
    <cellStyle name="Обычный 10 8 2 2 2 3 6" xfId="9594"/>
    <cellStyle name="Обычный 10 8 2 2 2 3 7" xfId="9595"/>
    <cellStyle name="Обычный 10 8 2 2 2 4" xfId="9596"/>
    <cellStyle name="Обычный 10 8 2 2 2 4 2" xfId="9597"/>
    <cellStyle name="Обычный 10 8 2 2 2 4 2 2" xfId="9598"/>
    <cellStyle name="Обычный 10 8 2 2 2 4 2 3" xfId="9599"/>
    <cellStyle name="Обычный 10 8 2 2 2 4 3" xfId="9600"/>
    <cellStyle name="Обычный 10 8 2 2 2 4 3 2" xfId="9601"/>
    <cellStyle name="Обычный 10 8 2 2 2 4 3 3" xfId="9602"/>
    <cellStyle name="Обычный 10 8 2 2 2 4 4" xfId="9603"/>
    <cellStyle name="Обычный 10 8 2 2 2 4 4 2" xfId="9604"/>
    <cellStyle name="Обычный 10 8 2 2 2 4 5" xfId="9605"/>
    <cellStyle name="Обычный 10 8 2 2 2 4 6" xfId="9606"/>
    <cellStyle name="Обычный 10 8 2 2 2 5" xfId="9607"/>
    <cellStyle name="Обычный 10 8 2 2 2 5 2" xfId="9608"/>
    <cellStyle name="Обычный 10 8 2 2 2 5 3" xfId="9609"/>
    <cellStyle name="Обычный 10 8 2 2 2 6" xfId="9610"/>
    <cellStyle name="Обычный 10 8 2 2 2 6 2" xfId="9611"/>
    <cellStyle name="Обычный 10 8 2 2 2 6 3" xfId="9612"/>
    <cellStyle name="Обычный 10 8 2 2 2 7" xfId="9613"/>
    <cellStyle name="Обычный 10 8 2 2 2 7 2" xfId="9614"/>
    <cellStyle name="Обычный 10 8 2 2 2 8" xfId="9615"/>
    <cellStyle name="Обычный 10 8 2 2 2 9" xfId="9616"/>
    <cellStyle name="Обычный 10 8 2 2 3" xfId="9617"/>
    <cellStyle name="Обычный 10 8 2 2 3 2" xfId="9618"/>
    <cellStyle name="Обычный 10 8 2 2 3 2 2" xfId="9619"/>
    <cellStyle name="Обычный 10 8 2 2 3 2 2 2" xfId="9620"/>
    <cellStyle name="Обычный 10 8 2 2 3 2 2 2 2" xfId="9621"/>
    <cellStyle name="Обычный 10 8 2 2 3 2 2 2 3" xfId="9622"/>
    <cellStyle name="Обычный 10 8 2 2 3 2 2 3" xfId="9623"/>
    <cellStyle name="Обычный 10 8 2 2 3 2 2 3 2" xfId="9624"/>
    <cellStyle name="Обычный 10 8 2 2 3 2 2 3 3" xfId="9625"/>
    <cellStyle name="Обычный 10 8 2 2 3 2 2 4" xfId="9626"/>
    <cellStyle name="Обычный 10 8 2 2 3 2 2 4 2" xfId="9627"/>
    <cellStyle name="Обычный 10 8 2 2 3 2 2 5" xfId="9628"/>
    <cellStyle name="Обычный 10 8 2 2 3 2 2 6" xfId="9629"/>
    <cellStyle name="Обычный 10 8 2 2 3 2 3" xfId="9630"/>
    <cellStyle name="Обычный 10 8 2 2 3 2 3 2" xfId="9631"/>
    <cellStyle name="Обычный 10 8 2 2 3 2 3 3" xfId="9632"/>
    <cellStyle name="Обычный 10 8 2 2 3 2 4" xfId="9633"/>
    <cellStyle name="Обычный 10 8 2 2 3 2 4 2" xfId="9634"/>
    <cellStyle name="Обычный 10 8 2 2 3 2 4 3" xfId="9635"/>
    <cellStyle name="Обычный 10 8 2 2 3 2 5" xfId="9636"/>
    <cellStyle name="Обычный 10 8 2 2 3 2 5 2" xfId="9637"/>
    <cellStyle name="Обычный 10 8 2 2 3 2 6" xfId="9638"/>
    <cellStyle name="Обычный 10 8 2 2 3 2 7" xfId="9639"/>
    <cellStyle name="Обычный 10 8 2 2 3 3" xfId="9640"/>
    <cellStyle name="Обычный 10 8 2 2 3 3 2" xfId="9641"/>
    <cellStyle name="Обычный 10 8 2 2 3 3 2 2" xfId="9642"/>
    <cellStyle name="Обычный 10 8 2 2 3 3 2 3" xfId="9643"/>
    <cellStyle name="Обычный 10 8 2 2 3 3 3" xfId="9644"/>
    <cellStyle name="Обычный 10 8 2 2 3 3 3 2" xfId="9645"/>
    <cellStyle name="Обычный 10 8 2 2 3 3 3 3" xfId="9646"/>
    <cellStyle name="Обычный 10 8 2 2 3 3 4" xfId="9647"/>
    <cellStyle name="Обычный 10 8 2 2 3 3 4 2" xfId="9648"/>
    <cellStyle name="Обычный 10 8 2 2 3 3 5" xfId="9649"/>
    <cellStyle name="Обычный 10 8 2 2 3 3 6" xfId="9650"/>
    <cellStyle name="Обычный 10 8 2 2 3 4" xfId="9651"/>
    <cellStyle name="Обычный 10 8 2 2 3 4 2" xfId="9652"/>
    <cellStyle name="Обычный 10 8 2 2 3 4 3" xfId="9653"/>
    <cellStyle name="Обычный 10 8 2 2 3 5" xfId="9654"/>
    <cellStyle name="Обычный 10 8 2 2 3 5 2" xfId="9655"/>
    <cellStyle name="Обычный 10 8 2 2 3 5 3" xfId="9656"/>
    <cellStyle name="Обычный 10 8 2 2 3 6" xfId="9657"/>
    <cellStyle name="Обычный 10 8 2 2 3 6 2" xfId="9658"/>
    <cellStyle name="Обычный 10 8 2 2 3 7" xfId="9659"/>
    <cellStyle name="Обычный 10 8 2 2 3 8" xfId="9660"/>
    <cellStyle name="Обычный 10 8 2 2 4" xfId="9661"/>
    <cellStyle name="Обычный 10 8 2 2 4 2" xfId="9662"/>
    <cellStyle name="Обычный 10 8 2 2 4 2 2" xfId="9663"/>
    <cellStyle name="Обычный 10 8 2 2 4 2 2 2" xfId="9664"/>
    <cellStyle name="Обычный 10 8 2 2 4 2 2 3" xfId="9665"/>
    <cellStyle name="Обычный 10 8 2 2 4 2 3" xfId="9666"/>
    <cellStyle name="Обычный 10 8 2 2 4 2 3 2" xfId="9667"/>
    <cellStyle name="Обычный 10 8 2 2 4 2 3 3" xfId="9668"/>
    <cellStyle name="Обычный 10 8 2 2 4 2 4" xfId="9669"/>
    <cellStyle name="Обычный 10 8 2 2 4 2 4 2" xfId="9670"/>
    <cellStyle name="Обычный 10 8 2 2 4 2 5" xfId="9671"/>
    <cellStyle name="Обычный 10 8 2 2 4 2 6" xfId="9672"/>
    <cellStyle name="Обычный 10 8 2 2 4 3" xfId="9673"/>
    <cellStyle name="Обычный 10 8 2 2 4 3 2" xfId="9674"/>
    <cellStyle name="Обычный 10 8 2 2 4 3 3" xfId="9675"/>
    <cellStyle name="Обычный 10 8 2 2 4 4" xfId="9676"/>
    <cellStyle name="Обычный 10 8 2 2 4 4 2" xfId="9677"/>
    <cellStyle name="Обычный 10 8 2 2 4 4 3" xfId="9678"/>
    <cellStyle name="Обычный 10 8 2 2 4 5" xfId="9679"/>
    <cellStyle name="Обычный 10 8 2 2 4 5 2" xfId="9680"/>
    <cellStyle name="Обычный 10 8 2 2 4 6" xfId="9681"/>
    <cellStyle name="Обычный 10 8 2 2 4 7" xfId="9682"/>
    <cellStyle name="Обычный 10 8 2 2 5" xfId="9683"/>
    <cellStyle name="Обычный 10 8 2 2 5 2" xfId="9684"/>
    <cellStyle name="Обычный 10 8 2 2 5 2 2" xfId="9685"/>
    <cellStyle name="Обычный 10 8 2 2 5 2 3" xfId="9686"/>
    <cellStyle name="Обычный 10 8 2 2 5 3" xfId="9687"/>
    <cellStyle name="Обычный 10 8 2 2 5 3 2" xfId="9688"/>
    <cellStyle name="Обычный 10 8 2 2 5 3 3" xfId="9689"/>
    <cellStyle name="Обычный 10 8 2 2 5 4" xfId="9690"/>
    <cellStyle name="Обычный 10 8 2 2 5 4 2" xfId="9691"/>
    <cellStyle name="Обычный 10 8 2 2 5 5" xfId="9692"/>
    <cellStyle name="Обычный 10 8 2 2 5 6" xfId="9693"/>
    <cellStyle name="Обычный 10 8 2 2 6" xfId="9694"/>
    <cellStyle name="Обычный 10 8 2 2 6 2" xfId="9695"/>
    <cellStyle name="Обычный 10 8 2 2 6 3" xfId="9696"/>
    <cellStyle name="Обычный 10 8 2 2 7" xfId="9697"/>
    <cellStyle name="Обычный 10 8 2 2 7 2" xfId="9698"/>
    <cellStyle name="Обычный 10 8 2 2 7 3" xfId="9699"/>
    <cellStyle name="Обычный 10 8 2 2 8" xfId="9700"/>
    <cellStyle name="Обычный 10 8 2 2 8 2" xfId="9701"/>
    <cellStyle name="Обычный 10 8 2 2 9" xfId="9702"/>
    <cellStyle name="Обычный 10 8 2 3" xfId="9703"/>
    <cellStyle name="Обычный 10 8 2 3 10" xfId="9704"/>
    <cellStyle name="Обычный 10 8 2 3 2" xfId="9705"/>
    <cellStyle name="Обычный 10 8 2 3 2 2" xfId="9706"/>
    <cellStyle name="Обычный 10 8 2 3 2 2 2" xfId="9707"/>
    <cellStyle name="Обычный 10 8 2 3 2 2 2 2" xfId="9708"/>
    <cellStyle name="Обычный 10 8 2 3 2 2 2 2 2" xfId="9709"/>
    <cellStyle name="Обычный 10 8 2 3 2 2 2 2 2 2" xfId="9710"/>
    <cellStyle name="Обычный 10 8 2 3 2 2 2 2 2 3" xfId="9711"/>
    <cellStyle name="Обычный 10 8 2 3 2 2 2 2 3" xfId="9712"/>
    <cellStyle name="Обычный 10 8 2 3 2 2 2 2 3 2" xfId="9713"/>
    <cellStyle name="Обычный 10 8 2 3 2 2 2 2 3 3" xfId="9714"/>
    <cellStyle name="Обычный 10 8 2 3 2 2 2 2 4" xfId="9715"/>
    <cellStyle name="Обычный 10 8 2 3 2 2 2 2 4 2" xfId="9716"/>
    <cellStyle name="Обычный 10 8 2 3 2 2 2 2 5" xfId="9717"/>
    <cellStyle name="Обычный 10 8 2 3 2 2 2 2 6" xfId="9718"/>
    <cellStyle name="Обычный 10 8 2 3 2 2 2 3" xfId="9719"/>
    <cellStyle name="Обычный 10 8 2 3 2 2 2 3 2" xfId="9720"/>
    <cellStyle name="Обычный 10 8 2 3 2 2 2 3 3" xfId="9721"/>
    <cellStyle name="Обычный 10 8 2 3 2 2 2 4" xfId="9722"/>
    <cellStyle name="Обычный 10 8 2 3 2 2 2 4 2" xfId="9723"/>
    <cellStyle name="Обычный 10 8 2 3 2 2 2 4 3" xfId="9724"/>
    <cellStyle name="Обычный 10 8 2 3 2 2 2 5" xfId="9725"/>
    <cellStyle name="Обычный 10 8 2 3 2 2 2 5 2" xfId="9726"/>
    <cellStyle name="Обычный 10 8 2 3 2 2 2 6" xfId="9727"/>
    <cellStyle name="Обычный 10 8 2 3 2 2 2 7" xfId="9728"/>
    <cellStyle name="Обычный 10 8 2 3 2 2 3" xfId="9729"/>
    <cellStyle name="Обычный 10 8 2 3 2 2 3 2" xfId="9730"/>
    <cellStyle name="Обычный 10 8 2 3 2 2 3 2 2" xfId="9731"/>
    <cellStyle name="Обычный 10 8 2 3 2 2 3 2 3" xfId="9732"/>
    <cellStyle name="Обычный 10 8 2 3 2 2 3 3" xfId="9733"/>
    <cellStyle name="Обычный 10 8 2 3 2 2 3 3 2" xfId="9734"/>
    <cellStyle name="Обычный 10 8 2 3 2 2 3 3 3" xfId="9735"/>
    <cellStyle name="Обычный 10 8 2 3 2 2 3 4" xfId="9736"/>
    <cellStyle name="Обычный 10 8 2 3 2 2 3 4 2" xfId="9737"/>
    <cellStyle name="Обычный 10 8 2 3 2 2 3 5" xfId="9738"/>
    <cellStyle name="Обычный 10 8 2 3 2 2 3 6" xfId="9739"/>
    <cellStyle name="Обычный 10 8 2 3 2 2 4" xfId="9740"/>
    <cellStyle name="Обычный 10 8 2 3 2 2 4 2" xfId="9741"/>
    <cellStyle name="Обычный 10 8 2 3 2 2 4 3" xfId="9742"/>
    <cellStyle name="Обычный 10 8 2 3 2 2 5" xfId="9743"/>
    <cellStyle name="Обычный 10 8 2 3 2 2 5 2" xfId="9744"/>
    <cellStyle name="Обычный 10 8 2 3 2 2 5 3" xfId="9745"/>
    <cellStyle name="Обычный 10 8 2 3 2 2 6" xfId="9746"/>
    <cellStyle name="Обычный 10 8 2 3 2 2 6 2" xfId="9747"/>
    <cellStyle name="Обычный 10 8 2 3 2 2 7" xfId="9748"/>
    <cellStyle name="Обычный 10 8 2 3 2 2 8" xfId="9749"/>
    <cellStyle name="Обычный 10 8 2 3 2 3" xfId="9750"/>
    <cellStyle name="Обычный 10 8 2 3 2 3 2" xfId="9751"/>
    <cellStyle name="Обычный 10 8 2 3 2 3 2 2" xfId="9752"/>
    <cellStyle name="Обычный 10 8 2 3 2 3 2 2 2" xfId="9753"/>
    <cellStyle name="Обычный 10 8 2 3 2 3 2 2 3" xfId="9754"/>
    <cellStyle name="Обычный 10 8 2 3 2 3 2 3" xfId="9755"/>
    <cellStyle name="Обычный 10 8 2 3 2 3 2 3 2" xfId="9756"/>
    <cellStyle name="Обычный 10 8 2 3 2 3 2 3 3" xfId="9757"/>
    <cellStyle name="Обычный 10 8 2 3 2 3 2 4" xfId="9758"/>
    <cellStyle name="Обычный 10 8 2 3 2 3 2 4 2" xfId="9759"/>
    <cellStyle name="Обычный 10 8 2 3 2 3 2 5" xfId="9760"/>
    <cellStyle name="Обычный 10 8 2 3 2 3 2 6" xfId="9761"/>
    <cellStyle name="Обычный 10 8 2 3 2 3 3" xfId="9762"/>
    <cellStyle name="Обычный 10 8 2 3 2 3 3 2" xfId="9763"/>
    <cellStyle name="Обычный 10 8 2 3 2 3 3 3" xfId="9764"/>
    <cellStyle name="Обычный 10 8 2 3 2 3 4" xfId="9765"/>
    <cellStyle name="Обычный 10 8 2 3 2 3 4 2" xfId="9766"/>
    <cellStyle name="Обычный 10 8 2 3 2 3 4 3" xfId="9767"/>
    <cellStyle name="Обычный 10 8 2 3 2 3 5" xfId="9768"/>
    <cellStyle name="Обычный 10 8 2 3 2 3 5 2" xfId="9769"/>
    <cellStyle name="Обычный 10 8 2 3 2 3 6" xfId="9770"/>
    <cellStyle name="Обычный 10 8 2 3 2 3 7" xfId="9771"/>
    <cellStyle name="Обычный 10 8 2 3 2 4" xfId="9772"/>
    <cellStyle name="Обычный 10 8 2 3 2 4 2" xfId="9773"/>
    <cellStyle name="Обычный 10 8 2 3 2 4 2 2" xfId="9774"/>
    <cellStyle name="Обычный 10 8 2 3 2 4 2 3" xfId="9775"/>
    <cellStyle name="Обычный 10 8 2 3 2 4 3" xfId="9776"/>
    <cellStyle name="Обычный 10 8 2 3 2 4 3 2" xfId="9777"/>
    <cellStyle name="Обычный 10 8 2 3 2 4 3 3" xfId="9778"/>
    <cellStyle name="Обычный 10 8 2 3 2 4 4" xfId="9779"/>
    <cellStyle name="Обычный 10 8 2 3 2 4 4 2" xfId="9780"/>
    <cellStyle name="Обычный 10 8 2 3 2 4 5" xfId="9781"/>
    <cellStyle name="Обычный 10 8 2 3 2 4 6" xfId="9782"/>
    <cellStyle name="Обычный 10 8 2 3 2 5" xfId="9783"/>
    <cellStyle name="Обычный 10 8 2 3 2 5 2" xfId="9784"/>
    <cellStyle name="Обычный 10 8 2 3 2 5 3" xfId="9785"/>
    <cellStyle name="Обычный 10 8 2 3 2 6" xfId="9786"/>
    <cellStyle name="Обычный 10 8 2 3 2 6 2" xfId="9787"/>
    <cellStyle name="Обычный 10 8 2 3 2 6 3" xfId="9788"/>
    <cellStyle name="Обычный 10 8 2 3 2 7" xfId="9789"/>
    <cellStyle name="Обычный 10 8 2 3 2 7 2" xfId="9790"/>
    <cellStyle name="Обычный 10 8 2 3 2 8" xfId="9791"/>
    <cellStyle name="Обычный 10 8 2 3 2 9" xfId="9792"/>
    <cellStyle name="Обычный 10 8 2 3 3" xfId="9793"/>
    <cellStyle name="Обычный 10 8 2 3 3 2" xfId="9794"/>
    <cellStyle name="Обычный 10 8 2 3 3 2 2" xfId="9795"/>
    <cellStyle name="Обычный 10 8 2 3 3 2 2 2" xfId="9796"/>
    <cellStyle name="Обычный 10 8 2 3 3 2 2 2 2" xfId="9797"/>
    <cellStyle name="Обычный 10 8 2 3 3 2 2 2 3" xfId="9798"/>
    <cellStyle name="Обычный 10 8 2 3 3 2 2 3" xfId="9799"/>
    <cellStyle name="Обычный 10 8 2 3 3 2 2 3 2" xfId="9800"/>
    <cellStyle name="Обычный 10 8 2 3 3 2 2 3 3" xfId="9801"/>
    <cellStyle name="Обычный 10 8 2 3 3 2 2 4" xfId="9802"/>
    <cellStyle name="Обычный 10 8 2 3 3 2 2 4 2" xfId="9803"/>
    <cellStyle name="Обычный 10 8 2 3 3 2 2 5" xfId="9804"/>
    <cellStyle name="Обычный 10 8 2 3 3 2 2 6" xfId="9805"/>
    <cellStyle name="Обычный 10 8 2 3 3 2 3" xfId="9806"/>
    <cellStyle name="Обычный 10 8 2 3 3 2 3 2" xfId="9807"/>
    <cellStyle name="Обычный 10 8 2 3 3 2 3 3" xfId="9808"/>
    <cellStyle name="Обычный 10 8 2 3 3 2 4" xfId="9809"/>
    <cellStyle name="Обычный 10 8 2 3 3 2 4 2" xfId="9810"/>
    <cellStyle name="Обычный 10 8 2 3 3 2 4 3" xfId="9811"/>
    <cellStyle name="Обычный 10 8 2 3 3 2 5" xfId="9812"/>
    <cellStyle name="Обычный 10 8 2 3 3 2 5 2" xfId="9813"/>
    <cellStyle name="Обычный 10 8 2 3 3 2 6" xfId="9814"/>
    <cellStyle name="Обычный 10 8 2 3 3 2 7" xfId="9815"/>
    <cellStyle name="Обычный 10 8 2 3 3 3" xfId="9816"/>
    <cellStyle name="Обычный 10 8 2 3 3 3 2" xfId="9817"/>
    <cellStyle name="Обычный 10 8 2 3 3 3 2 2" xfId="9818"/>
    <cellStyle name="Обычный 10 8 2 3 3 3 2 3" xfId="9819"/>
    <cellStyle name="Обычный 10 8 2 3 3 3 3" xfId="9820"/>
    <cellStyle name="Обычный 10 8 2 3 3 3 3 2" xfId="9821"/>
    <cellStyle name="Обычный 10 8 2 3 3 3 3 3" xfId="9822"/>
    <cellStyle name="Обычный 10 8 2 3 3 3 4" xfId="9823"/>
    <cellStyle name="Обычный 10 8 2 3 3 3 4 2" xfId="9824"/>
    <cellStyle name="Обычный 10 8 2 3 3 3 5" xfId="9825"/>
    <cellStyle name="Обычный 10 8 2 3 3 3 6" xfId="9826"/>
    <cellStyle name="Обычный 10 8 2 3 3 4" xfId="9827"/>
    <cellStyle name="Обычный 10 8 2 3 3 4 2" xfId="9828"/>
    <cellStyle name="Обычный 10 8 2 3 3 4 3" xfId="9829"/>
    <cellStyle name="Обычный 10 8 2 3 3 5" xfId="9830"/>
    <cellStyle name="Обычный 10 8 2 3 3 5 2" xfId="9831"/>
    <cellStyle name="Обычный 10 8 2 3 3 5 3" xfId="9832"/>
    <cellStyle name="Обычный 10 8 2 3 3 6" xfId="9833"/>
    <cellStyle name="Обычный 10 8 2 3 3 6 2" xfId="9834"/>
    <cellStyle name="Обычный 10 8 2 3 3 7" xfId="9835"/>
    <cellStyle name="Обычный 10 8 2 3 3 8" xfId="9836"/>
    <cellStyle name="Обычный 10 8 2 3 4" xfId="9837"/>
    <cellStyle name="Обычный 10 8 2 3 4 2" xfId="9838"/>
    <cellStyle name="Обычный 10 8 2 3 4 2 2" xfId="9839"/>
    <cellStyle name="Обычный 10 8 2 3 4 2 2 2" xfId="9840"/>
    <cellStyle name="Обычный 10 8 2 3 4 2 2 3" xfId="9841"/>
    <cellStyle name="Обычный 10 8 2 3 4 2 3" xfId="9842"/>
    <cellStyle name="Обычный 10 8 2 3 4 2 3 2" xfId="9843"/>
    <cellStyle name="Обычный 10 8 2 3 4 2 3 3" xfId="9844"/>
    <cellStyle name="Обычный 10 8 2 3 4 2 4" xfId="9845"/>
    <cellStyle name="Обычный 10 8 2 3 4 2 4 2" xfId="9846"/>
    <cellStyle name="Обычный 10 8 2 3 4 2 5" xfId="9847"/>
    <cellStyle name="Обычный 10 8 2 3 4 2 6" xfId="9848"/>
    <cellStyle name="Обычный 10 8 2 3 4 3" xfId="9849"/>
    <cellStyle name="Обычный 10 8 2 3 4 3 2" xfId="9850"/>
    <cellStyle name="Обычный 10 8 2 3 4 3 3" xfId="9851"/>
    <cellStyle name="Обычный 10 8 2 3 4 4" xfId="9852"/>
    <cellStyle name="Обычный 10 8 2 3 4 4 2" xfId="9853"/>
    <cellStyle name="Обычный 10 8 2 3 4 4 3" xfId="9854"/>
    <cellStyle name="Обычный 10 8 2 3 4 5" xfId="9855"/>
    <cellStyle name="Обычный 10 8 2 3 4 5 2" xfId="9856"/>
    <cellStyle name="Обычный 10 8 2 3 4 6" xfId="9857"/>
    <cellStyle name="Обычный 10 8 2 3 4 7" xfId="9858"/>
    <cellStyle name="Обычный 10 8 2 3 5" xfId="9859"/>
    <cellStyle name="Обычный 10 8 2 3 5 2" xfId="9860"/>
    <cellStyle name="Обычный 10 8 2 3 5 2 2" xfId="9861"/>
    <cellStyle name="Обычный 10 8 2 3 5 2 3" xfId="9862"/>
    <cellStyle name="Обычный 10 8 2 3 5 3" xfId="9863"/>
    <cellStyle name="Обычный 10 8 2 3 5 3 2" xfId="9864"/>
    <cellStyle name="Обычный 10 8 2 3 5 3 3" xfId="9865"/>
    <cellStyle name="Обычный 10 8 2 3 5 4" xfId="9866"/>
    <cellStyle name="Обычный 10 8 2 3 5 4 2" xfId="9867"/>
    <cellStyle name="Обычный 10 8 2 3 5 5" xfId="9868"/>
    <cellStyle name="Обычный 10 8 2 3 5 6" xfId="9869"/>
    <cellStyle name="Обычный 10 8 2 3 6" xfId="9870"/>
    <cellStyle name="Обычный 10 8 2 3 6 2" xfId="9871"/>
    <cellStyle name="Обычный 10 8 2 3 6 3" xfId="9872"/>
    <cellStyle name="Обычный 10 8 2 3 7" xfId="9873"/>
    <cellStyle name="Обычный 10 8 2 3 7 2" xfId="9874"/>
    <cellStyle name="Обычный 10 8 2 3 7 3" xfId="9875"/>
    <cellStyle name="Обычный 10 8 2 3 8" xfId="9876"/>
    <cellStyle name="Обычный 10 8 2 3 8 2" xfId="9877"/>
    <cellStyle name="Обычный 10 8 2 3 9" xfId="9878"/>
    <cellStyle name="Обычный 10 8 2 4" xfId="9879"/>
    <cellStyle name="Обычный 10 8 2 4 10" xfId="9880"/>
    <cellStyle name="Обычный 10 8 2 4 2" xfId="9881"/>
    <cellStyle name="Обычный 10 8 2 4 2 2" xfId="9882"/>
    <cellStyle name="Обычный 10 8 2 4 2 2 2" xfId="9883"/>
    <cellStyle name="Обычный 10 8 2 4 2 2 2 2" xfId="9884"/>
    <cellStyle name="Обычный 10 8 2 4 2 2 2 2 2" xfId="9885"/>
    <cellStyle name="Обычный 10 8 2 4 2 2 2 2 2 2" xfId="9886"/>
    <cellStyle name="Обычный 10 8 2 4 2 2 2 2 2 3" xfId="9887"/>
    <cellStyle name="Обычный 10 8 2 4 2 2 2 2 3" xfId="9888"/>
    <cellStyle name="Обычный 10 8 2 4 2 2 2 2 3 2" xfId="9889"/>
    <cellStyle name="Обычный 10 8 2 4 2 2 2 2 3 3" xfId="9890"/>
    <cellStyle name="Обычный 10 8 2 4 2 2 2 2 4" xfId="9891"/>
    <cellStyle name="Обычный 10 8 2 4 2 2 2 2 4 2" xfId="9892"/>
    <cellStyle name="Обычный 10 8 2 4 2 2 2 2 5" xfId="9893"/>
    <cellStyle name="Обычный 10 8 2 4 2 2 2 2 6" xfId="9894"/>
    <cellStyle name="Обычный 10 8 2 4 2 2 2 3" xfId="9895"/>
    <cellStyle name="Обычный 10 8 2 4 2 2 2 3 2" xfId="9896"/>
    <cellStyle name="Обычный 10 8 2 4 2 2 2 3 3" xfId="9897"/>
    <cellStyle name="Обычный 10 8 2 4 2 2 2 4" xfId="9898"/>
    <cellStyle name="Обычный 10 8 2 4 2 2 2 4 2" xfId="9899"/>
    <cellStyle name="Обычный 10 8 2 4 2 2 2 4 3" xfId="9900"/>
    <cellStyle name="Обычный 10 8 2 4 2 2 2 5" xfId="9901"/>
    <cellStyle name="Обычный 10 8 2 4 2 2 2 5 2" xfId="9902"/>
    <cellStyle name="Обычный 10 8 2 4 2 2 2 6" xfId="9903"/>
    <cellStyle name="Обычный 10 8 2 4 2 2 2 7" xfId="9904"/>
    <cellStyle name="Обычный 10 8 2 4 2 2 3" xfId="9905"/>
    <cellStyle name="Обычный 10 8 2 4 2 2 3 2" xfId="9906"/>
    <cellStyle name="Обычный 10 8 2 4 2 2 3 2 2" xfId="9907"/>
    <cellStyle name="Обычный 10 8 2 4 2 2 3 2 3" xfId="9908"/>
    <cellStyle name="Обычный 10 8 2 4 2 2 3 3" xfId="9909"/>
    <cellStyle name="Обычный 10 8 2 4 2 2 3 3 2" xfId="9910"/>
    <cellStyle name="Обычный 10 8 2 4 2 2 3 3 3" xfId="9911"/>
    <cellStyle name="Обычный 10 8 2 4 2 2 3 4" xfId="9912"/>
    <cellStyle name="Обычный 10 8 2 4 2 2 3 4 2" xfId="9913"/>
    <cellStyle name="Обычный 10 8 2 4 2 2 3 5" xfId="9914"/>
    <cellStyle name="Обычный 10 8 2 4 2 2 3 6" xfId="9915"/>
    <cellStyle name="Обычный 10 8 2 4 2 2 4" xfId="9916"/>
    <cellStyle name="Обычный 10 8 2 4 2 2 4 2" xfId="9917"/>
    <cellStyle name="Обычный 10 8 2 4 2 2 4 3" xfId="9918"/>
    <cellStyle name="Обычный 10 8 2 4 2 2 5" xfId="9919"/>
    <cellStyle name="Обычный 10 8 2 4 2 2 5 2" xfId="9920"/>
    <cellStyle name="Обычный 10 8 2 4 2 2 5 3" xfId="9921"/>
    <cellStyle name="Обычный 10 8 2 4 2 2 6" xfId="9922"/>
    <cellStyle name="Обычный 10 8 2 4 2 2 6 2" xfId="9923"/>
    <cellStyle name="Обычный 10 8 2 4 2 2 7" xfId="9924"/>
    <cellStyle name="Обычный 10 8 2 4 2 2 8" xfId="9925"/>
    <cellStyle name="Обычный 10 8 2 4 2 3" xfId="9926"/>
    <cellStyle name="Обычный 10 8 2 4 2 3 2" xfId="9927"/>
    <cellStyle name="Обычный 10 8 2 4 2 3 2 2" xfId="9928"/>
    <cellStyle name="Обычный 10 8 2 4 2 3 2 2 2" xfId="9929"/>
    <cellStyle name="Обычный 10 8 2 4 2 3 2 2 3" xfId="9930"/>
    <cellStyle name="Обычный 10 8 2 4 2 3 2 3" xfId="9931"/>
    <cellStyle name="Обычный 10 8 2 4 2 3 2 3 2" xfId="9932"/>
    <cellStyle name="Обычный 10 8 2 4 2 3 2 3 3" xfId="9933"/>
    <cellStyle name="Обычный 10 8 2 4 2 3 2 4" xfId="9934"/>
    <cellStyle name="Обычный 10 8 2 4 2 3 2 4 2" xfId="9935"/>
    <cellStyle name="Обычный 10 8 2 4 2 3 2 5" xfId="9936"/>
    <cellStyle name="Обычный 10 8 2 4 2 3 2 6" xfId="9937"/>
    <cellStyle name="Обычный 10 8 2 4 2 3 3" xfId="9938"/>
    <cellStyle name="Обычный 10 8 2 4 2 3 3 2" xfId="9939"/>
    <cellStyle name="Обычный 10 8 2 4 2 3 3 3" xfId="9940"/>
    <cellStyle name="Обычный 10 8 2 4 2 3 4" xfId="9941"/>
    <cellStyle name="Обычный 10 8 2 4 2 3 4 2" xfId="9942"/>
    <cellStyle name="Обычный 10 8 2 4 2 3 4 3" xfId="9943"/>
    <cellStyle name="Обычный 10 8 2 4 2 3 5" xfId="9944"/>
    <cellStyle name="Обычный 10 8 2 4 2 3 5 2" xfId="9945"/>
    <cellStyle name="Обычный 10 8 2 4 2 3 6" xfId="9946"/>
    <cellStyle name="Обычный 10 8 2 4 2 3 7" xfId="9947"/>
    <cellStyle name="Обычный 10 8 2 4 2 4" xfId="9948"/>
    <cellStyle name="Обычный 10 8 2 4 2 4 2" xfId="9949"/>
    <cellStyle name="Обычный 10 8 2 4 2 4 2 2" xfId="9950"/>
    <cellStyle name="Обычный 10 8 2 4 2 4 2 3" xfId="9951"/>
    <cellStyle name="Обычный 10 8 2 4 2 4 3" xfId="9952"/>
    <cellStyle name="Обычный 10 8 2 4 2 4 3 2" xfId="9953"/>
    <cellStyle name="Обычный 10 8 2 4 2 4 3 3" xfId="9954"/>
    <cellStyle name="Обычный 10 8 2 4 2 4 4" xfId="9955"/>
    <cellStyle name="Обычный 10 8 2 4 2 4 4 2" xfId="9956"/>
    <cellStyle name="Обычный 10 8 2 4 2 4 5" xfId="9957"/>
    <cellStyle name="Обычный 10 8 2 4 2 4 6" xfId="9958"/>
    <cellStyle name="Обычный 10 8 2 4 2 5" xfId="9959"/>
    <cellStyle name="Обычный 10 8 2 4 2 5 2" xfId="9960"/>
    <cellStyle name="Обычный 10 8 2 4 2 5 3" xfId="9961"/>
    <cellStyle name="Обычный 10 8 2 4 2 6" xfId="9962"/>
    <cellStyle name="Обычный 10 8 2 4 2 6 2" xfId="9963"/>
    <cellStyle name="Обычный 10 8 2 4 2 6 3" xfId="9964"/>
    <cellStyle name="Обычный 10 8 2 4 2 7" xfId="9965"/>
    <cellStyle name="Обычный 10 8 2 4 2 7 2" xfId="9966"/>
    <cellStyle name="Обычный 10 8 2 4 2 8" xfId="9967"/>
    <cellStyle name="Обычный 10 8 2 4 2 9" xfId="9968"/>
    <cellStyle name="Обычный 10 8 2 4 3" xfId="9969"/>
    <cellStyle name="Обычный 10 8 2 4 3 2" xfId="9970"/>
    <cellStyle name="Обычный 10 8 2 4 3 2 2" xfId="9971"/>
    <cellStyle name="Обычный 10 8 2 4 3 2 2 2" xfId="9972"/>
    <cellStyle name="Обычный 10 8 2 4 3 2 2 2 2" xfId="9973"/>
    <cellStyle name="Обычный 10 8 2 4 3 2 2 2 3" xfId="9974"/>
    <cellStyle name="Обычный 10 8 2 4 3 2 2 3" xfId="9975"/>
    <cellStyle name="Обычный 10 8 2 4 3 2 2 3 2" xfId="9976"/>
    <cellStyle name="Обычный 10 8 2 4 3 2 2 3 3" xfId="9977"/>
    <cellStyle name="Обычный 10 8 2 4 3 2 2 4" xfId="9978"/>
    <cellStyle name="Обычный 10 8 2 4 3 2 2 4 2" xfId="9979"/>
    <cellStyle name="Обычный 10 8 2 4 3 2 2 5" xfId="9980"/>
    <cellStyle name="Обычный 10 8 2 4 3 2 2 6" xfId="9981"/>
    <cellStyle name="Обычный 10 8 2 4 3 2 3" xfId="9982"/>
    <cellStyle name="Обычный 10 8 2 4 3 2 3 2" xfId="9983"/>
    <cellStyle name="Обычный 10 8 2 4 3 2 3 3" xfId="9984"/>
    <cellStyle name="Обычный 10 8 2 4 3 2 4" xfId="9985"/>
    <cellStyle name="Обычный 10 8 2 4 3 2 4 2" xfId="9986"/>
    <cellStyle name="Обычный 10 8 2 4 3 2 4 3" xfId="9987"/>
    <cellStyle name="Обычный 10 8 2 4 3 2 5" xfId="9988"/>
    <cellStyle name="Обычный 10 8 2 4 3 2 5 2" xfId="9989"/>
    <cellStyle name="Обычный 10 8 2 4 3 2 6" xfId="9990"/>
    <cellStyle name="Обычный 10 8 2 4 3 2 7" xfId="9991"/>
    <cellStyle name="Обычный 10 8 2 4 3 3" xfId="9992"/>
    <cellStyle name="Обычный 10 8 2 4 3 3 2" xfId="9993"/>
    <cellStyle name="Обычный 10 8 2 4 3 3 2 2" xfId="9994"/>
    <cellStyle name="Обычный 10 8 2 4 3 3 2 3" xfId="9995"/>
    <cellStyle name="Обычный 10 8 2 4 3 3 3" xfId="9996"/>
    <cellStyle name="Обычный 10 8 2 4 3 3 3 2" xfId="9997"/>
    <cellStyle name="Обычный 10 8 2 4 3 3 3 3" xfId="9998"/>
    <cellStyle name="Обычный 10 8 2 4 3 3 4" xfId="9999"/>
    <cellStyle name="Обычный 10 8 2 4 3 3 4 2" xfId="10000"/>
    <cellStyle name="Обычный 10 8 2 4 3 3 5" xfId="10001"/>
    <cellStyle name="Обычный 10 8 2 4 3 3 6" xfId="10002"/>
    <cellStyle name="Обычный 10 8 2 4 3 4" xfId="10003"/>
    <cellStyle name="Обычный 10 8 2 4 3 4 2" xfId="10004"/>
    <cellStyle name="Обычный 10 8 2 4 3 4 3" xfId="10005"/>
    <cellStyle name="Обычный 10 8 2 4 3 5" xfId="10006"/>
    <cellStyle name="Обычный 10 8 2 4 3 5 2" xfId="10007"/>
    <cellStyle name="Обычный 10 8 2 4 3 5 3" xfId="10008"/>
    <cellStyle name="Обычный 10 8 2 4 3 6" xfId="10009"/>
    <cellStyle name="Обычный 10 8 2 4 3 6 2" xfId="10010"/>
    <cellStyle name="Обычный 10 8 2 4 3 7" xfId="10011"/>
    <cellStyle name="Обычный 10 8 2 4 3 8" xfId="10012"/>
    <cellStyle name="Обычный 10 8 2 4 4" xfId="10013"/>
    <cellStyle name="Обычный 10 8 2 4 4 2" xfId="10014"/>
    <cellStyle name="Обычный 10 8 2 4 4 2 2" xfId="10015"/>
    <cellStyle name="Обычный 10 8 2 4 4 2 2 2" xfId="10016"/>
    <cellStyle name="Обычный 10 8 2 4 4 2 2 3" xfId="10017"/>
    <cellStyle name="Обычный 10 8 2 4 4 2 3" xfId="10018"/>
    <cellStyle name="Обычный 10 8 2 4 4 2 3 2" xfId="10019"/>
    <cellStyle name="Обычный 10 8 2 4 4 2 3 3" xfId="10020"/>
    <cellStyle name="Обычный 10 8 2 4 4 2 4" xfId="10021"/>
    <cellStyle name="Обычный 10 8 2 4 4 2 4 2" xfId="10022"/>
    <cellStyle name="Обычный 10 8 2 4 4 2 5" xfId="10023"/>
    <cellStyle name="Обычный 10 8 2 4 4 2 6" xfId="10024"/>
    <cellStyle name="Обычный 10 8 2 4 4 3" xfId="10025"/>
    <cellStyle name="Обычный 10 8 2 4 4 3 2" xfId="10026"/>
    <cellStyle name="Обычный 10 8 2 4 4 3 3" xfId="10027"/>
    <cellStyle name="Обычный 10 8 2 4 4 4" xfId="10028"/>
    <cellStyle name="Обычный 10 8 2 4 4 4 2" xfId="10029"/>
    <cellStyle name="Обычный 10 8 2 4 4 4 3" xfId="10030"/>
    <cellStyle name="Обычный 10 8 2 4 4 5" xfId="10031"/>
    <cellStyle name="Обычный 10 8 2 4 4 5 2" xfId="10032"/>
    <cellStyle name="Обычный 10 8 2 4 4 6" xfId="10033"/>
    <cellStyle name="Обычный 10 8 2 4 4 7" xfId="10034"/>
    <cellStyle name="Обычный 10 8 2 4 5" xfId="10035"/>
    <cellStyle name="Обычный 10 8 2 4 5 2" xfId="10036"/>
    <cellStyle name="Обычный 10 8 2 4 5 2 2" xfId="10037"/>
    <cellStyle name="Обычный 10 8 2 4 5 2 3" xfId="10038"/>
    <cellStyle name="Обычный 10 8 2 4 5 3" xfId="10039"/>
    <cellStyle name="Обычный 10 8 2 4 5 3 2" xfId="10040"/>
    <cellStyle name="Обычный 10 8 2 4 5 3 3" xfId="10041"/>
    <cellStyle name="Обычный 10 8 2 4 5 4" xfId="10042"/>
    <cellStyle name="Обычный 10 8 2 4 5 4 2" xfId="10043"/>
    <cellStyle name="Обычный 10 8 2 4 5 5" xfId="10044"/>
    <cellStyle name="Обычный 10 8 2 4 5 6" xfId="10045"/>
    <cellStyle name="Обычный 10 8 2 4 6" xfId="10046"/>
    <cellStyle name="Обычный 10 8 2 4 6 2" xfId="10047"/>
    <cellStyle name="Обычный 10 8 2 4 6 3" xfId="10048"/>
    <cellStyle name="Обычный 10 8 2 4 7" xfId="10049"/>
    <cellStyle name="Обычный 10 8 2 4 7 2" xfId="10050"/>
    <cellStyle name="Обычный 10 8 2 4 7 3" xfId="10051"/>
    <cellStyle name="Обычный 10 8 2 4 8" xfId="10052"/>
    <cellStyle name="Обычный 10 8 2 4 8 2" xfId="10053"/>
    <cellStyle name="Обычный 10 8 2 4 9" xfId="10054"/>
    <cellStyle name="Обычный 10 8 2 5" xfId="10055"/>
    <cellStyle name="Обычный 10 8 2 5 2" xfId="10056"/>
    <cellStyle name="Обычный 10 8 2 5 2 2" xfId="10057"/>
    <cellStyle name="Обычный 10 8 2 5 2 2 2" xfId="10058"/>
    <cellStyle name="Обычный 10 8 2 5 2 2 2 2" xfId="10059"/>
    <cellStyle name="Обычный 10 8 2 5 2 2 2 2 2" xfId="10060"/>
    <cellStyle name="Обычный 10 8 2 5 2 2 2 2 3" xfId="10061"/>
    <cellStyle name="Обычный 10 8 2 5 2 2 2 3" xfId="10062"/>
    <cellStyle name="Обычный 10 8 2 5 2 2 2 3 2" xfId="10063"/>
    <cellStyle name="Обычный 10 8 2 5 2 2 2 3 3" xfId="10064"/>
    <cellStyle name="Обычный 10 8 2 5 2 2 2 4" xfId="10065"/>
    <cellStyle name="Обычный 10 8 2 5 2 2 2 4 2" xfId="10066"/>
    <cellStyle name="Обычный 10 8 2 5 2 2 2 5" xfId="10067"/>
    <cellStyle name="Обычный 10 8 2 5 2 2 2 6" xfId="10068"/>
    <cellStyle name="Обычный 10 8 2 5 2 2 3" xfId="10069"/>
    <cellStyle name="Обычный 10 8 2 5 2 2 3 2" xfId="10070"/>
    <cellStyle name="Обычный 10 8 2 5 2 2 3 3" xfId="10071"/>
    <cellStyle name="Обычный 10 8 2 5 2 2 4" xfId="10072"/>
    <cellStyle name="Обычный 10 8 2 5 2 2 4 2" xfId="10073"/>
    <cellStyle name="Обычный 10 8 2 5 2 2 4 3" xfId="10074"/>
    <cellStyle name="Обычный 10 8 2 5 2 2 5" xfId="10075"/>
    <cellStyle name="Обычный 10 8 2 5 2 2 5 2" xfId="10076"/>
    <cellStyle name="Обычный 10 8 2 5 2 2 6" xfId="10077"/>
    <cellStyle name="Обычный 10 8 2 5 2 2 7" xfId="10078"/>
    <cellStyle name="Обычный 10 8 2 5 2 3" xfId="10079"/>
    <cellStyle name="Обычный 10 8 2 5 2 3 2" xfId="10080"/>
    <cellStyle name="Обычный 10 8 2 5 2 3 2 2" xfId="10081"/>
    <cellStyle name="Обычный 10 8 2 5 2 3 2 3" xfId="10082"/>
    <cellStyle name="Обычный 10 8 2 5 2 3 3" xfId="10083"/>
    <cellStyle name="Обычный 10 8 2 5 2 3 3 2" xfId="10084"/>
    <cellStyle name="Обычный 10 8 2 5 2 3 3 3" xfId="10085"/>
    <cellStyle name="Обычный 10 8 2 5 2 3 4" xfId="10086"/>
    <cellStyle name="Обычный 10 8 2 5 2 3 4 2" xfId="10087"/>
    <cellStyle name="Обычный 10 8 2 5 2 3 5" xfId="10088"/>
    <cellStyle name="Обычный 10 8 2 5 2 3 6" xfId="10089"/>
    <cellStyle name="Обычный 10 8 2 5 2 4" xfId="10090"/>
    <cellStyle name="Обычный 10 8 2 5 2 4 2" xfId="10091"/>
    <cellStyle name="Обычный 10 8 2 5 2 4 3" xfId="10092"/>
    <cellStyle name="Обычный 10 8 2 5 2 5" xfId="10093"/>
    <cellStyle name="Обычный 10 8 2 5 2 5 2" xfId="10094"/>
    <cellStyle name="Обычный 10 8 2 5 2 5 3" xfId="10095"/>
    <cellStyle name="Обычный 10 8 2 5 2 6" xfId="10096"/>
    <cellStyle name="Обычный 10 8 2 5 2 6 2" xfId="10097"/>
    <cellStyle name="Обычный 10 8 2 5 2 7" xfId="10098"/>
    <cellStyle name="Обычный 10 8 2 5 2 8" xfId="10099"/>
    <cellStyle name="Обычный 10 8 2 5 3" xfId="10100"/>
    <cellStyle name="Обычный 10 8 2 5 3 2" xfId="10101"/>
    <cellStyle name="Обычный 10 8 2 5 3 2 2" xfId="10102"/>
    <cellStyle name="Обычный 10 8 2 5 3 2 2 2" xfId="10103"/>
    <cellStyle name="Обычный 10 8 2 5 3 2 2 3" xfId="10104"/>
    <cellStyle name="Обычный 10 8 2 5 3 2 3" xfId="10105"/>
    <cellStyle name="Обычный 10 8 2 5 3 2 3 2" xfId="10106"/>
    <cellStyle name="Обычный 10 8 2 5 3 2 3 3" xfId="10107"/>
    <cellStyle name="Обычный 10 8 2 5 3 2 4" xfId="10108"/>
    <cellStyle name="Обычный 10 8 2 5 3 2 4 2" xfId="10109"/>
    <cellStyle name="Обычный 10 8 2 5 3 2 5" xfId="10110"/>
    <cellStyle name="Обычный 10 8 2 5 3 2 6" xfId="10111"/>
    <cellStyle name="Обычный 10 8 2 5 3 3" xfId="10112"/>
    <cellStyle name="Обычный 10 8 2 5 3 3 2" xfId="10113"/>
    <cellStyle name="Обычный 10 8 2 5 3 3 3" xfId="10114"/>
    <cellStyle name="Обычный 10 8 2 5 3 4" xfId="10115"/>
    <cellStyle name="Обычный 10 8 2 5 3 4 2" xfId="10116"/>
    <cellStyle name="Обычный 10 8 2 5 3 4 3" xfId="10117"/>
    <cellStyle name="Обычный 10 8 2 5 3 5" xfId="10118"/>
    <cellStyle name="Обычный 10 8 2 5 3 5 2" xfId="10119"/>
    <cellStyle name="Обычный 10 8 2 5 3 6" xfId="10120"/>
    <cellStyle name="Обычный 10 8 2 5 3 7" xfId="10121"/>
    <cellStyle name="Обычный 10 8 2 5 4" xfId="10122"/>
    <cellStyle name="Обычный 10 8 2 5 4 2" xfId="10123"/>
    <cellStyle name="Обычный 10 8 2 5 4 2 2" xfId="10124"/>
    <cellStyle name="Обычный 10 8 2 5 4 2 3" xfId="10125"/>
    <cellStyle name="Обычный 10 8 2 5 4 3" xfId="10126"/>
    <cellStyle name="Обычный 10 8 2 5 4 3 2" xfId="10127"/>
    <cellStyle name="Обычный 10 8 2 5 4 3 3" xfId="10128"/>
    <cellStyle name="Обычный 10 8 2 5 4 4" xfId="10129"/>
    <cellStyle name="Обычный 10 8 2 5 4 4 2" xfId="10130"/>
    <cellStyle name="Обычный 10 8 2 5 4 5" xfId="10131"/>
    <cellStyle name="Обычный 10 8 2 5 4 6" xfId="10132"/>
    <cellStyle name="Обычный 10 8 2 5 5" xfId="10133"/>
    <cellStyle name="Обычный 10 8 2 5 5 2" xfId="10134"/>
    <cellStyle name="Обычный 10 8 2 5 5 3" xfId="10135"/>
    <cellStyle name="Обычный 10 8 2 5 6" xfId="10136"/>
    <cellStyle name="Обычный 10 8 2 5 6 2" xfId="10137"/>
    <cellStyle name="Обычный 10 8 2 5 6 3" xfId="10138"/>
    <cellStyle name="Обычный 10 8 2 5 7" xfId="10139"/>
    <cellStyle name="Обычный 10 8 2 5 7 2" xfId="10140"/>
    <cellStyle name="Обычный 10 8 2 5 8" xfId="10141"/>
    <cellStyle name="Обычный 10 8 2 5 9" xfId="10142"/>
    <cellStyle name="Обычный 10 8 2 6" xfId="10143"/>
    <cellStyle name="Обычный 10 8 2 6 2" xfId="10144"/>
    <cellStyle name="Обычный 10 8 2 6 2 2" xfId="10145"/>
    <cellStyle name="Обычный 10 8 2 6 2 2 2" xfId="10146"/>
    <cellStyle name="Обычный 10 8 2 6 2 2 2 2" xfId="10147"/>
    <cellStyle name="Обычный 10 8 2 6 2 2 2 3" xfId="10148"/>
    <cellStyle name="Обычный 10 8 2 6 2 2 3" xfId="10149"/>
    <cellStyle name="Обычный 10 8 2 6 2 2 3 2" xfId="10150"/>
    <cellStyle name="Обычный 10 8 2 6 2 2 3 3" xfId="10151"/>
    <cellStyle name="Обычный 10 8 2 6 2 2 4" xfId="10152"/>
    <cellStyle name="Обычный 10 8 2 6 2 2 4 2" xfId="10153"/>
    <cellStyle name="Обычный 10 8 2 6 2 2 5" xfId="10154"/>
    <cellStyle name="Обычный 10 8 2 6 2 2 6" xfId="10155"/>
    <cellStyle name="Обычный 10 8 2 6 2 3" xfId="10156"/>
    <cellStyle name="Обычный 10 8 2 6 2 3 2" xfId="10157"/>
    <cellStyle name="Обычный 10 8 2 6 2 3 3" xfId="10158"/>
    <cellStyle name="Обычный 10 8 2 6 2 4" xfId="10159"/>
    <cellStyle name="Обычный 10 8 2 6 2 4 2" xfId="10160"/>
    <cellStyle name="Обычный 10 8 2 6 2 4 3" xfId="10161"/>
    <cellStyle name="Обычный 10 8 2 6 2 5" xfId="10162"/>
    <cellStyle name="Обычный 10 8 2 6 2 5 2" xfId="10163"/>
    <cellStyle name="Обычный 10 8 2 6 2 6" xfId="10164"/>
    <cellStyle name="Обычный 10 8 2 6 2 7" xfId="10165"/>
    <cellStyle name="Обычный 10 8 2 6 3" xfId="10166"/>
    <cellStyle name="Обычный 10 8 2 6 3 2" xfId="10167"/>
    <cellStyle name="Обычный 10 8 2 6 3 2 2" xfId="10168"/>
    <cellStyle name="Обычный 10 8 2 6 3 2 3" xfId="10169"/>
    <cellStyle name="Обычный 10 8 2 6 3 3" xfId="10170"/>
    <cellStyle name="Обычный 10 8 2 6 3 3 2" xfId="10171"/>
    <cellStyle name="Обычный 10 8 2 6 3 3 3" xfId="10172"/>
    <cellStyle name="Обычный 10 8 2 6 3 4" xfId="10173"/>
    <cellStyle name="Обычный 10 8 2 6 3 4 2" xfId="10174"/>
    <cellStyle name="Обычный 10 8 2 6 3 5" xfId="10175"/>
    <cellStyle name="Обычный 10 8 2 6 3 6" xfId="10176"/>
    <cellStyle name="Обычный 10 8 2 6 4" xfId="10177"/>
    <cellStyle name="Обычный 10 8 2 6 4 2" xfId="10178"/>
    <cellStyle name="Обычный 10 8 2 6 4 3" xfId="10179"/>
    <cellStyle name="Обычный 10 8 2 6 5" xfId="10180"/>
    <cellStyle name="Обычный 10 8 2 6 5 2" xfId="10181"/>
    <cellStyle name="Обычный 10 8 2 6 5 3" xfId="10182"/>
    <cellStyle name="Обычный 10 8 2 6 6" xfId="10183"/>
    <cellStyle name="Обычный 10 8 2 6 6 2" xfId="10184"/>
    <cellStyle name="Обычный 10 8 2 6 7" xfId="10185"/>
    <cellStyle name="Обычный 10 8 2 6 8" xfId="10186"/>
    <cellStyle name="Обычный 10 8 2 7" xfId="10187"/>
    <cellStyle name="Обычный 10 8 2 7 2" xfId="10188"/>
    <cellStyle name="Обычный 10 8 2 7 2 2" xfId="10189"/>
    <cellStyle name="Обычный 10 8 2 7 2 2 2" xfId="10190"/>
    <cellStyle name="Обычный 10 8 2 7 2 2 3" xfId="10191"/>
    <cellStyle name="Обычный 10 8 2 7 2 3" xfId="10192"/>
    <cellStyle name="Обычный 10 8 2 7 2 3 2" xfId="10193"/>
    <cellStyle name="Обычный 10 8 2 7 2 3 3" xfId="10194"/>
    <cellStyle name="Обычный 10 8 2 7 2 4" xfId="10195"/>
    <cellStyle name="Обычный 10 8 2 7 2 4 2" xfId="10196"/>
    <cellStyle name="Обычный 10 8 2 7 2 5" xfId="10197"/>
    <cellStyle name="Обычный 10 8 2 7 2 6" xfId="10198"/>
    <cellStyle name="Обычный 10 8 2 7 3" xfId="10199"/>
    <cellStyle name="Обычный 10 8 2 7 3 2" xfId="10200"/>
    <cellStyle name="Обычный 10 8 2 7 3 3" xfId="10201"/>
    <cellStyle name="Обычный 10 8 2 7 4" xfId="10202"/>
    <cellStyle name="Обычный 10 8 2 7 4 2" xfId="10203"/>
    <cellStyle name="Обычный 10 8 2 7 4 3" xfId="10204"/>
    <cellStyle name="Обычный 10 8 2 7 5" xfId="10205"/>
    <cellStyle name="Обычный 10 8 2 7 5 2" xfId="10206"/>
    <cellStyle name="Обычный 10 8 2 7 6" xfId="10207"/>
    <cellStyle name="Обычный 10 8 2 7 7" xfId="10208"/>
    <cellStyle name="Обычный 10 8 2 8" xfId="10209"/>
    <cellStyle name="Обычный 10 8 2 8 2" xfId="10210"/>
    <cellStyle name="Обычный 10 8 2 8 2 2" xfId="10211"/>
    <cellStyle name="Обычный 10 8 2 8 2 3" xfId="10212"/>
    <cellStyle name="Обычный 10 8 2 8 3" xfId="10213"/>
    <cellStyle name="Обычный 10 8 2 8 3 2" xfId="10214"/>
    <cellStyle name="Обычный 10 8 2 8 3 3" xfId="10215"/>
    <cellStyle name="Обычный 10 8 2 8 4" xfId="10216"/>
    <cellStyle name="Обычный 10 8 2 8 4 2" xfId="10217"/>
    <cellStyle name="Обычный 10 8 2 8 5" xfId="10218"/>
    <cellStyle name="Обычный 10 8 2 8 6" xfId="10219"/>
    <cellStyle name="Обычный 10 8 2 9" xfId="10220"/>
    <cellStyle name="Обычный 10 8 2 9 2" xfId="10221"/>
    <cellStyle name="Обычный 10 8 2 9 3" xfId="10222"/>
    <cellStyle name="Обычный 10 8 3" xfId="10223"/>
    <cellStyle name="Обычный 10 8 3 10" xfId="10224"/>
    <cellStyle name="Обычный 10 8 3 2" xfId="10225"/>
    <cellStyle name="Обычный 10 8 3 2 2" xfId="10226"/>
    <cellStyle name="Обычный 10 8 3 2 2 2" xfId="10227"/>
    <cellStyle name="Обычный 10 8 3 2 2 2 2" xfId="10228"/>
    <cellStyle name="Обычный 10 8 3 2 2 2 2 2" xfId="10229"/>
    <cellStyle name="Обычный 10 8 3 2 2 2 2 2 2" xfId="10230"/>
    <cellStyle name="Обычный 10 8 3 2 2 2 2 2 3" xfId="10231"/>
    <cellStyle name="Обычный 10 8 3 2 2 2 2 3" xfId="10232"/>
    <cellStyle name="Обычный 10 8 3 2 2 2 2 3 2" xfId="10233"/>
    <cellStyle name="Обычный 10 8 3 2 2 2 2 3 3" xfId="10234"/>
    <cellStyle name="Обычный 10 8 3 2 2 2 2 4" xfId="10235"/>
    <cellStyle name="Обычный 10 8 3 2 2 2 2 4 2" xfId="10236"/>
    <cellStyle name="Обычный 10 8 3 2 2 2 2 5" xfId="10237"/>
    <cellStyle name="Обычный 10 8 3 2 2 2 2 6" xfId="10238"/>
    <cellStyle name="Обычный 10 8 3 2 2 2 3" xfId="10239"/>
    <cellStyle name="Обычный 10 8 3 2 2 2 3 2" xfId="10240"/>
    <cellStyle name="Обычный 10 8 3 2 2 2 3 3" xfId="10241"/>
    <cellStyle name="Обычный 10 8 3 2 2 2 4" xfId="10242"/>
    <cellStyle name="Обычный 10 8 3 2 2 2 4 2" xfId="10243"/>
    <cellStyle name="Обычный 10 8 3 2 2 2 4 3" xfId="10244"/>
    <cellStyle name="Обычный 10 8 3 2 2 2 5" xfId="10245"/>
    <cellStyle name="Обычный 10 8 3 2 2 2 5 2" xfId="10246"/>
    <cellStyle name="Обычный 10 8 3 2 2 2 6" xfId="10247"/>
    <cellStyle name="Обычный 10 8 3 2 2 2 7" xfId="10248"/>
    <cellStyle name="Обычный 10 8 3 2 2 3" xfId="10249"/>
    <cellStyle name="Обычный 10 8 3 2 2 3 2" xfId="10250"/>
    <cellStyle name="Обычный 10 8 3 2 2 3 2 2" xfId="10251"/>
    <cellStyle name="Обычный 10 8 3 2 2 3 2 3" xfId="10252"/>
    <cellStyle name="Обычный 10 8 3 2 2 3 3" xfId="10253"/>
    <cellStyle name="Обычный 10 8 3 2 2 3 3 2" xfId="10254"/>
    <cellStyle name="Обычный 10 8 3 2 2 3 3 3" xfId="10255"/>
    <cellStyle name="Обычный 10 8 3 2 2 3 4" xfId="10256"/>
    <cellStyle name="Обычный 10 8 3 2 2 3 4 2" xfId="10257"/>
    <cellStyle name="Обычный 10 8 3 2 2 3 5" xfId="10258"/>
    <cellStyle name="Обычный 10 8 3 2 2 3 6" xfId="10259"/>
    <cellStyle name="Обычный 10 8 3 2 2 4" xfId="10260"/>
    <cellStyle name="Обычный 10 8 3 2 2 4 2" xfId="10261"/>
    <cellStyle name="Обычный 10 8 3 2 2 4 3" xfId="10262"/>
    <cellStyle name="Обычный 10 8 3 2 2 5" xfId="10263"/>
    <cellStyle name="Обычный 10 8 3 2 2 5 2" xfId="10264"/>
    <cellStyle name="Обычный 10 8 3 2 2 5 3" xfId="10265"/>
    <cellStyle name="Обычный 10 8 3 2 2 6" xfId="10266"/>
    <cellStyle name="Обычный 10 8 3 2 2 6 2" xfId="10267"/>
    <cellStyle name="Обычный 10 8 3 2 2 7" xfId="10268"/>
    <cellStyle name="Обычный 10 8 3 2 2 8" xfId="10269"/>
    <cellStyle name="Обычный 10 8 3 2 3" xfId="10270"/>
    <cellStyle name="Обычный 10 8 3 2 3 2" xfId="10271"/>
    <cellStyle name="Обычный 10 8 3 2 3 2 2" xfId="10272"/>
    <cellStyle name="Обычный 10 8 3 2 3 2 2 2" xfId="10273"/>
    <cellStyle name="Обычный 10 8 3 2 3 2 2 3" xfId="10274"/>
    <cellStyle name="Обычный 10 8 3 2 3 2 3" xfId="10275"/>
    <cellStyle name="Обычный 10 8 3 2 3 2 3 2" xfId="10276"/>
    <cellStyle name="Обычный 10 8 3 2 3 2 3 3" xfId="10277"/>
    <cellStyle name="Обычный 10 8 3 2 3 2 4" xfId="10278"/>
    <cellStyle name="Обычный 10 8 3 2 3 2 4 2" xfId="10279"/>
    <cellStyle name="Обычный 10 8 3 2 3 2 5" xfId="10280"/>
    <cellStyle name="Обычный 10 8 3 2 3 2 6" xfId="10281"/>
    <cellStyle name="Обычный 10 8 3 2 3 3" xfId="10282"/>
    <cellStyle name="Обычный 10 8 3 2 3 3 2" xfId="10283"/>
    <cellStyle name="Обычный 10 8 3 2 3 3 3" xfId="10284"/>
    <cellStyle name="Обычный 10 8 3 2 3 4" xfId="10285"/>
    <cellStyle name="Обычный 10 8 3 2 3 4 2" xfId="10286"/>
    <cellStyle name="Обычный 10 8 3 2 3 4 3" xfId="10287"/>
    <cellStyle name="Обычный 10 8 3 2 3 5" xfId="10288"/>
    <cellStyle name="Обычный 10 8 3 2 3 5 2" xfId="10289"/>
    <cellStyle name="Обычный 10 8 3 2 3 6" xfId="10290"/>
    <cellStyle name="Обычный 10 8 3 2 3 7" xfId="10291"/>
    <cellStyle name="Обычный 10 8 3 2 4" xfId="10292"/>
    <cellStyle name="Обычный 10 8 3 2 4 2" xfId="10293"/>
    <cellStyle name="Обычный 10 8 3 2 4 2 2" xfId="10294"/>
    <cellStyle name="Обычный 10 8 3 2 4 2 3" xfId="10295"/>
    <cellStyle name="Обычный 10 8 3 2 4 3" xfId="10296"/>
    <cellStyle name="Обычный 10 8 3 2 4 3 2" xfId="10297"/>
    <cellStyle name="Обычный 10 8 3 2 4 3 3" xfId="10298"/>
    <cellStyle name="Обычный 10 8 3 2 4 4" xfId="10299"/>
    <cellStyle name="Обычный 10 8 3 2 4 4 2" xfId="10300"/>
    <cellStyle name="Обычный 10 8 3 2 4 5" xfId="10301"/>
    <cellStyle name="Обычный 10 8 3 2 4 6" xfId="10302"/>
    <cellStyle name="Обычный 10 8 3 2 5" xfId="10303"/>
    <cellStyle name="Обычный 10 8 3 2 5 2" xfId="10304"/>
    <cellStyle name="Обычный 10 8 3 2 5 3" xfId="10305"/>
    <cellStyle name="Обычный 10 8 3 2 6" xfId="10306"/>
    <cellStyle name="Обычный 10 8 3 2 6 2" xfId="10307"/>
    <cellStyle name="Обычный 10 8 3 2 6 3" xfId="10308"/>
    <cellStyle name="Обычный 10 8 3 2 7" xfId="10309"/>
    <cellStyle name="Обычный 10 8 3 2 7 2" xfId="10310"/>
    <cellStyle name="Обычный 10 8 3 2 8" xfId="10311"/>
    <cellStyle name="Обычный 10 8 3 2 9" xfId="10312"/>
    <cellStyle name="Обычный 10 8 3 3" xfId="10313"/>
    <cellStyle name="Обычный 10 8 3 3 2" xfId="10314"/>
    <cellStyle name="Обычный 10 8 3 3 2 2" xfId="10315"/>
    <cellStyle name="Обычный 10 8 3 3 2 2 2" xfId="10316"/>
    <cellStyle name="Обычный 10 8 3 3 2 2 2 2" xfId="10317"/>
    <cellStyle name="Обычный 10 8 3 3 2 2 2 3" xfId="10318"/>
    <cellStyle name="Обычный 10 8 3 3 2 2 3" xfId="10319"/>
    <cellStyle name="Обычный 10 8 3 3 2 2 3 2" xfId="10320"/>
    <cellStyle name="Обычный 10 8 3 3 2 2 3 3" xfId="10321"/>
    <cellStyle name="Обычный 10 8 3 3 2 2 4" xfId="10322"/>
    <cellStyle name="Обычный 10 8 3 3 2 2 4 2" xfId="10323"/>
    <cellStyle name="Обычный 10 8 3 3 2 2 5" xfId="10324"/>
    <cellStyle name="Обычный 10 8 3 3 2 2 6" xfId="10325"/>
    <cellStyle name="Обычный 10 8 3 3 2 3" xfId="10326"/>
    <cellStyle name="Обычный 10 8 3 3 2 3 2" xfId="10327"/>
    <cellStyle name="Обычный 10 8 3 3 2 3 3" xfId="10328"/>
    <cellStyle name="Обычный 10 8 3 3 2 4" xfId="10329"/>
    <cellStyle name="Обычный 10 8 3 3 2 4 2" xfId="10330"/>
    <cellStyle name="Обычный 10 8 3 3 2 4 3" xfId="10331"/>
    <cellStyle name="Обычный 10 8 3 3 2 5" xfId="10332"/>
    <cellStyle name="Обычный 10 8 3 3 2 5 2" xfId="10333"/>
    <cellStyle name="Обычный 10 8 3 3 2 6" xfId="10334"/>
    <cellStyle name="Обычный 10 8 3 3 2 7" xfId="10335"/>
    <cellStyle name="Обычный 10 8 3 3 3" xfId="10336"/>
    <cellStyle name="Обычный 10 8 3 3 3 2" xfId="10337"/>
    <cellStyle name="Обычный 10 8 3 3 3 2 2" xfId="10338"/>
    <cellStyle name="Обычный 10 8 3 3 3 2 3" xfId="10339"/>
    <cellStyle name="Обычный 10 8 3 3 3 3" xfId="10340"/>
    <cellStyle name="Обычный 10 8 3 3 3 3 2" xfId="10341"/>
    <cellStyle name="Обычный 10 8 3 3 3 3 3" xfId="10342"/>
    <cellStyle name="Обычный 10 8 3 3 3 4" xfId="10343"/>
    <cellStyle name="Обычный 10 8 3 3 3 4 2" xfId="10344"/>
    <cellStyle name="Обычный 10 8 3 3 3 5" xfId="10345"/>
    <cellStyle name="Обычный 10 8 3 3 3 6" xfId="10346"/>
    <cellStyle name="Обычный 10 8 3 3 4" xfId="10347"/>
    <cellStyle name="Обычный 10 8 3 3 4 2" xfId="10348"/>
    <cellStyle name="Обычный 10 8 3 3 4 3" xfId="10349"/>
    <cellStyle name="Обычный 10 8 3 3 5" xfId="10350"/>
    <cellStyle name="Обычный 10 8 3 3 5 2" xfId="10351"/>
    <cellStyle name="Обычный 10 8 3 3 5 3" xfId="10352"/>
    <cellStyle name="Обычный 10 8 3 3 6" xfId="10353"/>
    <cellStyle name="Обычный 10 8 3 3 6 2" xfId="10354"/>
    <cellStyle name="Обычный 10 8 3 3 7" xfId="10355"/>
    <cellStyle name="Обычный 10 8 3 3 8" xfId="10356"/>
    <cellStyle name="Обычный 10 8 3 4" xfId="10357"/>
    <cellStyle name="Обычный 10 8 3 4 2" xfId="10358"/>
    <cellStyle name="Обычный 10 8 3 4 2 2" xfId="10359"/>
    <cellStyle name="Обычный 10 8 3 4 2 2 2" xfId="10360"/>
    <cellStyle name="Обычный 10 8 3 4 2 2 3" xfId="10361"/>
    <cellStyle name="Обычный 10 8 3 4 2 3" xfId="10362"/>
    <cellStyle name="Обычный 10 8 3 4 2 3 2" xfId="10363"/>
    <cellStyle name="Обычный 10 8 3 4 2 3 3" xfId="10364"/>
    <cellStyle name="Обычный 10 8 3 4 2 4" xfId="10365"/>
    <cellStyle name="Обычный 10 8 3 4 2 4 2" xfId="10366"/>
    <cellStyle name="Обычный 10 8 3 4 2 5" xfId="10367"/>
    <cellStyle name="Обычный 10 8 3 4 2 6" xfId="10368"/>
    <cellStyle name="Обычный 10 8 3 4 3" xfId="10369"/>
    <cellStyle name="Обычный 10 8 3 4 3 2" xfId="10370"/>
    <cellStyle name="Обычный 10 8 3 4 3 3" xfId="10371"/>
    <cellStyle name="Обычный 10 8 3 4 4" xfId="10372"/>
    <cellStyle name="Обычный 10 8 3 4 4 2" xfId="10373"/>
    <cellStyle name="Обычный 10 8 3 4 4 3" xfId="10374"/>
    <cellStyle name="Обычный 10 8 3 4 5" xfId="10375"/>
    <cellStyle name="Обычный 10 8 3 4 5 2" xfId="10376"/>
    <cellStyle name="Обычный 10 8 3 4 6" xfId="10377"/>
    <cellStyle name="Обычный 10 8 3 4 7" xfId="10378"/>
    <cellStyle name="Обычный 10 8 3 5" xfId="10379"/>
    <cellStyle name="Обычный 10 8 3 5 2" xfId="10380"/>
    <cellStyle name="Обычный 10 8 3 5 2 2" xfId="10381"/>
    <cellStyle name="Обычный 10 8 3 5 2 3" xfId="10382"/>
    <cellStyle name="Обычный 10 8 3 5 3" xfId="10383"/>
    <cellStyle name="Обычный 10 8 3 5 3 2" xfId="10384"/>
    <cellStyle name="Обычный 10 8 3 5 3 3" xfId="10385"/>
    <cellStyle name="Обычный 10 8 3 5 4" xfId="10386"/>
    <cellStyle name="Обычный 10 8 3 5 4 2" xfId="10387"/>
    <cellStyle name="Обычный 10 8 3 5 5" xfId="10388"/>
    <cellStyle name="Обычный 10 8 3 5 6" xfId="10389"/>
    <cellStyle name="Обычный 10 8 3 6" xfId="10390"/>
    <cellStyle name="Обычный 10 8 3 6 2" xfId="10391"/>
    <cellStyle name="Обычный 10 8 3 6 3" xfId="10392"/>
    <cellStyle name="Обычный 10 8 3 7" xfId="10393"/>
    <cellStyle name="Обычный 10 8 3 7 2" xfId="10394"/>
    <cellStyle name="Обычный 10 8 3 7 3" xfId="10395"/>
    <cellStyle name="Обычный 10 8 3 8" xfId="10396"/>
    <cellStyle name="Обычный 10 8 3 8 2" xfId="10397"/>
    <cellStyle name="Обычный 10 8 3 9" xfId="10398"/>
    <cellStyle name="Обычный 10 8 4" xfId="10399"/>
    <cellStyle name="Обычный 10 8 4 10" xfId="10400"/>
    <cellStyle name="Обычный 10 8 4 2" xfId="10401"/>
    <cellStyle name="Обычный 10 8 4 2 2" xfId="10402"/>
    <cellStyle name="Обычный 10 8 4 2 2 2" xfId="10403"/>
    <cellStyle name="Обычный 10 8 4 2 2 2 2" xfId="10404"/>
    <cellStyle name="Обычный 10 8 4 2 2 2 2 2" xfId="10405"/>
    <cellStyle name="Обычный 10 8 4 2 2 2 2 2 2" xfId="10406"/>
    <cellStyle name="Обычный 10 8 4 2 2 2 2 2 3" xfId="10407"/>
    <cellStyle name="Обычный 10 8 4 2 2 2 2 3" xfId="10408"/>
    <cellStyle name="Обычный 10 8 4 2 2 2 2 3 2" xfId="10409"/>
    <cellStyle name="Обычный 10 8 4 2 2 2 2 3 3" xfId="10410"/>
    <cellStyle name="Обычный 10 8 4 2 2 2 2 4" xfId="10411"/>
    <cellStyle name="Обычный 10 8 4 2 2 2 2 4 2" xfId="10412"/>
    <cellStyle name="Обычный 10 8 4 2 2 2 2 5" xfId="10413"/>
    <cellStyle name="Обычный 10 8 4 2 2 2 2 6" xfId="10414"/>
    <cellStyle name="Обычный 10 8 4 2 2 2 3" xfId="10415"/>
    <cellStyle name="Обычный 10 8 4 2 2 2 3 2" xfId="10416"/>
    <cellStyle name="Обычный 10 8 4 2 2 2 3 3" xfId="10417"/>
    <cellStyle name="Обычный 10 8 4 2 2 2 4" xfId="10418"/>
    <cellStyle name="Обычный 10 8 4 2 2 2 4 2" xfId="10419"/>
    <cellStyle name="Обычный 10 8 4 2 2 2 4 3" xfId="10420"/>
    <cellStyle name="Обычный 10 8 4 2 2 2 5" xfId="10421"/>
    <cellStyle name="Обычный 10 8 4 2 2 2 5 2" xfId="10422"/>
    <cellStyle name="Обычный 10 8 4 2 2 2 6" xfId="10423"/>
    <cellStyle name="Обычный 10 8 4 2 2 2 7" xfId="10424"/>
    <cellStyle name="Обычный 10 8 4 2 2 3" xfId="10425"/>
    <cellStyle name="Обычный 10 8 4 2 2 3 2" xfId="10426"/>
    <cellStyle name="Обычный 10 8 4 2 2 3 2 2" xfId="10427"/>
    <cellStyle name="Обычный 10 8 4 2 2 3 2 3" xfId="10428"/>
    <cellStyle name="Обычный 10 8 4 2 2 3 3" xfId="10429"/>
    <cellStyle name="Обычный 10 8 4 2 2 3 3 2" xfId="10430"/>
    <cellStyle name="Обычный 10 8 4 2 2 3 3 3" xfId="10431"/>
    <cellStyle name="Обычный 10 8 4 2 2 3 4" xfId="10432"/>
    <cellStyle name="Обычный 10 8 4 2 2 3 4 2" xfId="10433"/>
    <cellStyle name="Обычный 10 8 4 2 2 3 5" xfId="10434"/>
    <cellStyle name="Обычный 10 8 4 2 2 3 6" xfId="10435"/>
    <cellStyle name="Обычный 10 8 4 2 2 4" xfId="10436"/>
    <cellStyle name="Обычный 10 8 4 2 2 4 2" xfId="10437"/>
    <cellStyle name="Обычный 10 8 4 2 2 4 3" xfId="10438"/>
    <cellStyle name="Обычный 10 8 4 2 2 5" xfId="10439"/>
    <cellStyle name="Обычный 10 8 4 2 2 5 2" xfId="10440"/>
    <cellStyle name="Обычный 10 8 4 2 2 5 3" xfId="10441"/>
    <cellStyle name="Обычный 10 8 4 2 2 6" xfId="10442"/>
    <cellStyle name="Обычный 10 8 4 2 2 6 2" xfId="10443"/>
    <cellStyle name="Обычный 10 8 4 2 2 7" xfId="10444"/>
    <cellStyle name="Обычный 10 8 4 2 2 8" xfId="10445"/>
    <cellStyle name="Обычный 10 8 4 2 3" xfId="10446"/>
    <cellStyle name="Обычный 10 8 4 2 3 2" xfId="10447"/>
    <cellStyle name="Обычный 10 8 4 2 3 2 2" xfId="10448"/>
    <cellStyle name="Обычный 10 8 4 2 3 2 2 2" xfId="10449"/>
    <cellStyle name="Обычный 10 8 4 2 3 2 2 3" xfId="10450"/>
    <cellStyle name="Обычный 10 8 4 2 3 2 3" xfId="10451"/>
    <cellStyle name="Обычный 10 8 4 2 3 2 3 2" xfId="10452"/>
    <cellStyle name="Обычный 10 8 4 2 3 2 3 3" xfId="10453"/>
    <cellStyle name="Обычный 10 8 4 2 3 2 4" xfId="10454"/>
    <cellStyle name="Обычный 10 8 4 2 3 2 4 2" xfId="10455"/>
    <cellStyle name="Обычный 10 8 4 2 3 2 5" xfId="10456"/>
    <cellStyle name="Обычный 10 8 4 2 3 2 6" xfId="10457"/>
    <cellStyle name="Обычный 10 8 4 2 3 3" xfId="10458"/>
    <cellStyle name="Обычный 10 8 4 2 3 3 2" xfId="10459"/>
    <cellStyle name="Обычный 10 8 4 2 3 3 3" xfId="10460"/>
    <cellStyle name="Обычный 10 8 4 2 3 4" xfId="10461"/>
    <cellStyle name="Обычный 10 8 4 2 3 4 2" xfId="10462"/>
    <cellStyle name="Обычный 10 8 4 2 3 4 3" xfId="10463"/>
    <cellStyle name="Обычный 10 8 4 2 3 5" xfId="10464"/>
    <cellStyle name="Обычный 10 8 4 2 3 5 2" xfId="10465"/>
    <cellStyle name="Обычный 10 8 4 2 3 6" xfId="10466"/>
    <cellStyle name="Обычный 10 8 4 2 3 7" xfId="10467"/>
    <cellStyle name="Обычный 10 8 4 2 4" xfId="10468"/>
    <cellStyle name="Обычный 10 8 4 2 4 2" xfId="10469"/>
    <cellStyle name="Обычный 10 8 4 2 4 2 2" xfId="10470"/>
    <cellStyle name="Обычный 10 8 4 2 4 2 3" xfId="10471"/>
    <cellStyle name="Обычный 10 8 4 2 4 3" xfId="10472"/>
    <cellStyle name="Обычный 10 8 4 2 4 3 2" xfId="10473"/>
    <cellStyle name="Обычный 10 8 4 2 4 3 3" xfId="10474"/>
    <cellStyle name="Обычный 10 8 4 2 4 4" xfId="10475"/>
    <cellStyle name="Обычный 10 8 4 2 4 4 2" xfId="10476"/>
    <cellStyle name="Обычный 10 8 4 2 4 5" xfId="10477"/>
    <cellStyle name="Обычный 10 8 4 2 4 6" xfId="10478"/>
    <cellStyle name="Обычный 10 8 4 2 5" xfId="10479"/>
    <cellStyle name="Обычный 10 8 4 2 5 2" xfId="10480"/>
    <cellStyle name="Обычный 10 8 4 2 5 3" xfId="10481"/>
    <cellStyle name="Обычный 10 8 4 2 6" xfId="10482"/>
    <cellStyle name="Обычный 10 8 4 2 6 2" xfId="10483"/>
    <cellStyle name="Обычный 10 8 4 2 6 3" xfId="10484"/>
    <cellStyle name="Обычный 10 8 4 2 7" xfId="10485"/>
    <cellStyle name="Обычный 10 8 4 2 7 2" xfId="10486"/>
    <cellStyle name="Обычный 10 8 4 2 8" xfId="10487"/>
    <cellStyle name="Обычный 10 8 4 2 9" xfId="10488"/>
    <cellStyle name="Обычный 10 8 4 3" xfId="10489"/>
    <cellStyle name="Обычный 10 8 4 3 2" xfId="10490"/>
    <cellStyle name="Обычный 10 8 4 3 2 2" xfId="10491"/>
    <cellStyle name="Обычный 10 8 4 3 2 2 2" xfId="10492"/>
    <cellStyle name="Обычный 10 8 4 3 2 2 2 2" xfId="10493"/>
    <cellStyle name="Обычный 10 8 4 3 2 2 2 3" xfId="10494"/>
    <cellStyle name="Обычный 10 8 4 3 2 2 3" xfId="10495"/>
    <cellStyle name="Обычный 10 8 4 3 2 2 3 2" xfId="10496"/>
    <cellStyle name="Обычный 10 8 4 3 2 2 3 3" xfId="10497"/>
    <cellStyle name="Обычный 10 8 4 3 2 2 4" xfId="10498"/>
    <cellStyle name="Обычный 10 8 4 3 2 2 4 2" xfId="10499"/>
    <cellStyle name="Обычный 10 8 4 3 2 2 5" xfId="10500"/>
    <cellStyle name="Обычный 10 8 4 3 2 2 6" xfId="10501"/>
    <cellStyle name="Обычный 10 8 4 3 2 3" xfId="10502"/>
    <cellStyle name="Обычный 10 8 4 3 2 3 2" xfId="10503"/>
    <cellStyle name="Обычный 10 8 4 3 2 3 3" xfId="10504"/>
    <cellStyle name="Обычный 10 8 4 3 2 4" xfId="10505"/>
    <cellStyle name="Обычный 10 8 4 3 2 4 2" xfId="10506"/>
    <cellStyle name="Обычный 10 8 4 3 2 4 3" xfId="10507"/>
    <cellStyle name="Обычный 10 8 4 3 2 5" xfId="10508"/>
    <cellStyle name="Обычный 10 8 4 3 2 5 2" xfId="10509"/>
    <cellStyle name="Обычный 10 8 4 3 2 6" xfId="10510"/>
    <cellStyle name="Обычный 10 8 4 3 2 7" xfId="10511"/>
    <cellStyle name="Обычный 10 8 4 3 3" xfId="10512"/>
    <cellStyle name="Обычный 10 8 4 3 3 2" xfId="10513"/>
    <cellStyle name="Обычный 10 8 4 3 3 2 2" xfId="10514"/>
    <cellStyle name="Обычный 10 8 4 3 3 2 3" xfId="10515"/>
    <cellStyle name="Обычный 10 8 4 3 3 3" xfId="10516"/>
    <cellStyle name="Обычный 10 8 4 3 3 3 2" xfId="10517"/>
    <cellStyle name="Обычный 10 8 4 3 3 3 3" xfId="10518"/>
    <cellStyle name="Обычный 10 8 4 3 3 4" xfId="10519"/>
    <cellStyle name="Обычный 10 8 4 3 3 4 2" xfId="10520"/>
    <cellStyle name="Обычный 10 8 4 3 3 5" xfId="10521"/>
    <cellStyle name="Обычный 10 8 4 3 3 6" xfId="10522"/>
    <cellStyle name="Обычный 10 8 4 3 4" xfId="10523"/>
    <cellStyle name="Обычный 10 8 4 3 4 2" xfId="10524"/>
    <cellStyle name="Обычный 10 8 4 3 4 3" xfId="10525"/>
    <cellStyle name="Обычный 10 8 4 3 5" xfId="10526"/>
    <cellStyle name="Обычный 10 8 4 3 5 2" xfId="10527"/>
    <cellStyle name="Обычный 10 8 4 3 5 3" xfId="10528"/>
    <cellStyle name="Обычный 10 8 4 3 6" xfId="10529"/>
    <cellStyle name="Обычный 10 8 4 3 6 2" xfId="10530"/>
    <cellStyle name="Обычный 10 8 4 3 7" xfId="10531"/>
    <cellStyle name="Обычный 10 8 4 3 8" xfId="10532"/>
    <cellStyle name="Обычный 10 8 4 4" xfId="10533"/>
    <cellStyle name="Обычный 10 8 4 4 2" xfId="10534"/>
    <cellStyle name="Обычный 10 8 4 4 2 2" xfId="10535"/>
    <cellStyle name="Обычный 10 8 4 4 2 2 2" xfId="10536"/>
    <cellStyle name="Обычный 10 8 4 4 2 2 3" xfId="10537"/>
    <cellStyle name="Обычный 10 8 4 4 2 3" xfId="10538"/>
    <cellStyle name="Обычный 10 8 4 4 2 3 2" xfId="10539"/>
    <cellStyle name="Обычный 10 8 4 4 2 3 3" xfId="10540"/>
    <cellStyle name="Обычный 10 8 4 4 2 4" xfId="10541"/>
    <cellStyle name="Обычный 10 8 4 4 2 4 2" xfId="10542"/>
    <cellStyle name="Обычный 10 8 4 4 2 5" xfId="10543"/>
    <cellStyle name="Обычный 10 8 4 4 2 6" xfId="10544"/>
    <cellStyle name="Обычный 10 8 4 4 3" xfId="10545"/>
    <cellStyle name="Обычный 10 8 4 4 3 2" xfId="10546"/>
    <cellStyle name="Обычный 10 8 4 4 3 3" xfId="10547"/>
    <cellStyle name="Обычный 10 8 4 4 4" xfId="10548"/>
    <cellStyle name="Обычный 10 8 4 4 4 2" xfId="10549"/>
    <cellStyle name="Обычный 10 8 4 4 4 3" xfId="10550"/>
    <cellStyle name="Обычный 10 8 4 4 5" xfId="10551"/>
    <cellStyle name="Обычный 10 8 4 4 5 2" xfId="10552"/>
    <cellStyle name="Обычный 10 8 4 4 6" xfId="10553"/>
    <cellStyle name="Обычный 10 8 4 4 7" xfId="10554"/>
    <cellStyle name="Обычный 10 8 4 5" xfId="10555"/>
    <cellStyle name="Обычный 10 8 4 5 2" xfId="10556"/>
    <cellStyle name="Обычный 10 8 4 5 2 2" xfId="10557"/>
    <cellStyle name="Обычный 10 8 4 5 2 3" xfId="10558"/>
    <cellStyle name="Обычный 10 8 4 5 3" xfId="10559"/>
    <cellStyle name="Обычный 10 8 4 5 3 2" xfId="10560"/>
    <cellStyle name="Обычный 10 8 4 5 3 3" xfId="10561"/>
    <cellStyle name="Обычный 10 8 4 5 4" xfId="10562"/>
    <cellStyle name="Обычный 10 8 4 5 4 2" xfId="10563"/>
    <cellStyle name="Обычный 10 8 4 5 5" xfId="10564"/>
    <cellStyle name="Обычный 10 8 4 5 6" xfId="10565"/>
    <cellStyle name="Обычный 10 8 4 6" xfId="10566"/>
    <cellStyle name="Обычный 10 8 4 6 2" xfId="10567"/>
    <cellStyle name="Обычный 10 8 4 6 3" xfId="10568"/>
    <cellStyle name="Обычный 10 8 4 7" xfId="10569"/>
    <cellStyle name="Обычный 10 8 4 7 2" xfId="10570"/>
    <cellStyle name="Обычный 10 8 4 7 3" xfId="10571"/>
    <cellStyle name="Обычный 10 8 4 8" xfId="10572"/>
    <cellStyle name="Обычный 10 8 4 8 2" xfId="10573"/>
    <cellStyle name="Обычный 10 8 4 9" xfId="10574"/>
    <cellStyle name="Обычный 10 8 5" xfId="10575"/>
    <cellStyle name="Обычный 10 8 5 10" xfId="10576"/>
    <cellStyle name="Обычный 10 8 5 2" xfId="10577"/>
    <cellStyle name="Обычный 10 8 5 2 2" xfId="10578"/>
    <cellStyle name="Обычный 10 8 5 2 2 2" xfId="10579"/>
    <cellStyle name="Обычный 10 8 5 2 2 2 2" xfId="10580"/>
    <cellStyle name="Обычный 10 8 5 2 2 2 2 2" xfId="10581"/>
    <cellStyle name="Обычный 10 8 5 2 2 2 2 2 2" xfId="10582"/>
    <cellStyle name="Обычный 10 8 5 2 2 2 2 2 3" xfId="10583"/>
    <cellStyle name="Обычный 10 8 5 2 2 2 2 3" xfId="10584"/>
    <cellStyle name="Обычный 10 8 5 2 2 2 2 3 2" xfId="10585"/>
    <cellStyle name="Обычный 10 8 5 2 2 2 2 3 3" xfId="10586"/>
    <cellStyle name="Обычный 10 8 5 2 2 2 2 4" xfId="10587"/>
    <cellStyle name="Обычный 10 8 5 2 2 2 2 4 2" xfId="10588"/>
    <cellStyle name="Обычный 10 8 5 2 2 2 2 5" xfId="10589"/>
    <cellStyle name="Обычный 10 8 5 2 2 2 2 6" xfId="10590"/>
    <cellStyle name="Обычный 10 8 5 2 2 2 3" xfId="10591"/>
    <cellStyle name="Обычный 10 8 5 2 2 2 3 2" xfId="10592"/>
    <cellStyle name="Обычный 10 8 5 2 2 2 3 3" xfId="10593"/>
    <cellStyle name="Обычный 10 8 5 2 2 2 4" xfId="10594"/>
    <cellStyle name="Обычный 10 8 5 2 2 2 4 2" xfId="10595"/>
    <cellStyle name="Обычный 10 8 5 2 2 2 4 3" xfId="10596"/>
    <cellStyle name="Обычный 10 8 5 2 2 2 5" xfId="10597"/>
    <cellStyle name="Обычный 10 8 5 2 2 2 5 2" xfId="10598"/>
    <cellStyle name="Обычный 10 8 5 2 2 2 6" xfId="10599"/>
    <cellStyle name="Обычный 10 8 5 2 2 2 7" xfId="10600"/>
    <cellStyle name="Обычный 10 8 5 2 2 3" xfId="10601"/>
    <cellStyle name="Обычный 10 8 5 2 2 3 2" xfId="10602"/>
    <cellStyle name="Обычный 10 8 5 2 2 3 2 2" xfId="10603"/>
    <cellStyle name="Обычный 10 8 5 2 2 3 2 3" xfId="10604"/>
    <cellStyle name="Обычный 10 8 5 2 2 3 3" xfId="10605"/>
    <cellStyle name="Обычный 10 8 5 2 2 3 3 2" xfId="10606"/>
    <cellStyle name="Обычный 10 8 5 2 2 3 3 3" xfId="10607"/>
    <cellStyle name="Обычный 10 8 5 2 2 3 4" xfId="10608"/>
    <cellStyle name="Обычный 10 8 5 2 2 3 4 2" xfId="10609"/>
    <cellStyle name="Обычный 10 8 5 2 2 3 5" xfId="10610"/>
    <cellStyle name="Обычный 10 8 5 2 2 3 6" xfId="10611"/>
    <cellStyle name="Обычный 10 8 5 2 2 4" xfId="10612"/>
    <cellStyle name="Обычный 10 8 5 2 2 4 2" xfId="10613"/>
    <cellStyle name="Обычный 10 8 5 2 2 4 3" xfId="10614"/>
    <cellStyle name="Обычный 10 8 5 2 2 5" xfId="10615"/>
    <cellStyle name="Обычный 10 8 5 2 2 5 2" xfId="10616"/>
    <cellStyle name="Обычный 10 8 5 2 2 5 3" xfId="10617"/>
    <cellStyle name="Обычный 10 8 5 2 2 6" xfId="10618"/>
    <cellStyle name="Обычный 10 8 5 2 2 6 2" xfId="10619"/>
    <cellStyle name="Обычный 10 8 5 2 2 7" xfId="10620"/>
    <cellStyle name="Обычный 10 8 5 2 2 8" xfId="10621"/>
    <cellStyle name="Обычный 10 8 5 2 3" xfId="10622"/>
    <cellStyle name="Обычный 10 8 5 2 3 2" xfId="10623"/>
    <cellStyle name="Обычный 10 8 5 2 3 2 2" xfId="10624"/>
    <cellStyle name="Обычный 10 8 5 2 3 2 2 2" xfId="10625"/>
    <cellStyle name="Обычный 10 8 5 2 3 2 2 3" xfId="10626"/>
    <cellStyle name="Обычный 10 8 5 2 3 2 3" xfId="10627"/>
    <cellStyle name="Обычный 10 8 5 2 3 2 3 2" xfId="10628"/>
    <cellStyle name="Обычный 10 8 5 2 3 2 3 3" xfId="10629"/>
    <cellStyle name="Обычный 10 8 5 2 3 2 4" xfId="10630"/>
    <cellStyle name="Обычный 10 8 5 2 3 2 4 2" xfId="10631"/>
    <cellStyle name="Обычный 10 8 5 2 3 2 5" xfId="10632"/>
    <cellStyle name="Обычный 10 8 5 2 3 2 6" xfId="10633"/>
    <cellStyle name="Обычный 10 8 5 2 3 3" xfId="10634"/>
    <cellStyle name="Обычный 10 8 5 2 3 3 2" xfId="10635"/>
    <cellStyle name="Обычный 10 8 5 2 3 3 3" xfId="10636"/>
    <cellStyle name="Обычный 10 8 5 2 3 4" xfId="10637"/>
    <cellStyle name="Обычный 10 8 5 2 3 4 2" xfId="10638"/>
    <cellStyle name="Обычный 10 8 5 2 3 4 3" xfId="10639"/>
    <cellStyle name="Обычный 10 8 5 2 3 5" xfId="10640"/>
    <cellStyle name="Обычный 10 8 5 2 3 5 2" xfId="10641"/>
    <cellStyle name="Обычный 10 8 5 2 3 6" xfId="10642"/>
    <cellStyle name="Обычный 10 8 5 2 3 7" xfId="10643"/>
    <cellStyle name="Обычный 10 8 5 2 4" xfId="10644"/>
    <cellStyle name="Обычный 10 8 5 2 4 2" xfId="10645"/>
    <cellStyle name="Обычный 10 8 5 2 4 2 2" xfId="10646"/>
    <cellStyle name="Обычный 10 8 5 2 4 2 3" xfId="10647"/>
    <cellStyle name="Обычный 10 8 5 2 4 3" xfId="10648"/>
    <cellStyle name="Обычный 10 8 5 2 4 3 2" xfId="10649"/>
    <cellStyle name="Обычный 10 8 5 2 4 3 3" xfId="10650"/>
    <cellStyle name="Обычный 10 8 5 2 4 4" xfId="10651"/>
    <cellStyle name="Обычный 10 8 5 2 4 4 2" xfId="10652"/>
    <cellStyle name="Обычный 10 8 5 2 4 5" xfId="10653"/>
    <cellStyle name="Обычный 10 8 5 2 4 6" xfId="10654"/>
    <cellStyle name="Обычный 10 8 5 2 5" xfId="10655"/>
    <cellStyle name="Обычный 10 8 5 2 5 2" xfId="10656"/>
    <cellStyle name="Обычный 10 8 5 2 5 3" xfId="10657"/>
    <cellStyle name="Обычный 10 8 5 2 6" xfId="10658"/>
    <cellStyle name="Обычный 10 8 5 2 6 2" xfId="10659"/>
    <cellStyle name="Обычный 10 8 5 2 6 3" xfId="10660"/>
    <cellStyle name="Обычный 10 8 5 2 7" xfId="10661"/>
    <cellStyle name="Обычный 10 8 5 2 7 2" xfId="10662"/>
    <cellStyle name="Обычный 10 8 5 2 8" xfId="10663"/>
    <cellStyle name="Обычный 10 8 5 2 9" xfId="10664"/>
    <cellStyle name="Обычный 10 8 5 3" xfId="10665"/>
    <cellStyle name="Обычный 10 8 5 3 2" xfId="10666"/>
    <cellStyle name="Обычный 10 8 5 3 2 2" xfId="10667"/>
    <cellStyle name="Обычный 10 8 5 3 2 2 2" xfId="10668"/>
    <cellStyle name="Обычный 10 8 5 3 2 2 2 2" xfId="10669"/>
    <cellStyle name="Обычный 10 8 5 3 2 2 2 3" xfId="10670"/>
    <cellStyle name="Обычный 10 8 5 3 2 2 3" xfId="10671"/>
    <cellStyle name="Обычный 10 8 5 3 2 2 3 2" xfId="10672"/>
    <cellStyle name="Обычный 10 8 5 3 2 2 3 3" xfId="10673"/>
    <cellStyle name="Обычный 10 8 5 3 2 2 4" xfId="10674"/>
    <cellStyle name="Обычный 10 8 5 3 2 2 4 2" xfId="10675"/>
    <cellStyle name="Обычный 10 8 5 3 2 2 5" xfId="10676"/>
    <cellStyle name="Обычный 10 8 5 3 2 2 6" xfId="10677"/>
    <cellStyle name="Обычный 10 8 5 3 2 3" xfId="10678"/>
    <cellStyle name="Обычный 10 8 5 3 2 3 2" xfId="10679"/>
    <cellStyle name="Обычный 10 8 5 3 2 3 3" xfId="10680"/>
    <cellStyle name="Обычный 10 8 5 3 2 4" xfId="10681"/>
    <cellStyle name="Обычный 10 8 5 3 2 4 2" xfId="10682"/>
    <cellStyle name="Обычный 10 8 5 3 2 4 3" xfId="10683"/>
    <cellStyle name="Обычный 10 8 5 3 2 5" xfId="10684"/>
    <cellStyle name="Обычный 10 8 5 3 2 5 2" xfId="10685"/>
    <cellStyle name="Обычный 10 8 5 3 2 6" xfId="10686"/>
    <cellStyle name="Обычный 10 8 5 3 2 7" xfId="10687"/>
    <cellStyle name="Обычный 10 8 5 3 3" xfId="10688"/>
    <cellStyle name="Обычный 10 8 5 3 3 2" xfId="10689"/>
    <cellStyle name="Обычный 10 8 5 3 3 2 2" xfId="10690"/>
    <cellStyle name="Обычный 10 8 5 3 3 2 3" xfId="10691"/>
    <cellStyle name="Обычный 10 8 5 3 3 3" xfId="10692"/>
    <cellStyle name="Обычный 10 8 5 3 3 3 2" xfId="10693"/>
    <cellStyle name="Обычный 10 8 5 3 3 3 3" xfId="10694"/>
    <cellStyle name="Обычный 10 8 5 3 3 4" xfId="10695"/>
    <cellStyle name="Обычный 10 8 5 3 3 4 2" xfId="10696"/>
    <cellStyle name="Обычный 10 8 5 3 3 5" xfId="10697"/>
    <cellStyle name="Обычный 10 8 5 3 3 6" xfId="10698"/>
    <cellStyle name="Обычный 10 8 5 3 4" xfId="10699"/>
    <cellStyle name="Обычный 10 8 5 3 4 2" xfId="10700"/>
    <cellStyle name="Обычный 10 8 5 3 4 3" xfId="10701"/>
    <cellStyle name="Обычный 10 8 5 3 5" xfId="10702"/>
    <cellStyle name="Обычный 10 8 5 3 5 2" xfId="10703"/>
    <cellStyle name="Обычный 10 8 5 3 5 3" xfId="10704"/>
    <cellStyle name="Обычный 10 8 5 3 6" xfId="10705"/>
    <cellStyle name="Обычный 10 8 5 3 6 2" xfId="10706"/>
    <cellStyle name="Обычный 10 8 5 3 7" xfId="10707"/>
    <cellStyle name="Обычный 10 8 5 3 8" xfId="10708"/>
    <cellStyle name="Обычный 10 8 5 4" xfId="10709"/>
    <cellStyle name="Обычный 10 8 5 4 2" xfId="10710"/>
    <cellStyle name="Обычный 10 8 5 4 2 2" xfId="10711"/>
    <cellStyle name="Обычный 10 8 5 4 2 2 2" xfId="10712"/>
    <cellStyle name="Обычный 10 8 5 4 2 2 3" xfId="10713"/>
    <cellStyle name="Обычный 10 8 5 4 2 3" xfId="10714"/>
    <cellStyle name="Обычный 10 8 5 4 2 3 2" xfId="10715"/>
    <cellStyle name="Обычный 10 8 5 4 2 3 3" xfId="10716"/>
    <cellStyle name="Обычный 10 8 5 4 2 4" xfId="10717"/>
    <cellStyle name="Обычный 10 8 5 4 2 4 2" xfId="10718"/>
    <cellStyle name="Обычный 10 8 5 4 2 5" xfId="10719"/>
    <cellStyle name="Обычный 10 8 5 4 2 6" xfId="10720"/>
    <cellStyle name="Обычный 10 8 5 4 3" xfId="10721"/>
    <cellStyle name="Обычный 10 8 5 4 3 2" xfId="10722"/>
    <cellStyle name="Обычный 10 8 5 4 3 3" xfId="10723"/>
    <cellStyle name="Обычный 10 8 5 4 4" xfId="10724"/>
    <cellStyle name="Обычный 10 8 5 4 4 2" xfId="10725"/>
    <cellStyle name="Обычный 10 8 5 4 4 3" xfId="10726"/>
    <cellStyle name="Обычный 10 8 5 4 5" xfId="10727"/>
    <cellStyle name="Обычный 10 8 5 4 5 2" xfId="10728"/>
    <cellStyle name="Обычный 10 8 5 4 6" xfId="10729"/>
    <cellStyle name="Обычный 10 8 5 4 7" xfId="10730"/>
    <cellStyle name="Обычный 10 8 5 5" xfId="10731"/>
    <cellStyle name="Обычный 10 8 5 5 2" xfId="10732"/>
    <cellStyle name="Обычный 10 8 5 5 2 2" xfId="10733"/>
    <cellStyle name="Обычный 10 8 5 5 2 3" xfId="10734"/>
    <cellStyle name="Обычный 10 8 5 5 3" xfId="10735"/>
    <cellStyle name="Обычный 10 8 5 5 3 2" xfId="10736"/>
    <cellStyle name="Обычный 10 8 5 5 3 3" xfId="10737"/>
    <cellStyle name="Обычный 10 8 5 5 4" xfId="10738"/>
    <cellStyle name="Обычный 10 8 5 5 4 2" xfId="10739"/>
    <cellStyle name="Обычный 10 8 5 5 5" xfId="10740"/>
    <cellStyle name="Обычный 10 8 5 5 6" xfId="10741"/>
    <cellStyle name="Обычный 10 8 5 6" xfId="10742"/>
    <cellStyle name="Обычный 10 8 5 6 2" xfId="10743"/>
    <cellStyle name="Обычный 10 8 5 6 3" xfId="10744"/>
    <cellStyle name="Обычный 10 8 5 7" xfId="10745"/>
    <cellStyle name="Обычный 10 8 5 7 2" xfId="10746"/>
    <cellStyle name="Обычный 10 8 5 7 3" xfId="10747"/>
    <cellStyle name="Обычный 10 8 5 8" xfId="10748"/>
    <cellStyle name="Обычный 10 8 5 8 2" xfId="10749"/>
    <cellStyle name="Обычный 10 8 5 9" xfId="10750"/>
    <cellStyle name="Обычный 10 8 6" xfId="10751"/>
    <cellStyle name="Обычный 10 8 6 2" xfId="10752"/>
    <cellStyle name="Обычный 10 8 6 2 2" xfId="10753"/>
    <cellStyle name="Обычный 10 8 6 2 2 2" xfId="10754"/>
    <cellStyle name="Обычный 10 8 6 2 2 2 2" xfId="10755"/>
    <cellStyle name="Обычный 10 8 6 2 2 2 2 2" xfId="10756"/>
    <cellStyle name="Обычный 10 8 6 2 2 2 2 3" xfId="10757"/>
    <cellStyle name="Обычный 10 8 6 2 2 2 3" xfId="10758"/>
    <cellStyle name="Обычный 10 8 6 2 2 2 3 2" xfId="10759"/>
    <cellStyle name="Обычный 10 8 6 2 2 2 3 3" xfId="10760"/>
    <cellStyle name="Обычный 10 8 6 2 2 2 4" xfId="10761"/>
    <cellStyle name="Обычный 10 8 6 2 2 2 4 2" xfId="10762"/>
    <cellStyle name="Обычный 10 8 6 2 2 2 5" xfId="10763"/>
    <cellStyle name="Обычный 10 8 6 2 2 2 6" xfId="10764"/>
    <cellStyle name="Обычный 10 8 6 2 2 3" xfId="10765"/>
    <cellStyle name="Обычный 10 8 6 2 2 3 2" xfId="10766"/>
    <cellStyle name="Обычный 10 8 6 2 2 3 3" xfId="10767"/>
    <cellStyle name="Обычный 10 8 6 2 2 4" xfId="10768"/>
    <cellStyle name="Обычный 10 8 6 2 2 4 2" xfId="10769"/>
    <cellStyle name="Обычный 10 8 6 2 2 4 3" xfId="10770"/>
    <cellStyle name="Обычный 10 8 6 2 2 5" xfId="10771"/>
    <cellStyle name="Обычный 10 8 6 2 2 5 2" xfId="10772"/>
    <cellStyle name="Обычный 10 8 6 2 2 6" xfId="10773"/>
    <cellStyle name="Обычный 10 8 6 2 2 7" xfId="10774"/>
    <cellStyle name="Обычный 10 8 6 2 3" xfId="10775"/>
    <cellStyle name="Обычный 10 8 6 2 3 2" xfId="10776"/>
    <cellStyle name="Обычный 10 8 6 2 3 2 2" xfId="10777"/>
    <cellStyle name="Обычный 10 8 6 2 3 2 3" xfId="10778"/>
    <cellStyle name="Обычный 10 8 6 2 3 3" xfId="10779"/>
    <cellStyle name="Обычный 10 8 6 2 3 3 2" xfId="10780"/>
    <cellStyle name="Обычный 10 8 6 2 3 3 3" xfId="10781"/>
    <cellStyle name="Обычный 10 8 6 2 3 4" xfId="10782"/>
    <cellStyle name="Обычный 10 8 6 2 3 4 2" xfId="10783"/>
    <cellStyle name="Обычный 10 8 6 2 3 5" xfId="10784"/>
    <cellStyle name="Обычный 10 8 6 2 3 6" xfId="10785"/>
    <cellStyle name="Обычный 10 8 6 2 4" xfId="10786"/>
    <cellStyle name="Обычный 10 8 6 2 4 2" xfId="10787"/>
    <cellStyle name="Обычный 10 8 6 2 4 3" xfId="10788"/>
    <cellStyle name="Обычный 10 8 6 2 5" xfId="10789"/>
    <cellStyle name="Обычный 10 8 6 2 5 2" xfId="10790"/>
    <cellStyle name="Обычный 10 8 6 2 5 3" xfId="10791"/>
    <cellStyle name="Обычный 10 8 6 2 6" xfId="10792"/>
    <cellStyle name="Обычный 10 8 6 2 6 2" xfId="10793"/>
    <cellStyle name="Обычный 10 8 6 2 7" xfId="10794"/>
    <cellStyle name="Обычный 10 8 6 2 8" xfId="10795"/>
    <cellStyle name="Обычный 10 8 6 3" xfId="10796"/>
    <cellStyle name="Обычный 10 8 6 3 2" xfId="10797"/>
    <cellStyle name="Обычный 10 8 6 3 2 2" xfId="10798"/>
    <cellStyle name="Обычный 10 8 6 3 2 2 2" xfId="10799"/>
    <cellStyle name="Обычный 10 8 6 3 2 2 3" xfId="10800"/>
    <cellStyle name="Обычный 10 8 6 3 2 3" xfId="10801"/>
    <cellStyle name="Обычный 10 8 6 3 2 3 2" xfId="10802"/>
    <cellStyle name="Обычный 10 8 6 3 2 3 3" xfId="10803"/>
    <cellStyle name="Обычный 10 8 6 3 2 4" xfId="10804"/>
    <cellStyle name="Обычный 10 8 6 3 2 4 2" xfId="10805"/>
    <cellStyle name="Обычный 10 8 6 3 2 5" xfId="10806"/>
    <cellStyle name="Обычный 10 8 6 3 2 6" xfId="10807"/>
    <cellStyle name="Обычный 10 8 6 3 3" xfId="10808"/>
    <cellStyle name="Обычный 10 8 6 3 3 2" xfId="10809"/>
    <cellStyle name="Обычный 10 8 6 3 3 3" xfId="10810"/>
    <cellStyle name="Обычный 10 8 6 3 4" xfId="10811"/>
    <cellStyle name="Обычный 10 8 6 3 4 2" xfId="10812"/>
    <cellStyle name="Обычный 10 8 6 3 4 3" xfId="10813"/>
    <cellStyle name="Обычный 10 8 6 3 5" xfId="10814"/>
    <cellStyle name="Обычный 10 8 6 3 5 2" xfId="10815"/>
    <cellStyle name="Обычный 10 8 6 3 6" xfId="10816"/>
    <cellStyle name="Обычный 10 8 6 3 7" xfId="10817"/>
    <cellStyle name="Обычный 10 8 6 4" xfId="10818"/>
    <cellStyle name="Обычный 10 8 6 4 2" xfId="10819"/>
    <cellStyle name="Обычный 10 8 6 4 2 2" xfId="10820"/>
    <cellStyle name="Обычный 10 8 6 4 2 3" xfId="10821"/>
    <cellStyle name="Обычный 10 8 6 4 3" xfId="10822"/>
    <cellStyle name="Обычный 10 8 6 4 3 2" xfId="10823"/>
    <cellStyle name="Обычный 10 8 6 4 3 3" xfId="10824"/>
    <cellStyle name="Обычный 10 8 6 4 4" xfId="10825"/>
    <cellStyle name="Обычный 10 8 6 4 4 2" xfId="10826"/>
    <cellStyle name="Обычный 10 8 6 4 5" xfId="10827"/>
    <cellStyle name="Обычный 10 8 6 4 6" xfId="10828"/>
    <cellStyle name="Обычный 10 8 6 5" xfId="10829"/>
    <cellStyle name="Обычный 10 8 6 5 2" xfId="10830"/>
    <cellStyle name="Обычный 10 8 6 5 3" xfId="10831"/>
    <cellStyle name="Обычный 10 8 6 6" xfId="10832"/>
    <cellStyle name="Обычный 10 8 6 6 2" xfId="10833"/>
    <cellStyle name="Обычный 10 8 6 6 3" xfId="10834"/>
    <cellStyle name="Обычный 10 8 6 7" xfId="10835"/>
    <cellStyle name="Обычный 10 8 6 7 2" xfId="10836"/>
    <cellStyle name="Обычный 10 8 6 8" xfId="10837"/>
    <cellStyle name="Обычный 10 8 6 9" xfId="10838"/>
    <cellStyle name="Обычный 10 8 7" xfId="10839"/>
    <cellStyle name="Обычный 10 8 7 2" xfId="10840"/>
    <cellStyle name="Обычный 10 8 7 2 2" xfId="10841"/>
    <cellStyle name="Обычный 10 8 7 2 2 2" xfId="10842"/>
    <cellStyle name="Обычный 10 8 7 2 2 2 2" xfId="10843"/>
    <cellStyle name="Обычный 10 8 7 2 2 2 3" xfId="10844"/>
    <cellStyle name="Обычный 10 8 7 2 2 3" xfId="10845"/>
    <cellStyle name="Обычный 10 8 7 2 2 3 2" xfId="10846"/>
    <cellStyle name="Обычный 10 8 7 2 2 3 3" xfId="10847"/>
    <cellStyle name="Обычный 10 8 7 2 2 4" xfId="10848"/>
    <cellStyle name="Обычный 10 8 7 2 2 4 2" xfId="10849"/>
    <cellStyle name="Обычный 10 8 7 2 2 5" xfId="10850"/>
    <cellStyle name="Обычный 10 8 7 2 2 6" xfId="10851"/>
    <cellStyle name="Обычный 10 8 7 2 3" xfId="10852"/>
    <cellStyle name="Обычный 10 8 7 2 3 2" xfId="10853"/>
    <cellStyle name="Обычный 10 8 7 2 3 3" xfId="10854"/>
    <cellStyle name="Обычный 10 8 7 2 4" xfId="10855"/>
    <cellStyle name="Обычный 10 8 7 2 4 2" xfId="10856"/>
    <cellStyle name="Обычный 10 8 7 2 4 3" xfId="10857"/>
    <cellStyle name="Обычный 10 8 7 2 5" xfId="10858"/>
    <cellStyle name="Обычный 10 8 7 2 5 2" xfId="10859"/>
    <cellStyle name="Обычный 10 8 7 2 6" xfId="10860"/>
    <cellStyle name="Обычный 10 8 7 2 7" xfId="10861"/>
    <cellStyle name="Обычный 10 8 7 3" xfId="10862"/>
    <cellStyle name="Обычный 10 8 7 3 2" xfId="10863"/>
    <cellStyle name="Обычный 10 8 7 3 2 2" xfId="10864"/>
    <cellStyle name="Обычный 10 8 7 3 2 3" xfId="10865"/>
    <cellStyle name="Обычный 10 8 7 3 3" xfId="10866"/>
    <cellStyle name="Обычный 10 8 7 3 3 2" xfId="10867"/>
    <cellStyle name="Обычный 10 8 7 3 3 3" xfId="10868"/>
    <cellStyle name="Обычный 10 8 7 3 4" xfId="10869"/>
    <cellStyle name="Обычный 10 8 7 3 4 2" xfId="10870"/>
    <cellStyle name="Обычный 10 8 7 3 5" xfId="10871"/>
    <cellStyle name="Обычный 10 8 7 3 6" xfId="10872"/>
    <cellStyle name="Обычный 10 8 7 4" xfId="10873"/>
    <cellStyle name="Обычный 10 8 7 4 2" xfId="10874"/>
    <cellStyle name="Обычный 10 8 7 4 3" xfId="10875"/>
    <cellStyle name="Обычный 10 8 7 5" xfId="10876"/>
    <cellStyle name="Обычный 10 8 7 5 2" xfId="10877"/>
    <cellStyle name="Обычный 10 8 7 5 3" xfId="10878"/>
    <cellStyle name="Обычный 10 8 7 6" xfId="10879"/>
    <cellStyle name="Обычный 10 8 7 6 2" xfId="10880"/>
    <cellStyle name="Обычный 10 8 7 7" xfId="10881"/>
    <cellStyle name="Обычный 10 8 7 8" xfId="10882"/>
    <cellStyle name="Обычный 10 8 8" xfId="10883"/>
    <cellStyle name="Обычный 10 8 8 2" xfId="10884"/>
    <cellStyle name="Обычный 10 8 8 2 2" xfId="10885"/>
    <cellStyle name="Обычный 10 8 8 2 2 2" xfId="10886"/>
    <cellStyle name="Обычный 10 8 8 2 2 3" xfId="10887"/>
    <cellStyle name="Обычный 10 8 8 2 3" xfId="10888"/>
    <cellStyle name="Обычный 10 8 8 2 3 2" xfId="10889"/>
    <cellStyle name="Обычный 10 8 8 2 3 3" xfId="10890"/>
    <cellStyle name="Обычный 10 8 8 2 4" xfId="10891"/>
    <cellStyle name="Обычный 10 8 8 2 4 2" xfId="10892"/>
    <cellStyle name="Обычный 10 8 8 2 5" xfId="10893"/>
    <cellStyle name="Обычный 10 8 8 2 6" xfId="10894"/>
    <cellStyle name="Обычный 10 8 8 3" xfId="10895"/>
    <cellStyle name="Обычный 10 8 8 3 2" xfId="10896"/>
    <cellStyle name="Обычный 10 8 8 3 3" xfId="10897"/>
    <cellStyle name="Обычный 10 8 8 4" xfId="10898"/>
    <cellStyle name="Обычный 10 8 8 4 2" xfId="10899"/>
    <cellStyle name="Обычный 10 8 8 4 3" xfId="10900"/>
    <cellStyle name="Обычный 10 8 8 5" xfId="10901"/>
    <cellStyle name="Обычный 10 8 8 5 2" xfId="10902"/>
    <cellStyle name="Обычный 10 8 8 6" xfId="10903"/>
    <cellStyle name="Обычный 10 8 8 7" xfId="10904"/>
    <cellStyle name="Обычный 10 8 9" xfId="10905"/>
    <cellStyle name="Обычный 10 8 9 2" xfId="10906"/>
    <cellStyle name="Обычный 10 8 9 2 2" xfId="10907"/>
    <cellStyle name="Обычный 10 8 9 2 3" xfId="10908"/>
    <cellStyle name="Обычный 10 8 9 3" xfId="10909"/>
    <cellStyle name="Обычный 10 8 9 3 2" xfId="10910"/>
    <cellStyle name="Обычный 10 8 9 3 3" xfId="10911"/>
    <cellStyle name="Обычный 10 8 9 4" xfId="10912"/>
    <cellStyle name="Обычный 10 8 9 4 2" xfId="10913"/>
    <cellStyle name="Обычный 10 8 9 5" xfId="10914"/>
    <cellStyle name="Обычный 10 8 9 6" xfId="10915"/>
    <cellStyle name="Обычный 10 9" xfId="10916"/>
    <cellStyle name="Обычный 10 9 10" xfId="10917"/>
    <cellStyle name="Обычный 10 9 10 2" xfId="10918"/>
    <cellStyle name="Обычный 10 9 10 3" xfId="10919"/>
    <cellStyle name="Обычный 10 9 11" xfId="10920"/>
    <cellStyle name="Обычный 10 9 11 2" xfId="10921"/>
    <cellStyle name="Обычный 10 9 12" xfId="10922"/>
    <cellStyle name="Обычный 10 9 13" xfId="10923"/>
    <cellStyle name="Обычный 10 9 2" xfId="10924"/>
    <cellStyle name="Обычный 10 9 2 10" xfId="10925"/>
    <cellStyle name="Обычный 10 9 2 2" xfId="10926"/>
    <cellStyle name="Обычный 10 9 2 2 2" xfId="10927"/>
    <cellStyle name="Обычный 10 9 2 2 2 2" xfId="10928"/>
    <cellStyle name="Обычный 10 9 2 2 2 2 2" xfId="10929"/>
    <cellStyle name="Обычный 10 9 2 2 2 2 2 2" xfId="10930"/>
    <cellStyle name="Обычный 10 9 2 2 2 2 2 2 2" xfId="10931"/>
    <cellStyle name="Обычный 10 9 2 2 2 2 2 2 3" xfId="10932"/>
    <cellStyle name="Обычный 10 9 2 2 2 2 2 3" xfId="10933"/>
    <cellStyle name="Обычный 10 9 2 2 2 2 2 3 2" xfId="10934"/>
    <cellStyle name="Обычный 10 9 2 2 2 2 2 3 3" xfId="10935"/>
    <cellStyle name="Обычный 10 9 2 2 2 2 2 4" xfId="10936"/>
    <cellStyle name="Обычный 10 9 2 2 2 2 2 4 2" xfId="10937"/>
    <cellStyle name="Обычный 10 9 2 2 2 2 2 5" xfId="10938"/>
    <cellStyle name="Обычный 10 9 2 2 2 2 2 6" xfId="10939"/>
    <cellStyle name="Обычный 10 9 2 2 2 2 3" xfId="10940"/>
    <cellStyle name="Обычный 10 9 2 2 2 2 3 2" xfId="10941"/>
    <cellStyle name="Обычный 10 9 2 2 2 2 3 3" xfId="10942"/>
    <cellStyle name="Обычный 10 9 2 2 2 2 4" xfId="10943"/>
    <cellStyle name="Обычный 10 9 2 2 2 2 4 2" xfId="10944"/>
    <cellStyle name="Обычный 10 9 2 2 2 2 4 3" xfId="10945"/>
    <cellStyle name="Обычный 10 9 2 2 2 2 5" xfId="10946"/>
    <cellStyle name="Обычный 10 9 2 2 2 2 5 2" xfId="10947"/>
    <cellStyle name="Обычный 10 9 2 2 2 2 6" xfId="10948"/>
    <cellStyle name="Обычный 10 9 2 2 2 2 7" xfId="10949"/>
    <cellStyle name="Обычный 10 9 2 2 2 3" xfId="10950"/>
    <cellStyle name="Обычный 10 9 2 2 2 3 2" xfId="10951"/>
    <cellStyle name="Обычный 10 9 2 2 2 3 2 2" xfId="10952"/>
    <cellStyle name="Обычный 10 9 2 2 2 3 2 3" xfId="10953"/>
    <cellStyle name="Обычный 10 9 2 2 2 3 3" xfId="10954"/>
    <cellStyle name="Обычный 10 9 2 2 2 3 3 2" xfId="10955"/>
    <cellStyle name="Обычный 10 9 2 2 2 3 3 3" xfId="10956"/>
    <cellStyle name="Обычный 10 9 2 2 2 3 4" xfId="10957"/>
    <cellStyle name="Обычный 10 9 2 2 2 3 4 2" xfId="10958"/>
    <cellStyle name="Обычный 10 9 2 2 2 3 5" xfId="10959"/>
    <cellStyle name="Обычный 10 9 2 2 2 3 6" xfId="10960"/>
    <cellStyle name="Обычный 10 9 2 2 2 4" xfId="10961"/>
    <cellStyle name="Обычный 10 9 2 2 2 4 2" xfId="10962"/>
    <cellStyle name="Обычный 10 9 2 2 2 4 3" xfId="10963"/>
    <cellStyle name="Обычный 10 9 2 2 2 5" xfId="10964"/>
    <cellStyle name="Обычный 10 9 2 2 2 5 2" xfId="10965"/>
    <cellStyle name="Обычный 10 9 2 2 2 5 3" xfId="10966"/>
    <cellStyle name="Обычный 10 9 2 2 2 6" xfId="10967"/>
    <cellStyle name="Обычный 10 9 2 2 2 6 2" xfId="10968"/>
    <cellStyle name="Обычный 10 9 2 2 2 7" xfId="10969"/>
    <cellStyle name="Обычный 10 9 2 2 2 8" xfId="10970"/>
    <cellStyle name="Обычный 10 9 2 2 3" xfId="10971"/>
    <cellStyle name="Обычный 10 9 2 2 3 2" xfId="10972"/>
    <cellStyle name="Обычный 10 9 2 2 3 2 2" xfId="10973"/>
    <cellStyle name="Обычный 10 9 2 2 3 2 2 2" xfId="10974"/>
    <cellStyle name="Обычный 10 9 2 2 3 2 2 3" xfId="10975"/>
    <cellStyle name="Обычный 10 9 2 2 3 2 3" xfId="10976"/>
    <cellStyle name="Обычный 10 9 2 2 3 2 3 2" xfId="10977"/>
    <cellStyle name="Обычный 10 9 2 2 3 2 3 3" xfId="10978"/>
    <cellStyle name="Обычный 10 9 2 2 3 2 4" xfId="10979"/>
    <cellStyle name="Обычный 10 9 2 2 3 2 4 2" xfId="10980"/>
    <cellStyle name="Обычный 10 9 2 2 3 2 5" xfId="10981"/>
    <cellStyle name="Обычный 10 9 2 2 3 2 6" xfId="10982"/>
    <cellStyle name="Обычный 10 9 2 2 3 3" xfId="10983"/>
    <cellStyle name="Обычный 10 9 2 2 3 3 2" xfId="10984"/>
    <cellStyle name="Обычный 10 9 2 2 3 3 3" xfId="10985"/>
    <cellStyle name="Обычный 10 9 2 2 3 4" xfId="10986"/>
    <cellStyle name="Обычный 10 9 2 2 3 4 2" xfId="10987"/>
    <cellStyle name="Обычный 10 9 2 2 3 4 3" xfId="10988"/>
    <cellStyle name="Обычный 10 9 2 2 3 5" xfId="10989"/>
    <cellStyle name="Обычный 10 9 2 2 3 5 2" xfId="10990"/>
    <cellStyle name="Обычный 10 9 2 2 3 6" xfId="10991"/>
    <cellStyle name="Обычный 10 9 2 2 3 7" xfId="10992"/>
    <cellStyle name="Обычный 10 9 2 2 4" xfId="10993"/>
    <cellStyle name="Обычный 10 9 2 2 4 2" xfId="10994"/>
    <cellStyle name="Обычный 10 9 2 2 4 2 2" xfId="10995"/>
    <cellStyle name="Обычный 10 9 2 2 4 2 3" xfId="10996"/>
    <cellStyle name="Обычный 10 9 2 2 4 3" xfId="10997"/>
    <cellStyle name="Обычный 10 9 2 2 4 3 2" xfId="10998"/>
    <cellStyle name="Обычный 10 9 2 2 4 3 3" xfId="10999"/>
    <cellStyle name="Обычный 10 9 2 2 4 4" xfId="11000"/>
    <cellStyle name="Обычный 10 9 2 2 4 4 2" xfId="11001"/>
    <cellStyle name="Обычный 10 9 2 2 4 5" xfId="11002"/>
    <cellStyle name="Обычный 10 9 2 2 4 6" xfId="11003"/>
    <cellStyle name="Обычный 10 9 2 2 5" xfId="11004"/>
    <cellStyle name="Обычный 10 9 2 2 5 2" xfId="11005"/>
    <cellStyle name="Обычный 10 9 2 2 5 3" xfId="11006"/>
    <cellStyle name="Обычный 10 9 2 2 6" xfId="11007"/>
    <cellStyle name="Обычный 10 9 2 2 6 2" xfId="11008"/>
    <cellStyle name="Обычный 10 9 2 2 6 3" xfId="11009"/>
    <cellStyle name="Обычный 10 9 2 2 7" xfId="11010"/>
    <cellStyle name="Обычный 10 9 2 2 7 2" xfId="11011"/>
    <cellStyle name="Обычный 10 9 2 2 8" xfId="11012"/>
    <cellStyle name="Обычный 10 9 2 2 9" xfId="11013"/>
    <cellStyle name="Обычный 10 9 2 3" xfId="11014"/>
    <cellStyle name="Обычный 10 9 2 3 2" xfId="11015"/>
    <cellStyle name="Обычный 10 9 2 3 2 2" xfId="11016"/>
    <cellStyle name="Обычный 10 9 2 3 2 2 2" xfId="11017"/>
    <cellStyle name="Обычный 10 9 2 3 2 2 2 2" xfId="11018"/>
    <cellStyle name="Обычный 10 9 2 3 2 2 2 3" xfId="11019"/>
    <cellStyle name="Обычный 10 9 2 3 2 2 3" xfId="11020"/>
    <cellStyle name="Обычный 10 9 2 3 2 2 3 2" xfId="11021"/>
    <cellStyle name="Обычный 10 9 2 3 2 2 3 3" xfId="11022"/>
    <cellStyle name="Обычный 10 9 2 3 2 2 4" xfId="11023"/>
    <cellStyle name="Обычный 10 9 2 3 2 2 4 2" xfId="11024"/>
    <cellStyle name="Обычный 10 9 2 3 2 2 5" xfId="11025"/>
    <cellStyle name="Обычный 10 9 2 3 2 2 6" xfId="11026"/>
    <cellStyle name="Обычный 10 9 2 3 2 3" xfId="11027"/>
    <cellStyle name="Обычный 10 9 2 3 2 3 2" xfId="11028"/>
    <cellStyle name="Обычный 10 9 2 3 2 3 3" xfId="11029"/>
    <cellStyle name="Обычный 10 9 2 3 2 4" xfId="11030"/>
    <cellStyle name="Обычный 10 9 2 3 2 4 2" xfId="11031"/>
    <cellStyle name="Обычный 10 9 2 3 2 4 3" xfId="11032"/>
    <cellStyle name="Обычный 10 9 2 3 2 5" xfId="11033"/>
    <cellStyle name="Обычный 10 9 2 3 2 5 2" xfId="11034"/>
    <cellStyle name="Обычный 10 9 2 3 2 6" xfId="11035"/>
    <cellStyle name="Обычный 10 9 2 3 2 7" xfId="11036"/>
    <cellStyle name="Обычный 10 9 2 3 3" xfId="11037"/>
    <cellStyle name="Обычный 10 9 2 3 3 2" xfId="11038"/>
    <cellStyle name="Обычный 10 9 2 3 3 2 2" xfId="11039"/>
    <cellStyle name="Обычный 10 9 2 3 3 2 3" xfId="11040"/>
    <cellStyle name="Обычный 10 9 2 3 3 3" xfId="11041"/>
    <cellStyle name="Обычный 10 9 2 3 3 3 2" xfId="11042"/>
    <cellStyle name="Обычный 10 9 2 3 3 3 3" xfId="11043"/>
    <cellStyle name="Обычный 10 9 2 3 3 4" xfId="11044"/>
    <cellStyle name="Обычный 10 9 2 3 3 4 2" xfId="11045"/>
    <cellStyle name="Обычный 10 9 2 3 3 5" xfId="11046"/>
    <cellStyle name="Обычный 10 9 2 3 3 6" xfId="11047"/>
    <cellStyle name="Обычный 10 9 2 3 4" xfId="11048"/>
    <cellStyle name="Обычный 10 9 2 3 4 2" xfId="11049"/>
    <cellStyle name="Обычный 10 9 2 3 4 3" xfId="11050"/>
    <cellStyle name="Обычный 10 9 2 3 5" xfId="11051"/>
    <cellStyle name="Обычный 10 9 2 3 5 2" xfId="11052"/>
    <cellStyle name="Обычный 10 9 2 3 5 3" xfId="11053"/>
    <cellStyle name="Обычный 10 9 2 3 6" xfId="11054"/>
    <cellStyle name="Обычный 10 9 2 3 6 2" xfId="11055"/>
    <cellStyle name="Обычный 10 9 2 3 7" xfId="11056"/>
    <cellStyle name="Обычный 10 9 2 3 8" xfId="11057"/>
    <cellStyle name="Обычный 10 9 2 4" xfId="11058"/>
    <cellStyle name="Обычный 10 9 2 4 2" xfId="11059"/>
    <cellStyle name="Обычный 10 9 2 4 2 2" xfId="11060"/>
    <cellStyle name="Обычный 10 9 2 4 2 2 2" xfId="11061"/>
    <cellStyle name="Обычный 10 9 2 4 2 2 3" xfId="11062"/>
    <cellStyle name="Обычный 10 9 2 4 2 3" xfId="11063"/>
    <cellStyle name="Обычный 10 9 2 4 2 3 2" xfId="11064"/>
    <cellStyle name="Обычный 10 9 2 4 2 3 3" xfId="11065"/>
    <cellStyle name="Обычный 10 9 2 4 2 4" xfId="11066"/>
    <cellStyle name="Обычный 10 9 2 4 2 4 2" xfId="11067"/>
    <cellStyle name="Обычный 10 9 2 4 2 5" xfId="11068"/>
    <cellStyle name="Обычный 10 9 2 4 2 6" xfId="11069"/>
    <cellStyle name="Обычный 10 9 2 4 3" xfId="11070"/>
    <cellStyle name="Обычный 10 9 2 4 3 2" xfId="11071"/>
    <cellStyle name="Обычный 10 9 2 4 3 3" xfId="11072"/>
    <cellStyle name="Обычный 10 9 2 4 4" xfId="11073"/>
    <cellStyle name="Обычный 10 9 2 4 4 2" xfId="11074"/>
    <cellStyle name="Обычный 10 9 2 4 4 3" xfId="11075"/>
    <cellStyle name="Обычный 10 9 2 4 5" xfId="11076"/>
    <cellStyle name="Обычный 10 9 2 4 5 2" xfId="11077"/>
    <cellStyle name="Обычный 10 9 2 4 6" xfId="11078"/>
    <cellStyle name="Обычный 10 9 2 4 7" xfId="11079"/>
    <cellStyle name="Обычный 10 9 2 5" xfId="11080"/>
    <cellStyle name="Обычный 10 9 2 5 2" xfId="11081"/>
    <cellStyle name="Обычный 10 9 2 5 2 2" xfId="11082"/>
    <cellStyle name="Обычный 10 9 2 5 2 3" xfId="11083"/>
    <cellStyle name="Обычный 10 9 2 5 3" xfId="11084"/>
    <cellStyle name="Обычный 10 9 2 5 3 2" xfId="11085"/>
    <cellStyle name="Обычный 10 9 2 5 3 3" xfId="11086"/>
    <cellStyle name="Обычный 10 9 2 5 4" xfId="11087"/>
    <cellStyle name="Обычный 10 9 2 5 4 2" xfId="11088"/>
    <cellStyle name="Обычный 10 9 2 5 5" xfId="11089"/>
    <cellStyle name="Обычный 10 9 2 5 6" xfId="11090"/>
    <cellStyle name="Обычный 10 9 2 6" xfId="11091"/>
    <cellStyle name="Обычный 10 9 2 6 2" xfId="11092"/>
    <cellStyle name="Обычный 10 9 2 6 3" xfId="11093"/>
    <cellStyle name="Обычный 10 9 2 7" xfId="11094"/>
    <cellStyle name="Обычный 10 9 2 7 2" xfId="11095"/>
    <cellStyle name="Обычный 10 9 2 7 3" xfId="11096"/>
    <cellStyle name="Обычный 10 9 2 8" xfId="11097"/>
    <cellStyle name="Обычный 10 9 2 8 2" xfId="11098"/>
    <cellStyle name="Обычный 10 9 2 9" xfId="11099"/>
    <cellStyle name="Обычный 10 9 3" xfId="11100"/>
    <cellStyle name="Обычный 10 9 3 10" xfId="11101"/>
    <cellStyle name="Обычный 10 9 3 2" xfId="11102"/>
    <cellStyle name="Обычный 10 9 3 2 2" xfId="11103"/>
    <cellStyle name="Обычный 10 9 3 2 2 2" xfId="11104"/>
    <cellStyle name="Обычный 10 9 3 2 2 2 2" xfId="11105"/>
    <cellStyle name="Обычный 10 9 3 2 2 2 2 2" xfId="11106"/>
    <cellStyle name="Обычный 10 9 3 2 2 2 2 2 2" xfId="11107"/>
    <cellStyle name="Обычный 10 9 3 2 2 2 2 2 3" xfId="11108"/>
    <cellStyle name="Обычный 10 9 3 2 2 2 2 3" xfId="11109"/>
    <cellStyle name="Обычный 10 9 3 2 2 2 2 3 2" xfId="11110"/>
    <cellStyle name="Обычный 10 9 3 2 2 2 2 3 3" xfId="11111"/>
    <cellStyle name="Обычный 10 9 3 2 2 2 2 4" xfId="11112"/>
    <cellStyle name="Обычный 10 9 3 2 2 2 2 4 2" xfId="11113"/>
    <cellStyle name="Обычный 10 9 3 2 2 2 2 5" xfId="11114"/>
    <cellStyle name="Обычный 10 9 3 2 2 2 2 6" xfId="11115"/>
    <cellStyle name="Обычный 10 9 3 2 2 2 3" xfId="11116"/>
    <cellStyle name="Обычный 10 9 3 2 2 2 3 2" xfId="11117"/>
    <cellStyle name="Обычный 10 9 3 2 2 2 3 3" xfId="11118"/>
    <cellStyle name="Обычный 10 9 3 2 2 2 4" xfId="11119"/>
    <cellStyle name="Обычный 10 9 3 2 2 2 4 2" xfId="11120"/>
    <cellStyle name="Обычный 10 9 3 2 2 2 4 3" xfId="11121"/>
    <cellStyle name="Обычный 10 9 3 2 2 2 5" xfId="11122"/>
    <cellStyle name="Обычный 10 9 3 2 2 2 5 2" xfId="11123"/>
    <cellStyle name="Обычный 10 9 3 2 2 2 6" xfId="11124"/>
    <cellStyle name="Обычный 10 9 3 2 2 2 7" xfId="11125"/>
    <cellStyle name="Обычный 10 9 3 2 2 3" xfId="11126"/>
    <cellStyle name="Обычный 10 9 3 2 2 3 2" xfId="11127"/>
    <cellStyle name="Обычный 10 9 3 2 2 3 2 2" xfId="11128"/>
    <cellStyle name="Обычный 10 9 3 2 2 3 2 3" xfId="11129"/>
    <cellStyle name="Обычный 10 9 3 2 2 3 3" xfId="11130"/>
    <cellStyle name="Обычный 10 9 3 2 2 3 3 2" xfId="11131"/>
    <cellStyle name="Обычный 10 9 3 2 2 3 3 3" xfId="11132"/>
    <cellStyle name="Обычный 10 9 3 2 2 3 4" xfId="11133"/>
    <cellStyle name="Обычный 10 9 3 2 2 3 4 2" xfId="11134"/>
    <cellStyle name="Обычный 10 9 3 2 2 3 5" xfId="11135"/>
    <cellStyle name="Обычный 10 9 3 2 2 3 6" xfId="11136"/>
    <cellStyle name="Обычный 10 9 3 2 2 4" xfId="11137"/>
    <cellStyle name="Обычный 10 9 3 2 2 4 2" xfId="11138"/>
    <cellStyle name="Обычный 10 9 3 2 2 4 3" xfId="11139"/>
    <cellStyle name="Обычный 10 9 3 2 2 5" xfId="11140"/>
    <cellStyle name="Обычный 10 9 3 2 2 5 2" xfId="11141"/>
    <cellStyle name="Обычный 10 9 3 2 2 5 3" xfId="11142"/>
    <cellStyle name="Обычный 10 9 3 2 2 6" xfId="11143"/>
    <cellStyle name="Обычный 10 9 3 2 2 6 2" xfId="11144"/>
    <cellStyle name="Обычный 10 9 3 2 2 7" xfId="11145"/>
    <cellStyle name="Обычный 10 9 3 2 2 8" xfId="11146"/>
    <cellStyle name="Обычный 10 9 3 2 3" xfId="11147"/>
    <cellStyle name="Обычный 10 9 3 2 3 2" xfId="11148"/>
    <cellStyle name="Обычный 10 9 3 2 3 2 2" xfId="11149"/>
    <cellStyle name="Обычный 10 9 3 2 3 2 2 2" xfId="11150"/>
    <cellStyle name="Обычный 10 9 3 2 3 2 2 3" xfId="11151"/>
    <cellStyle name="Обычный 10 9 3 2 3 2 3" xfId="11152"/>
    <cellStyle name="Обычный 10 9 3 2 3 2 3 2" xfId="11153"/>
    <cellStyle name="Обычный 10 9 3 2 3 2 3 3" xfId="11154"/>
    <cellStyle name="Обычный 10 9 3 2 3 2 4" xfId="11155"/>
    <cellStyle name="Обычный 10 9 3 2 3 2 4 2" xfId="11156"/>
    <cellStyle name="Обычный 10 9 3 2 3 2 5" xfId="11157"/>
    <cellStyle name="Обычный 10 9 3 2 3 2 6" xfId="11158"/>
    <cellStyle name="Обычный 10 9 3 2 3 3" xfId="11159"/>
    <cellStyle name="Обычный 10 9 3 2 3 3 2" xfId="11160"/>
    <cellStyle name="Обычный 10 9 3 2 3 3 3" xfId="11161"/>
    <cellStyle name="Обычный 10 9 3 2 3 4" xfId="11162"/>
    <cellStyle name="Обычный 10 9 3 2 3 4 2" xfId="11163"/>
    <cellStyle name="Обычный 10 9 3 2 3 4 3" xfId="11164"/>
    <cellStyle name="Обычный 10 9 3 2 3 5" xfId="11165"/>
    <cellStyle name="Обычный 10 9 3 2 3 5 2" xfId="11166"/>
    <cellStyle name="Обычный 10 9 3 2 3 6" xfId="11167"/>
    <cellStyle name="Обычный 10 9 3 2 3 7" xfId="11168"/>
    <cellStyle name="Обычный 10 9 3 2 4" xfId="11169"/>
    <cellStyle name="Обычный 10 9 3 2 4 2" xfId="11170"/>
    <cellStyle name="Обычный 10 9 3 2 4 2 2" xfId="11171"/>
    <cellStyle name="Обычный 10 9 3 2 4 2 3" xfId="11172"/>
    <cellStyle name="Обычный 10 9 3 2 4 3" xfId="11173"/>
    <cellStyle name="Обычный 10 9 3 2 4 3 2" xfId="11174"/>
    <cellStyle name="Обычный 10 9 3 2 4 3 3" xfId="11175"/>
    <cellStyle name="Обычный 10 9 3 2 4 4" xfId="11176"/>
    <cellStyle name="Обычный 10 9 3 2 4 4 2" xfId="11177"/>
    <cellStyle name="Обычный 10 9 3 2 4 5" xfId="11178"/>
    <cellStyle name="Обычный 10 9 3 2 4 6" xfId="11179"/>
    <cellStyle name="Обычный 10 9 3 2 5" xfId="11180"/>
    <cellStyle name="Обычный 10 9 3 2 5 2" xfId="11181"/>
    <cellStyle name="Обычный 10 9 3 2 5 3" xfId="11182"/>
    <cellStyle name="Обычный 10 9 3 2 6" xfId="11183"/>
    <cellStyle name="Обычный 10 9 3 2 6 2" xfId="11184"/>
    <cellStyle name="Обычный 10 9 3 2 6 3" xfId="11185"/>
    <cellStyle name="Обычный 10 9 3 2 7" xfId="11186"/>
    <cellStyle name="Обычный 10 9 3 2 7 2" xfId="11187"/>
    <cellStyle name="Обычный 10 9 3 2 8" xfId="11188"/>
    <cellStyle name="Обычный 10 9 3 2 9" xfId="11189"/>
    <cellStyle name="Обычный 10 9 3 3" xfId="11190"/>
    <cellStyle name="Обычный 10 9 3 3 2" xfId="11191"/>
    <cellStyle name="Обычный 10 9 3 3 2 2" xfId="11192"/>
    <cellStyle name="Обычный 10 9 3 3 2 2 2" xfId="11193"/>
    <cellStyle name="Обычный 10 9 3 3 2 2 2 2" xfId="11194"/>
    <cellStyle name="Обычный 10 9 3 3 2 2 2 3" xfId="11195"/>
    <cellStyle name="Обычный 10 9 3 3 2 2 3" xfId="11196"/>
    <cellStyle name="Обычный 10 9 3 3 2 2 3 2" xfId="11197"/>
    <cellStyle name="Обычный 10 9 3 3 2 2 3 3" xfId="11198"/>
    <cellStyle name="Обычный 10 9 3 3 2 2 4" xfId="11199"/>
    <cellStyle name="Обычный 10 9 3 3 2 2 4 2" xfId="11200"/>
    <cellStyle name="Обычный 10 9 3 3 2 2 5" xfId="11201"/>
    <cellStyle name="Обычный 10 9 3 3 2 2 6" xfId="11202"/>
    <cellStyle name="Обычный 10 9 3 3 2 3" xfId="11203"/>
    <cellStyle name="Обычный 10 9 3 3 2 3 2" xfId="11204"/>
    <cellStyle name="Обычный 10 9 3 3 2 3 3" xfId="11205"/>
    <cellStyle name="Обычный 10 9 3 3 2 4" xfId="11206"/>
    <cellStyle name="Обычный 10 9 3 3 2 4 2" xfId="11207"/>
    <cellStyle name="Обычный 10 9 3 3 2 4 3" xfId="11208"/>
    <cellStyle name="Обычный 10 9 3 3 2 5" xfId="11209"/>
    <cellStyle name="Обычный 10 9 3 3 2 5 2" xfId="11210"/>
    <cellStyle name="Обычный 10 9 3 3 2 6" xfId="11211"/>
    <cellStyle name="Обычный 10 9 3 3 2 7" xfId="11212"/>
    <cellStyle name="Обычный 10 9 3 3 3" xfId="11213"/>
    <cellStyle name="Обычный 10 9 3 3 3 2" xfId="11214"/>
    <cellStyle name="Обычный 10 9 3 3 3 2 2" xfId="11215"/>
    <cellStyle name="Обычный 10 9 3 3 3 2 3" xfId="11216"/>
    <cellStyle name="Обычный 10 9 3 3 3 3" xfId="11217"/>
    <cellStyle name="Обычный 10 9 3 3 3 3 2" xfId="11218"/>
    <cellStyle name="Обычный 10 9 3 3 3 3 3" xfId="11219"/>
    <cellStyle name="Обычный 10 9 3 3 3 4" xfId="11220"/>
    <cellStyle name="Обычный 10 9 3 3 3 4 2" xfId="11221"/>
    <cellStyle name="Обычный 10 9 3 3 3 5" xfId="11222"/>
    <cellStyle name="Обычный 10 9 3 3 3 6" xfId="11223"/>
    <cellStyle name="Обычный 10 9 3 3 4" xfId="11224"/>
    <cellStyle name="Обычный 10 9 3 3 4 2" xfId="11225"/>
    <cellStyle name="Обычный 10 9 3 3 4 3" xfId="11226"/>
    <cellStyle name="Обычный 10 9 3 3 5" xfId="11227"/>
    <cellStyle name="Обычный 10 9 3 3 5 2" xfId="11228"/>
    <cellStyle name="Обычный 10 9 3 3 5 3" xfId="11229"/>
    <cellStyle name="Обычный 10 9 3 3 6" xfId="11230"/>
    <cellStyle name="Обычный 10 9 3 3 6 2" xfId="11231"/>
    <cellStyle name="Обычный 10 9 3 3 7" xfId="11232"/>
    <cellStyle name="Обычный 10 9 3 3 8" xfId="11233"/>
    <cellStyle name="Обычный 10 9 3 4" xfId="11234"/>
    <cellStyle name="Обычный 10 9 3 4 2" xfId="11235"/>
    <cellStyle name="Обычный 10 9 3 4 2 2" xfId="11236"/>
    <cellStyle name="Обычный 10 9 3 4 2 2 2" xfId="11237"/>
    <cellStyle name="Обычный 10 9 3 4 2 2 3" xfId="11238"/>
    <cellStyle name="Обычный 10 9 3 4 2 3" xfId="11239"/>
    <cellStyle name="Обычный 10 9 3 4 2 3 2" xfId="11240"/>
    <cellStyle name="Обычный 10 9 3 4 2 3 3" xfId="11241"/>
    <cellStyle name="Обычный 10 9 3 4 2 4" xfId="11242"/>
    <cellStyle name="Обычный 10 9 3 4 2 4 2" xfId="11243"/>
    <cellStyle name="Обычный 10 9 3 4 2 5" xfId="11244"/>
    <cellStyle name="Обычный 10 9 3 4 2 6" xfId="11245"/>
    <cellStyle name="Обычный 10 9 3 4 3" xfId="11246"/>
    <cellStyle name="Обычный 10 9 3 4 3 2" xfId="11247"/>
    <cellStyle name="Обычный 10 9 3 4 3 3" xfId="11248"/>
    <cellStyle name="Обычный 10 9 3 4 4" xfId="11249"/>
    <cellStyle name="Обычный 10 9 3 4 4 2" xfId="11250"/>
    <cellStyle name="Обычный 10 9 3 4 4 3" xfId="11251"/>
    <cellStyle name="Обычный 10 9 3 4 5" xfId="11252"/>
    <cellStyle name="Обычный 10 9 3 4 5 2" xfId="11253"/>
    <cellStyle name="Обычный 10 9 3 4 6" xfId="11254"/>
    <cellStyle name="Обычный 10 9 3 4 7" xfId="11255"/>
    <cellStyle name="Обычный 10 9 3 5" xfId="11256"/>
    <cellStyle name="Обычный 10 9 3 5 2" xfId="11257"/>
    <cellStyle name="Обычный 10 9 3 5 2 2" xfId="11258"/>
    <cellStyle name="Обычный 10 9 3 5 2 3" xfId="11259"/>
    <cellStyle name="Обычный 10 9 3 5 3" xfId="11260"/>
    <cellStyle name="Обычный 10 9 3 5 3 2" xfId="11261"/>
    <cellStyle name="Обычный 10 9 3 5 3 3" xfId="11262"/>
    <cellStyle name="Обычный 10 9 3 5 4" xfId="11263"/>
    <cellStyle name="Обычный 10 9 3 5 4 2" xfId="11264"/>
    <cellStyle name="Обычный 10 9 3 5 5" xfId="11265"/>
    <cellStyle name="Обычный 10 9 3 5 6" xfId="11266"/>
    <cellStyle name="Обычный 10 9 3 6" xfId="11267"/>
    <cellStyle name="Обычный 10 9 3 6 2" xfId="11268"/>
    <cellStyle name="Обычный 10 9 3 6 3" xfId="11269"/>
    <cellStyle name="Обычный 10 9 3 7" xfId="11270"/>
    <cellStyle name="Обычный 10 9 3 7 2" xfId="11271"/>
    <cellStyle name="Обычный 10 9 3 7 3" xfId="11272"/>
    <cellStyle name="Обычный 10 9 3 8" xfId="11273"/>
    <cellStyle name="Обычный 10 9 3 8 2" xfId="11274"/>
    <cellStyle name="Обычный 10 9 3 9" xfId="11275"/>
    <cellStyle name="Обычный 10 9 4" xfId="11276"/>
    <cellStyle name="Обычный 10 9 4 10" xfId="11277"/>
    <cellStyle name="Обычный 10 9 4 2" xfId="11278"/>
    <cellStyle name="Обычный 10 9 4 2 2" xfId="11279"/>
    <cellStyle name="Обычный 10 9 4 2 2 2" xfId="11280"/>
    <cellStyle name="Обычный 10 9 4 2 2 2 2" xfId="11281"/>
    <cellStyle name="Обычный 10 9 4 2 2 2 2 2" xfId="11282"/>
    <cellStyle name="Обычный 10 9 4 2 2 2 2 2 2" xfId="11283"/>
    <cellStyle name="Обычный 10 9 4 2 2 2 2 2 3" xfId="11284"/>
    <cellStyle name="Обычный 10 9 4 2 2 2 2 3" xfId="11285"/>
    <cellStyle name="Обычный 10 9 4 2 2 2 2 3 2" xfId="11286"/>
    <cellStyle name="Обычный 10 9 4 2 2 2 2 3 3" xfId="11287"/>
    <cellStyle name="Обычный 10 9 4 2 2 2 2 4" xfId="11288"/>
    <cellStyle name="Обычный 10 9 4 2 2 2 2 4 2" xfId="11289"/>
    <cellStyle name="Обычный 10 9 4 2 2 2 2 5" xfId="11290"/>
    <cellStyle name="Обычный 10 9 4 2 2 2 2 6" xfId="11291"/>
    <cellStyle name="Обычный 10 9 4 2 2 2 3" xfId="11292"/>
    <cellStyle name="Обычный 10 9 4 2 2 2 3 2" xfId="11293"/>
    <cellStyle name="Обычный 10 9 4 2 2 2 3 3" xfId="11294"/>
    <cellStyle name="Обычный 10 9 4 2 2 2 4" xfId="11295"/>
    <cellStyle name="Обычный 10 9 4 2 2 2 4 2" xfId="11296"/>
    <cellStyle name="Обычный 10 9 4 2 2 2 4 3" xfId="11297"/>
    <cellStyle name="Обычный 10 9 4 2 2 2 5" xfId="11298"/>
    <cellStyle name="Обычный 10 9 4 2 2 2 5 2" xfId="11299"/>
    <cellStyle name="Обычный 10 9 4 2 2 2 6" xfId="11300"/>
    <cellStyle name="Обычный 10 9 4 2 2 2 7" xfId="11301"/>
    <cellStyle name="Обычный 10 9 4 2 2 3" xfId="11302"/>
    <cellStyle name="Обычный 10 9 4 2 2 3 2" xfId="11303"/>
    <cellStyle name="Обычный 10 9 4 2 2 3 2 2" xfId="11304"/>
    <cellStyle name="Обычный 10 9 4 2 2 3 2 3" xfId="11305"/>
    <cellStyle name="Обычный 10 9 4 2 2 3 3" xfId="11306"/>
    <cellStyle name="Обычный 10 9 4 2 2 3 3 2" xfId="11307"/>
    <cellStyle name="Обычный 10 9 4 2 2 3 3 3" xfId="11308"/>
    <cellStyle name="Обычный 10 9 4 2 2 3 4" xfId="11309"/>
    <cellStyle name="Обычный 10 9 4 2 2 3 4 2" xfId="11310"/>
    <cellStyle name="Обычный 10 9 4 2 2 3 5" xfId="11311"/>
    <cellStyle name="Обычный 10 9 4 2 2 3 6" xfId="11312"/>
    <cellStyle name="Обычный 10 9 4 2 2 4" xfId="11313"/>
    <cellStyle name="Обычный 10 9 4 2 2 4 2" xfId="11314"/>
    <cellStyle name="Обычный 10 9 4 2 2 4 3" xfId="11315"/>
    <cellStyle name="Обычный 10 9 4 2 2 5" xfId="11316"/>
    <cellStyle name="Обычный 10 9 4 2 2 5 2" xfId="11317"/>
    <cellStyle name="Обычный 10 9 4 2 2 5 3" xfId="11318"/>
    <cellStyle name="Обычный 10 9 4 2 2 6" xfId="11319"/>
    <cellStyle name="Обычный 10 9 4 2 2 6 2" xfId="11320"/>
    <cellStyle name="Обычный 10 9 4 2 2 7" xfId="11321"/>
    <cellStyle name="Обычный 10 9 4 2 2 8" xfId="11322"/>
    <cellStyle name="Обычный 10 9 4 2 3" xfId="11323"/>
    <cellStyle name="Обычный 10 9 4 2 3 2" xfId="11324"/>
    <cellStyle name="Обычный 10 9 4 2 3 2 2" xfId="11325"/>
    <cellStyle name="Обычный 10 9 4 2 3 2 2 2" xfId="11326"/>
    <cellStyle name="Обычный 10 9 4 2 3 2 2 3" xfId="11327"/>
    <cellStyle name="Обычный 10 9 4 2 3 2 3" xfId="11328"/>
    <cellStyle name="Обычный 10 9 4 2 3 2 3 2" xfId="11329"/>
    <cellStyle name="Обычный 10 9 4 2 3 2 3 3" xfId="11330"/>
    <cellStyle name="Обычный 10 9 4 2 3 2 4" xfId="11331"/>
    <cellStyle name="Обычный 10 9 4 2 3 2 4 2" xfId="11332"/>
    <cellStyle name="Обычный 10 9 4 2 3 2 5" xfId="11333"/>
    <cellStyle name="Обычный 10 9 4 2 3 2 6" xfId="11334"/>
    <cellStyle name="Обычный 10 9 4 2 3 3" xfId="11335"/>
    <cellStyle name="Обычный 10 9 4 2 3 3 2" xfId="11336"/>
    <cellStyle name="Обычный 10 9 4 2 3 3 3" xfId="11337"/>
    <cellStyle name="Обычный 10 9 4 2 3 4" xfId="11338"/>
    <cellStyle name="Обычный 10 9 4 2 3 4 2" xfId="11339"/>
    <cellStyle name="Обычный 10 9 4 2 3 4 3" xfId="11340"/>
    <cellStyle name="Обычный 10 9 4 2 3 5" xfId="11341"/>
    <cellStyle name="Обычный 10 9 4 2 3 5 2" xfId="11342"/>
    <cellStyle name="Обычный 10 9 4 2 3 6" xfId="11343"/>
    <cellStyle name="Обычный 10 9 4 2 3 7" xfId="11344"/>
    <cellStyle name="Обычный 10 9 4 2 4" xfId="11345"/>
    <cellStyle name="Обычный 10 9 4 2 4 2" xfId="11346"/>
    <cellStyle name="Обычный 10 9 4 2 4 2 2" xfId="11347"/>
    <cellStyle name="Обычный 10 9 4 2 4 2 3" xfId="11348"/>
    <cellStyle name="Обычный 10 9 4 2 4 3" xfId="11349"/>
    <cellStyle name="Обычный 10 9 4 2 4 3 2" xfId="11350"/>
    <cellStyle name="Обычный 10 9 4 2 4 3 3" xfId="11351"/>
    <cellStyle name="Обычный 10 9 4 2 4 4" xfId="11352"/>
    <cellStyle name="Обычный 10 9 4 2 4 4 2" xfId="11353"/>
    <cellStyle name="Обычный 10 9 4 2 4 5" xfId="11354"/>
    <cellStyle name="Обычный 10 9 4 2 4 6" xfId="11355"/>
    <cellStyle name="Обычный 10 9 4 2 5" xfId="11356"/>
    <cellStyle name="Обычный 10 9 4 2 5 2" xfId="11357"/>
    <cellStyle name="Обычный 10 9 4 2 5 3" xfId="11358"/>
    <cellStyle name="Обычный 10 9 4 2 6" xfId="11359"/>
    <cellStyle name="Обычный 10 9 4 2 6 2" xfId="11360"/>
    <cellStyle name="Обычный 10 9 4 2 6 3" xfId="11361"/>
    <cellStyle name="Обычный 10 9 4 2 7" xfId="11362"/>
    <cellStyle name="Обычный 10 9 4 2 7 2" xfId="11363"/>
    <cellStyle name="Обычный 10 9 4 2 8" xfId="11364"/>
    <cellStyle name="Обычный 10 9 4 2 9" xfId="11365"/>
    <cellStyle name="Обычный 10 9 4 3" xfId="11366"/>
    <cellStyle name="Обычный 10 9 4 3 2" xfId="11367"/>
    <cellStyle name="Обычный 10 9 4 3 2 2" xfId="11368"/>
    <cellStyle name="Обычный 10 9 4 3 2 2 2" xfId="11369"/>
    <cellStyle name="Обычный 10 9 4 3 2 2 2 2" xfId="11370"/>
    <cellStyle name="Обычный 10 9 4 3 2 2 2 3" xfId="11371"/>
    <cellStyle name="Обычный 10 9 4 3 2 2 3" xfId="11372"/>
    <cellStyle name="Обычный 10 9 4 3 2 2 3 2" xfId="11373"/>
    <cellStyle name="Обычный 10 9 4 3 2 2 3 3" xfId="11374"/>
    <cellStyle name="Обычный 10 9 4 3 2 2 4" xfId="11375"/>
    <cellStyle name="Обычный 10 9 4 3 2 2 4 2" xfId="11376"/>
    <cellStyle name="Обычный 10 9 4 3 2 2 5" xfId="11377"/>
    <cellStyle name="Обычный 10 9 4 3 2 2 6" xfId="11378"/>
    <cellStyle name="Обычный 10 9 4 3 2 3" xfId="11379"/>
    <cellStyle name="Обычный 10 9 4 3 2 3 2" xfId="11380"/>
    <cellStyle name="Обычный 10 9 4 3 2 3 3" xfId="11381"/>
    <cellStyle name="Обычный 10 9 4 3 2 4" xfId="11382"/>
    <cellStyle name="Обычный 10 9 4 3 2 4 2" xfId="11383"/>
    <cellStyle name="Обычный 10 9 4 3 2 4 3" xfId="11384"/>
    <cellStyle name="Обычный 10 9 4 3 2 5" xfId="11385"/>
    <cellStyle name="Обычный 10 9 4 3 2 5 2" xfId="11386"/>
    <cellStyle name="Обычный 10 9 4 3 2 6" xfId="11387"/>
    <cellStyle name="Обычный 10 9 4 3 2 7" xfId="11388"/>
    <cellStyle name="Обычный 10 9 4 3 3" xfId="11389"/>
    <cellStyle name="Обычный 10 9 4 3 3 2" xfId="11390"/>
    <cellStyle name="Обычный 10 9 4 3 3 2 2" xfId="11391"/>
    <cellStyle name="Обычный 10 9 4 3 3 2 3" xfId="11392"/>
    <cellStyle name="Обычный 10 9 4 3 3 3" xfId="11393"/>
    <cellStyle name="Обычный 10 9 4 3 3 3 2" xfId="11394"/>
    <cellStyle name="Обычный 10 9 4 3 3 3 3" xfId="11395"/>
    <cellStyle name="Обычный 10 9 4 3 3 4" xfId="11396"/>
    <cellStyle name="Обычный 10 9 4 3 3 4 2" xfId="11397"/>
    <cellStyle name="Обычный 10 9 4 3 3 5" xfId="11398"/>
    <cellStyle name="Обычный 10 9 4 3 3 6" xfId="11399"/>
    <cellStyle name="Обычный 10 9 4 3 4" xfId="11400"/>
    <cellStyle name="Обычный 10 9 4 3 4 2" xfId="11401"/>
    <cellStyle name="Обычный 10 9 4 3 4 3" xfId="11402"/>
    <cellStyle name="Обычный 10 9 4 3 5" xfId="11403"/>
    <cellStyle name="Обычный 10 9 4 3 5 2" xfId="11404"/>
    <cellStyle name="Обычный 10 9 4 3 5 3" xfId="11405"/>
    <cellStyle name="Обычный 10 9 4 3 6" xfId="11406"/>
    <cellStyle name="Обычный 10 9 4 3 6 2" xfId="11407"/>
    <cellStyle name="Обычный 10 9 4 3 7" xfId="11408"/>
    <cellStyle name="Обычный 10 9 4 3 8" xfId="11409"/>
    <cellStyle name="Обычный 10 9 4 4" xfId="11410"/>
    <cellStyle name="Обычный 10 9 4 4 2" xfId="11411"/>
    <cellStyle name="Обычный 10 9 4 4 2 2" xfId="11412"/>
    <cellStyle name="Обычный 10 9 4 4 2 2 2" xfId="11413"/>
    <cellStyle name="Обычный 10 9 4 4 2 2 3" xfId="11414"/>
    <cellStyle name="Обычный 10 9 4 4 2 3" xfId="11415"/>
    <cellStyle name="Обычный 10 9 4 4 2 3 2" xfId="11416"/>
    <cellStyle name="Обычный 10 9 4 4 2 3 3" xfId="11417"/>
    <cellStyle name="Обычный 10 9 4 4 2 4" xfId="11418"/>
    <cellStyle name="Обычный 10 9 4 4 2 4 2" xfId="11419"/>
    <cellStyle name="Обычный 10 9 4 4 2 5" xfId="11420"/>
    <cellStyle name="Обычный 10 9 4 4 2 6" xfId="11421"/>
    <cellStyle name="Обычный 10 9 4 4 3" xfId="11422"/>
    <cellStyle name="Обычный 10 9 4 4 3 2" xfId="11423"/>
    <cellStyle name="Обычный 10 9 4 4 3 3" xfId="11424"/>
    <cellStyle name="Обычный 10 9 4 4 4" xfId="11425"/>
    <cellStyle name="Обычный 10 9 4 4 4 2" xfId="11426"/>
    <cellStyle name="Обычный 10 9 4 4 4 3" xfId="11427"/>
    <cellStyle name="Обычный 10 9 4 4 5" xfId="11428"/>
    <cellStyle name="Обычный 10 9 4 4 5 2" xfId="11429"/>
    <cellStyle name="Обычный 10 9 4 4 6" xfId="11430"/>
    <cellStyle name="Обычный 10 9 4 4 7" xfId="11431"/>
    <cellStyle name="Обычный 10 9 4 5" xfId="11432"/>
    <cellStyle name="Обычный 10 9 4 5 2" xfId="11433"/>
    <cellStyle name="Обычный 10 9 4 5 2 2" xfId="11434"/>
    <cellStyle name="Обычный 10 9 4 5 2 3" xfId="11435"/>
    <cellStyle name="Обычный 10 9 4 5 3" xfId="11436"/>
    <cellStyle name="Обычный 10 9 4 5 3 2" xfId="11437"/>
    <cellStyle name="Обычный 10 9 4 5 3 3" xfId="11438"/>
    <cellStyle name="Обычный 10 9 4 5 4" xfId="11439"/>
    <cellStyle name="Обычный 10 9 4 5 4 2" xfId="11440"/>
    <cellStyle name="Обычный 10 9 4 5 5" xfId="11441"/>
    <cellStyle name="Обычный 10 9 4 5 6" xfId="11442"/>
    <cellStyle name="Обычный 10 9 4 6" xfId="11443"/>
    <cellStyle name="Обычный 10 9 4 6 2" xfId="11444"/>
    <cellStyle name="Обычный 10 9 4 6 3" xfId="11445"/>
    <cellStyle name="Обычный 10 9 4 7" xfId="11446"/>
    <cellStyle name="Обычный 10 9 4 7 2" xfId="11447"/>
    <cellStyle name="Обычный 10 9 4 7 3" xfId="11448"/>
    <cellStyle name="Обычный 10 9 4 8" xfId="11449"/>
    <cellStyle name="Обычный 10 9 4 8 2" xfId="11450"/>
    <cellStyle name="Обычный 10 9 4 9" xfId="11451"/>
    <cellStyle name="Обычный 10 9 5" xfId="11452"/>
    <cellStyle name="Обычный 10 9 5 2" xfId="11453"/>
    <cellStyle name="Обычный 10 9 5 2 2" xfId="11454"/>
    <cellStyle name="Обычный 10 9 5 2 2 2" xfId="11455"/>
    <cellStyle name="Обычный 10 9 5 2 2 2 2" xfId="11456"/>
    <cellStyle name="Обычный 10 9 5 2 2 2 2 2" xfId="11457"/>
    <cellStyle name="Обычный 10 9 5 2 2 2 2 3" xfId="11458"/>
    <cellStyle name="Обычный 10 9 5 2 2 2 3" xfId="11459"/>
    <cellStyle name="Обычный 10 9 5 2 2 2 3 2" xfId="11460"/>
    <cellStyle name="Обычный 10 9 5 2 2 2 3 3" xfId="11461"/>
    <cellStyle name="Обычный 10 9 5 2 2 2 4" xfId="11462"/>
    <cellStyle name="Обычный 10 9 5 2 2 2 4 2" xfId="11463"/>
    <cellStyle name="Обычный 10 9 5 2 2 2 5" xfId="11464"/>
    <cellStyle name="Обычный 10 9 5 2 2 2 6" xfId="11465"/>
    <cellStyle name="Обычный 10 9 5 2 2 3" xfId="11466"/>
    <cellStyle name="Обычный 10 9 5 2 2 3 2" xfId="11467"/>
    <cellStyle name="Обычный 10 9 5 2 2 3 3" xfId="11468"/>
    <cellStyle name="Обычный 10 9 5 2 2 4" xfId="11469"/>
    <cellStyle name="Обычный 10 9 5 2 2 4 2" xfId="11470"/>
    <cellStyle name="Обычный 10 9 5 2 2 4 3" xfId="11471"/>
    <cellStyle name="Обычный 10 9 5 2 2 5" xfId="11472"/>
    <cellStyle name="Обычный 10 9 5 2 2 5 2" xfId="11473"/>
    <cellStyle name="Обычный 10 9 5 2 2 6" xfId="11474"/>
    <cellStyle name="Обычный 10 9 5 2 2 7" xfId="11475"/>
    <cellStyle name="Обычный 10 9 5 2 3" xfId="11476"/>
    <cellStyle name="Обычный 10 9 5 2 3 2" xfId="11477"/>
    <cellStyle name="Обычный 10 9 5 2 3 2 2" xfId="11478"/>
    <cellStyle name="Обычный 10 9 5 2 3 2 3" xfId="11479"/>
    <cellStyle name="Обычный 10 9 5 2 3 3" xfId="11480"/>
    <cellStyle name="Обычный 10 9 5 2 3 3 2" xfId="11481"/>
    <cellStyle name="Обычный 10 9 5 2 3 3 3" xfId="11482"/>
    <cellStyle name="Обычный 10 9 5 2 3 4" xfId="11483"/>
    <cellStyle name="Обычный 10 9 5 2 3 4 2" xfId="11484"/>
    <cellStyle name="Обычный 10 9 5 2 3 5" xfId="11485"/>
    <cellStyle name="Обычный 10 9 5 2 3 6" xfId="11486"/>
    <cellStyle name="Обычный 10 9 5 2 4" xfId="11487"/>
    <cellStyle name="Обычный 10 9 5 2 4 2" xfId="11488"/>
    <cellStyle name="Обычный 10 9 5 2 4 3" xfId="11489"/>
    <cellStyle name="Обычный 10 9 5 2 5" xfId="11490"/>
    <cellStyle name="Обычный 10 9 5 2 5 2" xfId="11491"/>
    <cellStyle name="Обычный 10 9 5 2 5 3" xfId="11492"/>
    <cellStyle name="Обычный 10 9 5 2 6" xfId="11493"/>
    <cellStyle name="Обычный 10 9 5 2 6 2" xfId="11494"/>
    <cellStyle name="Обычный 10 9 5 2 7" xfId="11495"/>
    <cellStyle name="Обычный 10 9 5 2 8" xfId="11496"/>
    <cellStyle name="Обычный 10 9 5 3" xfId="11497"/>
    <cellStyle name="Обычный 10 9 5 3 2" xfId="11498"/>
    <cellStyle name="Обычный 10 9 5 3 2 2" xfId="11499"/>
    <cellStyle name="Обычный 10 9 5 3 2 2 2" xfId="11500"/>
    <cellStyle name="Обычный 10 9 5 3 2 2 3" xfId="11501"/>
    <cellStyle name="Обычный 10 9 5 3 2 3" xfId="11502"/>
    <cellStyle name="Обычный 10 9 5 3 2 3 2" xfId="11503"/>
    <cellStyle name="Обычный 10 9 5 3 2 3 3" xfId="11504"/>
    <cellStyle name="Обычный 10 9 5 3 2 4" xfId="11505"/>
    <cellStyle name="Обычный 10 9 5 3 2 4 2" xfId="11506"/>
    <cellStyle name="Обычный 10 9 5 3 2 5" xfId="11507"/>
    <cellStyle name="Обычный 10 9 5 3 2 6" xfId="11508"/>
    <cellStyle name="Обычный 10 9 5 3 3" xfId="11509"/>
    <cellStyle name="Обычный 10 9 5 3 3 2" xfId="11510"/>
    <cellStyle name="Обычный 10 9 5 3 3 3" xfId="11511"/>
    <cellStyle name="Обычный 10 9 5 3 4" xfId="11512"/>
    <cellStyle name="Обычный 10 9 5 3 4 2" xfId="11513"/>
    <cellStyle name="Обычный 10 9 5 3 4 3" xfId="11514"/>
    <cellStyle name="Обычный 10 9 5 3 5" xfId="11515"/>
    <cellStyle name="Обычный 10 9 5 3 5 2" xfId="11516"/>
    <cellStyle name="Обычный 10 9 5 3 6" xfId="11517"/>
    <cellStyle name="Обычный 10 9 5 3 7" xfId="11518"/>
    <cellStyle name="Обычный 10 9 5 4" xfId="11519"/>
    <cellStyle name="Обычный 10 9 5 4 2" xfId="11520"/>
    <cellStyle name="Обычный 10 9 5 4 2 2" xfId="11521"/>
    <cellStyle name="Обычный 10 9 5 4 2 3" xfId="11522"/>
    <cellStyle name="Обычный 10 9 5 4 3" xfId="11523"/>
    <cellStyle name="Обычный 10 9 5 4 3 2" xfId="11524"/>
    <cellStyle name="Обычный 10 9 5 4 3 3" xfId="11525"/>
    <cellStyle name="Обычный 10 9 5 4 4" xfId="11526"/>
    <cellStyle name="Обычный 10 9 5 4 4 2" xfId="11527"/>
    <cellStyle name="Обычный 10 9 5 4 5" xfId="11528"/>
    <cellStyle name="Обычный 10 9 5 4 6" xfId="11529"/>
    <cellStyle name="Обычный 10 9 5 5" xfId="11530"/>
    <cellStyle name="Обычный 10 9 5 5 2" xfId="11531"/>
    <cellStyle name="Обычный 10 9 5 5 3" xfId="11532"/>
    <cellStyle name="Обычный 10 9 5 6" xfId="11533"/>
    <cellStyle name="Обычный 10 9 5 6 2" xfId="11534"/>
    <cellStyle name="Обычный 10 9 5 6 3" xfId="11535"/>
    <cellStyle name="Обычный 10 9 5 7" xfId="11536"/>
    <cellStyle name="Обычный 10 9 5 7 2" xfId="11537"/>
    <cellStyle name="Обычный 10 9 5 8" xfId="11538"/>
    <cellStyle name="Обычный 10 9 5 9" xfId="11539"/>
    <cellStyle name="Обычный 10 9 6" xfId="11540"/>
    <cellStyle name="Обычный 10 9 6 2" xfId="11541"/>
    <cellStyle name="Обычный 10 9 6 2 2" xfId="11542"/>
    <cellStyle name="Обычный 10 9 6 2 2 2" xfId="11543"/>
    <cellStyle name="Обычный 10 9 6 2 2 2 2" xfId="11544"/>
    <cellStyle name="Обычный 10 9 6 2 2 2 3" xfId="11545"/>
    <cellStyle name="Обычный 10 9 6 2 2 3" xfId="11546"/>
    <cellStyle name="Обычный 10 9 6 2 2 3 2" xfId="11547"/>
    <cellStyle name="Обычный 10 9 6 2 2 3 3" xfId="11548"/>
    <cellStyle name="Обычный 10 9 6 2 2 4" xfId="11549"/>
    <cellStyle name="Обычный 10 9 6 2 2 4 2" xfId="11550"/>
    <cellStyle name="Обычный 10 9 6 2 2 5" xfId="11551"/>
    <cellStyle name="Обычный 10 9 6 2 2 6" xfId="11552"/>
    <cellStyle name="Обычный 10 9 6 2 3" xfId="11553"/>
    <cellStyle name="Обычный 10 9 6 2 3 2" xfId="11554"/>
    <cellStyle name="Обычный 10 9 6 2 3 3" xfId="11555"/>
    <cellStyle name="Обычный 10 9 6 2 4" xfId="11556"/>
    <cellStyle name="Обычный 10 9 6 2 4 2" xfId="11557"/>
    <cellStyle name="Обычный 10 9 6 2 4 3" xfId="11558"/>
    <cellStyle name="Обычный 10 9 6 2 5" xfId="11559"/>
    <cellStyle name="Обычный 10 9 6 2 5 2" xfId="11560"/>
    <cellStyle name="Обычный 10 9 6 2 6" xfId="11561"/>
    <cellStyle name="Обычный 10 9 6 2 7" xfId="11562"/>
    <cellStyle name="Обычный 10 9 6 3" xfId="11563"/>
    <cellStyle name="Обычный 10 9 6 3 2" xfId="11564"/>
    <cellStyle name="Обычный 10 9 6 3 2 2" xfId="11565"/>
    <cellStyle name="Обычный 10 9 6 3 2 3" xfId="11566"/>
    <cellStyle name="Обычный 10 9 6 3 3" xfId="11567"/>
    <cellStyle name="Обычный 10 9 6 3 3 2" xfId="11568"/>
    <cellStyle name="Обычный 10 9 6 3 3 3" xfId="11569"/>
    <cellStyle name="Обычный 10 9 6 3 4" xfId="11570"/>
    <cellStyle name="Обычный 10 9 6 3 4 2" xfId="11571"/>
    <cellStyle name="Обычный 10 9 6 3 5" xfId="11572"/>
    <cellStyle name="Обычный 10 9 6 3 6" xfId="11573"/>
    <cellStyle name="Обычный 10 9 6 4" xfId="11574"/>
    <cellStyle name="Обычный 10 9 6 4 2" xfId="11575"/>
    <cellStyle name="Обычный 10 9 6 4 3" xfId="11576"/>
    <cellStyle name="Обычный 10 9 6 5" xfId="11577"/>
    <cellStyle name="Обычный 10 9 6 5 2" xfId="11578"/>
    <cellStyle name="Обычный 10 9 6 5 3" xfId="11579"/>
    <cellStyle name="Обычный 10 9 6 6" xfId="11580"/>
    <cellStyle name="Обычный 10 9 6 6 2" xfId="11581"/>
    <cellStyle name="Обычный 10 9 6 7" xfId="11582"/>
    <cellStyle name="Обычный 10 9 6 8" xfId="11583"/>
    <cellStyle name="Обычный 10 9 7" xfId="11584"/>
    <cellStyle name="Обычный 10 9 7 2" xfId="11585"/>
    <cellStyle name="Обычный 10 9 7 2 2" xfId="11586"/>
    <cellStyle name="Обычный 10 9 7 2 2 2" xfId="11587"/>
    <cellStyle name="Обычный 10 9 7 2 2 3" xfId="11588"/>
    <cellStyle name="Обычный 10 9 7 2 3" xfId="11589"/>
    <cellStyle name="Обычный 10 9 7 2 3 2" xfId="11590"/>
    <cellStyle name="Обычный 10 9 7 2 3 3" xfId="11591"/>
    <cellStyle name="Обычный 10 9 7 2 4" xfId="11592"/>
    <cellStyle name="Обычный 10 9 7 2 4 2" xfId="11593"/>
    <cellStyle name="Обычный 10 9 7 2 5" xfId="11594"/>
    <cellStyle name="Обычный 10 9 7 2 6" xfId="11595"/>
    <cellStyle name="Обычный 10 9 7 3" xfId="11596"/>
    <cellStyle name="Обычный 10 9 7 3 2" xfId="11597"/>
    <cellStyle name="Обычный 10 9 7 3 3" xfId="11598"/>
    <cellStyle name="Обычный 10 9 7 4" xfId="11599"/>
    <cellStyle name="Обычный 10 9 7 4 2" xfId="11600"/>
    <cellStyle name="Обычный 10 9 7 4 3" xfId="11601"/>
    <cellStyle name="Обычный 10 9 7 5" xfId="11602"/>
    <cellStyle name="Обычный 10 9 7 5 2" xfId="11603"/>
    <cellStyle name="Обычный 10 9 7 6" xfId="11604"/>
    <cellStyle name="Обычный 10 9 7 7" xfId="11605"/>
    <cellStyle name="Обычный 10 9 8" xfId="11606"/>
    <cellStyle name="Обычный 10 9 8 2" xfId="11607"/>
    <cellStyle name="Обычный 10 9 8 2 2" xfId="11608"/>
    <cellStyle name="Обычный 10 9 8 2 3" xfId="11609"/>
    <cellStyle name="Обычный 10 9 8 3" xfId="11610"/>
    <cellStyle name="Обычный 10 9 8 3 2" xfId="11611"/>
    <cellStyle name="Обычный 10 9 8 3 3" xfId="11612"/>
    <cellStyle name="Обычный 10 9 8 4" xfId="11613"/>
    <cellStyle name="Обычный 10 9 8 4 2" xfId="11614"/>
    <cellStyle name="Обычный 10 9 8 5" xfId="11615"/>
    <cellStyle name="Обычный 10 9 8 6" xfId="11616"/>
    <cellStyle name="Обычный 10 9 9" xfId="11617"/>
    <cellStyle name="Обычный 10 9 9 2" xfId="11618"/>
    <cellStyle name="Обычный 10 9 9 3" xfId="11619"/>
    <cellStyle name="Обычный 11" xfId="11620"/>
    <cellStyle name="Обычный 11 2" xfId="11621"/>
    <cellStyle name="Обычный 12" xfId="11622"/>
    <cellStyle name="Обычный 12 10" xfId="11623"/>
    <cellStyle name="Обычный 12 10 2" xfId="11624"/>
    <cellStyle name="Обычный 12 10 3" xfId="11625"/>
    <cellStyle name="Обычный 12 11" xfId="11626"/>
    <cellStyle name="Обычный 12 11 2" xfId="11627"/>
    <cellStyle name="Обычный 12 12" xfId="11628"/>
    <cellStyle name="Обычный 12 13" xfId="11629"/>
    <cellStyle name="Обычный 12 2" xfId="11630"/>
    <cellStyle name="Обычный 12 2 10" xfId="11631"/>
    <cellStyle name="Обычный 12 2 2" xfId="11632"/>
    <cellStyle name="Обычный 12 2 2 2" xfId="11633"/>
    <cellStyle name="Обычный 12 2 2 2 2" xfId="11634"/>
    <cellStyle name="Обычный 12 2 2 2 2 2" xfId="11635"/>
    <cellStyle name="Обычный 12 2 2 2 2 2 2" xfId="11636"/>
    <cellStyle name="Обычный 12 2 2 2 2 2 2 2" xfId="11637"/>
    <cellStyle name="Обычный 12 2 2 2 2 2 2 3" xfId="11638"/>
    <cellStyle name="Обычный 12 2 2 2 2 2 3" xfId="11639"/>
    <cellStyle name="Обычный 12 2 2 2 2 2 3 2" xfId="11640"/>
    <cellStyle name="Обычный 12 2 2 2 2 2 3 3" xfId="11641"/>
    <cellStyle name="Обычный 12 2 2 2 2 2 4" xfId="11642"/>
    <cellStyle name="Обычный 12 2 2 2 2 2 4 2" xfId="11643"/>
    <cellStyle name="Обычный 12 2 2 2 2 2 5" xfId="11644"/>
    <cellStyle name="Обычный 12 2 2 2 2 2 6" xfId="11645"/>
    <cellStyle name="Обычный 12 2 2 2 2 3" xfId="11646"/>
    <cellStyle name="Обычный 12 2 2 2 2 3 2" xfId="11647"/>
    <cellStyle name="Обычный 12 2 2 2 2 3 3" xfId="11648"/>
    <cellStyle name="Обычный 12 2 2 2 2 4" xfId="11649"/>
    <cellStyle name="Обычный 12 2 2 2 2 4 2" xfId="11650"/>
    <cellStyle name="Обычный 12 2 2 2 2 4 3" xfId="11651"/>
    <cellStyle name="Обычный 12 2 2 2 2 5" xfId="11652"/>
    <cellStyle name="Обычный 12 2 2 2 2 5 2" xfId="11653"/>
    <cellStyle name="Обычный 12 2 2 2 2 6" xfId="11654"/>
    <cellStyle name="Обычный 12 2 2 2 2 7" xfId="11655"/>
    <cellStyle name="Обычный 12 2 2 2 3" xfId="11656"/>
    <cellStyle name="Обычный 12 2 2 2 3 2" xfId="11657"/>
    <cellStyle name="Обычный 12 2 2 2 3 2 2" xfId="11658"/>
    <cellStyle name="Обычный 12 2 2 2 3 2 3" xfId="11659"/>
    <cellStyle name="Обычный 12 2 2 2 3 3" xfId="11660"/>
    <cellStyle name="Обычный 12 2 2 2 3 3 2" xfId="11661"/>
    <cellStyle name="Обычный 12 2 2 2 3 3 3" xfId="11662"/>
    <cellStyle name="Обычный 12 2 2 2 3 4" xfId="11663"/>
    <cellStyle name="Обычный 12 2 2 2 3 4 2" xfId="11664"/>
    <cellStyle name="Обычный 12 2 2 2 3 5" xfId="11665"/>
    <cellStyle name="Обычный 12 2 2 2 3 6" xfId="11666"/>
    <cellStyle name="Обычный 12 2 2 2 4" xfId="11667"/>
    <cellStyle name="Обычный 12 2 2 2 4 2" xfId="11668"/>
    <cellStyle name="Обычный 12 2 2 2 4 3" xfId="11669"/>
    <cellStyle name="Обычный 12 2 2 2 5" xfId="11670"/>
    <cellStyle name="Обычный 12 2 2 2 5 2" xfId="11671"/>
    <cellStyle name="Обычный 12 2 2 2 5 3" xfId="11672"/>
    <cellStyle name="Обычный 12 2 2 2 6" xfId="11673"/>
    <cellStyle name="Обычный 12 2 2 2 6 2" xfId="11674"/>
    <cellStyle name="Обычный 12 2 2 2 7" xfId="11675"/>
    <cellStyle name="Обычный 12 2 2 2 8" xfId="11676"/>
    <cellStyle name="Обычный 12 2 2 3" xfId="11677"/>
    <cellStyle name="Обычный 12 2 2 3 2" xfId="11678"/>
    <cellStyle name="Обычный 12 2 2 3 2 2" xfId="11679"/>
    <cellStyle name="Обычный 12 2 2 3 2 2 2" xfId="11680"/>
    <cellStyle name="Обычный 12 2 2 3 2 2 3" xfId="11681"/>
    <cellStyle name="Обычный 12 2 2 3 2 3" xfId="11682"/>
    <cellStyle name="Обычный 12 2 2 3 2 3 2" xfId="11683"/>
    <cellStyle name="Обычный 12 2 2 3 2 3 3" xfId="11684"/>
    <cellStyle name="Обычный 12 2 2 3 2 4" xfId="11685"/>
    <cellStyle name="Обычный 12 2 2 3 2 4 2" xfId="11686"/>
    <cellStyle name="Обычный 12 2 2 3 2 5" xfId="11687"/>
    <cellStyle name="Обычный 12 2 2 3 2 6" xfId="11688"/>
    <cellStyle name="Обычный 12 2 2 3 3" xfId="11689"/>
    <cellStyle name="Обычный 12 2 2 3 3 2" xfId="11690"/>
    <cellStyle name="Обычный 12 2 2 3 3 3" xfId="11691"/>
    <cellStyle name="Обычный 12 2 2 3 4" xfId="11692"/>
    <cellStyle name="Обычный 12 2 2 3 4 2" xfId="11693"/>
    <cellStyle name="Обычный 12 2 2 3 4 3" xfId="11694"/>
    <cellStyle name="Обычный 12 2 2 3 5" xfId="11695"/>
    <cellStyle name="Обычный 12 2 2 3 5 2" xfId="11696"/>
    <cellStyle name="Обычный 12 2 2 3 6" xfId="11697"/>
    <cellStyle name="Обычный 12 2 2 3 7" xfId="11698"/>
    <cellStyle name="Обычный 12 2 2 4" xfId="11699"/>
    <cellStyle name="Обычный 12 2 2 4 2" xfId="11700"/>
    <cellStyle name="Обычный 12 2 2 4 2 2" xfId="11701"/>
    <cellStyle name="Обычный 12 2 2 4 2 3" xfId="11702"/>
    <cellStyle name="Обычный 12 2 2 4 3" xfId="11703"/>
    <cellStyle name="Обычный 12 2 2 4 3 2" xfId="11704"/>
    <cellStyle name="Обычный 12 2 2 4 3 3" xfId="11705"/>
    <cellStyle name="Обычный 12 2 2 4 4" xfId="11706"/>
    <cellStyle name="Обычный 12 2 2 4 4 2" xfId="11707"/>
    <cellStyle name="Обычный 12 2 2 4 5" xfId="11708"/>
    <cellStyle name="Обычный 12 2 2 4 6" xfId="11709"/>
    <cellStyle name="Обычный 12 2 2 5" xfId="11710"/>
    <cellStyle name="Обычный 12 2 2 5 2" xfId="11711"/>
    <cellStyle name="Обычный 12 2 2 5 3" xfId="11712"/>
    <cellStyle name="Обычный 12 2 2 6" xfId="11713"/>
    <cellStyle name="Обычный 12 2 2 6 2" xfId="11714"/>
    <cellStyle name="Обычный 12 2 2 6 3" xfId="11715"/>
    <cellStyle name="Обычный 12 2 2 7" xfId="11716"/>
    <cellStyle name="Обычный 12 2 2 7 2" xfId="11717"/>
    <cellStyle name="Обычный 12 2 2 8" xfId="11718"/>
    <cellStyle name="Обычный 12 2 2 9" xfId="11719"/>
    <cellStyle name="Обычный 12 2 3" xfId="11720"/>
    <cellStyle name="Обычный 12 2 3 2" xfId="11721"/>
    <cellStyle name="Обычный 12 2 3 2 2" xfId="11722"/>
    <cellStyle name="Обычный 12 2 3 2 2 2" xfId="11723"/>
    <cellStyle name="Обычный 12 2 3 2 2 2 2" xfId="11724"/>
    <cellStyle name="Обычный 12 2 3 2 2 2 3" xfId="11725"/>
    <cellStyle name="Обычный 12 2 3 2 2 3" xfId="11726"/>
    <cellStyle name="Обычный 12 2 3 2 2 3 2" xfId="11727"/>
    <cellStyle name="Обычный 12 2 3 2 2 3 3" xfId="11728"/>
    <cellStyle name="Обычный 12 2 3 2 2 4" xfId="11729"/>
    <cellStyle name="Обычный 12 2 3 2 2 4 2" xfId="11730"/>
    <cellStyle name="Обычный 12 2 3 2 2 5" xfId="11731"/>
    <cellStyle name="Обычный 12 2 3 2 2 6" xfId="11732"/>
    <cellStyle name="Обычный 12 2 3 2 3" xfId="11733"/>
    <cellStyle name="Обычный 12 2 3 2 3 2" xfId="11734"/>
    <cellStyle name="Обычный 12 2 3 2 3 3" xfId="11735"/>
    <cellStyle name="Обычный 12 2 3 2 4" xfId="11736"/>
    <cellStyle name="Обычный 12 2 3 2 4 2" xfId="11737"/>
    <cellStyle name="Обычный 12 2 3 2 4 3" xfId="11738"/>
    <cellStyle name="Обычный 12 2 3 2 5" xfId="11739"/>
    <cellStyle name="Обычный 12 2 3 2 5 2" xfId="11740"/>
    <cellStyle name="Обычный 12 2 3 2 6" xfId="11741"/>
    <cellStyle name="Обычный 12 2 3 2 7" xfId="11742"/>
    <cellStyle name="Обычный 12 2 3 3" xfId="11743"/>
    <cellStyle name="Обычный 12 2 3 3 2" xfId="11744"/>
    <cellStyle name="Обычный 12 2 3 3 2 2" xfId="11745"/>
    <cellStyle name="Обычный 12 2 3 3 2 3" xfId="11746"/>
    <cellStyle name="Обычный 12 2 3 3 3" xfId="11747"/>
    <cellStyle name="Обычный 12 2 3 3 3 2" xfId="11748"/>
    <cellStyle name="Обычный 12 2 3 3 3 3" xfId="11749"/>
    <cellStyle name="Обычный 12 2 3 3 4" xfId="11750"/>
    <cellStyle name="Обычный 12 2 3 3 4 2" xfId="11751"/>
    <cellStyle name="Обычный 12 2 3 3 5" xfId="11752"/>
    <cellStyle name="Обычный 12 2 3 3 6" xfId="11753"/>
    <cellStyle name="Обычный 12 2 3 4" xfId="11754"/>
    <cellStyle name="Обычный 12 2 3 4 2" xfId="11755"/>
    <cellStyle name="Обычный 12 2 3 4 3" xfId="11756"/>
    <cellStyle name="Обычный 12 2 3 5" xfId="11757"/>
    <cellStyle name="Обычный 12 2 3 5 2" xfId="11758"/>
    <cellStyle name="Обычный 12 2 3 5 3" xfId="11759"/>
    <cellStyle name="Обычный 12 2 3 6" xfId="11760"/>
    <cellStyle name="Обычный 12 2 3 6 2" xfId="11761"/>
    <cellStyle name="Обычный 12 2 3 7" xfId="11762"/>
    <cellStyle name="Обычный 12 2 3 8" xfId="11763"/>
    <cellStyle name="Обычный 12 2 4" xfId="11764"/>
    <cellStyle name="Обычный 12 2 4 2" xfId="11765"/>
    <cellStyle name="Обычный 12 2 4 2 2" xfId="11766"/>
    <cellStyle name="Обычный 12 2 4 2 2 2" xfId="11767"/>
    <cellStyle name="Обычный 12 2 4 2 2 3" xfId="11768"/>
    <cellStyle name="Обычный 12 2 4 2 3" xfId="11769"/>
    <cellStyle name="Обычный 12 2 4 2 3 2" xfId="11770"/>
    <cellStyle name="Обычный 12 2 4 2 3 3" xfId="11771"/>
    <cellStyle name="Обычный 12 2 4 2 4" xfId="11772"/>
    <cellStyle name="Обычный 12 2 4 2 4 2" xfId="11773"/>
    <cellStyle name="Обычный 12 2 4 2 5" xfId="11774"/>
    <cellStyle name="Обычный 12 2 4 2 6" xfId="11775"/>
    <cellStyle name="Обычный 12 2 4 3" xfId="11776"/>
    <cellStyle name="Обычный 12 2 4 3 2" xfId="11777"/>
    <cellStyle name="Обычный 12 2 4 3 3" xfId="11778"/>
    <cellStyle name="Обычный 12 2 4 4" xfId="11779"/>
    <cellStyle name="Обычный 12 2 4 4 2" xfId="11780"/>
    <cellStyle name="Обычный 12 2 4 4 3" xfId="11781"/>
    <cellStyle name="Обычный 12 2 4 5" xfId="11782"/>
    <cellStyle name="Обычный 12 2 4 5 2" xfId="11783"/>
    <cellStyle name="Обычный 12 2 4 6" xfId="11784"/>
    <cellStyle name="Обычный 12 2 4 7" xfId="11785"/>
    <cellStyle name="Обычный 12 2 5" xfId="11786"/>
    <cellStyle name="Обычный 12 2 5 2" xfId="11787"/>
    <cellStyle name="Обычный 12 2 5 2 2" xfId="11788"/>
    <cellStyle name="Обычный 12 2 5 2 3" xfId="11789"/>
    <cellStyle name="Обычный 12 2 5 3" xfId="11790"/>
    <cellStyle name="Обычный 12 2 5 3 2" xfId="11791"/>
    <cellStyle name="Обычный 12 2 5 3 3" xfId="11792"/>
    <cellStyle name="Обычный 12 2 5 4" xfId="11793"/>
    <cellStyle name="Обычный 12 2 5 4 2" xfId="11794"/>
    <cellStyle name="Обычный 12 2 5 5" xfId="11795"/>
    <cellStyle name="Обычный 12 2 5 6" xfId="11796"/>
    <cellStyle name="Обычный 12 2 6" xfId="11797"/>
    <cellStyle name="Обычный 12 2 6 2" xfId="11798"/>
    <cellStyle name="Обычный 12 2 6 3" xfId="11799"/>
    <cellStyle name="Обычный 12 2 7" xfId="11800"/>
    <cellStyle name="Обычный 12 2 7 2" xfId="11801"/>
    <cellStyle name="Обычный 12 2 7 3" xfId="11802"/>
    <cellStyle name="Обычный 12 2 8" xfId="11803"/>
    <cellStyle name="Обычный 12 2 8 2" xfId="11804"/>
    <cellStyle name="Обычный 12 2 9" xfId="11805"/>
    <cellStyle name="Обычный 12 3" xfId="11806"/>
    <cellStyle name="Обычный 12 3 10" xfId="11807"/>
    <cellStyle name="Обычный 12 3 2" xfId="11808"/>
    <cellStyle name="Обычный 12 3 2 2" xfId="11809"/>
    <cellStyle name="Обычный 12 3 2 2 2" xfId="11810"/>
    <cellStyle name="Обычный 12 3 2 2 2 2" xfId="11811"/>
    <cellStyle name="Обычный 12 3 2 2 2 2 2" xfId="11812"/>
    <cellStyle name="Обычный 12 3 2 2 2 2 2 2" xfId="11813"/>
    <cellStyle name="Обычный 12 3 2 2 2 2 2 3" xfId="11814"/>
    <cellStyle name="Обычный 12 3 2 2 2 2 3" xfId="11815"/>
    <cellStyle name="Обычный 12 3 2 2 2 2 3 2" xfId="11816"/>
    <cellStyle name="Обычный 12 3 2 2 2 2 3 3" xfId="11817"/>
    <cellStyle name="Обычный 12 3 2 2 2 2 4" xfId="11818"/>
    <cellStyle name="Обычный 12 3 2 2 2 2 4 2" xfId="11819"/>
    <cellStyle name="Обычный 12 3 2 2 2 2 5" xfId="11820"/>
    <cellStyle name="Обычный 12 3 2 2 2 2 6" xfId="11821"/>
    <cellStyle name="Обычный 12 3 2 2 2 3" xfId="11822"/>
    <cellStyle name="Обычный 12 3 2 2 2 3 2" xfId="11823"/>
    <cellStyle name="Обычный 12 3 2 2 2 3 3" xfId="11824"/>
    <cellStyle name="Обычный 12 3 2 2 2 4" xfId="11825"/>
    <cellStyle name="Обычный 12 3 2 2 2 4 2" xfId="11826"/>
    <cellStyle name="Обычный 12 3 2 2 2 4 3" xfId="11827"/>
    <cellStyle name="Обычный 12 3 2 2 2 5" xfId="11828"/>
    <cellStyle name="Обычный 12 3 2 2 2 5 2" xfId="11829"/>
    <cellStyle name="Обычный 12 3 2 2 2 6" xfId="11830"/>
    <cellStyle name="Обычный 12 3 2 2 2 7" xfId="11831"/>
    <cellStyle name="Обычный 12 3 2 2 3" xfId="11832"/>
    <cellStyle name="Обычный 12 3 2 2 3 2" xfId="11833"/>
    <cellStyle name="Обычный 12 3 2 2 3 2 2" xfId="11834"/>
    <cellStyle name="Обычный 12 3 2 2 3 2 3" xfId="11835"/>
    <cellStyle name="Обычный 12 3 2 2 3 3" xfId="11836"/>
    <cellStyle name="Обычный 12 3 2 2 3 3 2" xfId="11837"/>
    <cellStyle name="Обычный 12 3 2 2 3 3 3" xfId="11838"/>
    <cellStyle name="Обычный 12 3 2 2 3 4" xfId="11839"/>
    <cellStyle name="Обычный 12 3 2 2 3 4 2" xfId="11840"/>
    <cellStyle name="Обычный 12 3 2 2 3 5" xfId="11841"/>
    <cellStyle name="Обычный 12 3 2 2 3 6" xfId="11842"/>
    <cellStyle name="Обычный 12 3 2 2 4" xfId="11843"/>
    <cellStyle name="Обычный 12 3 2 2 4 2" xfId="11844"/>
    <cellStyle name="Обычный 12 3 2 2 4 3" xfId="11845"/>
    <cellStyle name="Обычный 12 3 2 2 5" xfId="11846"/>
    <cellStyle name="Обычный 12 3 2 2 5 2" xfId="11847"/>
    <cellStyle name="Обычный 12 3 2 2 5 3" xfId="11848"/>
    <cellStyle name="Обычный 12 3 2 2 6" xfId="11849"/>
    <cellStyle name="Обычный 12 3 2 2 6 2" xfId="11850"/>
    <cellStyle name="Обычный 12 3 2 2 7" xfId="11851"/>
    <cellStyle name="Обычный 12 3 2 2 8" xfId="11852"/>
    <cellStyle name="Обычный 12 3 2 3" xfId="11853"/>
    <cellStyle name="Обычный 12 3 2 3 2" xfId="11854"/>
    <cellStyle name="Обычный 12 3 2 3 2 2" xfId="11855"/>
    <cellStyle name="Обычный 12 3 2 3 2 2 2" xfId="11856"/>
    <cellStyle name="Обычный 12 3 2 3 2 2 3" xfId="11857"/>
    <cellStyle name="Обычный 12 3 2 3 2 3" xfId="11858"/>
    <cellStyle name="Обычный 12 3 2 3 2 3 2" xfId="11859"/>
    <cellStyle name="Обычный 12 3 2 3 2 3 3" xfId="11860"/>
    <cellStyle name="Обычный 12 3 2 3 2 4" xfId="11861"/>
    <cellStyle name="Обычный 12 3 2 3 2 4 2" xfId="11862"/>
    <cellStyle name="Обычный 12 3 2 3 2 5" xfId="11863"/>
    <cellStyle name="Обычный 12 3 2 3 2 6" xfId="11864"/>
    <cellStyle name="Обычный 12 3 2 3 3" xfId="11865"/>
    <cellStyle name="Обычный 12 3 2 3 3 2" xfId="11866"/>
    <cellStyle name="Обычный 12 3 2 3 3 3" xfId="11867"/>
    <cellStyle name="Обычный 12 3 2 3 4" xfId="11868"/>
    <cellStyle name="Обычный 12 3 2 3 4 2" xfId="11869"/>
    <cellStyle name="Обычный 12 3 2 3 4 3" xfId="11870"/>
    <cellStyle name="Обычный 12 3 2 3 5" xfId="11871"/>
    <cellStyle name="Обычный 12 3 2 3 5 2" xfId="11872"/>
    <cellStyle name="Обычный 12 3 2 3 6" xfId="11873"/>
    <cellStyle name="Обычный 12 3 2 3 7" xfId="11874"/>
    <cellStyle name="Обычный 12 3 2 4" xfId="11875"/>
    <cellStyle name="Обычный 12 3 2 4 2" xfId="11876"/>
    <cellStyle name="Обычный 12 3 2 4 2 2" xfId="11877"/>
    <cellStyle name="Обычный 12 3 2 4 2 3" xfId="11878"/>
    <cellStyle name="Обычный 12 3 2 4 3" xfId="11879"/>
    <cellStyle name="Обычный 12 3 2 4 3 2" xfId="11880"/>
    <cellStyle name="Обычный 12 3 2 4 3 3" xfId="11881"/>
    <cellStyle name="Обычный 12 3 2 4 4" xfId="11882"/>
    <cellStyle name="Обычный 12 3 2 4 4 2" xfId="11883"/>
    <cellStyle name="Обычный 12 3 2 4 5" xfId="11884"/>
    <cellStyle name="Обычный 12 3 2 4 6" xfId="11885"/>
    <cellStyle name="Обычный 12 3 2 5" xfId="11886"/>
    <cellStyle name="Обычный 12 3 2 5 2" xfId="11887"/>
    <cellStyle name="Обычный 12 3 2 5 3" xfId="11888"/>
    <cellStyle name="Обычный 12 3 2 6" xfId="11889"/>
    <cellStyle name="Обычный 12 3 2 6 2" xfId="11890"/>
    <cellStyle name="Обычный 12 3 2 6 3" xfId="11891"/>
    <cellStyle name="Обычный 12 3 2 7" xfId="11892"/>
    <cellStyle name="Обычный 12 3 2 7 2" xfId="11893"/>
    <cellStyle name="Обычный 12 3 2 8" xfId="11894"/>
    <cellStyle name="Обычный 12 3 2 9" xfId="11895"/>
    <cellStyle name="Обычный 12 3 3" xfId="11896"/>
    <cellStyle name="Обычный 12 3 3 2" xfId="11897"/>
    <cellStyle name="Обычный 12 3 3 2 2" xfId="11898"/>
    <cellStyle name="Обычный 12 3 3 2 2 2" xfId="11899"/>
    <cellStyle name="Обычный 12 3 3 2 2 2 2" xfId="11900"/>
    <cellStyle name="Обычный 12 3 3 2 2 2 3" xfId="11901"/>
    <cellStyle name="Обычный 12 3 3 2 2 3" xfId="11902"/>
    <cellStyle name="Обычный 12 3 3 2 2 3 2" xfId="11903"/>
    <cellStyle name="Обычный 12 3 3 2 2 3 3" xfId="11904"/>
    <cellStyle name="Обычный 12 3 3 2 2 4" xfId="11905"/>
    <cellStyle name="Обычный 12 3 3 2 2 4 2" xfId="11906"/>
    <cellStyle name="Обычный 12 3 3 2 2 5" xfId="11907"/>
    <cellStyle name="Обычный 12 3 3 2 2 6" xfId="11908"/>
    <cellStyle name="Обычный 12 3 3 2 3" xfId="11909"/>
    <cellStyle name="Обычный 12 3 3 2 3 2" xfId="11910"/>
    <cellStyle name="Обычный 12 3 3 2 3 3" xfId="11911"/>
    <cellStyle name="Обычный 12 3 3 2 4" xfId="11912"/>
    <cellStyle name="Обычный 12 3 3 2 4 2" xfId="11913"/>
    <cellStyle name="Обычный 12 3 3 2 4 3" xfId="11914"/>
    <cellStyle name="Обычный 12 3 3 2 5" xfId="11915"/>
    <cellStyle name="Обычный 12 3 3 2 5 2" xfId="11916"/>
    <cellStyle name="Обычный 12 3 3 2 6" xfId="11917"/>
    <cellStyle name="Обычный 12 3 3 2 7" xfId="11918"/>
    <cellStyle name="Обычный 12 3 3 3" xfId="11919"/>
    <cellStyle name="Обычный 12 3 3 3 2" xfId="11920"/>
    <cellStyle name="Обычный 12 3 3 3 2 2" xfId="11921"/>
    <cellStyle name="Обычный 12 3 3 3 2 3" xfId="11922"/>
    <cellStyle name="Обычный 12 3 3 3 3" xfId="11923"/>
    <cellStyle name="Обычный 12 3 3 3 3 2" xfId="11924"/>
    <cellStyle name="Обычный 12 3 3 3 3 3" xfId="11925"/>
    <cellStyle name="Обычный 12 3 3 3 4" xfId="11926"/>
    <cellStyle name="Обычный 12 3 3 3 4 2" xfId="11927"/>
    <cellStyle name="Обычный 12 3 3 3 5" xfId="11928"/>
    <cellStyle name="Обычный 12 3 3 3 6" xfId="11929"/>
    <cellStyle name="Обычный 12 3 3 4" xfId="11930"/>
    <cellStyle name="Обычный 12 3 3 4 2" xfId="11931"/>
    <cellStyle name="Обычный 12 3 3 4 3" xfId="11932"/>
    <cellStyle name="Обычный 12 3 3 5" xfId="11933"/>
    <cellStyle name="Обычный 12 3 3 5 2" xfId="11934"/>
    <cellStyle name="Обычный 12 3 3 5 3" xfId="11935"/>
    <cellStyle name="Обычный 12 3 3 6" xfId="11936"/>
    <cellStyle name="Обычный 12 3 3 6 2" xfId="11937"/>
    <cellStyle name="Обычный 12 3 3 7" xfId="11938"/>
    <cellStyle name="Обычный 12 3 3 8" xfId="11939"/>
    <cellStyle name="Обычный 12 3 4" xfId="11940"/>
    <cellStyle name="Обычный 12 3 4 2" xfId="11941"/>
    <cellStyle name="Обычный 12 3 4 2 2" xfId="11942"/>
    <cellStyle name="Обычный 12 3 4 2 2 2" xfId="11943"/>
    <cellStyle name="Обычный 12 3 4 2 2 3" xfId="11944"/>
    <cellStyle name="Обычный 12 3 4 2 3" xfId="11945"/>
    <cellStyle name="Обычный 12 3 4 2 3 2" xfId="11946"/>
    <cellStyle name="Обычный 12 3 4 2 3 3" xfId="11947"/>
    <cellStyle name="Обычный 12 3 4 2 4" xfId="11948"/>
    <cellStyle name="Обычный 12 3 4 2 4 2" xfId="11949"/>
    <cellStyle name="Обычный 12 3 4 2 5" xfId="11950"/>
    <cellStyle name="Обычный 12 3 4 2 6" xfId="11951"/>
    <cellStyle name="Обычный 12 3 4 3" xfId="11952"/>
    <cellStyle name="Обычный 12 3 4 3 2" xfId="11953"/>
    <cellStyle name="Обычный 12 3 4 3 3" xfId="11954"/>
    <cellStyle name="Обычный 12 3 4 4" xfId="11955"/>
    <cellStyle name="Обычный 12 3 4 4 2" xfId="11956"/>
    <cellStyle name="Обычный 12 3 4 4 3" xfId="11957"/>
    <cellStyle name="Обычный 12 3 4 5" xfId="11958"/>
    <cellStyle name="Обычный 12 3 4 5 2" xfId="11959"/>
    <cellStyle name="Обычный 12 3 4 6" xfId="11960"/>
    <cellStyle name="Обычный 12 3 4 7" xfId="11961"/>
    <cellStyle name="Обычный 12 3 5" xfId="11962"/>
    <cellStyle name="Обычный 12 3 5 2" xfId="11963"/>
    <cellStyle name="Обычный 12 3 5 2 2" xfId="11964"/>
    <cellStyle name="Обычный 12 3 5 2 3" xfId="11965"/>
    <cellStyle name="Обычный 12 3 5 3" xfId="11966"/>
    <cellStyle name="Обычный 12 3 5 3 2" xfId="11967"/>
    <cellStyle name="Обычный 12 3 5 3 3" xfId="11968"/>
    <cellStyle name="Обычный 12 3 5 4" xfId="11969"/>
    <cellStyle name="Обычный 12 3 5 4 2" xfId="11970"/>
    <cellStyle name="Обычный 12 3 5 5" xfId="11971"/>
    <cellStyle name="Обычный 12 3 5 6" xfId="11972"/>
    <cellStyle name="Обычный 12 3 6" xfId="11973"/>
    <cellStyle name="Обычный 12 3 6 2" xfId="11974"/>
    <cellStyle name="Обычный 12 3 6 3" xfId="11975"/>
    <cellStyle name="Обычный 12 3 7" xfId="11976"/>
    <cellStyle name="Обычный 12 3 7 2" xfId="11977"/>
    <cellStyle name="Обычный 12 3 7 3" xfId="11978"/>
    <cellStyle name="Обычный 12 3 8" xfId="11979"/>
    <cellStyle name="Обычный 12 3 8 2" xfId="11980"/>
    <cellStyle name="Обычный 12 3 9" xfId="11981"/>
    <cellStyle name="Обычный 12 4" xfId="11982"/>
    <cellStyle name="Обычный 12 4 10" xfId="11983"/>
    <cellStyle name="Обычный 12 4 2" xfId="11984"/>
    <cellStyle name="Обычный 12 4 2 2" xfId="11985"/>
    <cellStyle name="Обычный 12 4 2 2 2" xfId="11986"/>
    <cellStyle name="Обычный 12 4 2 2 2 2" xfId="11987"/>
    <cellStyle name="Обычный 12 4 2 2 2 2 2" xfId="11988"/>
    <cellStyle name="Обычный 12 4 2 2 2 2 2 2" xfId="11989"/>
    <cellStyle name="Обычный 12 4 2 2 2 2 2 3" xfId="11990"/>
    <cellStyle name="Обычный 12 4 2 2 2 2 3" xfId="11991"/>
    <cellStyle name="Обычный 12 4 2 2 2 2 3 2" xfId="11992"/>
    <cellStyle name="Обычный 12 4 2 2 2 2 3 3" xfId="11993"/>
    <cellStyle name="Обычный 12 4 2 2 2 2 4" xfId="11994"/>
    <cellStyle name="Обычный 12 4 2 2 2 2 4 2" xfId="11995"/>
    <cellStyle name="Обычный 12 4 2 2 2 2 5" xfId="11996"/>
    <cellStyle name="Обычный 12 4 2 2 2 2 6" xfId="11997"/>
    <cellStyle name="Обычный 12 4 2 2 2 3" xfId="11998"/>
    <cellStyle name="Обычный 12 4 2 2 2 3 2" xfId="11999"/>
    <cellStyle name="Обычный 12 4 2 2 2 3 3" xfId="12000"/>
    <cellStyle name="Обычный 12 4 2 2 2 4" xfId="12001"/>
    <cellStyle name="Обычный 12 4 2 2 2 4 2" xfId="12002"/>
    <cellStyle name="Обычный 12 4 2 2 2 4 3" xfId="12003"/>
    <cellStyle name="Обычный 12 4 2 2 2 5" xfId="12004"/>
    <cellStyle name="Обычный 12 4 2 2 2 5 2" xfId="12005"/>
    <cellStyle name="Обычный 12 4 2 2 2 6" xfId="12006"/>
    <cellStyle name="Обычный 12 4 2 2 2 7" xfId="12007"/>
    <cellStyle name="Обычный 12 4 2 2 3" xfId="12008"/>
    <cellStyle name="Обычный 12 4 2 2 3 2" xfId="12009"/>
    <cellStyle name="Обычный 12 4 2 2 3 2 2" xfId="12010"/>
    <cellStyle name="Обычный 12 4 2 2 3 2 3" xfId="12011"/>
    <cellStyle name="Обычный 12 4 2 2 3 3" xfId="12012"/>
    <cellStyle name="Обычный 12 4 2 2 3 3 2" xfId="12013"/>
    <cellStyle name="Обычный 12 4 2 2 3 3 3" xfId="12014"/>
    <cellStyle name="Обычный 12 4 2 2 3 4" xfId="12015"/>
    <cellStyle name="Обычный 12 4 2 2 3 4 2" xfId="12016"/>
    <cellStyle name="Обычный 12 4 2 2 3 5" xfId="12017"/>
    <cellStyle name="Обычный 12 4 2 2 3 6" xfId="12018"/>
    <cellStyle name="Обычный 12 4 2 2 4" xfId="12019"/>
    <cellStyle name="Обычный 12 4 2 2 4 2" xfId="12020"/>
    <cellStyle name="Обычный 12 4 2 2 4 3" xfId="12021"/>
    <cellStyle name="Обычный 12 4 2 2 5" xfId="12022"/>
    <cellStyle name="Обычный 12 4 2 2 5 2" xfId="12023"/>
    <cellStyle name="Обычный 12 4 2 2 5 3" xfId="12024"/>
    <cellStyle name="Обычный 12 4 2 2 6" xfId="12025"/>
    <cellStyle name="Обычный 12 4 2 2 6 2" xfId="12026"/>
    <cellStyle name="Обычный 12 4 2 2 7" xfId="12027"/>
    <cellStyle name="Обычный 12 4 2 2 8" xfId="12028"/>
    <cellStyle name="Обычный 12 4 2 3" xfId="12029"/>
    <cellStyle name="Обычный 12 4 2 3 2" xfId="12030"/>
    <cellStyle name="Обычный 12 4 2 3 2 2" xfId="12031"/>
    <cellStyle name="Обычный 12 4 2 3 2 2 2" xfId="12032"/>
    <cellStyle name="Обычный 12 4 2 3 2 2 3" xfId="12033"/>
    <cellStyle name="Обычный 12 4 2 3 2 3" xfId="12034"/>
    <cellStyle name="Обычный 12 4 2 3 2 3 2" xfId="12035"/>
    <cellStyle name="Обычный 12 4 2 3 2 3 3" xfId="12036"/>
    <cellStyle name="Обычный 12 4 2 3 2 4" xfId="12037"/>
    <cellStyle name="Обычный 12 4 2 3 2 4 2" xfId="12038"/>
    <cellStyle name="Обычный 12 4 2 3 2 5" xfId="12039"/>
    <cellStyle name="Обычный 12 4 2 3 2 6" xfId="12040"/>
    <cellStyle name="Обычный 12 4 2 3 3" xfId="12041"/>
    <cellStyle name="Обычный 12 4 2 3 3 2" xfId="12042"/>
    <cellStyle name="Обычный 12 4 2 3 3 3" xfId="12043"/>
    <cellStyle name="Обычный 12 4 2 3 4" xfId="12044"/>
    <cellStyle name="Обычный 12 4 2 3 4 2" xfId="12045"/>
    <cellStyle name="Обычный 12 4 2 3 4 3" xfId="12046"/>
    <cellStyle name="Обычный 12 4 2 3 5" xfId="12047"/>
    <cellStyle name="Обычный 12 4 2 3 5 2" xfId="12048"/>
    <cellStyle name="Обычный 12 4 2 3 6" xfId="12049"/>
    <cellStyle name="Обычный 12 4 2 3 7" xfId="12050"/>
    <cellStyle name="Обычный 12 4 2 4" xfId="12051"/>
    <cellStyle name="Обычный 12 4 2 4 2" xfId="12052"/>
    <cellStyle name="Обычный 12 4 2 4 2 2" xfId="12053"/>
    <cellStyle name="Обычный 12 4 2 4 2 3" xfId="12054"/>
    <cellStyle name="Обычный 12 4 2 4 3" xfId="12055"/>
    <cellStyle name="Обычный 12 4 2 4 3 2" xfId="12056"/>
    <cellStyle name="Обычный 12 4 2 4 3 3" xfId="12057"/>
    <cellStyle name="Обычный 12 4 2 4 4" xfId="12058"/>
    <cellStyle name="Обычный 12 4 2 4 4 2" xfId="12059"/>
    <cellStyle name="Обычный 12 4 2 4 5" xfId="12060"/>
    <cellStyle name="Обычный 12 4 2 4 6" xfId="12061"/>
    <cellStyle name="Обычный 12 4 2 5" xfId="12062"/>
    <cellStyle name="Обычный 12 4 2 5 2" xfId="12063"/>
    <cellStyle name="Обычный 12 4 2 5 3" xfId="12064"/>
    <cellStyle name="Обычный 12 4 2 6" xfId="12065"/>
    <cellStyle name="Обычный 12 4 2 6 2" xfId="12066"/>
    <cellStyle name="Обычный 12 4 2 6 3" xfId="12067"/>
    <cellStyle name="Обычный 12 4 2 7" xfId="12068"/>
    <cellStyle name="Обычный 12 4 2 7 2" xfId="12069"/>
    <cellStyle name="Обычный 12 4 2 8" xfId="12070"/>
    <cellStyle name="Обычный 12 4 2 9" xfId="12071"/>
    <cellStyle name="Обычный 12 4 3" xfId="12072"/>
    <cellStyle name="Обычный 12 4 3 2" xfId="12073"/>
    <cellStyle name="Обычный 12 4 3 2 2" xfId="12074"/>
    <cellStyle name="Обычный 12 4 3 2 2 2" xfId="12075"/>
    <cellStyle name="Обычный 12 4 3 2 2 2 2" xfId="12076"/>
    <cellStyle name="Обычный 12 4 3 2 2 2 3" xfId="12077"/>
    <cellStyle name="Обычный 12 4 3 2 2 3" xfId="12078"/>
    <cellStyle name="Обычный 12 4 3 2 2 3 2" xfId="12079"/>
    <cellStyle name="Обычный 12 4 3 2 2 3 3" xfId="12080"/>
    <cellStyle name="Обычный 12 4 3 2 2 4" xfId="12081"/>
    <cellStyle name="Обычный 12 4 3 2 2 4 2" xfId="12082"/>
    <cellStyle name="Обычный 12 4 3 2 2 5" xfId="12083"/>
    <cellStyle name="Обычный 12 4 3 2 2 6" xfId="12084"/>
    <cellStyle name="Обычный 12 4 3 2 3" xfId="12085"/>
    <cellStyle name="Обычный 12 4 3 2 3 2" xfId="12086"/>
    <cellStyle name="Обычный 12 4 3 2 3 3" xfId="12087"/>
    <cellStyle name="Обычный 12 4 3 2 4" xfId="12088"/>
    <cellStyle name="Обычный 12 4 3 2 4 2" xfId="12089"/>
    <cellStyle name="Обычный 12 4 3 2 4 3" xfId="12090"/>
    <cellStyle name="Обычный 12 4 3 2 5" xfId="12091"/>
    <cellStyle name="Обычный 12 4 3 2 5 2" xfId="12092"/>
    <cellStyle name="Обычный 12 4 3 2 6" xfId="12093"/>
    <cellStyle name="Обычный 12 4 3 2 7" xfId="12094"/>
    <cellStyle name="Обычный 12 4 3 3" xfId="12095"/>
    <cellStyle name="Обычный 12 4 3 3 2" xfId="12096"/>
    <cellStyle name="Обычный 12 4 3 3 2 2" xfId="12097"/>
    <cellStyle name="Обычный 12 4 3 3 2 3" xfId="12098"/>
    <cellStyle name="Обычный 12 4 3 3 3" xfId="12099"/>
    <cellStyle name="Обычный 12 4 3 3 3 2" xfId="12100"/>
    <cellStyle name="Обычный 12 4 3 3 3 3" xfId="12101"/>
    <cellStyle name="Обычный 12 4 3 3 4" xfId="12102"/>
    <cellStyle name="Обычный 12 4 3 3 4 2" xfId="12103"/>
    <cellStyle name="Обычный 12 4 3 3 5" xfId="12104"/>
    <cellStyle name="Обычный 12 4 3 3 6" xfId="12105"/>
    <cellStyle name="Обычный 12 4 3 4" xfId="12106"/>
    <cellStyle name="Обычный 12 4 3 4 2" xfId="12107"/>
    <cellStyle name="Обычный 12 4 3 4 3" xfId="12108"/>
    <cellStyle name="Обычный 12 4 3 5" xfId="12109"/>
    <cellStyle name="Обычный 12 4 3 5 2" xfId="12110"/>
    <cellStyle name="Обычный 12 4 3 5 3" xfId="12111"/>
    <cellStyle name="Обычный 12 4 3 6" xfId="12112"/>
    <cellStyle name="Обычный 12 4 3 6 2" xfId="12113"/>
    <cellStyle name="Обычный 12 4 3 7" xfId="12114"/>
    <cellStyle name="Обычный 12 4 3 8" xfId="12115"/>
    <cellStyle name="Обычный 12 4 4" xfId="12116"/>
    <cellStyle name="Обычный 12 4 4 2" xfId="12117"/>
    <cellStyle name="Обычный 12 4 4 2 2" xfId="12118"/>
    <cellStyle name="Обычный 12 4 4 2 2 2" xfId="12119"/>
    <cellStyle name="Обычный 12 4 4 2 2 3" xfId="12120"/>
    <cellStyle name="Обычный 12 4 4 2 3" xfId="12121"/>
    <cellStyle name="Обычный 12 4 4 2 3 2" xfId="12122"/>
    <cellStyle name="Обычный 12 4 4 2 3 3" xfId="12123"/>
    <cellStyle name="Обычный 12 4 4 2 4" xfId="12124"/>
    <cellStyle name="Обычный 12 4 4 2 4 2" xfId="12125"/>
    <cellStyle name="Обычный 12 4 4 2 5" xfId="12126"/>
    <cellStyle name="Обычный 12 4 4 2 6" xfId="12127"/>
    <cellStyle name="Обычный 12 4 4 3" xfId="12128"/>
    <cellStyle name="Обычный 12 4 4 3 2" xfId="12129"/>
    <cellStyle name="Обычный 12 4 4 3 3" xfId="12130"/>
    <cellStyle name="Обычный 12 4 4 4" xfId="12131"/>
    <cellStyle name="Обычный 12 4 4 4 2" xfId="12132"/>
    <cellStyle name="Обычный 12 4 4 4 3" xfId="12133"/>
    <cellStyle name="Обычный 12 4 4 5" xfId="12134"/>
    <cellStyle name="Обычный 12 4 4 5 2" xfId="12135"/>
    <cellStyle name="Обычный 12 4 4 6" xfId="12136"/>
    <cellStyle name="Обычный 12 4 4 7" xfId="12137"/>
    <cellStyle name="Обычный 12 4 5" xfId="12138"/>
    <cellStyle name="Обычный 12 4 5 2" xfId="12139"/>
    <cellStyle name="Обычный 12 4 5 2 2" xfId="12140"/>
    <cellStyle name="Обычный 12 4 5 2 3" xfId="12141"/>
    <cellStyle name="Обычный 12 4 5 3" xfId="12142"/>
    <cellStyle name="Обычный 12 4 5 3 2" xfId="12143"/>
    <cellStyle name="Обычный 12 4 5 3 3" xfId="12144"/>
    <cellStyle name="Обычный 12 4 5 4" xfId="12145"/>
    <cellStyle name="Обычный 12 4 5 4 2" xfId="12146"/>
    <cellStyle name="Обычный 12 4 5 5" xfId="12147"/>
    <cellStyle name="Обычный 12 4 5 6" xfId="12148"/>
    <cellStyle name="Обычный 12 4 6" xfId="12149"/>
    <cellStyle name="Обычный 12 4 6 2" xfId="12150"/>
    <cellStyle name="Обычный 12 4 6 3" xfId="12151"/>
    <cellStyle name="Обычный 12 4 7" xfId="12152"/>
    <cellStyle name="Обычный 12 4 7 2" xfId="12153"/>
    <cellStyle name="Обычный 12 4 7 3" xfId="12154"/>
    <cellStyle name="Обычный 12 4 8" xfId="12155"/>
    <cellStyle name="Обычный 12 4 8 2" xfId="12156"/>
    <cellStyle name="Обычный 12 4 9" xfId="12157"/>
    <cellStyle name="Обычный 12 5" xfId="12158"/>
    <cellStyle name="Обычный 12 5 2" xfId="12159"/>
    <cellStyle name="Обычный 12 5 2 2" xfId="12160"/>
    <cellStyle name="Обычный 12 5 2 2 2" xfId="12161"/>
    <cellStyle name="Обычный 12 5 2 2 2 2" xfId="12162"/>
    <cellStyle name="Обычный 12 5 2 2 2 2 2" xfId="12163"/>
    <cellStyle name="Обычный 12 5 2 2 2 2 3" xfId="12164"/>
    <cellStyle name="Обычный 12 5 2 2 2 3" xfId="12165"/>
    <cellStyle name="Обычный 12 5 2 2 2 3 2" xfId="12166"/>
    <cellStyle name="Обычный 12 5 2 2 2 3 3" xfId="12167"/>
    <cellStyle name="Обычный 12 5 2 2 2 4" xfId="12168"/>
    <cellStyle name="Обычный 12 5 2 2 2 4 2" xfId="12169"/>
    <cellStyle name="Обычный 12 5 2 2 2 5" xfId="12170"/>
    <cellStyle name="Обычный 12 5 2 2 2 6" xfId="12171"/>
    <cellStyle name="Обычный 12 5 2 2 3" xfId="12172"/>
    <cellStyle name="Обычный 12 5 2 2 3 2" xfId="12173"/>
    <cellStyle name="Обычный 12 5 2 2 3 3" xfId="12174"/>
    <cellStyle name="Обычный 12 5 2 2 4" xfId="12175"/>
    <cellStyle name="Обычный 12 5 2 2 4 2" xfId="12176"/>
    <cellStyle name="Обычный 12 5 2 2 4 3" xfId="12177"/>
    <cellStyle name="Обычный 12 5 2 2 5" xfId="12178"/>
    <cellStyle name="Обычный 12 5 2 2 5 2" xfId="12179"/>
    <cellStyle name="Обычный 12 5 2 2 6" xfId="12180"/>
    <cellStyle name="Обычный 12 5 2 2 7" xfId="12181"/>
    <cellStyle name="Обычный 12 5 2 3" xfId="12182"/>
    <cellStyle name="Обычный 12 5 2 3 2" xfId="12183"/>
    <cellStyle name="Обычный 12 5 2 3 2 2" xfId="12184"/>
    <cellStyle name="Обычный 12 5 2 3 2 3" xfId="12185"/>
    <cellStyle name="Обычный 12 5 2 3 3" xfId="12186"/>
    <cellStyle name="Обычный 12 5 2 3 3 2" xfId="12187"/>
    <cellStyle name="Обычный 12 5 2 3 3 3" xfId="12188"/>
    <cellStyle name="Обычный 12 5 2 3 4" xfId="12189"/>
    <cellStyle name="Обычный 12 5 2 3 4 2" xfId="12190"/>
    <cellStyle name="Обычный 12 5 2 3 5" xfId="12191"/>
    <cellStyle name="Обычный 12 5 2 3 6" xfId="12192"/>
    <cellStyle name="Обычный 12 5 2 4" xfId="12193"/>
    <cellStyle name="Обычный 12 5 2 4 2" xfId="12194"/>
    <cellStyle name="Обычный 12 5 2 4 3" xfId="12195"/>
    <cellStyle name="Обычный 12 5 2 5" xfId="12196"/>
    <cellStyle name="Обычный 12 5 2 5 2" xfId="12197"/>
    <cellStyle name="Обычный 12 5 2 5 3" xfId="12198"/>
    <cellStyle name="Обычный 12 5 2 6" xfId="12199"/>
    <cellStyle name="Обычный 12 5 2 6 2" xfId="12200"/>
    <cellStyle name="Обычный 12 5 2 7" xfId="12201"/>
    <cellStyle name="Обычный 12 5 2 8" xfId="12202"/>
    <cellStyle name="Обычный 12 5 3" xfId="12203"/>
    <cellStyle name="Обычный 12 5 3 2" xfId="12204"/>
    <cellStyle name="Обычный 12 5 3 2 2" xfId="12205"/>
    <cellStyle name="Обычный 12 5 3 2 2 2" xfId="12206"/>
    <cellStyle name="Обычный 12 5 3 2 2 3" xfId="12207"/>
    <cellStyle name="Обычный 12 5 3 2 3" xfId="12208"/>
    <cellStyle name="Обычный 12 5 3 2 3 2" xfId="12209"/>
    <cellStyle name="Обычный 12 5 3 2 3 3" xfId="12210"/>
    <cellStyle name="Обычный 12 5 3 2 4" xfId="12211"/>
    <cellStyle name="Обычный 12 5 3 2 4 2" xfId="12212"/>
    <cellStyle name="Обычный 12 5 3 2 5" xfId="12213"/>
    <cellStyle name="Обычный 12 5 3 2 6" xfId="12214"/>
    <cellStyle name="Обычный 12 5 3 3" xfId="12215"/>
    <cellStyle name="Обычный 12 5 3 3 2" xfId="12216"/>
    <cellStyle name="Обычный 12 5 3 3 3" xfId="12217"/>
    <cellStyle name="Обычный 12 5 3 4" xfId="12218"/>
    <cellStyle name="Обычный 12 5 3 4 2" xfId="12219"/>
    <cellStyle name="Обычный 12 5 3 4 3" xfId="12220"/>
    <cellStyle name="Обычный 12 5 3 5" xfId="12221"/>
    <cellStyle name="Обычный 12 5 3 5 2" xfId="12222"/>
    <cellStyle name="Обычный 12 5 3 6" xfId="12223"/>
    <cellStyle name="Обычный 12 5 3 7" xfId="12224"/>
    <cellStyle name="Обычный 12 5 4" xfId="12225"/>
    <cellStyle name="Обычный 12 5 4 2" xfId="12226"/>
    <cellStyle name="Обычный 12 5 4 2 2" xfId="12227"/>
    <cellStyle name="Обычный 12 5 4 2 3" xfId="12228"/>
    <cellStyle name="Обычный 12 5 4 3" xfId="12229"/>
    <cellStyle name="Обычный 12 5 4 3 2" xfId="12230"/>
    <cellStyle name="Обычный 12 5 4 3 3" xfId="12231"/>
    <cellStyle name="Обычный 12 5 4 4" xfId="12232"/>
    <cellStyle name="Обычный 12 5 4 4 2" xfId="12233"/>
    <cellStyle name="Обычный 12 5 4 5" xfId="12234"/>
    <cellStyle name="Обычный 12 5 4 6" xfId="12235"/>
    <cellStyle name="Обычный 12 5 5" xfId="12236"/>
    <cellStyle name="Обычный 12 5 5 2" xfId="12237"/>
    <cellStyle name="Обычный 12 5 5 3" xfId="12238"/>
    <cellStyle name="Обычный 12 5 6" xfId="12239"/>
    <cellStyle name="Обычный 12 5 6 2" xfId="12240"/>
    <cellStyle name="Обычный 12 5 6 3" xfId="12241"/>
    <cellStyle name="Обычный 12 5 7" xfId="12242"/>
    <cellStyle name="Обычный 12 5 7 2" xfId="12243"/>
    <cellStyle name="Обычный 12 5 8" xfId="12244"/>
    <cellStyle name="Обычный 12 5 9" xfId="12245"/>
    <cellStyle name="Обычный 12 6" xfId="12246"/>
    <cellStyle name="Обычный 12 6 2" xfId="12247"/>
    <cellStyle name="Обычный 12 6 2 2" xfId="12248"/>
    <cellStyle name="Обычный 12 6 2 2 2" xfId="12249"/>
    <cellStyle name="Обычный 12 6 2 2 2 2" xfId="12250"/>
    <cellStyle name="Обычный 12 6 2 2 2 3" xfId="12251"/>
    <cellStyle name="Обычный 12 6 2 2 3" xfId="12252"/>
    <cellStyle name="Обычный 12 6 2 2 3 2" xfId="12253"/>
    <cellStyle name="Обычный 12 6 2 2 3 3" xfId="12254"/>
    <cellStyle name="Обычный 12 6 2 2 4" xfId="12255"/>
    <cellStyle name="Обычный 12 6 2 2 4 2" xfId="12256"/>
    <cellStyle name="Обычный 12 6 2 2 5" xfId="12257"/>
    <cellStyle name="Обычный 12 6 2 2 6" xfId="12258"/>
    <cellStyle name="Обычный 12 6 2 3" xfId="12259"/>
    <cellStyle name="Обычный 12 6 2 3 2" xfId="12260"/>
    <cellStyle name="Обычный 12 6 2 3 3" xfId="12261"/>
    <cellStyle name="Обычный 12 6 2 4" xfId="12262"/>
    <cellStyle name="Обычный 12 6 2 4 2" xfId="12263"/>
    <cellStyle name="Обычный 12 6 2 4 3" xfId="12264"/>
    <cellStyle name="Обычный 12 6 2 5" xfId="12265"/>
    <cellStyle name="Обычный 12 6 2 5 2" xfId="12266"/>
    <cellStyle name="Обычный 12 6 2 6" xfId="12267"/>
    <cellStyle name="Обычный 12 6 2 7" xfId="12268"/>
    <cellStyle name="Обычный 12 6 3" xfId="12269"/>
    <cellStyle name="Обычный 12 6 3 2" xfId="12270"/>
    <cellStyle name="Обычный 12 6 3 2 2" xfId="12271"/>
    <cellStyle name="Обычный 12 6 3 2 3" xfId="12272"/>
    <cellStyle name="Обычный 12 6 3 3" xfId="12273"/>
    <cellStyle name="Обычный 12 6 3 3 2" xfId="12274"/>
    <cellStyle name="Обычный 12 6 3 3 3" xfId="12275"/>
    <cellStyle name="Обычный 12 6 3 4" xfId="12276"/>
    <cellStyle name="Обычный 12 6 3 4 2" xfId="12277"/>
    <cellStyle name="Обычный 12 6 3 5" xfId="12278"/>
    <cellStyle name="Обычный 12 6 3 6" xfId="12279"/>
    <cellStyle name="Обычный 12 6 4" xfId="12280"/>
    <cellStyle name="Обычный 12 6 4 2" xfId="12281"/>
    <cellStyle name="Обычный 12 6 4 3" xfId="12282"/>
    <cellStyle name="Обычный 12 6 5" xfId="12283"/>
    <cellStyle name="Обычный 12 6 5 2" xfId="12284"/>
    <cellStyle name="Обычный 12 6 5 3" xfId="12285"/>
    <cellStyle name="Обычный 12 6 6" xfId="12286"/>
    <cellStyle name="Обычный 12 6 6 2" xfId="12287"/>
    <cellStyle name="Обычный 12 6 7" xfId="12288"/>
    <cellStyle name="Обычный 12 6 8" xfId="12289"/>
    <cellStyle name="Обычный 12 7" xfId="12290"/>
    <cellStyle name="Обычный 12 7 2" xfId="12291"/>
    <cellStyle name="Обычный 12 7 2 2" xfId="12292"/>
    <cellStyle name="Обычный 12 7 2 2 2" xfId="12293"/>
    <cellStyle name="Обычный 12 7 2 2 3" xfId="12294"/>
    <cellStyle name="Обычный 12 7 2 3" xfId="12295"/>
    <cellStyle name="Обычный 12 7 2 3 2" xfId="12296"/>
    <cellStyle name="Обычный 12 7 2 3 3" xfId="12297"/>
    <cellStyle name="Обычный 12 7 2 4" xfId="12298"/>
    <cellStyle name="Обычный 12 7 2 4 2" xfId="12299"/>
    <cellStyle name="Обычный 12 7 2 5" xfId="12300"/>
    <cellStyle name="Обычный 12 7 2 6" xfId="12301"/>
    <cellStyle name="Обычный 12 7 3" xfId="12302"/>
    <cellStyle name="Обычный 12 7 3 2" xfId="12303"/>
    <cellStyle name="Обычный 12 7 3 3" xfId="12304"/>
    <cellStyle name="Обычный 12 7 4" xfId="12305"/>
    <cellStyle name="Обычный 12 7 4 2" xfId="12306"/>
    <cellStyle name="Обычный 12 7 4 3" xfId="12307"/>
    <cellStyle name="Обычный 12 7 5" xfId="12308"/>
    <cellStyle name="Обычный 12 7 5 2" xfId="12309"/>
    <cellStyle name="Обычный 12 7 6" xfId="12310"/>
    <cellStyle name="Обычный 12 7 7" xfId="12311"/>
    <cellStyle name="Обычный 12 8" xfId="12312"/>
    <cellStyle name="Обычный 12 8 2" xfId="12313"/>
    <cellStyle name="Обычный 12 8 2 2" xfId="12314"/>
    <cellStyle name="Обычный 12 8 2 3" xfId="12315"/>
    <cellStyle name="Обычный 12 8 3" xfId="12316"/>
    <cellStyle name="Обычный 12 8 3 2" xfId="12317"/>
    <cellStyle name="Обычный 12 8 3 3" xfId="12318"/>
    <cellStyle name="Обычный 12 8 4" xfId="12319"/>
    <cellStyle name="Обычный 12 8 4 2" xfId="12320"/>
    <cellStyle name="Обычный 12 8 5" xfId="12321"/>
    <cellStyle name="Обычный 12 8 6" xfId="12322"/>
    <cellStyle name="Обычный 12 9" xfId="12323"/>
    <cellStyle name="Обычный 12 9 2" xfId="12324"/>
    <cellStyle name="Обычный 12 9 3" xfId="12325"/>
    <cellStyle name="Обычный 13" xfId="12326"/>
    <cellStyle name="Обычный 13 10" xfId="12327"/>
    <cellStyle name="Обычный 13 10 2" xfId="12328"/>
    <cellStyle name="Обычный 13 10 3" xfId="12329"/>
    <cellStyle name="Обычный 13 11" xfId="12330"/>
    <cellStyle name="Обычный 13 11 2" xfId="12331"/>
    <cellStyle name="Обычный 13 12" xfId="12332"/>
    <cellStyle name="Обычный 13 13" xfId="12333"/>
    <cellStyle name="Обычный 13 2" xfId="12334"/>
    <cellStyle name="Обычный 13 2 10" xfId="12335"/>
    <cellStyle name="Обычный 13 2 2" xfId="12336"/>
    <cellStyle name="Обычный 13 2 2 2" xfId="12337"/>
    <cellStyle name="Обычный 13 2 2 2 2" xfId="12338"/>
    <cellStyle name="Обычный 13 2 2 2 2 2" xfId="12339"/>
    <cellStyle name="Обычный 13 2 2 2 2 2 2" xfId="12340"/>
    <cellStyle name="Обычный 13 2 2 2 2 2 2 2" xfId="12341"/>
    <cellStyle name="Обычный 13 2 2 2 2 2 2 3" xfId="12342"/>
    <cellStyle name="Обычный 13 2 2 2 2 2 3" xfId="12343"/>
    <cellStyle name="Обычный 13 2 2 2 2 2 3 2" xfId="12344"/>
    <cellStyle name="Обычный 13 2 2 2 2 2 3 3" xfId="12345"/>
    <cellStyle name="Обычный 13 2 2 2 2 2 4" xfId="12346"/>
    <cellStyle name="Обычный 13 2 2 2 2 2 4 2" xfId="12347"/>
    <cellStyle name="Обычный 13 2 2 2 2 2 5" xfId="12348"/>
    <cellStyle name="Обычный 13 2 2 2 2 2 6" xfId="12349"/>
    <cellStyle name="Обычный 13 2 2 2 2 3" xfId="12350"/>
    <cellStyle name="Обычный 13 2 2 2 2 3 2" xfId="12351"/>
    <cellStyle name="Обычный 13 2 2 2 2 3 3" xfId="12352"/>
    <cellStyle name="Обычный 13 2 2 2 2 4" xfId="12353"/>
    <cellStyle name="Обычный 13 2 2 2 2 4 2" xfId="12354"/>
    <cellStyle name="Обычный 13 2 2 2 2 4 3" xfId="12355"/>
    <cellStyle name="Обычный 13 2 2 2 2 5" xfId="12356"/>
    <cellStyle name="Обычный 13 2 2 2 2 5 2" xfId="12357"/>
    <cellStyle name="Обычный 13 2 2 2 2 6" xfId="12358"/>
    <cellStyle name="Обычный 13 2 2 2 2 7" xfId="12359"/>
    <cellStyle name="Обычный 13 2 2 2 3" xfId="12360"/>
    <cellStyle name="Обычный 13 2 2 2 3 2" xfId="12361"/>
    <cellStyle name="Обычный 13 2 2 2 3 2 2" xfId="12362"/>
    <cellStyle name="Обычный 13 2 2 2 3 2 3" xfId="12363"/>
    <cellStyle name="Обычный 13 2 2 2 3 3" xfId="12364"/>
    <cellStyle name="Обычный 13 2 2 2 3 3 2" xfId="12365"/>
    <cellStyle name="Обычный 13 2 2 2 3 3 3" xfId="12366"/>
    <cellStyle name="Обычный 13 2 2 2 3 4" xfId="12367"/>
    <cellStyle name="Обычный 13 2 2 2 3 4 2" xfId="12368"/>
    <cellStyle name="Обычный 13 2 2 2 3 5" xfId="12369"/>
    <cellStyle name="Обычный 13 2 2 2 3 6" xfId="12370"/>
    <cellStyle name="Обычный 13 2 2 2 4" xfId="12371"/>
    <cellStyle name="Обычный 13 2 2 2 4 2" xfId="12372"/>
    <cellStyle name="Обычный 13 2 2 2 4 3" xfId="12373"/>
    <cellStyle name="Обычный 13 2 2 2 5" xfId="12374"/>
    <cellStyle name="Обычный 13 2 2 2 5 2" xfId="12375"/>
    <cellStyle name="Обычный 13 2 2 2 5 3" xfId="12376"/>
    <cellStyle name="Обычный 13 2 2 2 6" xfId="12377"/>
    <cellStyle name="Обычный 13 2 2 2 6 2" xfId="12378"/>
    <cellStyle name="Обычный 13 2 2 2 7" xfId="12379"/>
    <cellStyle name="Обычный 13 2 2 2 8" xfId="12380"/>
    <cellStyle name="Обычный 13 2 2 3" xfId="12381"/>
    <cellStyle name="Обычный 13 2 2 3 2" xfId="12382"/>
    <cellStyle name="Обычный 13 2 2 3 2 2" xfId="12383"/>
    <cellStyle name="Обычный 13 2 2 3 2 2 2" xfId="12384"/>
    <cellStyle name="Обычный 13 2 2 3 2 2 3" xfId="12385"/>
    <cellStyle name="Обычный 13 2 2 3 2 3" xfId="12386"/>
    <cellStyle name="Обычный 13 2 2 3 2 3 2" xfId="12387"/>
    <cellStyle name="Обычный 13 2 2 3 2 3 3" xfId="12388"/>
    <cellStyle name="Обычный 13 2 2 3 2 4" xfId="12389"/>
    <cellStyle name="Обычный 13 2 2 3 2 4 2" xfId="12390"/>
    <cellStyle name="Обычный 13 2 2 3 2 5" xfId="12391"/>
    <cellStyle name="Обычный 13 2 2 3 2 6" xfId="12392"/>
    <cellStyle name="Обычный 13 2 2 3 3" xfId="12393"/>
    <cellStyle name="Обычный 13 2 2 3 3 2" xfId="12394"/>
    <cellStyle name="Обычный 13 2 2 3 3 3" xfId="12395"/>
    <cellStyle name="Обычный 13 2 2 3 4" xfId="12396"/>
    <cellStyle name="Обычный 13 2 2 3 4 2" xfId="12397"/>
    <cellStyle name="Обычный 13 2 2 3 4 3" xfId="12398"/>
    <cellStyle name="Обычный 13 2 2 3 5" xfId="12399"/>
    <cellStyle name="Обычный 13 2 2 3 5 2" xfId="12400"/>
    <cellStyle name="Обычный 13 2 2 3 6" xfId="12401"/>
    <cellStyle name="Обычный 13 2 2 3 7" xfId="12402"/>
    <cellStyle name="Обычный 13 2 2 4" xfId="12403"/>
    <cellStyle name="Обычный 13 2 2 4 2" xfId="12404"/>
    <cellStyle name="Обычный 13 2 2 4 2 2" xfId="12405"/>
    <cellStyle name="Обычный 13 2 2 4 2 3" xfId="12406"/>
    <cellStyle name="Обычный 13 2 2 4 3" xfId="12407"/>
    <cellStyle name="Обычный 13 2 2 4 3 2" xfId="12408"/>
    <cellStyle name="Обычный 13 2 2 4 3 3" xfId="12409"/>
    <cellStyle name="Обычный 13 2 2 4 4" xfId="12410"/>
    <cellStyle name="Обычный 13 2 2 4 4 2" xfId="12411"/>
    <cellStyle name="Обычный 13 2 2 4 5" xfId="12412"/>
    <cellStyle name="Обычный 13 2 2 4 6" xfId="12413"/>
    <cellStyle name="Обычный 13 2 2 5" xfId="12414"/>
    <cellStyle name="Обычный 13 2 2 5 2" xfId="12415"/>
    <cellStyle name="Обычный 13 2 2 5 3" xfId="12416"/>
    <cellStyle name="Обычный 13 2 2 6" xfId="12417"/>
    <cellStyle name="Обычный 13 2 2 6 2" xfId="12418"/>
    <cellStyle name="Обычный 13 2 2 6 3" xfId="12419"/>
    <cellStyle name="Обычный 13 2 2 7" xfId="12420"/>
    <cellStyle name="Обычный 13 2 2 7 2" xfId="12421"/>
    <cellStyle name="Обычный 13 2 2 8" xfId="12422"/>
    <cellStyle name="Обычный 13 2 2 9" xfId="12423"/>
    <cellStyle name="Обычный 13 2 3" xfId="12424"/>
    <cellStyle name="Обычный 13 2 3 2" xfId="12425"/>
    <cellStyle name="Обычный 13 2 3 2 2" xfId="12426"/>
    <cellStyle name="Обычный 13 2 3 2 2 2" xfId="12427"/>
    <cellStyle name="Обычный 13 2 3 2 2 2 2" xfId="12428"/>
    <cellStyle name="Обычный 13 2 3 2 2 2 3" xfId="12429"/>
    <cellStyle name="Обычный 13 2 3 2 2 3" xfId="12430"/>
    <cellStyle name="Обычный 13 2 3 2 2 3 2" xfId="12431"/>
    <cellStyle name="Обычный 13 2 3 2 2 3 3" xfId="12432"/>
    <cellStyle name="Обычный 13 2 3 2 2 4" xfId="12433"/>
    <cellStyle name="Обычный 13 2 3 2 2 4 2" xfId="12434"/>
    <cellStyle name="Обычный 13 2 3 2 2 5" xfId="12435"/>
    <cellStyle name="Обычный 13 2 3 2 2 6" xfId="12436"/>
    <cellStyle name="Обычный 13 2 3 2 3" xfId="12437"/>
    <cellStyle name="Обычный 13 2 3 2 3 2" xfId="12438"/>
    <cellStyle name="Обычный 13 2 3 2 3 3" xfId="12439"/>
    <cellStyle name="Обычный 13 2 3 2 4" xfId="12440"/>
    <cellStyle name="Обычный 13 2 3 2 4 2" xfId="12441"/>
    <cellStyle name="Обычный 13 2 3 2 4 3" xfId="12442"/>
    <cellStyle name="Обычный 13 2 3 2 5" xfId="12443"/>
    <cellStyle name="Обычный 13 2 3 2 5 2" xfId="12444"/>
    <cellStyle name="Обычный 13 2 3 2 6" xfId="12445"/>
    <cellStyle name="Обычный 13 2 3 2 7" xfId="12446"/>
    <cellStyle name="Обычный 13 2 3 3" xfId="12447"/>
    <cellStyle name="Обычный 13 2 3 3 2" xfId="12448"/>
    <cellStyle name="Обычный 13 2 3 3 2 2" xfId="12449"/>
    <cellStyle name="Обычный 13 2 3 3 2 3" xfId="12450"/>
    <cellStyle name="Обычный 13 2 3 3 3" xfId="12451"/>
    <cellStyle name="Обычный 13 2 3 3 3 2" xfId="12452"/>
    <cellStyle name="Обычный 13 2 3 3 3 3" xfId="12453"/>
    <cellStyle name="Обычный 13 2 3 3 4" xfId="12454"/>
    <cellStyle name="Обычный 13 2 3 3 4 2" xfId="12455"/>
    <cellStyle name="Обычный 13 2 3 3 5" xfId="12456"/>
    <cellStyle name="Обычный 13 2 3 3 6" xfId="12457"/>
    <cellStyle name="Обычный 13 2 3 4" xfId="12458"/>
    <cellStyle name="Обычный 13 2 3 4 2" xfId="12459"/>
    <cellStyle name="Обычный 13 2 3 4 3" xfId="12460"/>
    <cellStyle name="Обычный 13 2 3 5" xfId="12461"/>
    <cellStyle name="Обычный 13 2 3 5 2" xfId="12462"/>
    <cellStyle name="Обычный 13 2 3 5 3" xfId="12463"/>
    <cellStyle name="Обычный 13 2 3 6" xfId="12464"/>
    <cellStyle name="Обычный 13 2 3 6 2" xfId="12465"/>
    <cellStyle name="Обычный 13 2 3 7" xfId="12466"/>
    <cellStyle name="Обычный 13 2 3 8" xfId="12467"/>
    <cellStyle name="Обычный 13 2 4" xfId="12468"/>
    <cellStyle name="Обычный 13 2 4 2" xfId="12469"/>
    <cellStyle name="Обычный 13 2 4 2 2" xfId="12470"/>
    <cellStyle name="Обычный 13 2 4 2 2 2" xfId="12471"/>
    <cellStyle name="Обычный 13 2 4 2 2 3" xfId="12472"/>
    <cellStyle name="Обычный 13 2 4 2 3" xfId="12473"/>
    <cellStyle name="Обычный 13 2 4 2 3 2" xfId="12474"/>
    <cellStyle name="Обычный 13 2 4 2 3 3" xfId="12475"/>
    <cellStyle name="Обычный 13 2 4 2 4" xfId="12476"/>
    <cellStyle name="Обычный 13 2 4 2 4 2" xfId="12477"/>
    <cellStyle name="Обычный 13 2 4 2 5" xfId="12478"/>
    <cellStyle name="Обычный 13 2 4 2 6" xfId="12479"/>
    <cellStyle name="Обычный 13 2 4 3" xfId="12480"/>
    <cellStyle name="Обычный 13 2 4 3 2" xfId="12481"/>
    <cellStyle name="Обычный 13 2 4 3 3" xfId="12482"/>
    <cellStyle name="Обычный 13 2 4 4" xfId="12483"/>
    <cellStyle name="Обычный 13 2 4 4 2" xfId="12484"/>
    <cellStyle name="Обычный 13 2 4 4 3" xfId="12485"/>
    <cellStyle name="Обычный 13 2 4 5" xfId="12486"/>
    <cellStyle name="Обычный 13 2 4 5 2" xfId="12487"/>
    <cellStyle name="Обычный 13 2 4 6" xfId="12488"/>
    <cellStyle name="Обычный 13 2 4 7" xfId="12489"/>
    <cellStyle name="Обычный 13 2 5" xfId="12490"/>
    <cellStyle name="Обычный 13 2 5 2" xfId="12491"/>
    <cellStyle name="Обычный 13 2 5 2 2" xfId="12492"/>
    <cellStyle name="Обычный 13 2 5 2 3" xfId="12493"/>
    <cellStyle name="Обычный 13 2 5 3" xfId="12494"/>
    <cellStyle name="Обычный 13 2 5 3 2" xfId="12495"/>
    <cellStyle name="Обычный 13 2 5 3 3" xfId="12496"/>
    <cellStyle name="Обычный 13 2 5 4" xfId="12497"/>
    <cellStyle name="Обычный 13 2 5 4 2" xfId="12498"/>
    <cellStyle name="Обычный 13 2 5 5" xfId="12499"/>
    <cellStyle name="Обычный 13 2 5 6" xfId="12500"/>
    <cellStyle name="Обычный 13 2 6" xfId="12501"/>
    <cellStyle name="Обычный 13 2 6 2" xfId="12502"/>
    <cellStyle name="Обычный 13 2 6 3" xfId="12503"/>
    <cellStyle name="Обычный 13 2 7" xfId="12504"/>
    <cellStyle name="Обычный 13 2 7 2" xfId="12505"/>
    <cellStyle name="Обычный 13 2 7 3" xfId="12506"/>
    <cellStyle name="Обычный 13 2 8" xfId="12507"/>
    <cellStyle name="Обычный 13 2 8 2" xfId="12508"/>
    <cellStyle name="Обычный 13 2 9" xfId="12509"/>
    <cellStyle name="Обычный 13 3" xfId="12510"/>
    <cellStyle name="Обычный 13 3 10" xfId="12511"/>
    <cellStyle name="Обычный 13 3 2" xfId="12512"/>
    <cellStyle name="Обычный 13 3 2 2" xfId="12513"/>
    <cellStyle name="Обычный 13 3 2 2 2" xfId="12514"/>
    <cellStyle name="Обычный 13 3 2 2 2 2" xfId="12515"/>
    <cellStyle name="Обычный 13 3 2 2 2 2 2" xfId="12516"/>
    <cellStyle name="Обычный 13 3 2 2 2 2 2 2" xfId="12517"/>
    <cellStyle name="Обычный 13 3 2 2 2 2 2 3" xfId="12518"/>
    <cellStyle name="Обычный 13 3 2 2 2 2 3" xfId="12519"/>
    <cellStyle name="Обычный 13 3 2 2 2 2 3 2" xfId="12520"/>
    <cellStyle name="Обычный 13 3 2 2 2 2 3 3" xfId="12521"/>
    <cellStyle name="Обычный 13 3 2 2 2 2 4" xfId="12522"/>
    <cellStyle name="Обычный 13 3 2 2 2 2 4 2" xfId="12523"/>
    <cellStyle name="Обычный 13 3 2 2 2 2 5" xfId="12524"/>
    <cellStyle name="Обычный 13 3 2 2 2 2 6" xfId="12525"/>
    <cellStyle name="Обычный 13 3 2 2 2 3" xfId="12526"/>
    <cellStyle name="Обычный 13 3 2 2 2 3 2" xfId="12527"/>
    <cellStyle name="Обычный 13 3 2 2 2 3 3" xfId="12528"/>
    <cellStyle name="Обычный 13 3 2 2 2 4" xfId="12529"/>
    <cellStyle name="Обычный 13 3 2 2 2 4 2" xfId="12530"/>
    <cellStyle name="Обычный 13 3 2 2 2 4 3" xfId="12531"/>
    <cellStyle name="Обычный 13 3 2 2 2 5" xfId="12532"/>
    <cellStyle name="Обычный 13 3 2 2 2 5 2" xfId="12533"/>
    <cellStyle name="Обычный 13 3 2 2 2 6" xfId="12534"/>
    <cellStyle name="Обычный 13 3 2 2 2 7" xfId="12535"/>
    <cellStyle name="Обычный 13 3 2 2 3" xfId="12536"/>
    <cellStyle name="Обычный 13 3 2 2 3 2" xfId="12537"/>
    <cellStyle name="Обычный 13 3 2 2 3 2 2" xfId="12538"/>
    <cellStyle name="Обычный 13 3 2 2 3 2 3" xfId="12539"/>
    <cellStyle name="Обычный 13 3 2 2 3 3" xfId="12540"/>
    <cellStyle name="Обычный 13 3 2 2 3 3 2" xfId="12541"/>
    <cellStyle name="Обычный 13 3 2 2 3 3 3" xfId="12542"/>
    <cellStyle name="Обычный 13 3 2 2 3 4" xfId="12543"/>
    <cellStyle name="Обычный 13 3 2 2 3 4 2" xfId="12544"/>
    <cellStyle name="Обычный 13 3 2 2 3 5" xfId="12545"/>
    <cellStyle name="Обычный 13 3 2 2 3 6" xfId="12546"/>
    <cellStyle name="Обычный 13 3 2 2 4" xfId="12547"/>
    <cellStyle name="Обычный 13 3 2 2 4 2" xfId="12548"/>
    <cellStyle name="Обычный 13 3 2 2 4 3" xfId="12549"/>
    <cellStyle name="Обычный 13 3 2 2 5" xfId="12550"/>
    <cellStyle name="Обычный 13 3 2 2 5 2" xfId="12551"/>
    <cellStyle name="Обычный 13 3 2 2 5 3" xfId="12552"/>
    <cellStyle name="Обычный 13 3 2 2 6" xfId="12553"/>
    <cellStyle name="Обычный 13 3 2 2 6 2" xfId="12554"/>
    <cellStyle name="Обычный 13 3 2 2 7" xfId="12555"/>
    <cellStyle name="Обычный 13 3 2 2 8" xfId="12556"/>
    <cellStyle name="Обычный 13 3 2 3" xfId="12557"/>
    <cellStyle name="Обычный 13 3 2 3 2" xfId="12558"/>
    <cellStyle name="Обычный 13 3 2 3 2 2" xfId="12559"/>
    <cellStyle name="Обычный 13 3 2 3 2 2 2" xfId="12560"/>
    <cellStyle name="Обычный 13 3 2 3 2 2 3" xfId="12561"/>
    <cellStyle name="Обычный 13 3 2 3 2 3" xfId="12562"/>
    <cellStyle name="Обычный 13 3 2 3 2 3 2" xfId="12563"/>
    <cellStyle name="Обычный 13 3 2 3 2 3 3" xfId="12564"/>
    <cellStyle name="Обычный 13 3 2 3 2 4" xfId="12565"/>
    <cellStyle name="Обычный 13 3 2 3 2 4 2" xfId="12566"/>
    <cellStyle name="Обычный 13 3 2 3 2 5" xfId="12567"/>
    <cellStyle name="Обычный 13 3 2 3 2 6" xfId="12568"/>
    <cellStyle name="Обычный 13 3 2 3 3" xfId="12569"/>
    <cellStyle name="Обычный 13 3 2 3 3 2" xfId="12570"/>
    <cellStyle name="Обычный 13 3 2 3 3 3" xfId="12571"/>
    <cellStyle name="Обычный 13 3 2 3 4" xfId="12572"/>
    <cellStyle name="Обычный 13 3 2 3 4 2" xfId="12573"/>
    <cellStyle name="Обычный 13 3 2 3 4 3" xfId="12574"/>
    <cellStyle name="Обычный 13 3 2 3 5" xfId="12575"/>
    <cellStyle name="Обычный 13 3 2 3 5 2" xfId="12576"/>
    <cellStyle name="Обычный 13 3 2 3 6" xfId="12577"/>
    <cellStyle name="Обычный 13 3 2 3 7" xfId="12578"/>
    <cellStyle name="Обычный 13 3 2 4" xfId="12579"/>
    <cellStyle name="Обычный 13 3 2 4 2" xfId="12580"/>
    <cellStyle name="Обычный 13 3 2 4 2 2" xfId="12581"/>
    <cellStyle name="Обычный 13 3 2 4 2 3" xfId="12582"/>
    <cellStyle name="Обычный 13 3 2 4 3" xfId="12583"/>
    <cellStyle name="Обычный 13 3 2 4 3 2" xfId="12584"/>
    <cellStyle name="Обычный 13 3 2 4 3 3" xfId="12585"/>
    <cellStyle name="Обычный 13 3 2 4 4" xfId="12586"/>
    <cellStyle name="Обычный 13 3 2 4 4 2" xfId="12587"/>
    <cellStyle name="Обычный 13 3 2 4 5" xfId="12588"/>
    <cellStyle name="Обычный 13 3 2 4 6" xfId="12589"/>
    <cellStyle name="Обычный 13 3 2 5" xfId="12590"/>
    <cellStyle name="Обычный 13 3 2 5 2" xfId="12591"/>
    <cellStyle name="Обычный 13 3 2 5 3" xfId="12592"/>
    <cellStyle name="Обычный 13 3 2 6" xfId="12593"/>
    <cellStyle name="Обычный 13 3 2 6 2" xfId="12594"/>
    <cellStyle name="Обычный 13 3 2 6 3" xfId="12595"/>
    <cellStyle name="Обычный 13 3 2 7" xfId="12596"/>
    <cellStyle name="Обычный 13 3 2 7 2" xfId="12597"/>
    <cellStyle name="Обычный 13 3 2 8" xfId="12598"/>
    <cellStyle name="Обычный 13 3 2 9" xfId="12599"/>
    <cellStyle name="Обычный 13 3 3" xfId="12600"/>
    <cellStyle name="Обычный 13 3 3 2" xfId="12601"/>
    <cellStyle name="Обычный 13 3 3 2 2" xfId="12602"/>
    <cellStyle name="Обычный 13 3 3 2 2 2" xfId="12603"/>
    <cellStyle name="Обычный 13 3 3 2 2 2 2" xfId="12604"/>
    <cellStyle name="Обычный 13 3 3 2 2 2 3" xfId="12605"/>
    <cellStyle name="Обычный 13 3 3 2 2 3" xfId="12606"/>
    <cellStyle name="Обычный 13 3 3 2 2 3 2" xfId="12607"/>
    <cellStyle name="Обычный 13 3 3 2 2 3 3" xfId="12608"/>
    <cellStyle name="Обычный 13 3 3 2 2 4" xfId="12609"/>
    <cellStyle name="Обычный 13 3 3 2 2 4 2" xfId="12610"/>
    <cellStyle name="Обычный 13 3 3 2 2 5" xfId="12611"/>
    <cellStyle name="Обычный 13 3 3 2 2 6" xfId="12612"/>
    <cellStyle name="Обычный 13 3 3 2 3" xfId="12613"/>
    <cellStyle name="Обычный 13 3 3 2 3 2" xfId="12614"/>
    <cellStyle name="Обычный 13 3 3 2 3 3" xfId="12615"/>
    <cellStyle name="Обычный 13 3 3 2 4" xfId="12616"/>
    <cellStyle name="Обычный 13 3 3 2 4 2" xfId="12617"/>
    <cellStyle name="Обычный 13 3 3 2 4 3" xfId="12618"/>
    <cellStyle name="Обычный 13 3 3 2 5" xfId="12619"/>
    <cellStyle name="Обычный 13 3 3 2 5 2" xfId="12620"/>
    <cellStyle name="Обычный 13 3 3 2 6" xfId="12621"/>
    <cellStyle name="Обычный 13 3 3 2 7" xfId="12622"/>
    <cellStyle name="Обычный 13 3 3 3" xfId="12623"/>
    <cellStyle name="Обычный 13 3 3 3 2" xfId="12624"/>
    <cellStyle name="Обычный 13 3 3 3 2 2" xfId="12625"/>
    <cellStyle name="Обычный 13 3 3 3 2 3" xfId="12626"/>
    <cellStyle name="Обычный 13 3 3 3 3" xfId="12627"/>
    <cellStyle name="Обычный 13 3 3 3 3 2" xfId="12628"/>
    <cellStyle name="Обычный 13 3 3 3 3 3" xfId="12629"/>
    <cellStyle name="Обычный 13 3 3 3 4" xfId="12630"/>
    <cellStyle name="Обычный 13 3 3 3 4 2" xfId="12631"/>
    <cellStyle name="Обычный 13 3 3 3 5" xfId="12632"/>
    <cellStyle name="Обычный 13 3 3 3 6" xfId="12633"/>
    <cellStyle name="Обычный 13 3 3 4" xfId="12634"/>
    <cellStyle name="Обычный 13 3 3 4 2" xfId="12635"/>
    <cellStyle name="Обычный 13 3 3 4 3" xfId="12636"/>
    <cellStyle name="Обычный 13 3 3 5" xfId="12637"/>
    <cellStyle name="Обычный 13 3 3 5 2" xfId="12638"/>
    <cellStyle name="Обычный 13 3 3 5 3" xfId="12639"/>
    <cellStyle name="Обычный 13 3 3 6" xfId="12640"/>
    <cellStyle name="Обычный 13 3 3 6 2" xfId="12641"/>
    <cellStyle name="Обычный 13 3 3 7" xfId="12642"/>
    <cellStyle name="Обычный 13 3 3 8" xfId="12643"/>
    <cellStyle name="Обычный 13 3 4" xfId="12644"/>
    <cellStyle name="Обычный 13 3 4 2" xfId="12645"/>
    <cellStyle name="Обычный 13 3 4 2 2" xfId="12646"/>
    <cellStyle name="Обычный 13 3 4 2 2 2" xfId="12647"/>
    <cellStyle name="Обычный 13 3 4 2 2 3" xfId="12648"/>
    <cellStyle name="Обычный 13 3 4 2 3" xfId="12649"/>
    <cellStyle name="Обычный 13 3 4 2 3 2" xfId="12650"/>
    <cellStyle name="Обычный 13 3 4 2 3 3" xfId="12651"/>
    <cellStyle name="Обычный 13 3 4 2 4" xfId="12652"/>
    <cellStyle name="Обычный 13 3 4 2 4 2" xfId="12653"/>
    <cellStyle name="Обычный 13 3 4 2 5" xfId="12654"/>
    <cellStyle name="Обычный 13 3 4 2 6" xfId="12655"/>
    <cellStyle name="Обычный 13 3 4 3" xfId="12656"/>
    <cellStyle name="Обычный 13 3 4 3 2" xfId="12657"/>
    <cellStyle name="Обычный 13 3 4 3 3" xfId="12658"/>
    <cellStyle name="Обычный 13 3 4 4" xfId="12659"/>
    <cellStyle name="Обычный 13 3 4 4 2" xfId="12660"/>
    <cellStyle name="Обычный 13 3 4 4 3" xfId="12661"/>
    <cellStyle name="Обычный 13 3 4 5" xfId="12662"/>
    <cellStyle name="Обычный 13 3 4 5 2" xfId="12663"/>
    <cellStyle name="Обычный 13 3 4 6" xfId="12664"/>
    <cellStyle name="Обычный 13 3 4 7" xfId="12665"/>
    <cellStyle name="Обычный 13 3 5" xfId="12666"/>
    <cellStyle name="Обычный 13 3 5 2" xfId="12667"/>
    <cellStyle name="Обычный 13 3 5 2 2" xfId="12668"/>
    <cellStyle name="Обычный 13 3 5 2 3" xfId="12669"/>
    <cellStyle name="Обычный 13 3 5 3" xfId="12670"/>
    <cellStyle name="Обычный 13 3 5 3 2" xfId="12671"/>
    <cellStyle name="Обычный 13 3 5 3 3" xfId="12672"/>
    <cellStyle name="Обычный 13 3 5 4" xfId="12673"/>
    <cellStyle name="Обычный 13 3 5 4 2" xfId="12674"/>
    <cellStyle name="Обычный 13 3 5 5" xfId="12675"/>
    <cellStyle name="Обычный 13 3 5 6" xfId="12676"/>
    <cellStyle name="Обычный 13 3 6" xfId="12677"/>
    <cellStyle name="Обычный 13 3 6 2" xfId="12678"/>
    <cellStyle name="Обычный 13 3 6 3" xfId="12679"/>
    <cellStyle name="Обычный 13 3 7" xfId="12680"/>
    <cellStyle name="Обычный 13 3 7 2" xfId="12681"/>
    <cellStyle name="Обычный 13 3 7 3" xfId="12682"/>
    <cellStyle name="Обычный 13 3 8" xfId="12683"/>
    <cellStyle name="Обычный 13 3 8 2" xfId="12684"/>
    <cellStyle name="Обычный 13 3 9" xfId="12685"/>
    <cellStyle name="Обычный 13 4" xfId="12686"/>
    <cellStyle name="Обычный 13 4 10" xfId="12687"/>
    <cellStyle name="Обычный 13 4 2" xfId="12688"/>
    <cellStyle name="Обычный 13 4 2 2" xfId="12689"/>
    <cellStyle name="Обычный 13 4 2 2 2" xfId="12690"/>
    <cellStyle name="Обычный 13 4 2 2 2 2" xfId="12691"/>
    <cellStyle name="Обычный 13 4 2 2 2 2 2" xfId="12692"/>
    <cellStyle name="Обычный 13 4 2 2 2 2 2 2" xfId="12693"/>
    <cellStyle name="Обычный 13 4 2 2 2 2 2 3" xfId="12694"/>
    <cellStyle name="Обычный 13 4 2 2 2 2 3" xfId="12695"/>
    <cellStyle name="Обычный 13 4 2 2 2 2 3 2" xfId="12696"/>
    <cellStyle name="Обычный 13 4 2 2 2 2 3 3" xfId="12697"/>
    <cellStyle name="Обычный 13 4 2 2 2 2 4" xfId="12698"/>
    <cellStyle name="Обычный 13 4 2 2 2 2 4 2" xfId="12699"/>
    <cellStyle name="Обычный 13 4 2 2 2 2 5" xfId="12700"/>
    <cellStyle name="Обычный 13 4 2 2 2 2 6" xfId="12701"/>
    <cellStyle name="Обычный 13 4 2 2 2 3" xfId="12702"/>
    <cellStyle name="Обычный 13 4 2 2 2 3 2" xfId="12703"/>
    <cellStyle name="Обычный 13 4 2 2 2 3 3" xfId="12704"/>
    <cellStyle name="Обычный 13 4 2 2 2 4" xfId="12705"/>
    <cellStyle name="Обычный 13 4 2 2 2 4 2" xfId="12706"/>
    <cellStyle name="Обычный 13 4 2 2 2 4 3" xfId="12707"/>
    <cellStyle name="Обычный 13 4 2 2 2 5" xfId="12708"/>
    <cellStyle name="Обычный 13 4 2 2 2 5 2" xfId="12709"/>
    <cellStyle name="Обычный 13 4 2 2 2 6" xfId="12710"/>
    <cellStyle name="Обычный 13 4 2 2 2 7" xfId="12711"/>
    <cellStyle name="Обычный 13 4 2 2 3" xfId="12712"/>
    <cellStyle name="Обычный 13 4 2 2 3 2" xfId="12713"/>
    <cellStyle name="Обычный 13 4 2 2 3 2 2" xfId="12714"/>
    <cellStyle name="Обычный 13 4 2 2 3 2 3" xfId="12715"/>
    <cellStyle name="Обычный 13 4 2 2 3 3" xfId="12716"/>
    <cellStyle name="Обычный 13 4 2 2 3 3 2" xfId="12717"/>
    <cellStyle name="Обычный 13 4 2 2 3 3 3" xfId="12718"/>
    <cellStyle name="Обычный 13 4 2 2 3 4" xfId="12719"/>
    <cellStyle name="Обычный 13 4 2 2 3 4 2" xfId="12720"/>
    <cellStyle name="Обычный 13 4 2 2 3 5" xfId="12721"/>
    <cellStyle name="Обычный 13 4 2 2 3 6" xfId="12722"/>
    <cellStyle name="Обычный 13 4 2 2 4" xfId="12723"/>
    <cellStyle name="Обычный 13 4 2 2 4 2" xfId="12724"/>
    <cellStyle name="Обычный 13 4 2 2 4 3" xfId="12725"/>
    <cellStyle name="Обычный 13 4 2 2 5" xfId="12726"/>
    <cellStyle name="Обычный 13 4 2 2 5 2" xfId="12727"/>
    <cellStyle name="Обычный 13 4 2 2 5 3" xfId="12728"/>
    <cellStyle name="Обычный 13 4 2 2 6" xfId="12729"/>
    <cellStyle name="Обычный 13 4 2 2 6 2" xfId="12730"/>
    <cellStyle name="Обычный 13 4 2 2 7" xfId="12731"/>
    <cellStyle name="Обычный 13 4 2 2 8" xfId="12732"/>
    <cellStyle name="Обычный 13 4 2 3" xfId="12733"/>
    <cellStyle name="Обычный 13 4 2 3 2" xfId="12734"/>
    <cellStyle name="Обычный 13 4 2 3 2 2" xfId="12735"/>
    <cellStyle name="Обычный 13 4 2 3 2 2 2" xfId="12736"/>
    <cellStyle name="Обычный 13 4 2 3 2 2 3" xfId="12737"/>
    <cellStyle name="Обычный 13 4 2 3 2 3" xfId="12738"/>
    <cellStyle name="Обычный 13 4 2 3 2 3 2" xfId="12739"/>
    <cellStyle name="Обычный 13 4 2 3 2 3 3" xfId="12740"/>
    <cellStyle name="Обычный 13 4 2 3 2 4" xfId="12741"/>
    <cellStyle name="Обычный 13 4 2 3 2 4 2" xfId="12742"/>
    <cellStyle name="Обычный 13 4 2 3 2 5" xfId="12743"/>
    <cellStyle name="Обычный 13 4 2 3 2 6" xfId="12744"/>
    <cellStyle name="Обычный 13 4 2 3 3" xfId="12745"/>
    <cellStyle name="Обычный 13 4 2 3 3 2" xfId="12746"/>
    <cellStyle name="Обычный 13 4 2 3 3 3" xfId="12747"/>
    <cellStyle name="Обычный 13 4 2 3 4" xfId="12748"/>
    <cellStyle name="Обычный 13 4 2 3 4 2" xfId="12749"/>
    <cellStyle name="Обычный 13 4 2 3 4 3" xfId="12750"/>
    <cellStyle name="Обычный 13 4 2 3 5" xfId="12751"/>
    <cellStyle name="Обычный 13 4 2 3 5 2" xfId="12752"/>
    <cellStyle name="Обычный 13 4 2 3 6" xfId="12753"/>
    <cellStyle name="Обычный 13 4 2 3 7" xfId="12754"/>
    <cellStyle name="Обычный 13 4 2 4" xfId="12755"/>
    <cellStyle name="Обычный 13 4 2 4 2" xfId="12756"/>
    <cellStyle name="Обычный 13 4 2 4 2 2" xfId="12757"/>
    <cellStyle name="Обычный 13 4 2 4 2 3" xfId="12758"/>
    <cellStyle name="Обычный 13 4 2 4 3" xfId="12759"/>
    <cellStyle name="Обычный 13 4 2 4 3 2" xfId="12760"/>
    <cellStyle name="Обычный 13 4 2 4 3 3" xfId="12761"/>
    <cellStyle name="Обычный 13 4 2 4 4" xfId="12762"/>
    <cellStyle name="Обычный 13 4 2 4 4 2" xfId="12763"/>
    <cellStyle name="Обычный 13 4 2 4 5" xfId="12764"/>
    <cellStyle name="Обычный 13 4 2 4 6" xfId="12765"/>
    <cellStyle name="Обычный 13 4 2 5" xfId="12766"/>
    <cellStyle name="Обычный 13 4 2 5 2" xfId="12767"/>
    <cellStyle name="Обычный 13 4 2 5 3" xfId="12768"/>
    <cellStyle name="Обычный 13 4 2 6" xfId="12769"/>
    <cellStyle name="Обычный 13 4 2 6 2" xfId="12770"/>
    <cellStyle name="Обычный 13 4 2 6 3" xfId="12771"/>
    <cellStyle name="Обычный 13 4 2 7" xfId="12772"/>
    <cellStyle name="Обычный 13 4 2 7 2" xfId="12773"/>
    <cellStyle name="Обычный 13 4 2 8" xfId="12774"/>
    <cellStyle name="Обычный 13 4 2 9" xfId="12775"/>
    <cellStyle name="Обычный 13 4 3" xfId="12776"/>
    <cellStyle name="Обычный 13 4 3 2" xfId="12777"/>
    <cellStyle name="Обычный 13 4 3 2 2" xfId="12778"/>
    <cellStyle name="Обычный 13 4 3 2 2 2" xfId="12779"/>
    <cellStyle name="Обычный 13 4 3 2 2 2 2" xfId="12780"/>
    <cellStyle name="Обычный 13 4 3 2 2 2 3" xfId="12781"/>
    <cellStyle name="Обычный 13 4 3 2 2 3" xfId="12782"/>
    <cellStyle name="Обычный 13 4 3 2 2 3 2" xfId="12783"/>
    <cellStyle name="Обычный 13 4 3 2 2 3 3" xfId="12784"/>
    <cellStyle name="Обычный 13 4 3 2 2 4" xfId="12785"/>
    <cellStyle name="Обычный 13 4 3 2 2 4 2" xfId="12786"/>
    <cellStyle name="Обычный 13 4 3 2 2 5" xfId="12787"/>
    <cellStyle name="Обычный 13 4 3 2 2 6" xfId="12788"/>
    <cellStyle name="Обычный 13 4 3 2 3" xfId="12789"/>
    <cellStyle name="Обычный 13 4 3 2 3 2" xfId="12790"/>
    <cellStyle name="Обычный 13 4 3 2 3 3" xfId="12791"/>
    <cellStyle name="Обычный 13 4 3 2 4" xfId="12792"/>
    <cellStyle name="Обычный 13 4 3 2 4 2" xfId="12793"/>
    <cellStyle name="Обычный 13 4 3 2 4 3" xfId="12794"/>
    <cellStyle name="Обычный 13 4 3 2 5" xfId="12795"/>
    <cellStyle name="Обычный 13 4 3 2 5 2" xfId="12796"/>
    <cellStyle name="Обычный 13 4 3 2 6" xfId="12797"/>
    <cellStyle name="Обычный 13 4 3 2 7" xfId="12798"/>
    <cellStyle name="Обычный 13 4 3 3" xfId="12799"/>
    <cellStyle name="Обычный 13 4 3 3 2" xfId="12800"/>
    <cellStyle name="Обычный 13 4 3 3 2 2" xfId="12801"/>
    <cellStyle name="Обычный 13 4 3 3 2 3" xfId="12802"/>
    <cellStyle name="Обычный 13 4 3 3 3" xfId="12803"/>
    <cellStyle name="Обычный 13 4 3 3 3 2" xfId="12804"/>
    <cellStyle name="Обычный 13 4 3 3 3 3" xfId="12805"/>
    <cellStyle name="Обычный 13 4 3 3 4" xfId="12806"/>
    <cellStyle name="Обычный 13 4 3 3 4 2" xfId="12807"/>
    <cellStyle name="Обычный 13 4 3 3 5" xfId="12808"/>
    <cellStyle name="Обычный 13 4 3 3 6" xfId="12809"/>
    <cellStyle name="Обычный 13 4 3 4" xfId="12810"/>
    <cellStyle name="Обычный 13 4 3 4 2" xfId="12811"/>
    <cellStyle name="Обычный 13 4 3 4 3" xfId="12812"/>
    <cellStyle name="Обычный 13 4 3 5" xfId="12813"/>
    <cellStyle name="Обычный 13 4 3 5 2" xfId="12814"/>
    <cellStyle name="Обычный 13 4 3 5 3" xfId="12815"/>
    <cellStyle name="Обычный 13 4 3 6" xfId="12816"/>
    <cellStyle name="Обычный 13 4 3 6 2" xfId="12817"/>
    <cellStyle name="Обычный 13 4 3 7" xfId="12818"/>
    <cellStyle name="Обычный 13 4 3 8" xfId="12819"/>
    <cellStyle name="Обычный 13 4 4" xfId="12820"/>
    <cellStyle name="Обычный 13 4 4 2" xfId="12821"/>
    <cellStyle name="Обычный 13 4 4 2 2" xfId="12822"/>
    <cellStyle name="Обычный 13 4 4 2 2 2" xfId="12823"/>
    <cellStyle name="Обычный 13 4 4 2 2 3" xfId="12824"/>
    <cellStyle name="Обычный 13 4 4 2 3" xfId="12825"/>
    <cellStyle name="Обычный 13 4 4 2 3 2" xfId="12826"/>
    <cellStyle name="Обычный 13 4 4 2 3 3" xfId="12827"/>
    <cellStyle name="Обычный 13 4 4 2 4" xfId="12828"/>
    <cellStyle name="Обычный 13 4 4 2 4 2" xfId="12829"/>
    <cellStyle name="Обычный 13 4 4 2 5" xfId="12830"/>
    <cellStyle name="Обычный 13 4 4 2 6" xfId="12831"/>
    <cellStyle name="Обычный 13 4 4 3" xfId="12832"/>
    <cellStyle name="Обычный 13 4 4 3 2" xfId="12833"/>
    <cellStyle name="Обычный 13 4 4 3 3" xfId="12834"/>
    <cellStyle name="Обычный 13 4 4 4" xfId="12835"/>
    <cellStyle name="Обычный 13 4 4 4 2" xfId="12836"/>
    <cellStyle name="Обычный 13 4 4 4 3" xfId="12837"/>
    <cellStyle name="Обычный 13 4 4 5" xfId="12838"/>
    <cellStyle name="Обычный 13 4 4 5 2" xfId="12839"/>
    <cellStyle name="Обычный 13 4 4 6" xfId="12840"/>
    <cellStyle name="Обычный 13 4 4 7" xfId="12841"/>
    <cellStyle name="Обычный 13 4 5" xfId="12842"/>
    <cellStyle name="Обычный 13 4 5 2" xfId="12843"/>
    <cellStyle name="Обычный 13 4 5 2 2" xfId="12844"/>
    <cellStyle name="Обычный 13 4 5 2 3" xfId="12845"/>
    <cellStyle name="Обычный 13 4 5 3" xfId="12846"/>
    <cellStyle name="Обычный 13 4 5 3 2" xfId="12847"/>
    <cellStyle name="Обычный 13 4 5 3 3" xfId="12848"/>
    <cellStyle name="Обычный 13 4 5 4" xfId="12849"/>
    <cellStyle name="Обычный 13 4 5 4 2" xfId="12850"/>
    <cellStyle name="Обычный 13 4 5 5" xfId="12851"/>
    <cellStyle name="Обычный 13 4 5 6" xfId="12852"/>
    <cellStyle name="Обычный 13 4 6" xfId="12853"/>
    <cellStyle name="Обычный 13 4 6 2" xfId="12854"/>
    <cellStyle name="Обычный 13 4 6 3" xfId="12855"/>
    <cellStyle name="Обычный 13 4 7" xfId="12856"/>
    <cellStyle name="Обычный 13 4 7 2" xfId="12857"/>
    <cellStyle name="Обычный 13 4 7 3" xfId="12858"/>
    <cellStyle name="Обычный 13 4 8" xfId="12859"/>
    <cellStyle name="Обычный 13 4 8 2" xfId="12860"/>
    <cellStyle name="Обычный 13 4 9" xfId="12861"/>
    <cellStyle name="Обычный 13 5" xfId="12862"/>
    <cellStyle name="Обычный 13 5 2" xfId="12863"/>
    <cellStyle name="Обычный 13 5 2 2" xfId="12864"/>
    <cellStyle name="Обычный 13 5 2 2 2" xfId="12865"/>
    <cellStyle name="Обычный 13 5 2 2 2 2" xfId="12866"/>
    <cellStyle name="Обычный 13 5 2 2 2 2 2" xfId="12867"/>
    <cellStyle name="Обычный 13 5 2 2 2 2 3" xfId="12868"/>
    <cellStyle name="Обычный 13 5 2 2 2 3" xfId="12869"/>
    <cellStyle name="Обычный 13 5 2 2 2 3 2" xfId="12870"/>
    <cellStyle name="Обычный 13 5 2 2 2 3 3" xfId="12871"/>
    <cellStyle name="Обычный 13 5 2 2 2 4" xfId="12872"/>
    <cellStyle name="Обычный 13 5 2 2 2 4 2" xfId="12873"/>
    <cellStyle name="Обычный 13 5 2 2 2 5" xfId="12874"/>
    <cellStyle name="Обычный 13 5 2 2 2 6" xfId="12875"/>
    <cellStyle name="Обычный 13 5 2 2 3" xfId="12876"/>
    <cellStyle name="Обычный 13 5 2 2 3 2" xfId="12877"/>
    <cellStyle name="Обычный 13 5 2 2 3 3" xfId="12878"/>
    <cellStyle name="Обычный 13 5 2 2 4" xfId="12879"/>
    <cellStyle name="Обычный 13 5 2 2 4 2" xfId="12880"/>
    <cellStyle name="Обычный 13 5 2 2 4 3" xfId="12881"/>
    <cellStyle name="Обычный 13 5 2 2 5" xfId="12882"/>
    <cellStyle name="Обычный 13 5 2 2 5 2" xfId="12883"/>
    <cellStyle name="Обычный 13 5 2 2 6" xfId="12884"/>
    <cellStyle name="Обычный 13 5 2 2 7" xfId="12885"/>
    <cellStyle name="Обычный 13 5 2 3" xfId="12886"/>
    <cellStyle name="Обычный 13 5 2 3 2" xfId="12887"/>
    <cellStyle name="Обычный 13 5 2 3 2 2" xfId="12888"/>
    <cellStyle name="Обычный 13 5 2 3 2 3" xfId="12889"/>
    <cellStyle name="Обычный 13 5 2 3 3" xfId="12890"/>
    <cellStyle name="Обычный 13 5 2 3 3 2" xfId="12891"/>
    <cellStyle name="Обычный 13 5 2 3 3 3" xfId="12892"/>
    <cellStyle name="Обычный 13 5 2 3 4" xfId="12893"/>
    <cellStyle name="Обычный 13 5 2 3 4 2" xfId="12894"/>
    <cellStyle name="Обычный 13 5 2 3 5" xfId="12895"/>
    <cellStyle name="Обычный 13 5 2 3 6" xfId="12896"/>
    <cellStyle name="Обычный 13 5 2 4" xfId="12897"/>
    <cellStyle name="Обычный 13 5 2 4 2" xfId="12898"/>
    <cellStyle name="Обычный 13 5 2 4 3" xfId="12899"/>
    <cellStyle name="Обычный 13 5 2 5" xfId="12900"/>
    <cellStyle name="Обычный 13 5 2 5 2" xfId="12901"/>
    <cellStyle name="Обычный 13 5 2 5 3" xfId="12902"/>
    <cellStyle name="Обычный 13 5 2 6" xfId="12903"/>
    <cellStyle name="Обычный 13 5 2 6 2" xfId="12904"/>
    <cellStyle name="Обычный 13 5 2 7" xfId="12905"/>
    <cellStyle name="Обычный 13 5 2 8" xfId="12906"/>
    <cellStyle name="Обычный 13 5 3" xfId="12907"/>
    <cellStyle name="Обычный 13 5 3 2" xfId="12908"/>
    <cellStyle name="Обычный 13 5 3 2 2" xfId="12909"/>
    <cellStyle name="Обычный 13 5 3 2 2 2" xfId="12910"/>
    <cellStyle name="Обычный 13 5 3 2 2 3" xfId="12911"/>
    <cellStyle name="Обычный 13 5 3 2 3" xfId="12912"/>
    <cellStyle name="Обычный 13 5 3 2 3 2" xfId="12913"/>
    <cellStyle name="Обычный 13 5 3 2 3 3" xfId="12914"/>
    <cellStyle name="Обычный 13 5 3 2 4" xfId="12915"/>
    <cellStyle name="Обычный 13 5 3 2 4 2" xfId="12916"/>
    <cellStyle name="Обычный 13 5 3 2 5" xfId="12917"/>
    <cellStyle name="Обычный 13 5 3 2 6" xfId="12918"/>
    <cellStyle name="Обычный 13 5 3 3" xfId="12919"/>
    <cellStyle name="Обычный 13 5 3 3 2" xfId="12920"/>
    <cellStyle name="Обычный 13 5 3 3 3" xfId="12921"/>
    <cellStyle name="Обычный 13 5 3 4" xfId="12922"/>
    <cellStyle name="Обычный 13 5 3 4 2" xfId="12923"/>
    <cellStyle name="Обычный 13 5 3 4 3" xfId="12924"/>
    <cellStyle name="Обычный 13 5 3 5" xfId="12925"/>
    <cellStyle name="Обычный 13 5 3 5 2" xfId="12926"/>
    <cellStyle name="Обычный 13 5 3 6" xfId="12927"/>
    <cellStyle name="Обычный 13 5 3 7" xfId="12928"/>
    <cellStyle name="Обычный 13 5 4" xfId="12929"/>
    <cellStyle name="Обычный 13 5 4 2" xfId="12930"/>
    <cellStyle name="Обычный 13 5 4 2 2" xfId="12931"/>
    <cellStyle name="Обычный 13 5 4 2 3" xfId="12932"/>
    <cellStyle name="Обычный 13 5 4 3" xfId="12933"/>
    <cellStyle name="Обычный 13 5 4 3 2" xfId="12934"/>
    <cellStyle name="Обычный 13 5 4 3 3" xfId="12935"/>
    <cellStyle name="Обычный 13 5 4 4" xfId="12936"/>
    <cellStyle name="Обычный 13 5 4 4 2" xfId="12937"/>
    <cellStyle name="Обычный 13 5 4 5" xfId="12938"/>
    <cellStyle name="Обычный 13 5 4 6" xfId="12939"/>
    <cellStyle name="Обычный 13 5 5" xfId="12940"/>
    <cellStyle name="Обычный 13 5 5 2" xfId="12941"/>
    <cellStyle name="Обычный 13 5 5 3" xfId="12942"/>
    <cellStyle name="Обычный 13 5 6" xfId="12943"/>
    <cellStyle name="Обычный 13 5 6 2" xfId="12944"/>
    <cellStyle name="Обычный 13 5 6 3" xfId="12945"/>
    <cellStyle name="Обычный 13 5 7" xfId="12946"/>
    <cellStyle name="Обычный 13 5 7 2" xfId="12947"/>
    <cellStyle name="Обычный 13 5 8" xfId="12948"/>
    <cellStyle name="Обычный 13 5 9" xfId="12949"/>
    <cellStyle name="Обычный 13 6" xfId="12950"/>
    <cellStyle name="Обычный 13 6 2" xfId="12951"/>
    <cellStyle name="Обычный 13 6 2 2" xfId="12952"/>
    <cellStyle name="Обычный 13 6 2 2 2" xfId="12953"/>
    <cellStyle name="Обычный 13 6 2 2 2 2" xfId="12954"/>
    <cellStyle name="Обычный 13 6 2 2 2 3" xfId="12955"/>
    <cellStyle name="Обычный 13 6 2 2 3" xfId="12956"/>
    <cellStyle name="Обычный 13 6 2 2 3 2" xfId="12957"/>
    <cellStyle name="Обычный 13 6 2 2 3 3" xfId="12958"/>
    <cellStyle name="Обычный 13 6 2 2 4" xfId="12959"/>
    <cellStyle name="Обычный 13 6 2 2 4 2" xfId="12960"/>
    <cellStyle name="Обычный 13 6 2 2 5" xfId="12961"/>
    <cellStyle name="Обычный 13 6 2 2 6" xfId="12962"/>
    <cellStyle name="Обычный 13 6 2 3" xfId="12963"/>
    <cellStyle name="Обычный 13 6 2 3 2" xfId="12964"/>
    <cellStyle name="Обычный 13 6 2 3 3" xfId="12965"/>
    <cellStyle name="Обычный 13 6 2 4" xfId="12966"/>
    <cellStyle name="Обычный 13 6 2 4 2" xfId="12967"/>
    <cellStyle name="Обычный 13 6 2 4 3" xfId="12968"/>
    <cellStyle name="Обычный 13 6 2 5" xfId="12969"/>
    <cellStyle name="Обычный 13 6 2 5 2" xfId="12970"/>
    <cellStyle name="Обычный 13 6 2 6" xfId="12971"/>
    <cellStyle name="Обычный 13 6 2 7" xfId="12972"/>
    <cellStyle name="Обычный 13 6 3" xfId="12973"/>
    <cellStyle name="Обычный 13 6 3 2" xfId="12974"/>
    <cellStyle name="Обычный 13 6 3 2 2" xfId="12975"/>
    <cellStyle name="Обычный 13 6 3 2 3" xfId="12976"/>
    <cellStyle name="Обычный 13 6 3 3" xfId="12977"/>
    <cellStyle name="Обычный 13 6 3 3 2" xfId="12978"/>
    <cellStyle name="Обычный 13 6 3 3 3" xfId="12979"/>
    <cellStyle name="Обычный 13 6 3 4" xfId="12980"/>
    <cellStyle name="Обычный 13 6 3 4 2" xfId="12981"/>
    <cellStyle name="Обычный 13 6 3 5" xfId="12982"/>
    <cellStyle name="Обычный 13 6 3 6" xfId="12983"/>
    <cellStyle name="Обычный 13 6 4" xfId="12984"/>
    <cellStyle name="Обычный 13 6 4 2" xfId="12985"/>
    <cellStyle name="Обычный 13 6 4 3" xfId="12986"/>
    <cellStyle name="Обычный 13 6 5" xfId="12987"/>
    <cellStyle name="Обычный 13 6 5 2" xfId="12988"/>
    <cellStyle name="Обычный 13 6 5 3" xfId="12989"/>
    <cellStyle name="Обычный 13 6 6" xfId="12990"/>
    <cellStyle name="Обычный 13 6 6 2" xfId="12991"/>
    <cellStyle name="Обычный 13 6 7" xfId="12992"/>
    <cellStyle name="Обычный 13 6 8" xfId="12993"/>
    <cellStyle name="Обычный 13 7" xfId="12994"/>
    <cellStyle name="Обычный 13 7 2" xfId="12995"/>
    <cellStyle name="Обычный 13 7 2 2" xfId="12996"/>
    <cellStyle name="Обычный 13 7 2 2 2" xfId="12997"/>
    <cellStyle name="Обычный 13 7 2 2 3" xfId="12998"/>
    <cellStyle name="Обычный 13 7 2 3" xfId="12999"/>
    <cellStyle name="Обычный 13 7 2 3 2" xfId="13000"/>
    <cellStyle name="Обычный 13 7 2 3 3" xfId="13001"/>
    <cellStyle name="Обычный 13 7 2 4" xfId="13002"/>
    <cellStyle name="Обычный 13 7 2 4 2" xfId="13003"/>
    <cellStyle name="Обычный 13 7 2 5" xfId="13004"/>
    <cellStyle name="Обычный 13 7 2 6" xfId="13005"/>
    <cellStyle name="Обычный 13 7 3" xfId="13006"/>
    <cellStyle name="Обычный 13 7 3 2" xfId="13007"/>
    <cellStyle name="Обычный 13 7 3 3" xfId="13008"/>
    <cellStyle name="Обычный 13 7 4" xfId="13009"/>
    <cellStyle name="Обычный 13 7 4 2" xfId="13010"/>
    <cellStyle name="Обычный 13 7 4 3" xfId="13011"/>
    <cellStyle name="Обычный 13 7 5" xfId="13012"/>
    <cellStyle name="Обычный 13 7 5 2" xfId="13013"/>
    <cellStyle name="Обычный 13 7 6" xfId="13014"/>
    <cellStyle name="Обычный 13 7 7" xfId="13015"/>
    <cellStyle name="Обычный 13 8" xfId="13016"/>
    <cellStyle name="Обычный 13 8 2" xfId="13017"/>
    <cellStyle name="Обычный 13 8 2 2" xfId="13018"/>
    <cellStyle name="Обычный 13 8 2 3" xfId="13019"/>
    <cellStyle name="Обычный 13 8 3" xfId="13020"/>
    <cellStyle name="Обычный 13 8 3 2" xfId="13021"/>
    <cellStyle name="Обычный 13 8 3 3" xfId="13022"/>
    <cellStyle name="Обычный 13 8 4" xfId="13023"/>
    <cellStyle name="Обычный 13 8 4 2" xfId="13024"/>
    <cellStyle name="Обычный 13 8 5" xfId="13025"/>
    <cellStyle name="Обычный 13 8 6" xfId="13026"/>
    <cellStyle name="Обычный 13 9" xfId="13027"/>
    <cellStyle name="Обычный 13 9 2" xfId="13028"/>
    <cellStyle name="Обычный 13 9 3" xfId="13029"/>
    <cellStyle name="Обычный 14" xfId="13030"/>
    <cellStyle name="Обычный 14 2" xfId="13031"/>
    <cellStyle name="Обычный 14 2 7 2" xfId="13032"/>
    <cellStyle name="Обычный 14 3" xfId="13033"/>
    <cellStyle name="Обычный 14 4" xfId="13034"/>
    <cellStyle name="Обычный 15" xfId="13035"/>
    <cellStyle name="Обычный 15 10" xfId="13036"/>
    <cellStyle name="Обычный 15 11" xfId="13037"/>
    <cellStyle name="Обычный 15 2" xfId="13038"/>
    <cellStyle name="Обычный 15 2 2" xfId="13039"/>
    <cellStyle name="Обычный 15 2 2 2" xfId="13040"/>
    <cellStyle name="Обычный 15 2 2 2 2" xfId="13041"/>
    <cellStyle name="Обычный 15 2 2 2 2 2" xfId="13042"/>
    <cellStyle name="Обычный 15 2 2 2 2 2 2" xfId="13043"/>
    <cellStyle name="Обычный 15 2 2 2 2 2 3" xfId="13044"/>
    <cellStyle name="Обычный 15 2 2 2 2 3" xfId="13045"/>
    <cellStyle name="Обычный 15 2 2 2 2 3 2" xfId="13046"/>
    <cellStyle name="Обычный 15 2 2 2 2 3 3" xfId="13047"/>
    <cellStyle name="Обычный 15 2 2 2 2 4" xfId="13048"/>
    <cellStyle name="Обычный 15 2 2 2 2 4 2" xfId="13049"/>
    <cellStyle name="Обычный 15 2 2 2 2 5" xfId="13050"/>
    <cellStyle name="Обычный 15 2 2 2 2 6" xfId="13051"/>
    <cellStyle name="Обычный 15 2 2 2 3" xfId="13052"/>
    <cellStyle name="Обычный 15 2 2 2 3 2" xfId="13053"/>
    <cellStyle name="Обычный 15 2 2 2 3 3" xfId="13054"/>
    <cellStyle name="Обычный 15 2 2 2 4" xfId="13055"/>
    <cellStyle name="Обычный 15 2 2 2 4 2" xfId="13056"/>
    <cellStyle name="Обычный 15 2 2 2 4 3" xfId="13057"/>
    <cellStyle name="Обычный 15 2 2 2 5" xfId="13058"/>
    <cellStyle name="Обычный 15 2 2 2 5 2" xfId="13059"/>
    <cellStyle name="Обычный 15 2 2 2 6" xfId="13060"/>
    <cellStyle name="Обычный 15 2 2 2 7" xfId="13061"/>
    <cellStyle name="Обычный 15 2 2 3" xfId="13062"/>
    <cellStyle name="Обычный 15 2 2 3 2" xfId="13063"/>
    <cellStyle name="Обычный 15 2 2 3 2 2" xfId="13064"/>
    <cellStyle name="Обычный 15 2 2 3 2 3" xfId="13065"/>
    <cellStyle name="Обычный 15 2 2 3 3" xfId="13066"/>
    <cellStyle name="Обычный 15 2 2 3 3 2" xfId="13067"/>
    <cellStyle name="Обычный 15 2 2 3 3 3" xfId="13068"/>
    <cellStyle name="Обычный 15 2 2 3 4" xfId="13069"/>
    <cellStyle name="Обычный 15 2 2 3 4 2" xfId="13070"/>
    <cellStyle name="Обычный 15 2 2 3 5" xfId="13071"/>
    <cellStyle name="Обычный 15 2 2 3 6" xfId="13072"/>
    <cellStyle name="Обычный 15 2 2 4" xfId="13073"/>
    <cellStyle name="Обычный 15 2 2 4 2" xfId="13074"/>
    <cellStyle name="Обычный 15 2 2 4 3" xfId="13075"/>
    <cellStyle name="Обычный 15 2 2 5" xfId="13076"/>
    <cellStyle name="Обычный 15 2 2 5 2" xfId="13077"/>
    <cellStyle name="Обычный 15 2 2 5 3" xfId="13078"/>
    <cellStyle name="Обычный 15 2 2 6" xfId="13079"/>
    <cellStyle name="Обычный 15 2 2 6 2" xfId="13080"/>
    <cellStyle name="Обычный 15 2 2 7" xfId="13081"/>
    <cellStyle name="Обычный 15 2 2 8" xfId="13082"/>
    <cellStyle name="Обычный 15 2 3" xfId="13083"/>
    <cellStyle name="Обычный 15 2 3 2" xfId="13084"/>
    <cellStyle name="Обычный 15 2 3 2 2" xfId="13085"/>
    <cellStyle name="Обычный 15 2 3 2 2 2" xfId="13086"/>
    <cellStyle name="Обычный 15 2 3 2 2 3" xfId="13087"/>
    <cellStyle name="Обычный 15 2 3 2 3" xfId="13088"/>
    <cellStyle name="Обычный 15 2 3 2 3 2" xfId="13089"/>
    <cellStyle name="Обычный 15 2 3 2 3 3" xfId="13090"/>
    <cellStyle name="Обычный 15 2 3 2 4" xfId="13091"/>
    <cellStyle name="Обычный 15 2 3 2 4 2" xfId="13092"/>
    <cellStyle name="Обычный 15 2 3 2 5" xfId="13093"/>
    <cellStyle name="Обычный 15 2 3 2 6" xfId="13094"/>
    <cellStyle name="Обычный 15 2 3 3" xfId="13095"/>
    <cellStyle name="Обычный 15 2 3 3 2" xfId="13096"/>
    <cellStyle name="Обычный 15 2 3 3 3" xfId="13097"/>
    <cellStyle name="Обычный 15 2 3 4" xfId="13098"/>
    <cellStyle name="Обычный 15 2 3 4 2" xfId="13099"/>
    <cellStyle name="Обычный 15 2 3 4 3" xfId="13100"/>
    <cellStyle name="Обычный 15 2 3 5" xfId="13101"/>
    <cellStyle name="Обычный 15 2 3 5 2" xfId="13102"/>
    <cellStyle name="Обычный 15 2 3 6" xfId="13103"/>
    <cellStyle name="Обычный 15 2 3 7" xfId="13104"/>
    <cellStyle name="Обычный 15 2 4" xfId="13105"/>
    <cellStyle name="Обычный 15 2 4 2" xfId="13106"/>
    <cellStyle name="Обычный 15 2 4 2 2" xfId="13107"/>
    <cellStyle name="Обычный 15 2 4 2 3" xfId="13108"/>
    <cellStyle name="Обычный 15 2 4 3" xfId="13109"/>
    <cellStyle name="Обычный 15 2 4 3 2" xfId="13110"/>
    <cellStyle name="Обычный 15 2 4 3 3" xfId="13111"/>
    <cellStyle name="Обычный 15 2 4 4" xfId="13112"/>
    <cellStyle name="Обычный 15 2 4 4 2" xfId="13113"/>
    <cellStyle name="Обычный 15 2 4 5" xfId="13114"/>
    <cellStyle name="Обычный 15 2 4 6" xfId="13115"/>
    <cellStyle name="Обычный 15 2 5" xfId="13116"/>
    <cellStyle name="Обычный 15 2 5 2" xfId="13117"/>
    <cellStyle name="Обычный 15 2 5 3" xfId="13118"/>
    <cellStyle name="Обычный 15 2 6" xfId="13119"/>
    <cellStyle name="Обычный 15 2 6 2" xfId="13120"/>
    <cellStyle name="Обычный 15 2 6 3" xfId="13121"/>
    <cellStyle name="Обычный 15 2 7" xfId="13122"/>
    <cellStyle name="Обычный 15 2 7 2" xfId="13123"/>
    <cellStyle name="Обычный 15 2 8" xfId="13124"/>
    <cellStyle name="Обычный 15 2 9" xfId="13125"/>
    <cellStyle name="Обычный 15 3" xfId="13126"/>
    <cellStyle name="Обычный 15 3 2" xfId="13127"/>
    <cellStyle name="Обычный 15 3 2 2" xfId="13128"/>
    <cellStyle name="Обычный 15 3 2 2 2" xfId="13129"/>
    <cellStyle name="Обычный 15 3 2 2 2 2" xfId="13130"/>
    <cellStyle name="Обычный 15 3 2 2 2 3" xfId="13131"/>
    <cellStyle name="Обычный 15 3 2 2 3" xfId="13132"/>
    <cellStyle name="Обычный 15 3 2 2 3 2" xfId="13133"/>
    <cellStyle name="Обычный 15 3 2 2 3 3" xfId="13134"/>
    <cellStyle name="Обычный 15 3 2 2 4" xfId="13135"/>
    <cellStyle name="Обычный 15 3 2 2 4 2" xfId="13136"/>
    <cellStyle name="Обычный 15 3 2 2 5" xfId="13137"/>
    <cellStyle name="Обычный 15 3 2 2 6" xfId="13138"/>
    <cellStyle name="Обычный 15 3 2 3" xfId="13139"/>
    <cellStyle name="Обычный 15 3 2 3 2" xfId="13140"/>
    <cellStyle name="Обычный 15 3 2 3 3" xfId="13141"/>
    <cellStyle name="Обычный 15 3 2 4" xfId="13142"/>
    <cellStyle name="Обычный 15 3 2 4 2" xfId="13143"/>
    <cellStyle name="Обычный 15 3 2 4 3" xfId="13144"/>
    <cellStyle name="Обычный 15 3 2 5" xfId="13145"/>
    <cellStyle name="Обычный 15 3 2 5 2" xfId="13146"/>
    <cellStyle name="Обычный 15 3 2 6" xfId="13147"/>
    <cellStyle name="Обычный 15 3 2 7" xfId="13148"/>
    <cellStyle name="Обычный 15 3 3" xfId="13149"/>
    <cellStyle name="Обычный 15 3 3 2" xfId="13150"/>
    <cellStyle name="Обычный 15 3 3 2 2" xfId="13151"/>
    <cellStyle name="Обычный 15 3 3 2 3" xfId="13152"/>
    <cellStyle name="Обычный 15 3 3 3" xfId="13153"/>
    <cellStyle name="Обычный 15 3 3 3 2" xfId="13154"/>
    <cellStyle name="Обычный 15 3 3 3 3" xfId="13155"/>
    <cellStyle name="Обычный 15 3 3 4" xfId="13156"/>
    <cellStyle name="Обычный 15 3 3 4 2" xfId="13157"/>
    <cellStyle name="Обычный 15 3 3 5" xfId="13158"/>
    <cellStyle name="Обычный 15 3 3 6" xfId="13159"/>
    <cellStyle name="Обычный 15 3 4" xfId="13160"/>
    <cellStyle name="Обычный 15 3 4 2" xfId="13161"/>
    <cellStyle name="Обычный 15 3 4 3" xfId="13162"/>
    <cellStyle name="Обычный 15 3 5" xfId="13163"/>
    <cellStyle name="Обычный 15 3 5 2" xfId="13164"/>
    <cellStyle name="Обычный 15 3 5 3" xfId="13165"/>
    <cellStyle name="Обычный 15 3 6" xfId="13166"/>
    <cellStyle name="Обычный 15 3 6 2" xfId="13167"/>
    <cellStyle name="Обычный 15 3 7" xfId="13168"/>
    <cellStyle name="Обычный 15 3 8" xfId="13169"/>
    <cellStyle name="Обычный 15 4" xfId="13170"/>
    <cellStyle name="Обычный 15 4 2" xfId="13171"/>
    <cellStyle name="Обычный 15 4 2 2" xfId="13172"/>
    <cellStyle name="Обычный 15 4 2 2 2" xfId="13173"/>
    <cellStyle name="Обычный 15 4 2 2 3" xfId="13174"/>
    <cellStyle name="Обычный 15 4 2 3" xfId="13175"/>
    <cellStyle name="Обычный 15 4 2 3 2" xfId="13176"/>
    <cellStyle name="Обычный 15 4 2 3 3" xfId="13177"/>
    <cellStyle name="Обычный 15 4 2 4" xfId="13178"/>
    <cellStyle name="Обычный 15 4 2 4 2" xfId="13179"/>
    <cellStyle name="Обычный 15 4 2 5" xfId="13180"/>
    <cellStyle name="Обычный 15 4 2 6" xfId="13181"/>
    <cellStyle name="Обычный 15 4 3" xfId="13182"/>
    <cellStyle name="Обычный 15 4 3 2" xfId="13183"/>
    <cellStyle name="Обычный 15 4 3 3" xfId="13184"/>
    <cellStyle name="Обычный 15 4 4" xfId="13185"/>
    <cellStyle name="Обычный 15 4 4 2" xfId="13186"/>
    <cellStyle name="Обычный 15 4 4 3" xfId="13187"/>
    <cellStyle name="Обычный 15 4 5" xfId="13188"/>
    <cellStyle name="Обычный 15 4 5 2" xfId="13189"/>
    <cellStyle name="Обычный 15 4 6" xfId="13190"/>
    <cellStyle name="Обычный 15 4 7" xfId="13191"/>
    <cellStyle name="Обычный 15 5" xfId="13192"/>
    <cellStyle name="Обычный 15 5 2" xfId="13193"/>
    <cellStyle name="Обычный 15 5 2 2" xfId="13194"/>
    <cellStyle name="Обычный 15 5 2 3" xfId="13195"/>
    <cellStyle name="Обычный 15 5 3" xfId="13196"/>
    <cellStyle name="Обычный 15 5 3 2" xfId="13197"/>
    <cellStyle name="Обычный 15 5 3 3" xfId="13198"/>
    <cellStyle name="Обычный 15 5 4" xfId="13199"/>
    <cellStyle name="Обычный 15 5 4 2" xfId="13200"/>
    <cellStyle name="Обычный 15 5 5" xfId="13201"/>
    <cellStyle name="Обычный 15 5 6" xfId="13202"/>
    <cellStyle name="Обычный 15 6" xfId="13203"/>
    <cellStyle name="Обычный 15 6 2" xfId="13204"/>
    <cellStyle name="Обычный 15 6 3" xfId="13205"/>
    <cellStyle name="Обычный 15 7" xfId="13206"/>
    <cellStyle name="Обычный 15 7 2" xfId="13207"/>
    <cellStyle name="Обычный 15 7 3" xfId="13208"/>
    <cellStyle name="Обычный 15 8" xfId="13209"/>
    <cellStyle name="Обычный 15 8 2" xfId="13210"/>
    <cellStyle name="Обычный 15 9" xfId="13211"/>
    <cellStyle name="Обычный 16" xfId="13212"/>
    <cellStyle name="Обычный 16 2" xfId="13213"/>
    <cellStyle name="Обычный 17" xfId="13214"/>
    <cellStyle name="Обычный 17 10" xfId="13215"/>
    <cellStyle name="Обычный 17 10 2" xfId="13216"/>
    <cellStyle name="Обычный 17 10 3" xfId="13217"/>
    <cellStyle name="Обычный 17 11" xfId="13218"/>
    <cellStyle name="Обычный 17 11 2" xfId="13219"/>
    <cellStyle name="Обычный 17 11 3" xfId="13220"/>
    <cellStyle name="Обычный 17 12" xfId="13221"/>
    <cellStyle name="Обычный 17 12 2" xfId="13222"/>
    <cellStyle name="Обычный 17 13" xfId="13223"/>
    <cellStyle name="Обычный 17 14" xfId="13224"/>
    <cellStyle name="Обычный 17 15" xfId="13225"/>
    <cellStyle name="Обычный 17 2" xfId="13226"/>
    <cellStyle name="Обычный 17 2 10" xfId="13227"/>
    <cellStyle name="Обычный 17 2 10 2" xfId="13228"/>
    <cellStyle name="Обычный 17 2 10 3" xfId="13229"/>
    <cellStyle name="Обычный 17 2 11" xfId="13230"/>
    <cellStyle name="Обычный 17 2 11 2" xfId="13231"/>
    <cellStyle name="Обычный 17 2 12" xfId="13232"/>
    <cellStyle name="Обычный 17 2 13" xfId="13233"/>
    <cellStyle name="Обычный 17 2 2" xfId="13234"/>
    <cellStyle name="Обычный 17 2 2 10" xfId="13235"/>
    <cellStyle name="Обычный 17 2 2 2" xfId="13236"/>
    <cellStyle name="Обычный 17 2 2 2 2" xfId="13237"/>
    <cellStyle name="Обычный 17 2 2 2 2 2" xfId="13238"/>
    <cellStyle name="Обычный 17 2 2 2 2 2 2" xfId="13239"/>
    <cellStyle name="Обычный 17 2 2 2 2 2 2 2" xfId="13240"/>
    <cellStyle name="Обычный 17 2 2 2 2 2 2 2 2" xfId="13241"/>
    <cellStyle name="Обычный 17 2 2 2 2 2 2 2 3" xfId="13242"/>
    <cellStyle name="Обычный 17 2 2 2 2 2 2 3" xfId="13243"/>
    <cellStyle name="Обычный 17 2 2 2 2 2 2 3 2" xfId="13244"/>
    <cellStyle name="Обычный 17 2 2 2 2 2 2 3 3" xfId="13245"/>
    <cellStyle name="Обычный 17 2 2 2 2 2 2 4" xfId="13246"/>
    <cellStyle name="Обычный 17 2 2 2 2 2 2 4 2" xfId="13247"/>
    <cellStyle name="Обычный 17 2 2 2 2 2 2 5" xfId="13248"/>
    <cellStyle name="Обычный 17 2 2 2 2 2 2 6" xfId="13249"/>
    <cellStyle name="Обычный 17 2 2 2 2 2 3" xfId="13250"/>
    <cellStyle name="Обычный 17 2 2 2 2 2 3 2" xfId="13251"/>
    <cellStyle name="Обычный 17 2 2 2 2 2 3 3" xfId="13252"/>
    <cellStyle name="Обычный 17 2 2 2 2 2 4" xfId="13253"/>
    <cellStyle name="Обычный 17 2 2 2 2 2 4 2" xfId="13254"/>
    <cellStyle name="Обычный 17 2 2 2 2 2 4 3" xfId="13255"/>
    <cellStyle name="Обычный 17 2 2 2 2 2 5" xfId="13256"/>
    <cellStyle name="Обычный 17 2 2 2 2 2 5 2" xfId="13257"/>
    <cellStyle name="Обычный 17 2 2 2 2 2 6" xfId="13258"/>
    <cellStyle name="Обычный 17 2 2 2 2 2 7" xfId="13259"/>
    <cellStyle name="Обычный 17 2 2 2 2 3" xfId="13260"/>
    <cellStyle name="Обычный 17 2 2 2 2 3 2" xfId="13261"/>
    <cellStyle name="Обычный 17 2 2 2 2 3 2 2" xfId="13262"/>
    <cellStyle name="Обычный 17 2 2 2 2 3 2 3" xfId="13263"/>
    <cellStyle name="Обычный 17 2 2 2 2 3 3" xfId="13264"/>
    <cellStyle name="Обычный 17 2 2 2 2 3 3 2" xfId="13265"/>
    <cellStyle name="Обычный 17 2 2 2 2 3 3 3" xfId="13266"/>
    <cellStyle name="Обычный 17 2 2 2 2 3 4" xfId="13267"/>
    <cellStyle name="Обычный 17 2 2 2 2 3 4 2" xfId="13268"/>
    <cellStyle name="Обычный 17 2 2 2 2 3 5" xfId="13269"/>
    <cellStyle name="Обычный 17 2 2 2 2 3 6" xfId="13270"/>
    <cellStyle name="Обычный 17 2 2 2 2 4" xfId="13271"/>
    <cellStyle name="Обычный 17 2 2 2 2 4 2" xfId="13272"/>
    <cellStyle name="Обычный 17 2 2 2 2 4 3" xfId="13273"/>
    <cellStyle name="Обычный 17 2 2 2 2 5" xfId="13274"/>
    <cellStyle name="Обычный 17 2 2 2 2 5 2" xfId="13275"/>
    <cellStyle name="Обычный 17 2 2 2 2 5 3" xfId="13276"/>
    <cellStyle name="Обычный 17 2 2 2 2 6" xfId="13277"/>
    <cellStyle name="Обычный 17 2 2 2 2 6 2" xfId="13278"/>
    <cellStyle name="Обычный 17 2 2 2 2 7" xfId="13279"/>
    <cellStyle name="Обычный 17 2 2 2 2 8" xfId="13280"/>
    <cellStyle name="Обычный 17 2 2 2 3" xfId="13281"/>
    <cellStyle name="Обычный 17 2 2 2 3 2" xfId="13282"/>
    <cellStyle name="Обычный 17 2 2 2 3 2 2" xfId="13283"/>
    <cellStyle name="Обычный 17 2 2 2 3 2 2 2" xfId="13284"/>
    <cellStyle name="Обычный 17 2 2 2 3 2 2 3" xfId="13285"/>
    <cellStyle name="Обычный 17 2 2 2 3 2 3" xfId="13286"/>
    <cellStyle name="Обычный 17 2 2 2 3 2 3 2" xfId="13287"/>
    <cellStyle name="Обычный 17 2 2 2 3 2 3 3" xfId="13288"/>
    <cellStyle name="Обычный 17 2 2 2 3 2 4" xfId="13289"/>
    <cellStyle name="Обычный 17 2 2 2 3 2 4 2" xfId="13290"/>
    <cellStyle name="Обычный 17 2 2 2 3 2 5" xfId="13291"/>
    <cellStyle name="Обычный 17 2 2 2 3 2 6" xfId="13292"/>
    <cellStyle name="Обычный 17 2 2 2 3 3" xfId="13293"/>
    <cellStyle name="Обычный 17 2 2 2 3 3 2" xfId="13294"/>
    <cellStyle name="Обычный 17 2 2 2 3 3 3" xfId="13295"/>
    <cellStyle name="Обычный 17 2 2 2 3 4" xfId="13296"/>
    <cellStyle name="Обычный 17 2 2 2 3 4 2" xfId="13297"/>
    <cellStyle name="Обычный 17 2 2 2 3 4 3" xfId="13298"/>
    <cellStyle name="Обычный 17 2 2 2 3 5" xfId="13299"/>
    <cellStyle name="Обычный 17 2 2 2 3 5 2" xfId="13300"/>
    <cellStyle name="Обычный 17 2 2 2 3 6" xfId="13301"/>
    <cellStyle name="Обычный 17 2 2 2 3 7" xfId="13302"/>
    <cellStyle name="Обычный 17 2 2 2 4" xfId="13303"/>
    <cellStyle name="Обычный 17 2 2 2 4 2" xfId="13304"/>
    <cellStyle name="Обычный 17 2 2 2 4 2 2" xfId="13305"/>
    <cellStyle name="Обычный 17 2 2 2 4 2 3" xfId="13306"/>
    <cellStyle name="Обычный 17 2 2 2 4 3" xfId="13307"/>
    <cellStyle name="Обычный 17 2 2 2 4 3 2" xfId="13308"/>
    <cellStyle name="Обычный 17 2 2 2 4 3 3" xfId="13309"/>
    <cellStyle name="Обычный 17 2 2 2 4 4" xfId="13310"/>
    <cellStyle name="Обычный 17 2 2 2 4 4 2" xfId="13311"/>
    <cellStyle name="Обычный 17 2 2 2 4 5" xfId="13312"/>
    <cellStyle name="Обычный 17 2 2 2 4 6" xfId="13313"/>
    <cellStyle name="Обычный 17 2 2 2 5" xfId="13314"/>
    <cellStyle name="Обычный 17 2 2 2 5 2" xfId="13315"/>
    <cellStyle name="Обычный 17 2 2 2 5 3" xfId="13316"/>
    <cellStyle name="Обычный 17 2 2 2 6" xfId="13317"/>
    <cellStyle name="Обычный 17 2 2 2 6 2" xfId="13318"/>
    <cellStyle name="Обычный 17 2 2 2 6 3" xfId="13319"/>
    <cellStyle name="Обычный 17 2 2 2 7" xfId="13320"/>
    <cellStyle name="Обычный 17 2 2 2 7 2" xfId="13321"/>
    <cellStyle name="Обычный 17 2 2 2 8" xfId="13322"/>
    <cellStyle name="Обычный 17 2 2 2 9" xfId="13323"/>
    <cellStyle name="Обычный 17 2 2 3" xfId="13324"/>
    <cellStyle name="Обычный 17 2 2 3 2" xfId="13325"/>
    <cellStyle name="Обычный 17 2 2 3 2 2" xfId="13326"/>
    <cellStyle name="Обычный 17 2 2 3 2 2 2" xfId="13327"/>
    <cellStyle name="Обычный 17 2 2 3 2 2 2 2" xfId="13328"/>
    <cellStyle name="Обычный 17 2 2 3 2 2 2 3" xfId="13329"/>
    <cellStyle name="Обычный 17 2 2 3 2 2 3" xfId="13330"/>
    <cellStyle name="Обычный 17 2 2 3 2 2 3 2" xfId="13331"/>
    <cellStyle name="Обычный 17 2 2 3 2 2 3 3" xfId="13332"/>
    <cellStyle name="Обычный 17 2 2 3 2 2 4" xfId="13333"/>
    <cellStyle name="Обычный 17 2 2 3 2 2 4 2" xfId="13334"/>
    <cellStyle name="Обычный 17 2 2 3 2 2 5" xfId="13335"/>
    <cellStyle name="Обычный 17 2 2 3 2 2 6" xfId="13336"/>
    <cellStyle name="Обычный 17 2 2 3 2 3" xfId="13337"/>
    <cellStyle name="Обычный 17 2 2 3 2 3 2" xfId="13338"/>
    <cellStyle name="Обычный 17 2 2 3 2 3 3" xfId="13339"/>
    <cellStyle name="Обычный 17 2 2 3 2 4" xfId="13340"/>
    <cellStyle name="Обычный 17 2 2 3 2 4 2" xfId="13341"/>
    <cellStyle name="Обычный 17 2 2 3 2 4 3" xfId="13342"/>
    <cellStyle name="Обычный 17 2 2 3 2 5" xfId="13343"/>
    <cellStyle name="Обычный 17 2 2 3 2 5 2" xfId="13344"/>
    <cellStyle name="Обычный 17 2 2 3 2 6" xfId="13345"/>
    <cellStyle name="Обычный 17 2 2 3 2 7" xfId="13346"/>
    <cellStyle name="Обычный 17 2 2 3 3" xfId="13347"/>
    <cellStyle name="Обычный 17 2 2 3 3 2" xfId="13348"/>
    <cellStyle name="Обычный 17 2 2 3 3 2 2" xfId="13349"/>
    <cellStyle name="Обычный 17 2 2 3 3 2 3" xfId="13350"/>
    <cellStyle name="Обычный 17 2 2 3 3 3" xfId="13351"/>
    <cellStyle name="Обычный 17 2 2 3 3 3 2" xfId="13352"/>
    <cellStyle name="Обычный 17 2 2 3 3 3 3" xfId="13353"/>
    <cellStyle name="Обычный 17 2 2 3 3 4" xfId="13354"/>
    <cellStyle name="Обычный 17 2 2 3 3 4 2" xfId="13355"/>
    <cellStyle name="Обычный 17 2 2 3 3 5" xfId="13356"/>
    <cellStyle name="Обычный 17 2 2 3 3 6" xfId="13357"/>
    <cellStyle name="Обычный 17 2 2 3 4" xfId="13358"/>
    <cellStyle name="Обычный 17 2 2 3 4 2" xfId="13359"/>
    <cellStyle name="Обычный 17 2 2 3 4 3" xfId="13360"/>
    <cellStyle name="Обычный 17 2 2 3 5" xfId="13361"/>
    <cellStyle name="Обычный 17 2 2 3 5 2" xfId="13362"/>
    <cellStyle name="Обычный 17 2 2 3 5 3" xfId="13363"/>
    <cellStyle name="Обычный 17 2 2 3 6" xfId="13364"/>
    <cellStyle name="Обычный 17 2 2 3 6 2" xfId="13365"/>
    <cellStyle name="Обычный 17 2 2 3 7" xfId="13366"/>
    <cellStyle name="Обычный 17 2 2 3 8" xfId="13367"/>
    <cellStyle name="Обычный 17 2 2 4" xfId="13368"/>
    <cellStyle name="Обычный 17 2 2 4 2" xfId="13369"/>
    <cellStyle name="Обычный 17 2 2 4 2 2" xfId="13370"/>
    <cellStyle name="Обычный 17 2 2 4 2 2 2" xfId="13371"/>
    <cellStyle name="Обычный 17 2 2 4 2 2 3" xfId="13372"/>
    <cellStyle name="Обычный 17 2 2 4 2 3" xfId="13373"/>
    <cellStyle name="Обычный 17 2 2 4 2 3 2" xfId="13374"/>
    <cellStyle name="Обычный 17 2 2 4 2 3 3" xfId="13375"/>
    <cellStyle name="Обычный 17 2 2 4 2 4" xfId="13376"/>
    <cellStyle name="Обычный 17 2 2 4 2 4 2" xfId="13377"/>
    <cellStyle name="Обычный 17 2 2 4 2 5" xfId="13378"/>
    <cellStyle name="Обычный 17 2 2 4 2 6" xfId="13379"/>
    <cellStyle name="Обычный 17 2 2 4 3" xfId="13380"/>
    <cellStyle name="Обычный 17 2 2 4 3 2" xfId="13381"/>
    <cellStyle name="Обычный 17 2 2 4 3 3" xfId="13382"/>
    <cellStyle name="Обычный 17 2 2 4 4" xfId="13383"/>
    <cellStyle name="Обычный 17 2 2 4 4 2" xfId="13384"/>
    <cellStyle name="Обычный 17 2 2 4 4 3" xfId="13385"/>
    <cellStyle name="Обычный 17 2 2 4 5" xfId="13386"/>
    <cellStyle name="Обычный 17 2 2 4 5 2" xfId="13387"/>
    <cellStyle name="Обычный 17 2 2 4 6" xfId="13388"/>
    <cellStyle name="Обычный 17 2 2 4 7" xfId="13389"/>
    <cellStyle name="Обычный 17 2 2 5" xfId="13390"/>
    <cellStyle name="Обычный 17 2 2 5 2" xfId="13391"/>
    <cellStyle name="Обычный 17 2 2 5 2 2" xfId="13392"/>
    <cellStyle name="Обычный 17 2 2 5 2 3" xfId="13393"/>
    <cellStyle name="Обычный 17 2 2 5 3" xfId="13394"/>
    <cellStyle name="Обычный 17 2 2 5 3 2" xfId="13395"/>
    <cellStyle name="Обычный 17 2 2 5 3 3" xfId="13396"/>
    <cellStyle name="Обычный 17 2 2 5 4" xfId="13397"/>
    <cellStyle name="Обычный 17 2 2 5 4 2" xfId="13398"/>
    <cellStyle name="Обычный 17 2 2 5 5" xfId="13399"/>
    <cellStyle name="Обычный 17 2 2 5 6" xfId="13400"/>
    <cellStyle name="Обычный 17 2 2 6" xfId="13401"/>
    <cellStyle name="Обычный 17 2 2 6 2" xfId="13402"/>
    <cellStyle name="Обычный 17 2 2 6 3" xfId="13403"/>
    <cellStyle name="Обычный 17 2 2 7" xfId="13404"/>
    <cellStyle name="Обычный 17 2 2 7 2" xfId="13405"/>
    <cellStyle name="Обычный 17 2 2 7 3" xfId="13406"/>
    <cellStyle name="Обычный 17 2 2 8" xfId="13407"/>
    <cellStyle name="Обычный 17 2 2 8 2" xfId="13408"/>
    <cellStyle name="Обычный 17 2 2 9" xfId="13409"/>
    <cellStyle name="Обычный 17 2 3" xfId="13410"/>
    <cellStyle name="Обычный 17 2 3 10" xfId="13411"/>
    <cellStyle name="Обычный 17 2 3 2" xfId="13412"/>
    <cellStyle name="Обычный 17 2 3 2 2" xfId="13413"/>
    <cellStyle name="Обычный 17 2 3 2 2 2" xfId="13414"/>
    <cellStyle name="Обычный 17 2 3 2 2 2 2" xfId="13415"/>
    <cellStyle name="Обычный 17 2 3 2 2 2 2 2" xfId="13416"/>
    <cellStyle name="Обычный 17 2 3 2 2 2 2 2 2" xfId="13417"/>
    <cellStyle name="Обычный 17 2 3 2 2 2 2 2 3" xfId="13418"/>
    <cellStyle name="Обычный 17 2 3 2 2 2 2 3" xfId="13419"/>
    <cellStyle name="Обычный 17 2 3 2 2 2 2 3 2" xfId="13420"/>
    <cellStyle name="Обычный 17 2 3 2 2 2 2 3 3" xfId="13421"/>
    <cellStyle name="Обычный 17 2 3 2 2 2 2 4" xfId="13422"/>
    <cellStyle name="Обычный 17 2 3 2 2 2 2 4 2" xfId="13423"/>
    <cellStyle name="Обычный 17 2 3 2 2 2 2 5" xfId="13424"/>
    <cellStyle name="Обычный 17 2 3 2 2 2 2 6" xfId="13425"/>
    <cellStyle name="Обычный 17 2 3 2 2 2 3" xfId="13426"/>
    <cellStyle name="Обычный 17 2 3 2 2 2 3 2" xfId="13427"/>
    <cellStyle name="Обычный 17 2 3 2 2 2 3 3" xfId="13428"/>
    <cellStyle name="Обычный 17 2 3 2 2 2 4" xfId="13429"/>
    <cellStyle name="Обычный 17 2 3 2 2 2 4 2" xfId="13430"/>
    <cellStyle name="Обычный 17 2 3 2 2 2 4 3" xfId="13431"/>
    <cellStyle name="Обычный 17 2 3 2 2 2 5" xfId="13432"/>
    <cellStyle name="Обычный 17 2 3 2 2 2 5 2" xfId="13433"/>
    <cellStyle name="Обычный 17 2 3 2 2 2 6" xfId="13434"/>
    <cellStyle name="Обычный 17 2 3 2 2 2 7" xfId="13435"/>
    <cellStyle name="Обычный 17 2 3 2 2 3" xfId="13436"/>
    <cellStyle name="Обычный 17 2 3 2 2 3 2" xfId="13437"/>
    <cellStyle name="Обычный 17 2 3 2 2 3 2 2" xfId="13438"/>
    <cellStyle name="Обычный 17 2 3 2 2 3 2 3" xfId="13439"/>
    <cellStyle name="Обычный 17 2 3 2 2 3 3" xfId="13440"/>
    <cellStyle name="Обычный 17 2 3 2 2 3 3 2" xfId="13441"/>
    <cellStyle name="Обычный 17 2 3 2 2 3 3 3" xfId="13442"/>
    <cellStyle name="Обычный 17 2 3 2 2 3 4" xfId="13443"/>
    <cellStyle name="Обычный 17 2 3 2 2 3 4 2" xfId="13444"/>
    <cellStyle name="Обычный 17 2 3 2 2 3 5" xfId="13445"/>
    <cellStyle name="Обычный 17 2 3 2 2 3 6" xfId="13446"/>
    <cellStyle name="Обычный 17 2 3 2 2 4" xfId="13447"/>
    <cellStyle name="Обычный 17 2 3 2 2 4 2" xfId="13448"/>
    <cellStyle name="Обычный 17 2 3 2 2 4 3" xfId="13449"/>
    <cellStyle name="Обычный 17 2 3 2 2 5" xfId="13450"/>
    <cellStyle name="Обычный 17 2 3 2 2 5 2" xfId="13451"/>
    <cellStyle name="Обычный 17 2 3 2 2 5 3" xfId="13452"/>
    <cellStyle name="Обычный 17 2 3 2 2 6" xfId="13453"/>
    <cellStyle name="Обычный 17 2 3 2 2 6 2" xfId="13454"/>
    <cellStyle name="Обычный 17 2 3 2 2 7" xfId="13455"/>
    <cellStyle name="Обычный 17 2 3 2 2 8" xfId="13456"/>
    <cellStyle name="Обычный 17 2 3 2 3" xfId="13457"/>
    <cellStyle name="Обычный 17 2 3 2 3 2" xfId="13458"/>
    <cellStyle name="Обычный 17 2 3 2 3 2 2" xfId="13459"/>
    <cellStyle name="Обычный 17 2 3 2 3 2 2 2" xfId="13460"/>
    <cellStyle name="Обычный 17 2 3 2 3 2 2 3" xfId="13461"/>
    <cellStyle name="Обычный 17 2 3 2 3 2 3" xfId="13462"/>
    <cellStyle name="Обычный 17 2 3 2 3 2 3 2" xfId="13463"/>
    <cellStyle name="Обычный 17 2 3 2 3 2 3 3" xfId="13464"/>
    <cellStyle name="Обычный 17 2 3 2 3 2 4" xfId="13465"/>
    <cellStyle name="Обычный 17 2 3 2 3 2 4 2" xfId="13466"/>
    <cellStyle name="Обычный 17 2 3 2 3 2 5" xfId="13467"/>
    <cellStyle name="Обычный 17 2 3 2 3 2 6" xfId="13468"/>
    <cellStyle name="Обычный 17 2 3 2 3 3" xfId="13469"/>
    <cellStyle name="Обычный 17 2 3 2 3 3 2" xfId="13470"/>
    <cellStyle name="Обычный 17 2 3 2 3 3 3" xfId="13471"/>
    <cellStyle name="Обычный 17 2 3 2 3 4" xfId="13472"/>
    <cellStyle name="Обычный 17 2 3 2 3 4 2" xfId="13473"/>
    <cellStyle name="Обычный 17 2 3 2 3 4 3" xfId="13474"/>
    <cellStyle name="Обычный 17 2 3 2 3 5" xfId="13475"/>
    <cellStyle name="Обычный 17 2 3 2 3 5 2" xfId="13476"/>
    <cellStyle name="Обычный 17 2 3 2 3 6" xfId="13477"/>
    <cellStyle name="Обычный 17 2 3 2 3 7" xfId="13478"/>
    <cellStyle name="Обычный 17 2 3 2 4" xfId="13479"/>
    <cellStyle name="Обычный 17 2 3 2 4 2" xfId="13480"/>
    <cellStyle name="Обычный 17 2 3 2 4 2 2" xfId="13481"/>
    <cellStyle name="Обычный 17 2 3 2 4 2 3" xfId="13482"/>
    <cellStyle name="Обычный 17 2 3 2 4 3" xfId="13483"/>
    <cellStyle name="Обычный 17 2 3 2 4 3 2" xfId="13484"/>
    <cellStyle name="Обычный 17 2 3 2 4 3 3" xfId="13485"/>
    <cellStyle name="Обычный 17 2 3 2 4 4" xfId="13486"/>
    <cellStyle name="Обычный 17 2 3 2 4 4 2" xfId="13487"/>
    <cellStyle name="Обычный 17 2 3 2 4 5" xfId="13488"/>
    <cellStyle name="Обычный 17 2 3 2 4 6" xfId="13489"/>
    <cellStyle name="Обычный 17 2 3 2 5" xfId="13490"/>
    <cellStyle name="Обычный 17 2 3 2 5 2" xfId="13491"/>
    <cellStyle name="Обычный 17 2 3 2 5 3" xfId="13492"/>
    <cellStyle name="Обычный 17 2 3 2 6" xfId="13493"/>
    <cellStyle name="Обычный 17 2 3 2 6 2" xfId="13494"/>
    <cellStyle name="Обычный 17 2 3 2 6 3" xfId="13495"/>
    <cellStyle name="Обычный 17 2 3 2 7" xfId="13496"/>
    <cellStyle name="Обычный 17 2 3 2 7 2" xfId="13497"/>
    <cellStyle name="Обычный 17 2 3 2 8" xfId="13498"/>
    <cellStyle name="Обычный 17 2 3 2 9" xfId="13499"/>
    <cellStyle name="Обычный 17 2 3 3" xfId="13500"/>
    <cellStyle name="Обычный 17 2 3 3 2" xfId="13501"/>
    <cellStyle name="Обычный 17 2 3 3 2 2" xfId="13502"/>
    <cellStyle name="Обычный 17 2 3 3 2 2 2" xfId="13503"/>
    <cellStyle name="Обычный 17 2 3 3 2 2 2 2" xfId="13504"/>
    <cellStyle name="Обычный 17 2 3 3 2 2 2 3" xfId="13505"/>
    <cellStyle name="Обычный 17 2 3 3 2 2 3" xfId="13506"/>
    <cellStyle name="Обычный 17 2 3 3 2 2 3 2" xfId="13507"/>
    <cellStyle name="Обычный 17 2 3 3 2 2 3 3" xfId="13508"/>
    <cellStyle name="Обычный 17 2 3 3 2 2 4" xfId="13509"/>
    <cellStyle name="Обычный 17 2 3 3 2 2 4 2" xfId="13510"/>
    <cellStyle name="Обычный 17 2 3 3 2 2 5" xfId="13511"/>
    <cellStyle name="Обычный 17 2 3 3 2 2 6" xfId="13512"/>
    <cellStyle name="Обычный 17 2 3 3 2 3" xfId="13513"/>
    <cellStyle name="Обычный 17 2 3 3 2 3 2" xfId="13514"/>
    <cellStyle name="Обычный 17 2 3 3 2 3 3" xfId="13515"/>
    <cellStyle name="Обычный 17 2 3 3 2 4" xfId="13516"/>
    <cellStyle name="Обычный 17 2 3 3 2 4 2" xfId="13517"/>
    <cellStyle name="Обычный 17 2 3 3 2 4 3" xfId="13518"/>
    <cellStyle name="Обычный 17 2 3 3 2 5" xfId="13519"/>
    <cellStyle name="Обычный 17 2 3 3 2 5 2" xfId="13520"/>
    <cellStyle name="Обычный 17 2 3 3 2 6" xfId="13521"/>
    <cellStyle name="Обычный 17 2 3 3 2 7" xfId="13522"/>
    <cellStyle name="Обычный 17 2 3 3 3" xfId="13523"/>
    <cellStyle name="Обычный 17 2 3 3 3 2" xfId="13524"/>
    <cellStyle name="Обычный 17 2 3 3 3 2 2" xfId="13525"/>
    <cellStyle name="Обычный 17 2 3 3 3 2 3" xfId="13526"/>
    <cellStyle name="Обычный 17 2 3 3 3 3" xfId="13527"/>
    <cellStyle name="Обычный 17 2 3 3 3 3 2" xfId="13528"/>
    <cellStyle name="Обычный 17 2 3 3 3 3 3" xfId="13529"/>
    <cellStyle name="Обычный 17 2 3 3 3 4" xfId="13530"/>
    <cellStyle name="Обычный 17 2 3 3 3 4 2" xfId="13531"/>
    <cellStyle name="Обычный 17 2 3 3 3 5" xfId="13532"/>
    <cellStyle name="Обычный 17 2 3 3 3 6" xfId="13533"/>
    <cellStyle name="Обычный 17 2 3 3 4" xfId="13534"/>
    <cellStyle name="Обычный 17 2 3 3 4 2" xfId="13535"/>
    <cellStyle name="Обычный 17 2 3 3 4 3" xfId="13536"/>
    <cellStyle name="Обычный 17 2 3 3 5" xfId="13537"/>
    <cellStyle name="Обычный 17 2 3 3 5 2" xfId="13538"/>
    <cellStyle name="Обычный 17 2 3 3 5 3" xfId="13539"/>
    <cellStyle name="Обычный 17 2 3 3 6" xfId="13540"/>
    <cellStyle name="Обычный 17 2 3 3 6 2" xfId="13541"/>
    <cellStyle name="Обычный 17 2 3 3 7" xfId="13542"/>
    <cellStyle name="Обычный 17 2 3 3 8" xfId="13543"/>
    <cellStyle name="Обычный 17 2 3 4" xfId="13544"/>
    <cellStyle name="Обычный 17 2 3 4 2" xfId="13545"/>
    <cellStyle name="Обычный 17 2 3 4 2 2" xfId="13546"/>
    <cellStyle name="Обычный 17 2 3 4 2 2 2" xfId="13547"/>
    <cellStyle name="Обычный 17 2 3 4 2 2 3" xfId="13548"/>
    <cellStyle name="Обычный 17 2 3 4 2 3" xfId="13549"/>
    <cellStyle name="Обычный 17 2 3 4 2 3 2" xfId="13550"/>
    <cellStyle name="Обычный 17 2 3 4 2 3 3" xfId="13551"/>
    <cellStyle name="Обычный 17 2 3 4 2 4" xfId="13552"/>
    <cellStyle name="Обычный 17 2 3 4 2 4 2" xfId="13553"/>
    <cellStyle name="Обычный 17 2 3 4 2 5" xfId="13554"/>
    <cellStyle name="Обычный 17 2 3 4 2 6" xfId="13555"/>
    <cellStyle name="Обычный 17 2 3 4 3" xfId="13556"/>
    <cellStyle name="Обычный 17 2 3 4 3 2" xfId="13557"/>
    <cellStyle name="Обычный 17 2 3 4 3 3" xfId="13558"/>
    <cellStyle name="Обычный 17 2 3 4 4" xfId="13559"/>
    <cellStyle name="Обычный 17 2 3 4 4 2" xfId="13560"/>
    <cellStyle name="Обычный 17 2 3 4 4 3" xfId="13561"/>
    <cellStyle name="Обычный 17 2 3 4 5" xfId="13562"/>
    <cellStyle name="Обычный 17 2 3 4 5 2" xfId="13563"/>
    <cellStyle name="Обычный 17 2 3 4 6" xfId="13564"/>
    <cellStyle name="Обычный 17 2 3 4 7" xfId="13565"/>
    <cellStyle name="Обычный 17 2 3 5" xfId="13566"/>
    <cellStyle name="Обычный 17 2 3 5 2" xfId="13567"/>
    <cellStyle name="Обычный 17 2 3 5 2 2" xfId="13568"/>
    <cellStyle name="Обычный 17 2 3 5 2 3" xfId="13569"/>
    <cellStyle name="Обычный 17 2 3 5 3" xfId="13570"/>
    <cellStyle name="Обычный 17 2 3 5 3 2" xfId="13571"/>
    <cellStyle name="Обычный 17 2 3 5 3 3" xfId="13572"/>
    <cellStyle name="Обычный 17 2 3 5 4" xfId="13573"/>
    <cellStyle name="Обычный 17 2 3 5 4 2" xfId="13574"/>
    <cellStyle name="Обычный 17 2 3 5 5" xfId="13575"/>
    <cellStyle name="Обычный 17 2 3 5 6" xfId="13576"/>
    <cellStyle name="Обычный 17 2 3 6" xfId="13577"/>
    <cellStyle name="Обычный 17 2 3 6 2" xfId="13578"/>
    <cellStyle name="Обычный 17 2 3 6 3" xfId="13579"/>
    <cellStyle name="Обычный 17 2 3 7" xfId="13580"/>
    <cellStyle name="Обычный 17 2 3 7 2" xfId="13581"/>
    <cellStyle name="Обычный 17 2 3 7 3" xfId="13582"/>
    <cellStyle name="Обычный 17 2 3 8" xfId="13583"/>
    <cellStyle name="Обычный 17 2 3 8 2" xfId="13584"/>
    <cellStyle name="Обычный 17 2 3 9" xfId="13585"/>
    <cellStyle name="Обычный 17 2 4" xfId="13586"/>
    <cellStyle name="Обычный 17 2 4 10" xfId="13587"/>
    <cellStyle name="Обычный 17 2 4 2" xfId="13588"/>
    <cellStyle name="Обычный 17 2 4 2 2" xfId="13589"/>
    <cellStyle name="Обычный 17 2 4 2 2 2" xfId="13590"/>
    <cellStyle name="Обычный 17 2 4 2 2 2 2" xfId="13591"/>
    <cellStyle name="Обычный 17 2 4 2 2 2 2 2" xfId="13592"/>
    <cellStyle name="Обычный 17 2 4 2 2 2 2 2 2" xfId="13593"/>
    <cellStyle name="Обычный 17 2 4 2 2 2 2 2 3" xfId="13594"/>
    <cellStyle name="Обычный 17 2 4 2 2 2 2 3" xfId="13595"/>
    <cellStyle name="Обычный 17 2 4 2 2 2 2 3 2" xfId="13596"/>
    <cellStyle name="Обычный 17 2 4 2 2 2 2 3 3" xfId="13597"/>
    <cellStyle name="Обычный 17 2 4 2 2 2 2 4" xfId="13598"/>
    <cellStyle name="Обычный 17 2 4 2 2 2 2 4 2" xfId="13599"/>
    <cellStyle name="Обычный 17 2 4 2 2 2 2 5" xfId="13600"/>
    <cellStyle name="Обычный 17 2 4 2 2 2 2 6" xfId="13601"/>
    <cellStyle name="Обычный 17 2 4 2 2 2 3" xfId="13602"/>
    <cellStyle name="Обычный 17 2 4 2 2 2 3 2" xfId="13603"/>
    <cellStyle name="Обычный 17 2 4 2 2 2 3 3" xfId="13604"/>
    <cellStyle name="Обычный 17 2 4 2 2 2 4" xfId="13605"/>
    <cellStyle name="Обычный 17 2 4 2 2 2 4 2" xfId="13606"/>
    <cellStyle name="Обычный 17 2 4 2 2 2 4 3" xfId="13607"/>
    <cellStyle name="Обычный 17 2 4 2 2 2 5" xfId="13608"/>
    <cellStyle name="Обычный 17 2 4 2 2 2 5 2" xfId="13609"/>
    <cellStyle name="Обычный 17 2 4 2 2 2 6" xfId="13610"/>
    <cellStyle name="Обычный 17 2 4 2 2 2 7" xfId="13611"/>
    <cellStyle name="Обычный 17 2 4 2 2 3" xfId="13612"/>
    <cellStyle name="Обычный 17 2 4 2 2 3 2" xfId="13613"/>
    <cellStyle name="Обычный 17 2 4 2 2 3 2 2" xfId="13614"/>
    <cellStyle name="Обычный 17 2 4 2 2 3 2 3" xfId="13615"/>
    <cellStyle name="Обычный 17 2 4 2 2 3 3" xfId="13616"/>
    <cellStyle name="Обычный 17 2 4 2 2 3 3 2" xfId="13617"/>
    <cellStyle name="Обычный 17 2 4 2 2 3 3 3" xfId="13618"/>
    <cellStyle name="Обычный 17 2 4 2 2 3 4" xfId="13619"/>
    <cellStyle name="Обычный 17 2 4 2 2 3 4 2" xfId="13620"/>
    <cellStyle name="Обычный 17 2 4 2 2 3 5" xfId="13621"/>
    <cellStyle name="Обычный 17 2 4 2 2 3 6" xfId="13622"/>
    <cellStyle name="Обычный 17 2 4 2 2 4" xfId="13623"/>
    <cellStyle name="Обычный 17 2 4 2 2 4 2" xfId="13624"/>
    <cellStyle name="Обычный 17 2 4 2 2 4 3" xfId="13625"/>
    <cellStyle name="Обычный 17 2 4 2 2 5" xfId="13626"/>
    <cellStyle name="Обычный 17 2 4 2 2 5 2" xfId="13627"/>
    <cellStyle name="Обычный 17 2 4 2 2 5 3" xfId="13628"/>
    <cellStyle name="Обычный 17 2 4 2 2 6" xfId="13629"/>
    <cellStyle name="Обычный 17 2 4 2 2 6 2" xfId="13630"/>
    <cellStyle name="Обычный 17 2 4 2 2 7" xfId="13631"/>
    <cellStyle name="Обычный 17 2 4 2 2 8" xfId="13632"/>
    <cellStyle name="Обычный 17 2 4 2 3" xfId="13633"/>
    <cellStyle name="Обычный 17 2 4 2 3 2" xfId="13634"/>
    <cellStyle name="Обычный 17 2 4 2 3 2 2" xfId="13635"/>
    <cellStyle name="Обычный 17 2 4 2 3 2 2 2" xfId="13636"/>
    <cellStyle name="Обычный 17 2 4 2 3 2 2 3" xfId="13637"/>
    <cellStyle name="Обычный 17 2 4 2 3 2 3" xfId="13638"/>
    <cellStyle name="Обычный 17 2 4 2 3 2 3 2" xfId="13639"/>
    <cellStyle name="Обычный 17 2 4 2 3 2 3 3" xfId="13640"/>
    <cellStyle name="Обычный 17 2 4 2 3 2 4" xfId="13641"/>
    <cellStyle name="Обычный 17 2 4 2 3 2 4 2" xfId="13642"/>
    <cellStyle name="Обычный 17 2 4 2 3 2 5" xfId="13643"/>
    <cellStyle name="Обычный 17 2 4 2 3 2 6" xfId="13644"/>
    <cellStyle name="Обычный 17 2 4 2 3 3" xfId="13645"/>
    <cellStyle name="Обычный 17 2 4 2 3 3 2" xfId="13646"/>
    <cellStyle name="Обычный 17 2 4 2 3 3 3" xfId="13647"/>
    <cellStyle name="Обычный 17 2 4 2 3 4" xfId="13648"/>
    <cellStyle name="Обычный 17 2 4 2 3 4 2" xfId="13649"/>
    <cellStyle name="Обычный 17 2 4 2 3 4 3" xfId="13650"/>
    <cellStyle name="Обычный 17 2 4 2 3 5" xfId="13651"/>
    <cellStyle name="Обычный 17 2 4 2 3 5 2" xfId="13652"/>
    <cellStyle name="Обычный 17 2 4 2 3 6" xfId="13653"/>
    <cellStyle name="Обычный 17 2 4 2 3 7" xfId="13654"/>
    <cellStyle name="Обычный 17 2 4 2 4" xfId="13655"/>
    <cellStyle name="Обычный 17 2 4 2 4 2" xfId="13656"/>
    <cellStyle name="Обычный 17 2 4 2 4 2 2" xfId="13657"/>
    <cellStyle name="Обычный 17 2 4 2 4 2 3" xfId="13658"/>
    <cellStyle name="Обычный 17 2 4 2 4 3" xfId="13659"/>
    <cellStyle name="Обычный 17 2 4 2 4 3 2" xfId="13660"/>
    <cellStyle name="Обычный 17 2 4 2 4 3 3" xfId="13661"/>
    <cellStyle name="Обычный 17 2 4 2 4 4" xfId="13662"/>
    <cellStyle name="Обычный 17 2 4 2 4 4 2" xfId="13663"/>
    <cellStyle name="Обычный 17 2 4 2 4 5" xfId="13664"/>
    <cellStyle name="Обычный 17 2 4 2 4 6" xfId="13665"/>
    <cellStyle name="Обычный 17 2 4 2 5" xfId="13666"/>
    <cellStyle name="Обычный 17 2 4 2 5 2" xfId="13667"/>
    <cellStyle name="Обычный 17 2 4 2 5 3" xfId="13668"/>
    <cellStyle name="Обычный 17 2 4 2 6" xfId="13669"/>
    <cellStyle name="Обычный 17 2 4 2 6 2" xfId="13670"/>
    <cellStyle name="Обычный 17 2 4 2 6 3" xfId="13671"/>
    <cellStyle name="Обычный 17 2 4 2 7" xfId="13672"/>
    <cellStyle name="Обычный 17 2 4 2 7 2" xfId="13673"/>
    <cellStyle name="Обычный 17 2 4 2 8" xfId="13674"/>
    <cellStyle name="Обычный 17 2 4 2 9" xfId="13675"/>
    <cellStyle name="Обычный 17 2 4 3" xfId="13676"/>
    <cellStyle name="Обычный 17 2 4 3 2" xfId="13677"/>
    <cellStyle name="Обычный 17 2 4 3 2 2" xfId="13678"/>
    <cellStyle name="Обычный 17 2 4 3 2 2 2" xfId="13679"/>
    <cellStyle name="Обычный 17 2 4 3 2 2 2 2" xfId="13680"/>
    <cellStyle name="Обычный 17 2 4 3 2 2 2 3" xfId="13681"/>
    <cellStyle name="Обычный 17 2 4 3 2 2 3" xfId="13682"/>
    <cellStyle name="Обычный 17 2 4 3 2 2 3 2" xfId="13683"/>
    <cellStyle name="Обычный 17 2 4 3 2 2 3 3" xfId="13684"/>
    <cellStyle name="Обычный 17 2 4 3 2 2 4" xfId="13685"/>
    <cellStyle name="Обычный 17 2 4 3 2 2 4 2" xfId="13686"/>
    <cellStyle name="Обычный 17 2 4 3 2 2 5" xfId="13687"/>
    <cellStyle name="Обычный 17 2 4 3 2 2 6" xfId="13688"/>
    <cellStyle name="Обычный 17 2 4 3 2 3" xfId="13689"/>
    <cellStyle name="Обычный 17 2 4 3 2 3 2" xfId="13690"/>
    <cellStyle name="Обычный 17 2 4 3 2 3 3" xfId="13691"/>
    <cellStyle name="Обычный 17 2 4 3 2 4" xfId="13692"/>
    <cellStyle name="Обычный 17 2 4 3 2 4 2" xfId="13693"/>
    <cellStyle name="Обычный 17 2 4 3 2 4 3" xfId="13694"/>
    <cellStyle name="Обычный 17 2 4 3 2 5" xfId="13695"/>
    <cellStyle name="Обычный 17 2 4 3 2 5 2" xfId="13696"/>
    <cellStyle name="Обычный 17 2 4 3 2 6" xfId="13697"/>
    <cellStyle name="Обычный 17 2 4 3 2 7" xfId="13698"/>
    <cellStyle name="Обычный 17 2 4 3 3" xfId="13699"/>
    <cellStyle name="Обычный 17 2 4 3 3 2" xfId="13700"/>
    <cellStyle name="Обычный 17 2 4 3 3 2 2" xfId="13701"/>
    <cellStyle name="Обычный 17 2 4 3 3 2 3" xfId="13702"/>
    <cellStyle name="Обычный 17 2 4 3 3 3" xfId="13703"/>
    <cellStyle name="Обычный 17 2 4 3 3 3 2" xfId="13704"/>
    <cellStyle name="Обычный 17 2 4 3 3 3 3" xfId="13705"/>
    <cellStyle name="Обычный 17 2 4 3 3 4" xfId="13706"/>
    <cellStyle name="Обычный 17 2 4 3 3 4 2" xfId="13707"/>
    <cellStyle name="Обычный 17 2 4 3 3 5" xfId="13708"/>
    <cellStyle name="Обычный 17 2 4 3 3 6" xfId="13709"/>
    <cellStyle name="Обычный 17 2 4 3 4" xfId="13710"/>
    <cellStyle name="Обычный 17 2 4 3 4 2" xfId="13711"/>
    <cellStyle name="Обычный 17 2 4 3 4 3" xfId="13712"/>
    <cellStyle name="Обычный 17 2 4 3 5" xfId="13713"/>
    <cellStyle name="Обычный 17 2 4 3 5 2" xfId="13714"/>
    <cellStyle name="Обычный 17 2 4 3 5 3" xfId="13715"/>
    <cellStyle name="Обычный 17 2 4 3 6" xfId="13716"/>
    <cellStyle name="Обычный 17 2 4 3 6 2" xfId="13717"/>
    <cellStyle name="Обычный 17 2 4 3 7" xfId="13718"/>
    <cellStyle name="Обычный 17 2 4 3 8" xfId="13719"/>
    <cellStyle name="Обычный 17 2 4 4" xfId="13720"/>
    <cellStyle name="Обычный 17 2 4 4 2" xfId="13721"/>
    <cellStyle name="Обычный 17 2 4 4 2 2" xfId="13722"/>
    <cellStyle name="Обычный 17 2 4 4 2 2 2" xfId="13723"/>
    <cellStyle name="Обычный 17 2 4 4 2 2 3" xfId="13724"/>
    <cellStyle name="Обычный 17 2 4 4 2 3" xfId="13725"/>
    <cellStyle name="Обычный 17 2 4 4 2 3 2" xfId="13726"/>
    <cellStyle name="Обычный 17 2 4 4 2 3 3" xfId="13727"/>
    <cellStyle name="Обычный 17 2 4 4 2 4" xfId="13728"/>
    <cellStyle name="Обычный 17 2 4 4 2 4 2" xfId="13729"/>
    <cellStyle name="Обычный 17 2 4 4 2 5" xfId="13730"/>
    <cellStyle name="Обычный 17 2 4 4 2 6" xfId="13731"/>
    <cellStyle name="Обычный 17 2 4 4 3" xfId="13732"/>
    <cellStyle name="Обычный 17 2 4 4 3 2" xfId="13733"/>
    <cellStyle name="Обычный 17 2 4 4 3 3" xfId="13734"/>
    <cellStyle name="Обычный 17 2 4 4 4" xfId="13735"/>
    <cellStyle name="Обычный 17 2 4 4 4 2" xfId="13736"/>
    <cellStyle name="Обычный 17 2 4 4 4 3" xfId="13737"/>
    <cellStyle name="Обычный 17 2 4 4 5" xfId="13738"/>
    <cellStyle name="Обычный 17 2 4 4 5 2" xfId="13739"/>
    <cellStyle name="Обычный 17 2 4 4 6" xfId="13740"/>
    <cellStyle name="Обычный 17 2 4 4 7" xfId="13741"/>
    <cellStyle name="Обычный 17 2 4 5" xfId="13742"/>
    <cellStyle name="Обычный 17 2 4 5 2" xfId="13743"/>
    <cellStyle name="Обычный 17 2 4 5 2 2" xfId="13744"/>
    <cellStyle name="Обычный 17 2 4 5 2 3" xfId="13745"/>
    <cellStyle name="Обычный 17 2 4 5 3" xfId="13746"/>
    <cellStyle name="Обычный 17 2 4 5 3 2" xfId="13747"/>
    <cellStyle name="Обычный 17 2 4 5 3 3" xfId="13748"/>
    <cellStyle name="Обычный 17 2 4 5 4" xfId="13749"/>
    <cellStyle name="Обычный 17 2 4 5 4 2" xfId="13750"/>
    <cellStyle name="Обычный 17 2 4 5 5" xfId="13751"/>
    <cellStyle name="Обычный 17 2 4 5 6" xfId="13752"/>
    <cellStyle name="Обычный 17 2 4 6" xfId="13753"/>
    <cellStyle name="Обычный 17 2 4 6 2" xfId="13754"/>
    <cellStyle name="Обычный 17 2 4 6 3" xfId="13755"/>
    <cellStyle name="Обычный 17 2 4 7" xfId="13756"/>
    <cellStyle name="Обычный 17 2 4 7 2" xfId="13757"/>
    <cellStyle name="Обычный 17 2 4 7 3" xfId="13758"/>
    <cellStyle name="Обычный 17 2 4 8" xfId="13759"/>
    <cellStyle name="Обычный 17 2 4 8 2" xfId="13760"/>
    <cellStyle name="Обычный 17 2 4 9" xfId="13761"/>
    <cellStyle name="Обычный 17 2 5" xfId="13762"/>
    <cellStyle name="Обычный 17 2 5 2" xfId="13763"/>
    <cellStyle name="Обычный 17 2 5 2 2" xfId="13764"/>
    <cellStyle name="Обычный 17 2 5 2 2 2" xfId="13765"/>
    <cellStyle name="Обычный 17 2 5 2 2 2 2" xfId="13766"/>
    <cellStyle name="Обычный 17 2 5 2 2 2 2 2" xfId="13767"/>
    <cellStyle name="Обычный 17 2 5 2 2 2 2 3" xfId="13768"/>
    <cellStyle name="Обычный 17 2 5 2 2 2 3" xfId="13769"/>
    <cellStyle name="Обычный 17 2 5 2 2 2 3 2" xfId="13770"/>
    <cellStyle name="Обычный 17 2 5 2 2 2 3 3" xfId="13771"/>
    <cellStyle name="Обычный 17 2 5 2 2 2 4" xfId="13772"/>
    <cellStyle name="Обычный 17 2 5 2 2 2 4 2" xfId="13773"/>
    <cellStyle name="Обычный 17 2 5 2 2 2 5" xfId="13774"/>
    <cellStyle name="Обычный 17 2 5 2 2 2 6" xfId="13775"/>
    <cellStyle name="Обычный 17 2 5 2 2 3" xfId="13776"/>
    <cellStyle name="Обычный 17 2 5 2 2 3 2" xfId="13777"/>
    <cellStyle name="Обычный 17 2 5 2 2 3 3" xfId="13778"/>
    <cellStyle name="Обычный 17 2 5 2 2 4" xfId="13779"/>
    <cellStyle name="Обычный 17 2 5 2 2 4 2" xfId="13780"/>
    <cellStyle name="Обычный 17 2 5 2 2 4 3" xfId="13781"/>
    <cellStyle name="Обычный 17 2 5 2 2 5" xfId="13782"/>
    <cellStyle name="Обычный 17 2 5 2 2 5 2" xfId="13783"/>
    <cellStyle name="Обычный 17 2 5 2 2 6" xfId="13784"/>
    <cellStyle name="Обычный 17 2 5 2 2 7" xfId="13785"/>
    <cellStyle name="Обычный 17 2 5 2 3" xfId="13786"/>
    <cellStyle name="Обычный 17 2 5 2 3 2" xfId="13787"/>
    <cellStyle name="Обычный 17 2 5 2 3 2 2" xfId="13788"/>
    <cellStyle name="Обычный 17 2 5 2 3 2 3" xfId="13789"/>
    <cellStyle name="Обычный 17 2 5 2 3 3" xfId="13790"/>
    <cellStyle name="Обычный 17 2 5 2 3 3 2" xfId="13791"/>
    <cellStyle name="Обычный 17 2 5 2 3 3 3" xfId="13792"/>
    <cellStyle name="Обычный 17 2 5 2 3 4" xfId="13793"/>
    <cellStyle name="Обычный 17 2 5 2 3 4 2" xfId="13794"/>
    <cellStyle name="Обычный 17 2 5 2 3 5" xfId="13795"/>
    <cellStyle name="Обычный 17 2 5 2 3 6" xfId="13796"/>
    <cellStyle name="Обычный 17 2 5 2 4" xfId="13797"/>
    <cellStyle name="Обычный 17 2 5 2 4 2" xfId="13798"/>
    <cellStyle name="Обычный 17 2 5 2 4 3" xfId="13799"/>
    <cellStyle name="Обычный 17 2 5 2 5" xfId="13800"/>
    <cellStyle name="Обычный 17 2 5 2 5 2" xfId="13801"/>
    <cellStyle name="Обычный 17 2 5 2 5 3" xfId="13802"/>
    <cellStyle name="Обычный 17 2 5 2 6" xfId="13803"/>
    <cellStyle name="Обычный 17 2 5 2 6 2" xfId="13804"/>
    <cellStyle name="Обычный 17 2 5 2 7" xfId="13805"/>
    <cellStyle name="Обычный 17 2 5 2 8" xfId="13806"/>
    <cellStyle name="Обычный 17 2 5 3" xfId="13807"/>
    <cellStyle name="Обычный 17 2 5 3 2" xfId="13808"/>
    <cellStyle name="Обычный 17 2 5 3 2 2" xfId="13809"/>
    <cellStyle name="Обычный 17 2 5 3 2 2 2" xfId="13810"/>
    <cellStyle name="Обычный 17 2 5 3 2 2 3" xfId="13811"/>
    <cellStyle name="Обычный 17 2 5 3 2 3" xfId="13812"/>
    <cellStyle name="Обычный 17 2 5 3 2 3 2" xfId="13813"/>
    <cellStyle name="Обычный 17 2 5 3 2 3 3" xfId="13814"/>
    <cellStyle name="Обычный 17 2 5 3 2 4" xfId="13815"/>
    <cellStyle name="Обычный 17 2 5 3 2 4 2" xfId="13816"/>
    <cellStyle name="Обычный 17 2 5 3 2 5" xfId="13817"/>
    <cellStyle name="Обычный 17 2 5 3 2 6" xfId="13818"/>
    <cellStyle name="Обычный 17 2 5 3 3" xfId="13819"/>
    <cellStyle name="Обычный 17 2 5 3 3 2" xfId="13820"/>
    <cellStyle name="Обычный 17 2 5 3 3 3" xfId="13821"/>
    <cellStyle name="Обычный 17 2 5 3 4" xfId="13822"/>
    <cellStyle name="Обычный 17 2 5 3 4 2" xfId="13823"/>
    <cellStyle name="Обычный 17 2 5 3 4 3" xfId="13824"/>
    <cellStyle name="Обычный 17 2 5 3 5" xfId="13825"/>
    <cellStyle name="Обычный 17 2 5 3 5 2" xfId="13826"/>
    <cellStyle name="Обычный 17 2 5 3 6" xfId="13827"/>
    <cellStyle name="Обычный 17 2 5 3 7" xfId="13828"/>
    <cellStyle name="Обычный 17 2 5 4" xfId="13829"/>
    <cellStyle name="Обычный 17 2 5 4 2" xfId="13830"/>
    <cellStyle name="Обычный 17 2 5 4 2 2" xfId="13831"/>
    <cellStyle name="Обычный 17 2 5 4 2 3" xfId="13832"/>
    <cellStyle name="Обычный 17 2 5 4 3" xfId="13833"/>
    <cellStyle name="Обычный 17 2 5 4 3 2" xfId="13834"/>
    <cellStyle name="Обычный 17 2 5 4 3 3" xfId="13835"/>
    <cellStyle name="Обычный 17 2 5 4 4" xfId="13836"/>
    <cellStyle name="Обычный 17 2 5 4 4 2" xfId="13837"/>
    <cellStyle name="Обычный 17 2 5 4 5" xfId="13838"/>
    <cellStyle name="Обычный 17 2 5 4 6" xfId="13839"/>
    <cellStyle name="Обычный 17 2 5 5" xfId="13840"/>
    <cellStyle name="Обычный 17 2 5 5 2" xfId="13841"/>
    <cellStyle name="Обычный 17 2 5 5 3" xfId="13842"/>
    <cellStyle name="Обычный 17 2 5 6" xfId="13843"/>
    <cellStyle name="Обычный 17 2 5 6 2" xfId="13844"/>
    <cellStyle name="Обычный 17 2 5 6 3" xfId="13845"/>
    <cellStyle name="Обычный 17 2 5 7" xfId="13846"/>
    <cellStyle name="Обычный 17 2 5 7 2" xfId="13847"/>
    <cellStyle name="Обычный 17 2 5 8" xfId="13848"/>
    <cellStyle name="Обычный 17 2 5 9" xfId="13849"/>
    <cellStyle name="Обычный 17 2 6" xfId="13850"/>
    <cellStyle name="Обычный 17 2 6 2" xfId="13851"/>
    <cellStyle name="Обычный 17 2 6 2 2" xfId="13852"/>
    <cellStyle name="Обычный 17 2 6 2 2 2" xfId="13853"/>
    <cellStyle name="Обычный 17 2 6 2 2 2 2" xfId="13854"/>
    <cellStyle name="Обычный 17 2 6 2 2 2 3" xfId="13855"/>
    <cellStyle name="Обычный 17 2 6 2 2 3" xfId="13856"/>
    <cellStyle name="Обычный 17 2 6 2 2 3 2" xfId="13857"/>
    <cellStyle name="Обычный 17 2 6 2 2 3 3" xfId="13858"/>
    <cellStyle name="Обычный 17 2 6 2 2 4" xfId="13859"/>
    <cellStyle name="Обычный 17 2 6 2 2 4 2" xfId="13860"/>
    <cellStyle name="Обычный 17 2 6 2 2 5" xfId="13861"/>
    <cellStyle name="Обычный 17 2 6 2 2 6" xfId="13862"/>
    <cellStyle name="Обычный 17 2 6 2 3" xfId="13863"/>
    <cellStyle name="Обычный 17 2 6 2 3 2" xfId="13864"/>
    <cellStyle name="Обычный 17 2 6 2 3 3" xfId="13865"/>
    <cellStyle name="Обычный 17 2 6 2 4" xfId="13866"/>
    <cellStyle name="Обычный 17 2 6 2 4 2" xfId="13867"/>
    <cellStyle name="Обычный 17 2 6 2 4 3" xfId="13868"/>
    <cellStyle name="Обычный 17 2 6 2 5" xfId="13869"/>
    <cellStyle name="Обычный 17 2 6 2 5 2" xfId="13870"/>
    <cellStyle name="Обычный 17 2 6 2 6" xfId="13871"/>
    <cellStyle name="Обычный 17 2 6 2 7" xfId="13872"/>
    <cellStyle name="Обычный 17 2 6 3" xfId="13873"/>
    <cellStyle name="Обычный 17 2 6 3 2" xfId="13874"/>
    <cellStyle name="Обычный 17 2 6 3 2 2" xfId="13875"/>
    <cellStyle name="Обычный 17 2 6 3 2 3" xfId="13876"/>
    <cellStyle name="Обычный 17 2 6 3 3" xfId="13877"/>
    <cellStyle name="Обычный 17 2 6 3 3 2" xfId="13878"/>
    <cellStyle name="Обычный 17 2 6 3 3 3" xfId="13879"/>
    <cellStyle name="Обычный 17 2 6 3 4" xfId="13880"/>
    <cellStyle name="Обычный 17 2 6 3 4 2" xfId="13881"/>
    <cellStyle name="Обычный 17 2 6 3 5" xfId="13882"/>
    <cellStyle name="Обычный 17 2 6 3 6" xfId="13883"/>
    <cellStyle name="Обычный 17 2 6 4" xfId="13884"/>
    <cellStyle name="Обычный 17 2 6 4 2" xfId="13885"/>
    <cellStyle name="Обычный 17 2 6 4 3" xfId="13886"/>
    <cellStyle name="Обычный 17 2 6 5" xfId="13887"/>
    <cellStyle name="Обычный 17 2 6 5 2" xfId="13888"/>
    <cellStyle name="Обычный 17 2 6 5 3" xfId="13889"/>
    <cellStyle name="Обычный 17 2 6 6" xfId="13890"/>
    <cellStyle name="Обычный 17 2 6 6 2" xfId="13891"/>
    <cellStyle name="Обычный 17 2 6 7" xfId="13892"/>
    <cellStyle name="Обычный 17 2 6 8" xfId="13893"/>
    <cellStyle name="Обычный 17 2 7" xfId="13894"/>
    <cellStyle name="Обычный 17 2 7 2" xfId="13895"/>
    <cellStyle name="Обычный 17 2 7 2 2" xfId="13896"/>
    <cellStyle name="Обычный 17 2 7 2 2 2" xfId="13897"/>
    <cellStyle name="Обычный 17 2 7 2 2 3" xfId="13898"/>
    <cellStyle name="Обычный 17 2 7 2 3" xfId="13899"/>
    <cellStyle name="Обычный 17 2 7 2 3 2" xfId="13900"/>
    <cellStyle name="Обычный 17 2 7 2 3 3" xfId="13901"/>
    <cellStyle name="Обычный 17 2 7 2 4" xfId="13902"/>
    <cellStyle name="Обычный 17 2 7 2 4 2" xfId="13903"/>
    <cellStyle name="Обычный 17 2 7 2 5" xfId="13904"/>
    <cellStyle name="Обычный 17 2 7 2 6" xfId="13905"/>
    <cellStyle name="Обычный 17 2 7 3" xfId="13906"/>
    <cellStyle name="Обычный 17 2 7 3 2" xfId="13907"/>
    <cellStyle name="Обычный 17 2 7 3 3" xfId="13908"/>
    <cellStyle name="Обычный 17 2 7 4" xfId="13909"/>
    <cellStyle name="Обычный 17 2 7 4 2" xfId="13910"/>
    <cellStyle name="Обычный 17 2 7 4 3" xfId="13911"/>
    <cellStyle name="Обычный 17 2 7 5" xfId="13912"/>
    <cellStyle name="Обычный 17 2 7 5 2" xfId="13913"/>
    <cellStyle name="Обычный 17 2 7 6" xfId="13914"/>
    <cellStyle name="Обычный 17 2 7 7" xfId="13915"/>
    <cellStyle name="Обычный 17 2 8" xfId="13916"/>
    <cellStyle name="Обычный 17 2 8 2" xfId="13917"/>
    <cellStyle name="Обычный 17 2 8 2 2" xfId="13918"/>
    <cellStyle name="Обычный 17 2 8 2 3" xfId="13919"/>
    <cellStyle name="Обычный 17 2 8 3" xfId="13920"/>
    <cellStyle name="Обычный 17 2 8 3 2" xfId="13921"/>
    <cellStyle name="Обычный 17 2 8 3 3" xfId="13922"/>
    <cellStyle name="Обычный 17 2 8 4" xfId="13923"/>
    <cellStyle name="Обычный 17 2 8 4 2" xfId="13924"/>
    <cellStyle name="Обычный 17 2 8 5" xfId="13925"/>
    <cellStyle name="Обычный 17 2 8 6" xfId="13926"/>
    <cellStyle name="Обычный 17 2 9" xfId="13927"/>
    <cellStyle name="Обычный 17 2 9 2" xfId="13928"/>
    <cellStyle name="Обычный 17 2 9 3" xfId="13929"/>
    <cellStyle name="Обычный 17 3" xfId="13930"/>
    <cellStyle name="Обычный 17 3 10" xfId="13931"/>
    <cellStyle name="Обычный 17 3 2" xfId="13932"/>
    <cellStyle name="Обычный 17 3 2 2" xfId="13933"/>
    <cellStyle name="Обычный 17 3 2 2 2" xfId="13934"/>
    <cellStyle name="Обычный 17 3 2 2 2 2" xfId="13935"/>
    <cellStyle name="Обычный 17 3 2 2 2 2 2" xfId="13936"/>
    <cellStyle name="Обычный 17 3 2 2 2 2 2 2" xfId="13937"/>
    <cellStyle name="Обычный 17 3 2 2 2 2 2 3" xfId="13938"/>
    <cellStyle name="Обычный 17 3 2 2 2 2 3" xfId="13939"/>
    <cellStyle name="Обычный 17 3 2 2 2 2 3 2" xfId="13940"/>
    <cellStyle name="Обычный 17 3 2 2 2 2 3 3" xfId="13941"/>
    <cellStyle name="Обычный 17 3 2 2 2 2 4" xfId="13942"/>
    <cellStyle name="Обычный 17 3 2 2 2 2 4 2" xfId="13943"/>
    <cellStyle name="Обычный 17 3 2 2 2 2 5" xfId="13944"/>
    <cellStyle name="Обычный 17 3 2 2 2 2 6" xfId="13945"/>
    <cellStyle name="Обычный 17 3 2 2 2 3" xfId="13946"/>
    <cellStyle name="Обычный 17 3 2 2 2 3 2" xfId="13947"/>
    <cellStyle name="Обычный 17 3 2 2 2 3 3" xfId="13948"/>
    <cellStyle name="Обычный 17 3 2 2 2 4" xfId="13949"/>
    <cellStyle name="Обычный 17 3 2 2 2 4 2" xfId="13950"/>
    <cellStyle name="Обычный 17 3 2 2 2 4 3" xfId="13951"/>
    <cellStyle name="Обычный 17 3 2 2 2 5" xfId="13952"/>
    <cellStyle name="Обычный 17 3 2 2 2 5 2" xfId="13953"/>
    <cellStyle name="Обычный 17 3 2 2 2 6" xfId="13954"/>
    <cellStyle name="Обычный 17 3 2 2 2 7" xfId="13955"/>
    <cellStyle name="Обычный 17 3 2 2 3" xfId="13956"/>
    <cellStyle name="Обычный 17 3 2 2 3 2" xfId="13957"/>
    <cellStyle name="Обычный 17 3 2 2 3 2 2" xfId="13958"/>
    <cellStyle name="Обычный 17 3 2 2 3 2 3" xfId="13959"/>
    <cellStyle name="Обычный 17 3 2 2 3 3" xfId="13960"/>
    <cellStyle name="Обычный 17 3 2 2 3 3 2" xfId="13961"/>
    <cellStyle name="Обычный 17 3 2 2 3 3 3" xfId="13962"/>
    <cellStyle name="Обычный 17 3 2 2 3 4" xfId="13963"/>
    <cellStyle name="Обычный 17 3 2 2 3 4 2" xfId="13964"/>
    <cellStyle name="Обычный 17 3 2 2 3 5" xfId="13965"/>
    <cellStyle name="Обычный 17 3 2 2 3 6" xfId="13966"/>
    <cellStyle name="Обычный 17 3 2 2 4" xfId="13967"/>
    <cellStyle name="Обычный 17 3 2 2 4 2" xfId="13968"/>
    <cellStyle name="Обычный 17 3 2 2 4 3" xfId="13969"/>
    <cellStyle name="Обычный 17 3 2 2 5" xfId="13970"/>
    <cellStyle name="Обычный 17 3 2 2 5 2" xfId="13971"/>
    <cellStyle name="Обычный 17 3 2 2 5 3" xfId="13972"/>
    <cellStyle name="Обычный 17 3 2 2 6" xfId="13973"/>
    <cellStyle name="Обычный 17 3 2 2 6 2" xfId="13974"/>
    <cellStyle name="Обычный 17 3 2 2 7" xfId="13975"/>
    <cellStyle name="Обычный 17 3 2 2 8" xfId="13976"/>
    <cellStyle name="Обычный 17 3 2 3" xfId="13977"/>
    <cellStyle name="Обычный 17 3 2 3 2" xfId="13978"/>
    <cellStyle name="Обычный 17 3 2 3 2 2" xfId="13979"/>
    <cellStyle name="Обычный 17 3 2 3 2 2 2" xfId="13980"/>
    <cellStyle name="Обычный 17 3 2 3 2 2 3" xfId="13981"/>
    <cellStyle name="Обычный 17 3 2 3 2 3" xfId="13982"/>
    <cellStyle name="Обычный 17 3 2 3 2 3 2" xfId="13983"/>
    <cellStyle name="Обычный 17 3 2 3 2 3 3" xfId="13984"/>
    <cellStyle name="Обычный 17 3 2 3 2 4" xfId="13985"/>
    <cellStyle name="Обычный 17 3 2 3 2 4 2" xfId="13986"/>
    <cellStyle name="Обычный 17 3 2 3 2 5" xfId="13987"/>
    <cellStyle name="Обычный 17 3 2 3 2 6" xfId="13988"/>
    <cellStyle name="Обычный 17 3 2 3 3" xfId="13989"/>
    <cellStyle name="Обычный 17 3 2 3 3 2" xfId="13990"/>
    <cellStyle name="Обычный 17 3 2 3 3 3" xfId="13991"/>
    <cellStyle name="Обычный 17 3 2 3 4" xfId="13992"/>
    <cellStyle name="Обычный 17 3 2 3 4 2" xfId="13993"/>
    <cellStyle name="Обычный 17 3 2 3 4 3" xfId="13994"/>
    <cellStyle name="Обычный 17 3 2 3 5" xfId="13995"/>
    <cellStyle name="Обычный 17 3 2 3 5 2" xfId="13996"/>
    <cellStyle name="Обычный 17 3 2 3 6" xfId="13997"/>
    <cellStyle name="Обычный 17 3 2 3 7" xfId="13998"/>
    <cellStyle name="Обычный 17 3 2 4" xfId="13999"/>
    <cellStyle name="Обычный 17 3 2 4 2" xfId="14000"/>
    <cellStyle name="Обычный 17 3 2 4 2 2" xfId="14001"/>
    <cellStyle name="Обычный 17 3 2 4 2 3" xfId="14002"/>
    <cellStyle name="Обычный 17 3 2 4 3" xfId="14003"/>
    <cellStyle name="Обычный 17 3 2 4 3 2" xfId="14004"/>
    <cellStyle name="Обычный 17 3 2 4 3 3" xfId="14005"/>
    <cellStyle name="Обычный 17 3 2 4 4" xfId="14006"/>
    <cellStyle name="Обычный 17 3 2 4 4 2" xfId="14007"/>
    <cellStyle name="Обычный 17 3 2 4 5" xfId="14008"/>
    <cellStyle name="Обычный 17 3 2 4 6" xfId="14009"/>
    <cellStyle name="Обычный 17 3 2 5" xfId="14010"/>
    <cellStyle name="Обычный 17 3 2 5 2" xfId="14011"/>
    <cellStyle name="Обычный 17 3 2 5 3" xfId="14012"/>
    <cellStyle name="Обычный 17 3 2 6" xfId="14013"/>
    <cellStyle name="Обычный 17 3 2 6 2" xfId="14014"/>
    <cellStyle name="Обычный 17 3 2 6 3" xfId="14015"/>
    <cellStyle name="Обычный 17 3 2 7" xfId="14016"/>
    <cellStyle name="Обычный 17 3 2 7 2" xfId="14017"/>
    <cellStyle name="Обычный 17 3 2 8" xfId="14018"/>
    <cellStyle name="Обычный 17 3 2 9" xfId="14019"/>
    <cellStyle name="Обычный 17 3 3" xfId="14020"/>
    <cellStyle name="Обычный 17 3 3 2" xfId="14021"/>
    <cellStyle name="Обычный 17 3 3 2 2" xfId="14022"/>
    <cellStyle name="Обычный 17 3 3 2 2 2" xfId="14023"/>
    <cellStyle name="Обычный 17 3 3 2 2 2 2" xfId="14024"/>
    <cellStyle name="Обычный 17 3 3 2 2 2 3" xfId="14025"/>
    <cellStyle name="Обычный 17 3 3 2 2 3" xfId="14026"/>
    <cellStyle name="Обычный 17 3 3 2 2 3 2" xfId="14027"/>
    <cellStyle name="Обычный 17 3 3 2 2 3 3" xfId="14028"/>
    <cellStyle name="Обычный 17 3 3 2 2 4" xfId="14029"/>
    <cellStyle name="Обычный 17 3 3 2 2 4 2" xfId="14030"/>
    <cellStyle name="Обычный 17 3 3 2 2 5" xfId="14031"/>
    <cellStyle name="Обычный 17 3 3 2 2 6" xfId="14032"/>
    <cellStyle name="Обычный 17 3 3 2 3" xfId="14033"/>
    <cellStyle name="Обычный 17 3 3 2 3 2" xfId="14034"/>
    <cellStyle name="Обычный 17 3 3 2 3 3" xfId="14035"/>
    <cellStyle name="Обычный 17 3 3 2 4" xfId="14036"/>
    <cellStyle name="Обычный 17 3 3 2 4 2" xfId="14037"/>
    <cellStyle name="Обычный 17 3 3 2 4 3" xfId="14038"/>
    <cellStyle name="Обычный 17 3 3 2 5" xfId="14039"/>
    <cellStyle name="Обычный 17 3 3 2 5 2" xfId="14040"/>
    <cellStyle name="Обычный 17 3 3 2 6" xfId="14041"/>
    <cellStyle name="Обычный 17 3 3 2 7" xfId="14042"/>
    <cellStyle name="Обычный 17 3 3 3" xfId="14043"/>
    <cellStyle name="Обычный 17 3 3 3 2" xfId="14044"/>
    <cellStyle name="Обычный 17 3 3 3 2 2" xfId="14045"/>
    <cellStyle name="Обычный 17 3 3 3 2 3" xfId="14046"/>
    <cellStyle name="Обычный 17 3 3 3 3" xfId="14047"/>
    <cellStyle name="Обычный 17 3 3 3 3 2" xfId="14048"/>
    <cellStyle name="Обычный 17 3 3 3 3 3" xfId="14049"/>
    <cellStyle name="Обычный 17 3 3 3 4" xfId="14050"/>
    <cellStyle name="Обычный 17 3 3 3 4 2" xfId="14051"/>
    <cellStyle name="Обычный 17 3 3 3 5" xfId="14052"/>
    <cellStyle name="Обычный 17 3 3 3 6" xfId="14053"/>
    <cellStyle name="Обычный 17 3 3 4" xfId="14054"/>
    <cellStyle name="Обычный 17 3 3 4 2" xfId="14055"/>
    <cellStyle name="Обычный 17 3 3 4 3" xfId="14056"/>
    <cellStyle name="Обычный 17 3 3 5" xfId="14057"/>
    <cellStyle name="Обычный 17 3 3 5 2" xfId="14058"/>
    <cellStyle name="Обычный 17 3 3 5 3" xfId="14059"/>
    <cellStyle name="Обычный 17 3 3 6" xfId="14060"/>
    <cellStyle name="Обычный 17 3 3 6 2" xfId="14061"/>
    <cellStyle name="Обычный 17 3 3 7" xfId="14062"/>
    <cellStyle name="Обычный 17 3 3 8" xfId="14063"/>
    <cellStyle name="Обычный 17 3 4" xfId="14064"/>
    <cellStyle name="Обычный 17 3 4 2" xfId="14065"/>
    <cellStyle name="Обычный 17 3 4 2 2" xfId="14066"/>
    <cellStyle name="Обычный 17 3 4 2 2 2" xfId="14067"/>
    <cellStyle name="Обычный 17 3 4 2 2 3" xfId="14068"/>
    <cellStyle name="Обычный 17 3 4 2 3" xfId="14069"/>
    <cellStyle name="Обычный 17 3 4 2 3 2" xfId="14070"/>
    <cellStyle name="Обычный 17 3 4 2 3 3" xfId="14071"/>
    <cellStyle name="Обычный 17 3 4 2 4" xfId="14072"/>
    <cellStyle name="Обычный 17 3 4 2 4 2" xfId="14073"/>
    <cellStyle name="Обычный 17 3 4 2 5" xfId="14074"/>
    <cellStyle name="Обычный 17 3 4 2 6" xfId="14075"/>
    <cellStyle name="Обычный 17 3 4 3" xfId="14076"/>
    <cellStyle name="Обычный 17 3 4 3 2" xfId="14077"/>
    <cellStyle name="Обычный 17 3 4 3 3" xfId="14078"/>
    <cellStyle name="Обычный 17 3 4 4" xfId="14079"/>
    <cellStyle name="Обычный 17 3 4 4 2" xfId="14080"/>
    <cellStyle name="Обычный 17 3 4 4 3" xfId="14081"/>
    <cellStyle name="Обычный 17 3 4 5" xfId="14082"/>
    <cellStyle name="Обычный 17 3 4 5 2" xfId="14083"/>
    <cellStyle name="Обычный 17 3 4 6" xfId="14084"/>
    <cellStyle name="Обычный 17 3 4 7" xfId="14085"/>
    <cellStyle name="Обычный 17 3 5" xfId="14086"/>
    <cellStyle name="Обычный 17 3 5 2" xfId="14087"/>
    <cellStyle name="Обычный 17 3 5 2 2" xfId="14088"/>
    <cellStyle name="Обычный 17 3 5 2 3" xfId="14089"/>
    <cellStyle name="Обычный 17 3 5 3" xfId="14090"/>
    <cellStyle name="Обычный 17 3 5 3 2" xfId="14091"/>
    <cellStyle name="Обычный 17 3 5 3 3" xfId="14092"/>
    <cellStyle name="Обычный 17 3 5 4" xfId="14093"/>
    <cellStyle name="Обычный 17 3 5 4 2" xfId="14094"/>
    <cellStyle name="Обычный 17 3 5 5" xfId="14095"/>
    <cellStyle name="Обычный 17 3 5 6" xfId="14096"/>
    <cellStyle name="Обычный 17 3 6" xfId="14097"/>
    <cellStyle name="Обычный 17 3 6 2" xfId="14098"/>
    <cellStyle name="Обычный 17 3 6 3" xfId="14099"/>
    <cellStyle name="Обычный 17 3 7" xfId="14100"/>
    <cellStyle name="Обычный 17 3 7 2" xfId="14101"/>
    <cellStyle name="Обычный 17 3 7 3" xfId="14102"/>
    <cellStyle name="Обычный 17 3 8" xfId="14103"/>
    <cellStyle name="Обычный 17 3 8 2" xfId="14104"/>
    <cellStyle name="Обычный 17 3 9" xfId="14105"/>
    <cellStyle name="Обычный 17 4" xfId="14106"/>
    <cellStyle name="Обычный 17 4 10" xfId="14107"/>
    <cellStyle name="Обычный 17 4 2" xfId="14108"/>
    <cellStyle name="Обычный 17 4 2 2" xfId="14109"/>
    <cellStyle name="Обычный 17 4 2 2 2" xfId="14110"/>
    <cellStyle name="Обычный 17 4 2 2 2 2" xfId="14111"/>
    <cellStyle name="Обычный 17 4 2 2 2 2 2" xfId="14112"/>
    <cellStyle name="Обычный 17 4 2 2 2 2 2 2" xfId="14113"/>
    <cellStyle name="Обычный 17 4 2 2 2 2 2 3" xfId="14114"/>
    <cellStyle name="Обычный 17 4 2 2 2 2 3" xfId="14115"/>
    <cellStyle name="Обычный 17 4 2 2 2 2 3 2" xfId="14116"/>
    <cellStyle name="Обычный 17 4 2 2 2 2 3 3" xfId="14117"/>
    <cellStyle name="Обычный 17 4 2 2 2 2 4" xfId="14118"/>
    <cellStyle name="Обычный 17 4 2 2 2 2 4 2" xfId="14119"/>
    <cellStyle name="Обычный 17 4 2 2 2 2 5" xfId="14120"/>
    <cellStyle name="Обычный 17 4 2 2 2 2 6" xfId="14121"/>
    <cellStyle name="Обычный 17 4 2 2 2 3" xfId="14122"/>
    <cellStyle name="Обычный 17 4 2 2 2 3 2" xfId="14123"/>
    <cellStyle name="Обычный 17 4 2 2 2 3 3" xfId="14124"/>
    <cellStyle name="Обычный 17 4 2 2 2 4" xfId="14125"/>
    <cellStyle name="Обычный 17 4 2 2 2 4 2" xfId="14126"/>
    <cellStyle name="Обычный 17 4 2 2 2 4 3" xfId="14127"/>
    <cellStyle name="Обычный 17 4 2 2 2 5" xfId="14128"/>
    <cellStyle name="Обычный 17 4 2 2 2 5 2" xfId="14129"/>
    <cellStyle name="Обычный 17 4 2 2 2 6" xfId="14130"/>
    <cellStyle name="Обычный 17 4 2 2 2 7" xfId="14131"/>
    <cellStyle name="Обычный 17 4 2 2 3" xfId="14132"/>
    <cellStyle name="Обычный 17 4 2 2 3 2" xfId="14133"/>
    <cellStyle name="Обычный 17 4 2 2 3 2 2" xfId="14134"/>
    <cellStyle name="Обычный 17 4 2 2 3 2 3" xfId="14135"/>
    <cellStyle name="Обычный 17 4 2 2 3 3" xfId="14136"/>
    <cellStyle name="Обычный 17 4 2 2 3 3 2" xfId="14137"/>
    <cellStyle name="Обычный 17 4 2 2 3 3 3" xfId="14138"/>
    <cellStyle name="Обычный 17 4 2 2 3 4" xfId="14139"/>
    <cellStyle name="Обычный 17 4 2 2 3 4 2" xfId="14140"/>
    <cellStyle name="Обычный 17 4 2 2 3 5" xfId="14141"/>
    <cellStyle name="Обычный 17 4 2 2 3 6" xfId="14142"/>
    <cellStyle name="Обычный 17 4 2 2 4" xfId="14143"/>
    <cellStyle name="Обычный 17 4 2 2 4 2" xfId="14144"/>
    <cellStyle name="Обычный 17 4 2 2 4 3" xfId="14145"/>
    <cellStyle name="Обычный 17 4 2 2 5" xfId="14146"/>
    <cellStyle name="Обычный 17 4 2 2 5 2" xfId="14147"/>
    <cellStyle name="Обычный 17 4 2 2 5 3" xfId="14148"/>
    <cellStyle name="Обычный 17 4 2 2 6" xfId="14149"/>
    <cellStyle name="Обычный 17 4 2 2 6 2" xfId="14150"/>
    <cellStyle name="Обычный 17 4 2 2 7" xfId="14151"/>
    <cellStyle name="Обычный 17 4 2 2 8" xfId="14152"/>
    <cellStyle name="Обычный 17 4 2 3" xfId="14153"/>
    <cellStyle name="Обычный 17 4 2 3 2" xfId="14154"/>
    <cellStyle name="Обычный 17 4 2 3 2 2" xfId="14155"/>
    <cellStyle name="Обычный 17 4 2 3 2 2 2" xfId="14156"/>
    <cellStyle name="Обычный 17 4 2 3 2 2 3" xfId="14157"/>
    <cellStyle name="Обычный 17 4 2 3 2 3" xfId="14158"/>
    <cellStyle name="Обычный 17 4 2 3 2 3 2" xfId="14159"/>
    <cellStyle name="Обычный 17 4 2 3 2 3 3" xfId="14160"/>
    <cellStyle name="Обычный 17 4 2 3 2 4" xfId="14161"/>
    <cellStyle name="Обычный 17 4 2 3 2 4 2" xfId="14162"/>
    <cellStyle name="Обычный 17 4 2 3 2 5" xfId="14163"/>
    <cellStyle name="Обычный 17 4 2 3 2 6" xfId="14164"/>
    <cellStyle name="Обычный 17 4 2 3 3" xfId="14165"/>
    <cellStyle name="Обычный 17 4 2 3 3 2" xfId="14166"/>
    <cellStyle name="Обычный 17 4 2 3 3 3" xfId="14167"/>
    <cellStyle name="Обычный 17 4 2 3 4" xfId="14168"/>
    <cellStyle name="Обычный 17 4 2 3 4 2" xfId="14169"/>
    <cellStyle name="Обычный 17 4 2 3 4 3" xfId="14170"/>
    <cellStyle name="Обычный 17 4 2 3 5" xfId="14171"/>
    <cellStyle name="Обычный 17 4 2 3 5 2" xfId="14172"/>
    <cellStyle name="Обычный 17 4 2 3 6" xfId="14173"/>
    <cellStyle name="Обычный 17 4 2 3 7" xfId="14174"/>
    <cellStyle name="Обычный 17 4 2 4" xfId="14175"/>
    <cellStyle name="Обычный 17 4 2 4 2" xfId="14176"/>
    <cellStyle name="Обычный 17 4 2 4 2 2" xfId="14177"/>
    <cellStyle name="Обычный 17 4 2 4 2 3" xfId="14178"/>
    <cellStyle name="Обычный 17 4 2 4 3" xfId="14179"/>
    <cellStyle name="Обычный 17 4 2 4 3 2" xfId="14180"/>
    <cellStyle name="Обычный 17 4 2 4 3 3" xfId="14181"/>
    <cellStyle name="Обычный 17 4 2 4 4" xfId="14182"/>
    <cellStyle name="Обычный 17 4 2 4 4 2" xfId="14183"/>
    <cellStyle name="Обычный 17 4 2 4 5" xfId="14184"/>
    <cellStyle name="Обычный 17 4 2 4 6" xfId="14185"/>
    <cellStyle name="Обычный 17 4 2 5" xfId="14186"/>
    <cellStyle name="Обычный 17 4 2 5 2" xfId="14187"/>
    <cellStyle name="Обычный 17 4 2 5 3" xfId="14188"/>
    <cellStyle name="Обычный 17 4 2 6" xfId="14189"/>
    <cellStyle name="Обычный 17 4 2 6 2" xfId="14190"/>
    <cellStyle name="Обычный 17 4 2 6 3" xfId="14191"/>
    <cellStyle name="Обычный 17 4 2 7" xfId="14192"/>
    <cellStyle name="Обычный 17 4 2 7 2" xfId="14193"/>
    <cellStyle name="Обычный 17 4 2 8" xfId="14194"/>
    <cellStyle name="Обычный 17 4 2 9" xfId="14195"/>
    <cellStyle name="Обычный 17 4 3" xfId="14196"/>
    <cellStyle name="Обычный 17 4 3 2" xfId="14197"/>
    <cellStyle name="Обычный 17 4 3 2 2" xfId="14198"/>
    <cellStyle name="Обычный 17 4 3 2 2 2" xfId="14199"/>
    <cellStyle name="Обычный 17 4 3 2 2 2 2" xfId="14200"/>
    <cellStyle name="Обычный 17 4 3 2 2 2 3" xfId="14201"/>
    <cellStyle name="Обычный 17 4 3 2 2 3" xfId="14202"/>
    <cellStyle name="Обычный 17 4 3 2 2 3 2" xfId="14203"/>
    <cellStyle name="Обычный 17 4 3 2 2 3 3" xfId="14204"/>
    <cellStyle name="Обычный 17 4 3 2 2 4" xfId="14205"/>
    <cellStyle name="Обычный 17 4 3 2 2 4 2" xfId="14206"/>
    <cellStyle name="Обычный 17 4 3 2 2 5" xfId="14207"/>
    <cellStyle name="Обычный 17 4 3 2 2 6" xfId="14208"/>
    <cellStyle name="Обычный 17 4 3 2 3" xfId="14209"/>
    <cellStyle name="Обычный 17 4 3 2 3 2" xfId="14210"/>
    <cellStyle name="Обычный 17 4 3 2 3 3" xfId="14211"/>
    <cellStyle name="Обычный 17 4 3 2 4" xfId="14212"/>
    <cellStyle name="Обычный 17 4 3 2 4 2" xfId="14213"/>
    <cellStyle name="Обычный 17 4 3 2 4 3" xfId="14214"/>
    <cellStyle name="Обычный 17 4 3 2 5" xfId="14215"/>
    <cellStyle name="Обычный 17 4 3 2 5 2" xfId="14216"/>
    <cellStyle name="Обычный 17 4 3 2 6" xfId="14217"/>
    <cellStyle name="Обычный 17 4 3 2 7" xfId="14218"/>
    <cellStyle name="Обычный 17 4 3 3" xfId="14219"/>
    <cellStyle name="Обычный 17 4 3 3 2" xfId="14220"/>
    <cellStyle name="Обычный 17 4 3 3 2 2" xfId="14221"/>
    <cellStyle name="Обычный 17 4 3 3 2 3" xfId="14222"/>
    <cellStyle name="Обычный 17 4 3 3 3" xfId="14223"/>
    <cellStyle name="Обычный 17 4 3 3 3 2" xfId="14224"/>
    <cellStyle name="Обычный 17 4 3 3 3 3" xfId="14225"/>
    <cellStyle name="Обычный 17 4 3 3 4" xfId="14226"/>
    <cellStyle name="Обычный 17 4 3 3 4 2" xfId="14227"/>
    <cellStyle name="Обычный 17 4 3 3 5" xfId="14228"/>
    <cellStyle name="Обычный 17 4 3 3 6" xfId="14229"/>
    <cellStyle name="Обычный 17 4 3 4" xfId="14230"/>
    <cellStyle name="Обычный 17 4 3 4 2" xfId="14231"/>
    <cellStyle name="Обычный 17 4 3 4 3" xfId="14232"/>
    <cellStyle name="Обычный 17 4 3 5" xfId="14233"/>
    <cellStyle name="Обычный 17 4 3 5 2" xfId="14234"/>
    <cellStyle name="Обычный 17 4 3 5 3" xfId="14235"/>
    <cellStyle name="Обычный 17 4 3 6" xfId="14236"/>
    <cellStyle name="Обычный 17 4 3 6 2" xfId="14237"/>
    <cellStyle name="Обычный 17 4 3 7" xfId="14238"/>
    <cellStyle name="Обычный 17 4 3 8" xfId="14239"/>
    <cellStyle name="Обычный 17 4 4" xfId="14240"/>
    <cellStyle name="Обычный 17 4 4 2" xfId="14241"/>
    <cellStyle name="Обычный 17 4 4 2 2" xfId="14242"/>
    <cellStyle name="Обычный 17 4 4 2 2 2" xfId="14243"/>
    <cellStyle name="Обычный 17 4 4 2 2 3" xfId="14244"/>
    <cellStyle name="Обычный 17 4 4 2 3" xfId="14245"/>
    <cellStyle name="Обычный 17 4 4 2 3 2" xfId="14246"/>
    <cellStyle name="Обычный 17 4 4 2 3 3" xfId="14247"/>
    <cellStyle name="Обычный 17 4 4 2 4" xfId="14248"/>
    <cellStyle name="Обычный 17 4 4 2 4 2" xfId="14249"/>
    <cellStyle name="Обычный 17 4 4 2 5" xfId="14250"/>
    <cellStyle name="Обычный 17 4 4 2 6" xfId="14251"/>
    <cellStyle name="Обычный 17 4 4 3" xfId="14252"/>
    <cellStyle name="Обычный 17 4 4 3 2" xfId="14253"/>
    <cellStyle name="Обычный 17 4 4 3 3" xfId="14254"/>
    <cellStyle name="Обычный 17 4 4 4" xfId="14255"/>
    <cellStyle name="Обычный 17 4 4 4 2" xfId="14256"/>
    <cellStyle name="Обычный 17 4 4 4 3" xfId="14257"/>
    <cellStyle name="Обычный 17 4 4 5" xfId="14258"/>
    <cellStyle name="Обычный 17 4 4 5 2" xfId="14259"/>
    <cellStyle name="Обычный 17 4 4 6" xfId="14260"/>
    <cellStyle name="Обычный 17 4 4 7" xfId="14261"/>
    <cellStyle name="Обычный 17 4 5" xfId="14262"/>
    <cellStyle name="Обычный 17 4 5 2" xfId="14263"/>
    <cellStyle name="Обычный 17 4 5 2 2" xfId="14264"/>
    <cellStyle name="Обычный 17 4 5 2 3" xfId="14265"/>
    <cellStyle name="Обычный 17 4 5 3" xfId="14266"/>
    <cellStyle name="Обычный 17 4 5 3 2" xfId="14267"/>
    <cellStyle name="Обычный 17 4 5 3 3" xfId="14268"/>
    <cellStyle name="Обычный 17 4 5 4" xfId="14269"/>
    <cellStyle name="Обычный 17 4 5 4 2" xfId="14270"/>
    <cellStyle name="Обычный 17 4 5 5" xfId="14271"/>
    <cellStyle name="Обычный 17 4 5 6" xfId="14272"/>
    <cellStyle name="Обычный 17 4 6" xfId="14273"/>
    <cellStyle name="Обычный 17 4 6 2" xfId="14274"/>
    <cellStyle name="Обычный 17 4 6 3" xfId="14275"/>
    <cellStyle name="Обычный 17 4 7" xfId="14276"/>
    <cellStyle name="Обычный 17 4 7 2" xfId="14277"/>
    <cellStyle name="Обычный 17 4 7 3" xfId="14278"/>
    <cellStyle name="Обычный 17 4 8" xfId="14279"/>
    <cellStyle name="Обычный 17 4 8 2" xfId="14280"/>
    <cellStyle name="Обычный 17 4 9" xfId="14281"/>
    <cellStyle name="Обычный 17 5" xfId="14282"/>
    <cellStyle name="Обычный 17 5 10" xfId="14283"/>
    <cellStyle name="Обычный 17 5 2" xfId="14284"/>
    <cellStyle name="Обычный 17 5 2 2" xfId="14285"/>
    <cellStyle name="Обычный 17 5 2 2 2" xfId="14286"/>
    <cellStyle name="Обычный 17 5 2 2 2 2" xfId="14287"/>
    <cellStyle name="Обычный 17 5 2 2 2 2 2" xfId="14288"/>
    <cellStyle name="Обычный 17 5 2 2 2 2 2 2" xfId="14289"/>
    <cellStyle name="Обычный 17 5 2 2 2 2 2 3" xfId="14290"/>
    <cellStyle name="Обычный 17 5 2 2 2 2 3" xfId="14291"/>
    <cellStyle name="Обычный 17 5 2 2 2 2 3 2" xfId="14292"/>
    <cellStyle name="Обычный 17 5 2 2 2 2 3 3" xfId="14293"/>
    <cellStyle name="Обычный 17 5 2 2 2 2 4" xfId="14294"/>
    <cellStyle name="Обычный 17 5 2 2 2 2 4 2" xfId="14295"/>
    <cellStyle name="Обычный 17 5 2 2 2 2 5" xfId="14296"/>
    <cellStyle name="Обычный 17 5 2 2 2 2 6" xfId="14297"/>
    <cellStyle name="Обычный 17 5 2 2 2 3" xfId="14298"/>
    <cellStyle name="Обычный 17 5 2 2 2 3 2" xfId="14299"/>
    <cellStyle name="Обычный 17 5 2 2 2 3 3" xfId="14300"/>
    <cellStyle name="Обычный 17 5 2 2 2 4" xfId="14301"/>
    <cellStyle name="Обычный 17 5 2 2 2 4 2" xfId="14302"/>
    <cellStyle name="Обычный 17 5 2 2 2 4 3" xfId="14303"/>
    <cellStyle name="Обычный 17 5 2 2 2 5" xfId="14304"/>
    <cellStyle name="Обычный 17 5 2 2 2 5 2" xfId="14305"/>
    <cellStyle name="Обычный 17 5 2 2 2 6" xfId="14306"/>
    <cellStyle name="Обычный 17 5 2 2 2 7" xfId="14307"/>
    <cellStyle name="Обычный 17 5 2 2 3" xfId="14308"/>
    <cellStyle name="Обычный 17 5 2 2 3 2" xfId="14309"/>
    <cellStyle name="Обычный 17 5 2 2 3 2 2" xfId="14310"/>
    <cellStyle name="Обычный 17 5 2 2 3 2 3" xfId="14311"/>
    <cellStyle name="Обычный 17 5 2 2 3 3" xfId="14312"/>
    <cellStyle name="Обычный 17 5 2 2 3 3 2" xfId="14313"/>
    <cellStyle name="Обычный 17 5 2 2 3 3 3" xfId="14314"/>
    <cellStyle name="Обычный 17 5 2 2 3 4" xfId="14315"/>
    <cellStyle name="Обычный 17 5 2 2 3 4 2" xfId="14316"/>
    <cellStyle name="Обычный 17 5 2 2 3 5" xfId="14317"/>
    <cellStyle name="Обычный 17 5 2 2 3 6" xfId="14318"/>
    <cellStyle name="Обычный 17 5 2 2 4" xfId="14319"/>
    <cellStyle name="Обычный 17 5 2 2 4 2" xfId="14320"/>
    <cellStyle name="Обычный 17 5 2 2 4 3" xfId="14321"/>
    <cellStyle name="Обычный 17 5 2 2 5" xfId="14322"/>
    <cellStyle name="Обычный 17 5 2 2 5 2" xfId="14323"/>
    <cellStyle name="Обычный 17 5 2 2 5 3" xfId="14324"/>
    <cellStyle name="Обычный 17 5 2 2 6" xfId="14325"/>
    <cellStyle name="Обычный 17 5 2 2 6 2" xfId="14326"/>
    <cellStyle name="Обычный 17 5 2 2 7" xfId="14327"/>
    <cellStyle name="Обычный 17 5 2 2 8" xfId="14328"/>
    <cellStyle name="Обычный 17 5 2 3" xfId="14329"/>
    <cellStyle name="Обычный 17 5 2 3 2" xfId="14330"/>
    <cellStyle name="Обычный 17 5 2 3 2 2" xfId="14331"/>
    <cellStyle name="Обычный 17 5 2 3 2 2 2" xfId="14332"/>
    <cellStyle name="Обычный 17 5 2 3 2 2 3" xfId="14333"/>
    <cellStyle name="Обычный 17 5 2 3 2 3" xfId="14334"/>
    <cellStyle name="Обычный 17 5 2 3 2 3 2" xfId="14335"/>
    <cellStyle name="Обычный 17 5 2 3 2 3 3" xfId="14336"/>
    <cellStyle name="Обычный 17 5 2 3 2 4" xfId="14337"/>
    <cellStyle name="Обычный 17 5 2 3 2 4 2" xfId="14338"/>
    <cellStyle name="Обычный 17 5 2 3 2 5" xfId="14339"/>
    <cellStyle name="Обычный 17 5 2 3 2 6" xfId="14340"/>
    <cellStyle name="Обычный 17 5 2 3 3" xfId="14341"/>
    <cellStyle name="Обычный 17 5 2 3 3 2" xfId="14342"/>
    <cellStyle name="Обычный 17 5 2 3 3 3" xfId="14343"/>
    <cellStyle name="Обычный 17 5 2 3 4" xfId="14344"/>
    <cellStyle name="Обычный 17 5 2 3 4 2" xfId="14345"/>
    <cellStyle name="Обычный 17 5 2 3 4 3" xfId="14346"/>
    <cellStyle name="Обычный 17 5 2 3 5" xfId="14347"/>
    <cellStyle name="Обычный 17 5 2 3 5 2" xfId="14348"/>
    <cellStyle name="Обычный 17 5 2 3 6" xfId="14349"/>
    <cellStyle name="Обычный 17 5 2 3 7" xfId="14350"/>
    <cellStyle name="Обычный 17 5 2 4" xfId="14351"/>
    <cellStyle name="Обычный 17 5 2 4 2" xfId="14352"/>
    <cellStyle name="Обычный 17 5 2 4 2 2" xfId="14353"/>
    <cellStyle name="Обычный 17 5 2 4 2 3" xfId="14354"/>
    <cellStyle name="Обычный 17 5 2 4 3" xfId="14355"/>
    <cellStyle name="Обычный 17 5 2 4 3 2" xfId="14356"/>
    <cellStyle name="Обычный 17 5 2 4 3 3" xfId="14357"/>
    <cellStyle name="Обычный 17 5 2 4 4" xfId="14358"/>
    <cellStyle name="Обычный 17 5 2 4 4 2" xfId="14359"/>
    <cellStyle name="Обычный 17 5 2 4 5" xfId="14360"/>
    <cellStyle name="Обычный 17 5 2 4 6" xfId="14361"/>
    <cellStyle name="Обычный 17 5 2 5" xfId="14362"/>
    <cellStyle name="Обычный 17 5 2 5 2" xfId="14363"/>
    <cellStyle name="Обычный 17 5 2 5 3" xfId="14364"/>
    <cellStyle name="Обычный 17 5 2 6" xfId="14365"/>
    <cellStyle name="Обычный 17 5 2 6 2" xfId="14366"/>
    <cellStyle name="Обычный 17 5 2 6 3" xfId="14367"/>
    <cellStyle name="Обычный 17 5 2 7" xfId="14368"/>
    <cellStyle name="Обычный 17 5 2 7 2" xfId="14369"/>
    <cellStyle name="Обычный 17 5 2 8" xfId="14370"/>
    <cellStyle name="Обычный 17 5 2 9" xfId="14371"/>
    <cellStyle name="Обычный 17 5 3" xfId="14372"/>
    <cellStyle name="Обычный 17 5 3 2" xfId="14373"/>
    <cellStyle name="Обычный 17 5 3 2 2" xfId="14374"/>
    <cellStyle name="Обычный 17 5 3 2 2 2" xfId="14375"/>
    <cellStyle name="Обычный 17 5 3 2 2 2 2" xfId="14376"/>
    <cellStyle name="Обычный 17 5 3 2 2 2 3" xfId="14377"/>
    <cellStyle name="Обычный 17 5 3 2 2 3" xfId="14378"/>
    <cellStyle name="Обычный 17 5 3 2 2 3 2" xfId="14379"/>
    <cellStyle name="Обычный 17 5 3 2 2 3 3" xfId="14380"/>
    <cellStyle name="Обычный 17 5 3 2 2 4" xfId="14381"/>
    <cellStyle name="Обычный 17 5 3 2 2 4 2" xfId="14382"/>
    <cellStyle name="Обычный 17 5 3 2 2 5" xfId="14383"/>
    <cellStyle name="Обычный 17 5 3 2 2 6" xfId="14384"/>
    <cellStyle name="Обычный 17 5 3 2 3" xfId="14385"/>
    <cellStyle name="Обычный 17 5 3 2 3 2" xfId="14386"/>
    <cellStyle name="Обычный 17 5 3 2 3 3" xfId="14387"/>
    <cellStyle name="Обычный 17 5 3 2 4" xfId="14388"/>
    <cellStyle name="Обычный 17 5 3 2 4 2" xfId="14389"/>
    <cellStyle name="Обычный 17 5 3 2 4 3" xfId="14390"/>
    <cellStyle name="Обычный 17 5 3 2 5" xfId="14391"/>
    <cellStyle name="Обычный 17 5 3 2 5 2" xfId="14392"/>
    <cellStyle name="Обычный 17 5 3 2 6" xfId="14393"/>
    <cellStyle name="Обычный 17 5 3 2 7" xfId="14394"/>
    <cellStyle name="Обычный 17 5 3 3" xfId="14395"/>
    <cellStyle name="Обычный 17 5 3 3 2" xfId="14396"/>
    <cellStyle name="Обычный 17 5 3 3 2 2" xfId="14397"/>
    <cellStyle name="Обычный 17 5 3 3 2 3" xfId="14398"/>
    <cellStyle name="Обычный 17 5 3 3 3" xfId="14399"/>
    <cellStyle name="Обычный 17 5 3 3 3 2" xfId="14400"/>
    <cellStyle name="Обычный 17 5 3 3 3 3" xfId="14401"/>
    <cellStyle name="Обычный 17 5 3 3 4" xfId="14402"/>
    <cellStyle name="Обычный 17 5 3 3 4 2" xfId="14403"/>
    <cellStyle name="Обычный 17 5 3 3 5" xfId="14404"/>
    <cellStyle name="Обычный 17 5 3 3 6" xfId="14405"/>
    <cellStyle name="Обычный 17 5 3 4" xfId="14406"/>
    <cellStyle name="Обычный 17 5 3 4 2" xfId="14407"/>
    <cellStyle name="Обычный 17 5 3 4 3" xfId="14408"/>
    <cellStyle name="Обычный 17 5 3 5" xfId="14409"/>
    <cellStyle name="Обычный 17 5 3 5 2" xfId="14410"/>
    <cellStyle name="Обычный 17 5 3 5 3" xfId="14411"/>
    <cellStyle name="Обычный 17 5 3 6" xfId="14412"/>
    <cellStyle name="Обычный 17 5 3 6 2" xfId="14413"/>
    <cellStyle name="Обычный 17 5 3 7" xfId="14414"/>
    <cellStyle name="Обычный 17 5 3 8" xfId="14415"/>
    <cellStyle name="Обычный 17 5 4" xfId="14416"/>
    <cellStyle name="Обычный 17 5 4 2" xfId="14417"/>
    <cellStyle name="Обычный 17 5 4 2 2" xfId="14418"/>
    <cellStyle name="Обычный 17 5 4 2 2 2" xfId="14419"/>
    <cellStyle name="Обычный 17 5 4 2 2 3" xfId="14420"/>
    <cellStyle name="Обычный 17 5 4 2 3" xfId="14421"/>
    <cellStyle name="Обычный 17 5 4 2 3 2" xfId="14422"/>
    <cellStyle name="Обычный 17 5 4 2 3 3" xfId="14423"/>
    <cellStyle name="Обычный 17 5 4 2 4" xfId="14424"/>
    <cellStyle name="Обычный 17 5 4 2 4 2" xfId="14425"/>
    <cellStyle name="Обычный 17 5 4 2 5" xfId="14426"/>
    <cellStyle name="Обычный 17 5 4 2 6" xfId="14427"/>
    <cellStyle name="Обычный 17 5 4 3" xfId="14428"/>
    <cellStyle name="Обычный 17 5 4 3 2" xfId="14429"/>
    <cellStyle name="Обычный 17 5 4 3 3" xfId="14430"/>
    <cellStyle name="Обычный 17 5 4 4" xfId="14431"/>
    <cellStyle name="Обычный 17 5 4 4 2" xfId="14432"/>
    <cellStyle name="Обычный 17 5 4 4 3" xfId="14433"/>
    <cellStyle name="Обычный 17 5 4 5" xfId="14434"/>
    <cellStyle name="Обычный 17 5 4 5 2" xfId="14435"/>
    <cellStyle name="Обычный 17 5 4 6" xfId="14436"/>
    <cellStyle name="Обычный 17 5 4 7" xfId="14437"/>
    <cellStyle name="Обычный 17 5 5" xfId="14438"/>
    <cellStyle name="Обычный 17 5 5 2" xfId="14439"/>
    <cellStyle name="Обычный 17 5 5 2 2" xfId="14440"/>
    <cellStyle name="Обычный 17 5 5 2 3" xfId="14441"/>
    <cellStyle name="Обычный 17 5 5 3" xfId="14442"/>
    <cellStyle name="Обычный 17 5 5 3 2" xfId="14443"/>
    <cellStyle name="Обычный 17 5 5 3 3" xfId="14444"/>
    <cellStyle name="Обычный 17 5 5 4" xfId="14445"/>
    <cellStyle name="Обычный 17 5 5 4 2" xfId="14446"/>
    <cellStyle name="Обычный 17 5 5 5" xfId="14447"/>
    <cellStyle name="Обычный 17 5 5 6" xfId="14448"/>
    <cellStyle name="Обычный 17 5 6" xfId="14449"/>
    <cellStyle name="Обычный 17 5 6 2" xfId="14450"/>
    <cellStyle name="Обычный 17 5 6 3" xfId="14451"/>
    <cellStyle name="Обычный 17 5 7" xfId="14452"/>
    <cellStyle name="Обычный 17 5 7 2" xfId="14453"/>
    <cellStyle name="Обычный 17 5 7 3" xfId="14454"/>
    <cellStyle name="Обычный 17 5 8" xfId="14455"/>
    <cellStyle name="Обычный 17 5 8 2" xfId="14456"/>
    <cellStyle name="Обычный 17 5 9" xfId="14457"/>
    <cellStyle name="Обычный 17 6" xfId="14458"/>
    <cellStyle name="Обычный 17 6 2" xfId="14459"/>
    <cellStyle name="Обычный 17 6 2 2" xfId="14460"/>
    <cellStyle name="Обычный 17 6 2 2 2" xfId="14461"/>
    <cellStyle name="Обычный 17 6 2 2 2 2" xfId="14462"/>
    <cellStyle name="Обычный 17 6 2 2 2 2 2" xfId="14463"/>
    <cellStyle name="Обычный 17 6 2 2 2 2 3" xfId="14464"/>
    <cellStyle name="Обычный 17 6 2 2 2 3" xfId="14465"/>
    <cellStyle name="Обычный 17 6 2 2 2 3 2" xfId="14466"/>
    <cellStyle name="Обычный 17 6 2 2 2 3 3" xfId="14467"/>
    <cellStyle name="Обычный 17 6 2 2 2 4" xfId="14468"/>
    <cellStyle name="Обычный 17 6 2 2 2 4 2" xfId="14469"/>
    <cellStyle name="Обычный 17 6 2 2 2 5" xfId="14470"/>
    <cellStyle name="Обычный 17 6 2 2 2 6" xfId="14471"/>
    <cellStyle name="Обычный 17 6 2 2 3" xfId="14472"/>
    <cellStyle name="Обычный 17 6 2 2 3 2" xfId="14473"/>
    <cellStyle name="Обычный 17 6 2 2 3 3" xfId="14474"/>
    <cellStyle name="Обычный 17 6 2 2 4" xfId="14475"/>
    <cellStyle name="Обычный 17 6 2 2 4 2" xfId="14476"/>
    <cellStyle name="Обычный 17 6 2 2 4 3" xfId="14477"/>
    <cellStyle name="Обычный 17 6 2 2 5" xfId="14478"/>
    <cellStyle name="Обычный 17 6 2 2 5 2" xfId="14479"/>
    <cellStyle name="Обычный 17 6 2 2 6" xfId="14480"/>
    <cellStyle name="Обычный 17 6 2 2 7" xfId="14481"/>
    <cellStyle name="Обычный 17 6 2 3" xfId="14482"/>
    <cellStyle name="Обычный 17 6 2 3 2" xfId="14483"/>
    <cellStyle name="Обычный 17 6 2 3 2 2" xfId="14484"/>
    <cellStyle name="Обычный 17 6 2 3 2 3" xfId="14485"/>
    <cellStyle name="Обычный 17 6 2 3 3" xfId="14486"/>
    <cellStyle name="Обычный 17 6 2 3 3 2" xfId="14487"/>
    <cellStyle name="Обычный 17 6 2 3 3 3" xfId="14488"/>
    <cellStyle name="Обычный 17 6 2 3 4" xfId="14489"/>
    <cellStyle name="Обычный 17 6 2 3 4 2" xfId="14490"/>
    <cellStyle name="Обычный 17 6 2 3 5" xfId="14491"/>
    <cellStyle name="Обычный 17 6 2 3 6" xfId="14492"/>
    <cellStyle name="Обычный 17 6 2 4" xfId="14493"/>
    <cellStyle name="Обычный 17 6 2 4 2" xfId="14494"/>
    <cellStyle name="Обычный 17 6 2 4 3" xfId="14495"/>
    <cellStyle name="Обычный 17 6 2 5" xfId="14496"/>
    <cellStyle name="Обычный 17 6 2 5 2" xfId="14497"/>
    <cellStyle name="Обычный 17 6 2 5 3" xfId="14498"/>
    <cellStyle name="Обычный 17 6 2 6" xfId="14499"/>
    <cellStyle name="Обычный 17 6 2 6 2" xfId="14500"/>
    <cellStyle name="Обычный 17 6 2 7" xfId="14501"/>
    <cellStyle name="Обычный 17 6 2 8" xfId="14502"/>
    <cellStyle name="Обычный 17 6 3" xfId="14503"/>
    <cellStyle name="Обычный 17 6 3 2" xfId="14504"/>
    <cellStyle name="Обычный 17 6 3 2 2" xfId="14505"/>
    <cellStyle name="Обычный 17 6 3 2 2 2" xfId="14506"/>
    <cellStyle name="Обычный 17 6 3 2 2 3" xfId="14507"/>
    <cellStyle name="Обычный 17 6 3 2 3" xfId="14508"/>
    <cellStyle name="Обычный 17 6 3 2 3 2" xfId="14509"/>
    <cellStyle name="Обычный 17 6 3 2 3 3" xfId="14510"/>
    <cellStyle name="Обычный 17 6 3 2 4" xfId="14511"/>
    <cellStyle name="Обычный 17 6 3 2 4 2" xfId="14512"/>
    <cellStyle name="Обычный 17 6 3 2 5" xfId="14513"/>
    <cellStyle name="Обычный 17 6 3 2 6" xfId="14514"/>
    <cellStyle name="Обычный 17 6 3 3" xfId="14515"/>
    <cellStyle name="Обычный 17 6 3 3 2" xfId="14516"/>
    <cellStyle name="Обычный 17 6 3 3 3" xfId="14517"/>
    <cellStyle name="Обычный 17 6 3 4" xfId="14518"/>
    <cellStyle name="Обычный 17 6 3 4 2" xfId="14519"/>
    <cellStyle name="Обычный 17 6 3 4 3" xfId="14520"/>
    <cellStyle name="Обычный 17 6 3 5" xfId="14521"/>
    <cellStyle name="Обычный 17 6 3 5 2" xfId="14522"/>
    <cellStyle name="Обычный 17 6 3 6" xfId="14523"/>
    <cellStyle name="Обычный 17 6 3 7" xfId="14524"/>
    <cellStyle name="Обычный 17 6 4" xfId="14525"/>
    <cellStyle name="Обычный 17 6 4 2" xfId="14526"/>
    <cellStyle name="Обычный 17 6 4 2 2" xfId="14527"/>
    <cellStyle name="Обычный 17 6 4 2 3" xfId="14528"/>
    <cellStyle name="Обычный 17 6 4 3" xfId="14529"/>
    <cellStyle name="Обычный 17 6 4 3 2" xfId="14530"/>
    <cellStyle name="Обычный 17 6 4 3 3" xfId="14531"/>
    <cellStyle name="Обычный 17 6 4 4" xfId="14532"/>
    <cellStyle name="Обычный 17 6 4 4 2" xfId="14533"/>
    <cellStyle name="Обычный 17 6 4 5" xfId="14534"/>
    <cellStyle name="Обычный 17 6 4 6" xfId="14535"/>
    <cellStyle name="Обычный 17 6 5" xfId="14536"/>
    <cellStyle name="Обычный 17 6 5 2" xfId="14537"/>
    <cellStyle name="Обычный 17 6 5 3" xfId="14538"/>
    <cellStyle name="Обычный 17 6 6" xfId="14539"/>
    <cellStyle name="Обычный 17 6 6 2" xfId="14540"/>
    <cellStyle name="Обычный 17 6 6 3" xfId="14541"/>
    <cellStyle name="Обычный 17 6 7" xfId="14542"/>
    <cellStyle name="Обычный 17 6 7 2" xfId="14543"/>
    <cellStyle name="Обычный 17 6 8" xfId="14544"/>
    <cellStyle name="Обычный 17 6 9" xfId="14545"/>
    <cellStyle name="Обычный 17 7" xfId="14546"/>
    <cellStyle name="Обычный 17 7 2" xfId="14547"/>
    <cellStyle name="Обычный 17 7 2 2" xfId="14548"/>
    <cellStyle name="Обычный 17 7 2 2 2" xfId="14549"/>
    <cellStyle name="Обычный 17 7 2 2 2 2" xfId="14550"/>
    <cellStyle name="Обычный 17 7 2 2 2 3" xfId="14551"/>
    <cellStyle name="Обычный 17 7 2 2 3" xfId="14552"/>
    <cellStyle name="Обычный 17 7 2 2 3 2" xfId="14553"/>
    <cellStyle name="Обычный 17 7 2 2 3 3" xfId="14554"/>
    <cellStyle name="Обычный 17 7 2 2 4" xfId="14555"/>
    <cellStyle name="Обычный 17 7 2 2 4 2" xfId="14556"/>
    <cellStyle name="Обычный 17 7 2 2 5" xfId="14557"/>
    <cellStyle name="Обычный 17 7 2 2 6" xfId="14558"/>
    <cellStyle name="Обычный 17 7 2 3" xfId="14559"/>
    <cellStyle name="Обычный 17 7 2 3 2" xfId="14560"/>
    <cellStyle name="Обычный 17 7 2 3 3" xfId="14561"/>
    <cellStyle name="Обычный 17 7 2 4" xfId="14562"/>
    <cellStyle name="Обычный 17 7 2 4 2" xfId="14563"/>
    <cellStyle name="Обычный 17 7 2 4 3" xfId="14564"/>
    <cellStyle name="Обычный 17 7 2 5" xfId="14565"/>
    <cellStyle name="Обычный 17 7 2 5 2" xfId="14566"/>
    <cellStyle name="Обычный 17 7 2 6" xfId="14567"/>
    <cellStyle name="Обычный 17 7 2 7" xfId="14568"/>
    <cellStyle name="Обычный 17 7 3" xfId="14569"/>
    <cellStyle name="Обычный 17 7 3 2" xfId="14570"/>
    <cellStyle name="Обычный 17 7 3 2 2" xfId="14571"/>
    <cellStyle name="Обычный 17 7 3 2 3" xfId="14572"/>
    <cellStyle name="Обычный 17 7 3 3" xfId="14573"/>
    <cellStyle name="Обычный 17 7 3 3 2" xfId="14574"/>
    <cellStyle name="Обычный 17 7 3 3 3" xfId="14575"/>
    <cellStyle name="Обычный 17 7 3 4" xfId="14576"/>
    <cellStyle name="Обычный 17 7 3 4 2" xfId="14577"/>
    <cellStyle name="Обычный 17 7 3 5" xfId="14578"/>
    <cellStyle name="Обычный 17 7 3 6" xfId="14579"/>
    <cellStyle name="Обычный 17 7 4" xfId="14580"/>
    <cellStyle name="Обычный 17 7 4 2" xfId="14581"/>
    <cellStyle name="Обычный 17 7 4 3" xfId="14582"/>
    <cellStyle name="Обычный 17 7 5" xfId="14583"/>
    <cellStyle name="Обычный 17 7 5 2" xfId="14584"/>
    <cellStyle name="Обычный 17 7 5 3" xfId="14585"/>
    <cellStyle name="Обычный 17 7 6" xfId="14586"/>
    <cellStyle name="Обычный 17 7 6 2" xfId="14587"/>
    <cellStyle name="Обычный 17 7 7" xfId="14588"/>
    <cellStyle name="Обычный 17 7 8" xfId="14589"/>
    <cellStyle name="Обычный 17 8" xfId="14590"/>
    <cellStyle name="Обычный 17 8 2" xfId="14591"/>
    <cellStyle name="Обычный 17 8 2 2" xfId="14592"/>
    <cellStyle name="Обычный 17 8 2 2 2" xfId="14593"/>
    <cellStyle name="Обычный 17 8 2 2 3" xfId="14594"/>
    <cellStyle name="Обычный 17 8 2 3" xfId="14595"/>
    <cellStyle name="Обычный 17 8 2 3 2" xfId="14596"/>
    <cellStyle name="Обычный 17 8 2 3 3" xfId="14597"/>
    <cellStyle name="Обычный 17 8 2 4" xfId="14598"/>
    <cellStyle name="Обычный 17 8 2 4 2" xfId="14599"/>
    <cellStyle name="Обычный 17 8 2 5" xfId="14600"/>
    <cellStyle name="Обычный 17 8 2 6" xfId="14601"/>
    <cellStyle name="Обычный 17 8 3" xfId="14602"/>
    <cellStyle name="Обычный 17 8 3 2" xfId="14603"/>
    <cellStyle name="Обычный 17 8 3 3" xfId="14604"/>
    <cellStyle name="Обычный 17 8 4" xfId="14605"/>
    <cellStyle name="Обычный 17 8 4 2" xfId="14606"/>
    <cellStyle name="Обычный 17 8 4 3" xfId="14607"/>
    <cellStyle name="Обычный 17 8 5" xfId="14608"/>
    <cellStyle name="Обычный 17 8 5 2" xfId="14609"/>
    <cellStyle name="Обычный 17 8 6" xfId="14610"/>
    <cellStyle name="Обычный 17 8 7" xfId="14611"/>
    <cellStyle name="Обычный 17 9" xfId="14612"/>
    <cellStyle name="Обычный 17 9 2" xfId="14613"/>
    <cellStyle name="Обычный 17 9 2 2" xfId="14614"/>
    <cellStyle name="Обычный 17 9 2 3" xfId="14615"/>
    <cellStyle name="Обычный 17 9 3" xfId="14616"/>
    <cellStyle name="Обычный 17 9 3 2" xfId="14617"/>
    <cellStyle name="Обычный 17 9 3 3" xfId="14618"/>
    <cellStyle name="Обычный 17 9 4" xfId="14619"/>
    <cellStyle name="Обычный 17 9 4 2" xfId="14620"/>
    <cellStyle name="Обычный 17 9 5" xfId="14621"/>
    <cellStyle name="Обычный 17 9 6" xfId="14622"/>
    <cellStyle name="Обычный 18" xfId="14623"/>
    <cellStyle name="Обычный 18 10" xfId="14624"/>
    <cellStyle name="Обычный 18 2" xfId="14625"/>
    <cellStyle name="Обычный 18 2 2" xfId="14626"/>
    <cellStyle name="Обычный 18 2 2 2" xfId="14627"/>
    <cellStyle name="Обычный 18 2 2 2 2" xfId="14628"/>
    <cellStyle name="Обычный 18 2 2 2 2 2" xfId="14629"/>
    <cellStyle name="Обычный 18 2 2 2 2 3" xfId="14630"/>
    <cellStyle name="Обычный 18 2 2 2 3" xfId="14631"/>
    <cellStyle name="Обычный 18 2 2 2 3 2" xfId="14632"/>
    <cellStyle name="Обычный 18 2 2 2 3 3" xfId="14633"/>
    <cellStyle name="Обычный 18 2 2 2 4" xfId="14634"/>
    <cellStyle name="Обычный 18 2 2 2 4 2" xfId="14635"/>
    <cellStyle name="Обычный 18 2 2 2 5" xfId="14636"/>
    <cellStyle name="Обычный 18 2 2 2 6" xfId="14637"/>
    <cellStyle name="Обычный 18 2 2 3" xfId="14638"/>
    <cellStyle name="Обычный 18 2 2 3 2" xfId="14639"/>
    <cellStyle name="Обычный 18 2 2 3 3" xfId="14640"/>
    <cellStyle name="Обычный 18 2 2 4" xfId="14641"/>
    <cellStyle name="Обычный 18 2 2 4 2" xfId="14642"/>
    <cellStyle name="Обычный 18 2 2 4 3" xfId="14643"/>
    <cellStyle name="Обычный 18 2 2 5" xfId="14644"/>
    <cellStyle name="Обычный 18 2 2 5 2" xfId="14645"/>
    <cellStyle name="Обычный 18 2 2 6" xfId="14646"/>
    <cellStyle name="Обычный 18 2 2 7" xfId="14647"/>
    <cellStyle name="Обычный 18 2 3" xfId="14648"/>
    <cellStyle name="Обычный 18 2 3 2" xfId="14649"/>
    <cellStyle name="Обычный 18 2 3 2 2" xfId="14650"/>
    <cellStyle name="Обычный 18 2 3 2 3" xfId="14651"/>
    <cellStyle name="Обычный 18 2 3 3" xfId="14652"/>
    <cellStyle name="Обычный 18 2 3 3 2" xfId="14653"/>
    <cellStyle name="Обычный 18 2 3 3 3" xfId="14654"/>
    <cellStyle name="Обычный 18 2 3 4" xfId="14655"/>
    <cellStyle name="Обычный 18 2 3 4 2" xfId="14656"/>
    <cellStyle name="Обычный 18 2 3 5" xfId="14657"/>
    <cellStyle name="Обычный 18 2 3 6" xfId="14658"/>
    <cellStyle name="Обычный 18 2 4" xfId="14659"/>
    <cellStyle name="Обычный 18 2 4 2" xfId="14660"/>
    <cellStyle name="Обычный 18 2 4 3" xfId="14661"/>
    <cellStyle name="Обычный 18 2 5" xfId="14662"/>
    <cellStyle name="Обычный 18 2 5 2" xfId="14663"/>
    <cellStyle name="Обычный 18 2 5 3" xfId="14664"/>
    <cellStyle name="Обычный 18 2 6" xfId="14665"/>
    <cellStyle name="Обычный 18 2 6 2" xfId="14666"/>
    <cellStyle name="Обычный 18 2 7" xfId="14667"/>
    <cellStyle name="Обычный 18 2 8" xfId="14668"/>
    <cellStyle name="Обычный 18 3" xfId="14669"/>
    <cellStyle name="Обычный 18 3 2" xfId="14670"/>
    <cellStyle name="Обычный 18 3 2 2" xfId="14671"/>
    <cellStyle name="Обычный 18 3 2 2 2" xfId="14672"/>
    <cellStyle name="Обычный 18 3 2 2 3" xfId="14673"/>
    <cellStyle name="Обычный 18 3 2 3" xfId="14674"/>
    <cellStyle name="Обычный 18 3 2 3 2" xfId="14675"/>
    <cellStyle name="Обычный 18 3 2 3 3" xfId="14676"/>
    <cellStyle name="Обычный 18 3 2 4" xfId="14677"/>
    <cellStyle name="Обычный 18 3 2 4 2" xfId="14678"/>
    <cellStyle name="Обычный 18 3 2 5" xfId="14679"/>
    <cellStyle name="Обычный 18 3 2 6" xfId="14680"/>
    <cellStyle name="Обычный 18 3 3" xfId="14681"/>
    <cellStyle name="Обычный 18 3 3 2" xfId="14682"/>
    <cellStyle name="Обычный 18 3 3 3" xfId="14683"/>
    <cellStyle name="Обычный 18 3 4" xfId="14684"/>
    <cellStyle name="Обычный 18 3 4 2" xfId="14685"/>
    <cellStyle name="Обычный 18 3 4 3" xfId="14686"/>
    <cellStyle name="Обычный 18 3 5" xfId="14687"/>
    <cellStyle name="Обычный 18 3 5 2" xfId="14688"/>
    <cellStyle name="Обычный 18 3 6" xfId="14689"/>
    <cellStyle name="Обычный 18 3 7" xfId="14690"/>
    <cellStyle name="Обычный 18 4" xfId="14691"/>
    <cellStyle name="Обычный 18 4 2" xfId="14692"/>
    <cellStyle name="Обычный 18 4 2 2" xfId="14693"/>
    <cellStyle name="Обычный 18 4 2 3" xfId="14694"/>
    <cellStyle name="Обычный 18 4 3" xfId="14695"/>
    <cellStyle name="Обычный 18 4 3 2" xfId="14696"/>
    <cellStyle name="Обычный 18 4 3 3" xfId="14697"/>
    <cellStyle name="Обычный 18 4 4" xfId="14698"/>
    <cellStyle name="Обычный 18 4 4 2" xfId="14699"/>
    <cellStyle name="Обычный 18 4 5" xfId="14700"/>
    <cellStyle name="Обычный 18 4 6" xfId="14701"/>
    <cellStyle name="Обычный 18 5" xfId="14702"/>
    <cellStyle name="Обычный 18 5 2" xfId="14703"/>
    <cellStyle name="Обычный 18 5 3" xfId="14704"/>
    <cellStyle name="Обычный 18 6" xfId="14705"/>
    <cellStyle name="Обычный 18 6 2" xfId="14706"/>
    <cellStyle name="Обычный 18 6 3" xfId="14707"/>
    <cellStyle name="Обычный 18 7" xfId="14708"/>
    <cellStyle name="Обычный 18 7 2" xfId="14709"/>
    <cellStyle name="Обычный 18 8" xfId="14710"/>
    <cellStyle name="Обычный 18 9" xfId="14711"/>
    <cellStyle name="Обычный 19" xfId="14712"/>
    <cellStyle name="Обычный 19 2" xfId="14713"/>
    <cellStyle name="Обычный 2" xfId="14714"/>
    <cellStyle name="Обычный 2 10" xfId="14715"/>
    <cellStyle name="Обычный 2 10 2" xfId="14716"/>
    <cellStyle name="Обычный 2 2" xfId="14717"/>
    <cellStyle name="Обычный 2 2 2" xfId="14718"/>
    <cellStyle name="Обычный 2 3" xfId="14719"/>
    <cellStyle name="Обычный 2 4" xfId="14720"/>
    <cellStyle name="Обычный 2 5" xfId="14721"/>
    <cellStyle name="Обычный 2 6" xfId="14722"/>
    <cellStyle name="Обычный 2 7" xfId="14723"/>
    <cellStyle name="Обычный 2 8" xfId="14724"/>
    <cellStyle name="Обычный 2 9" xfId="14725"/>
    <cellStyle name="Обычный 2_94 УБ" xfId="14726"/>
    <cellStyle name="Обычный 20" xfId="14727"/>
    <cellStyle name="Обычный 20 2" xfId="14728"/>
    <cellStyle name="Обычный 20 3" xfId="14729"/>
    <cellStyle name="Обычный 21" xfId="14730"/>
    <cellStyle name="Обычный 21 2" xfId="14731"/>
    <cellStyle name="Обычный 21 3" xfId="14732"/>
    <cellStyle name="Обычный 22" xfId="14733"/>
    <cellStyle name="Обычный 23" xfId="14734"/>
    <cellStyle name="Обычный 24" xfId="14735"/>
    <cellStyle name="Обычный 25" xfId="14736"/>
    <cellStyle name="Обычный 26" xfId="14737"/>
    <cellStyle name="Обычный 26 2" xfId="14738"/>
    <cellStyle name="Обычный 27" xfId="14739"/>
    <cellStyle name="Обычный 27 2" xfId="14740"/>
    <cellStyle name="Обычный 27 3" xfId="14741"/>
    <cellStyle name="Обычный 28" xfId="14742"/>
    <cellStyle name="Обычный 28 2" xfId="14743"/>
    <cellStyle name="Обычный 3" xfId="14744"/>
    <cellStyle name="Обычный 3 2" xfId="14745"/>
    <cellStyle name="Обычный 3 2 2" xfId="14746"/>
    <cellStyle name="Обычный 3 2 3" xfId="14747"/>
    <cellStyle name="Обычный 3 2 4" xfId="14748"/>
    <cellStyle name="Обычный 3 2 5" xfId="14749"/>
    <cellStyle name="Обычный 3 3" xfId="14750"/>
    <cellStyle name="Обычный 3 3 2" xfId="14751"/>
    <cellStyle name="Обычный 3 4" xfId="14752"/>
    <cellStyle name="Обычный 3 5" xfId="14753"/>
    <cellStyle name="Обычный 3 6" xfId="14754"/>
    <cellStyle name="Обычный 4" xfId="14755"/>
    <cellStyle name="Обычный 4 2" xfId="14756"/>
    <cellStyle name="Обычный 4 2 2" xfId="14757"/>
    <cellStyle name="Обычный 5" xfId="14758"/>
    <cellStyle name="Обычный 5 2" xfId="14759"/>
    <cellStyle name="Обычный 5 2 2" xfId="14760"/>
    <cellStyle name="Обычный 5 2 3" xfId="14761"/>
    <cellStyle name="Обычный 5 3" xfId="14762"/>
    <cellStyle name="Обычный 5 3 2" xfId="14763"/>
    <cellStyle name="Обычный 5 4" xfId="14764"/>
    <cellStyle name="Обычный 6" xfId="14765"/>
    <cellStyle name="Обычный 6 10" xfId="14766"/>
    <cellStyle name="Обычный 6 10 10" xfId="14767"/>
    <cellStyle name="Обычный 6 10 2" xfId="14768"/>
    <cellStyle name="Обычный 6 10 2 2" xfId="14769"/>
    <cellStyle name="Обычный 6 10 2 2 2" xfId="14770"/>
    <cellStyle name="Обычный 6 10 2 2 2 2" xfId="14771"/>
    <cellStyle name="Обычный 6 10 2 2 2 2 2" xfId="14772"/>
    <cellStyle name="Обычный 6 10 2 2 2 2 2 2" xfId="14773"/>
    <cellStyle name="Обычный 6 10 2 2 2 2 2 3" xfId="14774"/>
    <cellStyle name="Обычный 6 10 2 2 2 2 3" xfId="14775"/>
    <cellStyle name="Обычный 6 10 2 2 2 2 3 2" xfId="14776"/>
    <cellStyle name="Обычный 6 10 2 2 2 2 3 3" xfId="14777"/>
    <cellStyle name="Обычный 6 10 2 2 2 2 4" xfId="14778"/>
    <cellStyle name="Обычный 6 10 2 2 2 2 4 2" xfId="14779"/>
    <cellStyle name="Обычный 6 10 2 2 2 2 5" xfId="14780"/>
    <cellStyle name="Обычный 6 10 2 2 2 2 6" xfId="14781"/>
    <cellStyle name="Обычный 6 10 2 2 2 3" xfId="14782"/>
    <cellStyle name="Обычный 6 10 2 2 2 3 2" xfId="14783"/>
    <cellStyle name="Обычный 6 10 2 2 2 3 3" xfId="14784"/>
    <cellStyle name="Обычный 6 10 2 2 2 4" xfId="14785"/>
    <cellStyle name="Обычный 6 10 2 2 2 4 2" xfId="14786"/>
    <cellStyle name="Обычный 6 10 2 2 2 4 3" xfId="14787"/>
    <cellStyle name="Обычный 6 10 2 2 2 5" xfId="14788"/>
    <cellStyle name="Обычный 6 10 2 2 2 5 2" xfId="14789"/>
    <cellStyle name="Обычный 6 10 2 2 2 6" xfId="14790"/>
    <cellStyle name="Обычный 6 10 2 2 2 7" xfId="14791"/>
    <cellStyle name="Обычный 6 10 2 2 3" xfId="14792"/>
    <cellStyle name="Обычный 6 10 2 2 3 2" xfId="14793"/>
    <cellStyle name="Обычный 6 10 2 2 3 2 2" xfId="14794"/>
    <cellStyle name="Обычный 6 10 2 2 3 2 3" xfId="14795"/>
    <cellStyle name="Обычный 6 10 2 2 3 3" xfId="14796"/>
    <cellStyle name="Обычный 6 10 2 2 3 3 2" xfId="14797"/>
    <cellStyle name="Обычный 6 10 2 2 3 3 3" xfId="14798"/>
    <cellStyle name="Обычный 6 10 2 2 3 4" xfId="14799"/>
    <cellStyle name="Обычный 6 10 2 2 3 4 2" xfId="14800"/>
    <cellStyle name="Обычный 6 10 2 2 3 5" xfId="14801"/>
    <cellStyle name="Обычный 6 10 2 2 3 6" xfId="14802"/>
    <cellStyle name="Обычный 6 10 2 2 4" xfId="14803"/>
    <cellStyle name="Обычный 6 10 2 2 4 2" xfId="14804"/>
    <cellStyle name="Обычный 6 10 2 2 4 3" xfId="14805"/>
    <cellStyle name="Обычный 6 10 2 2 5" xfId="14806"/>
    <cellStyle name="Обычный 6 10 2 2 5 2" xfId="14807"/>
    <cellStyle name="Обычный 6 10 2 2 5 3" xfId="14808"/>
    <cellStyle name="Обычный 6 10 2 2 6" xfId="14809"/>
    <cellStyle name="Обычный 6 10 2 2 6 2" xfId="14810"/>
    <cellStyle name="Обычный 6 10 2 2 7" xfId="14811"/>
    <cellStyle name="Обычный 6 10 2 2 8" xfId="14812"/>
    <cellStyle name="Обычный 6 10 2 3" xfId="14813"/>
    <cellStyle name="Обычный 6 10 2 3 2" xfId="14814"/>
    <cellStyle name="Обычный 6 10 2 3 2 2" xfId="14815"/>
    <cellStyle name="Обычный 6 10 2 3 2 2 2" xfId="14816"/>
    <cellStyle name="Обычный 6 10 2 3 2 2 3" xfId="14817"/>
    <cellStyle name="Обычный 6 10 2 3 2 3" xfId="14818"/>
    <cellStyle name="Обычный 6 10 2 3 2 3 2" xfId="14819"/>
    <cellStyle name="Обычный 6 10 2 3 2 3 3" xfId="14820"/>
    <cellStyle name="Обычный 6 10 2 3 2 4" xfId="14821"/>
    <cellStyle name="Обычный 6 10 2 3 2 4 2" xfId="14822"/>
    <cellStyle name="Обычный 6 10 2 3 2 5" xfId="14823"/>
    <cellStyle name="Обычный 6 10 2 3 2 6" xfId="14824"/>
    <cellStyle name="Обычный 6 10 2 3 3" xfId="14825"/>
    <cellStyle name="Обычный 6 10 2 3 3 2" xfId="14826"/>
    <cellStyle name="Обычный 6 10 2 3 3 3" xfId="14827"/>
    <cellStyle name="Обычный 6 10 2 3 4" xfId="14828"/>
    <cellStyle name="Обычный 6 10 2 3 4 2" xfId="14829"/>
    <cellStyle name="Обычный 6 10 2 3 4 3" xfId="14830"/>
    <cellStyle name="Обычный 6 10 2 3 5" xfId="14831"/>
    <cellStyle name="Обычный 6 10 2 3 5 2" xfId="14832"/>
    <cellStyle name="Обычный 6 10 2 3 6" xfId="14833"/>
    <cellStyle name="Обычный 6 10 2 3 7" xfId="14834"/>
    <cellStyle name="Обычный 6 10 2 4" xfId="14835"/>
    <cellStyle name="Обычный 6 10 2 4 2" xfId="14836"/>
    <cellStyle name="Обычный 6 10 2 4 2 2" xfId="14837"/>
    <cellStyle name="Обычный 6 10 2 4 2 3" xfId="14838"/>
    <cellStyle name="Обычный 6 10 2 4 3" xfId="14839"/>
    <cellStyle name="Обычный 6 10 2 4 3 2" xfId="14840"/>
    <cellStyle name="Обычный 6 10 2 4 3 3" xfId="14841"/>
    <cellStyle name="Обычный 6 10 2 4 4" xfId="14842"/>
    <cellStyle name="Обычный 6 10 2 4 4 2" xfId="14843"/>
    <cellStyle name="Обычный 6 10 2 4 5" xfId="14844"/>
    <cellStyle name="Обычный 6 10 2 4 6" xfId="14845"/>
    <cellStyle name="Обычный 6 10 2 5" xfId="14846"/>
    <cellStyle name="Обычный 6 10 2 5 2" xfId="14847"/>
    <cellStyle name="Обычный 6 10 2 5 3" xfId="14848"/>
    <cellStyle name="Обычный 6 10 2 6" xfId="14849"/>
    <cellStyle name="Обычный 6 10 2 6 2" xfId="14850"/>
    <cellStyle name="Обычный 6 10 2 6 3" xfId="14851"/>
    <cellStyle name="Обычный 6 10 2 7" xfId="14852"/>
    <cellStyle name="Обычный 6 10 2 7 2" xfId="14853"/>
    <cellStyle name="Обычный 6 10 2 8" xfId="14854"/>
    <cellStyle name="Обычный 6 10 2 9" xfId="14855"/>
    <cellStyle name="Обычный 6 10 3" xfId="14856"/>
    <cellStyle name="Обычный 6 10 3 2" xfId="14857"/>
    <cellStyle name="Обычный 6 10 3 2 2" xfId="14858"/>
    <cellStyle name="Обычный 6 10 3 2 2 2" xfId="14859"/>
    <cellStyle name="Обычный 6 10 3 2 2 2 2" xfId="14860"/>
    <cellStyle name="Обычный 6 10 3 2 2 2 3" xfId="14861"/>
    <cellStyle name="Обычный 6 10 3 2 2 3" xfId="14862"/>
    <cellStyle name="Обычный 6 10 3 2 2 3 2" xfId="14863"/>
    <cellStyle name="Обычный 6 10 3 2 2 3 3" xfId="14864"/>
    <cellStyle name="Обычный 6 10 3 2 2 4" xfId="14865"/>
    <cellStyle name="Обычный 6 10 3 2 2 4 2" xfId="14866"/>
    <cellStyle name="Обычный 6 10 3 2 2 5" xfId="14867"/>
    <cellStyle name="Обычный 6 10 3 2 2 6" xfId="14868"/>
    <cellStyle name="Обычный 6 10 3 2 3" xfId="14869"/>
    <cellStyle name="Обычный 6 10 3 2 3 2" xfId="14870"/>
    <cellStyle name="Обычный 6 10 3 2 3 3" xfId="14871"/>
    <cellStyle name="Обычный 6 10 3 2 4" xfId="14872"/>
    <cellStyle name="Обычный 6 10 3 2 4 2" xfId="14873"/>
    <cellStyle name="Обычный 6 10 3 2 4 3" xfId="14874"/>
    <cellStyle name="Обычный 6 10 3 2 5" xfId="14875"/>
    <cellStyle name="Обычный 6 10 3 2 5 2" xfId="14876"/>
    <cellStyle name="Обычный 6 10 3 2 6" xfId="14877"/>
    <cellStyle name="Обычный 6 10 3 2 7" xfId="14878"/>
    <cellStyle name="Обычный 6 10 3 3" xfId="14879"/>
    <cellStyle name="Обычный 6 10 3 3 2" xfId="14880"/>
    <cellStyle name="Обычный 6 10 3 3 2 2" xfId="14881"/>
    <cellStyle name="Обычный 6 10 3 3 2 3" xfId="14882"/>
    <cellStyle name="Обычный 6 10 3 3 3" xfId="14883"/>
    <cellStyle name="Обычный 6 10 3 3 3 2" xfId="14884"/>
    <cellStyle name="Обычный 6 10 3 3 3 3" xfId="14885"/>
    <cellStyle name="Обычный 6 10 3 3 4" xfId="14886"/>
    <cellStyle name="Обычный 6 10 3 3 4 2" xfId="14887"/>
    <cellStyle name="Обычный 6 10 3 3 5" xfId="14888"/>
    <cellStyle name="Обычный 6 10 3 3 6" xfId="14889"/>
    <cellStyle name="Обычный 6 10 3 4" xfId="14890"/>
    <cellStyle name="Обычный 6 10 3 4 2" xfId="14891"/>
    <cellStyle name="Обычный 6 10 3 4 3" xfId="14892"/>
    <cellStyle name="Обычный 6 10 3 5" xfId="14893"/>
    <cellStyle name="Обычный 6 10 3 5 2" xfId="14894"/>
    <cellStyle name="Обычный 6 10 3 5 3" xfId="14895"/>
    <cellStyle name="Обычный 6 10 3 6" xfId="14896"/>
    <cellStyle name="Обычный 6 10 3 6 2" xfId="14897"/>
    <cellStyle name="Обычный 6 10 3 7" xfId="14898"/>
    <cellStyle name="Обычный 6 10 3 8" xfId="14899"/>
    <cellStyle name="Обычный 6 10 4" xfId="14900"/>
    <cellStyle name="Обычный 6 10 4 2" xfId="14901"/>
    <cellStyle name="Обычный 6 10 4 2 2" xfId="14902"/>
    <cellStyle name="Обычный 6 10 4 2 2 2" xfId="14903"/>
    <cellStyle name="Обычный 6 10 4 2 2 3" xfId="14904"/>
    <cellStyle name="Обычный 6 10 4 2 3" xfId="14905"/>
    <cellStyle name="Обычный 6 10 4 2 3 2" xfId="14906"/>
    <cellStyle name="Обычный 6 10 4 2 3 3" xfId="14907"/>
    <cellStyle name="Обычный 6 10 4 2 4" xfId="14908"/>
    <cellStyle name="Обычный 6 10 4 2 4 2" xfId="14909"/>
    <cellStyle name="Обычный 6 10 4 2 5" xfId="14910"/>
    <cellStyle name="Обычный 6 10 4 2 6" xfId="14911"/>
    <cellStyle name="Обычный 6 10 4 3" xfId="14912"/>
    <cellStyle name="Обычный 6 10 4 3 2" xfId="14913"/>
    <cellStyle name="Обычный 6 10 4 3 3" xfId="14914"/>
    <cellStyle name="Обычный 6 10 4 4" xfId="14915"/>
    <cellStyle name="Обычный 6 10 4 4 2" xfId="14916"/>
    <cellStyle name="Обычный 6 10 4 4 3" xfId="14917"/>
    <cellStyle name="Обычный 6 10 4 5" xfId="14918"/>
    <cellStyle name="Обычный 6 10 4 5 2" xfId="14919"/>
    <cellStyle name="Обычный 6 10 4 6" xfId="14920"/>
    <cellStyle name="Обычный 6 10 4 7" xfId="14921"/>
    <cellStyle name="Обычный 6 10 5" xfId="14922"/>
    <cellStyle name="Обычный 6 10 5 2" xfId="14923"/>
    <cellStyle name="Обычный 6 10 5 2 2" xfId="14924"/>
    <cellStyle name="Обычный 6 10 5 2 3" xfId="14925"/>
    <cellStyle name="Обычный 6 10 5 3" xfId="14926"/>
    <cellStyle name="Обычный 6 10 5 3 2" xfId="14927"/>
    <cellStyle name="Обычный 6 10 5 3 3" xfId="14928"/>
    <cellStyle name="Обычный 6 10 5 4" xfId="14929"/>
    <cellStyle name="Обычный 6 10 5 4 2" xfId="14930"/>
    <cellStyle name="Обычный 6 10 5 5" xfId="14931"/>
    <cellStyle name="Обычный 6 10 5 6" xfId="14932"/>
    <cellStyle name="Обычный 6 10 6" xfId="14933"/>
    <cellStyle name="Обычный 6 10 6 2" xfId="14934"/>
    <cellStyle name="Обычный 6 10 6 3" xfId="14935"/>
    <cellStyle name="Обычный 6 10 7" xfId="14936"/>
    <cellStyle name="Обычный 6 10 7 2" xfId="14937"/>
    <cellStyle name="Обычный 6 10 7 3" xfId="14938"/>
    <cellStyle name="Обычный 6 10 8" xfId="14939"/>
    <cellStyle name="Обычный 6 10 8 2" xfId="14940"/>
    <cellStyle name="Обычный 6 10 9" xfId="14941"/>
    <cellStyle name="Обычный 6 11" xfId="14942"/>
    <cellStyle name="Обычный 6 11 10" xfId="14943"/>
    <cellStyle name="Обычный 6 11 2" xfId="14944"/>
    <cellStyle name="Обычный 6 11 2 2" xfId="14945"/>
    <cellStyle name="Обычный 6 11 2 2 2" xfId="14946"/>
    <cellStyle name="Обычный 6 11 2 2 2 2" xfId="14947"/>
    <cellStyle name="Обычный 6 11 2 2 2 2 2" xfId="14948"/>
    <cellStyle name="Обычный 6 11 2 2 2 2 2 2" xfId="14949"/>
    <cellStyle name="Обычный 6 11 2 2 2 2 2 3" xfId="14950"/>
    <cellStyle name="Обычный 6 11 2 2 2 2 3" xfId="14951"/>
    <cellStyle name="Обычный 6 11 2 2 2 2 3 2" xfId="14952"/>
    <cellStyle name="Обычный 6 11 2 2 2 2 3 3" xfId="14953"/>
    <cellStyle name="Обычный 6 11 2 2 2 2 4" xfId="14954"/>
    <cellStyle name="Обычный 6 11 2 2 2 2 4 2" xfId="14955"/>
    <cellStyle name="Обычный 6 11 2 2 2 2 5" xfId="14956"/>
    <cellStyle name="Обычный 6 11 2 2 2 2 6" xfId="14957"/>
    <cellStyle name="Обычный 6 11 2 2 2 3" xfId="14958"/>
    <cellStyle name="Обычный 6 11 2 2 2 3 2" xfId="14959"/>
    <cellStyle name="Обычный 6 11 2 2 2 3 3" xfId="14960"/>
    <cellStyle name="Обычный 6 11 2 2 2 4" xfId="14961"/>
    <cellStyle name="Обычный 6 11 2 2 2 4 2" xfId="14962"/>
    <cellStyle name="Обычный 6 11 2 2 2 4 3" xfId="14963"/>
    <cellStyle name="Обычный 6 11 2 2 2 5" xfId="14964"/>
    <cellStyle name="Обычный 6 11 2 2 2 5 2" xfId="14965"/>
    <cellStyle name="Обычный 6 11 2 2 2 6" xfId="14966"/>
    <cellStyle name="Обычный 6 11 2 2 2 7" xfId="14967"/>
    <cellStyle name="Обычный 6 11 2 2 3" xfId="14968"/>
    <cellStyle name="Обычный 6 11 2 2 3 2" xfId="14969"/>
    <cellStyle name="Обычный 6 11 2 2 3 2 2" xfId="14970"/>
    <cellStyle name="Обычный 6 11 2 2 3 2 3" xfId="14971"/>
    <cellStyle name="Обычный 6 11 2 2 3 3" xfId="14972"/>
    <cellStyle name="Обычный 6 11 2 2 3 3 2" xfId="14973"/>
    <cellStyle name="Обычный 6 11 2 2 3 3 3" xfId="14974"/>
    <cellStyle name="Обычный 6 11 2 2 3 4" xfId="14975"/>
    <cellStyle name="Обычный 6 11 2 2 3 4 2" xfId="14976"/>
    <cellStyle name="Обычный 6 11 2 2 3 5" xfId="14977"/>
    <cellStyle name="Обычный 6 11 2 2 3 6" xfId="14978"/>
    <cellStyle name="Обычный 6 11 2 2 4" xfId="14979"/>
    <cellStyle name="Обычный 6 11 2 2 4 2" xfId="14980"/>
    <cellStyle name="Обычный 6 11 2 2 4 3" xfId="14981"/>
    <cellStyle name="Обычный 6 11 2 2 5" xfId="14982"/>
    <cellStyle name="Обычный 6 11 2 2 5 2" xfId="14983"/>
    <cellStyle name="Обычный 6 11 2 2 5 3" xfId="14984"/>
    <cellStyle name="Обычный 6 11 2 2 6" xfId="14985"/>
    <cellStyle name="Обычный 6 11 2 2 6 2" xfId="14986"/>
    <cellStyle name="Обычный 6 11 2 2 7" xfId="14987"/>
    <cellStyle name="Обычный 6 11 2 2 8" xfId="14988"/>
    <cellStyle name="Обычный 6 11 2 3" xfId="14989"/>
    <cellStyle name="Обычный 6 11 2 3 2" xfId="14990"/>
    <cellStyle name="Обычный 6 11 2 3 2 2" xfId="14991"/>
    <cellStyle name="Обычный 6 11 2 3 2 2 2" xfId="14992"/>
    <cellStyle name="Обычный 6 11 2 3 2 2 3" xfId="14993"/>
    <cellStyle name="Обычный 6 11 2 3 2 3" xfId="14994"/>
    <cellStyle name="Обычный 6 11 2 3 2 3 2" xfId="14995"/>
    <cellStyle name="Обычный 6 11 2 3 2 3 3" xfId="14996"/>
    <cellStyle name="Обычный 6 11 2 3 2 4" xfId="14997"/>
    <cellStyle name="Обычный 6 11 2 3 2 4 2" xfId="14998"/>
    <cellStyle name="Обычный 6 11 2 3 2 5" xfId="14999"/>
    <cellStyle name="Обычный 6 11 2 3 2 6" xfId="15000"/>
    <cellStyle name="Обычный 6 11 2 3 3" xfId="15001"/>
    <cellStyle name="Обычный 6 11 2 3 3 2" xfId="15002"/>
    <cellStyle name="Обычный 6 11 2 3 3 3" xfId="15003"/>
    <cellStyle name="Обычный 6 11 2 3 4" xfId="15004"/>
    <cellStyle name="Обычный 6 11 2 3 4 2" xfId="15005"/>
    <cellStyle name="Обычный 6 11 2 3 4 3" xfId="15006"/>
    <cellStyle name="Обычный 6 11 2 3 5" xfId="15007"/>
    <cellStyle name="Обычный 6 11 2 3 5 2" xfId="15008"/>
    <cellStyle name="Обычный 6 11 2 3 6" xfId="15009"/>
    <cellStyle name="Обычный 6 11 2 3 7" xfId="15010"/>
    <cellStyle name="Обычный 6 11 2 4" xfId="15011"/>
    <cellStyle name="Обычный 6 11 2 4 2" xfId="15012"/>
    <cellStyle name="Обычный 6 11 2 4 2 2" xfId="15013"/>
    <cellStyle name="Обычный 6 11 2 4 2 3" xfId="15014"/>
    <cellStyle name="Обычный 6 11 2 4 3" xfId="15015"/>
    <cellStyle name="Обычный 6 11 2 4 3 2" xfId="15016"/>
    <cellStyle name="Обычный 6 11 2 4 3 3" xfId="15017"/>
    <cellStyle name="Обычный 6 11 2 4 4" xfId="15018"/>
    <cellStyle name="Обычный 6 11 2 4 4 2" xfId="15019"/>
    <cellStyle name="Обычный 6 11 2 4 5" xfId="15020"/>
    <cellStyle name="Обычный 6 11 2 4 6" xfId="15021"/>
    <cellStyle name="Обычный 6 11 2 5" xfId="15022"/>
    <cellStyle name="Обычный 6 11 2 5 2" xfId="15023"/>
    <cellStyle name="Обычный 6 11 2 5 3" xfId="15024"/>
    <cellStyle name="Обычный 6 11 2 6" xfId="15025"/>
    <cellStyle name="Обычный 6 11 2 6 2" xfId="15026"/>
    <cellStyle name="Обычный 6 11 2 6 3" xfId="15027"/>
    <cellStyle name="Обычный 6 11 2 7" xfId="15028"/>
    <cellStyle name="Обычный 6 11 2 7 2" xfId="15029"/>
    <cellStyle name="Обычный 6 11 2 8" xfId="15030"/>
    <cellStyle name="Обычный 6 11 2 9" xfId="15031"/>
    <cellStyle name="Обычный 6 11 3" xfId="15032"/>
    <cellStyle name="Обычный 6 11 3 2" xfId="15033"/>
    <cellStyle name="Обычный 6 11 3 2 2" xfId="15034"/>
    <cellStyle name="Обычный 6 11 3 2 2 2" xfId="15035"/>
    <cellStyle name="Обычный 6 11 3 2 2 2 2" xfId="15036"/>
    <cellStyle name="Обычный 6 11 3 2 2 2 3" xfId="15037"/>
    <cellStyle name="Обычный 6 11 3 2 2 3" xfId="15038"/>
    <cellStyle name="Обычный 6 11 3 2 2 3 2" xfId="15039"/>
    <cellStyle name="Обычный 6 11 3 2 2 3 3" xfId="15040"/>
    <cellStyle name="Обычный 6 11 3 2 2 4" xfId="15041"/>
    <cellStyle name="Обычный 6 11 3 2 2 4 2" xfId="15042"/>
    <cellStyle name="Обычный 6 11 3 2 2 5" xfId="15043"/>
    <cellStyle name="Обычный 6 11 3 2 2 6" xfId="15044"/>
    <cellStyle name="Обычный 6 11 3 2 3" xfId="15045"/>
    <cellStyle name="Обычный 6 11 3 2 3 2" xfId="15046"/>
    <cellStyle name="Обычный 6 11 3 2 3 3" xfId="15047"/>
    <cellStyle name="Обычный 6 11 3 2 4" xfId="15048"/>
    <cellStyle name="Обычный 6 11 3 2 4 2" xfId="15049"/>
    <cellStyle name="Обычный 6 11 3 2 4 3" xfId="15050"/>
    <cellStyle name="Обычный 6 11 3 2 5" xfId="15051"/>
    <cellStyle name="Обычный 6 11 3 2 5 2" xfId="15052"/>
    <cellStyle name="Обычный 6 11 3 2 6" xfId="15053"/>
    <cellStyle name="Обычный 6 11 3 2 7" xfId="15054"/>
    <cellStyle name="Обычный 6 11 3 3" xfId="15055"/>
    <cellStyle name="Обычный 6 11 3 3 2" xfId="15056"/>
    <cellStyle name="Обычный 6 11 3 3 2 2" xfId="15057"/>
    <cellStyle name="Обычный 6 11 3 3 2 3" xfId="15058"/>
    <cellStyle name="Обычный 6 11 3 3 3" xfId="15059"/>
    <cellStyle name="Обычный 6 11 3 3 3 2" xfId="15060"/>
    <cellStyle name="Обычный 6 11 3 3 3 3" xfId="15061"/>
    <cellStyle name="Обычный 6 11 3 3 4" xfId="15062"/>
    <cellStyle name="Обычный 6 11 3 3 4 2" xfId="15063"/>
    <cellStyle name="Обычный 6 11 3 3 5" xfId="15064"/>
    <cellStyle name="Обычный 6 11 3 3 6" xfId="15065"/>
    <cellStyle name="Обычный 6 11 3 4" xfId="15066"/>
    <cellStyle name="Обычный 6 11 3 4 2" xfId="15067"/>
    <cellStyle name="Обычный 6 11 3 4 3" xfId="15068"/>
    <cellStyle name="Обычный 6 11 3 5" xfId="15069"/>
    <cellStyle name="Обычный 6 11 3 5 2" xfId="15070"/>
    <cellStyle name="Обычный 6 11 3 5 3" xfId="15071"/>
    <cellStyle name="Обычный 6 11 3 6" xfId="15072"/>
    <cellStyle name="Обычный 6 11 3 6 2" xfId="15073"/>
    <cellStyle name="Обычный 6 11 3 7" xfId="15074"/>
    <cellStyle name="Обычный 6 11 3 8" xfId="15075"/>
    <cellStyle name="Обычный 6 11 4" xfId="15076"/>
    <cellStyle name="Обычный 6 11 4 2" xfId="15077"/>
    <cellStyle name="Обычный 6 11 4 2 2" xfId="15078"/>
    <cellStyle name="Обычный 6 11 4 2 2 2" xfId="15079"/>
    <cellStyle name="Обычный 6 11 4 2 2 3" xfId="15080"/>
    <cellStyle name="Обычный 6 11 4 2 3" xfId="15081"/>
    <cellStyle name="Обычный 6 11 4 2 3 2" xfId="15082"/>
    <cellStyle name="Обычный 6 11 4 2 3 3" xfId="15083"/>
    <cellStyle name="Обычный 6 11 4 2 4" xfId="15084"/>
    <cellStyle name="Обычный 6 11 4 2 4 2" xfId="15085"/>
    <cellStyle name="Обычный 6 11 4 2 5" xfId="15086"/>
    <cellStyle name="Обычный 6 11 4 2 6" xfId="15087"/>
    <cellStyle name="Обычный 6 11 4 3" xfId="15088"/>
    <cellStyle name="Обычный 6 11 4 3 2" xfId="15089"/>
    <cellStyle name="Обычный 6 11 4 3 3" xfId="15090"/>
    <cellStyle name="Обычный 6 11 4 4" xfId="15091"/>
    <cellStyle name="Обычный 6 11 4 4 2" xfId="15092"/>
    <cellStyle name="Обычный 6 11 4 4 3" xfId="15093"/>
    <cellStyle name="Обычный 6 11 4 5" xfId="15094"/>
    <cellStyle name="Обычный 6 11 4 5 2" xfId="15095"/>
    <cellStyle name="Обычный 6 11 4 6" xfId="15096"/>
    <cellStyle name="Обычный 6 11 4 7" xfId="15097"/>
    <cellStyle name="Обычный 6 11 5" xfId="15098"/>
    <cellStyle name="Обычный 6 11 5 2" xfId="15099"/>
    <cellStyle name="Обычный 6 11 5 2 2" xfId="15100"/>
    <cellStyle name="Обычный 6 11 5 2 3" xfId="15101"/>
    <cellStyle name="Обычный 6 11 5 3" xfId="15102"/>
    <cellStyle name="Обычный 6 11 5 3 2" xfId="15103"/>
    <cellStyle name="Обычный 6 11 5 3 3" xfId="15104"/>
    <cellStyle name="Обычный 6 11 5 4" xfId="15105"/>
    <cellStyle name="Обычный 6 11 5 4 2" xfId="15106"/>
    <cellStyle name="Обычный 6 11 5 5" xfId="15107"/>
    <cellStyle name="Обычный 6 11 5 6" xfId="15108"/>
    <cellStyle name="Обычный 6 11 6" xfId="15109"/>
    <cellStyle name="Обычный 6 11 6 2" xfId="15110"/>
    <cellStyle name="Обычный 6 11 6 3" xfId="15111"/>
    <cellStyle name="Обычный 6 11 7" xfId="15112"/>
    <cellStyle name="Обычный 6 11 7 2" xfId="15113"/>
    <cellStyle name="Обычный 6 11 7 3" xfId="15114"/>
    <cellStyle name="Обычный 6 11 8" xfId="15115"/>
    <cellStyle name="Обычный 6 11 8 2" xfId="15116"/>
    <cellStyle name="Обычный 6 11 9" xfId="15117"/>
    <cellStyle name="Обычный 6 12" xfId="15118"/>
    <cellStyle name="Обычный 6 12 10" xfId="15119"/>
    <cellStyle name="Обычный 6 12 2" xfId="15120"/>
    <cellStyle name="Обычный 6 12 2 2" xfId="15121"/>
    <cellStyle name="Обычный 6 12 2 2 2" xfId="15122"/>
    <cellStyle name="Обычный 6 12 2 2 2 2" xfId="15123"/>
    <cellStyle name="Обычный 6 12 2 2 2 2 2" xfId="15124"/>
    <cellStyle name="Обычный 6 12 2 2 2 2 2 2" xfId="15125"/>
    <cellStyle name="Обычный 6 12 2 2 2 2 2 3" xfId="15126"/>
    <cellStyle name="Обычный 6 12 2 2 2 2 3" xfId="15127"/>
    <cellStyle name="Обычный 6 12 2 2 2 2 3 2" xfId="15128"/>
    <cellStyle name="Обычный 6 12 2 2 2 2 3 3" xfId="15129"/>
    <cellStyle name="Обычный 6 12 2 2 2 2 4" xfId="15130"/>
    <cellStyle name="Обычный 6 12 2 2 2 2 4 2" xfId="15131"/>
    <cellStyle name="Обычный 6 12 2 2 2 2 5" xfId="15132"/>
    <cellStyle name="Обычный 6 12 2 2 2 2 6" xfId="15133"/>
    <cellStyle name="Обычный 6 12 2 2 2 3" xfId="15134"/>
    <cellStyle name="Обычный 6 12 2 2 2 3 2" xfId="15135"/>
    <cellStyle name="Обычный 6 12 2 2 2 3 3" xfId="15136"/>
    <cellStyle name="Обычный 6 12 2 2 2 4" xfId="15137"/>
    <cellStyle name="Обычный 6 12 2 2 2 4 2" xfId="15138"/>
    <cellStyle name="Обычный 6 12 2 2 2 4 3" xfId="15139"/>
    <cellStyle name="Обычный 6 12 2 2 2 5" xfId="15140"/>
    <cellStyle name="Обычный 6 12 2 2 2 5 2" xfId="15141"/>
    <cellStyle name="Обычный 6 12 2 2 2 6" xfId="15142"/>
    <cellStyle name="Обычный 6 12 2 2 2 7" xfId="15143"/>
    <cellStyle name="Обычный 6 12 2 2 3" xfId="15144"/>
    <cellStyle name="Обычный 6 12 2 2 3 2" xfId="15145"/>
    <cellStyle name="Обычный 6 12 2 2 3 2 2" xfId="15146"/>
    <cellStyle name="Обычный 6 12 2 2 3 2 3" xfId="15147"/>
    <cellStyle name="Обычный 6 12 2 2 3 3" xfId="15148"/>
    <cellStyle name="Обычный 6 12 2 2 3 3 2" xfId="15149"/>
    <cellStyle name="Обычный 6 12 2 2 3 3 3" xfId="15150"/>
    <cellStyle name="Обычный 6 12 2 2 3 4" xfId="15151"/>
    <cellStyle name="Обычный 6 12 2 2 3 4 2" xfId="15152"/>
    <cellStyle name="Обычный 6 12 2 2 3 5" xfId="15153"/>
    <cellStyle name="Обычный 6 12 2 2 3 6" xfId="15154"/>
    <cellStyle name="Обычный 6 12 2 2 4" xfId="15155"/>
    <cellStyle name="Обычный 6 12 2 2 4 2" xfId="15156"/>
    <cellStyle name="Обычный 6 12 2 2 4 3" xfId="15157"/>
    <cellStyle name="Обычный 6 12 2 2 5" xfId="15158"/>
    <cellStyle name="Обычный 6 12 2 2 5 2" xfId="15159"/>
    <cellStyle name="Обычный 6 12 2 2 5 3" xfId="15160"/>
    <cellStyle name="Обычный 6 12 2 2 6" xfId="15161"/>
    <cellStyle name="Обычный 6 12 2 2 6 2" xfId="15162"/>
    <cellStyle name="Обычный 6 12 2 2 7" xfId="15163"/>
    <cellStyle name="Обычный 6 12 2 2 8" xfId="15164"/>
    <cellStyle name="Обычный 6 12 2 3" xfId="15165"/>
    <cellStyle name="Обычный 6 12 2 3 2" xfId="15166"/>
    <cellStyle name="Обычный 6 12 2 3 2 2" xfId="15167"/>
    <cellStyle name="Обычный 6 12 2 3 2 2 2" xfId="15168"/>
    <cellStyle name="Обычный 6 12 2 3 2 2 3" xfId="15169"/>
    <cellStyle name="Обычный 6 12 2 3 2 3" xfId="15170"/>
    <cellStyle name="Обычный 6 12 2 3 2 3 2" xfId="15171"/>
    <cellStyle name="Обычный 6 12 2 3 2 3 3" xfId="15172"/>
    <cellStyle name="Обычный 6 12 2 3 2 4" xfId="15173"/>
    <cellStyle name="Обычный 6 12 2 3 2 4 2" xfId="15174"/>
    <cellStyle name="Обычный 6 12 2 3 2 5" xfId="15175"/>
    <cellStyle name="Обычный 6 12 2 3 2 6" xfId="15176"/>
    <cellStyle name="Обычный 6 12 2 3 3" xfId="15177"/>
    <cellStyle name="Обычный 6 12 2 3 3 2" xfId="15178"/>
    <cellStyle name="Обычный 6 12 2 3 3 3" xfId="15179"/>
    <cellStyle name="Обычный 6 12 2 3 4" xfId="15180"/>
    <cellStyle name="Обычный 6 12 2 3 4 2" xfId="15181"/>
    <cellStyle name="Обычный 6 12 2 3 4 3" xfId="15182"/>
    <cellStyle name="Обычный 6 12 2 3 5" xfId="15183"/>
    <cellStyle name="Обычный 6 12 2 3 5 2" xfId="15184"/>
    <cellStyle name="Обычный 6 12 2 3 6" xfId="15185"/>
    <cellStyle name="Обычный 6 12 2 3 7" xfId="15186"/>
    <cellStyle name="Обычный 6 12 2 4" xfId="15187"/>
    <cellStyle name="Обычный 6 12 2 4 2" xfId="15188"/>
    <cellStyle name="Обычный 6 12 2 4 2 2" xfId="15189"/>
    <cellStyle name="Обычный 6 12 2 4 2 3" xfId="15190"/>
    <cellStyle name="Обычный 6 12 2 4 3" xfId="15191"/>
    <cellStyle name="Обычный 6 12 2 4 3 2" xfId="15192"/>
    <cellStyle name="Обычный 6 12 2 4 3 3" xfId="15193"/>
    <cellStyle name="Обычный 6 12 2 4 4" xfId="15194"/>
    <cellStyle name="Обычный 6 12 2 4 4 2" xfId="15195"/>
    <cellStyle name="Обычный 6 12 2 4 5" xfId="15196"/>
    <cellStyle name="Обычный 6 12 2 4 6" xfId="15197"/>
    <cellStyle name="Обычный 6 12 2 5" xfId="15198"/>
    <cellStyle name="Обычный 6 12 2 5 2" xfId="15199"/>
    <cellStyle name="Обычный 6 12 2 5 3" xfId="15200"/>
    <cellStyle name="Обычный 6 12 2 6" xfId="15201"/>
    <cellStyle name="Обычный 6 12 2 6 2" xfId="15202"/>
    <cellStyle name="Обычный 6 12 2 6 3" xfId="15203"/>
    <cellStyle name="Обычный 6 12 2 7" xfId="15204"/>
    <cellStyle name="Обычный 6 12 2 7 2" xfId="15205"/>
    <cellStyle name="Обычный 6 12 2 8" xfId="15206"/>
    <cellStyle name="Обычный 6 12 2 9" xfId="15207"/>
    <cellStyle name="Обычный 6 12 3" xfId="15208"/>
    <cellStyle name="Обычный 6 12 3 2" xfId="15209"/>
    <cellStyle name="Обычный 6 12 3 2 2" xfId="15210"/>
    <cellStyle name="Обычный 6 12 3 2 2 2" xfId="15211"/>
    <cellStyle name="Обычный 6 12 3 2 2 2 2" xfId="15212"/>
    <cellStyle name="Обычный 6 12 3 2 2 2 3" xfId="15213"/>
    <cellStyle name="Обычный 6 12 3 2 2 3" xfId="15214"/>
    <cellStyle name="Обычный 6 12 3 2 2 3 2" xfId="15215"/>
    <cellStyle name="Обычный 6 12 3 2 2 3 3" xfId="15216"/>
    <cellStyle name="Обычный 6 12 3 2 2 4" xfId="15217"/>
    <cellStyle name="Обычный 6 12 3 2 2 4 2" xfId="15218"/>
    <cellStyle name="Обычный 6 12 3 2 2 5" xfId="15219"/>
    <cellStyle name="Обычный 6 12 3 2 2 6" xfId="15220"/>
    <cellStyle name="Обычный 6 12 3 2 3" xfId="15221"/>
    <cellStyle name="Обычный 6 12 3 2 3 2" xfId="15222"/>
    <cellStyle name="Обычный 6 12 3 2 3 3" xfId="15223"/>
    <cellStyle name="Обычный 6 12 3 2 4" xfId="15224"/>
    <cellStyle name="Обычный 6 12 3 2 4 2" xfId="15225"/>
    <cellStyle name="Обычный 6 12 3 2 4 3" xfId="15226"/>
    <cellStyle name="Обычный 6 12 3 2 5" xfId="15227"/>
    <cellStyle name="Обычный 6 12 3 2 5 2" xfId="15228"/>
    <cellStyle name="Обычный 6 12 3 2 6" xfId="15229"/>
    <cellStyle name="Обычный 6 12 3 2 7" xfId="15230"/>
    <cellStyle name="Обычный 6 12 3 3" xfId="15231"/>
    <cellStyle name="Обычный 6 12 3 3 2" xfId="15232"/>
    <cellStyle name="Обычный 6 12 3 3 2 2" xfId="15233"/>
    <cellStyle name="Обычный 6 12 3 3 2 3" xfId="15234"/>
    <cellStyle name="Обычный 6 12 3 3 3" xfId="15235"/>
    <cellStyle name="Обычный 6 12 3 3 3 2" xfId="15236"/>
    <cellStyle name="Обычный 6 12 3 3 3 3" xfId="15237"/>
    <cellStyle name="Обычный 6 12 3 3 4" xfId="15238"/>
    <cellStyle name="Обычный 6 12 3 3 4 2" xfId="15239"/>
    <cellStyle name="Обычный 6 12 3 3 5" xfId="15240"/>
    <cellStyle name="Обычный 6 12 3 3 6" xfId="15241"/>
    <cellStyle name="Обычный 6 12 3 4" xfId="15242"/>
    <cellStyle name="Обычный 6 12 3 4 2" xfId="15243"/>
    <cellStyle name="Обычный 6 12 3 4 3" xfId="15244"/>
    <cellStyle name="Обычный 6 12 3 5" xfId="15245"/>
    <cellStyle name="Обычный 6 12 3 5 2" xfId="15246"/>
    <cellStyle name="Обычный 6 12 3 5 3" xfId="15247"/>
    <cellStyle name="Обычный 6 12 3 6" xfId="15248"/>
    <cellStyle name="Обычный 6 12 3 6 2" xfId="15249"/>
    <cellStyle name="Обычный 6 12 3 7" xfId="15250"/>
    <cellStyle name="Обычный 6 12 3 8" xfId="15251"/>
    <cellStyle name="Обычный 6 12 4" xfId="15252"/>
    <cellStyle name="Обычный 6 12 4 2" xfId="15253"/>
    <cellStyle name="Обычный 6 12 4 2 2" xfId="15254"/>
    <cellStyle name="Обычный 6 12 4 2 2 2" xfId="15255"/>
    <cellStyle name="Обычный 6 12 4 2 2 3" xfId="15256"/>
    <cellStyle name="Обычный 6 12 4 2 3" xfId="15257"/>
    <cellStyle name="Обычный 6 12 4 2 3 2" xfId="15258"/>
    <cellStyle name="Обычный 6 12 4 2 3 3" xfId="15259"/>
    <cellStyle name="Обычный 6 12 4 2 4" xfId="15260"/>
    <cellStyle name="Обычный 6 12 4 2 4 2" xfId="15261"/>
    <cellStyle name="Обычный 6 12 4 2 5" xfId="15262"/>
    <cellStyle name="Обычный 6 12 4 2 6" xfId="15263"/>
    <cellStyle name="Обычный 6 12 4 3" xfId="15264"/>
    <cellStyle name="Обычный 6 12 4 3 2" xfId="15265"/>
    <cellStyle name="Обычный 6 12 4 3 3" xfId="15266"/>
    <cellStyle name="Обычный 6 12 4 4" xfId="15267"/>
    <cellStyle name="Обычный 6 12 4 4 2" xfId="15268"/>
    <cellStyle name="Обычный 6 12 4 4 3" xfId="15269"/>
    <cellStyle name="Обычный 6 12 4 5" xfId="15270"/>
    <cellStyle name="Обычный 6 12 4 5 2" xfId="15271"/>
    <cellStyle name="Обычный 6 12 4 6" xfId="15272"/>
    <cellStyle name="Обычный 6 12 4 7" xfId="15273"/>
    <cellStyle name="Обычный 6 12 5" xfId="15274"/>
    <cellStyle name="Обычный 6 12 5 2" xfId="15275"/>
    <cellStyle name="Обычный 6 12 5 2 2" xfId="15276"/>
    <cellStyle name="Обычный 6 12 5 2 3" xfId="15277"/>
    <cellStyle name="Обычный 6 12 5 3" xfId="15278"/>
    <cellStyle name="Обычный 6 12 5 3 2" xfId="15279"/>
    <cellStyle name="Обычный 6 12 5 3 3" xfId="15280"/>
    <cellStyle name="Обычный 6 12 5 4" xfId="15281"/>
    <cellStyle name="Обычный 6 12 5 4 2" xfId="15282"/>
    <cellStyle name="Обычный 6 12 5 5" xfId="15283"/>
    <cellStyle name="Обычный 6 12 5 6" xfId="15284"/>
    <cellStyle name="Обычный 6 12 6" xfId="15285"/>
    <cellStyle name="Обычный 6 12 6 2" xfId="15286"/>
    <cellStyle name="Обычный 6 12 6 3" xfId="15287"/>
    <cellStyle name="Обычный 6 12 7" xfId="15288"/>
    <cellStyle name="Обычный 6 12 7 2" xfId="15289"/>
    <cellStyle name="Обычный 6 12 7 3" xfId="15290"/>
    <cellStyle name="Обычный 6 12 8" xfId="15291"/>
    <cellStyle name="Обычный 6 12 8 2" xfId="15292"/>
    <cellStyle name="Обычный 6 12 9" xfId="15293"/>
    <cellStyle name="Обычный 6 13" xfId="15294"/>
    <cellStyle name="Обычный 6 13 2" xfId="15295"/>
    <cellStyle name="Обычный 6 13 2 2" xfId="15296"/>
    <cellStyle name="Обычный 6 13 2 2 2" xfId="15297"/>
    <cellStyle name="Обычный 6 13 2 2 2 2" xfId="15298"/>
    <cellStyle name="Обычный 6 13 2 2 2 2 2" xfId="15299"/>
    <cellStyle name="Обычный 6 13 2 2 2 2 3" xfId="15300"/>
    <cellStyle name="Обычный 6 13 2 2 2 3" xfId="15301"/>
    <cellStyle name="Обычный 6 13 2 2 2 3 2" xfId="15302"/>
    <cellStyle name="Обычный 6 13 2 2 2 3 3" xfId="15303"/>
    <cellStyle name="Обычный 6 13 2 2 2 4" xfId="15304"/>
    <cellStyle name="Обычный 6 13 2 2 2 4 2" xfId="15305"/>
    <cellStyle name="Обычный 6 13 2 2 2 5" xfId="15306"/>
    <cellStyle name="Обычный 6 13 2 2 2 6" xfId="15307"/>
    <cellStyle name="Обычный 6 13 2 2 3" xfId="15308"/>
    <cellStyle name="Обычный 6 13 2 2 3 2" xfId="15309"/>
    <cellStyle name="Обычный 6 13 2 2 3 3" xfId="15310"/>
    <cellStyle name="Обычный 6 13 2 2 4" xfId="15311"/>
    <cellStyle name="Обычный 6 13 2 2 4 2" xfId="15312"/>
    <cellStyle name="Обычный 6 13 2 2 4 3" xfId="15313"/>
    <cellStyle name="Обычный 6 13 2 2 5" xfId="15314"/>
    <cellStyle name="Обычный 6 13 2 2 5 2" xfId="15315"/>
    <cellStyle name="Обычный 6 13 2 2 6" xfId="15316"/>
    <cellStyle name="Обычный 6 13 2 2 7" xfId="15317"/>
    <cellStyle name="Обычный 6 13 2 3" xfId="15318"/>
    <cellStyle name="Обычный 6 13 2 3 2" xfId="15319"/>
    <cellStyle name="Обычный 6 13 2 3 2 2" xfId="15320"/>
    <cellStyle name="Обычный 6 13 2 3 2 3" xfId="15321"/>
    <cellStyle name="Обычный 6 13 2 3 3" xfId="15322"/>
    <cellStyle name="Обычный 6 13 2 3 3 2" xfId="15323"/>
    <cellStyle name="Обычный 6 13 2 3 3 3" xfId="15324"/>
    <cellStyle name="Обычный 6 13 2 3 4" xfId="15325"/>
    <cellStyle name="Обычный 6 13 2 3 4 2" xfId="15326"/>
    <cellStyle name="Обычный 6 13 2 3 5" xfId="15327"/>
    <cellStyle name="Обычный 6 13 2 3 6" xfId="15328"/>
    <cellStyle name="Обычный 6 13 2 4" xfId="15329"/>
    <cellStyle name="Обычный 6 13 2 4 2" xfId="15330"/>
    <cellStyle name="Обычный 6 13 2 4 3" xfId="15331"/>
    <cellStyle name="Обычный 6 13 2 5" xfId="15332"/>
    <cellStyle name="Обычный 6 13 2 5 2" xfId="15333"/>
    <cellStyle name="Обычный 6 13 2 5 3" xfId="15334"/>
    <cellStyle name="Обычный 6 13 2 6" xfId="15335"/>
    <cellStyle name="Обычный 6 13 2 6 2" xfId="15336"/>
    <cellStyle name="Обычный 6 13 2 7" xfId="15337"/>
    <cellStyle name="Обычный 6 13 2 8" xfId="15338"/>
    <cellStyle name="Обычный 6 13 3" xfId="15339"/>
    <cellStyle name="Обычный 6 13 3 2" xfId="15340"/>
    <cellStyle name="Обычный 6 13 3 2 2" xfId="15341"/>
    <cellStyle name="Обычный 6 13 3 2 2 2" xfId="15342"/>
    <cellStyle name="Обычный 6 13 3 2 2 3" xfId="15343"/>
    <cellStyle name="Обычный 6 13 3 2 3" xfId="15344"/>
    <cellStyle name="Обычный 6 13 3 2 3 2" xfId="15345"/>
    <cellStyle name="Обычный 6 13 3 2 3 3" xfId="15346"/>
    <cellStyle name="Обычный 6 13 3 2 4" xfId="15347"/>
    <cellStyle name="Обычный 6 13 3 2 4 2" xfId="15348"/>
    <cellStyle name="Обычный 6 13 3 2 5" xfId="15349"/>
    <cellStyle name="Обычный 6 13 3 2 6" xfId="15350"/>
    <cellStyle name="Обычный 6 13 3 3" xfId="15351"/>
    <cellStyle name="Обычный 6 13 3 3 2" xfId="15352"/>
    <cellStyle name="Обычный 6 13 3 3 3" xfId="15353"/>
    <cellStyle name="Обычный 6 13 3 4" xfId="15354"/>
    <cellStyle name="Обычный 6 13 3 4 2" xfId="15355"/>
    <cellStyle name="Обычный 6 13 3 4 3" xfId="15356"/>
    <cellStyle name="Обычный 6 13 3 5" xfId="15357"/>
    <cellStyle name="Обычный 6 13 3 5 2" xfId="15358"/>
    <cellStyle name="Обычный 6 13 3 6" xfId="15359"/>
    <cellStyle name="Обычный 6 13 3 7" xfId="15360"/>
    <cellStyle name="Обычный 6 13 4" xfId="15361"/>
    <cellStyle name="Обычный 6 13 4 2" xfId="15362"/>
    <cellStyle name="Обычный 6 13 4 2 2" xfId="15363"/>
    <cellStyle name="Обычный 6 13 4 2 3" xfId="15364"/>
    <cellStyle name="Обычный 6 13 4 3" xfId="15365"/>
    <cellStyle name="Обычный 6 13 4 3 2" xfId="15366"/>
    <cellStyle name="Обычный 6 13 4 3 3" xfId="15367"/>
    <cellStyle name="Обычный 6 13 4 4" xfId="15368"/>
    <cellStyle name="Обычный 6 13 4 4 2" xfId="15369"/>
    <cellStyle name="Обычный 6 13 4 5" xfId="15370"/>
    <cellStyle name="Обычный 6 13 4 6" xfId="15371"/>
    <cellStyle name="Обычный 6 13 5" xfId="15372"/>
    <cellStyle name="Обычный 6 13 5 2" xfId="15373"/>
    <cellStyle name="Обычный 6 13 5 3" xfId="15374"/>
    <cellStyle name="Обычный 6 13 6" xfId="15375"/>
    <cellStyle name="Обычный 6 13 6 2" xfId="15376"/>
    <cellStyle name="Обычный 6 13 6 3" xfId="15377"/>
    <cellStyle name="Обычный 6 13 7" xfId="15378"/>
    <cellStyle name="Обычный 6 13 7 2" xfId="15379"/>
    <cellStyle name="Обычный 6 13 8" xfId="15380"/>
    <cellStyle name="Обычный 6 13 9" xfId="15381"/>
    <cellStyle name="Обычный 6 14" xfId="15382"/>
    <cellStyle name="Обычный 6 14 2" xfId="15383"/>
    <cellStyle name="Обычный 6 14 2 2" xfId="15384"/>
    <cellStyle name="Обычный 6 14 2 2 2" xfId="15385"/>
    <cellStyle name="Обычный 6 14 2 2 2 2" xfId="15386"/>
    <cellStyle name="Обычный 6 14 2 2 2 3" xfId="15387"/>
    <cellStyle name="Обычный 6 14 2 2 3" xfId="15388"/>
    <cellStyle name="Обычный 6 14 2 2 3 2" xfId="15389"/>
    <cellStyle name="Обычный 6 14 2 2 3 3" xfId="15390"/>
    <cellStyle name="Обычный 6 14 2 2 4" xfId="15391"/>
    <cellStyle name="Обычный 6 14 2 2 4 2" xfId="15392"/>
    <cellStyle name="Обычный 6 14 2 2 5" xfId="15393"/>
    <cellStyle name="Обычный 6 14 2 2 6" xfId="15394"/>
    <cellStyle name="Обычный 6 14 2 3" xfId="15395"/>
    <cellStyle name="Обычный 6 14 2 3 2" xfId="15396"/>
    <cellStyle name="Обычный 6 14 2 3 3" xfId="15397"/>
    <cellStyle name="Обычный 6 14 2 4" xfId="15398"/>
    <cellStyle name="Обычный 6 14 2 4 2" xfId="15399"/>
    <cellStyle name="Обычный 6 14 2 4 3" xfId="15400"/>
    <cellStyle name="Обычный 6 14 2 5" xfId="15401"/>
    <cellStyle name="Обычный 6 14 2 5 2" xfId="15402"/>
    <cellStyle name="Обычный 6 14 2 6" xfId="15403"/>
    <cellStyle name="Обычный 6 14 2 7" xfId="15404"/>
    <cellStyle name="Обычный 6 14 3" xfId="15405"/>
    <cellStyle name="Обычный 6 14 3 2" xfId="15406"/>
    <cellStyle name="Обычный 6 14 3 2 2" xfId="15407"/>
    <cellStyle name="Обычный 6 14 3 2 3" xfId="15408"/>
    <cellStyle name="Обычный 6 14 3 3" xfId="15409"/>
    <cellStyle name="Обычный 6 14 3 3 2" xfId="15410"/>
    <cellStyle name="Обычный 6 14 3 3 3" xfId="15411"/>
    <cellStyle name="Обычный 6 14 3 4" xfId="15412"/>
    <cellStyle name="Обычный 6 14 3 4 2" xfId="15413"/>
    <cellStyle name="Обычный 6 14 3 5" xfId="15414"/>
    <cellStyle name="Обычный 6 14 3 6" xfId="15415"/>
    <cellStyle name="Обычный 6 14 4" xfId="15416"/>
    <cellStyle name="Обычный 6 14 4 2" xfId="15417"/>
    <cellStyle name="Обычный 6 14 4 3" xfId="15418"/>
    <cellStyle name="Обычный 6 14 5" xfId="15419"/>
    <cellStyle name="Обычный 6 14 5 2" xfId="15420"/>
    <cellStyle name="Обычный 6 14 5 3" xfId="15421"/>
    <cellStyle name="Обычный 6 14 6" xfId="15422"/>
    <cellStyle name="Обычный 6 14 6 2" xfId="15423"/>
    <cellStyle name="Обычный 6 14 7" xfId="15424"/>
    <cellStyle name="Обычный 6 14 8" xfId="15425"/>
    <cellStyle name="Обычный 6 15" xfId="15426"/>
    <cellStyle name="Обычный 6 15 2" xfId="15427"/>
    <cellStyle name="Обычный 6 15 2 2" xfId="15428"/>
    <cellStyle name="Обычный 6 15 2 2 2" xfId="15429"/>
    <cellStyle name="Обычный 6 15 2 2 3" xfId="15430"/>
    <cellStyle name="Обычный 6 15 2 3" xfId="15431"/>
    <cellStyle name="Обычный 6 15 2 3 2" xfId="15432"/>
    <cellStyle name="Обычный 6 15 2 3 3" xfId="15433"/>
    <cellStyle name="Обычный 6 15 2 4" xfId="15434"/>
    <cellStyle name="Обычный 6 15 2 4 2" xfId="15435"/>
    <cellStyle name="Обычный 6 15 2 5" xfId="15436"/>
    <cellStyle name="Обычный 6 15 2 6" xfId="15437"/>
    <cellStyle name="Обычный 6 15 3" xfId="15438"/>
    <cellStyle name="Обычный 6 15 3 2" xfId="15439"/>
    <cellStyle name="Обычный 6 15 3 3" xfId="15440"/>
    <cellStyle name="Обычный 6 15 4" xfId="15441"/>
    <cellStyle name="Обычный 6 15 4 2" xfId="15442"/>
    <cellStyle name="Обычный 6 15 4 3" xfId="15443"/>
    <cellStyle name="Обычный 6 15 5" xfId="15444"/>
    <cellStyle name="Обычный 6 15 5 2" xfId="15445"/>
    <cellStyle name="Обычный 6 15 6" xfId="15446"/>
    <cellStyle name="Обычный 6 15 7" xfId="15447"/>
    <cellStyle name="Обычный 6 16" xfId="15448"/>
    <cellStyle name="Обычный 6 16 2" xfId="15449"/>
    <cellStyle name="Обычный 6 16 2 2" xfId="15450"/>
    <cellStyle name="Обычный 6 16 2 3" xfId="15451"/>
    <cellStyle name="Обычный 6 16 3" xfId="15452"/>
    <cellStyle name="Обычный 6 16 3 2" xfId="15453"/>
    <cellStyle name="Обычный 6 16 3 3" xfId="15454"/>
    <cellStyle name="Обычный 6 16 4" xfId="15455"/>
    <cellStyle name="Обычный 6 16 4 2" xfId="15456"/>
    <cellStyle name="Обычный 6 16 5" xfId="15457"/>
    <cellStyle name="Обычный 6 16 6" xfId="15458"/>
    <cellStyle name="Обычный 6 17" xfId="15459"/>
    <cellStyle name="Обычный 6 17 2" xfId="15460"/>
    <cellStyle name="Обычный 6 17 3" xfId="15461"/>
    <cellStyle name="Обычный 6 18" xfId="15462"/>
    <cellStyle name="Обычный 6 18 2" xfId="15463"/>
    <cellStyle name="Обычный 6 18 3" xfId="15464"/>
    <cellStyle name="Обычный 6 19" xfId="15465"/>
    <cellStyle name="Обычный 6 19 2" xfId="15466"/>
    <cellStyle name="Обычный 6 2" xfId="15467"/>
    <cellStyle name="Обычный 6 2 10" xfId="15468"/>
    <cellStyle name="Обычный 6 2 10 2" xfId="15469"/>
    <cellStyle name="Обычный 6 2 10 3" xfId="15470"/>
    <cellStyle name="Обычный 6 2 11" xfId="15471"/>
    <cellStyle name="Обычный 6 2 11 2" xfId="15472"/>
    <cellStyle name="Обычный 6 2 11 3" xfId="15473"/>
    <cellStyle name="Обычный 6 2 12" xfId="15474"/>
    <cellStyle name="Обычный 6 2 12 2" xfId="15475"/>
    <cellStyle name="Обычный 6 2 13" xfId="15476"/>
    <cellStyle name="Обычный 6 2 14" xfId="15477"/>
    <cellStyle name="Обычный 6 2 15" xfId="15478"/>
    <cellStyle name="Обычный 6 2 2" xfId="15479"/>
    <cellStyle name="Обычный 6 2 2 10" xfId="15480"/>
    <cellStyle name="Обычный 6 2 2 10 2" xfId="15481"/>
    <cellStyle name="Обычный 6 2 2 10 3" xfId="15482"/>
    <cellStyle name="Обычный 6 2 2 11" xfId="15483"/>
    <cellStyle name="Обычный 6 2 2 11 2" xfId="15484"/>
    <cellStyle name="Обычный 6 2 2 12" xfId="15485"/>
    <cellStyle name="Обычный 6 2 2 13" xfId="15486"/>
    <cellStyle name="Обычный 6 2 2 2" xfId="15487"/>
    <cellStyle name="Обычный 6 2 2 2 10" xfId="15488"/>
    <cellStyle name="Обычный 6 2 2 2 2" xfId="15489"/>
    <cellStyle name="Обычный 6 2 2 2 2 2" xfId="15490"/>
    <cellStyle name="Обычный 6 2 2 2 2 2 2" xfId="15491"/>
    <cellStyle name="Обычный 6 2 2 2 2 2 2 2" xfId="15492"/>
    <cellStyle name="Обычный 6 2 2 2 2 2 2 2 2" xfId="15493"/>
    <cellStyle name="Обычный 6 2 2 2 2 2 2 2 2 2" xfId="15494"/>
    <cellStyle name="Обычный 6 2 2 2 2 2 2 2 2 3" xfId="15495"/>
    <cellStyle name="Обычный 6 2 2 2 2 2 2 2 3" xfId="15496"/>
    <cellStyle name="Обычный 6 2 2 2 2 2 2 2 3 2" xfId="15497"/>
    <cellStyle name="Обычный 6 2 2 2 2 2 2 2 3 3" xfId="15498"/>
    <cellStyle name="Обычный 6 2 2 2 2 2 2 2 4" xfId="15499"/>
    <cellStyle name="Обычный 6 2 2 2 2 2 2 2 4 2" xfId="15500"/>
    <cellStyle name="Обычный 6 2 2 2 2 2 2 2 5" xfId="15501"/>
    <cellStyle name="Обычный 6 2 2 2 2 2 2 2 6" xfId="15502"/>
    <cellStyle name="Обычный 6 2 2 2 2 2 2 3" xfId="15503"/>
    <cellStyle name="Обычный 6 2 2 2 2 2 2 3 2" xfId="15504"/>
    <cellStyle name="Обычный 6 2 2 2 2 2 2 3 3" xfId="15505"/>
    <cellStyle name="Обычный 6 2 2 2 2 2 2 4" xfId="15506"/>
    <cellStyle name="Обычный 6 2 2 2 2 2 2 4 2" xfId="15507"/>
    <cellStyle name="Обычный 6 2 2 2 2 2 2 4 3" xfId="15508"/>
    <cellStyle name="Обычный 6 2 2 2 2 2 2 5" xfId="15509"/>
    <cellStyle name="Обычный 6 2 2 2 2 2 2 5 2" xfId="15510"/>
    <cellStyle name="Обычный 6 2 2 2 2 2 2 6" xfId="15511"/>
    <cellStyle name="Обычный 6 2 2 2 2 2 2 7" xfId="15512"/>
    <cellStyle name="Обычный 6 2 2 2 2 2 3" xfId="15513"/>
    <cellStyle name="Обычный 6 2 2 2 2 2 3 2" xfId="15514"/>
    <cellStyle name="Обычный 6 2 2 2 2 2 3 2 2" xfId="15515"/>
    <cellStyle name="Обычный 6 2 2 2 2 2 3 2 3" xfId="15516"/>
    <cellStyle name="Обычный 6 2 2 2 2 2 3 3" xfId="15517"/>
    <cellStyle name="Обычный 6 2 2 2 2 2 3 3 2" xfId="15518"/>
    <cellStyle name="Обычный 6 2 2 2 2 2 3 3 3" xfId="15519"/>
    <cellStyle name="Обычный 6 2 2 2 2 2 3 4" xfId="15520"/>
    <cellStyle name="Обычный 6 2 2 2 2 2 3 4 2" xfId="15521"/>
    <cellStyle name="Обычный 6 2 2 2 2 2 3 5" xfId="15522"/>
    <cellStyle name="Обычный 6 2 2 2 2 2 3 6" xfId="15523"/>
    <cellStyle name="Обычный 6 2 2 2 2 2 4" xfId="15524"/>
    <cellStyle name="Обычный 6 2 2 2 2 2 4 2" xfId="15525"/>
    <cellStyle name="Обычный 6 2 2 2 2 2 4 3" xfId="15526"/>
    <cellStyle name="Обычный 6 2 2 2 2 2 5" xfId="15527"/>
    <cellStyle name="Обычный 6 2 2 2 2 2 5 2" xfId="15528"/>
    <cellStyle name="Обычный 6 2 2 2 2 2 5 3" xfId="15529"/>
    <cellStyle name="Обычный 6 2 2 2 2 2 6" xfId="15530"/>
    <cellStyle name="Обычный 6 2 2 2 2 2 6 2" xfId="15531"/>
    <cellStyle name="Обычный 6 2 2 2 2 2 7" xfId="15532"/>
    <cellStyle name="Обычный 6 2 2 2 2 2 8" xfId="15533"/>
    <cellStyle name="Обычный 6 2 2 2 2 3" xfId="15534"/>
    <cellStyle name="Обычный 6 2 2 2 2 3 2" xfId="15535"/>
    <cellStyle name="Обычный 6 2 2 2 2 3 2 2" xfId="15536"/>
    <cellStyle name="Обычный 6 2 2 2 2 3 2 2 2" xfId="15537"/>
    <cellStyle name="Обычный 6 2 2 2 2 3 2 2 3" xfId="15538"/>
    <cellStyle name="Обычный 6 2 2 2 2 3 2 3" xfId="15539"/>
    <cellStyle name="Обычный 6 2 2 2 2 3 2 3 2" xfId="15540"/>
    <cellStyle name="Обычный 6 2 2 2 2 3 2 3 3" xfId="15541"/>
    <cellStyle name="Обычный 6 2 2 2 2 3 2 4" xfId="15542"/>
    <cellStyle name="Обычный 6 2 2 2 2 3 2 4 2" xfId="15543"/>
    <cellStyle name="Обычный 6 2 2 2 2 3 2 5" xfId="15544"/>
    <cellStyle name="Обычный 6 2 2 2 2 3 2 6" xfId="15545"/>
    <cellStyle name="Обычный 6 2 2 2 2 3 3" xfId="15546"/>
    <cellStyle name="Обычный 6 2 2 2 2 3 3 2" xfId="15547"/>
    <cellStyle name="Обычный 6 2 2 2 2 3 3 3" xfId="15548"/>
    <cellStyle name="Обычный 6 2 2 2 2 3 4" xfId="15549"/>
    <cellStyle name="Обычный 6 2 2 2 2 3 4 2" xfId="15550"/>
    <cellStyle name="Обычный 6 2 2 2 2 3 4 3" xfId="15551"/>
    <cellStyle name="Обычный 6 2 2 2 2 3 5" xfId="15552"/>
    <cellStyle name="Обычный 6 2 2 2 2 3 5 2" xfId="15553"/>
    <cellStyle name="Обычный 6 2 2 2 2 3 6" xfId="15554"/>
    <cellStyle name="Обычный 6 2 2 2 2 3 7" xfId="15555"/>
    <cellStyle name="Обычный 6 2 2 2 2 4" xfId="15556"/>
    <cellStyle name="Обычный 6 2 2 2 2 4 2" xfId="15557"/>
    <cellStyle name="Обычный 6 2 2 2 2 4 2 2" xfId="15558"/>
    <cellStyle name="Обычный 6 2 2 2 2 4 2 3" xfId="15559"/>
    <cellStyle name="Обычный 6 2 2 2 2 4 3" xfId="15560"/>
    <cellStyle name="Обычный 6 2 2 2 2 4 3 2" xfId="15561"/>
    <cellStyle name="Обычный 6 2 2 2 2 4 3 3" xfId="15562"/>
    <cellStyle name="Обычный 6 2 2 2 2 4 4" xfId="15563"/>
    <cellStyle name="Обычный 6 2 2 2 2 4 4 2" xfId="15564"/>
    <cellStyle name="Обычный 6 2 2 2 2 4 5" xfId="15565"/>
    <cellStyle name="Обычный 6 2 2 2 2 4 6" xfId="15566"/>
    <cellStyle name="Обычный 6 2 2 2 2 5" xfId="15567"/>
    <cellStyle name="Обычный 6 2 2 2 2 5 2" xfId="15568"/>
    <cellStyle name="Обычный 6 2 2 2 2 5 3" xfId="15569"/>
    <cellStyle name="Обычный 6 2 2 2 2 6" xfId="15570"/>
    <cellStyle name="Обычный 6 2 2 2 2 6 2" xfId="15571"/>
    <cellStyle name="Обычный 6 2 2 2 2 6 3" xfId="15572"/>
    <cellStyle name="Обычный 6 2 2 2 2 7" xfId="15573"/>
    <cellStyle name="Обычный 6 2 2 2 2 7 2" xfId="15574"/>
    <cellStyle name="Обычный 6 2 2 2 2 8" xfId="15575"/>
    <cellStyle name="Обычный 6 2 2 2 2 9" xfId="15576"/>
    <cellStyle name="Обычный 6 2 2 2 3" xfId="15577"/>
    <cellStyle name="Обычный 6 2 2 2 3 2" xfId="15578"/>
    <cellStyle name="Обычный 6 2 2 2 3 2 2" xfId="15579"/>
    <cellStyle name="Обычный 6 2 2 2 3 2 2 2" xfId="15580"/>
    <cellStyle name="Обычный 6 2 2 2 3 2 2 2 2" xfId="15581"/>
    <cellStyle name="Обычный 6 2 2 2 3 2 2 2 3" xfId="15582"/>
    <cellStyle name="Обычный 6 2 2 2 3 2 2 3" xfId="15583"/>
    <cellStyle name="Обычный 6 2 2 2 3 2 2 3 2" xfId="15584"/>
    <cellStyle name="Обычный 6 2 2 2 3 2 2 3 3" xfId="15585"/>
    <cellStyle name="Обычный 6 2 2 2 3 2 2 4" xfId="15586"/>
    <cellStyle name="Обычный 6 2 2 2 3 2 2 4 2" xfId="15587"/>
    <cellStyle name="Обычный 6 2 2 2 3 2 2 5" xfId="15588"/>
    <cellStyle name="Обычный 6 2 2 2 3 2 2 6" xfId="15589"/>
    <cellStyle name="Обычный 6 2 2 2 3 2 3" xfId="15590"/>
    <cellStyle name="Обычный 6 2 2 2 3 2 3 2" xfId="15591"/>
    <cellStyle name="Обычный 6 2 2 2 3 2 3 3" xfId="15592"/>
    <cellStyle name="Обычный 6 2 2 2 3 2 4" xfId="15593"/>
    <cellStyle name="Обычный 6 2 2 2 3 2 4 2" xfId="15594"/>
    <cellStyle name="Обычный 6 2 2 2 3 2 4 3" xfId="15595"/>
    <cellStyle name="Обычный 6 2 2 2 3 2 5" xfId="15596"/>
    <cellStyle name="Обычный 6 2 2 2 3 2 5 2" xfId="15597"/>
    <cellStyle name="Обычный 6 2 2 2 3 2 6" xfId="15598"/>
    <cellStyle name="Обычный 6 2 2 2 3 2 7" xfId="15599"/>
    <cellStyle name="Обычный 6 2 2 2 3 3" xfId="15600"/>
    <cellStyle name="Обычный 6 2 2 2 3 3 2" xfId="15601"/>
    <cellStyle name="Обычный 6 2 2 2 3 3 2 2" xfId="15602"/>
    <cellStyle name="Обычный 6 2 2 2 3 3 2 3" xfId="15603"/>
    <cellStyle name="Обычный 6 2 2 2 3 3 3" xfId="15604"/>
    <cellStyle name="Обычный 6 2 2 2 3 3 3 2" xfId="15605"/>
    <cellStyle name="Обычный 6 2 2 2 3 3 3 3" xfId="15606"/>
    <cellStyle name="Обычный 6 2 2 2 3 3 4" xfId="15607"/>
    <cellStyle name="Обычный 6 2 2 2 3 3 4 2" xfId="15608"/>
    <cellStyle name="Обычный 6 2 2 2 3 3 5" xfId="15609"/>
    <cellStyle name="Обычный 6 2 2 2 3 3 6" xfId="15610"/>
    <cellStyle name="Обычный 6 2 2 2 3 4" xfId="15611"/>
    <cellStyle name="Обычный 6 2 2 2 3 4 2" xfId="15612"/>
    <cellStyle name="Обычный 6 2 2 2 3 4 3" xfId="15613"/>
    <cellStyle name="Обычный 6 2 2 2 3 5" xfId="15614"/>
    <cellStyle name="Обычный 6 2 2 2 3 5 2" xfId="15615"/>
    <cellStyle name="Обычный 6 2 2 2 3 5 3" xfId="15616"/>
    <cellStyle name="Обычный 6 2 2 2 3 6" xfId="15617"/>
    <cellStyle name="Обычный 6 2 2 2 3 6 2" xfId="15618"/>
    <cellStyle name="Обычный 6 2 2 2 3 7" xfId="15619"/>
    <cellStyle name="Обычный 6 2 2 2 3 8" xfId="15620"/>
    <cellStyle name="Обычный 6 2 2 2 4" xfId="15621"/>
    <cellStyle name="Обычный 6 2 2 2 4 2" xfId="15622"/>
    <cellStyle name="Обычный 6 2 2 2 4 2 2" xfId="15623"/>
    <cellStyle name="Обычный 6 2 2 2 4 2 2 2" xfId="15624"/>
    <cellStyle name="Обычный 6 2 2 2 4 2 2 3" xfId="15625"/>
    <cellStyle name="Обычный 6 2 2 2 4 2 3" xfId="15626"/>
    <cellStyle name="Обычный 6 2 2 2 4 2 3 2" xfId="15627"/>
    <cellStyle name="Обычный 6 2 2 2 4 2 3 3" xfId="15628"/>
    <cellStyle name="Обычный 6 2 2 2 4 2 4" xfId="15629"/>
    <cellStyle name="Обычный 6 2 2 2 4 2 4 2" xfId="15630"/>
    <cellStyle name="Обычный 6 2 2 2 4 2 5" xfId="15631"/>
    <cellStyle name="Обычный 6 2 2 2 4 2 6" xfId="15632"/>
    <cellStyle name="Обычный 6 2 2 2 4 3" xfId="15633"/>
    <cellStyle name="Обычный 6 2 2 2 4 3 2" xfId="15634"/>
    <cellStyle name="Обычный 6 2 2 2 4 3 3" xfId="15635"/>
    <cellStyle name="Обычный 6 2 2 2 4 4" xfId="15636"/>
    <cellStyle name="Обычный 6 2 2 2 4 4 2" xfId="15637"/>
    <cellStyle name="Обычный 6 2 2 2 4 4 3" xfId="15638"/>
    <cellStyle name="Обычный 6 2 2 2 4 5" xfId="15639"/>
    <cellStyle name="Обычный 6 2 2 2 4 5 2" xfId="15640"/>
    <cellStyle name="Обычный 6 2 2 2 4 6" xfId="15641"/>
    <cellStyle name="Обычный 6 2 2 2 4 7" xfId="15642"/>
    <cellStyle name="Обычный 6 2 2 2 5" xfId="15643"/>
    <cellStyle name="Обычный 6 2 2 2 5 2" xfId="15644"/>
    <cellStyle name="Обычный 6 2 2 2 5 2 2" xfId="15645"/>
    <cellStyle name="Обычный 6 2 2 2 5 2 3" xfId="15646"/>
    <cellStyle name="Обычный 6 2 2 2 5 3" xfId="15647"/>
    <cellStyle name="Обычный 6 2 2 2 5 3 2" xfId="15648"/>
    <cellStyle name="Обычный 6 2 2 2 5 3 3" xfId="15649"/>
    <cellStyle name="Обычный 6 2 2 2 5 4" xfId="15650"/>
    <cellStyle name="Обычный 6 2 2 2 5 4 2" xfId="15651"/>
    <cellStyle name="Обычный 6 2 2 2 5 5" xfId="15652"/>
    <cellStyle name="Обычный 6 2 2 2 5 6" xfId="15653"/>
    <cellStyle name="Обычный 6 2 2 2 6" xfId="15654"/>
    <cellStyle name="Обычный 6 2 2 2 6 2" xfId="15655"/>
    <cellStyle name="Обычный 6 2 2 2 6 3" xfId="15656"/>
    <cellStyle name="Обычный 6 2 2 2 7" xfId="15657"/>
    <cellStyle name="Обычный 6 2 2 2 7 2" xfId="15658"/>
    <cellStyle name="Обычный 6 2 2 2 7 3" xfId="15659"/>
    <cellStyle name="Обычный 6 2 2 2 8" xfId="15660"/>
    <cellStyle name="Обычный 6 2 2 2 8 2" xfId="15661"/>
    <cellStyle name="Обычный 6 2 2 2 9" xfId="15662"/>
    <cellStyle name="Обычный 6 2 2 3" xfId="15663"/>
    <cellStyle name="Обычный 6 2 2 3 10" xfId="15664"/>
    <cellStyle name="Обычный 6 2 2 3 2" xfId="15665"/>
    <cellStyle name="Обычный 6 2 2 3 2 2" xfId="15666"/>
    <cellStyle name="Обычный 6 2 2 3 2 2 2" xfId="15667"/>
    <cellStyle name="Обычный 6 2 2 3 2 2 2 2" xfId="15668"/>
    <cellStyle name="Обычный 6 2 2 3 2 2 2 2 2" xfId="15669"/>
    <cellStyle name="Обычный 6 2 2 3 2 2 2 2 2 2" xfId="15670"/>
    <cellStyle name="Обычный 6 2 2 3 2 2 2 2 2 3" xfId="15671"/>
    <cellStyle name="Обычный 6 2 2 3 2 2 2 2 3" xfId="15672"/>
    <cellStyle name="Обычный 6 2 2 3 2 2 2 2 3 2" xfId="15673"/>
    <cellStyle name="Обычный 6 2 2 3 2 2 2 2 3 3" xfId="15674"/>
    <cellStyle name="Обычный 6 2 2 3 2 2 2 2 4" xfId="15675"/>
    <cellStyle name="Обычный 6 2 2 3 2 2 2 2 4 2" xfId="15676"/>
    <cellStyle name="Обычный 6 2 2 3 2 2 2 2 5" xfId="15677"/>
    <cellStyle name="Обычный 6 2 2 3 2 2 2 2 6" xfId="15678"/>
    <cellStyle name="Обычный 6 2 2 3 2 2 2 3" xfId="15679"/>
    <cellStyle name="Обычный 6 2 2 3 2 2 2 3 2" xfId="15680"/>
    <cellStyle name="Обычный 6 2 2 3 2 2 2 3 3" xfId="15681"/>
    <cellStyle name="Обычный 6 2 2 3 2 2 2 4" xfId="15682"/>
    <cellStyle name="Обычный 6 2 2 3 2 2 2 4 2" xfId="15683"/>
    <cellStyle name="Обычный 6 2 2 3 2 2 2 4 3" xfId="15684"/>
    <cellStyle name="Обычный 6 2 2 3 2 2 2 5" xfId="15685"/>
    <cellStyle name="Обычный 6 2 2 3 2 2 2 5 2" xfId="15686"/>
    <cellStyle name="Обычный 6 2 2 3 2 2 2 6" xfId="15687"/>
    <cellStyle name="Обычный 6 2 2 3 2 2 2 7" xfId="15688"/>
    <cellStyle name="Обычный 6 2 2 3 2 2 3" xfId="15689"/>
    <cellStyle name="Обычный 6 2 2 3 2 2 3 2" xfId="15690"/>
    <cellStyle name="Обычный 6 2 2 3 2 2 3 2 2" xfId="15691"/>
    <cellStyle name="Обычный 6 2 2 3 2 2 3 2 3" xfId="15692"/>
    <cellStyle name="Обычный 6 2 2 3 2 2 3 3" xfId="15693"/>
    <cellStyle name="Обычный 6 2 2 3 2 2 3 3 2" xfId="15694"/>
    <cellStyle name="Обычный 6 2 2 3 2 2 3 3 3" xfId="15695"/>
    <cellStyle name="Обычный 6 2 2 3 2 2 3 4" xfId="15696"/>
    <cellStyle name="Обычный 6 2 2 3 2 2 3 4 2" xfId="15697"/>
    <cellStyle name="Обычный 6 2 2 3 2 2 3 5" xfId="15698"/>
    <cellStyle name="Обычный 6 2 2 3 2 2 3 6" xfId="15699"/>
    <cellStyle name="Обычный 6 2 2 3 2 2 4" xfId="15700"/>
    <cellStyle name="Обычный 6 2 2 3 2 2 4 2" xfId="15701"/>
    <cellStyle name="Обычный 6 2 2 3 2 2 4 3" xfId="15702"/>
    <cellStyle name="Обычный 6 2 2 3 2 2 5" xfId="15703"/>
    <cellStyle name="Обычный 6 2 2 3 2 2 5 2" xfId="15704"/>
    <cellStyle name="Обычный 6 2 2 3 2 2 5 3" xfId="15705"/>
    <cellStyle name="Обычный 6 2 2 3 2 2 6" xfId="15706"/>
    <cellStyle name="Обычный 6 2 2 3 2 2 6 2" xfId="15707"/>
    <cellStyle name="Обычный 6 2 2 3 2 2 7" xfId="15708"/>
    <cellStyle name="Обычный 6 2 2 3 2 2 8" xfId="15709"/>
    <cellStyle name="Обычный 6 2 2 3 2 3" xfId="15710"/>
    <cellStyle name="Обычный 6 2 2 3 2 3 2" xfId="15711"/>
    <cellStyle name="Обычный 6 2 2 3 2 3 2 2" xfId="15712"/>
    <cellStyle name="Обычный 6 2 2 3 2 3 2 2 2" xfId="15713"/>
    <cellStyle name="Обычный 6 2 2 3 2 3 2 2 3" xfId="15714"/>
    <cellStyle name="Обычный 6 2 2 3 2 3 2 3" xfId="15715"/>
    <cellStyle name="Обычный 6 2 2 3 2 3 2 3 2" xfId="15716"/>
    <cellStyle name="Обычный 6 2 2 3 2 3 2 3 3" xfId="15717"/>
    <cellStyle name="Обычный 6 2 2 3 2 3 2 4" xfId="15718"/>
    <cellStyle name="Обычный 6 2 2 3 2 3 2 4 2" xfId="15719"/>
    <cellStyle name="Обычный 6 2 2 3 2 3 2 5" xfId="15720"/>
    <cellStyle name="Обычный 6 2 2 3 2 3 2 6" xfId="15721"/>
    <cellStyle name="Обычный 6 2 2 3 2 3 3" xfId="15722"/>
    <cellStyle name="Обычный 6 2 2 3 2 3 3 2" xfId="15723"/>
    <cellStyle name="Обычный 6 2 2 3 2 3 3 3" xfId="15724"/>
    <cellStyle name="Обычный 6 2 2 3 2 3 4" xfId="15725"/>
    <cellStyle name="Обычный 6 2 2 3 2 3 4 2" xfId="15726"/>
    <cellStyle name="Обычный 6 2 2 3 2 3 4 3" xfId="15727"/>
    <cellStyle name="Обычный 6 2 2 3 2 3 5" xfId="15728"/>
    <cellStyle name="Обычный 6 2 2 3 2 3 5 2" xfId="15729"/>
    <cellStyle name="Обычный 6 2 2 3 2 3 6" xfId="15730"/>
    <cellStyle name="Обычный 6 2 2 3 2 3 7" xfId="15731"/>
    <cellStyle name="Обычный 6 2 2 3 2 4" xfId="15732"/>
    <cellStyle name="Обычный 6 2 2 3 2 4 2" xfId="15733"/>
    <cellStyle name="Обычный 6 2 2 3 2 4 2 2" xfId="15734"/>
    <cellStyle name="Обычный 6 2 2 3 2 4 2 3" xfId="15735"/>
    <cellStyle name="Обычный 6 2 2 3 2 4 3" xfId="15736"/>
    <cellStyle name="Обычный 6 2 2 3 2 4 3 2" xfId="15737"/>
    <cellStyle name="Обычный 6 2 2 3 2 4 3 3" xfId="15738"/>
    <cellStyle name="Обычный 6 2 2 3 2 4 4" xfId="15739"/>
    <cellStyle name="Обычный 6 2 2 3 2 4 4 2" xfId="15740"/>
    <cellStyle name="Обычный 6 2 2 3 2 4 5" xfId="15741"/>
    <cellStyle name="Обычный 6 2 2 3 2 4 6" xfId="15742"/>
    <cellStyle name="Обычный 6 2 2 3 2 5" xfId="15743"/>
    <cellStyle name="Обычный 6 2 2 3 2 5 2" xfId="15744"/>
    <cellStyle name="Обычный 6 2 2 3 2 5 3" xfId="15745"/>
    <cellStyle name="Обычный 6 2 2 3 2 6" xfId="15746"/>
    <cellStyle name="Обычный 6 2 2 3 2 6 2" xfId="15747"/>
    <cellStyle name="Обычный 6 2 2 3 2 6 3" xfId="15748"/>
    <cellStyle name="Обычный 6 2 2 3 2 7" xfId="15749"/>
    <cellStyle name="Обычный 6 2 2 3 2 7 2" xfId="15750"/>
    <cellStyle name="Обычный 6 2 2 3 2 8" xfId="15751"/>
    <cellStyle name="Обычный 6 2 2 3 2 9" xfId="15752"/>
    <cellStyle name="Обычный 6 2 2 3 3" xfId="15753"/>
    <cellStyle name="Обычный 6 2 2 3 3 2" xfId="15754"/>
    <cellStyle name="Обычный 6 2 2 3 3 2 2" xfId="15755"/>
    <cellStyle name="Обычный 6 2 2 3 3 2 2 2" xfId="15756"/>
    <cellStyle name="Обычный 6 2 2 3 3 2 2 2 2" xfId="15757"/>
    <cellStyle name="Обычный 6 2 2 3 3 2 2 2 3" xfId="15758"/>
    <cellStyle name="Обычный 6 2 2 3 3 2 2 3" xfId="15759"/>
    <cellStyle name="Обычный 6 2 2 3 3 2 2 3 2" xfId="15760"/>
    <cellStyle name="Обычный 6 2 2 3 3 2 2 3 3" xfId="15761"/>
    <cellStyle name="Обычный 6 2 2 3 3 2 2 4" xfId="15762"/>
    <cellStyle name="Обычный 6 2 2 3 3 2 2 4 2" xfId="15763"/>
    <cellStyle name="Обычный 6 2 2 3 3 2 2 5" xfId="15764"/>
    <cellStyle name="Обычный 6 2 2 3 3 2 2 6" xfId="15765"/>
    <cellStyle name="Обычный 6 2 2 3 3 2 3" xfId="15766"/>
    <cellStyle name="Обычный 6 2 2 3 3 2 3 2" xfId="15767"/>
    <cellStyle name="Обычный 6 2 2 3 3 2 3 3" xfId="15768"/>
    <cellStyle name="Обычный 6 2 2 3 3 2 4" xfId="15769"/>
    <cellStyle name="Обычный 6 2 2 3 3 2 4 2" xfId="15770"/>
    <cellStyle name="Обычный 6 2 2 3 3 2 4 3" xfId="15771"/>
    <cellStyle name="Обычный 6 2 2 3 3 2 5" xfId="15772"/>
    <cellStyle name="Обычный 6 2 2 3 3 2 5 2" xfId="15773"/>
    <cellStyle name="Обычный 6 2 2 3 3 2 6" xfId="15774"/>
    <cellStyle name="Обычный 6 2 2 3 3 2 7" xfId="15775"/>
    <cellStyle name="Обычный 6 2 2 3 3 3" xfId="15776"/>
    <cellStyle name="Обычный 6 2 2 3 3 3 2" xfId="15777"/>
    <cellStyle name="Обычный 6 2 2 3 3 3 2 2" xfId="15778"/>
    <cellStyle name="Обычный 6 2 2 3 3 3 2 3" xfId="15779"/>
    <cellStyle name="Обычный 6 2 2 3 3 3 3" xfId="15780"/>
    <cellStyle name="Обычный 6 2 2 3 3 3 3 2" xfId="15781"/>
    <cellStyle name="Обычный 6 2 2 3 3 3 3 3" xfId="15782"/>
    <cellStyle name="Обычный 6 2 2 3 3 3 4" xfId="15783"/>
    <cellStyle name="Обычный 6 2 2 3 3 3 4 2" xfId="15784"/>
    <cellStyle name="Обычный 6 2 2 3 3 3 5" xfId="15785"/>
    <cellStyle name="Обычный 6 2 2 3 3 3 6" xfId="15786"/>
    <cellStyle name="Обычный 6 2 2 3 3 4" xfId="15787"/>
    <cellStyle name="Обычный 6 2 2 3 3 4 2" xfId="15788"/>
    <cellStyle name="Обычный 6 2 2 3 3 4 3" xfId="15789"/>
    <cellStyle name="Обычный 6 2 2 3 3 5" xfId="15790"/>
    <cellStyle name="Обычный 6 2 2 3 3 5 2" xfId="15791"/>
    <cellStyle name="Обычный 6 2 2 3 3 5 3" xfId="15792"/>
    <cellStyle name="Обычный 6 2 2 3 3 6" xfId="15793"/>
    <cellStyle name="Обычный 6 2 2 3 3 6 2" xfId="15794"/>
    <cellStyle name="Обычный 6 2 2 3 3 7" xfId="15795"/>
    <cellStyle name="Обычный 6 2 2 3 3 8" xfId="15796"/>
    <cellStyle name="Обычный 6 2 2 3 4" xfId="15797"/>
    <cellStyle name="Обычный 6 2 2 3 4 2" xfId="15798"/>
    <cellStyle name="Обычный 6 2 2 3 4 2 2" xfId="15799"/>
    <cellStyle name="Обычный 6 2 2 3 4 2 2 2" xfId="15800"/>
    <cellStyle name="Обычный 6 2 2 3 4 2 2 3" xfId="15801"/>
    <cellStyle name="Обычный 6 2 2 3 4 2 3" xfId="15802"/>
    <cellStyle name="Обычный 6 2 2 3 4 2 3 2" xfId="15803"/>
    <cellStyle name="Обычный 6 2 2 3 4 2 3 3" xfId="15804"/>
    <cellStyle name="Обычный 6 2 2 3 4 2 4" xfId="15805"/>
    <cellStyle name="Обычный 6 2 2 3 4 2 4 2" xfId="15806"/>
    <cellStyle name="Обычный 6 2 2 3 4 2 5" xfId="15807"/>
    <cellStyle name="Обычный 6 2 2 3 4 2 6" xfId="15808"/>
    <cellStyle name="Обычный 6 2 2 3 4 3" xfId="15809"/>
    <cellStyle name="Обычный 6 2 2 3 4 3 2" xfId="15810"/>
    <cellStyle name="Обычный 6 2 2 3 4 3 3" xfId="15811"/>
    <cellStyle name="Обычный 6 2 2 3 4 4" xfId="15812"/>
    <cellStyle name="Обычный 6 2 2 3 4 4 2" xfId="15813"/>
    <cellStyle name="Обычный 6 2 2 3 4 4 3" xfId="15814"/>
    <cellStyle name="Обычный 6 2 2 3 4 5" xfId="15815"/>
    <cellStyle name="Обычный 6 2 2 3 4 5 2" xfId="15816"/>
    <cellStyle name="Обычный 6 2 2 3 4 6" xfId="15817"/>
    <cellStyle name="Обычный 6 2 2 3 4 7" xfId="15818"/>
    <cellStyle name="Обычный 6 2 2 3 5" xfId="15819"/>
    <cellStyle name="Обычный 6 2 2 3 5 2" xfId="15820"/>
    <cellStyle name="Обычный 6 2 2 3 5 2 2" xfId="15821"/>
    <cellStyle name="Обычный 6 2 2 3 5 2 3" xfId="15822"/>
    <cellStyle name="Обычный 6 2 2 3 5 3" xfId="15823"/>
    <cellStyle name="Обычный 6 2 2 3 5 3 2" xfId="15824"/>
    <cellStyle name="Обычный 6 2 2 3 5 3 3" xfId="15825"/>
    <cellStyle name="Обычный 6 2 2 3 5 4" xfId="15826"/>
    <cellStyle name="Обычный 6 2 2 3 5 4 2" xfId="15827"/>
    <cellStyle name="Обычный 6 2 2 3 5 5" xfId="15828"/>
    <cellStyle name="Обычный 6 2 2 3 5 6" xfId="15829"/>
    <cellStyle name="Обычный 6 2 2 3 6" xfId="15830"/>
    <cellStyle name="Обычный 6 2 2 3 6 2" xfId="15831"/>
    <cellStyle name="Обычный 6 2 2 3 6 3" xfId="15832"/>
    <cellStyle name="Обычный 6 2 2 3 7" xfId="15833"/>
    <cellStyle name="Обычный 6 2 2 3 7 2" xfId="15834"/>
    <cellStyle name="Обычный 6 2 2 3 7 3" xfId="15835"/>
    <cellStyle name="Обычный 6 2 2 3 8" xfId="15836"/>
    <cellStyle name="Обычный 6 2 2 3 8 2" xfId="15837"/>
    <cellStyle name="Обычный 6 2 2 3 9" xfId="15838"/>
    <cellStyle name="Обычный 6 2 2 4" xfId="15839"/>
    <cellStyle name="Обычный 6 2 2 4 10" xfId="15840"/>
    <cellStyle name="Обычный 6 2 2 4 2" xfId="15841"/>
    <cellStyle name="Обычный 6 2 2 4 2 2" xfId="15842"/>
    <cellStyle name="Обычный 6 2 2 4 2 2 2" xfId="15843"/>
    <cellStyle name="Обычный 6 2 2 4 2 2 2 2" xfId="15844"/>
    <cellStyle name="Обычный 6 2 2 4 2 2 2 2 2" xfId="15845"/>
    <cellStyle name="Обычный 6 2 2 4 2 2 2 2 2 2" xfId="15846"/>
    <cellStyle name="Обычный 6 2 2 4 2 2 2 2 2 3" xfId="15847"/>
    <cellStyle name="Обычный 6 2 2 4 2 2 2 2 3" xfId="15848"/>
    <cellStyle name="Обычный 6 2 2 4 2 2 2 2 3 2" xfId="15849"/>
    <cellStyle name="Обычный 6 2 2 4 2 2 2 2 3 3" xfId="15850"/>
    <cellStyle name="Обычный 6 2 2 4 2 2 2 2 4" xfId="15851"/>
    <cellStyle name="Обычный 6 2 2 4 2 2 2 2 4 2" xfId="15852"/>
    <cellStyle name="Обычный 6 2 2 4 2 2 2 2 5" xfId="15853"/>
    <cellStyle name="Обычный 6 2 2 4 2 2 2 2 6" xfId="15854"/>
    <cellStyle name="Обычный 6 2 2 4 2 2 2 3" xfId="15855"/>
    <cellStyle name="Обычный 6 2 2 4 2 2 2 3 2" xfId="15856"/>
    <cellStyle name="Обычный 6 2 2 4 2 2 2 3 3" xfId="15857"/>
    <cellStyle name="Обычный 6 2 2 4 2 2 2 4" xfId="15858"/>
    <cellStyle name="Обычный 6 2 2 4 2 2 2 4 2" xfId="15859"/>
    <cellStyle name="Обычный 6 2 2 4 2 2 2 4 3" xfId="15860"/>
    <cellStyle name="Обычный 6 2 2 4 2 2 2 5" xfId="15861"/>
    <cellStyle name="Обычный 6 2 2 4 2 2 2 5 2" xfId="15862"/>
    <cellStyle name="Обычный 6 2 2 4 2 2 2 6" xfId="15863"/>
    <cellStyle name="Обычный 6 2 2 4 2 2 2 7" xfId="15864"/>
    <cellStyle name="Обычный 6 2 2 4 2 2 3" xfId="15865"/>
    <cellStyle name="Обычный 6 2 2 4 2 2 3 2" xfId="15866"/>
    <cellStyle name="Обычный 6 2 2 4 2 2 3 2 2" xfId="15867"/>
    <cellStyle name="Обычный 6 2 2 4 2 2 3 2 3" xfId="15868"/>
    <cellStyle name="Обычный 6 2 2 4 2 2 3 3" xfId="15869"/>
    <cellStyle name="Обычный 6 2 2 4 2 2 3 3 2" xfId="15870"/>
    <cellStyle name="Обычный 6 2 2 4 2 2 3 3 3" xfId="15871"/>
    <cellStyle name="Обычный 6 2 2 4 2 2 3 4" xfId="15872"/>
    <cellStyle name="Обычный 6 2 2 4 2 2 3 4 2" xfId="15873"/>
    <cellStyle name="Обычный 6 2 2 4 2 2 3 5" xfId="15874"/>
    <cellStyle name="Обычный 6 2 2 4 2 2 3 6" xfId="15875"/>
    <cellStyle name="Обычный 6 2 2 4 2 2 4" xfId="15876"/>
    <cellStyle name="Обычный 6 2 2 4 2 2 4 2" xfId="15877"/>
    <cellStyle name="Обычный 6 2 2 4 2 2 4 3" xfId="15878"/>
    <cellStyle name="Обычный 6 2 2 4 2 2 5" xfId="15879"/>
    <cellStyle name="Обычный 6 2 2 4 2 2 5 2" xfId="15880"/>
    <cellStyle name="Обычный 6 2 2 4 2 2 5 3" xfId="15881"/>
    <cellStyle name="Обычный 6 2 2 4 2 2 6" xfId="15882"/>
    <cellStyle name="Обычный 6 2 2 4 2 2 6 2" xfId="15883"/>
    <cellStyle name="Обычный 6 2 2 4 2 2 7" xfId="15884"/>
    <cellStyle name="Обычный 6 2 2 4 2 2 8" xfId="15885"/>
    <cellStyle name="Обычный 6 2 2 4 2 3" xfId="15886"/>
    <cellStyle name="Обычный 6 2 2 4 2 3 2" xfId="15887"/>
    <cellStyle name="Обычный 6 2 2 4 2 3 2 2" xfId="15888"/>
    <cellStyle name="Обычный 6 2 2 4 2 3 2 2 2" xfId="15889"/>
    <cellStyle name="Обычный 6 2 2 4 2 3 2 2 3" xfId="15890"/>
    <cellStyle name="Обычный 6 2 2 4 2 3 2 3" xfId="15891"/>
    <cellStyle name="Обычный 6 2 2 4 2 3 2 3 2" xfId="15892"/>
    <cellStyle name="Обычный 6 2 2 4 2 3 2 3 3" xfId="15893"/>
    <cellStyle name="Обычный 6 2 2 4 2 3 2 4" xfId="15894"/>
    <cellStyle name="Обычный 6 2 2 4 2 3 2 4 2" xfId="15895"/>
    <cellStyle name="Обычный 6 2 2 4 2 3 2 5" xfId="15896"/>
    <cellStyle name="Обычный 6 2 2 4 2 3 2 6" xfId="15897"/>
    <cellStyle name="Обычный 6 2 2 4 2 3 3" xfId="15898"/>
    <cellStyle name="Обычный 6 2 2 4 2 3 3 2" xfId="15899"/>
    <cellStyle name="Обычный 6 2 2 4 2 3 3 3" xfId="15900"/>
    <cellStyle name="Обычный 6 2 2 4 2 3 4" xfId="15901"/>
    <cellStyle name="Обычный 6 2 2 4 2 3 4 2" xfId="15902"/>
    <cellStyle name="Обычный 6 2 2 4 2 3 4 3" xfId="15903"/>
    <cellStyle name="Обычный 6 2 2 4 2 3 5" xfId="15904"/>
    <cellStyle name="Обычный 6 2 2 4 2 3 5 2" xfId="15905"/>
    <cellStyle name="Обычный 6 2 2 4 2 3 6" xfId="15906"/>
    <cellStyle name="Обычный 6 2 2 4 2 3 7" xfId="15907"/>
    <cellStyle name="Обычный 6 2 2 4 2 4" xfId="15908"/>
    <cellStyle name="Обычный 6 2 2 4 2 4 2" xfId="15909"/>
    <cellStyle name="Обычный 6 2 2 4 2 4 2 2" xfId="15910"/>
    <cellStyle name="Обычный 6 2 2 4 2 4 2 3" xfId="15911"/>
    <cellStyle name="Обычный 6 2 2 4 2 4 3" xfId="15912"/>
    <cellStyle name="Обычный 6 2 2 4 2 4 3 2" xfId="15913"/>
    <cellStyle name="Обычный 6 2 2 4 2 4 3 3" xfId="15914"/>
    <cellStyle name="Обычный 6 2 2 4 2 4 4" xfId="15915"/>
    <cellStyle name="Обычный 6 2 2 4 2 4 4 2" xfId="15916"/>
    <cellStyle name="Обычный 6 2 2 4 2 4 5" xfId="15917"/>
    <cellStyle name="Обычный 6 2 2 4 2 4 6" xfId="15918"/>
    <cellStyle name="Обычный 6 2 2 4 2 5" xfId="15919"/>
    <cellStyle name="Обычный 6 2 2 4 2 5 2" xfId="15920"/>
    <cellStyle name="Обычный 6 2 2 4 2 5 3" xfId="15921"/>
    <cellStyle name="Обычный 6 2 2 4 2 6" xfId="15922"/>
    <cellStyle name="Обычный 6 2 2 4 2 6 2" xfId="15923"/>
    <cellStyle name="Обычный 6 2 2 4 2 6 3" xfId="15924"/>
    <cellStyle name="Обычный 6 2 2 4 2 7" xfId="15925"/>
    <cellStyle name="Обычный 6 2 2 4 2 7 2" xfId="15926"/>
    <cellStyle name="Обычный 6 2 2 4 2 8" xfId="15927"/>
    <cellStyle name="Обычный 6 2 2 4 2 9" xfId="15928"/>
    <cellStyle name="Обычный 6 2 2 4 3" xfId="15929"/>
    <cellStyle name="Обычный 6 2 2 4 3 2" xfId="15930"/>
    <cellStyle name="Обычный 6 2 2 4 3 2 2" xfId="15931"/>
    <cellStyle name="Обычный 6 2 2 4 3 2 2 2" xfId="15932"/>
    <cellStyle name="Обычный 6 2 2 4 3 2 2 2 2" xfId="15933"/>
    <cellStyle name="Обычный 6 2 2 4 3 2 2 2 3" xfId="15934"/>
    <cellStyle name="Обычный 6 2 2 4 3 2 2 3" xfId="15935"/>
    <cellStyle name="Обычный 6 2 2 4 3 2 2 3 2" xfId="15936"/>
    <cellStyle name="Обычный 6 2 2 4 3 2 2 3 3" xfId="15937"/>
    <cellStyle name="Обычный 6 2 2 4 3 2 2 4" xfId="15938"/>
    <cellStyle name="Обычный 6 2 2 4 3 2 2 4 2" xfId="15939"/>
    <cellStyle name="Обычный 6 2 2 4 3 2 2 5" xfId="15940"/>
    <cellStyle name="Обычный 6 2 2 4 3 2 2 6" xfId="15941"/>
    <cellStyle name="Обычный 6 2 2 4 3 2 3" xfId="15942"/>
    <cellStyle name="Обычный 6 2 2 4 3 2 3 2" xfId="15943"/>
    <cellStyle name="Обычный 6 2 2 4 3 2 3 3" xfId="15944"/>
    <cellStyle name="Обычный 6 2 2 4 3 2 4" xfId="15945"/>
    <cellStyle name="Обычный 6 2 2 4 3 2 4 2" xfId="15946"/>
    <cellStyle name="Обычный 6 2 2 4 3 2 4 3" xfId="15947"/>
    <cellStyle name="Обычный 6 2 2 4 3 2 5" xfId="15948"/>
    <cellStyle name="Обычный 6 2 2 4 3 2 5 2" xfId="15949"/>
    <cellStyle name="Обычный 6 2 2 4 3 2 6" xfId="15950"/>
    <cellStyle name="Обычный 6 2 2 4 3 2 7" xfId="15951"/>
    <cellStyle name="Обычный 6 2 2 4 3 3" xfId="15952"/>
    <cellStyle name="Обычный 6 2 2 4 3 3 2" xfId="15953"/>
    <cellStyle name="Обычный 6 2 2 4 3 3 2 2" xfId="15954"/>
    <cellStyle name="Обычный 6 2 2 4 3 3 2 3" xfId="15955"/>
    <cellStyle name="Обычный 6 2 2 4 3 3 3" xfId="15956"/>
    <cellStyle name="Обычный 6 2 2 4 3 3 3 2" xfId="15957"/>
    <cellStyle name="Обычный 6 2 2 4 3 3 3 3" xfId="15958"/>
    <cellStyle name="Обычный 6 2 2 4 3 3 4" xfId="15959"/>
    <cellStyle name="Обычный 6 2 2 4 3 3 4 2" xfId="15960"/>
    <cellStyle name="Обычный 6 2 2 4 3 3 5" xfId="15961"/>
    <cellStyle name="Обычный 6 2 2 4 3 3 6" xfId="15962"/>
    <cellStyle name="Обычный 6 2 2 4 3 4" xfId="15963"/>
    <cellStyle name="Обычный 6 2 2 4 3 4 2" xfId="15964"/>
    <cellStyle name="Обычный 6 2 2 4 3 4 3" xfId="15965"/>
    <cellStyle name="Обычный 6 2 2 4 3 5" xfId="15966"/>
    <cellStyle name="Обычный 6 2 2 4 3 5 2" xfId="15967"/>
    <cellStyle name="Обычный 6 2 2 4 3 5 3" xfId="15968"/>
    <cellStyle name="Обычный 6 2 2 4 3 6" xfId="15969"/>
    <cellStyle name="Обычный 6 2 2 4 3 6 2" xfId="15970"/>
    <cellStyle name="Обычный 6 2 2 4 3 7" xfId="15971"/>
    <cellStyle name="Обычный 6 2 2 4 3 8" xfId="15972"/>
    <cellStyle name="Обычный 6 2 2 4 4" xfId="15973"/>
    <cellStyle name="Обычный 6 2 2 4 4 2" xfId="15974"/>
    <cellStyle name="Обычный 6 2 2 4 4 2 2" xfId="15975"/>
    <cellStyle name="Обычный 6 2 2 4 4 2 2 2" xfId="15976"/>
    <cellStyle name="Обычный 6 2 2 4 4 2 2 3" xfId="15977"/>
    <cellStyle name="Обычный 6 2 2 4 4 2 3" xfId="15978"/>
    <cellStyle name="Обычный 6 2 2 4 4 2 3 2" xfId="15979"/>
    <cellStyle name="Обычный 6 2 2 4 4 2 3 3" xfId="15980"/>
    <cellStyle name="Обычный 6 2 2 4 4 2 4" xfId="15981"/>
    <cellStyle name="Обычный 6 2 2 4 4 2 4 2" xfId="15982"/>
    <cellStyle name="Обычный 6 2 2 4 4 2 5" xfId="15983"/>
    <cellStyle name="Обычный 6 2 2 4 4 2 6" xfId="15984"/>
    <cellStyle name="Обычный 6 2 2 4 4 3" xfId="15985"/>
    <cellStyle name="Обычный 6 2 2 4 4 3 2" xfId="15986"/>
    <cellStyle name="Обычный 6 2 2 4 4 3 3" xfId="15987"/>
    <cellStyle name="Обычный 6 2 2 4 4 4" xfId="15988"/>
    <cellStyle name="Обычный 6 2 2 4 4 4 2" xfId="15989"/>
    <cellStyle name="Обычный 6 2 2 4 4 4 3" xfId="15990"/>
    <cellStyle name="Обычный 6 2 2 4 4 5" xfId="15991"/>
    <cellStyle name="Обычный 6 2 2 4 4 5 2" xfId="15992"/>
    <cellStyle name="Обычный 6 2 2 4 4 6" xfId="15993"/>
    <cellStyle name="Обычный 6 2 2 4 4 7" xfId="15994"/>
    <cellStyle name="Обычный 6 2 2 4 5" xfId="15995"/>
    <cellStyle name="Обычный 6 2 2 4 5 2" xfId="15996"/>
    <cellStyle name="Обычный 6 2 2 4 5 2 2" xfId="15997"/>
    <cellStyle name="Обычный 6 2 2 4 5 2 3" xfId="15998"/>
    <cellStyle name="Обычный 6 2 2 4 5 3" xfId="15999"/>
    <cellStyle name="Обычный 6 2 2 4 5 3 2" xfId="16000"/>
    <cellStyle name="Обычный 6 2 2 4 5 3 3" xfId="16001"/>
    <cellStyle name="Обычный 6 2 2 4 5 4" xfId="16002"/>
    <cellStyle name="Обычный 6 2 2 4 5 4 2" xfId="16003"/>
    <cellStyle name="Обычный 6 2 2 4 5 5" xfId="16004"/>
    <cellStyle name="Обычный 6 2 2 4 5 6" xfId="16005"/>
    <cellStyle name="Обычный 6 2 2 4 6" xfId="16006"/>
    <cellStyle name="Обычный 6 2 2 4 6 2" xfId="16007"/>
    <cellStyle name="Обычный 6 2 2 4 6 3" xfId="16008"/>
    <cellStyle name="Обычный 6 2 2 4 7" xfId="16009"/>
    <cellStyle name="Обычный 6 2 2 4 7 2" xfId="16010"/>
    <cellStyle name="Обычный 6 2 2 4 7 3" xfId="16011"/>
    <cellStyle name="Обычный 6 2 2 4 8" xfId="16012"/>
    <cellStyle name="Обычный 6 2 2 4 8 2" xfId="16013"/>
    <cellStyle name="Обычный 6 2 2 4 9" xfId="16014"/>
    <cellStyle name="Обычный 6 2 2 5" xfId="16015"/>
    <cellStyle name="Обычный 6 2 2 5 2" xfId="16016"/>
    <cellStyle name="Обычный 6 2 2 5 2 2" xfId="16017"/>
    <cellStyle name="Обычный 6 2 2 5 2 2 2" xfId="16018"/>
    <cellStyle name="Обычный 6 2 2 5 2 2 2 2" xfId="16019"/>
    <cellStyle name="Обычный 6 2 2 5 2 2 2 2 2" xfId="16020"/>
    <cellStyle name="Обычный 6 2 2 5 2 2 2 2 3" xfId="16021"/>
    <cellStyle name="Обычный 6 2 2 5 2 2 2 3" xfId="16022"/>
    <cellStyle name="Обычный 6 2 2 5 2 2 2 3 2" xfId="16023"/>
    <cellStyle name="Обычный 6 2 2 5 2 2 2 3 3" xfId="16024"/>
    <cellStyle name="Обычный 6 2 2 5 2 2 2 4" xfId="16025"/>
    <cellStyle name="Обычный 6 2 2 5 2 2 2 4 2" xfId="16026"/>
    <cellStyle name="Обычный 6 2 2 5 2 2 2 5" xfId="16027"/>
    <cellStyle name="Обычный 6 2 2 5 2 2 2 6" xfId="16028"/>
    <cellStyle name="Обычный 6 2 2 5 2 2 3" xfId="16029"/>
    <cellStyle name="Обычный 6 2 2 5 2 2 3 2" xfId="16030"/>
    <cellStyle name="Обычный 6 2 2 5 2 2 3 3" xfId="16031"/>
    <cellStyle name="Обычный 6 2 2 5 2 2 4" xfId="16032"/>
    <cellStyle name="Обычный 6 2 2 5 2 2 4 2" xfId="16033"/>
    <cellStyle name="Обычный 6 2 2 5 2 2 4 3" xfId="16034"/>
    <cellStyle name="Обычный 6 2 2 5 2 2 5" xfId="16035"/>
    <cellStyle name="Обычный 6 2 2 5 2 2 5 2" xfId="16036"/>
    <cellStyle name="Обычный 6 2 2 5 2 2 6" xfId="16037"/>
    <cellStyle name="Обычный 6 2 2 5 2 2 7" xfId="16038"/>
    <cellStyle name="Обычный 6 2 2 5 2 3" xfId="16039"/>
    <cellStyle name="Обычный 6 2 2 5 2 3 2" xfId="16040"/>
    <cellStyle name="Обычный 6 2 2 5 2 3 2 2" xfId="16041"/>
    <cellStyle name="Обычный 6 2 2 5 2 3 2 3" xfId="16042"/>
    <cellStyle name="Обычный 6 2 2 5 2 3 3" xfId="16043"/>
    <cellStyle name="Обычный 6 2 2 5 2 3 3 2" xfId="16044"/>
    <cellStyle name="Обычный 6 2 2 5 2 3 3 3" xfId="16045"/>
    <cellStyle name="Обычный 6 2 2 5 2 3 4" xfId="16046"/>
    <cellStyle name="Обычный 6 2 2 5 2 3 4 2" xfId="16047"/>
    <cellStyle name="Обычный 6 2 2 5 2 3 5" xfId="16048"/>
    <cellStyle name="Обычный 6 2 2 5 2 3 6" xfId="16049"/>
    <cellStyle name="Обычный 6 2 2 5 2 4" xfId="16050"/>
    <cellStyle name="Обычный 6 2 2 5 2 4 2" xfId="16051"/>
    <cellStyle name="Обычный 6 2 2 5 2 4 3" xfId="16052"/>
    <cellStyle name="Обычный 6 2 2 5 2 5" xfId="16053"/>
    <cellStyle name="Обычный 6 2 2 5 2 5 2" xfId="16054"/>
    <cellStyle name="Обычный 6 2 2 5 2 5 3" xfId="16055"/>
    <cellStyle name="Обычный 6 2 2 5 2 6" xfId="16056"/>
    <cellStyle name="Обычный 6 2 2 5 2 6 2" xfId="16057"/>
    <cellStyle name="Обычный 6 2 2 5 2 7" xfId="16058"/>
    <cellStyle name="Обычный 6 2 2 5 2 8" xfId="16059"/>
    <cellStyle name="Обычный 6 2 2 5 3" xfId="16060"/>
    <cellStyle name="Обычный 6 2 2 5 3 2" xfId="16061"/>
    <cellStyle name="Обычный 6 2 2 5 3 2 2" xfId="16062"/>
    <cellStyle name="Обычный 6 2 2 5 3 2 2 2" xfId="16063"/>
    <cellStyle name="Обычный 6 2 2 5 3 2 2 3" xfId="16064"/>
    <cellStyle name="Обычный 6 2 2 5 3 2 3" xfId="16065"/>
    <cellStyle name="Обычный 6 2 2 5 3 2 3 2" xfId="16066"/>
    <cellStyle name="Обычный 6 2 2 5 3 2 3 3" xfId="16067"/>
    <cellStyle name="Обычный 6 2 2 5 3 2 4" xfId="16068"/>
    <cellStyle name="Обычный 6 2 2 5 3 2 4 2" xfId="16069"/>
    <cellStyle name="Обычный 6 2 2 5 3 2 5" xfId="16070"/>
    <cellStyle name="Обычный 6 2 2 5 3 2 6" xfId="16071"/>
    <cellStyle name="Обычный 6 2 2 5 3 3" xfId="16072"/>
    <cellStyle name="Обычный 6 2 2 5 3 3 2" xfId="16073"/>
    <cellStyle name="Обычный 6 2 2 5 3 3 3" xfId="16074"/>
    <cellStyle name="Обычный 6 2 2 5 3 4" xfId="16075"/>
    <cellStyle name="Обычный 6 2 2 5 3 4 2" xfId="16076"/>
    <cellStyle name="Обычный 6 2 2 5 3 4 3" xfId="16077"/>
    <cellStyle name="Обычный 6 2 2 5 3 5" xfId="16078"/>
    <cellStyle name="Обычный 6 2 2 5 3 5 2" xfId="16079"/>
    <cellStyle name="Обычный 6 2 2 5 3 6" xfId="16080"/>
    <cellStyle name="Обычный 6 2 2 5 3 7" xfId="16081"/>
    <cellStyle name="Обычный 6 2 2 5 4" xfId="16082"/>
    <cellStyle name="Обычный 6 2 2 5 4 2" xfId="16083"/>
    <cellStyle name="Обычный 6 2 2 5 4 2 2" xfId="16084"/>
    <cellStyle name="Обычный 6 2 2 5 4 2 3" xfId="16085"/>
    <cellStyle name="Обычный 6 2 2 5 4 3" xfId="16086"/>
    <cellStyle name="Обычный 6 2 2 5 4 3 2" xfId="16087"/>
    <cellStyle name="Обычный 6 2 2 5 4 3 3" xfId="16088"/>
    <cellStyle name="Обычный 6 2 2 5 4 4" xfId="16089"/>
    <cellStyle name="Обычный 6 2 2 5 4 4 2" xfId="16090"/>
    <cellStyle name="Обычный 6 2 2 5 4 5" xfId="16091"/>
    <cellStyle name="Обычный 6 2 2 5 4 6" xfId="16092"/>
    <cellStyle name="Обычный 6 2 2 5 5" xfId="16093"/>
    <cellStyle name="Обычный 6 2 2 5 5 2" xfId="16094"/>
    <cellStyle name="Обычный 6 2 2 5 5 3" xfId="16095"/>
    <cellStyle name="Обычный 6 2 2 5 6" xfId="16096"/>
    <cellStyle name="Обычный 6 2 2 5 6 2" xfId="16097"/>
    <cellStyle name="Обычный 6 2 2 5 6 3" xfId="16098"/>
    <cellStyle name="Обычный 6 2 2 5 7" xfId="16099"/>
    <cellStyle name="Обычный 6 2 2 5 7 2" xfId="16100"/>
    <cellStyle name="Обычный 6 2 2 5 8" xfId="16101"/>
    <cellStyle name="Обычный 6 2 2 5 9" xfId="16102"/>
    <cellStyle name="Обычный 6 2 2 6" xfId="16103"/>
    <cellStyle name="Обычный 6 2 2 6 2" xfId="16104"/>
    <cellStyle name="Обычный 6 2 2 6 2 2" xfId="16105"/>
    <cellStyle name="Обычный 6 2 2 6 2 2 2" xfId="16106"/>
    <cellStyle name="Обычный 6 2 2 6 2 2 2 2" xfId="16107"/>
    <cellStyle name="Обычный 6 2 2 6 2 2 2 3" xfId="16108"/>
    <cellStyle name="Обычный 6 2 2 6 2 2 3" xfId="16109"/>
    <cellStyle name="Обычный 6 2 2 6 2 2 3 2" xfId="16110"/>
    <cellStyle name="Обычный 6 2 2 6 2 2 3 3" xfId="16111"/>
    <cellStyle name="Обычный 6 2 2 6 2 2 4" xfId="16112"/>
    <cellStyle name="Обычный 6 2 2 6 2 2 4 2" xfId="16113"/>
    <cellStyle name="Обычный 6 2 2 6 2 2 5" xfId="16114"/>
    <cellStyle name="Обычный 6 2 2 6 2 2 6" xfId="16115"/>
    <cellStyle name="Обычный 6 2 2 6 2 3" xfId="16116"/>
    <cellStyle name="Обычный 6 2 2 6 2 3 2" xfId="16117"/>
    <cellStyle name="Обычный 6 2 2 6 2 3 3" xfId="16118"/>
    <cellStyle name="Обычный 6 2 2 6 2 4" xfId="16119"/>
    <cellStyle name="Обычный 6 2 2 6 2 4 2" xfId="16120"/>
    <cellStyle name="Обычный 6 2 2 6 2 4 3" xfId="16121"/>
    <cellStyle name="Обычный 6 2 2 6 2 5" xfId="16122"/>
    <cellStyle name="Обычный 6 2 2 6 2 5 2" xfId="16123"/>
    <cellStyle name="Обычный 6 2 2 6 2 6" xfId="16124"/>
    <cellStyle name="Обычный 6 2 2 6 2 7" xfId="16125"/>
    <cellStyle name="Обычный 6 2 2 6 3" xfId="16126"/>
    <cellStyle name="Обычный 6 2 2 6 3 2" xfId="16127"/>
    <cellStyle name="Обычный 6 2 2 6 3 2 2" xfId="16128"/>
    <cellStyle name="Обычный 6 2 2 6 3 2 3" xfId="16129"/>
    <cellStyle name="Обычный 6 2 2 6 3 3" xfId="16130"/>
    <cellStyle name="Обычный 6 2 2 6 3 3 2" xfId="16131"/>
    <cellStyle name="Обычный 6 2 2 6 3 3 3" xfId="16132"/>
    <cellStyle name="Обычный 6 2 2 6 3 4" xfId="16133"/>
    <cellStyle name="Обычный 6 2 2 6 3 4 2" xfId="16134"/>
    <cellStyle name="Обычный 6 2 2 6 3 5" xfId="16135"/>
    <cellStyle name="Обычный 6 2 2 6 3 6" xfId="16136"/>
    <cellStyle name="Обычный 6 2 2 6 4" xfId="16137"/>
    <cellStyle name="Обычный 6 2 2 6 4 2" xfId="16138"/>
    <cellStyle name="Обычный 6 2 2 6 4 3" xfId="16139"/>
    <cellStyle name="Обычный 6 2 2 6 5" xfId="16140"/>
    <cellStyle name="Обычный 6 2 2 6 5 2" xfId="16141"/>
    <cellStyle name="Обычный 6 2 2 6 5 3" xfId="16142"/>
    <cellStyle name="Обычный 6 2 2 6 6" xfId="16143"/>
    <cellStyle name="Обычный 6 2 2 6 6 2" xfId="16144"/>
    <cellStyle name="Обычный 6 2 2 6 7" xfId="16145"/>
    <cellStyle name="Обычный 6 2 2 6 8" xfId="16146"/>
    <cellStyle name="Обычный 6 2 2 7" xfId="16147"/>
    <cellStyle name="Обычный 6 2 2 7 2" xfId="16148"/>
    <cellStyle name="Обычный 6 2 2 7 2 2" xfId="16149"/>
    <cellStyle name="Обычный 6 2 2 7 2 2 2" xfId="16150"/>
    <cellStyle name="Обычный 6 2 2 7 2 2 3" xfId="16151"/>
    <cellStyle name="Обычный 6 2 2 7 2 3" xfId="16152"/>
    <cellStyle name="Обычный 6 2 2 7 2 3 2" xfId="16153"/>
    <cellStyle name="Обычный 6 2 2 7 2 3 3" xfId="16154"/>
    <cellStyle name="Обычный 6 2 2 7 2 4" xfId="16155"/>
    <cellStyle name="Обычный 6 2 2 7 2 4 2" xfId="16156"/>
    <cellStyle name="Обычный 6 2 2 7 2 5" xfId="16157"/>
    <cellStyle name="Обычный 6 2 2 7 2 6" xfId="16158"/>
    <cellStyle name="Обычный 6 2 2 7 3" xfId="16159"/>
    <cellStyle name="Обычный 6 2 2 7 3 2" xfId="16160"/>
    <cellStyle name="Обычный 6 2 2 7 3 3" xfId="16161"/>
    <cellStyle name="Обычный 6 2 2 7 4" xfId="16162"/>
    <cellStyle name="Обычный 6 2 2 7 4 2" xfId="16163"/>
    <cellStyle name="Обычный 6 2 2 7 4 3" xfId="16164"/>
    <cellStyle name="Обычный 6 2 2 7 5" xfId="16165"/>
    <cellStyle name="Обычный 6 2 2 7 5 2" xfId="16166"/>
    <cellStyle name="Обычный 6 2 2 7 6" xfId="16167"/>
    <cellStyle name="Обычный 6 2 2 7 7" xfId="16168"/>
    <cellStyle name="Обычный 6 2 2 8" xfId="16169"/>
    <cellStyle name="Обычный 6 2 2 8 2" xfId="16170"/>
    <cellStyle name="Обычный 6 2 2 8 2 2" xfId="16171"/>
    <cellStyle name="Обычный 6 2 2 8 2 3" xfId="16172"/>
    <cellStyle name="Обычный 6 2 2 8 3" xfId="16173"/>
    <cellStyle name="Обычный 6 2 2 8 3 2" xfId="16174"/>
    <cellStyle name="Обычный 6 2 2 8 3 3" xfId="16175"/>
    <cellStyle name="Обычный 6 2 2 8 4" xfId="16176"/>
    <cellStyle name="Обычный 6 2 2 8 4 2" xfId="16177"/>
    <cellStyle name="Обычный 6 2 2 8 5" xfId="16178"/>
    <cellStyle name="Обычный 6 2 2 8 6" xfId="16179"/>
    <cellStyle name="Обычный 6 2 2 9" xfId="16180"/>
    <cellStyle name="Обычный 6 2 2 9 2" xfId="16181"/>
    <cellStyle name="Обычный 6 2 2 9 3" xfId="16182"/>
    <cellStyle name="Обычный 6 2 3" xfId="16183"/>
    <cellStyle name="Обычный 6 2 3 10" xfId="16184"/>
    <cellStyle name="Обычный 6 2 3 2" xfId="16185"/>
    <cellStyle name="Обычный 6 2 3 2 2" xfId="16186"/>
    <cellStyle name="Обычный 6 2 3 2 2 2" xfId="16187"/>
    <cellStyle name="Обычный 6 2 3 2 2 2 2" xfId="16188"/>
    <cellStyle name="Обычный 6 2 3 2 2 2 2 2" xfId="16189"/>
    <cellStyle name="Обычный 6 2 3 2 2 2 2 2 2" xfId="16190"/>
    <cellStyle name="Обычный 6 2 3 2 2 2 2 2 3" xfId="16191"/>
    <cellStyle name="Обычный 6 2 3 2 2 2 2 3" xfId="16192"/>
    <cellStyle name="Обычный 6 2 3 2 2 2 2 3 2" xfId="16193"/>
    <cellStyle name="Обычный 6 2 3 2 2 2 2 3 3" xfId="16194"/>
    <cellStyle name="Обычный 6 2 3 2 2 2 2 4" xfId="16195"/>
    <cellStyle name="Обычный 6 2 3 2 2 2 2 4 2" xfId="16196"/>
    <cellStyle name="Обычный 6 2 3 2 2 2 2 5" xfId="16197"/>
    <cellStyle name="Обычный 6 2 3 2 2 2 2 6" xfId="16198"/>
    <cellStyle name="Обычный 6 2 3 2 2 2 3" xfId="16199"/>
    <cellStyle name="Обычный 6 2 3 2 2 2 3 2" xfId="16200"/>
    <cellStyle name="Обычный 6 2 3 2 2 2 3 3" xfId="16201"/>
    <cellStyle name="Обычный 6 2 3 2 2 2 4" xfId="16202"/>
    <cellStyle name="Обычный 6 2 3 2 2 2 4 2" xfId="16203"/>
    <cellStyle name="Обычный 6 2 3 2 2 2 4 3" xfId="16204"/>
    <cellStyle name="Обычный 6 2 3 2 2 2 5" xfId="16205"/>
    <cellStyle name="Обычный 6 2 3 2 2 2 5 2" xfId="16206"/>
    <cellStyle name="Обычный 6 2 3 2 2 2 6" xfId="16207"/>
    <cellStyle name="Обычный 6 2 3 2 2 2 7" xfId="16208"/>
    <cellStyle name="Обычный 6 2 3 2 2 3" xfId="16209"/>
    <cellStyle name="Обычный 6 2 3 2 2 3 2" xfId="16210"/>
    <cellStyle name="Обычный 6 2 3 2 2 3 2 2" xfId="16211"/>
    <cellStyle name="Обычный 6 2 3 2 2 3 2 3" xfId="16212"/>
    <cellStyle name="Обычный 6 2 3 2 2 3 3" xfId="16213"/>
    <cellStyle name="Обычный 6 2 3 2 2 3 3 2" xfId="16214"/>
    <cellStyle name="Обычный 6 2 3 2 2 3 3 3" xfId="16215"/>
    <cellStyle name="Обычный 6 2 3 2 2 3 4" xfId="16216"/>
    <cellStyle name="Обычный 6 2 3 2 2 3 4 2" xfId="16217"/>
    <cellStyle name="Обычный 6 2 3 2 2 3 5" xfId="16218"/>
    <cellStyle name="Обычный 6 2 3 2 2 3 6" xfId="16219"/>
    <cellStyle name="Обычный 6 2 3 2 2 4" xfId="16220"/>
    <cellStyle name="Обычный 6 2 3 2 2 4 2" xfId="16221"/>
    <cellStyle name="Обычный 6 2 3 2 2 4 3" xfId="16222"/>
    <cellStyle name="Обычный 6 2 3 2 2 5" xfId="16223"/>
    <cellStyle name="Обычный 6 2 3 2 2 5 2" xfId="16224"/>
    <cellStyle name="Обычный 6 2 3 2 2 5 3" xfId="16225"/>
    <cellStyle name="Обычный 6 2 3 2 2 6" xfId="16226"/>
    <cellStyle name="Обычный 6 2 3 2 2 6 2" xfId="16227"/>
    <cellStyle name="Обычный 6 2 3 2 2 7" xfId="16228"/>
    <cellStyle name="Обычный 6 2 3 2 2 8" xfId="16229"/>
    <cellStyle name="Обычный 6 2 3 2 3" xfId="16230"/>
    <cellStyle name="Обычный 6 2 3 2 3 2" xfId="16231"/>
    <cellStyle name="Обычный 6 2 3 2 3 2 2" xfId="16232"/>
    <cellStyle name="Обычный 6 2 3 2 3 2 2 2" xfId="16233"/>
    <cellStyle name="Обычный 6 2 3 2 3 2 2 3" xfId="16234"/>
    <cellStyle name="Обычный 6 2 3 2 3 2 3" xfId="16235"/>
    <cellStyle name="Обычный 6 2 3 2 3 2 3 2" xfId="16236"/>
    <cellStyle name="Обычный 6 2 3 2 3 2 3 3" xfId="16237"/>
    <cellStyle name="Обычный 6 2 3 2 3 2 4" xfId="16238"/>
    <cellStyle name="Обычный 6 2 3 2 3 2 4 2" xfId="16239"/>
    <cellStyle name="Обычный 6 2 3 2 3 2 5" xfId="16240"/>
    <cellStyle name="Обычный 6 2 3 2 3 2 6" xfId="16241"/>
    <cellStyle name="Обычный 6 2 3 2 3 3" xfId="16242"/>
    <cellStyle name="Обычный 6 2 3 2 3 3 2" xfId="16243"/>
    <cellStyle name="Обычный 6 2 3 2 3 3 3" xfId="16244"/>
    <cellStyle name="Обычный 6 2 3 2 3 4" xfId="16245"/>
    <cellStyle name="Обычный 6 2 3 2 3 4 2" xfId="16246"/>
    <cellStyle name="Обычный 6 2 3 2 3 4 3" xfId="16247"/>
    <cellStyle name="Обычный 6 2 3 2 3 5" xfId="16248"/>
    <cellStyle name="Обычный 6 2 3 2 3 5 2" xfId="16249"/>
    <cellStyle name="Обычный 6 2 3 2 3 6" xfId="16250"/>
    <cellStyle name="Обычный 6 2 3 2 3 7" xfId="16251"/>
    <cellStyle name="Обычный 6 2 3 2 4" xfId="16252"/>
    <cellStyle name="Обычный 6 2 3 2 4 2" xfId="16253"/>
    <cellStyle name="Обычный 6 2 3 2 4 2 2" xfId="16254"/>
    <cellStyle name="Обычный 6 2 3 2 4 2 3" xfId="16255"/>
    <cellStyle name="Обычный 6 2 3 2 4 3" xfId="16256"/>
    <cellStyle name="Обычный 6 2 3 2 4 3 2" xfId="16257"/>
    <cellStyle name="Обычный 6 2 3 2 4 3 3" xfId="16258"/>
    <cellStyle name="Обычный 6 2 3 2 4 4" xfId="16259"/>
    <cellStyle name="Обычный 6 2 3 2 4 4 2" xfId="16260"/>
    <cellStyle name="Обычный 6 2 3 2 4 5" xfId="16261"/>
    <cellStyle name="Обычный 6 2 3 2 4 6" xfId="16262"/>
    <cellStyle name="Обычный 6 2 3 2 5" xfId="16263"/>
    <cellStyle name="Обычный 6 2 3 2 5 2" xfId="16264"/>
    <cellStyle name="Обычный 6 2 3 2 5 3" xfId="16265"/>
    <cellStyle name="Обычный 6 2 3 2 6" xfId="16266"/>
    <cellStyle name="Обычный 6 2 3 2 6 2" xfId="16267"/>
    <cellStyle name="Обычный 6 2 3 2 6 3" xfId="16268"/>
    <cellStyle name="Обычный 6 2 3 2 7" xfId="16269"/>
    <cellStyle name="Обычный 6 2 3 2 7 2" xfId="16270"/>
    <cellStyle name="Обычный 6 2 3 2 8" xfId="16271"/>
    <cellStyle name="Обычный 6 2 3 2 9" xfId="16272"/>
    <cellStyle name="Обычный 6 2 3 3" xfId="16273"/>
    <cellStyle name="Обычный 6 2 3 3 2" xfId="16274"/>
    <cellStyle name="Обычный 6 2 3 3 2 2" xfId="16275"/>
    <cellStyle name="Обычный 6 2 3 3 2 2 2" xfId="16276"/>
    <cellStyle name="Обычный 6 2 3 3 2 2 2 2" xfId="16277"/>
    <cellStyle name="Обычный 6 2 3 3 2 2 2 3" xfId="16278"/>
    <cellStyle name="Обычный 6 2 3 3 2 2 3" xfId="16279"/>
    <cellStyle name="Обычный 6 2 3 3 2 2 3 2" xfId="16280"/>
    <cellStyle name="Обычный 6 2 3 3 2 2 3 3" xfId="16281"/>
    <cellStyle name="Обычный 6 2 3 3 2 2 4" xfId="16282"/>
    <cellStyle name="Обычный 6 2 3 3 2 2 4 2" xfId="16283"/>
    <cellStyle name="Обычный 6 2 3 3 2 2 5" xfId="16284"/>
    <cellStyle name="Обычный 6 2 3 3 2 2 6" xfId="16285"/>
    <cellStyle name="Обычный 6 2 3 3 2 3" xfId="16286"/>
    <cellStyle name="Обычный 6 2 3 3 2 3 2" xfId="16287"/>
    <cellStyle name="Обычный 6 2 3 3 2 3 3" xfId="16288"/>
    <cellStyle name="Обычный 6 2 3 3 2 4" xfId="16289"/>
    <cellStyle name="Обычный 6 2 3 3 2 4 2" xfId="16290"/>
    <cellStyle name="Обычный 6 2 3 3 2 4 3" xfId="16291"/>
    <cellStyle name="Обычный 6 2 3 3 2 5" xfId="16292"/>
    <cellStyle name="Обычный 6 2 3 3 2 5 2" xfId="16293"/>
    <cellStyle name="Обычный 6 2 3 3 2 6" xfId="16294"/>
    <cellStyle name="Обычный 6 2 3 3 2 7" xfId="16295"/>
    <cellStyle name="Обычный 6 2 3 3 3" xfId="16296"/>
    <cellStyle name="Обычный 6 2 3 3 3 2" xfId="16297"/>
    <cellStyle name="Обычный 6 2 3 3 3 2 2" xfId="16298"/>
    <cellStyle name="Обычный 6 2 3 3 3 2 3" xfId="16299"/>
    <cellStyle name="Обычный 6 2 3 3 3 3" xfId="16300"/>
    <cellStyle name="Обычный 6 2 3 3 3 3 2" xfId="16301"/>
    <cellStyle name="Обычный 6 2 3 3 3 3 3" xfId="16302"/>
    <cellStyle name="Обычный 6 2 3 3 3 4" xfId="16303"/>
    <cellStyle name="Обычный 6 2 3 3 3 4 2" xfId="16304"/>
    <cellStyle name="Обычный 6 2 3 3 3 5" xfId="16305"/>
    <cellStyle name="Обычный 6 2 3 3 3 6" xfId="16306"/>
    <cellStyle name="Обычный 6 2 3 3 4" xfId="16307"/>
    <cellStyle name="Обычный 6 2 3 3 4 2" xfId="16308"/>
    <cellStyle name="Обычный 6 2 3 3 4 3" xfId="16309"/>
    <cellStyle name="Обычный 6 2 3 3 5" xfId="16310"/>
    <cellStyle name="Обычный 6 2 3 3 5 2" xfId="16311"/>
    <cellStyle name="Обычный 6 2 3 3 5 3" xfId="16312"/>
    <cellStyle name="Обычный 6 2 3 3 6" xfId="16313"/>
    <cellStyle name="Обычный 6 2 3 3 6 2" xfId="16314"/>
    <cellStyle name="Обычный 6 2 3 3 7" xfId="16315"/>
    <cellStyle name="Обычный 6 2 3 3 8" xfId="16316"/>
    <cellStyle name="Обычный 6 2 3 4" xfId="16317"/>
    <cellStyle name="Обычный 6 2 3 4 2" xfId="16318"/>
    <cellStyle name="Обычный 6 2 3 4 2 2" xfId="16319"/>
    <cellStyle name="Обычный 6 2 3 4 2 2 2" xfId="16320"/>
    <cellStyle name="Обычный 6 2 3 4 2 2 3" xfId="16321"/>
    <cellStyle name="Обычный 6 2 3 4 2 3" xfId="16322"/>
    <cellStyle name="Обычный 6 2 3 4 2 3 2" xfId="16323"/>
    <cellStyle name="Обычный 6 2 3 4 2 3 3" xfId="16324"/>
    <cellStyle name="Обычный 6 2 3 4 2 4" xfId="16325"/>
    <cellStyle name="Обычный 6 2 3 4 2 4 2" xfId="16326"/>
    <cellStyle name="Обычный 6 2 3 4 2 5" xfId="16327"/>
    <cellStyle name="Обычный 6 2 3 4 2 6" xfId="16328"/>
    <cellStyle name="Обычный 6 2 3 4 3" xfId="16329"/>
    <cellStyle name="Обычный 6 2 3 4 3 2" xfId="16330"/>
    <cellStyle name="Обычный 6 2 3 4 3 3" xfId="16331"/>
    <cellStyle name="Обычный 6 2 3 4 4" xfId="16332"/>
    <cellStyle name="Обычный 6 2 3 4 4 2" xfId="16333"/>
    <cellStyle name="Обычный 6 2 3 4 4 3" xfId="16334"/>
    <cellStyle name="Обычный 6 2 3 4 5" xfId="16335"/>
    <cellStyle name="Обычный 6 2 3 4 5 2" xfId="16336"/>
    <cellStyle name="Обычный 6 2 3 4 6" xfId="16337"/>
    <cellStyle name="Обычный 6 2 3 4 7" xfId="16338"/>
    <cellStyle name="Обычный 6 2 3 5" xfId="16339"/>
    <cellStyle name="Обычный 6 2 3 5 2" xfId="16340"/>
    <cellStyle name="Обычный 6 2 3 5 2 2" xfId="16341"/>
    <cellStyle name="Обычный 6 2 3 5 2 3" xfId="16342"/>
    <cellStyle name="Обычный 6 2 3 5 3" xfId="16343"/>
    <cellStyle name="Обычный 6 2 3 5 3 2" xfId="16344"/>
    <cellStyle name="Обычный 6 2 3 5 3 3" xfId="16345"/>
    <cellStyle name="Обычный 6 2 3 5 4" xfId="16346"/>
    <cellStyle name="Обычный 6 2 3 5 4 2" xfId="16347"/>
    <cellStyle name="Обычный 6 2 3 5 5" xfId="16348"/>
    <cellStyle name="Обычный 6 2 3 5 6" xfId="16349"/>
    <cellStyle name="Обычный 6 2 3 6" xfId="16350"/>
    <cellStyle name="Обычный 6 2 3 6 2" xfId="16351"/>
    <cellStyle name="Обычный 6 2 3 6 3" xfId="16352"/>
    <cellStyle name="Обычный 6 2 3 7" xfId="16353"/>
    <cellStyle name="Обычный 6 2 3 7 2" xfId="16354"/>
    <cellStyle name="Обычный 6 2 3 7 3" xfId="16355"/>
    <cellStyle name="Обычный 6 2 3 8" xfId="16356"/>
    <cellStyle name="Обычный 6 2 3 8 2" xfId="16357"/>
    <cellStyle name="Обычный 6 2 3 9" xfId="16358"/>
    <cellStyle name="Обычный 6 2 4" xfId="16359"/>
    <cellStyle name="Обычный 6 2 4 10" xfId="16360"/>
    <cellStyle name="Обычный 6 2 4 2" xfId="16361"/>
    <cellStyle name="Обычный 6 2 4 2 2" xfId="16362"/>
    <cellStyle name="Обычный 6 2 4 2 2 2" xfId="16363"/>
    <cellStyle name="Обычный 6 2 4 2 2 2 2" xfId="16364"/>
    <cellStyle name="Обычный 6 2 4 2 2 2 2 2" xfId="16365"/>
    <cellStyle name="Обычный 6 2 4 2 2 2 2 2 2" xfId="16366"/>
    <cellStyle name="Обычный 6 2 4 2 2 2 2 2 3" xfId="16367"/>
    <cellStyle name="Обычный 6 2 4 2 2 2 2 3" xfId="16368"/>
    <cellStyle name="Обычный 6 2 4 2 2 2 2 3 2" xfId="16369"/>
    <cellStyle name="Обычный 6 2 4 2 2 2 2 3 3" xfId="16370"/>
    <cellStyle name="Обычный 6 2 4 2 2 2 2 4" xfId="16371"/>
    <cellStyle name="Обычный 6 2 4 2 2 2 2 4 2" xfId="16372"/>
    <cellStyle name="Обычный 6 2 4 2 2 2 2 5" xfId="16373"/>
    <cellStyle name="Обычный 6 2 4 2 2 2 2 6" xfId="16374"/>
    <cellStyle name="Обычный 6 2 4 2 2 2 3" xfId="16375"/>
    <cellStyle name="Обычный 6 2 4 2 2 2 3 2" xfId="16376"/>
    <cellStyle name="Обычный 6 2 4 2 2 2 3 3" xfId="16377"/>
    <cellStyle name="Обычный 6 2 4 2 2 2 4" xfId="16378"/>
    <cellStyle name="Обычный 6 2 4 2 2 2 4 2" xfId="16379"/>
    <cellStyle name="Обычный 6 2 4 2 2 2 4 3" xfId="16380"/>
    <cellStyle name="Обычный 6 2 4 2 2 2 5" xfId="16381"/>
    <cellStyle name="Обычный 6 2 4 2 2 2 5 2" xfId="16382"/>
    <cellStyle name="Обычный 6 2 4 2 2 2 6" xfId="16383"/>
    <cellStyle name="Обычный 6 2 4 2 2 2 7" xfId="16384"/>
    <cellStyle name="Обычный 6 2 4 2 2 3" xfId="16385"/>
    <cellStyle name="Обычный 6 2 4 2 2 3 2" xfId="16386"/>
    <cellStyle name="Обычный 6 2 4 2 2 3 2 2" xfId="16387"/>
    <cellStyle name="Обычный 6 2 4 2 2 3 2 3" xfId="16388"/>
    <cellStyle name="Обычный 6 2 4 2 2 3 3" xfId="16389"/>
    <cellStyle name="Обычный 6 2 4 2 2 3 3 2" xfId="16390"/>
    <cellStyle name="Обычный 6 2 4 2 2 3 3 3" xfId="16391"/>
    <cellStyle name="Обычный 6 2 4 2 2 3 4" xfId="16392"/>
    <cellStyle name="Обычный 6 2 4 2 2 3 4 2" xfId="16393"/>
    <cellStyle name="Обычный 6 2 4 2 2 3 5" xfId="16394"/>
    <cellStyle name="Обычный 6 2 4 2 2 3 6" xfId="16395"/>
    <cellStyle name="Обычный 6 2 4 2 2 4" xfId="16396"/>
    <cellStyle name="Обычный 6 2 4 2 2 4 2" xfId="16397"/>
    <cellStyle name="Обычный 6 2 4 2 2 4 3" xfId="16398"/>
    <cellStyle name="Обычный 6 2 4 2 2 5" xfId="16399"/>
    <cellStyle name="Обычный 6 2 4 2 2 5 2" xfId="16400"/>
    <cellStyle name="Обычный 6 2 4 2 2 5 3" xfId="16401"/>
    <cellStyle name="Обычный 6 2 4 2 2 6" xfId="16402"/>
    <cellStyle name="Обычный 6 2 4 2 2 6 2" xfId="16403"/>
    <cellStyle name="Обычный 6 2 4 2 2 7" xfId="16404"/>
    <cellStyle name="Обычный 6 2 4 2 2 8" xfId="16405"/>
    <cellStyle name="Обычный 6 2 4 2 3" xfId="16406"/>
    <cellStyle name="Обычный 6 2 4 2 3 2" xfId="16407"/>
    <cellStyle name="Обычный 6 2 4 2 3 2 2" xfId="16408"/>
    <cellStyle name="Обычный 6 2 4 2 3 2 2 2" xfId="16409"/>
    <cellStyle name="Обычный 6 2 4 2 3 2 2 3" xfId="16410"/>
    <cellStyle name="Обычный 6 2 4 2 3 2 3" xfId="16411"/>
    <cellStyle name="Обычный 6 2 4 2 3 2 3 2" xfId="16412"/>
    <cellStyle name="Обычный 6 2 4 2 3 2 3 3" xfId="16413"/>
    <cellStyle name="Обычный 6 2 4 2 3 2 4" xfId="16414"/>
    <cellStyle name="Обычный 6 2 4 2 3 2 4 2" xfId="16415"/>
    <cellStyle name="Обычный 6 2 4 2 3 2 5" xfId="16416"/>
    <cellStyle name="Обычный 6 2 4 2 3 2 6" xfId="16417"/>
    <cellStyle name="Обычный 6 2 4 2 3 3" xfId="16418"/>
    <cellStyle name="Обычный 6 2 4 2 3 3 2" xfId="16419"/>
    <cellStyle name="Обычный 6 2 4 2 3 3 3" xfId="16420"/>
    <cellStyle name="Обычный 6 2 4 2 3 4" xfId="16421"/>
    <cellStyle name="Обычный 6 2 4 2 3 4 2" xfId="16422"/>
    <cellStyle name="Обычный 6 2 4 2 3 4 3" xfId="16423"/>
    <cellStyle name="Обычный 6 2 4 2 3 5" xfId="16424"/>
    <cellStyle name="Обычный 6 2 4 2 3 5 2" xfId="16425"/>
    <cellStyle name="Обычный 6 2 4 2 3 6" xfId="16426"/>
    <cellStyle name="Обычный 6 2 4 2 3 7" xfId="16427"/>
    <cellStyle name="Обычный 6 2 4 2 4" xfId="16428"/>
    <cellStyle name="Обычный 6 2 4 2 4 2" xfId="16429"/>
    <cellStyle name="Обычный 6 2 4 2 4 2 2" xfId="16430"/>
    <cellStyle name="Обычный 6 2 4 2 4 2 3" xfId="16431"/>
    <cellStyle name="Обычный 6 2 4 2 4 3" xfId="16432"/>
    <cellStyle name="Обычный 6 2 4 2 4 3 2" xfId="16433"/>
    <cellStyle name="Обычный 6 2 4 2 4 3 3" xfId="16434"/>
    <cellStyle name="Обычный 6 2 4 2 4 4" xfId="16435"/>
    <cellStyle name="Обычный 6 2 4 2 4 4 2" xfId="16436"/>
    <cellStyle name="Обычный 6 2 4 2 4 5" xfId="16437"/>
    <cellStyle name="Обычный 6 2 4 2 4 6" xfId="16438"/>
    <cellStyle name="Обычный 6 2 4 2 5" xfId="16439"/>
    <cellStyle name="Обычный 6 2 4 2 5 2" xfId="16440"/>
    <cellStyle name="Обычный 6 2 4 2 5 3" xfId="16441"/>
    <cellStyle name="Обычный 6 2 4 2 6" xfId="16442"/>
    <cellStyle name="Обычный 6 2 4 2 6 2" xfId="16443"/>
    <cellStyle name="Обычный 6 2 4 2 6 3" xfId="16444"/>
    <cellStyle name="Обычный 6 2 4 2 7" xfId="16445"/>
    <cellStyle name="Обычный 6 2 4 2 7 2" xfId="16446"/>
    <cellStyle name="Обычный 6 2 4 2 8" xfId="16447"/>
    <cellStyle name="Обычный 6 2 4 2 9" xfId="16448"/>
    <cellStyle name="Обычный 6 2 4 3" xfId="16449"/>
    <cellStyle name="Обычный 6 2 4 3 2" xfId="16450"/>
    <cellStyle name="Обычный 6 2 4 3 2 2" xfId="16451"/>
    <cellStyle name="Обычный 6 2 4 3 2 2 2" xfId="16452"/>
    <cellStyle name="Обычный 6 2 4 3 2 2 2 2" xfId="16453"/>
    <cellStyle name="Обычный 6 2 4 3 2 2 2 3" xfId="16454"/>
    <cellStyle name="Обычный 6 2 4 3 2 2 3" xfId="16455"/>
    <cellStyle name="Обычный 6 2 4 3 2 2 3 2" xfId="16456"/>
    <cellStyle name="Обычный 6 2 4 3 2 2 3 3" xfId="16457"/>
    <cellStyle name="Обычный 6 2 4 3 2 2 4" xfId="16458"/>
    <cellStyle name="Обычный 6 2 4 3 2 2 4 2" xfId="16459"/>
    <cellStyle name="Обычный 6 2 4 3 2 2 5" xfId="16460"/>
    <cellStyle name="Обычный 6 2 4 3 2 2 6" xfId="16461"/>
    <cellStyle name="Обычный 6 2 4 3 2 3" xfId="16462"/>
    <cellStyle name="Обычный 6 2 4 3 2 3 2" xfId="16463"/>
    <cellStyle name="Обычный 6 2 4 3 2 3 3" xfId="16464"/>
    <cellStyle name="Обычный 6 2 4 3 2 4" xfId="16465"/>
    <cellStyle name="Обычный 6 2 4 3 2 4 2" xfId="16466"/>
    <cellStyle name="Обычный 6 2 4 3 2 4 3" xfId="16467"/>
    <cellStyle name="Обычный 6 2 4 3 2 5" xfId="16468"/>
    <cellStyle name="Обычный 6 2 4 3 2 5 2" xfId="16469"/>
    <cellStyle name="Обычный 6 2 4 3 2 6" xfId="16470"/>
    <cellStyle name="Обычный 6 2 4 3 2 7" xfId="16471"/>
    <cellStyle name="Обычный 6 2 4 3 3" xfId="16472"/>
    <cellStyle name="Обычный 6 2 4 3 3 2" xfId="16473"/>
    <cellStyle name="Обычный 6 2 4 3 3 2 2" xfId="16474"/>
    <cellStyle name="Обычный 6 2 4 3 3 2 3" xfId="16475"/>
    <cellStyle name="Обычный 6 2 4 3 3 3" xfId="16476"/>
    <cellStyle name="Обычный 6 2 4 3 3 3 2" xfId="16477"/>
    <cellStyle name="Обычный 6 2 4 3 3 3 3" xfId="16478"/>
    <cellStyle name="Обычный 6 2 4 3 3 4" xfId="16479"/>
    <cellStyle name="Обычный 6 2 4 3 3 4 2" xfId="16480"/>
    <cellStyle name="Обычный 6 2 4 3 3 5" xfId="16481"/>
    <cellStyle name="Обычный 6 2 4 3 3 6" xfId="16482"/>
    <cellStyle name="Обычный 6 2 4 3 4" xfId="16483"/>
    <cellStyle name="Обычный 6 2 4 3 4 2" xfId="16484"/>
    <cellStyle name="Обычный 6 2 4 3 4 3" xfId="16485"/>
    <cellStyle name="Обычный 6 2 4 3 5" xfId="16486"/>
    <cellStyle name="Обычный 6 2 4 3 5 2" xfId="16487"/>
    <cellStyle name="Обычный 6 2 4 3 5 3" xfId="16488"/>
    <cellStyle name="Обычный 6 2 4 3 6" xfId="16489"/>
    <cellStyle name="Обычный 6 2 4 3 6 2" xfId="16490"/>
    <cellStyle name="Обычный 6 2 4 3 7" xfId="16491"/>
    <cellStyle name="Обычный 6 2 4 3 8" xfId="16492"/>
    <cellStyle name="Обычный 6 2 4 4" xfId="16493"/>
    <cellStyle name="Обычный 6 2 4 4 2" xfId="16494"/>
    <cellStyle name="Обычный 6 2 4 4 2 2" xfId="16495"/>
    <cellStyle name="Обычный 6 2 4 4 2 2 2" xfId="16496"/>
    <cellStyle name="Обычный 6 2 4 4 2 2 3" xfId="16497"/>
    <cellStyle name="Обычный 6 2 4 4 2 3" xfId="16498"/>
    <cellStyle name="Обычный 6 2 4 4 2 3 2" xfId="16499"/>
    <cellStyle name="Обычный 6 2 4 4 2 3 3" xfId="16500"/>
    <cellStyle name="Обычный 6 2 4 4 2 4" xfId="16501"/>
    <cellStyle name="Обычный 6 2 4 4 2 4 2" xfId="16502"/>
    <cellStyle name="Обычный 6 2 4 4 2 5" xfId="16503"/>
    <cellStyle name="Обычный 6 2 4 4 2 6" xfId="16504"/>
    <cellStyle name="Обычный 6 2 4 4 3" xfId="16505"/>
    <cellStyle name="Обычный 6 2 4 4 3 2" xfId="16506"/>
    <cellStyle name="Обычный 6 2 4 4 3 3" xfId="16507"/>
    <cellStyle name="Обычный 6 2 4 4 4" xfId="16508"/>
    <cellStyle name="Обычный 6 2 4 4 4 2" xfId="16509"/>
    <cellStyle name="Обычный 6 2 4 4 4 3" xfId="16510"/>
    <cellStyle name="Обычный 6 2 4 4 5" xfId="16511"/>
    <cellStyle name="Обычный 6 2 4 4 5 2" xfId="16512"/>
    <cellStyle name="Обычный 6 2 4 4 6" xfId="16513"/>
    <cellStyle name="Обычный 6 2 4 4 7" xfId="16514"/>
    <cellStyle name="Обычный 6 2 4 5" xfId="16515"/>
    <cellStyle name="Обычный 6 2 4 5 2" xfId="16516"/>
    <cellStyle name="Обычный 6 2 4 5 2 2" xfId="16517"/>
    <cellStyle name="Обычный 6 2 4 5 2 3" xfId="16518"/>
    <cellStyle name="Обычный 6 2 4 5 3" xfId="16519"/>
    <cellStyle name="Обычный 6 2 4 5 3 2" xfId="16520"/>
    <cellStyle name="Обычный 6 2 4 5 3 3" xfId="16521"/>
    <cellStyle name="Обычный 6 2 4 5 4" xfId="16522"/>
    <cellStyle name="Обычный 6 2 4 5 4 2" xfId="16523"/>
    <cellStyle name="Обычный 6 2 4 5 5" xfId="16524"/>
    <cellStyle name="Обычный 6 2 4 5 6" xfId="16525"/>
    <cellStyle name="Обычный 6 2 4 6" xfId="16526"/>
    <cellStyle name="Обычный 6 2 4 6 2" xfId="16527"/>
    <cellStyle name="Обычный 6 2 4 6 3" xfId="16528"/>
    <cellStyle name="Обычный 6 2 4 7" xfId="16529"/>
    <cellStyle name="Обычный 6 2 4 7 2" xfId="16530"/>
    <cellStyle name="Обычный 6 2 4 7 3" xfId="16531"/>
    <cellStyle name="Обычный 6 2 4 8" xfId="16532"/>
    <cellStyle name="Обычный 6 2 4 8 2" xfId="16533"/>
    <cellStyle name="Обычный 6 2 4 9" xfId="16534"/>
    <cellStyle name="Обычный 6 2 5" xfId="16535"/>
    <cellStyle name="Обычный 6 2 5 10" xfId="16536"/>
    <cellStyle name="Обычный 6 2 5 2" xfId="16537"/>
    <cellStyle name="Обычный 6 2 5 2 2" xfId="16538"/>
    <cellStyle name="Обычный 6 2 5 2 2 2" xfId="16539"/>
    <cellStyle name="Обычный 6 2 5 2 2 2 2" xfId="16540"/>
    <cellStyle name="Обычный 6 2 5 2 2 2 2 2" xfId="16541"/>
    <cellStyle name="Обычный 6 2 5 2 2 2 2 2 2" xfId="16542"/>
    <cellStyle name="Обычный 6 2 5 2 2 2 2 2 3" xfId="16543"/>
    <cellStyle name="Обычный 6 2 5 2 2 2 2 3" xfId="16544"/>
    <cellStyle name="Обычный 6 2 5 2 2 2 2 3 2" xfId="16545"/>
    <cellStyle name="Обычный 6 2 5 2 2 2 2 3 3" xfId="16546"/>
    <cellStyle name="Обычный 6 2 5 2 2 2 2 4" xfId="16547"/>
    <cellStyle name="Обычный 6 2 5 2 2 2 2 4 2" xfId="16548"/>
    <cellStyle name="Обычный 6 2 5 2 2 2 2 5" xfId="16549"/>
    <cellStyle name="Обычный 6 2 5 2 2 2 2 6" xfId="16550"/>
    <cellStyle name="Обычный 6 2 5 2 2 2 3" xfId="16551"/>
    <cellStyle name="Обычный 6 2 5 2 2 2 3 2" xfId="16552"/>
    <cellStyle name="Обычный 6 2 5 2 2 2 3 3" xfId="16553"/>
    <cellStyle name="Обычный 6 2 5 2 2 2 4" xfId="16554"/>
    <cellStyle name="Обычный 6 2 5 2 2 2 4 2" xfId="16555"/>
    <cellStyle name="Обычный 6 2 5 2 2 2 4 3" xfId="16556"/>
    <cellStyle name="Обычный 6 2 5 2 2 2 5" xfId="16557"/>
    <cellStyle name="Обычный 6 2 5 2 2 2 5 2" xfId="16558"/>
    <cellStyle name="Обычный 6 2 5 2 2 2 6" xfId="16559"/>
    <cellStyle name="Обычный 6 2 5 2 2 2 7" xfId="16560"/>
    <cellStyle name="Обычный 6 2 5 2 2 3" xfId="16561"/>
    <cellStyle name="Обычный 6 2 5 2 2 3 2" xfId="16562"/>
    <cellStyle name="Обычный 6 2 5 2 2 3 2 2" xfId="16563"/>
    <cellStyle name="Обычный 6 2 5 2 2 3 2 3" xfId="16564"/>
    <cellStyle name="Обычный 6 2 5 2 2 3 3" xfId="16565"/>
    <cellStyle name="Обычный 6 2 5 2 2 3 3 2" xfId="16566"/>
    <cellStyle name="Обычный 6 2 5 2 2 3 3 3" xfId="16567"/>
    <cellStyle name="Обычный 6 2 5 2 2 3 4" xfId="16568"/>
    <cellStyle name="Обычный 6 2 5 2 2 3 4 2" xfId="16569"/>
    <cellStyle name="Обычный 6 2 5 2 2 3 5" xfId="16570"/>
    <cellStyle name="Обычный 6 2 5 2 2 3 6" xfId="16571"/>
    <cellStyle name="Обычный 6 2 5 2 2 4" xfId="16572"/>
    <cellStyle name="Обычный 6 2 5 2 2 4 2" xfId="16573"/>
    <cellStyle name="Обычный 6 2 5 2 2 4 3" xfId="16574"/>
    <cellStyle name="Обычный 6 2 5 2 2 5" xfId="16575"/>
    <cellStyle name="Обычный 6 2 5 2 2 5 2" xfId="16576"/>
    <cellStyle name="Обычный 6 2 5 2 2 5 3" xfId="16577"/>
    <cellStyle name="Обычный 6 2 5 2 2 6" xfId="16578"/>
    <cellStyle name="Обычный 6 2 5 2 2 6 2" xfId="16579"/>
    <cellStyle name="Обычный 6 2 5 2 2 7" xfId="16580"/>
    <cellStyle name="Обычный 6 2 5 2 2 8" xfId="16581"/>
    <cellStyle name="Обычный 6 2 5 2 3" xfId="16582"/>
    <cellStyle name="Обычный 6 2 5 2 3 2" xfId="16583"/>
    <cellStyle name="Обычный 6 2 5 2 3 2 2" xfId="16584"/>
    <cellStyle name="Обычный 6 2 5 2 3 2 2 2" xfId="16585"/>
    <cellStyle name="Обычный 6 2 5 2 3 2 2 3" xfId="16586"/>
    <cellStyle name="Обычный 6 2 5 2 3 2 3" xfId="16587"/>
    <cellStyle name="Обычный 6 2 5 2 3 2 3 2" xfId="16588"/>
    <cellStyle name="Обычный 6 2 5 2 3 2 3 3" xfId="16589"/>
    <cellStyle name="Обычный 6 2 5 2 3 2 4" xfId="16590"/>
    <cellStyle name="Обычный 6 2 5 2 3 2 4 2" xfId="16591"/>
    <cellStyle name="Обычный 6 2 5 2 3 2 5" xfId="16592"/>
    <cellStyle name="Обычный 6 2 5 2 3 2 6" xfId="16593"/>
    <cellStyle name="Обычный 6 2 5 2 3 3" xfId="16594"/>
    <cellStyle name="Обычный 6 2 5 2 3 3 2" xfId="16595"/>
    <cellStyle name="Обычный 6 2 5 2 3 3 3" xfId="16596"/>
    <cellStyle name="Обычный 6 2 5 2 3 4" xfId="16597"/>
    <cellStyle name="Обычный 6 2 5 2 3 4 2" xfId="16598"/>
    <cellStyle name="Обычный 6 2 5 2 3 4 3" xfId="16599"/>
    <cellStyle name="Обычный 6 2 5 2 3 5" xfId="16600"/>
    <cellStyle name="Обычный 6 2 5 2 3 5 2" xfId="16601"/>
    <cellStyle name="Обычный 6 2 5 2 3 6" xfId="16602"/>
    <cellStyle name="Обычный 6 2 5 2 3 7" xfId="16603"/>
    <cellStyle name="Обычный 6 2 5 2 4" xfId="16604"/>
    <cellStyle name="Обычный 6 2 5 2 4 2" xfId="16605"/>
    <cellStyle name="Обычный 6 2 5 2 4 2 2" xfId="16606"/>
    <cellStyle name="Обычный 6 2 5 2 4 2 3" xfId="16607"/>
    <cellStyle name="Обычный 6 2 5 2 4 3" xfId="16608"/>
    <cellStyle name="Обычный 6 2 5 2 4 3 2" xfId="16609"/>
    <cellStyle name="Обычный 6 2 5 2 4 3 3" xfId="16610"/>
    <cellStyle name="Обычный 6 2 5 2 4 4" xfId="16611"/>
    <cellStyle name="Обычный 6 2 5 2 4 4 2" xfId="16612"/>
    <cellStyle name="Обычный 6 2 5 2 4 5" xfId="16613"/>
    <cellStyle name="Обычный 6 2 5 2 4 6" xfId="16614"/>
    <cellStyle name="Обычный 6 2 5 2 5" xfId="16615"/>
    <cellStyle name="Обычный 6 2 5 2 5 2" xfId="16616"/>
    <cellStyle name="Обычный 6 2 5 2 5 3" xfId="16617"/>
    <cellStyle name="Обычный 6 2 5 2 6" xfId="16618"/>
    <cellStyle name="Обычный 6 2 5 2 6 2" xfId="16619"/>
    <cellStyle name="Обычный 6 2 5 2 6 3" xfId="16620"/>
    <cellStyle name="Обычный 6 2 5 2 7" xfId="16621"/>
    <cellStyle name="Обычный 6 2 5 2 7 2" xfId="16622"/>
    <cellStyle name="Обычный 6 2 5 2 8" xfId="16623"/>
    <cellStyle name="Обычный 6 2 5 2 9" xfId="16624"/>
    <cellStyle name="Обычный 6 2 5 3" xfId="16625"/>
    <cellStyle name="Обычный 6 2 5 3 2" xfId="16626"/>
    <cellStyle name="Обычный 6 2 5 3 2 2" xfId="16627"/>
    <cellStyle name="Обычный 6 2 5 3 2 2 2" xfId="16628"/>
    <cellStyle name="Обычный 6 2 5 3 2 2 2 2" xfId="16629"/>
    <cellStyle name="Обычный 6 2 5 3 2 2 2 3" xfId="16630"/>
    <cellStyle name="Обычный 6 2 5 3 2 2 3" xfId="16631"/>
    <cellStyle name="Обычный 6 2 5 3 2 2 3 2" xfId="16632"/>
    <cellStyle name="Обычный 6 2 5 3 2 2 3 3" xfId="16633"/>
    <cellStyle name="Обычный 6 2 5 3 2 2 4" xfId="16634"/>
    <cellStyle name="Обычный 6 2 5 3 2 2 4 2" xfId="16635"/>
    <cellStyle name="Обычный 6 2 5 3 2 2 5" xfId="16636"/>
    <cellStyle name="Обычный 6 2 5 3 2 2 6" xfId="16637"/>
    <cellStyle name="Обычный 6 2 5 3 2 3" xfId="16638"/>
    <cellStyle name="Обычный 6 2 5 3 2 3 2" xfId="16639"/>
    <cellStyle name="Обычный 6 2 5 3 2 3 3" xfId="16640"/>
    <cellStyle name="Обычный 6 2 5 3 2 4" xfId="16641"/>
    <cellStyle name="Обычный 6 2 5 3 2 4 2" xfId="16642"/>
    <cellStyle name="Обычный 6 2 5 3 2 4 3" xfId="16643"/>
    <cellStyle name="Обычный 6 2 5 3 2 5" xfId="16644"/>
    <cellStyle name="Обычный 6 2 5 3 2 5 2" xfId="16645"/>
    <cellStyle name="Обычный 6 2 5 3 2 6" xfId="16646"/>
    <cellStyle name="Обычный 6 2 5 3 2 7" xfId="16647"/>
    <cellStyle name="Обычный 6 2 5 3 3" xfId="16648"/>
    <cellStyle name="Обычный 6 2 5 3 3 2" xfId="16649"/>
    <cellStyle name="Обычный 6 2 5 3 3 2 2" xfId="16650"/>
    <cellStyle name="Обычный 6 2 5 3 3 2 3" xfId="16651"/>
    <cellStyle name="Обычный 6 2 5 3 3 3" xfId="16652"/>
    <cellStyle name="Обычный 6 2 5 3 3 3 2" xfId="16653"/>
    <cellStyle name="Обычный 6 2 5 3 3 3 3" xfId="16654"/>
    <cellStyle name="Обычный 6 2 5 3 3 4" xfId="16655"/>
    <cellStyle name="Обычный 6 2 5 3 3 4 2" xfId="16656"/>
    <cellStyle name="Обычный 6 2 5 3 3 5" xfId="16657"/>
    <cellStyle name="Обычный 6 2 5 3 3 6" xfId="16658"/>
    <cellStyle name="Обычный 6 2 5 3 4" xfId="16659"/>
    <cellStyle name="Обычный 6 2 5 3 4 2" xfId="16660"/>
    <cellStyle name="Обычный 6 2 5 3 4 3" xfId="16661"/>
    <cellStyle name="Обычный 6 2 5 3 5" xfId="16662"/>
    <cellStyle name="Обычный 6 2 5 3 5 2" xfId="16663"/>
    <cellStyle name="Обычный 6 2 5 3 5 3" xfId="16664"/>
    <cellStyle name="Обычный 6 2 5 3 6" xfId="16665"/>
    <cellStyle name="Обычный 6 2 5 3 6 2" xfId="16666"/>
    <cellStyle name="Обычный 6 2 5 3 7" xfId="16667"/>
    <cellStyle name="Обычный 6 2 5 3 8" xfId="16668"/>
    <cellStyle name="Обычный 6 2 5 4" xfId="16669"/>
    <cellStyle name="Обычный 6 2 5 4 2" xfId="16670"/>
    <cellStyle name="Обычный 6 2 5 4 2 2" xfId="16671"/>
    <cellStyle name="Обычный 6 2 5 4 2 2 2" xfId="16672"/>
    <cellStyle name="Обычный 6 2 5 4 2 2 3" xfId="16673"/>
    <cellStyle name="Обычный 6 2 5 4 2 3" xfId="16674"/>
    <cellStyle name="Обычный 6 2 5 4 2 3 2" xfId="16675"/>
    <cellStyle name="Обычный 6 2 5 4 2 3 3" xfId="16676"/>
    <cellStyle name="Обычный 6 2 5 4 2 4" xfId="16677"/>
    <cellStyle name="Обычный 6 2 5 4 2 4 2" xfId="16678"/>
    <cellStyle name="Обычный 6 2 5 4 2 5" xfId="16679"/>
    <cellStyle name="Обычный 6 2 5 4 2 6" xfId="16680"/>
    <cellStyle name="Обычный 6 2 5 4 3" xfId="16681"/>
    <cellStyle name="Обычный 6 2 5 4 3 2" xfId="16682"/>
    <cellStyle name="Обычный 6 2 5 4 3 3" xfId="16683"/>
    <cellStyle name="Обычный 6 2 5 4 4" xfId="16684"/>
    <cellStyle name="Обычный 6 2 5 4 4 2" xfId="16685"/>
    <cellStyle name="Обычный 6 2 5 4 4 3" xfId="16686"/>
    <cellStyle name="Обычный 6 2 5 4 5" xfId="16687"/>
    <cellStyle name="Обычный 6 2 5 4 5 2" xfId="16688"/>
    <cellStyle name="Обычный 6 2 5 4 6" xfId="16689"/>
    <cellStyle name="Обычный 6 2 5 4 7" xfId="16690"/>
    <cellStyle name="Обычный 6 2 5 5" xfId="16691"/>
    <cellStyle name="Обычный 6 2 5 5 2" xfId="16692"/>
    <cellStyle name="Обычный 6 2 5 5 2 2" xfId="16693"/>
    <cellStyle name="Обычный 6 2 5 5 2 3" xfId="16694"/>
    <cellStyle name="Обычный 6 2 5 5 3" xfId="16695"/>
    <cellStyle name="Обычный 6 2 5 5 3 2" xfId="16696"/>
    <cellStyle name="Обычный 6 2 5 5 3 3" xfId="16697"/>
    <cellStyle name="Обычный 6 2 5 5 4" xfId="16698"/>
    <cellStyle name="Обычный 6 2 5 5 4 2" xfId="16699"/>
    <cellStyle name="Обычный 6 2 5 5 5" xfId="16700"/>
    <cellStyle name="Обычный 6 2 5 5 6" xfId="16701"/>
    <cellStyle name="Обычный 6 2 5 6" xfId="16702"/>
    <cellStyle name="Обычный 6 2 5 6 2" xfId="16703"/>
    <cellStyle name="Обычный 6 2 5 6 3" xfId="16704"/>
    <cellStyle name="Обычный 6 2 5 7" xfId="16705"/>
    <cellStyle name="Обычный 6 2 5 7 2" xfId="16706"/>
    <cellStyle name="Обычный 6 2 5 7 3" xfId="16707"/>
    <cellStyle name="Обычный 6 2 5 8" xfId="16708"/>
    <cellStyle name="Обычный 6 2 5 8 2" xfId="16709"/>
    <cellStyle name="Обычный 6 2 5 9" xfId="16710"/>
    <cellStyle name="Обычный 6 2 6" xfId="16711"/>
    <cellStyle name="Обычный 6 2 6 2" xfId="16712"/>
    <cellStyle name="Обычный 6 2 6 2 2" xfId="16713"/>
    <cellStyle name="Обычный 6 2 6 2 2 2" xfId="16714"/>
    <cellStyle name="Обычный 6 2 6 2 2 2 2" xfId="16715"/>
    <cellStyle name="Обычный 6 2 6 2 2 2 2 2" xfId="16716"/>
    <cellStyle name="Обычный 6 2 6 2 2 2 2 3" xfId="16717"/>
    <cellStyle name="Обычный 6 2 6 2 2 2 3" xfId="16718"/>
    <cellStyle name="Обычный 6 2 6 2 2 2 3 2" xfId="16719"/>
    <cellStyle name="Обычный 6 2 6 2 2 2 3 3" xfId="16720"/>
    <cellStyle name="Обычный 6 2 6 2 2 2 4" xfId="16721"/>
    <cellStyle name="Обычный 6 2 6 2 2 2 4 2" xfId="16722"/>
    <cellStyle name="Обычный 6 2 6 2 2 2 5" xfId="16723"/>
    <cellStyle name="Обычный 6 2 6 2 2 2 6" xfId="16724"/>
    <cellStyle name="Обычный 6 2 6 2 2 3" xfId="16725"/>
    <cellStyle name="Обычный 6 2 6 2 2 3 2" xfId="16726"/>
    <cellStyle name="Обычный 6 2 6 2 2 3 3" xfId="16727"/>
    <cellStyle name="Обычный 6 2 6 2 2 4" xfId="16728"/>
    <cellStyle name="Обычный 6 2 6 2 2 4 2" xfId="16729"/>
    <cellStyle name="Обычный 6 2 6 2 2 4 3" xfId="16730"/>
    <cellStyle name="Обычный 6 2 6 2 2 5" xfId="16731"/>
    <cellStyle name="Обычный 6 2 6 2 2 5 2" xfId="16732"/>
    <cellStyle name="Обычный 6 2 6 2 2 6" xfId="16733"/>
    <cellStyle name="Обычный 6 2 6 2 2 7" xfId="16734"/>
    <cellStyle name="Обычный 6 2 6 2 3" xfId="16735"/>
    <cellStyle name="Обычный 6 2 6 2 3 2" xfId="16736"/>
    <cellStyle name="Обычный 6 2 6 2 3 2 2" xfId="16737"/>
    <cellStyle name="Обычный 6 2 6 2 3 2 3" xfId="16738"/>
    <cellStyle name="Обычный 6 2 6 2 3 3" xfId="16739"/>
    <cellStyle name="Обычный 6 2 6 2 3 3 2" xfId="16740"/>
    <cellStyle name="Обычный 6 2 6 2 3 3 3" xfId="16741"/>
    <cellStyle name="Обычный 6 2 6 2 3 4" xfId="16742"/>
    <cellStyle name="Обычный 6 2 6 2 3 4 2" xfId="16743"/>
    <cellStyle name="Обычный 6 2 6 2 3 5" xfId="16744"/>
    <cellStyle name="Обычный 6 2 6 2 3 6" xfId="16745"/>
    <cellStyle name="Обычный 6 2 6 2 4" xfId="16746"/>
    <cellStyle name="Обычный 6 2 6 2 4 2" xfId="16747"/>
    <cellStyle name="Обычный 6 2 6 2 4 3" xfId="16748"/>
    <cellStyle name="Обычный 6 2 6 2 5" xfId="16749"/>
    <cellStyle name="Обычный 6 2 6 2 5 2" xfId="16750"/>
    <cellStyle name="Обычный 6 2 6 2 5 3" xfId="16751"/>
    <cellStyle name="Обычный 6 2 6 2 6" xfId="16752"/>
    <cellStyle name="Обычный 6 2 6 2 6 2" xfId="16753"/>
    <cellStyle name="Обычный 6 2 6 2 7" xfId="16754"/>
    <cellStyle name="Обычный 6 2 6 2 8" xfId="16755"/>
    <cellStyle name="Обычный 6 2 6 3" xfId="16756"/>
    <cellStyle name="Обычный 6 2 6 3 2" xfId="16757"/>
    <cellStyle name="Обычный 6 2 6 3 2 2" xfId="16758"/>
    <cellStyle name="Обычный 6 2 6 3 2 2 2" xfId="16759"/>
    <cellStyle name="Обычный 6 2 6 3 2 2 3" xfId="16760"/>
    <cellStyle name="Обычный 6 2 6 3 2 3" xfId="16761"/>
    <cellStyle name="Обычный 6 2 6 3 2 3 2" xfId="16762"/>
    <cellStyle name="Обычный 6 2 6 3 2 3 3" xfId="16763"/>
    <cellStyle name="Обычный 6 2 6 3 2 4" xfId="16764"/>
    <cellStyle name="Обычный 6 2 6 3 2 4 2" xfId="16765"/>
    <cellStyle name="Обычный 6 2 6 3 2 5" xfId="16766"/>
    <cellStyle name="Обычный 6 2 6 3 2 6" xfId="16767"/>
    <cellStyle name="Обычный 6 2 6 3 3" xfId="16768"/>
    <cellStyle name="Обычный 6 2 6 3 3 2" xfId="16769"/>
    <cellStyle name="Обычный 6 2 6 3 3 3" xfId="16770"/>
    <cellStyle name="Обычный 6 2 6 3 4" xfId="16771"/>
    <cellStyle name="Обычный 6 2 6 3 4 2" xfId="16772"/>
    <cellStyle name="Обычный 6 2 6 3 4 3" xfId="16773"/>
    <cellStyle name="Обычный 6 2 6 3 5" xfId="16774"/>
    <cellStyle name="Обычный 6 2 6 3 5 2" xfId="16775"/>
    <cellStyle name="Обычный 6 2 6 3 6" xfId="16776"/>
    <cellStyle name="Обычный 6 2 6 3 7" xfId="16777"/>
    <cellStyle name="Обычный 6 2 6 4" xfId="16778"/>
    <cellStyle name="Обычный 6 2 6 4 2" xfId="16779"/>
    <cellStyle name="Обычный 6 2 6 4 2 2" xfId="16780"/>
    <cellStyle name="Обычный 6 2 6 4 2 3" xfId="16781"/>
    <cellStyle name="Обычный 6 2 6 4 3" xfId="16782"/>
    <cellStyle name="Обычный 6 2 6 4 3 2" xfId="16783"/>
    <cellStyle name="Обычный 6 2 6 4 3 3" xfId="16784"/>
    <cellStyle name="Обычный 6 2 6 4 4" xfId="16785"/>
    <cellStyle name="Обычный 6 2 6 4 4 2" xfId="16786"/>
    <cellStyle name="Обычный 6 2 6 4 5" xfId="16787"/>
    <cellStyle name="Обычный 6 2 6 4 6" xfId="16788"/>
    <cellStyle name="Обычный 6 2 6 5" xfId="16789"/>
    <cellStyle name="Обычный 6 2 6 5 2" xfId="16790"/>
    <cellStyle name="Обычный 6 2 6 5 3" xfId="16791"/>
    <cellStyle name="Обычный 6 2 6 6" xfId="16792"/>
    <cellStyle name="Обычный 6 2 6 6 2" xfId="16793"/>
    <cellStyle name="Обычный 6 2 6 6 3" xfId="16794"/>
    <cellStyle name="Обычный 6 2 6 7" xfId="16795"/>
    <cellStyle name="Обычный 6 2 6 7 2" xfId="16796"/>
    <cellStyle name="Обычный 6 2 6 8" xfId="16797"/>
    <cellStyle name="Обычный 6 2 6 9" xfId="16798"/>
    <cellStyle name="Обычный 6 2 7" xfId="16799"/>
    <cellStyle name="Обычный 6 2 7 2" xfId="16800"/>
    <cellStyle name="Обычный 6 2 7 2 2" xfId="16801"/>
    <cellStyle name="Обычный 6 2 7 2 2 2" xfId="16802"/>
    <cellStyle name="Обычный 6 2 7 2 2 2 2" xfId="16803"/>
    <cellStyle name="Обычный 6 2 7 2 2 2 3" xfId="16804"/>
    <cellStyle name="Обычный 6 2 7 2 2 3" xfId="16805"/>
    <cellStyle name="Обычный 6 2 7 2 2 3 2" xfId="16806"/>
    <cellStyle name="Обычный 6 2 7 2 2 3 3" xfId="16807"/>
    <cellStyle name="Обычный 6 2 7 2 2 4" xfId="16808"/>
    <cellStyle name="Обычный 6 2 7 2 2 4 2" xfId="16809"/>
    <cellStyle name="Обычный 6 2 7 2 2 5" xfId="16810"/>
    <cellStyle name="Обычный 6 2 7 2 2 6" xfId="16811"/>
    <cellStyle name="Обычный 6 2 7 2 3" xfId="16812"/>
    <cellStyle name="Обычный 6 2 7 2 3 2" xfId="16813"/>
    <cellStyle name="Обычный 6 2 7 2 3 3" xfId="16814"/>
    <cellStyle name="Обычный 6 2 7 2 4" xfId="16815"/>
    <cellStyle name="Обычный 6 2 7 2 4 2" xfId="16816"/>
    <cellStyle name="Обычный 6 2 7 2 4 3" xfId="16817"/>
    <cellStyle name="Обычный 6 2 7 2 5" xfId="16818"/>
    <cellStyle name="Обычный 6 2 7 2 5 2" xfId="16819"/>
    <cellStyle name="Обычный 6 2 7 2 6" xfId="16820"/>
    <cellStyle name="Обычный 6 2 7 2 7" xfId="16821"/>
    <cellStyle name="Обычный 6 2 7 3" xfId="16822"/>
    <cellStyle name="Обычный 6 2 7 3 2" xfId="16823"/>
    <cellStyle name="Обычный 6 2 7 3 2 2" xfId="16824"/>
    <cellStyle name="Обычный 6 2 7 3 2 3" xfId="16825"/>
    <cellStyle name="Обычный 6 2 7 3 3" xfId="16826"/>
    <cellStyle name="Обычный 6 2 7 3 3 2" xfId="16827"/>
    <cellStyle name="Обычный 6 2 7 3 3 3" xfId="16828"/>
    <cellStyle name="Обычный 6 2 7 3 4" xfId="16829"/>
    <cellStyle name="Обычный 6 2 7 3 4 2" xfId="16830"/>
    <cellStyle name="Обычный 6 2 7 3 5" xfId="16831"/>
    <cellStyle name="Обычный 6 2 7 3 6" xfId="16832"/>
    <cellStyle name="Обычный 6 2 7 4" xfId="16833"/>
    <cellStyle name="Обычный 6 2 7 4 2" xfId="16834"/>
    <cellStyle name="Обычный 6 2 7 4 3" xfId="16835"/>
    <cellStyle name="Обычный 6 2 7 5" xfId="16836"/>
    <cellStyle name="Обычный 6 2 7 5 2" xfId="16837"/>
    <cellStyle name="Обычный 6 2 7 5 3" xfId="16838"/>
    <cellStyle name="Обычный 6 2 7 6" xfId="16839"/>
    <cellStyle name="Обычный 6 2 7 6 2" xfId="16840"/>
    <cellStyle name="Обычный 6 2 7 7" xfId="16841"/>
    <cellStyle name="Обычный 6 2 7 8" xfId="16842"/>
    <cellStyle name="Обычный 6 2 8" xfId="16843"/>
    <cellStyle name="Обычный 6 2 8 2" xfId="16844"/>
    <cellStyle name="Обычный 6 2 8 2 2" xfId="16845"/>
    <cellStyle name="Обычный 6 2 8 2 2 2" xfId="16846"/>
    <cellStyle name="Обычный 6 2 8 2 2 3" xfId="16847"/>
    <cellStyle name="Обычный 6 2 8 2 3" xfId="16848"/>
    <cellStyle name="Обычный 6 2 8 2 3 2" xfId="16849"/>
    <cellStyle name="Обычный 6 2 8 2 3 3" xfId="16850"/>
    <cellStyle name="Обычный 6 2 8 2 4" xfId="16851"/>
    <cellStyle name="Обычный 6 2 8 2 4 2" xfId="16852"/>
    <cellStyle name="Обычный 6 2 8 2 5" xfId="16853"/>
    <cellStyle name="Обычный 6 2 8 2 6" xfId="16854"/>
    <cellStyle name="Обычный 6 2 8 3" xfId="16855"/>
    <cellStyle name="Обычный 6 2 8 3 2" xfId="16856"/>
    <cellStyle name="Обычный 6 2 8 3 3" xfId="16857"/>
    <cellStyle name="Обычный 6 2 8 4" xfId="16858"/>
    <cellStyle name="Обычный 6 2 8 4 2" xfId="16859"/>
    <cellStyle name="Обычный 6 2 8 4 3" xfId="16860"/>
    <cellStyle name="Обычный 6 2 8 5" xfId="16861"/>
    <cellStyle name="Обычный 6 2 8 5 2" xfId="16862"/>
    <cellStyle name="Обычный 6 2 8 6" xfId="16863"/>
    <cellStyle name="Обычный 6 2 8 7" xfId="16864"/>
    <cellStyle name="Обычный 6 2 9" xfId="16865"/>
    <cellStyle name="Обычный 6 2 9 2" xfId="16866"/>
    <cellStyle name="Обычный 6 2 9 2 2" xfId="16867"/>
    <cellStyle name="Обычный 6 2 9 2 3" xfId="16868"/>
    <cellStyle name="Обычный 6 2 9 3" xfId="16869"/>
    <cellStyle name="Обычный 6 2 9 3 2" xfId="16870"/>
    <cellStyle name="Обычный 6 2 9 3 3" xfId="16871"/>
    <cellStyle name="Обычный 6 2 9 4" xfId="16872"/>
    <cellStyle name="Обычный 6 2 9 4 2" xfId="16873"/>
    <cellStyle name="Обычный 6 2 9 5" xfId="16874"/>
    <cellStyle name="Обычный 6 2 9 6" xfId="16875"/>
    <cellStyle name="Обычный 6 20" xfId="16876"/>
    <cellStyle name="Обычный 6 21" xfId="16877"/>
    <cellStyle name="Обычный 6 22" xfId="16878"/>
    <cellStyle name="Обычный 6 3" xfId="16879"/>
    <cellStyle name="Обычный 6 3 10" xfId="16880"/>
    <cellStyle name="Обычный 6 3 10 2" xfId="16881"/>
    <cellStyle name="Обычный 6 3 10 3" xfId="16882"/>
    <cellStyle name="Обычный 6 3 11" xfId="16883"/>
    <cellStyle name="Обычный 6 3 11 2" xfId="16884"/>
    <cellStyle name="Обычный 6 3 11 3" xfId="16885"/>
    <cellStyle name="Обычный 6 3 12" xfId="16886"/>
    <cellStyle name="Обычный 6 3 12 2" xfId="16887"/>
    <cellStyle name="Обычный 6 3 13" xfId="16888"/>
    <cellStyle name="Обычный 6 3 14" xfId="16889"/>
    <cellStyle name="Обычный 6 3 2" xfId="16890"/>
    <cellStyle name="Обычный 6 3 2 10" xfId="16891"/>
    <cellStyle name="Обычный 6 3 2 10 2" xfId="16892"/>
    <cellStyle name="Обычный 6 3 2 10 3" xfId="16893"/>
    <cellStyle name="Обычный 6 3 2 11" xfId="16894"/>
    <cellStyle name="Обычный 6 3 2 11 2" xfId="16895"/>
    <cellStyle name="Обычный 6 3 2 12" xfId="16896"/>
    <cellStyle name="Обычный 6 3 2 13" xfId="16897"/>
    <cellStyle name="Обычный 6 3 2 2" xfId="16898"/>
    <cellStyle name="Обычный 6 3 2 2 10" xfId="16899"/>
    <cellStyle name="Обычный 6 3 2 2 2" xfId="16900"/>
    <cellStyle name="Обычный 6 3 2 2 2 2" xfId="16901"/>
    <cellStyle name="Обычный 6 3 2 2 2 2 2" xfId="16902"/>
    <cellStyle name="Обычный 6 3 2 2 2 2 2 2" xfId="16903"/>
    <cellStyle name="Обычный 6 3 2 2 2 2 2 2 2" xfId="16904"/>
    <cellStyle name="Обычный 6 3 2 2 2 2 2 2 2 2" xfId="16905"/>
    <cellStyle name="Обычный 6 3 2 2 2 2 2 2 2 3" xfId="16906"/>
    <cellStyle name="Обычный 6 3 2 2 2 2 2 2 3" xfId="16907"/>
    <cellStyle name="Обычный 6 3 2 2 2 2 2 2 3 2" xfId="16908"/>
    <cellStyle name="Обычный 6 3 2 2 2 2 2 2 3 3" xfId="16909"/>
    <cellStyle name="Обычный 6 3 2 2 2 2 2 2 4" xfId="16910"/>
    <cellStyle name="Обычный 6 3 2 2 2 2 2 2 4 2" xfId="16911"/>
    <cellStyle name="Обычный 6 3 2 2 2 2 2 2 5" xfId="16912"/>
    <cellStyle name="Обычный 6 3 2 2 2 2 2 2 6" xfId="16913"/>
    <cellStyle name="Обычный 6 3 2 2 2 2 2 3" xfId="16914"/>
    <cellStyle name="Обычный 6 3 2 2 2 2 2 3 2" xfId="16915"/>
    <cellStyle name="Обычный 6 3 2 2 2 2 2 3 3" xfId="16916"/>
    <cellStyle name="Обычный 6 3 2 2 2 2 2 4" xfId="16917"/>
    <cellStyle name="Обычный 6 3 2 2 2 2 2 4 2" xfId="16918"/>
    <cellStyle name="Обычный 6 3 2 2 2 2 2 4 3" xfId="16919"/>
    <cellStyle name="Обычный 6 3 2 2 2 2 2 5" xfId="16920"/>
    <cellStyle name="Обычный 6 3 2 2 2 2 2 5 2" xfId="16921"/>
    <cellStyle name="Обычный 6 3 2 2 2 2 2 6" xfId="16922"/>
    <cellStyle name="Обычный 6 3 2 2 2 2 2 7" xfId="16923"/>
    <cellStyle name="Обычный 6 3 2 2 2 2 3" xfId="16924"/>
    <cellStyle name="Обычный 6 3 2 2 2 2 3 2" xfId="16925"/>
    <cellStyle name="Обычный 6 3 2 2 2 2 3 2 2" xfId="16926"/>
    <cellStyle name="Обычный 6 3 2 2 2 2 3 2 3" xfId="16927"/>
    <cellStyle name="Обычный 6 3 2 2 2 2 3 3" xfId="16928"/>
    <cellStyle name="Обычный 6 3 2 2 2 2 3 3 2" xfId="16929"/>
    <cellStyle name="Обычный 6 3 2 2 2 2 3 3 3" xfId="16930"/>
    <cellStyle name="Обычный 6 3 2 2 2 2 3 4" xfId="16931"/>
    <cellStyle name="Обычный 6 3 2 2 2 2 3 4 2" xfId="16932"/>
    <cellStyle name="Обычный 6 3 2 2 2 2 3 5" xfId="16933"/>
    <cellStyle name="Обычный 6 3 2 2 2 2 3 6" xfId="16934"/>
    <cellStyle name="Обычный 6 3 2 2 2 2 4" xfId="16935"/>
    <cellStyle name="Обычный 6 3 2 2 2 2 4 2" xfId="16936"/>
    <cellStyle name="Обычный 6 3 2 2 2 2 4 3" xfId="16937"/>
    <cellStyle name="Обычный 6 3 2 2 2 2 5" xfId="16938"/>
    <cellStyle name="Обычный 6 3 2 2 2 2 5 2" xfId="16939"/>
    <cellStyle name="Обычный 6 3 2 2 2 2 5 3" xfId="16940"/>
    <cellStyle name="Обычный 6 3 2 2 2 2 6" xfId="16941"/>
    <cellStyle name="Обычный 6 3 2 2 2 2 6 2" xfId="16942"/>
    <cellStyle name="Обычный 6 3 2 2 2 2 7" xfId="16943"/>
    <cellStyle name="Обычный 6 3 2 2 2 2 8" xfId="16944"/>
    <cellStyle name="Обычный 6 3 2 2 2 3" xfId="16945"/>
    <cellStyle name="Обычный 6 3 2 2 2 3 2" xfId="16946"/>
    <cellStyle name="Обычный 6 3 2 2 2 3 2 2" xfId="16947"/>
    <cellStyle name="Обычный 6 3 2 2 2 3 2 2 2" xfId="16948"/>
    <cellStyle name="Обычный 6 3 2 2 2 3 2 2 3" xfId="16949"/>
    <cellStyle name="Обычный 6 3 2 2 2 3 2 3" xfId="16950"/>
    <cellStyle name="Обычный 6 3 2 2 2 3 2 3 2" xfId="16951"/>
    <cellStyle name="Обычный 6 3 2 2 2 3 2 3 3" xfId="16952"/>
    <cellStyle name="Обычный 6 3 2 2 2 3 2 4" xfId="16953"/>
    <cellStyle name="Обычный 6 3 2 2 2 3 2 4 2" xfId="16954"/>
    <cellStyle name="Обычный 6 3 2 2 2 3 2 5" xfId="16955"/>
    <cellStyle name="Обычный 6 3 2 2 2 3 2 6" xfId="16956"/>
    <cellStyle name="Обычный 6 3 2 2 2 3 3" xfId="16957"/>
    <cellStyle name="Обычный 6 3 2 2 2 3 3 2" xfId="16958"/>
    <cellStyle name="Обычный 6 3 2 2 2 3 3 3" xfId="16959"/>
    <cellStyle name="Обычный 6 3 2 2 2 3 4" xfId="16960"/>
    <cellStyle name="Обычный 6 3 2 2 2 3 4 2" xfId="16961"/>
    <cellStyle name="Обычный 6 3 2 2 2 3 4 3" xfId="16962"/>
    <cellStyle name="Обычный 6 3 2 2 2 3 5" xfId="16963"/>
    <cellStyle name="Обычный 6 3 2 2 2 3 5 2" xfId="16964"/>
    <cellStyle name="Обычный 6 3 2 2 2 3 6" xfId="16965"/>
    <cellStyle name="Обычный 6 3 2 2 2 3 7" xfId="16966"/>
    <cellStyle name="Обычный 6 3 2 2 2 4" xfId="16967"/>
    <cellStyle name="Обычный 6 3 2 2 2 4 2" xfId="16968"/>
    <cellStyle name="Обычный 6 3 2 2 2 4 2 2" xfId="16969"/>
    <cellStyle name="Обычный 6 3 2 2 2 4 2 3" xfId="16970"/>
    <cellStyle name="Обычный 6 3 2 2 2 4 3" xfId="16971"/>
    <cellStyle name="Обычный 6 3 2 2 2 4 3 2" xfId="16972"/>
    <cellStyle name="Обычный 6 3 2 2 2 4 3 3" xfId="16973"/>
    <cellStyle name="Обычный 6 3 2 2 2 4 4" xfId="16974"/>
    <cellStyle name="Обычный 6 3 2 2 2 4 4 2" xfId="16975"/>
    <cellStyle name="Обычный 6 3 2 2 2 4 5" xfId="16976"/>
    <cellStyle name="Обычный 6 3 2 2 2 4 6" xfId="16977"/>
    <cellStyle name="Обычный 6 3 2 2 2 5" xfId="16978"/>
    <cellStyle name="Обычный 6 3 2 2 2 5 2" xfId="16979"/>
    <cellStyle name="Обычный 6 3 2 2 2 5 3" xfId="16980"/>
    <cellStyle name="Обычный 6 3 2 2 2 6" xfId="16981"/>
    <cellStyle name="Обычный 6 3 2 2 2 6 2" xfId="16982"/>
    <cellStyle name="Обычный 6 3 2 2 2 6 3" xfId="16983"/>
    <cellStyle name="Обычный 6 3 2 2 2 7" xfId="16984"/>
    <cellStyle name="Обычный 6 3 2 2 2 7 2" xfId="16985"/>
    <cellStyle name="Обычный 6 3 2 2 2 8" xfId="16986"/>
    <cellStyle name="Обычный 6 3 2 2 2 9" xfId="16987"/>
    <cellStyle name="Обычный 6 3 2 2 3" xfId="16988"/>
    <cellStyle name="Обычный 6 3 2 2 3 2" xfId="16989"/>
    <cellStyle name="Обычный 6 3 2 2 3 2 2" xfId="16990"/>
    <cellStyle name="Обычный 6 3 2 2 3 2 2 2" xfId="16991"/>
    <cellStyle name="Обычный 6 3 2 2 3 2 2 2 2" xfId="16992"/>
    <cellStyle name="Обычный 6 3 2 2 3 2 2 2 3" xfId="16993"/>
    <cellStyle name="Обычный 6 3 2 2 3 2 2 3" xfId="16994"/>
    <cellStyle name="Обычный 6 3 2 2 3 2 2 3 2" xfId="16995"/>
    <cellStyle name="Обычный 6 3 2 2 3 2 2 3 3" xfId="16996"/>
    <cellStyle name="Обычный 6 3 2 2 3 2 2 4" xfId="16997"/>
    <cellStyle name="Обычный 6 3 2 2 3 2 2 4 2" xfId="16998"/>
    <cellStyle name="Обычный 6 3 2 2 3 2 2 5" xfId="16999"/>
    <cellStyle name="Обычный 6 3 2 2 3 2 2 6" xfId="17000"/>
    <cellStyle name="Обычный 6 3 2 2 3 2 3" xfId="17001"/>
    <cellStyle name="Обычный 6 3 2 2 3 2 3 2" xfId="17002"/>
    <cellStyle name="Обычный 6 3 2 2 3 2 3 3" xfId="17003"/>
    <cellStyle name="Обычный 6 3 2 2 3 2 4" xfId="17004"/>
    <cellStyle name="Обычный 6 3 2 2 3 2 4 2" xfId="17005"/>
    <cellStyle name="Обычный 6 3 2 2 3 2 4 3" xfId="17006"/>
    <cellStyle name="Обычный 6 3 2 2 3 2 5" xfId="17007"/>
    <cellStyle name="Обычный 6 3 2 2 3 2 5 2" xfId="17008"/>
    <cellStyle name="Обычный 6 3 2 2 3 2 6" xfId="17009"/>
    <cellStyle name="Обычный 6 3 2 2 3 2 7" xfId="17010"/>
    <cellStyle name="Обычный 6 3 2 2 3 3" xfId="17011"/>
    <cellStyle name="Обычный 6 3 2 2 3 3 2" xfId="17012"/>
    <cellStyle name="Обычный 6 3 2 2 3 3 2 2" xfId="17013"/>
    <cellStyle name="Обычный 6 3 2 2 3 3 2 3" xfId="17014"/>
    <cellStyle name="Обычный 6 3 2 2 3 3 3" xfId="17015"/>
    <cellStyle name="Обычный 6 3 2 2 3 3 3 2" xfId="17016"/>
    <cellStyle name="Обычный 6 3 2 2 3 3 3 3" xfId="17017"/>
    <cellStyle name="Обычный 6 3 2 2 3 3 4" xfId="17018"/>
    <cellStyle name="Обычный 6 3 2 2 3 3 4 2" xfId="17019"/>
    <cellStyle name="Обычный 6 3 2 2 3 3 5" xfId="17020"/>
    <cellStyle name="Обычный 6 3 2 2 3 3 6" xfId="17021"/>
    <cellStyle name="Обычный 6 3 2 2 3 4" xfId="17022"/>
    <cellStyle name="Обычный 6 3 2 2 3 4 2" xfId="17023"/>
    <cellStyle name="Обычный 6 3 2 2 3 4 3" xfId="17024"/>
    <cellStyle name="Обычный 6 3 2 2 3 5" xfId="17025"/>
    <cellStyle name="Обычный 6 3 2 2 3 5 2" xfId="17026"/>
    <cellStyle name="Обычный 6 3 2 2 3 5 3" xfId="17027"/>
    <cellStyle name="Обычный 6 3 2 2 3 6" xfId="17028"/>
    <cellStyle name="Обычный 6 3 2 2 3 6 2" xfId="17029"/>
    <cellStyle name="Обычный 6 3 2 2 3 7" xfId="17030"/>
    <cellStyle name="Обычный 6 3 2 2 3 8" xfId="17031"/>
    <cellStyle name="Обычный 6 3 2 2 4" xfId="17032"/>
    <cellStyle name="Обычный 6 3 2 2 4 2" xfId="17033"/>
    <cellStyle name="Обычный 6 3 2 2 4 2 2" xfId="17034"/>
    <cellStyle name="Обычный 6 3 2 2 4 2 2 2" xfId="17035"/>
    <cellStyle name="Обычный 6 3 2 2 4 2 2 3" xfId="17036"/>
    <cellStyle name="Обычный 6 3 2 2 4 2 3" xfId="17037"/>
    <cellStyle name="Обычный 6 3 2 2 4 2 3 2" xfId="17038"/>
    <cellStyle name="Обычный 6 3 2 2 4 2 3 3" xfId="17039"/>
    <cellStyle name="Обычный 6 3 2 2 4 2 4" xfId="17040"/>
    <cellStyle name="Обычный 6 3 2 2 4 2 4 2" xfId="17041"/>
    <cellStyle name="Обычный 6 3 2 2 4 2 5" xfId="17042"/>
    <cellStyle name="Обычный 6 3 2 2 4 2 6" xfId="17043"/>
    <cellStyle name="Обычный 6 3 2 2 4 3" xfId="17044"/>
    <cellStyle name="Обычный 6 3 2 2 4 3 2" xfId="17045"/>
    <cellStyle name="Обычный 6 3 2 2 4 3 3" xfId="17046"/>
    <cellStyle name="Обычный 6 3 2 2 4 4" xfId="17047"/>
    <cellStyle name="Обычный 6 3 2 2 4 4 2" xfId="17048"/>
    <cellStyle name="Обычный 6 3 2 2 4 4 3" xfId="17049"/>
    <cellStyle name="Обычный 6 3 2 2 4 5" xfId="17050"/>
    <cellStyle name="Обычный 6 3 2 2 4 5 2" xfId="17051"/>
    <cellStyle name="Обычный 6 3 2 2 4 6" xfId="17052"/>
    <cellStyle name="Обычный 6 3 2 2 4 7" xfId="17053"/>
    <cellStyle name="Обычный 6 3 2 2 5" xfId="17054"/>
    <cellStyle name="Обычный 6 3 2 2 5 2" xfId="17055"/>
    <cellStyle name="Обычный 6 3 2 2 5 2 2" xfId="17056"/>
    <cellStyle name="Обычный 6 3 2 2 5 2 3" xfId="17057"/>
    <cellStyle name="Обычный 6 3 2 2 5 3" xfId="17058"/>
    <cellStyle name="Обычный 6 3 2 2 5 3 2" xfId="17059"/>
    <cellStyle name="Обычный 6 3 2 2 5 3 3" xfId="17060"/>
    <cellStyle name="Обычный 6 3 2 2 5 4" xfId="17061"/>
    <cellStyle name="Обычный 6 3 2 2 5 4 2" xfId="17062"/>
    <cellStyle name="Обычный 6 3 2 2 5 5" xfId="17063"/>
    <cellStyle name="Обычный 6 3 2 2 5 6" xfId="17064"/>
    <cellStyle name="Обычный 6 3 2 2 6" xfId="17065"/>
    <cellStyle name="Обычный 6 3 2 2 6 2" xfId="17066"/>
    <cellStyle name="Обычный 6 3 2 2 6 3" xfId="17067"/>
    <cellStyle name="Обычный 6 3 2 2 7" xfId="17068"/>
    <cellStyle name="Обычный 6 3 2 2 7 2" xfId="17069"/>
    <cellStyle name="Обычный 6 3 2 2 7 3" xfId="17070"/>
    <cellStyle name="Обычный 6 3 2 2 8" xfId="17071"/>
    <cellStyle name="Обычный 6 3 2 2 8 2" xfId="17072"/>
    <cellStyle name="Обычный 6 3 2 2 9" xfId="17073"/>
    <cellStyle name="Обычный 6 3 2 3" xfId="17074"/>
    <cellStyle name="Обычный 6 3 2 3 10" xfId="17075"/>
    <cellStyle name="Обычный 6 3 2 3 2" xfId="17076"/>
    <cellStyle name="Обычный 6 3 2 3 2 2" xfId="17077"/>
    <cellStyle name="Обычный 6 3 2 3 2 2 2" xfId="17078"/>
    <cellStyle name="Обычный 6 3 2 3 2 2 2 2" xfId="17079"/>
    <cellStyle name="Обычный 6 3 2 3 2 2 2 2 2" xfId="17080"/>
    <cellStyle name="Обычный 6 3 2 3 2 2 2 2 2 2" xfId="17081"/>
    <cellStyle name="Обычный 6 3 2 3 2 2 2 2 2 3" xfId="17082"/>
    <cellStyle name="Обычный 6 3 2 3 2 2 2 2 3" xfId="17083"/>
    <cellStyle name="Обычный 6 3 2 3 2 2 2 2 3 2" xfId="17084"/>
    <cellStyle name="Обычный 6 3 2 3 2 2 2 2 3 3" xfId="17085"/>
    <cellStyle name="Обычный 6 3 2 3 2 2 2 2 4" xfId="17086"/>
    <cellStyle name="Обычный 6 3 2 3 2 2 2 2 4 2" xfId="17087"/>
    <cellStyle name="Обычный 6 3 2 3 2 2 2 2 5" xfId="17088"/>
    <cellStyle name="Обычный 6 3 2 3 2 2 2 2 6" xfId="17089"/>
    <cellStyle name="Обычный 6 3 2 3 2 2 2 3" xfId="17090"/>
    <cellStyle name="Обычный 6 3 2 3 2 2 2 3 2" xfId="17091"/>
    <cellStyle name="Обычный 6 3 2 3 2 2 2 3 3" xfId="17092"/>
    <cellStyle name="Обычный 6 3 2 3 2 2 2 4" xfId="17093"/>
    <cellStyle name="Обычный 6 3 2 3 2 2 2 4 2" xfId="17094"/>
    <cellStyle name="Обычный 6 3 2 3 2 2 2 4 3" xfId="17095"/>
    <cellStyle name="Обычный 6 3 2 3 2 2 2 5" xfId="17096"/>
    <cellStyle name="Обычный 6 3 2 3 2 2 2 5 2" xfId="17097"/>
    <cellStyle name="Обычный 6 3 2 3 2 2 2 6" xfId="17098"/>
    <cellStyle name="Обычный 6 3 2 3 2 2 2 7" xfId="17099"/>
    <cellStyle name="Обычный 6 3 2 3 2 2 3" xfId="17100"/>
    <cellStyle name="Обычный 6 3 2 3 2 2 3 2" xfId="17101"/>
    <cellStyle name="Обычный 6 3 2 3 2 2 3 2 2" xfId="17102"/>
    <cellStyle name="Обычный 6 3 2 3 2 2 3 2 3" xfId="17103"/>
    <cellStyle name="Обычный 6 3 2 3 2 2 3 3" xfId="17104"/>
    <cellStyle name="Обычный 6 3 2 3 2 2 3 3 2" xfId="17105"/>
    <cellStyle name="Обычный 6 3 2 3 2 2 3 3 3" xfId="17106"/>
    <cellStyle name="Обычный 6 3 2 3 2 2 3 4" xfId="17107"/>
    <cellStyle name="Обычный 6 3 2 3 2 2 3 4 2" xfId="17108"/>
    <cellStyle name="Обычный 6 3 2 3 2 2 3 5" xfId="17109"/>
    <cellStyle name="Обычный 6 3 2 3 2 2 3 6" xfId="17110"/>
    <cellStyle name="Обычный 6 3 2 3 2 2 4" xfId="17111"/>
    <cellStyle name="Обычный 6 3 2 3 2 2 4 2" xfId="17112"/>
    <cellStyle name="Обычный 6 3 2 3 2 2 4 3" xfId="17113"/>
    <cellStyle name="Обычный 6 3 2 3 2 2 5" xfId="17114"/>
    <cellStyle name="Обычный 6 3 2 3 2 2 5 2" xfId="17115"/>
    <cellStyle name="Обычный 6 3 2 3 2 2 5 3" xfId="17116"/>
    <cellStyle name="Обычный 6 3 2 3 2 2 6" xfId="17117"/>
    <cellStyle name="Обычный 6 3 2 3 2 2 6 2" xfId="17118"/>
    <cellStyle name="Обычный 6 3 2 3 2 2 7" xfId="17119"/>
    <cellStyle name="Обычный 6 3 2 3 2 2 8" xfId="17120"/>
    <cellStyle name="Обычный 6 3 2 3 2 3" xfId="17121"/>
    <cellStyle name="Обычный 6 3 2 3 2 3 2" xfId="17122"/>
    <cellStyle name="Обычный 6 3 2 3 2 3 2 2" xfId="17123"/>
    <cellStyle name="Обычный 6 3 2 3 2 3 2 2 2" xfId="17124"/>
    <cellStyle name="Обычный 6 3 2 3 2 3 2 2 3" xfId="17125"/>
    <cellStyle name="Обычный 6 3 2 3 2 3 2 3" xfId="17126"/>
    <cellStyle name="Обычный 6 3 2 3 2 3 2 3 2" xfId="17127"/>
    <cellStyle name="Обычный 6 3 2 3 2 3 2 3 3" xfId="17128"/>
    <cellStyle name="Обычный 6 3 2 3 2 3 2 4" xfId="17129"/>
    <cellStyle name="Обычный 6 3 2 3 2 3 2 4 2" xfId="17130"/>
    <cellStyle name="Обычный 6 3 2 3 2 3 2 5" xfId="17131"/>
    <cellStyle name="Обычный 6 3 2 3 2 3 2 6" xfId="17132"/>
    <cellStyle name="Обычный 6 3 2 3 2 3 3" xfId="17133"/>
    <cellStyle name="Обычный 6 3 2 3 2 3 3 2" xfId="17134"/>
    <cellStyle name="Обычный 6 3 2 3 2 3 3 3" xfId="17135"/>
    <cellStyle name="Обычный 6 3 2 3 2 3 4" xfId="17136"/>
    <cellStyle name="Обычный 6 3 2 3 2 3 4 2" xfId="17137"/>
    <cellStyle name="Обычный 6 3 2 3 2 3 4 3" xfId="17138"/>
    <cellStyle name="Обычный 6 3 2 3 2 3 5" xfId="17139"/>
    <cellStyle name="Обычный 6 3 2 3 2 3 5 2" xfId="17140"/>
    <cellStyle name="Обычный 6 3 2 3 2 3 6" xfId="17141"/>
    <cellStyle name="Обычный 6 3 2 3 2 3 7" xfId="17142"/>
    <cellStyle name="Обычный 6 3 2 3 2 4" xfId="17143"/>
    <cellStyle name="Обычный 6 3 2 3 2 4 2" xfId="17144"/>
    <cellStyle name="Обычный 6 3 2 3 2 4 2 2" xfId="17145"/>
    <cellStyle name="Обычный 6 3 2 3 2 4 2 3" xfId="17146"/>
    <cellStyle name="Обычный 6 3 2 3 2 4 3" xfId="17147"/>
    <cellStyle name="Обычный 6 3 2 3 2 4 3 2" xfId="17148"/>
    <cellStyle name="Обычный 6 3 2 3 2 4 3 3" xfId="17149"/>
    <cellStyle name="Обычный 6 3 2 3 2 4 4" xfId="17150"/>
    <cellStyle name="Обычный 6 3 2 3 2 4 4 2" xfId="17151"/>
    <cellStyle name="Обычный 6 3 2 3 2 4 5" xfId="17152"/>
    <cellStyle name="Обычный 6 3 2 3 2 4 6" xfId="17153"/>
    <cellStyle name="Обычный 6 3 2 3 2 5" xfId="17154"/>
    <cellStyle name="Обычный 6 3 2 3 2 5 2" xfId="17155"/>
    <cellStyle name="Обычный 6 3 2 3 2 5 3" xfId="17156"/>
    <cellStyle name="Обычный 6 3 2 3 2 6" xfId="17157"/>
    <cellStyle name="Обычный 6 3 2 3 2 6 2" xfId="17158"/>
    <cellStyle name="Обычный 6 3 2 3 2 6 3" xfId="17159"/>
    <cellStyle name="Обычный 6 3 2 3 2 7" xfId="17160"/>
    <cellStyle name="Обычный 6 3 2 3 2 7 2" xfId="17161"/>
    <cellStyle name="Обычный 6 3 2 3 2 8" xfId="17162"/>
    <cellStyle name="Обычный 6 3 2 3 2 9" xfId="17163"/>
    <cellStyle name="Обычный 6 3 2 3 3" xfId="17164"/>
    <cellStyle name="Обычный 6 3 2 3 3 2" xfId="17165"/>
    <cellStyle name="Обычный 6 3 2 3 3 2 2" xfId="17166"/>
    <cellStyle name="Обычный 6 3 2 3 3 2 2 2" xfId="17167"/>
    <cellStyle name="Обычный 6 3 2 3 3 2 2 2 2" xfId="17168"/>
    <cellStyle name="Обычный 6 3 2 3 3 2 2 2 3" xfId="17169"/>
    <cellStyle name="Обычный 6 3 2 3 3 2 2 3" xfId="17170"/>
    <cellStyle name="Обычный 6 3 2 3 3 2 2 3 2" xfId="17171"/>
    <cellStyle name="Обычный 6 3 2 3 3 2 2 3 3" xfId="17172"/>
    <cellStyle name="Обычный 6 3 2 3 3 2 2 4" xfId="17173"/>
    <cellStyle name="Обычный 6 3 2 3 3 2 2 4 2" xfId="17174"/>
    <cellStyle name="Обычный 6 3 2 3 3 2 2 5" xfId="17175"/>
    <cellStyle name="Обычный 6 3 2 3 3 2 2 6" xfId="17176"/>
    <cellStyle name="Обычный 6 3 2 3 3 2 3" xfId="17177"/>
    <cellStyle name="Обычный 6 3 2 3 3 2 3 2" xfId="17178"/>
    <cellStyle name="Обычный 6 3 2 3 3 2 3 3" xfId="17179"/>
    <cellStyle name="Обычный 6 3 2 3 3 2 4" xfId="17180"/>
    <cellStyle name="Обычный 6 3 2 3 3 2 4 2" xfId="17181"/>
    <cellStyle name="Обычный 6 3 2 3 3 2 4 3" xfId="17182"/>
    <cellStyle name="Обычный 6 3 2 3 3 2 5" xfId="17183"/>
    <cellStyle name="Обычный 6 3 2 3 3 2 5 2" xfId="17184"/>
    <cellStyle name="Обычный 6 3 2 3 3 2 6" xfId="17185"/>
    <cellStyle name="Обычный 6 3 2 3 3 2 7" xfId="17186"/>
    <cellStyle name="Обычный 6 3 2 3 3 3" xfId="17187"/>
    <cellStyle name="Обычный 6 3 2 3 3 3 2" xfId="17188"/>
    <cellStyle name="Обычный 6 3 2 3 3 3 2 2" xfId="17189"/>
    <cellStyle name="Обычный 6 3 2 3 3 3 2 3" xfId="17190"/>
    <cellStyle name="Обычный 6 3 2 3 3 3 3" xfId="17191"/>
    <cellStyle name="Обычный 6 3 2 3 3 3 3 2" xfId="17192"/>
    <cellStyle name="Обычный 6 3 2 3 3 3 3 3" xfId="17193"/>
    <cellStyle name="Обычный 6 3 2 3 3 3 4" xfId="17194"/>
    <cellStyle name="Обычный 6 3 2 3 3 3 4 2" xfId="17195"/>
    <cellStyle name="Обычный 6 3 2 3 3 3 5" xfId="17196"/>
    <cellStyle name="Обычный 6 3 2 3 3 3 6" xfId="17197"/>
    <cellStyle name="Обычный 6 3 2 3 3 4" xfId="17198"/>
    <cellStyle name="Обычный 6 3 2 3 3 4 2" xfId="17199"/>
    <cellStyle name="Обычный 6 3 2 3 3 4 3" xfId="17200"/>
    <cellStyle name="Обычный 6 3 2 3 3 5" xfId="17201"/>
    <cellStyle name="Обычный 6 3 2 3 3 5 2" xfId="17202"/>
    <cellStyle name="Обычный 6 3 2 3 3 5 3" xfId="17203"/>
    <cellStyle name="Обычный 6 3 2 3 3 6" xfId="17204"/>
    <cellStyle name="Обычный 6 3 2 3 3 6 2" xfId="17205"/>
    <cellStyle name="Обычный 6 3 2 3 3 7" xfId="17206"/>
    <cellStyle name="Обычный 6 3 2 3 3 8" xfId="17207"/>
    <cellStyle name="Обычный 6 3 2 3 4" xfId="17208"/>
    <cellStyle name="Обычный 6 3 2 3 4 2" xfId="17209"/>
    <cellStyle name="Обычный 6 3 2 3 4 2 2" xfId="17210"/>
    <cellStyle name="Обычный 6 3 2 3 4 2 2 2" xfId="17211"/>
    <cellStyle name="Обычный 6 3 2 3 4 2 2 3" xfId="17212"/>
    <cellStyle name="Обычный 6 3 2 3 4 2 3" xfId="17213"/>
    <cellStyle name="Обычный 6 3 2 3 4 2 3 2" xfId="17214"/>
    <cellStyle name="Обычный 6 3 2 3 4 2 3 3" xfId="17215"/>
    <cellStyle name="Обычный 6 3 2 3 4 2 4" xfId="17216"/>
    <cellStyle name="Обычный 6 3 2 3 4 2 4 2" xfId="17217"/>
    <cellStyle name="Обычный 6 3 2 3 4 2 5" xfId="17218"/>
    <cellStyle name="Обычный 6 3 2 3 4 2 6" xfId="17219"/>
    <cellStyle name="Обычный 6 3 2 3 4 3" xfId="17220"/>
    <cellStyle name="Обычный 6 3 2 3 4 3 2" xfId="17221"/>
    <cellStyle name="Обычный 6 3 2 3 4 3 3" xfId="17222"/>
    <cellStyle name="Обычный 6 3 2 3 4 4" xfId="17223"/>
    <cellStyle name="Обычный 6 3 2 3 4 4 2" xfId="17224"/>
    <cellStyle name="Обычный 6 3 2 3 4 4 3" xfId="17225"/>
    <cellStyle name="Обычный 6 3 2 3 4 5" xfId="17226"/>
    <cellStyle name="Обычный 6 3 2 3 4 5 2" xfId="17227"/>
    <cellStyle name="Обычный 6 3 2 3 4 6" xfId="17228"/>
    <cellStyle name="Обычный 6 3 2 3 4 7" xfId="17229"/>
    <cellStyle name="Обычный 6 3 2 3 5" xfId="17230"/>
    <cellStyle name="Обычный 6 3 2 3 5 2" xfId="17231"/>
    <cellStyle name="Обычный 6 3 2 3 5 2 2" xfId="17232"/>
    <cellStyle name="Обычный 6 3 2 3 5 2 3" xfId="17233"/>
    <cellStyle name="Обычный 6 3 2 3 5 3" xfId="17234"/>
    <cellStyle name="Обычный 6 3 2 3 5 3 2" xfId="17235"/>
    <cellStyle name="Обычный 6 3 2 3 5 3 3" xfId="17236"/>
    <cellStyle name="Обычный 6 3 2 3 5 4" xfId="17237"/>
    <cellStyle name="Обычный 6 3 2 3 5 4 2" xfId="17238"/>
    <cellStyle name="Обычный 6 3 2 3 5 5" xfId="17239"/>
    <cellStyle name="Обычный 6 3 2 3 5 6" xfId="17240"/>
    <cellStyle name="Обычный 6 3 2 3 6" xfId="17241"/>
    <cellStyle name="Обычный 6 3 2 3 6 2" xfId="17242"/>
    <cellStyle name="Обычный 6 3 2 3 6 3" xfId="17243"/>
    <cellStyle name="Обычный 6 3 2 3 7" xfId="17244"/>
    <cellStyle name="Обычный 6 3 2 3 7 2" xfId="17245"/>
    <cellStyle name="Обычный 6 3 2 3 7 3" xfId="17246"/>
    <cellStyle name="Обычный 6 3 2 3 8" xfId="17247"/>
    <cellStyle name="Обычный 6 3 2 3 8 2" xfId="17248"/>
    <cellStyle name="Обычный 6 3 2 3 9" xfId="17249"/>
    <cellStyle name="Обычный 6 3 2 4" xfId="17250"/>
    <cellStyle name="Обычный 6 3 2 4 10" xfId="17251"/>
    <cellStyle name="Обычный 6 3 2 4 2" xfId="17252"/>
    <cellStyle name="Обычный 6 3 2 4 2 2" xfId="17253"/>
    <cellStyle name="Обычный 6 3 2 4 2 2 2" xfId="17254"/>
    <cellStyle name="Обычный 6 3 2 4 2 2 2 2" xfId="17255"/>
    <cellStyle name="Обычный 6 3 2 4 2 2 2 2 2" xfId="17256"/>
    <cellStyle name="Обычный 6 3 2 4 2 2 2 2 2 2" xfId="17257"/>
    <cellStyle name="Обычный 6 3 2 4 2 2 2 2 2 3" xfId="17258"/>
    <cellStyle name="Обычный 6 3 2 4 2 2 2 2 3" xfId="17259"/>
    <cellStyle name="Обычный 6 3 2 4 2 2 2 2 3 2" xfId="17260"/>
    <cellStyle name="Обычный 6 3 2 4 2 2 2 2 3 3" xfId="17261"/>
    <cellStyle name="Обычный 6 3 2 4 2 2 2 2 4" xfId="17262"/>
    <cellStyle name="Обычный 6 3 2 4 2 2 2 2 4 2" xfId="17263"/>
    <cellStyle name="Обычный 6 3 2 4 2 2 2 2 5" xfId="17264"/>
    <cellStyle name="Обычный 6 3 2 4 2 2 2 2 6" xfId="17265"/>
    <cellStyle name="Обычный 6 3 2 4 2 2 2 3" xfId="17266"/>
    <cellStyle name="Обычный 6 3 2 4 2 2 2 3 2" xfId="17267"/>
    <cellStyle name="Обычный 6 3 2 4 2 2 2 3 3" xfId="17268"/>
    <cellStyle name="Обычный 6 3 2 4 2 2 2 4" xfId="17269"/>
    <cellStyle name="Обычный 6 3 2 4 2 2 2 4 2" xfId="17270"/>
    <cellStyle name="Обычный 6 3 2 4 2 2 2 4 3" xfId="17271"/>
    <cellStyle name="Обычный 6 3 2 4 2 2 2 5" xfId="17272"/>
    <cellStyle name="Обычный 6 3 2 4 2 2 2 5 2" xfId="17273"/>
    <cellStyle name="Обычный 6 3 2 4 2 2 2 6" xfId="17274"/>
    <cellStyle name="Обычный 6 3 2 4 2 2 2 7" xfId="17275"/>
    <cellStyle name="Обычный 6 3 2 4 2 2 3" xfId="17276"/>
    <cellStyle name="Обычный 6 3 2 4 2 2 3 2" xfId="17277"/>
    <cellStyle name="Обычный 6 3 2 4 2 2 3 2 2" xfId="17278"/>
    <cellStyle name="Обычный 6 3 2 4 2 2 3 2 3" xfId="17279"/>
    <cellStyle name="Обычный 6 3 2 4 2 2 3 3" xfId="17280"/>
    <cellStyle name="Обычный 6 3 2 4 2 2 3 3 2" xfId="17281"/>
    <cellStyle name="Обычный 6 3 2 4 2 2 3 3 3" xfId="17282"/>
    <cellStyle name="Обычный 6 3 2 4 2 2 3 4" xfId="17283"/>
    <cellStyle name="Обычный 6 3 2 4 2 2 3 4 2" xfId="17284"/>
    <cellStyle name="Обычный 6 3 2 4 2 2 3 5" xfId="17285"/>
    <cellStyle name="Обычный 6 3 2 4 2 2 3 6" xfId="17286"/>
    <cellStyle name="Обычный 6 3 2 4 2 2 4" xfId="17287"/>
    <cellStyle name="Обычный 6 3 2 4 2 2 4 2" xfId="17288"/>
    <cellStyle name="Обычный 6 3 2 4 2 2 4 3" xfId="17289"/>
    <cellStyle name="Обычный 6 3 2 4 2 2 5" xfId="17290"/>
    <cellStyle name="Обычный 6 3 2 4 2 2 5 2" xfId="17291"/>
    <cellStyle name="Обычный 6 3 2 4 2 2 5 3" xfId="17292"/>
    <cellStyle name="Обычный 6 3 2 4 2 2 6" xfId="17293"/>
    <cellStyle name="Обычный 6 3 2 4 2 2 6 2" xfId="17294"/>
    <cellStyle name="Обычный 6 3 2 4 2 2 7" xfId="17295"/>
    <cellStyle name="Обычный 6 3 2 4 2 2 8" xfId="17296"/>
    <cellStyle name="Обычный 6 3 2 4 2 3" xfId="17297"/>
    <cellStyle name="Обычный 6 3 2 4 2 3 2" xfId="17298"/>
    <cellStyle name="Обычный 6 3 2 4 2 3 2 2" xfId="17299"/>
    <cellStyle name="Обычный 6 3 2 4 2 3 2 2 2" xfId="17300"/>
    <cellStyle name="Обычный 6 3 2 4 2 3 2 2 3" xfId="17301"/>
    <cellStyle name="Обычный 6 3 2 4 2 3 2 3" xfId="17302"/>
    <cellStyle name="Обычный 6 3 2 4 2 3 2 3 2" xfId="17303"/>
    <cellStyle name="Обычный 6 3 2 4 2 3 2 3 3" xfId="17304"/>
    <cellStyle name="Обычный 6 3 2 4 2 3 2 4" xfId="17305"/>
    <cellStyle name="Обычный 6 3 2 4 2 3 2 4 2" xfId="17306"/>
    <cellStyle name="Обычный 6 3 2 4 2 3 2 5" xfId="17307"/>
    <cellStyle name="Обычный 6 3 2 4 2 3 2 6" xfId="17308"/>
    <cellStyle name="Обычный 6 3 2 4 2 3 3" xfId="17309"/>
    <cellStyle name="Обычный 6 3 2 4 2 3 3 2" xfId="17310"/>
    <cellStyle name="Обычный 6 3 2 4 2 3 3 3" xfId="17311"/>
    <cellStyle name="Обычный 6 3 2 4 2 3 4" xfId="17312"/>
    <cellStyle name="Обычный 6 3 2 4 2 3 4 2" xfId="17313"/>
    <cellStyle name="Обычный 6 3 2 4 2 3 4 3" xfId="17314"/>
    <cellStyle name="Обычный 6 3 2 4 2 3 5" xfId="17315"/>
    <cellStyle name="Обычный 6 3 2 4 2 3 5 2" xfId="17316"/>
    <cellStyle name="Обычный 6 3 2 4 2 3 6" xfId="17317"/>
    <cellStyle name="Обычный 6 3 2 4 2 3 7" xfId="17318"/>
    <cellStyle name="Обычный 6 3 2 4 2 4" xfId="17319"/>
    <cellStyle name="Обычный 6 3 2 4 2 4 2" xfId="17320"/>
    <cellStyle name="Обычный 6 3 2 4 2 4 2 2" xfId="17321"/>
    <cellStyle name="Обычный 6 3 2 4 2 4 2 3" xfId="17322"/>
    <cellStyle name="Обычный 6 3 2 4 2 4 3" xfId="17323"/>
    <cellStyle name="Обычный 6 3 2 4 2 4 3 2" xfId="17324"/>
    <cellStyle name="Обычный 6 3 2 4 2 4 3 3" xfId="17325"/>
    <cellStyle name="Обычный 6 3 2 4 2 4 4" xfId="17326"/>
    <cellStyle name="Обычный 6 3 2 4 2 4 4 2" xfId="17327"/>
    <cellStyle name="Обычный 6 3 2 4 2 4 5" xfId="17328"/>
    <cellStyle name="Обычный 6 3 2 4 2 4 6" xfId="17329"/>
    <cellStyle name="Обычный 6 3 2 4 2 5" xfId="17330"/>
    <cellStyle name="Обычный 6 3 2 4 2 5 2" xfId="17331"/>
    <cellStyle name="Обычный 6 3 2 4 2 5 3" xfId="17332"/>
    <cellStyle name="Обычный 6 3 2 4 2 6" xfId="17333"/>
    <cellStyle name="Обычный 6 3 2 4 2 6 2" xfId="17334"/>
    <cellStyle name="Обычный 6 3 2 4 2 6 3" xfId="17335"/>
    <cellStyle name="Обычный 6 3 2 4 2 7" xfId="17336"/>
    <cellStyle name="Обычный 6 3 2 4 2 7 2" xfId="17337"/>
    <cellStyle name="Обычный 6 3 2 4 2 8" xfId="17338"/>
    <cellStyle name="Обычный 6 3 2 4 2 9" xfId="17339"/>
    <cellStyle name="Обычный 6 3 2 4 3" xfId="17340"/>
    <cellStyle name="Обычный 6 3 2 4 3 2" xfId="17341"/>
    <cellStyle name="Обычный 6 3 2 4 3 2 2" xfId="17342"/>
    <cellStyle name="Обычный 6 3 2 4 3 2 2 2" xfId="17343"/>
    <cellStyle name="Обычный 6 3 2 4 3 2 2 2 2" xfId="17344"/>
    <cellStyle name="Обычный 6 3 2 4 3 2 2 2 3" xfId="17345"/>
    <cellStyle name="Обычный 6 3 2 4 3 2 2 3" xfId="17346"/>
    <cellStyle name="Обычный 6 3 2 4 3 2 2 3 2" xfId="17347"/>
    <cellStyle name="Обычный 6 3 2 4 3 2 2 3 3" xfId="17348"/>
    <cellStyle name="Обычный 6 3 2 4 3 2 2 4" xfId="17349"/>
    <cellStyle name="Обычный 6 3 2 4 3 2 2 4 2" xfId="17350"/>
    <cellStyle name="Обычный 6 3 2 4 3 2 2 5" xfId="17351"/>
    <cellStyle name="Обычный 6 3 2 4 3 2 2 6" xfId="17352"/>
    <cellStyle name="Обычный 6 3 2 4 3 2 3" xfId="17353"/>
    <cellStyle name="Обычный 6 3 2 4 3 2 3 2" xfId="17354"/>
    <cellStyle name="Обычный 6 3 2 4 3 2 3 3" xfId="17355"/>
    <cellStyle name="Обычный 6 3 2 4 3 2 4" xfId="17356"/>
    <cellStyle name="Обычный 6 3 2 4 3 2 4 2" xfId="17357"/>
    <cellStyle name="Обычный 6 3 2 4 3 2 4 3" xfId="17358"/>
    <cellStyle name="Обычный 6 3 2 4 3 2 5" xfId="17359"/>
    <cellStyle name="Обычный 6 3 2 4 3 2 5 2" xfId="17360"/>
    <cellStyle name="Обычный 6 3 2 4 3 2 6" xfId="17361"/>
    <cellStyle name="Обычный 6 3 2 4 3 2 7" xfId="17362"/>
    <cellStyle name="Обычный 6 3 2 4 3 3" xfId="17363"/>
    <cellStyle name="Обычный 6 3 2 4 3 3 2" xfId="17364"/>
    <cellStyle name="Обычный 6 3 2 4 3 3 2 2" xfId="17365"/>
    <cellStyle name="Обычный 6 3 2 4 3 3 2 3" xfId="17366"/>
    <cellStyle name="Обычный 6 3 2 4 3 3 3" xfId="17367"/>
    <cellStyle name="Обычный 6 3 2 4 3 3 3 2" xfId="17368"/>
    <cellStyle name="Обычный 6 3 2 4 3 3 3 3" xfId="17369"/>
    <cellStyle name="Обычный 6 3 2 4 3 3 4" xfId="17370"/>
    <cellStyle name="Обычный 6 3 2 4 3 3 4 2" xfId="17371"/>
    <cellStyle name="Обычный 6 3 2 4 3 3 5" xfId="17372"/>
    <cellStyle name="Обычный 6 3 2 4 3 3 6" xfId="17373"/>
    <cellStyle name="Обычный 6 3 2 4 3 4" xfId="17374"/>
    <cellStyle name="Обычный 6 3 2 4 3 4 2" xfId="17375"/>
    <cellStyle name="Обычный 6 3 2 4 3 4 3" xfId="17376"/>
    <cellStyle name="Обычный 6 3 2 4 3 5" xfId="17377"/>
    <cellStyle name="Обычный 6 3 2 4 3 5 2" xfId="17378"/>
    <cellStyle name="Обычный 6 3 2 4 3 5 3" xfId="17379"/>
    <cellStyle name="Обычный 6 3 2 4 3 6" xfId="17380"/>
    <cellStyle name="Обычный 6 3 2 4 3 6 2" xfId="17381"/>
    <cellStyle name="Обычный 6 3 2 4 3 7" xfId="17382"/>
    <cellStyle name="Обычный 6 3 2 4 3 8" xfId="17383"/>
    <cellStyle name="Обычный 6 3 2 4 4" xfId="17384"/>
    <cellStyle name="Обычный 6 3 2 4 4 2" xfId="17385"/>
    <cellStyle name="Обычный 6 3 2 4 4 2 2" xfId="17386"/>
    <cellStyle name="Обычный 6 3 2 4 4 2 2 2" xfId="17387"/>
    <cellStyle name="Обычный 6 3 2 4 4 2 2 3" xfId="17388"/>
    <cellStyle name="Обычный 6 3 2 4 4 2 3" xfId="17389"/>
    <cellStyle name="Обычный 6 3 2 4 4 2 3 2" xfId="17390"/>
    <cellStyle name="Обычный 6 3 2 4 4 2 3 3" xfId="17391"/>
    <cellStyle name="Обычный 6 3 2 4 4 2 4" xfId="17392"/>
    <cellStyle name="Обычный 6 3 2 4 4 2 4 2" xfId="17393"/>
    <cellStyle name="Обычный 6 3 2 4 4 2 5" xfId="17394"/>
    <cellStyle name="Обычный 6 3 2 4 4 2 6" xfId="17395"/>
    <cellStyle name="Обычный 6 3 2 4 4 3" xfId="17396"/>
    <cellStyle name="Обычный 6 3 2 4 4 3 2" xfId="17397"/>
    <cellStyle name="Обычный 6 3 2 4 4 3 3" xfId="17398"/>
    <cellStyle name="Обычный 6 3 2 4 4 4" xfId="17399"/>
    <cellStyle name="Обычный 6 3 2 4 4 4 2" xfId="17400"/>
    <cellStyle name="Обычный 6 3 2 4 4 4 3" xfId="17401"/>
    <cellStyle name="Обычный 6 3 2 4 4 5" xfId="17402"/>
    <cellStyle name="Обычный 6 3 2 4 4 5 2" xfId="17403"/>
    <cellStyle name="Обычный 6 3 2 4 4 6" xfId="17404"/>
    <cellStyle name="Обычный 6 3 2 4 4 7" xfId="17405"/>
    <cellStyle name="Обычный 6 3 2 4 5" xfId="17406"/>
    <cellStyle name="Обычный 6 3 2 4 5 2" xfId="17407"/>
    <cellStyle name="Обычный 6 3 2 4 5 2 2" xfId="17408"/>
    <cellStyle name="Обычный 6 3 2 4 5 2 3" xfId="17409"/>
    <cellStyle name="Обычный 6 3 2 4 5 3" xfId="17410"/>
    <cellStyle name="Обычный 6 3 2 4 5 3 2" xfId="17411"/>
    <cellStyle name="Обычный 6 3 2 4 5 3 3" xfId="17412"/>
    <cellStyle name="Обычный 6 3 2 4 5 4" xfId="17413"/>
    <cellStyle name="Обычный 6 3 2 4 5 4 2" xfId="17414"/>
    <cellStyle name="Обычный 6 3 2 4 5 5" xfId="17415"/>
    <cellStyle name="Обычный 6 3 2 4 5 6" xfId="17416"/>
    <cellStyle name="Обычный 6 3 2 4 6" xfId="17417"/>
    <cellStyle name="Обычный 6 3 2 4 6 2" xfId="17418"/>
    <cellStyle name="Обычный 6 3 2 4 6 3" xfId="17419"/>
    <cellStyle name="Обычный 6 3 2 4 7" xfId="17420"/>
    <cellStyle name="Обычный 6 3 2 4 7 2" xfId="17421"/>
    <cellStyle name="Обычный 6 3 2 4 7 3" xfId="17422"/>
    <cellStyle name="Обычный 6 3 2 4 8" xfId="17423"/>
    <cellStyle name="Обычный 6 3 2 4 8 2" xfId="17424"/>
    <cellStyle name="Обычный 6 3 2 4 9" xfId="17425"/>
    <cellStyle name="Обычный 6 3 2 5" xfId="17426"/>
    <cellStyle name="Обычный 6 3 2 5 2" xfId="17427"/>
    <cellStyle name="Обычный 6 3 2 5 2 2" xfId="17428"/>
    <cellStyle name="Обычный 6 3 2 5 2 2 2" xfId="17429"/>
    <cellStyle name="Обычный 6 3 2 5 2 2 2 2" xfId="17430"/>
    <cellStyle name="Обычный 6 3 2 5 2 2 2 2 2" xfId="17431"/>
    <cellStyle name="Обычный 6 3 2 5 2 2 2 2 3" xfId="17432"/>
    <cellStyle name="Обычный 6 3 2 5 2 2 2 3" xfId="17433"/>
    <cellStyle name="Обычный 6 3 2 5 2 2 2 3 2" xfId="17434"/>
    <cellStyle name="Обычный 6 3 2 5 2 2 2 3 3" xfId="17435"/>
    <cellStyle name="Обычный 6 3 2 5 2 2 2 4" xfId="17436"/>
    <cellStyle name="Обычный 6 3 2 5 2 2 2 4 2" xfId="17437"/>
    <cellStyle name="Обычный 6 3 2 5 2 2 2 5" xfId="17438"/>
    <cellStyle name="Обычный 6 3 2 5 2 2 2 6" xfId="17439"/>
    <cellStyle name="Обычный 6 3 2 5 2 2 3" xfId="17440"/>
    <cellStyle name="Обычный 6 3 2 5 2 2 3 2" xfId="17441"/>
    <cellStyle name="Обычный 6 3 2 5 2 2 3 3" xfId="17442"/>
    <cellStyle name="Обычный 6 3 2 5 2 2 4" xfId="17443"/>
    <cellStyle name="Обычный 6 3 2 5 2 2 4 2" xfId="17444"/>
    <cellStyle name="Обычный 6 3 2 5 2 2 4 3" xfId="17445"/>
    <cellStyle name="Обычный 6 3 2 5 2 2 5" xfId="17446"/>
    <cellStyle name="Обычный 6 3 2 5 2 2 5 2" xfId="17447"/>
    <cellStyle name="Обычный 6 3 2 5 2 2 6" xfId="17448"/>
    <cellStyle name="Обычный 6 3 2 5 2 2 7" xfId="17449"/>
    <cellStyle name="Обычный 6 3 2 5 2 3" xfId="17450"/>
    <cellStyle name="Обычный 6 3 2 5 2 3 2" xfId="17451"/>
    <cellStyle name="Обычный 6 3 2 5 2 3 2 2" xfId="17452"/>
    <cellStyle name="Обычный 6 3 2 5 2 3 2 3" xfId="17453"/>
    <cellStyle name="Обычный 6 3 2 5 2 3 3" xfId="17454"/>
    <cellStyle name="Обычный 6 3 2 5 2 3 3 2" xfId="17455"/>
    <cellStyle name="Обычный 6 3 2 5 2 3 3 3" xfId="17456"/>
    <cellStyle name="Обычный 6 3 2 5 2 3 4" xfId="17457"/>
    <cellStyle name="Обычный 6 3 2 5 2 3 4 2" xfId="17458"/>
    <cellStyle name="Обычный 6 3 2 5 2 3 5" xfId="17459"/>
    <cellStyle name="Обычный 6 3 2 5 2 3 6" xfId="17460"/>
    <cellStyle name="Обычный 6 3 2 5 2 4" xfId="17461"/>
    <cellStyle name="Обычный 6 3 2 5 2 4 2" xfId="17462"/>
    <cellStyle name="Обычный 6 3 2 5 2 4 3" xfId="17463"/>
    <cellStyle name="Обычный 6 3 2 5 2 5" xfId="17464"/>
    <cellStyle name="Обычный 6 3 2 5 2 5 2" xfId="17465"/>
    <cellStyle name="Обычный 6 3 2 5 2 5 3" xfId="17466"/>
    <cellStyle name="Обычный 6 3 2 5 2 6" xfId="17467"/>
    <cellStyle name="Обычный 6 3 2 5 2 6 2" xfId="17468"/>
    <cellStyle name="Обычный 6 3 2 5 2 7" xfId="17469"/>
    <cellStyle name="Обычный 6 3 2 5 2 8" xfId="17470"/>
    <cellStyle name="Обычный 6 3 2 5 3" xfId="17471"/>
    <cellStyle name="Обычный 6 3 2 5 3 2" xfId="17472"/>
    <cellStyle name="Обычный 6 3 2 5 3 2 2" xfId="17473"/>
    <cellStyle name="Обычный 6 3 2 5 3 2 2 2" xfId="17474"/>
    <cellStyle name="Обычный 6 3 2 5 3 2 2 3" xfId="17475"/>
    <cellStyle name="Обычный 6 3 2 5 3 2 3" xfId="17476"/>
    <cellStyle name="Обычный 6 3 2 5 3 2 3 2" xfId="17477"/>
    <cellStyle name="Обычный 6 3 2 5 3 2 3 3" xfId="17478"/>
    <cellStyle name="Обычный 6 3 2 5 3 2 4" xfId="17479"/>
    <cellStyle name="Обычный 6 3 2 5 3 2 4 2" xfId="17480"/>
    <cellStyle name="Обычный 6 3 2 5 3 2 5" xfId="17481"/>
    <cellStyle name="Обычный 6 3 2 5 3 2 6" xfId="17482"/>
    <cellStyle name="Обычный 6 3 2 5 3 3" xfId="17483"/>
    <cellStyle name="Обычный 6 3 2 5 3 3 2" xfId="17484"/>
    <cellStyle name="Обычный 6 3 2 5 3 3 3" xfId="17485"/>
    <cellStyle name="Обычный 6 3 2 5 3 4" xfId="17486"/>
    <cellStyle name="Обычный 6 3 2 5 3 4 2" xfId="17487"/>
    <cellStyle name="Обычный 6 3 2 5 3 4 3" xfId="17488"/>
    <cellStyle name="Обычный 6 3 2 5 3 5" xfId="17489"/>
    <cellStyle name="Обычный 6 3 2 5 3 5 2" xfId="17490"/>
    <cellStyle name="Обычный 6 3 2 5 3 6" xfId="17491"/>
    <cellStyle name="Обычный 6 3 2 5 3 7" xfId="17492"/>
    <cellStyle name="Обычный 6 3 2 5 4" xfId="17493"/>
    <cellStyle name="Обычный 6 3 2 5 4 2" xfId="17494"/>
    <cellStyle name="Обычный 6 3 2 5 4 2 2" xfId="17495"/>
    <cellStyle name="Обычный 6 3 2 5 4 2 3" xfId="17496"/>
    <cellStyle name="Обычный 6 3 2 5 4 3" xfId="17497"/>
    <cellStyle name="Обычный 6 3 2 5 4 3 2" xfId="17498"/>
    <cellStyle name="Обычный 6 3 2 5 4 3 3" xfId="17499"/>
    <cellStyle name="Обычный 6 3 2 5 4 4" xfId="17500"/>
    <cellStyle name="Обычный 6 3 2 5 4 4 2" xfId="17501"/>
    <cellStyle name="Обычный 6 3 2 5 4 5" xfId="17502"/>
    <cellStyle name="Обычный 6 3 2 5 4 6" xfId="17503"/>
    <cellStyle name="Обычный 6 3 2 5 5" xfId="17504"/>
    <cellStyle name="Обычный 6 3 2 5 5 2" xfId="17505"/>
    <cellStyle name="Обычный 6 3 2 5 5 3" xfId="17506"/>
    <cellStyle name="Обычный 6 3 2 5 6" xfId="17507"/>
    <cellStyle name="Обычный 6 3 2 5 6 2" xfId="17508"/>
    <cellStyle name="Обычный 6 3 2 5 6 3" xfId="17509"/>
    <cellStyle name="Обычный 6 3 2 5 7" xfId="17510"/>
    <cellStyle name="Обычный 6 3 2 5 7 2" xfId="17511"/>
    <cellStyle name="Обычный 6 3 2 5 8" xfId="17512"/>
    <cellStyle name="Обычный 6 3 2 5 9" xfId="17513"/>
    <cellStyle name="Обычный 6 3 2 6" xfId="17514"/>
    <cellStyle name="Обычный 6 3 2 6 2" xfId="17515"/>
    <cellStyle name="Обычный 6 3 2 6 2 2" xfId="17516"/>
    <cellStyle name="Обычный 6 3 2 6 2 2 2" xfId="17517"/>
    <cellStyle name="Обычный 6 3 2 6 2 2 2 2" xfId="17518"/>
    <cellStyle name="Обычный 6 3 2 6 2 2 2 3" xfId="17519"/>
    <cellStyle name="Обычный 6 3 2 6 2 2 3" xfId="17520"/>
    <cellStyle name="Обычный 6 3 2 6 2 2 3 2" xfId="17521"/>
    <cellStyle name="Обычный 6 3 2 6 2 2 3 3" xfId="17522"/>
    <cellStyle name="Обычный 6 3 2 6 2 2 4" xfId="17523"/>
    <cellStyle name="Обычный 6 3 2 6 2 2 4 2" xfId="17524"/>
    <cellStyle name="Обычный 6 3 2 6 2 2 5" xfId="17525"/>
    <cellStyle name="Обычный 6 3 2 6 2 2 6" xfId="17526"/>
    <cellStyle name="Обычный 6 3 2 6 2 3" xfId="17527"/>
    <cellStyle name="Обычный 6 3 2 6 2 3 2" xfId="17528"/>
    <cellStyle name="Обычный 6 3 2 6 2 3 3" xfId="17529"/>
    <cellStyle name="Обычный 6 3 2 6 2 4" xfId="17530"/>
    <cellStyle name="Обычный 6 3 2 6 2 4 2" xfId="17531"/>
    <cellStyle name="Обычный 6 3 2 6 2 4 3" xfId="17532"/>
    <cellStyle name="Обычный 6 3 2 6 2 5" xfId="17533"/>
    <cellStyle name="Обычный 6 3 2 6 2 5 2" xfId="17534"/>
    <cellStyle name="Обычный 6 3 2 6 2 6" xfId="17535"/>
    <cellStyle name="Обычный 6 3 2 6 2 7" xfId="17536"/>
    <cellStyle name="Обычный 6 3 2 6 3" xfId="17537"/>
    <cellStyle name="Обычный 6 3 2 6 3 2" xfId="17538"/>
    <cellStyle name="Обычный 6 3 2 6 3 2 2" xfId="17539"/>
    <cellStyle name="Обычный 6 3 2 6 3 2 3" xfId="17540"/>
    <cellStyle name="Обычный 6 3 2 6 3 3" xfId="17541"/>
    <cellStyle name="Обычный 6 3 2 6 3 3 2" xfId="17542"/>
    <cellStyle name="Обычный 6 3 2 6 3 3 3" xfId="17543"/>
    <cellStyle name="Обычный 6 3 2 6 3 4" xfId="17544"/>
    <cellStyle name="Обычный 6 3 2 6 3 4 2" xfId="17545"/>
    <cellStyle name="Обычный 6 3 2 6 3 5" xfId="17546"/>
    <cellStyle name="Обычный 6 3 2 6 3 6" xfId="17547"/>
    <cellStyle name="Обычный 6 3 2 6 4" xfId="17548"/>
    <cellStyle name="Обычный 6 3 2 6 4 2" xfId="17549"/>
    <cellStyle name="Обычный 6 3 2 6 4 3" xfId="17550"/>
    <cellStyle name="Обычный 6 3 2 6 5" xfId="17551"/>
    <cellStyle name="Обычный 6 3 2 6 5 2" xfId="17552"/>
    <cellStyle name="Обычный 6 3 2 6 5 3" xfId="17553"/>
    <cellStyle name="Обычный 6 3 2 6 6" xfId="17554"/>
    <cellStyle name="Обычный 6 3 2 6 6 2" xfId="17555"/>
    <cellStyle name="Обычный 6 3 2 6 7" xfId="17556"/>
    <cellStyle name="Обычный 6 3 2 6 8" xfId="17557"/>
    <cellStyle name="Обычный 6 3 2 7" xfId="17558"/>
    <cellStyle name="Обычный 6 3 2 7 2" xfId="17559"/>
    <cellStyle name="Обычный 6 3 2 7 2 2" xfId="17560"/>
    <cellStyle name="Обычный 6 3 2 7 2 2 2" xfId="17561"/>
    <cellStyle name="Обычный 6 3 2 7 2 2 3" xfId="17562"/>
    <cellStyle name="Обычный 6 3 2 7 2 3" xfId="17563"/>
    <cellStyle name="Обычный 6 3 2 7 2 3 2" xfId="17564"/>
    <cellStyle name="Обычный 6 3 2 7 2 3 3" xfId="17565"/>
    <cellStyle name="Обычный 6 3 2 7 2 4" xfId="17566"/>
    <cellStyle name="Обычный 6 3 2 7 2 4 2" xfId="17567"/>
    <cellStyle name="Обычный 6 3 2 7 2 5" xfId="17568"/>
    <cellStyle name="Обычный 6 3 2 7 2 6" xfId="17569"/>
    <cellStyle name="Обычный 6 3 2 7 3" xfId="17570"/>
    <cellStyle name="Обычный 6 3 2 7 3 2" xfId="17571"/>
    <cellStyle name="Обычный 6 3 2 7 3 3" xfId="17572"/>
    <cellStyle name="Обычный 6 3 2 7 4" xfId="17573"/>
    <cellStyle name="Обычный 6 3 2 7 4 2" xfId="17574"/>
    <cellStyle name="Обычный 6 3 2 7 4 3" xfId="17575"/>
    <cellStyle name="Обычный 6 3 2 7 5" xfId="17576"/>
    <cellStyle name="Обычный 6 3 2 7 5 2" xfId="17577"/>
    <cellStyle name="Обычный 6 3 2 7 6" xfId="17578"/>
    <cellStyle name="Обычный 6 3 2 7 7" xfId="17579"/>
    <cellStyle name="Обычный 6 3 2 8" xfId="17580"/>
    <cellStyle name="Обычный 6 3 2 8 2" xfId="17581"/>
    <cellStyle name="Обычный 6 3 2 8 2 2" xfId="17582"/>
    <cellStyle name="Обычный 6 3 2 8 2 3" xfId="17583"/>
    <cellStyle name="Обычный 6 3 2 8 3" xfId="17584"/>
    <cellStyle name="Обычный 6 3 2 8 3 2" xfId="17585"/>
    <cellStyle name="Обычный 6 3 2 8 3 3" xfId="17586"/>
    <cellStyle name="Обычный 6 3 2 8 4" xfId="17587"/>
    <cellStyle name="Обычный 6 3 2 8 4 2" xfId="17588"/>
    <cellStyle name="Обычный 6 3 2 8 5" xfId="17589"/>
    <cellStyle name="Обычный 6 3 2 8 6" xfId="17590"/>
    <cellStyle name="Обычный 6 3 2 9" xfId="17591"/>
    <cellStyle name="Обычный 6 3 2 9 2" xfId="17592"/>
    <cellStyle name="Обычный 6 3 2 9 3" xfId="17593"/>
    <cellStyle name="Обычный 6 3 3" xfId="17594"/>
    <cellStyle name="Обычный 6 3 3 10" xfId="17595"/>
    <cellStyle name="Обычный 6 3 3 2" xfId="17596"/>
    <cellStyle name="Обычный 6 3 3 2 2" xfId="17597"/>
    <cellStyle name="Обычный 6 3 3 2 2 2" xfId="17598"/>
    <cellStyle name="Обычный 6 3 3 2 2 2 2" xfId="17599"/>
    <cellStyle name="Обычный 6 3 3 2 2 2 2 2" xfId="17600"/>
    <cellStyle name="Обычный 6 3 3 2 2 2 2 2 2" xfId="17601"/>
    <cellStyle name="Обычный 6 3 3 2 2 2 2 2 3" xfId="17602"/>
    <cellStyle name="Обычный 6 3 3 2 2 2 2 3" xfId="17603"/>
    <cellStyle name="Обычный 6 3 3 2 2 2 2 3 2" xfId="17604"/>
    <cellStyle name="Обычный 6 3 3 2 2 2 2 3 3" xfId="17605"/>
    <cellStyle name="Обычный 6 3 3 2 2 2 2 4" xfId="17606"/>
    <cellStyle name="Обычный 6 3 3 2 2 2 2 4 2" xfId="17607"/>
    <cellStyle name="Обычный 6 3 3 2 2 2 2 5" xfId="17608"/>
    <cellStyle name="Обычный 6 3 3 2 2 2 2 6" xfId="17609"/>
    <cellStyle name="Обычный 6 3 3 2 2 2 3" xfId="17610"/>
    <cellStyle name="Обычный 6 3 3 2 2 2 3 2" xfId="17611"/>
    <cellStyle name="Обычный 6 3 3 2 2 2 3 3" xfId="17612"/>
    <cellStyle name="Обычный 6 3 3 2 2 2 4" xfId="17613"/>
    <cellStyle name="Обычный 6 3 3 2 2 2 4 2" xfId="17614"/>
    <cellStyle name="Обычный 6 3 3 2 2 2 4 3" xfId="17615"/>
    <cellStyle name="Обычный 6 3 3 2 2 2 5" xfId="17616"/>
    <cellStyle name="Обычный 6 3 3 2 2 2 5 2" xfId="17617"/>
    <cellStyle name="Обычный 6 3 3 2 2 2 6" xfId="17618"/>
    <cellStyle name="Обычный 6 3 3 2 2 2 7" xfId="17619"/>
    <cellStyle name="Обычный 6 3 3 2 2 3" xfId="17620"/>
    <cellStyle name="Обычный 6 3 3 2 2 3 2" xfId="17621"/>
    <cellStyle name="Обычный 6 3 3 2 2 3 2 2" xfId="17622"/>
    <cellStyle name="Обычный 6 3 3 2 2 3 2 3" xfId="17623"/>
    <cellStyle name="Обычный 6 3 3 2 2 3 3" xfId="17624"/>
    <cellStyle name="Обычный 6 3 3 2 2 3 3 2" xfId="17625"/>
    <cellStyle name="Обычный 6 3 3 2 2 3 3 3" xfId="17626"/>
    <cellStyle name="Обычный 6 3 3 2 2 3 4" xfId="17627"/>
    <cellStyle name="Обычный 6 3 3 2 2 3 4 2" xfId="17628"/>
    <cellStyle name="Обычный 6 3 3 2 2 3 5" xfId="17629"/>
    <cellStyle name="Обычный 6 3 3 2 2 3 6" xfId="17630"/>
    <cellStyle name="Обычный 6 3 3 2 2 4" xfId="17631"/>
    <cellStyle name="Обычный 6 3 3 2 2 4 2" xfId="17632"/>
    <cellStyle name="Обычный 6 3 3 2 2 4 3" xfId="17633"/>
    <cellStyle name="Обычный 6 3 3 2 2 5" xfId="17634"/>
    <cellStyle name="Обычный 6 3 3 2 2 5 2" xfId="17635"/>
    <cellStyle name="Обычный 6 3 3 2 2 5 3" xfId="17636"/>
    <cellStyle name="Обычный 6 3 3 2 2 6" xfId="17637"/>
    <cellStyle name="Обычный 6 3 3 2 2 6 2" xfId="17638"/>
    <cellStyle name="Обычный 6 3 3 2 2 7" xfId="17639"/>
    <cellStyle name="Обычный 6 3 3 2 2 8" xfId="17640"/>
    <cellStyle name="Обычный 6 3 3 2 3" xfId="17641"/>
    <cellStyle name="Обычный 6 3 3 2 3 2" xfId="17642"/>
    <cellStyle name="Обычный 6 3 3 2 3 2 2" xfId="17643"/>
    <cellStyle name="Обычный 6 3 3 2 3 2 2 2" xfId="17644"/>
    <cellStyle name="Обычный 6 3 3 2 3 2 2 3" xfId="17645"/>
    <cellStyle name="Обычный 6 3 3 2 3 2 3" xfId="17646"/>
    <cellStyle name="Обычный 6 3 3 2 3 2 3 2" xfId="17647"/>
    <cellStyle name="Обычный 6 3 3 2 3 2 3 3" xfId="17648"/>
    <cellStyle name="Обычный 6 3 3 2 3 2 4" xfId="17649"/>
    <cellStyle name="Обычный 6 3 3 2 3 2 4 2" xfId="17650"/>
    <cellStyle name="Обычный 6 3 3 2 3 2 5" xfId="17651"/>
    <cellStyle name="Обычный 6 3 3 2 3 2 6" xfId="17652"/>
    <cellStyle name="Обычный 6 3 3 2 3 3" xfId="17653"/>
    <cellStyle name="Обычный 6 3 3 2 3 3 2" xfId="17654"/>
    <cellStyle name="Обычный 6 3 3 2 3 3 3" xfId="17655"/>
    <cellStyle name="Обычный 6 3 3 2 3 4" xfId="17656"/>
    <cellStyle name="Обычный 6 3 3 2 3 4 2" xfId="17657"/>
    <cellStyle name="Обычный 6 3 3 2 3 4 3" xfId="17658"/>
    <cellStyle name="Обычный 6 3 3 2 3 5" xfId="17659"/>
    <cellStyle name="Обычный 6 3 3 2 3 5 2" xfId="17660"/>
    <cellStyle name="Обычный 6 3 3 2 3 6" xfId="17661"/>
    <cellStyle name="Обычный 6 3 3 2 3 7" xfId="17662"/>
    <cellStyle name="Обычный 6 3 3 2 4" xfId="17663"/>
    <cellStyle name="Обычный 6 3 3 2 4 2" xfId="17664"/>
    <cellStyle name="Обычный 6 3 3 2 4 2 2" xfId="17665"/>
    <cellStyle name="Обычный 6 3 3 2 4 2 3" xfId="17666"/>
    <cellStyle name="Обычный 6 3 3 2 4 3" xfId="17667"/>
    <cellStyle name="Обычный 6 3 3 2 4 3 2" xfId="17668"/>
    <cellStyle name="Обычный 6 3 3 2 4 3 3" xfId="17669"/>
    <cellStyle name="Обычный 6 3 3 2 4 4" xfId="17670"/>
    <cellStyle name="Обычный 6 3 3 2 4 4 2" xfId="17671"/>
    <cellStyle name="Обычный 6 3 3 2 4 5" xfId="17672"/>
    <cellStyle name="Обычный 6 3 3 2 4 6" xfId="17673"/>
    <cellStyle name="Обычный 6 3 3 2 5" xfId="17674"/>
    <cellStyle name="Обычный 6 3 3 2 5 2" xfId="17675"/>
    <cellStyle name="Обычный 6 3 3 2 5 3" xfId="17676"/>
    <cellStyle name="Обычный 6 3 3 2 6" xfId="17677"/>
    <cellStyle name="Обычный 6 3 3 2 6 2" xfId="17678"/>
    <cellStyle name="Обычный 6 3 3 2 6 3" xfId="17679"/>
    <cellStyle name="Обычный 6 3 3 2 7" xfId="17680"/>
    <cellStyle name="Обычный 6 3 3 2 7 2" xfId="17681"/>
    <cellStyle name="Обычный 6 3 3 2 8" xfId="17682"/>
    <cellStyle name="Обычный 6 3 3 2 9" xfId="17683"/>
    <cellStyle name="Обычный 6 3 3 3" xfId="17684"/>
    <cellStyle name="Обычный 6 3 3 3 2" xfId="17685"/>
    <cellStyle name="Обычный 6 3 3 3 2 2" xfId="17686"/>
    <cellStyle name="Обычный 6 3 3 3 2 2 2" xfId="17687"/>
    <cellStyle name="Обычный 6 3 3 3 2 2 2 2" xfId="17688"/>
    <cellStyle name="Обычный 6 3 3 3 2 2 2 3" xfId="17689"/>
    <cellStyle name="Обычный 6 3 3 3 2 2 3" xfId="17690"/>
    <cellStyle name="Обычный 6 3 3 3 2 2 3 2" xfId="17691"/>
    <cellStyle name="Обычный 6 3 3 3 2 2 3 3" xfId="17692"/>
    <cellStyle name="Обычный 6 3 3 3 2 2 4" xfId="17693"/>
    <cellStyle name="Обычный 6 3 3 3 2 2 4 2" xfId="17694"/>
    <cellStyle name="Обычный 6 3 3 3 2 2 5" xfId="17695"/>
    <cellStyle name="Обычный 6 3 3 3 2 2 6" xfId="17696"/>
    <cellStyle name="Обычный 6 3 3 3 2 3" xfId="17697"/>
    <cellStyle name="Обычный 6 3 3 3 2 3 2" xfId="17698"/>
    <cellStyle name="Обычный 6 3 3 3 2 3 3" xfId="17699"/>
    <cellStyle name="Обычный 6 3 3 3 2 4" xfId="17700"/>
    <cellStyle name="Обычный 6 3 3 3 2 4 2" xfId="17701"/>
    <cellStyle name="Обычный 6 3 3 3 2 4 3" xfId="17702"/>
    <cellStyle name="Обычный 6 3 3 3 2 5" xfId="17703"/>
    <cellStyle name="Обычный 6 3 3 3 2 5 2" xfId="17704"/>
    <cellStyle name="Обычный 6 3 3 3 2 6" xfId="17705"/>
    <cellStyle name="Обычный 6 3 3 3 2 7" xfId="17706"/>
    <cellStyle name="Обычный 6 3 3 3 3" xfId="17707"/>
    <cellStyle name="Обычный 6 3 3 3 3 2" xfId="17708"/>
    <cellStyle name="Обычный 6 3 3 3 3 2 2" xfId="17709"/>
    <cellStyle name="Обычный 6 3 3 3 3 2 3" xfId="17710"/>
    <cellStyle name="Обычный 6 3 3 3 3 3" xfId="17711"/>
    <cellStyle name="Обычный 6 3 3 3 3 3 2" xfId="17712"/>
    <cellStyle name="Обычный 6 3 3 3 3 3 3" xfId="17713"/>
    <cellStyle name="Обычный 6 3 3 3 3 4" xfId="17714"/>
    <cellStyle name="Обычный 6 3 3 3 3 4 2" xfId="17715"/>
    <cellStyle name="Обычный 6 3 3 3 3 5" xfId="17716"/>
    <cellStyle name="Обычный 6 3 3 3 3 6" xfId="17717"/>
    <cellStyle name="Обычный 6 3 3 3 4" xfId="17718"/>
    <cellStyle name="Обычный 6 3 3 3 4 2" xfId="17719"/>
    <cellStyle name="Обычный 6 3 3 3 4 3" xfId="17720"/>
    <cellStyle name="Обычный 6 3 3 3 5" xfId="17721"/>
    <cellStyle name="Обычный 6 3 3 3 5 2" xfId="17722"/>
    <cellStyle name="Обычный 6 3 3 3 5 3" xfId="17723"/>
    <cellStyle name="Обычный 6 3 3 3 6" xfId="17724"/>
    <cellStyle name="Обычный 6 3 3 3 6 2" xfId="17725"/>
    <cellStyle name="Обычный 6 3 3 3 7" xfId="17726"/>
    <cellStyle name="Обычный 6 3 3 3 8" xfId="17727"/>
    <cellStyle name="Обычный 6 3 3 4" xfId="17728"/>
    <cellStyle name="Обычный 6 3 3 4 2" xfId="17729"/>
    <cellStyle name="Обычный 6 3 3 4 2 2" xfId="17730"/>
    <cellStyle name="Обычный 6 3 3 4 2 2 2" xfId="17731"/>
    <cellStyle name="Обычный 6 3 3 4 2 2 3" xfId="17732"/>
    <cellStyle name="Обычный 6 3 3 4 2 3" xfId="17733"/>
    <cellStyle name="Обычный 6 3 3 4 2 3 2" xfId="17734"/>
    <cellStyle name="Обычный 6 3 3 4 2 3 3" xfId="17735"/>
    <cellStyle name="Обычный 6 3 3 4 2 4" xfId="17736"/>
    <cellStyle name="Обычный 6 3 3 4 2 4 2" xfId="17737"/>
    <cellStyle name="Обычный 6 3 3 4 2 5" xfId="17738"/>
    <cellStyle name="Обычный 6 3 3 4 2 6" xfId="17739"/>
    <cellStyle name="Обычный 6 3 3 4 3" xfId="17740"/>
    <cellStyle name="Обычный 6 3 3 4 3 2" xfId="17741"/>
    <cellStyle name="Обычный 6 3 3 4 3 3" xfId="17742"/>
    <cellStyle name="Обычный 6 3 3 4 4" xfId="17743"/>
    <cellStyle name="Обычный 6 3 3 4 4 2" xfId="17744"/>
    <cellStyle name="Обычный 6 3 3 4 4 3" xfId="17745"/>
    <cellStyle name="Обычный 6 3 3 4 5" xfId="17746"/>
    <cellStyle name="Обычный 6 3 3 4 5 2" xfId="17747"/>
    <cellStyle name="Обычный 6 3 3 4 6" xfId="17748"/>
    <cellStyle name="Обычный 6 3 3 4 7" xfId="17749"/>
    <cellStyle name="Обычный 6 3 3 5" xfId="17750"/>
    <cellStyle name="Обычный 6 3 3 5 2" xfId="17751"/>
    <cellStyle name="Обычный 6 3 3 5 2 2" xfId="17752"/>
    <cellStyle name="Обычный 6 3 3 5 2 3" xfId="17753"/>
    <cellStyle name="Обычный 6 3 3 5 3" xfId="17754"/>
    <cellStyle name="Обычный 6 3 3 5 3 2" xfId="17755"/>
    <cellStyle name="Обычный 6 3 3 5 3 3" xfId="17756"/>
    <cellStyle name="Обычный 6 3 3 5 4" xfId="17757"/>
    <cellStyle name="Обычный 6 3 3 5 4 2" xfId="17758"/>
    <cellStyle name="Обычный 6 3 3 5 5" xfId="17759"/>
    <cellStyle name="Обычный 6 3 3 5 6" xfId="17760"/>
    <cellStyle name="Обычный 6 3 3 6" xfId="17761"/>
    <cellStyle name="Обычный 6 3 3 6 2" xfId="17762"/>
    <cellStyle name="Обычный 6 3 3 6 3" xfId="17763"/>
    <cellStyle name="Обычный 6 3 3 7" xfId="17764"/>
    <cellStyle name="Обычный 6 3 3 7 2" xfId="17765"/>
    <cellStyle name="Обычный 6 3 3 7 3" xfId="17766"/>
    <cellStyle name="Обычный 6 3 3 8" xfId="17767"/>
    <cellStyle name="Обычный 6 3 3 8 2" xfId="17768"/>
    <cellStyle name="Обычный 6 3 3 9" xfId="17769"/>
    <cellStyle name="Обычный 6 3 4" xfId="17770"/>
    <cellStyle name="Обычный 6 3 4 10" xfId="17771"/>
    <cellStyle name="Обычный 6 3 4 2" xfId="17772"/>
    <cellStyle name="Обычный 6 3 4 2 2" xfId="17773"/>
    <cellStyle name="Обычный 6 3 4 2 2 2" xfId="17774"/>
    <cellStyle name="Обычный 6 3 4 2 2 2 2" xfId="17775"/>
    <cellStyle name="Обычный 6 3 4 2 2 2 2 2" xfId="17776"/>
    <cellStyle name="Обычный 6 3 4 2 2 2 2 2 2" xfId="17777"/>
    <cellStyle name="Обычный 6 3 4 2 2 2 2 2 3" xfId="17778"/>
    <cellStyle name="Обычный 6 3 4 2 2 2 2 3" xfId="17779"/>
    <cellStyle name="Обычный 6 3 4 2 2 2 2 3 2" xfId="17780"/>
    <cellStyle name="Обычный 6 3 4 2 2 2 2 3 3" xfId="17781"/>
    <cellStyle name="Обычный 6 3 4 2 2 2 2 4" xfId="17782"/>
    <cellStyle name="Обычный 6 3 4 2 2 2 2 4 2" xfId="17783"/>
    <cellStyle name="Обычный 6 3 4 2 2 2 2 5" xfId="17784"/>
    <cellStyle name="Обычный 6 3 4 2 2 2 2 6" xfId="17785"/>
    <cellStyle name="Обычный 6 3 4 2 2 2 3" xfId="17786"/>
    <cellStyle name="Обычный 6 3 4 2 2 2 3 2" xfId="17787"/>
    <cellStyle name="Обычный 6 3 4 2 2 2 3 3" xfId="17788"/>
    <cellStyle name="Обычный 6 3 4 2 2 2 4" xfId="17789"/>
    <cellStyle name="Обычный 6 3 4 2 2 2 4 2" xfId="17790"/>
    <cellStyle name="Обычный 6 3 4 2 2 2 4 3" xfId="17791"/>
    <cellStyle name="Обычный 6 3 4 2 2 2 5" xfId="17792"/>
    <cellStyle name="Обычный 6 3 4 2 2 2 5 2" xfId="17793"/>
    <cellStyle name="Обычный 6 3 4 2 2 2 6" xfId="17794"/>
    <cellStyle name="Обычный 6 3 4 2 2 2 7" xfId="17795"/>
    <cellStyle name="Обычный 6 3 4 2 2 3" xfId="17796"/>
    <cellStyle name="Обычный 6 3 4 2 2 3 2" xfId="17797"/>
    <cellStyle name="Обычный 6 3 4 2 2 3 2 2" xfId="17798"/>
    <cellStyle name="Обычный 6 3 4 2 2 3 2 3" xfId="17799"/>
    <cellStyle name="Обычный 6 3 4 2 2 3 3" xfId="17800"/>
    <cellStyle name="Обычный 6 3 4 2 2 3 3 2" xfId="17801"/>
    <cellStyle name="Обычный 6 3 4 2 2 3 3 3" xfId="17802"/>
    <cellStyle name="Обычный 6 3 4 2 2 3 4" xfId="17803"/>
    <cellStyle name="Обычный 6 3 4 2 2 3 4 2" xfId="17804"/>
    <cellStyle name="Обычный 6 3 4 2 2 3 5" xfId="17805"/>
    <cellStyle name="Обычный 6 3 4 2 2 3 6" xfId="17806"/>
    <cellStyle name="Обычный 6 3 4 2 2 4" xfId="17807"/>
    <cellStyle name="Обычный 6 3 4 2 2 4 2" xfId="17808"/>
    <cellStyle name="Обычный 6 3 4 2 2 4 3" xfId="17809"/>
    <cellStyle name="Обычный 6 3 4 2 2 5" xfId="17810"/>
    <cellStyle name="Обычный 6 3 4 2 2 5 2" xfId="17811"/>
    <cellStyle name="Обычный 6 3 4 2 2 5 3" xfId="17812"/>
    <cellStyle name="Обычный 6 3 4 2 2 6" xfId="17813"/>
    <cellStyle name="Обычный 6 3 4 2 2 6 2" xfId="17814"/>
    <cellStyle name="Обычный 6 3 4 2 2 7" xfId="17815"/>
    <cellStyle name="Обычный 6 3 4 2 2 8" xfId="17816"/>
    <cellStyle name="Обычный 6 3 4 2 3" xfId="17817"/>
    <cellStyle name="Обычный 6 3 4 2 3 2" xfId="17818"/>
    <cellStyle name="Обычный 6 3 4 2 3 2 2" xfId="17819"/>
    <cellStyle name="Обычный 6 3 4 2 3 2 2 2" xfId="17820"/>
    <cellStyle name="Обычный 6 3 4 2 3 2 2 3" xfId="17821"/>
    <cellStyle name="Обычный 6 3 4 2 3 2 3" xfId="17822"/>
    <cellStyle name="Обычный 6 3 4 2 3 2 3 2" xfId="17823"/>
    <cellStyle name="Обычный 6 3 4 2 3 2 3 3" xfId="17824"/>
    <cellStyle name="Обычный 6 3 4 2 3 2 4" xfId="17825"/>
    <cellStyle name="Обычный 6 3 4 2 3 2 4 2" xfId="17826"/>
    <cellStyle name="Обычный 6 3 4 2 3 2 5" xfId="17827"/>
    <cellStyle name="Обычный 6 3 4 2 3 2 6" xfId="17828"/>
    <cellStyle name="Обычный 6 3 4 2 3 3" xfId="17829"/>
    <cellStyle name="Обычный 6 3 4 2 3 3 2" xfId="17830"/>
    <cellStyle name="Обычный 6 3 4 2 3 3 3" xfId="17831"/>
    <cellStyle name="Обычный 6 3 4 2 3 4" xfId="17832"/>
    <cellStyle name="Обычный 6 3 4 2 3 4 2" xfId="17833"/>
    <cellStyle name="Обычный 6 3 4 2 3 4 3" xfId="17834"/>
    <cellStyle name="Обычный 6 3 4 2 3 5" xfId="17835"/>
    <cellStyle name="Обычный 6 3 4 2 3 5 2" xfId="17836"/>
    <cellStyle name="Обычный 6 3 4 2 3 6" xfId="17837"/>
    <cellStyle name="Обычный 6 3 4 2 3 7" xfId="17838"/>
    <cellStyle name="Обычный 6 3 4 2 4" xfId="17839"/>
    <cellStyle name="Обычный 6 3 4 2 4 2" xfId="17840"/>
    <cellStyle name="Обычный 6 3 4 2 4 2 2" xfId="17841"/>
    <cellStyle name="Обычный 6 3 4 2 4 2 3" xfId="17842"/>
    <cellStyle name="Обычный 6 3 4 2 4 3" xfId="17843"/>
    <cellStyle name="Обычный 6 3 4 2 4 3 2" xfId="17844"/>
    <cellStyle name="Обычный 6 3 4 2 4 3 3" xfId="17845"/>
    <cellStyle name="Обычный 6 3 4 2 4 4" xfId="17846"/>
    <cellStyle name="Обычный 6 3 4 2 4 4 2" xfId="17847"/>
    <cellStyle name="Обычный 6 3 4 2 4 5" xfId="17848"/>
    <cellStyle name="Обычный 6 3 4 2 4 6" xfId="17849"/>
    <cellStyle name="Обычный 6 3 4 2 5" xfId="17850"/>
    <cellStyle name="Обычный 6 3 4 2 5 2" xfId="17851"/>
    <cellStyle name="Обычный 6 3 4 2 5 3" xfId="17852"/>
    <cellStyle name="Обычный 6 3 4 2 6" xfId="17853"/>
    <cellStyle name="Обычный 6 3 4 2 6 2" xfId="17854"/>
    <cellStyle name="Обычный 6 3 4 2 6 3" xfId="17855"/>
    <cellStyle name="Обычный 6 3 4 2 7" xfId="17856"/>
    <cellStyle name="Обычный 6 3 4 2 7 2" xfId="17857"/>
    <cellStyle name="Обычный 6 3 4 2 8" xfId="17858"/>
    <cellStyle name="Обычный 6 3 4 2 9" xfId="17859"/>
    <cellStyle name="Обычный 6 3 4 3" xfId="17860"/>
    <cellStyle name="Обычный 6 3 4 3 2" xfId="17861"/>
    <cellStyle name="Обычный 6 3 4 3 2 2" xfId="17862"/>
    <cellStyle name="Обычный 6 3 4 3 2 2 2" xfId="17863"/>
    <cellStyle name="Обычный 6 3 4 3 2 2 2 2" xfId="17864"/>
    <cellStyle name="Обычный 6 3 4 3 2 2 2 3" xfId="17865"/>
    <cellStyle name="Обычный 6 3 4 3 2 2 3" xfId="17866"/>
    <cellStyle name="Обычный 6 3 4 3 2 2 3 2" xfId="17867"/>
    <cellStyle name="Обычный 6 3 4 3 2 2 3 3" xfId="17868"/>
    <cellStyle name="Обычный 6 3 4 3 2 2 4" xfId="17869"/>
    <cellStyle name="Обычный 6 3 4 3 2 2 4 2" xfId="17870"/>
    <cellStyle name="Обычный 6 3 4 3 2 2 5" xfId="17871"/>
    <cellStyle name="Обычный 6 3 4 3 2 2 6" xfId="17872"/>
    <cellStyle name="Обычный 6 3 4 3 2 3" xfId="17873"/>
    <cellStyle name="Обычный 6 3 4 3 2 3 2" xfId="17874"/>
    <cellStyle name="Обычный 6 3 4 3 2 3 3" xfId="17875"/>
    <cellStyle name="Обычный 6 3 4 3 2 4" xfId="17876"/>
    <cellStyle name="Обычный 6 3 4 3 2 4 2" xfId="17877"/>
    <cellStyle name="Обычный 6 3 4 3 2 4 3" xfId="17878"/>
    <cellStyle name="Обычный 6 3 4 3 2 5" xfId="17879"/>
    <cellStyle name="Обычный 6 3 4 3 2 5 2" xfId="17880"/>
    <cellStyle name="Обычный 6 3 4 3 2 6" xfId="17881"/>
    <cellStyle name="Обычный 6 3 4 3 2 7" xfId="17882"/>
    <cellStyle name="Обычный 6 3 4 3 3" xfId="17883"/>
    <cellStyle name="Обычный 6 3 4 3 3 2" xfId="17884"/>
    <cellStyle name="Обычный 6 3 4 3 3 2 2" xfId="17885"/>
    <cellStyle name="Обычный 6 3 4 3 3 2 3" xfId="17886"/>
    <cellStyle name="Обычный 6 3 4 3 3 3" xfId="17887"/>
    <cellStyle name="Обычный 6 3 4 3 3 3 2" xfId="17888"/>
    <cellStyle name="Обычный 6 3 4 3 3 3 3" xfId="17889"/>
    <cellStyle name="Обычный 6 3 4 3 3 4" xfId="17890"/>
    <cellStyle name="Обычный 6 3 4 3 3 4 2" xfId="17891"/>
    <cellStyle name="Обычный 6 3 4 3 3 5" xfId="17892"/>
    <cellStyle name="Обычный 6 3 4 3 3 6" xfId="17893"/>
    <cellStyle name="Обычный 6 3 4 3 4" xfId="17894"/>
    <cellStyle name="Обычный 6 3 4 3 4 2" xfId="17895"/>
    <cellStyle name="Обычный 6 3 4 3 4 3" xfId="17896"/>
    <cellStyle name="Обычный 6 3 4 3 5" xfId="17897"/>
    <cellStyle name="Обычный 6 3 4 3 5 2" xfId="17898"/>
    <cellStyle name="Обычный 6 3 4 3 5 3" xfId="17899"/>
    <cellStyle name="Обычный 6 3 4 3 6" xfId="17900"/>
    <cellStyle name="Обычный 6 3 4 3 6 2" xfId="17901"/>
    <cellStyle name="Обычный 6 3 4 3 7" xfId="17902"/>
    <cellStyle name="Обычный 6 3 4 3 8" xfId="17903"/>
    <cellStyle name="Обычный 6 3 4 4" xfId="17904"/>
    <cellStyle name="Обычный 6 3 4 4 2" xfId="17905"/>
    <cellStyle name="Обычный 6 3 4 4 2 2" xfId="17906"/>
    <cellStyle name="Обычный 6 3 4 4 2 2 2" xfId="17907"/>
    <cellStyle name="Обычный 6 3 4 4 2 2 3" xfId="17908"/>
    <cellStyle name="Обычный 6 3 4 4 2 3" xfId="17909"/>
    <cellStyle name="Обычный 6 3 4 4 2 3 2" xfId="17910"/>
    <cellStyle name="Обычный 6 3 4 4 2 3 3" xfId="17911"/>
    <cellStyle name="Обычный 6 3 4 4 2 4" xfId="17912"/>
    <cellStyle name="Обычный 6 3 4 4 2 4 2" xfId="17913"/>
    <cellStyle name="Обычный 6 3 4 4 2 5" xfId="17914"/>
    <cellStyle name="Обычный 6 3 4 4 2 6" xfId="17915"/>
    <cellStyle name="Обычный 6 3 4 4 3" xfId="17916"/>
    <cellStyle name="Обычный 6 3 4 4 3 2" xfId="17917"/>
    <cellStyle name="Обычный 6 3 4 4 3 3" xfId="17918"/>
    <cellStyle name="Обычный 6 3 4 4 4" xfId="17919"/>
    <cellStyle name="Обычный 6 3 4 4 4 2" xfId="17920"/>
    <cellStyle name="Обычный 6 3 4 4 4 3" xfId="17921"/>
    <cellStyle name="Обычный 6 3 4 4 5" xfId="17922"/>
    <cellStyle name="Обычный 6 3 4 4 5 2" xfId="17923"/>
    <cellStyle name="Обычный 6 3 4 4 6" xfId="17924"/>
    <cellStyle name="Обычный 6 3 4 4 7" xfId="17925"/>
    <cellStyle name="Обычный 6 3 4 5" xfId="17926"/>
    <cellStyle name="Обычный 6 3 4 5 2" xfId="17927"/>
    <cellStyle name="Обычный 6 3 4 5 2 2" xfId="17928"/>
    <cellStyle name="Обычный 6 3 4 5 2 3" xfId="17929"/>
    <cellStyle name="Обычный 6 3 4 5 3" xfId="17930"/>
    <cellStyle name="Обычный 6 3 4 5 3 2" xfId="17931"/>
    <cellStyle name="Обычный 6 3 4 5 3 3" xfId="17932"/>
    <cellStyle name="Обычный 6 3 4 5 4" xfId="17933"/>
    <cellStyle name="Обычный 6 3 4 5 4 2" xfId="17934"/>
    <cellStyle name="Обычный 6 3 4 5 5" xfId="17935"/>
    <cellStyle name="Обычный 6 3 4 5 6" xfId="17936"/>
    <cellStyle name="Обычный 6 3 4 6" xfId="17937"/>
    <cellStyle name="Обычный 6 3 4 6 2" xfId="17938"/>
    <cellStyle name="Обычный 6 3 4 6 3" xfId="17939"/>
    <cellStyle name="Обычный 6 3 4 7" xfId="17940"/>
    <cellStyle name="Обычный 6 3 4 7 2" xfId="17941"/>
    <cellStyle name="Обычный 6 3 4 7 3" xfId="17942"/>
    <cellStyle name="Обычный 6 3 4 8" xfId="17943"/>
    <cellStyle name="Обычный 6 3 4 8 2" xfId="17944"/>
    <cellStyle name="Обычный 6 3 4 9" xfId="17945"/>
    <cellStyle name="Обычный 6 3 5" xfId="17946"/>
    <cellStyle name="Обычный 6 3 5 10" xfId="17947"/>
    <cellStyle name="Обычный 6 3 5 2" xfId="17948"/>
    <cellStyle name="Обычный 6 3 5 2 2" xfId="17949"/>
    <cellStyle name="Обычный 6 3 5 2 2 2" xfId="17950"/>
    <cellStyle name="Обычный 6 3 5 2 2 2 2" xfId="17951"/>
    <cellStyle name="Обычный 6 3 5 2 2 2 2 2" xfId="17952"/>
    <cellStyle name="Обычный 6 3 5 2 2 2 2 2 2" xfId="17953"/>
    <cellStyle name="Обычный 6 3 5 2 2 2 2 2 3" xfId="17954"/>
    <cellStyle name="Обычный 6 3 5 2 2 2 2 3" xfId="17955"/>
    <cellStyle name="Обычный 6 3 5 2 2 2 2 3 2" xfId="17956"/>
    <cellStyle name="Обычный 6 3 5 2 2 2 2 3 3" xfId="17957"/>
    <cellStyle name="Обычный 6 3 5 2 2 2 2 4" xfId="17958"/>
    <cellStyle name="Обычный 6 3 5 2 2 2 2 4 2" xfId="17959"/>
    <cellStyle name="Обычный 6 3 5 2 2 2 2 5" xfId="17960"/>
    <cellStyle name="Обычный 6 3 5 2 2 2 2 6" xfId="17961"/>
    <cellStyle name="Обычный 6 3 5 2 2 2 3" xfId="17962"/>
    <cellStyle name="Обычный 6 3 5 2 2 2 3 2" xfId="17963"/>
    <cellStyle name="Обычный 6 3 5 2 2 2 3 3" xfId="17964"/>
    <cellStyle name="Обычный 6 3 5 2 2 2 4" xfId="17965"/>
    <cellStyle name="Обычный 6 3 5 2 2 2 4 2" xfId="17966"/>
    <cellStyle name="Обычный 6 3 5 2 2 2 4 3" xfId="17967"/>
    <cellStyle name="Обычный 6 3 5 2 2 2 5" xfId="17968"/>
    <cellStyle name="Обычный 6 3 5 2 2 2 5 2" xfId="17969"/>
    <cellStyle name="Обычный 6 3 5 2 2 2 6" xfId="17970"/>
    <cellStyle name="Обычный 6 3 5 2 2 2 7" xfId="17971"/>
    <cellStyle name="Обычный 6 3 5 2 2 3" xfId="17972"/>
    <cellStyle name="Обычный 6 3 5 2 2 3 2" xfId="17973"/>
    <cellStyle name="Обычный 6 3 5 2 2 3 2 2" xfId="17974"/>
    <cellStyle name="Обычный 6 3 5 2 2 3 2 3" xfId="17975"/>
    <cellStyle name="Обычный 6 3 5 2 2 3 3" xfId="17976"/>
    <cellStyle name="Обычный 6 3 5 2 2 3 3 2" xfId="17977"/>
    <cellStyle name="Обычный 6 3 5 2 2 3 3 3" xfId="17978"/>
    <cellStyle name="Обычный 6 3 5 2 2 3 4" xfId="17979"/>
    <cellStyle name="Обычный 6 3 5 2 2 3 4 2" xfId="17980"/>
    <cellStyle name="Обычный 6 3 5 2 2 3 5" xfId="17981"/>
    <cellStyle name="Обычный 6 3 5 2 2 3 6" xfId="17982"/>
    <cellStyle name="Обычный 6 3 5 2 2 4" xfId="17983"/>
    <cellStyle name="Обычный 6 3 5 2 2 4 2" xfId="17984"/>
    <cellStyle name="Обычный 6 3 5 2 2 4 3" xfId="17985"/>
    <cellStyle name="Обычный 6 3 5 2 2 5" xfId="17986"/>
    <cellStyle name="Обычный 6 3 5 2 2 5 2" xfId="17987"/>
    <cellStyle name="Обычный 6 3 5 2 2 5 3" xfId="17988"/>
    <cellStyle name="Обычный 6 3 5 2 2 6" xfId="17989"/>
    <cellStyle name="Обычный 6 3 5 2 2 6 2" xfId="17990"/>
    <cellStyle name="Обычный 6 3 5 2 2 7" xfId="17991"/>
    <cellStyle name="Обычный 6 3 5 2 2 8" xfId="17992"/>
    <cellStyle name="Обычный 6 3 5 2 3" xfId="17993"/>
    <cellStyle name="Обычный 6 3 5 2 3 2" xfId="17994"/>
    <cellStyle name="Обычный 6 3 5 2 3 2 2" xfId="17995"/>
    <cellStyle name="Обычный 6 3 5 2 3 2 2 2" xfId="17996"/>
    <cellStyle name="Обычный 6 3 5 2 3 2 2 3" xfId="17997"/>
    <cellStyle name="Обычный 6 3 5 2 3 2 3" xfId="17998"/>
    <cellStyle name="Обычный 6 3 5 2 3 2 3 2" xfId="17999"/>
    <cellStyle name="Обычный 6 3 5 2 3 2 3 3" xfId="18000"/>
    <cellStyle name="Обычный 6 3 5 2 3 2 4" xfId="18001"/>
    <cellStyle name="Обычный 6 3 5 2 3 2 4 2" xfId="18002"/>
    <cellStyle name="Обычный 6 3 5 2 3 2 5" xfId="18003"/>
    <cellStyle name="Обычный 6 3 5 2 3 2 6" xfId="18004"/>
    <cellStyle name="Обычный 6 3 5 2 3 3" xfId="18005"/>
    <cellStyle name="Обычный 6 3 5 2 3 3 2" xfId="18006"/>
    <cellStyle name="Обычный 6 3 5 2 3 3 3" xfId="18007"/>
    <cellStyle name="Обычный 6 3 5 2 3 4" xfId="18008"/>
    <cellStyle name="Обычный 6 3 5 2 3 4 2" xfId="18009"/>
    <cellStyle name="Обычный 6 3 5 2 3 4 3" xfId="18010"/>
    <cellStyle name="Обычный 6 3 5 2 3 5" xfId="18011"/>
    <cellStyle name="Обычный 6 3 5 2 3 5 2" xfId="18012"/>
    <cellStyle name="Обычный 6 3 5 2 3 6" xfId="18013"/>
    <cellStyle name="Обычный 6 3 5 2 3 7" xfId="18014"/>
    <cellStyle name="Обычный 6 3 5 2 4" xfId="18015"/>
    <cellStyle name="Обычный 6 3 5 2 4 2" xfId="18016"/>
    <cellStyle name="Обычный 6 3 5 2 4 2 2" xfId="18017"/>
    <cellStyle name="Обычный 6 3 5 2 4 2 3" xfId="18018"/>
    <cellStyle name="Обычный 6 3 5 2 4 3" xfId="18019"/>
    <cellStyle name="Обычный 6 3 5 2 4 3 2" xfId="18020"/>
    <cellStyle name="Обычный 6 3 5 2 4 3 3" xfId="18021"/>
    <cellStyle name="Обычный 6 3 5 2 4 4" xfId="18022"/>
    <cellStyle name="Обычный 6 3 5 2 4 4 2" xfId="18023"/>
    <cellStyle name="Обычный 6 3 5 2 4 5" xfId="18024"/>
    <cellStyle name="Обычный 6 3 5 2 4 6" xfId="18025"/>
    <cellStyle name="Обычный 6 3 5 2 5" xfId="18026"/>
    <cellStyle name="Обычный 6 3 5 2 5 2" xfId="18027"/>
    <cellStyle name="Обычный 6 3 5 2 5 3" xfId="18028"/>
    <cellStyle name="Обычный 6 3 5 2 6" xfId="18029"/>
    <cellStyle name="Обычный 6 3 5 2 6 2" xfId="18030"/>
    <cellStyle name="Обычный 6 3 5 2 6 3" xfId="18031"/>
    <cellStyle name="Обычный 6 3 5 2 7" xfId="18032"/>
    <cellStyle name="Обычный 6 3 5 2 7 2" xfId="18033"/>
    <cellStyle name="Обычный 6 3 5 2 8" xfId="18034"/>
    <cellStyle name="Обычный 6 3 5 2 9" xfId="18035"/>
    <cellStyle name="Обычный 6 3 5 3" xfId="18036"/>
    <cellStyle name="Обычный 6 3 5 3 2" xfId="18037"/>
    <cellStyle name="Обычный 6 3 5 3 2 2" xfId="18038"/>
    <cellStyle name="Обычный 6 3 5 3 2 2 2" xfId="18039"/>
    <cellStyle name="Обычный 6 3 5 3 2 2 2 2" xfId="18040"/>
    <cellStyle name="Обычный 6 3 5 3 2 2 2 3" xfId="18041"/>
    <cellStyle name="Обычный 6 3 5 3 2 2 3" xfId="18042"/>
    <cellStyle name="Обычный 6 3 5 3 2 2 3 2" xfId="18043"/>
    <cellStyle name="Обычный 6 3 5 3 2 2 3 3" xfId="18044"/>
    <cellStyle name="Обычный 6 3 5 3 2 2 4" xfId="18045"/>
    <cellStyle name="Обычный 6 3 5 3 2 2 4 2" xfId="18046"/>
    <cellStyle name="Обычный 6 3 5 3 2 2 5" xfId="18047"/>
    <cellStyle name="Обычный 6 3 5 3 2 2 6" xfId="18048"/>
    <cellStyle name="Обычный 6 3 5 3 2 3" xfId="18049"/>
    <cellStyle name="Обычный 6 3 5 3 2 3 2" xfId="18050"/>
    <cellStyle name="Обычный 6 3 5 3 2 3 3" xfId="18051"/>
    <cellStyle name="Обычный 6 3 5 3 2 4" xfId="18052"/>
    <cellStyle name="Обычный 6 3 5 3 2 4 2" xfId="18053"/>
    <cellStyle name="Обычный 6 3 5 3 2 4 3" xfId="18054"/>
    <cellStyle name="Обычный 6 3 5 3 2 5" xfId="18055"/>
    <cellStyle name="Обычный 6 3 5 3 2 5 2" xfId="18056"/>
    <cellStyle name="Обычный 6 3 5 3 2 6" xfId="18057"/>
    <cellStyle name="Обычный 6 3 5 3 2 7" xfId="18058"/>
    <cellStyle name="Обычный 6 3 5 3 3" xfId="18059"/>
    <cellStyle name="Обычный 6 3 5 3 3 2" xfId="18060"/>
    <cellStyle name="Обычный 6 3 5 3 3 2 2" xfId="18061"/>
    <cellStyle name="Обычный 6 3 5 3 3 2 3" xfId="18062"/>
    <cellStyle name="Обычный 6 3 5 3 3 3" xfId="18063"/>
    <cellStyle name="Обычный 6 3 5 3 3 3 2" xfId="18064"/>
    <cellStyle name="Обычный 6 3 5 3 3 3 3" xfId="18065"/>
    <cellStyle name="Обычный 6 3 5 3 3 4" xfId="18066"/>
    <cellStyle name="Обычный 6 3 5 3 3 4 2" xfId="18067"/>
    <cellStyle name="Обычный 6 3 5 3 3 5" xfId="18068"/>
    <cellStyle name="Обычный 6 3 5 3 3 6" xfId="18069"/>
    <cellStyle name="Обычный 6 3 5 3 4" xfId="18070"/>
    <cellStyle name="Обычный 6 3 5 3 4 2" xfId="18071"/>
    <cellStyle name="Обычный 6 3 5 3 4 3" xfId="18072"/>
    <cellStyle name="Обычный 6 3 5 3 5" xfId="18073"/>
    <cellStyle name="Обычный 6 3 5 3 5 2" xfId="18074"/>
    <cellStyle name="Обычный 6 3 5 3 5 3" xfId="18075"/>
    <cellStyle name="Обычный 6 3 5 3 6" xfId="18076"/>
    <cellStyle name="Обычный 6 3 5 3 6 2" xfId="18077"/>
    <cellStyle name="Обычный 6 3 5 3 7" xfId="18078"/>
    <cellStyle name="Обычный 6 3 5 3 8" xfId="18079"/>
    <cellStyle name="Обычный 6 3 5 4" xfId="18080"/>
    <cellStyle name="Обычный 6 3 5 4 2" xfId="18081"/>
    <cellStyle name="Обычный 6 3 5 4 2 2" xfId="18082"/>
    <cellStyle name="Обычный 6 3 5 4 2 2 2" xfId="18083"/>
    <cellStyle name="Обычный 6 3 5 4 2 2 3" xfId="18084"/>
    <cellStyle name="Обычный 6 3 5 4 2 3" xfId="18085"/>
    <cellStyle name="Обычный 6 3 5 4 2 3 2" xfId="18086"/>
    <cellStyle name="Обычный 6 3 5 4 2 3 3" xfId="18087"/>
    <cellStyle name="Обычный 6 3 5 4 2 4" xfId="18088"/>
    <cellStyle name="Обычный 6 3 5 4 2 4 2" xfId="18089"/>
    <cellStyle name="Обычный 6 3 5 4 2 5" xfId="18090"/>
    <cellStyle name="Обычный 6 3 5 4 2 6" xfId="18091"/>
    <cellStyle name="Обычный 6 3 5 4 3" xfId="18092"/>
    <cellStyle name="Обычный 6 3 5 4 3 2" xfId="18093"/>
    <cellStyle name="Обычный 6 3 5 4 3 3" xfId="18094"/>
    <cellStyle name="Обычный 6 3 5 4 4" xfId="18095"/>
    <cellStyle name="Обычный 6 3 5 4 4 2" xfId="18096"/>
    <cellStyle name="Обычный 6 3 5 4 4 3" xfId="18097"/>
    <cellStyle name="Обычный 6 3 5 4 5" xfId="18098"/>
    <cellStyle name="Обычный 6 3 5 4 5 2" xfId="18099"/>
    <cellStyle name="Обычный 6 3 5 4 6" xfId="18100"/>
    <cellStyle name="Обычный 6 3 5 4 7" xfId="18101"/>
    <cellStyle name="Обычный 6 3 5 5" xfId="18102"/>
    <cellStyle name="Обычный 6 3 5 5 2" xfId="18103"/>
    <cellStyle name="Обычный 6 3 5 5 2 2" xfId="18104"/>
    <cellStyle name="Обычный 6 3 5 5 2 3" xfId="18105"/>
    <cellStyle name="Обычный 6 3 5 5 3" xfId="18106"/>
    <cellStyle name="Обычный 6 3 5 5 3 2" xfId="18107"/>
    <cellStyle name="Обычный 6 3 5 5 3 3" xfId="18108"/>
    <cellStyle name="Обычный 6 3 5 5 4" xfId="18109"/>
    <cellStyle name="Обычный 6 3 5 5 4 2" xfId="18110"/>
    <cellStyle name="Обычный 6 3 5 5 5" xfId="18111"/>
    <cellStyle name="Обычный 6 3 5 5 6" xfId="18112"/>
    <cellStyle name="Обычный 6 3 5 6" xfId="18113"/>
    <cellStyle name="Обычный 6 3 5 6 2" xfId="18114"/>
    <cellStyle name="Обычный 6 3 5 6 3" xfId="18115"/>
    <cellStyle name="Обычный 6 3 5 7" xfId="18116"/>
    <cellStyle name="Обычный 6 3 5 7 2" xfId="18117"/>
    <cellStyle name="Обычный 6 3 5 7 3" xfId="18118"/>
    <cellStyle name="Обычный 6 3 5 8" xfId="18119"/>
    <cellStyle name="Обычный 6 3 5 8 2" xfId="18120"/>
    <cellStyle name="Обычный 6 3 5 9" xfId="18121"/>
    <cellStyle name="Обычный 6 3 6" xfId="18122"/>
    <cellStyle name="Обычный 6 3 6 2" xfId="18123"/>
    <cellStyle name="Обычный 6 3 6 2 2" xfId="18124"/>
    <cellStyle name="Обычный 6 3 6 2 2 2" xfId="18125"/>
    <cellStyle name="Обычный 6 3 6 2 2 2 2" xfId="18126"/>
    <cellStyle name="Обычный 6 3 6 2 2 2 2 2" xfId="18127"/>
    <cellStyle name="Обычный 6 3 6 2 2 2 2 3" xfId="18128"/>
    <cellStyle name="Обычный 6 3 6 2 2 2 3" xfId="18129"/>
    <cellStyle name="Обычный 6 3 6 2 2 2 3 2" xfId="18130"/>
    <cellStyle name="Обычный 6 3 6 2 2 2 3 3" xfId="18131"/>
    <cellStyle name="Обычный 6 3 6 2 2 2 4" xfId="18132"/>
    <cellStyle name="Обычный 6 3 6 2 2 2 4 2" xfId="18133"/>
    <cellStyle name="Обычный 6 3 6 2 2 2 5" xfId="18134"/>
    <cellStyle name="Обычный 6 3 6 2 2 2 6" xfId="18135"/>
    <cellStyle name="Обычный 6 3 6 2 2 3" xfId="18136"/>
    <cellStyle name="Обычный 6 3 6 2 2 3 2" xfId="18137"/>
    <cellStyle name="Обычный 6 3 6 2 2 3 3" xfId="18138"/>
    <cellStyle name="Обычный 6 3 6 2 2 4" xfId="18139"/>
    <cellStyle name="Обычный 6 3 6 2 2 4 2" xfId="18140"/>
    <cellStyle name="Обычный 6 3 6 2 2 4 3" xfId="18141"/>
    <cellStyle name="Обычный 6 3 6 2 2 5" xfId="18142"/>
    <cellStyle name="Обычный 6 3 6 2 2 5 2" xfId="18143"/>
    <cellStyle name="Обычный 6 3 6 2 2 6" xfId="18144"/>
    <cellStyle name="Обычный 6 3 6 2 2 7" xfId="18145"/>
    <cellStyle name="Обычный 6 3 6 2 3" xfId="18146"/>
    <cellStyle name="Обычный 6 3 6 2 3 2" xfId="18147"/>
    <cellStyle name="Обычный 6 3 6 2 3 2 2" xfId="18148"/>
    <cellStyle name="Обычный 6 3 6 2 3 2 3" xfId="18149"/>
    <cellStyle name="Обычный 6 3 6 2 3 3" xfId="18150"/>
    <cellStyle name="Обычный 6 3 6 2 3 3 2" xfId="18151"/>
    <cellStyle name="Обычный 6 3 6 2 3 3 3" xfId="18152"/>
    <cellStyle name="Обычный 6 3 6 2 3 4" xfId="18153"/>
    <cellStyle name="Обычный 6 3 6 2 3 4 2" xfId="18154"/>
    <cellStyle name="Обычный 6 3 6 2 3 5" xfId="18155"/>
    <cellStyle name="Обычный 6 3 6 2 3 6" xfId="18156"/>
    <cellStyle name="Обычный 6 3 6 2 4" xfId="18157"/>
    <cellStyle name="Обычный 6 3 6 2 4 2" xfId="18158"/>
    <cellStyle name="Обычный 6 3 6 2 4 3" xfId="18159"/>
    <cellStyle name="Обычный 6 3 6 2 5" xfId="18160"/>
    <cellStyle name="Обычный 6 3 6 2 5 2" xfId="18161"/>
    <cellStyle name="Обычный 6 3 6 2 5 3" xfId="18162"/>
    <cellStyle name="Обычный 6 3 6 2 6" xfId="18163"/>
    <cellStyle name="Обычный 6 3 6 2 6 2" xfId="18164"/>
    <cellStyle name="Обычный 6 3 6 2 7" xfId="18165"/>
    <cellStyle name="Обычный 6 3 6 2 8" xfId="18166"/>
    <cellStyle name="Обычный 6 3 6 3" xfId="18167"/>
    <cellStyle name="Обычный 6 3 6 3 2" xfId="18168"/>
    <cellStyle name="Обычный 6 3 6 3 2 2" xfId="18169"/>
    <cellStyle name="Обычный 6 3 6 3 2 2 2" xfId="18170"/>
    <cellStyle name="Обычный 6 3 6 3 2 2 3" xfId="18171"/>
    <cellStyle name="Обычный 6 3 6 3 2 3" xfId="18172"/>
    <cellStyle name="Обычный 6 3 6 3 2 3 2" xfId="18173"/>
    <cellStyle name="Обычный 6 3 6 3 2 3 3" xfId="18174"/>
    <cellStyle name="Обычный 6 3 6 3 2 4" xfId="18175"/>
    <cellStyle name="Обычный 6 3 6 3 2 4 2" xfId="18176"/>
    <cellStyle name="Обычный 6 3 6 3 2 5" xfId="18177"/>
    <cellStyle name="Обычный 6 3 6 3 2 6" xfId="18178"/>
    <cellStyle name="Обычный 6 3 6 3 3" xfId="18179"/>
    <cellStyle name="Обычный 6 3 6 3 3 2" xfId="18180"/>
    <cellStyle name="Обычный 6 3 6 3 3 3" xfId="18181"/>
    <cellStyle name="Обычный 6 3 6 3 4" xfId="18182"/>
    <cellStyle name="Обычный 6 3 6 3 4 2" xfId="18183"/>
    <cellStyle name="Обычный 6 3 6 3 4 3" xfId="18184"/>
    <cellStyle name="Обычный 6 3 6 3 5" xfId="18185"/>
    <cellStyle name="Обычный 6 3 6 3 5 2" xfId="18186"/>
    <cellStyle name="Обычный 6 3 6 3 6" xfId="18187"/>
    <cellStyle name="Обычный 6 3 6 3 7" xfId="18188"/>
    <cellStyle name="Обычный 6 3 6 4" xfId="18189"/>
    <cellStyle name="Обычный 6 3 6 4 2" xfId="18190"/>
    <cellStyle name="Обычный 6 3 6 4 2 2" xfId="18191"/>
    <cellStyle name="Обычный 6 3 6 4 2 3" xfId="18192"/>
    <cellStyle name="Обычный 6 3 6 4 3" xfId="18193"/>
    <cellStyle name="Обычный 6 3 6 4 3 2" xfId="18194"/>
    <cellStyle name="Обычный 6 3 6 4 3 3" xfId="18195"/>
    <cellStyle name="Обычный 6 3 6 4 4" xfId="18196"/>
    <cellStyle name="Обычный 6 3 6 4 4 2" xfId="18197"/>
    <cellStyle name="Обычный 6 3 6 4 5" xfId="18198"/>
    <cellStyle name="Обычный 6 3 6 4 6" xfId="18199"/>
    <cellStyle name="Обычный 6 3 6 5" xfId="18200"/>
    <cellStyle name="Обычный 6 3 6 5 2" xfId="18201"/>
    <cellStyle name="Обычный 6 3 6 5 3" xfId="18202"/>
    <cellStyle name="Обычный 6 3 6 6" xfId="18203"/>
    <cellStyle name="Обычный 6 3 6 6 2" xfId="18204"/>
    <cellStyle name="Обычный 6 3 6 6 3" xfId="18205"/>
    <cellStyle name="Обычный 6 3 6 7" xfId="18206"/>
    <cellStyle name="Обычный 6 3 6 7 2" xfId="18207"/>
    <cellStyle name="Обычный 6 3 6 8" xfId="18208"/>
    <cellStyle name="Обычный 6 3 6 9" xfId="18209"/>
    <cellStyle name="Обычный 6 3 7" xfId="18210"/>
    <cellStyle name="Обычный 6 3 7 2" xfId="18211"/>
    <cellStyle name="Обычный 6 3 7 2 2" xfId="18212"/>
    <cellStyle name="Обычный 6 3 7 2 2 2" xfId="18213"/>
    <cellStyle name="Обычный 6 3 7 2 2 2 2" xfId="18214"/>
    <cellStyle name="Обычный 6 3 7 2 2 2 3" xfId="18215"/>
    <cellStyle name="Обычный 6 3 7 2 2 3" xfId="18216"/>
    <cellStyle name="Обычный 6 3 7 2 2 3 2" xfId="18217"/>
    <cellStyle name="Обычный 6 3 7 2 2 3 3" xfId="18218"/>
    <cellStyle name="Обычный 6 3 7 2 2 4" xfId="18219"/>
    <cellStyle name="Обычный 6 3 7 2 2 4 2" xfId="18220"/>
    <cellStyle name="Обычный 6 3 7 2 2 5" xfId="18221"/>
    <cellStyle name="Обычный 6 3 7 2 2 6" xfId="18222"/>
    <cellStyle name="Обычный 6 3 7 2 3" xfId="18223"/>
    <cellStyle name="Обычный 6 3 7 2 3 2" xfId="18224"/>
    <cellStyle name="Обычный 6 3 7 2 3 3" xfId="18225"/>
    <cellStyle name="Обычный 6 3 7 2 4" xfId="18226"/>
    <cellStyle name="Обычный 6 3 7 2 4 2" xfId="18227"/>
    <cellStyle name="Обычный 6 3 7 2 4 3" xfId="18228"/>
    <cellStyle name="Обычный 6 3 7 2 5" xfId="18229"/>
    <cellStyle name="Обычный 6 3 7 2 5 2" xfId="18230"/>
    <cellStyle name="Обычный 6 3 7 2 6" xfId="18231"/>
    <cellStyle name="Обычный 6 3 7 2 7" xfId="18232"/>
    <cellStyle name="Обычный 6 3 7 3" xfId="18233"/>
    <cellStyle name="Обычный 6 3 7 3 2" xfId="18234"/>
    <cellStyle name="Обычный 6 3 7 3 2 2" xfId="18235"/>
    <cellStyle name="Обычный 6 3 7 3 2 3" xfId="18236"/>
    <cellStyle name="Обычный 6 3 7 3 3" xfId="18237"/>
    <cellStyle name="Обычный 6 3 7 3 3 2" xfId="18238"/>
    <cellStyle name="Обычный 6 3 7 3 3 3" xfId="18239"/>
    <cellStyle name="Обычный 6 3 7 3 4" xfId="18240"/>
    <cellStyle name="Обычный 6 3 7 3 4 2" xfId="18241"/>
    <cellStyle name="Обычный 6 3 7 3 5" xfId="18242"/>
    <cellStyle name="Обычный 6 3 7 3 6" xfId="18243"/>
    <cellStyle name="Обычный 6 3 7 4" xfId="18244"/>
    <cellStyle name="Обычный 6 3 7 4 2" xfId="18245"/>
    <cellStyle name="Обычный 6 3 7 4 3" xfId="18246"/>
    <cellStyle name="Обычный 6 3 7 5" xfId="18247"/>
    <cellStyle name="Обычный 6 3 7 5 2" xfId="18248"/>
    <cellStyle name="Обычный 6 3 7 5 3" xfId="18249"/>
    <cellStyle name="Обычный 6 3 7 6" xfId="18250"/>
    <cellStyle name="Обычный 6 3 7 6 2" xfId="18251"/>
    <cellStyle name="Обычный 6 3 7 7" xfId="18252"/>
    <cellStyle name="Обычный 6 3 7 8" xfId="18253"/>
    <cellStyle name="Обычный 6 3 8" xfId="18254"/>
    <cellStyle name="Обычный 6 3 8 2" xfId="18255"/>
    <cellStyle name="Обычный 6 3 8 2 2" xfId="18256"/>
    <cellStyle name="Обычный 6 3 8 2 2 2" xfId="18257"/>
    <cellStyle name="Обычный 6 3 8 2 2 3" xfId="18258"/>
    <cellStyle name="Обычный 6 3 8 2 3" xfId="18259"/>
    <cellStyle name="Обычный 6 3 8 2 3 2" xfId="18260"/>
    <cellStyle name="Обычный 6 3 8 2 3 3" xfId="18261"/>
    <cellStyle name="Обычный 6 3 8 2 4" xfId="18262"/>
    <cellStyle name="Обычный 6 3 8 2 4 2" xfId="18263"/>
    <cellStyle name="Обычный 6 3 8 2 5" xfId="18264"/>
    <cellStyle name="Обычный 6 3 8 2 6" xfId="18265"/>
    <cellStyle name="Обычный 6 3 8 3" xfId="18266"/>
    <cellStyle name="Обычный 6 3 8 3 2" xfId="18267"/>
    <cellStyle name="Обычный 6 3 8 3 3" xfId="18268"/>
    <cellStyle name="Обычный 6 3 8 4" xfId="18269"/>
    <cellStyle name="Обычный 6 3 8 4 2" xfId="18270"/>
    <cellStyle name="Обычный 6 3 8 4 3" xfId="18271"/>
    <cellStyle name="Обычный 6 3 8 5" xfId="18272"/>
    <cellStyle name="Обычный 6 3 8 5 2" xfId="18273"/>
    <cellStyle name="Обычный 6 3 8 6" xfId="18274"/>
    <cellStyle name="Обычный 6 3 8 7" xfId="18275"/>
    <cellStyle name="Обычный 6 3 9" xfId="18276"/>
    <cellStyle name="Обычный 6 3 9 2" xfId="18277"/>
    <cellStyle name="Обычный 6 3 9 2 2" xfId="18278"/>
    <cellStyle name="Обычный 6 3 9 2 3" xfId="18279"/>
    <cellStyle name="Обычный 6 3 9 3" xfId="18280"/>
    <cellStyle name="Обычный 6 3 9 3 2" xfId="18281"/>
    <cellStyle name="Обычный 6 3 9 3 3" xfId="18282"/>
    <cellStyle name="Обычный 6 3 9 4" xfId="18283"/>
    <cellStyle name="Обычный 6 3 9 4 2" xfId="18284"/>
    <cellStyle name="Обычный 6 3 9 5" xfId="18285"/>
    <cellStyle name="Обычный 6 3 9 6" xfId="18286"/>
    <cellStyle name="Обычный 6 4" xfId="18287"/>
    <cellStyle name="Обычный 6 4 10" xfId="18288"/>
    <cellStyle name="Обычный 6 4 10 2" xfId="18289"/>
    <cellStyle name="Обычный 6 4 10 3" xfId="18290"/>
    <cellStyle name="Обычный 6 4 11" xfId="18291"/>
    <cellStyle name="Обычный 6 4 11 2" xfId="18292"/>
    <cellStyle name="Обычный 6 4 11 3" xfId="18293"/>
    <cellStyle name="Обычный 6 4 12" xfId="18294"/>
    <cellStyle name="Обычный 6 4 12 2" xfId="18295"/>
    <cellStyle name="Обычный 6 4 13" xfId="18296"/>
    <cellStyle name="Обычный 6 4 14" xfId="18297"/>
    <cellStyle name="Обычный 6 4 2" xfId="18298"/>
    <cellStyle name="Обычный 6 4 2 10" xfId="18299"/>
    <cellStyle name="Обычный 6 4 2 10 2" xfId="18300"/>
    <cellStyle name="Обычный 6 4 2 10 3" xfId="18301"/>
    <cellStyle name="Обычный 6 4 2 11" xfId="18302"/>
    <cellStyle name="Обычный 6 4 2 11 2" xfId="18303"/>
    <cellStyle name="Обычный 6 4 2 12" xfId="18304"/>
    <cellStyle name="Обычный 6 4 2 13" xfId="18305"/>
    <cellStyle name="Обычный 6 4 2 2" xfId="18306"/>
    <cellStyle name="Обычный 6 4 2 2 10" xfId="18307"/>
    <cellStyle name="Обычный 6 4 2 2 2" xfId="18308"/>
    <cellStyle name="Обычный 6 4 2 2 2 2" xfId="18309"/>
    <cellStyle name="Обычный 6 4 2 2 2 2 2" xfId="18310"/>
    <cellStyle name="Обычный 6 4 2 2 2 2 2 2" xfId="18311"/>
    <cellStyle name="Обычный 6 4 2 2 2 2 2 2 2" xfId="18312"/>
    <cellStyle name="Обычный 6 4 2 2 2 2 2 2 2 2" xfId="18313"/>
    <cellStyle name="Обычный 6 4 2 2 2 2 2 2 2 3" xfId="18314"/>
    <cellStyle name="Обычный 6 4 2 2 2 2 2 2 3" xfId="18315"/>
    <cellStyle name="Обычный 6 4 2 2 2 2 2 2 3 2" xfId="18316"/>
    <cellStyle name="Обычный 6 4 2 2 2 2 2 2 3 3" xfId="18317"/>
    <cellStyle name="Обычный 6 4 2 2 2 2 2 2 4" xfId="18318"/>
    <cellStyle name="Обычный 6 4 2 2 2 2 2 2 4 2" xfId="18319"/>
    <cellStyle name="Обычный 6 4 2 2 2 2 2 2 5" xfId="18320"/>
    <cellStyle name="Обычный 6 4 2 2 2 2 2 2 6" xfId="18321"/>
    <cellStyle name="Обычный 6 4 2 2 2 2 2 3" xfId="18322"/>
    <cellStyle name="Обычный 6 4 2 2 2 2 2 3 2" xfId="18323"/>
    <cellStyle name="Обычный 6 4 2 2 2 2 2 3 3" xfId="18324"/>
    <cellStyle name="Обычный 6 4 2 2 2 2 2 4" xfId="18325"/>
    <cellStyle name="Обычный 6 4 2 2 2 2 2 4 2" xfId="18326"/>
    <cellStyle name="Обычный 6 4 2 2 2 2 2 4 3" xfId="18327"/>
    <cellStyle name="Обычный 6 4 2 2 2 2 2 5" xfId="18328"/>
    <cellStyle name="Обычный 6 4 2 2 2 2 2 5 2" xfId="18329"/>
    <cellStyle name="Обычный 6 4 2 2 2 2 2 6" xfId="18330"/>
    <cellStyle name="Обычный 6 4 2 2 2 2 2 7" xfId="18331"/>
    <cellStyle name="Обычный 6 4 2 2 2 2 3" xfId="18332"/>
    <cellStyle name="Обычный 6 4 2 2 2 2 3 2" xfId="18333"/>
    <cellStyle name="Обычный 6 4 2 2 2 2 3 2 2" xfId="18334"/>
    <cellStyle name="Обычный 6 4 2 2 2 2 3 2 3" xfId="18335"/>
    <cellStyle name="Обычный 6 4 2 2 2 2 3 3" xfId="18336"/>
    <cellStyle name="Обычный 6 4 2 2 2 2 3 3 2" xfId="18337"/>
    <cellStyle name="Обычный 6 4 2 2 2 2 3 3 3" xfId="18338"/>
    <cellStyle name="Обычный 6 4 2 2 2 2 3 4" xfId="18339"/>
    <cellStyle name="Обычный 6 4 2 2 2 2 3 4 2" xfId="18340"/>
    <cellStyle name="Обычный 6 4 2 2 2 2 3 5" xfId="18341"/>
    <cellStyle name="Обычный 6 4 2 2 2 2 3 6" xfId="18342"/>
    <cellStyle name="Обычный 6 4 2 2 2 2 4" xfId="18343"/>
    <cellStyle name="Обычный 6 4 2 2 2 2 4 2" xfId="18344"/>
    <cellStyle name="Обычный 6 4 2 2 2 2 4 3" xfId="18345"/>
    <cellStyle name="Обычный 6 4 2 2 2 2 5" xfId="18346"/>
    <cellStyle name="Обычный 6 4 2 2 2 2 5 2" xfId="18347"/>
    <cellStyle name="Обычный 6 4 2 2 2 2 5 3" xfId="18348"/>
    <cellStyle name="Обычный 6 4 2 2 2 2 6" xfId="18349"/>
    <cellStyle name="Обычный 6 4 2 2 2 2 6 2" xfId="18350"/>
    <cellStyle name="Обычный 6 4 2 2 2 2 7" xfId="18351"/>
    <cellStyle name="Обычный 6 4 2 2 2 2 8" xfId="18352"/>
    <cellStyle name="Обычный 6 4 2 2 2 3" xfId="18353"/>
    <cellStyle name="Обычный 6 4 2 2 2 3 2" xfId="18354"/>
    <cellStyle name="Обычный 6 4 2 2 2 3 2 2" xfId="18355"/>
    <cellStyle name="Обычный 6 4 2 2 2 3 2 2 2" xfId="18356"/>
    <cellStyle name="Обычный 6 4 2 2 2 3 2 2 3" xfId="18357"/>
    <cellStyle name="Обычный 6 4 2 2 2 3 2 3" xfId="18358"/>
    <cellStyle name="Обычный 6 4 2 2 2 3 2 3 2" xfId="18359"/>
    <cellStyle name="Обычный 6 4 2 2 2 3 2 3 3" xfId="18360"/>
    <cellStyle name="Обычный 6 4 2 2 2 3 2 4" xfId="18361"/>
    <cellStyle name="Обычный 6 4 2 2 2 3 2 4 2" xfId="18362"/>
    <cellStyle name="Обычный 6 4 2 2 2 3 2 5" xfId="18363"/>
    <cellStyle name="Обычный 6 4 2 2 2 3 2 6" xfId="18364"/>
    <cellStyle name="Обычный 6 4 2 2 2 3 3" xfId="18365"/>
    <cellStyle name="Обычный 6 4 2 2 2 3 3 2" xfId="18366"/>
    <cellStyle name="Обычный 6 4 2 2 2 3 3 3" xfId="18367"/>
    <cellStyle name="Обычный 6 4 2 2 2 3 4" xfId="18368"/>
    <cellStyle name="Обычный 6 4 2 2 2 3 4 2" xfId="18369"/>
    <cellStyle name="Обычный 6 4 2 2 2 3 4 3" xfId="18370"/>
    <cellStyle name="Обычный 6 4 2 2 2 3 5" xfId="18371"/>
    <cellStyle name="Обычный 6 4 2 2 2 3 5 2" xfId="18372"/>
    <cellStyle name="Обычный 6 4 2 2 2 3 6" xfId="18373"/>
    <cellStyle name="Обычный 6 4 2 2 2 3 7" xfId="18374"/>
    <cellStyle name="Обычный 6 4 2 2 2 4" xfId="18375"/>
    <cellStyle name="Обычный 6 4 2 2 2 4 2" xfId="18376"/>
    <cellStyle name="Обычный 6 4 2 2 2 4 2 2" xfId="18377"/>
    <cellStyle name="Обычный 6 4 2 2 2 4 2 3" xfId="18378"/>
    <cellStyle name="Обычный 6 4 2 2 2 4 3" xfId="18379"/>
    <cellStyle name="Обычный 6 4 2 2 2 4 3 2" xfId="18380"/>
    <cellStyle name="Обычный 6 4 2 2 2 4 3 3" xfId="18381"/>
    <cellStyle name="Обычный 6 4 2 2 2 4 4" xfId="18382"/>
    <cellStyle name="Обычный 6 4 2 2 2 4 4 2" xfId="18383"/>
    <cellStyle name="Обычный 6 4 2 2 2 4 5" xfId="18384"/>
    <cellStyle name="Обычный 6 4 2 2 2 4 6" xfId="18385"/>
    <cellStyle name="Обычный 6 4 2 2 2 5" xfId="18386"/>
    <cellStyle name="Обычный 6 4 2 2 2 5 2" xfId="18387"/>
    <cellStyle name="Обычный 6 4 2 2 2 5 3" xfId="18388"/>
    <cellStyle name="Обычный 6 4 2 2 2 6" xfId="18389"/>
    <cellStyle name="Обычный 6 4 2 2 2 6 2" xfId="18390"/>
    <cellStyle name="Обычный 6 4 2 2 2 6 3" xfId="18391"/>
    <cellStyle name="Обычный 6 4 2 2 2 7" xfId="18392"/>
    <cellStyle name="Обычный 6 4 2 2 2 7 2" xfId="18393"/>
    <cellStyle name="Обычный 6 4 2 2 2 8" xfId="18394"/>
    <cellStyle name="Обычный 6 4 2 2 2 9" xfId="18395"/>
    <cellStyle name="Обычный 6 4 2 2 3" xfId="18396"/>
    <cellStyle name="Обычный 6 4 2 2 3 2" xfId="18397"/>
    <cellStyle name="Обычный 6 4 2 2 3 2 2" xfId="18398"/>
    <cellStyle name="Обычный 6 4 2 2 3 2 2 2" xfId="18399"/>
    <cellStyle name="Обычный 6 4 2 2 3 2 2 2 2" xfId="18400"/>
    <cellStyle name="Обычный 6 4 2 2 3 2 2 2 3" xfId="18401"/>
    <cellStyle name="Обычный 6 4 2 2 3 2 2 3" xfId="18402"/>
    <cellStyle name="Обычный 6 4 2 2 3 2 2 3 2" xfId="18403"/>
    <cellStyle name="Обычный 6 4 2 2 3 2 2 3 3" xfId="18404"/>
    <cellStyle name="Обычный 6 4 2 2 3 2 2 4" xfId="18405"/>
    <cellStyle name="Обычный 6 4 2 2 3 2 2 4 2" xfId="18406"/>
    <cellStyle name="Обычный 6 4 2 2 3 2 2 5" xfId="18407"/>
    <cellStyle name="Обычный 6 4 2 2 3 2 2 6" xfId="18408"/>
    <cellStyle name="Обычный 6 4 2 2 3 2 3" xfId="18409"/>
    <cellStyle name="Обычный 6 4 2 2 3 2 3 2" xfId="18410"/>
    <cellStyle name="Обычный 6 4 2 2 3 2 3 3" xfId="18411"/>
    <cellStyle name="Обычный 6 4 2 2 3 2 4" xfId="18412"/>
    <cellStyle name="Обычный 6 4 2 2 3 2 4 2" xfId="18413"/>
    <cellStyle name="Обычный 6 4 2 2 3 2 4 3" xfId="18414"/>
    <cellStyle name="Обычный 6 4 2 2 3 2 5" xfId="18415"/>
    <cellStyle name="Обычный 6 4 2 2 3 2 5 2" xfId="18416"/>
    <cellStyle name="Обычный 6 4 2 2 3 2 6" xfId="18417"/>
    <cellStyle name="Обычный 6 4 2 2 3 2 7" xfId="18418"/>
    <cellStyle name="Обычный 6 4 2 2 3 3" xfId="18419"/>
    <cellStyle name="Обычный 6 4 2 2 3 3 2" xfId="18420"/>
    <cellStyle name="Обычный 6 4 2 2 3 3 2 2" xfId="18421"/>
    <cellStyle name="Обычный 6 4 2 2 3 3 2 3" xfId="18422"/>
    <cellStyle name="Обычный 6 4 2 2 3 3 3" xfId="18423"/>
    <cellStyle name="Обычный 6 4 2 2 3 3 3 2" xfId="18424"/>
    <cellStyle name="Обычный 6 4 2 2 3 3 3 3" xfId="18425"/>
    <cellStyle name="Обычный 6 4 2 2 3 3 4" xfId="18426"/>
    <cellStyle name="Обычный 6 4 2 2 3 3 4 2" xfId="18427"/>
    <cellStyle name="Обычный 6 4 2 2 3 3 5" xfId="18428"/>
    <cellStyle name="Обычный 6 4 2 2 3 3 6" xfId="18429"/>
    <cellStyle name="Обычный 6 4 2 2 3 4" xfId="18430"/>
    <cellStyle name="Обычный 6 4 2 2 3 4 2" xfId="18431"/>
    <cellStyle name="Обычный 6 4 2 2 3 4 3" xfId="18432"/>
    <cellStyle name="Обычный 6 4 2 2 3 5" xfId="18433"/>
    <cellStyle name="Обычный 6 4 2 2 3 5 2" xfId="18434"/>
    <cellStyle name="Обычный 6 4 2 2 3 5 3" xfId="18435"/>
    <cellStyle name="Обычный 6 4 2 2 3 6" xfId="18436"/>
    <cellStyle name="Обычный 6 4 2 2 3 6 2" xfId="18437"/>
    <cellStyle name="Обычный 6 4 2 2 3 7" xfId="18438"/>
    <cellStyle name="Обычный 6 4 2 2 3 8" xfId="18439"/>
    <cellStyle name="Обычный 6 4 2 2 4" xfId="18440"/>
    <cellStyle name="Обычный 6 4 2 2 4 2" xfId="18441"/>
    <cellStyle name="Обычный 6 4 2 2 4 2 2" xfId="18442"/>
    <cellStyle name="Обычный 6 4 2 2 4 2 2 2" xfId="18443"/>
    <cellStyle name="Обычный 6 4 2 2 4 2 2 3" xfId="18444"/>
    <cellStyle name="Обычный 6 4 2 2 4 2 3" xfId="18445"/>
    <cellStyle name="Обычный 6 4 2 2 4 2 3 2" xfId="18446"/>
    <cellStyle name="Обычный 6 4 2 2 4 2 3 3" xfId="18447"/>
    <cellStyle name="Обычный 6 4 2 2 4 2 4" xfId="18448"/>
    <cellStyle name="Обычный 6 4 2 2 4 2 4 2" xfId="18449"/>
    <cellStyle name="Обычный 6 4 2 2 4 2 5" xfId="18450"/>
    <cellStyle name="Обычный 6 4 2 2 4 2 6" xfId="18451"/>
    <cellStyle name="Обычный 6 4 2 2 4 3" xfId="18452"/>
    <cellStyle name="Обычный 6 4 2 2 4 3 2" xfId="18453"/>
    <cellStyle name="Обычный 6 4 2 2 4 3 3" xfId="18454"/>
    <cellStyle name="Обычный 6 4 2 2 4 4" xfId="18455"/>
    <cellStyle name="Обычный 6 4 2 2 4 4 2" xfId="18456"/>
    <cellStyle name="Обычный 6 4 2 2 4 4 3" xfId="18457"/>
    <cellStyle name="Обычный 6 4 2 2 4 5" xfId="18458"/>
    <cellStyle name="Обычный 6 4 2 2 4 5 2" xfId="18459"/>
    <cellStyle name="Обычный 6 4 2 2 4 6" xfId="18460"/>
    <cellStyle name="Обычный 6 4 2 2 4 7" xfId="18461"/>
    <cellStyle name="Обычный 6 4 2 2 5" xfId="18462"/>
    <cellStyle name="Обычный 6 4 2 2 5 2" xfId="18463"/>
    <cellStyle name="Обычный 6 4 2 2 5 2 2" xfId="18464"/>
    <cellStyle name="Обычный 6 4 2 2 5 2 3" xfId="18465"/>
    <cellStyle name="Обычный 6 4 2 2 5 3" xfId="18466"/>
    <cellStyle name="Обычный 6 4 2 2 5 3 2" xfId="18467"/>
    <cellStyle name="Обычный 6 4 2 2 5 3 3" xfId="18468"/>
    <cellStyle name="Обычный 6 4 2 2 5 4" xfId="18469"/>
    <cellStyle name="Обычный 6 4 2 2 5 4 2" xfId="18470"/>
    <cellStyle name="Обычный 6 4 2 2 5 5" xfId="18471"/>
    <cellStyle name="Обычный 6 4 2 2 5 6" xfId="18472"/>
    <cellStyle name="Обычный 6 4 2 2 6" xfId="18473"/>
    <cellStyle name="Обычный 6 4 2 2 6 2" xfId="18474"/>
    <cellStyle name="Обычный 6 4 2 2 6 3" xfId="18475"/>
    <cellStyle name="Обычный 6 4 2 2 7" xfId="18476"/>
    <cellStyle name="Обычный 6 4 2 2 7 2" xfId="18477"/>
    <cellStyle name="Обычный 6 4 2 2 7 3" xfId="18478"/>
    <cellStyle name="Обычный 6 4 2 2 8" xfId="18479"/>
    <cellStyle name="Обычный 6 4 2 2 8 2" xfId="18480"/>
    <cellStyle name="Обычный 6 4 2 2 9" xfId="18481"/>
    <cellStyle name="Обычный 6 4 2 3" xfId="18482"/>
    <cellStyle name="Обычный 6 4 2 3 10" xfId="18483"/>
    <cellStyle name="Обычный 6 4 2 3 2" xfId="18484"/>
    <cellStyle name="Обычный 6 4 2 3 2 2" xfId="18485"/>
    <cellStyle name="Обычный 6 4 2 3 2 2 2" xfId="18486"/>
    <cellStyle name="Обычный 6 4 2 3 2 2 2 2" xfId="18487"/>
    <cellStyle name="Обычный 6 4 2 3 2 2 2 2 2" xfId="18488"/>
    <cellStyle name="Обычный 6 4 2 3 2 2 2 2 2 2" xfId="18489"/>
    <cellStyle name="Обычный 6 4 2 3 2 2 2 2 2 3" xfId="18490"/>
    <cellStyle name="Обычный 6 4 2 3 2 2 2 2 3" xfId="18491"/>
    <cellStyle name="Обычный 6 4 2 3 2 2 2 2 3 2" xfId="18492"/>
    <cellStyle name="Обычный 6 4 2 3 2 2 2 2 3 3" xfId="18493"/>
    <cellStyle name="Обычный 6 4 2 3 2 2 2 2 4" xfId="18494"/>
    <cellStyle name="Обычный 6 4 2 3 2 2 2 2 4 2" xfId="18495"/>
    <cellStyle name="Обычный 6 4 2 3 2 2 2 2 5" xfId="18496"/>
    <cellStyle name="Обычный 6 4 2 3 2 2 2 2 6" xfId="18497"/>
    <cellStyle name="Обычный 6 4 2 3 2 2 2 3" xfId="18498"/>
    <cellStyle name="Обычный 6 4 2 3 2 2 2 3 2" xfId="18499"/>
    <cellStyle name="Обычный 6 4 2 3 2 2 2 3 3" xfId="18500"/>
    <cellStyle name="Обычный 6 4 2 3 2 2 2 4" xfId="18501"/>
    <cellStyle name="Обычный 6 4 2 3 2 2 2 4 2" xfId="18502"/>
    <cellStyle name="Обычный 6 4 2 3 2 2 2 4 3" xfId="18503"/>
    <cellStyle name="Обычный 6 4 2 3 2 2 2 5" xfId="18504"/>
    <cellStyle name="Обычный 6 4 2 3 2 2 2 5 2" xfId="18505"/>
    <cellStyle name="Обычный 6 4 2 3 2 2 2 6" xfId="18506"/>
    <cellStyle name="Обычный 6 4 2 3 2 2 2 7" xfId="18507"/>
    <cellStyle name="Обычный 6 4 2 3 2 2 3" xfId="18508"/>
    <cellStyle name="Обычный 6 4 2 3 2 2 3 2" xfId="18509"/>
    <cellStyle name="Обычный 6 4 2 3 2 2 3 2 2" xfId="18510"/>
    <cellStyle name="Обычный 6 4 2 3 2 2 3 2 3" xfId="18511"/>
    <cellStyle name="Обычный 6 4 2 3 2 2 3 3" xfId="18512"/>
    <cellStyle name="Обычный 6 4 2 3 2 2 3 3 2" xfId="18513"/>
    <cellStyle name="Обычный 6 4 2 3 2 2 3 3 3" xfId="18514"/>
    <cellStyle name="Обычный 6 4 2 3 2 2 3 4" xfId="18515"/>
    <cellStyle name="Обычный 6 4 2 3 2 2 3 4 2" xfId="18516"/>
    <cellStyle name="Обычный 6 4 2 3 2 2 3 5" xfId="18517"/>
    <cellStyle name="Обычный 6 4 2 3 2 2 3 6" xfId="18518"/>
    <cellStyle name="Обычный 6 4 2 3 2 2 4" xfId="18519"/>
    <cellStyle name="Обычный 6 4 2 3 2 2 4 2" xfId="18520"/>
    <cellStyle name="Обычный 6 4 2 3 2 2 4 3" xfId="18521"/>
    <cellStyle name="Обычный 6 4 2 3 2 2 5" xfId="18522"/>
    <cellStyle name="Обычный 6 4 2 3 2 2 5 2" xfId="18523"/>
    <cellStyle name="Обычный 6 4 2 3 2 2 5 3" xfId="18524"/>
    <cellStyle name="Обычный 6 4 2 3 2 2 6" xfId="18525"/>
    <cellStyle name="Обычный 6 4 2 3 2 2 6 2" xfId="18526"/>
    <cellStyle name="Обычный 6 4 2 3 2 2 7" xfId="18527"/>
    <cellStyle name="Обычный 6 4 2 3 2 2 8" xfId="18528"/>
    <cellStyle name="Обычный 6 4 2 3 2 3" xfId="18529"/>
    <cellStyle name="Обычный 6 4 2 3 2 3 2" xfId="18530"/>
    <cellStyle name="Обычный 6 4 2 3 2 3 2 2" xfId="18531"/>
    <cellStyle name="Обычный 6 4 2 3 2 3 2 2 2" xfId="18532"/>
    <cellStyle name="Обычный 6 4 2 3 2 3 2 2 3" xfId="18533"/>
    <cellStyle name="Обычный 6 4 2 3 2 3 2 3" xfId="18534"/>
    <cellStyle name="Обычный 6 4 2 3 2 3 2 3 2" xfId="18535"/>
    <cellStyle name="Обычный 6 4 2 3 2 3 2 3 3" xfId="18536"/>
    <cellStyle name="Обычный 6 4 2 3 2 3 2 4" xfId="18537"/>
    <cellStyle name="Обычный 6 4 2 3 2 3 2 4 2" xfId="18538"/>
    <cellStyle name="Обычный 6 4 2 3 2 3 2 5" xfId="18539"/>
    <cellStyle name="Обычный 6 4 2 3 2 3 2 6" xfId="18540"/>
    <cellStyle name="Обычный 6 4 2 3 2 3 3" xfId="18541"/>
    <cellStyle name="Обычный 6 4 2 3 2 3 3 2" xfId="18542"/>
    <cellStyle name="Обычный 6 4 2 3 2 3 3 3" xfId="18543"/>
    <cellStyle name="Обычный 6 4 2 3 2 3 4" xfId="18544"/>
    <cellStyle name="Обычный 6 4 2 3 2 3 4 2" xfId="18545"/>
    <cellStyle name="Обычный 6 4 2 3 2 3 4 3" xfId="18546"/>
    <cellStyle name="Обычный 6 4 2 3 2 3 5" xfId="18547"/>
    <cellStyle name="Обычный 6 4 2 3 2 3 5 2" xfId="18548"/>
    <cellStyle name="Обычный 6 4 2 3 2 3 6" xfId="18549"/>
    <cellStyle name="Обычный 6 4 2 3 2 3 7" xfId="18550"/>
    <cellStyle name="Обычный 6 4 2 3 2 4" xfId="18551"/>
    <cellStyle name="Обычный 6 4 2 3 2 4 2" xfId="18552"/>
    <cellStyle name="Обычный 6 4 2 3 2 4 2 2" xfId="18553"/>
    <cellStyle name="Обычный 6 4 2 3 2 4 2 3" xfId="18554"/>
    <cellStyle name="Обычный 6 4 2 3 2 4 3" xfId="18555"/>
    <cellStyle name="Обычный 6 4 2 3 2 4 3 2" xfId="18556"/>
    <cellStyle name="Обычный 6 4 2 3 2 4 3 3" xfId="18557"/>
    <cellStyle name="Обычный 6 4 2 3 2 4 4" xfId="18558"/>
    <cellStyle name="Обычный 6 4 2 3 2 4 4 2" xfId="18559"/>
    <cellStyle name="Обычный 6 4 2 3 2 4 5" xfId="18560"/>
    <cellStyle name="Обычный 6 4 2 3 2 4 6" xfId="18561"/>
    <cellStyle name="Обычный 6 4 2 3 2 5" xfId="18562"/>
    <cellStyle name="Обычный 6 4 2 3 2 5 2" xfId="18563"/>
    <cellStyle name="Обычный 6 4 2 3 2 5 3" xfId="18564"/>
    <cellStyle name="Обычный 6 4 2 3 2 6" xfId="18565"/>
    <cellStyle name="Обычный 6 4 2 3 2 6 2" xfId="18566"/>
    <cellStyle name="Обычный 6 4 2 3 2 6 3" xfId="18567"/>
    <cellStyle name="Обычный 6 4 2 3 2 7" xfId="18568"/>
    <cellStyle name="Обычный 6 4 2 3 2 7 2" xfId="18569"/>
    <cellStyle name="Обычный 6 4 2 3 2 8" xfId="18570"/>
    <cellStyle name="Обычный 6 4 2 3 2 9" xfId="18571"/>
    <cellStyle name="Обычный 6 4 2 3 3" xfId="18572"/>
    <cellStyle name="Обычный 6 4 2 3 3 2" xfId="18573"/>
    <cellStyle name="Обычный 6 4 2 3 3 2 2" xfId="18574"/>
    <cellStyle name="Обычный 6 4 2 3 3 2 2 2" xfId="18575"/>
    <cellStyle name="Обычный 6 4 2 3 3 2 2 2 2" xfId="18576"/>
    <cellStyle name="Обычный 6 4 2 3 3 2 2 2 3" xfId="18577"/>
    <cellStyle name="Обычный 6 4 2 3 3 2 2 3" xfId="18578"/>
    <cellStyle name="Обычный 6 4 2 3 3 2 2 3 2" xfId="18579"/>
    <cellStyle name="Обычный 6 4 2 3 3 2 2 3 3" xfId="18580"/>
    <cellStyle name="Обычный 6 4 2 3 3 2 2 4" xfId="18581"/>
    <cellStyle name="Обычный 6 4 2 3 3 2 2 4 2" xfId="18582"/>
    <cellStyle name="Обычный 6 4 2 3 3 2 2 5" xfId="18583"/>
    <cellStyle name="Обычный 6 4 2 3 3 2 2 6" xfId="18584"/>
    <cellStyle name="Обычный 6 4 2 3 3 2 3" xfId="18585"/>
    <cellStyle name="Обычный 6 4 2 3 3 2 3 2" xfId="18586"/>
    <cellStyle name="Обычный 6 4 2 3 3 2 3 3" xfId="18587"/>
    <cellStyle name="Обычный 6 4 2 3 3 2 4" xfId="18588"/>
    <cellStyle name="Обычный 6 4 2 3 3 2 4 2" xfId="18589"/>
    <cellStyle name="Обычный 6 4 2 3 3 2 4 3" xfId="18590"/>
    <cellStyle name="Обычный 6 4 2 3 3 2 5" xfId="18591"/>
    <cellStyle name="Обычный 6 4 2 3 3 2 5 2" xfId="18592"/>
    <cellStyle name="Обычный 6 4 2 3 3 2 6" xfId="18593"/>
    <cellStyle name="Обычный 6 4 2 3 3 2 7" xfId="18594"/>
    <cellStyle name="Обычный 6 4 2 3 3 3" xfId="18595"/>
    <cellStyle name="Обычный 6 4 2 3 3 3 2" xfId="18596"/>
    <cellStyle name="Обычный 6 4 2 3 3 3 2 2" xfId="18597"/>
    <cellStyle name="Обычный 6 4 2 3 3 3 2 3" xfId="18598"/>
    <cellStyle name="Обычный 6 4 2 3 3 3 3" xfId="18599"/>
    <cellStyle name="Обычный 6 4 2 3 3 3 3 2" xfId="18600"/>
    <cellStyle name="Обычный 6 4 2 3 3 3 3 3" xfId="18601"/>
    <cellStyle name="Обычный 6 4 2 3 3 3 4" xfId="18602"/>
    <cellStyle name="Обычный 6 4 2 3 3 3 4 2" xfId="18603"/>
    <cellStyle name="Обычный 6 4 2 3 3 3 5" xfId="18604"/>
    <cellStyle name="Обычный 6 4 2 3 3 3 6" xfId="18605"/>
    <cellStyle name="Обычный 6 4 2 3 3 4" xfId="18606"/>
    <cellStyle name="Обычный 6 4 2 3 3 4 2" xfId="18607"/>
    <cellStyle name="Обычный 6 4 2 3 3 4 3" xfId="18608"/>
    <cellStyle name="Обычный 6 4 2 3 3 5" xfId="18609"/>
    <cellStyle name="Обычный 6 4 2 3 3 5 2" xfId="18610"/>
    <cellStyle name="Обычный 6 4 2 3 3 5 3" xfId="18611"/>
    <cellStyle name="Обычный 6 4 2 3 3 6" xfId="18612"/>
    <cellStyle name="Обычный 6 4 2 3 3 6 2" xfId="18613"/>
    <cellStyle name="Обычный 6 4 2 3 3 7" xfId="18614"/>
    <cellStyle name="Обычный 6 4 2 3 3 8" xfId="18615"/>
    <cellStyle name="Обычный 6 4 2 3 4" xfId="18616"/>
    <cellStyle name="Обычный 6 4 2 3 4 2" xfId="18617"/>
    <cellStyle name="Обычный 6 4 2 3 4 2 2" xfId="18618"/>
    <cellStyle name="Обычный 6 4 2 3 4 2 2 2" xfId="18619"/>
    <cellStyle name="Обычный 6 4 2 3 4 2 2 3" xfId="18620"/>
    <cellStyle name="Обычный 6 4 2 3 4 2 3" xfId="18621"/>
    <cellStyle name="Обычный 6 4 2 3 4 2 3 2" xfId="18622"/>
    <cellStyle name="Обычный 6 4 2 3 4 2 3 3" xfId="18623"/>
    <cellStyle name="Обычный 6 4 2 3 4 2 4" xfId="18624"/>
    <cellStyle name="Обычный 6 4 2 3 4 2 4 2" xfId="18625"/>
    <cellStyle name="Обычный 6 4 2 3 4 2 5" xfId="18626"/>
    <cellStyle name="Обычный 6 4 2 3 4 2 6" xfId="18627"/>
    <cellStyle name="Обычный 6 4 2 3 4 3" xfId="18628"/>
    <cellStyle name="Обычный 6 4 2 3 4 3 2" xfId="18629"/>
    <cellStyle name="Обычный 6 4 2 3 4 3 3" xfId="18630"/>
    <cellStyle name="Обычный 6 4 2 3 4 4" xfId="18631"/>
    <cellStyle name="Обычный 6 4 2 3 4 4 2" xfId="18632"/>
    <cellStyle name="Обычный 6 4 2 3 4 4 3" xfId="18633"/>
    <cellStyle name="Обычный 6 4 2 3 4 5" xfId="18634"/>
    <cellStyle name="Обычный 6 4 2 3 4 5 2" xfId="18635"/>
    <cellStyle name="Обычный 6 4 2 3 4 6" xfId="18636"/>
    <cellStyle name="Обычный 6 4 2 3 4 7" xfId="18637"/>
    <cellStyle name="Обычный 6 4 2 3 5" xfId="18638"/>
    <cellStyle name="Обычный 6 4 2 3 5 2" xfId="18639"/>
    <cellStyle name="Обычный 6 4 2 3 5 2 2" xfId="18640"/>
    <cellStyle name="Обычный 6 4 2 3 5 2 3" xfId="18641"/>
    <cellStyle name="Обычный 6 4 2 3 5 3" xfId="18642"/>
    <cellStyle name="Обычный 6 4 2 3 5 3 2" xfId="18643"/>
    <cellStyle name="Обычный 6 4 2 3 5 3 3" xfId="18644"/>
    <cellStyle name="Обычный 6 4 2 3 5 4" xfId="18645"/>
    <cellStyle name="Обычный 6 4 2 3 5 4 2" xfId="18646"/>
    <cellStyle name="Обычный 6 4 2 3 5 5" xfId="18647"/>
    <cellStyle name="Обычный 6 4 2 3 5 6" xfId="18648"/>
    <cellStyle name="Обычный 6 4 2 3 6" xfId="18649"/>
    <cellStyle name="Обычный 6 4 2 3 6 2" xfId="18650"/>
    <cellStyle name="Обычный 6 4 2 3 6 3" xfId="18651"/>
    <cellStyle name="Обычный 6 4 2 3 7" xfId="18652"/>
    <cellStyle name="Обычный 6 4 2 3 7 2" xfId="18653"/>
    <cellStyle name="Обычный 6 4 2 3 7 3" xfId="18654"/>
    <cellStyle name="Обычный 6 4 2 3 8" xfId="18655"/>
    <cellStyle name="Обычный 6 4 2 3 8 2" xfId="18656"/>
    <cellStyle name="Обычный 6 4 2 3 9" xfId="18657"/>
    <cellStyle name="Обычный 6 4 2 4" xfId="18658"/>
    <cellStyle name="Обычный 6 4 2 4 10" xfId="18659"/>
    <cellStyle name="Обычный 6 4 2 4 2" xfId="18660"/>
    <cellStyle name="Обычный 6 4 2 4 2 2" xfId="18661"/>
    <cellStyle name="Обычный 6 4 2 4 2 2 2" xfId="18662"/>
    <cellStyle name="Обычный 6 4 2 4 2 2 2 2" xfId="18663"/>
    <cellStyle name="Обычный 6 4 2 4 2 2 2 2 2" xfId="18664"/>
    <cellStyle name="Обычный 6 4 2 4 2 2 2 2 2 2" xfId="18665"/>
    <cellStyle name="Обычный 6 4 2 4 2 2 2 2 2 3" xfId="18666"/>
    <cellStyle name="Обычный 6 4 2 4 2 2 2 2 3" xfId="18667"/>
    <cellStyle name="Обычный 6 4 2 4 2 2 2 2 3 2" xfId="18668"/>
    <cellStyle name="Обычный 6 4 2 4 2 2 2 2 3 3" xfId="18669"/>
    <cellStyle name="Обычный 6 4 2 4 2 2 2 2 4" xfId="18670"/>
    <cellStyle name="Обычный 6 4 2 4 2 2 2 2 4 2" xfId="18671"/>
    <cellStyle name="Обычный 6 4 2 4 2 2 2 2 5" xfId="18672"/>
    <cellStyle name="Обычный 6 4 2 4 2 2 2 2 6" xfId="18673"/>
    <cellStyle name="Обычный 6 4 2 4 2 2 2 3" xfId="18674"/>
    <cellStyle name="Обычный 6 4 2 4 2 2 2 3 2" xfId="18675"/>
    <cellStyle name="Обычный 6 4 2 4 2 2 2 3 3" xfId="18676"/>
    <cellStyle name="Обычный 6 4 2 4 2 2 2 4" xfId="18677"/>
    <cellStyle name="Обычный 6 4 2 4 2 2 2 4 2" xfId="18678"/>
    <cellStyle name="Обычный 6 4 2 4 2 2 2 4 3" xfId="18679"/>
    <cellStyle name="Обычный 6 4 2 4 2 2 2 5" xfId="18680"/>
    <cellStyle name="Обычный 6 4 2 4 2 2 2 5 2" xfId="18681"/>
    <cellStyle name="Обычный 6 4 2 4 2 2 2 6" xfId="18682"/>
    <cellStyle name="Обычный 6 4 2 4 2 2 2 7" xfId="18683"/>
    <cellStyle name="Обычный 6 4 2 4 2 2 3" xfId="18684"/>
    <cellStyle name="Обычный 6 4 2 4 2 2 3 2" xfId="18685"/>
    <cellStyle name="Обычный 6 4 2 4 2 2 3 2 2" xfId="18686"/>
    <cellStyle name="Обычный 6 4 2 4 2 2 3 2 3" xfId="18687"/>
    <cellStyle name="Обычный 6 4 2 4 2 2 3 3" xfId="18688"/>
    <cellStyle name="Обычный 6 4 2 4 2 2 3 3 2" xfId="18689"/>
    <cellStyle name="Обычный 6 4 2 4 2 2 3 3 3" xfId="18690"/>
    <cellStyle name="Обычный 6 4 2 4 2 2 3 4" xfId="18691"/>
    <cellStyle name="Обычный 6 4 2 4 2 2 3 4 2" xfId="18692"/>
    <cellStyle name="Обычный 6 4 2 4 2 2 3 5" xfId="18693"/>
    <cellStyle name="Обычный 6 4 2 4 2 2 3 6" xfId="18694"/>
    <cellStyle name="Обычный 6 4 2 4 2 2 4" xfId="18695"/>
    <cellStyle name="Обычный 6 4 2 4 2 2 4 2" xfId="18696"/>
    <cellStyle name="Обычный 6 4 2 4 2 2 4 3" xfId="18697"/>
    <cellStyle name="Обычный 6 4 2 4 2 2 5" xfId="18698"/>
    <cellStyle name="Обычный 6 4 2 4 2 2 5 2" xfId="18699"/>
    <cellStyle name="Обычный 6 4 2 4 2 2 5 3" xfId="18700"/>
    <cellStyle name="Обычный 6 4 2 4 2 2 6" xfId="18701"/>
    <cellStyle name="Обычный 6 4 2 4 2 2 6 2" xfId="18702"/>
    <cellStyle name="Обычный 6 4 2 4 2 2 7" xfId="18703"/>
    <cellStyle name="Обычный 6 4 2 4 2 2 8" xfId="18704"/>
    <cellStyle name="Обычный 6 4 2 4 2 3" xfId="18705"/>
    <cellStyle name="Обычный 6 4 2 4 2 3 2" xfId="18706"/>
    <cellStyle name="Обычный 6 4 2 4 2 3 2 2" xfId="18707"/>
    <cellStyle name="Обычный 6 4 2 4 2 3 2 2 2" xfId="18708"/>
    <cellStyle name="Обычный 6 4 2 4 2 3 2 2 3" xfId="18709"/>
    <cellStyle name="Обычный 6 4 2 4 2 3 2 3" xfId="18710"/>
    <cellStyle name="Обычный 6 4 2 4 2 3 2 3 2" xfId="18711"/>
    <cellStyle name="Обычный 6 4 2 4 2 3 2 3 3" xfId="18712"/>
    <cellStyle name="Обычный 6 4 2 4 2 3 2 4" xfId="18713"/>
    <cellStyle name="Обычный 6 4 2 4 2 3 2 4 2" xfId="18714"/>
    <cellStyle name="Обычный 6 4 2 4 2 3 2 5" xfId="18715"/>
    <cellStyle name="Обычный 6 4 2 4 2 3 2 6" xfId="18716"/>
    <cellStyle name="Обычный 6 4 2 4 2 3 3" xfId="18717"/>
    <cellStyle name="Обычный 6 4 2 4 2 3 3 2" xfId="18718"/>
    <cellStyle name="Обычный 6 4 2 4 2 3 3 3" xfId="18719"/>
    <cellStyle name="Обычный 6 4 2 4 2 3 4" xfId="18720"/>
    <cellStyle name="Обычный 6 4 2 4 2 3 4 2" xfId="18721"/>
    <cellStyle name="Обычный 6 4 2 4 2 3 4 3" xfId="18722"/>
    <cellStyle name="Обычный 6 4 2 4 2 3 5" xfId="18723"/>
    <cellStyle name="Обычный 6 4 2 4 2 3 5 2" xfId="18724"/>
    <cellStyle name="Обычный 6 4 2 4 2 3 6" xfId="18725"/>
    <cellStyle name="Обычный 6 4 2 4 2 3 7" xfId="18726"/>
    <cellStyle name="Обычный 6 4 2 4 2 4" xfId="18727"/>
    <cellStyle name="Обычный 6 4 2 4 2 4 2" xfId="18728"/>
    <cellStyle name="Обычный 6 4 2 4 2 4 2 2" xfId="18729"/>
    <cellStyle name="Обычный 6 4 2 4 2 4 2 3" xfId="18730"/>
    <cellStyle name="Обычный 6 4 2 4 2 4 3" xfId="18731"/>
    <cellStyle name="Обычный 6 4 2 4 2 4 3 2" xfId="18732"/>
    <cellStyle name="Обычный 6 4 2 4 2 4 3 3" xfId="18733"/>
    <cellStyle name="Обычный 6 4 2 4 2 4 4" xfId="18734"/>
    <cellStyle name="Обычный 6 4 2 4 2 4 4 2" xfId="18735"/>
    <cellStyle name="Обычный 6 4 2 4 2 4 5" xfId="18736"/>
    <cellStyle name="Обычный 6 4 2 4 2 4 6" xfId="18737"/>
    <cellStyle name="Обычный 6 4 2 4 2 5" xfId="18738"/>
    <cellStyle name="Обычный 6 4 2 4 2 5 2" xfId="18739"/>
    <cellStyle name="Обычный 6 4 2 4 2 5 3" xfId="18740"/>
    <cellStyle name="Обычный 6 4 2 4 2 6" xfId="18741"/>
    <cellStyle name="Обычный 6 4 2 4 2 6 2" xfId="18742"/>
    <cellStyle name="Обычный 6 4 2 4 2 6 3" xfId="18743"/>
    <cellStyle name="Обычный 6 4 2 4 2 7" xfId="18744"/>
    <cellStyle name="Обычный 6 4 2 4 2 7 2" xfId="18745"/>
    <cellStyle name="Обычный 6 4 2 4 2 8" xfId="18746"/>
    <cellStyle name="Обычный 6 4 2 4 2 9" xfId="18747"/>
    <cellStyle name="Обычный 6 4 2 4 3" xfId="18748"/>
    <cellStyle name="Обычный 6 4 2 4 3 2" xfId="18749"/>
    <cellStyle name="Обычный 6 4 2 4 3 2 2" xfId="18750"/>
    <cellStyle name="Обычный 6 4 2 4 3 2 2 2" xfId="18751"/>
    <cellStyle name="Обычный 6 4 2 4 3 2 2 2 2" xfId="18752"/>
    <cellStyle name="Обычный 6 4 2 4 3 2 2 2 3" xfId="18753"/>
    <cellStyle name="Обычный 6 4 2 4 3 2 2 3" xfId="18754"/>
    <cellStyle name="Обычный 6 4 2 4 3 2 2 3 2" xfId="18755"/>
    <cellStyle name="Обычный 6 4 2 4 3 2 2 3 3" xfId="18756"/>
    <cellStyle name="Обычный 6 4 2 4 3 2 2 4" xfId="18757"/>
    <cellStyle name="Обычный 6 4 2 4 3 2 2 4 2" xfId="18758"/>
    <cellStyle name="Обычный 6 4 2 4 3 2 2 5" xfId="18759"/>
    <cellStyle name="Обычный 6 4 2 4 3 2 2 6" xfId="18760"/>
    <cellStyle name="Обычный 6 4 2 4 3 2 3" xfId="18761"/>
    <cellStyle name="Обычный 6 4 2 4 3 2 3 2" xfId="18762"/>
    <cellStyle name="Обычный 6 4 2 4 3 2 3 3" xfId="18763"/>
    <cellStyle name="Обычный 6 4 2 4 3 2 4" xfId="18764"/>
    <cellStyle name="Обычный 6 4 2 4 3 2 4 2" xfId="18765"/>
    <cellStyle name="Обычный 6 4 2 4 3 2 4 3" xfId="18766"/>
    <cellStyle name="Обычный 6 4 2 4 3 2 5" xfId="18767"/>
    <cellStyle name="Обычный 6 4 2 4 3 2 5 2" xfId="18768"/>
    <cellStyle name="Обычный 6 4 2 4 3 2 6" xfId="18769"/>
    <cellStyle name="Обычный 6 4 2 4 3 2 7" xfId="18770"/>
    <cellStyle name="Обычный 6 4 2 4 3 3" xfId="18771"/>
    <cellStyle name="Обычный 6 4 2 4 3 3 2" xfId="18772"/>
    <cellStyle name="Обычный 6 4 2 4 3 3 2 2" xfId="18773"/>
    <cellStyle name="Обычный 6 4 2 4 3 3 2 3" xfId="18774"/>
    <cellStyle name="Обычный 6 4 2 4 3 3 3" xfId="18775"/>
    <cellStyle name="Обычный 6 4 2 4 3 3 3 2" xfId="18776"/>
    <cellStyle name="Обычный 6 4 2 4 3 3 3 3" xfId="18777"/>
    <cellStyle name="Обычный 6 4 2 4 3 3 4" xfId="18778"/>
    <cellStyle name="Обычный 6 4 2 4 3 3 4 2" xfId="18779"/>
    <cellStyle name="Обычный 6 4 2 4 3 3 5" xfId="18780"/>
    <cellStyle name="Обычный 6 4 2 4 3 3 6" xfId="18781"/>
    <cellStyle name="Обычный 6 4 2 4 3 4" xfId="18782"/>
    <cellStyle name="Обычный 6 4 2 4 3 4 2" xfId="18783"/>
    <cellStyle name="Обычный 6 4 2 4 3 4 3" xfId="18784"/>
    <cellStyle name="Обычный 6 4 2 4 3 5" xfId="18785"/>
    <cellStyle name="Обычный 6 4 2 4 3 5 2" xfId="18786"/>
    <cellStyle name="Обычный 6 4 2 4 3 5 3" xfId="18787"/>
    <cellStyle name="Обычный 6 4 2 4 3 6" xfId="18788"/>
    <cellStyle name="Обычный 6 4 2 4 3 6 2" xfId="18789"/>
    <cellStyle name="Обычный 6 4 2 4 3 7" xfId="18790"/>
    <cellStyle name="Обычный 6 4 2 4 3 8" xfId="18791"/>
    <cellStyle name="Обычный 6 4 2 4 4" xfId="18792"/>
    <cellStyle name="Обычный 6 4 2 4 4 2" xfId="18793"/>
    <cellStyle name="Обычный 6 4 2 4 4 2 2" xfId="18794"/>
    <cellStyle name="Обычный 6 4 2 4 4 2 2 2" xfId="18795"/>
    <cellStyle name="Обычный 6 4 2 4 4 2 2 3" xfId="18796"/>
    <cellStyle name="Обычный 6 4 2 4 4 2 3" xfId="18797"/>
    <cellStyle name="Обычный 6 4 2 4 4 2 3 2" xfId="18798"/>
    <cellStyle name="Обычный 6 4 2 4 4 2 3 3" xfId="18799"/>
    <cellStyle name="Обычный 6 4 2 4 4 2 4" xfId="18800"/>
    <cellStyle name="Обычный 6 4 2 4 4 2 4 2" xfId="18801"/>
    <cellStyle name="Обычный 6 4 2 4 4 2 5" xfId="18802"/>
    <cellStyle name="Обычный 6 4 2 4 4 2 6" xfId="18803"/>
    <cellStyle name="Обычный 6 4 2 4 4 3" xfId="18804"/>
    <cellStyle name="Обычный 6 4 2 4 4 3 2" xfId="18805"/>
    <cellStyle name="Обычный 6 4 2 4 4 3 3" xfId="18806"/>
    <cellStyle name="Обычный 6 4 2 4 4 4" xfId="18807"/>
    <cellStyle name="Обычный 6 4 2 4 4 4 2" xfId="18808"/>
    <cellStyle name="Обычный 6 4 2 4 4 4 3" xfId="18809"/>
    <cellStyle name="Обычный 6 4 2 4 4 5" xfId="18810"/>
    <cellStyle name="Обычный 6 4 2 4 4 5 2" xfId="18811"/>
    <cellStyle name="Обычный 6 4 2 4 4 6" xfId="18812"/>
    <cellStyle name="Обычный 6 4 2 4 4 7" xfId="18813"/>
    <cellStyle name="Обычный 6 4 2 4 5" xfId="18814"/>
    <cellStyle name="Обычный 6 4 2 4 5 2" xfId="18815"/>
    <cellStyle name="Обычный 6 4 2 4 5 2 2" xfId="18816"/>
    <cellStyle name="Обычный 6 4 2 4 5 2 3" xfId="18817"/>
    <cellStyle name="Обычный 6 4 2 4 5 3" xfId="18818"/>
    <cellStyle name="Обычный 6 4 2 4 5 3 2" xfId="18819"/>
    <cellStyle name="Обычный 6 4 2 4 5 3 3" xfId="18820"/>
    <cellStyle name="Обычный 6 4 2 4 5 4" xfId="18821"/>
    <cellStyle name="Обычный 6 4 2 4 5 4 2" xfId="18822"/>
    <cellStyle name="Обычный 6 4 2 4 5 5" xfId="18823"/>
    <cellStyle name="Обычный 6 4 2 4 5 6" xfId="18824"/>
    <cellStyle name="Обычный 6 4 2 4 6" xfId="18825"/>
    <cellStyle name="Обычный 6 4 2 4 6 2" xfId="18826"/>
    <cellStyle name="Обычный 6 4 2 4 6 3" xfId="18827"/>
    <cellStyle name="Обычный 6 4 2 4 7" xfId="18828"/>
    <cellStyle name="Обычный 6 4 2 4 7 2" xfId="18829"/>
    <cellStyle name="Обычный 6 4 2 4 7 3" xfId="18830"/>
    <cellStyle name="Обычный 6 4 2 4 8" xfId="18831"/>
    <cellStyle name="Обычный 6 4 2 4 8 2" xfId="18832"/>
    <cellStyle name="Обычный 6 4 2 4 9" xfId="18833"/>
    <cellStyle name="Обычный 6 4 2 5" xfId="18834"/>
    <cellStyle name="Обычный 6 4 2 5 2" xfId="18835"/>
    <cellStyle name="Обычный 6 4 2 5 2 2" xfId="18836"/>
    <cellStyle name="Обычный 6 4 2 5 2 2 2" xfId="18837"/>
    <cellStyle name="Обычный 6 4 2 5 2 2 2 2" xfId="18838"/>
    <cellStyle name="Обычный 6 4 2 5 2 2 2 2 2" xfId="18839"/>
    <cellStyle name="Обычный 6 4 2 5 2 2 2 2 3" xfId="18840"/>
    <cellStyle name="Обычный 6 4 2 5 2 2 2 3" xfId="18841"/>
    <cellStyle name="Обычный 6 4 2 5 2 2 2 3 2" xfId="18842"/>
    <cellStyle name="Обычный 6 4 2 5 2 2 2 3 3" xfId="18843"/>
    <cellStyle name="Обычный 6 4 2 5 2 2 2 4" xfId="18844"/>
    <cellStyle name="Обычный 6 4 2 5 2 2 2 4 2" xfId="18845"/>
    <cellStyle name="Обычный 6 4 2 5 2 2 2 5" xfId="18846"/>
    <cellStyle name="Обычный 6 4 2 5 2 2 2 6" xfId="18847"/>
    <cellStyle name="Обычный 6 4 2 5 2 2 3" xfId="18848"/>
    <cellStyle name="Обычный 6 4 2 5 2 2 3 2" xfId="18849"/>
    <cellStyle name="Обычный 6 4 2 5 2 2 3 3" xfId="18850"/>
    <cellStyle name="Обычный 6 4 2 5 2 2 4" xfId="18851"/>
    <cellStyle name="Обычный 6 4 2 5 2 2 4 2" xfId="18852"/>
    <cellStyle name="Обычный 6 4 2 5 2 2 4 3" xfId="18853"/>
    <cellStyle name="Обычный 6 4 2 5 2 2 5" xfId="18854"/>
    <cellStyle name="Обычный 6 4 2 5 2 2 5 2" xfId="18855"/>
    <cellStyle name="Обычный 6 4 2 5 2 2 6" xfId="18856"/>
    <cellStyle name="Обычный 6 4 2 5 2 2 7" xfId="18857"/>
    <cellStyle name="Обычный 6 4 2 5 2 3" xfId="18858"/>
    <cellStyle name="Обычный 6 4 2 5 2 3 2" xfId="18859"/>
    <cellStyle name="Обычный 6 4 2 5 2 3 2 2" xfId="18860"/>
    <cellStyle name="Обычный 6 4 2 5 2 3 2 3" xfId="18861"/>
    <cellStyle name="Обычный 6 4 2 5 2 3 3" xfId="18862"/>
    <cellStyle name="Обычный 6 4 2 5 2 3 3 2" xfId="18863"/>
    <cellStyle name="Обычный 6 4 2 5 2 3 3 3" xfId="18864"/>
    <cellStyle name="Обычный 6 4 2 5 2 3 4" xfId="18865"/>
    <cellStyle name="Обычный 6 4 2 5 2 3 4 2" xfId="18866"/>
    <cellStyle name="Обычный 6 4 2 5 2 3 5" xfId="18867"/>
    <cellStyle name="Обычный 6 4 2 5 2 3 6" xfId="18868"/>
    <cellStyle name="Обычный 6 4 2 5 2 4" xfId="18869"/>
    <cellStyle name="Обычный 6 4 2 5 2 4 2" xfId="18870"/>
    <cellStyle name="Обычный 6 4 2 5 2 4 3" xfId="18871"/>
    <cellStyle name="Обычный 6 4 2 5 2 5" xfId="18872"/>
    <cellStyle name="Обычный 6 4 2 5 2 5 2" xfId="18873"/>
    <cellStyle name="Обычный 6 4 2 5 2 5 3" xfId="18874"/>
    <cellStyle name="Обычный 6 4 2 5 2 6" xfId="18875"/>
    <cellStyle name="Обычный 6 4 2 5 2 6 2" xfId="18876"/>
    <cellStyle name="Обычный 6 4 2 5 2 7" xfId="18877"/>
    <cellStyle name="Обычный 6 4 2 5 2 8" xfId="18878"/>
    <cellStyle name="Обычный 6 4 2 5 3" xfId="18879"/>
    <cellStyle name="Обычный 6 4 2 5 3 2" xfId="18880"/>
    <cellStyle name="Обычный 6 4 2 5 3 2 2" xfId="18881"/>
    <cellStyle name="Обычный 6 4 2 5 3 2 2 2" xfId="18882"/>
    <cellStyle name="Обычный 6 4 2 5 3 2 2 3" xfId="18883"/>
    <cellStyle name="Обычный 6 4 2 5 3 2 3" xfId="18884"/>
    <cellStyle name="Обычный 6 4 2 5 3 2 3 2" xfId="18885"/>
    <cellStyle name="Обычный 6 4 2 5 3 2 3 3" xfId="18886"/>
    <cellStyle name="Обычный 6 4 2 5 3 2 4" xfId="18887"/>
    <cellStyle name="Обычный 6 4 2 5 3 2 4 2" xfId="18888"/>
    <cellStyle name="Обычный 6 4 2 5 3 2 5" xfId="18889"/>
    <cellStyle name="Обычный 6 4 2 5 3 2 6" xfId="18890"/>
    <cellStyle name="Обычный 6 4 2 5 3 3" xfId="18891"/>
    <cellStyle name="Обычный 6 4 2 5 3 3 2" xfId="18892"/>
    <cellStyle name="Обычный 6 4 2 5 3 3 3" xfId="18893"/>
    <cellStyle name="Обычный 6 4 2 5 3 4" xfId="18894"/>
    <cellStyle name="Обычный 6 4 2 5 3 4 2" xfId="18895"/>
    <cellStyle name="Обычный 6 4 2 5 3 4 3" xfId="18896"/>
    <cellStyle name="Обычный 6 4 2 5 3 5" xfId="18897"/>
    <cellStyle name="Обычный 6 4 2 5 3 5 2" xfId="18898"/>
    <cellStyle name="Обычный 6 4 2 5 3 6" xfId="18899"/>
    <cellStyle name="Обычный 6 4 2 5 3 7" xfId="18900"/>
    <cellStyle name="Обычный 6 4 2 5 4" xfId="18901"/>
    <cellStyle name="Обычный 6 4 2 5 4 2" xfId="18902"/>
    <cellStyle name="Обычный 6 4 2 5 4 2 2" xfId="18903"/>
    <cellStyle name="Обычный 6 4 2 5 4 2 3" xfId="18904"/>
    <cellStyle name="Обычный 6 4 2 5 4 3" xfId="18905"/>
    <cellStyle name="Обычный 6 4 2 5 4 3 2" xfId="18906"/>
    <cellStyle name="Обычный 6 4 2 5 4 3 3" xfId="18907"/>
    <cellStyle name="Обычный 6 4 2 5 4 4" xfId="18908"/>
    <cellStyle name="Обычный 6 4 2 5 4 4 2" xfId="18909"/>
    <cellStyle name="Обычный 6 4 2 5 4 5" xfId="18910"/>
    <cellStyle name="Обычный 6 4 2 5 4 6" xfId="18911"/>
    <cellStyle name="Обычный 6 4 2 5 5" xfId="18912"/>
    <cellStyle name="Обычный 6 4 2 5 5 2" xfId="18913"/>
    <cellStyle name="Обычный 6 4 2 5 5 3" xfId="18914"/>
    <cellStyle name="Обычный 6 4 2 5 6" xfId="18915"/>
    <cellStyle name="Обычный 6 4 2 5 6 2" xfId="18916"/>
    <cellStyle name="Обычный 6 4 2 5 6 3" xfId="18917"/>
    <cellStyle name="Обычный 6 4 2 5 7" xfId="18918"/>
    <cellStyle name="Обычный 6 4 2 5 7 2" xfId="18919"/>
    <cellStyle name="Обычный 6 4 2 5 8" xfId="18920"/>
    <cellStyle name="Обычный 6 4 2 5 9" xfId="18921"/>
    <cellStyle name="Обычный 6 4 2 6" xfId="18922"/>
    <cellStyle name="Обычный 6 4 2 6 2" xfId="18923"/>
    <cellStyle name="Обычный 6 4 2 6 2 2" xfId="18924"/>
    <cellStyle name="Обычный 6 4 2 6 2 2 2" xfId="18925"/>
    <cellStyle name="Обычный 6 4 2 6 2 2 2 2" xfId="18926"/>
    <cellStyle name="Обычный 6 4 2 6 2 2 2 3" xfId="18927"/>
    <cellStyle name="Обычный 6 4 2 6 2 2 3" xfId="18928"/>
    <cellStyle name="Обычный 6 4 2 6 2 2 3 2" xfId="18929"/>
    <cellStyle name="Обычный 6 4 2 6 2 2 3 3" xfId="18930"/>
    <cellStyle name="Обычный 6 4 2 6 2 2 4" xfId="18931"/>
    <cellStyle name="Обычный 6 4 2 6 2 2 4 2" xfId="18932"/>
    <cellStyle name="Обычный 6 4 2 6 2 2 5" xfId="18933"/>
    <cellStyle name="Обычный 6 4 2 6 2 2 6" xfId="18934"/>
    <cellStyle name="Обычный 6 4 2 6 2 3" xfId="18935"/>
    <cellStyle name="Обычный 6 4 2 6 2 3 2" xfId="18936"/>
    <cellStyle name="Обычный 6 4 2 6 2 3 3" xfId="18937"/>
    <cellStyle name="Обычный 6 4 2 6 2 4" xfId="18938"/>
    <cellStyle name="Обычный 6 4 2 6 2 4 2" xfId="18939"/>
    <cellStyle name="Обычный 6 4 2 6 2 4 3" xfId="18940"/>
    <cellStyle name="Обычный 6 4 2 6 2 5" xfId="18941"/>
    <cellStyle name="Обычный 6 4 2 6 2 5 2" xfId="18942"/>
    <cellStyle name="Обычный 6 4 2 6 2 6" xfId="18943"/>
    <cellStyle name="Обычный 6 4 2 6 2 7" xfId="18944"/>
    <cellStyle name="Обычный 6 4 2 6 3" xfId="18945"/>
    <cellStyle name="Обычный 6 4 2 6 3 2" xfId="18946"/>
    <cellStyle name="Обычный 6 4 2 6 3 2 2" xfId="18947"/>
    <cellStyle name="Обычный 6 4 2 6 3 2 3" xfId="18948"/>
    <cellStyle name="Обычный 6 4 2 6 3 3" xfId="18949"/>
    <cellStyle name="Обычный 6 4 2 6 3 3 2" xfId="18950"/>
    <cellStyle name="Обычный 6 4 2 6 3 3 3" xfId="18951"/>
    <cellStyle name="Обычный 6 4 2 6 3 4" xfId="18952"/>
    <cellStyle name="Обычный 6 4 2 6 3 4 2" xfId="18953"/>
    <cellStyle name="Обычный 6 4 2 6 3 5" xfId="18954"/>
    <cellStyle name="Обычный 6 4 2 6 3 6" xfId="18955"/>
    <cellStyle name="Обычный 6 4 2 6 4" xfId="18956"/>
    <cellStyle name="Обычный 6 4 2 6 4 2" xfId="18957"/>
    <cellStyle name="Обычный 6 4 2 6 4 3" xfId="18958"/>
    <cellStyle name="Обычный 6 4 2 6 5" xfId="18959"/>
    <cellStyle name="Обычный 6 4 2 6 5 2" xfId="18960"/>
    <cellStyle name="Обычный 6 4 2 6 5 3" xfId="18961"/>
    <cellStyle name="Обычный 6 4 2 6 6" xfId="18962"/>
    <cellStyle name="Обычный 6 4 2 6 6 2" xfId="18963"/>
    <cellStyle name="Обычный 6 4 2 6 7" xfId="18964"/>
    <cellStyle name="Обычный 6 4 2 6 8" xfId="18965"/>
    <cellStyle name="Обычный 6 4 2 7" xfId="18966"/>
    <cellStyle name="Обычный 6 4 2 7 2" xfId="18967"/>
    <cellStyle name="Обычный 6 4 2 7 2 2" xfId="18968"/>
    <cellStyle name="Обычный 6 4 2 7 2 2 2" xfId="18969"/>
    <cellStyle name="Обычный 6 4 2 7 2 2 3" xfId="18970"/>
    <cellStyle name="Обычный 6 4 2 7 2 3" xfId="18971"/>
    <cellStyle name="Обычный 6 4 2 7 2 3 2" xfId="18972"/>
    <cellStyle name="Обычный 6 4 2 7 2 3 3" xfId="18973"/>
    <cellStyle name="Обычный 6 4 2 7 2 4" xfId="18974"/>
    <cellStyle name="Обычный 6 4 2 7 2 4 2" xfId="18975"/>
    <cellStyle name="Обычный 6 4 2 7 2 5" xfId="18976"/>
    <cellStyle name="Обычный 6 4 2 7 2 6" xfId="18977"/>
    <cellStyle name="Обычный 6 4 2 7 3" xfId="18978"/>
    <cellStyle name="Обычный 6 4 2 7 3 2" xfId="18979"/>
    <cellStyle name="Обычный 6 4 2 7 3 3" xfId="18980"/>
    <cellStyle name="Обычный 6 4 2 7 4" xfId="18981"/>
    <cellStyle name="Обычный 6 4 2 7 4 2" xfId="18982"/>
    <cellStyle name="Обычный 6 4 2 7 4 3" xfId="18983"/>
    <cellStyle name="Обычный 6 4 2 7 5" xfId="18984"/>
    <cellStyle name="Обычный 6 4 2 7 5 2" xfId="18985"/>
    <cellStyle name="Обычный 6 4 2 7 6" xfId="18986"/>
    <cellStyle name="Обычный 6 4 2 7 7" xfId="18987"/>
    <cellStyle name="Обычный 6 4 2 8" xfId="18988"/>
    <cellStyle name="Обычный 6 4 2 8 2" xfId="18989"/>
    <cellStyle name="Обычный 6 4 2 8 2 2" xfId="18990"/>
    <cellStyle name="Обычный 6 4 2 8 2 3" xfId="18991"/>
    <cellStyle name="Обычный 6 4 2 8 3" xfId="18992"/>
    <cellStyle name="Обычный 6 4 2 8 3 2" xfId="18993"/>
    <cellStyle name="Обычный 6 4 2 8 3 3" xfId="18994"/>
    <cellStyle name="Обычный 6 4 2 8 4" xfId="18995"/>
    <cellStyle name="Обычный 6 4 2 8 4 2" xfId="18996"/>
    <cellStyle name="Обычный 6 4 2 8 5" xfId="18997"/>
    <cellStyle name="Обычный 6 4 2 8 6" xfId="18998"/>
    <cellStyle name="Обычный 6 4 2 9" xfId="18999"/>
    <cellStyle name="Обычный 6 4 2 9 2" xfId="19000"/>
    <cellStyle name="Обычный 6 4 2 9 3" xfId="19001"/>
    <cellStyle name="Обычный 6 4 3" xfId="19002"/>
    <cellStyle name="Обычный 6 4 3 10" xfId="19003"/>
    <cellStyle name="Обычный 6 4 3 2" xfId="19004"/>
    <cellStyle name="Обычный 6 4 3 2 2" xfId="19005"/>
    <cellStyle name="Обычный 6 4 3 2 2 2" xfId="19006"/>
    <cellStyle name="Обычный 6 4 3 2 2 2 2" xfId="19007"/>
    <cellStyle name="Обычный 6 4 3 2 2 2 2 2" xfId="19008"/>
    <cellStyle name="Обычный 6 4 3 2 2 2 2 2 2" xfId="19009"/>
    <cellStyle name="Обычный 6 4 3 2 2 2 2 2 3" xfId="19010"/>
    <cellStyle name="Обычный 6 4 3 2 2 2 2 3" xfId="19011"/>
    <cellStyle name="Обычный 6 4 3 2 2 2 2 3 2" xfId="19012"/>
    <cellStyle name="Обычный 6 4 3 2 2 2 2 3 3" xfId="19013"/>
    <cellStyle name="Обычный 6 4 3 2 2 2 2 4" xfId="19014"/>
    <cellStyle name="Обычный 6 4 3 2 2 2 2 4 2" xfId="19015"/>
    <cellStyle name="Обычный 6 4 3 2 2 2 2 5" xfId="19016"/>
    <cellStyle name="Обычный 6 4 3 2 2 2 2 6" xfId="19017"/>
    <cellStyle name="Обычный 6 4 3 2 2 2 3" xfId="19018"/>
    <cellStyle name="Обычный 6 4 3 2 2 2 3 2" xfId="19019"/>
    <cellStyle name="Обычный 6 4 3 2 2 2 3 3" xfId="19020"/>
    <cellStyle name="Обычный 6 4 3 2 2 2 4" xfId="19021"/>
    <cellStyle name="Обычный 6 4 3 2 2 2 4 2" xfId="19022"/>
    <cellStyle name="Обычный 6 4 3 2 2 2 4 3" xfId="19023"/>
    <cellStyle name="Обычный 6 4 3 2 2 2 5" xfId="19024"/>
    <cellStyle name="Обычный 6 4 3 2 2 2 5 2" xfId="19025"/>
    <cellStyle name="Обычный 6 4 3 2 2 2 6" xfId="19026"/>
    <cellStyle name="Обычный 6 4 3 2 2 2 7" xfId="19027"/>
    <cellStyle name="Обычный 6 4 3 2 2 3" xfId="19028"/>
    <cellStyle name="Обычный 6 4 3 2 2 3 2" xfId="19029"/>
    <cellStyle name="Обычный 6 4 3 2 2 3 2 2" xfId="19030"/>
    <cellStyle name="Обычный 6 4 3 2 2 3 2 3" xfId="19031"/>
    <cellStyle name="Обычный 6 4 3 2 2 3 3" xfId="19032"/>
    <cellStyle name="Обычный 6 4 3 2 2 3 3 2" xfId="19033"/>
    <cellStyle name="Обычный 6 4 3 2 2 3 3 3" xfId="19034"/>
    <cellStyle name="Обычный 6 4 3 2 2 3 4" xfId="19035"/>
    <cellStyle name="Обычный 6 4 3 2 2 3 4 2" xfId="19036"/>
    <cellStyle name="Обычный 6 4 3 2 2 3 5" xfId="19037"/>
    <cellStyle name="Обычный 6 4 3 2 2 3 6" xfId="19038"/>
    <cellStyle name="Обычный 6 4 3 2 2 4" xfId="19039"/>
    <cellStyle name="Обычный 6 4 3 2 2 4 2" xfId="19040"/>
    <cellStyle name="Обычный 6 4 3 2 2 4 3" xfId="19041"/>
    <cellStyle name="Обычный 6 4 3 2 2 5" xfId="19042"/>
    <cellStyle name="Обычный 6 4 3 2 2 5 2" xfId="19043"/>
    <cellStyle name="Обычный 6 4 3 2 2 5 3" xfId="19044"/>
    <cellStyle name="Обычный 6 4 3 2 2 6" xfId="19045"/>
    <cellStyle name="Обычный 6 4 3 2 2 6 2" xfId="19046"/>
    <cellStyle name="Обычный 6 4 3 2 2 7" xfId="19047"/>
    <cellStyle name="Обычный 6 4 3 2 2 8" xfId="19048"/>
    <cellStyle name="Обычный 6 4 3 2 3" xfId="19049"/>
    <cellStyle name="Обычный 6 4 3 2 3 2" xfId="19050"/>
    <cellStyle name="Обычный 6 4 3 2 3 2 2" xfId="19051"/>
    <cellStyle name="Обычный 6 4 3 2 3 2 2 2" xfId="19052"/>
    <cellStyle name="Обычный 6 4 3 2 3 2 2 3" xfId="19053"/>
    <cellStyle name="Обычный 6 4 3 2 3 2 3" xfId="19054"/>
    <cellStyle name="Обычный 6 4 3 2 3 2 3 2" xfId="19055"/>
    <cellStyle name="Обычный 6 4 3 2 3 2 3 3" xfId="19056"/>
    <cellStyle name="Обычный 6 4 3 2 3 2 4" xfId="19057"/>
    <cellStyle name="Обычный 6 4 3 2 3 2 4 2" xfId="19058"/>
    <cellStyle name="Обычный 6 4 3 2 3 2 5" xfId="19059"/>
    <cellStyle name="Обычный 6 4 3 2 3 2 6" xfId="19060"/>
    <cellStyle name="Обычный 6 4 3 2 3 3" xfId="19061"/>
    <cellStyle name="Обычный 6 4 3 2 3 3 2" xfId="19062"/>
    <cellStyle name="Обычный 6 4 3 2 3 3 3" xfId="19063"/>
    <cellStyle name="Обычный 6 4 3 2 3 4" xfId="19064"/>
    <cellStyle name="Обычный 6 4 3 2 3 4 2" xfId="19065"/>
    <cellStyle name="Обычный 6 4 3 2 3 4 3" xfId="19066"/>
    <cellStyle name="Обычный 6 4 3 2 3 5" xfId="19067"/>
    <cellStyle name="Обычный 6 4 3 2 3 5 2" xfId="19068"/>
    <cellStyle name="Обычный 6 4 3 2 3 6" xfId="19069"/>
    <cellStyle name="Обычный 6 4 3 2 3 7" xfId="19070"/>
    <cellStyle name="Обычный 6 4 3 2 4" xfId="19071"/>
    <cellStyle name="Обычный 6 4 3 2 4 2" xfId="19072"/>
    <cellStyle name="Обычный 6 4 3 2 4 2 2" xfId="19073"/>
    <cellStyle name="Обычный 6 4 3 2 4 2 3" xfId="19074"/>
    <cellStyle name="Обычный 6 4 3 2 4 3" xfId="19075"/>
    <cellStyle name="Обычный 6 4 3 2 4 3 2" xfId="19076"/>
    <cellStyle name="Обычный 6 4 3 2 4 3 3" xfId="19077"/>
    <cellStyle name="Обычный 6 4 3 2 4 4" xfId="19078"/>
    <cellStyle name="Обычный 6 4 3 2 4 4 2" xfId="19079"/>
    <cellStyle name="Обычный 6 4 3 2 4 5" xfId="19080"/>
    <cellStyle name="Обычный 6 4 3 2 4 6" xfId="19081"/>
    <cellStyle name="Обычный 6 4 3 2 5" xfId="19082"/>
    <cellStyle name="Обычный 6 4 3 2 5 2" xfId="19083"/>
    <cellStyle name="Обычный 6 4 3 2 5 3" xfId="19084"/>
    <cellStyle name="Обычный 6 4 3 2 6" xfId="19085"/>
    <cellStyle name="Обычный 6 4 3 2 6 2" xfId="19086"/>
    <cellStyle name="Обычный 6 4 3 2 6 3" xfId="19087"/>
    <cellStyle name="Обычный 6 4 3 2 7" xfId="19088"/>
    <cellStyle name="Обычный 6 4 3 2 7 2" xfId="19089"/>
    <cellStyle name="Обычный 6 4 3 2 8" xfId="19090"/>
    <cellStyle name="Обычный 6 4 3 2 9" xfId="19091"/>
    <cellStyle name="Обычный 6 4 3 3" xfId="19092"/>
    <cellStyle name="Обычный 6 4 3 3 2" xfId="19093"/>
    <cellStyle name="Обычный 6 4 3 3 2 2" xfId="19094"/>
    <cellStyle name="Обычный 6 4 3 3 2 2 2" xfId="19095"/>
    <cellStyle name="Обычный 6 4 3 3 2 2 2 2" xfId="19096"/>
    <cellStyle name="Обычный 6 4 3 3 2 2 2 3" xfId="19097"/>
    <cellStyle name="Обычный 6 4 3 3 2 2 3" xfId="19098"/>
    <cellStyle name="Обычный 6 4 3 3 2 2 3 2" xfId="19099"/>
    <cellStyle name="Обычный 6 4 3 3 2 2 3 3" xfId="19100"/>
    <cellStyle name="Обычный 6 4 3 3 2 2 4" xfId="19101"/>
    <cellStyle name="Обычный 6 4 3 3 2 2 4 2" xfId="19102"/>
    <cellStyle name="Обычный 6 4 3 3 2 2 5" xfId="19103"/>
    <cellStyle name="Обычный 6 4 3 3 2 2 6" xfId="19104"/>
    <cellStyle name="Обычный 6 4 3 3 2 3" xfId="19105"/>
    <cellStyle name="Обычный 6 4 3 3 2 3 2" xfId="19106"/>
    <cellStyle name="Обычный 6 4 3 3 2 3 3" xfId="19107"/>
    <cellStyle name="Обычный 6 4 3 3 2 4" xfId="19108"/>
    <cellStyle name="Обычный 6 4 3 3 2 4 2" xfId="19109"/>
    <cellStyle name="Обычный 6 4 3 3 2 4 3" xfId="19110"/>
    <cellStyle name="Обычный 6 4 3 3 2 5" xfId="19111"/>
    <cellStyle name="Обычный 6 4 3 3 2 5 2" xfId="19112"/>
    <cellStyle name="Обычный 6 4 3 3 2 6" xfId="19113"/>
    <cellStyle name="Обычный 6 4 3 3 2 7" xfId="19114"/>
    <cellStyle name="Обычный 6 4 3 3 3" xfId="19115"/>
    <cellStyle name="Обычный 6 4 3 3 3 2" xfId="19116"/>
    <cellStyle name="Обычный 6 4 3 3 3 2 2" xfId="19117"/>
    <cellStyle name="Обычный 6 4 3 3 3 2 3" xfId="19118"/>
    <cellStyle name="Обычный 6 4 3 3 3 3" xfId="19119"/>
    <cellStyle name="Обычный 6 4 3 3 3 3 2" xfId="19120"/>
    <cellStyle name="Обычный 6 4 3 3 3 3 3" xfId="19121"/>
    <cellStyle name="Обычный 6 4 3 3 3 4" xfId="19122"/>
    <cellStyle name="Обычный 6 4 3 3 3 4 2" xfId="19123"/>
    <cellStyle name="Обычный 6 4 3 3 3 5" xfId="19124"/>
    <cellStyle name="Обычный 6 4 3 3 3 6" xfId="19125"/>
    <cellStyle name="Обычный 6 4 3 3 4" xfId="19126"/>
    <cellStyle name="Обычный 6 4 3 3 4 2" xfId="19127"/>
    <cellStyle name="Обычный 6 4 3 3 4 3" xfId="19128"/>
    <cellStyle name="Обычный 6 4 3 3 5" xfId="19129"/>
    <cellStyle name="Обычный 6 4 3 3 5 2" xfId="19130"/>
    <cellStyle name="Обычный 6 4 3 3 5 3" xfId="19131"/>
    <cellStyle name="Обычный 6 4 3 3 6" xfId="19132"/>
    <cellStyle name="Обычный 6 4 3 3 6 2" xfId="19133"/>
    <cellStyle name="Обычный 6 4 3 3 7" xfId="19134"/>
    <cellStyle name="Обычный 6 4 3 3 8" xfId="19135"/>
    <cellStyle name="Обычный 6 4 3 4" xfId="19136"/>
    <cellStyle name="Обычный 6 4 3 4 2" xfId="19137"/>
    <cellStyle name="Обычный 6 4 3 4 2 2" xfId="19138"/>
    <cellStyle name="Обычный 6 4 3 4 2 2 2" xfId="19139"/>
    <cellStyle name="Обычный 6 4 3 4 2 2 3" xfId="19140"/>
    <cellStyle name="Обычный 6 4 3 4 2 3" xfId="19141"/>
    <cellStyle name="Обычный 6 4 3 4 2 3 2" xfId="19142"/>
    <cellStyle name="Обычный 6 4 3 4 2 3 3" xfId="19143"/>
    <cellStyle name="Обычный 6 4 3 4 2 4" xfId="19144"/>
    <cellStyle name="Обычный 6 4 3 4 2 4 2" xfId="19145"/>
    <cellStyle name="Обычный 6 4 3 4 2 5" xfId="19146"/>
    <cellStyle name="Обычный 6 4 3 4 2 6" xfId="19147"/>
    <cellStyle name="Обычный 6 4 3 4 3" xfId="19148"/>
    <cellStyle name="Обычный 6 4 3 4 3 2" xfId="19149"/>
    <cellStyle name="Обычный 6 4 3 4 3 3" xfId="19150"/>
    <cellStyle name="Обычный 6 4 3 4 4" xfId="19151"/>
    <cellStyle name="Обычный 6 4 3 4 4 2" xfId="19152"/>
    <cellStyle name="Обычный 6 4 3 4 4 3" xfId="19153"/>
    <cellStyle name="Обычный 6 4 3 4 5" xfId="19154"/>
    <cellStyle name="Обычный 6 4 3 4 5 2" xfId="19155"/>
    <cellStyle name="Обычный 6 4 3 4 6" xfId="19156"/>
    <cellStyle name="Обычный 6 4 3 4 7" xfId="19157"/>
    <cellStyle name="Обычный 6 4 3 5" xfId="19158"/>
    <cellStyle name="Обычный 6 4 3 5 2" xfId="19159"/>
    <cellStyle name="Обычный 6 4 3 5 2 2" xfId="19160"/>
    <cellStyle name="Обычный 6 4 3 5 2 3" xfId="19161"/>
    <cellStyle name="Обычный 6 4 3 5 3" xfId="19162"/>
    <cellStyle name="Обычный 6 4 3 5 3 2" xfId="19163"/>
    <cellStyle name="Обычный 6 4 3 5 3 3" xfId="19164"/>
    <cellStyle name="Обычный 6 4 3 5 4" xfId="19165"/>
    <cellStyle name="Обычный 6 4 3 5 4 2" xfId="19166"/>
    <cellStyle name="Обычный 6 4 3 5 5" xfId="19167"/>
    <cellStyle name="Обычный 6 4 3 5 6" xfId="19168"/>
    <cellStyle name="Обычный 6 4 3 6" xfId="19169"/>
    <cellStyle name="Обычный 6 4 3 6 2" xfId="19170"/>
    <cellStyle name="Обычный 6 4 3 6 3" xfId="19171"/>
    <cellStyle name="Обычный 6 4 3 7" xfId="19172"/>
    <cellStyle name="Обычный 6 4 3 7 2" xfId="19173"/>
    <cellStyle name="Обычный 6 4 3 7 3" xfId="19174"/>
    <cellStyle name="Обычный 6 4 3 8" xfId="19175"/>
    <cellStyle name="Обычный 6 4 3 8 2" xfId="19176"/>
    <cellStyle name="Обычный 6 4 3 9" xfId="19177"/>
    <cellStyle name="Обычный 6 4 4" xfId="19178"/>
    <cellStyle name="Обычный 6 4 4 10" xfId="19179"/>
    <cellStyle name="Обычный 6 4 4 2" xfId="19180"/>
    <cellStyle name="Обычный 6 4 4 2 2" xfId="19181"/>
    <cellStyle name="Обычный 6 4 4 2 2 2" xfId="19182"/>
    <cellStyle name="Обычный 6 4 4 2 2 2 2" xfId="19183"/>
    <cellStyle name="Обычный 6 4 4 2 2 2 2 2" xfId="19184"/>
    <cellStyle name="Обычный 6 4 4 2 2 2 2 2 2" xfId="19185"/>
    <cellStyle name="Обычный 6 4 4 2 2 2 2 2 3" xfId="19186"/>
    <cellStyle name="Обычный 6 4 4 2 2 2 2 3" xfId="19187"/>
    <cellStyle name="Обычный 6 4 4 2 2 2 2 3 2" xfId="19188"/>
    <cellStyle name="Обычный 6 4 4 2 2 2 2 3 3" xfId="19189"/>
    <cellStyle name="Обычный 6 4 4 2 2 2 2 4" xfId="19190"/>
    <cellStyle name="Обычный 6 4 4 2 2 2 2 4 2" xfId="19191"/>
    <cellStyle name="Обычный 6 4 4 2 2 2 2 5" xfId="19192"/>
    <cellStyle name="Обычный 6 4 4 2 2 2 2 6" xfId="19193"/>
    <cellStyle name="Обычный 6 4 4 2 2 2 3" xfId="19194"/>
    <cellStyle name="Обычный 6 4 4 2 2 2 3 2" xfId="19195"/>
    <cellStyle name="Обычный 6 4 4 2 2 2 3 3" xfId="19196"/>
    <cellStyle name="Обычный 6 4 4 2 2 2 4" xfId="19197"/>
    <cellStyle name="Обычный 6 4 4 2 2 2 4 2" xfId="19198"/>
    <cellStyle name="Обычный 6 4 4 2 2 2 4 3" xfId="19199"/>
    <cellStyle name="Обычный 6 4 4 2 2 2 5" xfId="19200"/>
    <cellStyle name="Обычный 6 4 4 2 2 2 5 2" xfId="19201"/>
    <cellStyle name="Обычный 6 4 4 2 2 2 6" xfId="19202"/>
    <cellStyle name="Обычный 6 4 4 2 2 2 7" xfId="19203"/>
    <cellStyle name="Обычный 6 4 4 2 2 3" xfId="19204"/>
    <cellStyle name="Обычный 6 4 4 2 2 3 2" xfId="19205"/>
    <cellStyle name="Обычный 6 4 4 2 2 3 2 2" xfId="19206"/>
    <cellStyle name="Обычный 6 4 4 2 2 3 2 3" xfId="19207"/>
    <cellStyle name="Обычный 6 4 4 2 2 3 3" xfId="19208"/>
    <cellStyle name="Обычный 6 4 4 2 2 3 3 2" xfId="19209"/>
    <cellStyle name="Обычный 6 4 4 2 2 3 3 3" xfId="19210"/>
    <cellStyle name="Обычный 6 4 4 2 2 3 4" xfId="19211"/>
    <cellStyle name="Обычный 6 4 4 2 2 3 4 2" xfId="19212"/>
    <cellStyle name="Обычный 6 4 4 2 2 3 5" xfId="19213"/>
    <cellStyle name="Обычный 6 4 4 2 2 3 6" xfId="19214"/>
    <cellStyle name="Обычный 6 4 4 2 2 4" xfId="19215"/>
    <cellStyle name="Обычный 6 4 4 2 2 4 2" xfId="19216"/>
    <cellStyle name="Обычный 6 4 4 2 2 4 3" xfId="19217"/>
    <cellStyle name="Обычный 6 4 4 2 2 5" xfId="19218"/>
    <cellStyle name="Обычный 6 4 4 2 2 5 2" xfId="19219"/>
    <cellStyle name="Обычный 6 4 4 2 2 5 3" xfId="19220"/>
    <cellStyle name="Обычный 6 4 4 2 2 6" xfId="19221"/>
    <cellStyle name="Обычный 6 4 4 2 2 6 2" xfId="19222"/>
    <cellStyle name="Обычный 6 4 4 2 2 7" xfId="19223"/>
    <cellStyle name="Обычный 6 4 4 2 2 8" xfId="19224"/>
    <cellStyle name="Обычный 6 4 4 2 3" xfId="19225"/>
    <cellStyle name="Обычный 6 4 4 2 3 2" xfId="19226"/>
    <cellStyle name="Обычный 6 4 4 2 3 2 2" xfId="19227"/>
    <cellStyle name="Обычный 6 4 4 2 3 2 2 2" xfId="19228"/>
    <cellStyle name="Обычный 6 4 4 2 3 2 2 3" xfId="19229"/>
    <cellStyle name="Обычный 6 4 4 2 3 2 3" xfId="19230"/>
    <cellStyle name="Обычный 6 4 4 2 3 2 3 2" xfId="19231"/>
    <cellStyle name="Обычный 6 4 4 2 3 2 3 3" xfId="19232"/>
    <cellStyle name="Обычный 6 4 4 2 3 2 4" xfId="19233"/>
    <cellStyle name="Обычный 6 4 4 2 3 2 4 2" xfId="19234"/>
    <cellStyle name="Обычный 6 4 4 2 3 2 5" xfId="19235"/>
    <cellStyle name="Обычный 6 4 4 2 3 2 6" xfId="19236"/>
    <cellStyle name="Обычный 6 4 4 2 3 3" xfId="19237"/>
    <cellStyle name="Обычный 6 4 4 2 3 3 2" xfId="19238"/>
    <cellStyle name="Обычный 6 4 4 2 3 3 3" xfId="19239"/>
    <cellStyle name="Обычный 6 4 4 2 3 4" xfId="19240"/>
    <cellStyle name="Обычный 6 4 4 2 3 4 2" xfId="19241"/>
    <cellStyle name="Обычный 6 4 4 2 3 4 3" xfId="19242"/>
    <cellStyle name="Обычный 6 4 4 2 3 5" xfId="19243"/>
    <cellStyle name="Обычный 6 4 4 2 3 5 2" xfId="19244"/>
    <cellStyle name="Обычный 6 4 4 2 3 6" xfId="19245"/>
    <cellStyle name="Обычный 6 4 4 2 3 7" xfId="19246"/>
    <cellStyle name="Обычный 6 4 4 2 4" xfId="19247"/>
    <cellStyle name="Обычный 6 4 4 2 4 2" xfId="19248"/>
    <cellStyle name="Обычный 6 4 4 2 4 2 2" xfId="19249"/>
    <cellStyle name="Обычный 6 4 4 2 4 2 3" xfId="19250"/>
    <cellStyle name="Обычный 6 4 4 2 4 3" xfId="19251"/>
    <cellStyle name="Обычный 6 4 4 2 4 3 2" xfId="19252"/>
    <cellStyle name="Обычный 6 4 4 2 4 3 3" xfId="19253"/>
    <cellStyle name="Обычный 6 4 4 2 4 4" xfId="19254"/>
    <cellStyle name="Обычный 6 4 4 2 4 4 2" xfId="19255"/>
    <cellStyle name="Обычный 6 4 4 2 4 5" xfId="19256"/>
    <cellStyle name="Обычный 6 4 4 2 4 6" xfId="19257"/>
    <cellStyle name="Обычный 6 4 4 2 5" xfId="19258"/>
    <cellStyle name="Обычный 6 4 4 2 5 2" xfId="19259"/>
    <cellStyle name="Обычный 6 4 4 2 5 3" xfId="19260"/>
    <cellStyle name="Обычный 6 4 4 2 6" xfId="19261"/>
    <cellStyle name="Обычный 6 4 4 2 6 2" xfId="19262"/>
    <cellStyle name="Обычный 6 4 4 2 6 3" xfId="19263"/>
    <cellStyle name="Обычный 6 4 4 2 7" xfId="19264"/>
    <cellStyle name="Обычный 6 4 4 2 7 2" xfId="19265"/>
    <cellStyle name="Обычный 6 4 4 2 8" xfId="19266"/>
    <cellStyle name="Обычный 6 4 4 2 9" xfId="19267"/>
    <cellStyle name="Обычный 6 4 4 3" xfId="19268"/>
    <cellStyle name="Обычный 6 4 4 3 2" xfId="19269"/>
    <cellStyle name="Обычный 6 4 4 3 2 2" xfId="19270"/>
    <cellStyle name="Обычный 6 4 4 3 2 2 2" xfId="19271"/>
    <cellStyle name="Обычный 6 4 4 3 2 2 2 2" xfId="19272"/>
    <cellStyle name="Обычный 6 4 4 3 2 2 2 3" xfId="19273"/>
    <cellStyle name="Обычный 6 4 4 3 2 2 3" xfId="19274"/>
    <cellStyle name="Обычный 6 4 4 3 2 2 3 2" xfId="19275"/>
    <cellStyle name="Обычный 6 4 4 3 2 2 3 3" xfId="19276"/>
    <cellStyle name="Обычный 6 4 4 3 2 2 4" xfId="19277"/>
    <cellStyle name="Обычный 6 4 4 3 2 2 4 2" xfId="19278"/>
    <cellStyle name="Обычный 6 4 4 3 2 2 5" xfId="19279"/>
    <cellStyle name="Обычный 6 4 4 3 2 2 6" xfId="19280"/>
    <cellStyle name="Обычный 6 4 4 3 2 3" xfId="19281"/>
    <cellStyle name="Обычный 6 4 4 3 2 3 2" xfId="19282"/>
    <cellStyle name="Обычный 6 4 4 3 2 3 3" xfId="19283"/>
    <cellStyle name="Обычный 6 4 4 3 2 4" xfId="19284"/>
    <cellStyle name="Обычный 6 4 4 3 2 4 2" xfId="19285"/>
    <cellStyle name="Обычный 6 4 4 3 2 4 3" xfId="19286"/>
    <cellStyle name="Обычный 6 4 4 3 2 5" xfId="19287"/>
    <cellStyle name="Обычный 6 4 4 3 2 5 2" xfId="19288"/>
    <cellStyle name="Обычный 6 4 4 3 2 6" xfId="19289"/>
    <cellStyle name="Обычный 6 4 4 3 2 7" xfId="19290"/>
    <cellStyle name="Обычный 6 4 4 3 3" xfId="19291"/>
    <cellStyle name="Обычный 6 4 4 3 3 2" xfId="19292"/>
    <cellStyle name="Обычный 6 4 4 3 3 2 2" xfId="19293"/>
    <cellStyle name="Обычный 6 4 4 3 3 2 3" xfId="19294"/>
    <cellStyle name="Обычный 6 4 4 3 3 3" xfId="19295"/>
    <cellStyle name="Обычный 6 4 4 3 3 3 2" xfId="19296"/>
    <cellStyle name="Обычный 6 4 4 3 3 3 3" xfId="19297"/>
    <cellStyle name="Обычный 6 4 4 3 3 4" xfId="19298"/>
    <cellStyle name="Обычный 6 4 4 3 3 4 2" xfId="19299"/>
    <cellStyle name="Обычный 6 4 4 3 3 5" xfId="19300"/>
    <cellStyle name="Обычный 6 4 4 3 3 6" xfId="19301"/>
    <cellStyle name="Обычный 6 4 4 3 4" xfId="19302"/>
    <cellStyle name="Обычный 6 4 4 3 4 2" xfId="19303"/>
    <cellStyle name="Обычный 6 4 4 3 4 3" xfId="19304"/>
    <cellStyle name="Обычный 6 4 4 3 5" xfId="19305"/>
    <cellStyle name="Обычный 6 4 4 3 5 2" xfId="19306"/>
    <cellStyle name="Обычный 6 4 4 3 5 3" xfId="19307"/>
    <cellStyle name="Обычный 6 4 4 3 6" xfId="19308"/>
    <cellStyle name="Обычный 6 4 4 3 6 2" xfId="19309"/>
    <cellStyle name="Обычный 6 4 4 3 7" xfId="19310"/>
    <cellStyle name="Обычный 6 4 4 3 8" xfId="19311"/>
    <cellStyle name="Обычный 6 4 4 4" xfId="19312"/>
    <cellStyle name="Обычный 6 4 4 4 2" xfId="19313"/>
    <cellStyle name="Обычный 6 4 4 4 2 2" xfId="19314"/>
    <cellStyle name="Обычный 6 4 4 4 2 2 2" xfId="19315"/>
    <cellStyle name="Обычный 6 4 4 4 2 2 3" xfId="19316"/>
    <cellStyle name="Обычный 6 4 4 4 2 3" xfId="19317"/>
    <cellStyle name="Обычный 6 4 4 4 2 3 2" xfId="19318"/>
    <cellStyle name="Обычный 6 4 4 4 2 3 3" xfId="19319"/>
    <cellStyle name="Обычный 6 4 4 4 2 4" xfId="19320"/>
    <cellStyle name="Обычный 6 4 4 4 2 4 2" xfId="19321"/>
    <cellStyle name="Обычный 6 4 4 4 2 5" xfId="19322"/>
    <cellStyle name="Обычный 6 4 4 4 2 6" xfId="19323"/>
    <cellStyle name="Обычный 6 4 4 4 3" xfId="19324"/>
    <cellStyle name="Обычный 6 4 4 4 3 2" xfId="19325"/>
    <cellStyle name="Обычный 6 4 4 4 3 3" xfId="19326"/>
    <cellStyle name="Обычный 6 4 4 4 4" xfId="19327"/>
    <cellStyle name="Обычный 6 4 4 4 4 2" xfId="19328"/>
    <cellStyle name="Обычный 6 4 4 4 4 3" xfId="19329"/>
    <cellStyle name="Обычный 6 4 4 4 5" xfId="19330"/>
    <cellStyle name="Обычный 6 4 4 4 5 2" xfId="19331"/>
    <cellStyle name="Обычный 6 4 4 4 6" xfId="19332"/>
    <cellStyle name="Обычный 6 4 4 4 7" xfId="19333"/>
    <cellStyle name="Обычный 6 4 4 5" xfId="19334"/>
    <cellStyle name="Обычный 6 4 4 5 2" xfId="19335"/>
    <cellStyle name="Обычный 6 4 4 5 2 2" xfId="19336"/>
    <cellStyle name="Обычный 6 4 4 5 2 3" xfId="19337"/>
    <cellStyle name="Обычный 6 4 4 5 3" xfId="19338"/>
    <cellStyle name="Обычный 6 4 4 5 3 2" xfId="19339"/>
    <cellStyle name="Обычный 6 4 4 5 3 3" xfId="19340"/>
    <cellStyle name="Обычный 6 4 4 5 4" xfId="19341"/>
    <cellStyle name="Обычный 6 4 4 5 4 2" xfId="19342"/>
    <cellStyle name="Обычный 6 4 4 5 5" xfId="19343"/>
    <cellStyle name="Обычный 6 4 4 5 6" xfId="19344"/>
    <cellStyle name="Обычный 6 4 4 6" xfId="19345"/>
    <cellStyle name="Обычный 6 4 4 6 2" xfId="19346"/>
    <cellStyle name="Обычный 6 4 4 6 3" xfId="19347"/>
    <cellStyle name="Обычный 6 4 4 7" xfId="19348"/>
    <cellStyle name="Обычный 6 4 4 7 2" xfId="19349"/>
    <cellStyle name="Обычный 6 4 4 7 3" xfId="19350"/>
    <cellStyle name="Обычный 6 4 4 8" xfId="19351"/>
    <cellStyle name="Обычный 6 4 4 8 2" xfId="19352"/>
    <cellStyle name="Обычный 6 4 4 9" xfId="19353"/>
    <cellStyle name="Обычный 6 4 5" xfId="19354"/>
    <cellStyle name="Обычный 6 4 5 10" xfId="19355"/>
    <cellStyle name="Обычный 6 4 5 2" xfId="19356"/>
    <cellStyle name="Обычный 6 4 5 2 2" xfId="19357"/>
    <cellStyle name="Обычный 6 4 5 2 2 2" xfId="19358"/>
    <cellStyle name="Обычный 6 4 5 2 2 2 2" xfId="19359"/>
    <cellStyle name="Обычный 6 4 5 2 2 2 2 2" xfId="19360"/>
    <cellStyle name="Обычный 6 4 5 2 2 2 2 2 2" xfId="19361"/>
    <cellStyle name="Обычный 6 4 5 2 2 2 2 2 3" xfId="19362"/>
    <cellStyle name="Обычный 6 4 5 2 2 2 2 3" xfId="19363"/>
    <cellStyle name="Обычный 6 4 5 2 2 2 2 3 2" xfId="19364"/>
    <cellStyle name="Обычный 6 4 5 2 2 2 2 3 3" xfId="19365"/>
    <cellStyle name="Обычный 6 4 5 2 2 2 2 4" xfId="19366"/>
    <cellStyle name="Обычный 6 4 5 2 2 2 2 4 2" xfId="19367"/>
    <cellStyle name="Обычный 6 4 5 2 2 2 2 5" xfId="19368"/>
    <cellStyle name="Обычный 6 4 5 2 2 2 2 6" xfId="19369"/>
    <cellStyle name="Обычный 6 4 5 2 2 2 3" xfId="19370"/>
    <cellStyle name="Обычный 6 4 5 2 2 2 3 2" xfId="19371"/>
    <cellStyle name="Обычный 6 4 5 2 2 2 3 3" xfId="19372"/>
    <cellStyle name="Обычный 6 4 5 2 2 2 4" xfId="19373"/>
    <cellStyle name="Обычный 6 4 5 2 2 2 4 2" xfId="19374"/>
    <cellStyle name="Обычный 6 4 5 2 2 2 4 3" xfId="19375"/>
    <cellStyle name="Обычный 6 4 5 2 2 2 5" xfId="19376"/>
    <cellStyle name="Обычный 6 4 5 2 2 2 5 2" xfId="19377"/>
    <cellStyle name="Обычный 6 4 5 2 2 2 6" xfId="19378"/>
    <cellStyle name="Обычный 6 4 5 2 2 2 7" xfId="19379"/>
    <cellStyle name="Обычный 6 4 5 2 2 3" xfId="19380"/>
    <cellStyle name="Обычный 6 4 5 2 2 3 2" xfId="19381"/>
    <cellStyle name="Обычный 6 4 5 2 2 3 2 2" xfId="19382"/>
    <cellStyle name="Обычный 6 4 5 2 2 3 2 3" xfId="19383"/>
    <cellStyle name="Обычный 6 4 5 2 2 3 3" xfId="19384"/>
    <cellStyle name="Обычный 6 4 5 2 2 3 3 2" xfId="19385"/>
    <cellStyle name="Обычный 6 4 5 2 2 3 3 3" xfId="19386"/>
    <cellStyle name="Обычный 6 4 5 2 2 3 4" xfId="19387"/>
    <cellStyle name="Обычный 6 4 5 2 2 3 4 2" xfId="19388"/>
    <cellStyle name="Обычный 6 4 5 2 2 3 5" xfId="19389"/>
    <cellStyle name="Обычный 6 4 5 2 2 3 6" xfId="19390"/>
    <cellStyle name="Обычный 6 4 5 2 2 4" xfId="19391"/>
    <cellStyle name="Обычный 6 4 5 2 2 4 2" xfId="19392"/>
    <cellStyle name="Обычный 6 4 5 2 2 4 3" xfId="19393"/>
    <cellStyle name="Обычный 6 4 5 2 2 5" xfId="19394"/>
    <cellStyle name="Обычный 6 4 5 2 2 5 2" xfId="19395"/>
    <cellStyle name="Обычный 6 4 5 2 2 5 3" xfId="19396"/>
    <cellStyle name="Обычный 6 4 5 2 2 6" xfId="19397"/>
    <cellStyle name="Обычный 6 4 5 2 2 6 2" xfId="19398"/>
    <cellStyle name="Обычный 6 4 5 2 2 7" xfId="19399"/>
    <cellStyle name="Обычный 6 4 5 2 2 8" xfId="19400"/>
    <cellStyle name="Обычный 6 4 5 2 3" xfId="19401"/>
    <cellStyle name="Обычный 6 4 5 2 3 2" xfId="19402"/>
    <cellStyle name="Обычный 6 4 5 2 3 2 2" xfId="19403"/>
    <cellStyle name="Обычный 6 4 5 2 3 2 2 2" xfId="19404"/>
    <cellStyle name="Обычный 6 4 5 2 3 2 2 3" xfId="19405"/>
    <cellStyle name="Обычный 6 4 5 2 3 2 3" xfId="19406"/>
    <cellStyle name="Обычный 6 4 5 2 3 2 3 2" xfId="19407"/>
    <cellStyle name="Обычный 6 4 5 2 3 2 3 3" xfId="19408"/>
    <cellStyle name="Обычный 6 4 5 2 3 2 4" xfId="19409"/>
    <cellStyle name="Обычный 6 4 5 2 3 2 4 2" xfId="19410"/>
    <cellStyle name="Обычный 6 4 5 2 3 2 5" xfId="19411"/>
    <cellStyle name="Обычный 6 4 5 2 3 2 6" xfId="19412"/>
    <cellStyle name="Обычный 6 4 5 2 3 3" xfId="19413"/>
    <cellStyle name="Обычный 6 4 5 2 3 3 2" xfId="19414"/>
    <cellStyle name="Обычный 6 4 5 2 3 3 3" xfId="19415"/>
    <cellStyle name="Обычный 6 4 5 2 3 4" xfId="19416"/>
    <cellStyle name="Обычный 6 4 5 2 3 4 2" xfId="19417"/>
    <cellStyle name="Обычный 6 4 5 2 3 4 3" xfId="19418"/>
    <cellStyle name="Обычный 6 4 5 2 3 5" xfId="19419"/>
    <cellStyle name="Обычный 6 4 5 2 3 5 2" xfId="19420"/>
    <cellStyle name="Обычный 6 4 5 2 3 6" xfId="19421"/>
    <cellStyle name="Обычный 6 4 5 2 3 7" xfId="19422"/>
    <cellStyle name="Обычный 6 4 5 2 4" xfId="19423"/>
    <cellStyle name="Обычный 6 4 5 2 4 2" xfId="19424"/>
    <cellStyle name="Обычный 6 4 5 2 4 2 2" xfId="19425"/>
    <cellStyle name="Обычный 6 4 5 2 4 2 3" xfId="19426"/>
    <cellStyle name="Обычный 6 4 5 2 4 3" xfId="19427"/>
    <cellStyle name="Обычный 6 4 5 2 4 3 2" xfId="19428"/>
    <cellStyle name="Обычный 6 4 5 2 4 3 3" xfId="19429"/>
    <cellStyle name="Обычный 6 4 5 2 4 4" xfId="19430"/>
    <cellStyle name="Обычный 6 4 5 2 4 4 2" xfId="19431"/>
    <cellStyle name="Обычный 6 4 5 2 4 5" xfId="19432"/>
    <cellStyle name="Обычный 6 4 5 2 4 6" xfId="19433"/>
    <cellStyle name="Обычный 6 4 5 2 5" xfId="19434"/>
    <cellStyle name="Обычный 6 4 5 2 5 2" xfId="19435"/>
    <cellStyle name="Обычный 6 4 5 2 5 3" xfId="19436"/>
    <cellStyle name="Обычный 6 4 5 2 6" xfId="19437"/>
    <cellStyle name="Обычный 6 4 5 2 6 2" xfId="19438"/>
    <cellStyle name="Обычный 6 4 5 2 6 3" xfId="19439"/>
    <cellStyle name="Обычный 6 4 5 2 7" xfId="19440"/>
    <cellStyle name="Обычный 6 4 5 2 7 2" xfId="19441"/>
    <cellStyle name="Обычный 6 4 5 2 8" xfId="19442"/>
    <cellStyle name="Обычный 6 4 5 2 9" xfId="19443"/>
    <cellStyle name="Обычный 6 4 5 3" xfId="19444"/>
    <cellStyle name="Обычный 6 4 5 3 2" xfId="19445"/>
    <cellStyle name="Обычный 6 4 5 3 2 2" xfId="19446"/>
    <cellStyle name="Обычный 6 4 5 3 2 2 2" xfId="19447"/>
    <cellStyle name="Обычный 6 4 5 3 2 2 2 2" xfId="19448"/>
    <cellStyle name="Обычный 6 4 5 3 2 2 2 3" xfId="19449"/>
    <cellStyle name="Обычный 6 4 5 3 2 2 3" xfId="19450"/>
    <cellStyle name="Обычный 6 4 5 3 2 2 3 2" xfId="19451"/>
    <cellStyle name="Обычный 6 4 5 3 2 2 3 3" xfId="19452"/>
    <cellStyle name="Обычный 6 4 5 3 2 2 4" xfId="19453"/>
    <cellStyle name="Обычный 6 4 5 3 2 2 4 2" xfId="19454"/>
    <cellStyle name="Обычный 6 4 5 3 2 2 5" xfId="19455"/>
    <cellStyle name="Обычный 6 4 5 3 2 2 6" xfId="19456"/>
    <cellStyle name="Обычный 6 4 5 3 2 3" xfId="19457"/>
    <cellStyle name="Обычный 6 4 5 3 2 3 2" xfId="19458"/>
    <cellStyle name="Обычный 6 4 5 3 2 3 3" xfId="19459"/>
    <cellStyle name="Обычный 6 4 5 3 2 4" xfId="19460"/>
    <cellStyle name="Обычный 6 4 5 3 2 4 2" xfId="19461"/>
    <cellStyle name="Обычный 6 4 5 3 2 4 3" xfId="19462"/>
    <cellStyle name="Обычный 6 4 5 3 2 5" xfId="19463"/>
    <cellStyle name="Обычный 6 4 5 3 2 5 2" xfId="19464"/>
    <cellStyle name="Обычный 6 4 5 3 2 6" xfId="19465"/>
    <cellStyle name="Обычный 6 4 5 3 2 7" xfId="19466"/>
    <cellStyle name="Обычный 6 4 5 3 3" xfId="19467"/>
    <cellStyle name="Обычный 6 4 5 3 3 2" xfId="19468"/>
    <cellStyle name="Обычный 6 4 5 3 3 2 2" xfId="19469"/>
    <cellStyle name="Обычный 6 4 5 3 3 2 3" xfId="19470"/>
    <cellStyle name="Обычный 6 4 5 3 3 3" xfId="19471"/>
    <cellStyle name="Обычный 6 4 5 3 3 3 2" xfId="19472"/>
    <cellStyle name="Обычный 6 4 5 3 3 3 3" xfId="19473"/>
    <cellStyle name="Обычный 6 4 5 3 3 4" xfId="19474"/>
    <cellStyle name="Обычный 6 4 5 3 3 4 2" xfId="19475"/>
    <cellStyle name="Обычный 6 4 5 3 3 5" xfId="19476"/>
    <cellStyle name="Обычный 6 4 5 3 3 6" xfId="19477"/>
    <cellStyle name="Обычный 6 4 5 3 4" xfId="19478"/>
    <cellStyle name="Обычный 6 4 5 3 4 2" xfId="19479"/>
    <cellStyle name="Обычный 6 4 5 3 4 3" xfId="19480"/>
    <cellStyle name="Обычный 6 4 5 3 5" xfId="19481"/>
    <cellStyle name="Обычный 6 4 5 3 5 2" xfId="19482"/>
    <cellStyle name="Обычный 6 4 5 3 5 3" xfId="19483"/>
    <cellStyle name="Обычный 6 4 5 3 6" xfId="19484"/>
    <cellStyle name="Обычный 6 4 5 3 6 2" xfId="19485"/>
    <cellStyle name="Обычный 6 4 5 3 7" xfId="19486"/>
    <cellStyle name="Обычный 6 4 5 3 8" xfId="19487"/>
    <cellStyle name="Обычный 6 4 5 4" xfId="19488"/>
    <cellStyle name="Обычный 6 4 5 4 2" xfId="19489"/>
    <cellStyle name="Обычный 6 4 5 4 2 2" xfId="19490"/>
    <cellStyle name="Обычный 6 4 5 4 2 2 2" xfId="19491"/>
    <cellStyle name="Обычный 6 4 5 4 2 2 3" xfId="19492"/>
    <cellStyle name="Обычный 6 4 5 4 2 3" xfId="19493"/>
    <cellStyle name="Обычный 6 4 5 4 2 3 2" xfId="19494"/>
    <cellStyle name="Обычный 6 4 5 4 2 3 3" xfId="19495"/>
    <cellStyle name="Обычный 6 4 5 4 2 4" xfId="19496"/>
    <cellStyle name="Обычный 6 4 5 4 2 4 2" xfId="19497"/>
    <cellStyle name="Обычный 6 4 5 4 2 5" xfId="19498"/>
    <cellStyle name="Обычный 6 4 5 4 2 6" xfId="19499"/>
    <cellStyle name="Обычный 6 4 5 4 3" xfId="19500"/>
    <cellStyle name="Обычный 6 4 5 4 3 2" xfId="19501"/>
    <cellStyle name="Обычный 6 4 5 4 3 3" xfId="19502"/>
    <cellStyle name="Обычный 6 4 5 4 4" xfId="19503"/>
    <cellStyle name="Обычный 6 4 5 4 4 2" xfId="19504"/>
    <cellStyle name="Обычный 6 4 5 4 4 3" xfId="19505"/>
    <cellStyle name="Обычный 6 4 5 4 5" xfId="19506"/>
    <cellStyle name="Обычный 6 4 5 4 5 2" xfId="19507"/>
    <cellStyle name="Обычный 6 4 5 4 6" xfId="19508"/>
    <cellStyle name="Обычный 6 4 5 4 7" xfId="19509"/>
    <cellStyle name="Обычный 6 4 5 5" xfId="19510"/>
    <cellStyle name="Обычный 6 4 5 5 2" xfId="19511"/>
    <cellStyle name="Обычный 6 4 5 5 2 2" xfId="19512"/>
    <cellStyle name="Обычный 6 4 5 5 2 3" xfId="19513"/>
    <cellStyle name="Обычный 6 4 5 5 3" xfId="19514"/>
    <cellStyle name="Обычный 6 4 5 5 3 2" xfId="19515"/>
    <cellStyle name="Обычный 6 4 5 5 3 3" xfId="19516"/>
    <cellStyle name="Обычный 6 4 5 5 4" xfId="19517"/>
    <cellStyle name="Обычный 6 4 5 5 4 2" xfId="19518"/>
    <cellStyle name="Обычный 6 4 5 5 5" xfId="19519"/>
    <cellStyle name="Обычный 6 4 5 5 6" xfId="19520"/>
    <cellStyle name="Обычный 6 4 5 6" xfId="19521"/>
    <cellStyle name="Обычный 6 4 5 6 2" xfId="19522"/>
    <cellStyle name="Обычный 6 4 5 6 3" xfId="19523"/>
    <cellStyle name="Обычный 6 4 5 7" xfId="19524"/>
    <cellStyle name="Обычный 6 4 5 7 2" xfId="19525"/>
    <cellStyle name="Обычный 6 4 5 7 3" xfId="19526"/>
    <cellStyle name="Обычный 6 4 5 8" xfId="19527"/>
    <cellStyle name="Обычный 6 4 5 8 2" xfId="19528"/>
    <cellStyle name="Обычный 6 4 5 9" xfId="19529"/>
    <cellStyle name="Обычный 6 4 6" xfId="19530"/>
    <cellStyle name="Обычный 6 4 6 2" xfId="19531"/>
    <cellStyle name="Обычный 6 4 6 2 2" xfId="19532"/>
    <cellStyle name="Обычный 6 4 6 2 2 2" xfId="19533"/>
    <cellStyle name="Обычный 6 4 6 2 2 2 2" xfId="19534"/>
    <cellStyle name="Обычный 6 4 6 2 2 2 2 2" xfId="19535"/>
    <cellStyle name="Обычный 6 4 6 2 2 2 2 3" xfId="19536"/>
    <cellStyle name="Обычный 6 4 6 2 2 2 3" xfId="19537"/>
    <cellStyle name="Обычный 6 4 6 2 2 2 3 2" xfId="19538"/>
    <cellStyle name="Обычный 6 4 6 2 2 2 3 3" xfId="19539"/>
    <cellStyle name="Обычный 6 4 6 2 2 2 4" xfId="19540"/>
    <cellStyle name="Обычный 6 4 6 2 2 2 4 2" xfId="19541"/>
    <cellStyle name="Обычный 6 4 6 2 2 2 5" xfId="19542"/>
    <cellStyle name="Обычный 6 4 6 2 2 2 6" xfId="19543"/>
    <cellStyle name="Обычный 6 4 6 2 2 3" xfId="19544"/>
    <cellStyle name="Обычный 6 4 6 2 2 3 2" xfId="19545"/>
    <cellStyle name="Обычный 6 4 6 2 2 3 3" xfId="19546"/>
    <cellStyle name="Обычный 6 4 6 2 2 4" xfId="19547"/>
    <cellStyle name="Обычный 6 4 6 2 2 4 2" xfId="19548"/>
    <cellStyle name="Обычный 6 4 6 2 2 4 3" xfId="19549"/>
    <cellStyle name="Обычный 6 4 6 2 2 5" xfId="19550"/>
    <cellStyle name="Обычный 6 4 6 2 2 5 2" xfId="19551"/>
    <cellStyle name="Обычный 6 4 6 2 2 6" xfId="19552"/>
    <cellStyle name="Обычный 6 4 6 2 2 7" xfId="19553"/>
    <cellStyle name="Обычный 6 4 6 2 3" xfId="19554"/>
    <cellStyle name="Обычный 6 4 6 2 3 2" xfId="19555"/>
    <cellStyle name="Обычный 6 4 6 2 3 2 2" xfId="19556"/>
    <cellStyle name="Обычный 6 4 6 2 3 2 3" xfId="19557"/>
    <cellStyle name="Обычный 6 4 6 2 3 3" xfId="19558"/>
    <cellStyle name="Обычный 6 4 6 2 3 3 2" xfId="19559"/>
    <cellStyle name="Обычный 6 4 6 2 3 3 3" xfId="19560"/>
    <cellStyle name="Обычный 6 4 6 2 3 4" xfId="19561"/>
    <cellStyle name="Обычный 6 4 6 2 3 4 2" xfId="19562"/>
    <cellStyle name="Обычный 6 4 6 2 3 5" xfId="19563"/>
    <cellStyle name="Обычный 6 4 6 2 3 6" xfId="19564"/>
    <cellStyle name="Обычный 6 4 6 2 4" xfId="19565"/>
    <cellStyle name="Обычный 6 4 6 2 4 2" xfId="19566"/>
    <cellStyle name="Обычный 6 4 6 2 4 3" xfId="19567"/>
    <cellStyle name="Обычный 6 4 6 2 5" xfId="19568"/>
    <cellStyle name="Обычный 6 4 6 2 5 2" xfId="19569"/>
    <cellStyle name="Обычный 6 4 6 2 5 3" xfId="19570"/>
    <cellStyle name="Обычный 6 4 6 2 6" xfId="19571"/>
    <cellStyle name="Обычный 6 4 6 2 6 2" xfId="19572"/>
    <cellStyle name="Обычный 6 4 6 2 7" xfId="19573"/>
    <cellStyle name="Обычный 6 4 6 2 8" xfId="19574"/>
    <cellStyle name="Обычный 6 4 6 3" xfId="19575"/>
    <cellStyle name="Обычный 6 4 6 3 2" xfId="19576"/>
    <cellStyle name="Обычный 6 4 6 3 2 2" xfId="19577"/>
    <cellStyle name="Обычный 6 4 6 3 2 2 2" xfId="19578"/>
    <cellStyle name="Обычный 6 4 6 3 2 2 3" xfId="19579"/>
    <cellStyle name="Обычный 6 4 6 3 2 3" xfId="19580"/>
    <cellStyle name="Обычный 6 4 6 3 2 3 2" xfId="19581"/>
    <cellStyle name="Обычный 6 4 6 3 2 3 3" xfId="19582"/>
    <cellStyle name="Обычный 6 4 6 3 2 4" xfId="19583"/>
    <cellStyle name="Обычный 6 4 6 3 2 4 2" xfId="19584"/>
    <cellStyle name="Обычный 6 4 6 3 2 5" xfId="19585"/>
    <cellStyle name="Обычный 6 4 6 3 2 6" xfId="19586"/>
    <cellStyle name="Обычный 6 4 6 3 3" xfId="19587"/>
    <cellStyle name="Обычный 6 4 6 3 3 2" xfId="19588"/>
    <cellStyle name="Обычный 6 4 6 3 3 3" xfId="19589"/>
    <cellStyle name="Обычный 6 4 6 3 4" xfId="19590"/>
    <cellStyle name="Обычный 6 4 6 3 4 2" xfId="19591"/>
    <cellStyle name="Обычный 6 4 6 3 4 3" xfId="19592"/>
    <cellStyle name="Обычный 6 4 6 3 5" xfId="19593"/>
    <cellStyle name="Обычный 6 4 6 3 5 2" xfId="19594"/>
    <cellStyle name="Обычный 6 4 6 3 6" xfId="19595"/>
    <cellStyle name="Обычный 6 4 6 3 7" xfId="19596"/>
    <cellStyle name="Обычный 6 4 6 4" xfId="19597"/>
    <cellStyle name="Обычный 6 4 6 4 2" xfId="19598"/>
    <cellStyle name="Обычный 6 4 6 4 2 2" xfId="19599"/>
    <cellStyle name="Обычный 6 4 6 4 2 3" xfId="19600"/>
    <cellStyle name="Обычный 6 4 6 4 3" xfId="19601"/>
    <cellStyle name="Обычный 6 4 6 4 3 2" xfId="19602"/>
    <cellStyle name="Обычный 6 4 6 4 3 3" xfId="19603"/>
    <cellStyle name="Обычный 6 4 6 4 4" xfId="19604"/>
    <cellStyle name="Обычный 6 4 6 4 4 2" xfId="19605"/>
    <cellStyle name="Обычный 6 4 6 4 5" xfId="19606"/>
    <cellStyle name="Обычный 6 4 6 4 6" xfId="19607"/>
    <cellStyle name="Обычный 6 4 6 5" xfId="19608"/>
    <cellStyle name="Обычный 6 4 6 5 2" xfId="19609"/>
    <cellStyle name="Обычный 6 4 6 5 3" xfId="19610"/>
    <cellStyle name="Обычный 6 4 6 6" xfId="19611"/>
    <cellStyle name="Обычный 6 4 6 6 2" xfId="19612"/>
    <cellStyle name="Обычный 6 4 6 6 3" xfId="19613"/>
    <cellStyle name="Обычный 6 4 6 7" xfId="19614"/>
    <cellStyle name="Обычный 6 4 6 7 2" xfId="19615"/>
    <cellStyle name="Обычный 6 4 6 8" xfId="19616"/>
    <cellStyle name="Обычный 6 4 6 9" xfId="19617"/>
    <cellStyle name="Обычный 6 4 7" xfId="19618"/>
    <cellStyle name="Обычный 6 4 7 2" xfId="19619"/>
    <cellStyle name="Обычный 6 4 7 2 2" xfId="19620"/>
    <cellStyle name="Обычный 6 4 7 2 2 2" xfId="19621"/>
    <cellStyle name="Обычный 6 4 7 2 2 2 2" xfId="19622"/>
    <cellStyle name="Обычный 6 4 7 2 2 2 3" xfId="19623"/>
    <cellStyle name="Обычный 6 4 7 2 2 3" xfId="19624"/>
    <cellStyle name="Обычный 6 4 7 2 2 3 2" xfId="19625"/>
    <cellStyle name="Обычный 6 4 7 2 2 3 3" xfId="19626"/>
    <cellStyle name="Обычный 6 4 7 2 2 4" xfId="19627"/>
    <cellStyle name="Обычный 6 4 7 2 2 4 2" xfId="19628"/>
    <cellStyle name="Обычный 6 4 7 2 2 5" xfId="19629"/>
    <cellStyle name="Обычный 6 4 7 2 2 6" xfId="19630"/>
    <cellStyle name="Обычный 6 4 7 2 3" xfId="19631"/>
    <cellStyle name="Обычный 6 4 7 2 3 2" xfId="19632"/>
    <cellStyle name="Обычный 6 4 7 2 3 3" xfId="19633"/>
    <cellStyle name="Обычный 6 4 7 2 4" xfId="19634"/>
    <cellStyle name="Обычный 6 4 7 2 4 2" xfId="19635"/>
    <cellStyle name="Обычный 6 4 7 2 4 3" xfId="19636"/>
    <cellStyle name="Обычный 6 4 7 2 5" xfId="19637"/>
    <cellStyle name="Обычный 6 4 7 2 5 2" xfId="19638"/>
    <cellStyle name="Обычный 6 4 7 2 6" xfId="19639"/>
    <cellStyle name="Обычный 6 4 7 2 7" xfId="19640"/>
    <cellStyle name="Обычный 6 4 7 3" xfId="19641"/>
    <cellStyle name="Обычный 6 4 7 3 2" xfId="19642"/>
    <cellStyle name="Обычный 6 4 7 3 2 2" xfId="19643"/>
    <cellStyle name="Обычный 6 4 7 3 2 3" xfId="19644"/>
    <cellStyle name="Обычный 6 4 7 3 3" xfId="19645"/>
    <cellStyle name="Обычный 6 4 7 3 3 2" xfId="19646"/>
    <cellStyle name="Обычный 6 4 7 3 3 3" xfId="19647"/>
    <cellStyle name="Обычный 6 4 7 3 4" xfId="19648"/>
    <cellStyle name="Обычный 6 4 7 3 4 2" xfId="19649"/>
    <cellStyle name="Обычный 6 4 7 3 5" xfId="19650"/>
    <cellStyle name="Обычный 6 4 7 3 6" xfId="19651"/>
    <cellStyle name="Обычный 6 4 7 4" xfId="19652"/>
    <cellStyle name="Обычный 6 4 7 4 2" xfId="19653"/>
    <cellStyle name="Обычный 6 4 7 4 3" xfId="19654"/>
    <cellStyle name="Обычный 6 4 7 5" xfId="19655"/>
    <cellStyle name="Обычный 6 4 7 5 2" xfId="19656"/>
    <cellStyle name="Обычный 6 4 7 5 3" xfId="19657"/>
    <cellStyle name="Обычный 6 4 7 6" xfId="19658"/>
    <cellStyle name="Обычный 6 4 7 6 2" xfId="19659"/>
    <cellStyle name="Обычный 6 4 7 7" xfId="19660"/>
    <cellStyle name="Обычный 6 4 7 8" xfId="19661"/>
    <cellStyle name="Обычный 6 4 8" xfId="19662"/>
    <cellStyle name="Обычный 6 4 8 2" xfId="19663"/>
    <cellStyle name="Обычный 6 4 8 2 2" xfId="19664"/>
    <cellStyle name="Обычный 6 4 8 2 2 2" xfId="19665"/>
    <cellStyle name="Обычный 6 4 8 2 2 3" xfId="19666"/>
    <cellStyle name="Обычный 6 4 8 2 3" xfId="19667"/>
    <cellStyle name="Обычный 6 4 8 2 3 2" xfId="19668"/>
    <cellStyle name="Обычный 6 4 8 2 3 3" xfId="19669"/>
    <cellStyle name="Обычный 6 4 8 2 4" xfId="19670"/>
    <cellStyle name="Обычный 6 4 8 2 4 2" xfId="19671"/>
    <cellStyle name="Обычный 6 4 8 2 5" xfId="19672"/>
    <cellStyle name="Обычный 6 4 8 2 6" xfId="19673"/>
    <cellStyle name="Обычный 6 4 8 3" xfId="19674"/>
    <cellStyle name="Обычный 6 4 8 3 2" xfId="19675"/>
    <cellStyle name="Обычный 6 4 8 3 3" xfId="19676"/>
    <cellStyle name="Обычный 6 4 8 4" xfId="19677"/>
    <cellStyle name="Обычный 6 4 8 4 2" xfId="19678"/>
    <cellStyle name="Обычный 6 4 8 4 3" xfId="19679"/>
    <cellStyle name="Обычный 6 4 8 5" xfId="19680"/>
    <cellStyle name="Обычный 6 4 8 5 2" xfId="19681"/>
    <cellStyle name="Обычный 6 4 8 6" xfId="19682"/>
    <cellStyle name="Обычный 6 4 8 7" xfId="19683"/>
    <cellStyle name="Обычный 6 4 9" xfId="19684"/>
    <cellStyle name="Обычный 6 4 9 2" xfId="19685"/>
    <cellStyle name="Обычный 6 4 9 2 2" xfId="19686"/>
    <cellStyle name="Обычный 6 4 9 2 3" xfId="19687"/>
    <cellStyle name="Обычный 6 4 9 3" xfId="19688"/>
    <cellStyle name="Обычный 6 4 9 3 2" xfId="19689"/>
    <cellStyle name="Обычный 6 4 9 3 3" xfId="19690"/>
    <cellStyle name="Обычный 6 4 9 4" xfId="19691"/>
    <cellStyle name="Обычный 6 4 9 4 2" xfId="19692"/>
    <cellStyle name="Обычный 6 4 9 5" xfId="19693"/>
    <cellStyle name="Обычный 6 4 9 6" xfId="19694"/>
    <cellStyle name="Обычный 6 5" xfId="19695"/>
    <cellStyle name="Обычный 6 5 10" xfId="19696"/>
    <cellStyle name="Обычный 6 5 10 2" xfId="19697"/>
    <cellStyle name="Обычный 6 5 10 3" xfId="19698"/>
    <cellStyle name="Обычный 6 5 11" xfId="19699"/>
    <cellStyle name="Обычный 6 5 11 2" xfId="19700"/>
    <cellStyle name="Обычный 6 5 11 3" xfId="19701"/>
    <cellStyle name="Обычный 6 5 12" xfId="19702"/>
    <cellStyle name="Обычный 6 5 12 2" xfId="19703"/>
    <cellStyle name="Обычный 6 5 13" xfId="19704"/>
    <cellStyle name="Обычный 6 5 14" xfId="19705"/>
    <cellStyle name="Обычный 6 5 2" xfId="19706"/>
    <cellStyle name="Обычный 6 5 2 10" xfId="19707"/>
    <cellStyle name="Обычный 6 5 2 10 2" xfId="19708"/>
    <cellStyle name="Обычный 6 5 2 10 3" xfId="19709"/>
    <cellStyle name="Обычный 6 5 2 11" xfId="19710"/>
    <cellStyle name="Обычный 6 5 2 11 2" xfId="19711"/>
    <cellStyle name="Обычный 6 5 2 12" xfId="19712"/>
    <cellStyle name="Обычный 6 5 2 13" xfId="19713"/>
    <cellStyle name="Обычный 6 5 2 2" xfId="19714"/>
    <cellStyle name="Обычный 6 5 2 2 10" xfId="19715"/>
    <cellStyle name="Обычный 6 5 2 2 2" xfId="19716"/>
    <cellStyle name="Обычный 6 5 2 2 2 2" xfId="19717"/>
    <cellStyle name="Обычный 6 5 2 2 2 2 2" xfId="19718"/>
    <cellStyle name="Обычный 6 5 2 2 2 2 2 2" xfId="19719"/>
    <cellStyle name="Обычный 6 5 2 2 2 2 2 2 2" xfId="19720"/>
    <cellStyle name="Обычный 6 5 2 2 2 2 2 2 2 2" xfId="19721"/>
    <cellStyle name="Обычный 6 5 2 2 2 2 2 2 2 3" xfId="19722"/>
    <cellStyle name="Обычный 6 5 2 2 2 2 2 2 3" xfId="19723"/>
    <cellStyle name="Обычный 6 5 2 2 2 2 2 2 3 2" xfId="19724"/>
    <cellStyle name="Обычный 6 5 2 2 2 2 2 2 3 3" xfId="19725"/>
    <cellStyle name="Обычный 6 5 2 2 2 2 2 2 4" xfId="19726"/>
    <cellStyle name="Обычный 6 5 2 2 2 2 2 2 4 2" xfId="19727"/>
    <cellStyle name="Обычный 6 5 2 2 2 2 2 2 5" xfId="19728"/>
    <cellStyle name="Обычный 6 5 2 2 2 2 2 2 6" xfId="19729"/>
    <cellStyle name="Обычный 6 5 2 2 2 2 2 3" xfId="19730"/>
    <cellStyle name="Обычный 6 5 2 2 2 2 2 3 2" xfId="19731"/>
    <cellStyle name="Обычный 6 5 2 2 2 2 2 3 3" xfId="19732"/>
    <cellStyle name="Обычный 6 5 2 2 2 2 2 4" xfId="19733"/>
    <cellStyle name="Обычный 6 5 2 2 2 2 2 4 2" xfId="19734"/>
    <cellStyle name="Обычный 6 5 2 2 2 2 2 4 3" xfId="19735"/>
    <cellStyle name="Обычный 6 5 2 2 2 2 2 5" xfId="19736"/>
    <cellStyle name="Обычный 6 5 2 2 2 2 2 5 2" xfId="19737"/>
    <cellStyle name="Обычный 6 5 2 2 2 2 2 6" xfId="19738"/>
    <cellStyle name="Обычный 6 5 2 2 2 2 2 7" xfId="19739"/>
    <cellStyle name="Обычный 6 5 2 2 2 2 3" xfId="19740"/>
    <cellStyle name="Обычный 6 5 2 2 2 2 3 2" xfId="19741"/>
    <cellStyle name="Обычный 6 5 2 2 2 2 3 2 2" xfId="19742"/>
    <cellStyle name="Обычный 6 5 2 2 2 2 3 2 3" xfId="19743"/>
    <cellStyle name="Обычный 6 5 2 2 2 2 3 3" xfId="19744"/>
    <cellStyle name="Обычный 6 5 2 2 2 2 3 3 2" xfId="19745"/>
    <cellStyle name="Обычный 6 5 2 2 2 2 3 3 3" xfId="19746"/>
    <cellStyle name="Обычный 6 5 2 2 2 2 3 4" xfId="19747"/>
    <cellStyle name="Обычный 6 5 2 2 2 2 3 4 2" xfId="19748"/>
    <cellStyle name="Обычный 6 5 2 2 2 2 3 5" xfId="19749"/>
    <cellStyle name="Обычный 6 5 2 2 2 2 3 6" xfId="19750"/>
    <cellStyle name="Обычный 6 5 2 2 2 2 4" xfId="19751"/>
    <cellStyle name="Обычный 6 5 2 2 2 2 4 2" xfId="19752"/>
    <cellStyle name="Обычный 6 5 2 2 2 2 4 3" xfId="19753"/>
    <cellStyle name="Обычный 6 5 2 2 2 2 5" xfId="19754"/>
    <cellStyle name="Обычный 6 5 2 2 2 2 5 2" xfId="19755"/>
    <cellStyle name="Обычный 6 5 2 2 2 2 5 3" xfId="19756"/>
    <cellStyle name="Обычный 6 5 2 2 2 2 6" xfId="19757"/>
    <cellStyle name="Обычный 6 5 2 2 2 2 6 2" xfId="19758"/>
    <cellStyle name="Обычный 6 5 2 2 2 2 7" xfId="19759"/>
    <cellStyle name="Обычный 6 5 2 2 2 2 8" xfId="19760"/>
    <cellStyle name="Обычный 6 5 2 2 2 3" xfId="19761"/>
    <cellStyle name="Обычный 6 5 2 2 2 3 2" xfId="19762"/>
    <cellStyle name="Обычный 6 5 2 2 2 3 2 2" xfId="19763"/>
    <cellStyle name="Обычный 6 5 2 2 2 3 2 2 2" xfId="19764"/>
    <cellStyle name="Обычный 6 5 2 2 2 3 2 2 3" xfId="19765"/>
    <cellStyle name="Обычный 6 5 2 2 2 3 2 3" xfId="19766"/>
    <cellStyle name="Обычный 6 5 2 2 2 3 2 3 2" xfId="19767"/>
    <cellStyle name="Обычный 6 5 2 2 2 3 2 3 3" xfId="19768"/>
    <cellStyle name="Обычный 6 5 2 2 2 3 2 4" xfId="19769"/>
    <cellStyle name="Обычный 6 5 2 2 2 3 2 4 2" xfId="19770"/>
    <cellStyle name="Обычный 6 5 2 2 2 3 2 5" xfId="19771"/>
    <cellStyle name="Обычный 6 5 2 2 2 3 2 6" xfId="19772"/>
    <cellStyle name="Обычный 6 5 2 2 2 3 3" xfId="19773"/>
    <cellStyle name="Обычный 6 5 2 2 2 3 3 2" xfId="19774"/>
    <cellStyle name="Обычный 6 5 2 2 2 3 3 3" xfId="19775"/>
    <cellStyle name="Обычный 6 5 2 2 2 3 4" xfId="19776"/>
    <cellStyle name="Обычный 6 5 2 2 2 3 4 2" xfId="19777"/>
    <cellStyle name="Обычный 6 5 2 2 2 3 4 3" xfId="19778"/>
    <cellStyle name="Обычный 6 5 2 2 2 3 5" xfId="19779"/>
    <cellStyle name="Обычный 6 5 2 2 2 3 5 2" xfId="19780"/>
    <cellStyle name="Обычный 6 5 2 2 2 3 6" xfId="19781"/>
    <cellStyle name="Обычный 6 5 2 2 2 3 7" xfId="19782"/>
    <cellStyle name="Обычный 6 5 2 2 2 4" xfId="19783"/>
    <cellStyle name="Обычный 6 5 2 2 2 4 2" xfId="19784"/>
    <cellStyle name="Обычный 6 5 2 2 2 4 2 2" xfId="19785"/>
    <cellStyle name="Обычный 6 5 2 2 2 4 2 3" xfId="19786"/>
    <cellStyle name="Обычный 6 5 2 2 2 4 3" xfId="19787"/>
    <cellStyle name="Обычный 6 5 2 2 2 4 3 2" xfId="19788"/>
    <cellStyle name="Обычный 6 5 2 2 2 4 3 3" xfId="19789"/>
    <cellStyle name="Обычный 6 5 2 2 2 4 4" xfId="19790"/>
    <cellStyle name="Обычный 6 5 2 2 2 4 4 2" xfId="19791"/>
    <cellStyle name="Обычный 6 5 2 2 2 4 5" xfId="19792"/>
    <cellStyle name="Обычный 6 5 2 2 2 4 6" xfId="19793"/>
    <cellStyle name="Обычный 6 5 2 2 2 5" xfId="19794"/>
    <cellStyle name="Обычный 6 5 2 2 2 5 2" xfId="19795"/>
    <cellStyle name="Обычный 6 5 2 2 2 5 3" xfId="19796"/>
    <cellStyle name="Обычный 6 5 2 2 2 6" xfId="19797"/>
    <cellStyle name="Обычный 6 5 2 2 2 6 2" xfId="19798"/>
    <cellStyle name="Обычный 6 5 2 2 2 6 3" xfId="19799"/>
    <cellStyle name="Обычный 6 5 2 2 2 7" xfId="19800"/>
    <cellStyle name="Обычный 6 5 2 2 2 7 2" xfId="19801"/>
    <cellStyle name="Обычный 6 5 2 2 2 8" xfId="19802"/>
    <cellStyle name="Обычный 6 5 2 2 2 9" xfId="19803"/>
    <cellStyle name="Обычный 6 5 2 2 3" xfId="19804"/>
    <cellStyle name="Обычный 6 5 2 2 3 2" xfId="19805"/>
    <cellStyle name="Обычный 6 5 2 2 3 2 2" xfId="19806"/>
    <cellStyle name="Обычный 6 5 2 2 3 2 2 2" xfId="19807"/>
    <cellStyle name="Обычный 6 5 2 2 3 2 2 2 2" xfId="19808"/>
    <cellStyle name="Обычный 6 5 2 2 3 2 2 2 3" xfId="19809"/>
    <cellStyle name="Обычный 6 5 2 2 3 2 2 3" xfId="19810"/>
    <cellStyle name="Обычный 6 5 2 2 3 2 2 3 2" xfId="19811"/>
    <cellStyle name="Обычный 6 5 2 2 3 2 2 3 3" xfId="19812"/>
    <cellStyle name="Обычный 6 5 2 2 3 2 2 4" xfId="19813"/>
    <cellStyle name="Обычный 6 5 2 2 3 2 2 4 2" xfId="19814"/>
    <cellStyle name="Обычный 6 5 2 2 3 2 2 5" xfId="19815"/>
    <cellStyle name="Обычный 6 5 2 2 3 2 2 6" xfId="19816"/>
    <cellStyle name="Обычный 6 5 2 2 3 2 3" xfId="19817"/>
    <cellStyle name="Обычный 6 5 2 2 3 2 3 2" xfId="19818"/>
    <cellStyle name="Обычный 6 5 2 2 3 2 3 3" xfId="19819"/>
    <cellStyle name="Обычный 6 5 2 2 3 2 4" xfId="19820"/>
    <cellStyle name="Обычный 6 5 2 2 3 2 4 2" xfId="19821"/>
    <cellStyle name="Обычный 6 5 2 2 3 2 4 3" xfId="19822"/>
    <cellStyle name="Обычный 6 5 2 2 3 2 5" xfId="19823"/>
    <cellStyle name="Обычный 6 5 2 2 3 2 5 2" xfId="19824"/>
    <cellStyle name="Обычный 6 5 2 2 3 2 6" xfId="19825"/>
    <cellStyle name="Обычный 6 5 2 2 3 2 7" xfId="19826"/>
    <cellStyle name="Обычный 6 5 2 2 3 3" xfId="19827"/>
    <cellStyle name="Обычный 6 5 2 2 3 3 2" xfId="19828"/>
    <cellStyle name="Обычный 6 5 2 2 3 3 2 2" xfId="19829"/>
    <cellStyle name="Обычный 6 5 2 2 3 3 2 3" xfId="19830"/>
    <cellStyle name="Обычный 6 5 2 2 3 3 3" xfId="19831"/>
    <cellStyle name="Обычный 6 5 2 2 3 3 3 2" xfId="19832"/>
    <cellStyle name="Обычный 6 5 2 2 3 3 3 3" xfId="19833"/>
    <cellStyle name="Обычный 6 5 2 2 3 3 4" xfId="19834"/>
    <cellStyle name="Обычный 6 5 2 2 3 3 4 2" xfId="19835"/>
    <cellStyle name="Обычный 6 5 2 2 3 3 5" xfId="19836"/>
    <cellStyle name="Обычный 6 5 2 2 3 3 6" xfId="19837"/>
    <cellStyle name="Обычный 6 5 2 2 3 4" xfId="19838"/>
    <cellStyle name="Обычный 6 5 2 2 3 4 2" xfId="19839"/>
    <cellStyle name="Обычный 6 5 2 2 3 4 3" xfId="19840"/>
    <cellStyle name="Обычный 6 5 2 2 3 5" xfId="19841"/>
    <cellStyle name="Обычный 6 5 2 2 3 5 2" xfId="19842"/>
    <cellStyle name="Обычный 6 5 2 2 3 5 3" xfId="19843"/>
    <cellStyle name="Обычный 6 5 2 2 3 6" xfId="19844"/>
    <cellStyle name="Обычный 6 5 2 2 3 6 2" xfId="19845"/>
    <cellStyle name="Обычный 6 5 2 2 3 7" xfId="19846"/>
    <cellStyle name="Обычный 6 5 2 2 3 8" xfId="19847"/>
    <cellStyle name="Обычный 6 5 2 2 4" xfId="19848"/>
    <cellStyle name="Обычный 6 5 2 2 4 2" xfId="19849"/>
    <cellStyle name="Обычный 6 5 2 2 4 2 2" xfId="19850"/>
    <cellStyle name="Обычный 6 5 2 2 4 2 2 2" xfId="19851"/>
    <cellStyle name="Обычный 6 5 2 2 4 2 2 3" xfId="19852"/>
    <cellStyle name="Обычный 6 5 2 2 4 2 3" xfId="19853"/>
    <cellStyle name="Обычный 6 5 2 2 4 2 3 2" xfId="19854"/>
    <cellStyle name="Обычный 6 5 2 2 4 2 3 3" xfId="19855"/>
    <cellStyle name="Обычный 6 5 2 2 4 2 4" xfId="19856"/>
    <cellStyle name="Обычный 6 5 2 2 4 2 4 2" xfId="19857"/>
    <cellStyle name="Обычный 6 5 2 2 4 2 5" xfId="19858"/>
    <cellStyle name="Обычный 6 5 2 2 4 2 6" xfId="19859"/>
    <cellStyle name="Обычный 6 5 2 2 4 3" xfId="19860"/>
    <cellStyle name="Обычный 6 5 2 2 4 3 2" xfId="19861"/>
    <cellStyle name="Обычный 6 5 2 2 4 3 3" xfId="19862"/>
    <cellStyle name="Обычный 6 5 2 2 4 4" xfId="19863"/>
    <cellStyle name="Обычный 6 5 2 2 4 4 2" xfId="19864"/>
    <cellStyle name="Обычный 6 5 2 2 4 4 3" xfId="19865"/>
    <cellStyle name="Обычный 6 5 2 2 4 5" xfId="19866"/>
    <cellStyle name="Обычный 6 5 2 2 4 5 2" xfId="19867"/>
    <cellStyle name="Обычный 6 5 2 2 4 6" xfId="19868"/>
    <cellStyle name="Обычный 6 5 2 2 4 7" xfId="19869"/>
    <cellStyle name="Обычный 6 5 2 2 5" xfId="19870"/>
    <cellStyle name="Обычный 6 5 2 2 5 2" xfId="19871"/>
    <cellStyle name="Обычный 6 5 2 2 5 2 2" xfId="19872"/>
    <cellStyle name="Обычный 6 5 2 2 5 2 3" xfId="19873"/>
    <cellStyle name="Обычный 6 5 2 2 5 3" xfId="19874"/>
    <cellStyle name="Обычный 6 5 2 2 5 3 2" xfId="19875"/>
    <cellStyle name="Обычный 6 5 2 2 5 3 3" xfId="19876"/>
    <cellStyle name="Обычный 6 5 2 2 5 4" xfId="19877"/>
    <cellStyle name="Обычный 6 5 2 2 5 4 2" xfId="19878"/>
    <cellStyle name="Обычный 6 5 2 2 5 5" xfId="19879"/>
    <cellStyle name="Обычный 6 5 2 2 5 6" xfId="19880"/>
    <cellStyle name="Обычный 6 5 2 2 6" xfId="19881"/>
    <cellStyle name="Обычный 6 5 2 2 6 2" xfId="19882"/>
    <cellStyle name="Обычный 6 5 2 2 6 3" xfId="19883"/>
    <cellStyle name="Обычный 6 5 2 2 7" xfId="19884"/>
    <cellStyle name="Обычный 6 5 2 2 7 2" xfId="19885"/>
    <cellStyle name="Обычный 6 5 2 2 7 3" xfId="19886"/>
    <cellStyle name="Обычный 6 5 2 2 8" xfId="19887"/>
    <cellStyle name="Обычный 6 5 2 2 8 2" xfId="19888"/>
    <cellStyle name="Обычный 6 5 2 2 9" xfId="19889"/>
    <cellStyle name="Обычный 6 5 2 3" xfId="19890"/>
    <cellStyle name="Обычный 6 5 2 3 10" xfId="19891"/>
    <cellStyle name="Обычный 6 5 2 3 2" xfId="19892"/>
    <cellStyle name="Обычный 6 5 2 3 2 2" xfId="19893"/>
    <cellStyle name="Обычный 6 5 2 3 2 2 2" xfId="19894"/>
    <cellStyle name="Обычный 6 5 2 3 2 2 2 2" xfId="19895"/>
    <cellStyle name="Обычный 6 5 2 3 2 2 2 2 2" xfId="19896"/>
    <cellStyle name="Обычный 6 5 2 3 2 2 2 2 2 2" xfId="19897"/>
    <cellStyle name="Обычный 6 5 2 3 2 2 2 2 2 3" xfId="19898"/>
    <cellStyle name="Обычный 6 5 2 3 2 2 2 2 3" xfId="19899"/>
    <cellStyle name="Обычный 6 5 2 3 2 2 2 2 3 2" xfId="19900"/>
    <cellStyle name="Обычный 6 5 2 3 2 2 2 2 3 3" xfId="19901"/>
    <cellStyle name="Обычный 6 5 2 3 2 2 2 2 4" xfId="19902"/>
    <cellStyle name="Обычный 6 5 2 3 2 2 2 2 4 2" xfId="19903"/>
    <cellStyle name="Обычный 6 5 2 3 2 2 2 2 5" xfId="19904"/>
    <cellStyle name="Обычный 6 5 2 3 2 2 2 2 6" xfId="19905"/>
    <cellStyle name="Обычный 6 5 2 3 2 2 2 3" xfId="19906"/>
    <cellStyle name="Обычный 6 5 2 3 2 2 2 3 2" xfId="19907"/>
    <cellStyle name="Обычный 6 5 2 3 2 2 2 3 3" xfId="19908"/>
    <cellStyle name="Обычный 6 5 2 3 2 2 2 4" xfId="19909"/>
    <cellStyle name="Обычный 6 5 2 3 2 2 2 4 2" xfId="19910"/>
    <cellStyle name="Обычный 6 5 2 3 2 2 2 4 3" xfId="19911"/>
    <cellStyle name="Обычный 6 5 2 3 2 2 2 5" xfId="19912"/>
    <cellStyle name="Обычный 6 5 2 3 2 2 2 5 2" xfId="19913"/>
    <cellStyle name="Обычный 6 5 2 3 2 2 2 6" xfId="19914"/>
    <cellStyle name="Обычный 6 5 2 3 2 2 2 7" xfId="19915"/>
    <cellStyle name="Обычный 6 5 2 3 2 2 3" xfId="19916"/>
    <cellStyle name="Обычный 6 5 2 3 2 2 3 2" xfId="19917"/>
    <cellStyle name="Обычный 6 5 2 3 2 2 3 2 2" xfId="19918"/>
    <cellStyle name="Обычный 6 5 2 3 2 2 3 2 3" xfId="19919"/>
    <cellStyle name="Обычный 6 5 2 3 2 2 3 3" xfId="19920"/>
    <cellStyle name="Обычный 6 5 2 3 2 2 3 3 2" xfId="19921"/>
    <cellStyle name="Обычный 6 5 2 3 2 2 3 3 3" xfId="19922"/>
    <cellStyle name="Обычный 6 5 2 3 2 2 3 4" xfId="19923"/>
    <cellStyle name="Обычный 6 5 2 3 2 2 3 4 2" xfId="19924"/>
    <cellStyle name="Обычный 6 5 2 3 2 2 3 5" xfId="19925"/>
    <cellStyle name="Обычный 6 5 2 3 2 2 3 6" xfId="19926"/>
    <cellStyle name="Обычный 6 5 2 3 2 2 4" xfId="19927"/>
    <cellStyle name="Обычный 6 5 2 3 2 2 4 2" xfId="19928"/>
    <cellStyle name="Обычный 6 5 2 3 2 2 4 3" xfId="19929"/>
    <cellStyle name="Обычный 6 5 2 3 2 2 5" xfId="19930"/>
    <cellStyle name="Обычный 6 5 2 3 2 2 5 2" xfId="19931"/>
    <cellStyle name="Обычный 6 5 2 3 2 2 5 3" xfId="19932"/>
    <cellStyle name="Обычный 6 5 2 3 2 2 6" xfId="19933"/>
    <cellStyle name="Обычный 6 5 2 3 2 2 6 2" xfId="19934"/>
    <cellStyle name="Обычный 6 5 2 3 2 2 7" xfId="19935"/>
    <cellStyle name="Обычный 6 5 2 3 2 2 8" xfId="19936"/>
    <cellStyle name="Обычный 6 5 2 3 2 3" xfId="19937"/>
    <cellStyle name="Обычный 6 5 2 3 2 3 2" xfId="19938"/>
    <cellStyle name="Обычный 6 5 2 3 2 3 2 2" xfId="19939"/>
    <cellStyle name="Обычный 6 5 2 3 2 3 2 2 2" xfId="19940"/>
    <cellStyle name="Обычный 6 5 2 3 2 3 2 2 3" xfId="19941"/>
    <cellStyle name="Обычный 6 5 2 3 2 3 2 3" xfId="19942"/>
    <cellStyle name="Обычный 6 5 2 3 2 3 2 3 2" xfId="19943"/>
    <cellStyle name="Обычный 6 5 2 3 2 3 2 3 3" xfId="19944"/>
    <cellStyle name="Обычный 6 5 2 3 2 3 2 4" xfId="19945"/>
    <cellStyle name="Обычный 6 5 2 3 2 3 2 4 2" xfId="19946"/>
    <cellStyle name="Обычный 6 5 2 3 2 3 2 5" xfId="19947"/>
    <cellStyle name="Обычный 6 5 2 3 2 3 2 6" xfId="19948"/>
    <cellStyle name="Обычный 6 5 2 3 2 3 3" xfId="19949"/>
    <cellStyle name="Обычный 6 5 2 3 2 3 3 2" xfId="19950"/>
    <cellStyle name="Обычный 6 5 2 3 2 3 3 3" xfId="19951"/>
    <cellStyle name="Обычный 6 5 2 3 2 3 4" xfId="19952"/>
    <cellStyle name="Обычный 6 5 2 3 2 3 4 2" xfId="19953"/>
    <cellStyle name="Обычный 6 5 2 3 2 3 4 3" xfId="19954"/>
    <cellStyle name="Обычный 6 5 2 3 2 3 5" xfId="19955"/>
    <cellStyle name="Обычный 6 5 2 3 2 3 5 2" xfId="19956"/>
    <cellStyle name="Обычный 6 5 2 3 2 3 6" xfId="19957"/>
    <cellStyle name="Обычный 6 5 2 3 2 3 7" xfId="19958"/>
    <cellStyle name="Обычный 6 5 2 3 2 4" xfId="19959"/>
    <cellStyle name="Обычный 6 5 2 3 2 4 2" xfId="19960"/>
    <cellStyle name="Обычный 6 5 2 3 2 4 2 2" xfId="19961"/>
    <cellStyle name="Обычный 6 5 2 3 2 4 2 3" xfId="19962"/>
    <cellStyle name="Обычный 6 5 2 3 2 4 3" xfId="19963"/>
    <cellStyle name="Обычный 6 5 2 3 2 4 3 2" xfId="19964"/>
    <cellStyle name="Обычный 6 5 2 3 2 4 3 3" xfId="19965"/>
    <cellStyle name="Обычный 6 5 2 3 2 4 4" xfId="19966"/>
    <cellStyle name="Обычный 6 5 2 3 2 4 4 2" xfId="19967"/>
    <cellStyle name="Обычный 6 5 2 3 2 4 5" xfId="19968"/>
    <cellStyle name="Обычный 6 5 2 3 2 4 6" xfId="19969"/>
    <cellStyle name="Обычный 6 5 2 3 2 5" xfId="19970"/>
    <cellStyle name="Обычный 6 5 2 3 2 5 2" xfId="19971"/>
    <cellStyle name="Обычный 6 5 2 3 2 5 3" xfId="19972"/>
    <cellStyle name="Обычный 6 5 2 3 2 6" xfId="19973"/>
    <cellStyle name="Обычный 6 5 2 3 2 6 2" xfId="19974"/>
    <cellStyle name="Обычный 6 5 2 3 2 6 3" xfId="19975"/>
    <cellStyle name="Обычный 6 5 2 3 2 7" xfId="19976"/>
    <cellStyle name="Обычный 6 5 2 3 2 7 2" xfId="19977"/>
    <cellStyle name="Обычный 6 5 2 3 2 8" xfId="19978"/>
    <cellStyle name="Обычный 6 5 2 3 2 9" xfId="19979"/>
    <cellStyle name="Обычный 6 5 2 3 3" xfId="19980"/>
    <cellStyle name="Обычный 6 5 2 3 3 2" xfId="19981"/>
    <cellStyle name="Обычный 6 5 2 3 3 2 2" xfId="19982"/>
    <cellStyle name="Обычный 6 5 2 3 3 2 2 2" xfId="19983"/>
    <cellStyle name="Обычный 6 5 2 3 3 2 2 2 2" xfId="19984"/>
    <cellStyle name="Обычный 6 5 2 3 3 2 2 2 3" xfId="19985"/>
    <cellStyle name="Обычный 6 5 2 3 3 2 2 3" xfId="19986"/>
    <cellStyle name="Обычный 6 5 2 3 3 2 2 3 2" xfId="19987"/>
    <cellStyle name="Обычный 6 5 2 3 3 2 2 3 3" xfId="19988"/>
    <cellStyle name="Обычный 6 5 2 3 3 2 2 4" xfId="19989"/>
    <cellStyle name="Обычный 6 5 2 3 3 2 2 4 2" xfId="19990"/>
    <cellStyle name="Обычный 6 5 2 3 3 2 2 5" xfId="19991"/>
    <cellStyle name="Обычный 6 5 2 3 3 2 2 6" xfId="19992"/>
    <cellStyle name="Обычный 6 5 2 3 3 2 3" xfId="19993"/>
    <cellStyle name="Обычный 6 5 2 3 3 2 3 2" xfId="19994"/>
    <cellStyle name="Обычный 6 5 2 3 3 2 3 3" xfId="19995"/>
    <cellStyle name="Обычный 6 5 2 3 3 2 4" xfId="19996"/>
    <cellStyle name="Обычный 6 5 2 3 3 2 4 2" xfId="19997"/>
    <cellStyle name="Обычный 6 5 2 3 3 2 4 3" xfId="19998"/>
    <cellStyle name="Обычный 6 5 2 3 3 2 5" xfId="19999"/>
    <cellStyle name="Обычный 6 5 2 3 3 2 5 2" xfId="20000"/>
    <cellStyle name="Обычный 6 5 2 3 3 2 6" xfId="20001"/>
    <cellStyle name="Обычный 6 5 2 3 3 2 7" xfId="20002"/>
    <cellStyle name="Обычный 6 5 2 3 3 3" xfId="20003"/>
    <cellStyle name="Обычный 6 5 2 3 3 3 2" xfId="20004"/>
    <cellStyle name="Обычный 6 5 2 3 3 3 2 2" xfId="20005"/>
    <cellStyle name="Обычный 6 5 2 3 3 3 2 3" xfId="20006"/>
    <cellStyle name="Обычный 6 5 2 3 3 3 3" xfId="20007"/>
    <cellStyle name="Обычный 6 5 2 3 3 3 3 2" xfId="20008"/>
    <cellStyle name="Обычный 6 5 2 3 3 3 3 3" xfId="20009"/>
    <cellStyle name="Обычный 6 5 2 3 3 3 4" xfId="20010"/>
    <cellStyle name="Обычный 6 5 2 3 3 3 4 2" xfId="20011"/>
    <cellStyle name="Обычный 6 5 2 3 3 3 5" xfId="20012"/>
    <cellStyle name="Обычный 6 5 2 3 3 3 6" xfId="20013"/>
    <cellStyle name="Обычный 6 5 2 3 3 4" xfId="20014"/>
    <cellStyle name="Обычный 6 5 2 3 3 4 2" xfId="20015"/>
    <cellStyle name="Обычный 6 5 2 3 3 4 3" xfId="20016"/>
    <cellStyle name="Обычный 6 5 2 3 3 5" xfId="20017"/>
    <cellStyle name="Обычный 6 5 2 3 3 5 2" xfId="20018"/>
    <cellStyle name="Обычный 6 5 2 3 3 5 3" xfId="20019"/>
    <cellStyle name="Обычный 6 5 2 3 3 6" xfId="20020"/>
    <cellStyle name="Обычный 6 5 2 3 3 6 2" xfId="20021"/>
    <cellStyle name="Обычный 6 5 2 3 3 7" xfId="20022"/>
    <cellStyle name="Обычный 6 5 2 3 3 8" xfId="20023"/>
    <cellStyle name="Обычный 6 5 2 3 4" xfId="20024"/>
    <cellStyle name="Обычный 6 5 2 3 4 2" xfId="20025"/>
    <cellStyle name="Обычный 6 5 2 3 4 2 2" xfId="20026"/>
    <cellStyle name="Обычный 6 5 2 3 4 2 2 2" xfId="20027"/>
    <cellStyle name="Обычный 6 5 2 3 4 2 2 3" xfId="20028"/>
    <cellStyle name="Обычный 6 5 2 3 4 2 3" xfId="20029"/>
    <cellStyle name="Обычный 6 5 2 3 4 2 3 2" xfId="20030"/>
    <cellStyle name="Обычный 6 5 2 3 4 2 3 3" xfId="20031"/>
    <cellStyle name="Обычный 6 5 2 3 4 2 4" xfId="20032"/>
    <cellStyle name="Обычный 6 5 2 3 4 2 4 2" xfId="20033"/>
    <cellStyle name="Обычный 6 5 2 3 4 2 5" xfId="20034"/>
    <cellStyle name="Обычный 6 5 2 3 4 2 6" xfId="20035"/>
    <cellStyle name="Обычный 6 5 2 3 4 3" xfId="20036"/>
    <cellStyle name="Обычный 6 5 2 3 4 3 2" xfId="20037"/>
    <cellStyle name="Обычный 6 5 2 3 4 3 3" xfId="20038"/>
    <cellStyle name="Обычный 6 5 2 3 4 4" xfId="20039"/>
    <cellStyle name="Обычный 6 5 2 3 4 4 2" xfId="20040"/>
    <cellStyle name="Обычный 6 5 2 3 4 4 3" xfId="20041"/>
    <cellStyle name="Обычный 6 5 2 3 4 5" xfId="20042"/>
    <cellStyle name="Обычный 6 5 2 3 4 5 2" xfId="20043"/>
    <cellStyle name="Обычный 6 5 2 3 4 6" xfId="20044"/>
    <cellStyle name="Обычный 6 5 2 3 4 7" xfId="20045"/>
    <cellStyle name="Обычный 6 5 2 3 5" xfId="20046"/>
    <cellStyle name="Обычный 6 5 2 3 5 2" xfId="20047"/>
    <cellStyle name="Обычный 6 5 2 3 5 2 2" xfId="20048"/>
    <cellStyle name="Обычный 6 5 2 3 5 2 3" xfId="20049"/>
    <cellStyle name="Обычный 6 5 2 3 5 3" xfId="20050"/>
    <cellStyle name="Обычный 6 5 2 3 5 3 2" xfId="20051"/>
    <cellStyle name="Обычный 6 5 2 3 5 3 3" xfId="20052"/>
    <cellStyle name="Обычный 6 5 2 3 5 4" xfId="20053"/>
    <cellStyle name="Обычный 6 5 2 3 5 4 2" xfId="20054"/>
    <cellStyle name="Обычный 6 5 2 3 5 5" xfId="20055"/>
    <cellStyle name="Обычный 6 5 2 3 5 6" xfId="20056"/>
    <cellStyle name="Обычный 6 5 2 3 6" xfId="20057"/>
    <cellStyle name="Обычный 6 5 2 3 6 2" xfId="20058"/>
    <cellStyle name="Обычный 6 5 2 3 6 3" xfId="20059"/>
    <cellStyle name="Обычный 6 5 2 3 7" xfId="20060"/>
    <cellStyle name="Обычный 6 5 2 3 7 2" xfId="20061"/>
    <cellStyle name="Обычный 6 5 2 3 7 3" xfId="20062"/>
    <cellStyle name="Обычный 6 5 2 3 8" xfId="20063"/>
    <cellStyle name="Обычный 6 5 2 3 8 2" xfId="20064"/>
    <cellStyle name="Обычный 6 5 2 3 9" xfId="20065"/>
    <cellStyle name="Обычный 6 5 2 4" xfId="20066"/>
    <cellStyle name="Обычный 6 5 2 4 10" xfId="20067"/>
    <cellStyle name="Обычный 6 5 2 4 2" xfId="20068"/>
    <cellStyle name="Обычный 6 5 2 4 2 2" xfId="20069"/>
    <cellStyle name="Обычный 6 5 2 4 2 2 2" xfId="20070"/>
    <cellStyle name="Обычный 6 5 2 4 2 2 2 2" xfId="20071"/>
    <cellStyle name="Обычный 6 5 2 4 2 2 2 2 2" xfId="20072"/>
    <cellStyle name="Обычный 6 5 2 4 2 2 2 2 2 2" xfId="20073"/>
    <cellStyle name="Обычный 6 5 2 4 2 2 2 2 2 3" xfId="20074"/>
    <cellStyle name="Обычный 6 5 2 4 2 2 2 2 3" xfId="20075"/>
    <cellStyle name="Обычный 6 5 2 4 2 2 2 2 3 2" xfId="20076"/>
    <cellStyle name="Обычный 6 5 2 4 2 2 2 2 3 3" xfId="20077"/>
    <cellStyle name="Обычный 6 5 2 4 2 2 2 2 4" xfId="20078"/>
    <cellStyle name="Обычный 6 5 2 4 2 2 2 2 4 2" xfId="20079"/>
    <cellStyle name="Обычный 6 5 2 4 2 2 2 2 5" xfId="20080"/>
    <cellStyle name="Обычный 6 5 2 4 2 2 2 2 6" xfId="20081"/>
    <cellStyle name="Обычный 6 5 2 4 2 2 2 3" xfId="20082"/>
    <cellStyle name="Обычный 6 5 2 4 2 2 2 3 2" xfId="20083"/>
    <cellStyle name="Обычный 6 5 2 4 2 2 2 3 3" xfId="20084"/>
    <cellStyle name="Обычный 6 5 2 4 2 2 2 4" xfId="20085"/>
    <cellStyle name="Обычный 6 5 2 4 2 2 2 4 2" xfId="20086"/>
    <cellStyle name="Обычный 6 5 2 4 2 2 2 4 3" xfId="20087"/>
    <cellStyle name="Обычный 6 5 2 4 2 2 2 5" xfId="20088"/>
    <cellStyle name="Обычный 6 5 2 4 2 2 2 5 2" xfId="20089"/>
    <cellStyle name="Обычный 6 5 2 4 2 2 2 6" xfId="20090"/>
    <cellStyle name="Обычный 6 5 2 4 2 2 2 7" xfId="20091"/>
    <cellStyle name="Обычный 6 5 2 4 2 2 3" xfId="20092"/>
    <cellStyle name="Обычный 6 5 2 4 2 2 3 2" xfId="20093"/>
    <cellStyle name="Обычный 6 5 2 4 2 2 3 2 2" xfId="20094"/>
    <cellStyle name="Обычный 6 5 2 4 2 2 3 2 3" xfId="20095"/>
    <cellStyle name="Обычный 6 5 2 4 2 2 3 3" xfId="20096"/>
    <cellStyle name="Обычный 6 5 2 4 2 2 3 3 2" xfId="20097"/>
    <cellStyle name="Обычный 6 5 2 4 2 2 3 3 3" xfId="20098"/>
    <cellStyle name="Обычный 6 5 2 4 2 2 3 4" xfId="20099"/>
    <cellStyle name="Обычный 6 5 2 4 2 2 3 4 2" xfId="20100"/>
    <cellStyle name="Обычный 6 5 2 4 2 2 3 5" xfId="20101"/>
    <cellStyle name="Обычный 6 5 2 4 2 2 3 6" xfId="20102"/>
    <cellStyle name="Обычный 6 5 2 4 2 2 4" xfId="20103"/>
    <cellStyle name="Обычный 6 5 2 4 2 2 4 2" xfId="20104"/>
    <cellStyle name="Обычный 6 5 2 4 2 2 4 3" xfId="20105"/>
    <cellStyle name="Обычный 6 5 2 4 2 2 5" xfId="20106"/>
    <cellStyle name="Обычный 6 5 2 4 2 2 5 2" xfId="20107"/>
    <cellStyle name="Обычный 6 5 2 4 2 2 5 3" xfId="20108"/>
    <cellStyle name="Обычный 6 5 2 4 2 2 6" xfId="20109"/>
    <cellStyle name="Обычный 6 5 2 4 2 2 6 2" xfId="20110"/>
    <cellStyle name="Обычный 6 5 2 4 2 2 7" xfId="20111"/>
    <cellStyle name="Обычный 6 5 2 4 2 2 8" xfId="20112"/>
    <cellStyle name="Обычный 6 5 2 4 2 3" xfId="20113"/>
    <cellStyle name="Обычный 6 5 2 4 2 3 2" xfId="20114"/>
    <cellStyle name="Обычный 6 5 2 4 2 3 2 2" xfId="20115"/>
    <cellStyle name="Обычный 6 5 2 4 2 3 2 2 2" xfId="20116"/>
    <cellStyle name="Обычный 6 5 2 4 2 3 2 2 3" xfId="20117"/>
    <cellStyle name="Обычный 6 5 2 4 2 3 2 3" xfId="20118"/>
    <cellStyle name="Обычный 6 5 2 4 2 3 2 3 2" xfId="20119"/>
    <cellStyle name="Обычный 6 5 2 4 2 3 2 3 3" xfId="20120"/>
    <cellStyle name="Обычный 6 5 2 4 2 3 2 4" xfId="20121"/>
    <cellStyle name="Обычный 6 5 2 4 2 3 2 4 2" xfId="20122"/>
    <cellStyle name="Обычный 6 5 2 4 2 3 2 5" xfId="20123"/>
    <cellStyle name="Обычный 6 5 2 4 2 3 2 6" xfId="20124"/>
    <cellStyle name="Обычный 6 5 2 4 2 3 3" xfId="20125"/>
    <cellStyle name="Обычный 6 5 2 4 2 3 3 2" xfId="20126"/>
    <cellStyle name="Обычный 6 5 2 4 2 3 3 3" xfId="20127"/>
    <cellStyle name="Обычный 6 5 2 4 2 3 4" xfId="20128"/>
    <cellStyle name="Обычный 6 5 2 4 2 3 4 2" xfId="20129"/>
    <cellStyle name="Обычный 6 5 2 4 2 3 4 3" xfId="20130"/>
    <cellStyle name="Обычный 6 5 2 4 2 3 5" xfId="20131"/>
    <cellStyle name="Обычный 6 5 2 4 2 3 5 2" xfId="20132"/>
    <cellStyle name="Обычный 6 5 2 4 2 3 6" xfId="20133"/>
    <cellStyle name="Обычный 6 5 2 4 2 3 7" xfId="20134"/>
    <cellStyle name="Обычный 6 5 2 4 2 4" xfId="20135"/>
    <cellStyle name="Обычный 6 5 2 4 2 4 2" xfId="20136"/>
    <cellStyle name="Обычный 6 5 2 4 2 4 2 2" xfId="20137"/>
    <cellStyle name="Обычный 6 5 2 4 2 4 2 3" xfId="20138"/>
    <cellStyle name="Обычный 6 5 2 4 2 4 3" xfId="20139"/>
    <cellStyle name="Обычный 6 5 2 4 2 4 3 2" xfId="20140"/>
    <cellStyle name="Обычный 6 5 2 4 2 4 3 3" xfId="20141"/>
    <cellStyle name="Обычный 6 5 2 4 2 4 4" xfId="20142"/>
    <cellStyle name="Обычный 6 5 2 4 2 4 4 2" xfId="20143"/>
    <cellStyle name="Обычный 6 5 2 4 2 4 5" xfId="20144"/>
    <cellStyle name="Обычный 6 5 2 4 2 4 6" xfId="20145"/>
    <cellStyle name="Обычный 6 5 2 4 2 5" xfId="20146"/>
    <cellStyle name="Обычный 6 5 2 4 2 5 2" xfId="20147"/>
    <cellStyle name="Обычный 6 5 2 4 2 5 3" xfId="20148"/>
    <cellStyle name="Обычный 6 5 2 4 2 6" xfId="20149"/>
    <cellStyle name="Обычный 6 5 2 4 2 6 2" xfId="20150"/>
    <cellStyle name="Обычный 6 5 2 4 2 6 3" xfId="20151"/>
    <cellStyle name="Обычный 6 5 2 4 2 7" xfId="20152"/>
    <cellStyle name="Обычный 6 5 2 4 2 7 2" xfId="20153"/>
    <cellStyle name="Обычный 6 5 2 4 2 8" xfId="20154"/>
    <cellStyle name="Обычный 6 5 2 4 2 9" xfId="20155"/>
    <cellStyle name="Обычный 6 5 2 4 3" xfId="20156"/>
    <cellStyle name="Обычный 6 5 2 4 3 2" xfId="20157"/>
    <cellStyle name="Обычный 6 5 2 4 3 2 2" xfId="20158"/>
    <cellStyle name="Обычный 6 5 2 4 3 2 2 2" xfId="20159"/>
    <cellStyle name="Обычный 6 5 2 4 3 2 2 2 2" xfId="20160"/>
    <cellStyle name="Обычный 6 5 2 4 3 2 2 2 3" xfId="20161"/>
    <cellStyle name="Обычный 6 5 2 4 3 2 2 3" xfId="20162"/>
    <cellStyle name="Обычный 6 5 2 4 3 2 2 3 2" xfId="20163"/>
    <cellStyle name="Обычный 6 5 2 4 3 2 2 3 3" xfId="20164"/>
    <cellStyle name="Обычный 6 5 2 4 3 2 2 4" xfId="20165"/>
    <cellStyle name="Обычный 6 5 2 4 3 2 2 4 2" xfId="20166"/>
    <cellStyle name="Обычный 6 5 2 4 3 2 2 5" xfId="20167"/>
    <cellStyle name="Обычный 6 5 2 4 3 2 2 6" xfId="20168"/>
    <cellStyle name="Обычный 6 5 2 4 3 2 3" xfId="20169"/>
    <cellStyle name="Обычный 6 5 2 4 3 2 3 2" xfId="20170"/>
    <cellStyle name="Обычный 6 5 2 4 3 2 3 3" xfId="20171"/>
    <cellStyle name="Обычный 6 5 2 4 3 2 4" xfId="20172"/>
    <cellStyle name="Обычный 6 5 2 4 3 2 4 2" xfId="20173"/>
    <cellStyle name="Обычный 6 5 2 4 3 2 4 3" xfId="20174"/>
    <cellStyle name="Обычный 6 5 2 4 3 2 5" xfId="20175"/>
    <cellStyle name="Обычный 6 5 2 4 3 2 5 2" xfId="20176"/>
    <cellStyle name="Обычный 6 5 2 4 3 2 6" xfId="20177"/>
    <cellStyle name="Обычный 6 5 2 4 3 2 7" xfId="20178"/>
    <cellStyle name="Обычный 6 5 2 4 3 3" xfId="20179"/>
    <cellStyle name="Обычный 6 5 2 4 3 3 2" xfId="20180"/>
    <cellStyle name="Обычный 6 5 2 4 3 3 2 2" xfId="20181"/>
    <cellStyle name="Обычный 6 5 2 4 3 3 2 3" xfId="20182"/>
    <cellStyle name="Обычный 6 5 2 4 3 3 3" xfId="20183"/>
    <cellStyle name="Обычный 6 5 2 4 3 3 3 2" xfId="20184"/>
    <cellStyle name="Обычный 6 5 2 4 3 3 3 3" xfId="20185"/>
    <cellStyle name="Обычный 6 5 2 4 3 3 4" xfId="20186"/>
    <cellStyle name="Обычный 6 5 2 4 3 3 4 2" xfId="20187"/>
    <cellStyle name="Обычный 6 5 2 4 3 3 5" xfId="20188"/>
    <cellStyle name="Обычный 6 5 2 4 3 3 6" xfId="20189"/>
    <cellStyle name="Обычный 6 5 2 4 3 4" xfId="20190"/>
    <cellStyle name="Обычный 6 5 2 4 3 4 2" xfId="20191"/>
    <cellStyle name="Обычный 6 5 2 4 3 4 3" xfId="20192"/>
    <cellStyle name="Обычный 6 5 2 4 3 5" xfId="20193"/>
    <cellStyle name="Обычный 6 5 2 4 3 5 2" xfId="20194"/>
    <cellStyle name="Обычный 6 5 2 4 3 5 3" xfId="20195"/>
    <cellStyle name="Обычный 6 5 2 4 3 6" xfId="20196"/>
    <cellStyle name="Обычный 6 5 2 4 3 6 2" xfId="20197"/>
    <cellStyle name="Обычный 6 5 2 4 3 7" xfId="20198"/>
    <cellStyle name="Обычный 6 5 2 4 3 8" xfId="20199"/>
    <cellStyle name="Обычный 6 5 2 4 4" xfId="20200"/>
    <cellStyle name="Обычный 6 5 2 4 4 2" xfId="20201"/>
    <cellStyle name="Обычный 6 5 2 4 4 2 2" xfId="20202"/>
    <cellStyle name="Обычный 6 5 2 4 4 2 2 2" xfId="20203"/>
    <cellStyle name="Обычный 6 5 2 4 4 2 2 3" xfId="20204"/>
    <cellStyle name="Обычный 6 5 2 4 4 2 3" xfId="20205"/>
    <cellStyle name="Обычный 6 5 2 4 4 2 3 2" xfId="20206"/>
    <cellStyle name="Обычный 6 5 2 4 4 2 3 3" xfId="20207"/>
    <cellStyle name="Обычный 6 5 2 4 4 2 4" xfId="20208"/>
    <cellStyle name="Обычный 6 5 2 4 4 2 4 2" xfId="20209"/>
    <cellStyle name="Обычный 6 5 2 4 4 2 5" xfId="20210"/>
    <cellStyle name="Обычный 6 5 2 4 4 2 6" xfId="20211"/>
    <cellStyle name="Обычный 6 5 2 4 4 3" xfId="20212"/>
    <cellStyle name="Обычный 6 5 2 4 4 3 2" xfId="20213"/>
    <cellStyle name="Обычный 6 5 2 4 4 3 3" xfId="20214"/>
    <cellStyle name="Обычный 6 5 2 4 4 4" xfId="20215"/>
    <cellStyle name="Обычный 6 5 2 4 4 4 2" xfId="20216"/>
    <cellStyle name="Обычный 6 5 2 4 4 4 3" xfId="20217"/>
    <cellStyle name="Обычный 6 5 2 4 4 5" xfId="20218"/>
    <cellStyle name="Обычный 6 5 2 4 4 5 2" xfId="20219"/>
    <cellStyle name="Обычный 6 5 2 4 4 6" xfId="20220"/>
    <cellStyle name="Обычный 6 5 2 4 4 7" xfId="20221"/>
    <cellStyle name="Обычный 6 5 2 4 5" xfId="20222"/>
    <cellStyle name="Обычный 6 5 2 4 5 2" xfId="20223"/>
    <cellStyle name="Обычный 6 5 2 4 5 2 2" xfId="20224"/>
    <cellStyle name="Обычный 6 5 2 4 5 2 3" xfId="20225"/>
    <cellStyle name="Обычный 6 5 2 4 5 3" xfId="20226"/>
    <cellStyle name="Обычный 6 5 2 4 5 3 2" xfId="20227"/>
    <cellStyle name="Обычный 6 5 2 4 5 3 3" xfId="20228"/>
    <cellStyle name="Обычный 6 5 2 4 5 4" xfId="20229"/>
    <cellStyle name="Обычный 6 5 2 4 5 4 2" xfId="20230"/>
    <cellStyle name="Обычный 6 5 2 4 5 5" xfId="20231"/>
    <cellStyle name="Обычный 6 5 2 4 5 6" xfId="20232"/>
    <cellStyle name="Обычный 6 5 2 4 6" xfId="20233"/>
    <cellStyle name="Обычный 6 5 2 4 6 2" xfId="20234"/>
    <cellStyle name="Обычный 6 5 2 4 6 3" xfId="20235"/>
    <cellStyle name="Обычный 6 5 2 4 7" xfId="20236"/>
    <cellStyle name="Обычный 6 5 2 4 7 2" xfId="20237"/>
    <cellStyle name="Обычный 6 5 2 4 7 3" xfId="20238"/>
    <cellStyle name="Обычный 6 5 2 4 8" xfId="20239"/>
    <cellStyle name="Обычный 6 5 2 4 8 2" xfId="20240"/>
    <cellStyle name="Обычный 6 5 2 4 9" xfId="20241"/>
    <cellStyle name="Обычный 6 5 2 5" xfId="20242"/>
    <cellStyle name="Обычный 6 5 2 5 2" xfId="20243"/>
    <cellStyle name="Обычный 6 5 2 5 2 2" xfId="20244"/>
    <cellStyle name="Обычный 6 5 2 5 2 2 2" xfId="20245"/>
    <cellStyle name="Обычный 6 5 2 5 2 2 2 2" xfId="20246"/>
    <cellStyle name="Обычный 6 5 2 5 2 2 2 2 2" xfId="20247"/>
    <cellStyle name="Обычный 6 5 2 5 2 2 2 2 3" xfId="20248"/>
    <cellStyle name="Обычный 6 5 2 5 2 2 2 3" xfId="20249"/>
    <cellStyle name="Обычный 6 5 2 5 2 2 2 3 2" xfId="20250"/>
    <cellStyle name="Обычный 6 5 2 5 2 2 2 3 3" xfId="20251"/>
    <cellStyle name="Обычный 6 5 2 5 2 2 2 4" xfId="20252"/>
    <cellStyle name="Обычный 6 5 2 5 2 2 2 4 2" xfId="20253"/>
    <cellStyle name="Обычный 6 5 2 5 2 2 2 5" xfId="20254"/>
    <cellStyle name="Обычный 6 5 2 5 2 2 2 6" xfId="20255"/>
    <cellStyle name="Обычный 6 5 2 5 2 2 3" xfId="20256"/>
    <cellStyle name="Обычный 6 5 2 5 2 2 3 2" xfId="20257"/>
    <cellStyle name="Обычный 6 5 2 5 2 2 3 3" xfId="20258"/>
    <cellStyle name="Обычный 6 5 2 5 2 2 4" xfId="20259"/>
    <cellStyle name="Обычный 6 5 2 5 2 2 4 2" xfId="20260"/>
    <cellStyle name="Обычный 6 5 2 5 2 2 4 3" xfId="20261"/>
    <cellStyle name="Обычный 6 5 2 5 2 2 5" xfId="20262"/>
    <cellStyle name="Обычный 6 5 2 5 2 2 5 2" xfId="20263"/>
    <cellStyle name="Обычный 6 5 2 5 2 2 6" xfId="20264"/>
    <cellStyle name="Обычный 6 5 2 5 2 2 7" xfId="20265"/>
    <cellStyle name="Обычный 6 5 2 5 2 3" xfId="20266"/>
    <cellStyle name="Обычный 6 5 2 5 2 3 2" xfId="20267"/>
    <cellStyle name="Обычный 6 5 2 5 2 3 2 2" xfId="20268"/>
    <cellStyle name="Обычный 6 5 2 5 2 3 2 3" xfId="20269"/>
    <cellStyle name="Обычный 6 5 2 5 2 3 3" xfId="20270"/>
    <cellStyle name="Обычный 6 5 2 5 2 3 3 2" xfId="20271"/>
    <cellStyle name="Обычный 6 5 2 5 2 3 3 3" xfId="20272"/>
    <cellStyle name="Обычный 6 5 2 5 2 3 4" xfId="20273"/>
    <cellStyle name="Обычный 6 5 2 5 2 3 4 2" xfId="20274"/>
    <cellStyle name="Обычный 6 5 2 5 2 3 5" xfId="20275"/>
    <cellStyle name="Обычный 6 5 2 5 2 3 6" xfId="20276"/>
    <cellStyle name="Обычный 6 5 2 5 2 4" xfId="20277"/>
    <cellStyle name="Обычный 6 5 2 5 2 4 2" xfId="20278"/>
    <cellStyle name="Обычный 6 5 2 5 2 4 3" xfId="20279"/>
    <cellStyle name="Обычный 6 5 2 5 2 5" xfId="20280"/>
    <cellStyle name="Обычный 6 5 2 5 2 5 2" xfId="20281"/>
    <cellStyle name="Обычный 6 5 2 5 2 5 3" xfId="20282"/>
    <cellStyle name="Обычный 6 5 2 5 2 6" xfId="20283"/>
    <cellStyle name="Обычный 6 5 2 5 2 6 2" xfId="20284"/>
    <cellStyle name="Обычный 6 5 2 5 2 7" xfId="20285"/>
    <cellStyle name="Обычный 6 5 2 5 2 8" xfId="20286"/>
    <cellStyle name="Обычный 6 5 2 5 3" xfId="20287"/>
    <cellStyle name="Обычный 6 5 2 5 3 2" xfId="20288"/>
    <cellStyle name="Обычный 6 5 2 5 3 2 2" xfId="20289"/>
    <cellStyle name="Обычный 6 5 2 5 3 2 2 2" xfId="20290"/>
    <cellStyle name="Обычный 6 5 2 5 3 2 2 3" xfId="20291"/>
    <cellStyle name="Обычный 6 5 2 5 3 2 3" xfId="20292"/>
    <cellStyle name="Обычный 6 5 2 5 3 2 3 2" xfId="20293"/>
    <cellStyle name="Обычный 6 5 2 5 3 2 3 3" xfId="20294"/>
    <cellStyle name="Обычный 6 5 2 5 3 2 4" xfId="20295"/>
    <cellStyle name="Обычный 6 5 2 5 3 2 4 2" xfId="20296"/>
    <cellStyle name="Обычный 6 5 2 5 3 2 5" xfId="20297"/>
    <cellStyle name="Обычный 6 5 2 5 3 2 6" xfId="20298"/>
    <cellStyle name="Обычный 6 5 2 5 3 3" xfId="20299"/>
    <cellStyle name="Обычный 6 5 2 5 3 3 2" xfId="20300"/>
    <cellStyle name="Обычный 6 5 2 5 3 3 3" xfId="20301"/>
    <cellStyle name="Обычный 6 5 2 5 3 4" xfId="20302"/>
    <cellStyle name="Обычный 6 5 2 5 3 4 2" xfId="20303"/>
    <cellStyle name="Обычный 6 5 2 5 3 4 3" xfId="20304"/>
    <cellStyle name="Обычный 6 5 2 5 3 5" xfId="20305"/>
    <cellStyle name="Обычный 6 5 2 5 3 5 2" xfId="20306"/>
    <cellStyle name="Обычный 6 5 2 5 3 6" xfId="20307"/>
    <cellStyle name="Обычный 6 5 2 5 3 7" xfId="20308"/>
    <cellStyle name="Обычный 6 5 2 5 4" xfId="20309"/>
    <cellStyle name="Обычный 6 5 2 5 4 2" xfId="20310"/>
    <cellStyle name="Обычный 6 5 2 5 4 2 2" xfId="20311"/>
    <cellStyle name="Обычный 6 5 2 5 4 2 3" xfId="20312"/>
    <cellStyle name="Обычный 6 5 2 5 4 3" xfId="20313"/>
    <cellStyle name="Обычный 6 5 2 5 4 3 2" xfId="20314"/>
    <cellStyle name="Обычный 6 5 2 5 4 3 3" xfId="20315"/>
    <cellStyle name="Обычный 6 5 2 5 4 4" xfId="20316"/>
    <cellStyle name="Обычный 6 5 2 5 4 4 2" xfId="20317"/>
    <cellStyle name="Обычный 6 5 2 5 4 5" xfId="20318"/>
    <cellStyle name="Обычный 6 5 2 5 4 6" xfId="20319"/>
    <cellStyle name="Обычный 6 5 2 5 5" xfId="20320"/>
    <cellStyle name="Обычный 6 5 2 5 5 2" xfId="20321"/>
    <cellStyle name="Обычный 6 5 2 5 5 3" xfId="20322"/>
    <cellStyle name="Обычный 6 5 2 5 6" xfId="20323"/>
    <cellStyle name="Обычный 6 5 2 5 6 2" xfId="20324"/>
    <cellStyle name="Обычный 6 5 2 5 6 3" xfId="20325"/>
    <cellStyle name="Обычный 6 5 2 5 7" xfId="20326"/>
    <cellStyle name="Обычный 6 5 2 5 7 2" xfId="20327"/>
    <cellStyle name="Обычный 6 5 2 5 8" xfId="20328"/>
    <cellStyle name="Обычный 6 5 2 5 9" xfId="20329"/>
    <cellStyle name="Обычный 6 5 2 6" xfId="20330"/>
    <cellStyle name="Обычный 6 5 2 6 2" xfId="20331"/>
    <cellStyle name="Обычный 6 5 2 6 2 2" xfId="20332"/>
    <cellStyle name="Обычный 6 5 2 6 2 2 2" xfId="20333"/>
    <cellStyle name="Обычный 6 5 2 6 2 2 2 2" xfId="20334"/>
    <cellStyle name="Обычный 6 5 2 6 2 2 2 3" xfId="20335"/>
    <cellStyle name="Обычный 6 5 2 6 2 2 3" xfId="20336"/>
    <cellStyle name="Обычный 6 5 2 6 2 2 3 2" xfId="20337"/>
    <cellStyle name="Обычный 6 5 2 6 2 2 3 3" xfId="20338"/>
    <cellStyle name="Обычный 6 5 2 6 2 2 4" xfId="20339"/>
    <cellStyle name="Обычный 6 5 2 6 2 2 4 2" xfId="20340"/>
    <cellStyle name="Обычный 6 5 2 6 2 2 5" xfId="20341"/>
    <cellStyle name="Обычный 6 5 2 6 2 2 6" xfId="20342"/>
    <cellStyle name="Обычный 6 5 2 6 2 3" xfId="20343"/>
    <cellStyle name="Обычный 6 5 2 6 2 3 2" xfId="20344"/>
    <cellStyle name="Обычный 6 5 2 6 2 3 3" xfId="20345"/>
    <cellStyle name="Обычный 6 5 2 6 2 4" xfId="20346"/>
    <cellStyle name="Обычный 6 5 2 6 2 4 2" xfId="20347"/>
    <cellStyle name="Обычный 6 5 2 6 2 4 3" xfId="20348"/>
    <cellStyle name="Обычный 6 5 2 6 2 5" xfId="20349"/>
    <cellStyle name="Обычный 6 5 2 6 2 5 2" xfId="20350"/>
    <cellStyle name="Обычный 6 5 2 6 2 6" xfId="20351"/>
    <cellStyle name="Обычный 6 5 2 6 2 7" xfId="20352"/>
    <cellStyle name="Обычный 6 5 2 6 3" xfId="20353"/>
    <cellStyle name="Обычный 6 5 2 6 3 2" xfId="20354"/>
    <cellStyle name="Обычный 6 5 2 6 3 2 2" xfId="20355"/>
    <cellStyle name="Обычный 6 5 2 6 3 2 3" xfId="20356"/>
    <cellStyle name="Обычный 6 5 2 6 3 3" xfId="20357"/>
    <cellStyle name="Обычный 6 5 2 6 3 3 2" xfId="20358"/>
    <cellStyle name="Обычный 6 5 2 6 3 3 3" xfId="20359"/>
    <cellStyle name="Обычный 6 5 2 6 3 4" xfId="20360"/>
    <cellStyle name="Обычный 6 5 2 6 3 4 2" xfId="20361"/>
    <cellStyle name="Обычный 6 5 2 6 3 5" xfId="20362"/>
    <cellStyle name="Обычный 6 5 2 6 3 6" xfId="20363"/>
    <cellStyle name="Обычный 6 5 2 6 4" xfId="20364"/>
    <cellStyle name="Обычный 6 5 2 6 4 2" xfId="20365"/>
    <cellStyle name="Обычный 6 5 2 6 4 3" xfId="20366"/>
    <cellStyle name="Обычный 6 5 2 6 5" xfId="20367"/>
    <cellStyle name="Обычный 6 5 2 6 5 2" xfId="20368"/>
    <cellStyle name="Обычный 6 5 2 6 5 3" xfId="20369"/>
    <cellStyle name="Обычный 6 5 2 6 6" xfId="20370"/>
    <cellStyle name="Обычный 6 5 2 6 6 2" xfId="20371"/>
    <cellStyle name="Обычный 6 5 2 6 7" xfId="20372"/>
    <cellStyle name="Обычный 6 5 2 6 8" xfId="20373"/>
    <cellStyle name="Обычный 6 5 2 7" xfId="20374"/>
    <cellStyle name="Обычный 6 5 2 7 2" xfId="20375"/>
    <cellStyle name="Обычный 6 5 2 7 2 2" xfId="20376"/>
    <cellStyle name="Обычный 6 5 2 7 2 2 2" xfId="20377"/>
    <cellStyle name="Обычный 6 5 2 7 2 2 3" xfId="20378"/>
    <cellStyle name="Обычный 6 5 2 7 2 3" xfId="20379"/>
    <cellStyle name="Обычный 6 5 2 7 2 3 2" xfId="20380"/>
    <cellStyle name="Обычный 6 5 2 7 2 3 3" xfId="20381"/>
    <cellStyle name="Обычный 6 5 2 7 2 4" xfId="20382"/>
    <cellStyle name="Обычный 6 5 2 7 2 4 2" xfId="20383"/>
    <cellStyle name="Обычный 6 5 2 7 2 5" xfId="20384"/>
    <cellStyle name="Обычный 6 5 2 7 2 6" xfId="20385"/>
    <cellStyle name="Обычный 6 5 2 7 3" xfId="20386"/>
    <cellStyle name="Обычный 6 5 2 7 3 2" xfId="20387"/>
    <cellStyle name="Обычный 6 5 2 7 3 3" xfId="20388"/>
    <cellStyle name="Обычный 6 5 2 7 4" xfId="20389"/>
    <cellStyle name="Обычный 6 5 2 7 4 2" xfId="20390"/>
    <cellStyle name="Обычный 6 5 2 7 4 3" xfId="20391"/>
    <cellStyle name="Обычный 6 5 2 7 5" xfId="20392"/>
    <cellStyle name="Обычный 6 5 2 7 5 2" xfId="20393"/>
    <cellStyle name="Обычный 6 5 2 7 6" xfId="20394"/>
    <cellStyle name="Обычный 6 5 2 7 7" xfId="20395"/>
    <cellStyle name="Обычный 6 5 2 8" xfId="20396"/>
    <cellStyle name="Обычный 6 5 2 8 2" xfId="20397"/>
    <cellStyle name="Обычный 6 5 2 8 2 2" xfId="20398"/>
    <cellStyle name="Обычный 6 5 2 8 2 3" xfId="20399"/>
    <cellStyle name="Обычный 6 5 2 8 3" xfId="20400"/>
    <cellStyle name="Обычный 6 5 2 8 3 2" xfId="20401"/>
    <cellStyle name="Обычный 6 5 2 8 3 3" xfId="20402"/>
    <cellStyle name="Обычный 6 5 2 8 4" xfId="20403"/>
    <cellStyle name="Обычный 6 5 2 8 4 2" xfId="20404"/>
    <cellStyle name="Обычный 6 5 2 8 5" xfId="20405"/>
    <cellStyle name="Обычный 6 5 2 8 6" xfId="20406"/>
    <cellStyle name="Обычный 6 5 2 9" xfId="20407"/>
    <cellStyle name="Обычный 6 5 2 9 2" xfId="20408"/>
    <cellStyle name="Обычный 6 5 2 9 3" xfId="20409"/>
    <cellStyle name="Обычный 6 5 3" xfId="20410"/>
    <cellStyle name="Обычный 6 5 3 10" xfId="20411"/>
    <cellStyle name="Обычный 6 5 3 2" xfId="20412"/>
    <cellStyle name="Обычный 6 5 3 2 2" xfId="20413"/>
    <cellStyle name="Обычный 6 5 3 2 2 2" xfId="20414"/>
    <cellStyle name="Обычный 6 5 3 2 2 2 2" xfId="20415"/>
    <cellStyle name="Обычный 6 5 3 2 2 2 2 2" xfId="20416"/>
    <cellStyle name="Обычный 6 5 3 2 2 2 2 2 2" xfId="20417"/>
    <cellStyle name="Обычный 6 5 3 2 2 2 2 2 3" xfId="20418"/>
    <cellStyle name="Обычный 6 5 3 2 2 2 2 3" xfId="20419"/>
    <cellStyle name="Обычный 6 5 3 2 2 2 2 3 2" xfId="20420"/>
    <cellStyle name="Обычный 6 5 3 2 2 2 2 3 3" xfId="20421"/>
    <cellStyle name="Обычный 6 5 3 2 2 2 2 4" xfId="20422"/>
    <cellStyle name="Обычный 6 5 3 2 2 2 2 4 2" xfId="20423"/>
    <cellStyle name="Обычный 6 5 3 2 2 2 2 5" xfId="20424"/>
    <cellStyle name="Обычный 6 5 3 2 2 2 2 6" xfId="20425"/>
    <cellStyle name="Обычный 6 5 3 2 2 2 3" xfId="20426"/>
    <cellStyle name="Обычный 6 5 3 2 2 2 3 2" xfId="20427"/>
    <cellStyle name="Обычный 6 5 3 2 2 2 3 3" xfId="20428"/>
    <cellStyle name="Обычный 6 5 3 2 2 2 4" xfId="20429"/>
    <cellStyle name="Обычный 6 5 3 2 2 2 4 2" xfId="20430"/>
    <cellStyle name="Обычный 6 5 3 2 2 2 4 3" xfId="20431"/>
    <cellStyle name="Обычный 6 5 3 2 2 2 5" xfId="20432"/>
    <cellStyle name="Обычный 6 5 3 2 2 2 5 2" xfId="20433"/>
    <cellStyle name="Обычный 6 5 3 2 2 2 6" xfId="20434"/>
    <cellStyle name="Обычный 6 5 3 2 2 2 7" xfId="20435"/>
    <cellStyle name="Обычный 6 5 3 2 2 3" xfId="20436"/>
    <cellStyle name="Обычный 6 5 3 2 2 3 2" xfId="20437"/>
    <cellStyle name="Обычный 6 5 3 2 2 3 2 2" xfId="20438"/>
    <cellStyle name="Обычный 6 5 3 2 2 3 2 3" xfId="20439"/>
    <cellStyle name="Обычный 6 5 3 2 2 3 3" xfId="20440"/>
    <cellStyle name="Обычный 6 5 3 2 2 3 3 2" xfId="20441"/>
    <cellStyle name="Обычный 6 5 3 2 2 3 3 3" xfId="20442"/>
    <cellStyle name="Обычный 6 5 3 2 2 3 4" xfId="20443"/>
    <cellStyle name="Обычный 6 5 3 2 2 3 4 2" xfId="20444"/>
    <cellStyle name="Обычный 6 5 3 2 2 3 5" xfId="20445"/>
    <cellStyle name="Обычный 6 5 3 2 2 3 6" xfId="20446"/>
    <cellStyle name="Обычный 6 5 3 2 2 4" xfId="20447"/>
    <cellStyle name="Обычный 6 5 3 2 2 4 2" xfId="20448"/>
    <cellStyle name="Обычный 6 5 3 2 2 4 3" xfId="20449"/>
    <cellStyle name="Обычный 6 5 3 2 2 5" xfId="20450"/>
    <cellStyle name="Обычный 6 5 3 2 2 5 2" xfId="20451"/>
    <cellStyle name="Обычный 6 5 3 2 2 5 3" xfId="20452"/>
    <cellStyle name="Обычный 6 5 3 2 2 6" xfId="20453"/>
    <cellStyle name="Обычный 6 5 3 2 2 6 2" xfId="20454"/>
    <cellStyle name="Обычный 6 5 3 2 2 7" xfId="20455"/>
    <cellStyle name="Обычный 6 5 3 2 2 8" xfId="20456"/>
    <cellStyle name="Обычный 6 5 3 2 3" xfId="20457"/>
    <cellStyle name="Обычный 6 5 3 2 3 2" xfId="20458"/>
    <cellStyle name="Обычный 6 5 3 2 3 2 2" xfId="20459"/>
    <cellStyle name="Обычный 6 5 3 2 3 2 2 2" xfId="20460"/>
    <cellStyle name="Обычный 6 5 3 2 3 2 2 3" xfId="20461"/>
    <cellStyle name="Обычный 6 5 3 2 3 2 3" xfId="20462"/>
    <cellStyle name="Обычный 6 5 3 2 3 2 3 2" xfId="20463"/>
    <cellStyle name="Обычный 6 5 3 2 3 2 3 3" xfId="20464"/>
    <cellStyle name="Обычный 6 5 3 2 3 2 4" xfId="20465"/>
    <cellStyle name="Обычный 6 5 3 2 3 2 4 2" xfId="20466"/>
    <cellStyle name="Обычный 6 5 3 2 3 2 5" xfId="20467"/>
    <cellStyle name="Обычный 6 5 3 2 3 2 6" xfId="20468"/>
    <cellStyle name="Обычный 6 5 3 2 3 3" xfId="20469"/>
    <cellStyle name="Обычный 6 5 3 2 3 3 2" xfId="20470"/>
    <cellStyle name="Обычный 6 5 3 2 3 3 3" xfId="20471"/>
    <cellStyle name="Обычный 6 5 3 2 3 4" xfId="20472"/>
    <cellStyle name="Обычный 6 5 3 2 3 4 2" xfId="20473"/>
    <cellStyle name="Обычный 6 5 3 2 3 4 3" xfId="20474"/>
    <cellStyle name="Обычный 6 5 3 2 3 5" xfId="20475"/>
    <cellStyle name="Обычный 6 5 3 2 3 5 2" xfId="20476"/>
    <cellStyle name="Обычный 6 5 3 2 3 6" xfId="20477"/>
    <cellStyle name="Обычный 6 5 3 2 3 7" xfId="20478"/>
    <cellStyle name="Обычный 6 5 3 2 4" xfId="20479"/>
    <cellStyle name="Обычный 6 5 3 2 4 2" xfId="20480"/>
    <cellStyle name="Обычный 6 5 3 2 4 2 2" xfId="20481"/>
    <cellStyle name="Обычный 6 5 3 2 4 2 3" xfId="20482"/>
    <cellStyle name="Обычный 6 5 3 2 4 3" xfId="20483"/>
    <cellStyle name="Обычный 6 5 3 2 4 3 2" xfId="20484"/>
    <cellStyle name="Обычный 6 5 3 2 4 3 3" xfId="20485"/>
    <cellStyle name="Обычный 6 5 3 2 4 4" xfId="20486"/>
    <cellStyle name="Обычный 6 5 3 2 4 4 2" xfId="20487"/>
    <cellStyle name="Обычный 6 5 3 2 4 5" xfId="20488"/>
    <cellStyle name="Обычный 6 5 3 2 4 6" xfId="20489"/>
    <cellStyle name="Обычный 6 5 3 2 5" xfId="20490"/>
    <cellStyle name="Обычный 6 5 3 2 5 2" xfId="20491"/>
    <cellStyle name="Обычный 6 5 3 2 5 3" xfId="20492"/>
    <cellStyle name="Обычный 6 5 3 2 6" xfId="20493"/>
    <cellStyle name="Обычный 6 5 3 2 6 2" xfId="20494"/>
    <cellStyle name="Обычный 6 5 3 2 6 3" xfId="20495"/>
    <cellStyle name="Обычный 6 5 3 2 7" xfId="20496"/>
    <cellStyle name="Обычный 6 5 3 2 7 2" xfId="20497"/>
    <cellStyle name="Обычный 6 5 3 2 8" xfId="20498"/>
    <cellStyle name="Обычный 6 5 3 2 9" xfId="20499"/>
    <cellStyle name="Обычный 6 5 3 3" xfId="20500"/>
    <cellStyle name="Обычный 6 5 3 3 2" xfId="20501"/>
    <cellStyle name="Обычный 6 5 3 3 2 2" xfId="20502"/>
    <cellStyle name="Обычный 6 5 3 3 2 2 2" xfId="20503"/>
    <cellStyle name="Обычный 6 5 3 3 2 2 2 2" xfId="20504"/>
    <cellStyle name="Обычный 6 5 3 3 2 2 2 3" xfId="20505"/>
    <cellStyle name="Обычный 6 5 3 3 2 2 3" xfId="20506"/>
    <cellStyle name="Обычный 6 5 3 3 2 2 3 2" xfId="20507"/>
    <cellStyle name="Обычный 6 5 3 3 2 2 3 3" xfId="20508"/>
    <cellStyle name="Обычный 6 5 3 3 2 2 4" xfId="20509"/>
    <cellStyle name="Обычный 6 5 3 3 2 2 4 2" xfId="20510"/>
    <cellStyle name="Обычный 6 5 3 3 2 2 5" xfId="20511"/>
    <cellStyle name="Обычный 6 5 3 3 2 2 6" xfId="20512"/>
    <cellStyle name="Обычный 6 5 3 3 2 3" xfId="20513"/>
    <cellStyle name="Обычный 6 5 3 3 2 3 2" xfId="20514"/>
    <cellStyle name="Обычный 6 5 3 3 2 3 3" xfId="20515"/>
    <cellStyle name="Обычный 6 5 3 3 2 4" xfId="20516"/>
    <cellStyle name="Обычный 6 5 3 3 2 4 2" xfId="20517"/>
    <cellStyle name="Обычный 6 5 3 3 2 4 3" xfId="20518"/>
    <cellStyle name="Обычный 6 5 3 3 2 5" xfId="20519"/>
    <cellStyle name="Обычный 6 5 3 3 2 5 2" xfId="20520"/>
    <cellStyle name="Обычный 6 5 3 3 2 6" xfId="20521"/>
    <cellStyle name="Обычный 6 5 3 3 2 7" xfId="20522"/>
    <cellStyle name="Обычный 6 5 3 3 3" xfId="20523"/>
    <cellStyle name="Обычный 6 5 3 3 3 2" xfId="20524"/>
    <cellStyle name="Обычный 6 5 3 3 3 2 2" xfId="20525"/>
    <cellStyle name="Обычный 6 5 3 3 3 2 3" xfId="20526"/>
    <cellStyle name="Обычный 6 5 3 3 3 3" xfId="20527"/>
    <cellStyle name="Обычный 6 5 3 3 3 3 2" xfId="20528"/>
    <cellStyle name="Обычный 6 5 3 3 3 3 3" xfId="20529"/>
    <cellStyle name="Обычный 6 5 3 3 3 4" xfId="20530"/>
    <cellStyle name="Обычный 6 5 3 3 3 4 2" xfId="20531"/>
    <cellStyle name="Обычный 6 5 3 3 3 5" xfId="20532"/>
    <cellStyle name="Обычный 6 5 3 3 3 6" xfId="20533"/>
    <cellStyle name="Обычный 6 5 3 3 4" xfId="20534"/>
    <cellStyle name="Обычный 6 5 3 3 4 2" xfId="20535"/>
    <cellStyle name="Обычный 6 5 3 3 4 3" xfId="20536"/>
    <cellStyle name="Обычный 6 5 3 3 5" xfId="20537"/>
    <cellStyle name="Обычный 6 5 3 3 5 2" xfId="20538"/>
    <cellStyle name="Обычный 6 5 3 3 5 3" xfId="20539"/>
    <cellStyle name="Обычный 6 5 3 3 6" xfId="20540"/>
    <cellStyle name="Обычный 6 5 3 3 6 2" xfId="20541"/>
    <cellStyle name="Обычный 6 5 3 3 7" xfId="20542"/>
    <cellStyle name="Обычный 6 5 3 3 8" xfId="20543"/>
    <cellStyle name="Обычный 6 5 3 4" xfId="20544"/>
    <cellStyle name="Обычный 6 5 3 4 2" xfId="20545"/>
    <cellStyle name="Обычный 6 5 3 4 2 2" xfId="20546"/>
    <cellStyle name="Обычный 6 5 3 4 2 2 2" xfId="20547"/>
    <cellStyle name="Обычный 6 5 3 4 2 2 3" xfId="20548"/>
    <cellStyle name="Обычный 6 5 3 4 2 3" xfId="20549"/>
    <cellStyle name="Обычный 6 5 3 4 2 3 2" xfId="20550"/>
    <cellStyle name="Обычный 6 5 3 4 2 3 3" xfId="20551"/>
    <cellStyle name="Обычный 6 5 3 4 2 4" xfId="20552"/>
    <cellStyle name="Обычный 6 5 3 4 2 4 2" xfId="20553"/>
    <cellStyle name="Обычный 6 5 3 4 2 5" xfId="20554"/>
    <cellStyle name="Обычный 6 5 3 4 2 6" xfId="20555"/>
    <cellStyle name="Обычный 6 5 3 4 3" xfId="20556"/>
    <cellStyle name="Обычный 6 5 3 4 3 2" xfId="20557"/>
    <cellStyle name="Обычный 6 5 3 4 3 3" xfId="20558"/>
    <cellStyle name="Обычный 6 5 3 4 4" xfId="20559"/>
    <cellStyle name="Обычный 6 5 3 4 4 2" xfId="20560"/>
    <cellStyle name="Обычный 6 5 3 4 4 3" xfId="20561"/>
    <cellStyle name="Обычный 6 5 3 4 5" xfId="20562"/>
    <cellStyle name="Обычный 6 5 3 4 5 2" xfId="20563"/>
    <cellStyle name="Обычный 6 5 3 4 6" xfId="20564"/>
    <cellStyle name="Обычный 6 5 3 4 7" xfId="20565"/>
    <cellStyle name="Обычный 6 5 3 5" xfId="20566"/>
    <cellStyle name="Обычный 6 5 3 5 2" xfId="20567"/>
    <cellStyle name="Обычный 6 5 3 5 2 2" xfId="20568"/>
    <cellStyle name="Обычный 6 5 3 5 2 3" xfId="20569"/>
    <cellStyle name="Обычный 6 5 3 5 3" xfId="20570"/>
    <cellStyle name="Обычный 6 5 3 5 3 2" xfId="20571"/>
    <cellStyle name="Обычный 6 5 3 5 3 3" xfId="20572"/>
    <cellStyle name="Обычный 6 5 3 5 4" xfId="20573"/>
    <cellStyle name="Обычный 6 5 3 5 4 2" xfId="20574"/>
    <cellStyle name="Обычный 6 5 3 5 5" xfId="20575"/>
    <cellStyle name="Обычный 6 5 3 5 6" xfId="20576"/>
    <cellStyle name="Обычный 6 5 3 6" xfId="20577"/>
    <cellStyle name="Обычный 6 5 3 6 2" xfId="20578"/>
    <cellStyle name="Обычный 6 5 3 6 3" xfId="20579"/>
    <cellStyle name="Обычный 6 5 3 7" xfId="20580"/>
    <cellStyle name="Обычный 6 5 3 7 2" xfId="20581"/>
    <cellStyle name="Обычный 6 5 3 7 3" xfId="20582"/>
    <cellStyle name="Обычный 6 5 3 8" xfId="20583"/>
    <cellStyle name="Обычный 6 5 3 8 2" xfId="20584"/>
    <cellStyle name="Обычный 6 5 3 9" xfId="20585"/>
    <cellStyle name="Обычный 6 5 4" xfId="20586"/>
    <cellStyle name="Обычный 6 5 4 10" xfId="20587"/>
    <cellStyle name="Обычный 6 5 4 2" xfId="20588"/>
    <cellStyle name="Обычный 6 5 4 2 2" xfId="20589"/>
    <cellStyle name="Обычный 6 5 4 2 2 2" xfId="20590"/>
    <cellStyle name="Обычный 6 5 4 2 2 2 2" xfId="20591"/>
    <cellStyle name="Обычный 6 5 4 2 2 2 2 2" xfId="20592"/>
    <cellStyle name="Обычный 6 5 4 2 2 2 2 2 2" xfId="20593"/>
    <cellStyle name="Обычный 6 5 4 2 2 2 2 2 3" xfId="20594"/>
    <cellStyle name="Обычный 6 5 4 2 2 2 2 3" xfId="20595"/>
    <cellStyle name="Обычный 6 5 4 2 2 2 2 3 2" xfId="20596"/>
    <cellStyle name="Обычный 6 5 4 2 2 2 2 3 3" xfId="20597"/>
    <cellStyle name="Обычный 6 5 4 2 2 2 2 4" xfId="20598"/>
    <cellStyle name="Обычный 6 5 4 2 2 2 2 4 2" xfId="20599"/>
    <cellStyle name="Обычный 6 5 4 2 2 2 2 5" xfId="20600"/>
    <cellStyle name="Обычный 6 5 4 2 2 2 2 6" xfId="20601"/>
    <cellStyle name="Обычный 6 5 4 2 2 2 3" xfId="20602"/>
    <cellStyle name="Обычный 6 5 4 2 2 2 3 2" xfId="20603"/>
    <cellStyle name="Обычный 6 5 4 2 2 2 3 3" xfId="20604"/>
    <cellStyle name="Обычный 6 5 4 2 2 2 4" xfId="20605"/>
    <cellStyle name="Обычный 6 5 4 2 2 2 4 2" xfId="20606"/>
    <cellStyle name="Обычный 6 5 4 2 2 2 4 3" xfId="20607"/>
    <cellStyle name="Обычный 6 5 4 2 2 2 5" xfId="20608"/>
    <cellStyle name="Обычный 6 5 4 2 2 2 5 2" xfId="20609"/>
    <cellStyle name="Обычный 6 5 4 2 2 2 6" xfId="20610"/>
    <cellStyle name="Обычный 6 5 4 2 2 2 7" xfId="20611"/>
    <cellStyle name="Обычный 6 5 4 2 2 3" xfId="20612"/>
    <cellStyle name="Обычный 6 5 4 2 2 3 2" xfId="20613"/>
    <cellStyle name="Обычный 6 5 4 2 2 3 2 2" xfId="20614"/>
    <cellStyle name="Обычный 6 5 4 2 2 3 2 3" xfId="20615"/>
    <cellStyle name="Обычный 6 5 4 2 2 3 3" xfId="20616"/>
    <cellStyle name="Обычный 6 5 4 2 2 3 3 2" xfId="20617"/>
    <cellStyle name="Обычный 6 5 4 2 2 3 3 3" xfId="20618"/>
    <cellStyle name="Обычный 6 5 4 2 2 3 4" xfId="20619"/>
    <cellStyle name="Обычный 6 5 4 2 2 3 4 2" xfId="20620"/>
    <cellStyle name="Обычный 6 5 4 2 2 3 5" xfId="20621"/>
    <cellStyle name="Обычный 6 5 4 2 2 3 6" xfId="20622"/>
    <cellStyle name="Обычный 6 5 4 2 2 4" xfId="20623"/>
    <cellStyle name="Обычный 6 5 4 2 2 4 2" xfId="20624"/>
    <cellStyle name="Обычный 6 5 4 2 2 4 3" xfId="20625"/>
    <cellStyle name="Обычный 6 5 4 2 2 5" xfId="20626"/>
    <cellStyle name="Обычный 6 5 4 2 2 5 2" xfId="20627"/>
    <cellStyle name="Обычный 6 5 4 2 2 5 3" xfId="20628"/>
    <cellStyle name="Обычный 6 5 4 2 2 6" xfId="20629"/>
    <cellStyle name="Обычный 6 5 4 2 2 6 2" xfId="20630"/>
    <cellStyle name="Обычный 6 5 4 2 2 7" xfId="20631"/>
    <cellStyle name="Обычный 6 5 4 2 2 8" xfId="20632"/>
    <cellStyle name="Обычный 6 5 4 2 3" xfId="20633"/>
    <cellStyle name="Обычный 6 5 4 2 3 2" xfId="20634"/>
    <cellStyle name="Обычный 6 5 4 2 3 2 2" xfId="20635"/>
    <cellStyle name="Обычный 6 5 4 2 3 2 2 2" xfId="20636"/>
    <cellStyle name="Обычный 6 5 4 2 3 2 2 3" xfId="20637"/>
    <cellStyle name="Обычный 6 5 4 2 3 2 3" xfId="20638"/>
    <cellStyle name="Обычный 6 5 4 2 3 2 3 2" xfId="20639"/>
    <cellStyle name="Обычный 6 5 4 2 3 2 3 3" xfId="20640"/>
    <cellStyle name="Обычный 6 5 4 2 3 2 4" xfId="20641"/>
    <cellStyle name="Обычный 6 5 4 2 3 2 4 2" xfId="20642"/>
    <cellStyle name="Обычный 6 5 4 2 3 2 5" xfId="20643"/>
    <cellStyle name="Обычный 6 5 4 2 3 2 6" xfId="20644"/>
    <cellStyle name="Обычный 6 5 4 2 3 3" xfId="20645"/>
    <cellStyle name="Обычный 6 5 4 2 3 3 2" xfId="20646"/>
    <cellStyle name="Обычный 6 5 4 2 3 3 3" xfId="20647"/>
    <cellStyle name="Обычный 6 5 4 2 3 4" xfId="20648"/>
    <cellStyle name="Обычный 6 5 4 2 3 4 2" xfId="20649"/>
    <cellStyle name="Обычный 6 5 4 2 3 4 3" xfId="20650"/>
    <cellStyle name="Обычный 6 5 4 2 3 5" xfId="20651"/>
    <cellStyle name="Обычный 6 5 4 2 3 5 2" xfId="20652"/>
    <cellStyle name="Обычный 6 5 4 2 3 6" xfId="20653"/>
    <cellStyle name="Обычный 6 5 4 2 3 7" xfId="20654"/>
    <cellStyle name="Обычный 6 5 4 2 4" xfId="20655"/>
    <cellStyle name="Обычный 6 5 4 2 4 2" xfId="20656"/>
    <cellStyle name="Обычный 6 5 4 2 4 2 2" xfId="20657"/>
    <cellStyle name="Обычный 6 5 4 2 4 2 3" xfId="20658"/>
    <cellStyle name="Обычный 6 5 4 2 4 3" xfId="20659"/>
    <cellStyle name="Обычный 6 5 4 2 4 3 2" xfId="20660"/>
    <cellStyle name="Обычный 6 5 4 2 4 3 3" xfId="20661"/>
    <cellStyle name="Обычный 6 5 4 2 4 4" xfId="20662"/>
    <cellStyle name="Обычный 6 5 4 2 4 4 2" xfId="20663"/>
    <cellStyle name="Обычный 6 5 4 2 4 5" xfId="20664"/>
    <cellStyle name="Обычный 6 5 4 2 4 6" xfId="20665"/>
    <cellStyle name="Обычный 6 5 4 2 5" xfId="20666"/>
    <cellStyle name="Обычный 6 5 4 2 5 2" xfId="20667"/>
    <cellStyle name="Обычный 6 5 4 2 5 3" xfId="20668"/>
    <cellStyle name="Обычный 6 5 4 2 6" xfId="20669"/>
    <cellStyle name="Обычный 6 5 4 2 6 2" xfId="20670"/>
    <cellStyle name="Обычный 6 5 4 2 6 3" xfId="20671"/>
    <cellStyle name="Обычный 6 5 4 2 7" xfId="20672"/>
    <cellStyle name="Обычный 6 5 4 2 7 2" xfId="20673"/>
    <cellStyle name="Обычный 6 5 4 2 8" xfId="20674"/>
    <cellStyle name="Обычный 6 5 4 2 9" xfId="20675"/>
    <cellStyle name="Обычный 6 5 4 3" xfId="20676"/>
    <cellStyle name="Обычный 6 5 4 3 2" xfId="20677"/>
    <cellStyle name="Обычный 6 5 4 3 2 2" xfId="20678"/>
    <cellStyle name="Обычный 6 5 4 3 2 2 2" xfId="20679"/>
    <cellStyle name="Обычный 6 5 4 3 2 2 2 2" xfId="20680"/>
    <cellStyle name="Обычный 6 5 4 3 2 2 2 3" xfId="20681"/>
    <cellStyle name="Обычный 6 5 4 3 2 2 3" xfId="20682"/>
    <cellStyle name="Обычный 6 5 4 3 2 2 3 2" xfId="20683"/>
    <cellStyle name="Обычный 6 5 4 3 2 2 3 3" xfId="20684"/>
    <cellStyle name="Обычный 6 5 4 3 2 2 4" xfId="20685"/>
    <cellStyle name="Обычный 6 5 4 3 2 2 4 2" xfId="20686"/>
    <cellStyle name="Обычный 6 5 4 3 2 2 5" xfId="20687"/>
    <cellStyle name="Обычный 6 5 4 3 2 2 6" xfId="20688"/>
    <cellStyle name="Обычный 6 5 4 3 2 3" xfId="20689"/>
    <cellStyle name="Обычный 6 5 4 3 2 3 2" xfId="20690"/>
    <cellStyle name="Обычный 6 5 4 3 2 3 3" xfId="20691"/>
    <cellStyle name="Обычный 6 5 4 3 2 4" xfId="20692"/>
    <cellStyle name="Обычный 6 5 4 3 2 4 2" xfId="20693"/>
    <cellStyle name="Обычный 6 5 4 3 2 4 3" xfId="20694"/>
    <cellStyle name="Обычный 6 5 4 3 2 5" xfId="20695"/>
    <cellStyle name="Обычный 6 5 4 3 2 5 2" xfId="20696"/>
    <cellStyle name="Обычный 6 5 4 3 2 6" xfId="20697"/>
    <cellStyle name="Обычный 6 5 4 3 2 7" xfId="20698"/>
    <cellStyle name="Обычный 6 5 4 3 3" xfId="20699"/>
    <cellStyle name="Обычный 6 5 4 3 3 2" xfId="20700"/>
    <cellStyle name="Обычный 6 5 4 3 3 2 2" xfId="20701"/>
    <cellStyle name="Обычный 6 5 4 3 3 2 3" xfId="20702"/>
    <cellStyle name="Обычный 6 5 4 3 3 3" xfId="20703"/>
    <cellStyle name="Обычный 6 5 4 3 3 3 2" xfId="20704"/>
    <cellStyle name="Обычный 6 5 4 3 3 3 3" xfId="20705"/>
    <cellStyle name="Обычный 6 5 4 3 3 4" xfId="20706"/>
    <cellStyle name="Обычный 6 5 4 3 3 4 2" xfId="20707"/>
    <cellStyle name="Обычный 6 5 4 3 3 5" xfId="20708"/>
    <cellStyle name="Обычный 6 5 4 3 3 6" xfId="20709"/>
    <cellStyle name="Обычный 6 5 4 3 4" xfId="20710"/>
    <cellStyle name="Обычный 6 5 4 3 4 2" xfId="20711"/>
    <cellStyle name="Обычный 6 5 4 3 4 3" xfId="20712"/>
    <cellStyle name="Обычный 6 5 4 3 5" xfId="20713"/>
    <cellStyle name="Обычный 6 5 4 3 5 2" xfId="20714"/>
    <cellStyle name="Обычный 6 5 4 3 5 3" xfId="20715"/>
    <cellStyle name="Обычный 6 5 4 3 6" xfId="20716"/>
    <cellStyle name="Обычный 6 5 4 3 6 2" xfId="20717"/>
    <cellStyle name="Обычный 6 5 4 3 7" xfId="20718"/>
    <cellStyle name="Обычный 6 5 4 3 8" xfId="20719"/>
    <cellStyle name="Обычный 6 5 4 4" xfId="20720"/>
    <cellStyle name="Обычный 6 5 4 4 2" xfId="20721"/>
    <cellStyle name="Обычный 6 5 4 4 2 2" xfId="20722"/>
    <cellStyle name="Обычный 6 5 4 4 2 2 2" xfId="20723"/>
    <cellStyle name="Обычный 6 5 4 4 2 2 3" xfId="20724"/>
    <cellStyle name="Обычный 6 5 4 4 2 3" xfId="20725"/>
    <cellStyle name="Обычный 6 5 4 4 2 3 2" xfId="20726"/>
    <cellStyle name="Обычный 6 5 4 4 2 3 3" xfId="20727"/>
    <cellStyle name="Обычный 6 5 4 4 2 4" xfId="20728"/>
    <cellStyle name="Обычный 6 5 4 4 2 4 2" xfId="20729"/>
    <cellStyle name="Обычный 6 5 4 4 2 5" xfId="20730"/>
    <cellStyle name="Обычный 6 5 4 4 2 6" xfId="20731"/>
    <cellStyle name="Обычный 6 5 4 4 3" xfId="20732"/>
    <cellStyle name="Обычный 6 5 4 4 3 2" xfId="20733"/>
    <cellStyle name="Обычный 6 5 4 4 3 3" xfId="20734"/>
    <cellStyle name="Обычный 6 5 4 4 4" xfId="20735"/>
    <cellStyle name="Обычный 6 5 4 4 4 2" xfId="20736"/>
    <cellStyle name="Обычный 6 5 4 4 4 3" xfId="20737"/>
    <cellStyle name="Обычный 6 5 4 4 5" xfId="20738"/>
    <cellStyle name="Обычный 6 5 4 4 5 2" xfId="20739"/>
    <cellStyle name="Обычный 6 5 4 4 6" xfId="20740"/>
    <cellStyle name="Обычный 6 5 4 4 7" xfId="20741"/>
    <cellStyle name="Обычный 6 5 4 5" xfId="20742"/>
    <cellStyle name="Обычный 6 5 4 5 2" xfId="20743"/>
    <cellStyle name="Обычный 6 5 4 5 2 2" xfId="20744"/>
    <cellStyle name="Обычный 6 5 4 5 2 3" xfId="20745"/>
    <cellStyle name="Обычный 6 5 4 5 3" xfId="20746"/>
    <cellStyle name="Обычный 6 5 4 5 3 2" xfId="20747"/>
    <cellStyle name="Обычный 6 5 4 5 3 3" xfId="20748"/>
    <cellStyle name="Обычный 6 5 4 5 4" xfId="20749"/>
    <cellStyle name="Обычный 6 5 4 5 4 2" xfId="20750"/>
    <cellStyle name="Обычный 6 5 4 5 5" xfId="20751"/>
    <cellStyle name="Обычный 6 5 4 5 6" xfId="20752"/>
    <cellStyle name="Обычный 6 5 4 6" xfId="20753"/>
    <cellStyle name="Обычный 6 5 4 6 2" xfId="20754"/>
    <cellStyle name="Обычный 6 5 4 6 3" xfId="20755"/>
    <cellStyle name="Обычный 6 5 4 7" xfId="20756"/>
    <cellStyle name="Обычный 6 5 4 7 2" xfId="20757"/>
    <cellStyle name="Обычный 6 5 4 7 3" xfId="20758"/>
    <cellStyle name="Обычный 6 5 4 8" xfId="20759"/>
    <cellStyle name="Обычный 6 5 4 8 2" xfId="20760"/>
    <cellStyle name="Обычный 6 5 4 9" xfId="20761"/>
    <cellStyle name="Обычный 6 5 5" xfId="20762"/>
    <cellStyle name="Обычный 6 5 5 10" xfId="20763"/>
    <cellStyle name="Обычный 6 5 5 2" xfId="20764"/>
    <cellStyle name="Обычный 6 5 5 2 2" xfId="20765"/>
    <cellStyle name="Обычный 6 5 5 2 2 2" xfId="20766"/>
    <cellStyle name="Обычный 6 5 5 2 2 2 2" xfId="20767"/>
    <cellStyle name="Обычный 6 5 5 2 2 2 2 2" xfId="20768"/>
    <cellStyle name="Обычный 6 5 5 2 2 2 2 2 2" xfId="20769"/>
    <cellStyle name="Обычный 6 5 5 2 2 2 2 2 3" xfId="20770"/>
    <cellStyle name="Обычный 6 5 5 2 2 2 2 3" xfId="20771"/>
    <cellStyle name="Обычный 6 5 5 2 2 2 2 3 2" xfId="20772"/>
    <cellStyle name="Обычный 6 5 5 2 2 2 2 3 3" xfId="20773"/>
    <cellStyle name="Обычный 6 5 5 2 2 2 2 4" xfId="20774"/>
    <cellStyle name="Обычный 6 5 5 2 2 2 2 4 2" xfId="20775"/>
    <cellStyle name="Обычный 6 5 5 2 2 2 2 5" xfId="20776"/>
    <cellStyle name="Обычный 6 5 5 2 2 2 2 6" xfId="20777"/>
    <cellStyle name="Обычный 6 5 5 2 2 2 3" xfId="20778"/>
    <cellStyle name="Обычный 6 5 5 2 2 2 3 2" xfId="20779"/>
    <cellStyle name="Обычный 6 5 5 2 2 2 3 3" xfId="20780"/>
    <cellStyle name="Обычный 6 5 5 2 2 2 4" xfId="20781"/>
    <cellStyle name="Обычный 6 5 5 2 2 2 4 2" xfId="20782"/>
    <cellStyle name="Обычный 6 5 5 2 2 2 4 3" xfId="20783"/>
    <cellStyle name="Обычный 6 5 5 2 2 2 5" xfId="20784"/>
    <cellStyle name="Обычный 6 5 5 2 2 2 5 2" xfId="20785"/>
    <cellStyle name="Обычный 6 5 5 2 2 2 6" xfId="20786"/>
    <cellStyle name="Обычный 6 5 5 2 2 2 7" xfId="20787"/>
    <cellStyle name="Обычный 6 5 5 2 2 3" xfId="20788"/>
    <cellStyle name="Обычный 6 5 5 2 2 3 2" xfId="20789"/>
    <cellStyle name="Обычный 6 5 5 2 2 3 2 2" xfId="20790"/>
    <cellStyle name="Обычный 6 5 5 2 2 3 2 3" xfId="20791"/>
    <cellStyle name="Обычный 6 5 5 2 2 3 3" xfId="20792"/>
    <cellStyle name="Обычный 6 5 5 2 2 3 3 2" xfId="20793"/>
    <cellStyle name="Обычный 6 5 5 2 2 3 3 3" xfId="20794"/>
    <cellStyle name="Обычный 6 5 5 2 2 3 4" xfId="20795"/>
    <cellStyle name="Обычный 6 5 5 2 2 3 4 2" xfId="20796"/>
    <cellStyle name="Обычный 6 5 5 2 2 3 5" xfId="20797"/>
    <cellStyle name="Обычный 6 5 5 2 2 3 6" xfId="20798"/>
    <cellStyle name="Обычный 6 5 5 2 2 4" xfId="20799"/>
    <cellStyle name="Обычный 6 5 5 2 2 4 2" xfId="20800"/>
    <cellStyle name="Обычный 6 5 5 2 2 4 3" xfId="20801"/>
    <cellStyle name="Обычный 6 5 5 2 2 5" xfId="20802"/>
    <cellStyle name="Обычный 6 5 5 2 2 5 2" xfId="20803"/>
    <cellStyle name="Обычный 6 5 5 2 2 5 3" xfId="20804"/>
    <cellStyle name="Обычный 6 5 5 2 2 6" xfId="20805"/>
    <cellStyle name="Обычный 6 5 5 2 2 6 2" xfId="20806"/>
    <cellStyle name="Обычный 6 5 5 2 2 7" xfId="20807"/>
    <cellStyle name="Обычный 6 5 5 2 2 8" xfId="20808"/>
    <cellStyle name="Обычный 6 5 5 2 3" xfId="20809"/>
    <cellStyle name="Обычный 6 5 5 2 3 2" xfId="20810"/>
    <cellStyle name="Обычный 6 5 5 2 3 2 2" xfId="20811"/>
    <cellStyle name="Обычный 6 5 5 2 3 2 2 2" xfId="20812"/>
    <cellStyle name="Обычный 6 5 5 2 3 2 2 3" xfId="20813"/>
    <cellStyle name="Обычный 6 5 5 2 3 2 3" xfId="20814"/>
    <cellStyle name="Обычный 6 5 5 2 3 2 3 2" xfId="20815"/>
    <cellStyle name="Обычный 6 5 5 2 3 2 3 3" xfId="20816"/>
    <cellStyle name="Обычный 6 5 5 2 3 2 4" xfId="20817"/>
    <cellStyle name="Обычный 6 5 5 2 3 2 4 2" xfId="20818"/>
    <cellStyle name="Обычный 6 5 5 2 3 2 5" xfId="20819"/>
    <cellStyle name="Обычный 6 5 5 2 3 2 6" xfId="20820"/>
    <cellStyle name="Обычный 6 5 5 2 3 3" xfId="20821"/>
    <cellStyle name="Обычный 6 5 5 2 3 3 2" xfId="20822"/>
    <cellStyle name="Обычный 6 5 5 2 3 3 3" xfId="20823"/>
    <cellStyle name="Обычный 6 5 5 2 3 4" xfId="20824"/>
    <cellStyle name="Обычный 6 5 5 2 3 4 2" xfId="20825"/>
    <cellStyle name="Обычный 6 5 5 2 3 4 3" xfId="20826"/>
    <cellStyle name="Обычный 6 5 5 2 3 5" xfId="20827"/>
    <cellStyle name="Обычный 6 5 5 2 3 5 2" xfId="20828"/>
    <cellStyle name="Обычный 6 5 5 2 3 6" xfId="20829"/>
    <cellStyle name="Обычный 6 5 5 2 3 7" xfId="20830"/>
    <cellStyle name="Обычный 6 5 5 2 4" xfId="20831"/>
    <cellStyle name="Обычный 6 5 5 2 4 2" xfId="20832"/>
    <cellStyle name="Обычный 6 5 5 2 4 2 2" xfId="20833"/>
    <cellStyle name="Обычный 6 5 5 2 4 2 3" xfId="20834"/>
    <cellStyle name="Обычный 6 5 5 2 4 3" xfId="20835"/>
    <cellStyle name="Обычный 6 5 5 2 4 3 2" xfId="20836"/>
    <cellStyle name="Обычный 6 5 5 2 4 3 3" xfId="20837"/>
    <cellStyle name="Обычный 6 5 5 2 4 4" xfId="20838"/>
    <cellStyle name="Обычный 6 5 5 2 4 4 2" xfId="20839"/>
    <cellStyle name="Обычный 6 5 5 2 4 5" xfId="20840"/>
    <cellStyle name="Обычный 6 5 5 2 4 6" xfId="20841"/>
    <cellStyle name="Обычный 6 5 5 2 5" xfId="20842"/>
    <cellStyle name="Обычный 6 5 5 2 5 2" xfId="20843"/>
    <cellStyle name="Обычный 6 5 5 2 5 3" xfId="20844"/>
    <cellStyle name="Обычный 6 5 5 2 6" xfId="20845"/>
    <cellStyle name="Обычный 6 5 5 2 6 2" xfId="20846"/>
    <cellStyle name="Обычный 6 5 5 2 6 3" xfId="20847"/>
    <cellStyle name="Обычный 6 5 5 2 7" xfId="20848"/>
    <cellStyle name="Обычный 6 5 5 2 7 2" xfId="20849"/>
    <cellStyle name="Обычный 6 5 5 2 8" xfId="20850"/>
    <cellStyle name="Обычный 6 5 5 2 9" xfId="20851"/>
    <cellStyle name="Обычный 6 5 5 3" xfId="20852"/>
    <cellStyle name="Обычный 6 5 5 3 2" xfId="20853"/>
    <cellStyle name="Обычный 6 5 5 3 2 2" xfId="20854"/>
    <cellStyle name="Обычный 6 5 5 3 2 2 2" xfId="20855"/>
    <cellStyle name="Обычный 6 5 5 3 2 2 2 2" xfId="20856"/>
    <cellStyle name="Обычный 6 5 5 3 2 2 2 3" xfId="20857"/>
    <cellStyle name="Обычный 6 5 5 3 2 2 3" xfId="20858"/>
    <cellStyle name="Обычный 6 5 5 3 2 2 3 2" xfId="20859"/>
    <cellStyle name="Обычный 6 5 5 3 2 2 3 3" xfId="20860"/>
    <cellStyle name="Обычный 6 5 5 3 2 2 4" xfId="20861"/>
    <cellStyle name="Обычный 6 5 5 3 2 2 4 2" xfId="20862"/>
    <cellStyle name="Обычный 6 5 5 3 2 2 5" xfId="20863"/>
    <cellStyle name="Обычный 6 5 5 3 2 2 6" xfId="20864"/>
    <cellStyle name="Обычный 6 5 5 3 2 3" xfId="20865"/>
    <cellStyle name="Обычный 6 5 5 3 2 3 2" xfId="20866"/>
    <cellStyle name="Обычный 6 5 5 3 2 3 3" xfId="20867"/>
    <cellStyle name="Обычный 6 5 5 3 2 4" xfId="20868"/>
    <cellStyle name="Обычный 6 5 5 3 2 4 2" xfId="20869"/>
    <cellStyle name="Обычный 6 5 5 3 2 4 3" xfId="20870"/>
    <cellStyle name="Обычный 6 5 5 3 2 5" xfId="20871"/>
    <cellStyle name="Обычный 6 5 5 3 2 5 2" xfId="20872"/>
    <cellStyle name="Обычный 6 5 5 3 2 6" xfId="20873"/>
    <cellStyle name="Обычный 6 5 5 3 2 7" xfId="20874"/>
    <cellStyle name="Обычный 6 5 5 3 3" xfId="20875"/>
    <cellStyle name="Обычный 6 5 5 3 3 2" xfId="20876"/>
    <cellStyle name="Обычный 6 5 5 3 3 2 2" xfId="20877"/>
    <cellStyle name="Обычный 6 5 5 3 3 2 3" xfId="20878"/>
    <cellStyle name="Обычный 6 5 5 3 3 3" xfId="20879"/>
    <cellStyle name="Обычный 6 5 5 3 3 3 2" xfId="20880"/>
    <cellStyle name="Обычный 6 5 5 3 3 3 3" xfId="20881"/>
    <cellStyle name="Обычный 6 5 5 3 3 4" xfId="20882"/>
    <cellStyle name="Обычный 6 5 5 3 3 4 2" xfId="20883"/>
    <cellStyle name="Обычный 6 5 5 3 3 5" xfId="20884"/>
    <cellStyle name="Обычный 6 5 5 3 3 6" xfId="20885"/>
    <cellStyle name="Обычный 6 5 5 3 4" xfId="20886"/>
    <cellStyle name="Обычный 6 5 5 3 4 2" xfId="20887"/>
    <cellStyle name="Обычный 6 5 5 3 4 3" xfId="20888"/>
    <cellStyle name="Обычный 6 5 5 3 5" xfId="20889"/>
    <cellStyle name="Обычный 6 5 5 3 5 2" xfId="20890"/>
    <cellStyle name="Обычный 6 5 5 3 5 3" xfId="20891"/>
    <cellStyle name="Обычный 6 5 5 3 6" xfId="20892"/>
    <cellStyle name="Обычный 6 5 5 3 6 2" xfId="20893"/>
    <cellStyle name="Обычный 6 5 5 3 7" xfId="20894"/>
    <cellStyle name="Обычный 6 5 5 3 8" xfId="20895"/>
    <cellStyle name="Обычный 6 5 5 4" xfId="20896"/>
    <cellStyle name="Обычный 6 5 5 4 2" xfId="20897"/>
    <cellStyle name="Обычный 6 5 5 4 2 2" xfId="20898"/>
    <cellStyle name="Обычный 6 5 5 4 2 2 2" xfId="20899"/>
    <cellStyle name="Обычный 6 5 5 4 2 2 3" xfId="20900"/>
    <cellStyle name="Обычный 6 5 5 4 2 3" xfId="20901"/>
    <cellStyle name="Обычный 6 5 5 4 2 3 2" xfId="20902"/>
    <cellStyle name="Обычный 6 5 5 4 2 3 3" xfId="20903"/>
    <cellStyle name="Обычный 6 5 5 4 2 4" xfId="20904"/>
    <cellStyle name="Обычный 6 5 5 4 2 4 2" xfId="20905"/>
    <cellStyle name="Обычный 6 5 5 4 2 5" xfId="20906"/>
    <cellStyle name="Обычный 6 5 5 4 2 6" xfId="20907"/>
    <cellStyle name="Обычный 6 5 5 4 3" xfId="20908"/>
    <cellStyle name="Обычный 6 5 5 4 3 2" xfId="20909"/>
    <cellStyle name="Обычный 6 5 5 4 3 3" xfId="20910"/>
    <cellStyle name="Обычный 6 5 5 4 4" xfId="20911"/>
    <cellStyle name="Обычный 6 5 5 4 4 2" xfId="20912"/>
    <cellStyle name="Обычный 6 5 5 4 4 3" xfId="20913"/>
    <cellStyle name="Обычный 6 5 5 4 5" xfId="20914"/>
    <cellStyle name="Обычный 6 5 5 4 5 2" xfId="20915"/>
    <cellStyle name="Обычный 6 5 5 4 6" xfId="20916"/>
    <cellStyle name="Обычный 6 5 5 4 7" xfId="20917"/>
    <cellStyle name="Обычный 6 5 5 5" xfId="20918"/>
    <cellStyle name="Обычный 6 5 5 5 2" xfId="20919"/>
    <cellStyle name="Обычный 6 5 5 5 2 2" xfId="20920"/>
    <cellStyle name="Обычный 6 5 5 5 2 3" xfId="20921"/>
    <cellStyle name="Обычный 6 5 5 5 3" xfId="20922"/>
    <cellStyle name="Обычный 6 5 5 5 3 2" xfId="20923"/>
    <cellStyle name="Обычный 6 5 5 5 3 3" xfId="20924"/>
    <cellStyle name="Обычный 6 5 5 5 4" xfId="20925"/>
    <cellStyle name="Обычный 6 5 5 5 4 2" xfId="20926"/>
    <cellStyle name="Обычный 6 5 5 5 5" xfId="20927"/>
    <cellStyle name="Обычный 6 5 5 5 6" xfId="20928"/>
    <cellStyle name="Обычный 6 5 5 6" xfId="20929"/>
    <cellStyle name="Обычный 6 5 5 6 2" xfId="20930"/>
    <cellStyle name="Обычный 6 5 5 6 3" xfId="20931"/>
    <cellStyle name="Обычный 6 5 5 7" xfId="20932"/>
    <cellStyle name="Обычный 6 5 5 7 2" xfId="20933"/>
    <cellStyle name="Обычный 6 5 5 7 3" xfId="20934"/>
    <cellStyle name="Обычный 6 5 5 8" xfId="20935"/>
    <cellStyle name="Обычный 6 5 5 8 2" xfId="20936"/>
    <cellStyle name="Обычный 6 5 5 9" xfId="20937"/>
    <cellStyle name="Обычный 6 5 6" xfId="20938"/>
    <cellStyle name="Обычный 6 5 6 2" xfId="20939"/>
    <cellStyle name="Обычный 6 5 6 2 2" xfId="20940"/>
    <cellStyle name="Обычный 6 5 6 2 2 2" xfId="20941"/>
    <cellStyle name="Обычный 6 5 6 2 2 2 2" xfId="20942"/>
    <cellStyle name="Обычный 6 5 6 2 2 2 2 2" xfId="20943"/>
    <cellStyle name="Обычный 6 5 6 2 2 2 2 3" xfId="20944"/>
    <cellStyle name="Обычный 6 5 6 2 2 2 3" xfId="20945"/>
    <cellStyle name="Обычный 6 5 6 2 2 2 3 2" xfId="20946"/>
    <cellStyle name="Обычный 6 5 6 2 2 2 3 3" xfId="20947"/>
    <cellStyle name="Обычный 6 5 6 2 2 2 4" xfId="20948"/>
    <cellStyle name="Обычный 6 5 6 2 2 2 4 2" xfId="20949"/>
    <cellStyle name="Обычный 6 5 6 2 2 2 5" xfId="20950"/>
    <cellStyle name="Обычный 6 5 6 2 2 2 6" xfId="20951"/>
    <cellStyle name="Обычный 6 5 6 2 2 3" xfId="20952"/>
    <cellStyle name="Обычный 6 5 6 2 2 3 2" xfId="20953"/>
    <cellStyle name="Обычный 6 5 6 2 2 3 3" xfId="20954"/>
    <cellStyle name="Обычный 6 5 6 2 2 4" xfId="20955"/>
    <cellStyle name="Обычный 6 5 6 2 2 4 2" xfId="20956"/>
    <cellStyle name="Обычный 6 5 6 2 2 4 3" xfId="20957"/>
    <cellStyle name="Обычный 6 5 6 2 2 5" xfId="20958"/>
    <cellStyle name="Обычный 6 5 6 2 2 5 2" xfId="20959"/>
    <cellStyle name="Обычный 6 5 6 2 2 6" xfId="20960"/>
    <cellStyle name="Обычный 6 5 6 2 2 7" xfId="20961"/>
    <cellStyle name="Обычный 6 5 6 2 3" xfId="20962"/>
    <cellStyle name="Обычный 6 5 6 2 3 2" xfId="20963"/>
    <cellStyle name="Обычный 6 5 6 2 3 2 2" xfId="20964"/>
    <cellStyle name="Обычный 6 5 6 2 3 2 3" xfId="20965"/>
    <cellStyle name="Обычный 6 5 6 2 3 3" xfId="20966"/>
    <cellStyle name="Обычный 6 5 6 2 3 3 2" xfId="20967"/>
    <cellStyle name="Обычный 6 5 6 2 3 3 3" xfId="20968"/>
    <cellStyle name="Обычный 6 5 6 2 3 4" xfId="20969"/>
    <cellStyle name="Обычный 6 5 6 2 3 4 2" xfId="20970"/>
    <cellStyle name="Обычный 6 5 6 2 3 5" xfId="20971"/>
    <cellStyle name="Обычный 6 5 6 2 3 6" xfId="20972"/>
    <cellStyle name="Обычный 6 5 6 2 4" xfId="20973"/>
    <cellStyle name="Обычный 6 5 6 2 4 2" xfId="20974"/>
    <cellStyle name="Обычный 6 5 6 2 4 3" xfId="20975"/>
    <cellStyle name="Обычный 6 5 6 2 5" xfId="20976"/>
    <cellStyle name="Обычный 6 5 6 2 5 2" xfId="20977"/>
    <cellStyle name="Обычный 6 5 6 2 5 3" xfId="20978"/>
    <cellStyle name="Обычный 6 5 6 2 6" xfId="20979"/>
    <cellStyle name="Обычный 6 5 6 2 6 2" xfId="20980"/>
    <cellStyle name="Обычный 6 5 6 2 7" xfId="20981"/>
    <cellStyle name="Обычный 6 5 6 2 8" xfId="20982"/>
    <cellStyle name="Обычный 6 5 6 3" xfId="20983"/>
    <cellStyle name="Обычный 6 5 6 3 2" xfId="20984"/>
    <cellStyle name="Обычный 6 5 6 3 2 2" xfId="20985"/>
    <cellStyle name="Обычный 6 5 6 3 2 2 2" xfId="20986"/>
    <cellStyle name="Обычный 6 5 6 3 2 2 3" xfId="20987"/>
    <cellStyle name="Обычный 6 5 6 3 2 3" xfId="20988"/>
    <cellStyle name="Обычный 6 5 6 3 2 3 2" xfId="20989"/>
    <cellStyle name="Обычный 6 5 6 3 2 3 3" xfId="20990"/>
    <cellStyle name="Обычный 6 5 6 3 2 4" xfId="20991"/>
    <cellStyle name="Обычный 6 5 6 3 2 4 2" xfId="20992"/>
    <cellStyle name="Обычный 6 5 6 3 2 5" xfId="20993"/>
    <cellStyle name="Обычный 6 5 6 3 2 6" xfId="20994"/>
    <cellStyle name="Обычный 6 5 6 3 3" xfId="20995"/>
    <cellStyle name="Обычный 6 5 6 3 3 2" xfId="20996"/>
    <cellStyle name="Обычный 6 5 6 3 3 3" xfId="20997"/>
    <cellStyle name="Обычный 6 5 6 3 4" xfId="20998"/>
    <cellStyle name="Обычный 6 5 6 3 4 2" xfId="20999"/>
    <cellStyle name="Обычный 6 5 6 3 4 3" xfId="21000"/>
    <cellStyle name="Обычный 6 5 6 3 5" xfId="21001"/>
    <cellStyle name="Обычный 6 5 6 3 5 2" xfId="21002"/>
    <cellStyle name="Обычный 6 5 6 3 6" xfId="21003"/>
    <cellStyle name="Обычный 6 5 6 3 7" xfId="21004"/>
    <cellStyle name="Обычный 6 5 6 4" xfId="21005"/>
    <cellStyle name="Обычный 6 5 6 4 2" xfId="21006"/>
    <cellStyle name="Обычный 6 5 6 4 2 2" xfId="21007"/>
    <cellStyle name="Обычный 6 5 6 4 2 3" xfId="21008"/>
    <cellStyle name="Обычный 6 5 6 4 3" xfId="21009"/>
    <cellStyle name="Обычный 6 5 6 4 3 2" xfId="21010"/>
    <cellStyle name="Обычный 6 5 6 4 3 3" xfId="21011"/>
    <cellStyle name="Обычный 6 5 6 4 4" xfId="21012"/>
    <cellStyle name="Обычный 6 5 6 4 4 2" xfId="21013"/>
    <cellStyle name="Обычный 6 5 6 4 5" xfId="21014"/>
    <cellStyle name="Обычный 6 5 6 4 6" xfId="21015"/>
    <cellStyle name="Обычный 6 5 6 5" xfId="21016"/>
    <cellStyle name="Обычный 6 5 6 5 2" xfId="21017"/>
    <cellStyle name="Обычный 6 5 6 5 3" xfId="21018"/>
    <cellStyle name="Обычный 6 5 6 6" xfId="21019"/>
    <cellStyle name="Обычный 6 5 6 6 2" xfId="21020"/>
    <cellStyle name="Обычный 6 5 6 6 3" xfId="21021"/>
    <cellStyle name="Обычный 6 5 6 7" xfId="21022"/>
    <cellStyle name="Обычный 6 5 6 7 2" xfId="21023"/>
    <cellStyle name="Обычный 6 5 6 8" xfId="21024"/>
    <cellStyle name="Обычный 6 5 6 9" xfId="21025"/>
    <cellStyle name="Обычный 6 5 7" xfId="21026"/>
    <cellStyle name="Обычный 6 5 7 2" xfId="21027"/>
    <cellStyle name="Обычный 6 5 7 2 2" xfId="21028"/>
    <cellStyle name="Обычный 6 5 7 2 2 2" xfId="21029"/>
    <cellStyle name="Обычный 6 5 7 2 2 2 2" xfId="21030"/>
    <cellStyle name="Обычный 6 5 7 2 2 2 3" xfId="21031"/>
    <cellStyle name="Обычный 6 5 7 2 2 3" xfId="21032"/>
    <cellStyle name="Обычный 6 5 7 2 2 3 2" xfId="21033"/>
    <cellStyle name="Обычный 6 5 7 2 2 3 3" xfId="21034"/>
    <cellStyle name="Обычный 6 5 7 2 2 4" xfId="21035"/>
    <cellStyle name="Обычный 6 5 7 2 2 4 2" xfId="21036"/>
    <cellStyle name="Обычный 6 5 7 2 2 5" xfId="21037"/>
    <cellStyle name="Обычный 6 5 7 2 2 6" xfId="21038"/>
    <cellStyle name="Обычный 6 5 7 2 3" xfId="21039"/>
    <cellStyle name="Обычный 6 5 7 2 3 2" xfId="21040"/>
    <cellStyle name="Обычный 6 5 7 2 3 3" xfId="21041"/>
    <cellStyle name="Обычный 6 5 7 2 4" xfId="21042"/>
    <cellStyle name="Обычный 6 5 7 2 4 2" xfId="21043"/>
    <cellStyle name="Обычный 6 5 7 2 4 3" xfId="21044"/>
    <cellStyle name="Обычный 6 5 7 2 5" xfId="21045"/>
    <cellStyle name="Обычный 6 5 7 2 5 2" xfId="21046"/>
    <cellStyle name="Обычный 6 5 7 2 6" xfId="21047"/>
    <cellStyle name="Обычный 6 5 7 2 7" xfId="21048"/>
    <cellStyle name="Обычный 6 5 7 3" xfId="21049"/>
    <cellStyle name="Обычный 6 5 7 3 2" xfId="21050"/>
    <cellStyle name="Обычный 6 5 7 3 2 2" xfId="21051"/>
    <cellStyle name="Обычный 6 5 7 3 2 3" xfId="21052"/>
    <cellStyle name="Обычный 6 5 7 3 3" xfId="21053"/>
    <cellStyle name="Обычный 6 5 7 3 3 2" xfId="21054"/>
    <cellStyle name="Обычный 6 5 7 3 3 3" xfId="21055"/>
    <cellStyle name="Обычный 6 5 7 3 4" xfId="21056"/>
    <cellStyle name="Обычный 6 5 7 3 4 2" xfId="21057"/>
    <cellStyle name="Обычный 6 5 7 3 5" xfId="21058"/>
    <cellStyle name="Обычный 6 5 7 3 6" xfId="21059"/>
    <cellStyle name="Обычный 6 5 7 4" xfId="21060"/>
    <cellStyle name="Обычный 6 5 7 4 2" xfId="21061"/>
    <cellStyle name="Обычный 6 5 7 4 3" xfId="21062"/>
    <cellStyle name="Обычный 6 5 7 5" xfId="21063"/>
    <cellStyle name="Обычный 6 5 7 5 2" xfId="21064"/>
    <cellStyle name="Обычный 6 5 7 5 3" xfId="21065"/>
    <cellStyle name="Обычный 6 5 7 6" xfId="21066"/>
    <cellStyle name="Обычный 6 5 7 6 2" xfId="21067"/>
    <cellStyle name="Обычный 6 5 7 7" xfId="21068"/>
    <cellStyle name="Обычный 6 5 7 8" xfId="21069"/>
    <cellStyle name="Обычный 6 5 8" xfId="21070"/>
    <cellStyle name="Обычный 6 5 8 2" xfId="21071"/>
    <cellStyle name="Обычный 6 5 8 2 2" xfId="21072"/>
    <cellStyle name="Обычный 6 5 8 2 2 2" xfId="21073"/>
    <cellStyle name="Обычный 6 5 8 2 2 3" xfId="21074"/>
    <cellStyle name="Обычный 6 5 8 2 3" xfId="21075"/>
    <cellStyle name="Обычный 6 5 8 2 3 2" xfId="21076"/>
    <cellStyle name="Обычный 6 5 8 2 3 3" xfId="21077"/>
    <cellStyle name="Обычный 6 5 8 2 4" xfId="21078"/>
    <cellStyle name="Обычный 6 5 8 2 4 2" xfId="21079"/>
    <cellStyle name="Обычный 6 5 8 2 5" xfId="21080"/>
    <cellStyle name="Обычный 6 5 8 2 6" xfId="21081"/>
    <cellStyle name="Обычный 6 5 8 3" xfId="21082"/>
    <cellStyle name="Обычный 6 5 8 3 2" xfId="21083"/>
    <cellStyle name="Обычный 6 5 8 3 3" xfId="21084"/>
    <cellStyle name="Обычный 6 5 8 4" xfId="21085"/>
    <cellStyle name="Обычный 6 5 8 4 2" xfId="21086"/>
    <cellStyle name="Обычный 6 5 8 4 3" xfId="21087"/>
    <cellStyle name="Обычный 6 5 8 5" xfId="21088"/>
    <cellStyle name="Обычный 6 5 8 5 2" xfId="21089"/>
    <cellStyle name="Обычный 6 5 8 6" xfId="21090"/>
    <cellStyle name="Обычный 6 5 8 7" xfId="21091"/>
    <cellStyle name="Обычный 6 5 9" xfId="21092"/>
    <cellStyle name="Обычный 6 5 9 2" xfId="21093"/>
    <cellStyle name="Обычный 6 5 9 2 2" xfId="21094"/>
    <cellStyle name="Обычный 6 5 9 2 3" xfId="21095"/>
    <cellStyle name="Обычный 6 5 9 3" xfId="21096"/>
    <cellStyle name="Обычный 6 5 9 3 2" xfId="21097"/>
    <cellStyle name="Обычный 6 5 9 3 3" xfId="21098"/>
    <cellStyle name="Обычный 6 5 9 4" xfId="21099"/>
    <cellStyle name="Обычный 6 5 9 4 2" xfId="21100"/>
    <cellStyle name="Обычный 6 5 9 5" xfId="21101"/>
    <cellStyle name="Обычный 6 5 9 6" xfId="21102"/>
    <cellStyle name="Обычный 6 6" xfId="21103"/>
    <cellStyle name="Обычный 6 6 10" xfId="21104"/>
    <cellStyle name="Обычный 6 6 10 2" xfId="21105"/>
    <cellStyle name="Обычный 6 6 10 3" xfId="21106"/>
    <cellStyle name="Обычный 6 6 11" xfId="21107"/>
    <cellStyle name="Обычный 6 6 11 2" xfId="21108"/>
    <cellStyle name="Обычный 6 6 11 3" xfId="21109"/>
    <cellStyle name="Обычный 6 6 12" xfId="21110"/>
    <cellStyle name="Обычный 6 6 12 2" xfId="21111"/>
    <cellStyle name="Обычный 6 6 13" xfId="21112"/>
    <cellStyle name="Обычный 6 6 14" xfId="21113"/>
    <cellStyle name="Обычный 6 6 2" xfId="21114"/>
    <cellStyle name="Обычный 6 6 2 10" xfId="21115"/>
    <cellStyle name="Обычный 6 6 2 10 2" xfId="21116"/>
    <cellStyle name="Обычный 6 6 2 10 3" xfId="21117"/>
    <cellStyle name="Обычный 6 6 2 11" xfId="21118"/>
    <cellStyle name="Обычный 6 6 2 11 2" xfId="21119"/>
    <cellStyle name="Обычный 6 6 2 12" xfId="21120"/>
    <cellStyle name="Обычный 6 6 2 13" xfId="21121"/>
    <cellStyle name="Обычный 6 6 2 2" xfId="21122"/>
    <cellStyle name="Обычный 6 6 2 2 10" xfId="21123"/>
    <cellStyle name="Обычный 6 6 2 2 2" xfId="21124"/>
    <cellStyle name="Обычный 6 6 2 2 2 2" xfId="21125"/>
    <cellStyle name="Обычный 6 6 2 2 2 2 2" xfId="21126"/>
    <cellStyle name="Обычный 6 6 2 2 2 2 2 2" xfId="21127"/>
    <cellStyle name="Обычный 6 6 2 2 2 2 2 2 2" xfId="21128"/>
    <cellStyle name="Обычный 6 6 2 2 2 2 2 2 2 2" xfId="21129"/>
    <cellStyle name="Обычный 6 6 2 2 2 2 2 2 2 3" xfId="21130"/>
    <cellStyle name="Обычный 6 6 2 2 2 2 2 2 3" xfId="21131"/>
    <cellStyle name="Обычный 6 6 2 2 2 2 2 2 3 2" xfId="21132"/>
    <cellStyle name="Обычный 6 6 2 2 2 2 2 2 3 3" xfId="21133"/>
    <cellStyle name="Обычный 6 6 2 2 2 2 2 2 4" xfId="21134"/>
    <cellStyle name="Обычный 6 6 2 2 2 2 2 2 4 2" xfId="21135"/>
    <cellStyle name="Обычный 6 6 2 2 2 2 2 2 5" xfId="21136"/>
    <cellStyle name="Обычный 6 6 2 2 2 2 2 2 6" xfId="21137"/>
    <cellStyle name="Обычный 6 6 2 2 2 2 2 3" xfId="21138"/>
    <cellStyle name="Обычный 6 6 2 2 2 2 2 3 2" xfId="21139"/>
    <cellStyle name="Обычный 6 6 2 2 2 2 2 3 3" xfId="21140"/>
    <cellStyle name="Обычный 6 6 2 2 2 2 2 4" xfId="21141"/>
    <cellStyle name="Обычный 6 6 2 2 2 2 2 4 2" xfId="21142"/>
    <cellStyle name="Обычный 6 6 2 2 2 2 2 4 3" xfId="21143"/>
    <cellStyle name="Обычный 6 6 2 2 2 2 2 5" xfId="21144"/>
    <cellStyle name="Обычный 6 6 2 2 2 2 2 5 2" xfId="21145"/>
    <cellStyle name="Обычный 6 6 2 2 2 2 2 6" xfId="21146"/>
    <cellStyle name="Обычный 6 6 2 2 2 2 2 7" xfId="21147"/>
    <cellStyle name="Обычный 6 6 2 2 2 2 3" xfId="21148"/>
    <cellStyle name="Обычный 6 6 2 2 2 2 3 2" xfId="21149"/>
    <cellStyle name="Обычный 6 6 2 2 2 2 3 2 2" xfId="21150"/>
    <cellStyle name="Обычный 6 6 2 2 2 2 3 2 3" xfId="21151"/>
    <cellStyle name="Обычный 6 6 2 2 2 2 3 3" xfId="21152"/>
    <cellStyle name="Обычный 6 6 2 2 2 2 3 3 2" xfId="21153"/>
    <cellStyle name="Обычный 6 6 2 2 2 2 3 3 3" xfId="21154"/>
    <cellStyle name="Обычный 6 6 2 2 2 2 3 4" xfId="21155"/>
    <cellStyle name="Обычный 6 6 2 2 2 2 3 4 2" xfId="21156"/>
    <cellStyle name="Обычный 6 6 2 2 2 2 3 5" xfId="21157"/>
    <cellStyle name="Обычный 6 6 2 2 2 2 3 6" xfId="21158"/>
    <cellStyle name="Обычный 6 6 2 2 2 2 4" xfId="21159"/>
    <cellStyle name="Обычный 6 6 2 2 2 2 4 2" xfId="21160"/>
    <cellStyle name="Обычный 6 6 2 2 2 2 4 3" xfId="21161"/>
    <cellStyle name="Обычный 6 6 2 2 2 2 5" xfId="21162"/>
    <cellStyle name="Обычный 6 6 2 2 2 2 5 2" xfId="21163"/>
    <cellStyle name="Обычный 6 6 2 2 2 2 5 3" xfId="21164"/>
    <cellStyle name="Обычный 6 6 2 2 2 2 6" xfId="21165"/>
    <cellStyle name="Обычный 6 6 2 2 2 2 6 2" xfId="21166"/>
    <cellStyle name="Обычный 6 6 2 2 2 2 7" xfId="21167"/>
    <cellStyle name="Обычный 6 6 2 2 2 2 8" xfId="21168"/>
    <cellStyle name="Обычный 6 6 2 2 2 3" xfId="21169"/>
    <cellStyle name="Обычный 6 6 2 2 2 3 2" xfId="21170"/>
    <cellStyle name="Обычный 6 6 2 2 2 3 2 2" xfId="21171"/>
    <cellStyle name="Обычный 6 6 2 2 2 3 2 2 2" xfId="21172"/>
    <cellStyle name="Обычный 6 6 2 2 2 3 2 2 3" xfId="21173"/>
    <cellStyle name="Обычный 6 6 2 2 2 3 2 3" xfId="21174"/>
    <cellStyle name="Обычный 6 6 2 2 2 3 2 3 2" xfId="21175"/>
    <cellStyle name="Обычный 6 6 2 2 2 3 2 3 3" xfId="21176"/>
    <cellStyle name="Обычный 6 6 2 2 2 3 2 4" xfId="21177"/>
    <cellStyle name="Обычный 6 6 2 2 2 3 2 4 2" xfId="21178"/>
    <cellStyle name="Обычный 6 6 2 2 2 3 2 5" xfId="21179"/>
    <cellStyle name="Обычный 6 6 2 2 2 3 2 6" xfId="21180"/>
    <cellStyle name="Обычный 6 6 2 2 2 3 3" xfId="21181"/>
    <cellStyle name="Обычный 6 6 2 2 2 3 3 2" xfId="21182"/>
    <cellStyle name="Обычный 6 6 2 2 2 3 3 3" xfId="21183"/>
    <cellStyle name="Обычный 6 6 2 2 2 3 4" xfId="21184"/>
    <cellStyle name="Обычный 6 6 2 2 2 3 4 2" xfId="21185"/>
    <cellStyle name="Обычный 6 6 2 2 2 3 4 3" xfId="21186"/>
    <cellStyle name="Обычный 6 6 2 2 2 3 5" xfId="21187"/>
    <cellStyle name="Обычный 6 6 2 2 2 3 5 2" xfId="21188"/>
    <cellStyle name="Обычный 6 6 2 2 2 3 6" xfId="21189"/>
    <cellStyle name="Обычный 6 6 2 2 2 3 7" xfId="21190"/>
    <cellStyle name="Обычный 6 6 2 2 2 4" xfId="21191"/>
    <cellStyle name="Обычный 6 6 2 2 2 4 2" xfId="21192"/>
    <cellStyle name="Обычный 6 6 2 2 2 4 2 2" xfId="21193"/>
    <cellStyle name="Обычный 6 6 2 2 2 4 2 3" xfId="21194"/>
    <cellStyle name="Обычный 6 6 2 2 2 4 3" xfId="21195"/>
    <cellStyle name="Обычный 6 6 2 2 2 4 3 2" xfId="21196"/>
    <cellStyle name="Обычный 6 6 2 2 2 4 3 3" xfId="21197"/>
    <cellStyle name="Обычный 6 6 2 2 2 4 4" xfId="21198"/>
    <cellStyle name="Обычный 6 6 2 2 2 4 4 2" xfId="21199"/>
    <cellStyle name="Обычный 6 6 2 2 2 4 5" xfId="21200"/>
    <cellStyle name="Обычный 6 6 2 2 2 4 6" xfId="21201"/>
    <cellStyle name="Обычный 6 6 2 2 2 5" xfId="21202"/>
    <cellStyle name="Обычный 6 6 2 2 2 5 2" xfId="21203"/>
    <cellStyle name="Обычный 6 6 2 2 2 5 3" xfId="21204"/>
    <cellStyle name="Обычный 6 6 2 2 2 6" xfId="21205"/>
    <cellStyle name="Обычный 6 6 2 2 2 6 2" xfId="21206"/>
    <cellStyle name="Обычный 6 6 2 2 2 6 3" xfId="21207"/>
    <cellStyle name="Обычный 6 6 2 2 2 7" xfId="21208"/>
    <cellStyle name="Обычный 6 6 2 2 2 7 2" xfId="21209"/>
    <cellStyle name="Обычный 6 6 2 2 2 8" xfId="21210"/>
    <cellStyle name="Обычный 6 6 2 2 2 9" xfId="21211"/>
    <cellStyle name="Обычный 6 6 2 2 3" xfId="21212"/>
    <cellStyle name="Обычный 6 6 2 2 3 2" xfId="21213"/>
    <cellStyle name="Обычный 6 6 2 2 3 2 2" xfId="21214"/>
    <cellStyle name="Обычный 6 6 2 2 3 2 2 2" xfId="21215"/>
    <cellStyle name="Обычный 6 6 2 2 3 2 2 2 2" xfId="21216"/>
    <cellStyle name="Обычный 6 6 2 2 3 2 2 2 3" xfId="21217"/>
    <cellStyle name="Обычный 6 6 2 2 3 2 2 3" xfId="21218"/>
    <cellStyle name="Обычный 6 6 2 2 3 2 2 3 2" xfId="21219"/>
    <cellStyle name="Обычный 6 6 2 2 3 2 2 3 3" xfId="21220"/>
    <cellStyle name="Обычный 6 6 2 2 3 2 2 4" xfId="21221"/>
    <cellStyle name="Обычный 6 6 2 2 3 2 2 4 2" xfId="21222"/>
    <cellStyle name="Обычный 6 6 2 2 3 2 2 5" xfId="21223"/>
    <cellStyle name="Обычный 6 6 2 2 3 2 2 6" xfId="21224"/>
    <cellStyle name="Обычный 6 6 2 2 3 2 3" xfId="21225"/>
    <cellStyle name="Обычный 6 6 2 2 3 2 3 2" xfId="21226"/>
    <cellStyle name="Обычный 6 6 2 2 3 2 3 3" xfId="21227"/>
    <cellStyle name="Обычный 6 6 2 2 3 2 4" xfId="21228"/>
    <cellStyle name="Обычный 6 6 2 2 3 2 4 2" xfId="21229"/>
    <cellStyle name="Обычный 6 6 2 2 3 2 4 3" xfId="21230"/>
    <cellStyle name="Обычный 6 6 2 2 3 2 5" xfId="21231"/>
    <cellStyle name="Обычный 6 6 2 2 3 2 5 2" xfId="21232"/>
    <cellStyle name="Обычный 6 6 2 2 3 2 6" xfId="21233"/>
    <cellStyle name="Обычный 6 6 2 2 3 2 7" xfId="21234"/>
    <cellStyle name="Обычный 6 6 2 2 3 3" xfId="21235"/>
    <cellStyle name="Обычный 6 6 2 2 3 3 2" xfId="21236"/>
    <cellStyle name="Обычный 6 6 2 2 3 3 2 2" xfId="21237"/>
    <cellStyle name="Обычный 6 6 2 2 3 3 2 3" xfId="21238"/>
    <cellStyle name="Обычный 6 6 2 2 3 3 3" xfId="21239"/>
    <cellStyle name="Обычный 6 6 2 2 3 3 3 2" xfId="21240"/>
    <cellStyle name="Обычный 6 6 2 2 3 3 3 3" xfId="21241"/>
    <cellStyle name="Обычный 6 6 2 2 3 3 4" xfId="21242"/>
    <cellStyle name="Обычный 6 6 2 2 3 3 4 2" xfId="21243"/>
    <cellStyle name="Обычный 6 6 2 2 3 3 5" xfId="21244"/>
    <cellStyle name="Обычный 6 6 2 2 3 3 6" xfId="21245"/>
    <cellStyle name="Обычный 6 6 2 2 3 4" xfId="21246"/>
    <cellStyle name="Обычный 6 6 2 2 3 4 2" xfId="21247"/>
    <cellStyle name="Обычный 6 6 2 2 3 4 3" xfId="21248"/>
    <cellStyle name="Обычный 6 6 2 2 3 5" xfId="21249"/>
    <cellStyle name="Обычный 6 6 2 2 3 5 2" xfId="21250"/>
    <cellStyle name="Обычный 6 6 2 2 3 5 3" xfId="21251"/>
    <cellStyle name="Обычный 6 6 2 2 3 6" xfId="21252"/>
    <cellStyle name="Обычный 6 6 2 2 3 6 2" xfId="21253"/>
    <cellStyle name="Обычный 6 6 2 2 3 7" xfId="21254"/>
    <cellStyle name="Обычный 6 6 2 2 3 8" xfId="21255"/>
    <cellStyle name="Обычный 6 6 2 2 4" xfId="21256"/>
    <cellStyle name="Обычный 6 6 2 2 4 2" xfId="21257"/>
    <cellStyle name="Обычный 6 6 2 2 4 2 2" xfId="21258"/>
    <cellStyle name="Обычный 6 6 2 2 4 2 2 2" xfId="21259"/>
    <cellStyle name="Обычный 6 6 2 2 4 2 2 3" xfId="21260"/>
    <cellStyle name="Обычный 6 6 2 2 4 2 3" xfId="21261"/>
    <cellStyle name="Обычный 6 6 2 2 4 2 3 2" xfId="21262"/>
    <cellStyle name="Обычный 6 6 2 2 4 2 3 3" xfId="21263"/>
    <cellStyle name="Обычный 6 6 2 2 4 2 4" xfId="21264"/>
    <cellStyle name="Обычный 6 6 2 2 4 2 4 2" xfId="21265"/>
    <cellStyle name="Обычный 6 6 2 2 4 2 5" xfId="21266"/>
    <cellStyle name="Обычный 6 6 2 2 4 2 6" xfId="21267"/>
    <cellStyle name="Обычный 6 6 2 2 4 3" xfId="21268"/>
    <cellStyle name="Обычный 6 6 2 2 4 3 2" xfId="21269"/>
    <cellStyle name="Обычный 6 6 2 2 4 3 3" xfId="21270"/>
    <cellStyle name="Обычный 6 6 2 2 4 4" xfId="21271"/>
    <cellStyle name="Обычный 6 6 2 2 4 4 2" xfId="21272"/>
    <cellStyle name="Обычный 6 6 2 2 4 4 3" xfId="21273"/>
    <cellStyle name="Обычный 6 6 2 2 4 5" xfId="21274"/>
    <cellStyle name="Обычный 6 6 2 2 4 5 2" xfId="21275"/>
    <cellStyle name="Обычный 6 6 2 2 4 6" xfId="21276"/>
    <cellStyle name="Обычный 6 6 2 2 4 7" xfId="21277"/>
    <cellStyle name="Обычный 6 6 2 2 5" xfId="21278"/>
    <cellStyle name="Обычный 6 6 2 2 5 2" xfId="21279"/>
    <cellStyle name="Обычный 6 6 2 2 5 2 2" xfId="21280"/>
    <cellStyle name="Обычный 6 6 2 2 5 2 3" xfId="21281"/>
    <cellStyle name="Обычный 6 6 2 2 5 3" xfId="21282"/>
    <cellStyle name="Обычный 6 6 2 2 5 3 2" xfId="21283"/>
    <cellStyle name="Обычный 6 6 2 2 5 3 3" xfId="21284"/>
    <cellStyle name="Обычный 6 6 2 2 5 4" xfId="21285"/>
    <cellStyle name="Обычный 6 6 2 2 5 4 2" xfId="21286"/>
    <cellStyle name="Обычный 6 6 2 2 5 5" xfId="21287"/>
    <cellStyle name="Обычный 6 6 2 2 5 6" xfId="21288"/>
    <cellStyle name="Обычный 6 6 2 2 6" xfId="21289"/>
    <cellStyle name="Обычный 6 6 2 2 6 2" xfId="21290"/>
    <cellStyle name="Обычный 6 6 2 2 6 3" xfId="21291"/>
    <cellStyle name="Обычный 6 6 2 2 7" xfId="21292"/>
    <cellStyle name="Обычный 6 6 2 2 7 2" xfId="21293"/>
    <cellStyle name="Обычный 6 6 2 2 7 3" xfId="21294"/>
    <cellStyle name="Обычный 6 6 2 2 8" xfId="21295"/>
    <cellStyle name="Обычный 6 6 2 2 8 2" xfId="21296"/>
    <cellStyle name="Обычный 6 6 2 2 9" xfId="21297"/>
    <cellStyle name="Обычный 6 6 2 3" xfId="21298"/>
    <cellStyle name="Обычный 6 6 2 3 10" xfId="21299"/>
    <cellStyle name="Обычный 6 6 2 3 2" xfId="21300"/>
    <cellStyle name="Обычный 6 6 2 3 2 2" xfId="21301"/>
    <cellStyle name="Обычный 6 6 2 3 2 2 2" xfId="21302"/>
    <cellStyle name="Обычный 6 6 2 3 2 2 2 2" xfId="21303"/>
    <cellStyle name="Обычный 6 6 2 3 2 2 2 2 2" xfId="21304"/>
    <cellStyle name="Обычный 6 6 2 3 2 2 2 2 2 2" xfId="21305"/>
    <cellStyle name="Обычный 6 6 2 3 2 2 2 2 2 3" xfId="21306"/>
    <cellStyle name="Обычный 6 6 2 3 2 2 2 2 3" xfId="21307"/>
    <cellStyle name="Обычный 6 6 2 3 2 2 2 2 3 2" xfId="21308"/>
    <cellStyle name="Обычный 6 6 2 3 2 2 2 2 3 3" xfId="21309"/>
    <cellStyle name="Обычный 6 6 2 3 2 2 2 2 4" xfId="21310"/>
    <cellStyle name="Обычный 6 6 2 3 2 2 2 2 4 2" xfId="21311"/>
    <cellStyle name="Обычный 6 6 2 3 2 2 2 2 5" xfId="21312"/>
    <cellStyle name="Обычный 6 6 2 3 2 2 2 2 6" xfId="21313"/>
    <cellStyle name="Обычный 6 6 2 3 2 2 2 3" xfId="21314"/>
    <cellStyle name="Обычный 6 6 2 3 2 2 2 3 2" xfId="21315"/>
    <cellStyle name="Обычный 6 6 2 3 2 2 2 3 3" xfId="21316"/>
    <cellStyle name="Обычный 6 6 2 3 2 2 2 4" xfId="21317"/>
    <cellStyle name="Обычный 6 6 2 3 2 2 2 4 2" xfId="21318"/>
    <cellStyle name="Обычный 6 6 2 3 2 2 2 4 3" xfId="21319"/>
    <cellStyle name="Обычный 6 6 2 3 2 2 2 5" xfId="21320"/>
    <cellStyle name="Обычный 6 6 2 3 2 2 2 5 2" xfId="21321"/>
    <cellStyle name="Обычный 6 6 2 3 2 2 2 6" xfId="21322"/>
    <cellStyle name="Обычный 6 6 2 3 2 2 2 7" xfId="21323"/>
    <cellStyle name="Обычный 6 6 2 3 2 2 3" xfId="21324"/>
    <cellStyle name="Обычный 6 6 2 3 2 2 3 2" xfId="21325"/>
    <cellStyle name="Обычный 6 6 2 3 2 2 3 2 2" xfId="21326"/>
    <cellStyle name="Обычный 6 6 2 3 2 2 3 2 3" xfId="21327"/>
    <cellStyle name="Обычный 6 6 2 3 2 2 3 3" xfId="21328"/>
    <cellStyle name="Обычный 6 6 2 3 2 2 3 3 2" xfId="21329"/>
    <cellStyle name="Обычный 6 6 2 3 2 2 3 3 3" xfId="21330"/>
    <cellStyle name="Обычный 6 6 2 3 2 2 3 4" xfId="21331"/>
    <cellStyle name="Обычный 6 6 2 3 2 2 3 4 2" xfId="21332"/>
    <cellStyle name="Обычный 6 6 2 3 2 2 3 5" xfId="21333"/>
    <cellStyle name="Обычный 6 6 2 3 2 2 3 6" xfId="21334"/>
    <cellStyle name="Обычный 6 6 2 3 2 2 4" xfId="21335"/>
    <cellStyle name="Обычный 6 6 2 3 2 2 4 2" xfId="21336"/>
    <cellStyle name="Обычный 6 6 2 3 2 2 4 3" xfId="21337"/>
    <cellStyle name="Обычный 6 6 2 3 2 2 5" xfId="21338"/>
    <cellStyle name="Обычный 6 6 2 3 2 2 5 2" xfId="21339"/>
    <cellStyle name="Обычный 6 6 2 3 2 2 5 3" xfId="21340"/>
    <cellStyle name="Обычный 6 6 2 3 2 2 6" xfId="21341"/>
    <cellStyle name="Обычный 6 6 2 3 2 2 6 2" xfId="21342"/>
    <cellStyle name="Обычный 6 6 2 3 2 2 7" xfId="21343"/>
    <cellStyle name="Обычный 6 6 2 3 2 2 8" xfId="21344"/>
    <cellStyle name="Обычный 6 6 2 3 2 3" xfId="21345"/>
    <cellStyle name="Обычный 6 6 2 3 2 3 2" xfId="21346"/>
    <cellStyle name="Обычный 6 6 2 3 2 3 2 2" xfId="21347"/>
    <cellStyle name="Обычный 6 6 2 3 2 3 2 2 2" xfId="21348"/>
    <cellStyle name="Обычный 6 6 2 3 2 3 2 2 3" xfId="21349"/>
    <cellStyle name="Обычный 6 6 2 3 2 3 2 3" xfId="21350"/>
    <cellStyle name="Обычный 6 6 2 3 2 3 2 3 2" xfId="21351"/>
    <cellStyle name="Обычный 6 6 2 3 2 3 2 3 3" xfId="21352"/>
    <cellStyle name="Обычный 6 6 2 3 2 3 2 4" xfId="21353"/>
    <cellStyle name="Обычный 6 6 2 3 2 3 2 4 2" xfId="21354"/>
    <cellStyle name="Обычный 6 6 2 3 2 3 2 5" xfId="21355"/>
    <cellStyle name="Обычный 6 6 2 3 2 3 2 6" xfId="21356"/>
    <cellStyle name="Обычный 6 6 2 3 2 3 3" xfId="21357"/>
    <cellStyle name="Обычный 6 6 2 3 2 3 3 2" xfId="21358"/>
    <cellStyle name="Обычный 6 6 2 3 2 3 3 3" xfId="21359"/>
    <cellStyle name="Обычный 6 6 2 3 2 3 4" xfId="21360"/>
    <cellStyle name="Обычный 6 6 2 3 2 3 4 2" xfId="21361"/>
    <cellStyle name="Обычный 6 6 2 3 2 3 4 3" xfId="21362"/>
    <cellStyle name="Обычный 6 6 2 3 2 3 5" xfId="21363"/>
    <cellStyle name="Обычный 6 6 2 3 2 3 5 2" xfId="21364"/>
    <cellStyle name="Обычный 6 6 2 3 2 3 6" xfId="21365"/>
    <cellStyle name="Обычный 6 6 2 3 2 3 7" xfId="21366"/>
    <cellStyle name="Обычный 6 6 2 3 2 4" xfId="21367"/>
    <cellStyle name="Обычный 6 6 2 3 2 4 2" xfId="21368"/>
    <cellStyle name="Обычный 6 6 2 3 2 4 2 2" xfId="21369"/>
    <cellStyle name="Обычный 6 6 2 3 2 4 2 3" xfId="21370"/>
    <cellStyle name="Обычный 6 6 2 3 2 4 3" xfId="21371"/>
    <cellStyle name="Обычный 6 6 2 3 2 4 3 2" xfId="21372"/>
    <cellStyle name="Обычный 6 6 2 3 2 4 3 3" xfId="21373"/>
    <cellStyle name="Обычный 6 6 2 3 2 4 4" xfId="21374"/>
    <cellStyle name="Обычный 6 6 2 3 2 4 4 2" xfId="21375"/>
    <cellStyle name="Обычный 6 6 2 3 2 4 5" xfId="21376"/>
    <cellStyle name="Обычный 6 6 2 3 2 4 6" xfId="21377"/>
    <cellStyle name="Обычный 6 6 2 3 2 5" xfId="21378"/>
    <cellStyle name="Обычный 6 6 2 3 2 5 2" xfId="21379"/>
    <cellStyle name="Обычный 6 6 2 3 2 5 3" xfId="21380"/>
    <cellStyle name="Обычный 6 6 2 3 2 6" xfId="21381"/>
    <cellStyle name="Обычный 6 6 2 3 2 6 2" xfId="21382"/>
    <cellStyle name="Обычный 6 6 2 3 2 6 3" xfId="21383"/>
    <cellStyle name="Обычный 6 6 2 3 2 7" xfId="21384"/>
    <cellStyle name="Обычный 6 6 2 3 2 7 2" xfId="21385"/>
    <cellStyle name="Обычный 6 6 2 3 2 8" xfId="21386"/>
    <cellStyle name="Обычный 6 6 2 3 2 9" xfId="21387"/>
    <cellStyle name="Обычный 6 6 2 3 3" xfId="21388"/>
    <cellStyle name="Обычный 6 6 2 3 3 2" xfId="21389"/>
    <cellStyle name="Обычный 6 6 2 3 3 2 2" xfId="21390"/>
    <cellStyle name="Обычный 6 6 2 3 3 2 2 2" xfId="21391"/>
    <cellStyle name="Обычный 6 6 2 3 3 2 2 2 2" xfId="21392"/>
    <cellStyle name="Обычный 6 6 2 3 3 2 2 2 3" xfId="21393"/>
    <cellStyle name="Обычный 6 6 2 3 3 2 2 3" xfId="21394"/>
    <cellStyle name="Обычный 6 6 2 3 3 2 2 3 2" xfId="21395"/>
    <cellStyle name="Обычный 6 6 2 3 3 2 2 3 3" xfId="21396"/>
    <cellStyle name="Обычный 6 6 2 3 3 2 2 4" xfId="21397"/>
    <cellStyle name="Обычный 6 6 2 3 3 2 2 4 2" xfId="21398"/>
    <cellStyle name="Обычный 6 6 2 3 3 2 2 5" xfId="21399"/>
    <cellStyle name="Обычный 6 6 2 3 3 2 2 6" xfId="21400"/>
    <cellStyle name="Обычный 6 6 2 3 3 2 3" xfId="21401"/>
    <cellStyle name="Обычный 6 6 2 3 3 2 3 2" xfId="21402"/>
    <cellStyle name="Обычный 6 6 2 3 3 2 3 3" xfId="21403"/>
    <cellStyle name="Обычный 6 6 2 3 3 2 4" xfId="21404"/>
    <cellStyle name="Обычный 6 6 2 3 3 2 4 2" xfId="21405"/>
    <cellStyle name="Обычный 6 6 2 3 3 2 4 3" xfId="21406"/>
    <cellStyle name="Обычный 6 6 2 3 3 2 5" xfId="21407"/>
    <cellStyle name="Обычный 6 6 2 3 3 2 5 2" xfId="21408"/>
    <cellStyle name="Обычный 6 6 2 3 3 2 6" xfId="21409"/>
    <cellStyle name="Обычный 6 6 2 3 3 2 7" xfId="21410"/>
    <cellStyle name="Обычный 6 6 2 3 3 3" xfId="21411"/>
    <cellStyle name="Обычный 6 6 2 3 3 3 2" xfId="21412"/>
    <cellStyle name="Обычный 6 6 2 3 3 3 2 2" xfId="21413"/>
    <cellStyle name="Обычный 6 6 2 3 3 3 2 3" xfId="21414"/>
    <cellStyle name="Обычный 6 6 2 3 3 3 3" xfId="21415"/>
    <cellStyle name="Обычный 6 6 2 3 3 3 3 2" xfId="21416"/>
    <cellStyle name="Обычный 6 6 2 3 3 3 3 3" xfId="21417"/>
    <cellStyle name="Обычный 6 6 2 3 3 3 4" xfId="21418"/>
    <cellStyle name="Обычный 6 6 2 3 3 3 4 2" xfId="21419"/>
    <cellStyle name="Обычный 6 6 2 3 3 3 5" xfId="21420"/>
    <cellStyle name="Обычный 6 6 2 3 3 3 6" xfId="21421"/>
    <cellStyle name="Обычный 6 6 2 3 3 4" xfId="21422"/>
    <cellStyle name="Обычный 6 6 2 3 3 4 2" xfId="21423"/>
    <cellStyle name="Обычный 6 6 2 3 3 4 3" xfId="21424"/>
    <cellStyle name="Обычный 6 6 2 3 3 5" xfId="21425"/>
    <cellStyle name="Обычный 6 6 2 3 3 5 2" xfId="21426"/>
    <cellStyle name="Обычный 6 6 2 3 3 5 3" xfId="21427"/>
    <cellStyle name="Обычный 6 6 2 3 3 6" xfId="21428"/>
    <cellStyle name="Обычный 6 6 2 3 3 6 2" xfId="21429"/>
    <cellStyle name="Обычный 6 6 2 3 3 7" xfId="21430"/>
    <cellStyle name="Обычный 6 6 2 3 3 8" xfId="21431"/>
    <cellStyle name="Обычный 6 6 2 3 4" xfId="21432"/>
    <cellStyle name="Обычный 6 6 2 3 4 2" xfId="21433"/>
    <cellStyle name="Обычный 6 6 2 3 4 2 2" xfId="21434"/>
    <cellStyle name="Обычный 6 6 2 3 4 2 2 2" xfId="21435"/>
    <cellStyle name="Обычный 6 6 2 3 4 2 2 3" xfId="21436"/>
    <cellStyle name="Обычный 6 6 2 3 4 2 3" xfId="21437"/>
    <cellStyle name="Обычный 6 6 2 3 4 2 3 2" xfId="21438"/>
    <cellStyle name="Обычный 6 6 2 3 4 2 3 3" xfId="21439"/>
    <cellStyle name="Обычный 6 6 2 3 4 2 4" xfId="21440"/>
    <cellStyle name="Обычный 6 6 2 3 4 2 4 2" xfId="21441"/>
    <cellStyle name="Обычный 6 6 2 3 4 2 5" xfId="21442"/>
    <cellStyle name="Обычный 6 6 2 3 4 2 6" xfId="21443"/>
    <cellStyle name="Обычный 6 6 2 3 4 3" xfId="21444"/>
    <cellStyle name="Обычный 6 6 2 3 4 3 2" xfId="21445"/>
    <cellStyle name="Обычный 6 6 2 3 4 3 3" xfId="21446"/>
    <cellStyle name="Обычный 6 6 2 3 4 4" xfId="21447"/>
    <cellStyle name="Обычный 6 6 2 3 4 4 2" xfId="21448"/>
    <cellStyle name="Обычный 6 6 2 3 4 4 3" xfId="21449"/>
    <cellStyle name="Обычный 6 6 2 3 4 5" xfId="21450"/>
    <cellStyle name="Обычный 6 6 2 3 4 5 2" xfId="21451"/>
    <cellStyle name="Обычный 6 6 2 3 4 6" xfId="21452"/>
    <cellStyle name="Обычный 6 6 2 3 4 7" xfId="21453"/>
    <cellStyle name="Обычный 6 6 2 3 5" xfId="21454"/>
    <cellStyle name="Обычный 6 6 2 3 5 2" xfId="21455"/>
    <cellStyle name="Обычный 6 6 2 3 5 2 2" xfId="21456"/>
    <cellStyle name="Обычный 6 6 2 3 5 2 3" xfId="21457"/>
    <cellStyle name="Обычный 6 6 2 3 5 3" xfId="21458"/>
    <cellStyle name="Обычный 6 6 2 3 5 3 2" xfId="21459"/>
    <cellStyle name="Обычный 6 6 2 3 5 3 3" xfId="21460"/>
    <cellStyle name="Обычный 6 6 2 3 5 4" xfId="21461"/>
    <cellStyle name="Обычный 6 6 2 3 5 4 2" xfId="21462"/>
    <cellStyle name="Обычный 6 6 2 3 5 5" xfId="21463"/>
    <cellStyle name="Обычный 6 6 2 3 5 6" xfId="21464"/>
    <cellStyle name="Обычный 6 6 2 3 6" xfId="21465"/>
    <cellStyle name="Обычный 6 6 2 3 6 2" xfId="21466"/>
    <cellStyle name="Обычный 6 6 2 3 6 3" xfId="21467"/>
    <cellStyle name="Обычный 6 6 2 3 7" xfId="21468"/>
    <cellStyle name="Обычный 6 6 2 3 7 2" xfId="21469"/>
    <cellStyle name="Обычный 6 6 2 3 7 3" xfId="21470"/>
    <cellStyle name="Обычный 6 6 2 3 8" xfId="21471"/>
    <cellStyle name="Обычный 6 6 2 3 8 2" xfId="21472"/>
    <cellStyle name="Обычный 6 6 2 3 9" xfId="21473"/>
    <cellStyle name="Обычный 6 6 2 4" xfId="21474"/>
    <cellStyle name="Обычный 6 6 2 4 10" xfId="21475"/>
    <cellStyle name="Обычный 6 6 2 4 2" xfId="21476"/>
    <cellStyle name="Обычный 6 6 2 4 2 2" xfId="21477"/>
    <cellStyle name="Обычный 6 6 2 4 2 2 2" xfId="21478"/>
    <cellStyle name="Обычный 6 6 2 4 2 2 2 2" xfId="21479"/>
    <cellStyle name="Обычный 6 6 2 4 2 2 2 2 2" xfId="21480"/>
    <cellStyle name="Обычный 6 6 2 4 2 2 2 2 2 2" xfId="21481"/>
    <cellStyle name="Обычный 6 6 2 4 2 2 2 2 2 3" xfId="21482"/>
    <cellStyle name="Обычный 6 6 2 4 2 2 2 2 3" xfId="21483"/>
    <cellStyle name="Обычный 6 6 2 4 2 2 2 2 3 2" xfId="21484"/>
    <cellStyle name="Обычный 6 6 2 4 2 2 2 2 3 3" xfId="21485"/>
    <cellStyle name="Обычный 6 6 2 4 2 2 2 2 4" xfId="21486"/>
    <cellStyle name="Обычный 6 6 2 4 2 2 2 2 4 2" xfId="21487"/>
    <cellStyle name="Обычный 6 6 2 4 2 2 2 2 5" xfId="21488"/>
    <cellStyle name="Обычный 6 6 2 4 2 2 2 2 6" xfId="21489"/>
    <cellStyle name="Обычный 6 6 2 4 2 2 2 3" xfId="21490"/>
    <cellStyle name="Обычный 6 6 2 4 2 2 2 3 2" xfId="21491"/>
    <cellStyle name="Обычный 6 6 2 4 2 2 2 3 3" xfId="21492"/>
    <cellStyle name="Обычный 6 6 2 4 2 2 2 4" xfId="21493"/>
    <cellStyle name="Обычный 6 6 2 4 2 2 2 4 2" xfId="21494"/>
    <cellStyle name="Обычный 6 6 2 4 2 2 2 4 3" xfId="21495"/>
    <cellStyle name="Обычный 6 6 2 4 2 2 2 5" xfId="21496"/>
    <cellStyle name="Обычный 6 6 2 4 2 2 2 5 2" xfId="21497"/>
    <cellStyle name="Обычный 6 6 2 4 2 2 2 6" xfId="21498"/>
    <cellStyle name="Обычный 6 6 2 4 2 2 2 7" xfId="21499"/>
    <cellStyle name="Обычный 6 6 2 4 2 2 3" xfId="21500"/>
    <cellStyle name="Обычный 6 6 2 4 2 2 3 2" xfId="21501"/>
    <cellStyle name="Обычный 6 6 2 4 2 2 3 2 2" xfId="21502"/>
    <cellStyle name="Обычный 6 6 2 4 2 2 3 2 3" xfId="21503"/>
    <cellStyle name="Обычный 6 6 2 4 2 2 3 3" xfId="21504"/>
    <cellStyle name="Обычный 6 6 2 4 2 2 3 3 2" xfId="21505"/>
    <cellStyle name="Обычный 6 6 2 4 2 2 3 3 3" xfId="21506"/>
    <cellStyle name="Обычный 6 6 2 4 2 2 3 4" xfId="21507"/>
    <cellStyle name="Обычный 6 6 2 4 2 2 3 4 2" xfId="21508"/>
    <cellStyle name="Обычный 6 6 2 4 2 2 3 5" xfId="21509"/>
    <cellStyle name="Обычный 6 6 2 4 2 2 3 6" xfId="21510"/>
    <cellStyle name="Обычный 6 6 2 4 2 2 4" xfId="21511"/>
    <cellStyle name="Обычный 6 6 2 4 2 2 4 2" xfId="21512"/>
    <cellStyle name="Обычный 6 6 2 4 2 2 4 3" xfId="21513"/>
    <cellStyle name="Обычный 6 6 2 4 2 2 5" xfId="21514"/>
    <cellStyle name="Обычный 6 6 2 4 2 2 5 2" xfId="21515"/>
    <cellStyle name="Обычный 6 6 2 4 2 2 5 3" xfId="21516"/>
    <cellStyle name="Обычный 6 6 2 4 2 2 6" xfId="21517"/>
    <cellStyle name="Обычный 6 6 2 4 2 2 6 2" xfId="21518"/>
    <cellStyle name="Обычный 6 6 2 4 2 2 7" xfId="21519"/>
    <cellStyle name="Обычный 6 6 2 4 2 2 8" xfId="21520"/>
    <cellStyle name="Обычный 6 6 2 4 2 3" xfId="21521"/>
    <cellStyle name="Обычный 6 6 2 4 2 3 2" xfId="21522"/>
    <cellStyle name="Обычный 6 6 2 4 2 3 2 2" xfId="21523"/>
    <cellStyle name="Обычный 6 6 2 4 2 3 2 2 2" xfId="21524"/>
    <cellStyle name="Обычный 6 6 2 4 2 3 2 2 3" xfId="21525"/>
    <cellStyle name="Обычный 6 6 2 4 2 3 2 3" xfId="21526"/>
    <cellStyle name="Обычный 6 6 2 4 2 3 2 3 2" xfId="21527"/>
    <cellStyle name="Обычный 6 6 2 4 2 3 2 3 3" xfId="21528"/>
    <cellStyle name="Обычный 6 6 2 4 2 3 2 4" xfId="21529"/>
    <cellStyle name="Обычный 6 6 2 4 2 3 2 4 2" xfId="21530"/>
    <cellStyle name="Обычный 6 6 2 4 2 3 2 5" xfId="21531"/>
    <cellStyle name="Обычный 6 6 2 4 2 3 2 6" xfId="21532"/>
    <cellStyle name="Обычный 6 6 2 4 2 3 3" xfId="21533"/>
    <cellStyle name="Обычный 6 6 2 4 2 3 3 2" xfId="21534"/>
    <cellStyle name="Обычный 6 6 2 4 2 3 3 3" xfId="21535"/>
    <cellStyle name="Обычный 6 6 2 4 2 3 4" xfId="21536"/>
    <cellStyle name="Обычный 6 6 2 4 2 3 4 2" xfId="21537"/>
    <cellStyle name="Обычный 6 6 2 4 2 3 4 3" xfId="21538"/>
    <cellStyle name="Обычный 6 6 2 4 2 3 5" xfId="21539"/>
    <cellStyle name="Обычный 6 6 2 4 2 3 5 2" xfId="21540"/>
    <cellStyle name="Обычный 6 6 2 4 2 3 6" xfId="21541"/>
    <cellStyle name="Обычный 6 6 2 4 2 3 7" xfId="21542"/>
    <cellStyle name="Обычный 6 6 2 4 2 4" xfId="21543"/>
    <cellStyle name="Обычный 6 6 2 4 2 4 2" xfId="21544"/>
    <cellStyle name="Обычный 6 6 2 4 2 4 2 2" xfId="21545"/>
    <cellStyle name="Обычный 6 6 2 4 2 4 2 3" xfId="21546"/>
    <cellStyle name="Обычный 6 6 2 4 2 4 3" xfId="21547"/>
    <cellStyle name="Обычный 6 6 2 4 2 4 3 2" xfId="21548"/>
    <cellStyle name="Обычный 6 6 2 4 2 4 3 3" xfId="21549"/>
    <cellStyle name="Обычный 6 6 2 4 2 4 4" xfId="21550"/>
    <cellStyle name="Обычный 6 6 2 4 2 4 4 2" xfId="21551"/>
    <cellStyle name="Обычный 6 6 2 4 2 4 5" xfId="21552"/>
    <cellStyle name="Обычный 6 6 2 4 2 4 6" xfId="21553"/>
    <cellStyle name="Обычный 6 6 2 4 2 5" xfId="21554"/>
    <cellStyle name="Обычный 6 6 2 4 2 5 2" xfId="21555"/>
    <cellStyle name="Обычный 6 6 2 4 2 5 3" xfId="21556"/>
    <cellStyle name="Обычный 6 6 2 4 2 6" xfId="21557"/>
    <cellStyle name="Обычный 6 6 2 4 2 6 2" xfId="21558"/>
    <cellStyle name="Обычный 6 6 2 4 2 6 3" xfId="21559"/>
    <cellStyle name="Обычный 6 6 2 4 2 7" xfId="21560"/>
    <cellStyle name="Обычный 6 6 2 4 2 7 2" xfId="21561"/>
    <cellStyle name="Обычный 6 6 2 4 2 8" xfId="21562"/>
    <cellStyle name="Обычный 6 6 2 4 2 9" xfId="21563"/>
    <cellStyle name="Обычный 6 6 2 4 3" xfId="21564"/>
    <cellStyle name="Обычный 6 6 2 4 3 2" xfId="21565"/>
    <cellStyle name="Обычный 6 6 2 4 3 2 2" xfId="21566"/>
    <cellStyle name="Обычный 6 6 2 4 3 2 2 2" xfId="21567"/>
    <cellStyle name="Обычный 6 6 2 4 3 2 2 2 2" xfId="21568"/>
    <cellStyle name="Обычный 6 6 2 4 3 2 2 2 3" xfId="21569"/>
    <cellStyle name="Обычный 6 6 2 4 3 2 2 3" xfId="21570"/>
    <cellStyle name="Обычный 6 6 2 4 3 2 2 3 2" xfId="21571"/>
    <cellStyle name="Обычный 6 6 2 4 3 2 2 3 3" xfId="21572"/>
    <cellStyle name="Обычный 6 6 2 4 3 2 2 4" xfId="21573"/>
    <cellStyle name="Обычный 6 6 2 4 3 2 2 4 2" xfId="21574"/>
    <cellStyle name="Обычный 6 6 2 4 3 2 2 5" xfId="21575"/>
    <cellStyle name="Обычный 6 6 2 4 3 2 2 6" xfId="21576"/>
    <cellStyle name="Обычный 6 6 2 4 3 2 3" xfId="21577"/>
    <cellStyle name="Обычный 6 6 2 4 3 2 3 2" xfId="21578"/>
    <cellStyle name="Обычный 6 6 2 4 3 2 3 3" xfId="21579"/>
    <cellStyle name="Обычный 6 6 2 4 3 2 4" xfId="21580"/>
    <cellStyle name="Обычный 6 6 2 4 3 2 4 2" xfId="21581"/>
    <cellStyle name="Обычный 6 6 2 4 3 2 4 3" xfId="21582"/>
    <cellStyle name="Обычный 6 6 2 4 3 2 5" xfId="21583"/>
    <cellStyle name="Обычный 6 6 2 4 3 2 5 2" xfId="21584"/>
    <cellStyle name="Обычный 6 6 2 4 3 2 6" xfId="21585"/>
    <cellStyle name="Обычный 6 6 2 4 3 2 7" xfId="21586"/>
    <cellStyle name="Обычный 6 6 2 4 3 3" xfId="21587"/>
    <cellStyle name="Обычный 6 6 2 4 3 3 2" xfId="21588"/>
    <cellStyle name="Обычный 6 6 2 4 3 3 2 2" xfId="21589"/>
    <cellStyle name="Обычный 6 6 2 4 3 3 2 3" xfId="21590"/>
    <cellStyle name="Обычный 6 6 2 4 3 3 3" xfId="21591"/>
    <cellStyle name="Обычный 6 6 2 4 3 3 3 2" xfId="21592"/>
    <cellStyle name="Обычный 6 6 2 4 3 3 3 3" xfId="21593"/>
    <cellStyle name="Обычный 6 6 2 4 3 3 4" xfId="21594"/>
    <cellStyle name="Обычный 6 6 2 4 3 3 4 2" xfId="21595"/>
    <cellStyle name="Обычный 6 6 2 4 3 3 5" xfId="21596"/>
    <cellStyle name="Обычный 6 6 2 4 3 3 6" xfId="21597"/>
    <cellStyle name="Обычный 6 6 2 4 3 4" xfId="21598"/>
    <cellStyle name="Обычный 6 6 2 4 3 4 2" xfId="21599"/>
    <cellStyle name="Обычный 6 6 2 4 3 4 3" xfId="21600"/>
    <cellStyle name="Обычный 6 6 2 4 3 5" xfId="21601"/>
    <cellStyle name="Обычный 6 6 2 4 3 5 2" xfId="21602"/>
    <cellStyle name="Обычный 6 6 2 4 3 5 3" xfId="21603"/>
    <cellStyle name="Обычный 6 6 2 4 3 6" xfId="21604"/>
    <cellStyle name="Обычный 6 6 2 4 3 6 2" xfId="21605"/>
    <cellStyle name="Обычный 6 6 2 4 3 7" xfId="21606"/>
    <cellStyle name="Обычный 6 6 2 4 3 8" xfId="21607"/>
    <cellStyle name="Обычный 6 6 2 4 4" xfId="21608"/>
    <cellStyle name="Обычный 6 6 2 4 4 2" xfId="21609"/>
    <cellStyle name="Обычный 6 6 2 4 4 2 2" xfId="21610"/>
    <cellStyle name="Обычный 6 6 2 4 4 2 2 2" xfId="21611"/>
    <cellStyle name="Обычный 6 6 2 4 4 2 2 3" xfId="21612"/>
    <cellStyle name="Обычный 6 6 2 4 4 2 3" xfId="21613"/>
    <cellStyle name="Обычный 6 6 2 4 4 2 3 2" xfId="21614"/>
    <cellStyle name="Обычный 6 6 2 4 4 2 3 3" xfId="21615"/>
    <cellStyle name="Обычный 6 6 2 4 4 2 4" xfId="21616"/>
    <cellStyle name="Обычный 6 6 2 4 4 2 4 2" xfId="21617"/>
    <cellStyle name="Обычный 6 6 2 4 4 2 5" xfId="21618"/>
    <cellStyle name="Обычный 6 6 2 4 4 2 6" xfId="21619"/>
    <cellStyle name="Обычный 6 6 2 4 4 3" xfId="21620"/>
    <cellStyle name="Обычный 6 6 2 4 4 3 2" xfId="21621"/>
    <cellStyle name="Обычный 6 6 2 4 4 3 3" xfId="21622"/>
    <cellStyle name="Обычный 6 6 2 4 4 4" xfId="21623"/>
    <cellStyle name="Обычный 6 6 2 4 4 4 2" xfId="21624"/>
    <cellStyle name="Обычный 6 6 2 4 4 4 3" xfId="21625"/>
    <cellStyle name="Обычный 6 6 2 4 4 5" xfId="21626"/>
    <cellStyle name="Обычный 6 6 2 4 4 5 2" xfId="21627"/>
    <cellStyle name="Обычный 6 6 2 4 4 6" xfId="21628"/>
    <cellStyle name="Обычный 6 6 2 4 4 7" xfId="21629"/>
    <cellStyle name="Обычный 6 6 2 4 5" xfId="21630"/>
    <cellStyle name="Обычный 6 6 2 4 5 2" xfId="21631"/>
    <cellStyle name="Обычный 6 6 2 4 5 2 2" xfId="21632"/>
    <cellStyle name="Обычный 6 6 2 4 5 2 3" xfId="21633"/>
    <cellStyle name="Обычный 6 6 2 4 5 3" xfId="21634"/>
    <cellStyle name="Обычный 6 6 2 4 5 3 2" xfId="21635"/>
    <cellStyle name="Обычный 6 6 2 4 5 3 3" xfId="21636"/>
    <cellStyle name="Обычный 6 6 2 4 5 4" xfId="21637"/>
    <cellStyle name="Обычный 6 6 2 4 5 4 2" xfId="21638"/>
    <cellStyle name="Обычный 6 6 2 4 5 5" xfId="21639"/>
    <cellStyle name="Обычный 6 6 2 4 5 6" xfId="21640"/>
    <cellStyle name="Обычный 6 6 2 4 6" xfId="21641"/>
    <cellStyle name="Обычный 6 6 2 4 6 2" xfId="21642"/>
    <cellStyle name="Обычный 6 6 2 4 6 3" xfId="21643"/>
    <cellStyle name="Обычный 6 6 2 4 7" xfId="21644"/>
    <cellStyle name="Обычный 6 6 2 4 7 2" xfId="21645"/>
    <cellStyle name="Обычный 6 6 2 4 7 3" xfId="21646"/>
    <cellStyle name="Обычный 6 6 2 4 8" xfId="21647"/>
    <cellStyle name="Обычный 6 6 2 4 8 2" xfId="21648"/>
    <cellStyle name="Обычный 6 6 2 4 9" xfId="21649"/>
    <cellStyle name="Обычный 6 6 2 5" xfId="21650"/>
    <cellStyle name="Обычный 6 6 2 5 2" xfId="21651"/>
    <cellStyle name="Обычный 6 6 2 5 2 2" xfId="21652"/>
    <cellStyle name="Обычный 6 6 2 5 2 2 2" xfId="21653"/>
    <cellStyle name="Обычный 6 6 2 5 2 2 2 2" xfId="21654"/>
    <cellStyle name="Обычный 6 6 2 5 2 2 2 2 2" xfId="21655"/>
    <cellStyle name="Обычный 6 6 2 5 2 2 2 2 3" xfId="21656"/>
    <cellStyle name="Обычный 6 6 2 5 2 2 2 3" xfId="21657"/>
    <cellStyle name="Обычный 6 6 2 5 2 2 2 3 2" xfId="21658"/>
    <cellStyle name="Обычный 6 6 2 5 2 2 2 3 3" xfId="21659"/>
    <cellStyle name="Обычный 6 6 2 5 2 2 2 4" xfId="21660"/>
    <cellStyle name="Обычный 6 6 2 5 2 2 2 4 2" xfId="21661"/>
    <cellStyle name="Обычный 6 6 2 5 2 2 2 5" xfId="21662"/>
    <cellStyle name="Обычный 6 6 2 5 2 2 2 6" xfId="21663"/>
    <cellStyle name="Обычный 6 6 2 5 2 2 3" xfId="21664"/>
    <cellStyle name="Обычный 6 6 2 5 2 2 3 2" xfId="21665"/>
    <cellStyle name="Обычный 6 6 2 5 2 2 3 3" xfId="21666"/>
    <cellStyle name="Обычный 6 6 2 5 2 2 4" xfId="21667"/>
    <cellStyle name="Обычный 6 6 2 5 2 2 4 2" xfId="21668"/>
    <cellStyle name="Обычный 6 6 2 5 2 2 4 3" xfId="21669"/>
    <cellStyle name="Обычный 6 6 2 5 2 2 5" xfId="21670"/>
    <cellStyle name="Обычный 6 6 2 5 2 2 5 2" xfId="21671"/>
    <cellStyle name="Обычный 6 6 2 5 2 2 6" xfId="21672"/>
    <cellStyle name="Обычный 6 6 2 5 2 2 7" xfId="21673"/>
    <cellStyle name="Обычный 6 6 2 5 2 3" xfId="21674"/>
    <cellStyle name="Обычный 6 6 2 5 2 3 2" xfId="21675"/>
    <cellStyle name="Обычный 6 6 2 5 2 3 2 2" xfId="21676"/>
    <cellStyle name="Обычный 6 6 2 5 2 3 2 3" xfId="21677"/>
    <cellStyle name="Обычный 6 6 2 5 2 3 3" xfId="21678"/>
    <cellStyle name="Обычный 6 6 2 5 2 3 3 2" xfId="21679"/>
    <cellStyle name="Обычный 6 6 2 5 2 3 3 3" xfId="21680"/>
    <cellStyle name="Обычный 6 6 2 5 2 3 4" xfId="21681"/>
    <cellStyle name="Обычный 6 6 2 5 2 3 4 2" xfId="21682"/>
    <cellStyle name="Обычный 6 6 2 5 2 3 5" xfId="21683"/>
    <cellStyle name="Обычный 6 6 2 5 2 3 6" xfId="21684"/>
    <cellStyle name="Обычный 6 6 2 5 2 4" xfId="21685"/>
    <cellStyle name="Обычный 6 6 2 5 2 4 2" xfId="21686"/>
    <cellStyle name="Обычный 6 6 2 5 2 4 3" xfId="21687"/>
    <cellStyle name="Обычный 6 6 2 5 2 5" xfId="21688"/>
    <cellStyle name="Обычный 6 6 2 5 2 5 2" xfId="21689"/>
    <cellStyle name="Обычный 6 6 2 5 2 5 3" xfId="21690"/>
    <cellStyle name="Обычный 6 6 2 5 2 6" xfId="21691"/>
    <cellStyle name="Обычный 6 6 2 5 2 6 2" xfId="21692"/>
    <cellStyle name="Обычный 6 6 2 5 2 7" xfId="21693"/>
    <cellStyle name="Обычный 6 6 2 5 2 8" xfId="21694"/>
    <cellStyle name="Обычный 6 6 2 5 3" xfId="21695"/>
    <cellStyle name="Обычный 6 6 2 5 3 2" xfId="21696"/>
    <cellStyle name="Обычный 6 6 2 5 3 2 2" xfId="21697"/>
    <cellStyle name="Обычный 6 6 2 5 3 2 2 2" xfId="21698"/>
    <cellStyle name="Обычный 6 6 2 5 3 2 2 3" xfId="21699"/>
    <cellStyle name="Обычный 6 6 2 5 3 2 3" xfId="21700"/>
    <cellStyle name="Обычный 6 6 2 5 3 2 3 2" xfId="21701"/>
    <cellStyle name="Обычный 6 6 2 5 3 2 3 3" xfId="21702"/>
    <cellStyle name="Обычный 6 6 2 5 3 2 4" xfId="21703"/>
    <cellStyle name="Обычный 6 6 2 5 3 2 4 2" xfId="21704"/>
    <cellStyle name="Обычный 6 6 2 5 3 2 5" xfId="21705"/>
    <cellStyle name="Обычный 6 6 2 5 3 2 6" xfId="21706"/>
    <cellStyle name="Обычный 6 6 2 5 3 3" xfId="21707"/>
    <cellStyle name="Обычный 6 6 2 5 3 3 2" xfId="21708"/>
    <cellStyle name="Обычный 6 6 2 5 3 3 3" xfId="21709"/>
    <cellStyle name="Обычный 6 6 2 5 3 4" xfId="21710"/>
    <cellStyle name="Обычный 6 6 2 5 3 4 2" xfId="21711"/>
    <cellStyle name="Обычный 6 6 2 5 3 4 3" xfId="21712"/>
    <cellStyle name="Обычный 6 6 2 5 3 5" xfId="21713"/>
    <cellStyle name="Обычный 6 6 2 5 3 5 2" xfId="21714"/>
    <cellStyle name="Обычный 6 6 2 5 3 6" xfId="21715"/>
    <cellStyle name="Обычный 6 6 2 5 3 7" xfId="21716"/>
    <cellStyle name="Обычный 6 6 2 5 4" xfId="21717"/>
    <cellStyle name="Обычный 6 6 2 5 4 2" xfId="21718"/>
    <cellStyle name="Обычный 6 6 2 5 4 2 2" xfId="21719"/>
    <cellStyle name="Обычный 6 6 2 5 4 2 3" xfId="21720"/>
    <cellStyle name="Обычный 6 6 2 5 4 3" xfId="21721"/>
    <cellStyle name="Обычный 6 6 2 5 4 3 2" xfId="21722"/>
    <cellStyle name="Обычный 6 6 2 5 4 3 3" xfId="21723"/>
    <cellStyle name="Обычный 6 6 2 5 4 4" xfId="21724"/>
    <cellStyle name="Обычный 6 6 2 5 4 4 2" xfId="21725"/>
    <cellStyle name="Обычный 6 6 2 5 4 5" xfId="21726"/>
    <cellStyle name="Обычный 6 6 2 5 4 6" xfId="21727"/>
    <cellStyle name="Обычный 6 6 2 5 5" xfId="21728"/>
    <cellStyle name="Обычный 6 6 2 5 5 2" xfId="21729"/>
    <cellStyle name="Обычный 6 6 2 5 5 3" xfId="21730"/>
    <cellStyle name="Обычный 6 6 2 5 6" xfId="21731"/>
    <cellStyle name="Обычный 6 6 2 5 6 2" xfId="21732"/>
    <cellStyle name="Обычный 6 6 2 5 6 3" xfId="21733"/>
    <cellStyle name="Обычный 6 6 2 5 7" xfId="21734"/>
    <cellStyle name="Обычный 6 6 2 5 7 2" xfId="21735"/>
    <cellStyle name="Обычный 6 6 2 5 8" xfId="21736"/>
    <cellStyle name="Обычный 6 6 2 5 9" xfId="21737"/>
    <cellStyle name="Обычный 6 6 2 6" xfId="21738"/>
    <cellStyle name="Обычный 6 6 2 6 2" xfId="21739"/>
    <cellStyle name="Обычный 6 6 2 6 2 2" xfId="21740"/>
    <cellStyle name="Обычный 6 6 2 6 2 2 2" xfId="21741"/>
    <cellStyle name="Обычный 6 6 2 6 2 2 2 2" xfId="21742"/>
    <cellStyle name="Обычный 6 6 2 6 2 2 2 3" xfId="21743"/>
    <cellStyle name="Обычный 6 6 2 6 2 2 3" xfId="21744"/>
    <cellStyle name="Обычный 6 6 2 6 2 2 3 2" xfId="21745"/>
    <cellStyle name="Обычный 6 6 2 6 2 2 3 3" xfId="21746"/>
    <cellStyle name="Обычный 6 6 2 6 2 2 4" xfId="21747"/>
    <cellStyle name="Обычный 6 6 2 6 2 2 4 2" xfId="21748"/>
    <cellStyle name="Обычный 6 6 2 6 2 2 5" xfId="21749"/>
    <cellStyle name="Обычный 6 6 2 6 2 2 6" xfId="21750"/>
    <cellStyle name="Обычный 6 6 2 6 2 3" xfId="21751"/>
    <cellStyle name="Обычный 6 6 2 6 2 3 2" xfId="21752"/>
    <cellStyle name="Обычный 6 6 2 6 2 3 3" xfId="21753"/>
    <cellStyle name="Обычный 6 6 2 6 2 4" xfId="21754"/>
    <cellStyle name="Обычный 6 6 2 6 2 4 2" xfId="21755"/>
    <cellStyle name="Обычный 6 6 2 6 2 4 3" xfId="21756"/>
    <cellStyle name="Обычный 6 6 2 6 2 5" xfId="21757"/>
    <cellStyle name="Обычный 6 6 2 6 2 5 2" xfId="21758"/>
    <cellStyle name="Обычный 6 6 2 6 2 6" xfId="21759"/>
    <cellStyle name="Обычный 6 6 2 6 2 7" xfId="21760"/>
    <cellStyle name="Обычный 6 6 2 6 3" xfId="21761"/>
    <cellStyle name="Обычный 6 6 2 6 3 2" xfId="21762"/>
    <cellStyle name="Обычный 6 6 2 6 3 2 2" xfId="21763"/>
    <cellStyle name="Обычный 6 6 2 6 3 2 3" xfId="21764"/>
    <cellStyle name="Обычный 6 6 2 6 3 3" xfId="21765"/>
    <cellStyle name="Обычный 6 6 2 6 3 3 2" xfId="21766"/>
    <cellStyle name="Обычный 6 6 2 6 3 3 3" xfId="21767"/>
    <cellStyle name="Обычный 6 6 2 6 3 4" xfId="21768"/>
    <cellStyle name="Обычный 6 6 2 6 3 4 2" xfId="21769"/>
    <cellStyle name="Обычный 6 6 2 6 3 5" xfId="21770"/>
    <cellStyle name="Обычный 6 6 2 6 3 6" xfId="21771"/>
    <cellStyle name="Обычный 6 6 2 6 4" xfId="21772"/>
    <cellStyle name="Обычный 6 6 2 6 4 2" xfId="21773"/>
    <cellStyle name="Обычный 6 6 2 6 4 3" xfId="21774"/>
    <cellStyle name="Обычный 6 6 2 6 5" xfId="21775"/>
    <cellStyle name="Обычный 6 6 2 6 5 2" xfId="21776"/>
    <cellStyle name="Обычный 6 6 2 6 5 3" xfId="21777"/>
    <cellStyle name="Обычный 6 6 2 6 6" xfId="21778"/>
    <cellStyle name="Обычный 6 6 2 6 6 2" xfId="21779"/>
    <cellStyle name="Обычный 6 6 2 6 7" xfId="21780"/>
    <cellStyle name="Обычный 6 6 2 6 8" xfId="21781"/>
    <cellStyle name="Обычный 6 6 2 7" xfId="21782"/>
    <cellStyle name="Обычный 6 6 2 7 2" xfId="21783"/>
    <cellStyle name="Обычный 6 6 2 7 2 2" xfId="21784"/>
    <cellStyle name="Обычный 6 6 2 7 2 2 2" xfId="21785"/>
    <cellStyle name="Обычный 6 6 2 7 2 2 3" xfId="21786"/>
    <cellStyle name="Обычный 6 6 2 7 2 3" xfId="21787"/>
    <cellStyle name="Обычный 6 6 2 7 2 3 2" xfId="21788"/>
    <cellStyle name="Обычный 6 6 2 7 2 3 3" xfId="21789"/>
    <cellStyle name="Обычный 6 6 2 7 2 4" xfId="21790"/>
    <cellStyle name="Обычный 6 6 2 7 2 4 2" xfId="21791"/>
    <cellStyle name="Обычный 6 6 2 7 2 5" xfId="21792"/>
    <cellStyle name="Обычный 6 6 2 7 2 6" xfId="21793"/>
    <cellStyle name="Обычный 6 6 2 7 3" xfId="21794"/>
    <cellStyle name="Обычный 6 6 2 7 3 2" xfId="21795"/>
    <cellStyle name="Обычный 6 6 2 7 3 3" xfId="21796"/>
    <cellStyle name="Обычный 6 6 2 7 4" xfId="21797"/>
    <cellStyle name="Обычный 6 6 2 7 4 2" xfId="21798"/>
    <cellStyle name="Обычный 6 6 2 7 4 3" xfId="21799"/>
    <cellStyle name="Обычный 6 6 2 7 5" xfId="21800"/>
    <cellStyle name="Обычный 6 6 2 7 5 2" xfId="21801"/>
    <cellStyle name="Обычный 6 6 2 7 6" xfId="21802"/>
    <cellStyle name="Обычный 6 6 2 7 7" xfId="21803"/>
    <cellStyle name="Обычный 6 6 2 8" xfId="21804"/>
    <cellStyle name="Обычный 6 6 2 8 2" xfId="21805"/>
    <cellStyle name="Обычный 6 6 2 8 2 2" xfId="21806"/>
    <cellStyle name="Обычный 6 6 2 8 2 3" xfId="21807"/>
    <cellStyle name="Обычный 6 6 2 8 3" xfId="21808"/>
    <cellStyle name="Обычный 6 6 2 8 3 2" xfId="21809"/>
    <cellStyle name="Обычный 6 6 2 8 3 3" xfId="21810"/>
    <cellStyle name="Обычный 6 6 2 8 4" xfId="21811"/>
    <cellStyle name="Обычный 6 6 2 8 4 2" xfId="21812"/>
    <cellStyle name="Обычный 6 6 2 8 5" xfId="21813"/>
    <cellStyle name="Обычный 6 6 2 8 6" xfId="21814"/>
    <cellStyle name="Обычный 6 6 2 9" xfId="21815"/>
    <cellStyle name="Обычный 6 6 2 9 2" xfId="21816"/>
    <cellStyle name="Обычный 6 6 2 9 3" xfId="21817"/>
    <cellStyle name="Обычный 6 6 3" xfId="21818"/>
    <cellStyle name="Обычный 6 6 3 10" xfId="21819"/>
    <cellStyle name="Обычный 6 6 3 2" xfId="21820"/>
    <cellStyle name="Обычный 6 6 3 2 2" xfId="21821"/>
    <cellStyle name="Обычный 6 6 3 2 2 2" xfId="21822"/>
    <cellStyle name="Обычный 6 6 3 2 2 2 2" xfId="21823"/>
    <cellStyle name="Обычный 6 6 3 2 2 2 2 2" xfId="21824"/>
    <cellStyle name="Обычный 6 6 3 2 2 2 2 2 2" xfId="21825"/>
    <cellStyle name="Обычный 6 6 3 2 2 2 2 2 3" xfId="21826"/>
    <cellStyle name="Обычный 6 6 3 2 2 2 2 3" xfId="21827"/>
    <cellStyle name="Обычный 6 6 3 2 2 2 2 3 2" xfId="21828"/>
    <cellStyle name="Обычный 6 6 3 2 2 2 2 3 3" xfId="21829"/>
    <cellStyle name="Обычный 6 6 3 2 2 2 2 4" xfId="21830"/>
    <cellStyle name="Обычный 6 6 3 2 2 2 2 4 2" xfId="21831"/>
    <cellStyle name="Обычный 6 6 3 2 2 2 2 5" xfId="21832"/>
    <cellStyle name="Обычный 6 6 3 2 2 2 2 6" xfId="21833"/>
    <cellStyle name="Обычный 6 6 3 2 2 2 3" xfId="21834"/>
    <cellStyle name="Обычный 6 6 3 2 2 2 3 2" xfId="21835"/>
    <cellStyle name="Обычный 6 6 3 2 2 2 3 3" xfId="21836"/>
    <cellStyle name="Обычный 6 6 3 2 2 2 4" xfId="21837"/>
    <cellStyle name="Обычный 6 6 3 2 2 2 4 2" xfId="21838"/>
    <cellStyle name="Обычный 6 6 3 2 2 2 4 3" xfId="21839"/>
    <cellStyle name="Обычный 6 6 3 2 2 2 5" xfId="21840"/>
    <cellStyle name="Обычный 6 6 3 2 2 2 5 2" xfId="21841"/>
    <cellStyle name="Обычный 6 6 3 2 2 2 6" xfId="21842"/>
    <cellStyle name="Обычный 6 6 3 2 2 2 7" xfId="21843"/>
    <cellStyle name="Обычный 6 6 3 2 2 3" xfId="21844"/>
    <cellStyle name="Обычный 6 6 3 2 2 3 2" xfId="21845"/>
    <cellStyle name="Обычный 6 6 3 2 2 3 2 2" xfId="21846"/>
    <cellStyle name="Обычный 6 6 3 2 2 3 2 3" xfId="21847"/>
    <cellStyle name="Обычный 6 6 3 2 2 3 3" xfId="21848"/>
    <cellStyle name="Обычный 6 6 3 2 2 3 3 2" xfId="21849"/>
    <cellStyle name="Обычный 6 6 3 2 2 3 3 3" xfId="21850"/>
    <cellStyle name="Обычный 6 6 3 2 2 3 4" xfId="21851"/>
    <cellStyle name="Обычный 6 6 3 2 2 3 4 2" xfId="21852"/>
    <cellStyle name="Обычный 6 6 3 2 2 3 5" xfId="21853"/>
    <cellStyle name="Обычный 6 6 3 2 2 3 6" xfId="21854"/>
    <cellStyle name="Обычный 6 6 3 2 2 4" xfId="21855"/>
    <cellStyle name="Обычный 6 6 3 2 2 4 2" xfId="21856"/>
    <cellStyle name="Обычный 6 6 3 2 2 4 3" xfId="21857"/>
    <cellStyle name="Обычный 6 6 3 2 2 5" xfId="21858"/>
    <cellStyle name="Обычный 6 6 3 2 2 5 2" xfId="21859"/>
    <cellStyle name="Обычный 6 6 3 2 2 5 3" xfId="21860"/>
    <cellStyle name="Обычный 6 6 3 2 2 6" xfId="21861"/>
    <cellStyle name="Обычный 6 6 3 2 2 6 2" xfId="21862"/>
    <cellStyle name="Обычный 6 6 3 2 2 7" xfId="21863"/>
    <cellStyle name="Обычный 6 6 3 2 2 8" xfId="21864"/>
    <cellStyle name="Обычный 6 6 3 2 3" xfId="21865"/>
    <cellStyle name="Обычный 6 6 3 2 3 2" xfId="21866"/>
    <cellStyle name="Обычный 6 6 3 2 3 2 2" xfId="21867"/>
    <cellStyle name="Обычный 6 6 3 2 3 2 2 2" xfId="21868"/>
    <cellStyle name="Обычный 6 6 3 2 3 2 2 3" xfId="21869"/>
    <cellStyle name="Обычный 6 6 3 2 3 2 3" xfId="21870"/>
    <cellStyle name="Обычный 6 6 3 2 3 2 3 2" xfId="21871"/>
    <cellStyle name="Обычный 6 6 3 2 3 2 3 3" xfId="21872"/>
    <cellStyle name="Обычный 6 6 3 2 3 2 4" xfId="21873"/>
    <cellStyle name="Обычный 6 6 3 2 3 2 4 2" xfId="21874"/>
    <cellStyle name="Обычный 6 6 3 2 3 2 5" xfId="21875"/>
    <cellStyle name="Обычный 6 6 3 2 3 2 6" xfId="21876"/>
    <cellStyle name="Обычный 6 6 3 2 3 3" xfId="21877"/>
    <cellStyle name="Обычный 6 6 3 2 3 3 2" xfId="21878"/>
    <cellStyle name="Обычный 6 6 3 2 3 3 3" xfId="21879"/>
    <cellStyle name="Обычный 6 6 3 2 3 4" xfId="21880"/>
    <cellStyle name="Обычный 6 6 3 2 3 4 2" xfId="21881"/>
    <cellStyle name="Обычный 6 6 3 2 3 4 3" xfId="21882"/>
    <cellStyle name="Обычный 6 6 3 2 3 5" xfId="21883"/>
    <cellStyle name="Обычный 6 6 3 2 3 5 2" xfId="21884"/>
    <cellStyle name="Обычный 6 6 3 2 3 6" xfId="21885"/>
    <cellStyle name="Обычный 6 6 3 2 3 7" xfId="21886"/>
    <cellStyle name="Обычный 6 6 3 2 4" xfId="21887"/>
    <cellStyle name="Обычный 6 6 3 2 4 2" xfId="21888"/>
    <cellStyle name="Обычный 6 6 3 2 4 2 2" xfId="21889"/>
    <cellStyle name="Обычный 6 6 3 2 4 2 3" xfId="21890"/>
    <cellStyle name="Обычный 6 6 3 2 4 3" xfId="21891"/>
    <cellStyle name="Обычный 6 6 3 2 4 3 2" xfId="21892"/>
    <cellStyle name="Обычный 6 6 3 2 4 3 3" xfId="21893"/>
    <cellStyle name="Обычный 6 6 3 2 4 4" xfId="21894"/>
    <cellStyle name="Обычный 6 6 3 2 4 4 2" xfId="21895"/>
    <cellStyle name="Обычный 6 6 3 2 4 5" xfId="21896"/>
    <cellStyle name="Обычный 6 6 3 2 4 6" xfId="21897"/>
    <cellStyle name="Обычный 6 6 3 2 5" xfId="21898"/>
    <cellStyle name="Обычный 6 6 3 2 5 2" xfId="21899"/>
    <cellStyle name="Обычный 6 6 3 2 5 3" xfId="21900"/>
    <cellStyle name="Обычный 6 6 3 2 6" xfId="21901"/>
    <cellStyle name="Обычный 6 6 3 2 6 2" xfId="21902"/>
    <cellStyle name="Обычный 6 6 3 2 6 3" xfId="21903"/>
    <cellStyle name="Обычный 6 6 3 2 7" xfId="21904"/>
    <cellStyle name="Обычный 6 6 3 2 7 2" xfId="21905"/>
    <cellStyle name="Обычный 6 6 3 2 8" xfId="21906"/>
    <cellStyle name="Обычный 6 6 3 2 9" xfId="21907"/>
    <cellStyle name="Обычный 6 6 3 3" xfId="21908"/>
    <cellStyle name="Обычный 6 6 3 3 2" xfId="21909"/>
    <cellStyle name="Обычный 6 6 3 3 2 2" xfId="21910"/>
    <cellStyle name="Обычный 6 6 3 3 2 2 2" xfId="21911"/>
    <cellStyle name="Обычный 6 6 3 3 2 2 2 2" xfId="21912"/>
    <cellStyle name="Обычный 6 6 3 3 2 2 2 3" xfId="21913"/>
    <cellStyle name="Обычный 6 6 3 3 2 2 3" xfId="21914"/>
    <cellStyle name="Обычный 6 6 3 3 2 2 3 2" xfId="21915"/>
    <cellStyle name="Обычный 6 6 3 3 2 2 3 3" xfId="21916"/>
    <cellStyle name="Обычный 6 6 3 3 2 2 4" xfId="21917"/>
    <cellStyle name="Обычный 6 6 3 3 2 2 4 2" xfId="21918"/>
    <cellStyle name="Обычный 6 6 3 3 2 2 5" xfId="21919"/>
    <cellStyle name="Обычный 6 6 3 3 2 2 6" xfId="21920"/>
    <cellStyle name="Обычный 6 6 3 3 2 3" xfId="21921"/>
    <cellStyle name="Обычный 6 6 3 3 2 3 2" xfId="21922"/>
    <cellStyle name="Обычный 6 6 3 3 2 3 3" xfId="21923"/>
    <cellStyle name="Обычный 6 6 3 3 2 4" xfId="21924"/>
    <cellStyle name="Обычный 6 6 3 3 2 4 2" xfId="21925"/>
    <cellStyle name="Обычный 6 6 3 3 2 4 3" xfId="21926"/>
    <cellStyle name="Обычный 6 6 3 3 2 5" xfId="21927"/>
    <cellStyle name="Обычный 6 6 3 3 2 5 2" xfId="21928"/>
    <cellStyle name="Обычный 6 6 3 3 2 6" xfId="21929"/>
    <cellStyle name="Обычный 6 6 3 3 2 7" xfId="21930"/>
    <cellStyle name="Обычный 6 6 3 3 3" xfId="21931"/>
    <cellStyle name="Обычный 6 6 3 3 3 2" xfId="21932"/>
    <cellStyle name="Обычный 6 6 3 3 3 2 2" xfId="21933"/>
    <cellStyle name="Обычный 6 6 3 3 3 2 3" xfId="21934"/>
    <cellStyle name="Обычный 6 6 3 3 3 3" xfId="21935"/>
    <cellStyle name="Обычный 6 6 3 3 3 3 2" xfId="21936"/>
    <cellStyle name="Обычный 6 6 3 3 3 3 3" xfId="21937"/>
    <cellStyle name="Обычный 6 6 3 3 3 4" xfId="21938"/>
    <cellStyle name="Обычный 6 6 3 3 3 4 2" xfId="21939"/>
    <cellStyle name="Обычный 6 6 3 3 3 5" xfId="21940"/>
    <cellStyle name="Обычный 6 6 3 3 3 6" xfId="21941"/>
    <cellStyle name="Обычный 6 6 3 3 4" xfId="21942"/>
    <cellStyle name="Обычный 6 6 3 3 4 2" xfId="21943"/>
    <cellStyle name="Обычный 6 6 3 3 4 3" xfId="21944"/>
    <cellStyle name="Обычный 6 6 3 3 5" xfId="21945"/>
    <cellStyle name="Обычный 6 6 3 3 5 2" xfId="21946"/>
    <cellStyle name="Обычный 6 6 3 3 5 3" xfId="21947"/>
    <cellStyle name="Обычный 6 6 3 3 6" xfId="21948"/>
    <cellStyle name="Обычный 6 6 3 3 6 2" xfId="21949"/>
    <cellStyle name="Обычный 6 6 3 3 7" xfId="21950"/>
    <cellStyle name="Обычный 6 6 3 3 8" xfId="21951"/>
    <cellStyle name="Обычный 6 6 3 4" xfId="21952"/>
    <cellStyle name="Обычный 6 6 3 4 2" xfId="21953"/>
    <cellStyle name="Обычный 6 6 3 4 2 2" xfId="21954"/>
    <cellStyle name="Обычный 6 6 3 4 2 2 2" xfId="21955"/>
    <cellStyle name="Обычный 6 6 3 4 2 2 3" xfId="21956"/>
    <cellStyle name="Обычный 6 6 3 4 2 3" xfId="21957"/>
    <cellStyle name="Обычный 6 6 3 4 2 3 2" xfId="21958"/>
    <cellStyle name="Обычный 6 6 3 4 2 3 3" xfId="21959"/>
    <cellStyle name="Обычный 6 6 3 4 2 4" xfId="21960"/>
    <cellStyle name="Обычный 6 6 3 4 2 4 2" xfId="21961"/>
    <cellStyle name="Обычный 6 6 3 4 2 5" xfId="21962"/>
    <cellStyle name="Обычный 6 6 3 4 2 6" xfId="21963"/>
    <cellStyle name="Обычный 6 6 3 4 3" xfId="21964"/>
    <cellStyle name="Обычный 6 6 3 4 3 2" xfId="21965"/>
    <cellStyle name="Обычный 6 6 3 4 3 3" xfId="21966"/>
    <cellStyle name="Обычный 6 6 3 4 4" xfId="21967"/>
    <cellStyle name="Обычный 6 6 3 4 4 2" xfId="21968"/>
    <cellStyle name="Обычный 6 6 3 4 4 3" xfId="21969"/>
    <cellStyle name="Обычный 6 6 3 4 5" xfId="21970"/>
    <cellStyle name="Обычный 6 6 3 4 5 2" xfId="21971"/>
    <cellStyle name="Обычный 6 6 3 4 6" xfId="21972"/>
    <cellStyle name="Обычный 6 6 3 4 7" xfId="21973"/>
    <cellStyle name="Обычный 6 6 3 5" xfId="21974"/>
    <cellStyle name="Обычный 6 6 3 5 2" xfId="21975"/>
    <cellStyle name="Обычный 6 6 3 5 2 2" xfId="21976"/>
    <cellStyle name="Обычный 6 6 3 5 2 3" xfId="21977"/>
    <cellStyle name="Обычный 6 6 3 5 3" xfId="21978"/>
    <cellStyle name="Обычный 6 6 3 5 3 2" xfId="21979"/>
    <cellStyle name="Обычный 6 6 3 5 3 3" xfId="21980"/>
    <cellStyle name="Обычный 6 6 3 5 4" xfId="21981"/>
    <cellStyle name="Обычный 6 6 3 5 4 2" xfId="21982"/>
    <cellStyle name="Обычный 6 6 3 5 5" xfId="21983"/>
    <cellStyle name="Обычный 6 6 3 5 6" xfId="21984"/>
    <cellStyle name="Обычный 6 6 3 6" xfId="21985"/>
    <cellStyle name="Обычный 6 6 3 6 2" xfId="21986"/>
    <cellStyle name="Обычный 6 6 3 6 3" xfId="21987"/>
    <cellStyle name="Обычный 6 6 3 7" xfId="21988"/>
    <cellStyle name="Обычный 6 6 3 7 2" xfId="21989"/>
    <cellStyle name="Обычный 6 6 3 7 3" xfId="21990"/>
    <cellStyle name="Обычный 6 6 3 8" xfId="21991"/>
    <cellStyle name="Обычный 6 6 3 8 2" xfId="21992"/>
    <cellStyle name="Обычный 6 6 3 9" xfId="21993"/>
    <cellStyle name="Обычный 6 6 4" xfId="21994"/>
    <cellStyle name="Обычный 6 6 4 10" xfId="21995"/>
    <cellStyle name="Обычный 6 6 4 2" xfId="21996"/>
    <cellStyle name="Обычный 6 6 4 2 2" xfId="21997"/>
    <cellStyle name="Обычный 6 6 4 2 2 2" xfId="21998"/>
    <cellStyle name="Обычный 6 6 4 2 2 2 2" xfId="21999"/>
    <cellStyle name="Обычный 6 6 4 2 2 2 2 2" xfId="22000"/>
    <cellStyle name="Обычный 6 6 4 2 2 2 2 2 2" xfId="22001"/>
    <cellStyle name="Обычный 6 6 4 2 2 2 2 2 3" xfId="22002"/>
    <cellStyle name="Обычный 6 6 4 2 2 2 2 3" xfId="22003"/>
    <cellStyle name="Обычный 6 6 4 2 2 2 2 3 2" xfId="22004"/>
    <cellStyle name="Обычный 6 6 4 2 2 2 2 3 3" xfId="22005"/>
    <cellStyle name="Обычный 6 6 4 2 2 2 2 4" xfId="22006"/>
    <cellStyle name="Обычный 6 6 4 2 2 2 2 4 2" xfId="22007"/>
    <cellStyle name="Обычный 6 6 4 2 2 2 2 5" xfId="22008"/>
    <cellStyle name="Обычный 6 6 4 2 2 2 2 6" xfId="22009"/>
    <cellStyle name="Обычный 6 6 4 2 2 2 3" xfId="22010"/>
    <cellStyle name="Обычный 6 6 4 2 2 2 3 2" xfId="22011"/>
    <cellStyle name="Обычный 6 6 4 2 2 2 3 3" xfId="22012"/>
    <cellStyle name="Обычный 6 6 4 2 2 2 4" xfId="22013"/>
    <cellStyle name="Обычный 6 6 4 2 2 2 4 2" xfId="22014"/>
    <cellStyle name="Обычный 6 6 4 2 2 2 4 3" xfId="22015"/>
    <cellStyle name="Обычный 6 6 4 2 2 2 5" xfId="22016"/>
    <cellStyle name="Обычный 6 6 4 2 2 2 5 2" xfId="22017"/>
    <cellStyle name="Обычный 6 6 4 2 2 2 6" xfId="22018"/>
    <cellStyle name="Обычный 6 6 4 2 2 2 7" xfId="22019"/>
    <cellStyle name="Обычный 6 6 4 2 2 3" xfId="22020"/>
    <cellStyle name="Обычный 6 6 4 2 2 3 2" xfId="22021"/>
    <cellStyle name="Обычный 6 6 4 2 2 3 2 2" xfId="22022"/>
    <cellStyle name="Обычный 6 6 4 2 2 3 2 3" xfId="22023"/>
    <cellStyle name="Обычный 6 6 4 2 2 3 3" xfId="22024"/>
    <cellStyle name="Обычный 6 6 4 2 2 3 3 2" xfId="22025"/>
    <cellStyle name="Обычный 6 6 4 2 2 3 3 3" xfId="22026"/>
    <cellStyle name="Обычный 6 6 4 2 2 3 4" xfId="22027"/>
    <cellStyle name="Обычный 6 6 4 2 2 3 4 2" xfId="22028"/>
    <cellStyle name="Обычный 6 6 4 2 2 3 5" xfId="22029"/>
    <cellStyle name="Обычный 6 6 4 2 2 3 6" xfId="22030"/>
    <cellStyle name="Обычный 6 6 4 2 2 4" xfId="22031"/>
    <cellStyle name="Обычный 6 6 4 2 2 4 2" xfId="22032"/>
    <cellStyle name="Обычный 6 6 4 2 2 4 3" xfId="22033"/>
    <cellStyle name="Обычный 6 6 4 2 2 5" xfId="22034"/>
    <cellStyle name="Обычный 6 6 4 2 2 5 2" xfId="22035"/>
    <cellStyle name="Обычный 6 6 4 2 2 5 3" xfId="22036"/>
    <cellStyle name="Обычный 6 6 4 2 2 6" xfId="22037"/>
    <cellStyle name="Обычный 6 6 4 2 2 6 2" xfId="22038"/>
    <cellStyle name="Обычный 6 6 4 2 2 7" xfId="22039"/>
    <cellStyle name="Обычный 6 6 4 2 2 8" xfId="22040"/>
    <cellStyle name="Обычный 6 6 4 2 3" xfId="22041"/>
    <cellStyle name="Обычный 6 6 4 2 3 2" xfId="22042"/>
    <cellStyle name="Обычный 6 6 4 2 3 2 2" xfId="22043"/>
    <cellStyle name="Обычный 6 6 4 2 3 2 2 2" xfId="22044"/>
    <cellStyle name="Обычный 6 6 4 2 3 2 2 3" xfId="22045"/>
    <cellStyle name="Обычный 6 6 4 2 3 2 3" xfId="22046"/>
    <cellStyle name="Обычный 6 6 4 2 3 2 3 2" xfId="22047"/>
    <cellStyle name="Обычный 6 6 4 2 3 2 3 3" xfId="22048"/>
    <cellStyle name="Обычный 6 6 4 2 3 2 4" xfId="22049"/>
    <cellStyle name="Обычный 6 6 4 2 3 2 4 2" xfId="22050"/>
    <cellStyle name="Обычный 6 6 4 2 3 2 5" xfId="22051"/>
    <cellStyle name="Обычный 6 6 4 2 3 2 6" xfId="22052"/>
    <cellStyle name="Обычный 6 6 4 2 3 3" xfId="22053"/>
    <cellStyle name="Обычный 6 6 4 2 3 3 2" xfId="22054"/>
    <cellStyle name="Обычный 6 6 4 2 3 3 3" xfId="22055"/>
    <cellStyle name="Обычный 6 6 4 2 3 4" xfId="22056"/>
    <cellStyle name="Обычный 6 6 4 2 3 4 2" xfId="22057"/>
    <cellStyle name="Обычный 6 6 4 2 3 4 3" xfId="22058"/>
    <cellStyle name="Обычный 6 6 4 2 3 5" xfId="22059"/>
    <cellStyle name="Обычный 6 6 4 2 3 5 2" xfId="22060"/>
    <cellStyle name="Обычный 6 6 4 2 3 6" xfId="22061"/>
    <cellStyle name="Обычный 6 6 4 2 3 7" xfId="22062"/>
    <cellStyle name="Обычный 6 6 4 2 4" xfId="22063"/>
    <cellStyle name="Обычный 6 6 4 2 4 2" xfId="22064"/>
    <cellStyle name="Обычный 6 6 4 2 4 2 2" xfId="22065"/>
    <cellStyle name="Обычный 6 6 4 2 4 2 3" xfId="22066"/>
    <cellStyle name="Обычный 6 6 4 2 4 3" xfId="22067"/>
    <cellStyle name="Обычный 6 6 4 2 4 3 2" xfId="22068"/>
    <cellStyle name="Обычный 6 6 4 2 4 3 3" xfId="22069"/>
    <cellStyle name="Обычный 6 6 4 2 4 4" xfId="22070"/>
    <cellStyle name="Обычный 6 6 4 2 4 4 2" xfId="22071"/>
    <cellStyle name="Обычный 6 6 4 2 4 5" xfId="22072"/>
    <cellStyle name="Обычный 6 6 4 2 4 6" xfId="22073"/>
    <cellStyle name="Обычный 6 6 4 2 5" xfId="22074"/>
    <cellStyle name="Обычный 6 6 4 2 5 2" xfId="22075"/>
    <cellStyle name="Обычный 6 6 4 2 5 3" xfId="22076"/>
    <cellStyle name="Обычный 6 6 4 2 6" xfId="22077"/>
    <cellStyle name="Обычный 6 6 4 2 6 2" xfId="22078"/>
    <cellStyle name="Обычный 6 6 4 2 6 3" xfId="22079"/>
    <cellStyle name="Обычный 6 6 4 2 7" xfId="22080"/>
    <cellStyle name="Обычный 6 6 4 2 7 2" xfId="22081"/>
    <cellStyle name="Обычный 6 6 4 2 8" xfId="22082"/>
    <cellStyle name="Обычный 6 6 4 2 9" xfId="22083"/>
    <cellStyle name="Обычный 6 6 4 3" xfId="22084"/>
    <cellStyle name="Обычный 6 6 4 3 2" xfId="22085"/>
    <cellStyle name="Обычный 6 6 4 3 2 2" xfId="22086"/>
    <cellStyle name="Обычный 6 6 4 3 2 2 2" xfId="22087"/>
    <cellStyle name="Обычный 6 6 4 3 2 2 2 2" xfId="22088"/>
    <cellStyle name="Обычный 6 6 4 3 2 2 2 3" xfId="22089"/>
    <cellStyle name="Обычный 6 6 4 3 2 2 3" xfId="22090"/>
    <cellStyle name="Обычный 6 6 4 3 2 2 3 2" xfId="22091"/>
    <cellStyle name="Обычный 6 6 4 3 2 2 3 3" xfId="22092"/>
    <cellStyle name="Обычный 6 6 4 3 2 2 4" xfId="22093"/>
    <cellStyle name="Обычный 6 6 4 3 2 2 4 2" xfId="22094"/>
    <cellStyle name="Обычный 6 6 4 3 2 2 5" xfId="22095"/>
    <cellStyle name="Обычный 6 6 4 3 2 2 6" xfId="22096"/>
    <cellStyle name="Обычный 6 6 4 3 2 3" xfId="22097"/>
    <cellStyle name="Обычный 6 6 4 3 2 3 2" xfId="22098"/>
    <cellStyle name="Обычный 6 6 4 3 2 3 3" xfId="22099"/>
    <cellStyle name="Обычный 6 6 4 3 2 4" xfId="22100"/>
    <cellStyle name="Обычный 6 6 4 3 2 4 2" xfId="22101"/>
    <cellStyle name="Обычный 6 6 4 3 2 4 3" xfId="22102"/>
    <cellStyle name="Обычный 6 6 4 3 2 5" xfId="22103"/>
    <cellStyle name="Обычный 6 6 4 3 2 5 2" xfId="22104"/>
    <cellStyle name="Обычный 6 6 4 3 2 6" xfId="22105"/>
    <cellStyle name="Обычный 6 6 4 3 2 7" xfId="22106"/>
    <cellStyle name="Обычный 6 6 4 3 3" xfId="22107"/>
    <cellStyle name="Обычный 6 6 4 3 3 2" xfId="22108"/>
    <cellStyle name="Обычный 6 6 4 3 3 2 2" xfId="22109"/>
    <cellStyle name="Обычный 6 6 4 3 3 2 3" xfId="22110"/>
    <cellStyle name="Обычный 6 6 4 3 3 3" xfId="22111"/>
    <cellStyle name="Обычный 6 6 4 3 3 3 2" xfId="22112"/>
    <cellStyle name="Обычный 6 6 4 3 3 3 3" xfId="22113"/>
    <cellStyle name="Обычный 6 6 4 3 3 4" xfId="22114"/>
    <cellStyle name="Обычный 6 6 4 3 3 4 2" xfId="22115"/>
    <cellStyle name="Обычный 6 6 4 3 3 5" xfId="22116"/>
    <cellStyle name="Обычный 6 6 4 3 3 6" xfId="22117"/>
    <cellStyle name="Обычный 6 6 4 3 4" xfId="22118"/>
    <cellStyle name="Обычный 6 6 4 3 4 2" xfId="22119"/>
    <cellStyle name="Обычный 6 6 4 3 4 3" xfId="22120"/>
    <cellStyle name="Обычный 6 6 4 3 5" xfId="22121"/>
    <cellStyle name="Обычный 6 6 4 3 5 2" xfId="22122"/>
    <cellStyle name="Обычный 6 6 4 3 5 3" xfId="22123"/>
    <cellStyle name="Обычный 6 6 4 3 6" xfId="22124"/>
    <cellStyle name="Обычный 6 6 4 3 6 2" xfId="22125"/>
    <cellStyle name="Обычный 6 6 4 3 7" xfId="22126"/>
    <cellStyle name="Обычный 6 6 4 3 8" xfId="22127"/>
    <cellStyle name="Обычный 6 6 4 4" xfId="22128"/>
    <cellStyle name="Обычный 6 6 4 4 2" xfId="22129"/>
    <cellStyle name="Обычный 6 6 4 4 2 2" xfId="22130"/>
    <cellStyle name="Обычный 6 6 4 4 2 2 2" xfId="22131"/>
    <cellStyle name="Обычный 6 6 4 4 2 2 3" xfId="22132"/>
    <cellStyle name="Обычный 6 6 4 4 2 3" xfId="22133"/>
    <cellStyle name="Обычный 6 6 4 4 2 3 2" xfId="22134"/>
    <cellStyle name="Обычный 6 6 4 4 2 3 3" xfId="22135"/>
    <cellStyle name="Обычный 6 6 4 4 2 4" xfId="22136"/>
    <cellStyle name="Обычный 6 6 4 4 2 4 2" xfId="22137"/>
    <cellStyle name="Обычный 6 6 4 4 2 5" xfId="22138"/>
    <cellStyle name="Обычный 6 6 4 4 2 6" xfId="22139"/>
    <cellStyle name="Обычный 6 6 4 4 3" xfId="22140"/>
    <cellStyle name="Обычный 6 6 4 4 3 2" xfId="22141"/>
    <cellStyle name="Обычный 6 6 4 4 3 3" xfId="22142"/>
    <cellStyle name="Обычный 6 6 4 4 4" xfId="22143"/>
    <cellStyle name="Обычный 6 6 4 4 4 2" xfId="22144"/>
    <cellStyle name="Обычный 6 6 4 4 4 3" xfId="22145"/>
    <cellStyle name="Обычный 6 6 4 4 5" xfId="22146"/>
    <cellStyle name="Обычный 6 6 4 4 5 2" xfId="22147"/>
    <cellStyle name="Обычный 6 6 4 4 6" xfId="22148"/>
    <cellStyle name="Обычный 6 6 4 4 7" xfId="22149"/>
    <cellStyle name="Обычный 6 6 4 5" xfId="22150"/>
    <cellStyle name="Обычный 6 6 4 5 2" xfId="22151"/>
    <cellStyle name="Обычный 6 6 4 5 2 2" xfId="22152"/>
    <cellStyle name="Обычный 6 6 4 5 2 3" xfId="22153"/>
    <cellStyle name="Обычный 6 6 4 5 3" xfId="22154"/>
    <cellStyle name="Обычный 6 6 4 5 3 2" xfId="22155"/>
    <cellStyle name="Обычный 6 6 4 5 3 3" xfId="22156"/>
    <cellStyle name="Обычный 6 6 4 5 4" xfId="22157"/>
    <cellStyle name="Обычный 6 6 4 5 4 2" xfId="22158"/>
    <cellStyle name="Обычный 6 6 4 5 5" xfId="22159"/>
    <cellStyle name="Обычный 6 6 4 5 6" xfId="22160"/>
    <cellStyle name="Обычный 6 6 4 6" xfId="22161"/>
    <cellStyle name="Обычный 6 6 4 6 2" xfId="22162"/>
    <cellStyle name="Обычный 6 6 4 6 3" xfId="22163"/>
    <cellStyle name="Обычный 6 6 4 7" xfId="22164"/>
    <cellStyle name="Обычный 6 6 4 7 2" xfId="22165"/>
    <cellStyle name="Обычный 6 6 4 7 3" xfId="22166"/>
    <cellStyle name="Обычный 6 6 4 8" xfId="22167"/>
    <cellStyle name="Обычный 6 6 4 8 2" xfId="22168"/>
    <cellStyle name="Обычный 6 6 4 9" xfId="22169"/>
    <cellStyle name="Обычный 6 6 5" xfId="22170"/>
    <cellStyle name="Обычный 6 6 5 10" xfId="22171"/>
    <cellStyle name="Обычный 6 6 5 2" xfId="22172"/>
    <cellStyle name="Обычный 6 6 5 2 2" xfId="22173"/>
    <cellStyle name="Обычный 6 6 5 2 2 2" xfId="22174"/>
    <cellStyle name="Обычный 6 6 5 2 2 2 2" xfId="22175"/>
    <cellStyle name="Обычный 6 6 5 2 2 2 2 2" xfId="22176"/>
    <cellStyle name="Обычный 6 6 5 2 2 2 2 2 2" xfId="22177"/>
    <cellStyle name="Обычный 6 6 5 2 2 2 2 2 3" xfId="22178"/>
    <cellStyle name="Обычный 6 6 5 2 2 2 2 3" xfId="22179"/>
    <cellStyle name="Обычный 6 6 5 2 2 2 2 3 2" xfId="22180"/>
    <cellStyle name="Обычный 6 6 5 2 2 2 2 3 3" xfId="22181"/>
    <cellStyle name="Обычный 6 6 5 2 2 2 2 4" xfId="22182"/>
    <cellStyle name="Обычный 6 6 5 2 2 2 2 4 2" xfId="22183"/>
    <cellStyle name="Обычный 6 6 5 2 2 2 2 5" xfId="22184"/>
    <cellStyle name="Обычный 6 6 5 2 2 2 2 6" xfId="22185"/>
    <cellStyle name="Обычный 6 6 5 2 2 2 3" xfId="22186"/>
    <cellStyle name="Обычный 6 6 5 2 2 2 3 2" xfId="22187"/>
    <cellStyle name="Обычный 6 6 5 2 2 2 3 3" xfId="22188"/>
    <cellStyle name="Обычный 6 6 5 2 2 2 4" xfId="22189"/>
    <cellStyle name="Обычный 6 6 5 2 2 2 4 2" xfId="22190"/>
    <cellStyle name="Обычный 6 6 5 2 2 2 4 3" xfId="22191"/>
    <cellStyle name="Обычный 6 6 5 2 2 2 5" xfId="22192"/>
    <cellStyle name="Обычный 6 6 5 2 2 2 5 2" xfId="22193"/>
    <cellStyle name="Обычный 6 6 5 2 2 2 6" xfId="22194"/>
    <cellStyle name="Обычный 6 6 5 2 2 2 7" xfId="22195"/>
    <cellStyle name="Обычный 6 6 5 2 2 3" xfId="22196"/>
    <cellStyle name="Обычный 6 6 5 2 2 3 2" xfId="22197"/>
    <cellStyle name="Обычный 6 6 5 2 2 3 2 2" xfId="22198"/>
    <cellStyle name="Обычный 6 6 5 2 2 3 2 3" xfId="22199"/>
    <cellStyle name="Обычный 6 6 5 2 2 3 3" xfId="22200"/>
    <cellStyle name="Обычный 6 6 5 2 2 3 3 2" xfId="22201"/>
    <cellStyle name="Обычный 6 6 5 2 2 3 3 3" xfId="22202"/>
    <cellStyle name="Обычный 6 6 5 2 2 3 4" xfId="22203"/>
    <cellStyle name="Обычный 6 6 5 2 2 3 4 2" xfId="22204"/>
    <cellStyle name="Обычный 6 6 5 2 2 3 5" xfId="22205"/>
    <cellStyle name="Обычный 6 6 5 2 2 3 6" xfId="22206"/>
    <cellStyle name="Обычный 6 6 5 2 2 4" xfId="22207"/>
    <cellStyle name="Обычный 6 6 5 2 2 4 2" xfId="22208"/>
    <cellStyle name="Обычный 6 6 5 2 2 4 3" xfId="22209"/>
    <cellStyle name="Обычный 6 6 5 2 2 5" xfId="22210"/>
    <cellStyle name="Обычный 6 6 5 2 2 5 2" xfId="22211"/>
    <cellStyle name="Обычный 6 6 5 2 2 5 3" xfId="22212"/>
    <cellStyle name="Обычный 6 6 5 2 2 6" xfId="22213"/>
    <cellStyle name="Обычный 6 6 5 2 2 6 2" xfId="22214"/>
    <cellStyle name="Обычный 6 6 5 2 2 7" xfId="22215"/>
    <cellStyle name="Обычный 6 6 5 2 2 8" xfId="22216"/>
    <cellStyle name="Обычный 6 6 5 2 3" xfId="22217"/>
    <cellStyle name="Обычный 6 6 5 2 3 2" xfId="22218"/>
    <cellStyle name="Обычный 6 6 5 2 3 2 2" xfId="22219"/>
    <cellStyle name="Обычный 6 6 5 2 3 2 2 2" xfId="22220"/>
    <cellStyle name="Обычный 6 6 5 2 3 2 2 3" xfId="22221"/>
    <cellStyle name="Обычный 6 6 5 2 3 2 3" xfId="22222"/>
    <cellStyle name="Обычный 6 6 5 2 3 2 3 2" xfId="22223"/>
    <cellStyle name="Обычный 6 6 5 2 3 2 3 3" xfId="22224"/>
    <cellStyle name="Обычный 6 6 5 2 3 2 4" xfId="22225"/>
    <cellStyle name="Обычный 6 6 5 2 3 2 4 2" xfId="22226"/>
    <cellStyle name="Обычный 6 6 5 2 3 2 5" xfId="22227"/>
    <cellStyle name="Обычный 6 6 5 2 3 2 6" xfId="22228"/>
    <cellStyle name="Обычный 6 6 5 2 3 3" xfId="22229"/>
    <cellStyle name="Обычный 6 6 5 2 3 3 2" xfId="22230"/>
    <cellStyle name="Обычный 6 6 5 2 3 3 3" xfId="22231"/>
    <cellStyle name="Обычный 6 6 5 2 3 4" xfId="22232"/>
    <cellStyle name="Обычный 6 6 5 2 3 4 2" xfId="22233"/>
    <cellStyle name="Обычный 6 6 5 2 3 4 3" xfId="22234"/>
    <cellStyle name="Обычный 6 6 5 2 3 5" xfId="22235"/>
    <cellStyle name="Обычный 6 6 5 2 3 5 2" xfId="22236"/>
    <cellStyle name="Обычный 6 6 5 2 3 6" xfId="22237"/>
    <cellStyle name="Обычный 6 6 5 2 3 7" xfId="22238"/>
    <cellStyle name="Обычный 6 6 5 2 4" xfId="22239"/>
    <cellStyle name="Обычный 6 6 5 2 4 2" xfId="22240"/>
    <cellStyle name="Обычный 6 6 5 2 4 2 2" xfId="22241"/>
    <cellStyle name="Обычный 6 6 5 2 4 2 3" xfId="22242"/>
    <cellStyle name="Обычный 6 6 5 2 4 3" xfId="22243"/>
    <cellStyle name="Обычный 6 6 5 2 4 3 2" xfId="22244"/>
    <cellStyle name="Обычный 6 6 5 2 4 3 3" xfId="22245"/>
    <cellStyle name="Обычный 6 6 5 2 4 4" xfId="22246"/>
    <cellStyle name="Обычный 6 6 5 2 4 4 2" xfId="22247"/>
    <cellStyle name="Обычный 6 6 5 2 4 5" xfId="22248"/>
    <cellStyle name="Обычный 6 6 5 2 4 6" xfId="22249"/>
    <cellStyle name="Обычный 6 6 5 2 5" xfId="22250"/>
    <cellStyle name="Обычный 6 6 5 2 5 2" xfId="22251"/>
    <cellStyle name="Обычный 6 6 5 2 5 3" xfId="22252"/>
    <cellStyle name="Обычный 6 6 5 2 6" xfId="22253"/>
    <cellStyle name="Обычный 6 6 5 2 6 2" xfId="22254"/>
    <cellStyle name="Обычный 6 6 5 2 6 3" xfId="22255"/>
    <cellStyle name="Обычный 6 6 5 2 7" xfId="22256"/>
    <cellStyle name="Обычный 6 6 5 2 7 2" xfId="22257"/>
    <cellStyle name="Обычный 6 6 5 2 8" xfId="22258"/>
    <cellStyle name="Обычный 6 6 5 2 9" xfId="22259"/>
    <cellStyle name="Обычный 6 6 5 3" xfId="22260"/>
    <cellStyle name="Обычный 6 6 5 3 2" xfId="22261"/>
    <cellStyle name="Обычный 6 6 5 3 2 2" xfId="22262"/>
    <cellStyle name="Обычный 6 6 5 3 2 2 2" xfId="22263"/>
    <cellStyle name="Обычный 6 6 5 3 2 2 2 2" xfId="22264"/>
    <cellStyle name="Обычный 6 6 5 3 2 2 2 3" xfId="22265"/>
    <cellStyle name="Обычный 6 6 5 3 2 2 3" xfId="22266"/>
    <cellStyle name="Обычный 6 6 5 3 2 2 3 2" xfId="22267"/>
    <cellStyle name="Обычный 6 6 5 3 2 2 3 3" xfId="22268"/>
    <cellStyle name="Обычный 6 6 5 3 2 2 4" xfId="22269"/>
    <cellStyle name="Обычный 6 6 5 3 2 2 4 2" xfId="22270"/>
    <cellStyle name="Обычный 6 6 5 3 2 2 5" xfId="22271"/>
    <cellStyle name="Обычный 6 6 5 3 2 2 6" xfId="22272"/>
    <cellStyle name="Обычный 6 6 5 3 2 3" xfId="22273"/>
    <cellStyle name="Обычный 6 6 5 3 2 3 2" xfId="22274"/>
    <cellStyle name="Обычный 6 6 5 3 2 3 3" xfId="22275"/>
    <cellStyle name="Обычный 6 6 5 3 2 4" xfId="22276"/>
    <cellStyle name="Обычный 6 6 5 3 2 4 2" xfId="22277"/>
    <cellStyle name="Обычный 6 6 5 3 2 4 3" xfId="22278"/>
    <cellStyle name="Обычный 6 6 5 3 2 5" xfId="22279"/>
    <cellStyle name="Обычный 6 6 5 3 2 5 2" xfId="22280"/>
    <cellStyle name="Обычный 6 6 5 3 2 6" xfId="22281"/>
    <cellStyle name="Обычный 6 6 5 3 2 7" xfId="22282"/>
    <cellStyle name="Обычный 6 6 5 3 3" xfId="22283"/>
    <cellStyle name="Обычный 6 6 5 3 3 2" xfId="22284"/>
    <cellStyle name="Обычный 6 6 5 3 3 2 2" xfId="22285"/>
    <cellStyle name="Обычный 6 6 5 3 3 2 3" xfId="22286"/>
    <cellStyle name="Обычный 6 6 5 3 3 3" xfId="22287"/>
    <cellStyle name="Обычный 6 6 5 3 3 3 2" xfId="22288"/>
    <cellStyle name="Обычный 6 6 5 3 3 3 3" xfId="22289"/>
    <cellStyle name="Обычный 6 6 5 3 3 4" xfId="22290"/>
    <cellStyle name="Обычный 6 6 5 3 3 4 2" xfId="22291"/>
    <cellStyle name="Обычный 6 6 5 3 3 5" xfId="22292"/>
    <cellStyle name="Обычный 6 6 5 3 3 6" xfId="22293"/>
    <cellStyle name="Обычный 6 6 5 3 4" xfId="22294"/>
    <cellStyle name="Обычный 6 6 5 3 4 2" xfId="22295"/>
    <cellStyle name="Обычный 6 6 5 3 4 3" xfId="22296"/>
    <cellStyle name="Обычный 6 6 5 3 5" xfId="22297"/>
    <cellStyle name="Обычный 6 6 5 3 5 2" xfId="22298"/>
    <cellStyle name="Обычный 6 6 5 3 5 3" xfId="22299"/>
    <cellStyle name="Обычный 6 6 5 3 6" xfId="22300"/>
    <cellStyle name="Обычный 6 6 5 3 6 2" xfId="22301"/>
    <cellStyle name="Обычный 6 6 5 3 7" xfId="22302"/>
    <cellStyle name="Обычный 6 6 5 3 8" xfId="22303"/>
    <cellStyle name="Обычный 6 6 5 4" xfId="22304"/>
    <cellStyle name="Обычный 6 6 5 4 2" xfId="22305"/>
    <cellStyle name="Обычный 6 6 5 4 2 2" xfId="22306"/>
    <cellStyle name="Обычный 6 6 5 4 2 2 2" xfId="22307"/>
    <cellStyle name="Обычный 6 6 5 4 2 2 3" xfId="22308"/>
    <cellStyle name="Обычный 6 6 5 4 2 3" xfId="22309"/>
    <cellStyle name="Обычный 6 6 5 4 2 3 2" xfId="22310"/>
    <cellStyle name="Обычный 6 6 5 4 2 3 3" xfId="22311"/>
    <cellStyle name="Обычный 6 6 5 4 2 4" xfId="22312"/>
    <cellStyle name="Обычный 6 6 5 4 2 4 2" xfId="22313"/>
    <cellStyle name="Обычный 6 6 5 4 2 5" xfId="22314"/>
    <cellStyle name="Обычный 6 6 5 4 2 6" xfId="22315"/>
    <cellStyle name="Обычный 6 6 5 4 3" xfId="22316"/>
    <cellStyle name="Обычный 6 6 5 4 3 2" xfId="22317"/>
    <cellStyle name="Обычный 6 6 5 4 3 3" xfId="22318"/>
    <cellStyle name="Обычный 6 6 5 4 4" xfId="22319"/>
    <cellStyle name="Обычный 6 6 5 4 4 2" xfId="22320"/>
    <cellStyle name="Обычный 6 6 5 4 4 3" xfId="22321"/>
    <cellStyle name="Обычный 6 6 5 4 5" xfId="22322"/>
    <cellStyle name="Обычный 6 6 5 4 5 2" xfId="22323"/>
    <cellStyle name="Обычный 6 6 5 4 6" xfId="22324"/>
    <cellStyle name="Обычный 6 6 5 4 7" xfId="22325"/>
    <cellStyle name="Обычный 6 6 5 5" xfId="22326"/>
    <cellStyle name="Обычный 6 6 5 5 2" xfId="22327"/>
    <cellStyle name="Обычный 6 6 5 5 2 2" xfId="22328"/>
    <cellStyle name="Обычный 6 6 5 5 2 3" xfId="22329"/>
    <cellStyle name="Обычный 6 6 5 5 3" xfId="22330"/>
    <cellStyle name="Обычный 6 6 5 5 3 2" xfId="22331"/>
    <cellStyle name="Обычный 6 6 5 5 3 3" xfId="22332"/>
    <cellStyle name="Обычный 6 6 5 5 4" xfId="22333"/>
    <cellStyle name="Обычный 6 6 5 5 4 2" xfId="22334"/>
    <cellStyle name="Обычный 6 6 5 5 5" xfId="22335"/>
    <cellStyle name="Обычный 6 6 5 5 6" xfId="22336"/>
    <cellStyle name="Обычный 6 6 5 6" xfId="22337"/>
    <cellStyle name="Обычный 6 6 5 6 2" xfId="22338"/>
    <cellStyle name="Обычный 6 6 5 6 3" xfId="22339"/>
    <cellStyle name="Обычный 6 6 5 7" xfId="22340"/>
    <cellStyle name="Обычный 6 6 5 7 2" xfId="22341"/>
    <cellStyle name="Обычный 6 6 5 7 3" xfId="22342"/>
    <cellStyle name="Обычный 6 6 5 8" xfId="22343"/>
    <cellStyle name="Обычный 6 6 5 8 2" xfId="22344"/>
    <cellStyle name="Обычный 6 6 5 9" xfId="22345"/>
    <cellStyle name="Обычный 6 6 6" xfId="22346"/>
    <cellStyle name="Обычный 6 6 6 2" xfId="22347"/>
    <cellStyle name="Обычный 6 6 6 2 2" xfId="22348"/>
    <cellStyle name="Обычный 6 6 6 2 2 2" xfId="22349"/>
    <cellStyle name="Обычный 6 6 6 2 2 2 2" xfId="22350"/>
    <cellStyle name="Обычный 6 6 6 2 2 2 2 2" xfId="22351"/>
    <cellStyle name="Обычный 6 6 6 2 2 2 2 3" xfId="22352"/>
    <cellStyle name="Обычный 6 6 6 2 2 2 3" xfId="22353"/>
    <cellStyle name="Обычный 6 6 6 2 2 2 3 2" xfId="22354"/>
    <cellStyle name="Обычный 6 6 6 2 2 2 3 3" xfId="22355"/>
    <cellStyle name="Обычный 6 6 6 2 2 2 4" xfId="22356"/>
    <cellStyle name="Обычный 6 6 6 2 2 2 4 2" xfId="22357"/>
    <cellStyle name="Обычный 6 6 6 2 2 2 5" xfId="22358"/>
    <cellStyle name="Обычный 6 6 6 2 2 2 6" xfId="22359"/>
    <cellStyle name="Обычный 6 6 6 2 2 3" xfId="22360"/>
    <cellStyle name="Обычный 6 6 6 2 2 3 2" xfId="22361"/>
    <cellStyle name="Обычный 6 6 6 2 2 3 3" xfId="22362"/>
    <cellStyle name="Обычный 6 6 6 2 2 4" xfId="22363"/>
    <cellStyle name="Обычный 6 6 6 2 2 4 2" xfId="22364"/>
    <cellStyle name="Обычный 6 6 6 2 2 4 3" xfId="22365"/>
    <cellStyle name="Обычный 6 6 6 2 2 5" xfId="22366"/>
    <cellStyle name="Обычный 6 6 6 2 2 5 2" xfId="22367"/>
    <cellStyle name="Обычный 6 6 6 2 2 6" xfId="22368"/>
    <cellStyle name="Обычный 6 6 6 2 2 7" xfId="22369"/>
    <cellStyle name="Обычный 6 6 6 2 3" xfId="22370"/>
    <cellStyle name="Обычный 6 6 6 2 3 2" xfId="22371"/>
    <cellStyle name="Обычный 6 6 6 2 3 2 2" xfId="22372"/>
    <cellStyle name="Обычный 6 6 6 2 3 2 3" xfId="22373"/>
    <cellStyle name="Обычный 6 6 6 2 3 3" xfId="22374"/>
    <cellStyle name="Обычный 6 6 6 2 3 3 2" xfId="22375"/>
    <cellStyle name="Обычный 6 6 6 2 3 3 3" xfId="22376"/>
    <cellStyle name="Обычный 6 6 6 2 3 4" xfId="22377"/>
    <cellStyle name="Обычный 6 6 6 2 3 4 2" xfId="22378"/>
    <cellStyle name="Обычный 6 6 6 2 3 5" xfId="22379"/>
    <cellStyle name="Обычный 6 6 6 2 3 6" xfId="22380"/>
    <cellStyle name="Обычный 6 6 6 2 4" xfId="22381"/>
    <cellStyle name="Обычный 6 6 6 2 4 2" xfId="22382"/>
    <cellStyle name="Обычный 6 6 6 2 4 3" xfId="22383"/>
    <cellStyle name="Обычный 6 6 6 2 5" xfId="22384"/>
    <cellStyle name="Обычный 6 6 6 2 5 2" xfId="22385"/>
    <cellStyle name="Обычный 6 6 6 2 5 3" xfId="22386"/>
    <cellStyle name="Обычный 6 6 6 2 6" xfId="22387"/>
    <cellStyle name="Обычный 6 6 6 2 6 2" xfId="22388"/>
    <cellStyle name="Обычный 6 6 6 2 7" xfId="22389"/>
    <cellStyle name="Обычный 6 6 6 2 8" xfId="22390"/>
    <cellStyle name="Обычный 6 6 6 3" xfId="22391"/>
    <cellStyle name="Обычный 6 6 6 3 2" xfId="22392"/>
    <cellStyle name="Обычный 6 6 6 3 2 2" xfId="22393"/>
    <cellStyle name="Обычный 6 6 6 3 2 2 2" xfId="22394"/>
    <cellStyle name="Обычный 6 6 6 3 2 2 3" xfId="22395"/>
    <cellStyle name="Обычный 6 6 6 3 2 3" xfId="22396"/>
    <cellStyle name="Обычный 6 6 6 3 2 3 2" xfId="22397"/>
    <cellStyle name="Обычный 6 6 6 3 2 3 3" xfId="22398"/>
    <cellStyle name="Обычный 6 6 6 3 2 4" xfId="22399"/>
    <cellStyle name="Обычный 6 6 6 3 2 4 2" xfId="22400"/>
    <cellStyle name="Обычный 6 6 6 3 2 5" xfId="22401"/>
    <cellStyle name="Обычный 6 6 6 3 2 6" xfId="22402"/>
    <cellStyle name="Обычный 6 6 6 3 3" xfId="22403"/>
    <cellStyle name="Обычный 6 6 6 3 3 2" xfId="22404"/>
    <cellStyle name="Обычный 6 6 6 3 3 3" xfId="22405"/>
    <cellStyle name="Обычный 6 6 6 3 4" xfId="22406"/>
    <cellStyle name="Обычный 6 6 6 3 4 2" xfId="22407"/>
    <cellStyle name="Обычный 6 6 6 3 4 3" xfId="22408"/>
    <cellStyle name="Обычный 6 6 6 3 5" xfId="22409"/>
    <cellStyle name="Обычный 6 6 6 3 5 2" xfId="22410"/>
    <cellStyle name="Обычный 6 6 6 3 6" xfId="22411"/>
    <cellStyle name="Обычный 6 6 6 3 7" xfId="22412"/>
    <cellStyle name="Обычный 6 6 6 4" xfId="22413"/>
    <cellStyle name="Обычный 6 6 6 4 2" xfId="22414"/>
    <cellStyle name="Обычный 6 6 6 4 2 2" xfId="22415"/>
    <cellStyle name="Обычный 6 6 6 4 2 3" xfId="22416"/>
    <cellStyle name="Обычный 6 6 6 4 3" xfId="22417"/>
    <cellStyle name="Обычный 6 6 6 4 3 2" xfId="22418"/>
    <cellStyle name="Обычный 6 6 6 4 3 3" xfId="22419"/>
    <cellStyle name="Обычный 6 6 6 4 4" xfId="22420"/>
    <cellStyle name="Обычный 6 6 6 4 4 2" xfId="22421"/>
    <cellStyle name="Обычный 6 6 6 4 5" xfId="22422"/>
    <cellStyle name="Обычный 6 6 6 4 6" xfId="22423"/>
    <cellStyle name="Обычный 6 6 6 5" xfId="22424"/>
    <cellStyle name="Обычный 6 6 6 5 2" xfId="22425"/>
    <cellStyle name="Обычный 6 6 6 5 3" xfId="22426"/>
    <cellStyle name="Обычный 6 6 6 6" xfId="22427"/>
    <cellStyle name="Обычный 6 6 6 6 2" xfId="22428"/>
    <cellStyle name="Обычный 6 6 6 6 3" xfId="22429"/>
    <cellStyle name="Обычный 6 6 6 7" xfId="22430"/>
    <cellStyle name="Обычный 6 6 6 7 2" xfId="22431"/>
    <cellStyle name="Обычный 6 6 6 8" xfId="22432"/>
    <cellStyle name="Обычный 6 6 6 9" xfId="22433"/>
    <cellStyle name="Обычный 6 6 7" xfId="22434"/>
    <cellStyle name="Обычный 6 6 7 2" xfId="22435"/>
    <cellStyle name="Обычный 6 6 7 2 2" xfId="22436"/>
    <cellStyle name="Обычный 6 6 7 2 2 2" xfId="22437"/>
    <cellStyle name="Обычный 6 6 7 2 2 2 2" xfId="22438"/>
    <cellStyle name="Обычный 6 6 7 2 2 2 3" xfId="22439"/>
    <cellStyle name="Обычный 6 6 7 2 2 3" xfId="22440"/>
    <cellStyle name="Обычный 6 6 7 2 2 3 2" xfId="22441"/>
    <cellStyle name="Обычный 6 6 7 2 2 3 3" xfId="22442"/>
    <cellStyle name="Обычный 6 6 7 2 2 4" xfId="22443"/>
    <cellStyle name="Обычный 6 6 7 2 2 4 2" xfId="22444"/>
    <cellStyle name="Обычный 6 6 7 2 2 5" xfId="22445"/>
    <cellStyle name="Обычный 6 6 7 2 2 6" xfId="22446"/>
    <cellStyle name="Обычный 6 6 7 2 3" xfId="22447"/>
    <cellStyle name="Обычный 6 6 7 2 3 2" xfId="22448"/>
    <cellStyle name="Обычный 6 6 7 2 3 3" xfId="22449"/>
    <cellStyle name="Обычный 6 6 7 2 4" xfId="22450"/>
    <cellStyle name="Обычный 6 6 7 2 4 2" xfId="22451"/>
    <cellStyle name="Обычный 6 6 7 2 4 3" xfId="22452"/>
    <cellStyle name="Обычный 6 6 7 2 5" xfId="22453"/>
    <cellStyle name="Обычный 6 6 7 2 5 2" xfId="22454"/>
    <cellStyle name="Обычный 6 6 7 2 6" xfId="22455"/>
    <cellStyle name="Обычный 6 6 7 2 7" xfId="22456"/>
    <cellStyle name="Обычный 6 6 7 3" xfId="22457"/>
    <cellStyle name="Обычный 6 6 7 3 2" xfId="22458"/>
    <cellStyle name="Обычный 6 6 7 3 2 2" xfId="22459"/>
    <cellStyle name="Обычный 6 6 7 3 2 3" xfId="22460"/>
    <cellStyle name="Обычный 6 6 7 3 3" xfId="22461"/>
    <cellStyle name="Обычный 6 6 7 3 3 2" xfId="22462"/>
    <cellStyle name="Обычный 6 6 7 3 3 3" xfId="22463"/>
    <cellStyle name="Обычный 6 6 7 3 4" xfId="22464"/>
    <cellStyle name="Обычный 6 6 7 3 4 2" xfId="22465"/>
    <cellStyle name="Обычный 6 6 7 3 5" xfId="22466"/>
    <cellStyle name="Обычный 6 6 7 3 6" xfId="22467"/>
    <cellStyle name="Обычный 6 6 7 4" xfId="22468"/>
    <cellStyle name="Обычный 6 6 7 4 2" xfId="22469"/>
    <cellStyle name="Обычный 6 6 7 4 3" xfId="22470"/>
    <cellStyle name="Обычный 6 6 7 5" xfId="22471"/>
    <cellStyle name="Обычный 6 6 7 5 2" xfId="22472"/>
    <cellStyle name="Обычный 6 6 7 5 3" xfId="22473"/>
    <cellStyle name="Обычный 6 6 7 6" xfId="22474"/>
    <cellStyle name="Обычный 6 6 7 6 2" xfId="22475"/>
    <cellStyle name="Обычный 6 6 7 7" xfId="22476"/>
    <cellStyle name="Обычный 6 6 7 8" xfId="22477"/>
    <cellStyle name="Обычный 6 6 8" xfId="22478"/>
    <cellStyle name="Обычный 6 6 8 2" xfId="22479"/>
    <cellStyle name="Обычный 6 6 8 2 2" xfId="22480"/>
    <cellStyle name="Обычный 6 6 8 2 2 2" xfId="22481"/>
    <cellStyle name="Обычный 6 6 8 2 2 3" xfId="22482"/>
    <cellStyle name="Обычный 6 6 8 2 3" xfId="22483"/>
    <cellStyle name="Обычный 6 6 8 2 3 2" xfId="22484"/>
    <cellStyle name="Обычный 6 6 8 2 3 3" xfId="22485"/>
    <cellStyle name="Обычный 6 6 8 2 4" xfId="22486"/>
    <cellStyle name="Обычный 6 6 8 2 4 2" xfId="22487"/>
    <cellStyle name="Обычный 6 6 8 2 5" xfId="22488"/>
    <cellStyle name="Обычный 6 6 8 2 6" xfId="22489"/>
    <cellStyle name="Обычный 6 6 8 3" xfId="22490"/>
    <cellStyle name="Обычный 6 6 8 3 2" xfId="22491"/>
    <cellStyle name="Обычный 6 6 8 3 3" xfId="22492"/>
    <cellStyle name="Обычный 6 6 8 4" xfId="22493"/>
    <cellStyle name="Обычный 6 6 8 4 2" xfId="22494"/>
    <cellStyle name="Обычный 6 6 8 4 3" xfId="22495"/>
    <cellStyle name="Обычный 6 6 8 5" xfId="22496"/>
    <cellStyle name="Обычный 6 6 8 5 2" xfId="22497"/>
    <cellStyle name="Обычный 6 6 8 6" xfId="22498"/>
    <cellStyle name="Обычный 6 6 8 7" xfId="22499"/>
    <cellStyle name="Обычный 6 6 9" xfId="22500"/>
    <cellStyle name="Обычный 6 6 9 2" xfId="22501"/>
    <cellStyle name="Обычный 6 6 9 2 2" xfId="22502"/>
    <cellStyle name="Обычный 6 6 9 2 3" xfId="22503"/>
    <cellStyle name="Обычный 6 6 9 3" xfId="22504"/>
    <cellStyle name="Обычный 6 6 9 3 2" xfId="22505"/>
    <cellStyle name="Обычный 6 6 9 3 3" xfId="22506"/>
    <cellStyle name="Обычный 6 6 9 4" xfId="22507"/>
    <cellStyle name="Обычный 6 6 9 4 2" xfId="22508"/>
    <cellStyle name="Обычный 6 6 9 5" xfId="22509"/>
    <cellStyle name="Обычный 6 6 9 6" xfId="22510"/>
    <cellStyle name="Обычный 6 7" xfId="22511"/>
    <cellStyle name="Обычный 6 7 10" xfId="22512"/>
    <cellStyle name="Обычный 6 7 10 2" xfId="22513"/>
    <cellStyle name="Обычный 6 7 10 3" xfId="22514"/>
    <cellStyle name="Обычный 6 7 11" xfId="22515"/>
    <cellStyle name="Обычный 6 7 11 2" xfId="22516"/>
    <cellStyle name="Обычный 6 7 11 3" xfId="22517"/>
    <cellStyle name="Обычный 6 7 12" xfId="22518"/>
    <cellStyle name="Обычный 6 7 12 2" xfId="22519"/>
    <cellStyle name="Обычный 6 7 13" xfId="22520"/>
    <cellStyle name="Обычный 6 7 14" xfId="22521"/>
    <cellStyle name="Обычный 6 7 2" xfId="22522"/>
    <cellStyle name="Обычный 6 7 2 10" xfId="22523"/>
    <cellStyle name="Обычный 6 7 2 10 2" xfId="22524"/>
    <cellStyle name="Обычный 6 7 2 10 3" xfId="22525"/>
    <cellStyle name="Обычный 6 7 2 11" xfId="22526"/>
    <cellStyle name="Обычный 6 7 2 11 2" xfId="22527"/>
    <cellStyle name="Обычный 6 7 2 12" xfId="22528"/>
    <cellStyle name="Обычный 6 7 2 13" xfId="22529"/>
    <cellStyle name="Обычный 6 7 2 2" xfId="22530"/>
    <cellStyle name="Обычный 6 7 2 2 10" xfId="22531"/>
    <cellStyle name="Обычный 6 7 2 2 2" xfId="22532"/>
    <cellStyle name="Обычный 6 7 2 2 2 2" xfId="22533"/>
    <cellStyle name="Обычный 6 7 2 2 2 2 2" xfId="22534"/>
    <cellStyle name="Обычный 6 7 2 2 2 2 2 2" xfId="22535"/>
    <cellStyle name="Обычный 6 7 2 2 2 2 2 2 2" xfId="22536"/>
    <cellStyle name="Обычный 6 7 2 2 2 2 2 2 2 2" xfId="22537"/>
    <cellStyle name="Обычный 6 7 2 2 2 2 2 2 2 3" xfId="22538"/>
    <cellStyle name="Обычный 6 7 2 2 2 2 2 2 3" xfId="22539"/>
    <cellStyle name="Обычный 6 7 2 2 2 2 2 2 3 2" xfId="22540"/>
    <cellStyle name="Обычный 6 7 2 2 2 2 2 2 3 3" xfId="22541"/>
    <cellStyle name="Обычный 6 7 2 2 2 2 2 2 4" xfId="22542"/>
    <cellStyle name="Обычный 6 7 2 2 2 2 2 2 4 2" xfId="22543"/>
    <cellStyle name="Обычный 6 7 2 2 2 2 2 2 5" xfId="22544"/>
    <cellStyle name="Обычный 6 7 2 2 2 2 2 2 6" xfId="22545"/>
    <cellStyle name="Обычный 6 7 2 2 2 2 2 3" xfId="22546"/>
    <cellStyle name="Обычный 6 7 2 2 2 2 2 3 2" xfId="22547"/>
    <cellStyle name="Обычный 6 7 2 2 2 2 2 3 3" xfId="22548"/>
    <cellStyle name="Обычный 6 7 2 2 2 2 2 4" xfId="22549"/>
    <cellStyle name="Обычный 6 7 2 2 2 2 2 4 2" xfId="22550"/>
    <cellStyle name="Обычный 6 7 2 2 2 2 2 4 3" xfId="22551"/>
    <cellStyle name="Обычный 6 7 2 2 2 2 2 5" xfId="22552"/>
    <cellStyle name="Обычный 6 7 2 2 2 2 2 5 2" xfId="22553"/>
    <cellStyle name="Обычный 6 7 2 2 2 2 2 6" xfId="22554"/>
    <cellStyle name="Обычный 6 7 2 2 2 2 2 7" xfId="22555"/>
    <cellStyle name="Обычный 6 7 2 2 2 2 3" xfId="22556"/>
    <cellStyle name="Обычный 6 7 2 2 2 2 3 2" xfId="22557"/>
    <cellStyle name="Обычный 6 7 2 2 2 2 3 2 2" xfId="22558"/>
    <cellStyle name="Обычный 6 7 2 2 2 2 3 2 3" xfId="22559"/>
    <cellStyle name="Обычный 6 7 2 2 2 2 3 3" xfId="22560"/>
    <cellStyle name="Обычный 6 7 2 2 2 2 3 3 2" xfId="22561"/>
    <cellStyle name="Обычный 6 7 2 2 2 2 3 3 3" xfId="22562"/>
    <cellStyle name="Обычный 6 7 2 2 2 2 3 4" xfId="22563"/>
    <cellStyle name="Обычный 6 7 2 2 2 2 3 4 2" xfId="22564"/>
    <cellStyle name="Обычный 6 7 2 2 2 2 3 5" xfId="22565"/>
    <cellStyle name="Обычный 6 7 2 2 2 2 3 6" xfId="22566"/>
    <cellStyle name="Обычный 6 7 2 2 2 2 4" xfId="22567"/>
    <cellStyle name="Обычный 6 7 2 2 2 2 4 2" xfId="22568"/>
    <cellStyle name="Обычный 6 7 2 2 2 2 4 3" xfId="22569"/>
    <cellStyle name="Обычный 6 7 2 2 2 2 5" xfId="22570"/>
    <cellStyle name="Обычный 6 7 2 2 2 2 5 2" xfId="22571"/>
    <cellStyle name="Обычный 6 7 2 2 2 2 5 3" xfId="22572"/>
    <cellStyle name="Обычный 6 7 2 2 2 2 6" xfId="22573"/>
    <cellStyle name="Обычный 6 7 2 2 2 2 6 2" xfId="22574"/>
    <cellStyle name="Обычный 6 7 2 2 2 2 7" xfId="22575"/>
    <cellStyle name="Обычный 6 7 2 2 2 2 8" xfId="22576"/>
    <cellStyle name="Обычный 6 7 2 2 2 3" xfId="22577"/>
    <cellStyle name="Обычный 6 7 2 2 2 3 2" xfId="22578"/>
    <cellStyle name="Обычный 6 7 2 2 2 3 2 2" xfId="22579"/>
    <cellStyle name="Обычный 6 7 2 2 2 3 2 2 2" xfId="22580"/>
    <cellStyle name="Обычный 6 7 2 2 2 3 2 2 3" xfId="22581"/>
    <cellStyle name="Обычный 6 7 2 2 2 3 2 3" xfId="22582"/>
    <cellStyle name="Обычный 6 7 2 2 2 3 2 3 2" xfId="22583"/>
    <cellStyle name="Обычный 6 7 2 2 2 3 2 3 3" xfId="22584"/>
    <cellStyle name="Обычный 6 7 2 2 2 3 2 4" xfId="22585"/>
    <cellStyle name="Обычный 6 7 2 2 2 3 2 4 2" xfId="22586"/>
    <cellStyle name="Обычный 6 7 2 2 2 3 2 5" xfId="22587"/>
    <cellStyle name="Обычный 6 7 2 2 2 3 2 6" xfId="22588"/>
    <cellStyle name="Обычный 6 7 2 2 2 3 3" xfId="22589"/>
    <cellStyle name="Обычный 6 7 2 2 2 3 3 2" xfId="22590"/>
    <cellStyle name="Обычный 6 7 2 2 2 3 3 3" xfId="22591"/>
    <cellStyle name="Обычный 6 7 2 2 2 3 4" xfId="22592"/>
    <cellStyle name="Обычный 6 7 2 2 2 3 4 2" xfId="22593"/>
    <cellStyle name="Обычный 6 7 2 2 2 3 4 3" xfId="22594"/>
    <cellStyle name="Обычный 6 7 2 2 2 3 5" xfId="22595"/>
    <cellStyle name="Обычный 6 7 2 2 2 3 5 2" xfId="22596"/>
    <cellStyle name="Обычный 6 7 2 2 2 3 6" xfId="22597"/>
    <cellStyle name="Обычный 6 7 2 2 2 3 7" xfId="22598"/>
    <cellStyle name="Обычный 6 7 2 2 2 4" xfId="22599"/>
    <cellStyle name="Обычный 6 7 2 2 2 4 2" xfId="22600"/>
    <cellStyle name="Обычный 6 7 2 2 2 4 2 2" xfId="22601"/>
    <cellStyle name="Обычный 6 7 2 2 2 4 2 3" xfId="22602"/>
    <cellStyle name="Обычный 6 7 2 2 2 4 3" xfId="22603"/>
    <cellStyle name="Обычный 6 7 2 2 2 4 3 2" xfId="22604"/>
    <cellStyle name="Обычный 6 7 2 2 2 4 3 3" xfId="22605"/>
    <cellStyle name="Обычный 6 7 2 2 2 4 4" xfId="22606"/>
    <cellStyle name="Обычный 6 7 2 2 2 4 4 2" xfId="22607"/>
    <cellStyle name="Обычный 6 7 2 2 2 4 5" xfId="22608"/>
    <cellStyle name="Обычный 6 7 2 2 2 4 6" xfId="22609"/>
    <cellStyle name="Обычный 6 7 2 2 2 5" xfId="22610"/>
    <cellStyle name="Обычный 6 7 2 2 2 5 2" xfId="22611"/>
    <cellStyle name="Обычный 6 7 2 2 2 5 3" xfId="22612"/>
    <cellStyle name="Обычный 6 7 2 2 2 6" xfId="22613"/>
    <cellStyle name="Обычный 6 7 2 2 2 6 2" xfId="22614"/>
    <cellStyle name="Обычный 6 7 2 2 2 6 3" xfId="22615"/>
    <cellStyle name="Обычный 6 7 2 2 2 7" xfId="22616"/>
    <cellStyle name="Обычный 6 7 2 2 2 7 2" xfId="22617"/>
    <cellStyle name="Обычный 6 7 2 2 2 8" xfId="22618"/>
    <cellStyle name="Обычный 6 7 2 2 2 9" xfId="22619"/>
    <cellStyle name="Обычный 6 7 2 2 3" xfId="22620"/>
    <cellStyle name="Обычный 6 7 2 2 3 2" xfId="22621"/>
    <cellStyle name="Обычный 6 7 2 2 3 2 2" xfId="22622"/>
    <cellStyle name="Обычный 6 7 2 2 3 2 2 2" xfId="22623"/>
    <cellStyle name="Обычный 6 7 2 2 3 2 2 2 2" xfId="22624"/>
    <cellStyle name="Обычный 6 7 2 2 3 2 2 2 3" xfId="22625"/>
    <cellStyle name="Обычный 6 7 2 2 3 2 2 3" xfId="22626"/>
    <cellStyle name="Обычный 6 7 2 2 3 2 2 3 2" xfId="22627"/>
    <cellStyle name="Обычный 6 7 2 2 3 2 2 3 3" xfId="22628"/>
    <cellStyle name="Обычный 6 7 2 2 3 2 2 4" xfId="22629"/>
    <cellStyle name="Обычный 6 7 2 2 3 2 2 4 2" xfId="22630"/>
    <cellStyle name="Обычный 6 7 2 2 3 2 2 5" xfId="22631"/>
    <cellStyle name="Обычный 6 7 2 2 3 2 2 6" xfId="22632"/>
    <cellStyle name="Обычный 6 7 2 2 3 2 3" xfId="22633"/>
    <cellStyle name="Обычный 6 7 2 2 3 2 3 2" xfId="22634"/>
    <cellStyle name="Обычный 6 7 2 2 3 2 3 3" xfId="22635"/>
    <cellStyle name="Обычный 6 7 2 2 3 2 4" xfId="22636"/>
    <cellStyle name="Обычный 6 7 2 2 3 2 4 2" xfId="22637"/>
    <cellStyle name="Обычный 6 7 2 2 3 2 4 3" xfId="22638"/>
    <cellStyle name="Обычный 6 7 2 2 3 2 5" xfId="22639"/>
    <cellStyle name="Обычный 6 7 2 2 3 2 5 2" xfId="22640"/>
    <cellStyle name="Обычный 6 7 2 2 3 2 6" xfId="22641"/>
    <cellStyle name="Обычный 6 7 2 2 3 2 7" xfId="22642"/>
    <cellStyle name="Обычный 6 7 2 2 3 3" xfId="22643"/>
    <cellStyle name="Обычный 6 7 2 2 3 3 2" xfId="22644"/>
    <cellStyle name="Обычный 6 7 2 2 3 3 2 2" xfId="22645"/>
    <cellStyle name="Обычный 6 7 2 2 3 3 2 3" xfId="22646"/>
    <cellStyle name="Обычный 6 7 2 2 3 3 3" xfId="22647"/>
    <cellStyle name="Обычный 6 7 2 2 3 3 3 2" xfId="22648"/>
    <cellStyle name="Обычный 6 7 2 2 3 3 3 3" xfId="22649"/>
    <cellStyle name="Обычный 6 7 2 2 3 3 4" xfId="22650"/>
    <cellStyle name="Обычный 6 7 2 2 3 3 4 2" xfId="22651"/>
    <cellStyle name="Обычный 6 7 2 2 3 3 5" xfId="22652"/>
    <cellStyle name="Обычный 6 7 2 2 3 3 6" xfId="22653"/>
    <cellStyle name="Обычный 6 7 2 2 3 4" xfId="22654"/>
    <cellStyle name="Обычный 6 7 2 2 3 4 2" xfId="22655"/>
    <cellStyle name="Обычный 6 7 2 2 3 4 3" xfId="22656"/>
    <cellStyle name="Обычный 6 7 2 2 3 5" xfId="22657"/>
    <cellStyle name="Обычный 6 7 2 2 3 5 2" xfId="22658"/>
    <cellStyle name="Обычный 6 7 2 2 3 5 3" xfId="22659"/>
    <cellStyle name="Обычный 6 7 2 2 3 6" xfId="22660"/>
    <cellStyle name="Обычный 6 7 2 2 3 6 2" xfId="22661"/>
    <cellStyle name="Обычный 6 7 2 2 3 7" xfId="22662"/>
    <cellStyle name="Обычный 6 7 2 2 3 8" xfId="22663"/>
    <cellStyle name="Обычный 6 7 2 2 4" xfId="22664"/>
    <cellStyle name="Обычный 6 7 2 2 4 2" xfId="22665"/>
    <cellStyle name="Обычный 6 7 2 2 4 2 2" xfId="22666"/>
    <cellStyle name="Обычный 6 7 2 2 4 2 2 2" xfId="22667"/>
    <cellStyle name="Обычный 6 7 2 2 4 2 2 3" xfId="22668"/>
    <cellStyle name="Обычный 6 7 2 2 4 2 3" xfId="22669"/>
    <cellStyle name="Обычный 6 7 2 2 4 2 3 2" xfId="22670"/>
    <cellStyle name="Обычный 6 7 2 2 4 2 3 3" xfId="22671"/>
    <cellStyle name="Обычный 6 7 2 2 4 2 4" xfId="22672"/>
    <cellStyle name="Обычный 6 7 2 2 4 2 4 2" xfId="22673"/>
    <cellStyle name="Обычный 6 7 2 2 4 2 5" xfId="22674"/>
    <cellStyle name="Обычный 6 7 2 2 4 2 6" xfId="22675"/>
    <cellStyle name="Обычный 6 7 2 2 4 3" xfId="22676"/>
    <cellStyle name="Обычный 6 7 2 2 4 3 2" xfId="22677"/>
    <cellStyle name="Обычный 6 7 2 2 4 3 3" xfId="22678"/>
    <cellStyle name="Обычный 6 7 2 2 4 4" xfId="22679"/>
    <cellStyle name="Обычный 6 7 2 2 4 4 2" xfId="22680"/>
    <cellStyle name="Обычный 6 7 2 2 4 4 3" xfId="22681"/>
    <cellStyle name="Обычный 6 7 2 2 4 5" xfId="22682"/>
    <cellStyle name="Обычный 6 7 2 2 4 5 2" xfId="22683"/>
    <cellStyle name="Обычный 6 7 2 2 4 6" xfId="22684"/>
    <cellStyle name="Обычный 6 7 2 2 4 7" xfId="22685"/>
    <cellStyle name="Обычный 6 7 2 2 5" xfId="22686"/>
    <cellStyle name="Обычный 6 7 2 2 5 2" xfId="22687"/>
    <cellStyle name="Обычный 6 7 2 2 5 2 2" xfId="22688"/>
    <cellStyle name="Обычный 6 7 2 2 5 2 3" xfId="22689"/>
    <cellStyle name="Обычный 6 7 2 2 5 3" xfId="22690"/>
    <cellStyle name="Обычный 6 7 2 2 5 3 2" xfId="22691"/>
    <cellStyle name="Обычный 6 7 2 2 5 3 3" xfId="22692"/>
    <cellStyle name="Обычный 6 7 2 2 5 4" xfId="22693"/>
    <cellStyle name="Обычный 6 7 2 2 5 4 2" xfId="22694"/>
    <cellStyle name="Обычный 6 7 2 2 5 5" xfId="22695"/>
    <cellStyle name="Обычный 6 7 2 2 5 6" xfId="22696"/>
    <cellStyle name="Обычный 6 7 2 2 6" xfId="22697"/>
    <cellStyle name="Обычный 6 7 2 2 6 2" xfId="22698"/>
    <cellStyle name="Обычный 6 7 2 2 6 3" xfId="22699"/>
    <cellStyle name="Обычный 6 7 2 2 7" xfId="22700"/>
    <cellStyle name="Обычный 6 7 2 2 7 2" xfId="22701"/>
    <cellStyle name="Обычный 6 7 2 2 7 3" xfId="22702"/>
    <cellStyle name="Обычный 6 7 2 2 8" xfId="22703"/>
    <cellStyle name="Обычный 6 7 2 2 8 2" xfId="22704"/>
    <cellStyle name="Обычный 6 7 2 2 9" xfId="22705"/>
    <cellStyle name="Обычный 6 7 2 3" xfId="22706"/>
    <cellStyle name="Обычный 6 7 2 3 10" xfId="22707"/>
    <cellStyle name="Обычный 6 7 2 3 2" xfId="22708"/>
    <cellStyle name="Обычный 6 7 2 3 2 2" xfId="22709"/>
    <cellStyle name="Обычный 6 7 2 3 2 2 2" xfId="22710"/>
    <cellStyle name="Обычный 6 7 2 3 2 2 2 2" xfId="22711"/>
    <cellStyle name="Обычный 6 7 2 3 2 2 2 2 2" xfId="22712"/>
    <cellStyle name="Обычный 6 7 2 3 2 2 2 2 2 2" xfId="22713"/>
    <cellStyle name="Обычный 6 7 2 3 2 2 2 2 2 3" xfId="22714"/>
    <cellStyle name="Обычный 6 7 2 3 2 2 2 2 3" xfId="22715"/>
    <cellStyle name="Обычный 6 7 2 3 2 2 2 2 3 2" xfId="22716"/>
    <cellStyle name="Обычный 6 7 2 3 2 2 2 2 3 3" xfId="22717"/>
    <cellStyle name="Обычный 6 7 2 3 2 2 2 2 4" xfId="22718"/>
    <cellStyle name="Обычный 6 7 2 3 2 2 2 2 4 2" xfId="22719"/>
    <cellStyle name="Обычный 6 7 2 3 2 2 2 2 5" xfId="22720"/>
    <cellStyle name="Обычный 6 7 2 3 2 2 2 2 6" xfId="22721"/>
    <cellStyle name="Обычный 6 7 2 3 2 2 2 3" xfId="22722"/>
    <cellStyle name="Обычный 6 7 2 3 2 2 2 3 2" xfId="22723"/>
    <cellStyle name="Обычный 6 7 2 3 2 2 2 3 3" xfId="22724"/>
    <cellStyle name="Обычный 6 7 2 3 2 2 2 4" xfId="22725"/>
    <cellStyle name="Обычный 6 7 2 3 2 2 2 4 2" xfId="22726"/>
    <cellStyle name="Обычный 6 7 2 3 2 2 2 4 3" xfId="22727"/>
    <cellStyle name="Обычный 6 7 2 3 2 2 2 5" xfId="22728"/>
    <cellStyle name="Обычный 6 7 2 3 2 2 2 5 2" xfId="22729"/>
    <cellStyle name="Обычный 6 7 2 3 2 2 2 6" xfId="22730"/>
    <cellStyle name="Обычный 6 7 2 3 2 2 2 7" xfId="22731"/>
    <cellStyle name="Обычный 6 7 2 3 2 2 3" xfId="22732"/>
    <cellStyle name="Обычный 6 7 2 3 2 2 3 2" xfId="22733"/>
    <cellStyle name="Обычный 6 7 2 3 2 2 3 2 2" xfId="22734"/>
    <cellStyle name="Обычный 6 7 2 3 2 2 3 2 3" xfId="22735"/>
    <cellStyle name="Обычный 6 7 2 3 2 2 3 3" xfId="22736"/>
    <cellStyle name="Обычный 6 7 2 3 2 2 3 3 2" xfId="22737"/>
    <cellStyle name="Обычный 6 7 2 3 2 2 3 3 3" xfId="22738"/>
    <cellStyle name="Обычный 6 7 2 3 2 2 3 4" xfId="22739"/>
    <cellStyle name="Обычный 6 7 2 3 2 2 3 4 2" xfId="22740"/>
    <cellStyle name="Обычный 6 7 2 3 2 2 3 5" xfId="22741"/>
    <cellStyle name="Обычный 6 7 2 3 2 2 3 6" xfId="22742"/>
    <cellStyle name="Обычный 6 7 2 3 2 2 4" xfId="22743"/>
    <cellStyle name="Обычный 6 7 2 3 2 2 4 2" xfId="22744"/>
    <cellStyle name="Обычный 6 7 2 3 2 2 4 3" xfId="22745"/>
    <cellStyle name="Обычный 6 7 2 3 2 2 5" xfId="22746"/>
    <cellStyle name="Обычный 6 7 2 3 2 2 5 2" xfId="22747"/>
    <cellStyle name="Обычный 6 7 2 3 2 2 5 3" xfId="22748"/>
    <cellStyle name="Обычный 6 7 2 3 2 2 6" xfId="22749"/>
    <cellStyle name="Обычный 6 7 2 3 2 2 6 2" xfId="22750"/>
    <cellStyle name="Обычный 6 7 2 3 2 2 7" xfId="22751"/>
    <cellStyle name="Обычный 6 7 2 3 2 2 8" xfId="22752"/>
    <cellStyle name="Обычный 6 7 2 3 2 3" xfId="22753"/>
    <cellStyle name="Обычный 6 7 2 3 2 3 2" xfId="22754"/>
    <cellStyle name="Обычный 6 7 2 3 2 3 2 2" xfId="22755"/>
    <cellStyle name="Обычный 6 7 2 3 2 3 2 2 2" xfId="22756"/>
    <cellStyle name="Обычный 6 7 2 3 2 3 2 2 3" xfId="22757"/>
    <cellStyle name="Обычный 6 7 2 3 2 3 2 3" xfId="22758"/>
    <cellStyle name="Обычный 6 7 2 3 2 3 2 3 2" xfId="22759"/>
    <cellStyle name="Обычный 6 7 2 3 2 3 2 3 3" xfId="22760"/>
    <cellStyle name="Обычный 6 7 2 3 2 3 2 4" xfId="22761"/>
    <cellStyle name="Обычный 6 7 2 3 2 3 2 4 2" xfId="22762"/>
    <cellStyle name="Обычный 6 7 2 3 2 3 2 5" xfId="22763"/>
    <cellStyle name="Обычный 6 7 2 3 2 3 2 6" xfId="22764"/>
    <cellStyle name="Обычный 6 7 2 3 2 3 3" xfId="22765"/>
    <cellStyle name="Обычный 6 7 2 3 2 3 3 2" xfId="22766"/>
    <cellStyle name="Обычный 6 7 2 3 2 3 3 3" xfId="22767"/>
    <cellStyle name="Обычный 6 7 2 3 2 3 4" xfId="22768"/>
    <cellStyle name="Обычный 6 7 2 3 2 3 4 2" xfId="22769"/>
    <cellStyle name="Обычный 6 7 2 3 2 3 4 3" xfId="22770"/>
    <cellStyle name="Обычный 6 7 2 3 2 3 5" xfId="22771"/>
    <cellStyle name="Обычный 6 7 2 3 2 3 5 2" xfId="22772"/>
    <cellStyle name="Обычный 6 7 2 3 2 3 6" xfId="22773"/>
    <cellStyle name="Обычный 6 7 2 3 2 3 7" xfId="22774"/>
    <cellStyle name="Обычный 6 7 2 3 2 4" xfId="22775"/>
    <cellStyle name="Обычный 6 7 2 3 2 4 2" xfId="22776"/>
    <cellStyle name="Обычный 6 7 2 3 2 4 2 2" xfId="22777"/>
    <cellStyle name="Обычный 6 7 2 3 2 4 2 3" xfId="22778"/>
    <cellStyle name="Обычный 6 7 2 3 2 4 3" xfId="22779"/>
    <cellStyle name="Обычный 6 7 2 3 2 4 3 2" xfId="22780"/>
    <cellStyle name="Обычный 6 7 2 3 2 4 3 3" xfId="22781"/>
    <cellStyle name="Обычный 6 7 2 3 2 4 4" xfId="22782"/>
    <cellStyle name="Обычный 6 7 2 3 2 4 4 2" xfId="22783"/>
    <cellStyle name="Обычный 6 7 2 3 2 4 5" xfId="22784"/>
    <cellStyle name="Обычный 6 7 2 3 2 4 6" xfId="22785"/>
    <cellStyle name="Обычный 6 7 2 3 2 5" xfId="22786"/>
    <cellStyle name="Обычный 6 7 2 3 2 5 2" xfId="22787"/>
    <cellStyle name="Обычный 6 7 2 3 2 5 3" xfId="22788"/>
    <cellStyle name="Обычный 6 7 2 3 2 6" xfId="22789"/>
    <cellStyle name="Обычный 6 7 2 3 2 6 2" xfId="22790"/>
    <cellStyle name="Обычный 6 7 2 3 2 6 3" xfId="22791"/>
    <cellStyle name="Обычный 6 7 2 3 2 7" xfId="22792"/>
    <cellStyle name="Обычный 6 7 2 3 2 7 2" xfId="22793"/>
    <cellStyle name="Обычный 6 7 2 3 2 8" xfId="22794"/>
    <cellStyle name="Обычный 6 7 2 3 2 9" xfId="22795"/>
    <cellStyle name="Обычный 6 7 2 3 3" xfId="22796"/>
    <cellStyle name="Обычный 6 7 2 3 3 2" xfId="22797"/>
    <cellStyle name="Обычный 6 7 2 3 3 2 2" xfId="22798"/>
    <cellStyle name="Обычный 6 7 2 3 3 2 2 2" xfId="22799"/>
    <cellStyle name="Обычный 6 7 2 3 3 2 2 2 2" xfId="22800"/>
    <cellStyle name="Обычный 6 7 2 3 3 2 2 2 3" xfId="22801"/>
    <cellStyle name="Обычный 6 7 2 3 3 2 2 3" xfId="22802"/>
    <cellStyle name="Обычный 6 7 2 3 3 2 2 3 2" xfId="22803"/>
    <cellStyle name="Обычный 6 7 2 3 3 2 2 3 3" xfId="22804"/>
    <cellStyle name="Обычный 6 7 2 3 3 2 2 4" xfId="22805"/>
    <cellStyle name="Обычный 6 7 2 3 3 2 2 4 2" xfId="22806"/>
    <cellStyle name="Обычный 6 7 2 3 3 2 2 5" xfId="22807"/>
    <cellStyle name="Обычный 6 7 2 3 3 2 2 6" xfId="22808"/>
    <cellStyle name="Обычный 6 7 2 3 3 2 3" xfId="22809"/>
    <cellStyle name="Обычный 6 7 2 3 3 2 3 2" xfId="22810"/>
    <cellStyle name="Обычный 6 7 2 3 3 2 3 3" xfId="22811"/>
    <cellStyle name="Обычный 6 7 2 3 3 2 4" xfId="22812"/>
    <cellStyle name="Обычный 6 7 2 3 3 2 4 2" xfId="22813"/>
    <cellStyle name="Обычный 6 7 2 3 3 2 4 3" xfId="22814"/>
    <cellStyle name="Обычный 6 7 2 3 3 2 5" xfId="22815"/>
    <cellStyle name="Обычный 6 7 2 3 3 2 5 2" xfId="22816"/>
    <cellStyle name="Обычный 6 7 2 3 3 2 6" xfId="22817"/>
    <cellStyle name="Обычный 6 7 2 3 3 2 7" xfId="22818"/>
    <cellStyle name="Обычный 6 7 2 3 3 3" xfId="22819"/>
    <cellStyle name="Обычный 6 7 2 3 3 3 2" xfId="22820"/>
    <cellStyle name="Обычный 6 7 2 3 3 3 2 2" xfId="22821"/>
    <cellStyle name="Обычный 6 7 2 3 3 3 2 3" xfId="22822"/>
    <cellStyle name="Обычный 6 7 2 3 3 3 3" xfId="22823"/>
    <cellStyle name="Обычный 6 7 2 3 3 3 3 2" xfId="22824"/>
    <cellStyle name="Обычный 6 7 2 3 3 3 3 3" xfId="22825"/>
    <cellStyle name="Обычный 6 7 2 3 3 3 4" xfId="22826"/>
    <cellStyle name="Обычный 6 7 2 3 3 3 4 2" xfId="22827"/>
    <cellStyle name="Обычный 6 7 2 3 3 3 5" xfId="22828"/>
    <cellStyle name="Обычный 6 7 2 3 3 3 6" xfId="22829"/>
    <cellStyle name="Обычный 6 7 2 3 3 4" xfId="22830"/>
    <cellStyle name="Обычный 6 7 2 3 3 4 2" xfId="22831"/>
    <cellStyle name="Обычный 6 7 2 3 3 4 3" xfId="22832"/>
    <cellStyle name="Обычный 6 7 2 3 3 5" xfId="22833"/>
    <cellStyle name="Обычный 6 7 2 3 3 5 2" xfId="22834"/>
    <cellStyle name="Обычный 6 7 2 3 3 5 3" xfId="22835"/>
    <cellStyle name="Обычный 6 7 2 3 3 6" xfId="22836"/>
    <cellStyle name="Обычный 6 7 2 3 3 6 2" xfId="22837"/>
    <cellStyle name="Обычный 6 7 2 3 3 7" xfId="22838"/>
    <cellStyle name="Обычный 6 7 2 3 3 8" xfId="22839"/>
    <cellStyle name="Обычный 6 7 2 3 4" xfId="22840"/>
    <cellStyle name="Обычный 6 7 2 3 4 2" xfId="22841"/>
    <cellStyle name="Обычный 6 7 2 3 4 2 2" xfId="22842"/>
    <cellStyle name="Обычный 6 7 2 3 4 2 2 2" xfId="22843"/>
    <cellStyle name="Обычный 6 7 2 3 4 2 2 3" xfId="22844"/>
    <cellStyle name="Обычный 6 7 2 3 4 2 3" xfId="22845"/>
    <cellStyle name="Обычный 6 7 2 3 4 2 3 2" xfId="22846"/>
    <cellStyle name="Обычный 6 7 2 3 4 2 3 3" xfId="22847"/>
    <cellStyle name="Обычный 6 7 2 3 4 2 4" xfId="22848"/>
    <cellStyle name="Обычный 6 7 2 3 4 2 4 2" xfId="22849"/>
    <cellStyle name="Обычный 6 7 2 3 4 2 5" xfId="22850"/>
    <cellStyle name="Обычный 6 7 2 3 4 2 6" xfId="22851"/>
    <cellStyle name="Обычный 6 7 2 3 4 3" xfId="22852"/>
    <cellStyle name="Обычный 6 7 2 3 4 3 2" xfId="22853"/>
    <cellStyle name="Обычный 6 7 2 3 4 3 3" xfId="22854"/>
    <cellStyle name="Обычный 6 7 2 3 4 4" xfId="22855"/>
    <cellStyle name="Обычный 6 7 2 3 4 4 2" xfId="22856"/>
    <cellStyle name="Обычный 6 7 2 3 4 4 3" xfId="22857"/>
    <cellStyle name="Обычный 6 7 2 3 4 5" xfId="22858"/>
    <cellStyle name="Обычный 6 7 2 3 4 5 2" xfId="22859"/>
    <cellStyle name="Обычный 6 7 2 3 4 6" xfId="22860"/>
    <cellStyle name="Обычный 6 7 2 3 4 7" xfId="22861"/>
    <cellStyle name="Обычный 6 7 2 3 5" xfId="22862"/>
    <cellStyle name="Обычный 6 7 2 3 5 2" xfId="22863"/>
    <cellStyle name="Обычный 6 7 2 3 5 2 2" xfId="22864"/>
    <cellStyle name="Обычный 6 7 2 3 5 2 3" xfId="22865"/>
    <cellStyle name="Обычный 6 7 2 3 5 3" xfId="22866"/>
    <cellStyle name="Обычный 6 7 2 3 5 3 2" xfId="22867"/>
    <cellStyle name="Обычный 6 7 2 3 5 3 3" xfId="22868"/>
    <cellStyle name="Обычный 6 7 2 3 5 4" xfId="22869"/>
    <cellStyle name="Обычный 6 7 2 3 5 4 2" xfId="22870"/>
    <cellStyle name="Обычный 6 7 2 3 5 5" xfId="22871"/>
    <cellStyle name="Обычный 6 7 2 3 5 6" xfId="22872"/>
    <cellStyle name="Обычный 6 7 2 3 6" xfId="22873"/>
    <cellStyle name="Обычный 6 7 2 3 6 2" xfId="22874"/>
    <cellStyle name="Обычный 6 7 2 3 6 3" xfId="22875"/>
    <cellStyle name="Обычный 6 7 2 3 7" xfId="22876"/>
    <cellStyle name="Обычный 6 7 2 3 7 2" xfId="22877"/>
    <cellStyle name="Обычный 6 7 2 3 7 3" xfId="22878"/>
    <cellStyle name="Обычный 6 7 2 3 8" xfId="22879"/>
    <cellStyle name="Обычный 6 7 2 3 8 2" xfId="22880"/>
    <cellStyle name="Обычный 6 7 2 3 9" xfId="22881"/>
    <cellStyle name="Обычный 6 7 2 4" xfId="22882"/>
    <cellStyle name="Обычный 6 7 2 4 10" xfId="22883"/>
    <cellStyle name="Обычный 6 7 2 4 2" xfId="22884"/>
    <cellStyle name="Обычный 6 7 2 4 2 2" xfId="22885"/>
    <cellStyle name="Обычный 6 7 2 4 2 2 2" xfId="22886"/>
    <cellStyle name="Обычный 6 7 2 4 2 2 2 2" xfId="22887"/>
    <cellStyle name="Обычный 6 7 2 4 2 2 2 2 2" xfId="22888"/>
    <cellStyle name="Обычный 6 7 2 4 2 2 2 2 2 2" xfId="22889"/>
    <cellStyle name="Обычный 6 7 2 4 2 2 2 2 2 3" xfId="22890"/>
    <cellStyle name="Обычный 6 7 2 4 2 2 2 2 3" xfId="22891"/>
    <cellStyle name="Обычный 6 7 2 4 2 2 2 2 3 2" xfId="22892"/>
    <cellStyle name="Обычный 6 7 2 4 2 2 2 2 3 3" xfId="22893"/>
    <cellStyle name="Обычный 6 7 2 4 2 2 2 2 4" xfId="22894"/>
    <cellStyle name="Обычный 6 7 2 4 2 2 2 2 4 2" xfId="22895"/>
    <cellStyle name="Обычный 6 7 2 4 2 2 2 2 5" xfId="22896"/>
    <cellStyle name="Обычный 6 7 2 4 2 2 2 2 6" xfId="22897"/>
    <cellStyle name="Обычный 6 7 2 4 2 2 2 3" xfId="22898"/>
    <cellStyle name="Обычный 6 7 2 4 2 2 2 3 2" xfId="22899"/>
    <cellStyle name="Обычный 6 7 2 4 2 2 2 3 3" xfId="22900"/>
    <cellStyle name="Обычный 6 7 2 4 2 2 2 4" xfId="22901"/>
    <cellStyle name="Обычный 6 7 2 4 2 2 2 4 2" xfId="22902"/>
    <cellStyle name="Обычный 6 7 2 4 2 2 2 4 3" xfId="22903"/>
    <cellStyle name="Обычный 6 7 2 4 2 2 2 5" xfId="22904"/>
    <cellStyle name="Обычный 6 7 2 4 2 2 2 5 2" xfId="22905"/>
    <cellStyle name="Обычный 6 7 2 4 2 2 2 6" xfId="22906"/>
    <cellStyle name="Обычный 6 7 2 4 2 2 2 7" xfId="22907"/>
    <cellStyle name="Обычный 6 7 2 4 2 2 3" xfId="22908"/>
    <cellStyle name="Обычный 6 7 2 4 2 2 3 2" xfId="22909"/>
    <cellStyle name="Обычный 6 7 2 4 2 2 3 2 2" xfId="22910"/>
    <cellStyle name="Обычный 6 7 2 4 2 2 3 2 3" xfId="22911"/>
    <cellStyle name="Обычный 6 7 2 4 2 2 3 3" xfId="22912"/>
    <cellStyle name="Обычный 6 7 2 4 2 2 3 3 2" xfId="22913"/>
    <cellStyle name="Обычный 6 7 2 4 2 2 3 3 3" xfId="22914"/>
    <cellStyle name="Обычный 6 7 2 4 2 2 3 4" xfId="22915"/>
    <cellStyle name="Обычный 6 7 2 4 2 2 3 4 2" xfId="22916"/>
    <cellStyle name="Обычный 6 7 2 4 2 2 3 5" xfId="22917"/>
    <cellStyle name="Обычный 6 7 2 4 2 2 3 6" xfId="22918"/>
    <cellStyle name="Обычный 6 7 2 4 2 2 4" xfId="22919"/>
    <cellStyle name="Обычный 6 7 2 4 2 2 4 2" xfId="22920"/>
    <cellStyle name="Обычный 6 7 2 4 2 2 4 3" xfId="22921"/>
    <cellStyle name="Обычный 6 7 2 4 2 2 5" xfId="22922"/>
    <cellStyle name="Обычный 6 7 2 4 2 2 5 2" xfId="22923"/>
    <cellStyle name="Обычный 6 7 2 4 2 2 5 3" xfId="22924"/>
    <cellStyle name="Обычный 6 7 2 4 2 2 6" xfId="22925"/>
    <cellStyle name="Обычный 6 7 2 4 2 2 6 2" xfId="22926"/>
    <cellStyle name="Обычный 6 7 2 4 2 2 7" xfId="22927"/>
    <cellStyle name="Обычный 6 7 2 4 2 2 8" xfId="22928"/>
    <cellStyle name="Обычный 6 7 2 4 2 3" xfId="22929"/>
    <cellStyle name="Обычный 6 7 2 4 2 3 2" xfId="22930"/>
    <cellStyle name="Обычный 6 7 2 4 2 3 2 2" xfId="22931"/>
    <cellStyle name="Обычный 6 7 2 4 2 3 2 2 2" xfId="22932"/>
    <cellStyle name="Обычный 6 7 2 4 2 3 2 2 3" xfId="22933"/>
    <cellStyle name="Обычный 6 7 2 4 2 3 2 3" xfId="22934"/>
    <cellStyle name="Обычный 6 7 2 4 2 3 2 3 2" xfId="22935"/>
    <cellStyle name="Обычный 6 7 2 4 2 3 2 3 3" xfId="22936"/>
    <cellStyle name="Обычный 6 7 2 4 2 3 2 4" xfId="22937"/>
    <cellStyle name="Обычный 6 7 2 4 2 3 2 4 2" xfId="22938"/>
    <cellStyle name="Обычный 6 7 2 4 2 3 2 5" xfId="22939"/>
    <cellStyle name="Обычный 6 7 2 4 2 3 2 6" xfId="22940"/>
    <cellStyle name="Обычный 6 7 2 4 2 3 3" xfId="22941"/>
    <cellStyle name="Обычный 6 7 2 4 2 3 3 2" xfId="22942"/>
    <cellStyle name="Обычный 6 7 2 4 2 3 3 3" xfId="22943"/>
    <cellStyle name="Обычный 6 7 2 4 2 3 4" xfId="22944"/>
    <cellStyle name="Обычный 6 7 2 4 2 3 4 2" xfId="22945"/>
    <cellStyle name="Обычный 6 7 2 4 2 3 4 3" xfId="22946"/>
    <cellStyle name="Обычный 6 7 2 4 2 3 5" xfId="22947"/>
    <cellStyle name="Обычный 6 7 2 4 2 3 5 2" xfId="22948"/>
    <cellStyle name="Обычный 6 7 2 4 2 3 6" xfId="22949"/>
    <cellStyle name="Обычный 6 7 2 4 2 3 7" xfId="22950"/>
    <cellStyle name="Обычный 6 7 2 4 2 4" xfId="22951"/>
    <cellStyle name="Обычный 6 7 2 4 2 4 2" xfId="22952"/>
    <cellStyle name="Обычный 6 7 2 4 2 4 2 2" xfId="22953"/>
    <cellStyle name="Обычный 6 7 2 4 2 4 2 3" xfId="22954"/>
    <cellStyle name="Обычный 6 7 2 4 2 4 3" xfId="22955"/>
    <cellStyle name="Обычный 6 7 2 4 2 4 3 2" xfId="22956"/>
    <cellStyle name="Обычный 6 7 2 4 2 4 3 3" xfId="22957"/>
    <cellStyle name="Обычный 6 7 2 4 2 4 4" xfId="22958"/>
    <cellStyle name="Обычный 6 7 2 4 2 4 4 2" xfId="22959"/>
    <cellStyle name="Обычный 6 7 2 4 2 4 5" xfId="22960"/>
    <cellStyle name="Обычный 6 7 2 4 2 4 6" xfId="22961"/>
    <cellStyle name="Обычный 6 7 2 4 2 5" xfId="22962"/>
    <cellStyle name="Обычный 6 7 2 4 2 5 2" xfId="22963"/>
    <cellStyle name="Обычный 6 7 2 4 2 5 3" xfId="22964"/>
    <cellStyle name="Обычный 6 7 2 4 2 6" xfId="22965"/>
    <cellStyle name="Обычный 6 7 2 4 2 6 2" xfId="22966"/>
    <cellStyle name="Обычный 6 7 2 4 2 6 3" xfId="22967"/>
    <cellStyle name="Обычный 6 7 2 4 2 7" xfId="22968"/>
    <cellStyle name="Обычный 6 7 2 4 2 7 2" xfId="22969"/>
    <cellStyle name="Обычный 6 7 2 4 2 8" xfId="22970"/>
    <cellStyle name="Обычный 6 7 2 4 2 9" xfId="22971"/>
    <cellStyle name="Обычный 6 7 2 4 3" xfId="22972"/>
    <cellStyle name="Обычный 6 7 2 4 3 2" xfId="22973"/>
    <cellStyle name="Обычный 6 7 2 4 3 2 2" xfId="22974"/>
    <cellStyle name="Обычный 6 7 2 4 3 2 2 2" xfId="22975"/>
    <cellStyle name="Обычный 6 7 2 4 3 2 2 2 2" xfId="22976"/>
    <cellStyle name="Обычный 6 7 2 4 3 2 2 2 3" xfId="22977"/>
    <cellStyle name="Обычный 6 7 2 4 3 2 2 3" xfId="22978"/>
    <cellStyle name="Обычный 6 7 2 4 3 2 2 3 2" xfId="22979"/>
    <cellStyle name="Обычный 6 7 2 4 3 2 2 3 3" xfId="22980"/>
    <cellStyle name="Обычный 6 7 2 4 3 2 2 4" xfId="22981"/>
    <cellStyle name="Обычный 6 7 2 4 3 2 2 4 2" xfId="22982"/>
    <cellStyle name="Обычный 6 7 2 4 3 2 2 5" xfId="22983"/>
    <cellStyle name="Обычный 6 7 2 4 3 2 2 6" xfId="22984"/>
    <cellStyle name="Обычный 6 7 2 4 3 2 3" xfId="22985"/>
    <cellStyle name="Обычный 6 7 2 4 3 2 3 2" xfId="22986"/>
    <cellStyle name="Обычный 6 7 2 4 3 2 3 3" xfId="22987"/>
    <cellStyle name="Обычный 6 7 2 4 3 2 4" xfId="22988"/>
    <cellStyle name="Обычный 6 7 2 4 3 2 4 2" xfId="22989"/>
    <cellStyle name="Обычный 6 7 2 4 3 2 4 3" xfId="22990"/>
    <cellStyle name="Обычный 6 7 2 4 3 2 5" xfId="22991"/>
    <cellStyle name="Обычный 6 7 2 4 3 2 5 2" xfId="22992"/>
    <cellStyle name="Обычный 6 7 2 4 3 2 6" xfId="22993"/>
    <cellStyle name="Обычный 6 7 2 4 3 2 7" xfId="22994"/>
    <cellStyle name="Обычный 6 7 2 4 3 3" xfId="22995"/>
    <cellStyle name="Обычный 6 7 2 4 3 3 2" xfId="22996"/>
    <cellStyle name="Обычный 6 7 2 4 3 3 2 2" xfId="22997"/>
    <cellStyle name="Обычный 6 7 2 4 3 3 2 3" xfId="22998"/>
    <cellStyle name="Обычный 6 7 2 4 3 3 3" xfId="22999"/>
    <cellStyle name="Обычный 6 7 2 4 3 3 3 2" xfId="23000"/>
    <cellStyle name="Обычный 6 7 2 4 3 3 3 3" xfId="23001"/>
    <cellStyle name="Обычный 6 7 2 4 3 3 4" xfId="23002"/>
    <cellStyle name="Обычный 6 7 2 4 3 3 4 2" xfId="23003"/>
    <cellStyle name="Обычный 6 7 2 4 3 3 5" xfId="23004"/>
    <cellStyle name="Обычный 6 7 2 4 3 3 6" xfId="23005"/>
    <cellStyle name="Обычный 6 7 2 4 3 4" xfId="23006"/>
    <cellStyle name="Обычный 6 7 2 4 3 4 2" xfId="23007"/>
    <cellStyle name="Обычный 6 7 2 4 3 4 3" xfId="23008"/>
    <cellStyle name="Обычный 6 7 2 4 3 5" xfId="23009"/>
    <cellStyle name="Обычный 6 7 2 4 3 5 2" xfId="23010"/>
    <cellStyle name="Обычный 6 7 2 4 3 5 3" xfId="23011"/>
    <cellStyle name="Обычный 6 7 2 4 3 6" xfId="23012"/>
    <cellStyle name="Обычный 6 7 2 4 3 6 2" xfId="23013"/>
    <cellStyle name="Обычный 6 7 2 4 3 7" xfId="23014"/>
    <cellStyle name="Обычный 6 7 2 4 3 8" xfId="23015"/>
    <cellStyle name="Обычный 6 7 2 4 4" xfId="23016"/>
    <cellStyle name="Обычный 6 7 2 4 4 2" xfId="23017"/>
    <cellStyle name="Обычный 6 7 2 4 4 2 2" xfId="23018"/>
    <cellStyle name="Обычный 6 7 2 4 4 2 2 2" xfId="23019"/>
    <cellStyle name="Обычный 6 7 2 4 4 2 2 3" xfId="23020"/>
    <cellStyle name="Обычный 6 7 2 4 4 2 3" xfId="23021"/>
    <cellStyle name="Обычный 6 7 2 4 4 2 3 2" xfId="23022"/>
    <cellStyle name="Обычный 6 7 2 4 4 2 3 3" xfId="23023"/>
    <cellStyle name="Обычный 6 7 2 4 4 2 4" xfId="23024"/>
    <cellStyle name="Обычный 6 7 2 4 4 2 4 2" xfId="23025"/>
    <cellStyle name="Обычный 6 7 2 4 4 2 5" xfId="23026"/>
    <cellStyle name="Обычный 6 7 2 4 4 2 6" xfId="23027"/>
    <cellStyle name="Обычный 6 7 2 4 4 3" xfId="23028"/>
    <cellStyle name="Обычный 6 7 2 4 4 3 2" xfId="23029"/>
    <cellStyle name="Обычный 6 7 2 4 4 3 3" xfId="23030"/>
    <cellStyle name="Обычный 6 7 2 4 4 4" xfId="23031"/>
    <cellStyle name="Обычный 6 7 2 4 4 4 2" xfId="23032"/>
    <cellStyle name="Обычный 6 7 2 4 4 4 3" xfId="23033"/>
    <cellStyle name="Обычный 6 7 2 4 4 5" xfId="23034"/>
    <cellStyle name="Обычный 6 7 2 4 4 5 2" xfId="23035"/>
    <cellStyle name="Обычный 6 7 2 4 4 6" xfId="23036"/>
    <cellStyle name="Обычный 6 7 2 4 4 7" xfId="23037"/>
    <cellStyle name="Обычный 6 7 2 4 5" xfId="23038"/>
    <cellStyle name="Обычный 6 7 2 4 5 2" xfId="23039"/>
    <cellStyle name="Обычный 6 7 2 4 5 2 2" xfId="23040"/>
    <cellStyle name="Обычный 6 7 2 4 5 2 3" xfId="23041"/>
    <cellStyle name="Обычный 6 7 2 4 5 3" xfId="23042"/>
    <cellStyle name="Обычный 6 7 2 4 5 3 2" xfId="23043"/>
    <cellStyle name="Обычный 6 7 2 4 5 3 3" xfId="23044"/>
    <cellStyle name="Обычный 6 7 2 4 5 4" xfId="23045"/>
    <cellStyle name="Обычный 6 7 2 4 5 4 2" xfId="23046"/>
    <cellStyle name="Обычный 6 7 2 4 5 5" xfId="23047"/>
    <cellStyle name="Обычный 6 7 2 4 5 6" xfId="23048"/>
    <cellStyle name="Обычный 6 7 2 4 6" xfId="23049"/>
    <cellStyle name="Обычный 6 7 2 4 6 2" xfId="23050"/>
    <cellStyle name="Обычный 6 7 2 4 6 3" xfId="23051"/>
    <cellStyle name="Обычный 6 7 2 4 7" xfId="23052"/>
    <cellStyle name="Обычный 6 7 2 4 7 2" xfId="23053"/>
    <cellStyle name="Обычный 6 7 2 4 7 3" xfId="23054"/>
    <cellStyle name="Обычный 6 7 2 4 8" xfId="23055"/>
    <cellStyle name="Обычный 6 7 2 4 8 2" xfId="23056"/>
    <cellStyle name="Обычный 6 7 2 4 9" xfId="23057"/>
    <cellStyle name="Обычный 6 7 2 5" xfId="23058"/>
    <cellStyle name="Обычный 6 7 2 5 2" xfId="23059"/>
    <cellStyle name="Обычный 6 7 2 5 2 2" xfId="23060"/>
    <cellStyle name="Обычный 6 7 2 5 2 2 2" xfId="23061"/>
    <cellStyle name="Обычный 6 7 2 5 2 2 2 2" xfId="23062"/>
    <cellStyle name="Обычный 6 7 2 5 2 2 2 2 2" xfId="23063"/>
    <cellStyle name="Обычный 6 7 2 5 2 2 2 2 3" xfId="23064"/>
    <cellStyle name="Обычный 6 7 2 5 2 2 2 3" xfId="23065"/>
    <cellStyle name="Обычный 6 7 2 5 2 2 2 3 2" xfId="23066"/>
    <cellStyle name="Обычный 6 7 2 5 2 2 2 3 3" xfId="23067"/>
    <cellStyle name="Обычный 6 7 2 5 2 2 2 4" xfId="23068"/>
    <cellStyle name="Обычный 6 7 2 5 2 2 2 4 2" xfId="23069"/>
    <cellStyle name="Обычный 6 7 2 5 2 2 2 5" xfId="23070"/>
    <cellStyle name="Обычный 6 7 2 5 2 2 2 6" xfId="23071"/>
    <cellStyle name="Обычный 6 7 2 5 2 2 3" xfId="23072"/>
    <cellStyle name="Обычный 6 7 2 5 2 2 3 2" xfId="23073"/>
    <cellStyle name="Обычный 6 7 2 5 2 2 3 3" xfId="23074"/>
    <cellStyle name="Обычный 6 7 2 5 2 2 4" xfId="23075"/>
    <cellStyle name="Обычный 6 7 2 5 2 2 4 2" xfId="23076"/>
    <cellStyle name="Обычный 6 7 2 5 2 2 4 3" xfId="23077"/>
    <cellStyle name="Обычный 6 7 2 5 2 2 5" xfId="23078"/>
    <cellStyle name="Обычный 6 7 2 5 2 2 5 2" xfId="23079"/>
    <cellStyle name="Обычный 6 7 2 5 2 2 6" xfId="23080"/>
    <cellStyle name="Обычный 6 7 2 5 2 2 7" xfId="23081"/>
    <cellStyle name="Обычный 6 7 2 5 2 3" xfId="23082"/>
    <cellStyle name="Обычный 6 7 2 5 2 3 2" xfId="23083"/>
    <cellStyle name="Обычный 6 7 2 5 2 3 2 2" xfId="23084"/>
    <cellStyle name="Обычный 6 7 2 5 2 3 2 3" xfId="23085"/>
    <cellStyle name="Обычный 6 7 2 5 2 3 3" xfId="23086"/>
    <cellStyle name="Обычный 6 7 2 5 2 3 3 2" xfId="23087"/>
    <cellStyle name="Обычный 6 7 2 5 2 3 3 3" xfId="23088"/>
    <cellStyle name="Обычный 6 7 2 5 2 3 4" xfId="23089"/>
    <cellStyle name="Обычный 6 7 2 5 2 3 4 2" xfId="23090"/>
    <cellStyle name="Обычный 6 7 2 5 2 3 5" xfId="23091"/>
    <cellStyle name="Обычный 6 7 2 5 2 3 6" xfId="23092"/>
    <cellStyle name="Обычный 6 7 2 5 2 4" xfId="23093"/>
    <cellStyle name="Обычный 6 7 2 5 2 4 2" xfId="23094"/>
    <cellStyle name="Обычный 6 7 2 5 2 4 3" xfId="23095"/>
    <cellStyle name="Обычный 6 7 2 5 2 5" xfId="23096"/>
    <cellStyle name="Обычный 6 7 2 5 2 5 2" xfId="23097"/>
    <cellStyle name="Обычный 6 7 2 5 2 5 3" xfId="23098"/>
    <cellStyle name="Обычный 6 7 2 5 2 6" xfId="23099"/>
    <cellStyle name="Обычный 6 7 2 5 2 6 2" xfId="23100"/>
    <cellStyle name="Обычный 6 7 2 5 2 7" xfId="23101"/>
    <cellStyle name="Обычный 6 7 2 5 2 8" xfId="23102"/>
    <cellStyle name="Обычный 6 7 2 5 3" xfId="23103"/>
    <cellStyle name="Обычный 6 7 2 5 3 2" xfId="23104"/>
    <cellStyle name="Обычный 6 7 2 5 3 2 2" xfId="23105"/>
    <cellStyle name="Обычный 6 7 2 5 3 2 2 2" xfId="23106"/>
    <cellStyle name="Обычный 6 7 2 5 3 2 2 3" xfId="23107"/>
    <cellStyle name="Обычный 6 7 2 5 3 2 3" xfId="23108"/>
    <cellStyle name="Обычный 6 7 2 5 3 2 3 2" xfId="23109"/>
    <cellStyle name="Обычный 6 7 2 5 3 2 3 3" xfId="23110"/>
    <cellStyle name="Обычный 6 7 2 5 3 2 4" xfId="23111"/>
    <cellStyle name="Обычный 6 7 2 5 3 2 4 2" xfId="23112"/>
    <cellStyle name="Обычный 6 7 2 5 3 2 5" xfId="23113"/>
    <cellStyle name="Обычный 6 7 2 5 3 2 6" xfId="23114"/>
    <cellStyle name="Обычный 6 7 2 5 3 3" xfId="23115"/>
    <cellStyle name="Обычный 6 7 2 5 3 3 2" xfId="23116"/>
    <cellStyle name="Обычный 6 7 2 5 3 3 3" xfId="23117"/>
    <cellStyle name="Обычный 6 7 2 5 3 4" xfId="23118"/>
    <cellStyle name="Обычный 6 7 2 5 3 4 2" xfId="23119"/>
    <cellStyle name="Обычный 6 7 2 5 3 4 3" xfId="23120"/>
    <cellStyle name="Обычный 6 7 2 5 3 5" xfId="23121"/>
    <cellStyle name="Обычный 6 7 2 5 3 5 2" xfId="23122"/>
    <cellStyle name="Обычный 6 7 2 5 3 6" xfId="23123"/>
    <cellStyle name="Обычный 6 7 2 5 3 7" xfId="23124"/>
    <cellStyle name="Обычный 6 7 2 5 4" xfId="23125"/>
    <cellStyle name="Обычный 6 7 2 5 4 2" xfId="23126"/>
    <cellStyle name="Обычный 6 7 2 5 4 2 2" xfId="23127"/>
    <cellStyle name="Обычный 6 7 2 5 4 2 3" xfId="23128"/>
    <cellStyle name="Обычный 6 7 2 5 4 3" xfId="23129"/>
    <cellStyle name="Обычный 6 7 2 5 4 3 2" xfId="23130"/>
    <cellStyle name="Обычный 6 7 2 5 4 3 3" xfId="23131"/>
    <cellStyle name="Обычный 6 7 2 5 4 4" xfId="23132"/>
    <cellStyle name="Обычный 6 7 2 5 4 4 2" xfId="23133"/>
    <cellStyle name="Обычный 6 7 2 5 4 5" xfId="23134"/>
    <cellStyle name="Обычный 6 7 2 5 4 6" xfId="23135"/>
    <cellStyle name="Обычный 6 7 2 5 5" xfId="23136"/>
    <cellStyle name="Обычный 6 7 2 5 5 2" xfId="23137"/>
    <cellStyle name="Обычный 6 7 2 5 5 3" xfId="23138"/>
    <cellStyle name="Обычный 6 7 2 5 6" xfId="23139"/>
    <cellStyle name="Обычный 6 7 2 5 6 2" xfId="23140"/>
    <cellStyle name="Обычный 6 7 2 5 6 3" xfId="23141"/>
    <cellStyle name="Обычный 6 7 2 5 7" xfId="23142"/>
    <cellStyle name="Обычный 6 7 2 5 7 2" xfId="23143"/>
    <cellStyle name="Обычный 6 7 2 5 8" xfId="23144"/>
    <cellStyle name="Обычный 6 7 2 5 9" xfId="23145"/>
    <cellStyle name="Обычный 6 7 2 6" xfId="23146"/>
    <cellStyle name="Обычный 6 7 2 6 2" xfId="23147"/>
    <cellStyle name="Обычный 6 7 2 6 2 2" xfId="23148"/>
    <cellStyle name="Обычный 6 7 2 6 2 2 2" xfId="23149"/>
    <cellStyle name="Обычный 6 7 2 6 2 2 2 2" xfId="23150"/>
    <cellStyle name="Обычный 6 7 2 6 2 2 2 3" xfId="23151"/>
    <cellStyle name="Обычный 6 7 2 6 2 2 3" xfId="23152"/>
    <cellStyle name="Обычный 6 7 2 6 2 2 3 2" xfId="23153"/>
    <cellStyle name="Обычный 6 7 2 6 2 2 3 3" xfId="23154"/>
    <cellStyle name="Обычный 6 7 2 6 2 2 4" xfId="23155"/>
    <cellStyle name="Обычный 6 7 2 6 2 2 4 2" xfId="23156"/>
    <cellStyle name="Обычный 6 7 2 6 2 2 5" xfId="23157"/>
    <cellStyle name="Обычный 6 7 2 6 2 2 6" xfId="23158"/>
    <cellStyle name="Обычный 6 7 2 6 2 3" xfId="23159"/>
    <cellStyle name="Обычный 6 7 2 6 2 3 2" xfId="23160"/>
    <cellStyle name="Обычный 6 7 2 6 2 3 3" xfId="23161"/>
    <cellStyle name="Обычный 6 7 2 6 2 4" xfId="23162"/>
    <cellStyle name="Обычный 6 7 2 6 2 4 2" xfId="23163"/>
    <cellStyle name="Обычный 6 7 2 6 2 4 3" xfId="23164"/>
    <cellStyle name="Обычный 6 7 2 6 2 5" xfId="23165"/>
    <cellStyle name="Обычный 6 7 2 6 2 5 2" xfId="23166"/>
    <cellStyle name="Обычный 6 7 2 6 2 6" xfId="23167"/>
    <cellStyle name="Обычный 6 7 2 6 2 7" xfId="23168"/>
    <cellStyle name="Обычный 6 7 2 6 3" xfId="23169"/>
    <cellStyle name="Обычный 6 7 2 6 3 2" xfId="23170"/>
    <cellStyle name="Обычный 6 7 2 6 3 2 2" xfId="23171"/>
    <cellStyle name="Обычный 6 7 2 6 3 2 3" xfId="23172"/>
    <cellStyle name="Обычный 6 7 2 6 3 3" xfId="23173"/>
    <cellStyle name="Обычный 6 7 2 6 3 3 2" xfId="23174"/>
    <cellStyle name="Обычный 6 7 2 6 3 3 3" xfId="23175"/>
    <cellStyle name="Обычный 6 7 2 6 3 4" xfId="23176"/>
    <cellStyle name="Обычный 6 7 2 6 3 4 2" xfId="23177"/>
    <cellStyle name="Обычный 6 7 2 6 3 5" xfId="23178"/>
    <cellStyle name="Обычный 6 7 2 6 3 6" xfId="23179"/>
    <cellStyle name="Обычный 6 7 2 6 4" xfId="23180"/>
    <cellStyle name="Обычный 6 7 2 6 4 2" xfId="23181"/>
    <cellStyle name="Обычный 6 7 2 6 4 3" xfId="23182"/>
    <cellStyle name="Обычный 6 7 2 6 5" xfId="23183"/>
    <cellStyle name="Обычный 6 7 2 6 5 2" xfId="23184"/>
    <cellStyle name="Обычный 6 7 2 6 5 3" xfId="23185"/>
    <cellStyle name="Обычный 6 7 2 6 6" xfId="23186"/>
    <cellStyle name="Обычный 6 7 2 6 6 2" xfId="23187"/>
    <cellStyle name="Обычный 6 7 2 6 7" xfId="23188"/>
    <cellStyle name="Обычный 6 7 2 6 8" xfId="23189"/>
    <cellStyle name="Обычный 6 7 2 7" xfId="23190"/>
    <cellStyle name="Обычный 6 7 2 7 2" xfId="23191"/>
    <cellStyle name="Обычный 6 7 2 7 2 2" xfId="23192"/>
    <cellStyle name="Обычный 6 7 2 7 2 2 2" xfId="23193"/>
    <cellStyle name="Обычный 6 7 2 7 2 2 3" xfId="23194"/>
    <cellStyle name="Обычный 6 7 2 7 2 3" xfId="23195"/>
    <cellStyle name="Обычный 6 7 2 7 2 3 2" xfId="23196"/>
    <cellStyle name="Обычный 6 7 2 7 2 3 3" xfId="23197"/>
    <cellStyle name="Обычный 6 7 2 7 2 4" xfId="23198"/>
    <cellStyle name="Обычный 6 7 2 7 2 4 2" xfId="23199"/>
    <cellStyle name="Обычный 6 7 2 7 2 5" xfId="23200"/>
    <cellStyle name="Обычный 6 7 2 7 2 6" xfId="23201"/>
    <cellStyle name="Обычный 6 7 2 7 3" xfId="23202"/>
    <cellStyle name="Обычный 6 7 2 7 3 2" xfId="23203"/>
    <cellStyle name="Обычный 6 7 2 7 3 3" xfId="23204"/>
    <cellStyle name="Обычный 6 7 2 7 4" xfId="23205"/>
    <cellStyle name="Обычный 6 7 2 7 4 2" xfId="23206"/>
    <cellStyle name="Обычный 6 7 2 7 4 3" xfId="23207"/>
    <cellStyle name="Обычный 6 7 2 7 5" xfId="23208"/>
    <cellStyle name="Обычный 6 7 2 7 5 2" xfId="23209"/>
    <cellStyle name="Обычный 6 7 2 7 6" xfId="23210"/>
    <cellStyle name="Обычный 6 7 2 7 7" xfId="23211"/>
    <cellStyle name="Обычный 6 7 2 8" xfId="23212"/>
    <cellStyle name="Обычный 6 7 2 8 2" xfId="23213"/>
    <cellStyle name="Обычный 6 7 2 8 2 2" xfId="23214"/>
    <cellStyle name="Обычный 6 7 2 8 2 3" xfId="23215"/>
    <cellStyle name="Обычный 6 7 2 8 3" xfId="23216"/>
    <cellStyle name="Обычный 6 7 2 8 3 2" xfId="23217"/>
    <cellStyle name="Обычный 6 7 2 8 3 3" xfId="23218"/>
    <cellStyle name="Обычный 6 7 2 8 4" xfId="23219"/>
    <cellStyle name="Обычный 6 7 2 8 4 2" xfId="23220"/>
    <cellStyle name="Обычный 6 7 2 8 5" xfId="23221"/>
    <cellStyle name="Обычный 6 7 2 8 6" xfId="23222"/>
    <cellStyle name="Обычный 6 7 2 9" xfId="23223"/>
    <cellStyle name="Обычный 6 7 2 9 2" xfId="23224"/>
    <cellStyle name="Обычный 6 7 2 9 3" xfId="23225"/>
    <cellStyle name="Обычный 6 7 3" xfId="23226"/>
    <cellStyle name="Обычный 6 7 3 10" xfId="23227"/>
    <cellStyle name="Обычный 6 7 3 2" xfId="23228"/>
    <cellStyle name="Обычный 6 7 3 2 2" xfId="23229"/>
    <cellStyle name="Обычный 6 7 3 2 2 2" xfId="23230"/>
    <cellStyle name="Обычный 6 7 3 2 2 2 2" xfId="23231"/>
    <cellStyle name="Обычный 6 7 3 2 2 2 2 2" xfId="23232"/>
    <cellStyle name="Обычный 6 7 3 2 2 2 2 2 2" xfId="23233"/>
    <cellStyle name="Обычный 6 7 3 2 2 2 2 2 3" xfId="23234"/>
    <cellStyle name="Обычный 6 7 3 2 2 2 2 3" xfId="23235"/>
    <cellStyle name="Обычный 6 7 3 2 2 2 2 3 2" xfId="23236"/>
    <cellStyle name="Обычный 6 7 3 2 2 2 2 3 3" xfId="23237"/>
    <cellStyle name="Обычный 6 7 3 2 2 2 2 4" xfId="23238"/>
    <cellStyle name="Обычный 6 7 3 2 2 2 2 4 2" xfId="23239"/>
    <cellStyle name="Обычный 6 7 3 2 2 2 2 5" xfId="23240"/>
    <cellStyle name="Обычный 6 7 3 2 2 2 2 6" xfId="23241"/>
    <cellStyle name="Обычный 6 7 3 2 2 2 3" xfId="23242"/>
    <cellStyle name="Обычный 6 7 3 2 2 2 3 2" xfId="23243"/>
    <cellStyle name="Обычный 6 7 3 2 2 2 3 3" xfId="23244"/>
    <cellStyle name="Обычный 6 7 3 2 2 2 4" xfId="23245"/>
    <cellStyle name="Обычный 6 7 3 2 2 2 4 2" xfId="23246"/>
    <cellStyle name="Обычный 6 7 3 2 2 2 4 3" xfId="23247"/>
    <cellStyle name="Обычный 6 7 3 2 2 2 5" xfId="23248"/>
    <cellStyle name="Обычный 6 7 3 2 2 2 5 2" xfId="23249"/>
    <cellStyle name="Обычный 6 7 3 2 2 2 6" xfId="23250"/>
    <cellStyle name="Обычный 6 7 3 2 2 2 7" xfId="23251"/>
    <cellStyle name="Обычный 6 7 3 2 2 3" xfId="23252"/>
    <cellStyle name="Обычный 6 7 3 2 2 3 2" xfId="23253"/>
    <cellStyle name="Обычный 6 7 3 2 2 3 2 2" xfId="23254"/>
    <cellStyle name="Обычный 6 7 3 2 2 3 2 3" xfId="23255"/>
    <cellStyle name="Обычный 6 7 3 2 2 3 3" xfId="23256"/>
    <cellStyle name="Обычный 6 7 3 2 2 3 3 2" xfId="23257"/>
    <cellStyle name="Обычный 6 7 3 2 2 3 3 3" xfId="23258"/>
    <cellStyle name="Обычный 6 7 3 2 2 3 4" xfId="23259"/>
    <cellStyle name="Обычный 6 7 3 2 2 3 4 2" xfId="23260"/>
    <cellStyle name="Обычный 6 7 3 2 2 3 5" xfId="23261"/>
    <cellStyle name="Обычный 6 7 3 2 2 3 6" xfId="23262"/>
    <cellStyle name="Обычный 6 7 3 2 2 4" xfId="23263"/>
    <cellStyle name="Обычный 6 7 3 2 2 4 2" xfId="23264"/>
    <cellStyle name="Обычный 6 7 3 2 2 4 3" xfId="23265"/>
    <cellStyle name="Обычный 6 7 3 2 2 5" xfId="23266"/>
    <cellStyle name="Обычный 6 7 3 2 2 5 2" xfId="23267"/>
    <cellStyle name="Обычный 6 7 3 2 2 5 3" xfId="23268"/>
    <cellStyle name="Обычный 6 7 3 2 2 6" xfId="23269"/>
    <cellStyle name="Обычный 6 7 3 2 2 6 2" xfId="23270"/>
    <cellStyle name="Обычный 6 7 3 2 2 7" xfId="23271"/>
    <cellStyle name="Обычный 6 7 3 2 2 8" xfId="23272"/>
    <cellStyle name="Обычный 6 7 3 2 3" xfId="23273"/>
    <cellStyle name="Обычный 6 7 3 2 3 2" xfId="23274"/>
    <cellStyle name="Обычный 6 7 3 2 3 2 2" xfId="23275"/>
    <cellStyle name="Обычный 6 7 3 2 3 2 2 2" xfId="23276"/>
    <cellStyle name="Обычный 6 7 3 2 3 2 2 3" xfId="23277"/>
    <cellStyle name="Обычный 6 7 3 2 3 2 3" xfId="23278"/>
    <cellStyle name="Обычный 6 7 3 2 3 2 3 2" xfId="23279"/>
    <cellStyle name="Обычный 6 7 3 2 3 2 3 3" xfId="23280"/>
    <cellStyle name="Обычный 6 7 3 2 3 2 4" xfId="23281"/>
    <cellStyle name="Обычный 6 7 3 2 3 2 4 2" xfId="23282"/>
    <cellStyle name="Обычный 6 7 3 2 3 2 5" xfId="23283"/>
    <cellStyle name="Обычный 6 7 3 2 3 2 6" xfId="23284"/>
    <cellStyle name="Обычный 6 7 3 2 3 3" xfId="23285"/>
    <cellStyle name="Обычный 6 7 3 2 3 3 2" xfId="23286"/>
    <cellStyle name="Обычный 6 7 3 2 3 3 3" xfId="23287"/>
    <cellStyle name="Обычный 6 7 3 2 3 4" xfId="23288"/>
    <cellStyle name="Обычный 6 7 3 2 3 4 2" xfId="23289"/>
    <cellStyle name="Обычный 6 7 3 2 3 4 3" xfId="23290"/>
    <cellStyle name="Обычный 6 7 3 2 3 5" xfId="23291"/>
    <cellStyle name="Обычный 6 7 3 2 3 5 2" xfId="23292"/>
    <cellStyle name="Обычный 6 7 3 2 3 6" xfId="23293"/>
    <cellStyle name="Обычный 6 7 3 2 3 7" xfId="23294"/>
    <cellStyle name="Обычный 6 7 3 2 4" xfId="23295"/>
    <cellStyle name="Обычный 6 7 3 2 4 2" xfId="23296"/>
    <cellStyle name="Обычный 6 7 3 2 4 2 2" xfId="23297"/>
    <cellStyle name="Обычный 6 7 3 2 4 2 3" xfId="23298"/>
    <cellStyle name="Обычный 6 7 3 2 4 3" xfId="23299"/>
    <cellStyle name="Обычный 6 7 3 2 4 3 2" xfId="23300"/>
    <cellStyle name="Обычный 6 7 3 2 4 3 3" xfId="23301"/>
    <cellStyle name="Обычный 6 7 3 2 4 4" xfId="23302"/>
    <cellStyle name="Обычный 6 7 3 2 4 4 2" xfId="23303"/>
    <cellStyle name="Обычный 6 7 3 2 4 5" xfId="23304"/>
    <cellStyle name="Обычный 6 7 3 2 4 6" xfId="23305"/>
    <cellStyle name="Обычный 6 7 3 2 5" xfId="23306"/>
    <cellStyle name="Обычный 6 7 3 2 5 2" xfId="23307"/>
    <cellStyle name="Обычный 6 7 3 2 5 3" xfId="23308"/>
    <cellStyle name="Обычный 6 7 3 2 6" xfId="23309"/>
    <cellStyle name="Обычный 6 7 3 2 6 2" xfId="23310"/>
    <cellStyle name="Обычный 6 7 3 2 6 3" xfId="23311"/>
    <cellStyle name="Обычный 6 7 3 2 7" xfId="23312"/>
    <cellStyle name="Обычный 6 7 3 2 7 2" xfId="23313"/>
    <cellStyle name="Обычный 6 7 3 2 8" xfId="23314"/>
    <cellStyle name="Обычный 6 7 3 2 9" xfId="23315"/>
    <cellStyle name="Обычный 6 7 3 3" xfId="23316"/>
    <cellStyle name="Обычный 6 7 3 3 2" xfId="23317"/>
    <cellStyle name="Обычный 6 7 3 3 2 2" xfId="23318"/>
    <cellStyle name="Обычный 6 7 3 3 2 2 2" xfId="23319"/>
    <cellStyle name="Обычный 6 7 3 3 2 2 2 2" xfId="23320"/>
    <cellStyle name="Обычный 6 7 3 3 2 2 2 3" xfId="23321"/>
    <cellStyle name="Обычный 6 7 3 3 2 2 3" xfId="23322"/>
    <cellStyle name="Обычный 6 7 3 3 2 2 3 2" xfId="23323"/>
    <cellStyle name="Обычный 6 7 3 3 2 2 3 3" xfId="23324"/>
    <cellStyle name="Обычный 6 7 3 3 2 2 4" xfId="23325"/>
    <cellStyle name="Обычный 6 7 3 3 2 2 4 2" xfId="23326"/>
    <cellStyle name="Обычный 6 7 3 3 2 2 5" xfId="23327"/>
    <cellStyle name="Обычный 6 7 3 3 2 2 6" xfId="23328"/>
    <cellStyle name="Обычный 6 7 3 3 2 3" xfId="23329"/>
    <cellStyle name="Обычный 6 7 3 3 2 3 2" xfId="23330"/>
    <cellStyle name="Обычный 6 7 3 3 2 3 3" xfId="23331"/>
    <cellStyle name="Обычный 6 7 3 3 2 4" xfId="23332"/>
    <cellStyle name="Обычный 6 7 3 3 2 4 2" xfId="23333"/>
    <cellStyle name="Обычный 6 7 3 3 2 4 3" xfId="23334"/>
    <cellStyle name="Обычный 6 7 3 3 2 5" xfId="23335"/>
    <cellStyle name="Обычный 6 7 3 3 2 5 2" xfId="23336"/>
    <cellStyle name="Обычный 6 7 3 3 2 6" xfId="23337"/>
    <cellStyle name="Обычный 6 7 3 3 2 7" xfId="23338"/>
    <cellStyle name="Обычный 6 7 3 3 3" xfId="23339"/>
    <cellStyle name="Обычный 6 7 3 3 3 2" xfId="23340"/>
    <cellStyle name="Обычный 6 7 3 3 3 2 2" xfId="23341"/>
    <cellStyle name="Обычный 6 7 3 3 3 2 3" xfId="23342"/>
    <cellStyle name="Обычный 6 7 3 3 3 3" xfId="23343"/>
    <cellStyle name="Обычный 6 7 3 3 3 3 2" xfId="23344"/>
    <cellStyle name="Обычный 6 7 3 3 3 3 3" xfId="23345"/>
    <cellStyle name="Обычный 6 7 3 3 3 4" xfId="23346"/>
    <cellStyle name="Обычный 6 7 3 3 3 4 2" xfId="23347"/>
    <cellStyle name="Обычный 6 7 3 3 3 5" xfId="23348"/>
    <cellStyle name="Обычный 6 7 3 3 3 6" xfId="23349"/>
    <cellStyle name="Обычный 6 7 3 3 4" xfId="23350"/>
    <cellStyle name="Обычный 6 7 3 3 4 2" xfId="23351"/>
    <cellStyle name="Обычный 6 7 3 3 4 3" xfId="23352"/>
    <cellStyle name="Обычный 6 7 3 3 5" xfId="23353"/>
    <cellStyle name="Обычный 6 7 3 3 5 2" xfId="23354"/>
    <cellStyle name="Обычный 6 7 3 3 5 3" xfId="23355"/>
    <cellStyle name="Обычный 6 7 3 3 6" xfId="23356"/>
    <cellStyle name="Обычный 6 7 3 3 6 2" xfId="23357"/>
    <cellStyle name="Обычный 6 7 3 3 7" xfId="23358"/>
    <cellStyle name="Обычный 6 7 3 3 8" xfId="23359"/>
    <cellStyle name="Обычный 6 7 3 4" xfId="23360"/>
    <cellStyle name="Обычный 6 7 3 4 2" xfId="23361"/>
    <cellStyle name="Обычный 6 7 3 4 2 2" xfId="23362"/>
    <cellStyle name="Обычный 6 7 3 4 2 2 2" xfId="23363"/>
    <cellStyle name="Обычный 6 7 3 4 2 2 3" xfId="23364"/>
    <cellStyle name="Обычный 6 7 3 4 2 3" xfId="23365"/>
    <cellStyle name="Обычный 6 7 3 4 2 3 2" xfId="23366"/>
    <cellStyle name="Обычный 6 7 3 4 2 3 3" xfId="23367"/>
    <cellStyle name="Обычный 6 7 3 4 2 4" xfId="23368"/>
    <cellStyle name="Обычный 6 7 3 4 2 4 2" xfId="23369"/>
    <cellStyle name="Обычный 6 7 3 4 2 5" xfId="23370"/>
    <cellStyle name="Обычный 6 7 3 4 2 6" xfId="23371"/>
    <cellStyle name="Обычный 6 7 3 4 3" xfId="23372"/>
    <cellStyle name="Обычный 6 7 3 4 3 2" xfId="23373"/>
    <cellStyle name="Обычный 6 7 3 4 3 3" xfId="23374"/>
    <cellStyle name="Обычный 6 7 3 4 4" xfId="23375"/>
    <cellStyle name="Обычный 6 7 3 4 4 2" xfId="23376"/>
    <cellStyle name="Обычный 6 7 3 4 4 3" xfId="23377"/>
    <cellStyle name="Обычный 6 7 3 4 5" xfId="23378"/>
    <cellStyle name="Обычный 6 7 3 4 5 2" xfId="23379"/>
    <cellStyle name="Обычный 6 7 3 4 6" xfId="23380"/>
    <cellStyle name="Обычный 6 7 3 4 7" xfId="23381"/>
    <cellStyle name="Обычный 6 7 3 5" xfId="23382"/>
    <cellStyle name="Обычный 6 7 3 5 2" xfId="23383"/>
    <cellStyle name="Обычный 6 7 3 5 2 2" xfId="23384"/>
    <cellStyle name="Обычный 6 7 3 5 2 3" xfId="23385"/>
    <cellStyle name="Обычный 6 7 3 5 3" xfId="23386"/>
    <cellStyle name="Обычный 6 7 3 5 3 2" xfId="23387"/>
    <cellStyle name="Обычный 6 7 3 5 3 3" xfId="23388"/>
    <cellStyle name="Обычный 6 7 3 5 4" xfId="23389"/>
    <cellStyle name="Обычный 6 7 3 5 4 2" xfId="23390"/>
    <cellStyle name="Обычный 6 7 3 5 5" xfId="23391"/>
    <cellStyle name="Обычный 6 7 3 5 6" xfId="23392"/>
    <cellStyle name="Обычный 6 7 3 6" xfId="23393"/>
    <cellStyle name="Обычный 6 7 3 6 2" xfId="23394"/>
    <cellStyle name="Обычный 6 7 3 6 3" xfId="23395"/>
    <cellStyle name="Обычный 6 7 3 7" xfId="23396"/>
    <cellStyle name="Обычный 6 7 3 7 2" xfId="23397"/>
    <cellStyle name="Обычный 6 7 3 7 3" xfId="23398"/>
    <cellStyle name="Обычный 6 7 3 8" xfId="23399"/>
    <cellStyle name="Обычный 6 7 3 8 2" xfId="23400"/>
    <cellStyle name="Обычный 6 7 3 9" xfId="23401"/>
    <cellStyle name="Обычный 6 7 4" xfId="23402"/>
    <cellStyle name="Обычный 6 7 4 10" xfId="23403"/>
    <cellStyle name="Обычный 6 7 4 2" xfId="23404"/>
    <cellStyle name="Обычный 6 7 4 2 2" xfId="23405"/>
    <cellStyle name="Обычный 6 7 4 2 2 2" xfId="23406"/>
    <cellStyle name="Обычный 6 7 4 2 2 2 2" xfId="23407"/>
    <cellStyle name="Обычный 6 7 4 2 2 2 2 2" xfId="23408"/>
    <cellStyle name="Обычный 6 7 4 2 2 2 2 2 2" xfId="23409"/>
    <cellStyle name="Обычный 6 7 4 2 2 2 2 2 3" xfId="23410"/>
    <cellStyle name="Обычный 6 7 4 2 2 2 2 3" xfId="23411"/>
    <cellStyle name="Обычный 6 7 4 2 2 2 2 3 2" xfId="23412"/>
    <cellStyle name="Обычный 6 7 4 2 2 2 2 3 3" xfId="23413"/>
    <cellStyle name="Обычный 6 7 4 2 2 2 2 4" xfId="23414"/>
    <cellStyle name="Обычный 6 7 4 2 2 2 2 4 2" xfId="23415"/>
    <cellStyle name="Обычный 6 7 4 2 2 2 2 5" xfId="23416"/>
    <cellStyle name="Обычный 6 7 4 2 2 2 2 6" xfId="23417"/>
    <cellStyle name="Обычный 6 7 4 2 2 2 3" xfId="23418"/>
    <cellStyle name="Обычный 6 7 4 2 2 2 3 2" xfId="23419"/>
    <cellStyle name="Обычный 6 7 4 2 2 2 3 3" xfId="23420"/>
    <cellStyle name="Обычный 6 7 4 2 2 2 4" xfId="23421"/>
    <cellStyle name="Обычный 6 7 4 2 2 2 4 2" xfId="23422"/>
    <cellStyle name="Обычный 6 7 4 2 2 2 4 3" xfId="23423"/>
    <cellStyle name="Обычный 6 7 4 2 2 2 5" xfId="23424"/>
    <cellStyle name="Обычный 6 7 4 2 2 2 5 2" xfId="23425"/>
    <cellStyle name="Обычный 6 7 4 2 2 2 6" xfId="23426"/>
    <cellStyle name="Обычный 6 7 4 2 2 2 7" xfId="23427"/>
    <cellStyle name="Обычный 6 7 4 2 2 3" xfId="23428"/>
    <cellStyle name="Обычный 6 7 4 2 2 3 2" xfId="23429"/>
    <cellStyle name="Обычный 6 7 4 2 2 3 2 2" xfId="23430"/>
    <cellStyle name="Обычный 6 7 4 2 2 3 2 3" xfId="23431"/>
    <cellStyle name="Обычный 6 7 4 2 2 3 3" xfId="23432"/>
    <cellStyle name="Обычный 6 7 4 2 2 3 3 2" xfId="23433"/>
    <cellStyle name="Обычный 6 7 4 2 2 3 3 3" xfId="23434"/>
    <cellStyle name="Обычный 6 7 4 2 2 3 4" xfId="23435"/>
    <cellStyle name="Обычный 6 7 4 2 2 3 4 2" xfId="23436"/>
    <cellStyle name="Обычный 6 7 4 2 2 3 5" xfId="23437"/>
    <cellStyle name="Обычный 6 7 4 2 2 3 6" xfId="23438"/>
    <cellStyle name="Обычный 6 7 4 2 2 4" xfId="23439"/>
    <cellStyle name="Обычный 6 7 4 2 2 4 2" xfId="23440"/>
    <cellStyle name="Обычный 6 7 4 2 2 4 3" xfId="23441"/>
    <cellStyle name="Обычный 6 7 4 2 2 5" xfId="23442"/>
    <cellStyle name="Обычный 6 7 4 2 2 5 2" xfId="23443"/>
    <cellStyle name="Обычный 6 7 4 2 2 5 3" xfId="23444"/>
    <cellStyle name="Обычный 6 7 4 2 2 6" xfId="23445"/>
    <cellStyle name="Обычный 6 7 4 2 2 6 2" xfId="23446"/>
    <cellStyle name="Обычный 6 7 4 2 2 7" xfId="23447"/>
    <cellStyle name="Обычный 6 7 4 2 2 8" xfId="23448"/>
    <cellStyle name="Обычный 6 7 4 2 3" xfId="23449"/>
    <cellStyle name="Обычный 6 7 4 2 3 2" xfId="23450"/>
    <cellStyle name="Обычный 6 7 4 2 3 2 2" xfId="23451"/>
    <cellStyle name="Обычный 6 7 4 2 3 2 2 2" xfId="23452"/>
    <cellStyle name="Обычный 6 7 4 2 3 2 2 3" xfId="23453"/>
    <cellStyle name="Обычный 6 7 4 2 3 2 3" xfId="23454"/>
    <cellStyle name="Обычный 6 7 4 2 3 2 3 2" xfId="23455"/>
    <cellStyle name="Обычный 6 7 4 2 3 2 3 3" xfId="23456"/>
    <cellStyle name="Обычный 6 7 4 2 3 2 4" xfId="23457"/>
    <cellStyle name="Обычный 6 7 4 2 3 2 4 2" xfId="23458"/>
    <cellStyle name="Обычный 6 7 4 2 3 2 5" xfId="23459"/>
    <cellStyle name="Обычный 6 7 4 2 3 2 6" xfId="23460"/>
    <cellStyle name="Обычный 6 7 4 2 3 3" xfId="23461"/>
    <cellStyle name="Обычный 6 7 4 2 3 3 2" xfId="23462"/>
    <cellStyle name="Обычный 6 7 4 2 3 3 3" xfId="23463"/>
    <cellStyle name="Обычный 6 7 4 2 3 4" xfId="23464"/>
    <cellStyle name="Обычный 6 7 4 2 3 4 2" xfId="23465"/>
    <cellStyle name="Обычный 6 7 4 2 3 4 3" xfId="23466"/>
    <cellStyle name="Обычный 6 7 4 2 3 5" xfId="23467"/>
    <cellStyle name="Обычный 6 7 4 2 3 5 2" xfId="23468"/>
    <cellStyle name="Обычный 6 7 4 2 3 6" xfId="23469"/>
    <cellStyle name="Обычный 6 7 4 2 3 7" xfId="23470"/>
    <cellStyle name="Обычный 6 7 4 2 4" xfId="23471"/>
    <cellStyle name="Обычный 6 7 4 2 4 2" xfId="23472"/>
    <cellStyle name="Обычный 6 7 4 2 4 2 2" xfId="23473"/>
    <cellStyle name="Обычный 6 7 4 2 4 2 3" xfId="23474"/>
    <cellStyle name="Обычный 6 7 4 2 4 3" xfId="23475"/>
    <cellStyle name="Обычный 6 7 4 2 4 3 2" xfId="23476"/>
    <cellStyle name="Обычный 6 7 4 2 4 3 3" xfId="23477"/>
    <cellStyle name="Обычный 6 7 4 2 4 4" xfId="23478"/>
    <cellStyle name="Обычный 6 7 4 2 4 4 2" xfId="23479"/>
    <cellStyle name="Обычный 6 7 4 2 4 5" xfId="23480"/>
    <cellStyle name="Обычный 6 7 4 2 4 6" xfId="23481"/>
    <cellStyle name="Обычный 6 7 4 2 5" xfId="23482"/>
    <cellStyle name="Обычный 6 7 4 2 5 2" xfId="23483"/>
    <cellStyle name="Обычный 6 7 4 2 5 3" xfId="23484"/>
    <cellStyle name="Обычный 6 7 4 2 6" xfId="23485"/>
    <cellStyle name="Обычный 6 7 4 2 6 2" xfId="23486"/>
    <cellStyle name="Обычный 6 7 4 2 6 3" xfId="23487"/>
    <cellStyle name="Обычный 6 7 4 2 7" xfId="23488"/>
    <cellStyle name="Обычный 6 7 4 2 7 2" xfId="23489"/>
    <cellStyle name="Обычный 6 7 4 2 8" xfId="23490"/>
    <cellStyle name="Обычный 6 7 4 2 9" xfId="23491"/>
    <cellStyle name="Обычный 6 7 4 3" xfId="23492"/>
    <cellStyle name="Обычный 6 7 4 3 2" xfId="23493"/>
    <cellStyle name="Обычный 6 7 4 3 2 2" xfId="23494"/>
    <cellStyle name="Обычный 6 7 4 3 2 2 2" xfId="23495"/>
    <cellStyle name="Обычный 6 7 4 3 2 2 2 2" xfId="23496"/>
    <cellStyle name="Обычный 6 7 4 3 2 2 2 3" xfId="23497"/>
    <cellStyle name="Обычный 6 7 4 3 2 2 3" xfId="23498"/>
    <cellStyle name="Обычный 6 7 4 3 2 2 3 2" xfId="23499"/>
    <cellStyle name="Обычный 6 7 4 3 2 2 3 3" xfId="23500"/>
    <cellStyle name="Обычный 6 7 4 3 2 2 4" xfId="23501"/>
    <cellStyle name="Обычный 6 7 4 3 2 2 4 2" xfId="23502"/>
    <cellStyle name="Обычный 6 7 4 3 2 2 5" xfId="23503"/>
    <cellStyle name="Обычный 6 7 4 3 2 2 6" xfId="23504"/>
    <cellStyle name="Обычный 6 7 4 3 2 3" xfId="23505"/>
    <cellStyle name="Обычный 6 7 4 3 2 3 2" xfId="23506"/>
    <cellStyle name="Обычный 6 7 4 3 2 3 3" xfId="23507"/>
    <cellStyle name="Обычный 6 7 4 3 2 4" xfId="23508"/>
    <cellStyle name="Обычный 6 7 4 3 2 4 2" xfId="23509"/>
    <cellStyle name="Обычный 6 7 4 3 2 4 3" xfId="23510"/>
    <cellStyle name="Обычный 6 7 4 3 2 5" xfId="23511"/>
    <cellStyle name="Обычный 6 7 4 3 2 5 2" xfId="23512"/>
    <cellStyle name="Обычный 6 7 4 3 2 6" xfId="23513"/>
    <cellStyle name="Обычный 6 7 4 3 2 7" xfId="23514"/>
    <cellStyle name="Обычный 6 7 4 3 3" xfId="23515"/>
    <cellStyle name="Обычный 6 7 4 3 3 2" xfId="23516"/>
    <cellStyle name="Обычный 6 7 4 3 3 2 2" xfId="23517"/>
    <cellStyle name="Обычный 6 7 4 3 3 2 3" xfId="23518"/>
    <cellStyle name="Обычный 6 7 4 3 3 3" xfId="23519"/>
    <cellStyle name="Обычный 6 7 4 3 3 3 2" xfId="23520"/>
    <cellStyle name="Обычный 6 7 4 3 3 3 3" xfId="23521"/>
    <cellStyle name="Обычный 6 7 4 3 3 4" xfId="23522"/>
    <cellStyle name="Обычный 6 7 4 3 3 4 2" xfId="23523"/>
    <cellStyle name="Обычный 6 7 4 3 3 5" xfId="23524"/>
    <cellStyle name="Обычный 6 7 4 3 3 6" xfId="23525"/>
    <cellStyle name="Обычный 6 7 4 3 4" xfId="23526"/>
    <cellStyle name="Обычный 6 7 4 3 4 2" xfId="23527"/>
    <cellStyle name="Обычный 6 7 4 3 4 3" xfId="23528"/>
    <cellStyle name="Обычный 6 7 4 3 5" xfId="23529"/>
    <cellStyle name="Обычный 6 7 4 3 5 2" xfId="23530"/>
    <cellStyle name="Обычный 6 7 4 3 5 3" xfId="23531"/>
    <cellStyle name="Обычный 6 7 4 3 6" xfId="23532"/>
    <cellStyle name="Обычный 6 7 4 3 6 2" xfId="23533"/>
    <cellStyle name="Обычный 6 7 4 3 7" xfId="23534"/>
    <cellStyle name="Обычный 6 7 4 3 8" xfId="23535"/>
    <cellStyle name="Обычный 6 7 4 4" xfId="23536"/>
    <cellStyle name="Обычный 6 7 4 4 2" xfId="23537"/>
    <cellStyle name="Обычный 6 7 4 4 2 2" xfId="23538"/>
    <cellStyle name="Обычный 6 7 4 4 2 2 2" xfId="23539"/>
    <cellStyle name="Обычный 6 7 4 4 2 2 3" xfId="23540"/>
    <cellStyle name="Обычный 6 7 4 4 2 3" xfId="23541"/>
    <cellStyle name="Обычный 6 7 4 4 2 3 2" xfId="23542"/>
    <cellStyle name="Обычный 6 7 4 4 2 3 3" xfId="23543"/>
    <cellStyle name="Обычный 6 7 4 4 2 4" xfId="23544"/>
    <cellStyle name="Обычный 6 7 4 4 2 4 2" xfId="23545"/>
    <cellStyle name="Обычный 6 7 4 4 2 5" xfId="23546"/>
    <cellStyle name="Обычный 6 7 4 4 2 6" xfId="23547"/>
    <cellStyle name="Обычный 6 7 4 4 3" xfId="23548"/>
    <cellStyle name="Обычный 6 7 4 4 3 2" xfId="23549"/>
    <cellStyle name="Обычный 6 7 4 4 3 3" xfId="23550"/>
    <cellStyle name="Обычный 6 7 4 4 4" xfId="23551"/>
    <cellStyle name="Обычный 6 7 4 4 4 2" xfId="23552"/>
    <cellStyle name="Обычный 6 7 4 4 4 3" xfId="23553"/>
    <cellStyle name="Обычный 6 7 4 4 5" xfId="23554"/>
    <cellStyle name="Обычный 6 7 4 4 5 2" xfId="23555"/>
    <cellStyle name="Обычный 6 7 4 4 6" xfId="23556"/>
    <cellStyle name="Обычный 6 7 4 4 7" xfId="23557"/>
    <cellStyle name="Обычный 6 7 4 5" xfId="23558"/>
    <cellStyle name="Обычный 6 7 4 5 2" xfId="23559"/>
    <cellStyle name="Обычный 6 7 4 5 2 2" xfId="23560"/>
    <cellStyle name="Обычный 6 7 4 5 2 3" xfId="23561"/>
    <cellStyle name="Обычный 6 7 4 5 3" xfId="23562"/>
    <cellStyle name="Обычный 6 7 4 5 3 2" xfId="23563"/>
    <cellStyle name="Обычный 6 7 4 5 3 3" xfId="23564"/>
    <cellStyle name="Обычный 6 7 4 5 4" xfId="23565"/>
    <cellStyle name="Обычный 6 7 4 5 4 2" xfId="23566"/>
    <cellStyle name="Обычный 6 7 4 5 5" xfId="23567"/>
    <cellStyle name="Обычный 6 7 4 5 6" xfId="23568"/>
    <cellStyle name="Обычный 6 7 4 6" xfId="23569"/>
    <cellStyle name="Обычный 6 7 4 6 2" xfId="23570"/>
    <cellStyle name="Обычный 6 7 4 6 3" xfId="23571"/>
    <cellStyle name="Обычный 6 7 4 7" xfId="23572"/>
    <cellStyle name="Обычный 6 7 4 7 2" xfId="23573"/>
    <cellStyle name="Обычный 6 7 4 7 3" xfId="23574"/>
    <cellStyle name="Обычный 6 7 4 8" xfId="23575"/>
    <cellStyle name="Обычный 6 7 4 8 2" xfId="23576"/>
    <cellStyle name="Обычный 6 7 4 9" xfId="23577"/>
    <cellStyle name="Обычный 6 7 5" xfId="23578"/>
    <cellStyle name="Обычный 6 7 5 10" xfId="23579"/>
    <cellStyle name="Обычный 6 7 5 2" xfId="23580"/>
    <cellStyle name="Обычный 6 7 5 2 2" xfId="23581"/>
    <cellStyle name="Обычный 6 7 5 2 2 2" xfId="23582"/>
    <cellStyle name="Обычный 6 7 5 2 2 2 2" xfId="23583"/>
    <cellStyle name="Обычный 6 7 5 2 2 2 2 2" xfId="23584"/>
    <cellStyle name="Обычный 6 7 5 2 2 2 2 2 2" xfId="23585"/>
    <cellStyle name="Обычный 6 7 5 2 2 2 2 2 3" xfId="23586"/>
    <cellStyle name="Обычный 6 7 5 2 2 2 2 3" xfId="23587"/>
    <cellStyle name="Обычный 6 7 5 2 2 2 2 3 2" xfId="23588"/>
    <cellStyle name="Обычный 6 7 5 2 2 2 2 3 3" xfId="23589"/>
    <cellStyle name="Обычный 6 7 5 2 2 2 2 4" xfId="23590"/>
    <cellStyle name="Обычный 6 7 5 2 2 2 2 4 2" xfId="23591"/>
    <cellStyle name="Обычный 6 7 5 2 2 2 2 5" xfId="23592"/>
    <cellStyle name="Обычный 6 7 5 2 2 2 2 6" xfId="23593"/>
    <cellStyle name="Обычный 6 7 5 2 2 2 3" xfId="23594"/>
    <cellStyle name="Обычный 6 7 5 2 2 2 3 2" xfId="23595"/>
    <cellStyle name="Обычный 6 7 5 2 2 2 3 3" xfId="23596"/>
    <cellStyle name="Обычный 6 7 5 2 2 2 4" xfId="23597"/>
    <cellStyle name="Обычный 6 7 5 2 2 2 4 2" xfId="23598"/>
    <cellStyle name="Обычный 6 7 5 2 2 2 4 3" xfId="23599"/>
    <cellStyle name="Обычный 6 7 5 2 2 2 5" xfId="23600"/>
    <cellStyle name="Обычный 6 7 5 2 2 2 5 2" xfId="23601"/>
    <cellStyle name="Обычный 6 7 5 2 2 2 6" xfId="23602"/>
    <cellStyle name="Обычный 6 7 5 2 2 2 7" xfId="23603"/>
    <cellStyle name="Обычный 6 7 5 2 2 3" xfId="23604"/>
    <cellStyle name="Обычный 6 7 5 2 2 3 2" xfId="23605"/>
    <cellStyle name="Обычный 6 7 5 2 2 3 2 2" xfId="23606"/>
    <cellStyle name="Обычный 6 7 5 2 2 3 2 3" xfId="23607"/>
    <cellStyle name="Обычный 6 7 5 2 2 3 3" xfId="23608"/>
    <cellStyle name="Обычный 6 7 5 2 2 3 3 2" xfId="23609"/>
    <cellStyle name="Обычный 6 7 5 2 2 3 3 3" xfId="23610"/>
    <cellStyle name="Обычный 6 7 5 2 2 3 4" xfId="23611"/>
    <cellStyle name="Обычный 6 7 5 2 2 3 4 2" xfId="23612"/>
    <cellStyle name="Обычный 6 7 5 2 2 3 5" xfId="23613"/>
    <cellStyle name="Обычный 6 7 5 2 2 3 6" xfId="23614"/>
    <cellStyle name="Обычный 6 7 5 2 2 4" xfId="23615"/>
    <cellStyle name="Обычный 6 7 5 2 2 4 2" xfId="23616"/>
    <cellStyle name="Обычный 6 7 5 2 2 4 3" xfId="23617"/>
    <cellStyle name="Обычный 6 7 5 2 2 5" xfId="23618"/>
    <cellStyle name="Обычный 6 7 5 2 2 5 2" xfId="23619"/>
    <cellStyle name="Обычный 6 7 5 2 2 5 3" xfId="23620"/>
    <cellStyle name="Обычный 6 7 5 2 2 6" xfId="23621"/>
    <cellStyle name="Обычный 6 7 5 2 2 6 2" xfId="23622"/>
    <cellStyle name="Обычный 6 7 5 2 2 7" xfId="23623"/>
    <cellStyle name="Обычный 6 7 5 2 2 8" xfId="23624"/>
    <cellStyle name="Обычный 6 7 5 2 3" xfId="23625"/>
    <cellStyle name="Обычный 6 7 5 2 3 2" xfId="23626"/>
    <cellStyle name="Обычный 6 7 5 2 3 2 2" xfId="23627"/>
    <cellStyle name="Обычный 6 7 5 2 3 2 2 2" xfId="23628"/>
    <cellStyle name="Обычный 6 7 5 2 3 2 2 3" xfId="23629"/>
    <cellStyle name="Обычный 6 7 5 2 3 2 3" xfId="23630"/>
    <cellStyle name="Обычный 6 7 5 2 3 2 3 2" xfId="23631"/>
    <cellStyle name="Обычный 6 7 5 2 3 2 3 3" xfId="23632"/>
    <cellStyle name="Обычный 6 7 5 2 3 2 4" xfId="23633"/>
    <cellStyle name="Обычный 6 7 5 2 3 2 4 2" xfId="23634"/>
    <cellStyle name="Обычный 6 7 5 2 3 2 5" xfId="23635"/>
    <cellStyle name="Обычный 6 7 5 2 3 2 6" xfId="23636"/>
    <cellStyle name="Обычный 6 7 5 2 3 3" xfId="23637"/>
    <cellStyle name="Обычный 6 7 5 2 3 3 2" xfId="23638"/>
    <cellStyle name="Обычный 6 7 5 2 3 3 3" xfId="23639"/>
    <cellStyle name="Обычный 6 7 5 2 3 4" xfId="23640"/>
    <cellStyle name="Обычный 6 7 5 2 3 4 2" xfId="23641"/>
    <cellStyle name="Обычный 6 7 5 2 3 4 3" xfId="23642"/>
    <cellStyle name="Обычный 6 7 5 2 3 5" xfId="23643"/>
    <cellStyle name="Обычный 6 7 5 2 3 5 2" xfId="23644"/>
    <cellStyle name="Обычный 6 7 5 2 3 6" xfId="23645"/>
    <cellStyle name="Обычный 6 7 5 2 3 7" xfId="23646"/>
    <cellStyle name="Обычный 6 7 5 2 4" xfId="23647"/>
    <cellStyle name="Обычный 6 7 5 2 4 2" xfId="23648"/>
    <cellStyle name="Обычный 6 7 5 2 4 2 2" xfId="23649"/>
    <cellStyle name="Обычный 6 7 5 2 4 2 3" xfId="23650"/>
    <cellStyle name="Обычный 6 7 5 2 4 3" xfId="23651"/>
    <cellStyle name="Обычный 6 7 5 2 4 3 2" xfId="23652"/>
    <cellStyle name="Обычный 6 7 5 2 4 3 3" xfId="23653"/>
    <cellStyle name="Обычный 6 7 5 2 4 4" xfId="23654"/>
    <cellStyle name="Обычный 6 7 5 2 4 4 2" xfId="23655"/>
    <cellStyle name="Обычный 6 7 5 2 4 5" xfId="23656"/>
    <cellStyle name="Обычный 6 7 5 2 4 6" xfId="23657"/>
    <cellStyle name="Обычный 6 7 5 2 5" xfId="23658"/>
    <cellStyle name="Обычный 6 7 5 2 5 2" xfId="23659"/>
    <cellStyle name="Обычный 6 7 5 2 5 3" xfId="23660"/>
    <cellStyle name="Обычный 6 7 5 2 6" xfId="23661"/>
    <cellStyle name="Обычный 6 7 5 2 6 2" xfId="23662"/>
    <cellStyle name="Обычный 6 7 5 2 6 3" xfId="23663"/>
    <cellStyle name="Обычный 6 7 5 2 7" xfId="23664"/>
    <cellStyle name="Обычный 6 7 5 2 7 2" xfId="23665"/>
    <cellStyle name="Обычный 6 7 5 2 8" xfId="23666"/>
    <cellStyle name="Обычный 6 7 5 2 9" xfId="23667"/>
    <cellStyle name="Обычный 6 7 5 3" xfId="23668"/>
    <cellStyle name="Обычный 6 7 5 3 2" xfId="23669"/>
    <cellStyle name="Обычный 6 7 5 3 2 2" xfId="23670"/>
    <cellStyle name="Обычный 6 7 5 3 2 2 2" xfId="23671"/>
    <cellStyle name="Обычный 6 7 5 3 2 2 2 2" xfId="23672"/>
    <cellStyle name="Обычный 6 7 5 3 2 2 2 3" xfId="23673"/>
    <cellStyle name="Обычный 6 7 5 3 2 2 3" xfId="23674"/>
    <cellStyle name="Обычный 6 7 5 3 2 2 3 2" xfId="23675"/>
    <cellStyle name="Обычный 6 7 5 3 2 2 3 3" xfId="23676"/>
    <cellStyle name="Обычный 6 7 5 3 2 2 4" xfId="23677"/>
    <cellStyle name="Обычный 6 7 5 3 2 2 4 2" xfId="23678"/>
    <cellStyle name="Обычный 6 7 5 3 2 2 5" xfId="23679"/>
    <cellStyle name="Обычный 6 7 5 3 2 2 6" xfId="23680"/>
    <cellStyle name="Обычный 6 7 5 3 2 3" xfId="23681"/>
    <cellStyle name="Обычный 6 7 5 3 2 3 2" xfId="23682"/>
    <cellStyle name="Обычный 6 7 5 3 2 3 3" xfId="23683"/>
    <cellStyle name="Обычный 6 7 5 3 2 4" xfId="23684"/>
    <cellStyle name="Обычный 6 7 5 3 2 4 2" xfId="23685"/>
    <cellStyle name="Обычный 6 7 5 3 2 4 3" xfId="23686"/>
    <cellStyle name="Обычный 6 7 5 3 2 5" xfId="23687"/>
    <cellStyle name="Обычный 6 7 5 3 2 5 2" xfId="23688"/>
    <cellStyle name="Обычный 6 7 5 3 2 6" xfId="23689"/>
    <cellStyle name="Обычный 6 7 5 3 2 7" xfId="23690"/>
    <cellStyle name="Обычный 6 7 5 3 3" xfId="23691"/>
    <cellStyle name="Обычный 6 7 5 3 3 2" xfId="23692"/>
    <cellStyle name="Обычный 6 7 5 3 3 2 2" xfId="23693"/>
    <cellStyle name="Обычный 6 7 5 3 3 2 3" xfId="23694"/>
    <cellStyle name="Обычный 6 7 5 3 3 3" xfId="23695"/>
    <cellStyle name="Обычный 6 7 5 3 3 3 2" xfId="23696"/>
    <cellStyle name="Обычный 6 7 5 3 3 3 3" xfId="23697"/>
    <cellStyle name="Обычный 6 7 5 3 3 4" xfId="23698"/>
    <cellStyle name="Обычный 6 7 5 3 3 4 2" xfId="23699"/>
    <cellStyle name="Обычный 6 7 5 3 3 5" xfId="23700"/>
    <cellStyle name="Обычный 6 7 5 3 3 6" xfId="23701"/>
    <cellStyle name="Обычный 6 7 5 3 4" xfId="23702"/>
    <cellStyle name="Обычный 6 7 5 3 4 2" xfId="23703"/>
    <cellStyle name="Обычный 6 7 5 3 4 3" xfId="23704"/>
    <cellStyle name="Обычный 6 7 5 3 5" xfId="23705"/>
    <cellStyle name="Обычный 6 7 5 3 5 2" xfId="23706"/>
    <cellStyle name="Обычный 6 7 5 3 5 3" xfId="23707"/>
    <cellStyle name="Обычный 6 7 5 3 6" xfId="23708"/>
    <cellStyle name="Обычный 6 7 5 3 6 2" xfId="23709"/>
    <cellStyle name="Обычный 6 7 5 3 7" xfId="23710"/>
    <cellStyle name="Обычный 6 7 5 3 8" xfId="23711"/>
    <cellStyle name="Обычный 6 7 5 4" xfId="23712"/>
    <cellStyle name="Обычный 6 7 5 4 2" xfId="23713"/>
    <cellStyle name="Обычный 6 7 5 4 2 2" xfId="23714"/>
    <cellStyle name="Обычный 6 7 5 4 2 2 2" xfId="23715"/>
    <cellStyle name="Обычный 6 7 5 4 2 2 3" xfId="23716"/>
    <cellStyle name="Обычный 6 7 5 4 2 3" xfId="23717"/>
    <cellStyle name="Обычный 6 7 5 4 2 3 2" xfId="23718"/>
    <cellStyle name="Обычный 6 7 5 4 2 3 3" xfId="23719"/>
    <cellStyle name="Обычный 6 7 5 4 2 4" xfId="23720"/>
    <cellStyle name="Обычный 6 7 5 4 2 4 2" xfId="23721"/>
    <cellStyle name="Обычный 6 7 5 4 2 5" xfId="23722"/>
    <cellStyle name="Обычный 6 7 5 4 2 6" xfId="23723"/>
    <cellStyle name="Обычный 6 7 5 4 3" xfId="23724"/>
    <cellStyle name="Обычный 6 7 5 4 3 2" xfId="23725"/>
    <cellStyle name="Обычный 6 7 5 4 3 3" xfId="23726"/>
    <cellStyle name="Обычный 6 7 5 4 4" xfId="23727"/>
    <cellStyle name="Обычный 6 7 5 4 4 2" xfId="23728"/>
    <cellStyle name="Обычный 6 7 5 4 4 3" xfId="23729"/>
    <cellStyle name="Обычный 6 7 5 4 5" xfId="23730"/>
    <cellStyle name="Обычный 6 7 5 4 5 2" xfId="23731"/>
    <cellStyle name="Обычный 6 7 5 4 6" xfId="23732"/>
    <cellStyle name="Обычный 6 7 5 4 7" xfId="23733"/>
    <cellStyle name="Обычный 6 7 5 5" xfId="23734"/>
    <cellStyle name="Обычный 6 7 5 5 2" xfId="23735"/>
    <cellStyle name="Обычный 6 7 5 5 2 2" xfId="23736"/>
    <cellStyle name="Обычный 6 7 5 5 2 3" xfId="23737"/>
    <cellStyle name="Обычный 6 7 5 5 3" xfId="23738"/>
    <cellStyle name="Обычный 6 7 5 5 3 2" xfId="23739"/>
    <cellStyle name="Обычный 6 7 5 5 3 3" xfId="23740"/>
    <cellStyle name="Обычный 6 7 5 5 4" xfId="23741"/>
    <cellStyle name="Обычный 6 7 5 5 4 2" xfId="23742"/>
    <cellStyle name="Обычный 6 7 5 5 5" xfId="23743"/>
    <cellStyle name="Обычный 6 7 5 5 6" xfId="23744"/>
    <cellStyle name="Обычный 6 7 5 6" xfId="23745"/>
    <cellStyle name="Обычный 6 7 5 6 2" xfId="23746"/>
    <cellStyle name="Обычный 6 7 5 6 3" xfId="23747"/>
    <cellStyle name="Обычный 6 7 5 7" xfId="23748"/>
    <cellStyle name="Обычный 6 7 5 7 2" xfId="23749"/>
    <cellStyle name="Обычный 6 7 5 7 3" xfId="23750"/>
    <cellStyle name="Обычный 6 7 5 8" xfId="23751"/>
    <cellStyle name="Обычный 6 7 5 8 2" xfId="23752"/>
    <cellStyle name="Обычный 6 7 5 9" xfId="23753"/>
    <cellStyle name="Обычный 6 7 6" xfId="23754"/>
    <cellStyle name="Обычный 6 7 6 2" xfId="23755"/>
    <cellStyle name="Обычный 6 7 6 2 2" xfId="23756"/>
    <cellStyle name="Обычный 6 7 6 2 2 2" xfId="23757"/>
    <cellStyle name="Обычный 6 7 6 2 2 2 2" xfId="23758"/>
    <cellStyle name="Обычный 6 7 6 2 2 2 2 2" xfId="23759"/>
    <cellStyle name="Обычный 6 7 6 2 2 2 2 3" xfId="23760"/>
    <cellStyle name="Обычный 6 7 6 2 2 2 3" xfId="23761"/>
    <cellStyle name="Обычный 6 7 6 2 2 2 3 2" xfId="23762"/>
    <cellStyle name="Обычный 6 7 6 2 2 2 3 3" xfId="23763"/>
    <cellStyle name="Обычный 6 7 6 2 2 2 4" xfId="23764"/>
    <cellStyle name="Обычный 6 7 6 2 2 2 4 2" xfId="23765"/>
    <cellStyle name="Обычный 6 7 6 2 2 2 5" xfId="23766"/>
    <cellStyle name="Обычный 6 7 6 2 2 2 6" xfId="23767"/>
    <cellStyle name="Обычный 6 7 6 2 2 3" xfId="23768"/>
    <cellStyle name="Обычный 6 7 6 2 2 3 2" xfId="23769"/>
    <cellStyle name="Обычный 6 7 6 2 2 3 3" xfId="23770"/>
    <cellStyle name="Обычный 6 7 6 2 2 4" xfId="23771"/>
    <cellStyle name="Обычный 6 7 6 2 2 4 2" xfId="23772"/>
    <cellStyle name="Обычный 6 7 6 2 2 4 3" xfId="23773"/>
    <cellStyle name="Обычный 6 7 6 2 2 5" xfId="23774"/>
    <cellStyle name="Обычный 6 7 6 2 2 5 2" xfId="23775"/>
    <cellStyle name="Обычный 6 7 6 2 2 6" xfId="23776"/>
    <cellStyle name="Обычный 6 7 6 2 2 7" xfId="23777"/>
    <cellStyle name="Обычный 6 7 6 2 3" xfId="23778"/>
    <cellStyle name="Обычный 6 7 6 2 3 2" xfId="23779"/>
    <cellStyle name="Обычный 6 7 6 2 3 2 2" xfId="23780"/>
    <cellStyle name="Обычный 6 7 6 2 3 2 3" xfId="23781"/>
    <cellStyle name="Обычный 6 7 6 2 3 3" xfId="23782"/>
    <cellStyle name="Обычный 6 7 6 2 3 3 2" xfId="23783"/>
    <cellStyle name="Обычный 6 7 6 2 3 3 3" xfId="23784"/>
    <cellStyle name="Обычный 6 7 6 2 3 4" xfId="23785"/>
    <cellStyle name="Обычный 6 7 6 2 3 4 2" xfId="23786"/>
    <cellStyle name="Обычный 6 7 6 2 3 5" xfId="23787"/>
    <cellStyle name="Обычный 6 7 6 2 3 6" xfId="23788"/>
    <cellStyle name="Обычный 6 7 6 2 4" xfId="23789"/>
    <cellStyle name="Обычный 6 7 6 2 4 2" xfId="23790"/>
    <cellStyle name="Обычный 6 7 6 2 4 3" xfId="23791"/>
    <cellStyle name="Обычный 6 7 6 2 5" xfId="23792"/>
    <cellStyle name="Обычный 6 7 6 2 5 2" xfId="23793"/>
    <cellStyle name="Обычный 6 7 6 2 5 3" xfId="23794"/>
    <cellStyle name="Обычный 6 7 6 2 6" xfId="23795"/>
    <cellStyle name="Обычный 6 7 6 2 6 2" xfId="23796"/>
    <cellStyle name="Обычный 6 7 6 2 7" xfId="23797"/>
    <cellStyle name="Обычный 6 7 6 2 8" xfId="23798"/>
    <cellStyle name="Обычный 6 7 6 3" xfId="23799"/>
    <cellStyle name="Обычный 6 7 6 3 2" xfId="23800"/>
    <cellStyle name="Обычный 6 7 6 3 2 2" xfId="23801"/>
    <cellStyle name="Обычный 6 7 6 3 2 2 2" xfId="23802"/>
    <cellStyle name="Обычный 6 7 6 3 2 2 3" xfId="23803"/>
    <cellStyle name="Обычный 6 7 6 3 2 3" xfId="23804"/>
    <cellStyle name="Обычный 6 7 6 3 2 3 2" xfId="23805"/>
    <cellStyle name="Обычный 6 7 6 3 2 3 3" xfId="23806"/>
    <cellStyle name="Обычный 6 7 6 3 2 4" xfId="23807"/>
    <cellStyle name="Обычный 6 7 6 3 2 4 2" xfId="23808"/>
    <cellStyle name="Обычный 6 7 6 3 2 5" xfId="23809"/>
    <cellStyle name="Обычный 6 7 6 3 2 6" xfId="23810"/>
    <cellStyle name="Обычный 6 7 6 3 3" xfId="23811"/>
    <cellStyle name="Обычный 6 7 6 3 3 2" xfId="23812"/>
    <cellStyle name="Обычный 6 7 6 3 3 3" xfId="23813"/>
    <cellStyle name="Обычный 6 7 6 3 4" xfId="23814"/>
    <cellStyle name="Обычный 6 7 6 3 4 2" xfId="23815"/>
    <cellStyle name="Обычный 6 7 6 3 4 3" xfId="23816"/>
    <cellStyle name="Обычный 6 7 6 3 5" xfId="23817"/>
    <cellStyle name="Обычный 6 7 6 3 5 2" xfId="23818"/>
    <cellStyle name="Обычный 6 7 6 3 6" xfId="23819"/>
    <cellStyle name="Обычный 6 7 6 3 7" xfId="23820"/>
    <cellStyle name="Обычный 6 7 6 4" xfId="23821"/>
    <cellStyle name="Обычный 6 7 6 4 2" xfId="23822"/>
    <cellStyle name="Обычный 6 7 6 4 2 2" xfId="23823"/>
    <cellStyle name="Обычный 6 7 6 4 2 3" xfId="23824"/>
    <cellStyle name="Обычный 6 7 6 4 3" xfId="23825"/>
    <cellStyle name="Обычный 6 7 6 4 3 2" xfId="23826"/>
    <cellStyle name="Обычный 6 7 6 4 3 3" xfId="23827"/>
    <cellStyle name="Обычный 6 7 6 4 4" xfId="23828"/>
    <cellStyle name="Обычный 6 7 6 4 4 2" xfId="23829"/>
    <cellStyle name="Обычный 6 7 6 4 5" xfId="23830"/>
    <cellStyle name="Обычный 6 7 6 4 6" xfId="23831"/>
    <cellStyle name="Обычный 6 7 6 5" xfId="23832"/>
    <cellStyle name="Обычный 6 7 6 5 2" xfId="23833"/>
    <cellStyle name="Обычный 6 7 6 5 3" xfId="23834"/>
    <cellStyle name="Обычный 6 7 6 6" xfId="23835"/>
    <cellStyle name="Обычный 6 7 6 6 2" xfId="23836"/>
    <cellStyle name="Обычный 6 7 6 6 3" xfId="23837"/>
    <cellStyle name="Обычный 6 7 6 7" xfId="23838"/>
    <cellStyle name="Обычный 6 7 6 7 2" xfId="23839"/>
    <cellStyle name="Обычный 6 7 6 8" xfId="23840"/>
    <cellStyle name="Обычный 6 7 6 9" xfId="23841"/>
    <cellStyle name="Обычный 6 7 7" xfId="23842"/>
    <cellStyle name="Обычный 6 7 7 2" xfId="23843"/>
    <cellStyle name="Обычный 6 7 7 2 2" xfId="23844"/>
    <cellStyle name="Обычный 6 7 7 2 2 2" xfId="23845"/>
    <cellStyle name="Обычный 6 7 7 2 2 2 2" xfId="23846"/>
    <cellStyle name="Обычный 6 7 7 2 2 2 3" xfId="23847"/>
    <cellStyle name="Обычный 6 7 7 2 2 3" xfId="23848"/>
    <cellStyle name="Обычный 6 7 7 2 2 3 2" xfId="23849"/>
    <cellStyle name="Обычный 6 7 7 2 2 3 3" xfId="23850"/>
    <cellStyle name="Обычный 6 7 7 2 2 4" xfId="23851"/>
    <cellStyle name="Обычный 6 7 7 2 2 4 2" xfId="23852"/>
    <cellStyle name="Обычный 6 7 7 2 2 5" xfId="23853"/>
    <cellStyle name="Обычный 6 7 7 2 2 6" xfId="23854"/>
    <cellStyle name="Обычный 6 7 7 2 3" xfId="23855"/>
    <cellStyle name="Обычный 6 7 7 2 3 2" xfId="23856"/>
    <cellStyle name="Обычный 6 7 7 2 3 3" xfId="23857"/>
    <cellStyle name="Обычный 6 7 7 2 4" xfId="23858"/>
    <cellStyle name="Обычный 6 7 7 2 4 2" xfId="23859"/>
    <cellStyle name="Обычный 6 7 7 2 4 3" xfId="23860"/>
    <cellStyle name="Обычный 6 7 7 2 5" xfId="23861"/>
    <cellStyle name="Обычный 6 7 7 2 5 2" xfId="23862"/>
    <cellStyle name="Обычный 6 7 7 2 6" xfId="23863"/>
    <cellStyle name="Обычный 6 7 7 2 7" xfId="23864"/>
    <cellStyle name="Обычный 6 7 7 3" xfId="23865"/>
    <cellStyle name="Обычный 6 7 7 3 2" xfId="23866"/>
    <cellStyle name="Обычный 6 7 7 3 2 2" xfId="23867"/>
    <cellStyle name="Обычный 6 7 7 3 2 3" xfId="23868"/>
    <cellStyle name="Обычный 6 7 7 3 3" xfId="23869"/>
    <cellStyle name="Обычный 6 7 7 3 3 2" xfId="23870"/>
    <cellStyle name="Обычный 6 7 7 3 3 3" xfId="23871"/>
    <cellStyle name="Обычный 6 7 7 3 4" xfId="23872"/>
    <cellStyle name="Обычный 6 7 7 3 4 2" xfId="23873"/>
    <cellStyle name="Обычный 6 7 7 3 5" xfId="23874"/>
    <cellStyle name="Обычный 6 7 7 3 6" xfId="23875"/>
    <cellStyle name="Обычный 6 7 7 4" xfId="23876"/>
    <cellStyle name="Обычный 6 7 7 4 2" xfId="23877"/>
    <cellStyle name="Обычный 6 7 7 4 3" xfId="23878"/>
    <cellStyle name="Обычный 6 7 7 5" xfId="23879"/>
    <cellStyle name="Обычный 6 7 7 5 2" xfId="23880"/>
    <cellStyle name="Обычный 6 7 7 5 3" xfId="23881"/>
    <cellStyle name="Обычный 6 7 7 6" xfId="23882"/>
    <cellStyle name="Обычный 6 7 7 6 2" xfId="23883"/>
    <cellStyle name="Обычный 6 7 7 7" xfId="23884"/>
    <cellStyle name="Обычный 6 7 7 8" xfId="23885"/>
    <cellStyle name="Обычный 6 7 8" xfId="23886"/>
    <cellStyle name="Обычный 6 7 8 2" xfId="23887"/>
    <cellStyle name="Обычный 6 7 8 2 2" xfId="23888"/>
    <cellStyle name="Обычный 6 7 8 2 2 2" xfId="23889"/>
    <cellStyle name="Обычный 6 7 8 2 2 3" xfId="23890"/>
    <cellStyle name="Обычный 6 7 8 2 3" xfId="23891"/>
    <cellStyle name="Обычный 6 7 8 2 3 2" xfId="23892"/>
    <cellStyle name="Обычный 6 7 8 2 3 3" xfId="23893"/>
    <cellStyle name="Обычный 6 7 8 2 4" xfId="23894"/>
    <cellStyle name="Обычный 6 7 8 2 4 2" xfId="23895"/>
    <cellStyle name="Обычный 6 7 8 2 5" xfId="23896"/>
    <cellStyle name="Обычный 6 7 8 2 6" xfId="23897"/>
    <cellStyle name="Обычный 6 7 8 3" xfId="23898"/>
    <cellStyle name="Обычный 6 7 8 3 2" xfId="23899"/>
    <cellStyle name="Обычный 6 7 8 3 3" xfId="23900"/>
    <cellStyle name="Обычный 6 7 8 4" xfId="23901"/>
    <cellStyle name="Обычный 6 7 8 4 2" xfId="23902"/>
    <cellStyle name="Обычный 6 7 8 4 3" xfId="23903"/>
    <cellStyle name="Обычный 6 7 8 5" xfId="23904"/>
    <cellStyle name="Обычный 6 7 8 5 2" xfId="23905"/>
    <cellStyle name="Обычный 6 7 8 6" xfId="23906"/>
    <cellStyle name="Обычный 6 7 8 7" xfId="23907"/>
    <cellStyle name="Обычный 6 7 9" xfId="23908"/>
    <cellStyle name="Обычный 6 7 9 2" xfId="23909"/>
    <cellStyle name="Обычный 6 7 9 2 2" xfId="23910"/>
    <cellStyle name="Обычный 6 7 9 2 3" xfId="23911"/>
    <cellStyle name="Обычный 6 7 9 3" xfId="23912"/>
    <cellStyle name="Обычный 6 7 9 3 2" xfId="23913"/>
    <cellStyle name="Обычный 6 7 9 3 3" xfId="23914"/>
    <cellStyle name="Обычный 6 7 9 4" xfId="23915"/>
    <cellStyle name="Обычный 6 7 9 4 2" xfId="23916"/>
    <cellStyle name="Обычный 6 7 9 5" xfId="23917"/>
    <cellStyle name="Обычный 6 7 9 6" xfId="23918"/>
    <cellStyle name="Обычный 6 8" xfId="23919"/>
    <cellStyle name="Обычный 6 8 10" xfId="23920"/>
    <cellStyle name="Обычный 6 8 10 2" xfId="23921"/>
    <cellStyle name="Обычный 6 8 10 3" xfId="23922"/>
    <cellStyle name="Обычный 6 8 11" xfId="23923"/>
    <cellStyle name="Обычный 6 8 11 2" xfId="23924"/>
    <cellStyle name="Обычный 6 8 11 3" xfId="23925"/>
    <cellStyle name="Обычный 6 8 12" xfId="23926"/>
    <cellStyle name="Обычный 6 8 12 2" xfId="23927"/>
    <cellStyle name="Обычный 6 8 13" xfId="23928"/>
    <cellStyle name="Обычный 6 8 14" xfId="23929"/>
    <cellStyle name="Обычный 6 8 2" xfId="23930"/>
    <cellStyle name="Обычный 6 8 2 10" xfId="23931"/>
    <cellStyle name="Обычный 6 8 2 10 2" xfId="23932"/>
    <cellStyle name="Обычный 6 8 2 10 3" xfId="23933"/>
    <cellStyle name="Обычный 6 8 2 11" xfId="23934"/>
    <cellStyle name="Обычный 6 8 2 11 2" xfId="23935"/>
    <cellStyle name="Обычный 6 8 2 12" xfId="23936"/>
    <cellStyle name="Обычный 6 8 2 13" xfId="23937"/>
    <cellStyle name="Обычный 6 8 2 2" xfId="23938"/>
    <cellStyle name="Обычный 6 8 2 2 10" xfId="23939"/>
    <cellStyle name="Обычный 6 8 2 2 2" xfId="23940"/>
    <cellStyle name="Обычный 6 8 2 2 2 2" xfId="23941"/>
    <cellStyle name="Обычный 6 8 2 2 2 2 2" xfId="23942"/>
    <cellStyle name="Обычный 6 8 2 2 2 2 2 2" xfId="23943"/>
    <cellStyle name="Обычный 6 8 2 2 2 2 2 2 2" xfId="23944"/>
    <cellStyle name="Обычный 6 8 2 2 2 2 2 2 2 2" xfId="23945"/>
    <cellStyle name="Обычный 6 8 2 2 2 2 2 2 2 3" xfId="23946"/>
    <cellStyle name="Обычный 6 8 2 2 2 2 2 2 3" xfId="23947"/>
    <cellStyle name="Обычный 6 8 2 2 2 2 2 2 3 2" xfId="23948"/>
    <cellStyle name="Обычный 6 8 2 2 2 2 2 2 3 3" xfId="23949"/>
    <cellStyle name="Обычный 6 8 2 2 2 2 2 2 4" xfId="23950"/>
    <cellStyle name="Обычный 6 8 2 2 2 2 2 2 4 2" xfId="23951"/>
    <cellStyle name="Обычный 6 8 2 2 2 2 2 2 5" xfId="23952"/>
    <cellStyle name="Обычный 6 8 2 2 2 2 2 2 6" xfId="23953"/>
    <cellStyle name="Обычный 6 8 2 2 2 2 2 3" xfId="23954"/>
    <cellStyle name="Обычный 6 8 2 2 2 2 2 3 2" xfId="23955"/>
    <cellStyle name="Обычный 6 8 2 2 2 2 2 3 3" xfId="23956"/>
    <cellStyle name="Обычный 6 8 2 2 2 2 2 4" xfId="23957"/>
    <cellStyle name="Обычный 6 8 2 2 2 2 2 4 2" xfId="23958"/>
    <cellStyle name="Обычный 6 8 2 2 2 2 2 4 3" xfId="23959"/>
    <cellStyle name="Обычный 6 8 2 2 2 2 2 5" xfId="23960"/>
    <cellStyle name="Обычный 6 8 2 2 2 2 2 5 2" xfId="23961"/>
    <cellStyle name="Обычный 6 8 2 2 2 2 2 6" xfId="23962"/>
    <cellStyle name="Обычный 6 8 2 2 2 2 2 7" xfId="23963"/>
    <cellStyle name="Обычный 6 8 2 2 2 2 3" xfId="23964"/>
    <cellStyle name="Обычный 6 8 2 2 2 2 3 2" xfId="23965"/>
    <cellStyle name="Обычный 6 8 2 2 2 2 3 2 2" xfId="23966"/>
    <cellStyle name="Обычный 6 8 2 2 2 2 3 2 3" xfId="23967"/>
    <cellStyle name="Обычный 6 8 2 2 2 2 3 3" xfId="23968"/>
    <cellStyle name="Обычный 6 8 2 2 2 2 3 3 2" xfId="23969"/>
    <cellStyle name="Обычный 6 8 2 2 2 2 3 3 3" xfId="23970"/>
    <cellStyle name="Обычный 6 8 2 2 2 2 3 4" xfId="23971"/>
    <cellStyle name="Обычный 6 8 2 2 2 2 3 4 2" xfId="23972"/>
    <cellStyle name="Обычный 6 8 2 2 2 2 3 5" xfId="23973"/>
    <cellStyle name="Обычный 6 8 2 2 2 2 3 6" xfId="23974"/>
    <cellStyle name="Обычный 6 8 2 2 2 2 4" xfId="23975"/>
    <cellStyle name="Обычный 6 8 2 2 2 2 4 2" xfId="23976"/>
    <cellStyle name="Обычный 6 8 2 2 2 2 4 3" xfId="23977"/>
    <cellStyle name="Обычный 6 8 2 2 2 2 5" xfId="23978"/>
    <cellStyle name="Обычный 6 8 2 2 2 2 5 2" xfId="23979"/>
    <cellStyle name="Обычный 6 8 2 2 2 2 5 3" xfId="23980"/>
    <cellStyle name="Обычный 6 8 2 2 2 2 6" xfId="23981"/>
    <cellStyle name="Обычный 6 8 2 2 2 2 6 2" xfId="23982"/>
    <cellStyle name="Обычный 6 8 2 2 2 2 7" xfId="23983"/>
    <cellStyle name="Обычный 6 8 2 2 2 2 8" xfId="23984"/>
    <cellStyle name="Обычный 6 8 2 2 2 3" xfId="23985"/>
    <cellStyle name="Обычный 6 8 2 2 2 3 2" xfId="23986"/>
    <cellStyle name="Обычный 6 8 2 2 2 3 2 2" xfId="23987"/>
    <cellStyle name="Обычный 6 8 2 2 2 3 2 2 2" xfId="23988"/>
    <cellStyle name="Обычный 6 8 2 2 2 3 2 2 3" xfId="23989"/>
    <cellStyle name="Обычный 6 8 2 2 2 3 2 3" xfId="23990"/>
    <cellStyle name="Обычный 6 8 2 2 2 3 2 3 2" xfId="23991"/>
    <cellStyle name="Обычный 6 8 2 2 2 3 2 3 3" xfId="23992"/>
    <cellStyle name="Обычный 6 8 2 2 2 3 2 4" xfId="23993"/>
    <cellStyle name="Обычный 6 8 2 2 2 3 2 4 2" xfId="23994"/>
    <cellStyle name="Обычный 6 8 2 2 2 3 2 5" xfId="23995"/>
    <cellStyle name="Обычный 6 8 2 2 2 3 2 6" xfId="23996"/>
    <cellStyle name="Обычный 6 8 2 2 2 3 3" xfId="23997"/>
    <cellStyle name="Обычный 6 8 2 2 2 3 3 2" xfId="23998"/>
    <cellStyle name="Обычный 6 8 2 2 2 3 3 3" xfId="23999"/>
    <cellStyle name="Обычный 6 8 2 2 2 3 4" xfId="24000"/>
    <cellStyle name="Обычный 6 8 2 2 2 3 4 2" xfId="24001"/>
    <cellStyle name="Обычный 6 8 2 2 2 3 4 3" xfId="24002"/>
    <cellStyle name="Обычный 6 8 2 2 2 3 5" xfId="24003"/>
    <cellStyle name="Обычный 6 8 2 2 2 3 5 2" xfId="24004"/>
    <cellStyle name="Обычный 6 8 2 2 2 3 6" xfId="24005"/>
    <cellStyle name="Обычный 6 8 2 2 2 3 7" xfId="24006"/>
    <cellStyle name="Обычный 6 8 2 2 2 4" xfId="24007"/>
    <cellStyle name="Обычный 6 8 2 2 2 4 2" xfId="24008"/>
    <cellStyle name="Обычный 6 8 2 2 2 4 2 2" xfId="24009"/>
    <cellStyle name="Обычный 6 8 2 2 2 4 2 3" xfId="24010"/>
    <cellStyle name="Обычный 6 8 2 2 2 4 3" xfId="24011"/>
    <cellStyle name="Обычный 6 8 2 2 2 4 3 2" xfId="24012"/>
    <cellStyle name="Обычный 6 8 2 2 2 4 3 3" xfId="24013"/>
    <cellStyle name="Обычный 6 8 2 2 2 4 4" xfId="24014"/>
    <cellStyle name="Обычный 6 8 2 2 2 4 4 2" xfId="24015"/>
    <cellStyle name="Обычный 6 8 2 2 2 4 5" xfId="24016"/>
    <cellStyle name="Обычный 6 8 2 2 2 4 6" xfId="24017"/>
    <cellStyle name="Обычный 6 8 2 2 2 5" xfId="24018"/>
    <cellStyle name="Обычный 6 8 2 2 2 5 2" xfId="24019"/>
    <cellStyle name="Обычный 6 8 2 2 2 5 3" xfId="24020"/>
    <cellStyle name="Обычный 6 8 2 2 2 6" xfId="24021"/>
    <cellStyle name="Обычный 6 8 2 2 2 6 2" xfId="24022"/>
    <cellStyle name="Обычный 6 8 2 2 2 6 3" xfId="24023"/>
    <cellStyle name="Обычный 6 8 2 2 2 7" xfId="24024"/>
    <cellStyle name="Обычный 6 8 2 2 2 7 2" xfId="24025"/>
    <cellStyle name="Обычный 6 8 2 2 2 8" xfId="24026"/>
    <cellStyle name="Обычный 6 8 2 2 2 9" xfId="24027"/>
    <cellStyle name="Обычный 6 8 2 2 3" xfId="24028"/>
    <cellStyle name="Обычный 6 8 2 2 3 2" xfId="24029"/>
    <cellStyle name="Обычный 6 8 2 2 3 2 2" xfId="24030"/>
    <cellStyle name="Обычный 6 8 2 2 3 2 2 2" xfId="24031"/>
    <cellStyle name="Обычный 6 8 2 2 3 2 2 2 2" xfId="24032"/>
    <cellStyle name="Обычный 6 8 2 2 3 2 2 2 3" xfId="24033"/>
    <cellStyle name="Обычный 6 8 2 2 3 2 2 3" xfId="24034"/>
    <cellStyle name="Обычный 6 8 2 2 3 2 2 3 2" xfId="24035"/>
    <cellStyle name="Обычный 6 8 2 2 3 2 2 3 3" xfId="24036"/>
    <cellStyle name="Обычный 6 8 2 2 3 2 2 4" xfId="24037"/>
    <cellStyle name="Обычный 6 8 2 2 3 2 2 4 2" xfId="24038"/>
    <cellStyle name="Обычный 6 8 2 2 3 2 2 5" xfId="24039"/>
    <cellStyle name="Обычный 6 8 2 2 3 2 2 6" xfId="24040"/>
    <cellStyle name="Обычный 6 8 2 2 3 2 3" xfId="24041"/>
    <cellStyle name="Обычный 6 8 2 2 3 2 3 2" xfId="24042"/>
    <cellStyle name="Обычный 6 8 2 2 3 2 3 3" xfId="24043"/>
    <cellStyle name="Обычный 6 8 2 2 3 2 4" xfId="24044"/>
    <cellStyle name="Обычный 6 8 2 2 3 2 4 2" xfId="24045"/>
    <cellStyle name="Обычный 6 8 2 2 3 2 4 3" xfId="24046"/>
    <cellStyle name="Обычный 6 8 2 2 3 2 5" xfId="24047"/>
    <cellStyle name="Обычный 6 8 2 2 3 2 5 2" xfId="24048"/>
    <cellStyle name="Обычный 6 8 2 2 3 2 6" xfId="24049"/>
    <cellStyle name="Обычный 6 8 2 2 3 2 7" xfId="24050"/>
    <cellStyle name="Обычный 6 8 2 2 3 3" xfId="24051"/>
    <cellStyle name="Обычный 6 8 2 2 3 3 2" xfId="24052"/>
    <cellStyle name="Обычный 6 8 2 2 3 3 2 2" xfId="24053"/>
    <cellStyle name="Обычный 6 8 2 2 3 3 2 3" xfId="24054"/>
    <cellStyle name="Обычный 6 8 2 2 3 3 3" xfId="24055"/>
    <cellStyle name="Обычный 6 8 2 2 3 3 3 2" xfId="24056"/>
    <cellStyle name="Обычный 6 8 2 2 3 3 3 3" xfId="24057"/>
    <cellStyle name="Обычный 6 8 2 2 3 3 4" xfId="24058"/>
    <cellStyle name="Обычный 6 8 2 2 3 3 4 2" xfId="24059"/>
    <cellStyle name="Обычный 6 8 2 2 3 3 5" xfId="24060"/>
    <cellStyle name="Обычный 6 8 2 2 3 3 6" xfId="24061"/>
    <cellStyle name="Обычный 6 8 2 2 3 4" xfId="24062"/>
    <cellStyle name="Обычный 6 8 2 2 3 4 2" xfId="24063"/>
    <cellStyle name="Обычный 6 8 2 2 3 4 3" xfId="24064"/>
    <cellStyle name="Обычный 6 8 2 2 3 5" xfId="24065"/>
    <cellStyle name="Обычный 6 8 2 2 3 5 2" xfId="24066"/>
    <cellStyle name="Обычный 6 8 2 2 3 5 3" xfId="24067"/>
    <cellStyle name="Обычный 6 8 2 2 3 6" xfId="24068"/>
    <cellStyle name="Обычный 6 8 2 2 3 6 2" xfId="24069"/>
    <cellStyle name="Обычный 6 8 2 2 3 7" xfId="24070"/>
    <cellStyle name="Обычный 6 8 2 2 3 8" xfId="24071"/>
    <cellStyle name="Обычный 6 8 2 2 4" xfId="24072"/>
    <cellStyle name="Обычный 6 8 2 2 4 2" xfId="24073"/>
    <cellStyle name="Обычный 6 8 2 2 4 2 2" xfId="24074"/>
    <cellStyle name="Обычный 6 8 2 2 4 2 2 2" xfId="24075"/>
    <cellStyle name="Обычный 6 8 2 2 4 2 2 3" xfId="24076"/>
    <cellStyle name="Обычный 6 8 2 2 4 2 3" xfId="24077"/>
    <cellStyle name="Обычный 6 8 2 2 4 2 3 2" xfId="24078"/>
    <cellStyle name="Обычный 6 8 2 2 4 2 3 3" xfId="24079"/>
    <cellStyle name="Обычный 6 8 2 2 4 2 4" xfId="24080"/>
    <cellStyle name="Обычный 6 8 2 2 4 2 4 2" xfId="24081"/>
    <cellStyle name="Обычный 6 8 2 2 4 2 5" xfId="24082"/>
    <cellStyle name="Обычный 6 8 2 2 4 2 6" xfId="24083"/>
    <cellStyle name="Обычный 6 8 2 2 4 3" xfId="24084"/>
    <cellStyle name="Обычный 6 8 2 2 4 3 2" xfId="24085"/>
    <cellStyle name="Обычный 6 8 2 2 4 3 3" xfId="24086"/>
    <cellStyle name="Обычный 6 8 2 2 4 4" xfId="24087"/>
    <cellStyle name="Обычный 6 8 2 2 4 4 2" xfId="24088"/>
    <cellStyle name="Обычный 6 8 2 2 4 4 3" xfId="24089"/>
    <cellStyle name="Обычный 6 8 2 2 4 5" xfId="24090"/>
    <cellStyle name="Обычный 6 8 2 2 4 5 2" xfId="24091"/>
    <cellStyle name="Обычный 6 8 2 2 4 6" xfId="24092"/>
    <cellStyle name="Обычный 6 8 2 2 4 7" xfId="24093"/>
    <cellStyle name="Обычный 6 8 2 2 5" xfId="24094"/>
    <cellStyle name="Обычный 6 8 2 2 5 2" xfId="24095"/>
    <cellStyle name="Обычный 6 8 2 2 5 2 2" xfId="24096"/>
    <cellStyle name="Обычный 6 8 2 2 5 2 3" xfId="24097"/>
    <cellStyle name="Обычный 6 8 2 2 5 3" xfId="24098"/>
    <cellStyle name="Обычный 6 8 2 2 5 3 2" xfId="24099"/>
    <cellStyle name="Обычный 6 8 2 2 5 3 3" xfId="24100"/>
    <cellStyle name="Обычный 6 8 2 2 5 4" xfId="24101"/>
    <cellStyle name="Обычный 6 8 2 2 5 4 2" xfId="24102"/>
    <cellStyle name="Обычный 6 8 2 2 5 5" xfId="24103"/>
    <cellStyle name="Обычный 6 8 2 2 5 6" xfId="24104"/>
    <cellStyle name="Обычный 6 8 2 2 6" xfId="24105"/>
    <cellStyle name="Обычный 6 8 2 2 6 2" xfId="24106"/>
    <cellStyle name="Обычный 6 8 2 2 6 3" xfId="24107"/>
    <cellStyle name="Обычный 6 8 2 2 7" xfId="24108"/>
    <cellStyle name="Обычный 6 8 2 2 7 2" xfId="24109"/>
    <cellStyle name="Обычный 6 8 2 2 7 3" xfId="24110"/>
    <cellStyle name="Обычный 6 8 2 2 8" xfId="24111"/>
    <cellStyle name="Обычный 6 8 2 2 8 2" xfId="24112"/>
    <cellStyle name="Обычный 6 8 2 2 9" xfId="24113"/>
    <cellStyle name="Обычный 6 8 2 3" xfId="24114"/>
    <cellStyle name="Обычный 6 8 2 3 10" xfId="24115"/>
    <cellStyle name="Обычный 6 8 2 3 2" xfId="24116"/>
    <cellStyle name="Обычный 6 8 2 3 2 2" xfId="24117"/>
    <cellStyle name="Обычный 6 8 2 3 2 2 2" xfId="24118"/>
    <cellStyle name="Обычный 6 8 2 3 2 2 2 2" xfId="24119"/>
    <cellStyle name="Обычный 6 8 2 3 2 2 2 2 2" xfId="24120"/>
    <cellStyle name="Обычный 6 8 2 3 2 2 2 2 2 2" xfId="24121"/>
    <cellStyle name="Обычный 6 8 2 3 2 2 2 2 2 3" xfId="24122"/>
    <cellStyle name="Обычный 6 8 2 3 2 2 2 2 3" xfId="24123"/>
    <cellStyle name="Обычный 6 8 2 3 2 2 2 2 3 2" xfId="24124"/>
    <cellStyle name="Обычный 6 8 2 3 2 2 2 2 3 3" xfId="24125"/>
    <cellStyle name="Обычный 6 8 2 3 2 2 2 2 4" xfId="24126"/>
    <cellStyle name="Обычный 6 8 2 3 2 2 2 2 4 2" xfId="24127"/>
    <cellStyle name="Обычный 6 8 2 3 2 2 2 2 5" xfId="24128"/>
    <cellStyle name="Обычный 6 8 2 3 2 2 2 2 6" xfId="24129"/>
    <cellStyle name="Обычный 6 8 2 3 2 2 2 3" xfId="24130"/>
    <cellStyle name="Обычный 6 8 2 3 2 2 2 3 2" xfId="24131"/>
    <cellStyle name="Обычный 6 8 2 3 2 2 2 3 3" xfId="24132"/>
    <cellStyle name="Обычный 6 8 2 3 2 2 2 4" xfId="24133"/>
    <cellStyle name="Обычный 6 8 2 3 2 2 2 4 2" xfId="24134"/>
    <cellStyle name="Обычный 6 8 2 3 2 2 2 4 3" xfId="24135"/>
    <cellStyle name="Обычный 6 8 2 3 2 2 2 5" xfId="24136"/>
    <cellStyle name="Обычный 6 8 2 3 2 2 2 5 2" xfId="24137"/>
    <cellStyle name="Обычный 6 8 2 3 2 2 2 6" xfId="24138"/>
    <cellStyle name="Обычный 6 8 2 3 2 2 2 7" xfId="24139"/>
    <cellStyle name="Обычный 6 8 2 3 2 2 3" xfId="24140"/>
    <cellStyle name="Обычный 6 8 2 3 2 2 3 2" xfId="24141"/>
    <cellStyle name="Обычный 6 8 2 3 2 2 3 2 2" xfId="24142"/>
    <cellStyle name="Обычный 6 8 2 3 2 2 3 2 3" xfId="24143"/>
    <cellStyle name="Обычный 6 8 2 3 2 2 3 3" xfId="24144"/>
    <cellStyle name="Обычный 6 8 2 3 2 2 3 3 2" xfId="24145"/>
    <cellStyle name="Обычный 6 8 2 3 2 2 3 3 3" xfId="24146"/>
    <cellStyle name="Обычный 6 8 2 3 2 2 3 4" xfId="24147"/>
    <cellStyle name="Обычный 6 8 2 3 2 2 3 4 2" xfId="24148"/>
    <cellStyle name="Обычный 6 8 2 3 2 2 3 5" xfId="24149"/>
    <cellStyle name="Обычный 6 8 2 3 2 2 3 6" xfId="24150"/>
    <cellStyle name="Обычный 6 8 2 3 2 2 4" xfId="24151"/>
    <cellStyle name="Обычный 6 8 2 3 2 2 4 2" xfId="24152"/>
    <cellStyle name="Обычный 6 8 2 3 2 2 4 3" xfId="24153"/>
    <cellStyle name="Обычный 6 8 2 3 2 2 5" xfId="24154"/>
    <cellStyle name="Обычный 6 8 2 3 2 2 5 2" xfId="24155"/>
    <cellStyle name="Обычный 6 8 2 3 2 2 5 3" xfId="24156"/>
    <cellStyle name="Обычный 6 8 2 3 2 2 6" xfId="24157"/>
    <cellStyle name="Обычный 6 8 2 3 2 2 6 2" xfId="24158"/>
    <cellStyle name="Обычный 6 8 2 3 2 2 7" xfId="24159"/>
    <cellStyle name="Обычный 6 8 2 3 2 2 8" xfId="24160"/>
    <cellStyle name="Обычный 6 8 2 3 2 3" xfId="24161"/>
    <cellStyle name="Обычный 6 8 2 3 2 3 2" xfId="24162"/>
    <cellStyle name="Обычный 6 8 2 3 2 3 2 2" xfId="24163"/>
    <cellStyle name="Обычный 6 8 2 3 2 3 2 2 2" xfId="24164"/>
    <cellStyle name="Обычный 6 8 2 3 2 3 2 2 3" xfId="24165"/>
    <cellStyle name="Обычный 6 8 2 3 2 3 2 3" xfId="24166"/>
    <cellStyle name="Обычный 6 8 2 3 2 3 2 3 2" xfId="24167"/>
    <cellStyle name="Обычный 6 8 2 3 2 3 2 3 3" xfId="24168"/>
    <cellStyle name="Обычный 6 8 2 3 2 3 2 4" xfId="24169"/>
    <cellStyle name="Обычный 6 8 2 3 2 3 2 4 2" xfId="24170"/>
    <cellStyle name="Обычный 6 8 2 3 2 3 2 5" xfId="24171"/>
    <cellStyle name="Обычный 6 8 2 3 2 3 2 6" xfId="24172"/>
    <cellStyle name="Обычный 6 8 2 3 2 3 3" xfId="24173"/>
    <cellStyle name="Обычный 6 8 2 3 2 3 3 2" xfId="24174"/>
    <cellStyle name="Обычный 6 8 2 3 2 3 3 3" xfId="24175"/>
    <cellStyle name="Обычный 6 8 2 3 2 3 4" xfId="24176"/>
    <cellStyle name="Обычный 6 8 2 3 2 3 4 2" xfId="24177"/>
    <cellStyle name="Обычный 6 8 2 3 2 3 4 3" xfId="24178"/>
    <cellStyle name="Обычный 6 8 2 3 2 3 5" xfId="24179"/>
    <cellStyle name="Обычный 6 8 2 3 2 3 5 2" xfId="24180"/>
    <cellStyle name="Обычный 6 8 2 3 2 3 6" xfId="24181"/>
    <cellStyle name="Обычный 6 8 2 3 2 3 7" xfId="24182"/>
    <cellStyle name="Обычный 6 8 2 3 2 4" xfId="24183"/>
    <cellStyle name="Обычный 6 8 2 3 2 4 2" xfId="24184"/>
    <cellStyle name="Обычный 6 8 2 3 2 4 2 2" xfId="24185"/>
    <cellStyle name="Обычный 6 8 2 3 2 4 2 3" xfId="24186"/>
    <cellStyle name="Обычный 6 8 2 3 2 4 3" xfId="24187"/>
    <cellStyle name="Обычный 6 8 2 3 2 4 3 2" xfId="24188"/>
    <cellStyle name="Обычный 6 8 2 3 2 4 3 3" xfId="24189"/>
    <cellStyle name="Обычный 6 8 2 3 2 4 4" xfId="24190"/>
    <cellStyle name="Обычный 6 8 2 3 2 4 4 2" xfId="24191"/>
    <cellStyle name="Обычный 6 8 2 3 2 4 5" xfId="24192"/>
    <cellStyle name="Обычный 6 8 2 3 2 4 6" xfId="24193"/>
    <cellStyle name="Обычный 6 8 2 3 2 5" xfId="24194"/>
    <cellStyle name="Обычный 6 8 2 3 2 5 2" xfId="24195"/>
    <cellStyle name="Обычный 6 8 2 3 2 5 3" xfId="24196"/>
    <cellStyle name="Обычный 6 8 2 3 2 6" xfId="24197"/>
    <cellStyle name="Обычный 6 8 2 3 2 6 2" xfId="24198"/>
    <cellStyle name="Обычный 6 8 2 3 2 6 3" xfId="24199"/>
    <cellStyle name="Обычный 6 8 2 3 2 7" xfId="24200"/>
    <cellStyle name="Обычный 6 8 2 3 2 7 2" xfId="24201"/>
    <cellStyle name="Обычный 6 8 2 3 2 8" xfId="24202"/>
    <cellStyle name="Обычный 6 8 2 3 2 9" xfId="24203"/>
    <cellStyle name="Обычный 6 8 2 3 3" xfId="24204"/>
    <cellStyle name="Обычный 6 8 2 3 3 2" xfId="24205"/>
    <cellStyle name="Обычный 6 8 2 3 3 2 2" xfId="24206"/>
    <cellStyle name="Обычный 6 8 2 3 3 2 2 2" xfId="24207"/>
    <cellStyle name="Обычный 6 8 2 3 3 2 2 2 2" xfId="24208"/>
    <cellStyle name="Обычный 6 8 2 3 3 2 2 2 3" xfId="24209"/>
    <cellStyle name="Обычный 6 8 2 3 3 2 2 3" xfId="24210"/>
    <cellStyle name="Обычный 6 8 2 3 3 2 2 3 2" xfId="24211"/>
    <cellStyle name="Обычный 6 8 2 3 3 2 2 3 3" xfId="24212"/>
    <cellStyle name="Обычный 6 8 2 3 3 2 2 4" xfId="24213"/>
    <cellStyle name="Обычный 6 8 2 3 3 2 2 4 2" xfId="24214"/>
    <cellStyle name="Обычный 6 8 2 3 3 2 2 5" xfId="24215"/>
    <cellStyle name="Обычный 6 8 2 3 3 2 2 6" xfId="24216"/>
    <cellStyle name="Обычный 6 8 2 3 3 2 3" xfId="24217"/>
    <cellStyle name="Обычный 6 8 2 3 3 2 3 2" xfId="24218"/>
    <cellStyle name="Обычный 6 8 2 3 3 2 3 3" xfId="24219"/>
    <cellStyle name="Обычный 6 8 2 3 3 2 4" xfId="24220"/>
    <cellStyle name="Обычный 6 8 2 3 3 2 4 2" xfId="24221"/>
    <cellStyle name="Обычный 6 8 2 3 3 2 4 3" xfId="24222"/>
    <cellStyle name="Обычный 6 8 2 3 3 2 5" xfId="24223"/>
    <cellStyle name="Обычный 6 8 2 3 3 2 5 2" xfId="24224"/>
    <cellStyle name="Обычный 6 8 2 3 3 2 6" xfId="24225"/>
    <cellStyle name="Обычный 6 8 2 3 3 2 7" xfId="24226"/>
    <cellStyle name="Обычный 6 8 2 3 3 3" xfId="24227"/>
    <cellStyle name="Обычный 6 8 2 3 3 3 2" xfId="24228"/>
    <cellStyle name="Обычный 6 8 2 3 3 3 2 2" xfId="24229"/>
    <cellStyle name="Обычный 6 8 2 3 3 3 2 3" xfId="24230"/>
    <cellStyle name="Обычный 6 8 2 3 3 3 3" xfId="24231"/>
    <cellStyle name="Обычный 6 8 2 3 3 3 3 2" xfId="24232"/>
    <cellStyle name="Обычный 6 8 2 3 3 3 3 3" xfId="24233"/>
    <cellStyle name="Обычный 6 8 2 3 3 3 4" xfId="24234"/>
    <cellStyle name="Обычный 6 8 2 3 3 3 4 2" xfId="24235"/>
    <cellStyle name="Обычный 6 8 2 3 3 3 5" xfId="24236"/>
    <cellStyle name="Обычный 6 8 2 3 3 3 6" xfId="24237"/>
    <cellStyle name="Обычный 6 8 2 3 3 4" xfId="24238"/>
    <cellStyle name="Обычный 6 8 2 3 3 4 2" xfId="24239"/>
    <cellStyle name="Обычный 6 8 2 3 3 4 3" xfId="24240"/>
    <cellStyle name="Обычный 6 8 2 3 3 5" xfId="24241"/>
    <cellStyle name="Обычный 6 8 2 3 3 5 2" xfId="24242"/>
    <cellStyle name="Обычный 6 8 2 3 3 5 3" xfId="24243"/>
    <cellStyle name="Обычный 6 8 2 3 3 6" xfId="24244"/>
    <cellStyle name="Обычный 6 8 2 3 3 6 2" xfId="24245"/>
    <cellStyle name="Обычный 6 8 2 3 3 7" xfId="24246"/>
    <cellStyle name="Обычный 6 8 2 3 3 8" xfId="24247"/>
    <cellStyle name="Обычный 6 8 2 3 4" xfId="24248"/>
    <cellStyle name="Обычный 6 8 2 3 4 2" xfId="24249"/>
    <cellStyle name="Обычный 6 8 2 3 4 2 2" xfId="24250"/>
    <cellStyle name="Обычный 6 8 2 3 4 2 2 2" xfId="24251"/>
    <cellStyle name="Обычный 6 8 2 3 4 2 2 3" xfId="24252"/>
    <cellStyle name="Обычный 6 8 2 3 4 2 3" xfId="24253"/>
    <cellStyle name="Обычный 6 8 2 3 4 2 3 2" xfId="24254"/>
    <cellStyle name="Обычный 6 8 2 3 4 2 3 3" xfId="24255"/>
    <cellStyle name="Обычный 6 8 2 3 4 2 4" xfId="24256"/>
    <cellStyle name="Обычный 6 8 2 3 4 2 4 2" xfId="24257"/>
    <cellStyle name="Обычный 6 8 2 3 4 2 5" xfId="24258"/>
    <cellStyle name="Обычный 6 8 2 3 4 2 6" xfId="24259"/>
    <cellStyle name="Обычный 6 8 2 3 4 3" xfId="24260"/>
    <cellStyle name="Обычный 6 8 2 3 4 3 2" xfId="24261"/>
    <cellStyle name="Обычный 6 8 2 3 4 3 3" xfId="24262"/>
    <cellStyle name="Обычный 6 8 2 3 4 4" xfId="24263"/>
    <cellStyle name="Обычный 6 8 2 3 4 4 2" xfId="24264"/>
    <cellStyle name="Обычный 6 8 2 3 4 4 3" xfId="24265"/>
    <cellStyle name="Обычный 6 8 2 3 4 5" xfId="24266"/>
    <cellStyle name="Обычный 6 8 2 3 4 5 2" xfId="24267"/>
    <cellStyle name="Обычный 6 8 2 3 4 6" xfId="24268"/>
    <cellStyle name="Обычный 6 8 2 3 4 7" xfId="24269"/>
    <cellStyle name="Обычный 6 8 2 3 5" xfId="24270"/>
    <cellStyle name="Обычный 6 8 2 3 5 2" xfId="24271"/>
    <cellStyle name="Обычный 6 8 2 3 5 2 2" xfId="24272"/>
    <cellStyle name="Обычный 6 8 2 3 5 2 3" xfId="24273"/>
    <cellStyle name="Обычный 6 8 2 3 5 3" xfId="24274"/>
    <cellStyle name="Обычный 6 8 2 3 5 3 2" xfId="24275"/>
    <cellStyle name="Обычный 6 8 2 3 5 3 3" xfId="24276"/>
    <cellStyle name="Обычный 6 8 2 3 5 4" xfId="24277"/>
    <cellStyle name="Обычный 6 8 2 3 5 4 2" xfId="24278"/>
    <cellStyle name="Обычный 6 8 2 3 5 5" xfId="24279"/>
    <cellStyle name="Обычный 6 8 2 3 5 6" xfId="24280"/>
    <cellStyle name="Обычный 6 8 2 3 6" xfId="24281"/>
    <cellStyle name="Обычный 6 8 2 3 6 2" xfId="24282"/>
    <cellStyle name="Обычный 6 8 2 3 6 3" xfId="24283"/>
    <cellStyle name="Обычный 6 8 2 3 7" xfId="24284"/>
    <cellStyle name="Обычный 6 8 2 3 7 2" xfId="24285"/>
    <cellStyle name="Обычный 6 8 2 3 7 3" xfId="24286"/>
    <cellStyle name="Обычный 6 8 2 3 8" xfId="24287"/>
    <cellStyle name="Обычный 6 8 2 3 8 2" xfId="24288"/>
    <cellStyle name="Обычный 6 8 2 3 9" xfId="24289"/>
    <cellStyle name="Обычный 6 8 2 4" xfId="24290"/>
    <cellStyle name="Обычный 6 8 2 4 10" xfId="24291"/>
    <cellStyle name="Обычный 6 8 2 4 2" xfId="24292"/>
    <cellStyle name="Обычный 6 8 2 4 2 2" xfId="24293"/>
    <cellStyle name="Обычный 6 8 2 4 2 2 2" xfId="24294"/>
    <cellStyle name="Обычный 6 8 2 4 2 2 2 2" xfId="24295"/>
    <cellStyle name="Обычный 6 8 2 4 2 2 2 2 2" xfId="24296"/>
    <cellStyle name="Обычный 6 8 2 4 2 2 2 2 2 2" xfId="24297"/>
    <cellStyle name="Обычный 6 8 2 4 2 2 2 2 2 3" xfId="24298"/>
    <cellStyle name="Обычный 6 8 2 4 2 2 2 2 3" xfId="24299"/>
    <cellStyle name="Обычный 6 8 2 4 2 2 2 2 3 2" xfId="24300"/>
    <cellStyle name="Обычный 6 8 2 4 2 2 2 2 3 3" xfId="24301"/>
    <cellStyle name="Обычный 6 8 2 4 2 2 2 2 4" xfId="24302"/>
    <cellStyle name="Обычный 6 8 2 4 2 2 2 2 4 2" xfId="24303"/>
    <cellStyle name="Обычный 6 8 2 4 2 2 2 2 5" xfId="24304"/>
    <cellStyle name="Обычный 6 8 2 4 2 2 2 2 6" xfId="24305"/>
    <cellStyle name="Обычный 6 8 2 4 2 2 2 3" xfId="24306"/>
    <cellStyle name="Обычный 6 8 2 4 2 2 2 3 2" xfId="24307"/>
    <cellStyle name="Обычный 6 8 2 4 2 2 2 3 3" xfId="24308"/>
    <cellStyle name="Обычный 6 8 2 4 2 2 2 4" xfId="24309"/>
    <cellStyle name="Обычный 6 8 2 4 2 2 2 4 2" xfId="24310"/>
    <cellStyle name="Обычный 6 8 2 4 2 2 2 4 3" xfId="24311"/>
    <cellStyle name="Обычный 6 8 2 4 2 2 2 5" xfId="24312"/>
    <cellStyle name="Обычный 6 8 2 4 2 2 2 5 2" xfId="24313"/>
    <cellStyle name="Обычный 6 8 2 4 2 2 2 6" xfId="24314"/>
    <cellStyle name="Обычный 6 8 2 4 2 2 2 7" xfId="24315"/>
    <cellStyle name="Обычный 6 8 2 4 2 2 3" xfId="24316"/>
    <cellStyle name="Обычный 6 8 2 4 2 2 3 2" xfId="24317"/>
    <cellStyle name="Обычный 6 8 2 4 2 2 3 2 2" xfId="24318"/>
    <cellStyle name="Обычный 6 8 2 4 2 2 3 2 3" xfId="24319"/>
    <cellStyle name="Обычный 6 8 2 4 2 2 3 3" xfId="24320"/>
    <cellStyle name="Обычный 6 8 2 4 2 2 3 3 2" xfId="24321"/>
    <cellStyle name="Обычный 6 8 2 4 2 2 3 3 3" xfId="24322"/>
    <cellStyle name="Обычный 6 8 2 4 2 2 3 4" xfId="24323"/>
    <cellStyle name="Обычный 6 8 2 4 2 2 3 4 2" xfId="24324"/>
    <cellStyle name="Обычный 6 8 2 4 2 2 3 5" xfId="24325"/>
    <cellStyle name="Обычный 6 8 2 4 2 2 3 6" xfId="24326"/>
    <cellStyle name="Обычный 6 8 2 4 2 2 4" xfId="24327"/>
    <cellStyle name="Обычный 6 8 2 4 2 2 4 2" xfId="24328"/>
    <cellStyle name="Обычный 6 8 2 4 2 2 4 3" xfId="24329"/>
    <cellStyle name="Обычный 6 8 2 4 2 2 5" xfId="24330"/>
    <cellStyle name="Обычный 6 8 2 4 2 2 5 2" xfId="24331"/>
    <cellStyle name="Обычный 6 8 2 4 2 2 5 3" xfId="24332"/>
    <cellStyle name="Обычный 6 8 2 4 2 2 6" xfId="24333"/>
    <cellStyle name="Обычный 6 8 2 4 2 2 6 2" xfId="24334"/>
    <cellStyle name="Обычный 6 8 2 4 2 2 7" xfId="24335"/>
    <cellStyle name="Обычный 6 8 2 4 2 2 8" xfId="24336"/>
    <cellStyle name="Обычный 6 8 2 4 2 3" xfId="24337"/>
    <cellStyle name="Обычный 6 8 2 4 2 3 2" xfId="24338"/>
    <cellStyle name="Обычный 6 8 2 4 2 3 2 2" xfId="24339"/>
    <cellStyle name="Обычный 6 8 2 4 2 3 2 2 2" xfId="24340"/>
    <cellStyle name="Обычный 6 8 2 4 2 3 2 2 3" xfId="24341"/>
    <cellStyle name="Обычный 6 8 2 4 2 3 2 3" xfId="24342"/>
    <cellStyle name="Обычный 6 8 2 4 2 3 2 3 2" xfId="24343"/>
    <cellStyle name="Обычный 6 8 2 4 2 3 2 3 3" xfId="24344"/>
    <cellStyle name="Обычный 6 8 2 4 2 3 2 4" xfId="24345"/>
    <cellStyle name="Обычный 6 8 2 4 2 3 2 4 2" xfId="24346"/>
    <cellStyle name="Обычный 6 8 2 4 2 3 2 5" xfId="24347"/>
    <cellStyle name="Обычный 6 8 2 4 2 3 2 6" xfId="24348"/>
    <cellStyle name="Обычный 6 8 2 4 2 3 3" xfId="24349"/>
    <cellStyle name="Обычный 6 8 2 4 2 3 3 2" xfId="24350"/>
    <cellStyle name="Обычный 6 8 2 4 2 3 3 3" xfId="24351"/>
    <cellStyle name="Обычный 6 8 2 4 2 3 4" xfId="24352"/>
    <cellStyle name="Обычный 6 8 2 4 2 3 4 2" xfId="24353"/>
    <cellStyle name="Обычный 6 8 2 4 2 3 4 3" xfId="24354"/>
    <cellStyle name="Обычный 6 8 2 4 2 3 5" xfId="24355"/>
    <cellStyle name="Обычный 6 8 2 4 2 3 5 2" xfId="24356"/>
    <cellStyle name="Обычный 6 8 2 4 2 3 6" xfId="24357"/>
    <cellStyle name="Обычный 6 8 2 4 2 3 7" xfId="24358"/>
    <cellStyle name="Обычный 6 8 2 4 2 4" xfId="24359"/>
    <cellStyle name="Обычный 6 8 2 4 2 4 2" xfId="24360"/>
    <cellStyle name="Обычный 6 8 2 4 2 4 2 2" xfId="24361"/>
    <cellStyle name="Обычный 6 8 2 4 2 4 2 3" xfId="24362"/>
    <cellStyle name="Обычный 6 8 2 4 2 4 3" xfId="24363"/>
    <cellStyle name="Обычный 6 8 2 4 2 4 3 2" xfId="24364"/>
    <cellStyle name="Обычный 6 8 2 4 2 4 3 3" xfId="24365"/>
    <cellStyle name="Обычный 6 8 2 4 2 4 4" xfId="24366"/>
    <cellStyle name="Обычный 6 8 2 4 2 4 4 2" xfId="24367"/>
    <cellStyle name="Обычный 6 8 2 4 2 4 5" xfId="24368"/>
    <cellStyle name="Обычный 6 8 2 4 2 4 6" xfId="24369"/>
    <cellStyle name="Обычный 6 8 2 4 2 5" xfId="24370"/>
    <cellStyle name="Обычный 6 8 2 4 2 5 2" xfId="24371"/>
    <cellStyle name="Обычный 6 8 2 4 2 5 3" xfId="24372"/>
    <cellStyle name="Обычный 6 8 2 4 2 6" xfId="24373"/>
    <cellStyle name="Обычный 6 8 2 4 2 6 2" xfId="24374"/>
    <cellStyle name="Обычный 6 8 2 4 2 6 3" xfId="24375"/>
    <cellStyle name="Обычный 6 8 2 4 2 7" xfId="24376"/>
    <cellStyle name="Обычный 6 8 2 4 2 7 2" xfId="24377"/>
    <cellStyle name="Обычный 6 8 2 4 2 8" xfId="24378"/>
    <cellStyle name="Обычный 6 8 2 4 2 9" xfId="24379"/>
    <cellStyle name="Обычный 6 8 2 4 3" xfId="24380"/>
    <cellStyle name="Обычный 6 8 2 4 3 2" xfId="24381"/>
    <cellStyle name="Обычный 6 8 2 4 3 2 2" xfId="24382"/>
    <cellStyle name="Обычный 6 8 2 4 3 2 2 2" xfId="24383"/>
    <cellStyle name="Обычный 6 8 2 4 3 2 2 2 2" xfId="24384"/>
    <cellStyle name="Обычный 6 8 2 4 3 2 2 2 3" xfId="24385"/>
    <cellStyle name="Обычный 6 8 2 4 3 2 2 3" xfId="24386"/>
    <cellStyle name="Обычный 6 8 2 4 3 2 2 3 2" xfId="24387"/>
    <cellStyle name="Обычный 6 8 2 4 3 2 2 3 3" xfId="24388"/>
    <cellStyle name="Обычный 6 8 2 4 3 2 2 4" xfId="24389"/>
    <cellStyle name="Обычный 6 8 2 4 3 2 2 4 2" xfId="24390"/>
    <cellStyle name="Обычный 6 8 2 4 3 2 2 5" xfId="24391"/>
    <cellStyle name="Обычный 6 8 2 4 3 2 2 6" xfId="24392"/>
    <cellStyle name="Обычный 6 8 2 4 3 2 3" xfId="24393"/>
    <cellStyle name="Обычный 6 8 2 4 3 2 3 2" xfId="24394"/>
    <cellStyle name="Обычный 6 8 2 4 3 2 3 3" xfId="24395"/>
    <cellStyle name="Обычный 6 8 2 4 3 2 4" xfId="24396"/>
    <cellStyle name="Обычный 6 8 2 4 3 2 4 2" xfId="24397"/>
    <cellStyle name="Обычный 6 8 2 4 3 2 4 3" xfId="24398"/>
    <cellStyle name="Обычный 6 8 2 4 3 2 5" xfId="24399"/>
    <cellStyle name="Обычный 6 8 2 4 3 2 5 2" xfId="24400"/>
    <cellStyle name="Обычный 6 8 2 4 3 2 6" xfId="24401"/>
    <cellStyle name="Обычный 6 8 2 4 3 2 7" xfId="24402"/>
    <cellStyle name="Обычный 6 8 2 4 3 3" xfId="24403"/>
    <cellStyle name="Обычный 6 8 2 4 3 3 2" xfId="24404"/>
    <cellStyle name="Обычный 6 8 2 4 3 3 2 2" xfId="24405"/>
    <cellStyle name="Обычный 6 8 2 4 3 3 2 3" xfId="24406"/>
    <cellStyle name="Обычный 6 8 2 4 3 3 3" xfId="24407"/>
    <cellStyle name="Обычный 6 8 2 4 3 3 3 2" xfId="24408"/>
    <cellStyle name="Обычный 6 8 2 4 3 3 3 3" xfId="24409"/>
    <cellStyle name="Обычный 6 8 2 4 3 3 4" xfId="24410"/>
    <cellStyle name="Обычный 6 8 2 4 3 3 4 2" xfId="24411"/>
    <cellStyle name="Обычный 6 8 2 4 3 3 5" xfId="24412"/>
    <cellStyle name="Обычный 6 8 2 4 3 3 6" xfId="24413"/>
    <cellStyle name="Обычный 6 8 2 4 3 4" xfId="24414"/>
    <cellStyle name="Обычный 6 8 2 4 3 4 2" xfId="24415"/>
    <cellStyle name="Обычный 6 8 2 4 3 4 3" xfId="24416"/>
    <cellStyle name="Обычный 6 8 2 4 3 5" xfId="24417"/>
    <cellStyle name="Обычный 6 8 2 4 3 5 2" xfId="24418"/>
    <cellStyle name="Обычный 6 8 2 4 3 5 3" xfId="24419"/>
    <cellStyle name="Обычный 6 8 2 4 3 6" xfId="24420"/>
    <cellStyle name="Обычный 6 8 2 4 3 6 2" xfId="24421"/>
    <cellStyle name="Обычный 6 8 2 4 3 7" xfId="24422"/>
    <cellStyle name="Обычный 6 8 2 4 3 8" xfId="24423"/>
    <cellStyle name="Обычный 6 8 2 4 4" xfId="24424"/>
    <cellStyle name="Обычный 6 8 2 4 4 2" xfId="24425"/>
    <cellStyle name="Обычный 6 8 2 4 4 2 2" xfId="24426"/>
    <cellStyle name="Обычный 6 8 2 4 4 2 2 2" xfId="24427"/>
    <cellStyle name="Обычный 6 8 2 4 4 2 2 3" xfId="24428"/>
    <cellStyle name="Обычный 6 8 2 4 4 2 3" xfId="24429"/>
    <cellStyle name="Обычный 6 8 2 4 4 2 3 2" xfId="24430"/>
    <cellStyle name="Обычный 6 8 2 4 4 2 3 3" xfId="24431"/>
    <cellStyle name="Обычный 6 8 2 4 4 2 4" xfId="24432"/>
    <cellStyle name="Обычный 6 8 2 4 4 2 4 2" xfId="24433"/>
    <cellStyle name="Обычный 6 8 2 4 4 2 5" xfId="24434"/>
    <cellStyle name="Обычный 6 8 2 4 4 2 6" xfId="24435"/>
    <cellStyle name="Обычный 6 8 2 4 4 3" xfId="24436"/>
    <cellStyle name="Обычный 6 8 2 4 4 3 2" xfId="24437"/>
    <cellStyle name="Обычный 6 8 2 4 4 3 3" xfId="24438"/>
    <cellStyle name="Обычный 6 8 2 4 4 4" xfId="24439"/>
    <cellStyle name="Обычный 6 8 2 4 4 4 2" xfId="24440"/>
    <cellStyle name="Обычный 6 8 2 4 4 4 3" xfId="24441"/>
    <cellStyle name="Обычный 6 8 2 4 4 5" xfId="24442"/>
    <cellStyle name="Обычный 6 8 2 4 4 5 2" xfId="24443"/>
    <cellStyle name="Обычный 6 8 2 4 4 6" xfId="24444"/>
    <cellStyle name="Обычный 6 8 2 4 4 7" xfId="24445"/>
    <cellStyle name="Обычный 6 8 2 4 5" xfId="24446"/>
    <cellStyle name="Обычный 6 8 2 4 5 2" xfId="24447"/>
    <cellStyle name="Обычный 6 8 2 4 5 2 2" xfId="24448"/>
    <cellStyle name="Обычный 6 8 2 4 5 2 3" xfId="24449"/>
    <cellStyle name="Обычный 6 8 2 4 5 3" xfId="24450"/>
    <cellStyle name="Обычный 6 8 2 4 5 3 2" xfId="24451"/>
    <cellStyle name="Обычный 6 8 2 4 5 3 3" xfId="24452"/>
    <cellStyle name="Обычный 6 8 2 4 5 4" xfId="24453"/>
    <cellStyle name="Обычный 6 8 2 4 5 4 2" xfId="24454"/>
    <cellStyle name="Обычный 6 8 2 4 5 5" xfId="24455"/>
    <cellStyle name="Обычный 6 8 2 4 5 6" xfId="24456"/>
    <cellStyle name="Обычный 6 8 2 4 6" xfId="24457"/>
    <cellStyle name="Обычный 6 8 2 4 6 2" xfId="24458"/>
    <cellStyle name="Обычный 6 8 2 4 6 3" xfId="24459"/>
    <cellStyle name="Обычный 6 8 2 4 7" xfId="24460"/>
    <cellStyle name="Обычный 6 8 2 4 7 2" xfId="24461"/>
    <cellStyle name="Обычный 6 8 2 4 7 3" xfId="24462"/>
    <cellStyle name="Обычный 6 8 2 4 8" xfId="24463"/>
    <cellStyle name="Обычный 6 8 2 4 8 2" xfId="24464"/>
    <cellStyle name="Обычный 6 8 2 4 9" xfId="24465"/>
    <cellStyle name="Обычный 6 8 2 5" xfId="24466"/>
    <cellStyle name="Обычный 6 8 2 5 2" xfId="24467"/>
    <cellStyle name="Обычный 6 8 2 5 2 2" xfId="24468"/>
    <cellStyle name="Обычный 6 8 2 5 2 2 2" xfId="24469"/>
    <cellStyle name="Обычный 6 8 2 5 2 2 2 2" xfId="24470"/>
    <cellStyle name="Обычный 6 8 2 5 2 2 2 2 2" xfId="24471"/>
    <cellStyle name="Обычный 6 8 2 5 2 2 2 2 3" xfId="24472"/>
    <cellStyle name="Обычный 6 8 2 5 2 2 2 3" xfId="24473"/>
    <cellStyle name="Обычный 6 8 2 5 2 2 2 3 2" xfId="24474"/>
    <cellStyle name="Обычный 6 8 2 5 2 2 2 3 3" xfId="24475"/>
    <cellStyle name="Обычный 6 8 2 5 2 2 2 4" xfId="24476"/>
    <cellStyle name="Обычный 6 8 2 5 2 2 2 4 2" xfId="24477"/>
    <cellStyle name="Обычный 6 8 2 5 2 2 2 5" xfId="24478"/>
    <cellStyle name="Обычный 6 8 2 5 2 2 2 6" xfId="24479"/>
    <cellStyle name="Обычный 6 8 2 5 2 2 3" xfId="24480"/>
    <cellStyle name="Обычный 6 8 2 5 2 2 3 2" xfId="24481"/>
    <cellStyle name="Обычный 6 8 2 5 2 2 3 3" xfId="24482"/>
    <cellStyle name="Обычный 6 8 2 5 2 2 4" xfId="24483"/>
    <cellStyle name="Обычный 6 8 2 5 2 2 4 2" xfId="24484"/>
    <cellStyle name="Обычный 6 8 2 5 2 2 4 3" xfId="24485"/>
    <cellStyle name="Обычный 6 8 2 5 2 2 5" xfId="24486"/>
    <cellStyle name="Обычный 6 8 2 5 2 2 5 2" xfId="24487"/>
    <cellStyle name="Обычный 6 8 2 5 2 2 6" xfId="24488"/>
    <cellStyle name="Обычный 6 8 2 5 2 2 7" xfId="24489"/>
    <cellStyle name="Обычный 6 8 2 5 2 3" xfId="24490"/>
    <cellStyle name="Обычный 6 8 2 5 2 3 2" xfId="24491"/>
    <cellStyle name="Обычный 6 8 2 5 2 3 2 2" xfId="24492"/>
    <cellStyle name="Обычный 6 8 2 5 2 3 2 3" xfId="24493"/>
    <cellStyle name="Обычный 6 8 2 5 2 3 3" xfId="24494"/>
    <cellStyle name="Обычный 6 8 2 5 2 3 3 2" xfId="24495"/>
    <cellStyle name="Обычный 6 8 2 5 2 3 3 3" xfId="24496"/>
    <cellStyle name="Обычный 6 8 2 5 2 3 4" xfId="24497"/>
    <cellStyle name="Обычный 6 8 2 5 2 3 4 2" xfId="24498"/>
    <cellStyle name="Обычный 6 8 2 5 2 3 5" xfId="24499"/>
    <cellStyle name="Обычный 6 8 2 5 2 3 6" xfId="24500"/>
    <cellStyle name="Обычный 6 8 2 5 2 4" xfId="24501"/>
    <cellStyle name="Обычный 6 8 2 5 2 4 2" xfId="24502"/>
    <cellStyle name="Обычный 6 8 2 5 2 4 3" xfId="24503"/>
    <cellStyle name="Обычный 6 8 2 5 2 5" xfId="24504"/>
    <cellStyle name="Обычный 6 8 2 5 2 5 2" xfId="24505"/>
    <cellStyle name="Обычный 6 8 2 5 2 5 3" xfId="24506"/>
    <cellStyle name="Обычный 6 8 2 5 2 6" xfId="24507"/>
    <cellStyle name="Обычный 6 8 2 5 2 6 2" xfId="24508"/>
    <cellStyle name="Обычный 6 8 2 5 2 7" xfId="24509"/>
    <cellStyle name="Обычный 6 8 2 5 2 8" xfId="24510"/>
    <cellStyle name="Обычный 6 8 2 5 3" xfId="24511"/>
    <cellStyle name="Обычный 6 8 2 5 3 2" xfId="24512"/>
    <cellStyle name="Обычный 6 8 2 5 3 2 2" xfId="24513"/>
    <cellStyle name="Обычный 6 8 2 5 3 2 2 2" xfId="24514"/>
    <cellStyle name="Обычный 6 8 2 5 3 2 2 3" xfId="24515"/>
    <cellStyle name="Обычный 6 8 2 5 3 2 3" xfId="24516"/>
    <cellStyle name="Обычный 6 8 2 5 3 2 3 2" xfId="24517"/>
    <cellStyle name="Обычный 6 8 2 5 3 2 3 3" xfId="24518"/>
    <cellStyle name="Обычный 6 8 2 5 3 2 4" xfId="24519"/>
    <cellStyle name="Обычный 6 8 2 5 3 2 4 2" xfId="24520"/>
    <cellStyle name="Обычный 6 8 2 5 3 2 5" xfId="24521"/>
    <cellStyle name="Обычный 6 8 2 5 3 2 6" xfId="24522"/>
    <cellStyle name="Обычный 6 8 2 5 3 3" xfId="24523"/>
    <cellStyle name="Обычный 6 8 2 5 3 3 2" xfId="24524"/>
    <cellStyle name="Обычный 6 8 2 5 3 3 3" xfId="24525"/>
    <cellStyle name="Обычный 6 8 2 5 3 4" xfId="24526"/>
    <cellStyle name="Обычный 6 8 2 5 3 4 2" xfId="24527"/>
    <cellStyle name="Обычный 6 8 2 5 3 4 3" xfId="24528"/>
    <cellStyle name="Обычный 6 8 2 5 3 5" xfId="24529"/>
    <cellStyle name="Обычный 6 8 2 5 3 5 2" xfId="24530"/>
    <cellStyle name="Обычный 6 8 2 5 3 6" xfId="24531"/>
    <cellStyle name="Обычный 6 8 2 5 3 7" xfId="24532"/>
    <cellStyle name="Обычный 6 8 2 5 4" xfId="24533"/>
    <cellStyle name="Обычный 6 8 2 5 4 2" xfId="24534"/>
    <cellStyle name="Обычный 6 8 2 5 4 2 2" xfId="24535"/>
    <cellStyle name="Обычный 6 8 2 5 4 2 3" xfId="24536"/>
    <cellStyle name="Обычный 6 8 2 5 4 3" xfId="24537"/>
    <cellStyle name="Обычный 6 8 2 5 4 3 2" xfId="24538"/>
    <cellStyle name="Обычный 6 8 2 5 4 3 3" xfId="24539"/>
    <cellStyle name="Обычный 6 8 2 5 4 4" xfId="24540"/>
    <cellStyle name="Обычный 6 8 2 5 4 4 2" xfId="24541"/>
    <cellStyle name="Обычный 6 8 2 5 4 5" xfId="24542"/>
    <cellStyle name="Обычный 6 8 2 5 4 6" xfId="24543"/>
    <cellStyle name="Обычный 6 8 2 5 5" xfId="24544"/>
    <cellStyle name="Обычный 6 8 2 5 5 2" xfId="24545"/>
    <cellStyle name="Обычный 6 8 2 5 5 3" xfId="24546"/>
    <cellStyle name="Обычный 6 8 2 5 6" xfId="24547"/>
    <cellStyle name="Обычный 6 8 2 5 6 2" xfId="24548"/>
    <cellStyle name="Обычный 6 8 2 5 6 3" xfId="24549"/>
    <cellStyle name="Обычный 6 8 2 5 7" xfId="24550"/>
    <cellStyle name="Обычный 6 8 2 5 7 2" xfId="24551"/>
    <cellStyle name="Обычный 6 8 2 5 8" xfId="24552"/>
    <cellStyle name="Обычный 6 8 2 5 9" xfId="24553"/>
    <cellStyle name="Обычный 6 8 2 6" xfId="24554"/>
    <cellStyle name="Обычный 6 8 2 6 2" xfId="24555"/>
    <cellStyle name="Обычный 6 8 2 6 2 2" xfId="24556"/>
    <cellStyle name="Обычный 6 8 2 6 2 2 2" xfId="24557"/>
    <cellStyle name="Обычный 6 8 2 6 2 2 2 2" xfId="24558"/>
    <cellStyle name="Обычный 6 8 2 6 2 2 2 3" xfId="24559"/>
    <cellStyle name="Обычный 6 8 2 6 2 2 3" xfId="24560"/>
    <cellStyle name="Обычный 6 8 2 6 2 2 3 2" xfId="24561"/>
    <cellStyle name="Обычный 6 8 2 6 2 2 3 3" xfId="24562"/>
    <cellStyle name="Обычный 6 8 2 6 2 2 4" xfId="24563"/>
    <cellStyle name="Обычный 6 8 2 6 2 2 4 2" xfId="24564"/>
    <cellStyle name="Обычный 6 8 2 6 2 2 5" xfId="24565"/>
    <cellStyle name="Обычный 6 8 2 6 2 2 6" xfId="24566"/>
    <cellStyle name="Обычный 6 8 2 6 2 3" xfId="24567"/>
    <cellStyle name="Обычный 6 8 2 6 2 3 2" xfId="24568"/>
    <cellStyle name="Обычный 6 8 2 6 2 3 3" xfId="24569"/>
    <cellStyle name="Обычный 6 8 2 6 2 4" xfId="24570"/>
    <cellStyle name="Обычный 6 8 2 6 2 4 2" xfId="24571"/>
    <cellStyle name="Обычный 6 8 2 6 2 4 3" xfId="24572"/>
    <cellStyle name="Обычный 6 8 2 6 2 5" xfId="24573"/>
    <cellStyle name="Обычный 6 8 2 6 2 5 2" xfId="24574"/>
    <cellStyle name="Обычный 6 8 2 6 2 6" xfId="24575"/>
    <cellStyle name="Обычный 6 8 2 6 2 7" xfId="24576"/>
    <cellStyle name="Обычный 6 8 2 6 3" xfId="24577"/>
    <cellStyle name="Обычный 6 8 2 6 3 2" xfId="24578"/>
    <cellStyle name="Обычный 6 8 2 6 3 2 2" xfId="24579"/>
    <cellStyle name="Обычный 6 8 2 6 3 2 3" xfId="24580"/>
    <cellStyle name="Обычный 6 8 2 6 3 3" xfId="24581"/>
    <cellStyle name="Обычный 6 8 2 6 3 3 2" xfId="24582"/>
    <cellStyle name="Обычный 6 8 2 6 3 3 3" xfId="24583"/>
    <cellStyle name="Обычный 6 8 2 6 3 4" xfId="24584"/>
    <cellStyle name="Обычный 6 8 2 6 3 4 2" xfId="24585"/>
    <cellStyle name="Обычный 6 8 2 6 3 5" xfId="24586"/>
    <cellStyle name="Обычный 6 8 2 6 3 6" xfId="24587"/>
    <cellStyle name="Обычный 6 8 2 6 4" xfId="24588"/>
    <cellStyle name="Обычный 6 8 2 6 4 2" xfId="24589"/>
    <cellStyle name="Обычный 6 8 2 6 4 3" xfId="24590"/>
    <cellStyle name="Обычный 6 8 2 6 5" xfId="24591"/>
    <cellStyle name="Обычный 6 8 2 6 5 2" xfId="24592"/>
    <cellStyle name="Обычный 6 8 2 6 5 3" xfId="24593"/>
    <cellStyle name="Обычный 6 8 2 6 6" xfId="24594"/>
    <cellStyle name="Обычный 6 8 2 6 6 2" xfId="24595"/>
    <cellStyle name="Обычный 6 8 2 6 7" xfId="24596"/>
    <cellStyle name="Обычный 6 8 2 6 8" xfId="24597"/>
    <cellStyle name="Обычный 6 8 2 7" xfId="24598"/>
    <cellStyle name="Обычный 6 8 2 7 2" xfId="24599"/>
    <cellStyle name="Обычный 6 8 2 7 2 2" xfId="24600"/>
    <cellStyle name="Обычный 6 8 2 7 2 2 2" xfId="24601"/>
    <cellStyle name="Обычный 6 8 2 7 2 2 3" xfId="24602"/>
    <cellStyle name="Обычный 6 8 2 7 2 3" xfId="24603"/>
    <cellStyle name="Обычный 6 8 2 7 2 3 2" xfId="24604"/>
    <cellStyle name="Обычный 6 8 2 7 2 3 3" xfId="24605"/>
    <cellStyle name="Обычный 6 8 2 7 2 4" xfId="24606"/>
    <cellStyle name="Обычный 6 8 2 7 2 4 2" xfId="24607"/>
    <cellStyle name="Обычный 6 8 2 7 2 5" xfId="24608"/>
    <cellStyle name="Обычный 6 8 2 7 2 6" xfId="24609"/>
    <cellStyle name="Обычный 6 8 2 7 3" xfId="24610"/>
    <cellStyle name="Обычный 6 8 2 7 3 2" xfId="24611"/>
    <cellStyle name="Обычный 6 8 2 7 3 3" xfId="24612"/>
    <cellStyle name="Обычный 6 8 2 7 4" xfId="24613"/>
    <cellStyle name="Обычный 6 8 2 7 4 2" xfId="24614"/>
    <cellStyle name="Обычный 6 8 2 7 4 3" xfId="24615"/>
    <cellStyle name="Обычный 6 8 2 7 5" xfId="24616"/>
    <cellStyle name="Обычный 6 8 2 7 5 2" xfId="24617"/>
    <cellStyle name="Обычный 6 8 2 7 6" xfId="24618"/>
    <cellStyle name="Обычный 6 8 2 7 7" xfId="24619"/>
    <cellStyle name="Обычный 6 8 2 8" xfId="24620"/>
    <cellStyle name="Обычный 6 8 2 8 2" xfId="24621"/>
    <cellStyle name="Обычный 6 8 2 8 2 2" xfId="24622"/>
    <cellStyle name="Обычный 6 8 2 8 2 3" xfId="24623"/>
    <cellStyle name="Обычный 6 8 2 8 3" xfId="24624"/>
    <cellStyle name="Обычный 6 8 2 8 3 2" xfId="24625"/>
    <cellStyle name="Обычный 6 8 2 8 3 3" xfId="24626"/>
    <cellStyle name="Обычный 6 8 2 8 4" xfId="24627"/>
    <cellStyle name="Обычный 6 8 2 8 4 2" xfId="24628"/>
    <cellStyle name="Обычный 6 8 2 8 5" xfId="24629"/>
    <cellStyle name="Обычный 6 8 2 8 6" xfId="24630"/>
    <cellStyle name="Обычный 6 8 2 9" xfId="24631"/>
    <cellStyle name="Обычный 6 8 2 9 2" xfId="24632"/>
    <cellStyle name="Обычный 6 8 2 9 3" xfId="24633"/>
    <cellStyle name="Обычный 6 8 3" xfId="24634"/>
    <cellStyle name="Обычный 6 8 3 10" xfId="24635"/>
    <cellStyle name="Обычный 6 8 3 2" xfId="24636"/>
    <cellStyle name="Обычный 6 8 3 2 2" xfId="24637"/>
    <cellStyle name="Обычный 6 8 3 2 2 2" xfId="24638"/>
    <cellStyle name="Обычный 6 8 3 2 2 2 2" xfId="24639"/>
    <cellStyle name="Обычный 6 8 3 2 2 2 2 2" xfId="24640"/>
    <cellStyle name="Обычный 6 8 3 2 2 2 2 2 2" xfId="24641"/>
    <cellStyle name="Обычный 6 8 3 2 2 2 2 2 3" xfId="24642"/>
    <cellStyle name="Обычный 6 8 3 2 2 2 2 3" xfId="24643"/>
    <cellStyle name="Обычный 6 8 3 2 2 2 2 3 2" xfId="24644"/>
    <cellStyle name="Обычный 6 8 3 2 2 2 2 3 3" xfId="24645"/>
    <cellStyle name="Обычный 6 8 3 2 2 2 2 4" xfId="24646"/>
    <cellStyle name="Обычный 6 8 3 2 2 2 2 4 2" xfId="24647"/>
    <cellStyle name="Обычный 6 8 3 2 2 2 2 5" xfId="24648"/>
    <cellStyle name="Обычный 6 8 3 2 2 2 2 6" xfId="24649"/>
    <cellStyle name="Обычный 6 8 3 2 2 2 3" xfId="24650"/>
    <cellStyle name="Обычный 6 8 3 2 2 2 3 2" xfId="24651"/>
    <cellStyle name="Обычный 6 8 3 2 2 2 3 3" xfId="24652"/>
    <cellStyle name="Обычный 6 8 3 2 2 2 4" xfId="24653"/>
    <cellStyle name="Обычный 6 8 3 2 2 2 4 2" xfId="24654"/>
    <cellStyle name="Обычный 6 8 3 2 2 2 4 3" xfId="24655"/>
    <cellStyle name="Обычный 6 8 3 2 2 2 5" xfId="24656"/>
    <cellStyle name="Обычный 6 8 3 2 2 2 5 2" xfId="24657"/>
    <cellStyle name="Обычный 6 8 3 2 2 2 6" xfId="24658"/>
    <cellStyle name="Обычный 6 8 3 2 2 2 7" xfId="24659"/>
    <cellStyle name="Обычный 6 8 3 2 2 3" xfId="24660"/>
    <cellStyle name="Обычный 6 8 3 2 2 3 2" xfId="24661"/>
    <cellStyle name="Обычный 6 8 3 2 2 3 2 2" xfId="24662"/>
    <cellStyle name="Обычный 6 8 3 2 2 3 2 3" xfId="24663"/>
    <cellStyle name="Обычный 6 8 3 2 2 3 3" xfId="24664"/>
    <cellStyle name="Обычный 6 8 3 2 2 3 3 2" xfId="24665"/>
    <cellStyle name="Обычный 6 8 3 2 2 3 3 3" xfId="24666"/>
    <cellStyle name="Обычный 6 8 3 2 2 3 4" xfId="24667"/>
    <cellStyle name="Обычный 6 8 3 2 2 3 4 2" xfId="24668"/>
    <cellStyle name="Обычный 6 8 3 2 2 3 5" xfId="24669"/>
    <cellStyle name="Обычный 6 8 3 2 2 3 6" xfId="24670"/>
    <cellStyle name="Обычный 6 8 3 2 2 4" xfId="24671"/>
    <cellStyle name="Обычный 6 8 3 2 2 4 2" xfId="24672"/>
    <cellStyle name="Обычный 6 8 3 2 2 4 3" xfId="24673"/>
    <cellStyle name="Обычный 6 8 3 2 2 5" xfId="24674"/>
    <cellStyle name="Обычный 6 8 3 2 2 5 2" xfId="24675"/>
    <cellStyle name="Обычный 6 8 3 2 2 5 3" xfId="24676"/>
    <cellStyle name="Обычный 6 8 3 2 2 6" xfId="24677"/>
    <cellStyle name="Обычный 6 8 3 2 2 6 2" xfId="24678"/>
    <cellStyle name="Обычный 6 8 3 2 2 7" xfId="24679"/>
    <cellStyle name="Обычный 6 8 3 2 2 8" xfId="24680"/>
    <cellStyle name="Обычный 6 8 3 2 3" xfId="24681"/>
    <cellStyle name="Обычный 6 8 3 2 3 2" xfId="24682"/>
    <cellStyle name="Обычный 6 8 3 2 3 2 2" xfId="24683"/>
    <cellStyle name="Обычный 6 8 3 2 3 2 2 2" xfId="24684"/>
    <cellStyle name="Обычный 6 8 3 2 3 2 2 3" xfId="24685"/>
    <cellStyle name="Обычный 6 8 3 2 3 2 3" xfId="24686"/>
    <cellStyle name="Обычный 6 8 3 2 3 2 3 2" xfId="24687"/>
    <cellStyle name="Обычный 6 8 3 2 3 2 3 3" xfId="24688"/>
    <cellStyle name="Обычный 6 8 3 2 3 2 4" xfId="24689"/>
    <cellStyle name="Обычный 6 8 3 2 3 2 4 2" xfId="24690"/>
    <cellStyle name="Обычный 6 8 3 2 3 2 5" xfId="24691"/>
    <cellStyle name="Обычный 6 8 3 2 3 2 6" xfId="24692"/>
    <cellStyle name="Обычный 6 8 3 2 3 3" xfId="24693"/>
    <cellStyle name="Обычный 6 8 3 2 3 3 2" xfId="24694"/>
    <cellStyle name="Обычный 6 8 3 2 3 3 3" xfId="24695"/>
    <cellStyle name="Обычный 6 8 3 2 3 4" xfId="24696"/>
    <cellStyle name="Обычный 6 8 3 2 3 4 2" xfId="24697"/>
    <cellStyle name="Обычный 6 8 3 2 3 4 3" xfId="24698"/>
    <cellStyle name="Обычный 6 8 3 2 3 5" xfId="24699"/>
    <cellStyle name="Обычный 6 8 3 2 3 5 2" xfId="24700"/>
    <cellStyle name="Обычный 6 8 3 2 3 6" xfId="24701"/>
    <cellStyle name="Обычный 6 8 3 2 3 7" xfId="24702"/>
    <cellStyle name="Обычный 6 8 3 2 4" xfId="24703"/>
    <cellStyle name="Обычный 6 8 3 2 4 2" xfId="24704"/>
    <cellStyle name="Обычный 6 8 3 2 4 2 2" xfId="24705"/>
    <cellStyle name="Обычный 6 8 3 2 4 2 3" xfId="24706"/>
    <cellStyle name="Обычный 6 8 3 2 4 3" xfId="24707"/>
    <cellStyle name="Обычный 6 8 3 2 4 3 2" xfId="24708"/>
    <cellStyle name="Обычный 6 8 3 2 4 3 3" xfId="24709"/>
    <cellStyle name="Обычный 6 8 3 2 4 4" xfId="24710"/>
    <cellStyle name="Обычный 6 8 3 2 4 4 2" xfId="24711"/>
    <cellStyle name="Обычный 6 8 3 2 4 5" xfId="24712"/>
    <cellStyle name="Обычный 6 8 3 2 4 6" xfId="24713"/>
    <cellStyle name="Обычный 6 8 3 2 5" xfId="24714"/>
    <cellStyle name="Обычный 6 8 3 2 5 2" xfId="24715"/>
    <cellStyle name="Обычный 6 8 3 2 5 3" xfId="24716"/>
    <cellStyle name="Обычный 6 8 3 2 6" xfId="24717"/>
    <cellStyle name="Обычный 6 8 3 2 6 2" xfId="24718"/>
    <cellStyle name="Обычный 6 8 3 2 6 3" xfId="24719"/>
    <cellStyle name="Обычный 6 8 3 2 7" xfId="24720"/>
    <cellStyle name="Обычный 6 8 3 2 7 2" xfId="24721"/>
    <cellStyle name="Обычный 6 8 3 2 8" xfId="24722"/>
    <cellStyle name="Обычный 6 8 3 2 9" xfId="24723"/>
    <cellStyle name="Обычный 6 8 3 3" xfId="24724"/>
    <cellStyle name="Обычный 6 8 3 3 2" xfId="24725"/>
    <cellStyle name="Обычный 6 8 3 3 2 2" xfId="24726"/>
    <cellStyle name="Обычный 6 8 3 3 2 2 2" xfId="24727"/>
    <cellStyle name="Обычный 6 8 3 3 2 2 2 2" xfId="24728"/>
    <cellStyle name="Обычный 6 8 3 3 2 2 2 3" xfId="24729"/>
    <cellStyle name="Обычный 6 8 3 3 2 2 3" xfId="24730"/>
    <cellStyle name="Обычный 6 8 3 3 2 2 3 2" xfId="24731"/>
    <cellStyle name="Обычный 6 8 3 3 2 2 3 3" xfId="24732"/>
    <cellStyle name="Обычный 6 8 3 3 2 2 4" xfId="24733"/>
    <cellStyle name="Обычный 6 8 3 3 2 2 4 2" xfId="24734"/>
    <cellStyle name="Обычный 6 8 3 3 2 2 5" xfId="24735"/>
    <cellStyle name="Обычный 6 8 3 3 2 2 6" xfId="24736"/>
    <cellStyle name="Обычный 6 8 3 3 2 3" xfId="24737"/>
    <cellStyle name="Обычный 6 8 3 3 2 3 2" xfId="24738"/>
    <cellStyle name="Обычный 6 8 3 3 2 3 3" xfId="24739"/>
    <cellStyle name="Обычный 6 8 3 3 2 4" xfId="24740"/>
    <cellStyle name="Обычный 6 8 3 3 2 4 2" xfId="24741"/>
    <cellStyle name="Обычный 6 8 3 3 2 4 3" xfId="24742"/>
    <cellStyle name="Обычный 6 8 3 3 2 5" xfId="24743"/>
    <cellStyle name="Обычный 6 8 3 3 2 5 2" xfId="24744"/>
    <cellStyle name="Обычный 6 8 3 3 2 6" xfId="24745"/>
    <cellStyle name="Обычный 6 8 3 3 2 7" xfId="24746"/>
    <cellStyle name="Обычный 6 8 3 3 3" xfId="24747"/>
    <cellStyle name="Обычный 6 8 3 3 3 2" xfId="24748"/>
    <cellStyle name="Обычный 6 8 3 3 3 2 2" xfId="24749"/>
    <cellStyle name="Обычный 6 8 3 3 3 2 3" xfId="24750"/>
    <cellStyle name="Обычный 6 8 3 3 3 3" xfId="24751"/>
    <cellStyle name="Обычный 6 8 3 3 3 3 2" xfId="24752"/>
    <cellStyle name="Обычный 6 8 3 3 3 3 3" xfId="24753"/>
    <cellStyle name="Обычный 6 8 3 3 3 4" xfId="24754"/>
    <cellStyle name="Обычный 6 8 3 3 3 4 2" xfId="24755"/>
    <cellStyle name="Обычный 6 8 3 3 3 5" xfId="24756"/>
    <cellStyle name="Обычный 6 8 3 3 3 6" xfId="24757"/>
    <cellStyle name="Обычный 6 8 3 3 4" xfId="24758"/>
    <cellStyle name="Обычный 6 8 3 3 4 2" xfId="24759"/>
    <cellStyle name="Обычный 6 8 3 3 4 3" xfId="24760"/>
    <cellStyle name="Обычный 6 8 3 3 5" xfId="24761"/>
    <cellStyle name="Обычный 6 8 3 3 5 2" xfId="24762"/>
    <cellStyle name="Обычный 6 8 3 3 5 3" xfId="24763"/>
    <cellStyle name="Обычный 6 8 3 3 6" xfId="24764"/>
    <cellStyle name="Обычный 6 8 3 3 6 2" xfId="24765"/>
    <cellStyle name="Обычный 6 8 3 3 7" xfId="24766"/>
    <cellStyle name="Обычный 6 8 3 3 8" xfId="24767"/>
    <cellStyle name="Обычный 6 8 3 4" xfId="24768"/>
    <cellStyle name="Обычный 6 8 3 4 2" xfId="24769"/>
    <cellStyle name="Обычный 6 8 3 4 2 2" xfId="24770"/>
    <cellStyle name="Обычный 6 8 3 4 2 2 2" xfId="24771"/>
    <cellStyle name="Обычный 6 8 3 4 2 2 3" xfId="24772"/>
    <cellStyle name="Обычный 6 8 3 4 2 3" xfId="24773"/>
    <cellStyle name="Обычный 6 8 3 4 2 3 2" xfId="24774"/>
    <cellStyle name="Обычный 6 8 3 4 2 3 3" xfId="24775"/>
    <cellStyle name="Обычный 6 8 3 4 2 4" xfId="24776"/>
    <cellStyle name="Обычный 6 8 3 4 2 4 2" xfId="24777"/>
    <cellStyle name="Обычный 6 8 3 4 2 5" xfId="24778"/>
    <cellStyle name="Обычный 6 8 3 4 2 6" xfId="24779"/>
    <cellStyle name="Обычный 6 8 3 4 3" xfId="24780"/>
    <cellStyle name="Обычный 6 8 3 4 3 2" xfId="24781"/>
    <cellStyle name="Обычный 6 8 3 4 3 3" xfId="24782"/>
    <cellStyle name="Обычный 6 8 3 4 4" xfId="24783"/>
    <cellStyle name="Обычный 6 8 3 4 4 2" xfId="24784"/>
    <cellStyle name="Обычный 6 8 3 4 4 3" xfId="24785"/>
    <cellStyle name="Обычный 6 8 3 4 5" xfId="24786"/>
    <cellStyle name="Обычный 6 8 3 4 5 2" xfId="24787"/>
    <cellStyle name="Обычный 6 8 3 4 6" xfId="24788"/>
    <cellStyle name="Обычный 6 8 3 4 7" xfId="24789"/>
    <cellStyle name="Обычный 6 8 3 5" xfId="24790"/>
    <cellStyle name="Обычный 6 8 3 5 2" xfId="24791"/>
    <cellStyle name="Обычный 6 8 3 5 2 2" xfId="24792"/>
    <cellStyle name="Обычный 6 8 3 5 2 3" xfId="24793"/>
    <cellStyle name="Обычный 6 8 3 5 3" xfId="24794"/>
    <cellStyle name="Обычный 6 8 3 5 3 2" xfId="24795"/>
    <cellStyle name="Обычный 6 8 3 5 3 3" xfId="24796"/>
    <cellStyle name="Обычный 6 8 3 5 4" xfId="24797"/>
    <cellStyle name="Обычный 6 8 3 5 4 2" xfId="24798"/>
    <cellStyle name="Обычный 6 8 3 5 5" xfId="24799"/>
    <cellStyle name="Обычный 6 8 3 5 6" xfId="24800"/>
    <cellStyle name="Обычный 6 8 3 6" xfId="24801"/>
    <cellStyle name="Обычный 6 8 3 6 2" xfId="24802"/>
    <cellStyle name="Обычный 6 8 3 6 3" xfId="24803"/>
    <cellStyle name="Обычный 6 8 3 7" xfId="24804"/>
    <cellStyle name="Обычный 6 8 3 7 2" xfId="24805"/>
    <cellStyle name="Обычный 6 8 3 7 3" xfId="24806"/>
    <cellStyle name="Обычный 6 8 3 8" xfId="24807"/>
    <cellStyle name="Обычный 6 8 3 8 2" xfId="24808"/>
    <cellStyle name="Обычный 6 8 3 9" xfId="24809"/>
    <cellStyle name="Обычный 6 8 4" xfId="24810"/>
    <cellStyle name="Обычный 6 8 4 10" xfId="24811"/>
    <cellStyle name="Обычный 6 8 4 2" xfId="24812"/>
    <cellStyle name="Обычный 6 8 4 2 2" xfId="24813"/>
    <cellStyle name="Обычный 6 8 4 2 2 2" xfId="24814"/>
    <cellStyle name="Обычный 6 8 4 2 2 2 2" xfId="24815"/>
    <cellStyle name="Обычный 6 8 4 2 2 2 2 2" xfId="24816"/>
    <cellStyle name="Обычный 6 8 4 2 2 2 2 2 2" xfId="24817"/>
    <cellStyle name="Обычный 6 8 4 2 2 2 2 2 3" xfId="24818"/>
    <cellStyle name="Обычный 6 8 4 2 2 2 2 3" xfId="24819"/>
    <cellStyle name="Обычный 6 8 4 2 2 2 2 3 2" xfId="24820"/>
    <cellStyle name="Обычный 6 8 4 2 2 2 2 3 3" xfId="24821"/>
    <cellStyle name="Обычный 6 8 4 2 2 2 2 4" xfId="24822"/>
    <cellStyle name="Обычный 6 8 4 2 2 2 2 4 2" xfId="24823"/>
    <cellStyle name="Обычный 6 8 4 2 2 2 2 5" xfId="24824"/>
    <cellStyle name="Обычный 6 8 4 2 2 2 2 6" xfId="24825"/>
    <cellStyle name="Обычный 6 8 4 2 2 2 3" xfId="24826"/>
    <cellStyle name="Обычный 6 8 4 2 2 2 3 2" xfId="24827"/>
    <cellStyle name="Обычный 6 8 4 2 2 2 3 3" xfId="24828"/>
    <cellStyle name="Обычный 6 8 4 2 2 2 4" xfId="24829"/>
    <cellStyle name="Обычный 6 8 4 2 2 2 4 2" xfId="24830"/>
    <cellStyle name="Обычный 6 8 4 2 2 2 4 3" xfId="24831"/>
    <cellStyle name="Обычный 6 8 4 2 2 2 5" xfId="24832"/>
    <cellStyle name="Обычный 6 8 4 2 2 2 5 2" xfId="24833"/>
    <cellStyle name="Обычный 6 8 4 2 2 2 6" xfId="24834"/>
    <cellStyle name="Обычный 6 8 4 2 2 2 7" xfId="24835"/>
    <cellStyle name="Обычный 6 8 4 2 2 3" xfId="24836"/>
    <cellStyle name="Обычный 6 8 4 2 2 3 2" xfId="24837"/>
    <cellStyle name="Обычный 6 8 4 2 2 3 2 2" xfId="24838"/>
    <cellStyle name="Обычный 6 8 4 2 2 3 2 3" xfId="24839"/>
    <cellStyle name="Обычный 6 8 4 2 2 3 3" xfId="24840"/>
    <cellStyle name="Обычный 6 8 4 2 2 3 3 2" xfId="24841"/>
    <cellStyle name="Обычный 6 8 4 2 2 3 3 3" xfId="24842"/>
    <cellStyle name="Обычный 6 8 4 2 2 3 4" xfId="24843"/>
    <cellStyle name="Обычный 6 8 4 2 2 3 4 2" xfId="24844"/>
    <cellStyle name="Обычный 6 8 4 2 2 3 5" xfId="24845"/>
    <cellStyle name="Обычный 6 8 4 2 2 3 6" xfId="24846"/>
    <cellStyle name="Обычный 6 8 4 2 2 4" xfId="24847"/>
    <cellStyle name="Обычный 6 8 4 2 2 4 2" xfId="24848"/>
    <cellStyle name="Обычный 6 8 4 2 2 4 3" xfId="24849"/>
    <cellStyle name="Обычный 6 8 4 2 2 5" xfId="24850"/>
    <cellStyle name="Обычный 6 8 4 2 2 5 2" xfId="24851"/>
    <cellStyle name="Обычный 6 8 4 2 2 5 3" xfId="24852"/>
    <cellStyle name="Обычный 6 8 4 2 2 6" xfId="24853"/>
    <cellStyle name="Обычный 6 8 4 2 2 6 2" xfId="24854"/>
    <cellStyle name="Обычный 6 8 4 2 2 7" xfId="24855"/>
    <cellStyle name="Обычный 6 8 4 2 2 8" xfId="24856"/>
    <cellStyle name="Обычный 6 8 4 2 3" xfId="24857"/>
    <cellStyle name="Обычный 6 8 4 2 3 2" xfId="24858"/>
    <cellStyle name="Обычный 6 8 4 2 3 2 2" xfId="24859"/>
    <cellStyle name="Обычный 6 8 4 2 3 2 2 2" xfId="24860"/>
    <cellStyle name="Обычный 6 8 4 2 3 2 2 3" xfId="24861"/>
    <cellStyle name="Обычный 6 8 4 2 3 2 3" xfId="24862"/>
    <cellStyle name="Обычный 6 8 4 2 3 2 3 2" xfId="24863"/>
    <cellStyle name="Обычный 6 8 4 2 3 2 3 3" xfId="24864"/>
    <cellStyle name="Обычный 6 8 4 2 3 2 4" xfId="24865"/>
    <cellStyle name="Обычный 6 8 4 2 3 2 4 2" xfId="24866"/>
    <cellStyle name="Обычный 6 8 4 2 3 2 5" xfId="24867"/>
    <cellStyle name="Обычный 6 8 4 2 3 2 6" xfId="24868"/>
    <cellStyle name="Обычный 6 8 4 2 3 3" xfId="24869"/>
    <cellStyle name="Обычный 6 8 4 2 3 3 2" xfId="24870"/>
    <cellStyle name="Обычный 6 8 4 2 3 3 3" xfId="24871"/>
    <cellStyle name="Обычный 6 8 4 2 3 4" xfId="24872"/>
    <cellStyle name="Обычный 6 8 4 2 3 4 2" xfId="24873"/>
    <cellStyle name="Обычный 6 8 4 2 3 4 3" xfId="24874"/>
    <cellStyle name="Обычный 6 8 4 2 3 5" xfId="24875"/>
    <cellStyle name="Обычный 6 8 4 2 3 5 2" xfId="24876"/>
    <cellStyle name="Обычный 6 8 4 2 3 6" xfId="24877"/>
    <cellStyle name="Обычный 6 8 4 2 3 7" xfId="24878"/>
    <cellStyle name="Обычный 6 8 4 2 4" xfId="24879"/>
    <cellStyle name="Обычный 6 8 4 2 4 2" xfId="24880"/>
    <cellStyle name="Обычный 6 8 4 2 4 2 2" xfId="24881"/>
    <cellStyle name="Обычный 6 8 4 2 4 2 3" xfId="24882"/>
    <cellStyle name="Обычный 6 8 4 2 4 3" xfId="24883"/>
    <cellStyle name="Обычный 6 8 4 2 4 3 2" xfId="24884"/>
    <cellStyle name="Обычный 6 8 4 2 4 3 3" xfId="24885"/>
    <cellStyle name="Обычный 6 8 4 2 4 4" xfId="24886"/>
    <cellStyle name="Обычный 6 8 4 2 4 4 2" xfId="24887"/>
    <cellStyle name="Обычный 6 8 4 2 4 5" xfId="24888"/>
    <cellStyle name="Обычный 6 8 4 2 4 6" xfId="24889"/>
    <cellStyle name="Обычный 6 8 4 2 5" xfId="24890"/>
    <cellStyle name="Обычный 6 8 4 2 5 2" xfId="24891"/>
    <cellStyle name="Обычный 6 8 4 2 5 3" xfId="24892"/>
    <cellStyle name="Обычный 6 8 4 2 6" xfId="24893"/>
    <cellStyle name="Обычный 6 8 4 2 6 2" xfId="24894"/>
    <cellStyle name="Обычный 6 8 4 2 6 3" xfId="24895"/>
    <cellStyle name="Обычный 6 8 4 2 7" xfId="24896"/>
    <cellStyle name="Обычный 6 8 4 2 7 2" xfId="24897"/>
    <cellStyle name="Обычный 6 8 4 2 8" xfId="24898"/>
    <cellStyle name="Обычный 6 8 4 2 9" xfId="24899"/>
    <cellStyle name="Обычный 6 8 4 3" xfId="24900"/>
    <cellStyle name="Обычный 6 8 4 3 2" xfId="24901"/>
    <cellStyle name="Обычный 6 8 4 3 2 2" xfId="24902"/>
    <cellStyle name="Обычный 6 8 4 3 2 2 2" xfId="24903"/>
    <cellStyle name="Обычный 6 8 4 3 2 2 2 2" xfId="24904"/>
    <cellStyle name="Обычный 6 8 4 3 2 2 2 3" xfId="24905"/>
    <cellStyle name="Обычный 6 8 4 3 2 2 3" xfId="24906"/>
    <cellStyle name="Обычный 6 8 4 3 2 2 3 2" xfId="24907"/>
    <cellStyle name="Обычный 6 8 4 3 2 2 3 3" xfId="24908"/>
    <cellStyle name="Обычный 6 8 4 3 2 2 4" xfId="24909"/>
    <cellStyle name="Обычный 6 8 4 3 2 2 4 2" xfId="24910"/>
    <cellStyle name="Обычный 6 8 4 3 2 2 5" xfId="24911"/>
    <cellStyle name="Обычный 6 8 4 3 2 2 6" xfId="24912"/>
    <cellStyle name="Обычный 6 8 4 3 2 3" xfId="24913"/>
    <cellStyle name="Обычный 6 8 4 3 2 3 2" xfId="24914"/>
    <cellStyle name="Обычный 6 8 4 3 2 3 3" xfId="24915"/>
    <cellStyle name="Обычный 6 8 4 3 2 4" xfId="24916"/>
    <cellStyle name="Обычный 6 8 4 3 2 4 2" xfId="24917"/>
    <cellStyle name="Обычный 6 8 4 3 2 4 3" xfId="24918"/>
    <cellStyle name="Обычный 6 8 4 3 2 5" xfId="24919"/>
    <cellStyle name="Обычный 6 8 4 3 2 5 2" xfId="24920"/>
    <cellStyle name="Обычный 6 8 4 3 2 6" xfId="24921"/>
    <cellStyle name="Обычный 6 8 4 3 2 7" xfId="24922"/>
    <cellStyle name="Обычный 6 8 4 3 3" xfId="24923"/>
    <cellStyle name="Обычный 6 8 4 3 3 2" xfId="24924"/>
    <cellStyle name="Обычный 6 8 4 3 3 2 2" xfId="24925"/>
    <cellStyle name="Обычный 6 8 4 3 3 2 3" xfId="24926"/>
    <cellStyle name="Обычный 6 8 4 3 3 3" xfId="24927"/>
    <cellStyle name="Обычный 6 8 4 3 3 3 2" xfId="24928"/>
    <cellStyle name="Обычный 6 8 4 3 3 3 3" xfId="24929"/>
    <cellStyle name="Обычный 6 8 4 3 3 4" xfId="24930"/>
    <cellStyle name="Обычный 6 8 4 3 3 4 2" xfId="24931"/>
    <cellStyle name="Обычный 6 8 4 3 3 5" xfId="24932"/>
    <cellStyle name="Обычный 6 8 4 3 3 6" xfId="24933"/>
    <cellStyle name="Обычный 6 8 4 3 4" xfId="24934"/>
    <cellStyle name="Обычный 6 8 4 3 4 2" xfId="24935"/>
    <cellStyle name="Обычный 6 8 4 3 4 3" xfId="24936"/>
    <cellStyle name="Обычный 6 8 4 3 5" xfId="24937"/>
    <cellStyle name="Обычный 6 8 4 3 5 2" xfId="24938"/>
    <cellStyle name="Обычный 6 8 4 3 5 3" xfId="24939"/>
    <cellStyle name="Обычный 6 8 4 3 6" xfId="24940"/>
    <cellStyle name="Обычный 6 8 4 3 6 2" xfId="24941"/>
    <cellStyle name="Обычный 6 8 4 3 7" xfId="24942"/>
    <cellStyle name="Обычный 6 8 4 3 8" xfId="24943"/>
    <cellStyle name="Обычный 6 8 4 4" xfId="24944"/>
    <cellStyle name="Обычный 6 8 4 4 2" xfId="24945"/>
    <cellStyle name="Обычный 6 8 4 4 2 2" xfId="24946"/>
    <cellStyle name="Обычный 6 8 4 4 2 2 2" xfId="24947"/>
    <cellStyle name="Обычный 6 8 4 4 2 2 3" xfId="24948"/>
    <cellStyle name="Обычный 6 8 4 4 2 3" xfId="24949"/>
    <cellStyle name="Обычный 6 8 4 4 2 3 2" xfId="24950"/>
    <cellStyle name="Обычный 6 8 4 4 2 3 3" xfId="24951"/>
    <cellStyle name="Обычный 6 8 4 4 2 4" xfId="24952"/>
    <cellStyle name="Обычный 6 8 4 4 2 4 2" xfId="24953"/>
    <cellStyle name="Обычный 6 8 4 4 2 5" xfId="24954"/>
    <cellStyle name="Обычный 6 8 4 4 2 6" xfId="24955"/>
    <cellStyle name="Обычный 6 8 4 4 3" xfId="24956"/>
    <cellStyle name="Обычный 6 8 4 4 3 2" xfId="24957"/>
    <cellStyle name="Обычный 6 8 4 4 3 3" xfId="24958"/>
    <cellStyle name="Обычный 6 8 4 4 4" xfId="24959"/>
    <cellStyle name="Обычный 6 8 4 4 4 2" xfId="24960"/>
    <cellStyle name="Обычный 6 8 4 4 4 3" xfId="24961"/>
    <cellStyle name="Обычный 6 8 4 4 5" xfId="24962"/>
    <cellStyle name="Обычный 6 8 4 4 5 2" xfId="24963"/>
    <cellStyle name="Обычный 6 8 4 4 6" xfId="24964"/>
    <cellStyle name="Обычный 6 8 4 4 7" xfId="24965"/>
    <cellStyle name="Обычный 6 8 4 5" xfId="24966"/>
    <cellStyle name="Обычный 6 8 4 5 2" xfId="24967"/>
    <cellStyle name="Обычный 6 8 4 5 2 2" xfId="24968"/>
    <cellStyle name="Обычный 6 8 4 5 2 3" xfId="24969"/>
    <cellStyle name="Обычный 6 8 4 5 3" xfId="24970"/>
    <cellStyle name="Обычный 6 8 4 5 3 2" xfId="24971"/>
    <cellStyle name="Обычный 6 8 4 5 3 3" xfId="24972"/>
    <cellStyle name="Обычный 6 8 4 5 4" xfId="24973"/>
    <cellStyle name="Обычный 6 8 4 5 4 2" xfId="24974"/>
    <cellStyle name="Обычный 6 8 4 5 5" xfId="24975"/>
    <cellStyle name="Обычный 6 8 4 5 6" xfId="24976"/>
    <cellStyle name="Обычный 6 8 4 6" xfId="24977"/>
    <cellStyle name="Обычный 6 8 4 6 2" xfId="24978"/>
    <cellStyle name="Обычный 6 8 4 6 3" xfId="24979"/>
    <cellStyle name="Обычный 6 8 4 7" xfId="24980"/>
    <cellStyle name="Обычный 6 8 4 7 2" xfId="24981"/>
    <cellStyle name="Обычный 6 8 4 7 3" xfId="24982"/>
    <cellStyle name="Обычный 6 8 4 8" xfId="24983"/>
    <cellStyle name="Обычный 6 8 4 8 2" xfId="24984"/>
    <cellStyle name="Обычный 6 8 4 9" xfId="24985"/>
    <cellStyle name="Обычный 6 8 5" xfId="24986"/>
    <cellStyle name="Обычный 6 8 5 10" xfId="24987"/>
    <cellStyle name="Обычный 6 8 5 2" xfId="24988"/>
    <cellStyle name="Обычный 6 8 5 2 2" xfId="24989"/>
    <cellStyle name="Обычный 6 8 5 2 2 2" xfId="24990"/>
    <cellStyle name="Обычный 6 8 5 2 2 2 2" xfId="24991"/>
    <cellStyle name="Обычный 6 8 5 2 2 2 2 2" xfId="24992"/>
    <cellStyle name="Обычный 6 8 5 2 2 2 2 2 2" xfId="24993"/>
    <cellStyle name="Обычный 6 8 5 2 2 2 2 2 3" xfId="24994"/>
    <cellStyle name="Обычный 6 8 5 2 2 2 2 3" xfId="24995"/>
    <cellStyle name="Обычный 6 8 5 2 2 2 2 3 2" xfId="24996"/>
    <cellStyle name="Обычный 6 8 5 2 2 2 2 3 3" xfId="24997"/>
    <cellStyle name="Обычный 6 8 5 2 2 2 2 4" xfId="24998"/>
    <cellStyle name="Обычный 6 8 5 2 2 2 2 4 2" xfId="24999"/>
    <cellStyle name="Обычный 6 8 5 2 2 2 2 5" xfId="25000"/>
    <cellStyle name="Обычный 6 8 5 2 2 2 2 6" xfId="25001"/>
    <cellStyle name="Обычный 6 8 5 2 2 2 3" xfId="25002"/>
    <cellStyle name="Обычный 6 8 5 2 2 2 3 2" xfId="25003"/>
    <cellStyle name="Обычный 6 8 5 2 2 2 3 3" xfId="25004"/>
    <cellStyle name="Обычный 6 8 5 2 2 2 4" xfId="25005"/>
    <cellStyle name="Обычный 6 8 5 2 2 2 4 2" xfId="25006"/>
    <cellStyle name="Обычный 6 8 5 2 2 2 4 3" xfId="25007"/>
    <cellStyle name="Обычный 6 8 5 2 2 2 5" xfId="25008"/>
    <cellStyle name="Обычный 6 8 5 2 2 2 5 2" xfId="25009"/>
    <cellStyle name="Обычный 6 8 5 2 2 2 6" xfId="25010"/>
    <cellStyle name="Обычный 6 8 5 2 2 2 7" xfId="25011"/>
    <cellStyle name="Обычный 6 8 5 2 2 3" xfId="25012"/>
    <cellStyle name="Обычный 6 8 5 2 2 3 2" xfId="25013"/>
    <cellStyle name="Обычный 6 8 5 2 2 3 2 2" xfId="25014"/>
    <cellStyle name="Обычный 6 8 5 2 2 3 2 3" xfId="25015"/>
    <cellStyle name="Обычный 6 8 5 2 2 3 3" xfId="25016"/>
    <cellStyle name="Обычный 6 8 5 2 2 3 3 2" xfId="25017"/>
    <cellStyle name="Обычный 6 8 5 2 2 3 3 3" xfId="25018"/>
    <cellStyle name="Обычный 6 8 5 2 2 3 4" xfId="25019"/>
    <cellStyle name="Обычный 6 8 5 2 2 3 4 2" xfId="25020"/>
    <cellStyle name="Обычный 6 8 5 2 2 3 5" xfId="25021"/>
    <cellStyle name="Обычный 6 8 5 2 2 3 6" xfId="25022"/>
    <cellStyle name="Обычный 6 8 5 2 2 4" xfId="25023"/>
    <cellStyle name="Обычный 6 8 5 2 2 4 2" xfId="25024"/>
    <cellStyle name="Обычный 6 8 5 2 2 4 3" xfId="25025"/>
    <cellStyle name="Обычный 6 8 5 2 2 5" xfId="25026"/>
    <cellStyle name="Обычный 6 8 5 2 2 5 2" xfId="25027"/>
    <cellStyle name="Обычный 6 8 5 2 2 5 3" xfId="25028"/>
    <cellStyle name="Обычный 6 8 5 2 2 6" xfId="25029"/>
    <cellStyle name="Обычный 6 8 5 2 2 6 2" xfId="25030"/>
    <cellStyle name="Обычный 6 8 5 2 2 7" xfId="25031"/>
    <cellStyle name="Обычный 6 8 5 2 2 8" xfId="25032"/>
    <cellStyle name="Обычный 6 8 5 2 3" xfId="25033"/>
    <cellStyle name="Обычный 6 8 5 2 3 2" xfId="25034"/>
    <cellStyle name="Обычный 6 8 5 2 3 2 2" xfId="25035"/>
    <cellStyle name="Обычный 6 8 5 2 3 2 2 2" xfId="25036"/>
    <cellStyle name="Обычный 6 8 5 2 3 2 2 3" xfId="25037"/>
    <cellStyle name="Обычный 6 8 5 2 3 2 3" xfId="25038"/>
    <cellStyle name="Обычный 6 8 5 2 3 2 3 2" xfId="25039"/>
    <cellStyle name="Обычный 6 8 5 2 3 2 3 3" xfId="25040"/>
    <cellStyle name="Обычный 6 8 5 2 3 2 4" xfId="25041"/>
    <cellStyle name="Обычный 6 8 5 2 3 2 4 2" xfId="25042"/>
    <cellStyle name="Обычный 6 8 5 2 3 2 5" xfId="25043"/>
    <cellStyle name="Обычный 6 8 5 2 3 2 6" xfId="25044"/>
    <cellStyle name="Обычный 6 8 5 2 3 3" xfId="25045"/>
    <cellStyle name="Обычный 6 8 5 2 3 3 2" xfId="25046"/>
    <cellStyle name="Обычный 6 8 5 2 3 3 3" xfId="25047"/>
    <cellStyle name="Обычный 6 8 5 2 3 4" xfId="25048"/>
    <cellStyle name="Обычный 6 8 5 2 3 4 2" xfId="25049"/>
    <cellStyle name="Обычный 6 8 5 2 3 4 3" xfId="25050"/>
    <cellStyle name="Обычный 6 8 5 2 3 5" xfId="25051"/>
    <cellStyle name="Обычный 6 8 5 2 3 5 2" xfId="25052"/>
    <cellStyle name="Обычный 6 8 5 2 3 6" xfId="25053"/>
    <cellStyle name="Обычный 6 8 5 2 3 7" xfId="25054"/>
    <cellStyle name="Обычный 6 8 5 2 4" xfId="25055"/>
    <cellStyle name="Обычный 6 8 5 2 4 2" xfId="25056"/>
    <cellStyle name="Обычный 6 8 5 2 4 2 2" xfId="25057"/>
    <cellStyle name="Обычный 6 8 5 2 4 2 3" xfId="25058"/>
    <cellStyle name="Обычный 6 8 5 2 4 3" xfId="25059"/>
    <cellStyle name="Обычный 6 8 5 2 4 3 2" xfId="25060"/>
    <cellStyle name="Обычный 6 8 5 2 4 3 3" xfId="25061"/>
    <cellStyle name="Обычный 6 8 5 2 4 4" xfId="25062"/>
    <cellStyle name="Обычный 6 8 5 2 4 4 2" xfId="25063"/>
    <cellStyle name="Обычный 6 8 5 2 4 5" xfId="25064"/>
    <cellStyle name="Обычный 6 8 5 2 4 6" xfId="25065"/>
    <cellStyle name="Обычный 6 8 5 2 5" xfId="25066"/>
    <cellStyle name="Обычный 6 8 5 2 5 2" xfId="25067"/>
    <cellStyle name="Обычный 6 8 5 2 5 3" xfId="25068"/>
    <cellStyle name="Обычный 6 8 5 2 6" xfId="25069"/>
    <cellStyle name="Обычный 6 8 5 2 6 2" xfId="25070"/>
    <cellStyle name="Обычный 6 8 5 2 6 3" xfId="25071"/>
    <cellStyle name="Обычный 6 8 5 2 7" xfId="25072"/>
    <cellStyle name="Обычный 6 8 5 2 7 2" xfId="25073"/>
    <cellStyle name="Обычный 6 8 5 2 8" xfId="25074"/>
    <cellStyle name="Обычный 6 8 5 2 9" xfId="25075"/>
    <cellStyle name="Обычный 6 8 5 3" xfId="25076"/>
    <cellStyle name="Обычный 6 8 5 3 2" xfId="25077"/>
    <cellStyle name="Обычный 6 8 5 3 2 2" xfId="25078"/>
    <cellStyle name="Обычный 6 8 5 3 2 2 2" xfId="25079"/>
    <cellStyle name="Обычный 6 8 5 3 2 2 2 2" xfId="25080"/>
    <cellStyle name="Обычный 6 8 5 3 2 2 2 3" xfId="25081"/>
    <cellStyle name="Обычный 6 8 5 3 2 2 3" xfId="25082"/>
    <cellStyle name="Обычный 6 8 5 3 2 2 3 2" xfId="25083"/>
    <cellStyle name="Обычный 6 8 5 3 2 2 3 3" xfId="25084"/>
    <cellStyle name="Обычный 6 8 5 3 2 2 4" xfId="25085"/>
    <cellStyle name="Обычный 6 8 5 3 2 2 4 2" xfId="25086"/>
    <cellStyle name="Обычный 6 8 5 3 2 2 5" xfId="25087"/>
    <cellStyle name="Обычный 6 8 5 3 2 2 6" xfId="25088"/>
    <cellStyle name="Обычный 6 8 5 3 2 3" xfId="25089"/>
    <cellStyle name="Обычный 6 8 5 3 2 3 2" xfId="25090"/>
    <cellStyle name="Обычный 6 8 5 3 2 3 3" xfId="25091"/>
    <cellStyle name="Обычный 6 8 5 3 2 4" xfId="25092"/>
    <cellStyle name="Обычный 6 8 5 3 2 4 2" xfId="25093"/>
    <cellStyle name="Обычный 6 8 5 3 2 4 3" xfId="25094"/>
    <cellStyle name="Обычный 6 8 5 3 2 5" xfId="25095"/>
    <cellStyle name="Обычный 6 8 5 3 2 5 2" xfId="25096"/>
    <cellStyle name="Обычный 6 8 5 3 2 6" xfId="25097"/>
    <cellStyle name="Обычный 6 8 5 3 2 7" xfId="25098"/>
    <cellStyle name="Обычный 6 8 5 3 3" xfId="25099"/>
    <cellStyle name="Обычный 6 8 5 3 3 2" xfId="25100"/>
    <cellStyle name="Обычный 6 8 5 3 3 2 2" xfId="25101"/>
    <cellStyle name="Обычный 6 8 5 3 3 2 3" xfId="25102"/>
    <cellStyle name="Обычный 6 8 5 3 3 3" xfId="25103"/>
    <cellStyle name="Обычный 6 8 5 3 3 3 2" xfId="25104"/>
    <cellStyle name="Обычный 6 8 5 3 3 3 3" xfId="25105"/>
    <cellStyle name="Обычный 6 8 5 3 3 4" xfId="25106"/>
    <cellStyle name="Обычный 6 8 5 3 3 4 2" xfId="25107"/>
    <cellStyle name="Обычный 6 8 5 3 3 5" xfId="25108"/>
    <cellStyle name="Обычный 6 8 5 3 3 6" xfId="25109"/>
    <cellStyle name="Обычный 6 8 5 3 4" xfId="25110"/>
    <cellStyle name="Обычный 6 8 5 3 4 2" xfId="25111"/>
    <cellStyle name="Обычный 6 8 5 3 4 3" xfId="25112"/>
    <cellStyle name="Обычный 6 8 5 3 5" xfId="25113"/>
    <cellStyle name="Обычный 6 8 5 3 5 2" xfId="25114"/>
    <cellStyle name="Обычный 6 8 5 3 5 3" xfId="25115"/>
    <cellStyle name="Обычный 6 8 5 3 6" xfId="25116"/>
    <cellStyle name="Обычный 6 8 5 3 6 2" xfId="25117"/>
    <cellStyle name="Обычный 6 8 5 3 7" xfId="25118"/>
    <cellStyle name="Обычный 6 8 5 3 8" xfId="25119"/>
    <cellStyle name="Обычный 6 8 5 4" xfId="25120"/>
    <cellStyle name="Обычный 6 8 5 4 2" xfId="25121"/>
    <cellStyle name="Обычный 6 8 5 4 2 2" xfId="25122"/>
    <cellStyle name="Обычный 6 8 5 4 2 2 2" xfId="25123"/>
    <cellStyle name="Обычный 6 8 5 4 2 2 3" xfId="25124"/>
    <cellStyle name="Обычный 6 8 5 4 2 3" xfId="25125"/>
    <cellStyle name="Обычный 6 8 5 4 2 3 2" xfId="25126"/>
    <cellStyle name="Обычный 6 8 5 4 2 3 3" xfId="25127"/>
    <cellStyle name="Обычный 6 8 5 4 2 4" xfId="25128"/>
    <cellStyle name="Обычный 6 8 5 4 2 4 2" xfId="25129"/>
    <cellStyle name="Обычный 6 8 5 4 2 5" xfId="25130"/>
    <cellStyle name="Обычный 6 8 5 4 2 6" xfId="25131"/>
    <cellStyle name="Обычный 6 8 5 4 3" xfId="25132"/>
    <cellStyle name="Обычный 6 8 5 4 3 2" xfId="25133"/>
    <cellStyle name="Обычный 6 8 5 4 3 3" xfId="25134"/>
    <cellStyle name="Обычный 6 8 5 4 4" xfId="25135"/>
    <cellStyle name="Обычный 6 8 5 4 4 2" xfId="25136"/>
    <cellStyle name="Обычный 6 8 5 4 4 3" xfId="25137"/>
    <cellStyle name="Обычный 6 8 5 4 5" xfId="25138"/>
    <cellStyle name="Обычный 6 8 5 4 5 2" xfId="25139"/>
    <cellStyle name="Обычный 6 8 5 4 6" xfId="25140"/>
    <cellStyle name="Обычный 6 8 5 4 7" xfId="25141"/>
    <cellStyle name="Обычный 6 8 5 5" xfId="25142"/>
    <cellStyle name="Обычный 6 8 5 5 2" xfId="25143"/>
    <cellStyle name="Обычный 6 8 5 5 2 2" xfId="25144"/>
    <cellStyle name="Обычный 6 8 5 5 2 3" xfId="25145"/>
    <cellStyle name="Обычный 6 8 5 5 3" xfId="25146"/>
    <cellStyle name="Обычный 6 8 5 5 3 2" xfId="25147"/>
    <cellStyle name="Обычный 6 8 5 5 3 3" xfId="25148"/>
    <cellStyle name="Обычный 6 8 5 5 4" xfId="25149"/>
    <cellStyle name="Обычный 6 8 5 5 4 2" xfId="25150"/>
    <cellStyle name="Обычный 6 8 5 5 5" xfId="25151"/>
    <cellStyle name="Обычный 6 8 5 5 6" xfId="25152"/>
    <cellStyle name="Обычный 6 8 5 6" xfId="25153"/>
    <cellStyle name="Обычный 6 8 5 6 2" xfId="25154"/>
    <cellStyle name="Обычный 6 8 5 6 3" xfId="25155"/>
    <cellStyle name="Обычный 6 8 5 7" xfId="25156"/>
    <cellStyle name="Обычный 6 8 5 7 2" xfId="25157"/>
    <cellStyle name="Обычный 6 8 5 7 3" xfId="25158"/>
    <cellStyle name="Обычный 6 8 5 8" xfId="25159"/>
    <cellStyle name="Обычный 6 8 5 8 2" xfId="25160"/>
    <cellStyle name="Обычный 6 8 5 9" xfId="25161"/>
    <cellStyle name="Обычный 6 8 6" xfId="25162"/>
    <cellStyle name="Обычный 6 8 6 2" xfId="25163"/>
    <cellStyle name="Обычный 6 8 6 2 2" xfId="25164"/>
    <cellStyle name="Обычный 6 8 6 2 2 2" xfId="25165"/>
    <cellStyle name="Обычный 6 8 6 2 2 2 2" xfId="25166"/>
    <cellStyle name="Обычный 6 8 6 2 2 2 2 2" xfId="25167"/>
    <cellStyle name="Обычный 6 8 6 2 2 2 2 3" xfId="25168"/>
    <cellStyle name="Обычный 6 8 6 2 2 2 3" xfId="25169"/>
    <cellStyle name="Обычный 6 8 6 2 2 2 3 2" xfId="25170"/>
    <cellStyle name="Обычный 6 8 6 2 2 2 3 3" xfId="25171"/>
    <cellStyle name="Обычный 6 8 6 2 2 2 4" xfId="25172"/>
    <cellStyle name="Обычный 6 8 6 2 2 2 4 2" xfId="25173"/>
    <cellStyle name="Обычный 6 8 6 2 2 2 5" xfId="25174"/>
    <cellStyle name="Обычный 6 8 6 2 2 2 6" xfId="25175"/>
    <cellStyle name="Обычный 6 8 6 2 2 3" xfId="25176"/>
    <cellStyle name="Обычный 6 8 6 2 2 3 2" xfId="25177"/>
    <cellStyle name="Обычный 6 8 6 2 2 3 3" xfId="25178"/>
    <cellStyle name="Обычный 6 8 6 2 2 4" xfId="25179"/>
    <cellStyle name="Обычный 6 8 6 2 2 4 2" xfId="25180"/>
    <cellStyle name="Обычный 6 8 6 2 2 4 3" xfId="25181"/>
    <cellStyle name="Обычный 6 8 6 2 2 5" xfId="25182"/>
    <cellStyle name="Обычный 6 8 6 2 2 5 2" xfId="25183"/>
    <cellStyle name="Обычный 6 8 6 2 2 6" xfId="25184"/>
    <cellStyle name="Обычный 6 8 6 2 2 7" xfId="25185"/>
    <cellStyle name="Обычный 6 8 6 2 3" xfId="25186"/>
    <cellStyle name="Обычный 6 8 6 2 3 2" xfId="25187"/>
    <cellStyle name="Обычный 6 8 6 2 3 2 2" xfId="25188"/>
    <cellStyle name="Обычный 6 8 6 2 3 2 3" xfId="25189"/>
    <cellStyle name="Обычный 6 8 6 2 3 3" xfId="25190"/>
    <cellStyle name="Обычный 6 8 6 2 3 3 2" xfId="25191"/>
    <cellStyle name="Обычный 6 8 6 2 3 3 3" xfId="25192"/>
    <cellStyle name="Обычный 6 8 6 2 3 4" xfId="25193"/>
    <cellStyle name="Обычный 6 8 6 2 3 4 2" xfId="25194"/>
    <cellStyle name="Обычный 6 8 6 2 3 5" xfId="25195"/>
    <cellStyle name="Обычный 6 8 6 2 3 6" xfId="25196"/>
    <cellStyle name="Обычный 6 8 6 2 4" xfId="25197"/>
    <cellStyle name="Обычный 6 8 6 2 4 2" xfId="25198"/>
    <cellStyle name="Обычный 6 8 6 2 4 3" xfId="25199"/>
    <cellStyle name="Обычный 6 8 6 2 5" xfId="25200"/>
    <cellStyle name="Обычный 6 8 6 2 5 2" xfId="25201"/>
    <cellStyle name="Обычный 6 8 6 2 5 3" xfId="25202"/>
    <cellStyle name="Обычный 6 8 6 2 6" xfId="25203"/>
    <cellStyle name="Обычный 6 8 6 2 6 2" xfId="25204"/>
    <cellStyle name="Обычный 6 8 6 2 7" xfId="25205"/>
    <cellStyle name="Обычный 6 8 6 2 8" xfId="25206"/>
    <cellStyle name="Обычный 6 8 6 3" xfId="25207"/>
    <cellStyle name="Обычный 6 8 6 3 2" xfId="25208"/>
    <cellStyle name="Обычный 6 8 6 3 2 2" xfId="25209"/>
    <cellStyle name="Обычный 6 8 6 3 2 2 2" xfId="25210"/>
    <cellStyle name="Обычный 6 8 6 3 2 2 3" xfId="25211"/>
    <cellStyle name="Обычный 6 8 6 3 2 3" xfId="25212"/>
    <cellStyle name="Обычный 6 8 6 3 2 3 2" xfId="25213"/>
    <cellStyle name="Обычный 6 8 6 3 2 3 3" xfId="25214"/>
    <cellStyle name="Обычный 6 8 6 3 2 4" xfId="25215"/>
    <cellStyle name="Обычный 6 8 6 3 2 4 2" xfId="25216"/>
    <cellStyle name="Обычный 6 8 6 3 2 5" xfId="25217"/>
    <cellStyle name="Обычный 6 8 6 3 2 6" xfId="25218"/>
    <cellStyle name="Обычный 6 8 6 3 3" xfId="25219"/>
    <cellStyle name="Обычный 6 8 6 3 3 2" xfId="25220"/>
    <cellStyle name="Обычный 6 8 6 3 3 3" xfId="25221"/>
    <cellStyle name="Обычный 6 8 6 3 4" xfId="25222"/>
    <cellStyle name="Обычный 6 8 6 3 4 2" xfId="25223"/>
    <cellStyle name="Обычный 6 8 6 3 4 3" xfId="25224"/>
    <cellStyle name="Обычный 6 8 6 3 5" xfId="25225"/>
    <cellStyle name="Обычный 6 8 6 3 5 2" xfId="25226"/>
    <cellStyle name="Обычный 6 8 6 3 6" xfId="25227"/>
    <cellStyle name="Обычный 6 8 6 3 7" xfId="25228"/>
    <cellStyle name="Обычный 6 8 6 4" xfId="25229"/>
    <cellStyle name="Обычный 6 8 6 4 2" xfId="25230"/>
    <cellStyle name="Обычный 6 8 6 4 2 2" xfId="25231"/>
    <cellStyle name="Обычный 6 8 6 4 2 3" xfId="25232"/>
    <cellStyle name="Обычный 6 8 6 4 3" xfId="25233"/>
    <cellStyle name="Обычный 6 8 6 4 3 2" xfId="25234"/>
    <cellStyle name="Обычный 6 8 6 4 3 3" xfId="25235"/>
    <cellStyle name="Обычный 6 8 6 4 4" xfId="25236"/>
    <cellStyle name="Обычный 6 8 6 4 4 2" xfId="25237"/>
    <cellStyle name="Обычный 6 8 6 4 5" xfId="25238"/>
    <cellStyle name="Обычный 6 8 6 4 6" xfId="25239"/>
    <cellStyle name="Обычный 6 8 6 5" xfId="25240"/>
    <cellStyle name="Обычный 6 8 6 5 2" xfId="25241"/>
    <cellStyle name="Обычный 6 8 6 5 3" xfId="25242"/>
    <cellStyle name="Обычный 6 8 6 6" xfId="25243"/>
    <cellStyle name="Обычный 6 8 6 6 2" xfId="25244"/>
    <cellStyle name="Обычный 6 8 6 6 3" xfId="25245"/>
    <cellStyle name="Обычный 6 8 6 7" xfId="25246"/>
    <cellStyle name="Обычный 6 8 6 7 2" xfId="25247"/>
    <cellStyle name="Обычный 6 8 6 8" xfId="25248"/>
    <cellStyle name="Обычный 6 8 6 9" xfId="25249"/>
    <cellStyle name="Обычный 6 8 7" xfId="25250"/>
    <cellStyle name="Обычный 6 8 7 2" xfId="25251"/>
    <cellStyle name="Обычный 6 8 7 2 2" xfId="25252"/>
    <cellStyle name="Обычный 6 8 7 2 2 2" xfId="25253"/>
    <cellStyle name="Обычный 6 8 7 2 2 2 2" xfId="25254"/>
    <cellStyle name="Обычный 6 8 7 2 2 2 3" xfId="25255"/>
    <cellStyle name="Обычный 6 8 7 2 2 3" xfId="25256"/>
    <cellStyle name="Обычный 6 8 7 2 2 3 2" xfId="25257"/>
    <cellStyle name="Обычный 6 8 7 2 2 3 3" xfId="25258"/>
    <cellStyle name="Обычный 6 8 7 2 2 4" xfId="25259"/>
    <cellStyle name="Обычный 6 8 7 2 2 4 2" xfId="25260"/>
    <cellStyle name="Обычный 6 8 7 2 2 5" xfId="25261"/>
    <cellStyle name="Обычный 6 8 7 2 2 6" xfId="25262"/>
    <cellStyle name="Обычный 6 8 7 2 3" xfId="25263"/>
    <cellStyle name="Обычный 6 8 7 2 3 2" xfId="25264"/>
    <cellStyle name="Обычный 6 8 7 2 3 3" xfId="25265"/>
    <cellStyle name="Обычный 6 8 7 2 4" xfId="25266"/>
    <cellStyle name="Обычный 6 8 7 2 4 2" xfId="25267"/>
    <cellStyle name="Обычный 6 8 7 2 4 3" xfId="25268"/>
    <cellStyle name="Обычный 6 8 7 2 5" xfId="25269"/>
    <cellStyle name="Обычный 6 8 7 2 5 2" xfId="25270"/>
    <cellStyle name="Обычный 6 8 7 2 6" xfId="25271"/>
    <cellStyle name="Обычный 6 8 7 2 7" xfId="25272"/>
    <cellStyle name="Обычный 6 8 7 3" xfId="25273"/>
    <cellStyle name="Обычный 6 8 7 3 2" xfId="25274"/>
    <cellStyle name="Обычный 6 8 7 3 2 2" xfId="25275"/>
    <cellStyle name="Обычный 6 8 7 3 2 3" xfId="25276"/>
    <cellStyle name="Обычный 6 8 7 3 3" xfId="25277"/>
    <cellStyle name="Обычный 6 8 7 3 3 2" xfId="25278"/>
    <cellStyle name="Обычный 6 8 7 3 3 3" xfId="25279"/>
    <cellStyle name="Обычный 6 8 7 3 4" xfId="25280"/>
    <cellStyle name="Обычный 6 8 7 3 4 2" xfId="25281"/>
    <cellStyle name="Обычный 6 8 7 3 5" xfId="25282"/>
    <cellStyle name="Обычный 6 8 7 3 6" xfId="25283"/>
    <cellStyle name="Обычный 6 8 7 4" xfId="25284"/>
    <cellStyle name="Обычный 6 8 7 4 2" xfId="25285"/>
    <cellStyle name="Обычный 6 8 7 4 3" xfId="25286"/>
    <cellStyle name="Обычный 6 8 7 5" xfId="25287"/>
    <cellStyle name="Обычный 6 8 7 5 2" xfId="25288"/>
    <cellStyle name="Обычный 6 8 7 5 3" xfId="25289"/>
    <cellStyle name="Обычный 6 8 7 6" xfId="25290"/>
    <cellStyle name="Обычный 6 8 7 6 2" xfId="25291"/>
    <cellStyle name="Обычный 6 8 7 7" xfId="25292"/>
    <cellStyle name="Обычный 6 8 7 8" xfId="25293"/>
    <cellStyle name="Обычный 6 8 8" xfId="25294"/>
    <cellStyle name="Обычный 6 8 8 2" xfId="25295"/>
    <cellStyle name="Обычный 6 8 8 2 2" xfId="25296"/>
    <cellStyle name="Обычный 6 8 8 2 2 2" xfId="25297"/>
    <cellStyle name="Обычный 6 8 8 2 2 3" xfId="25298"/>
    <cellStyle name="Обычный 6 8 8 2 3" xfId="25299"/>
    <cellStyle name="Обычный 6 8 8 2 3 2" xfId="25300"/>
    <cellStyle name="Обычный 6 8 8 2 3 3" xfId="25301"/>
    <cellStyle name="Обычный 6 8 8 2 4" xfId="25302"/>
    <cellStyle name="Обычный 6 8 8 2 4 2" xfId="25303"/>
    <cellStyle name="Обычный 6 8 8 2 5" xfId="25304"/>
    <cellStyle name="Обычный 6 8 8 2 6" xfId="25305"/>
    <cellStyle name="Обычный 6 8 8 3" xfId="25306"/>
    <cellStyle name="Обычный 6 8 8 3 2" xfId="25307"/>
    <cellStyle name="Обычный 6 8 8 3 3" xfId="25308"/>
    <cellStyle name="Обычный 6 8 8 4" xfId="25309"/>
    <cellStyle name="Обычный 6 8 8 4 2" xfId="25310"/>
    <cellStyle name="Обычный 6 8 8 4 3" xfId="25311"/>
    <cellStyle name="Обычный 6 8 8 5" xfId="25312"/>
    <cellStyle name="Обычный 6 8 8 5 2" xfId="25313"/>
    <cellStyle name="Обычный 6 8 8 6" xfId="25314"/>
    <cellStyle name="Обычный 6 8 8 7" xfId="25315"/>
    <cellStyle name="Обычный 6 8 9" xfId="25316"/>
    <cellStyle name="Обычный 6 8 9 2" xfId="25317"/>
    <cellStyle name="Обычный 6 8 9 2 2" xfId="25318"/>
    <cellStyle name="Обычный 6 8 9 2 3" xfId="25319"/>
    <cellStyle name="Обычный 6 8 9 3" xfId="25320"/>
    <cellStyle name="Обычный 6 8 9 3 2" xfId="25321"/>
    <cellStyle name="Обычный 6 8 9 3 3" xfId="25322"/>
    <cellStyle name="Обычный 6 8 9 4" xfId="25323"/>
    <cellStyle name="Обычный 6 8 9 4 2" xfId="25324"/>
    <cellStyle name="Обычный 6 8 9 5" xfId="25325"/>
    <cellStyle name="Обычный 6 8 9 6" xfId="25326"/>
    <cellStyle name="Обычный 6 9" xfId="25327"/>
    <cellStyle name="Обычный 6 9 10" xfId="25328"/>
    <cellStyle name="Обычный 6 9 10 2" xfId="25329"/>
    <cellStyle name="Обычный 6 9 10 3" xfId="25330"/>
    <cellStyle name="Обычный 6 9 11" xfId="25331"/>
    <cellStyle name="Обычный 6 9 11 2" xfId="25332"/>
    <cellStyle name="Обычный 6 9 12" xfId="25333"/>
    <cellStyle name="Обычный 6 9 13" xfId="25334"/>
    <cellStyle name="Обычный 6 9 2" xfId="25335"/>
    <cellStyle name="Обычный 6 9 2 10" xfId="25336"/>
    <cellStyle name="Обычный 6 9 2 2" xfId="25337"/>
    <cellStyle name="Обычный 6 9 2 2 2" xfId="25338"/>
    <cellStyle name="Обычный 6 9 2 2 2 2" xfId="25339"/>
    <cellStyle name="Обычный 6 9 2 2 2 2 2" xfId="25340"/>
    <cellStyle name="Обычный 6 9 2 2 2 2 2 2" xfId="25341"/>
    <cellStyle name="Обычный 6 9 2 2 2 2 2 2 2" xfId="25342"/>
    <cellStyle name="Обычный 6 9 2 2 2 2 2 2 3" xfId="25343"/>
    <cellStyle name="Обычный 6 9 2 2 2 2 2 3" xfId="25344"/>
    <cellStyle name="Обычный 6 9 2 2 2 2 2 3 2" xfId="25345"/>
    <cellStyle name="Обычный 6 9 2 2 2 2 2 3 3" xfId="25346"/>
    <cellStyle name="Обычный 6 9 2 2 2 2 2 4" xfId="25347"/>
    <cellStyle name="Обычный 6 9 2 2 2 2 2 4 2" xfId="25348"/>
    <cellStyle name="Обычный 6 9 2 2 2 2 2 5" xfId="25349"/>
    <cellStyle name="Обычный 6 9 2 2 2 2 2 6" xfId="25350"/>
    <cellStyle name="Обычный 6 9 2 2 2 2 3" xfId="25351"/>
    <cellStyle name="Обычный 6 9 2 2 2 2 3 2" xfId="25352"/>
    <cellStyle name="Обычный 6 9 2 2 2 2 3 3" xfId="25353"/>
    <cellStyle name="Обычный 6 9 2 2 2 2 4" xfId="25354"/>
    <cellStyle name="Обычный 6 9 2 2 2 2 4 2" xfId="25355"/>
    <cellStyle name="Обычный 6 9 2 2 2 2 4 3" xfId="25356"/>
    <cellStyle name="Обычный 6 9 2 2 2 2 5" xfId="25357"/>
    <cellStyle name="Обычный 6 9 2 2 2 2 5 2" xfId="25358"/>
    <cellStyle name="Обычный 6 9 2 2 2 2 6" xfId="25359"/>
    <cellStyle name="Обычный 6 9 2 2 2 2 7" xfId="25360"/>
    <cellStyle name="Обычный 6 9 2 2 2 3" xfId="25361"/>
    <cellStyle name="Обычный 6 9 2 2 2 3 2" xfId="25362"/>
    <cellStyle name="Обычный 6 9 2 2 2 3 2 2" xfId="25363"/>
    <cellStyle name="Обычный 6 9 2 2 2 3 2 3" xfId="25364"/>
    <cellStyle name="Обычный 6 9 2 2 2 3 3" xfId="25365"/>
    <cellStyle name="Обычный 6 9 2 2 2 3 3 2" xfId="25366"/>
    <cellStyle name="Обычный 6 9 2 2 2 3 3 3" xfId="25367"/>
    <cellStyle name="Обычный 6 9 2 2 2 3 4" xfId="25368"/>
    <cellStyle name="Обычный 6 9 2 2 2 3 4 2" xfId="25369"/>
    <cellStyle name="Обычный 6 9 2 2 2 3 5" xfId="25370"/>
    <cellStyle name="Обычный 6 9 2 2 2 3 6" xfId="25371"/>
    <cellStyle name="Обычный 6 9 2 2 2 4" xfId="25372"/>
    <cellStyle name="Обычный 6 9 2 2 2 4 2" xfId="25373"/>
    <cellStyle name="Обычный 6 9 2 2 2 4 3" xfId="25374"/>
    <cellStyle name="Обычный 6 9 2 2 2 5" xfId="25375"/>
    <cellStyle name="Обычный 6 9 2 2 2 5 2" xfId="25376"/>
    <cellStyle name="Обычный 6 9 2 2 2 5 3" xfId="25377"/>
    <cellStyle name="Обычный 6 9 2 2 2 6" xfId="25378"/>
    <cellStyle name="Обычный 6 9 2 2 2 6 2" xfId="25379"/>
    <cellStyle name="Обычный 6 9 2 2 2 7" xfId="25380"/>
    <cellStyle name="Обычный 6 9 2 2 2 8" xfId="25381"/>
    <cellStyle name="Обычный 6 9 2 2 3" xfId="25382"/>
    <cellStyle name="Обычный 6 9 2 2 3 2" xfId="25383"/>
    <cellStyle name="Обычный 6 9 2 2 3 2 2" xfId="25384"/>
    <cellStyle name="Обычный 6 9 2 2 3 2 2 2" xfId="25385"/>
    <cellStyle name="Обычный 6 9 2 2 3 2 2 3" xfId="25386"/>
    <cellStyle name="Обычный 6 9 2 2 3 2 3" xfId="25387"/>
    <cellStyle name="Обычный 6 9 2 2 3 2 3 2" xfId="25388"/>
    <cellStyle name="Обычный 6 9 2 2 3 2 3 3" xfId="25389"/>
    <cellStyle name="Обычный 6 9 2 2 3 2 4" xfId="25390"/>
    <cellStyle name="Обычный 6 9 2 2 3 2 4 2" xfId="25391"/>
    <cellStyle name="Обычный 6 9 2 2 3 2 5" xfId="25392"/>
    <cellStyle name="Обычный 6 9 2 2 3 2 6" xfId="25393"/>
    <cellStyle name="Обычный 6 9 2 2 3 3" xfId="25394"/>
    <cellStyle name="Обычный 6 9 2 2 3 3 2" xfId="25395"/>
    <cellStyle name="Обычный 6 9 2 2 3 3 3" xfId="25396"/>
    <cellStyle name="Обычный 6 9 2 2 3 4" xfId="25397"/>
    <cellStyle name="Обычный 6 9 2 2 3 4 2" xfId="25398"/>
    <cellStyle name="Обычный 6 9 2 2 3 4 3" xfId="25399"/>
    <cellStyle name="Обычный 6 9 2 2 3 5" xfId="25400"/>
    <cellStyle name="Обычный 6 9 2 2 3 5 2" xfId="25401"/>
    <cellStyle name="Обычный 6 9 2 2 3 6" xfId="25402"/>
    <cellStyle name="Обычный 6 9 2 2 3 7" xfId="25403"/>
    <cellStyle name="Обычный 6 9 2 2 4" xfId="25404"/>
    <cellStyle name="Обычный 6 9 2 2 4 2" xfId="25405"/>
    <cellStyle name="Обычный 6 9 2 2 4 2 2" xfId="25406"/>
    <cellStyle name="Обычный 6 9 2 2 4 2 3" xfId="25407"/>
    <cellStyle name="Обычный 6 9 2 2 4 3" xfId="25408"/>
    <cellStyle name="Обычный 6 9 2 2 4 3 2" xfId="25409"/>
    <cellStyle name="Обычный 6 9 2 2 4 3 3" xfId="25410"/>
    <cellStyle name="Обычный 6 9 2 2 4 4" xfId="25411"/>
    <cellStyle name="Обычный 6 9 2 2 4 4 2" xfId="25412"/>
    <cellStyle name="Обычный 6 9 2 2 4 5" xfId="25413"/>
    <cellStyle name="Обычный 6 9 2 2 4 6" xfId="25414"/>
    <cellStyle name="Обычный 6 9 2 2 5" xfId="25415"/>
    <cellStyle name="Обычный 6 9 2 2 5 2" xfId="25416"/>
    <cellStyle name="Обычный 6 9 2 2 5 3" xfId="25417"/>
    <cellStyle name="Обычный 6 9 2 2 6" xfId="25418"/>
    <cellStyle name="Обычный 6 9 2 2 6 2" xfId="25419"/>
    <cellStyle name="Обычный 6 9 2 2 6 3" xfId="25420"/>
    <cellStyle name="Обычный 6 9 2 2 7" xfId="25421"/>
    <cellStyle name="Обычный 6 9 2 2 7 2" xfId="25422"/>
    <cellStyle name="Обычный 6 9 2 2 8" xfId="25423"/>
    <cellStyle name="Обычный 6 9 2 2 9" xfId="25424"/>
    <cellStyle name="Обычный 6 9 2 3" xfId="25425"/>
    <cellStyle name="Обычный 6 9 2 3 2" xfId="25426"/>
    <cellStyle name="Обычный 6 9 2 3 2 2" xfId="25427"/>
    <cellStyle name="Обычный 6 9 2 3 2 2 2" xfId="25428"/>
    <cellStyle name="Обычный 6 9 2 3 2 2 2 2" xfId="25429"/>
    <cellStyle name="Обычный 6 9 2 3 2 2 2 3" xfId="25430"/>
    <cellStyle name="Обычный 6 9 2 3 2 2 3" xfId="25431"/>
    <cellStyle name="Обычный 6 9 2 3 2 2 3 2" xfId="25432"/>
    <cellStyle name="Обычный 6 9 2 3 2 2 3 3" xfId="25433"/>
    <cellStyle name="Обычный 6 9 2 3 2 2 4" xfId="25434"/>
    <cellStyle name="Обычный 6 9 2 3 2 2 4 2" xfId="25435"/>
    <cellStyle name="Обычный 6 9 2 3 2 2 5" xfId="25436"/>
    <cellStyle name="Обычный 6 9 2 3 2 2 6" xfId="25437"/>
    <cellStyle name="Обычный 6 9 2 3 2 3" xfId="25438"/>
    <cellStyle name="Обычный 6 9 2 3 2 3 2" xfId="25439"/>
    <cellStyle name="Обычный 6 9 2 3 2 3 3" xfId="25440"/>
    <cellStyle name="Обычный 6 9 2 3 2 4" xfId="25441"/>
    <cellStyle name="Обычный 6 9 2 3 2 4 2" xfId="25442"/>
    <cellStyle name="Обычный 6 9 2 3 2 4 3" xfId="25443"/>
    <cellStyle name="Обычный 6 9 2 3 2 5" xfId="25444"/>
    <cellStyle name="Обычный 6 9 2 3 2 5 2" xfId="25445"/>
    <cellStyle name="Обычный 6 9 2 3 2 6" xfId="25446"/>
    <cellStyle name="Обычный 6 9 2 3 2 7" xfId="25447"/>
    <cellStyle name="Обычный 6 9 2 3 3" xfId="25448"/>
    <cellStyle name="Обычный 6 9 2 3 3 2" xfId="25449"/>
    <cellStyle name="Обычный 6 9 2 3 3 2 2" xfId="25450"/>
    <cellStyle name="Обычный 6 9 2 3 3 2 3" xfId="25451"/>
    <cellStyle name="Обычный 6 9 2 3 3 3" xfId="25452"/>
    <cellStyle name="Обычный 6 9 2 3 3 3 2" xfId="25453"/>
    <cellStyle name="Обычный 6 9 2 3 3 3 3" xfId="25454"/>
    <cellStyle name="Обычный 6 9 2 3 3 4" xfId="25455"/>
    <cellStyle name="Обычный 6 9 2 3 3 4 2" xfId="25456"/>
    <cellStyle name="Обычный 6 9 2 3 3 5" xfId="25457"/>
    <cellStyle name="Обычный 6 9 2 3 3 6" xfId="25458"/>
    <cellStyle name="Обычный 6 9 2 3 4" xfId="25459"/>
    <cellStyle name="Обычный 6 9 2 3 4 2" xfId="25460"/>
    <cellStyle name="Обычный 6 9 2 3 4 3" xfId="25461"/>
    <cellStyle name="Обычный 6 9 2 3 5" xfId="25462"/>
    <cellStyle name="Обычный 6 9 2 3 5 2" xfId="25463"/>
    <cellStyle name="Обычный 6 9 2 3 5 3" xfId="25464"/>
    <cellStyle name="Обычный 6 9 2 3 6" xfId="25465"/>
    <cellStyle name="Обычный 6 9 2 3 6 2" xfId="25466"/>
    <cellStyle name="Обычный 6 9 2 3 7" xfId="25467"/>
    <cellStyle name="Обычный 6 9 2 3 8" xfId="25468"/>
    <cellStyle name="Обычный 6 9 2 4" xfId="25469"/>
    <cellStyle name="Обычный 6 9 2 4 2" xfId="25470"/>
    <cellStyle name="Обычный 6 9 2 4 2 2" xfId="25471"/>
    <cellStyle name="Обычный 6 9 2 4 2 2 2" xfId="25472"/>
    <cellStyle name="Обычный 6 9 2 4 2 2 3" xfId="25473"/>
    <cellStyle name="Обычный 6 9 2 4 2 3" xfId="25474"/>
    <cellStyle name="Обычный 6 9 2 4 2 3 2" xfId="25475"/>
    <cellStyle name="Обычный 6 9 2 4 2 3 3" xfId="25476"/>
    <cellStyle name="Обычный 6 9 2 4 2 4" xfId="25477"/>
    <cellStyle name="Обычный 6 9 2 4 2 4 2" xfId="25478"/>
    <cellStyle name="Обычный 6 9 2 4 2 5" xfId="25479"/>
    <cellStyle name="Обычный 6 9 2 4 2 6" xfId="25480"/>
    <cellStyle name="Обычный 6 9 2 4 3" xfId="25481"/>
    <cellStyle name="Обычный 6 9 2 4 3 2" xfId="25482"/>
    <cellStyle name="Обычный 6 9 2 4 3 3" xfId="25483"/>
    <cellStyle name="Обычный 6 9 2 4 4" xfId="25484"/>
    <cellStyle name="Обычный 6 9 2 4 4 2" xfId="25485"/>
    <cellStyle name="Обычный 6 9 2 4 4 3" xfId="25486"/>
    <cellStyle name="Обычный 6 9 2 4 5" xfId="25487"/>
    <cellStyle name="Обычный 6 9 2 4 5 2" xfId="25488"/>
    <cellStyle name="Обычный 6 9 2 4 6" xfId="25489"/>
    <cellStyle name="Обычный 6 9 2 4 7" xfId="25490"/>
    <cellStyle name="Обычный 6 9 2 5" xfId="25491"/>
    <cellStyle name="Обычный 6 9 2 5 2" xfId="25492"/>
    <cellStyle name="Обычный 6 9 2 5 2 2" xfId="25493"/>
    <cellStyle name="Обычный 6 9 2 5 2 3" xfId="25494"/>
    <cellStyle name="Обычный 6 9 2 5 3" xfId="25495"/>
    <cellStyle name="Обычный 6 9 2 5 3 2" xfId="25496"/>
    <cellStyle name="Обычный 6 9 2 5 3 3" xfId="25497"/>
    <cellStyle name="Обычный 6 9 2 5 4" xfId="25498"/>
    <cellStyle name="Обычный 6 9 2 5 4 2" xfId="25499"/>
    <cellStyle name="Обычный 6 9 2 5 5" xfId="25500"/>
    <cellStyle name="Обычный 6 9 2 5 6" xfId="25501"/>
    <cellStyle name="Обычный 6 9 2 6" xfId="25502"/>
    <cellStyle name="Обычный 6 9 2 6 2" xfId="25503"/>
    <cellStyle name="Обычный 6 9 2 6 3" xfId="25504"/>
    <cellStyle name="Обычный 6 9 2 7" xfId="25505"/>
    <cellStyle name="Обычный 6 9 2 7 2" xfId="25506"/>
    <cellStyle name="Обычный 6 9 2 7 3" xfId="25507"/>
    <cellStyle name="Обычный 6 9 2 8" xfId="25508"/>
    <cellStyle name="Обычный 6 9 2 8 2" xfId="25509"/>
    <cellStyle name="Обычный 6 9 2 9" xfId="25510"/>
    <cellStyle name="Обычный 6 9 3" xfId="25511"/>
    <cellStyle name="Обычный 6 9 3 10" xfId="25512"/>
    <cellStyle name="Обычный 6 9 3 2" xfId="25513"/>
    <cellStyle name="Обычный 6 9 3 2 2" xfId="25514"/>
    <cellStyle name="Обычный 6 9 3 2 2 2" xfId="25515"/>
    <cellStyle name="Обычный 6 9 3 2 2 2 2" xfId="25516"/>
    <cellStyle name="Обычный 6 9 3 2 2 2 2 2" xfId="25517"/>
    <cellStyle name="Обычный 6 9 3 2 2 2 2 2 2" xfId="25518"/>
    <cellStyle name="Обычный 6 9 3 2 2 2 2 2 3" xfId="25519"/>
    <cellStyle name="Обычный 6 9 3 2 2 2 2 3" xfId="25520"/>
    <cellStyle name="Обычный 6 9 3 2 2 2 2 3 2" xfId="25521"/>
    <cellStyle name="Обычный 6 9 3 2 2 2 2 3 3" xfId="25522"/>
    <cellStyle name="Обычный 6 9 3 2 2 2 2 4" xfId="25523"/>
    <cellStyle name="Обычный 6 9 3 2 2 2 2 4 2" xfId="25524"/>
    <cellStyle name="Обычный 6 9 3 2 2 2 2 5" xfId="25525"/>
    <cellStyle name="Обычный 6 9 3 2 2 2 2 6" xfId="25526"/>
    <cellStyle name="Обычный 6 9 3 2 2 2 3" xfId="25527"/>
    <cellStyle name="Обычный 6 9 3 2 2 2 3 2" xfId="25528"/>
    <cellStyle name="Обычный 6 9 3 2 2 2 3 3" xfId="25529"/>
    <cellStyle name="Обычный 6 9 3 2 2 2 4" xfId="25530"/>
    <cellStyle name="Обычный 6 9 3 2 2 2 4 2" xfId="25531"/>
    <cellStyle name="Обычный 6 9 3 2 2 2 4 3" xfId="25532"/>
    <cellStyle name="Обычный 6 9 3 2 2 2 5" xfId="25533"/>
    <cellStyle name="Обычный 6 9 3 2 2 2 5 2" xfId="25534"/>
    <cellStyle name="Обычный 6 9 3 2 2 2 6" xfId="25535"/>
    <cellStyle name="Обычный 6 9 3 2 2 2 7" xfId="25536"/>
    <cellStyle name="Обычный 6 9 3 2 2 3" xfId="25537"/>
    <cellStyle name="Обычный 6 9 3 2 2 3 2" xfId="25538"/>
    <cellStyle name="Обычный 6 9 3 2 2 3 2 2" xfId="25539"/>
    <cellStyle name="Обычный 6 9 3 2 2 3 2 3" xfId="25540"/>
    <cellStyle name="Обычный 6 9 3 2 2 3 3" xfId="25541"/>
    <cellStyle name="Обычный 6 9 3 2 2 3 3 2" xfId="25542"/>
    <cellStyle name="Обычный 6 9 3 2 2 3 3 3" xfId="25543"/>
    <cellStyle name="Обычный 6 9 3 2 2 3 4" xfId="25544"/>
    <cellStyle name="Обычный 6 9 3 2 2 3 4 2" xfId="25545"/>
    <cellStyle name="Обычный 6 9 3 2 2 3 5" xfId="25546"/>
    <cellStyle name="Обычный 6 9 3 2 2 3 6" xfId="25547"/>
    <cellStyle name="Обычный 6 9 3 2 2 4" xfId="25548"/>
    <cellStyle name="Обычный 6 9 3 2 2 4 2" xfId="25549"/>
    <cellStyle name="Обычный 6 9 3 2 2 4 3" xfId="25550"/>
    <cellStyle name="Обычный 6 9 3 2 2 5" xfId="25551"/>
    <cellStyle name="Обычный 6 9 3 2 2 5 2" xfId="25552"/>
    <cellStyle name="Обычный 6 9 3 2 2 5 3" xfId="25553"/>
    <cellStyle name="Обычный 6 9 3 2 2 6" xfId="25554"/>
    <cellStyle name="Обычный 6 9 3 2 2 6 2" xfId="25555"/>
    <cellStyle name="Обычный 6 9 3 2 2 7" xfId="25556"/>
    <cellStyle name="Обычный 6 9 3 2 2 8" xfId="25557"/>
    <cellStyle name="Обычный 6 9 3 2 3" xfId="25558"/>
    <cellStyle name="Обычный 6 9 3 2 3 2" xfId="25559"/>
    <cellStyle name="Обычный 6 9 3 2 3 2 2" xfId="25560"/>
    <cellStyle name="Обычный 6 9 3 2 3 2 2 2" xfId="25561"/>
    <cellStyle name="Обычный 6 9 3 2 3 2 2 3" xfId="25562"/>
    <cellStyle name="Обычный 6 9 3 2 3 2 3" xfId="25563"/>
    <cellStyle name="Обычный 6 9 3 2 3 2 3 2" xfId="25564"/>
    <cellStyle name="Обычный 6 9 3 2 3 2 3 3" xfId="25565"/>
    <cellStyle name="Обычный 6 9 3 2 3 2 4" xfId="25566"/>
    <cellStyle name="Обычный 6 9 3 2 3 2 4 2" xfId="25567"/>
    <cellStyle name="Обычный 6 9 3 2 3 2 5" xfId="25568"/>
    <cellStyle name="Обычный 6 9 3 2 3 2 6" xfId="25569"/>
    <cellStyle name="Обычный 6 9 3 2 3 3" xfId="25570"/>
    <cellStyle name="Обычный 6 9 3 2 3 3 2" xfId="25571"/>
    <cellStyle name="Обычный 6 9 3 2 3 3 3" xfId="25572"/>
    <cellStyle name="Обычный 6 9 3 2 3 4" xfId="25573"/>
    <cellStyle name="Обычный 6 9 3 2 3 4 2" xfId="25574"/>
    <cellStyle name="Обычный 6 9 3 2 3 4 3" xfId="25575"/>
    <cellStyle name="Обычный 6 9 3 2 3 5" xfId="25576"/>
    <cellStyle name="Обычный 6 9 3 2 3 5 2" xfId="25577"/>
    <cellStyle name="Обычный 6 9 3 2 3 6" xfId="25578"/>
    <cellStyle name="Обычный 6 9 3 2 3 7" xfId="25579"/>
    <cellStyle name="Обычный 6 9 3 2 4" xfId="25580"/>
    <cellStyle name="Обычный 6 9 3 2 4 2" xfId="25581"/>
    <cellStyle name="Обычный 6 9 3 2 4 2 2" xfId="25582"/>
    <cellStyle name="Обычный 6 9 3 2 4 2 3" xfId="25583"/>
    <cellStyle name="Обычный 6 9 3 2 4 3" xfId="25584"/>
    <cellStyle name="Обычный 6 9 3 2 4 3 2" xfId="25585"/>
    <cellStyle name="Обычный 6 9 3 2 4 3 3" xfId="25586"/>
    <cellStyle name="Обычный 6 9 3 2 4 4" xfId="25587"/>
    <cellStyle name="Обычный 6 9 3 2 4 4 2" xfId="25588"/>
    <cellStyle name="Обычный 6 9 3 2 4 5" xfId="25589"/>
    <cellStyle name="Обычный 6 9 3 2 4 6" xfId="25590"/>
    <cellStyle name="Обычный 6 9 3 2 5" xfId="25591"/>
    <cellStyle name="Обычный 6 9 3 2 5 2" xfId="25592"/>
    <cellStyle name="Обычный 6 9 3 2 5 3" xfId="25593"/>
    <cellStyle name="Обычный 6 9 3 2 6" xfId="25594"/>
    <cellStyle name="Обычный 6 9 3 2 6 2" xfId="25595"/>
    <cellStyle name="Обычный 6 9 3 2 6 3" xfId="25596"/>
    <cellStyle name="Обычный 6 9 3 2 7" xfId="25597"/>
    <cellStyle name="Обычный 6 9 3 2 7 2" xfId="25598"/>
    <cellStyle name="Обычный 6 9 3 2 8" xfId="25599"/>
    <cellStyle name="Обычный 6 9 3 2 9" xfId="25600"/>
    <cellStyle name="Обычный 6 9 3 3" xfId="25601"/>
    <cellStyle name="Обычный 6 9 3 3 2" xfId="25602"/>
    <cellStyle name="Обычный 6 9 3 3 2 2" xfId="25603"/>
    <cellStyle name="Обычный 6 9 3 3 2 2 2" xfId="25604"/>
    <cellStyle name="Обычный 6 9 3 3 2 2 2 2" xfId="25605"/>
    <cellStyle name="Обычный 6 9 3 3 2 2 2 3" xfId="25606"/>
    <cellStyle name="Обычный 6 9 3 3 2 2 3" xfId="25607"/>
    <cellStyle name="Обычный 6 9 3 3 2 2 3 2" xfId="25608"/>
    <cellStyle name="Обычный 6 9 3 3 2 2 3 3" xfId="25609"/>
    <cellStyle name="Обычный 6 9 3 3 2 2 4" xfId="25610"/>
    <cellStyle name="Обычный 6 9 3 3 2 2 4 2" xfId="25611"/>
    <cellStyle name="Обычный 6 9 3 3 2 2 5" xfId="25612"/>
    <cellStyle name="Обычный 6 9 3 3 2 2 6" xfId="25613"/>
    <cellStyle name="Обычный 6 9 3 3 2 3" xfId="25614"/>
    <cellStyle name="Обычный 6 9 3 3 2 3 2" xfId="25615"/>
    <cellStyle name="Обычный 6 9 3 3 2 3 3" xfId="25616"/>
    <cellStyle name="Обычный 6 9 3 3 2 4" xfId="25617"/>
    <cellStyle name="Обычный 6 9 3 3 2 4 2" xfId="25618"/>
    <cellStyle name="Обычный 6 9 3 3 2 4 3" xfId="25619"/>
    <cellStyle name="Обычный 6 9 3 3 2 5" xfId="25620"/>
    <cellStyle name="Обычный 6 9 3 3 2 5 2" xfId="25621"/>
    <cellStyle name="Обычный 6 9 3 3 2 6" xfId="25622"/>
    <cellStyle name="Обычный 6 9 3 3 2 7" xfId="25623"/>
    <cellStyle name="Обычный 6 9 3 3 3" xfId="25624"/>
    <cellStyle name="Обычный 6 9 3 3 3 2" xfId="25625"/>
    <cellStyle name="Обычный 6 9 3 3 3 2 2" xfId="25626"/>
    <cellStyle name="Обычный 6 9 3 3 3 2 3" xfId="25627"/>
    <cellStyle name="Обычный 6 9 3 3 3 3" xfId="25628"/>
    <cellStyle name="Обычный 6 9 3 3 3 3 2" xfId="25629"/>
    <cellStyle name="Обычный 6 9 3 3 3 3 3" xfId="25630"/>
    <cellStyle name="Обычный 6 9 3 3 3 4" xfId="25631"/>
    <cellStyle name="Обычный 6 9 3 3 3 4 2" xfId="25632"/>
    <cellStyle name="Обычный 6 9 3 3 3 5" xfId="25633"/>
    <cellStyle name="Обычный 6 9 3 3 3 6" xfId="25634"/>
    <cellStyle name="Обычный 6 9 3 3 4" xfId="25635"/>
    <cellStyle name="Обычный 6 9 3 3 4 2" xfId="25636"/>
    <cellStyle name="Обычный 6 9 3 3 4 3" xfId="25637"/>
    <cellStyle name="Обычный 6 9 3 3 5" xfId="25638"/>
    <cellStyle name="Обычный 6 9 3 3 5 2" xfId="25639"/>
    <cellStyle name="Обычный 6 9 3 3 5 3" xfId="25640"/>
    <cellStyle name="Обычный 6 9 3 3 6" xfId="25641"/>
    <cellStyle name="Обычный 6 9 3 3 6 2" xfId="25642"/>
    <cellStyle name="Обычный 6 9 3 3 7" xfId="25643"/>
    <cellStyle name="Обычный 6 9 3 3 8" xfId="25644"/>
    <cellStyle name="Обычный 6 9 3 4" xfId="25645"/>
    <cellStyle name="Обычный 6 9 3 4 2" xfId="25646"/>
    <cellStyle name="Обычный 6 9 3 4 2 2" xfId="25647"/>
    <cellStyle name="Обычный 6 9 3 4 2 2 2" xfId="25648"/>
    <cellStyle name="Обычный 6 9 3 4 2 2 3" xfId="25649"/>
    <cellStyle name="Обычный 6 9 3 4 2 3" xfId="25650"/>
    <cellStyle name="Обычный 6 9 3 4 2 3 2" xfId="25651"/>
    <cellStyle name="Обычный 6 9 3 4 2 3 3" xfId="25652"/>
    <cellStyle name="Обычный 6 9 3 4 2 4" xfId="25653"/>
    <cellStyle name="Обычный 6 9 3 4 2 4 2" xfId="25654"/>
    <cellStyle name="Обычный 6 9 3 4 2 5" xfId="25655"/>
    <cellStyle name="Обычный 6 9 3 4 2 6" xfId="25656"/>
    <cellStyle name="Обычный 6 9 3 4 3" xfId="25657"/>
    <cellStyle name="Обычный 6 9 3 4 3 2" xfId="25658"/>
    <cellStyle name="Обычный 6 9 3 4 3 3" xfId="25659"/>
    <cellStyle name="Обычный 6 9 3 4 4" xfId="25660"/>
    <cellStyle name="Обычный 6 9 3 4 4 2" xfId="25661"/>
    <cellStyle name="Обычный 6 9 3 4 4 3" xfId="25662"/>
    <cellStyle name="Обычный 6 9 3 4 5" xfId="25663"/>
    <cellStyle name="Обычный 6 9 3 4 5 2" xfId="25664"/>
    <cellStyle name="Обычный 6 9 3 4 6" xfId="25665"/>
    <cellStyle name="Обычный 6 9 3 4 7" xfId="25666"/>
    <cellStyle name="Обычный 6 9 3 5" xfId="25667"/>
    <cellStyle name="Обычный 6 9 3 5 2" xfId="25668"/>
    <cellStyle name="Обычный 6 9 3 5 2 2" xfId="25669"/>
    <cellStyle name="Обычный 6 9 3 5 2 3" xfId="25670"/>
    <cellStyle name="Обычный 6 9 3 5 3" xfId="25671"/>
    <cellStyle name="Обычный 6 9 3 5 3 2" xfId="25672"/>
    <cellStyle name="Обычный 6 9 3 5 3 3" xfId="25673"/>
    <cellStyle name="Обычный 6 9 3 5 4" xfId="25674"/>
    <cellStyle name="Обычный 6 9 3 5 4 2" xfId="25675"/>
    <cellStyle name="Обычный 6 9 3 5 5" xfId="25676"/>
    <cellStyle name="Обычный 6 9 3 5 6" xfId="25677"/>
    <cellStyle name="Обычный 6 9 3 6" xfId="25678"/>
    <cellStyle name="Обычный 6 9 3 6 2" xfId="25679"/>
    <cellStyle name="Обычный 6 9 3 6 3" xfId="25680"/>
    <cellStyle name="Обычный 6 9 3 7" xfId="25681"/>
    <cellStyle name="Обычный 6 9 3 7 2" xfId="25682"/>
    <cellStyle name="Обычный 6 9 3 7 3" xfId="25683"/>
    <cellStyle name="Обычный 6 9 3 8" xfId="25684"/>
    <cellStyle name="Обычный 6 9 3 8 2" xfId="25685"/>
    <cellStyle name="Обычный 6 9 3 9" xfId="25686"/>
    <cellStyle name="Обычный 6 9 4" xfId="25687"/>
    <cellStyle name="Обычный 6 9 4 10" xfId="25688"/>
    <cellStyle name="Обычный 6 9 4 2" xfId="25689"/>
    <cellStyle name="Обычный 6 9 4 2 2" xfId="25690"/>
    <cellStyle name="Обычный 6 9 4 2 2 2" xfId="25691"/>
    <cellStyle name="Обычный 6 9 4 2 2 2 2" xfId="25692"/>
    <cellStyle name="Обычный 6 9 4 2 2 2 2 2" xfId="25693"/>
    <cellStyle name="Обычный 6 9 4 2 2 2 2 2 2" xfId="25694"/>
    <cellStyle name="Обычный 6 9 4 2 2 2 2 2 3" xfId="25695"/>
    <cellStyle name="Обычный 6 9 4 2 2 2 2 3" xfId="25696"/>
    <cellStyle name="Обычный 6 9 4 2 2 2 2 3 2" xfId="25697"/>
    <cellStyle name="Обычный 6 9 4 2 2 2 2 3 3" xfId="25698"/>
    <cellStyle name="Обычный 6 9 4 2 2 2 2 4" xfId="25699"/>
    <cellStyle name="Обычный 6 9 4 2 2 2 2 4 2" xfId="25700"/>
    <cellStyle name="Обычный 6 9 4 2 2 2 2 5" xfId="25701"/>
    <cellStyle name="Обычный 6 9 4 2 2 2 2 6" xfId="25702"/>
    <cellStyle name="Обычный 6 9 4 2 2 2 3" xfId="25703"/>
    <cellStyle name="Обычный 6 9 4 2 2 2 3 2" xfId="25704"/>
    <cellStyle name="Обычный 6 9 4 2 2 2 3 3" xfId="25705"/>
    <cellStyle name="Обычный 6 9 4 2 2 2 4" xfId="25706"/>
    <cellStyle name="Обычный 6 9 4 2 2 2 4 2" xfId="25707"/>
    <cellStyle name="Обычный 6 9 4 2 2 2 4 3" xfId="25708"/>
    <cellStyle name="Обычный 6 9 4 2 2 2 5" xfId="25709"/>
    <cellStyle name="Обычный 6 9 4 2 2 2 5 2" xfId="25710"/>
    <cellStyle name="Обычный 6 9 4 2 2 2 6" xfId="25711"/>
    <cellStyle name="Обычный 6 9 4 2 2 2 7" xfId="25712"/>
    <cellStyle name="Обычный 6 9 4 2 2 3" xfId="25713"/>
    <cellStyle name="Обычный 6 9 4 2 2 3 2" xfId="25714"/>
    <cellStyle name="Обычный 6 9 4 2 2 3 2 2" xfId="25715"/>
    <cellStyle name="Обычный 6 9 4 2 2 3 2 3" xfId="25716"/>
    <cellStyle name="Обычный 6 9 4 2 2 3 3" xfId="25717"/>
    <cellStyle name="Обычный 6 9 4 2 2 3 3 2" xfId="25718"/>
    <cellStyle name="Обычный 6 9 4 2 2 3 3 3" xfId="25719"/>
    <cellStyle name="Обычный 6 9 4 2 2 3 4" xfId="25720"/>
    <cellStyle name="Обычный 6 9 4 2 2 3 4 2" xfId="25721"/>
    <cellStyle name="Обычный 6 9 4 2 2 3 5" xfId="25722"/>
    <cellStyle name="Обычный 6 9 4 2 2 3 6" xfId="25723"/>
    <cellStyle name="Обычный 6 9 4 2 2 4" xfId="25724"/>
    <cellStyle name="Обычный 6 9 4 2 2 4 2" xfId="25725"/>
    <cellStyle name="Обычный 6 9 4 2 2 4 3" xfId="25726"/>
    <cellStyle name="Обычный 6 9 4 2 2 5" xfId="25727"/>
    <cellStyle name="Обычный 6 9 4 2 2 5 2" xfId="25728"/>
    <cellStyle name="Обычный 6 9 4 2 2 5 3" xfId="25729"/>
    <cellStyle name="Обычный 6 9 4 2 2 6" xfId="25730"/>
    <cellStyle name="Обычный 6 9 4 2 2 6 2" xfId="25731"/>
    <cellStyle name="Обычный 6 9 4 2 2 7" xfId="25732"/>
    <cellStyle name="Обычный 6 9 4 2 2 8" xfId="25733"/>
    <cellStyle name="Обычный 6 9 4 2 3" xfId="25734"/>
    <cellStyle name="Обычный 6 9 4 2 3 2" xfId="25735"/>
    <cellStyle name="Обычный 6 9 4 2 3 2 2" xfId="25736"/>
    <cellStyle name="Обычный 6 9 4 2 3 2 2 2" xfId="25737"/>
    <cellStyle name="Обычный 6 9 4 2 3 2 2 3" xfId="25738"/>
    <cellStyle name="Обычный 6 9 4 2 3 2 3" xfId="25739"/>
    <cellStyle name="Обычный 6 9 4 2 3 2 3 2" xfId="25740"/>
    <cellStyle name="Обычный 6 9 4 2 3 2 3 3" xfId="25741"/>
    <cellStyle name="Обычный 6 9 4 2 3 2 4" xfId="25742"/>
    <cellStyle name="Обычный 6 9 4 2 3 2 4 2" xfId="25743"/>
    <cellStyle name="Обычный 6 9 4 2 3 2 5" xfId="25744"/>
    <cellStyle name="Обычный 6 9 4 2 3 2 6" xfId="25745"/>
    <cellStyle name="Обычный 6 9 4 2 3 3" xfId="25746"/>
    <cellStyle name="Обычный 6 9 4 2 3 3 2" xfId="25747"/>
    <cellStyle name="Обычный 6 9 4 2 3 3 3" xfId="25748"/>
    <cellStyle name="Обычный 6 9 4 2 3 4" xfId="25749"/>
    <cellStyle name="Обычный 6 9 4 2 3 4 2" xfId="25750"/>
    <cellStyle name="Обычный 6 9 4 2 3 4 3" xfId="25751"/>
    <cellStyle name="Обычный 6 9 4 2 3 5" xfId="25752"/>
    <cellStyle name="Обычный 6 9 4 2 3 5 2" xfId="25753"/>
    <cellStyle name="Обычный 6 9 4 2 3 6" xfId="25754"/>
    <cellStyle name="Обычный 6 9 4 2 3 7" xfId="25755"/>
    <cellStyle name="Обычный 6 9 4 2 4" xfId="25756"/>
    <cellStyle name="Обычный 6 9 4 2 4 2" xfId="25757"/>
    <cellStyle name="Обычный 6 9 4 2 4 2 2" xfId="25758"/>
    <cellStyle name="Обычный 6 9 4 2 4 2 3" xfId="25759"/>
    <cellStyle name="Обычный 6 9 4 2 4 3" xfId="25760"/>
    <cellStyle name="Обычный 6 9 4 2 4 3 2" xfId="25761"/>
    <cellStyle name="Обычный 6 9 4 2 4 3 3" xfId="25762"/>
    <cellStyle name="Обычный 6 9 4 2 4 4" xfId="25763"/>
    <cellStyle name="Обычный 6 9 4 2 4 4 2" xfId="25764"/>
    <cellStyle name="Обычный 6 9 4 2 4 5" xfId="25765"/>
    <cellStyle name="Обычный 6 9 4 2 4 6" xfId="25766"/>
    <cellStyle name="Обычный 6 9 4 2 5" xfId="25767"/>
    <cellStyle name="Обычный 6 9 4 2 5 2" xfId="25768"/>
    <cellStyle name="Обычный 6 9 4 2 5 3" xfId="25769"/>
    <cellStyle name="Обычный 6 9 4 2 6" xfId="25770"/>
    <cellStyle name="Обычный 6 9 4 2 6 2" xfId="25771"/>
    <cellStyle name="Обычный 6 9 4 2 6 3" xfId="25772"/>
    <cellStyle name="Обычный 6 9 4 2 7" xfId="25773"/>
    <cellStyle name="Обычный 6 9 4 2 7 2" xfId="25774"/>
    <cellStyle name="Обычный 6 9 4 2 8" xfId="25775"/>
    <cellStyle name="Обычный 6 9 4 2 9" xfId="25776"/>
    <cellStyle name="Обычный 6 9 4 3" xfId="25777"/>
    <cellStyle name="Обычный 6 9 4 3 2" xfId="25778"/>
    <cellStyle name="Обычный 6 9 4 3 2 2" xfId="25779"/>
    <cellStyle name="Обычный 6 9 4 3 2 2 2" xfId="25780"/>
    <cellStyle name="Обычный 6 9 4 3 2 2 2 2" xfId="25781"/>
    <cellStyle name="Обычный 6 9 4 3 2 2 2 3" xfId="25782"/>
    <cellStyle name="Обычный 6 9 4 3 2 2 3" xfId="25783"/>
    <cellStyle name="Обычный 6 9 4 3 2 2 3 2" xfId="25784"/>
    <cellStyle name="Обычный 6 9 4 3 2 2 3 3" xfId="25785"/>
    <cellStyle name="Обычный 6 9 4 3 2 2 4" xfId="25786"/>
    <cellStyle name="Обычный 6 9 4 3 2 2 4 2" xfId="25787"/>
    <cellStyle name="Обычный 6 9 4 3 2 2 5" xfId="25788"/>
    <cellStyle name="Обычный 6 9 4 3 2 2 6" xfId="25789"/>
    <cellStyle name="Обычный 6 9 4 3 2 3" xfId="25790"/>
    <cellStyle name="Обычный 6 9 4 3 2 3 2" xfId="25791"/>
    <cellStyle name="Обычный 6 9 4 3 2 3 3" xfId="25792"/>
    <cellStyle name="Обычный 6 9 4 3 2 4" xfId="25793"/>
    <cellStyle name="Обычный 6 9 4 3 2 4 2" xfId="25794"/>
    <cellStyle name="Обычный 6 9 4 3 2 4 3" xfId="25795"/>
    <cellStyle name="Обычный 6 9 4 3 2 5" xfId="25796"/>
    <cellStyle name="Обычный 6 9 4 3 2 5 2" xfId="25797"/>
    <cellStyle name="Обычный 6 9 4 3 2 6" xfId="25798"/>
    <cellStyle name="Обычный 6 9 4 3 2 7" xfId="25799"/>
    <cellStyle name="Обычный 6 9 4 3 3" xfId="25800"/>
    <cellStyle name="Обычный 6 9 4 3 3 2" xfId="25801"/>
    <cellStyle name="Обычный 6 9 4 3 3 2 2" xfId="25802"/>
    <cellStyle name="Обычный 6 9 4 3 3 2 3" xfId="25803"/>
    <cellStyle name="Обычный 6 9 4 3 3 3" xfId="25804"/>
    <cellStyle name="Обычный 6 9 4 3 3 3 2" xfId="25805"/>
    <cellStyle name="Обычный 6 9 4 3 3 3 3" xfId="25806"/>
    <cellStyle name="Обычный 6 9 4 3 3 4" xfId="25807"/>
    <cellStyle name="Обычный 6 9 4 3 3 4 2" xfId="25808"/>
    <cellStyle name="Обычный 6 9 4 3 3 5" xfId="25809"/>
    <cellStyle name="Обычный 6 9 4 3 3 6" xfId="25810"/>
    <cellStyle name="Обычный 6 9 4 3 4" xfId="25811"/>
    <cellStyle name="Обычный 6 9 4 3 4 2" xfId="25812"/>
    <cellStyle name="Обычный 6 9 4 3 4 3" xfId="25813"/>
    <cellStyle name="Обычный 6 9 4 3 5" xfId="25814"/>
    <cellStyle name="Обычный 6 9 4 3 5 2" xfId="25815"/>
    <cellStyle name="Обычный 6 9 4 3 5 3" xfId="25816"/>
    <cellStyle name="Обычный 6 9 4 3 6" xfId="25817"/>
    <cellStyle name="Обычный 6 9 4 3 6 2" xfId="25818"/>
    <cellStyle name="Обычный 6 9 4 3 7" xfId="25819"/>
    <cellStyle name="Обычный 6 9 4 3 8" xfId="25820"/>
    <cellStyle name="Обычный 6 9 4 4" xfId="25821"/>
    <cellStyle name="Обычный 6 9 4 4 2" xfId="25822"/>
    <cellStyle name="Обычный 6 9 4 4 2 2" xfId="25823"/>
    <cellStyle name="Обычный 6 9 4 4 2 2 2" xfId="25824"/>
    <cellStyle name="Обычный 6 9 4 4 2 2 3" xfId="25825"/>
    <cellStyle name="Обычный 6 9 4 4 2 3" xfId="25826"/>
    <cellStyle name="Обычный 6 9 4 4 2 3 2" xfId="25827"/>
    <cellStyle name="Обычный 6 9 4 4 2 3 3" xfId="25828"/>
    <cellStyle name="Обычный 6 9 4 4 2 4" xfId="25829"/>
    <cellStyle name="Обычный 6 9 4 4 2 4 2" xfId="25830"/>
    <cellStyle name="Обычный 6 9 4 4 2 5" xfId="25831"/>
    <cellStyle name="Обычный 6 9 4 4 2 6" xfId="25832"/>
    <cellStyle name="Обычный 6 9 4 4 3" xfId="25833"/>
    <cellStyle name="Обычный 6 9 4 4 3 2" xfId="25834"/>
    <cellStyle name="Обычный 6 9 4 4 3 3" xfId="25835"/>
    <cellStyle name="Обычный 6 9 4 4 4" xfId="25836"/>
    <cellStyle name="Обычный 6 9 4 4 4 2" xfId="25837"/>
    <cellStyle name="Обычный 6 9 4 4 4 3" xfId="25838"/>
    <cellStyle name="Обычный 6 9 4 4 5" xfId="25839"/>
    <cellStyle name="Обычный 6 9 4 4 5 2" xfId="25840"/>
    <cellStyle name="Обычный 6 9 4 4 6" xfId="25841"/>
    <cellStyle name="Обычный 6 9 4 4 7" xfId="25842"/>
    <cellStyle name="Обычный 6 9 4 5" xfId="25843"/>
    <cellStyle name="Обычный 6 9 4 5 2" xfId="25844"/>
    <cellStyle name="Обычный 6 9 4 5 2 2" xfId="25845"/>
    <cellStyle name="Обычный 6 9 4 5 2 3" xfId="25846"/>
    <cellStyle name="Обычный 6 9 4 5 3" xfId="25847"/>
    <cellStyle name="Обычный 6 9 4 5 3 2" xfId="25848"/>
    <cellStyle name="Обычный 6 9 4 5 3 3" xfId="25849"/>
    <cellStyle name="Обычный 6 9 4 5 4" xfId="25850"/>
    <cellStyle name="Обычный 6 9 4 5 4 2" xfId="25851"/>
    <cellStyle name="Обычный 6 9 4 5 5" xfId="25852"/>
    <cellStyle name="Обычный 6 9 4 5 6" xfId="25853"/>
    <cellStyle name="Обычный 6 9 4 6" xfId="25854"/>
    <cellStyle name="Обычный 6 9 4 6 2" xfId="25855"/>
    <cellStyle name="Обычный 6 9 4 6 3" xfId="25856"/>
    <cellStyle name="Обычный 6 9 4 7" xfId="25857"/>
    <cellStyle name="Обычный 6 9 4 7 2" xfId="25858"/>
    <cellStyle name="Обычный 6 9 4 7 3" xfId="25859"/>
    <cellStyle name="Обычный 6 9 4 8" xfId="25860"/>
    <cellStyle name="Обычный 6 9 4 8 2" xfId="25861"/>
    <cellStyle name="Обычный 6 9 4 9" xfId="25862"/>
    <cellStyle name="Обычный 6 9 5" xfId="25863"/>
    <cellStyle name="Обычный 6 9 5 2" xfId="25864"/>
    <cellStyle name="Обычный 6 9 5 2 2" xfId="25865"/>
    <cellStyle name="Обычный 6 9 5 2 2 2" xfId="25866"/>
    <cellStyle name="Обычный 6 9 5 2 2 2 2" xfId="25867"/>
    <cellStyle name="Обычный 6 9 5 2 2 2 2 2" xfId="25868"/>
    <cellStyle name="Обычный 6 9 5 2 2 2 2 3" xfId="25869"/>
    <cellStyle name="Обычный 6 9 5 2 2 2 3" xfId="25870"/>
    <cellStyle name="Обычный 6 9 5 2 2 2 3 2" xfId="25871"/>
    <cellStyle name="Обычный 6 9 5 2 2 2 3 3" xfId="25872"/>
    <cellStyle name="Обычный 6 9 5 2 2 2 4" xfId="25873"/>
    <cellStyle name="Обычный 6 9 5 2 2 2 4 2" xfId="25874"/>
    <cellStyle name="Обычный 6 9 5 2 2 2 5" xfId="25875"/>
    <cellStyle name="Обычный 6 9 5 2 2 2 6" xfId="25876"/>
    <cellStyle name="Обычный 6 9 5 2 2 3" xfId="25877"/>
    <cellStyle name="Обычный 6 9 5 2 2 3 2" xfId="25878"/>
    <cellStyle name="Обычный 6 9 5 2 2 3 3" xfId="25879"/>
    <cellStyle name="Обычный 6 9 5 2 2 4" xfId="25880"/>
    <cellStyle name="Обычный 6 9 5 2 2 4 2" xfId="25881"/>
    <cellStyle name="Обычный 6 9 5 2 2 4 3" xfId="25882"/>
    <cellStyle name="Обычный 6 9 5 2 2 5" xfId="25883"/>
    <cellStyle name="Обычный 6 9 5 2 2 5 2" xfId="25884"/>
    <cellStyle name="Обычный 6 9 5 2 2 6" xfId="25885"/>
    <cellStyle name="Обычный 6 9 5 2 2 7" xfId="25886"/>
    <cellStyle name="Обычный 6 9 5 2 3" xfId="25887"/>
    <cellStyle name="Обычный 6 9 5 2 3 2" xfId="25888"/>
    <cellStyle name="Обычный 6 9 5 2 3 2 2" xfId="25889"/>
    <cellStyle name="Обычный 6 9 5 2 3 2 3" xfId="25890"/>
    <cellStyle name="Обычный 6 9 5 2 3 3" xfId="25891"/>
    <cellStyle name="Обычный 6 9 5 2 3 3 2" xfId="25892"/>
    <cellStyle name="Обычный 6 9 5 2 3 3 3" xfId="25893"/>
    <cellStyle name="Обычный 6 9 5 2 3 4" xfId="25894"/>
    <cellStyle name="Обычный 6 9 5 2 3 4 2" xfId="25895"/>
    <cellStyle name="Обычный 6 9 5 2 3 5" xfId="25896"/>
    <cellStyle name="Обычный 6 9 5 2 3 6" xfId="25897"/>
    <cellStyle name="Обычный 6 9 5 2 4" xfId="25898"/>
    <cellStyle name="Обычный 6 9 5 2 4 2" xfId="25899"/>
    <cellStyle name="Обычный 6 9 5 2 4 3" xfId="25900"/>
    <cellStyle name="Обычный 6 9 5 2 5" xfId="25901"/>
    <cellStyle name="Обычный 6 9 5 2 5 2" xfId="25902"/>
    <cellStyle name="Обычный 6 9 5 2 5 3" xfId="25903"/>
    <cellStyle name="Обычный 6 9 5 2 6" xfId="25904"/>
    <cellStyle name="Обычный 6 9 5 2 6 2" xfId="25905"/>
    <cellStyle name="Обычный 6 9 5 2 7" xfId="25906"/>
    <cellStyle name="Обычный 6 9 5 2 8" xfId="25907"/>
    <cellStyle name="Обычный 6 9 5 3" xfId="25908"/>
    <cellStyle name="Обычный 6 9 5 3 2" xfId="25909"/>
    <cellStyle name="Обычный 6 9 5 3 2 2" xfId="25910"/>
    <cellStyle name="Обычный 6 9 5 3 2 2 2" xfId="25911"/>
    <cellStyle name="Обычный 6 9 5 3 2 2 3" xfId="25912"/>
    <cellStyle name="Обычный 6 9 5 3 2 3" xfId="25913"/>
    <cellStyle name="Обычный 6 9 5 3 2 3 2" xfId="25914"/>
    <cellStyle name="Обычный 6 9 5 3 2 3 3" xfId="25915"/>
    <cellStyle name="Обычный 6 9 5 3 2 4" xfId="25916"/>
    <cellStyle name="Обычный 6 9 5 3 2 4 2" xfId="25917"/>
    <cellStyle name="Обычный 6 9 5 3 2 5" xfId="25918"/>
    <cellStyle name="Обычный 6 9 5 3 2 6" xfId="25919"/>
    <cellStyle name="Обычный 6 9 5 3 3" xfId="25920"/>
    <cellStyle name="Обычный 6 9 5 3 3 2" xfId="25921"/>
    <cellStyle name="Обычный 6 9 5 3 3 3" xfId="25922"/>
    <cellStyle name="Обычный 6 9 5 3 4" xfId="25923"/>
    <cellStyle name="Обычный 6 9 5 3 4 2" xfId="25924"/>
    <cellStyle name="Обычный 6 9 5 3 4 3" xfId="25925"/>
    <cellStyle name="Обычный 6 9 5 3 5" xfId="25926"/>
    <cellStyle name="Обычный 6 9 5 3 5 2" xfId="25927"/>
    <cellStyle name="Обычный 6 9 5 3 6" xfId="25928"/>
    <cellStyle name="Обычный 6 9 5 3 7" xfId="25929"/>
    <cellStyle name="Обычный 6 9 5 4" xfId="25930"/>
    <cellStyle name="Обычный 6 9 5 4 2" xfId="25931"/>
    <cellStyle name="Обычный 6 9 5 4 2 2" xfId="25932"/>
    <cellStyle name="Обычный 6 9 5 4 2 3" xfId="25933"/>
    <cellStyle name="Обычный 6 9 5 4 3" xfId="25934"/>
    <cellStyle name="Обычный 6 9 5 4 3 2" xfId="25935"/>
    <cellStyle name="Обычный 6 9 5 4 3 3" xfId="25936"/>
    <cellStyle name="Обычный 6 9 5 4 4" xfId="25937"/>
    <cellStyle name="Обычный 6 9 5 4 4 2" xfId="25938"/>
    <cellStyle name="Обычный 6 9 5 4 5" xfId="25939"/>
    <cellStyle name="Обычный 6 9 5 4 6" xfId="25940"/>
    <cellStyle name="Обычный 6 9 5 5" xfId="25941"/>
    <cellStyle name="Обычный 6 9 5 5 2" xfId="25942"/>
    <cellStyle name="Обычный 6 9 5 5 3" xfId="25943"/>
    <cellStyle name="Обычный 6 9 5 6" xfId="25944"/>
    <cellStyle name="Обычный 6 9 5 6 2" xfId="25945"/>
    <cellStyle name="Обычный 6 9 5 6 3" xfId="25946"/>
    <cellStyle name="Обычный 6 9 5 7" xfId="25947"/>
    <cellStyle name="Обычный 6 9 5 7 2" xfId="25948"/>
    <cellStyle name="Обычный 6 9 5 8" xfId="25949"/>
    <cellStyle name="Обычный 6 9 5 9" xfId="25950"/>
    <cellStyle name="Обычный 6 9 6" xfId="25951"/>
    <cellStyle name="Обычный 6 9 6 2" xfId="25952"/>
    <cellStyle name="Обычный 6 9 6 2 2" xfId="25953"/>
    <cellStyle name="Обычный 6 9 6 2 2 2" xfId="25954"/>
    <cellStyle name="Обычный 6 9 6 2 2 2 2" xfId="25955"/>
    <cellStyle name="Обычный 6 9 6 2 2 2 3" xfId="25956"/>
    <cellStyle name="Обычный 6 9 6 2 2 3" xfId="25957"/>
    <cellStyle name="Обычный 6 9 6 2 2 3 2" xfId="25958"/>
    <cellStyle name="Обычный 6 9 6 2 2 3 3" xfId="25959"/>
    <cellStyle name="Обычный 6 9 6 2 2 4" xfId="25960"/>
    <cellStyle name="Обычный 6 9 6 2 2 4 2" xfId="25961"/>
    <cellStyle name="Обычный 6 9 6 2 2 5" xfId="25962"/>
    <cellStyle name="Обычный 6 9 6 2 2 6" xfId="25963"/>
    <cellStyle name="Обычный 6 9 6 2 3" xfId="25964"/>
    <cellStyle name="Обычный 6 9 6 2 3 2" xfId="25965"/>
    <cellStyle name="Обычный 6 9 6 2 3 3" xfId="25966"/>
    <cellStyle name="Обычный 6 9 6 2 4" xfId="25967"/>
    <cellStyle name="Обычный 6 9 6 2 4 2" xfId="25968"/>
    <cellStyle name="Обычный 6 9 6 2 4 3" xfId="25969"/>
    <cellStyle name="Обычный 6 9 6 2 5" xfId="25970"/>
    <cellStyle name="Обычный 6 9 6 2 5 2" xfId="25971"/>
    <cellStyle name="Обычный 6 9 6 2 6" xfId="25972"/>
    <cellStyle name="Обычный 6 9 6 2 7" xfId="25973"/>
    <cellStyle name="Обычный 6 9 6 3" xfId="25974"/>
    <cellStyle name="Обычный 6 9 6 3 2" xfId="25975"/>
    <cellStyle name="Обычный 6 9 6 3 2 2" xfId="25976"/>
    <cellStyle name="Обычный 6 9 6 3 2 3" xfId="25977"/>
    <cellStyle name="Обычный 6 9 6 3 3" xfId="25978"/>
    <cellStyle name="Обычный 6 9 6 3 3 2" xfId="25979"/>
    <cellStyle name="Обычный 6 9 6 3 3 3" xfId="25980"/>
    <cellStyle name="Обычный 6 9 6 3 4" xfId="25981"/>
    <cellStyle name="Обычный 6 9 6 3 4 2" xfId="25982"/>
    <cellStyle name="Обычный 6 9 6 3 5" xfId="25983"/>
    <cellStyle name="Обычный 6 9 6 3 6" xfId="25984"/>
    <cellStyle name="Обычный 6 9 6 4" xfId="25985"/>
    <cellStyle name="Обычный 6 9 6 4 2" xfId="25986"/>
    <cellStyle name="Обычный 6 9 6 4 3" xfId="25987"/>
    <cellStyle name="Обычный 6 9 6 5" xfId="25988"/>
    <cellStyle name="Обычный 6 9 6 5 2" xfId="25989"/>
    <cellStyle name="Обычный 6 9 6 5 3" xfId="25990"/>
    <cellStyle name="Обычный 6 9 6 6" xfId="25991"/>
    <cellStyle name="Обычный 6 9 6 6 2" xfId="25992"/>
    <cellStyle name="Обычный 6 9 6 7" xfId="25993"/>
    <cellStyle name="Обычный 6 9 6 8" xfId="25994"/>
    <cellStyle name="Обычный 6 9 7" xfId="25995"/>
    <cellStyle name="Обычный 6 9 7 2" xfId="25996"/>
    <cellStyle name="Обычный 6 9 7 2 2" xfId="25997"/>
    <cellStyle name="Обычный 6 9 7 2 2 2" xfId="25998"/>
    <cellStyle name="Обычный 6 9 7 2 2 3" xfId="25999"/>
    <cellStyle name="Обычный 6 9 7 2 3" xfId="26000"/>
    <cellStyle name="Обычный 6 9 7 2 3 2" xfId="26001"/>
    <cellStyle name="Обычный 6 9 7 2 3 3" xfId="26002"/>
    <cellStyle name="Обычный 6 9 7 2 4" xfId="26003"/>
    <cellStyle name="Обычный 6 9 7 2 4 2" xfId="26004"/>
    <cellStyle name="Обычный 6 9 7 2 5" xfId="26005"/>
    <cellStyle name="Обычный 6 9 7 2 6" xfId="26006"/>
    <cellStyle name="Обычный 6 9 7 3" xfId="26007"/>
    <cellStyle name="Обычный 6 9 7 3 2" xfId="26008"/>
    <cellStyle name="Обычный 6 9 7 3 3" xfId="26009"/>
    <cellStyle name="Обычный 6 9 7 4" xfId="26010"/>
    <cellStyle name="Обычный 6 9 7 4 2" xfId="26011"/>
    <cellStyle name="Обычный 6 9 7 4 3" xfId="26012"/>
    <cellStyle name="Обычный 6 9 7 5" xfId="26013"/>
    <cellStyle name="Обычный 6 9 7 5 2" xfId="26014"/>
    <cellStyle name="Обычный 6 9 7 6" xfId="26015"/>
    <cellStyle name="Обычный 6 9 7 7" xfId="26016"/>
    <cellStyle name="Обычный 6 9 8" xfId="26017"/>
    <cellStyle name="Обычный 6 9 8 2" xfId="26018"/>
    <cellStyle name="Обычный 6 9 8 2 2" xfId="26019"/>
    <cellStyle name="Обычный 6 9 8 2 3" xfId="26020"/>
    <cellStyle name="Обычный 6 9 8 3" xfId="26021"/>
    <cellStyle name="Обычный 6 9 8 3 2" xfId="26022"/>
    <cellStyle name="Обычный 6 9 8 3 3" xfId="26023"/>
    <cellStyle name="Обычный 6 9 8 4" xfId="26024"/>
    <cellStyle name="Обычный 6 9 8 4 2" xfId="26025"/>
    <cellStyle name="Обычный 6 9 8 5" xfId="26026"/>
    <cellStyle name="Обычный 6 9 8 6" xfId="26027"/>
    <cellStyle name="Обычный 6 9 9" xfId="26028"/>
    <cellStyle name="Обычный 6 9 9 2" xfId="26029"/>
    <cellStyle name="Обычный 6 9 9 3" xfId="26030"/>
    <cellStyle name="Обычный 7" xfId="26031"/>
    <cellStyle name="Обычный 7 10" xfId="26032"/>
    <cellStyle name="Обычный 7 10 10" xfId="26033"/>
    <cellStyle name="Обычный 7 10 2" xfId="26034"/>
    <cellStyle name="Обычный 7 10 2 2" xfId="26035"/>
    <cellStyle name="Обычный 7 10 2 2 2" xfId="26036"/>
    <cellStyle name="Обычный 7 10 2 2 2 2" xfId="26037"/>
    <cellStyle name="Обычный 7 10 2 2 2 2 2" xfId="26038"/>
    <cellStyle name="Обычный 7 10 2 2 2 2 2 2" xfId="26039"/>
    <cellStyle name="Обычный 7 10 2 2 2 2 2 3" xfId="26040"/>
    <cellStyle name="Обычный 7 10 2 2 2 2 3" xfId="26041"/>
    <cellStyle name="Обычный 7 10 2 2 2 2 3 2" xfId="26042"/>
    <cellStyle name="Обычный 7 10 2 2 2 2 3 3" xfId="26043"/>
    <cellStyle name="Обычный 7 10 2 2 2 2 4" xfId="26044"/>
    <cellStyle name="Обычный 7 10 2 2 2 2 4 2" xfId="26045"/>
    <cellStyle name="Обычный 7 10 2 2 2 2 5" xfId="26046"/>
    <cellStyle name="Обычный 7 10 2 2 2 2 6" xfId="26047"/>
    <cellStyle name="Обычный 7 10 2 2 2 3" xfId="26048"/>
    <cellStyle name="Обычный 7 10 2 2 2 3 2" xfId="26049"/>
    <cellStyle name="Обычный 7 10 2 2 2 3 3" xfId="26050"/>
    <cellStyle name="Обычный 7 10 2 2 2 4" xfId="26051"/>
    <cellStyle name="Обычный 7 10 2 2 2 4 2" xfId="26052"/>
    <cellStyle name="Обычный 7 10 2 2 2 4 3" xfId="26053"/>
    <cellStyle name="Обычный 7 10 2 2 2 5" xfId="26054"/>
    <cellStyle name="Обычный 7 10 2 2 2 5 2" xfId="26055"/>
    <cellStyle name="Обычный 7 10 2 2 2 6" xfId="26056"/>
    <cellStyle name="Обычный 7 10 2 2 2 7" xfId="26057"/>
    <cellStyle name="Обычный 7 10 2 2 3" xfId="26058"/>
    <cellStyle name="Обычный 7 10 2 2 3 2" xfId="26059"/>
    <cellStyle name="Обычный 7 10 2 2 3 2 2" xfId="26060"/>
    <cellStyle name="Обычный 7 10 2 2 3 2 3" xfId="26061"/>
    <cellStyle name="Обычный 7 10 2 2 3 3" xfId="26062"/>
    <cellStyle name="Обычный 7 10 2 2 3 3 2" xfId="26063"/>
    <cellStyle name="Обычный 7 10 2 2 3 3 3" xfId="26064"/>
    <cellStyle name="Обычный 7 10 2 2 3 4" xfId="26065"/>
    <cellStyle name="Обычный 7 10 2 2 3 4 2" xfId="26066"/>
    <cellStyle name="Обычный 7 10 2 2 3 5" xfId="26067"/>
    <cellStyle name="Обычный 7 10 2 2 3 6" xfId="26068"/>
    <cellStyle name="Обычный 7 10 2 2 4" xfId="26069"/>
    <cellStyle name="Обычный 7 10 2 2 4 2" xfId="26070"/>
    <cellStyle name="Обычный 7 10 2 2 4 3" xfId="26071"/>
    <cellStyle name="Обычный 7 10 2 2 5" xfId="26072"/>
    <cellStyle name="Обычный 7 10 2 2 5 2" xfId="26073"/>
    <cellStyle name="Обычный 7 10 2 2 5 3" xfId="26074"/>
    <cellStyle name="Обычный 7 10 2 2 6" xfId="26075"/>
    <cellStyle name="Обычный 7 10 2 2 6 2" xfId="26076"/>
    <cellStyle name="Обычный 7 10 2 2 7" xfId="26077"/>
    <cellStyle name="Обычный 7 10 2 2 8" xfId="26078"/>
    <cellStyle name="Обычный 7 10 2 3" xfId="26079"/>
    <cellStyle name="Обычный 7 10 2 3 2" xfId="26080"/>
    <cellStyle name="Обычный 7 10 2 3 2 2" xfId="26081"/>
    <cellStyle name="Обычный 7 10 2 3 2 2 2" xfId="26082"/>
    <cellStyle name="Обычный 7 10 2 3 2 2 3" xfId="26083"/>
    <cellStyle name="Обычный 7 10 2 3 2 3" xfId="26084"/>
    <cellStyle name="Обычный 7 10 2 3 2 3 2" xfId="26085"/>
    <cellStyle name="Обычный 7 10 2 3 2 3 3" xfId="26086"/>
    <cellStyle name="Обычный 7 10 2 3 2 4" xfId="26087"/>
    <cellStyle name="Обычный 7 10 2 3 2 4 2" xfId="26088"/>
    <cellStyle name="Обычный 7 10 2 3 2 5" xfId="26089"/>
    <cellStyle name="Обычный 7 10 2 3 2 6" xfId="26090"/>
    <cellStyle name="Обычный 7 10 2 3 3" xfId="26091"/>
    <cellStyle name="Обычный 7 10 2 3 3 2" xfId="26092"/>
    <cellStyle name="Обычный 7 10 2 3 3 3" xfId="26093"/>
    <cellStyle name="Обычный 7 10 2 3 4" xfId="26094"/>
    <cellStyle name="Обычный 7 10 2 3 4 2" xfId="26095"/>
    <cellStyle name="Обычный 7 10 2 3 4 3" xfId="26096"/>
    <cellStyle name="Обычный 7 10 2 3 5" xfId="26097"/>
    <cellStyle name="Обычный 7 10 2 3 5 2" xfId="26098"/>
    <cellStyle name="Обычный 7 10 2 3 6" xfId="26099"/>
    <cellStyle name="Обычный 7 10 2 3 7" xfId="26100"/>
    <cellStyle name="Обычный 7 10 2 4" xfId="26101"/>
    <cellStyle name="Обычный 7 10 2 4 2" xfId="26102"/>
    <cellStyle name="Обычный 7 10 2 4 2 2" xfId="26103"/>
    <cellStyle name="Обычный 7 10 2 4 2 3" xfId="26104"/>
    <cellStyle name="Обычный 7 10 2 4 3" xfId="26105"/>
    <cellStyle name="Обычный 7 10 2 4 3 2" xfId="26106"/>
    <cellStyle name="Обычный 7 10 2 4 3 3" xfId="26107"/>
    <cellStyle name="Обычный 7 10 2 4 4" xfId="26108"/>
    <cellStyle name="Обычный 7 10 2 4 4 2" xfId="26109"/>
    <cellStyle name="Обычный 7 10 2 4 5" xfId="26110"/>
    <cellStyle name="Обычный 7 10 2 4 6" xfId="26111"/>
    <cellStyle name="Обычный 7 10 2 5" xfId="26112"/>
    <cellStyle name="Обычный 7 10 2 5 2" xfId="26113"/>
    <cellStyle name="Обычный 7 10 2 5 3" xfId="26114"/>
    <cellStyle name="Обычный 7 10 2 6" xfId="26115"/>
    <cellStyle name="Обычный 7 10 2 6 2" xfId="26116"/>
    <cellStyle name="Обычный 7 10 2 6 3" xfId="26117"/>
    <cellStyle name="Обычный 7 10 2 7" xfId="26118"/>
    <cellStyle name="Обычный 7 10 2 7 2" xfId="26119"/>
    <cellStyle name="Обычный 7 10 2 8" xfId="26120"/>
    <cellStyle name="Обычный 7 10 2 9" xfId="26121"/>
    <cellStyle name="Обычный 7 10 3" xfId="26122"/>
    <cellStyle name="Обычный 7 10 3 2" xfId="26123"/>
    <cellStyle name="Обычный 7 10 3 2 2" xfId="26124"/>
    <cellStyle name="Обычный 7 10 3 2 2 2" xfId="26125"/>
    <cellStyle name="Обычный 7 10 3 2 2 2 2" xfId="26126"/>
    <cellStyle name="Обычный 7 10 3 2 2 2 3" xfId="26127"/>
    <cellStyle name="Обычный 7 10 3 2 2 3" xfId="26128"/>
    <cellStyle name="Обычный 7 10 3 2 2 3 2" xfId="26129"/>
    <cellStyle name="Обычный 7 10 3 2 2 3 3" xfId="26130"/>
    <cellStyle name="Обычный 7 10 3 2 2 4" xfId="26131"/>
    <cellStyle name="Обычный 7 10 3 2 2 4 2" xfId="26132"/>
    <cellStyle name="Обычный 7 10 3 2 2 5" xfId="26133"/>
    <cellStyle name="Обычный 7 10 3 2 2 6" xfId="26134"/>
    <cellStyle name="Обычный 7 10 3 2 3" xfId="26135"/>
    <cellStyle name="Обычный 7 10 3 2 3 2" xfId="26136"/>
    <cellStyle name="Обычный 7 10 3 2 3 3" xfId="26137"/>
    <cellStyle name="Обычный 7 10 3 2 4" xfId="26138"/>
    <cellStyle name="Обычный 7 10 3 2 4 2" xfId="26139"/>
    <cellStyle name="Обычный 7 10 3 2 4 3" xfId="26140"/>
    <cellStyle name="Обычный 7 10 3 2 5" xfId="26141"/>
    <cellStyle name="Обычный 7 10 3 2 5 2" xfId="26142"/>
    <cellStyle name="Обычный 7 10 3 2 6" xfId="26143"/>
    <cellStyle name="Обычный 7 10 3 2 7" xfId="26144"/>
    <cellStyle name="Обычный 7 10 3 3" xfId="26145"/>
    <cellStyle name="Обычный 7 10 3 3 2" xfId="26146"/>
    <cellStyle name="Обычный 7 10 3 3 2 2" xfId="26147"/>
    <cellStyle name="Обычный 7 10 3 3 2 3" xfId="26148"/>
    <cellStyle name="Обычный 7 10 3 3 3" xfId="26149"/>
    <cellStyle name="Обычный 7 10 3 3 3 2" xfId="26150"/>
    <cellStyle name="Обычный 7 10 3 3 3 3" xfId="26151"/>
    <cellStyle name="Обычный 7 10 3 3 4" xfId="26152"/>
    <cellStyle name="Обычный 7 10 3 3 4 2" xfId="26153"/>
    <cellStyle name="Обычный 7 10 3 3 5" xfId="26154"/>
    <cellStyle name="Обычный 7 10 3 3 6" xfId="26155"/>
    <cellStyle name="Обычный 7 10 3 4" xfId="26156"/>
    <cellStyle name="Обычный 7 10 3 4 2" xfId="26157"/>
    <cellStyle name="Обычный 7 10 3 4 3" xfId="26158"/>
    <cellStyle name="Обычный 7 10 3 5" xfId="26159"/>
    <cellStyle name="Обычный 7 10 3 5 2" xfId="26160"/>
    <cellStyle name="Обычный 7 10 3 5 3" xfId="26161"/>
    <cellStyle name="Обычный 7 10 3 6" xfId="26162"/>
    <cellStyle name="Обычный 7 10 3 6 2" xfId="26163"/>
    <cellStyle name="Обычный 7 10 3 7" xfId="26164"/>
    <cellStyle name="Обычный 7 10 3 8" xfId="26165"/>
    <cellStyle name="Обычный 7 10 4" xfId="26166"/>
    <cellStyle name="Обычный 7 10 4 2" xfId="26167"/>
    <cellStyle name="Обычный 7 10 4 2 2" xfId="26168"/>
    <cellStyle name="Обычный 7 10 4 2 2 2" xfId="26169"/>
    <cellStyle name="Обычный 7 10 4 2 2 3" xfId="26170"/>
    <cellStyle name="Обычный 7 10 4 2 3" xfId="26171"/>
    <cellStyle name="Обычный 7 10 4 2 3 2" xfId="26172"/>
    <cellStyle name="Обычный 7 10 4 2 3 3" xfId="26173"/>
    <cellStyle name="Обычный 7 10 4 2 4" xfId="26174"/>
    <cellStyle name="Обычный 7 10 4 2 4 2" xfId="26175"/>
    <cellStyle name="Обычный 7 10 4 2 5" xfId="26176"/>
    <cellStyle name="Обычный 7 10 4 2 6" xfId="26177"/>
    <cellStyle name="Обычный 7 10 4 3" xfId="26178"/>
    <cellStyle name="Обычный 7 10 4 3 2" xfId="26179"/>
    <cellStyle name="Обычный 7 10 4 3 3" xfId="26180"/>
    <cellStyle name="Обычный 7 10 4 4" xfId="26181"/>
    <cellStyle name="Обычный 7 10 4 4 2" xfId="26182"/>
    <cellStyle name="Обычный 7 10 4 4 3" xfId="26183"/>
    <cellStyle name="Обычный 7 10 4 5" xfId="26184"/>
    <cellStyle name="Обычный 7 10 4 5 2" xfId="26185"/>
    <cellStyle name="Обычный 7 10 4 6" xfId="26186"/>
    <cellStyle name="Обычный 7 10 4 7" xfId="26187"/>
    <cellStyle name="Обычный 7 10 5" xfId="26188"/>
    <cellStyle name="Обычный 7 10 5 2" xfId="26189"/>
    <cellStyle name="Обычный 7 10 5 2 2" xfId="26190"/>
    <cellStyle name="Обычный 7 10 5 2 3" xfId="26191"/>
    <cellStyle name="Обычный 7 10 5 3" xfId="26192"/>
    <cellStyle name="Обычный 7 10 5 3 2" xfId="26193"/>
    <cellStyle name="Обычный 7 10 5 3 3" xfId="26194"/>
    <cellStyle name="Обычный 7 10 5 4" xfId="26195"/>
    <cellStyle name="Обычный 7 10 5 4 2" xfId="26196"/>
    <cellStyle name="Обычный 7 10 5 5" xfId="26197"/>
    <cellStyle name="Обычный 7 10 5 6" xfId="26198"/>
    <cellStyle name="Обычный 7 10 6" xfId="26199"/>
    <cellStyle name="Обычный 7 10 6 2" xfId="26200"/>
    <cellStyle name="Обычный 7 10 6 3" xfId="26201"/>
    <cellStyle name="Обычный 7 10 7" xfId="26202"/>
    <cellStyle name="Обычный 7 10 7 2" xfId="26203"/>
    <cellStyle name="Обычный 7 10 7 3" xfId="26204"/>
    <cellStyle name="Обычный 7 10 8" xfId="26205"/>
    <cellStyle name="Обычный 7 10 8 2" xfId="26206"/>
    <cellStyle name="Обычный 7 10 9" xfId="26207"/>
    <cellStyle name="Обычный 7 11" xfId="26208"/>
    <cellStyle name="Обычный 7 11 10" xfId="26209"/>
    <cellStyle name="Обычный 7 11 2" xfId="26210"/>
    <cellStyle name="Обычный 7 11 2 2" xfId="26211"/>
    <cellStyle name="Обычный 7 11 2 2 2" xfId="26212"/>
    <cellStyle name="Обычный 7 11 2 2 2 2" xfId="26213"/>
    <cellStyle name="Обычный 7 11 2 2 2 2 2" xfId="26214"/>
    <cellStyle name="Обычный 7 11 2 2 2 2 2 2" xfId="26215"/>
    <cellStyle name="Обычный 7 11 2 2 2 2 2 3" xfId="26216"/>
    <cellStyle name="Обычный 7 11 2 2 2 2 3" xfId="26217"/>
    <cellStyle name="Обычный 7 11 2 2 2 2 3 2" xfId="26218"/>
    <cellStyle name="Обычный 7 11 2 2 2 2 3 3" xfId="26219"/>
    <cellStyle name="Обычный 7 11 2 2 2 2 4" xfId="26220"/>
    <cellStyle name="Обычный 7 11 2 2 2 2 4 2" xfId="26221"/>
    <cellStyle name="Обычный 7 11 2 2 2 2 5" xfId="26222"/>
    <cellStyle name="Обычный 7 11 2 2 2 2 6" xfId="26223"/>
    <cellStyle name="Обычный 7 11 2 2 2 3" xfId="26224"/>
    <cellStyle name="Обычный 7 11 2 2 2 3 2" xfId="26225"/>
    <cellStyle name="Обычный 7 11 2 2 2 3 3" xfId="26226"/>
    <cellStyle name="Обычный 7 11 2 2 2 4" xfId="26227"/>
    <cellStyle name="Обычный 7 11 2 2 2 4 2" xfId="26228"/>
    <cellStyle name="Обычный 7 11 2 2 2 4 3" xfId="26229"/>
    <cellStyle name="Обычный 7 11 2 2 2 5" xfId="26230"/>
    <cellStyle name="Обычный 7 11 2 2 2 5 2" xfId="26231"/>
    <cellStyle name="Обычный 7 11 2 2 2 6" xfId="26232"/>
    <cellStyle name="Обычный 7 11 2 2 2 7" xfId="26233"/>
    <cellStyle name="Обычный 7 11 2 2 3" xfId="26234"/>
    <cellStyle name="Обычный 7 11 2 2 3 2" xfId="26235"/>
    <cellStyle name="Обычный 7 11 2 2 3 2 2" xfId="26236"/>
    <cellStyle name="Обычный 7 11 2 2 3 2 3" xfId="26237"/>
    <cellStyle name="Обычный 7 11 2 2 3 3" xfId="26238"/>
    <cellStyle name="Обычный 7 11 2 2 3 3 2" xfId="26239"/>
    <cellStyle name="Обычный 7 11 2 2 3 3 3" xfId="26240"/>
    <cellStyle name="Обычный 7 11 2 2 3 4" xfId="26241"/>
    <cellStyle name="Обычный 7 11 2 2 3 4 2" xfId="26242"/>
    <cellStyle name="Обычный 7 11 2 2 3 5" xfId="26243"/>
    <cellStyle name="Обычный 7 11 2 2 3 6" xfId="26244"/>
    <cellStyle name="Обычный 7 11 2 2 4" xfId="26245"/>
    <cellStyle name="Обычный 7 11 2 2 4 2" xfId="26246"/>
    <cellStyle name="Обычный 7 11 2 2 4 3" xfId="26247"/>
    <cellStyle name="Обычный 7 11 2 2 5" xfId="26248"/>
    <cellStyle name="Обычный 7 11 2 2 5 2" xfId="26249"/>
    <cellStyle name="Обычный 7 11 2 2 5 3" xfId="26250"/>
    <cellStyle name="Обычный 7 11 2 2 6" xfId="26251"/>
    <cellStyle name="Обычный 7 11 2 2 6 2" xfId="26252"/>
    <cellStyle name="Обычный 7 11 2 2 7" xfId="26253"/>
    <cellStyle name="Обычный 7 11 2 2 8" xfId="26254"/>
    <cellStyle name="Обычный 7 11 2 3" xfId="26255"/>
    <cellStyle name="Обычный 7 11 2 3 2" xfId="26256"/>
    <cellStyle name="Обычный 7 11 2 3 2 2" xfId="26257"/>
    <cellStyle name="Обычный 7 11 2 3 2 2 2" xfId="26258"/>
    <cellStyle name="Обычный 7 11 2 3 2 2 3" xfId="26259"/>
    <cellStyle name="Обычный 7 11 2 3 2 3" xfId="26260"/>
    <cellStyle name="Обычный 7 11 2 3 2 3 2" xfId="26261"/>
    <cellStyle name="Обычный 7 11 2 3 2 3 3" xfId="26262"/>
    <cellStyle name="Обычный 7 11 2 3 2 4" xfId="26263"/>
    <cellStyle name="Обычный 7 11 2 3 2 4 2" xfId="26264"/>
    <cellStyle name="Обычный 7 11 2 3 2 5" xfId="26265"/>
    <cellStyle name="Обычный 7 11 2 3 2 6" xfId="26266"/>
    <cellStyle name="Обычный 7 11 2 3 3" xfId="26267"/>
    <cellStyle name="Обычный 7 11 2 3 3 2" xfId="26268"/>
    <cellStyle name="Обычный 7 11 2 3 3 3" xfId="26269"/>
    <cellStyle name="Обычный 7 11 2 3 4" xfId="26270"/>
    <cellStyle name="Обычный 7 11 2 3 4 2" xfId="26271"/>
    <cellStyle name="Обычный 7 11 2 3 4 3" xfId="26272"/>
    <cellStyle name="Обычный 7 11 2 3 5" xfId="26273"/>
    <cellStyle name="Обычный 7 11 2 3 5 2" xfId="26274"/>
    <cellStyle name="Обычный 7 11 2 3 6" xfId="26275"/>
    <cellStyle name="Обычный 7 11 2 3 7" xfId="26276"/>
    <cellStyle name="Обычный 7 11 2 4" xfId="26277"/>
    <cellStyle name="Обычный 7 11 2 4 2" xfId="26278"/>
    <cellStyle name="Обычный 7 11 2 4 2 2" xfId="26279"/>
    <cellStyle name="Обычный 7 11 2 4 2 3" xfId="26280"/>
    <cellStyle name="Обычный 7 11 2 4 3" xfId="26281"/>
    <cellStyle name="Обычный 7 11 2 4 3 2" xfId="26282"/>
    <cellStyle name="Обычный 7 11 2 4 3 3" xfId="26283"/>
    <cellStyle name="Обычный 7 11 2 4 4" xfId="26284"/>
    <cellStyle name="Обычный 7 11 2 4 4 2" xfId="26285"/>
    <cellStyle name="Обычный 7 11 2 4 5" xfId="26286"/>
    <cellStyle name="Обычный 7 11 2 4 6" xfId="26287"/>
    <cellStyle name="Обычный 7 11 2 5" xfId="26288"/>
    <cellStyle name="Обычный 7 11 2 5 2" xfId="26289"/>
    <cellStyle name="Обычный 7 11 2 5 3" xfId="26290"/>
    <cellStyle name="Обычный 7 11 2 6" xfId="26291"/>
    <cellStyle name="Обычный 7 11 2 6 2" xfId="26292"/>
    <cellStyle name="Обычный 7 11 2 6 3" xfId="26293"/>
    <cellStyle name="Обычный 7 11 2 7" xfId="26294"/>
    <cellStyle name="Обычный 7 11 2 7 2" xfId="26295"/>
    <cellStyle name="Обычный 7 11 2 8" xfId="26296"/>
    <cellStyle name="Обычный 7 11 2 9" xfId="26297"/>
    <cellStyle name="Обычный 7 11 3" xfId="26298"/>
    <cellStyle name="Обычный 7 11 3 2" xfId="26299"/>
    <cellStyle name="Обычный 7 11 3 2 2" xfId="26300"/>
    <cellStyle name="Обычный 7 11 3 2 2 2" xfId="26301"/>
    <cellStyle name="Обычный 7 11 3 2 2 2 2" xfId="26302"/>
    <cellStyle name="Обычный 7 11 3 2 2 2 3" xfId="26303"/>
    <cellStyle name="Обычный 7 11 3 2 2 3" xfId="26304"/>
    <cellStyle name="Обычный 7 11 3 2 2 3 2" xfId="26305"/>
    <cellStyle name="Обычный 7 11 3 2 2 3 3" xfId="26306"/>
    <cellStyle name="Обычный 7 11 3 2 2 4" xfId="26307"/>
    <cellStyle name="Обычный 7 11 3 2 2 4 2" xfId="26308"/>
    <cellStyle name="Обычный 7 11 3 2 2 5" xfId="26309"/>
    <cellStyle name="Обычный 7 11 3 2 2 6" xfId="26310"/>
    <cellStyle name="Обычный 7 11 3 2 3" xfId="26311"/>
    <cellStyle name="Обычный 7 11 3 2 3 2" xfId="26312"/>
    <cellStyle name="Обычный 7 11 3 2 3 3" xfId="26313"/>
    <cellStyle name="Обычный 7 11 3 2 4" xfId="26314"/>
    <cellStyle name="Обычный 7 11 3 2 4 2" xfId="26315"/>
    <cellStyle name="Обычный 7 11 3 2 4 3" xfId="26316"/>
    <cellStyle name="Обычный 7 11 3 2 5" xfId="26317"/>
    <cellStyle name="Обычный 7 11 3 2 5 2" xfId="26318"/>
    <cellStyle name="Обычный 7 11 3 2 6" xfId="26319"/>
    <cellStyle name="Обычный 7 11 3 2 7" xfId="26320"/>
    <cellStyle name="Обычный 7 11 3 3" xfId="26321"/>
    <cellStyle name="Обычный 7 11 3 3 2" xfId="26322"/>
    <cellStyle name="Обычный 7 11 3 3 2 2" xfId="26323"/>
    <cellStyle name="Обычный 7 11 3 3 2 3" xfId="26324"/>
    <cellStyle name="Обычный 7 11 3 3 3" xfId="26325"/>
    <cellStyle name="Обычный 7 11 3 3 3 2" xfId="26326"/>
    <cellStyle name="Обычный 7 11 3 3 3 3" xfId="26327"/>
    <cellStyle name="Обычный 7 11 3 3 4" xfId="26328"/>
    <cellStyle name="Обычный 7 11 3 3 4 2" xfId="26329"/>
    <cellStyle name="Обычный 7 11 3 3 5" xfId="26330"/>
    <cellStyle name="Обычный 7 11 3 3 6" xfId="26331"/>
    <cellStyle name="Обычный 7 11 3 4" xfId="26332"/>
    <cellStyle name="Обычный 7 11 3 4 2" xfId="26333"/>
    <cellStyle name="Обычный 7 11 3 4 3" xfId="26334"/>
    <cellStyle name="Обычный 7 11 3 5" xfId="26335"/>
    <cellStyle name="Обычный 7 11 3 5 2" xfId="26336"/>
    <cellStyle name="Обычный 7 11 3 5 3" xfId="26337"/>
    <cellStyle name="Обычный 7 11 3 6" xfId="26338"/>
    <cellStyle name="Обычный 7 11 3 6 2" xfId="26339"/>
    <cellStyle name="Обычный 7 11 3 7" xfId="26340"/>
    <cellStyle name="Обычный 7 11 3 8" xfId="26341"/>
    <cellStyle name="Обычный 7 11 4" xfId="26342"/>
    <cellStyle name="Обычный 7 11 4 2" xfId="26343"/>
    <cellStyle name="Обычный 7 11 4 2 2" xfId="26344"/>
    <cellStyle name="Обычный 7 11 4 2 2 2" xfId="26345"/>
    <cellStyle name="Обычный 7 11 4 2 2 3" xfId="26346"/>
    <cellStyle name="Обычный 7 11 4 2 3" xfId="26347"/>
    <cellStyle name="Обычный 7 11 4 2 3 2" xfId="26348"/>
    <cellStyle name="Обычный 7 11 4 2 3 3" xfId="26349"/>
    <cellStyle name="Обычный 7 11 4 2 4" xfId="26350"/>
    <cellStyle name="Обычный 7 11 4 2 4 2" xfId="26351"/>
    <cellStyle name="Обычный 7 11 4 2 5" xfId="26352"/>
    <cellStyle name="Обычный 7 11 4 2 6" xfId="26353"/>
    <cellStyle name="Обычный 7 11 4 3" xfId="26354"/>
    <cellStyle name="Обычный 7 11 4 3 2" xfId="26355"/>
    <cellStyle name="Обычный 7 11 4 3 3" xfId="26356"/>
    <cellStyle name="Обычный 7 11 4 4" xfId="26357"/>
    <cellStyle name="Обычный 7 11 4 4 2" xfId="26358"/>
    <cellStyle name="Обычный 7 11 4 4 3" xfId="26359"/>
    <cellStyle name="Обычный 7 11 4 5" xfId="26360"/>
    <cellStyle name="Обычный 7 11 4 5 2" xfId="26361"/>
    <cellStyle name="Обычный 7 11 4 6" xfId="26362"/>
    <cellStyle name="Обычный 7 11 4 7" xfId="26363"/>
    <cellStyle name="Обычный 7 11 5" xfId="26364"/>
    <cellStyle name="Обычный 7 11 5 2" xfId="26365"/>
    <cellStyle name="Обычный 7 11 5 2 2" xfId="26366"/>
    <cellStyle name="Обычный 7 11 5 2 3" xfId="26367"/>
    <cellStyle name="Обычный 7 11 5 3" xfId="26368"/>
    <cellStyle name="Обычный 7 11 5 3 2" xfId="26369"/>
    <cellStyle name="Обычный 7 11 5 3 3" xfId="26370"/>
    <cellStyle name="Обычный 7 11 5 4" xfId="26371"/>
    <cellStyle name="Обычный 7 11 5 4 2" xfId="26372"/>
    <cellStyle name="Обычный 7 11 5 5" xfId="26373"/>
    <cellStyle name="Обычный 7 11 5 6" xfId="26374"/>
    <cellStyle name="Обычный 7 11 6" xfId="26375"/>
    <cellStyle name="Обычный 7 11 6 2" xfId="26376"/>
    <cellStyle name="Обычный 7 11 6 3" xfId="26377"/>
    <cellStyle name="Обычный 7 11 7" xfId="26378"/>
    <cellStyle name="Обычный 7 11 7 2" xfId="26379"/>
    <cellStyle name="Обычный 7 11 7 3" xfId="26380"/>
    <cellStyle name="Обычный 7 11 8" xfId="26381"/>
    <cellStyle name="Обычный 7 11 8 2" xfId="26382"/>
    <cellStyle name="Обычный 7 11 9" xfId="26383"/>
    <cellStyle name="Обычный 7 12" xfId="26384"/>
    <cellStyle name="Обычный 7 12 10" xfId="26385"/>
    <cellStyle name="Обычный 7 12 2" xfId="26386"/>
    <cellStyle name="Обычный 7 12 2 2" xfId="26387"/>
    <cellStyle name="Обычный 7 12 2 2 2" xfId="26388"/>
    <cellStyle name="Обычный 7 12 2 2 2 2" xfId="26389"/>
    <cellStyle name="Обычный 7 12 2 2 2 2 2" xfId="26390"/>
    <cellStyle name="Обычный 7 12 2 2 2 2 2 2" xfId="26391"/>
    <cellStyle name="Обычный 7 12 2 2 2 2 2 3" xfId="26392"/>
    <cellStyle name="Обычный 7 12 2 2 2 2 3" xfId="26393"/>
    <cellStyle name="Обычный 7 12 2 2 2 2 3 2" xfId="26394"/>
    <cellStyle name="Обычный 7 12 2 2 2 2 3 3" xfId="26395"/>
    <cellStyle name="Обычный 7 12 2 2 2 2 4" xfId="26396"/>
    <cellStyle name="Обычный 7 12 2 2 2 2 4 2" xfId="26397"/>
    <cellStyle name="Обычный 7 12 2 2 2 2 5" xfId="26398"/>
    <cellStyle name="Обычный 7 12 2 2 2 2 6" xfId="26399"/>
    <cellStyle name="Обычный 7 12 2 2 2 3" xfId="26400"/>
    <cellStyle name="Обычный 7 12 2 2 2 3 2" xfId="26401"/>
    <cellStyle name="Обычный 7 12 2 2 2 3 3" xfId="26402"/>
    <cellStyle name="Обычный 7 12 2 2 2 4" xfId="26403"/>
    <cellStyle name="Обычный 7 12 2 2 2 4 2" xfId="26404"/>
    <cellStyle name="Обычный 7 12 2 2 2 4 3" xfId="26405"/>
    <cellStyle name="Обычный 7 12 2 2 2 5" xfId="26406"/>
    <cellStyle name="Обычный 7 12 2 2 2 5 2" xfId="26407"/>
    <cellStyle name="Обычный 7 12 2 2 2 6" xfId="26408"/>
    <cellStyle name="Обычный 7 12 2 2 2 7" xfId="26409"/>
    <cellStyle name="Обычный 7 12 2 2 3" xfId="26410"/>
    <cellStyle name="Обычный 7 12 2 2 3 2" xfId="26411"/>
    <cellStyle name="Обычный 7 12 2 2 3 2 2" xfId="26412"/>
    <cellStyle name="Обычный 7 12 2 2 3 2 3" xfId="26413"/>
    <cellStyle name="Обычный 7 12 2 2 3 3" xfId="26414"/>
    <cellStyle name="Обычный 7 12 2 2 3 3 2" xfId="26415"/>
    <cellStyle name="Обычный 7 12 2 2 3 3 3" xfId="26416"/>
    <cellStyle name="Обычный 7 12 2 2 3 4" xfId="26417"/>
    <cellStyle name="Обычный 7 12 2 2 3 4 2" xfId="26418"/>
    <cellStyle name="Обычный 7 12 2 2 3 5" xfId="26419"/>
    <cellStyle name="Обычный 7 12 2 2 3 6" xfId="26420"/>
    <cellStyle name="Обычный 7 12 2 2 4" xfId="26421"/>
    <cellStyle name="Обычный 7 12 2 2 4 2" xfId="26422"/>
    <cellStyle name="Обычный 7 12 2 2 4 3" xfId="26423"/>
    <cellStyle name="Обычный 7 12 2 2 5" xfId="26424"/>
    <cellStyle name="Обычный 7 12 2 2 5 2" xfId="26425"/>
    <cellStyle name="Обычный 7 12 2 2 5 3" xfId="26426"/>
    <cellStyle name="Обычный 7 12 2 2 6" xfId="26427"/>
    <cellStyle name="Обычный 7 12 2 2 6 2" xfId="26428"/>
    <cellStyle name="Обычный 7 12 2 2 7" xfId="26429"/>
    <cellStyle name="Обычный 7 12 2 2 8" xfId="26430"/>
    <cellStyle name="Обычный 7 12 2 3" xfId="26431"/>
    <cellStyle name="Обычный 7 12 2 3 2" xfId="26432"/>
    <cellStyle name="Обычный 7 12 2 3 2 2" xfId="26433"/>
    <cellStyle name="Обычный 7 12 2 3 2 2 2" xfId="26434"/>
    <cellStyle name="Обычный 7 12 2 3 2 2 3" xfId="26435"/>
    <cellStyle name="Обычный 7 12 2 3 2 3" xfId="26436"/>
    <cellStyle name="Обычный 7 12 2 3 2 3 2" xfId="26437"/>
    <cellStyle name="Обычный 7 12 2 3 2 3 3" xfId="26438"/>
    <cellStyle name="Обычный 7 12 2 3 2 4" xfId="26439"/>
    <cellStyle name="Обычный 7 12 2 3 2 4 2" xfId="26440"/>
    <cellStyle name="Обычный 7 12 2 3 2 5" xfId="26441"/>
    <cellStyle name="Обычный 7 12 2 3 2 6" xfId="26442"/>
    <cellStyle name="Обычный 7 12 2 3 3" xfId="26443"/>
    <cellStyle name="Обычный 7 12 2 3 3 2" xfId="26444"/>
    <cellStyle name="Обычный 7 12 2 3 3 3" xfId="26445"/>
    <cellStyle name="Обычный 7 12 2 3 4" xfId="26446"/>
    <cellStyle name="Обычный 7 12 2 3 4 2" xfId="26447"/>
    <cellStyle name="Обычный 7 12 2 3 4 3" xfId="26448"/>
    <cellStyle name="Обычный 7 12 2 3 5" xfId="26449"/>
    <cellStyle name="Обычный 7 12 2 3 5 2" xfId="26450"/>
    <cellStyle name="Обычный 7 12 2 3 6" xfId="26451"/>
    <cellStyle name="Обычный 7 12 2 3 7" xfId="26452"/>
    <cellStyle name="Обычный 7 12 2 4" xfId="26453"/>
    <cellStyle name="Обычный 7 12 2 4 2" xfId="26454"/>
    <cellStyle name="Обычный 7 12 2 4 2 2" xfId="26455"/>
    <cellStyle name="Обычный 7 12 2 4 2 3" xfId="26456"/>
    <cellStyle name="Обычный 7 12 2 4 3" xfId="26457"/>
    <cellStyle name="Обычный 7 12 2 4 3 2" xfId="26458"/>
    <cellStyle name="Обычный 7 12 2 4 3 3" xfId="26459"/>
    <cellStyle name="Обычный 7 12 2 4 4" xfId="26460"/>
    <cellStyle name="Обычный 7 12 2 4 4 2" xfId="26461"/>
    <cellStyle name="Обычный 7 12 2 4 5" xfId="26462"/>
    <cellStyle name="Обычный 7 12 2 4 6" xfId="26463"/>
    <cellStyle name="Обычный 7 12 2 5" xfId="26464"/>
    <cellStyle name="Обычный 7 12 2 5 2" xfId="26465"/>
    <cellStyle name="Обычный 7 12 2 5 3" xfId="26466"/>
    <cellStyle name="Обычный 7 12 2 6" xfId="26467"/>
    <cellStyle name="Обычный 7 12 2 6 2" xfId="26468"/>
    <cellStyle name="Обычный 7 12 2 6 3" xfId="26469"/>
    <cellStyle name="Обычный 7 12 2 7" xfId="26470"/>
    <cellStyle name="Обычный 7 12 2 7 2" xfId="26471"/>
    <cellStyle name="Обычный 7 12 2 8" xfId="26472"/>
    <cellStyle name="Обычный 7 12 2 9" xfId="26473"/>
    <cellStyle name="Обычный 7 12 3" xfId="26474"/>
    <cellStyle name="Обычный 7 12 3 2" xfId="26475"/>
    <cellStyle name="Обычный 7 12 3 2 2" xfId="26476"/>
    <cellStyle name="Обычный 7 12 3 2 2 2" xfId="26477"/>
    <cellStyle name="Обычный 7 12 3 2 2 2 2" xfId="26478"/>
    <cellStyle name="Обычный 7 12 3 2 2 2 3" xfId="26479"/>
    <cellStyle name="Обычный 7 12 3 2 2 3" xfId="26480"/>
    <cellStyle name="Обычный 7 12 3 2 2 3 2" xfId="26481"/>
    <cellStyle name="Обычный 7 12 3 2 2 3 3" xfId="26482"/>
    <cellStyle name="Обычный 7 12 3 2 2 4" xfId="26483"/>
    <cellStyle name="Обычный 7 12 3 2 2 4 2" xfId="26484"/>
    <cellStyle name="Обычный 7 12 3 2 2 5" xfId="26485"/>
    <cellStyle name="Обычный 7 12 3 2 2 6" xfId="26486"/>
    <cellStyle name="Обычный 7 12 3 2 3" xfId="26487"/>
    <cellStyle name="Обычный 7 12 3 2 3 2" xfId="26488"/>
    <cellStyle name="Обычный 7 12 3 2 3 3" xfId="26489"/>
    <cellStyle name="Обычный 7 12 3 2 4" xfId="26490"/>
    <cellStyle name="Обычный 7 12 3 2 4 2" xfId="26491"/>
    <cellStyle name="Обычный 7 12 3 2 4 3" xfId="26492"/>
    <cellStyle name="Обычный 7 12 3 2 5" xfId="26493"/>
    <cellStyle name="Обычный 7 12 3 2 5 2" xfId="26494"/>
    <cellStyle name="Обычный 7 12 3 2 6" xfId="26495"/>
    <cellStyle name="Обычный 7 12 3 2 7" xfId="26496"/>
    <cellStyle name="Обычный 7 12 3 3" xfId="26497"/>
    <cellStyle name="Обычный 7 12 3 3 2" xfId="26498"/>
    <cellStyle name="Обычный 7 12 3 3 2 2" xfId="26499"/>
    <cellStyle name="Обычный 7 12 3 3 2 3" xfId="26500"/>
    <cellStyle name="Обычный 7 12 3 3 3" xfId="26501"/>
    <cellStyle name="Обычный 7 12 3 3 3 2" xfId="26502"/>
    <cellStyle name="Обычный 7 12 3 3 3 3" xfId="26503"/>
    <cellStyle name="Обычный 7 12 3 3 4" xfId="26504"/>
    <cellStyle name="Обычный 7 12 3 3 4 2" xfId="26505"/>
    <cellStyle name="Обычный 7 12 3 3 5" xfId="26506"/>
    <cellStyle name="Обычный 7 12 3 3 6" xfId="26507"/>
    <cellStyle name="Обычный 7 12 3 4" xfId="26508"/>
    <cellStyle name="Обычный 7 12 3 4 2" xfId="26509"/>
    <cellStyle name="Обычный 7 12 3 4 3" xfId="26510"/>
    <cellStyle name="Обычный 7 12 3 5" xfId="26511"/>
    <cellStyle name="Обычный 7 12 3 5 2" xfId="26512"/>
    <cellStyle name="Обычный 7 12 3 5 3" xfId="26513"/>
    <cellStyle name="Обычный 7 12 3 6" xfId="26514"/>
    <cellStyle name="Обычный 7 12 3 6 2" xfId="26515"/>
    <cellStyle name="Обычный 7 12 3 7" xfId="26516"/>
    <cellStyle name="Обычный 7 12 3 8" xfId="26517"/>
    <cellStyle name="Обычный 7 12 4" xfId="26518"/>
    <cellStyle name="Обычный 7 12 4 2" xfId="26519"/>
    <cellStyle name="Обычный 7 12 4 2 2" xfId="26520"/>
    <cellStyle name="Обычный 7 12 4 2 2 2" xfId="26521"/>
    <cellStyle name="Обычный 7 12 4 2 2 3" xfId="26522"/>
    <cellStyle name="Обычный 7 12 4 2 3" xfId="26523"/>
    <cellStyle name="Обычный 7 12 4 2 3 2" xfId="26524"/>
    <cellStyle name="Обычный 7 12 4 2 3 3" xfId="26525"/>
    <cellStyle name="Обычный 7 12 4 2 4" xfId="26526"/>
    <cellStyle name="Обычный 7 12 4 2 4 2" xfId="26527"/>
    <cellStyle name="Обычный 7 12 4 2 5" xfId="26528"/>
    <cellStyle name="Обычный 7 12 4 2 6" xfId="26529"/>
    <cellStyle name="Обычный 7 12 4 3" xfId="26530"/>
    <cellStyle name="Обычный 7 12 4 3 2" xfId="26531"/>
    <cellStyle name="Обычный 7 12 4 3 3" xfId="26532"/>
    <cellStyle name="Обычный 7 12 4 4" xfId="26533"/>
    <cellStyle name="Обычный 7 12 4 4 2" xfId="26534"/>
    <cellStyle name="Обычный 7 12 4 4 3" xfId="26535"/>
    <cellStyle name="Обычный 7 12 4 5" xfId="26536"/>
    <cellStyle name="Обычный 7 12 4 5 2" xfId="26537"/>
    <cellStyle name="Обычный 7 12 4 6" xfId="26538"/>
    <cellStyle name="Обычный 7 12 4 7" xfId="26539"/>
    <cellStyle name="Обычный 7 12 5" xfId="26540"/>
    <cellStyle name="Обычный 7 12 5 2" xfId="26541"/>
    <cellStyle name="Обычный 7 12 5 2 2" xfId="26542"/>
    <cellStyle name="Обычный 7 12 5 2 3" xfId="26543"/>
    <cellStyle name="Обычный 7 12 5 3" xfId="26544"/>
    <cellStyle name="Обычный 7 12 5 3 2" xfId="26545"/>
    <cellStyle name="Обычный 7 12 5 3 3" xfId="26546"/>
    <cellStyle name="Обычный 7 12 5 4" xfId="26547"/>
    <cellStyle name="Обычный 7 12 5 4 2" xfId="26548"/>
    <cellStyle name="Обычный 7 12 5 5" xfId="26549"/>
    <cellStyle name="Обычный 7 12 5 6" xfId="26550"/>
    <cellStyle name="Обычный 7 12 6" xfId="26551"/>
    <cellStyle name="Обычный 7 12 6 2" xfId="26552"/>
    <cellStyle name="Обычный 7 12 6 3" xfId="26553"/>
    <cellStyle name="Обычный 7 12 7" xfId="26554"/>
    <cellStyle name="Обычный 7 12 7 2" xfId="26555"/>
    <cellStyle name="Обычный 7 12 7 3" xfId="26556"/>
    <cellStyle name="Обычный 7 12 8" xfId="26557"/>
    <cellStyle name="Обычный 7 12 8 2" xfId="26558"/>
    <cellStyle name="Обычный 7 12 9" xfId="26559"/>
    <cellStyle name="Обычный 7 13" xfId="26560"/>
    <cellStyle name="Обычный 7 13 2" xfId="26561"/>
    <cellStyle name="Обычный 7 13 2 2" xfId="26562"/>
    <cellStyle name="Обычный 7 13 2 2 2" xfId="26563"/>
    <cellStyle name="Обычный 7 13 2 2 2 2" xfId="26564"/>
    <cellStyle name="Обычный 7 13 2 2 2 2 2" xfId="26565"/>
    <cellStyle name="Обычный 7 13 2 2 2 2 3" xfId="26566"/>
    <cellStyle name="Обычный 7 13 2 2 2 3" xfId="26567"/>
    <cellStyle name="Обычный 7 13 2 2 2 3 2" xfId="26568"/>
    <cellStyle name="Обычный 7 13 2 2 2 3 3" xfId="26569"/>
    <cellStyle name="Обычный 7 13 2 2 2 4" xfId="26570"/>
    <cellStyle name="Обычный 7 13 2 2 2 4 2" xfId="26571"/>
    <cellStyle name="Обычный 7 13 2 2 2 5" xfId="26572"/>
    <cellStyle name="Обычный 7 13 2 2 2 6" xfId="26573"/>
    <cellStyle name="Обычный 7 13 2 2 3" xfId="26574"/>
    <cellStyle name="Обычный 7 13 2 2 3 2" xfId="26575"/>
    <cellStyle name="Обычный 7 13 2 2 3 3" xfId="26576"/>
    <cellStyle name="Обычный 7 13 2 2 4" xfId="26577"/>
    <cellStyle name="Обычный 7 13 2 2 4 2" xfId="26578"/>
    <cellStyle name="Обычный 7 13 2 2 4 3" xfId="26579"/>
    <cellStyle name="Обычный 7 13 2 2 5" xfId="26580"/>
    <cellStyle name="Обычный 7 13 2 2 5 2" xfId="26581"/>
    <cellStyle name="Обычный 7 13 2 2 6" xfId="26582"/>
    <cellStyle name="Обычный 7 13 2 2 7" xfId="26583"/>
    <cellStyle name="Обычный 7 13 2 3" xfId="26584"/>
    <cellStyle name="Обычный 7 13 2 3 2" xfId="26585"/>
    <cellStyle name="Обычный 7 13 2 3 2 2" xfId="26586"/>
    <cellStyle name="Обычный 7 13 2 3 2 3" xfId="26587"/>
    <cellStyle name="Обычный 7 13 2 3 3" xfId="26588"/>
    <cellStyle name="Обычный 7 13 2 3 3 2" xfId="26589"/>
    <cellStyle name="Обычный 7 13 2 3 3 3" xfId="26590"/>
    <cellStyle name="Обычный 7 13 2 3 4" xfId="26591"/>
    <cellStyle name="Обычный 7 13 2 3 4 2" xfId="26592"/>
    <cellStyle name="Обычный 7 13 2 3 5" xfId="26593"/>
    <cellStyle name="Обычный 7 13 2 3 6" xfId="26594"/>
    <cellStyle name="Обычный 7 13 2 4" xfId="26595"/>
    <cellStyle name="Обычный 7 13 2 4 2" xfId="26596"/>
    <cellStyle name="Обычный 7 13 2 4 3" xfId="26597"/>
    <cellStyle name="Обычный 7 13 2 5" xfId="26598"/>
    <cellStyle name="Обычный 7 13 2 5 2" xfId="26599"/>
    <cellStyle name="Обычный 7 13 2 5 3" xfId="26600"/>
    <cellStyle name="Обычный 7 13 2 6" xfId="26601"/>
    <cellStyle name="Обычный 7 13 2 6 2" xfId="26602"/>
    <cellStyle name="Обычный 7 13 2 7" xfId="26603"/>
    <cellStyle name="Обычный 7 13 2 8" xfId="26604"/>
    <cellStyle name="Обычный 7 13 3" xfId="26605"/>
    <cellStyle name="Обычный 7 13 3 2" xfId="26606"/>
    <cellStyle name="Обычный 7 13 3 2 2" xfId="26607"/>
    <cellStyle name="Обычный 7 13 3 2 2 2" xfId="26608"/>
    <cellStyle name="Обычный 7 13 3 2 2 3" xfId="26609"/>
    <cellStyle name="Обычный 7 13 3 2 3" xfId="26610"/>
    <cellStyle name="Обычный 7 13 3 2 3 2" xfId="26611"/>
    <cellStyle name="Обычный 7 13 3 2 3 3" xfId="26612"/>
    <cellStyle name="Обычный 7 13 3 2 4" xfId="26613"/>
    <cellStyle name="Обычный 7 13 3 2 4 2" xfId="26614"/>
    <cellStyle name="Обычный 7 13 3 2 5" xfId="26615"/>
    <cellStyle name="Обычный 7 13 3 2 6" xfId="26616"/>
    <cellStyle name="Обычный 7 13 3 3" xfId="26617"/>
    <cellStyle name="Обычный 7 13 3 3 2" xfId="26618"/>
    <cellStyle name="Обычный 7 13 3 3 3" xfId="26619"/>
    <cellStyle name="Обычный 7 13 3 4" xfId="26620"/>
    <cellStyle name="Обычный 7 13 3 4 2" xfId="26621"/>
    <cellStyle name="Обычный 7 13 3 4 3" xfId="26622"/>
    <cellStyle name="Обычный 7 13 3 5" xfId="26623"/>
    <cellStyle name="Обычный 7 13 3 5 2" xfId="26624"/>
    <cellStyle name="Обычный 7 13 3 6" xfId="26625"/>
    <cellStyle name="Обычный 7 13 3 7" xfId="26626"/>
    <cellStyle name="Обычный 7 13 4" xfId="26627"/>
    <cellStyle name="Обычный 7 13 4 2" xfId="26628"/>
    <cellStyle name="Обычный 7 13 4 2 2" xfId="26629"/>
    <cellStyle name="Обычный 7 13 4 2 3" xfId="26630"/>
    <cellStyle name="Обычный 7 13 4 3" xfId="26631"/>
    <cellStyle name="Обычный 7 13 4 3 2" xfId="26632"/>
    <cellStyle name="Обычный 7 13 4 3 3" xfId="26633"/>
    <cellStyle name="Обычный 7 13 4 4" xfId="26634"/>
    <cellStyle name="Обычный 7 13 4 4 2" xfId="26635"/>
    <cellStyle name="Обычный 7 13 4 5" xfId="26636"/>
    <cellStyle name="Обычный 7 13 4 6" xfId="26637"/>
    <cellStyle name="Обычный 7 13 5" xfId="26638"/>
    <cellStyle name="Обычный 7 13 5 2" xfId="26639"/>
    <cellStyle name="Обычный 7 13 5 3" xfId="26640"/>
    <cellStyle name="Обычный 7 13 6" xfId="26641"/>
    <cellStyle name="Обычный 7 13 6 2" xfId="26642"/>
    <cellStyle name="Обычный 7 13 6 3" xfId="26643"/>
    <cellStyle name="Обычный 7 13 7" xfId="26644"/>
    <cellStyle name="Обычный 7 13 7 2" xfId="26645"/>
    <cellStyle name="Обычный 7 13 8" xfId="26646"/>
    <cellStyle name="Обычный 7 13 9" xfId="26647"/>
    <cellStyle name="Обычный 7 14" xfId="26648"/>
    <cellStyle name="Обычный 7 14 2" xfId="26649"/>
    <cellStyle name="Обычный 7 14 2 2" xfId="26650"/>
    <cellStyle name="Обычный 7 14 2 2 2" xfId="26651"/>
    <cellStyle name="Обычный 7 14 2 2 2 2" xfId="26652"/>
    <cellStyle name="Обычный 7 14 2 2 2 3" xfId="26653"/>
    <cellStyle name="Обычный 7 14 2 2 3" xfId="26654"/>
    <cellStyle name="Обычный 7 14 2 2 3 2" xfId="26655"/>
    <cellStyle name="Обычный 7 14 2 2 3 3" xfId="26656"/>
    <cellStyle name="Обычный 7 14 2 2 4" xfId="26657"/>
    <cellStyle name="Обычный 7 14 2 2 4 2" xfId="26658"/>
    <cellStyle name="Обычный 7 14 2 2 5" xfId="26659"/>
    <cellStyle name="Обычный 7 14 2 2 6" xfId="26660"/>
    <cellStyle name="Обычный 7 14 2 3" xfId="26661"/>
    <cellStyle name="Обычный 7 14 2 3 2" xfId="26662"/>
    <cellStyle name="Обычный 7 14 2 3 3" xfId="26663"/>
    <cellStyle name="Обычный 7 14 2 4" xfId="26664"/>
    <cellStyle name="Обычный 7 14 2 4 2" xfId="26665"/>
    <cellStyle name="Обычный 7 14 2 4 3" xfId="26666"/>
    <cellStyle name="Обычный 7 14 2 5" xfId="26667"/>
    <cellStyle name="Обычный 7 14 2 5 2" xfId="26668"/>
    <cellStyle name="Обычный 7 14 2 6" xfId="26669"/>
    <cellStyle name="Обычный 7 14 2 7" xfId="26670"/>
    <cellStyle name="Обычный 7 14 3" xfId="26671"/>
    <cellStyle name="Обычный 7 14 3 2" xfId="26672"/>
    <cellStyle name="Обычный 7 14 3 2 2" xfId="26673"/>
    <cellStyle name="Обычный 7 14 3 2 3" xfId="26674"/>
    <cellStyle name="Обычный 7 14 3 3" xfId="26675"/>
    <cellStyle name="Обычный 7 14 3 3 2" xfId="26676"/>
    <cellStyle name="Обычный 7 14 3 3 3" xfId="26677"/>
    <cellStyle name="Обычный 7 14 3 4" xfId="26678"/>
    <cellStyle name="Обычный 7 14 3 4 2" xfId="26679"/>
    <cellStyle name="Обычный 7 14 3 5" xfId="26680"/>
    <cellStyle name="Обычный 7 14 3 6" xfId="26681"/>
    <cellStyle name="Обычный 7 14 4" xfId="26682"/>
    <cellStyle name="Обычный 7 14 4 2" xfId="26683"/>
    <cellStyle name="Обычный 7 14 4 3" xfId="26684"/>
    <cellStyle name="Обычный 7 14 5" xfId="26685"/>
    <cellStyle name="Обычный 7 14 5 2" xfId="26686"/>
    <cellStyle name="Обычный 7 14 5 3" xfId="26687"/>
    <cellStyle name="Обычный 7 14 6" xfId="26688"/>
    <cellStyle name="Обычный 7 14 6 2" xfId="26689"/>
    <cellStyle name="Обычный 7 14 7" xfId="26690"/>
    <cellStyle name="Обычный 7 14 8" xfId="26691"/>
    <cellStyle name="Обычный 7 15" xfId="26692"/>
    <cellStyle name="Обычный 7 15 2" xfId="26693"/>
    <cellStyle name="Обычный 7 15 2 2" xfId="26694"/>
    <cellStyle name="Обычный 7 15 2 2 2" xfId="26695"/>
    <cellStyle name="Обычный 7 15 2 2 3" xfId="26696"/>
    <cellStyle name="Обычный 7 15 2 3" xfId="26697"/>
    <cellStyle name="Обычный 7 15 2 3 2" xfId="26698"/>
    <cellStyle name="Обычный 7 15 2 3 3" xfId="26699"/>
    <cellStyle name="Обычный 7 15 2 4" xfId="26700"/>
    <cellStyle name="Обычный 7 15 2 4 2" xfId="26701"/>
    <cellStyle name="Обычный 7 15 2 5" xfId="26702"/>
    <cellStyle name="Обычный 7 15 2 6" xfId="26703"/>
    <cellStyle name="Обычный 7 15 3" xfId="26704"/>
    <cellStyle name="Обычный 7 15 3 2" xfId="26705"/>
    <cellStyle name="Обычный 7 15 3 3" xfId="26706"/>
    <cellStyle name="Обычный 7 15 4" xfId="26707"/>
    <cellStyle name="Обычный 7 15 4 2" xfId="26708"/>
    <cellStyle name="Обычный 7 15 4 3" xfId="26709"/>
    <cellStyle name="Обычный 7 15 5" xfId="26710"/>
    <cellStyle name="Обычный 7 15 5 2" xfId="26711"/>
    <cellStyle name="Обычный 7 15 6" xfId="26712"/>
    <cellStyle name="Обычный 7 15 7" xfId="26713"/>
    <cellStyle name="Обычный 7 16" xfId="26714"/>
    <cellStyle name="Обычный 7 16 2" xfId="26715"/>
    <cellStyle name="Обычный 7 16 2 2" xfId="26716"/>
    <cellStyle name="Обычный 7 16 2 3" xfId="26717"/>
    <cellStyle name="Обычный 7 16 3" xfId="26718"/>
    <cellStyle name="Обычный 7 16 3 2" xfId="26719"/>
    <cellStyle name="Обычный 7 16 3 3" xfId="26720"/>
    <cellStyle name="Обычный 7 16 4" xfId="26721"/>
    <cellStyle name="Обычный 7 16 4 2" xfId="26722"/>
    <cellStyle name="Обычный 7 16 5" xfId="26723"/>
    <cellStyle name="Обычный 7 16 6" xfId="26724"/>
    <cellStyle name="Обычный 7 17" xfId="26725"/>
    <cellStyle name="Обычный 7 17 2" xfId="26726"/>
    <cellStyle name="Обычный 7 17 3" xfId="26727"/>
    <cellStyle name="Обычный 7 18" xfId="26728"/>
    <cellStyle name="Обычный 7 18 2" xfId="26729"/>
    <cellStyle name="Обычный 7 18 3" xfId="26730"/>
    <cellStyle name="Обычный 7 19" xfId="26731"/>
    <cellStyle name="Обычный 7 19 2" xfId="26732"/>
    <cellStyle name="Обычный 7 2" xfId="26733"/>
    <cellStyle name="Обычный 7 2 10" xfId="26734"/>
    <cellStyle name="Обычный 7 2 10 2" xfId="26735"/>
    <cellStyle name="Обычный 7 2 10 3" xfId="26736"/>
    <cellStyle name="Обычный 7 2 11" xfId="26737"/>
    <cellStyle name="Обычный 7 2 11 2" xfId="26738"/>
    <cellStyle name="Обычный 7 2 11 3" xfId="26739"/>
    <cellStyle name="Обычный 7 2 12" xfId="26740"/>
    <cellStyle name="Обычный 7 2 12 2" xfId="26741"/>
    <cellStyle name="Обычный 7 2 13" xfId="26742"/>
    <cellStyle name="Обычный 7 2 14" xfId="26743"/>
    <cellStyle name="Обычный 7 2 2" xfId="26744"/>
    <cellStyle name="Обычный 7 2 2 10" xfId="26745"/>
    <cellStyle name="Обычный 7 2 2 10 2" xfId="26746"/>
    <cellStyle name="Обычный 7 2 2 10 3" xfId="26747"/>
    <cellStyle name="Обычный 7 2 2 11" xfId="26748"/>
    <cellStyle name="Обычный 7 2 2 11 2" xfId="26749"/>
    <cellStyle name="Обычный 7 2 2 12" xfId="26750"/>
    <cellStyle name="Обычный 7 2 2 13" xfId="26751"/>
    <cellStyle name="Обычный 7 2 2 2" xfId="26752"/>
    <cellStyle name="Обычный 7 2 2 2 10" xfId="26753"/>
    <cellStyle name="Обычный 7 2 2 2 2" xfId="26754"/>
    <cellStyle name="Обычный 7 2 2 2 2 2" xfId="26755"/>
    <cellStyle name="Обычный 7 2 2 2 2 2 2" xfId="26756"/>
    <cellStyle name="Обычный 7 2 2 2 2 2 2 2" xfId="26757"/>
    <cellStyle name="Обычный 7 2 2 2 2 2 2 2 2" xfId="26758"/>
    <cellStyle name="Обычный 7 2 2 2 2 2 2 2 2 2" xfId="26759"/>
    <cellStyle name="Обычный 7 2 2 2 2 2 2 2 2 3" xfId="26760"/>
    <cellStyle name="Обычный 7 2 2 2 2 2 2 2 3" xfId="26761"/>
    <cellStyle name="Обычный 7 2 2 2 2 2 2 2 3 2" xfId="26762"/>
    <cellStyle name="Обычный 7 2 2 2 2 2 2 2 3 3" xfId="26763"/>
    <cellStyle name="Обычный 7 2 2 2 2 2 2 2 4" xfId="26764"/>
    <cellStyle name="Обычный 7 2 2 2 2 2 2 2 4 2" xfId="26765"/>
    <cellStyle name="Обычный 7 2 2 2 2 2 2 2 5" xfId="26766"/>
    <cellStyle name="Обычный 7 2 2 2 2 2 2 2 6" xfId="26767"/>
    <cellStyle name="Обычный 7 2 2 2 2 2 2 3" xfId="26768"/>
    <cellStyle name="Обычный 7 2 2 2 2 2 2 3 2" xfId="26769"/>
    <cellStyle name="Обычный 7 2 2 2 2 2 2 3 3" xfId="26770"/>
    <cellStyle name="Обычный 7 2 2 2 2 2 2 4" xfId="26771"/>
    <cellStyle name="Обычный 7 2 2 2 2 2 2 4 2" xfId="26772"/>
    <cellStyle name="Обычный 7 2 2 2 2 2 2 4 3" xfId="26773"/>
    <cellStyle name="Обычный 7 2 2 2 2 2 2 5" xfId="26774"/>
    <cellStyle name="Обычный 7 2 2 2 2 2 2 5 2" xfId="26775"/>
    <cellStyle name="Обычный 7 2 2 2 2 2 2 6" xfId="26776"/>
    <cellStyle name="Обычный 7 2 2 2 2 2 2 7" xfId="26777"/>
    <cellStyle name="Обычный 7 2 2 2 2 2 3" xfId="26778"/>
    <cellStyle name="Обычный 7 2 2 2 2 2 3 2" xfId="26779"/>
    <cellStyle name="Обычный 7 2 2 2 2 2 3 2 2" xfId="26780"/>
    <cellStyle name="Обычный 7 2 2 2 2 2 3 2 3" xfId="26781"/>
    <cellStyle name="Обычный 7 2 2 2 2 2 3 3" xfId="26782"/>
    <cellStyle name="Обычный 7 2 2 2 2 2 3 3 2" xfId="26783"/>
    <cellStyle name="Обычный 7 2 2 2 2 2 3 3 3" xfId="26784"/>
    <cellStyle name="Обычный 7 2 2 2 2 2 3 4" xfId="26785"/>
    <cellStyle name="Обычный 7 2 2 2 2 2 3 4 2" xfId="26786"/>
    <cellStyle name="Обычный 7 2 2 2 2 2 3 5" xfId="26787"/>
    <cellStyle name="Обычный 7 2 2 2 2 2 3 6" xfId="26788"/>
    <cellStyle name="Обычный 7 2 2 2 2 2 4" xfId="26789"/>
    <cellStyle name="Обычный 7 2 2 2 2 2 4 2" xfId="26790"/>
    <cellStyle name="Обычный 7 2 2 2 2 2 4 3" xfId="26791"/>
    <cellStyle name="Обычный 7 2 2 2 2 2 5" xfId="26792"/>
    <cellStyle name="Обычный 7 2 2 2 2 2 5 2" xfId="26793"/>
    <cellStyle name="Обычный 7 2 2 2 2 2 5 3" xfId="26794"/>
    <cellStyle name="Обычный 7 2 2 2 2 2 6" xfId="26795"/>
    <cellStyle name="Обычный 7 2 2 2 2 2 6 2" xfId="26796"/>
    <cellStyle name="Обычный 7 2 2 2 2 2 7" xfId="26797"/>
    <cellStyle name="Обычный 7 2 2 2 2 2 8" xfId="26798"/>
    <cellStyle name="Обычный 7 2 2 2 2 3" xfId="26799"/>
    <cellStyle name="Обычный 7 2 2 2 2 3 2" xfId="26800"/>
    <cellStyle name="Обычный 7 2 2 2 2 3 2 2" xfId="26801"/>
    <cellStyle name="Обычный 7 2 2 2 2 3 2 2 2" xfId="26802"/>
    <cellStyle name="Обычный 7 2 2 2 2 3 2 2 3" xfId="26803"/>
    <cellStyle name="Обычный 7 2 2 2 2 3 2 3" xfId="26804"/>
    <cellStyle name="Обычный 7 2 2 2 2 3 2 3 2" xfId="26805"/>
    <cellStyle name="Обычный 7 2 2 2 2 3 2 3 3" xfId="26806"/>
    <cellStyle name="Обычный 7 2 2 2 2 3 2 4" xfId="26807"/>
    <cellStyle name="Обычный 7 2 2 2 2 3 2 4 2" xfId="26808"/>
    <cellStyle name="Обычный 7 2 2 2 2 3 2 5" xfId="26809"/>
    <cellStyle name="Обычный 7 2 2 2 2 3 2 6" xfId="26810"/>
    <cellStyle name="Обычный 7 2 2 2 2 3 3" xfId="26811"/>
    <cellStyle name="Обычный 7 2 2 2 2 3 3 2" xfId="26812"/>
    <cellStyle name="Обычный 7 2 2 2 2 3 3 3" xfId="26813"/>
    <cellStyle name="Обычный 7 2 2 2 2 3 4" xfId="26814"/>
    <cellStyle name="Обычный 7 2 2 2 2 3 4 2" xfId="26815"/>
    <cellStyle name="Обычный 7 2 2 2 2 3 4 3" xfId="26816"/>
    <cellStyle name="Обычный 7 2 2 2 2 3 5" xfId="26817"/>
    <cellStyle name="Обычный 7 2 2 2 2 3 5 2" xfId="26818"/>
    <cellStyle name="Обычный 7 2 2 2 2 3 6" xfId="26819"/>
    <cellStyle name="Обычный 7 2 2 2 2 3 7" xfId="26820"/>
    <cellStyle name="Обычный 7 2 2 2 2 4" xfId="26821"/>
    <cellStyle name="Обычный 7 2 2 2 2 4 2" xfId="26822"/>
    <cellStyle name="Обычный 7 2 2 2 2 4 2 2" xfId="26823"/>
    <cellStyle name="Обычный 7 2 2 2 2 4 2 3" xfId="26824"/>
    <cellStyle name="Обычный 7 2 2 2 2 4 3" xfId="26825"/>
    <cellStyle name="Обычный 7 2 2 2 2 4 3 2" xfId="26826"/>
    <cellStyle name="Обычный 7 2 2 2 2 4 3 3" xfId="26827"/>
    <cellStyle name="Обычный 7 2 2 2 2 4 4" xfId="26828"/>
    <cellStyle name="Обычный 7 2 2 2 2 4 4 2" xfId="26829"/>
    <cellStyle name="Обычный 7 2 2 2 2 4 5" xfId="26830"/>
    <cellStyle name="Обычный 7 2 2 2 2 4 6" xfId="26831"/>
    <cellStyle name="Обычный 7 2 2 2 2 5" xfId="26832"/>
    <cellStyle name="Обычный 7 2 2 2 2 5 2" xfId="26833"/>
    <cellStyle name="Обычный 7 2 2 2 2 5 3" xfId="26834"/>
    <cellStyle name="Обычный 7 2 2 2 2 6" xfId="26835"/>
    <cellStyle name="Обычный 7 2 2 2 2 6 2" xfId="26836"/>
    <cellStyle name="Обычный 7 2 2 2 2 6 3" xfId="26837"/>
    <cellStyle name="Обычный 7 2 2 2 2 7" xfId="26838"/>
    <cellStyle name="Обычный 7 2 2 2 2 7 2" xfId="26839"/>
    <cellStyle name="Обычный 7 2 2 2 2 8" xfId="26840"/>
    <cellStyle name="Обычный 7 2 2 2 2 9" xfId="26841"/>
    <cellStyle name="Обычный 7 2 2 2 3" xfId="26842"/>
    <cellStyle name="Обычный 7 2 2 2 3 2" xfId="26843"/>
    <cellStyle name="Обычный 7 2 2 2 3 2 2" xfId="26844"/>
    <cellStyle name="Обычный 7 2 2 2 3 2 2 2" xfId="26845"/>
    <cellStyle name="Обычный 7 2 2 2 3 2 2 2 2" xfId="26846"/>
    <cellStyle name="Обычный 7 2 2 2 3 2 2 2 3" xfId="26847"/>
    <cellStyle name="Обычный 7 2 2 2 3 2 2 3" xfId="26848"/>
    <cellStyle name="Обычный 7 2 2 2 3 2 2 3 2" xfId="26849"/>
    <cellStyle name="Обычный 7 2 2 2 3 2 2 3 3" xfId="26850"/>
    <cellStyle name="Обычный 7 2 2 2 3 2 2 4" xfId="26851"/>
    <cellStyle name="Обычный 7 2 2 2 3 2 2 4 2" xfId="26852"/>
    <cellStyle name="Обычный 7 2 2 2 3 2 2 5" xfId="26853"/>
    <cellStyle name="Обычный 7 2 2 2 3 2 2 6" xfId="26854"/>
    <cellStyle name="Обычный 7 2 2 2 3 2 3" xfId="26855"/>
    <cellStyle name="Обычный 7 2 2 2 3 2 3 2" xfId="26856"/>
    <cellStyle name="Обычный 7 2 2 2 3 2 3 3" xfId="26857"/>
    <cellStyle name="Обычный 7 2 2 2 3 2 4" xfId="26858"/>
    <cellStyle name="Обычный 7 2 2 2 3 2 4 2" xfId="26859"/>
    <cellStyle name="Обычный 7 2 2 2 3 2 4 3" xfId="26860"/>
    <cellStyle name="Обычный 7 2 2 2 3 2 5" xfId="26861"/>
    <cellStyle name="Обычный 7 2 2 2 3 2 5 2" xfId="26862"/>
    <cellStyle name="Обычный 7 2 2 2 3 2 6" xfId="26863"/>
    <cellStyle name="Обычный 7 2 2 2 3 2 7" xfId="26864"/>
    <cellStyle name="Обычный 7 2 2 2 3 3" xfId="26865"/>
    <cellStyle name="Обычный 7 2 2 2 3 3 2" xfId="26866"/>
    <cellStyle name="Обычный 7 2 2 2 3 3 2 2" xfId="26867"/>
    <cellStyle name="Обычный 7 2 2 2 3 3 2 3" xfId="26868"/>
    <cellStyle name="Обычный 7 2 2 2 3 3 3" xfId="26869"/>
    <cellStyle name="Обычный 7 2 2 2 3 3 3 2" xfId="26870"/>
    <cellStyle name="Обычный 7 2 2 2 3 3 3 3" xfId="26871"/>
    <cellStyle name="Обычный 7 2 2 2 3 3 4" xfId="26872"/>
    <cellStyle name="Обычный 7 2 2 2 3 3 4 2" xfId="26873"/>
    <cellStyle name="Обычный 7 2 2 2 3 3 5" xfId="26874"/>
    <cellStyle name="Обычный 7 2 2 2 3 3 6" xfId="26875"/>
    <cellStyle name="Обычный 7 2 2 2 3 4" xfId="26876"/>
    <cellStyle name="Обычный 7 2 2 2 3 4 2" xfId="26877"/>
    <cellStyle name="Обычный 7 2 2 2 3 4 3" xfId="26878"/>
    <cellStyle name="Обычный 7 2 2 2 3 5" xfId="26879"/>
    <cellStyle name="Обычный 7 2 2 2 3 5 2" xfId="26880"/>
    <cellStyle name="Обычный 7 2 2 2 3 5 3" xfId="26881"/>
    <cellStyle name="Обычный 7 2 2 2 3 6" xfId="26882"/>
    <cellStyle name="Обычный 7 2 2 2 3 6 2" xfId="26883"/>
    <cellStyle name="Обычный 7 2 2 2 3 7" xfId="26884"/>
    <cellStyle name="Обычный 7 2 2 2 3 8" xfId="26885"/>
    <cellStyle name="Обычный 7 2 2 2 4" xfId="26886"/>
    <cellStyle name="Обычный 7 2 2 2 4 2" xfId="26887"/>
    <cellStyle name="Обычный 7 2 2 2 4 2 2" xfId="26888"/>
    <cellStyle name="Обычный 7 2 2 2 4 2 2 2" xfId="26889"/>
    <cellStyle name="Обычный 7 2 2 2 4 2 2 3" xfId="26890"/>
    <cellStyle name="Обычный 7 2 2 2 4 2 3" xfId="26891"/>
    <cellStyle name="Обычный 7 2 2 2 4 2 3 2" xfId="26892"/>
    <cellStyle name="Обычный 7 2 2 2 4 2 3 3" xfId="26893"/>
    <cellStyle name="Обычный 7 2 2 2 4 2 4" xfId="26894"/>
    <cellStyle name="Обычный 7 2 2 2 4 2 4 2" xfId="26895"/>
    <cellStyle name="Обычный 7 2 2 2 4 2 5" xfId="26896"/>
    <cellStyle name="Обычный 7 2 2 2 4 2 6" xfId="26897"/>
    <cellStyle name="Обычный 7 2 2 2 4 3" xfId="26898"/>
    <cellStyle name="Обычный 7 2 2 2 4 3 2" xfId="26899"/>
    <cellStyle name="Обычный 7 2 2 2 4 3 3" xfId="26900"/>
    <cellStyle name="Обычный 7 2 2 2 4 4" xfId="26901"/>
    <cellStyle name="Обычный 7 2 2 2 4 4 2" xfId="26902"/>
    <cellStyle name="Обычный 7 2 2 2 4 4 3" xfId="26903"/>
    <cellStyle name="Обычный 7 2 2 2 4 5" xfId="26904"/>
    <cellStyle name="Обычный 7 2 2 2 4 5 2" xfId="26905"/>
    <cellStyle name="Обычный 7 2 2 2 4 6" xfId="26906"/>
    <cellStyle name="Обычный 7 2 2 2 4 7" xfId="26907"/>
    <cellStyle name="Обычный 7 2 2 2 5" xfId="26908"/>
    <cellStyle name="Обычный 7 2 2 2 5 2" xfId="26909"/>
    <cellStyle name="Обычный 7 2 2 2 5 2 2" xfId="26910"/>
    <cellStyle name="Обычный 7 2 2 2 5 2 3" xfId="26911"/>
    <cellStyle name="Обычный 7 2 2 2 5 3" xfId="26912"/>
    <cellStyle name="Обычный 7 2 2 2 5 3 2" xfId="26913"/>
    <cellStyle name="Обычный 7 2 2 2 5 3 3" xfId="26914"/>
    <cellStyle name="Обычный 7 2 2 2 5 4" xfId="26915"/>
    <cellStyle name="Обычный 7 2 2 2 5 4 2" xfId="26916"/>
    <cellStyle name="Обычный 7 2 2 2 5 5" xfId="26917"/>
    <cellStyle name="Обычный 7 2 2 2 5 6" xfId="26918"/>
    <cellStyle name="Обычный 7 2 2 2 6" xfId="26919"/>
    <cellStyle name="Обычный 7 2 2 2 6 2" xfId="26920"/>
    <cellStyle name="Обычный 7 2 2 2 6 3" xfId="26921"/>
    <cellStyle name="Обычный 7 2 2 2 7" xfId="26922"/>
    <cellStyle name="Обычный 7 2 2 2 7 2" xfId="26923"/>
    <cellStyle name="Обычный 7 2 2 2 7 3" xfId="26924"/>
    <cellStyle name="Обычный 7 2 2 2 8" xfId="26925"/>
    <cellStyle name="Обычный 7 2 2 2 8 2" xfId="26926"/>
    <cellStyle name="Обычный 7 2 2 2 9" xfId="26927"/>
    <cellStyle name="Обычный 7 2 2 3" xfId="26928"/>
    <cellStyle name="Обычный 7 2 2 3 10" xfId="26929"/>
    <cellStyle name="Обычный 7 2 2 3 2" xfId="26930"/>
    <cellStyle name="Обычный 7 2 2 3 2 2" xfId="26931"/>
    <cellStyle name="Обычный 7 2 2 3 2 2 2" xfId="26932"/>
    <cellStyle name="Обычный 7 2 2 3 2 2 2 2" xfId="26933"/>
    <cellStyle name="Обычный 7 2 2 3 2 2 2 2 2" xfId="26934"/>
    <cellStyle name="Обычный 7 2 2 3 2 2 2 2 2 2" xfId="26935"/>
    <cellStyle name="Обычный 7 2 2 3 2 2 2 2 2 3" xfId="26936"/>
    <cellStyle name="Обычный 7 2 2 3 2 2 2 2 3" xfId="26937"/>
    <cellStyle name="Обычный 7 2 2 3 2 2 2 2 3 2" xfId="26938"/>
    <cellStyle name="Обычный 7 2 2 3 2 2 2 2 3 3" xfId="26939"/>
    <cellStyle name="Обычный 7 2 2 3 2 2 2 2 4" xfId="26940"/>
    <cellStyle name="Обычный 7 2 2 3 2 2 2 2 4 2" xfId="26941"/>
    <cellStyle name="Обычный 7 2 2 3 2 2 2 2 5" xfId="26942"/>
    <cellStyle name="Обычный 7 2 2 3 2 2 2 2 6" xfId="26943"/>
    <cellStyle name="Обычный 7 2 2 3 2 2 2 3" xfId="26944"/>
    <cellStyle name="Обычный 7 2 2 3 2 2 2 3 2" xfId="26945"/>
    <cellStyle name="Обычный 7 2 2 3 2 2 2 3 3" xfId="26946"/>
    <cellStyle name="Обычный 7 2 2 3 2 2 2 4" xfId="26947"/>
    <cellStyle name="Обычный 7 2 2 3 2 2 2 4 2" xfId="26948"/>
    <cellStyle name="Обычный 7 2 2 3 2 2 2 4 3" xfId="26949"/>
    <cellStyle name="Обычный 7 2 2 3 2 2 2 5" xfId="26950"/>
    <cellStyle name="Обычный 7 2 2 3 2 2 2 5 2" xfId="26951"/>
    <cellStyle name="Обычный 7 2 2 3 2 2 2 6" xfId="26952"/>
    <cellStyle name="Обычный 7 2 2 3 2 2 2 7" xfId="26953"/>
    <cellStyle name="Обычный 7 2 2 3 2 2 3" xfId="26954"/>
    <cellStyle name="Обычный 7 2 2 3 2 2 3 2" xfId="26955"/>
    <cellStyle name="Обычный 7 2 2 3 2 2 3 2 2" xfId="26956"/>
    <cellStyle name="Обычный 7 2 2 3 2 2 3 2 3" xfId="26957"/>
    <cellStyle name="Обычный 7 2 2 3 2 2 3 3" xfId="26958"/>
    <cellStyle name="Обычный 7 2 2 3 2 2 3 3 2" xfId="26959"/>
    <cellStyle name="Обычный 7 2 2 3 2 2 3 3 3" xfId="26960"/>
    <cellStyle name="Обычный 7 2 2 3 2 2 3 4" xfId="26961"/>
    <cellStyle name="Обычный 7 2 2 3 2 2 3 4 2" xfId="26962"/>
    <cellStyle name="Обычный 7 2 2 3 2 2 3 5" xfId="26963"/>
    <cellStyle name="Обычный 7 2 2 3 2 2 3 6" xfId="26964"/>
    <cellStyle name="Обычный 7 2 2 3 2 2 4" xfId="26965"/>
    <cellStyle name="Обычный 7 2 2 3 2 2 4 2" xfId="26966"/>
    <cellStyle name="Обычный 7 2 2 3 2 2 4 3" xfId="26967"/>
    <cellStyle name="Обычный 7 2 2 3 2 2 5" xfId="26968"/>
    <cellStyle name="Обычный 7 2 2 3 2 2 5 2" xfId="26969"/>
    <cellStyle name="Обычный 7 2 2 3 2 2 5 3" xfId="26970"/>
    <cellStyle name="Обычный 7 2 2 3 2 2 6" xfId="26971"/>
    <cellStyle name="Обычный 7 2 2 3 2 2 6 2" xfId="26972"/>
    <cellStyle name="Обычный 7 2 2 3 2 2 7" xfId="26973"/>
    <cellStyle name="Обычный 7 2 2 3 2 2 8" xfId="26974"/>
    <cellStyle name="Обычный 7 2 2 3 2 3" xfId="26975"/>
    <cellStyle name="Обычный 7 2 2 3 2 3 2" xfId="26976"/>
    <cellStyle name="Обычный 7 2 2 3 2 3 2 2" xfId="26977"/>
    <cellStyle name="Обычный 7 2 2 3 2 3 2 2 2" xfId="26978"/>
    <cellStyle name="Обычный 7 2 2 3 2 3 2 2 3" xfId="26979"/>
    <cellStyle name="Обычный 7 2 2 3 2 3 2 3" xfId="26980"/>
    <cellStyle name="Обычный 7 2 2 3 2 3 2 3 2" xfId="26981"/>
    <cellStyle name="Обычный 7 2 2 3 2 3 2 3 3" xfId="26982"/>
    <cellStyle name="Обычный 7 2 2 3 2 3 2 4" xfId="26983"/>
    <cellStyle name="Обычный 7 2 2 3 2 3 2 4 2" xfId="26984"/>
    <cellStyle name="Обычный 7 2 2 3 2 3 2 5" xfId="26985"/>
    <cellStyle name="Обычный 7 2 2 3 2 3 2 6" xfId="26986"/>
    <cellStyle name="Обычный 7 2 2 3 2 3 3" xfId="26987"/>
    <cellStyle name="Обычный 7 2 2 3 2 3 3 2" xfId="26988"/>
    <cellStyle name="Обычный 7 2 2 3 2 3 3 3" xfId="26989"/>
    <cellStyle name="Обычный 7 2 2 3 2 3 4" xfId="26990"/>
    <cellStyle name="Обычный 7 2 2 3 2 3 4 2" xfId="26991"/>
    <cellStyle name="Обычный 7 2 2 3 2 3 4 3" xfId="26992"/>
    <cellStyle name="Обычный 7 2 2 3 2 3 5" xfId="26993"/>
    <cellStyle name="Обычный 7 2 2 3 2 3 5 2" xfId="26994"/>
    <cellStyle name="Обычный 7 2 2 3 2 3 6" xfId="26995"/>
    <cellStyle name="Обычный 7 2 2 3 2 3 7" xfId="26996"/>
    <cellStyle name="Обычный 7 2 2 3 2 4" xfId="26997"/>
    <cellStyle name="Обычный 7 2 2 3 2 4 2" xfId="26998"/>
    <cellStyle name="Обычный 7 2 2 3 2 4 2 2" xfId="26999"/>
    <cellStyle name="Обычный 7 2 2 3 2 4 2 3" xfId="27000"/>
    <cellStyle name="Обычный 7 2 2 3 2 4 3" xfId="27001"/>
    <cellStyle name="Обычный 7 2 2 3 2 4 3 2" xfId="27002"/>
    <cellStyle name="Обычный 7 2 2 3 2 4 3 3" xfId="27003"/>
    <cellStyle name="Обычный 7 2 2 3 2 4 4" xfId="27004"/>
    <cellStyle name="Обычный 7 2 2 3 2 4 4 2" xfId="27005"/>
    <cellStyle name="Обычный 7 2 2 3 2 4 5" xfId="27006"/>
    <cellStyle name="Обычный 7 2 2 3 2 4 6" xfId="27007"/>
    <cellStyle name="Обычный 7 2 2 3 2 5" xfId="27008"/>
    <cellStyle name="Обычный 7 2 2 3 2 5 2" xfId="27009"/>
    <cellStyle name="Обычный 7 2 2 3 2 5 3" xfId="27010"/>
    <cellStyle name="Обычный 7 2 2 3 2 6" xfId="27011"/>
    <cellStyle name="Обычный 7 2 2 3 2 6 2" xfId="27012"/>
    <cellStyle name="Обычный 7 2 2 3 2 6 3" xfId="27013"/>
    <cellStyle name="Обычный 7 2 2 3 2 7" xfId="27014"/>
    <cellStyle name="Обычный 7 2 2 3 2 7 2" xfId="27015"/>
    <cellStyle name="Обычный 7 2 2 3 2 8" xfId="27016"/>
    <cellStyle name="Обычный 7 2 2 3 2 9" xfId="27017"/>
    <cellStyle name="Обычный 7 2 2 3 3" xfId="27018"/>
    <cellStyle name="Обычный 7 2 2 3 3 2" xfId="27019"/>
    <cellStyle name="Обычный 7 2 2 3 3 2 2" xfId="27020"/>
    <cellStyle name="Обычный 7 2 2 3 3 2 2 2" xfId="27021"/>
    <cellStyle name="Обычный 7 2 2 3 3 2 2 2 2" xfId="27022"/>
    <cellStyle name="Обычный 7 2 2 3 3 2 2 2 3" xfId="27023"/>
    <cellStyle name="Обычный 7 2 2 3 3 2 2 3" xfId="27024"/>
    <cellStyle name="Обычный 7 2 2 3 3 2 2 3 2" xfId="27025"/>
    <cellStyle name="Обычный 7 2 2 3 3 2 2 3 3" xfId="27026"/>
    <cellStyle name="Обычный 7 2 2 3 3 2 2 4" xfId="27027"/>
    <cellStyle name="Обычный 7 2 2 3 3 2 2 4 2" xfId="27028"/>
    <cellStyle name="Обычный 7 2 2 3 3 2 2 5" xfId="27029"/>
    <cellStyle name="Обычный 7 2 2 3 3 2 2 6" xfId="27030"/>
    <cellStyle name="Обычный 7 2 2 3 3 2 3" xfId="27031"/>
    <cellStyle name="Обычный 7 2 2 3 3 2 3 2" xfId="27032"/>
    <cellStyle name="Обычный 7 2 2 3 3 2 3 3" xfId="27033"/>
    <cellStyle name="Обычный 7 2 2 3 3 2 4" xfId="27034"/>
    <cellStyle name="Обычный 7 2 2 3 3 2 4 2" xfId="27035"/>
    <cellStyle name="Обычный 7 2 2 3 3 2 4 3" xfId="27036"/>
    <cellStyle name="Обычный 7 2 2 3 3 2 5" xfId="27037"/>
    <cellStyle name="Обычный 7 2 2 3 3 2 5 2" xfId="27038"/>
    <cellStyle name="Обычный 7 2 2 3 3 2 6" xfId="27039"/>
    <cellStyle name="Обычный 7 2 2 3 3 2 7" xfId="27040"/>
    <cellStyle name="Обычный 7 2 2 3 3 3" xfId="27041"/>
    <cellStyle name="Обычный 7 2 2 3 3 3 2" xfId="27042"/>
    <cellStyle name="Обычный 7 2 2 3 3 3 2 2" xfId="27043"/>
    <cellStyle name="Обычный 7 2 2 3 3 3 2 3" xfId="27044"/>
    <cellStyle name="Обычный 7 2 2 3 3 3 3" xfId="27045"/>
    <cellStyle name="Обычный 7 2 2 3 3 3 3 2" xfId="27046"/>
    <cellStyle name="Обычный 7 2 2 3 3 3 3 3" xfId="27047"/>
    <cellStyle name="Обычный 7 2 2 3 3 3 4" xfId="27048"/>
    <cellStyle name="Обычный 7 2 2 3 3 3 4 2" xfId="27049"/>
    <cellStyle name="Обычный 7 2 2 3 3 3 5" xfId="27050"/>
    <cellStyle name="Обычный 7 2 2 3 3 3 6" xfId="27051"/>
    <cellStyle name="Обычный 7 2 2 3 3 4" xfId="27052"/>
    <cellStyle name="Обычный 7 2 2 3 3 4 2" xfId="27053"/>
    <cellStyle name="Обычный 7 2 2 3 3 4 3" xfId="27054"/>
    <cellStyle name="Обычный 7 2 2 3 3 5" xfId="27055"/>
    <cellStyle name="Обычный 7 2 2 3 3 5 2" xfId="27056"/>
    <cellStyle name="Обычный 7 2 2 3 3 5 3" xfId="27057"/>
    <cellStyle name="Обычный 7 2 2 3 3 6" xfId="27058"/>
    <cellStyle name="Обычный 7 2 2 3 3 6 2" xfId="27059"/>
    <cellStyle name="Обычный 7 2 2 3 3 7" xfId="27060"/>
    <cellStyle name="Обычный 7 2 2 3 3 8" xfId="27061"/>
    <cellStyle name="Обычный 7 2 2 3 4" xfId="27062"/>
    <cellStyle name="Обычный 7 2 2 3 4 2" xfId="27063"/>
    <cellStyle name="Обычный 7 2 2 3 4 2 2" xfId="27064"/>
    <cellStyle name="Обычный 7 2 2 3 4 2 2 2" xfId="27065"/>
    <cellStyle name="Обычный 7 2 2 3 4 2 2 3" xfId="27066"/>
    <cellStyle name="Обычный 7 2 2 3 4 2 3" xfId="27067"/>
    <cellStyle name="Обычный 7 2 2 3 4 2 3 2" xfId="27068"/>
    <cellStyle name="Обычный 7 2 2 3 4 2 3 3" xfId="27069"/>
    <cellStyle name="Обычный 7 2 2 3 4 2 4" xfId="27070"/>
    <cellStyle name="Обычный 7 2 2 3 4 2 4 2" xfId="27071"/>
    <cellStyle name="Обычный 7 2 2 3 4 2 5" xfId="27072"/>
    <cellStyle name="Обычный 7 2 2 3 4 2 6" xfId="27073"/>
    <cellStyle name="Обычный 7 2 2 3 4 3" xfId="27074"/>
    <cellStyle name="Обычный 7 2 2 3 4 3 2" xfId="27075"/>
    <cellStyle name="Обычный 7 2 2 3 4 3 3" xfId="27076"/>
    <cellStyle name="Обычный 7 2 2 3 4 4" xfId="27077"/>
    <cellStyle name="Обычный 7 2 2 3 4 4 2" xfId="27078"/>
    <cellStyle name="Обычный 7 2 2 3 4 4 3" xfId="27079"/>
    <cellStyle name="Обычный 7 2 2 3 4 5" xfId="27080"/>
    <cellStyle name="Обычный 7 2 2 3 4 5 2" xfId="27081"/>
    <cellStyle name="Обычный 7 2 2 3 4 6" xfId="27082"/>
    <cellStyle name="Обычный 7 2 2 3 4 7" xfId="27083"/>
    <cellStyle name="Обычный 7 2 2 3 5" xfId="27084"/>
    <cellStyle name="Обычный 7 2 2 3 5 2" xfId="27085"/>
    <cellStyle name="Обычный 7 2 2 3 5 2 2" xfId="27086"/>
    <cellStyle name="Обычный 7 2 2 3 5 2 3" xfId="27087"/>
    <cellStyle name="Обычный 7 2 2 3 5 3" xfId="27088"/>
    <cellStyle name="Обычный 7 2 2 3 5 3 2" xfId="27089"/>
    <cellStyle name="Обычный 7 2 2 3 5 3 3" xfId="27090"/>
    <cellStyle name="Обычный 7 2 2 3 5 4" xfId="27091"/>
    <cellStyle name="Обычный 7 2 2 3 5 4 2" xfId="27092"/>
    <cellStyle name="Обычный 7 2 2 3 5 5" xfId="27093"/>
    <cellStyle name="Обычный 7 2 2 3 5 6" xfId="27094"/>
    <cellStyle name="Обычный 7 2 2 3 6" xfId="27095"/>
    <cellStyle name="Обычный 7 2 2 3 6 2" xfId="27096"/>
    <cellStyle name="Обычный 7 2 2 3 6 3" xfId="27097"/>
    <cellStyle name="Обычный 7 2 2 3 7" xfId="27098"/>
    <cellStyle name="Обычный 7 2 2 3 7 2" xfId="27099"/>
    <cellStyle name="Обычный 7 2 2 3 7 3" xfId="27100"/>
    <cellStyle name="Обычный 7 2 2 3 8" xfId="27101"/>
    <cellStyle name="Обычный 7 2 2 3 8 2" xfId="27102"/>
    <cellStyle name="Обычный 7 2 2 3 9" xfId="27103"/>
    <cellStyle name="Обычный 7 2 2 4" xfId="27104"/>
    <cellStyle name="Обычный 7 2 2 4 10" xfId="27105"/>
    <cellStyle name="Обычный 7 2 2 4 2" xfId="27106"/>
    <cellStyle name="Обычный 7 2 2 4 2 2" xfId="27107"/>
    <cellStyle name="Обычный 7 2 2 4 2 2 2" xfId="27108"/>
    <cellStyle name="Обычный 7 2 2 4 2 2 2 2" xfId="27109"/>
    <cellStyle name="Обычный 7 2 2 4 2 2 2 2 2" xfId="27110"/>
    <cellStyle name="Обычный 7 2 2 4 2 2 2 2 2 2" xfId="27111"/>
    <cellStyle name="Обычный 7 2 2 4 2 2 2 2 2 3" xfId="27112"/>
    <cellStyle name="Обычный 7 2 2 4 2 2 2 2 3" xfId="27113"/>
    <cellStyle name="Обычный 7 2 2 4 2 2 2 2 3 2" xfId="27114"/>
    <cellStyle name="Обычный 7 2 2 4 2 2 2 2 3 3" xfId="27115"/>
    <cellStyle name="Обычный 7 2 2 4 2 2 2 2 4" xfId="27116"/>
    <cellStyle name="Обычный 7 2 2 4 2 2 2 2 4 2" xfId="27117"/>
    <cellStyle name="Обычный 7 2 2 4 2 2 2 2 5" xfId="27118"/>
    <cellStyle name="Обычный 7 2 2 4 2 2 2 2 6" xfId="27119"/>
    <cellStyle name="Обычный 7 2 2 4 2 2 2 3" xfId="27120"/>
    <cellStyle name="Обычный 7 2 2 4 2 2 2 3 2" xfId="27121"/>
    <cellStyle name="Обычный 7 2 2 4 2 2 2 3 3" xfId="27122"/>
    <cellStyle name="Обычный 7 2 2 4 2 2 2 4" xfId="27123"/>
    <cellStyle name="Обычный 7 2 2 4 2 2 2 4 2" xfId="27124"/>
    <cellStyle name="Обычный 7 2 2 4 2 2 2 4 3" xfId="27125"/>
    <cellStyle name="Обычный 7 2 2 4 2 2 2 5" xfId="27126"/>
    <cellStyle name="Обычный 7 2 2 4 2 2 2 5 2" xfId="27127"/>
    <cellStyle name="Обычный 7 2 2 4 2 2 2 6" xfId="27128"/>
    <cellStyle name="Обычный 7 2 2 4 2 2 2 7" xfId="27129"/>
    <cellStyle name="Обычный 7 2 2 4 2 2 3" xfId="27130"/>
    <cellStyle name="Обычный 7 2 2 4 2 2 3 2" xfId="27131"/>
    <cellStyle name="Обычный 7 2 2 4 2 2 3 2 2" xfId="27132"/>
    <cellStyle name="Обычный 7 2 2 4 2 2 3 2 3" xfId="27133"/>
    <cellStyle name="Обычный 7 2 2 4 2 2 3 3" xfId="27134"/>
    <cellStyle name="Обычный 7 2 2 4 2 2 3 3 2" xfId="27135"/>
    <cellStyle name="Обычный 7 2 2 4 2 2 3 3 3" xfId="27136"/>
    <cellStyle name="Обычный 7 2 2 4 2 2 3 4" xfId="27137"/>
    <cellStyle name="Обычный 7 2 2 4 2 2 3 4 2" xfId="27138"/>
    <cellStyle name="Обычный 7 2 2 4 2 2 3 5" xfId="27139"/>
    <cellStyle name="Обычный 7 2 2 4 2 2 3 6" xfId="27140"/>
    <cellStyle name="Обычный 7 2 2 4 2 2 4" xfId="27141"/>
    <cellStyle name="Обычный 7 2 2 4 2 2 4 2" xfId="27142"/>
    <cellStyle name="Обычный 7 2 2 4 2 2 4 3" xfId="27143"/>
    <cellStyle name="Обычный 7 2 2 4 2 2 5" xfId="27144"/>
    <cellStyle name="Обычный 7 2 2 4 2 2 5 2" xfId="27145"/>
    <cellStyle name="Обычный 7 2 2 4 2 2 5 3" xfId="27146"/>
    <cellStyle name="Обычный 7 2 2 4 2 2 6" xfId="27147"/>
    <cellStyle name="Обычный 7 2 2 4 2 2 6 2" xfId="27148"/>
    <cellStyle name="Обычный 7 2 2 4 2 2 7" xfId="27149"/>
    <cellStyle name="Обычный 7 2 2 4 2 2 8" xfId="27150"/>
    <cellStyle name="Обычный 7 2 2 4 2 3" xfId="27151"/>
    <cellStyle name="Обычный 7 2 2 4 2 3 2" xfId="27152"/>
    <cellStyle name="Обычный 7 2 2 4 2 3 2 2" xfId="27153"/>
    <cellStyle name="Обычный 7 2 2 4 2 3 2 2 2" xfId="27154"/>
    <cellStyle name="Обычный 7 2 2 4 2 3 2 2 3" xfId="27155"/>
    <cellStyle name="Обычный 7 2 2 4 2 3 2 3" xfId="27156"/>
    <cellStyle name="Обычный 7 2 2 4 2 3 2 3 2" xfId="27157"/>
    <cellStyle name="Обычный 7 2 2 4 2 3 2 3 3" xfId="27158"/>
    <cellStyle name="Обычный 7 2 2 4 2 3 2 4" xfId="27159"/>
    <cellStyle name="Обычный 7 2 2 4 2 3 2 4 2" xfId="27160"/>
    <cellStyle name="Обычный 7 2 2 4 2 3 2 5" xfId="27161"/>
    <cellStyle name="Обычный 7 2 2 4 2 3 2 6" xfId="27162"/>
    <cellStyle name="Обычный 7 2 2 4 2 3 3" xfId="27163"/>
    <cellStyle name="Обычный 7 2 2 4 2 3 3 2" xfId="27164"/>
    <cellStyle name="Обычный 7 2 2 4 2 3 3 3" xfId="27165"/>
    <cellStyle name="Обычный 7 2 2 4 2 3 4" xfId="27166"/>
    <cellStyle name="Обычный 7 2 2 4 2 3 4 2" xfId="27167"/>
    <cellStyle name="Обычный 7 2 2 4 2 3 4 3" xfId="27168"/>
    <cellStyle name="Обычный 7 2 2 4 2 3 5" xfId="27169"/>
    <cellStyle name="Обычный 7 2 2 4 2 3 5 2" xfId="27170"/>
    <cellStyle name="Обычный 7 2 2 4 2 3 6" xfId="27171"/>
    <cellStyle name="Обычный 7 2 2 4 2 3 7" xfId="27172"/>
    <cellStyle name="Обычный 7 2 2 4 2 4" xfId="27173"/>
    <cellStyle name="Обычный 7 2 2 4 2 4 2" xfId="27174"/>
    <cellStyle name="Обычный 7 2 2 4 2 4 2 2" xfId="27175"/>
    <cellStyle name="Обычный 7 2 2 4 2 4 2 3" xfId="27176"/>
    <cellStyle name="Обычный 7 2 2 4 2 4 3" xfId="27177"/>
    <cellStyle name="Обычный 7 2 2 4 2 4 3 2" xfId="27178"/>
    <cellStyle name="Обычный 7 2 2 4 2 4 3 3" xfId="27179"/>
    <cellStyle name="Обычный 7 2 2 4 2 4 4" xfId="27180"/>
    <cellStyle name="Обычный 7 2 2 4 2 4 4 2" xfId="27181"/>
    <cellStyle name="Обычный 7 2 2 4 2 4 5" xfId="27182"/>
    <cellStyle name="Обычный 7 2 2 4 2 4 6" xfId="27183"/>
    <cellStyle name="Обычный 7 2 2 4 2 5" xfId="27184"/>
    <cellStyle name="Обычный 7 2 2 4 2 5 2" xfId="27185"/>
    <cellStyle name="Обычный 7 2 2 4 2 5 3" xfId="27186"/>
    <cellStyle name="Обычный 7 2 2 4 2 6" xfId="27187"/>
    <cellStyle name="Обычный 7 2 2 4 2 6 2" xfId="27188"/>
    <cellStyle name="Обычный 7 2 2 4 2 6 3" xfId="27189"/>
    <cellStyle name="Обычный 7 2 2 4 2 7" xfId="27190"/>
    <cellStyle name="Обычный 7 2 2 4 2 7 2" xfId="27191"/>
    <cellStyle name="Обычный 7 2 2 4 2 8" xfId="27192"/>
    <cellStyle name="Обычный 7 2 2 4 2 9" xfId="27193"/>
    <cellStyle name="Обычный 7 2 2 4 3" xfId="27194"/>
    <cellStyle name="Обычный 7 2 2 4 3 2" xfId="27195"/>
    <cellStyle name="Обычный 7 2 2 4 3 2 2" xfId="27196"/>
    <cellStyle name="Обычный 7 2 2 4 3 2 2 2" xfId="27197"/>
    <cellStyle name="Обычный 7 2 2 4 3 2 2 2 2" xfId="27198"/>
    <cellStyle name="Обычный 7 2 2 4 3 2 2 2 3" xfId="27199"/>
    <cellStyle name="Обычный 7 2 2 4 3 2 2 3" xfId="27200"/>
    <cellStyle name="Обычный 7 2 2 4 3 2 2 3 2" xfId="27201"/>
    <cellStyle name="Обычный 7 2 2 4 3 2 2 3 3" xfId="27202"/>
    <cellStyle name="Обычный 7 2 2 4 3 2 2 4" xfId="27203"/>
    <cellStyle name="Обычный 7 2 2 4 3 2 2 4 2" xfId="27204"/>
    <cellStyle name="Обычный 7 2 2 4 3 2 2 5" xfId="27205"/>
    <cellStyle name="Обычный 7 2 2 4 3 2 2 6" xfId="27206"/>
    <cellStyle name="Обычный 7 2 2 4 3 2 3" xfId="27207"/>
    <cellStyle name="Обычный 7 2 2 4 3 2 3 2" xfId="27208"/>
    <cellStyle name="Обычный 7 2 2 4 3 2 3 3" xfId="27209"/>
    <cellStyle name="Обычный 7 2 2 4 3 2 4" xfId="27210"/>
    <cellStyle name="Обычный 7 2 2 4 3 2 4 2" xfId="27211"/>
    <cellStyle name="Обычный 7 2 2 4 3 2 4 3" xfId="27212"/>
    <cellStyle name="Обычный 7 2 2 4 3 2 5" xfId="27213"/>
    <cellStyle name="Обычный 7 2 2 4 3 2 5 2" xfId="27214"/>
    <cellStyle name="Обычный 7 2 2 4 3 2 6" xfId="27215"/>
    <cellStyle name="Обычный 7 2 2 4 3 2 7" xfId="27216"/>
    <cellStyle name="Обычный 7 2 2 4 3 3" xfId="27217"/>
    <cellStyle name="Обычный 7 2 2 4 3 3 2" xfId="27218"/>
    <cellStyle name="Обычный 7 2 2 4 3 3 2 2" xfId="27219"/>
    <cellStyle name="Обычный 7 2 2 4 3 3 2 3" xfId="27220"/>
    <cellStyle name="Обычный 7 2 2 4 3 3 3" xfId="27221"/>
    <cellStyle name="Обычный 7 2 2 4 3 3 3 2" xfId="27222"/>
    <cellStyle name="Обычный 7 2 2 4 3 3 3 3" xfId="27223"/>
    <cellStyle name="Обычный 7 2 2 4 3 3 4" xfId="27224"/>
    <cellStyle name="Обычный 7 2 2 4 3 3 4 2" xfId="27225"/>
    <cellStyle name="Обычный 7 2 2 4 3 3 5" xfId="27226"/>
    <cellStyle name="Обычный 7 2 2 4 3 3 6" xfId="27227"/>
    <cellStyle name="Обычный 7 2 2 4 3 4" xfId="27228"/>
    <cellStyle name="Обычный 7 2 2 4 3 4 2" xfId="27229"/>
    <cellStyle name="Обычный 7 2 2 4 3 4 3" xfId="27230"/>
    <cellStyle name="Обычный 7 2 2 4 3 5" xfId="27231"/>
    <cellStyle name="Обычный 7 2 2 4 3 5 2" xfId="27232"/>
    <cellStyle name="Обычный 7 2 2 4 3 5 3" xfId="27233"/>
    <cellStyle name="Обычный 7 2 2 4 3 6" xfId="27234"/>
    <cellStyle name="Обычный 7 2 2 4 3 6 2" xfId="27235"/>
    <cellStyle name="Обычный 7 2 2 4 3 7" xfId="27236"/>
    <cellStyle name="Обычный 7 2 2 4 3 8" xfId="27237"/>
    <cellStyle name="Обычный 7 2 2 4 4" xfId="27238"/>
    <cellStyle name="Обычный 7 2 2 4 4 2" xfId="27239"/>
    <cellStyle name="Обычный 7 2 2 4 4 2 2" xfId="27240"/>
    <cellStyle name="Обычный 7 2 2 4 4 2 2 2" xfId="27241"/>
    <cellStyle name="Обычный 7 2 2 4 4 2 2 3" xfId="27242"/>
    <cellStyle name="Обычный 7 2 2 4 4 2 3" xfId="27243"/>
    <cellStyle name="Обычный 7 2 2 4 4 2 3 2" xfId="27244"/>
    <cellStyle name="Обычный 7 2 2 4 4 2 3 3" xfId="27245"/>
    <cellStyle name="Обычный 7 2 2 4 4 2 4" xfId="27246"/>
    <cellStyle name="Обычный 7 2 2 4 4 2 4 2" xfId="27247"/>
    <cellStyle name="Обычный 7 2 2 4 4 2 5" xfId="27248"/>
    <cellStyle name="Обычный 7 2 2 4 4 2 6" xfId="27249"/>
    <cellStyle name="Обычный 7 2 2 4 4 3" xfId="27250"/>
    <cellStyle name="Обычный 7 2 2 4 4 3 2" xfId="27251"/>
    <cellStyle name="Обычный 7 2 2 4 4 3 3" xfId="27252"/>
    <cellStyle name="Обычный 7 2 2 4 4 4" xfId="27253"/>
    <cellStyle name="Обычный 7 2 2 4 4 4 2" xfId="27254"/>
    <cellStyle name="Обычный 7 2 2 4 4 4 3" xfId="27255"/>
    <cellStyle name="Обычный 7 2 2 4 4 5" xfId="27256"/>
    <cellStyle name="Обычный 7 2 2 4 4 5 2" xfId="27257"/>
    <cellStyle name="Обычный 7 2 2 4 4 6" xfId="27258"/>
    <cellStyle name="Обычный 7 2 2 4 4 7" xfId="27259"/>
    <cellStyle name="Обычный 7 2 2 4 5" xfId="27260"/>
    <cellStyle name="Обычный 7 2 2 4 5 2" xfId="27261"/>
    <cellStyle name="Обычный 7 2 2 4 5 2 2" xfId="27262"/>
    <cellStyle name="Обычный 7 2 2 4 5 2 3" xfId="27263"/>
    <cellStyle name="Обычный 7 2 2 4 5 3" xfId="27264"/>
    <cellStyle name="Обычный 7 2 2 4 5 3 2" xfId="27265"/>
    <cellStyle name="Обычный 7 2 2 4 5 3 3" xfId="27266"/>
    <cellStyle name="Обычный 7 2 2 4 5 4" xfId="27267"/>
    <cellStyle name="Обычный 7 2 2 4 5 4 2" xfId="27268"/>
    <cellStyle name="Обычный 7 2 2 4 5 5" xfId="27269"/>
    <cellStyle name="Обычный 7 2 2 4 5 6" xfId="27270"/>
    <cellStyle name="Обычный 7 2 2 4 6" xfId="27271"/>
    <cellStyle name="Обычный 7 2 2 4 6 2" xfId="27272"/>
    <cellStyle name="Обычный 7 2 2 4 6 3" xfId="27273"/>
    <cellStyle name="Обычный 7 2 2 4 7" xfId="27274"/>
    <cellStyle name="Обычный 7 2 2 4 7 2" xfId="27275"/>
    <cellStyle name="Обычный 7 2 2 4 7 3" xfId="27276"/>
    <cellStyle name="Обычный 7 2 2 4 8" xfId="27277"/>
    <cellStyle name="Обычный 7 2 2 4 8 2" xfId="27278"/>
    <cellStyle name="Обычный 7 2 2 4 9" xfId="27279"/>
    <cellStyle name="Обычный 7 2 2 5" xfId="27280"/>
    <cellStyle name="Обычный 7 2 2 5 2" xfId="27281"/>
    <cellStyle name="Обычный 7 2 2 5 2 2" xfId="27282"/>
    <cellStyle name="Обычный 7 2 2 5 2 2 2" xfId="27283"/>
    <cellStyle name="Обычный 7 2 2 5 2 2 2 2" xfId="27284"/>
    <cellStyle name="Обычный 7 2 2 5 2 2 2 2 2" xfId="27285"/>
    <cellStyle name="Обычный 7 2 2 5 2 2 2 2 3" xfId="27286"/>
    <cellStyle name="Обычный 7 2 2 5 2 2 2 3" xfId="27287"/>
    <cellStyle name="Обычный 7 2 2 5 2 2 2 3 2" xfId="27288"/>
    <cellStyle name="Обычный 7 2 2 5 2 2 2 3 3" xfId="27289"/>
    <cellStyle name="Обычный 7 2 2 5 2 2 2 4" xfId="27290"/>
    <cellStyle name="Обычный 7 2 2 5 2 2 2 4 2" xfId="27291"/>
    <cellStyle name="Обычный 7 2 2 5 2 2 2 5" xfId="27292"/>
    <cellStyle name="Обычный 7 2 2 5 2 2 2 6" xfId="27293"/>
    <cellStyle name="Обычный 7 2 2 5 2 2 3" xfId="27294"/>
    <cellStyle name="Обычный 7 2 2 5 2 2 3 2" xfId="27295"/>
    <cellStyle name="Обычный 7 2 2 5 2 2 3 3" xfId="27296"/>
    <cellStyle name="Обычный 7 2 2 5 2 2 4" xfId="27297"/>
    <cellStyle name="Обычный 7 2 2 5 2 2 4 2" xfId="27298"/>
    <cellStyle name="Обычный 7 2 2 5 2 2 4 3" xfId="27299"/>
    <cellStyle name="Обычный 7 2 2 5 2 2 5" xfId="27300"/>
    <cellStyle name="Обычный 7 2 2 5 2 2 5 2" xfId="27301"/>
    <cellStyle name="Обычный 7 2 2 5 2 2 6" xfId="27302"/>
    <cellStyle name="Обычный 7 2 2 5 2 2 7" xfId="27303"/>
    <cellStyle name="Обычный 7 2 2 5 2 3" xfId="27304"/>
    <cellStyle name="Обычный 7 2 2 5 2 3 2" xfId="27305"/>
    <cellStyle name="Обычный 7 2 2 5 2 3 2 2" xfId="27306"/>
    <cellStyle name="Обычный 7 2 2 5 2 3 2 3" xfId="27307"/>
    <cellStyle name="Обычный 7 2 2 5 2 3 3" xfId="27308"/>
    <cellStyle name="Обычный 7 2 2 5 2 3 3 2" xfId="27309"/>
    <cellStyle name="Обычный 7 2 2 5 2 3 3 3" xfId="27310"/>
    <cellStyle name="Обычный 7 2 2 5 2 3 4" xfId="27311"/>
    <cellStyle name="Обычный 7 2 2 5 2 3 4 2" xfId="27312"/>
    <cellStyle name="Обычный 7 2 2 5 2 3 5" xfId="27313"/>
    <cellStyle name="Обычный 7 2 2 5 2 3 6" xfId="27314"/>
    <cellStyle name="Обычный 7 2 2 5 2 4" xfId="27315"/>
    <cellStyle name="Обычный 7 2 2 5 2 4 2" xfId="27316"/>
    <cellStyle name="Обычный 7 2 2 5 2 4 3" xfId="27317"/>
    <cellStyle name="Обычный 7 2 2 5 2 5" xfId="27318"/>
    <cellStyle name="Обычный 7 2 2 5 2 5 2" xfId="27319"/>
    <cellStyle name="Обычный 7 2 2 5 2 5 3" xfId="27320"/>
    <cellStyle name="Обычный 7 2 2 5 2 6" xfId="27321"/>
    <cellStyle name="Обычный 7 2 2 5 2 6 2" xfId="27322"/>
    <cellStyle name="Обычный 7 2 2 5 2 7" xfId="27323"/>
    <cellStyle name="Обычный 7 2 2 5 2 8" xfId="27324"/>
    <cellStyle name="Обычный 7 2 2 5 3" xfId="27325"/>
    <cellStyle name="Обычный 7 2 2 5 3 2" xfId="27326"/>
    <cellStyle name="Обычный 7 2 2 5 3 2 2" xfId="27327"/>
    <cellStyle name="Обычный 7 2 2 5 3 2 2 2" xfId="27328"/>
    <cellStyle name="Обычный 7 2 2 5 3 2 2 3" xfId="27329"/>
    <cellStyle name="Обычный 7 2 2 5 3 2 3" xfId="27330"/>
    <cellStyle name="Обычный 7 2 2 5 3 2 3 2" xfId="27331"/>
    <cellStyle name="Обычный 7 2 2 5 3 2 3 3" xfId="27332"/>
    <cellStyle name="Обычный 7 2 2 5 3 2 4" xfId="27333"/>
    <cellStyle name="Обычный 7 2 2 5 3 2 4 2" xfId="27334"/>
    <cellStyle name="Обычный 7 2 2 5 3 2 5" xfId="27335"/>
    <cellStyle name="Обычный 7 2 2 5 3 2 6" xfId="27336"/>
    <cellStyle name="Обычный 7 2 2 5 3 3" xfId="27337"/>
    <cellStyle name="Обычный 7 2 2 5 3 3 2" xfId="27338"/>
    <cellStyle name="Обычный 7 2 2 5 3 3 3" xfId="27339"/>
    <cellStyle name="Обычный 7 2 2 5 3 4" xfId="27340"/>
    <cellStyle name="Обычный 7 2 2 5 3 4 2" xfId="27341"/>
    <cellStyle name="Обычный 7 2 2 5 3 4 3" xfId="27342"/>
    <cellStyle name="Обычный 7 2 2 5 3 5" xfId="27343"/>
    <cellStyle name="Обычный 7 2 2 5 3 5 2" xfId="27344"/>
    <cellStyle name="Обычный 7 2 2 5 3 6" xfId="27345"/>
    <cellStyle name="Обычный 7 2 2 5 3 7" xfId="27346"/>
    <cellStyle name="Обычный 7 2 2 5 4" xfId="27347"/>
    <cellStyle name="Обычный 7 2 2 5 4 2" xfId="27348"/>
    <cellStyle name="Обычный 7 2 2 5 4 2 2" xfId="27349"/>
    <cellStyle name="Обычный 7 2 2 5 4 2 3" xfId="27350"/>
    <cellStyle name="Обычный 7 2 2 5 4 3" xfId="27351"/>
    <cellStyle name="Обычный 7 2 2 5 4 3 2" xfId="27352"/>
    <cellStyle name="Обычный 7 2 2 5 4 3 3" xfId="27353"/>
    <cellStyle name="Обычный 7 2 2 5 4 4" xfId="27354"/>
    <cellStyle name="Обычный 7 2 2 5 4 4 2" xfId="27355"/>
    <cellStyle name="Обычный 7 2 2 5 4 5" xfId="27356"/>
    <cellStyle name="Обычный 7 2 2 5 4 6" xfId="27357"/>
    <cellStyle name="Обычный 7 2 2 5 5" xfId="27358"/>
    <cellStyle name="Обычный 7 2 2 5 5 2" xfId="27359"/>
    <cellStyle name="Обычный 7 2 2 5 5 3" xfId="27360"/>
    <cellStyle name="Обычный 7 2 2 5 6" xfId="27361"/>
    <cellStyle name="Обычный 7 2 2 5 6 2" xfId="27362"/>
    <cellStyle name="Обычный 7 2 2 5 6 3" xfId="27363"/>
    <cellStyle name="Обычный 7 2 2 5 7" xfId="27364"/>
    <cellStyle name="Обычный 7 2 2 5 7 2" xfId="27365"/>
    <cellStyle name="Обычный 7 2 2 5 8" xfId="27366"/>
    <cellStyle name="Обычный 7 2 2 5 9" xfId="27367"/>
    <cellStyle name="Обычный 7 2 2 6" xfId="27368"/>
    <cellStyle name="Обычный 7 2 2 6 2" xfId="27369"/>
    <cellStyle name="Обычный 7 2 2 6 2 2" xfId="27370"/>
    <cellStyle name="Обычный 7 2 2 6 2 2 2" xfId="27371"/>
    <cellStyle name="Обычный 7 2 2 6 2 2 2 2" xfId="27372"/>
    <cellStyle name="Обычный 7 2 2 6 2 2 2 3" xfId="27373"/>
    <cellStyle name="Обычный 7 2 2 6 2 2 3" xfId="27374"/>
    <cellStyle name="Обычный 7 2 2 6 2 2 3 2" xfId="27375"/>
    <cellStyle name="Обычный 7 2 2 6 2 2 3 3" xfId="27376"/>
    <cellStyle name="Обычный 7 2 2 6 2 2 4" xfId="27377"/>
    <cellStyle name="Обычный 7 2 2 6 2 2 4 2" xfId="27378"/>
    <cellStyle name="Обычный 7 2 2 6 2 2 5" xfId="27379"/>
    <cellStyle name="Обычный 7 2 2 6 2 2 6" xfId="27380"/>
    <cellStyle name="Обычный 7 2 2 6 2 3" xfId="27381"/>
    <cellStyle name="Обычный 7 2 2 6 2 3 2" xfId="27382"/>
    <cellStyle name="Обычный 7 2 2 6 2 3 3" xfId="27383"/>
    <cellStyle name="Обычный 7 2 2 6 2 4" xfId="27384"/>
    <cellStyle name="Обычный 7 2 2 6 2 4 2" xfId="27385"/>
    <cellStyle name="Обычный 7 2 2 6 2 4 3" xfId="27386"/>
    <cellStyle name="Обычный 7 2 2 6 2 5" xfId="27387"/>
    <cellStyle name="Обычный 7 2 2 6 2 5 2" xfId="27388"/>
    <cellStyle name="Обычный 7 2 2 6 2 6" xfId="27389"/>
    <cellStyle name="Обычный 7 2 2 6 2 7" xfId="27390"/>
    <cellStyle name="Обычный 7 2 2 6 3" xfId="27391"/>
    <cellStyle name="Обычный 7 2 2 6 3 2" xfId="27392"/>
    <cellStyle name="Обычный 7 2 2 6 3 2 2" xfId="27393"/>
    <cellStyle name="Обычный 7 2 2 6 3 2 3" xfId="27394"/>
    <cellStyle name="Обычный 7 2 2 6 3 3" xfId="27395"/>
    <cellStyle name="Обычный 7 2 2 6 3 3 2" xfId="27396"/>
    <cellStyle name="Обычный 7 2 2 6 3 3 3" xfId="27397"/>
    <cellStyle name="Обычный 7 2 2 6 3 4" xfId="27398"/>
    <cellStyle name="Обычный 7 2 2 6 3 4 2" xfId="27399"/>
    <cellStyle name="Обычный 7 2 2 6 3 5" xfId="27400"/>
    <cellStyle name="Обычный 7 2 2 6 3 6" xfId="27401"/>
    <cellStyle name="Обычный 7 2 2 6 4" xfId="27402"/>
    <cellStyle name="Обычный 7 2 2 6 4 2" xfId="27403"/>
    <cellStyle name="Обычный 7 2 2 6 4 3" xfId="27404"/>
    <cellStyle name="Обычный 7 2 2 6 5" xfId="27405"/>
    <cellStyle name="Обычный 7 2 2 6 5 2" xfId="27406"/>
    <cellStyle name="Обычный 7 2 2 6 5 3" xfId="27407"/>
    <cellStyle name="Обычный 7 2 2 6 6" xfId="27408"/>
    <cellStyle name="Обычный 7 2 2 6 6 2" xfId="27409"/>
    <cellStyle name="Обычный 7 2 2 6 7" xfId="27410"/>
    <cellStyle name="Обычный 7 2 2 6 8" xfId="27411"/>
    <cellStyle name="Обычный 7 2 2 7" xfId="27412"/>
    <cellStyle name="Обычный 7 2 2 7 2" xfId="27413"/>
    <cellStyle name="Обычный 7 2 2 7 2 2" xfId="27414"/>
    <cellStyle name="Обычный 7 2 2 7 2 2 2" xfId="27415"/>
    <cellStyle name="Обычный 7 2 2 7 2 2 3" xfId="27416"/>
    <cellStyle name="Обычный 7 2 2 7 2 3" xfId="27417"/>
    <cellStyle name="Обычный 7 2 2 7 2 3 2" xfId="27418"/>
    <cellStyle name="Обычный 7 2 2 7 2 3 3" xfId="27419"/>
    <cellStyle name="Обычный 7 2 2 7 2 4" xfId="27420"/>
    <cellStyle name="Обычный 7 2 2 7 2 4 2" xfId="27421"/>
    <cellStyle name="Обычный 7 2 2 7 2 5" xfId="27422"/>
    <cellStyle name="Обычный 7 2 2 7 2 6" xfId="27423"/>
    <cellStyle name="Обычный 7 2 2 7 3" xfId="27424"/>
    <cellStyle name="Обычный 7 2 2 7 3 2" xfId="27425"/>
    <cellStyle name="Обычный 7 2 2 7 3 3" xfId="27426"/>
    <cellStyle name="Обычный 7 2 2 7 4" xfId="27427"/>
    <cellStyle name="Обычный 7 2 2 7 4 2" xfId="27428"/>
    <cellStyle name="Обычный 7 2 2 7 4 3" xfId="27429"/>
    <cellStyle name="Обычный 7 2 2 7 5" xfId="27430"/>
    <cellStyle name="Обычный 7 2 2 7 5 2" xfId="27431"/>
    <cellStyle name="Обычный 7 2 2 7 6" xfId="27432"/>
    <cellStyle name="Обычный 7 2 2 7 7" xfId="27433"/>
    <cellStyle name="Обычный 7 2 2 8" xfId="27434"/>
    <cellStyle name="Обычный 7 2 2 8 2" xfId="27435"/>
    <cellStyle name="Обычный 7 2 2 8 2 2" xfId="27436"/>
    <cellStyle name="Обычный 7 2 2 8 2 3" xfId="27437"/>
    <cellStyle name="Обычный 7 2 2 8 3" xfId="27438"/>
    <cellStyle name="Обычный 7 2 2 8 3 2" xfId="27439"/>
    <cellStyle name="Обычный 7 2 2 8 3 3" xfId="27440"/>
    <cellStyle name="Обычный 7 2 2 8 4" xfId="27441"/>
    <cellStyle name="Обычный 7 2 2 8 4 2" xfId="27442"/>
    <cellStyle name="Обычный 7 2 2 8 5" xfId="27443"/>
    <cellStyle name="Обычный 7 2 2 8 6" xfId="27444"/>
    <cellStyle name="Обычный 7 2 2 9" xfId="27445"/>
    <cellStyle name="Обычный 7 2 2 9 2" xfId="27446"/>
    <cellStyle name="Обычный 7 2 2 9 3" xfId="27447"/>
    <cellStyle name="Обычный 7 2 3" xfId="27448"/>
    <cellStyle name="Обычный 7 2 3 10" xfId="27449"/>
    <cellStyle name="Обычный 7 2 3 2" xfId="27450"/>
    <cellStyle name="Обычный 7 2 3 2 2" xfId="27451"/>
    <cellStyle name="Обычный 7 2 3 2 2 2" xfId="27452"/>
    <cellStyle name="Обычный 7 2 3 2 2 2 2" xfId="27453"/>
    <cellStyle name="Обычный 7 2 3 2 2 2 2 2" xfId="27454"/>
    <cellStyle name="Обычный 7 2 3 2 2 2 2 2 2" xfId="27455"/>
    <cellStyle name="Обычный 7 2 3 2 2 2 2 2 3" xfId="27456"/>
    <cellStyle name="Обычный 7 2 3 2 2 2 2 3" xfId="27457"/>
    <cellStyle name="Обычный 7 2 3 2 2 2 2 3 2" xfId="27458"/>
    <cellStyle name="Обычный 7 2 3 2 2 2 2 3 3" xfId="27459"/>
    <cellStyle name="Обычный 7 2 3 2 2 2 2 4" xfId="27460"/>
    <cellStyle name="Обычный 7 2 3 2 2 2 2 4 2" xfId="27461"/>
    <cellStyle name="Обычный 7 2 3 2 2 2 2 5" xfId="27462"/>
    <cellStyle name="Обычный 7 2 3 2 2 2 2 6" xfId="27463"/>
    <cellStyle name="Обычный 7 2 3 2 2 2 3" xfId="27464"/>
    <cellStyle name="Обычный 7 2 3 2 2 2 3 2" xfId="27465"/>
    <cellStyle name="Обычный 7 2 3 2 2 2 3 3" xfId="27466"/>
    <cellStyle name="Обычный 7 2 3 2 2 2 4" xfId="27467"/>
    <cellStyle name="Обычный 7 2 3 2 2 2 4 2" xfId="27468"/>
    <cellStyle name="Обычный 7 2 3 2 2 2 4 3" xfId="27469"/>
    <cellStyle name="Обычный 7 2 3 2 2 2 5" xfId="27470"/>
    <cellStyle name="Обычный 7 2 3 2 2 2 5 2" xfId="27471"/>
    <cellStyle name="Обычный 7 2 3 2 2 2 6" xfId="27472"/>
    <cellStyle name="Обычный 7 2 3 2 2 2 7" xfId="27473"/>
    <cellStyle name="Обычный 7 2 3 2 2 3" xfId="27474"/>
    <cellStyle name="Обычный 7 2 3 2 2 3 2" xfId="27475"/>
    <cellStyle name="Обычный 7 2 3 2 2 3 2 2" xfId="27476"/>
    <cellStyle name="Обычный 7 2 3 2 2 3 2 3" xfId="27477"/>
    <cellStyle name="Обычный 7 2 3 2 2 3 3" xfId="27478"/>
    <cellStyle name="Обычный 7 2 3 2 2 3 3 2" xfId="27479"/>
    <cellStyle name="Обычный 7 2 3 2 2 3 3 3" xfId="27480"/>
    <cellStyle name="Обычный 7 2 3 2 2 3 4" xfId="27481"/>
    <cellStyle name="Обычный 7 2 3 2 2 3 4 2" xfId="27482"/>
    <cellStyle name="Обычный 7 2 3 2 2 3 5" xfId="27483"/>
    <cellStyle name="Обычный 7 2 3 2 2 3 6" xfId="27484"/>
    <cellStyle name="Обычный 7 2 3 2 2 4" xfId="27485"/>
    <cellStyle name="Обычный 7 2 3 2 2 4 2" xfId="27486"/>
    <cellStyle name="Обычный 7 2 3 2 2 4 3" xfId="27487"/>
    <cellStyle name="Обычный 7 2 3 2 2 5" xfId="27488"/>
    <cellStyle name="Обычный 7 2 3 2 2 5 2" xfId="27489"/>
    <cellStyle name="Обычный 7 2 3 2 2 5 3" xfId="27490"/>
    <cellStyle name="Обычный 7 2 3 2 2 6" xfId="27491"/>
    <cellStyle name="Обычный 7 2 3 2 2 6 2" xfId="27492"/>
    <cellStyle name="Обычный 7 2 3 2 2 7" xfId="27493"/>
    <cellStyle name="Обычный 7 2 3 2 2 8" xfId="27494"/>
    <cellStyle name="Обычный 7 2 3 2 3" xfId="27495"/>
    <cellStyle name="Обычный 7 2 3 2 3 2" xfId="27496"/>
    <cellStyle name="Обычный 7 2 3 2 3 2 2" xfId="27497"/>
    <cellStyle name="Обычный 7 2 3 2 3 2 2 2" xfId="27498"/>
    <cellStyle name="Обычный 7 2 3 2 3 2 2 3" xfId="27499"/>
    <cellStyle name="Обычный 7 2 3 2 3 2 3" xfId="27500"/>
    <cellStyle name="Обычный 7 2 3 2 3 2 3 2" xfId="27501"/>
    <cellStyle name="Обычный 7 2 3 2 3 2 3 3" xfId="27502"/>
    <cellStyle name="Обычный 7 2 3 2 3 2 4" xfId="27503"/>
    <cellStyle name="Обычный 7 2 3 2 3 2 4 2" xfId="27504"/>
    <cellStyle name="Обычный 7 2 3 2 3 2 5" xfId="27505"/>
    <cellStyle name="Обычный 7 2 3 2 3 2 6" xfId="27506"/>
    <cellStyle name="Обычный 7 2 3 2 3 3" xfId="27507"/>
    <cellStyle name="Обычный 7 2 3 2 3 3 2" xfId="27508"/>
    <cellStyle name="Обычный 7 2 3 2 3 3 3" xfId="27509"/>
    <cellStyle name="Обычный 7 2 3 2 3 4" xfId="27510"/>
    <cellStyle name="Обычный 7 2 3 2 3 4 2" xfId="27511"/>
    <cellStyle name="Обычный 7 2 3 2 3 4 3" xfId="27512"/>
    <cellStyle name="Обычный 7 2 3 2 3 5" xfId="27513"/>
    <cellStyle name="Обычный 7 2 3 2 3 5 2" xfId="27514"/>
    <cellStyle name="Обычный 7 2 3 2 3 6" xfId="27515"/>
    <cellStyle name="Обычный 7 2 3 2 3 7" xfId="27516"/>
    <cellStyle name="Обычный 7 2 3 2 4" xfId="27517"/>
    <cellStyle name="Обычный 7 2 3 2 4 2" xfId="27518"/>
    <cellStyle name="Обычный 7 2 3 2 4 2 2" xfId="27519"/>
    <cellStyle name="Обычный 7 2 3 2 4 2 3" xfId="27520"/>
    <cellStyle name="Обычный 7 2 3 2 4 3" xfId="27521"/>
    <cellStyle name="Обычный 7 2 3 2 4 3 2" xfId="27522"/>
    <cellStyle name="Обычный 7 2 3 2 4 3 3" xfId="27523"/>
    <cellStyle name="Обычный 7 2 3 2 4 4" xfId="27524"/>
    <cellStyle name="Обычный 7 2 3 2 4 4 2" xfId="27525"/>
    <cellStyle name="Обычный 7 2 3 2 4 5" xfId="27526"/>
    <cellStyle name="Обычный 7 2 3 2 4 6" xfId="27527"/>
    <cellStyle name="Обычный 7 2 3 2 5" xfId="27528"/>
    <cellStyle name="Обычный 7 2 3 2 5 2" xfId="27529"/>
    <cellStyle name="Обычный 7 2 3 2 5 3" xfId="27530"/>
    <cellStyle name="Обычный 7 2 3 2 6" xfId="27531"/>
    <cellStyle name="Обычный 7 2 3 2 6 2" xfId="27532"/>
    <cellStyle name="Обычный 7 2 3 2 6 3" xfId="27533"/>
    <cellStyle name="Обычный 7 2 3 2 7" xfId="27534"/>
    <cellStyle name="Обычный 7 2 3 2 7 2" xfId="27535"/>
    <cellStyle name="Обычный 7 2 3 2 8" xfId="27536"/>
    <cellStyle name="Обычный 7 2 3 2 9" xfId="27537"/>
    <cellStyle name="Обычный 7 2 3 3" xfId="27538"/>
    <cellStyle name="Обычный 7 2 3 3 2" xfId="27539"/>
    <cellStyle name="Обычный 7 2 3 3 2 2" xfId="27540"/>
    <cellStyle name="Обычный 7 2 3 3 2 2 2" xfId="27541"/>
    <cellStyle name="Обычный 7 2 3 3 2 2 2 2" xfId="27542"/>
    <cellStyle name="Обычный 7 2 3 3 2 2 2 3" xfId="27543"/>
    <cellStyle name="Обычный 7 2 3 3 2 2 3" xfId="27544"/>
    <cellStyle name="Обычный 7 2 3 3 2 2 3 2" xfId="27545"/>
    <cellStyle name="Обычный 7 2 3 3 2 2 3 3" xfId="27546"/>
    <cellStyle name="Обычный 7 2 3 3 2 2 4" xfId="27547"/>
    <cellStyle name="Обычный 7 2 3 3 2 2 4 2" xfId="27548"/>
    <cellStyle name="Обычный 7 2 3 3 2 2 5" xfId="27549"/>
    <cellStyle name="Обычный 7 2 3 3 2 2 6" xfId="27550"/>
    <cellStyle name="Обычный 7 2 3 3 2 3" xfId="27551"/>
    <cellStyle name="Обычный 7 2 3 3 2 3 2" xfId="27552"/>
    <cellStyle name="Обычный 7 2 3 3 2 3 3" xfId="27553"/>
    <cellStyle name="Обычный 7 2 3 3 2 4" xfId="27554"/>
    <cellStyle name="Обычный 7 2 3 3 2 4 2" xfId="27555"/>
    <cellStyle name="Обычный 7 2 3 3 2 4 3" xfId="27556"/>
    <cellStyle name="Обычный 7 2 3 3 2 5" xfId="27557"/>
    <cellStyle name="Обычный 7 2 3 3 2 5 2" xfId="27558"/>
    <cellStyle name="Обычный 7 2 3 3 2 6" xfId="27559"/>
    <cellStyle name="Обычный 7 2 3 3 2 7" xfId="27560"/>
    <cellStyle name="Обычный 7 2 3 3 3" xfId="27561"/>
    <cellStyle name="Обычный 7 2 3 3 3 2" xfId="27562"/>
    <cellStyle name="Обычный 7 2 3 3 3 2 2" xfId="27563"/>
    <cellStyle name="Обычный 7 2 3 3 3 2 3" xfId="27564"/>
    <cellStyle name="Обычный 7 2 3 3 3 3" xfId="27565"/>
    <cellStyle name="Обычный 7 2 3 3 3 3 2" xfId="27566"/>
    <cellStyle name="Обычный 7 2 3 3 3 3 3" xfId="27567"/>
    <cellStyle name="Обычный 7 2 3 3 3 4" xfId="27568"/>
    <cellStyle name="Обычный 7 2 3 3 3 4 2" xfId="27569"/>
    <cellStyle name="Обычный 7 2 3 3 3 5" xfId="27570"/>
    <cellStyle name="Обычный 7 2 3 3 3 6" xfId="27571"/>
    <cellStyle name="Обычный 7 2 3 3 4" xfId="27572"/>
    <cellStyle name="Обычный 7 2 3 3 4 2" xfId="27573"/>
    <cellStyle name="Обычный 7 2 3 3 4 3" xfId="27574"/>
    <cellStyle name="Обычный 7 2 3 3 5" xfId="27575"/>
    <cellStyle name="Обычный 7 2 3 3 5 2" xfId="27576"/>
    <cellStyle name="Обычный 7 2 3 3 5 3" xfId="27577"/>
    <cellStyle name="Обычный 7 2 3 3 6" xfId="27578"/>
    <cellStyle name="Обычный 7 2 3 3 6 2" xfId="27579"/>
    <cellStyle name="Обычный 7 2 3 3 7" xfId="27580"/>
    <cellStyle name="Обычный 7 2 3 3 8" xfId="27581"/>
    <cellStyle name="Обычный 7 2 3 4" xfId="27582"/>
    <cellStyle name="Обычный 7 2 3 4 2" xfId="27583"/>
    <cellStyle name="Обычный 7 2 3 4 2 2" xfId="27584"/>
    <cellStyle name="Обычный 7 2 3 4 2 2 2" xfId="27585"/>
    <cellStyle name="Обычный 7 2 3 4 2 2 3" xfId="27586"/>
    <cellStyle name="Обычный 7 2 3 4 2 3" xfId="27587"/>
    <cellStyle name="Обычный 7 2 3 4 2 3 2" xfId="27588"/>
    <cellStyle name="Обычный 7 2 3 4 2 3 3" xfId="27589"/>
    <cellStyle name="Обычный 7 2 3 4 2 4" xfId="27590"/>
    <cellStyle name="Обычный 7 2 3 4 2 4 2" xfId="27591"/>
    <cellStyle name="Обычный 7 2 3 4 2 5" xfId="27592"/>
    <cellStyle name="Обычный 7 2 3 4 2 6" xfId="27593"/>
    <cellStyle name="Обычный 7 2 3 4 3" xfId="27594"/>
    <cellStyle name="Обычный 7 2 3 4 3 2" xfId="27595"/>
    <cellStyle name="Обычный 7 2 3 4 3 3" xfId="27596"/>
    <cellStyle name="Обычный 7 2 3 4 4" xfId="27597"/>
    <cellStyle name="Обычный 7 2 3 4 4 2" xfId="27598"/>
    <cellStyle name="Обычный 7 2 3 4 4 3" xfId="27599"/>
    <cellStyle name="Обычный 7 2 3 4 5" xfId="27600"/>
    <cellStyle name="Обычный 7 2 3 4 5 2" xfId="27601"/>
    <cellStyle name="Обычный 7 2 3 4 6" xfId="27602"/>
    <cellStyle name="Обычный 7 2 3 4 7" xfId="27603"/>
    <cellStyle name="Обычный 7 2 3 5" xfId="27604"/>
    <cellStyle name="Обычный 7 2 3 5 2" xfId="27605"/>
    <cellStyle name="Обычный 7 2 3 5 2 2" xfId="27606"/>
    <cellStyle name="Обычный 7 2 3 5 2 3" xfId="27607"/>
    <cellStyle name="Обычный 7 2 3 5 3" xfId="27608"/>
    <cellStyle name="Обычный 7 2 3 5 3 2" xfId="27609"/>
    <cellStyle name="Обычный 7 2 3 5 3 3" xfId="27610"/>
    <cellStyle name="Обычный 7 2 3 5 4" xfId="27611"/>
    <cellStyle name="Обычный 7 2 3 5 4 2" xfId="27612"/>
    <cellStyle name="Обычный 7 2 3 5 5" xfId="27613"/>
    <cellStyle name="Обычный 7 2 3 5 6" xfId="27614"/>
    <cellStyle name="Обычный 7 2 3 6" xfId="27615"/>
    <cellStyle name="Обычный 7 2 3 6 2" xfId="27616"/>
    <cellStyle name="Обычный 7 2 3 6 3" xfId="27617"/>
    <cellStyle name="Обычный 7 2 3 7" xfId="27618"/>
    <cellStyle name="Обычный 7 2 3 7 2" xfId="27619"/>
    <cellStyle name="Обычный 7 2 3 7 3" xfId="27620"/>
    <cellStyle name="Обычный 7 2 3 8" xfId="27621"/>
    <cellStyle name="Обычный 7 2 3 8 2" xfId="27622"/>
    <cellStyle name="Обычный 7 2 3 9" xfId="27623"/>
    <cellStyle name="Обычный 7 2 4" xfId="27624"/>
    <cellStyle name="Обычный 7 2 4 10" xfId="27625"/>
    <cellStyle name="Обычный 7 2 4 2" xfId="27626"/>
    <cellStyle name="Обычный 7 2 4 2 2" xfId="27627"/>
    <cellStyle name="Обычный 7 2 4 2 2 2" xfId="27628"/>
    <cellStyle name="Обычный 7 2 4 2 2 2 2" xfId="27629"/>
    <cellStyle name="Обычный 7 2 4 2 2 2 2 2" xfId="27630"/>
    <cellStyle name="Обычный 7 2 4 2 2 2 2 2 2" xfId="27631"/>
    <cellStyle name="Обычный 7 2 4 2 2 2 2 2 3" xfId="27632"/>
    <cellStyle name="Обычный 7 2 4 2 2 2 2 3" xfId="27633"/>
    <cellStyle name="Обычный 7 2 4 2 2 2 2 3 2" xfId="27634"/>
    <cellStyle name="Обычный 7 2 4 2 2 2 2 3 3" xfId="27635"/>
    <cellStyle name="Обычный 7 2 4 2 2 2 2 4" xfId="27636"/>
    <cellStyle name="Обычный 7 2 4 2 2 2 2 4 2" xfId="27637"/>
    <cellStyle name="Обычный 7 2 4 2 2 2 2 5" xfId="27638"/>
    <cellStyle name="Обычный 7 2 4 2 2 2 2 6" xfId="27639"/>
    <cellStyle name="Обычный 7 2 4 2 2 2 3" xfId="27640"/>
    <cellStyle name="Обычный 7 2 4 2 2 2 3 2" xfId="27641"/>
    <cellStyle name="Обычный 7 2 4 2 2 2 3 3" xfId="27642"/>
    <cellStyle name="Обычный 7 2 4 2 2 2 4" xfId="27643"/>
    <cellStyle name="Обычный 7 2 4 2 2 2 4 2" xfId="27644"/>
    <cellStyle name="Обычный 7 2 4 2 2 2 4 3" xfId="27645"/>
    <cellStyle name="Обычный 7 2 4 2 2 2 5" xfId="27646"/>
    <cellStyle name="Обычный 7 2 4 2 2 2 5 2" xfId="27647"/>
    <cellStyle name="Обычный 7 2 4 2 2 2 6" xfId="27648"/>
    <cellStyle name="Обычный 7 2 4 2 2 2 7" xfId="27649"/>
    <cellStyle name="Обычный 7 2 4 2 2 3" xfId="27650"/>
    <cellStyle name="Обычный 7 2 4 2 2 3 2" xfId="27651"/>
    <cellStyle name="Обычный 7 2 4 2 2 3 2 2" xfId="27652"/>
    <cellStyle name="Обычный 7 2 4 2 2 3 2 3" xfId="27653"/>
    <cellStyle name="Обычный 7 2 4 2 2 3 3" xfId="27654"/>
    <cellStyle name="Обычный 7 2 4 2 2 3 3 2" xfId="27655"/>
    <cellStyle name="Обычный 7 2 4 2 2 3 3 3" xfId="27656"/>
    <cellStyle name="Обычный 7 2 4 2 2 3 4" xfId="27657"/>
    <cellStyle name="Обычный 7 2 4 2 2 3 4 2" xfId="27658"/>
    <cellStyle name="Обычный 7 2 4 2 2 3 5" xfId="27659"/>
    <cellStyle name="Обычный 7 2 4 2 2 3 6" xfId="27660"/>
    <cellStyle name="Обычный 7 2 4 2 2 4" xfId="27661"/>
    <cellStyle name="Обычный 7 2 4 2 2 4 2" xfId="27662"/>
    <cellStyle name="Обычный 7 2 4 2 2 4 3" xfId="27663"/>
    <cellStyle name="Обычный 7 2 4 2 2 5" xfId="27664"/>
    <cellStyle name="Обычный 7 2 4 2 2 5 2" xfId="27665"/>
    <cellStyle name="Обычный 7 2 4 2 2 5 3" xfId="27666"/>
    <cellStyle name="Обычный 7 2 4 2 2 6" xfId="27667"/>
    <cellStyle name="Обычный 7 2 4 2 2 6 2" xfId="27668"/>
    <cellStyle name="Обычный 7 2 4 2 2 7" xfId="27669"/>
    <cellStyle name="Обычный 7 2 4 2 2 8" xfId="27670"/>
    <cellStyle name="Обычный 7 2 4 2 3" xfId="27671"/>
    <cellStyle name="Обычный 7 2 4 2 3 2" xfId="27672"/>
    <cellStyle name="Обычный 7 2 4 2 3 2 2" xfId="27673"/>
    <cellStyle name="Обычный 7 2 4 2 3 2 2 2" xfId="27674"/>
    <cellStyle name="Обычный 7 2 4 2 3 2 2 3" xfId="27675"/>
    <cellStyle name="Обычный 7 2 4 2 3 2 3" xfId="27676"/>
    <cellStyle name="Обычный 7 2 4 2 3 2 3 2" xfId="27677"/>
    <cellStyle name="Обычный 7 2 4 2 3 2 3 3" xfId="27678"/>
    <cellStyle name="Обычный 7 2 4 2 3 2 4" xfId="27679"/>
    <cellStyle name="Обычный 7 2 4 2 3 2 4 2" xfId="27680"/>
    <cellStyle name="Обычный 7 2 4 2 3 2 5" xfId="27681"/>
    <cellStyle name="Обычный 7 2 4 2 3 2 6" xfId="27682"/>
    <cellStyle name="Обычный 7 2 4 2 3 3" xfId="27683"/>
    <cellStyle name="Обычный 7 2 4 2 3 3 2" xfId="27684"/>
    <cellStyle name="Обычный 7 2 4 2 3 3 3" xfId="27685"/>
    <cellStyle name="Обычный 7 2 4 2 3 4" xfId="27686"/>
    <cellStyle name="Обычный 7 2 4 2 3 4 2" xfId="27687"/>
    <cellStyle name="Обычный 7 2 4 2 3 4 3" xfId="27688"/>
    <cellStyle name="Обычный 7 2 4 2 3 5" xfId="27689"/>
    <cellStyle name="Обычный 7 2 4 2 3 5 2" xfId="27690"/>
    <cellStyle name="Обычный 7 2 4 2 3 6" xfId="27691"/>
    <cellStyle name="Обычный 7 2 4 2 3 7" xfId="27692"/>
    <cellStyle name="Обычный 7 2 4 2 4" xfId="27693"/>
    <cellStyle name="Обычный 7 2 4 2 4 2" xfId="27694"/>
    <cellStyle name="Обычный 7 2 4 2 4 2 2" xfId="27695"/>
    <cellStyle name="Обычный 7 2 4 2 4 2 3" xfId="27696"/>
    <cellStyle name="Обычный 7 2 4 2 4 3" xfId="27697"/>
    <cellStyle name="Обычный 7 2 4 2 4 3 2" xfId="27698"/>
    <cellStyle name="Обычный 7 2 4 2 4 3 3" xfId="27699"/>
    <cellStyle name="Обычный 7 2 4 2 4 4" xfId="27700"/>
    <cellStyle name="Обычный 7 2 4 2 4 4 2" xfId="27701"/>
    <cellStyle name="Обычный 7 2 4 2 4 5" xfId="27702"/>
    <cellStyle name="Обычный 7 2 4 2 4 6" xfId="27703"/>
    <cellStyle name="Обычный 7 2 4 2 5" xfId="27704"/>
    <cellStyle name="Обычный 7 2 4 2 5 2" xfId="27705"/>
    <cellStyle name="Обычный 7 2 4 2 5 3" xfId="27706"/>
    <cellStyle name="Обычный 7 2 4 2 6" xfId="27707"/>
    <cellStyle name="Обычный 7 2 4 2 6 2" xfId="27708"/>
    <cellStyle name="Обычный 7 2 4 2 6 3" xfId="27709"/>
    <cellStyle name="Обычный 7 2 4 2 7" xfId="27710"/>
    <cellStyle name="Обычный 7 2 4 2 7 2" xfId="27711"/>
    <cellStyle name="Обычный 7 2 4 2 8" xfId="27712"/>
    <cellStyle name="Обычный 7 2 4 2 9" xfId="27713"/>
    <cellStyle name="Обычный 7 2 4 3" xfId="27714"/>
    <cellStyle name="Обычный 7 2 4 3 2" xfId="27715"/>
    <cellStyle name="Обычный 7 2 4 3 2 2" xfId="27716"/>
    <cellStyle name="Обычный 7 2 4 3 2 2 2" xfId="27717"/>
    <cellStyle name="Обычный 7 2 4 3 2 2 2 2" xfId="27718"/>
    <cellStyle name="Обычный 7 2 4 3 2 2 2 3" xfId="27719"/>
    <cellStyle name="Обычный 7 2 4 3 2 2 3" xfId="27720"/>
    <cellStyle name="Обычный 7 2 4 3 2 2 3 2" xfId="27721"/>
    <cellStyle name="Обычный 7 2 4 3 2 2 3 3" xfId="27722"/>
    <cellStyle name="Обычный 7 2 4 3 2 2 4" xfId="27723"/>
    <cellStyle name="Обычный 7 2 4 3 2 2 4 2" xfId="27724"/>
    <cellStyle name="Обычный 7 2 4 3 2 2 5" xfId="27725"/>
    <cellStyle name="Обычный 7 2 4 3 2 2 6" xfId="27726"/>
    <cellStyle name="Обычный 7 2 4 3 2 3" xfId="27727"/>
    <cellStyle name="Обычный 7 2 4 3 2 3 2" xfId="27728"/>
    <cellStyle name="Обычный 7 2 4 3 2 3 3" xfId="27729"/>
    <cellStyle name="Обычный 7 2 4 3 2 4" xfId="27730"/>
    <cellStyle name="Обычный 7 2 4 3 2 4 2" xfId="27731"/>
    <cellStyle name="Обычный 7 2 4 3 2 4 3" xfId="27732"/>
    <cellStyle name="Обычный 7 2 4 3 2 5" xfId="27733"/>
    <cellStyle name="Обычный 7 2 4 3 2 5 2" xfId="27734"/>
    <cellStyle name="Обычный 7 2 4 3 2 6" xfId="27735"/>
    <cellStyle name="Обычный 7 2 4 3 2 7" xfId="27736"/>
    <cellStyle name="Обычный 7 2 4 3 3" xfId="27737"/>
    <cellStyle name="Обычный 7 2 4 3 3 2" xfId="27738"/>
    <cellStyle name="Обычный 7 2 4 3 3 2 2" xfId="27739"/>
    <cellStyle name="Обычный 7 2 4 3 3 2 3" xfId="27740"/>
    <cellStyle name="Обычный 7 2 4 3 3 3" xfId="27741"/>
    <cellStyle name="Обычный 7 2 4 3 3 3 2" xfId="27742"/>
    <cellStyle name="Обычный 7 2 4 3 3 3 3" xfId="27743"/>
    <cellStyle name="Обычный 7 2 4 3 3 4" xfId="27744"/>
    <cellStyle name="Обычный 7 2 4 3 3 4 2" xfId="27745"/>
    <cellStyle name="Обычный 7 2 4 3 3 5" xfId="27746"/>
    <cellStyle name="Обычный 7 2 4 3 3 6" xfId="27747"/>
    <cellStyle name="Обычный 7 2 4 3 4" xfId="27748"/>
    <cellStyle name="Обычный 7 2 4 3 4 2" xfId="27749"/>
    <cellStyle name="Обычный 7 2 4 3 4 3" xfId="27750"/>
    <cellStyle name="Обычный 7 2 4 3 5" xfId="27751"/>
    <cellStyle name="Обычный 7 2 4 3 5 2" xfId="27752"/>
    <cellStyle name="Обычный 7 2 4 3 5 3" xfId="27753"/>
    <cellStyle name="Обычный 7 2 4 3 6" xfId="27754"/>
    <cellStyle name="Обычный 7 2 4 3 6 2" xfId="27755"/>
    <cellStyle name="Обычный 7 2 4 3 7" xfId="27756"/>
    <cellStyle name="Обычный 7 2 4 3 8" xfId="27757"/>
    <cellStyle name="Обычный 7 2 4 4" xfId="27758"/>
    <cellStyle name="Обычный 7 2 4 4 2" xfId="27759"/>
    <cellStyle name="Обычный 7 2 4 4 2 2" xfId="27760"/>
    <cellStyle name="Обычный 7 2 4 4 2 2 2" xfId="27761"/>
    <cellStyle name="Обычный 7 2 4 4 2 2 3" xfId="27762"/>
    <cellStyle name="Обычный 7 2 4 4 2 3" xfId="27763"/>
    <cellStyle name="Обычный 7 2 4 4 2 3 2" xfId="27764"/>
    <cellStyle name="Обычный 7 2 4 4 2 3 3" xfId="27765"/>
    <cellStyle name="Обычный 7 2 4 4 2 4" xfId="27766"/>
    <cellStyle name="Обычный 7 2 4 4 2 4 2" xfId="27767"/>
    <cellStyle name="Обычный 7 2 4 4 2 5" xfId="27768"/>
    <cellStyle name="Обычный 7 2 4 4 2 6" xfId="27769"/>
    <cellStyle name="Обычный 7 2 4 4 3" xfId="27770"/>
    <cellStyle name="Обычный 7 2 4 4 3 2" xfId="27771"/>
    <cellStyle name="Обычный 7 2 4 4 3 3" xfId="27772"/>
    <cellStyle name="Обычный 7 2 4 4 4" xfId="27773"/>
    <cellStyle name="Обычный 7 2 4 4 4 2" xfId="27774"/>
    <cellStyle name="Обычный 7 2 4 4 4 3" xfId="27775"/>
    <cellStyle name="Обычный 7 2 4 4 5" xfId="27776"/>
    <cellStyle name="Обычный 7 2 4 4 5 2" xfId="27777"/>
    <cellStyle name="Обычный 7 2 4 4 6" xfId="27778"/>
    <cellStyle name="Обычный 7 2 4 4 7" xfId="27779"/>
    <cellStyle name="Обычный 7 2 4 5" xfId="27780"/>
    <cellStyle name="Обычный 7 2 4 5 2" xfId="27781"/>
    <cellStyle name="Обычный 7 2 4 5 2 2" xfId="27782"/>
    <cellStyle name="Обычный 7 2 4 5 2 3" xfId="27783"/>
    <cellStyle name="Обычный 7 2 4 5 3" xfId="27784"/>
    <cellStyle name="Обычный 7 2 4 5 3 2" xfId="27785"/>
    <cellStyle name="Обычный 7 2 4 5 3 3" xfId="27786"/>
    <cellStyle name="Обычный 7 2 4 5 4" xfId="27787"/>
    <cellStyle name="Обычный 7 2 4 5 4 2" xfId="27788"/>
    <cellStyle name="Обычный 7 2 4 5 5" xfId="27789"/>
    <cellStyle name="Обычный 7 2 4 5 6" xfId="27790"/>
    <cellStyle name="Обычный 7 2 4 6" xfId="27791"/>
    <cellStyle name="Обычный 7 2 4 6 2" xfId="27792"/>
    <cellStyle name="Обычный 7 2 4 6 3" xfId="27793"/>
    <cellStyle name="Обычный 7 2 4 7" xfId="27794"/>
    <cellStyle name="Обычный 7 2 4 7 2" xfId="27795"/>
    <cellStyle name="Обычный 7 2 4 7 3" xfId="27796"/>
    <cellStyle name="Обычный 7 2 4 8" xfId="27797"/>
    <cellStyle name="Обычный 7 2 4 8 2" xfId="27798"/>
    <cellStyle name="Обычный 7 2 4 9" xfId="27799"/>
    <cellStyle name="Обычный 7 2 5" xfId="27800"/>
    <cellStyle name="Обычный 7 2 5 10" xfId="27801"/>
    <cellStyle name="Обычный 7 2 5 2" xfId="27802"/>
    <cellStyle name="Обычный 7 2 5 2 2" xfId="27803"/>
    <cellStyle name="Обычный 7 2 5 2 2 2" xfId="27804"/>
    <cellStyle name="Обычный 7 2 5 2 2 2 2" xfId="27805"/>
    <cellStyle name="Обычный 7 2 5 2 2 2 2 2" xfId="27806"/>
    <cellStyle name="Обычный 7 2 5 2 2 2 2 2 2" xfId="27807"/>
    <cellStyle name="Обычный 7 2 5 2 2 2 2 2 3" xfId="27808"/>
    <cellStyle name="Обычный 7 2 5 2 2 2 2 3" xfId="27809"/>
    <cellStyle name="Обычный 7 2 5 2 2 2 2 3 2" xfId="27810"/>
    <cellStyle name="Обычный 7 2 5 2 2 2 2 3 3" xfId="27811"/>
    <cellStyle name="Обычный 7 2 5 2 2 2 2 4" xfId="27812"/>
    <cellStyle name="Обычный 7 2 5 2 2 2 2 4 2" xfId="27813"/>
    <cellStyle name="Обычный 7 2 5 2 2 2 2 5" xfId="27814"/>
    <cellStyle name="Обычный 7 2 5 2 2 2 2 6" xfId="27815"/>
    <cellStyle name="Обычный 7 2 5 2 2 2 3" xfId="27816"/>
    <cellStyle name="Обычный 7 2 5 2 2 2 3 2" xfId="27817"/>
    <cellStyle name="Обычный 7 2 5 2 2 2 3 3" xfId="27818"/>
    <cellStyle name="Обычный 7 2 5 2 2 2 4" xfId="27819"/>
    <cellStyle name="Обычный 7 2 5 2 2 2 4 2" xfId="27820"/>
    <cellStyle name="Обычный 7 2 5 2 2 2 4 3" xfId="27821"/>
    <cellStyle name="Обычный 7 2 5 2 2 2 5" xfId="27822"/>
    <cellStyle name="Обычный 7 2 5 2 2 2 5 2" xfId="27823"/>
    <cellStyle name="Обычный 7 2 5 2 2 2 6" xfId="27824"/>
    <cellStyle name="Обычный 7 2 5 2 2 2 7" xfId="27825"/>
    <cellStyle name="Обычный 7 2 5 2 2 3" xfId="27826"/>
    <cellStyle name="Обычный 7 2 5 2 2 3 2" xfId="27827"/>
    <cellStyle name="Обычный 7 2 5 2 2 3 2 2" xfId="27828"/>
    <cellStyle name="Обычный 7 2 5 2 2 3 2 3" xfId="27829"/>
    <cellStyle name="Обычный 7 2 5 2 2 3 3" xfId="27830"/>
    <cellStyle name="Обычный 7 2 5 2 2 3 3 2" xfId="27831"/>
    <cellStyle name="Обычный 7 2 5 2 2 3 3 3" xfId="27832"/>
    <cellStyle name="Обычный 7 2 5 2 2 3 4" xfId="27833"/>
    <cellStyle name="Обычный 7 2 5 2 2 3 4 2" xfId="27834"/>
    <cellStyle name="Обычный 7 2 5 2 2 3 5" xfId="27835"/>
    <cellStyle name="Обычный 7 2 5 2 2 3 6" xfId="27836"/>
    <cellStyle name="Обычный 7 2 5 2 2 4" xfId="27837"/>
    <cellStyle name="Обычный 7 2 5 2 2 4 2" xfId="27838"/>
    <cellStyle name="Обычный 7 2 5 2 2 4 3" xfId="27839"/>
    <cellStyle name="Обычный 7 2 5 2 2 5" xfId="27840"/>
    <cellStyle name="Обычный 7 2 5 2 2 5 2" xfId="27841"/>
    <cellStyle name="Обычный 7 2 5 2 2 5 3" xfId="27842"/>
    <cellStyle name="Обычный 7 2 5 2 2 6" xfId="27843"/>
    <cellStyle name="Обычный 7 2 5 2 2 6 2" xfId="27844"/>
    <cellStyle name="Обычный 7 2 5 2 2 7" xfId="27845"/>
    <cellStyle name="Обычный 7 2 5 2 2 8" xfId="27846"/>
    <cellStyle name="Обычный 7 2 5 2 3" xfId="27847"/>
    <cellStyle name="Обычный 7 2 5 2 3 2" xfId="27848"/>
    <cellStyle name="Обычный 7 2 5 2 3 2 2" xfId="27849"/>
    <cellStyle name="Обычный 7 2 5 2 3 2 2 2" xfId="27850"/>
    <cellStyle name="Обычный 7 2 5 2 3 2 2 3" xfId="27851"/>
    <cellStyle name="Обычный 7 2 5 2 3 2 3" xfId="27852"/>
    <cellStyle name="Обычный 7 2 5 2 3 2 3 2" xfId="27853"/>
    <cellStyle name="Обычный 7 2 5 2 3 2 3 3" xfId="27854"/>
    <cellStyle name="Обычный 7 2 5 2 3 2 4" xfId="27855"/>
    <cellStyle name="Обычный 7 2 5 2 3 2 4 2" xfId="27856"/>
    <cellStyle name="Обычный 7 2 5 2 3 2 5" xfId="27857"/>
    <cellStyle name="Обычный 7 2 5 2 3 2 6" xfId="27858"/>
    <cellStyle name="Обычный 7 2 5 2 3 3" xfId="27859"/>
    <cellStyle name="Обычный 7 2 5 2 3 3 2" xfId="27860"/>
    <cellStyle name="Обычный 7 2 5 2 3 3 3" xfId="27861"/>
    <cellStyle name="Обычный 7 2 5 2 3 4" xfId="27862"/>
    <cellStyle name="Обычный 7 2 5 2 3 4 2" xfId="27863"/>
    <cellStyle name="Обычный 7 2 5 2 3 4 3" xfId="27864"/>
    <cellStyle name="Обычный 7 2 5 2 3 5" xfId="27865"/>
    <cellStyle name="Обычный 7 2 5 2 3 5 2" xfId="27866"/>
    <cellStyle name="Обычный 7 2 5 2 3 6" xfId="27867"/>
    <cellStyle name="Обычный 7 2 5 2 3 7" xfId="27868"/>
    <cellStyle name="Обычный 7 2 5 2 4" xfId="27869"/>
    <cellStyle name="Обычный 7 2 5 2 4 2" xfId="27870"/>
    <cellStyle name="Обычный 7 2 5 2 4 2 2" xfId="27871"/>
    <cellStyle name="Обычный 7 2 5 2 4 2 3" xfId="27872"/>
    <cellStyle name="Обычный 7 2 5 2 4 3" xfId="27873"/>
    <cellStyle name="Обычный 7 2 5 2 4 3 2" xfId="27874"/>
    <cellStyle name="Обычный 7 2 5 2 4 3 3" xfId="27875"/>
    <cellStyle name="Обычный 7 2 5 2 4 4" xfId="27876"/>
    <cellStyle name="Обычный 7 2 5 2 4 4 2" xfId="27877"/>
    <cellStyle name="Обычный 7 2 5 2 4 5" xfId="27878"/>
    <cellStyle name="Обычный 7 2 5 2 4 6" xfId="27879"/>
    <cellStyle name="Обычный 7 2 5 2 5" xfId="27880"/>
    <cellStyle name="Обычный 7 2 5 2 5 2" xfId="27881"/>
    <cellStyle name="Обычный 7 2 5 2 5 3" xfId="27882"/>
    <cellStyle name="Обычный 7 2 5 2 6" xfId="27883"/>
    <cellStyle name="Обычный 7 2 5 2 6 2" xfId="27884"/>
    <cellStyle name="Обычный 7 2 5 2 6 3" xfId="27885"/>
    <cellStyle name="Обычный 7 2 5 2 7" xfId="27886"/>
    <cellStyle name="Обычный 7 2 5 2 7 2" xfId="27887"/>
    <cellStyle name="Обычный 7 2 5 2 8" xfId="27888"/>
    <cellStyle name="Обычный 7 2 5 2 9" xfId="27889"/>
    <cellStyle name="Обычный 7 2 5 3" xfId="27890"/>
    <cellStyle name="Обычный 7 2 5 3 2" xfId="27891"/>
    <cellStyle name="Обычный 7 2 5 3 2 2" xfId="27892"/>
    <cellStyle name="Обычный 7 2 5 3 2 2 2" xfId="27893"/>
    <cellStyle name="Обычный 7 2 5 3 2 2 2 2" xfId="27894"/>
    <cellStyle name="Обычный 7 2 5 3 2 2 2 3" xfId="27895"/>
    <cellStyle name="Обычный 7 2 5 3 2 2 3" xfId="27896"/>
    <cellStyle name="Обычный 7 2 5 3 2 2 3 2" xfId="27897"/>
    <cellStyle name="Обычный 7 2 5 3 2 2 3 3" xfId="27898"/>
    <cellStyle name="Обычный 7 2 5 3 2 2 4" xfId="27899"/>
    <cellStyle name="Обычный 7 2 5 3 2 2 4 2" xfId="27900"/>
    <cellStyle name="Обычный 7 2 5 3 2 2 5" xfId="27901"/>
    <cellStyle name="Обычный 7 2 5 3 2 2 6" xfId="27902"/>
    <cellStyle name="Обычный 7 2 5 3 2 3" xfId="27903"/>
    <cellStyle name="Обычный 7 2 5 3 2 3 2" xfId="27904"/>
    <cellStyle name="Обычный 7 2 5 3 2 3 3" xfId="27905"/>
    <cellStyle name="Обычный 7 2 5 3 2 4" xfId="27906"/>
    <cellStyle name="Обычный 7 2 5 3 2 4 2" xfId="27907"/>
    <cellStyle name="Обычный 7 2 5 3 2 4 3" xfId="27908"/>
    <cellStyle name="Обычный 7 2 5 3 2 5" xfId="27909"/>
    <cellStyle name="Обычный 7 2 5 3 2 5 2" xfId="27910"/>
    <cellStyle name="Обычный 7 2 5 3 2 6" xfId="27911"/>
    <cellStyle name="Обычный 7 2 5 3 2 7" xfId="27912"/>
    <cellStyle name="Обычный 7 2 5 3 3" xfId="27913"/>
    <cellStyle name="Обычный 7 2 5 3 3 2" xfId="27914"/>
    <cellStyle name="Обычный 7 2 5 3 3 2 2" xfId="27915"/>
    <cellStyle name="Обычный 7 2 5 3 3 2 3" xfId="27916"/>
    <cellStyle name="Обычный 7 2 5 3 3 3" xfId="27917"/>
    <cellStyle name="Обычный 7 2 5 3 3 3 2" xfId="27918"/>
    <cellStyle name="Обычный 7 2 5 3 3 3 3" xfId="27919"/>
    <cellStyle name="Обычный 7 2 5 3 3 4" xfId="27920"/>
    <cellStyle name="Обычный 7 2 5 3 3 4 2" xfId="27921"/>
    <cellStyle name="Обычный 7 2 5 3 3 5" xfId="27922"/>
    <cellStyle name="Обычный 7 2 5 3 3 6" xfId="27923"/>
    <cellStyle name="Обычный 7 2 5 3 4" xfId="27924"/>
    <cellStyle name="Обычный 7 2 5 3 4 2" xfId="27925"/>
    <cellStyle name="Обычный 7 2 5 3 4 3" xfId="27926"/>
    <cellStyle name="Обычный 7 2 5 3 5" xfId="27927"/>
    <cellStyle name="Обычный 7 2 5 3 5 2" xfId="27928"/>
    <cellStyle name="Обычный 7 2 5 3 5 3" xfId="27929"/>
    <cellStyle name="Обычный 7 2 5 3 6" xfId="27930"/>
    <cellStyle name="Обычный 7 2 5 3 6 2" xfId="27931"/>
    <cellStyle name="Обычный 7 2 5 3 7" xfId="27932"/>
    <cellStyle name="Обычный 7 2 5 3 8" xfId="27933"/>
    <cellStyle name="Обычный 7 2 5 4" xfId="27934"/>
    <cellStyle name="Обычный 7 2 5 4 2" xfId="27935"/>
    <cellStyle name="Обычный 7 2 5 4 2 2" xfId="27936"/>
    <cellStyle name="Обычный 7 2 5 4 2 2 2" xfId="27937"/>
    <cellStyle name="Обычный 7 2 5 4 2 2 3" xfId="27938"/>
    <cellStyle name="Обычный 7 2 5 4 2 3" xfId="27939"/>
    <cellStyle name="Обычный 7 2 5 4 2 3 2" xfId="27940"/>
    <cellStyle name="Обычный 7 2 5 4 2 3 3" xfId="27941"/>
    <cellStyle name="Обычный 7 2 5 4 2 4" xfId="27942"/>
    <cellStyle name="Обычный 7 2 5 4 2 4 2" xfId="27943"/>
    <cellStyle name="Обычный 7 2 5 4 2 5" xfId="27944"/>
    <cellStyle name="Обычный 7 2 5 4 2 6" xfId="27945"/>
    <cellStyle name="Обычный 7 2 5 4 3" xfId="27946"/>
    <cellStyle name="Обычный 7 2 5 4 3 2" xfId="27947"/>
    <cellStyle name="Обычный 7 2 5 4 3 3" xfId="27948"/>
    <cellStyle name="Обычный 7 2 5 4 4" xfId="27949"/>
    <cellStyle name="Обычный 7 2 5 4 4 2" xfId="27950"/>
    <cellStyle name="Обычный 7 2 5 4 4 3" xfId="27951"/>
    <cellStyle name="Обычный 7 2 5 4 5" xfId="27952"/>
    <cellStyle name="Обычный 7 2 5 4 5 2" xfId="27953"/>
    <cellStyle name="Обычный 7 2 5 4 6" xfId="27954"/>
    <cellStyle name="Обычный 7 2 5 4 7" xfId="27955"/>
    <cellStyle name="Обычный 7 2 5 5" xfId="27956"/>
    <cellStyle name="Обычный 7 2 5 5 2" xfId="27957"/>
    <cellStyle name="Обычный 7 2 5 5 2 2" xfId="27958"/>
    <cellStyle name="Обычный 7 2 5 5 2 3" xfId="27959"/>
    <cellStyle name="Обычный 7 2 5 5 3" xfId="27960"/>
    <cellStyle name="Обычный 7 2 5 5 3 2" xfId="27961"/>
    <cellStyle name="Обычный 7 2 5 5 3 3" xfId="27962"/>
    <cellStyle name="Обычный 7 2 5 5 4" xfId="27963"/>
    <cellStyle name="Обычный 7 2 5 5 4 2" xfId="27964"/>
    <cellStyle name="Обычный 7 2 5 5 5" xfId="27965"/>
    <cellStyle name="Обычный 7 2 5 5 6" xfId="27966"/>
    <cellStyle name="Обычный 7 2 5 6" xfId="27967"/>
    <cellStyle name="Обычный 7 2 5 6 2" xfId="27968"/>
    <cellStyle name="Обычный 7 2 5 6 3" xfId="27969"/>
    <cellStyle name="Обычный 7 2 5 7" xfId="27970"/>
    <cellStyle name="Обычный 7 2 5 7 2" xfId="27971"/>
    <cellStyle name="Обычный 7 2 5 7 3" xfId="27972"/>
    <cellStyle name="Обычный 7 2 5 8" xfId="27973"/>
    <cellStyle name="Обычный 7 2 5 8 2" xfId="27974"/>
    <cellStyle name="Обычный 7 2 5 9" xfId="27975"/>
    <cellStyle name="Обычный 7 2 6" xfId="27976"/>
    <cellStyle name="Обычный 7 2 6 2" xfId="27977"/>
    <cellStyle name="Обычный 7 2 6 2 2" xfId="27978"/>
    <cellStyle name="Обычный 7 2 6 2 2 2" xfId="27979"/>
    <cellStyle name="Обычный 7 2 6 2 2 2 2" xfId="27980"/>
    <cellStyle name="Обычный 7 2 6 2 2 2 2 2" xfId="27981"/>
    <cellStyle name="Обычный 7 2 6 2 2 2 2 3" xfId="27982"/>
    <cellStyle name="Обычный 7 2 6 2 2 2 3" xfId="27983"/>
    <cellStyle name="Обычный 7 2 6 2 2 2 3 2" xfId="27984"/>
    <cellStyle name="Обычный 7 2 6 2 2 2 3 3" xfId="27985"/>
    <cellStyle name="Обычный 7 2 6 2 2 2 4" xfId="27986"/>
    <cellStyle name="Обычный 7 2 6 2 2 2 4 2" xfId="27987"/>
    <cellStyle name="Обычный 7 2 6 2 2 2 5" xfId="27988"/>
    <cellStyle name="Обычный 7 2 6 2 2 2 6" xfId="27989"/>
    <cellStyle name="Обычный 7 2 6 2 2 3" xfId="27990"/>
    <cellStyle name="Обычный 7 2 6 2 2 3 2" xfId="27991"/>
    <cellStyle name="Обычный 7 2 6 2 2 3 3" xfId="27992"/>
    <cellStyle name="Обычный 7 2 6 2 2 4" xfId="27993"/>
    <cellStyle name="Обычный 7 2 6 2 2 4 2" xfId="27994"/>
    <cellStyle name="Обычный 7 2 6 2 2 4 3" xfId="27995"/>
    <cellStyle name="Обычный 7 2 6 2 2 5" xfId="27996"/>
    <cellStyle name="Обычный 7 2 6 2 2 5 2" xfId="27997"/>
    <cellStyle name="Обычный 7 2 6 2 2 6" xfId="27998"/>
    <cellStyle name="Обычный 7 2 6 2 2 7" xfId="27999"/>
    <cellStyle name="Обычный 7 2 6 2 3" xfId="28000"/>
    <cellStyle name="Обычный 7 2 6 2 3 2" xfId="28001"/>
    <cellStyle name="Обычный 7 2 6 2 3 2 2" xfId="28002"/>
    <cellStyle name="Обычный 7 2 6 2 3 2 3" xfId="28003"/>
    <cellStyle name="Обычный 7 2 6 2 3 3" xfId="28004"/>
    <cellStyle name="Обычный 7 2 6 2 3 3 2" xfId="28005"/>
    <cellStyle name="Обычный 7 2 6 2 3 3 3" xfId="28006"/>
    <cellStyle name="Обычный 7 2 6 2 3 4" xfId="28007"/>
    <cellStyle name="Обычный 7 2 6 2 3 4 2" xfId="28008"/>
    <cellStyle name="Обычный 7 2 6 2 3 5" xfId="28009"/>
    <cellStyle name="Обычный 7 2 6 2 3 6" xfId="28010"/>
    <cellStyle name="Обычный 7 2 6 2 4" xfId="28011"/>
    <cellStyle name="Обычный 7 2 6 2 4 2" xfId="28012"/>
    <cellStyle name="Обычный 7 2 6 2 4 3" xfId="28013"/>
    <cellStyle name="Обычный 7 2 6 2 5" xfId="28014"/>
    <cellStyle name="Обычный 7 2 6 2 5 2" xfId="28015"/>
    <cellStyle name="Обычный 7 2 6 2 5 3" xfId="28016"/>
    <cellStyle name="Обычный 7 2 6 2 6" xfId="28017"/>
    <cellStyle name="Обычный 7 2 6 2 6 2" xfId="28018"/>
    <cellStyle name="Обычный 7 2 6 2 7" xfId="28019"/>
    <cellStyle name="Обычный 7 2 6 2 8" xfId="28020"/>
    <cellStyle name="Обычный 7 2 6 3" xfId="28021"/>
    <cellStyle name="Обычный 7 2 6 3 2" xfId="28022"/>
    <cellStyle name="Обычный 7 2 6 3 2 2" xfId="28023"/>
    <cellStyle name="Обычный 7 2 6 3 2 2 2" xfId="28024"/>
    <cellStyle name="Обычный 7 2 6 3 2 2 3" xfId="28025"/>
    <cellStyle name="Обычный 7 2 6 3 2 3" xfId="28026"/>
    <cellStyle name="Обычный 7 2 6 3 2 3 2" xfId="28027"/>
    <cellStyle name="Обычный 7 2 6 3 2 3 3" xfId="28028"/>
    <cellStyle name="Обычный 7 2 6 3 2 4" xfId="28029"/>
    <cellStyle name="Обычный 7 2 6 3 2 4 2" xfId="28030"/>
    <cellStyle name="Обычный 7 2 6 3 2 5" xfId="28031"/>
    <cellStyle name="Обычный 7 2 6 3 2 6" xfId="28032"/>
    <cellStyle name="Обычный 7 2 6 3 3" xfId="28033"/>
    <cellStyle name="Обычный 7 2 6 3 3 2" xfId="28034"/>
    <cellStyle name="Обычный 7 2 6 3 3 3" xfId="28035"/>
    <cellStyle name="Обычный 7 2 6 3 4" xfId="28036"/>
    <cellStyle name="Обычный 7 2 6 3 4 2" xfId="28037"/>
    <cellStyle name="Обычный 7 2 6 3 4 3" xfId="28038"/>
    <cellStyle name="Обычный 7 2 6 3 5" xfId="28039"/>
    <cellStyle name="Обычный 7 2 6 3 5 2" xfId="28040"/>
    <cellStyle name="Обычный 7 2 6 3 6" xfId="28041"/>
    <cellStyle name="Обычный 7 2 6 3 7" xfId="28042"/>
    <cellStyle name="Обычный 7 2 6 4" xfId="28043"/>
    <cellStyle name="Обычный 7 2 6 4 2" xfId="28044"/>
    <cellStyle name="Обычный 7 2 6 4 2 2" xfId="28045"/>
    <cellStyle name="Обычный 7 2 6 4 2 3" xfId="28046"/>
    <cellStyle name="Обычный 7 2 6 4 3" xfId="28047"/>
    <cellStyle name="Обычный 7 2 6 4 3 2" xfId="28048"/>
    <cellStyle name="Обычный 7 2 6 4 3 3" xfId="28049"/>
    <cellStyle name="Обычный 7 2 6 4 4" xfId="28050"/>
    <cellStyle name="Обычный 7 2 6 4 4 2" xfId="28051"/>
    <cellStyle name="Обычный 7 2 6 4 5" xfId="28052"/>
    <cellStyle name="Обычный 7 2 6 4 6" xfId="28053"/>
    <cellStyle name="Обычный 7 2 6 5" xfId="28054"/>
    <cellStyle name="Обычный 7 2 6 5 2" xfId="28055"/>
    <cellStyle name="Обычный 7 2 6 5 3" xfId="28056"/>
    <cellStyle name="Обычный 7 2 6 6" xfId="28057"/>
    <cellStyle name="Обычный 7 2 6 6 2" xfId="28058"/>
    <cellStyle name="Обычный 7 2 6 6 3" xfId="28059"/>
    <cellStyle name="Обычный 7 2 6 7" xfId="28060"/>
    <cellStyle name="Обычный 7 2 6 7 2" xfId="28061"/>
    <cellStyle name="Обычный 7 2 6 8" xfId="28062"/>
    <cellStyle name="Обычный 7 2 6 9" xfId="28063"/>
    <cellStyle name="Обычный 7 2 7" xfId="28064"/>
    <cellStyle name="Обычный 7 2 7 2" xfId="28065"/>
    <cellStyle name="Обычный 7 2 7 2 2" xfId="28066"/>
    <cellStyle name="Обычный 7 2 7 2 2 2" xfId="28067"/>
    <cellStyle name="Обычный 7 2 7 2 2 2 2" xfId="28068"/>
    <cellStyle name="Обычный 7 2 7 2 2 2 3" xfId="28069"/>
    <cellStyle name="Обычный 7 2 7 2 2 3" xfId="28070"/>
    <cellStyle name="Обычный 7 2 7 2 2 3 2" xfId="28071"/>
    <cellStyle name="Обычный 7 2 7 2 2 3 3" xfId="28072"/>
    <cellStyle name="Обычный 7 2 7 2 2 4" xfId="28073"/>
    <cellStyle name="Обычный 7 2 7 2 2 4 2" xfId="28074"/>
    <cellStyle name="Обычный 7 2 7 2 2 5" xfId="28075"/>
    <cellStyle name="Обычный 7 2 7 2 2 6" xfId="28076"/>
    <cellStyle name="Обычный 7 2 7 2 3" xfId="28077"/>
    <cellStyle name="Обычный 7 2 7 2 3 2" xfId="28078"/>
    <cellStyle name="Обычный 7 2 7 2 3 3" xfId="28079"/>
    <cellStyle name="Обычный 7 2 7 2 4" xfId="28080"/>
    <cellStyle name="Обычный 7 2 7 2 4 2" xfId="28081"/>
    <cellStyle name="Обычный 7 2 7 2 4 3" xfId="28082"/>
    <cellStyle name="Обычный 7 2 7 2 5" xfId="28083"/>
    <cellStyle name="Обычный 7 2 7 2 5 2" xfId="28084"/>
    <cellStyle name="Обычный 7 2 7 2 6" xfId="28085"/>
    <cellStyle name="Обычный 7 2 7 2 7" xfId="28086"/>
    <cellStyle name="Обычный 7 2 7 3" xfId="28087"/>
    <cellStyle name="Обычный 7 2 7 3 2" xfId="28088"/>
    <cellStyle name="Обычный 7 2 7 3 2 2" xfId="28089"/>
    <cellStyle name="Обычный 7 2 7 3 2 3" xfId="28090"/>
    <cellStyle name="Обычный 7 2 7 3 3" xfId="28091"/>
    <cellStyle name="Обычный 7 2 7 3 3 2" xfId="28092"/>
    <cellStyle name="Обычный 7 2 7 3 3 3" xfId="28093"/>
    <cellStyle name="Обычный 7 2 7 3 4" xfId="28094"/>
    <cellStyle name="Обычный 7 2 7 3 4 2" xfId="28095"/>
    <cellStyle name="Обычный 7 2 7 3 5" xfId="28096"/>
    <cellStyle name="Обычный 7 2 7 3 6" xfId="28097"/>
    <cellStyle name="Обычный 7 2 7 4" xfId="28098"/>
    <cellStyle name="Обычный 7 2 7 4 2" xfId="28099"/>
    <cellStyle name="Обычный 7 2 7 4 3" xfId="28100"/>
    <cellStyle name="Обычный 7 2 7 5" xfId="28101"/>
    <cellStyle name="Обычный 7 2 7 5 2" xfId="28102"/>
    <cellStyle name="Обычный 7 2 7 5 3" xfId="28103"/>
    <cellStyle name="Обычный 7 2 7 6" xfId="28104"/>
    <cellStyle name="Обычный 7 2 7 6 2" xfId="28105"/>
    <cellStyle name="Обычный 7 2 7 7" xfId="28106"/>
    <cellStyle name="Обычный 7 2 7 8" xfId="28107"/>
    <cellStyle name="Обычный 7 2 8" xfId="28108"/>
    <cellStyle name="Обычный 7 2 8 2" xfId="28109"/>
    <cellStyle name="Обычный 7 2 8 2 2" xfId="28110"/>
    <cellStyle name="Обычный 7 2 8 2 2 2" xfId="28111"/>
    <cellStyle name="Обычный 7 2 8 2 2 3" xfId="28112"/>
    <cellStyle name="Обычный 7 2 8 2 3" xfId="28113"/>
    <cellStyle name="Обычный 7 2 8 2 3 2" xfId="28114"/>
    <cellStyle name="Обычный 7 2 8 2 3 3" xfId="28115"/>
    <cellStyle name="Обычный 7 2 8 2 4" xfId="28116"/>
    <cellStyle name="Обычный 7 2 8 2 4 2" xfId="28117"/>
    <cellStyle name="Обычный 7 2 8 2 5" xfId="28118"/>
    <cellStyle name="Обычный 7 2 8 2 6" xfId="28119"/>
    <cellStyle name="Обычный 7 2 8 3" xfId="28120"/>
    <cellStyle name="Обычный 7 2 8 3 2" xfId="28121"/>
    <cellStyle name="Обычный 7 2 8 3 3" xfId="28122"/>
    <cellStyle name="Обычный 7 2 8 4" xfId="28123"/>
    <cellStyle name="Обычный 7 2 8 4 2" xfId="28124"/>
    <cellStyle name="Обычный 7 2 8 4 3" xfId="28125"/>
    <cellStyle name="Обычный 7 2 8 5" xfId="28126"/>
    <cellStyle name="Обычный 7 2 8 5 2" xfId="28127"/>
    <cellStyle name="Обычный 7 2 8 6" xfId="28128"/>
    <cellStyle name="Обычный 7 2 8 7" xfId="28129"/>
    <cellStyle name="Обычный 7 2 9" xfId="28130"/>
    <cellStyle name="Обычный 7 2 9 2" xfId="28131"/>
    <cellStyle name="Обычный 7 2 9 2 2" xfId="28132"/>
    <cellStyle name="Обычный 7 2 9 2 3" xfId="28133"/>
    <cellStyle name="Обычный 7 2 9 3" xfId="28134"/>
    <cellStyle name="Обычный 7 2 9 3 2" xfId="28135"/>
    <cellStyle name="Обычный 7 2 9 3 3" xfId="28136"/>
    <cellStyle name="Обычный 7 2 9 4" xfId="28137"/>
    <cellStyle name="Обычный 7 2 9 4 2" xfId="28138"/>
    <cellStyle name="Обычный 7 2 9 5" xfId="28139"/>
    <cellStyle name="Обычный 7 2 9 6" xfId="28140"/>
    <cellStyle name="Обычный 7 20" xfId="28141"/>
    <cellStyle name="Обычный 7 21" xfId="28142"/>
    <cellStyle name="Обычный 7 22" xfId="28143"/>
    <cellStyle name="Обычный 7 3" xfId="28144"/>
    <cellStyle name="Обычный 7 3 10" xfId="28145"/>
    <cellStyle name="Обычный 7 3 10 2" xfId="28146"/>
    <cellStyle name="Обычный 7 3 10 3" xfId="28147"/>
    <cellStyle name="Обычный 7 3 11" xfId="28148"/>
    <cellStyle name="Обычный 7 3 11 2" xfId="28149"/>
    <cellStyle name="Обычный 7 3 11 3" xfId="28150"/>
    <cellStyle name="Обычный 7 3 12" xfId="28151"/>
    <cellStyle name="Обычный 7 3 12 2" xfId="28152"/>
    <cellStyle name="Обычный 7 3 13" xfId="28153"/>
    <cellStyle name="Обычный 7 3 14" xfId="28154"/>
    <cellStyle name="Обычный 7 3 2" xfId="28155"/>
    <cellStyle name="Обычный 7 3 2 10" xfId="28156"/>
    <cellStyle name="Обычный 7 3 2 10 2" xfId="28157"/>
    <cellStyle name="Обычный 7 3 2 10 3" xfId="28158"/>
    <cellStyle name="Обычный 7 3 2 11" xfId="28159"/>
    <cellStyle name="Обычный 7 3 2 11 2" xfId="28160"/>
    <cellStyle name="Обычный 7 3 2 12" xfId="28161"/>
    <cellStyle name="Обычный 7 3 2 13" xfId="28162"/>
    <cellStyle name="Обычный 7 3 2 2" xfId="28163"/>
    <cellStyle name="Обычный 7 3 2 2 10" xfId="28164"/>
    <cellStyle name="Обычный 7 3 2 2 2" xfId="28165"/>
    <cellStyle name="Обычный 7 3 2 2 2 2" xfId="28166"/>
    <cellStyle name="Обычный 7 3 2 2 2 2 2" xfId="28167"/>
    <cellStyle name="Обычный 7 3 2 2 2 2 2 2" xfId="28168"/>
    <cellStyle name="Обычный 7 3 2 2 2 2 2 2 2" xfId="28169"/>
    <cellStyle name="Обычный 7 3 2 2 2 2 2 2 2 2" xfId="28170"/>
    <cellStyle name="Обычный 7 3 2 2 2 2 2 2 2 3" xfId="28171"/>
    <cellStyle name="Обычный 7 3 2 2 2 2 2 2 3" xfId="28172"/>
    <cellStyle name="Обычный 7 3 2 2 2 2 2 2 3 2" xfId="28173"/>
    <cellStyle name="Обычный 7 3 2 2 2 2 2 2 3 3" xfId="28174"/>
    <cellStyle name="Обычный 7 3 2 2 2 2 2 2 4" xfId="28175"/>
    <cellStyle name="Обычный 7 3 2 2 2 2 2 2 4 2" xfId="28176"/>
    <cellStyle name="Обычный 7 3 2 2 2 2 2 2 5" xfId="28177"/>
    <cellStyle name="Обычный 7 3 2 2 2 2 2 2 6" xfId="28178"/>
    <cellStyle name="Обычный 7 3 2 2 2 2 2 3" xfId="28179"/>
    <cellStyle name="Обычный 7 3 2 2 2 2 2 3 2" xfId="28180"/>
    <cellStyle name="Обычный 7 3 2 2 2 2 2 3 3" xfId="28181"/>
    <cellStyle name="Обычный 7 3 2 2 2 2 2 4" xfId="28182"/>
    <cellStyle name="Обычный 7 3 2 2 2 2 2 4 2" xfId="28183"/>
    <cellStyle name="Обычный 7 3 2 2 2 2 2 4 3" xfId="28184"/>
    <cellStyle name="Обычный 7 3 2 2 2 2 2 5" xfId="28185"/>
    <cellStyle name="Обычный 7 3 2 2 2 2 2 5 2" xfId="28186"/>
    <cellStyle name="Обычный 7 3 2 2 2 2 2 6" xfId="28187"/>
    <cellStyle name="Обычный 7 3 2 2 2 2 2 7" xfId="28188"/>
    <cellStyle name="Обычный 7 3 2 2 2 2 3" xfId="28189"/>
    <cellStyle name="Обычный 7 3 2 2 2 2 3 2" xfId="28190"/>
    <cellStyle name="Обычный 7 3 2 2 2 2 3 2 2" xfId="28191"/>
    <cellStyle name="Обычный 7 3 2 2 2 2 3 2 3" xfId="28192"/>
    <cellStyle name="Обычный 7 3 2 2 2 2 3 3" xfId="28193"/>
    <cellStyle name="Обычный 7 3 2 2 2 2 3 3 2" xfId="28194"/>
    <cellStyle name="Обычный 7 3 2 2 2 2 3 3 3" xfId="28195"/>
    <cellStyle name="Обычный 7 3 2 2 2 2 3 4" xfId="28196"/>
    <cellStyle name="Обычный 7 3 2 2 2 2 3 4 2" xfId="28197"/>
    <cellStyle name="Обычный 7 3 2 2 2 2 3 5" xfId="28198"/>
    <cellStyle name="Обычный 7 3 2 2 2 2 3 6" xfId="28199"/>
    <cellStyle name="Обычный 7 3 2 2 2 2 4" xfId="28200"/>
    <cellStyle name="Обычный 7 3 2 2 2 2 4 2" xfId="28201"/>
    <cellStyle name="Обычный 7 3 2 2 2 2 4 3" xfId="28202"/>
    <cellStyle name="Обычный 7 3 2 2 2 2 5" xfId="28203"/>
    <cellStyle name="Обычный 7 3 2 2 2 2 5 2" xfId="28204"/>
    <cellStyle name="Обычный 7 3 2 2 2 2 5 3" xfId="28205"/>
    <cellStyle name="Обычный 7 3 2 2 2 2 6" xfId="28206"/>
    <cellStyle name="Обычный 7 3 2 2 2 2 6 2" xfId="28207"/>
    <cellStyle name="Обычный 7 3 2 2 2 2 7" xfId="28208"/>
    <cellStyle name="Обычный 7 3 2 2 2 2 8" xfId="28209"/>
    <cellStyle name="Обычный 7 3 2 2 2 3" xfId="28210"/>
    <cellStyle name="Обычный 7 3 2 2 2 3 2" xfId="28211"/>
    <cellStyle name="Обычный 7 3 2 2 2 3 2 2" xfId="28212"/>
    <cellStyle name="Обычный 7 3 2 2 2 3 2 2 2" xfId="28213"/>
    <cellStyle name="Обычный 7 3 2 2 2 3 2 2 3" xfId="28214"/>
    <cellStyle name="Обычный 7 3 2 2 2 3 2 3" xfId="28215"/>
    <cellStyle name="Обычный 7 3 2 2 2 3 2 3 2" xfId="28216"/>
    <cellStyle name="Обычный 7 3 2 2 2 3 2 3 3" xfId="28217"/>
    <cellStyle name="Обычный 7 3 2 2 2 3 2 4" xfId="28218"/>
    <cellStyle name="Обычный 7 3 2 2 2 3 2 4 2" xfId="28219"/>
    <cellStyle name="Обычный 7 3 2 2 2 3 2 5" xfId="28220"/>
    <cellStyle name="Обычный 7 3 2 2 2 3 2 6" xfId="28221"/>
    <cellStyle name="Обычный 7 3 2 2 2 3 3" xfId="28222"/>
    <cellStyle name="Обычный 7 3 2 2 2 3 3 2" xfId="28223"/>
    <cellStyle name="Обычный 7 3 2 2 2 3 3 3" xfId="28224"/>
    <cellStyle name="Обычный 7 3 2 2 2 3 4" xfId="28225"/>
    <cellStyle name="Обычный 7 3 2 2 2 3 4 2" xfId="28226"/>
    <cellStyle name="Обычный 7 3 2 2 2 3 4 3" xfId="28227"/>
    <cellStyle name="Обычный 7 3 2 2 2 3 5" xfId="28228"/>
    <cellStyle name="Обычный 7 3 2 2 2 3 5 2" xfId="28229"/>
    <cellStyle name="Обычный 7 3 2 2 2 3 6" xfId="28230"/>
    <cellStyle name="Обычный 7 3 2 2 2 3 7" xfId="28231"/>
    <cellStyle name="Обычный 7 3 2 2 2 4" xfId="28232"/>
    <cellStyle name="Обычный 7 3 2 2 2 4 2" xfId="28233"/>
    <cellStyle name="Обычный 7 3 2 2 2 4 2 2" xfId="28234"/>
    <cellStyle name="Обычный 7 3 2 2 2 4 2 3" xfId="28235"/>
    <cellStyle name="Обычный 7 3 2 2 2 4 3" xfId="28236"/>
    <cellStyle name="Обычный 7 3 2 2 2 4 3 2" xfId="28237"/>
    <cellStyle name="Обычный 7 3 2 2 2 4 3 3" xfId="28238"/>
    <cellStyle name="Обычный 7 3 2 2 2 4 4" xfId="28239"/>
    <cellStyle name="Обычный 7 3 2 2 2 4 4 2" xfId="28240"/>
    <cellStyle name="Обычный 7 3 2 2 2 4 5" xfId="28241"/>
    <cellStyle name="Обычный 7 3 2 2 2 4 6" xfId="28242"/>
    <cellStyle name="Обычный 7 3 2 2 2 5" xfId="28243"/>
    <cellStyle name="Обычный 7 3 2 2 2 5 2" xfId="28244"/>
    <cellStyle name="Обычный 7 3 2 2 2 5 3" xfId="28245"/>
    <cellStyle name="Обычный 7 3 2 2 2 6" xfId="28246"/>
    <cellStyle name="Обычный 7 3 2 2 2 6 2" xfId="28247"/>
    <cellStyle name="Обычный 7 3 2 2 2 6 3" xfId="28248"/>
    <cellStyle name="Обычный 7 3 2 2 2 7" xfId="28249"/>
    <cellStyle name="Обычный 7 3 2 2 2 7 2" xfId="28250"/>
    <cellStyle name="Обычный 7 3 2 2 2 8" xfId="28251"/>
    <cellStyle name="Обычный 7 3 2 2 2 9" xfId="28252"/>
    <cellStyle name="Обычный 7 3 2 2 3" xfId="28253"/>
    <cellStyle name="Обычный 7 3 2 2 3 2" xfId="28254"/>
    <cellStyle name="Обычный 7 3 2 2 3 2 2" xfId="28255"/>
    <cellStyle name="Обычный 7 3 2 2 3 2 2 2" xfId="28256"/>
    <cellStyle name="Обычный 7 3 2 2 3 2 2 2 2" xfId="28257"/>
    <cellStyle name="Обычный 7 3 2 2 3 2 2 2 3" xfId="28258"/>
    <cellStyle name="Обычный 7 3 2 2 3 2 2 3" xfId="28259"/>
    <cellStyle name="Обычный 7 3 2 2 3 2 2 3 2" xfId="28260"/>
    <cellStyle name="Обычный 7 3 2 2 3 2 2 3 3" xfId="28261"/>
    <cellStyle name="Обычный 7 3 2 2 3 2 2 4" xfId="28262"/>
    <cellStyle name="Обычный 7 3 2 2 3 2 2 4 2" xfId="28263"/>
    <cellStyle name="Обычный 7 3 2 2 3 2 2 5" xfId="28264"/>
    <cellStyle name="Обычный 7 3 2 2 3 2 2 6" xfId="28265"/>
    <cellStyle name="Обычный 7 3 2 2 3 2 3" xfId="28266"/>
    <cellStyle name="Обычный 7 3 2 2 3 2 3 2" xfId="28267"/>
    <cellStyle name="Обычный 7 3 2 2 3 2 3 3" xfId="28268"/>
    <cellStyle name="Обычный 7 3 2 2 3 2 4" xfId="28269"/>
    <cellStyle name="Обычный 7 3 2 2 3 2 4 2" xfId="28270"/>
    <cellStyle name="Обычный 7 3 2 2 3 2 4 3" xfId="28271"/>
    <cellStyle name="Обычный 7 3 2 2 3 2 5" xfId="28272"/>
    <cellStyle name="Обычный 7 3 2 2 3 2 5 2" xfId="28273"/>
    <cellStyle name="Обычный 7 3 2 2 3 2 6" xfId="28274"/>
    <cellStyle name="Обычный 7 3 2 2 3 2 7" xfId="28275"/>
    <cellStyle name="Обычный 7 3 2 2 3 3" xfId="28276"/>
    <cellStyle name="Обычный 7 3 2 2 3 3 2" xfId="28277"/>
    <cellStyle name="Обычный 7 3 2 2 3 3 2 2" xfId="28278"/>
    <cellStyle name="Обычный 7 3 2 2 3 3 2 3" xfId="28279"/>
    <cellStyle name="Обычный 7 3 2 2 3 3 3" xfId="28280"/>
    <cellStyle name="Обычный 7 3 2 2 3 3 3 2" xfId="28281"/>
    <cellStyle name="Обычный 7 3 2 2 3 3 3 3" xfId="28282"/>
    <cellStyle name="Обычный 7 3 2 2 3 3 4" xfId="28283"/>
    <cellStyle name="Обычный 7 3 2 2 3 3 4 2" xfId="28284"/>
    <cellStyle name="Обычный 7 3 2 2 3 3 5" xfId="28285"/>
    <cellStyle name="Обычный 7 3 2 2 3 3 6" xfId="28286"/>
    <cellStyle name="Обычный 7 3 2 2 3 4" xfId="28287"/>
    <cellStyle name="Обычный 7 3 2 2 3 4 2" xfId="28288"/>
    <cellStyle name="Обычный 7 3 2 2 3 4 3" xfId="28289"/>
    <cellStyle name="Обычный 7 3 2 2 3 5" xfId="28290"/>
    <cellStyle name="Обычный 7 3 2 2 3 5 2" xfId="28291"/>
    <cellStyle name="Обычный 7 3 2 2 3 5 3" xfId="28292"/>
    <cellStyle name="Обычный 7 3 2 2 3 6" xfId="28293"/>
    <cellStyle name="Обычный 7 3 2 2 3 6 2" xfId="28294"/>
    <cellStyle name="Обычный 7 3 2 2 3 7" xfId="28295"/>
    <cellStyle name="Обычный 7 3 2 2 3 8" xfId="28296"/>
    <cellStyle name="Обычный 7 3 2 2 4" xfId="28297"/>
    <cellStyle name="Обычный 7 3 2 2 4 2" xfId="28298"/>
    <cellStyle name="Обычный 7 3 2 2 4 2 2" xfId="28299"/>
    <cellStyle name="Обычный 7 3 2 2 4 2 2 2" xfId="28300"/>
    <cellStyle name="Обычный 7 3 2 2 4 2 2 3" xfId="28301"/>
    <cellStyle name="Обычный 7 3 2 2 4 2 3" xfId="28302"/>
    <cellStyle name="Обычный 7 3 2 2 4 2 3 2" xfId="28303"/>
    <cellStyle name="Обычный 7 3 2 2 4 2 3 3" xfId="28304"/>
    <cellStyle name="Обычный 7 3 2 2 4 2 4" xfId="28305"/>
    <cellStyle name="Обычный 7 3 2 2 4 2 4 2" xfId="28306"/>
    <cellStyle name="Обычный 7 3 2 2 4 2 5" xfId="28307"/>
    <cellStyle name="Обычный 7 3 2 2 4 2 6" xfId="28308"/>
    <cellStyle name="Обычный 7 3 2 2 4 3" xfId="28309"/>
    <cellStyle name="Обычный 7 3 2 2 4 3 2" xfId="28310"/>
    <cellStyle name="Обычный 7 3 2 2 4 3 3" xfId="28311"/>
    <cellStyle name="Обычный 7 3 2 2 4 4" xfId="28312"/>
    <cellStyle name="Обычный 7 3 2 2 4 4 2" xfId="28313"/>
    <cellStyle name="Обычный 7 3 2 2 4 4 3" xfId="28314"/>
    <cellStyle name="Обычный 7 3 2 2 4 5" xfId="28315"/>
    <cellStyle name="Обычный 7 3 2 2 4 5 2" xfId="28316"/>
    <cellStyle name="Обычный 7 3 2 2 4 6" xfId="28317"/>
    <cellStyle name="Обычный 7 3 2 2 4 7" xfId="28318"/>
    <cellStyle name="Обычный 7 3 2 2 5" xfId="28319"/>
    <cellStyle name="Обычный 7 3 2 2 5 2" xfId="28320"/>
    <cellStyle name="Обычный 7 3 2 2 5 2 2" xfId="28321"/>
    <cellStyle name="Обычный 7 3 2 2 5 2 3" xfId="28322"/>
    <cellStyle name="Обычный 7 3 2 2 5 3" xfId="28323"/>
    <cellStyle name="Обычный 7 3 2 2 5 3 2" xfId="28324"/>
    <cellStyle name="Обычный 7 3 2 2 5 3 3" xfId="28325"/>
    <cellStyle name="Обычный 7 3 2 2 5 4" xfId="28326"/>
    <cellStyle name="Обычный 7 3 2 2 5 4 2" xfId="28327"/>
    <cellStyle name="Обычный 7 3 2 2 5 5" xfId="28328"/>
    <cellStyle name="Обычный 7 3 2 2 5 6" xfId="28329"/>
    <cellStyle name="Обычный 7 3 2 2 6" xfId="28330"/>
    <cellStyle name="Обычный 7 3 2 2 6 2" xfId="28331"/>
    <cellStyle name="Обычный 7 3 2 2 6 3" xfId="28332"/>
    <cellStyle name="Обычный 7 3 2 2 7" xfId="28333"/>
    <cellStyle name="Обычный 7 3 2 2 7 2" xfId="28334"/>
    <cellStyle name="Обычный 7 3 2 2 7 3" xfId="28335"/>
    <cellStyle name="Обычный 7 3 2 2 8" xfId="28336"/>
    <cellStyle name="Обычный 7 3 2 2 8 2" xfId="28337"/>
    <cellStyle name="Обычный 7 3 2 2 9" xfId="28338"/>
    <cellStyle name="Обычный 7 3 2 3" xfId="28339"/>
    <cellStyle name="Обычный 7 3 2 3 10" xfId="28340"/>
    <cellStyle name="Обычный 7 3 2 3 2" xfId="28341"/>
    <cellStyle name="Обычный 7 3 2 3 2 2" xfId="28342"/>
    <cellStyle name="Обычный 7 3 2 3 2 2 2" xfId="28343"/>
    <cellStyle name="Обычный 7 3 2 3 2 2 2 2" xfId="28344"/>
    <cellStyle name="Обычный 7 3 2 3 2 2 2 2 2" xfId="28345"/>
    <cellStyle name="Обычный 7 3 2 3 2 2 2 2 2 2" xfId="28346"/>
    <cellStyle name="Обычный 7 3 2 3 2 2 2 2 2 3" xfId="28347"/>
    <cellStyle name="Обычный 7 3 2 3 2 2 2 2 3" xfId="28348"/>
    <cellStyle name="Обычный 7 3 2 3 2 2 2 2 3 2" xfId="28349"/>
    <cellStyle name="Обычный 7 3 2 3 2 2 2 2 3 3" xfId="28350"/>
    <cellStyle name="Обычный 7 3 2 3 2 2 2 2 4" xfId="28351"/>
    <cellStyle name="Обычный 7 3 2 3 2 2 2 2 4 2" xfId="28352"/>
    <cellStyle name="Обычный 7 3 2 3 2 2 2 2 5" xfId="28353"/>
    <cellStyle name="Обычный 7 3 2 3 2 2 2 2 6" xfId="28354"/>
    <cellStyle name="Обычный 7 3 2 3 2 2 2 3" xfId="28355"/>
    <cellStyle name="Обычный 7 3 2 3 2 2 2 3 2" xfId="28356"/>
    <cellStyle name="Обычный 7 3 2 3 2 2 2 3 3" xfId="28357"/>
    <cellStyle name="Обычный 7 3 2 3 2 2 2 4" xfId="28358"/>
    <cellStyle name="Обычный 7 3 2 3 2 2 2 4 2" xfId="28359"/>
    <cellStyle name="Обычный 7 3 2 3 2 2 2 4 3" xfId="28360"/>
    <cellStyle name="Обычный 7 3 2 3 2 2 2 5" xfId="28361"/>
    <cellStyle name="Обычный 7 3 2 3 2 2 2 5 2" xfId="28362"/>
    <cellStyle name="Обычный 7 3 2 3 2 2 2 6" xfId="28363"/>
    <cellStyle name="Обычный 7 3 2 3 2 2 2 7" xfId="28364"/>
    <cellStyle name="Обычный 7 3 2 3 2 2 3" xfId="28365"/>
    <cellStyle name="Обычный 7 3 2 3 2 2 3 2" xfId="28366"/>
    <cellStyle name="Обычный 7 3 2 3 2 2 3 2 2" xfId="28367"/>
    <cellStyle name="Обычный 7 3 2 3 2 2 3 2 3" xfId="28368"/>
    <cellStyle name="Обычный 7 3 2 3 2 2 3 3" xfId="28369"/>
    <cellStyle name="Обычный 7 3 2 3 2 2 3 3 2" xfId="28370"/>
    <cellStyle name="Обычный 7 3 2 3 2 2 3 3 3" xfId="28371"/>
    <cellStyle name="Обычный 7 3 2 3 2 2 3 4" xfId="28372"/>
    <cellStyle name="Обычный 7 3 2 3 2 2 3 4 2" xfId="28373"/>
    <cellStyle name="Обычный 7 3 2 3 2 2 3 5" xfId="28374"/>
    <cellStyle name="Обычный 7 3 2 3 2 2 3 6" xfId="28375"/>
    <cellStyle name="Обычный 7 3 2 3 2 2 4" xfId="28376"/>
    <cellStyle name="Обычный 7 3 2 3 2 2 4 2" xfId="28377"/>
    <cellStyle name="Обычный 7 3 2 3 2 2 4 3" xfId="28378"/>
    <cellStyle name="Обычный 7 3 2 3 2 2 5" xfId="28379"/>
    <cellStyle name="Обычный 7 3 2 3 2 2 5 2" xfId="28380"/>
    <cellStyle name="Обычный 7 3 2 3 2 2 5 3" xfId="28381"/>
    <cellStyle name="Обычный 7 3 2 3 2 2 6" xfId="28382"/>
    <cellStyle name="Обычный 7 3 2 3 2 2 6 2" xfId="28383"/>
    <cellStyle name="Обычный 7 3 2 3 2 2 7" xfId="28384"/>
    <cellStyle name="Обычный 7 3 2 3 2 2 8" xfId="28385"/>
    <cellStyle name="Обычный 7 3 2 3 2 3" xfId="28386"/>
    <cellStyle name="Обычный 7 3 2 3 2 3 2" xfId="28387"/>
    <cellStyle name="Обычный 7 3 2 3 2 3 2 2" xfId="28388"/>
    <cellStyle name="Обычный 7 3 2 3 2 3 2 2 2" xfId="28389"/>
    <cellStyle name="Обычный 7 3 2 3 2 3 2 2 3" xfId="28390"/>
    <cellStyle name="Обычный 7 3 2 3 2 3 2 3" xfId="28391"/>
    <cellStyle name="Обычный 7 3 2 3 2 3 2 3 2" xfId="28392"/>
    <cellStyle name="Обычный 7 3 2 3 2 3 2 3 3" xfId="28393"/>
    <cellStyle name="Обычный 7 3 2 3 2 3 2 4" xfId="28394"/>
    <cellStyle name="Обычный 7 3 2 3 2 3 2 4 2" xfId="28395"/>
    <cellStyle name="Обычный 7 3 2 3 2 3 2 5" xfId="28396"/>
    <cellStyle name="Обычный 7 3 2 3 2 3 2 6" xfId="28397"/>
    <cellStyle name="Обычный 7 3 2 3 2 3 3" xfId="28398"/>
    <cellStyle name="Обычный 7 3 2 3 2 3 3 2" xfId="28399"/>
    <cellStyle name="Обычный 7 3 2 3 2 3 3 3" xfId="28400"/>
    <cellStyle name="Обычный 7 3 2 3 2 3 4" xfId="28401"/>
    <cellStyle name="Обычный 7 3 2 3 2 3 4 2" xfId="28402"/>
    <cellStyle name="Обычный 7 3 2 3 2 3 4 3" xfId="28403"/>
    <cellStyle name="Обычный 7 3 2 3 2 3 5" xfId="28404"/>
    <cellStyle name="Обычный 7 3 2 3 2 3 5 2" xfId="28405"/>
    <cellStyle name="Обычный 7 3 2 3 2 3 6" xfId="28406"/>
    <cellStyle name="Обычный 7 3 2 3 2 3 7" xfId="28407"/>
    <cellStyle name="Обычный 7 3 2 3 2 4" xfId="28408"/>
    <cellStyle name="Обычный 7 3 2 3 2 4 2" xfId="28409"/>
    <cellStyle name="Обычный 7 3 2 3 2 4 2 2" xfId="28410"/>
    <cellStyle name="Обычный 7 3 2 3 2 4 2 3" xfId="28411"/>
    <cellStyle name="Обычный 7 3 2 3 2 4 3" xfId="28412"/>
    <cellStyle name="Обычный 7 3 2 3 2 4 3 2" xfId="28413"/>
    <cellStyle name="Обычный 7 3 2 3 2 4 3 3" xfId="28414"/>
    <cellStyle name="Обычный 7 3 2 3 2 4 4" xfId="28415"/>
    <cellStyle name="Обычный 7 3 2 3 2 4 4 2" xfId="28416"/>
    <cellStyle name="Обычный 7 3 2 3 2 4 5" xfId="28417"/>
    <cellStyle name="Обычный 7 3 2 3 2 4 6" xfId="28418"/>
    <cellStyle name="Обычный 7 3 2 3 2 5" xfId="28419"/>
    <cellStyle name="Обычный 7 3 2 3 2 5 2" xfId="28420"/>
    <cellStyle name="Обычный 7 3 2 3 2 5 3" xfId="28421"/>
    <cellStyle name="Обычный 7 3 2 3 2 6" xfId="28422"/>
    <cellStyle name="Обычный 7 3 2 3 2 6 2" xfId="28423"/>
    <cellStyle name="Обычный 7 3 2 3 2 6 3" xfId="28424"/>
    <cellStyle name="Обычный 7 3 2 3 2 7" xfId="28425"/>
    <cellStyle name="Обычный 7 3 2 3 2 7 2" xfId="28426"/>
    <cellStyle name="Обычный 7 3 2 3 2 8" xfId="28427"/>
    <cellStyle name="Обычный 7 3 2 3 2 9" xfId="28428"/>
    <cellStyle name="Обычный 7 3 2 3 3" xfId="28429"/>
    <cellStyle name="Обычный 7 3 2 3 3 2" xfId="28430"/>
    <cellStyle name="Обычный 7 3 2 3 3 2 2" xfId="28431"/>
    <cellStyle name="Обычный 7 3 2 3 3 2 2 2" xfId="28432"/>
    <cellStyle name="Обычный 7 3 2 3 3 2 2 2 2" xfId="28433"/>
    <cellStyle name="Обычный 7 3 2 3 3 2 2 2 3" xfId="28434"/>
    <cellStyle name="Обычный 7 3 2 3 3 2 2 3" xfId="28435"/>
    <cellStyle name="Обычный 7 3 2 3 3 2 2 3 2" xfId="28436"/>
    <cellStyle name="Обычный 7 3 2 3 3 2 2 3 3" xfId="28437"/>
    <cellStyle name="Обычный 7 3 2 3 3 2 2 4" xfId="28438"/>
    <cellStyle name="Обычный 7 3 2 3 3 2 2 4 2" xfId="28439"/>
    <cellStyle name="Обычный 7 3 2 3 3 2 2 5" xfId="28440"/>
    <cellStyle name="Обычный 7 3 2 3 3 2 2 6" xfId="28441"/>
    <cellStyle name="Обычный 7 3 2 3 3 2 3" xfId="28442"/>
    <cellStyle name="Обычный 7 3 2 3 3 2 3 2" xfId="28443"/>
    <cellStyle name="Обычный 7 3 2 3 3 2 3 3" xfId="28444"/>
    <cellStyle name="Обычный 7 3 2 3 3 2 4" xfId="28445"/>
    <cellStyle name="Обычный 7 3 2 3 3 2 4 2" xfId="28446"/>
    <cellStyle name="Обычный 7 3 2 3 3 2 4 3" xfId="28447"/>
    <cellStyle name="Обычный 7 3 2 3 3 2 5" xfId="28448"/>
    <cellStyle name="Обычный 7 3 2 3 3 2 5 2" xfId="28449"/>
    <cellStyle name="Обычный 7 3 2 3 3 2 6" xfId="28450"/>
    <cellStyle name="Обычный 7 3 2 3 3 2 7" xfId="28451"/>
    <cellStyle name="Обычный 7 3 2 3 3 3" xfId="28452"/>
    <cellStyle name="Обычный 7 3 2 3 3 3 2" xfId="28453"/>
    <cellStyle name="Обычный 7 3 2 3 3 3 2 2" xfId="28454"/>
    <cellStyle name="Обычный 7 3 2 3 3 3 2 3" xfId="28455"/>
    <cellStyle name="Обычный 7 3 2 3 3 3 3" xfId="28456"/>
    <cellStyle name="Обычный 7 3 2 3 3 3 3 2" xfId="28457"/>
    <cellStyle name="Обычный 7 3 2 3 3 3 3 3" xfId="28458"/>
    <cellStyle name="Обычный 7 3 2 3 3 3 4" xfId="28459"/>
    <cellStyle name="Обычный 7 3 2 3 3 3 4 2" xfId="28460"/>
    <cellStyle name="Обычный 7 3 2 3 3 3 5" xfId="28461"/>
    <cellStyle name="Обычный 7 3 2 3 3 3 6" xfId="28462"/>
    <cellStyle name="Обычный 7 3 2 3 3 4" xfId="28463"/>
    <cellStyle name="Обычный 7 3 2 3 3 4 2" xfId="28464"/>
    <cellStyle name="Обычный 7 3 2 3 3 4 3" xfId="28465"/>
    <cellStyle name="Обычный 7 3 2 3 3 5" xfId="28466"/>
    <cellStyle name="Обычный 7 3 2 3 3 5 2" xfId="28467"/>
    <cellStyle name="Обычный 7 3 2 3 3 5 3" xfId="28468"/>
    <cellStyle name="Обычный 7 3 2 3 3 6" xfId="28469"/>
    <cellStyle name="Обычный 7 3 2 3 3 6 2" xfId="28470"/>
    <cellStyle name="Обычный 7 3 2 3 3 7" xfId="28471"/>
    <cellStyle name="Обычный 7 3 2 3 3 8" xfId="28472"/>
    <cellStyle name="Обычный 7 3 2 3 4" xfId="28473"/>
    <cellStyle name="Обычный 7 3 2 3 4 2" xfId="28474"/>
    <cellStyle name="Обычный 7 3 2 3 4 2 2" xfId="28475"/>
    <cellStyle name="Обычный 7 3 2 3 4 2 2 2" xfId="28476"/>
    <cellStyle name="Обычный 7 3 2 3 4 2 2 3" xfId="28477"/>
    <cellStyle name="Обычный 7 3 2 3 4 2 3" xfId="28478"/>
    <cellStyle name="Обычный 7 3 2 3 4 2 3 2" xfId="28479"/>
    <cellStyle name="Обычный 7 3 2 3 4 2 3 3" xfId="28480"/>
    <cellStyle name="Обычный 7 3 2 3 4 2 4" xfId="28481"/>
    <cellStyle name="Обычный 7 3 2 3 4 2 4 2" xfId="28482"/>
    <cellStyle name="Обычный 7 3 2 3 4 2 5" xfId="28483"/>
    <cellStyle name="Обычный 7 3 2 3 4 2 6" xfId="28484"/>
    <cellStyle name="Обычный 7 3 2 3 4 3" xfId="28485"/>
    <cellStyle name="Обычный 7 3 2 3 4 3 2" xfId="28486"/>
    <cellStyle name="Обычный 7 3 2 3 4 3 3" xfId="28487"/>
    <cellStyle name="Обычный 7 3 2 3 4 4" xfId="28488"/>
    <cellStyle name="Обычный 7 3 2 3 4 4 2" xfId="28489"/>
    <cellStyle name="Обычный 7 3 2 3 4 4 3" xfId="28490"/>
    <cellStyle name="Обычный 7 3 2 3 4 5" xfId="28491"/>
    <cellStyle name="Обычный 7 3 2 3 4 5 2" xfId="28492"/>
    <cellStyle name="Обычный 7 3 2 3 4 6" xfId="28493"/>
    <cellStyle name="Обычный 7 3 2 3 4 7" xfId="28494"/>
    <cellStyle name="Обычный 7 3 2 3 5" xfId="28495"/>
    <cellStyle name="Обычный 7 3 2 3 5 2" xfId="28496"/>
    <cellStyle name="Обычный 7 3 2 3 5 2 2" xfId="28497"/>
    <cellStyle name="Обычный 7 3 2 3 5 2 3" xfId="28498"/>
    <cellStyle name="Обычный 7 3 2 3 5 3" xfId="28499"/>
    <cellStyle name="Обычный 7 3 2 3 5 3 2" xfId="28500"/>
    <cellStyle name="Обычный 7 3 2 3 5 3 3" xfId="28501"/>
    <cellStyle name="Обычный 7 3 2 3 5 4" xfId="28502"/>
    <cellStyle name="Обычный 7 3 2 3 5 4 2" xfId="28503"/>
    <cellStyle name="Обычный 7 3 2 3 5 5" xfId="28504"/>
    <cellStyle name="Обычный 7 3 2 3 5 6" xfId="28505"/>
    <cellStyle name="Обычный 7 3 2 3 6" xfId="28506"/>
    <cellStyle name="Обычный 7 3 2 3 6 2" xfId="28507"/>
    <cellStyle name="Обычный 7 3 2 3 6 3" xfId="28508"/>
    <cellStyle name="Обычный 7 3 2 3 7" xfId="28509"/>
    <cellStyle name="Обычный 7 3 2 3 7 2" xfId="28510"/>
    <cellStyle name="Обычный 7 3 2 3 7 3" xfId="28511"/>
    <cellStyle name="Обычный 7 3 2 3 8" xfId="28512"/>
    <cellStyle name="Обычный 7 3 2 3 8 2" xfId="28513"/>
    <cellStyle name="Обычный 7 3 2 3 9" xfId="28514"/>
    <cellStyle name="Обычный 7 3 2 4" xfId="28515"/>
    <cellStyle name="Обычный 7 3 2 4 10" xfId="28516"/>
    <cellStyle name="Обычный 7 3 2 4 2" xfId="28517"/>
    <cellStyle name="Обычный 7 3 2 4 2 2" xfId="28518"/>
    <cellStyle name="Обычный 7 3 2 4 2 2 2" xfId="28519"/>
    <cellStyle name="Обычный 7 3 2 4 2 2 2 2" xfId="28520"/>
    <cellStyle name="Обычный 7 3 2 4 2 2 2 2 2" xfId="28521"/>
    <cellStyle name="Обычный 7 3 2 4 2 2 2 2 2 2" xfId="28522"/>
    <cellStyle name="Обычный 7 3 2 4 2 2 2 2 2 3" xfId="28523"/>
    <cellStyle name="Обычный 7 3 2 4 2 2 2 2 3" xfId="28524"/>
    <cellStyle name="Обычный 7 3 2 4 2 2 2 2 3 2" xfId="28525"/>
    <cellStyle name="Обычный 7 3 2 4 2 2 2 2 3 3" xfId="28526"/>
    <cellStyle name="Обычный 7 3 2 4 2 2 2 2 4" xfId="28527"/>
    <cellStyle name="Обычный 7 3 2 4 2 2 2 2 4 2" xfId="28528"/>
    <cellStyle name="Обычный 7 3 2 4 2 2 2 2 5" xfId="28529"/>
    <cellStyle name="Обычный 7 3 2 4 2 2 2 2 6" xfId="28530"/>
    <cellStyle name="Обычный 7 3 2 4 2 2 2 3" xfId="28531"/>
    <cellStyle name="Обычный 7 3 2 4 2 2 2 3 2" xfId="28532"/>
    <cellStyle name="Обычный 7 3 2 4 2 2 2 3 3" xfId="28533"/>
    <cellStyle name="Обычный 7 3 2 4 2 2 2 4" xfId="28534"/>
    <cellStyle name="Обычный 7 3 2 4 2 2 2 4 2" xfId="28535"/>
    <cellStyle name="Обычный 7 3 2 4 2 2 2 4 3" xfId="28536"/>
    <cellStyle name="Обычный 7 3 2 4 2 2 2 5" xfId="28537"/>
    <cellStyle name="Обычный 7 3 2 4 2 2 2 5 2" xfId="28538"/>
    <cellStyle name="Обычный 7 3 2 4 2 2 2 6" xfId="28539"/>
    <cellStyle name="Обычный 7 3 2 4 2 2 2 7" xfId="28540"/>
    <cellStyle name="Обычный 7 3 2 4 2 2 3" xfId="28541"/>
    <cellStyle name="Обычный 7 3 2 4 2 2 3 2" xfId="28542"/>
    <cellStyle name="Обычный 7 3 2 4 2 2 3 2 2" xfId="28543"/>
    <cellStyle name="Обычный 7 3 2 4 2 2 3 2 3" xfId="28544"/>
    <cellStyle name="Обычный 7 3 2 4 2 2 3 3" xfId="28545"/>
    <cellStyle name="Обычный 7 3 2 4 2 2 3 3 2" xfId="28546"/>
    <cellStyle name="Обычный 7 3 2 4 2 2 3 3 3" xfId="28547"/>
    <cellStyle name="Обычный 7 3 2 4 2 2 3 4" xfId="28548"/>
    <cellStyle name="Обычный 7 3 2 4 2 2 3 4 2" xfId="28549"/>
    <cellStyle name="Обычный 7 3 2 4 2 2 3 5" xfId="28550"/>
    <cellStyle name="Обычный 7 3 2 4 2 2 3 6" xfId="28551"/>
    <cellStyle name="Обычный 7 3 2 4 2 2 4" xfId="28552"/>
    <cellStyle name="Обычный 7 3 2 4 2 2 4 2" xfId="28553"/>
    <cellStyle name="Обычный 7 3 2 4 2 2 4 3" xfId="28554"/>
    <cellStyle name="Обычный 7 3 2 4 2 2 5" xfId="28555"/>
    <cellStyle name="Обычный 7 3 2 4 2 2 5 2" xfId="28556"/>
    <cellStyle name="Обычный 7 3 2 4 2 2 5 3" xfId="28557"/>
    <cellStyle name="Обычный 7 3 2 4 2 2 6" xfId="28558"/>
    <cellStyle name="Обычный 7 3 2 4 2 2 6 2" xfId="28559"/>
    <cellStyle name="Обычный 7 3 2 4 2 2 7" xfId="28560"/>
    <cellStyle name="Обычный 7 3 2 4 2 2 8" xfId="28561"/>
    <cellStyle name="Обычный 7 3 2 4 2 3" xfId="28562"/>
    <cellStyle name="Обычный 7 3 2 4 2 3 2" xfId="28563"/>
    <cellStyle name="Обычный 7 3 2 4 2 3 2 2" xfId="28564"/>
    <cellStyle name="Обычный 7 3 2 4 2 3 2 2 2" xfId="28565"/>
    <cellStyle name="Обычный 7 3 2 4 2 3 2 2 3" xfId="28566"/>
    <cellStyle name="Обычный 7 3 2 4 2 3 2 3" xfId="28567"/>
    <cellStyle name="Обычный 7 3 2 4 2 3 2 3 2" xfId="28568"/>
    <cellStyle name="Обычный 7 3 2 4 2 3 2 3 3" xfId="28569"/>
    <cellStyle name="Обычный 7 3 2 4 2 3 2 4" xfId="28570"/>
    <cellStyle name="Обычный 7 3 2 4 2 3 2 4 2" xfId="28571"/>
    <cellStyle name="Обычный 7 3 2 4 2 3 2 5" xfId="28572"/>
    <cellStyle name="Обычный 7 3 2 4 2 3 2 6" xfId="28573"/>
    <cellStyle name="Обычный 7 3 2 4 2 3 3" xfId="28574"/>
    <cellStyle name="Обычный 7 3 2 4 2 3 3 2" xfId="28575"/>
    <cellStyle name="Обычный 7 3 2 4 2 3 3 3" xfId="28576"/>
    <cellStyle name="Обычный 7 3 2 4 2 3 4" xfId="28577"/>
    <cellStyle name="Обычный 7 3 2 4 2 3 4 2" xfId="28578"/>
    <cellStyle name="Обычный 7 3 2 4 2 3 4 3" xfId="28579"/>
    <cellStyle name="Обычный 7 3 2 4 2 3 5" xfId="28580"/>
    <cellStyle name="Обычный 7 3 2 4 2 3 5 2" xfId="28581"/>
    <cellStyle name="Обычный 7 3 2 4 2 3 6" xfId="28582"/>
    <cellStyle name="Обычный 7 3 2 4 2 3 7" xfId="28583"/>
    <cellStyle name="Обычный 7 3 2 4 2 4" xfId="28584"/>
    <cellStyle name="Обычный 7 3 2 4 2 4 2" xfId="28585"/>
    <cellStyle name="Обычный 7 3 2 4 2 4 2 2" xfId="28586"/>
    <cellStyle name="Обычный 7 3 2 4 2 4 2 3" xfId="28587"/>
    <cellStyle name="Обычный 7 3 2 4 2 4 3" xfId="28588"/>
    <cellStyle name="Обычный 7 3 2 4 2 4 3 2" xfId="28589"/>
    <cellStyle name="Обычный 7 3 2 4 2 4 3 3" xfId="28590"/>
    <cellStyle name="Обычный 7 3 2 4 2 4 4" xfId="28591"/>
    <cellStyle name="Обычный 7 3 2 4 2 4 4 2" xfId="28592"/>
    <cellStyle name="Обычный 7 3 2 4 2 4 5" xfId="28593"/>
    <cellStyle name="Обычный 7 3 2 4 2 4 6" xfId="28594"/>
    <cellStyle name="Обычный 7 3 2 4 2 5" xfId="28595"/>
    <cellStyle name="Обычный 7 3 2 4 2 5 2" xfId="28596"/>
    <cellStyle name="Обычный 7 3 2 4 2 5 3" xfId="28597"/>
    <cellStyle name="Обычный 7 3 2 4 2 6" xfId="28598"/>
    <cellStyle name="Обычный 7 3 2 4 2 6 2" xfId="28599"/>
    <cellStyle name="Обычный 7 3 2 4 2 6 3" xfId="28600"/>
    <cellStyle name="Обычный 7 3 2 4 2 7" xfId="28601"/>
    <cellStyle name="Обычный 7 3 2 4 2 7 2" xfId="28602"/>
    <cellStyle name="Обычный 7 3 2 4 2 8" xfId="28603"/>
    <cellStyle name="Обычный 7 3 2 4 2 9" xfId="28604"/>
    <cellStyle name="Обычный 7 3 2 4 3" xfId="28605"/>
    <cellStyle name="Обычный 7 3 2 4 3 2" xfId="28606"/>
    <cellStyle name="Обычный 7 3 2 4 3 2 2" xfId="28607"/>
    <cellStyle name="Обычный 7 3 2 4 3 2 2 2" xfId="28608"/>
    <cellStyle name="Обычный 7 3 2 4 3 2 2 2 2" xfId="28609"/>
    <cellStyle name="Обычный 7 3 2 4 3 2 2 2 3" xfId="28610"/>
    <cellStyle name="Обычный 7 3 2 4 3 2 2 3" xfId="28611"/>
    <cellStyle name="Обычный 7 3 2 4 3 2 2 3 2" xfId="28612"/>
    <cellStyle name="Обычный 7 3 2 4 3 2 2 3 3" xfId="28613"/>
    <cellStyle name="Обычный 7 3 2 4 3 2 2 4" xfId="28614"/>
    <cellStyle name="Обычный 7 3 2 4 3 2 2 4 2" xfId="28615"/>
    <cellStyle name="Обычный 7 3 2 4 3 2 2 5" xfId="28616"/>
    <cellStyle name="Обычный 7 3 2 4 3 2 2 6" xfId="28617"/>
    <cellStyle name="Обычный 7 3 2 4 3 2 3" xfId="28618"/>
    <cellStyle name="Обычный 7 3 2 4 3 2 3 2" xfId="28619"/>
    <cellStyle name="Обычный 7 3 2 4 3 2 3 3" xfId="28620"/>
    <cellStyle name="Обычный 7 3 2 4 3 2 4" xfId="28621"/>
    <cellStyle name="Обычный 7 3 2 4 3 2 4 2" xfId="28622"/>
    <cellStyle name="Обычный 7 3 2 4 3 2 4 3" xfId="28623"/>
    <cellStyle name="Обычный 7 3 2 4 3 2 5" xfId="28624"/>
    <cellStyle name="Обычный 7 3 2 4 3 2 5 2" xfId="28625"/>
    <cellStyle name="Обычный 7 3 2 4 3 2 6" xfId="28626"/>
    <cellStyle name="Обычный 7 3 2 4 3 2 7" xfId="28627"/>
    <cellStyle name="Обычный 7 3 2 4 3 3" xfId="28628"/>
    <cellStyle name="Обычный 7 3 2 4 3 3 2" xfId="28629"/>
    <cellStyle name="Обычный 7 3 2 4 3 3 2 2" xfId="28630"/>
    <cellStyle name="Обычный 7 3 2 4 3 3 2 3" xfId="28631"/>
    <cellStyle name="Обычный 7 3 2 4 3 3 3" xfId="28632"/>
    <cellStyle name="Обычный 7 3 2 4 3 3 3 2" xfId="28633"/>
    <cellStyle name="Обычный 7 3 2 4 3 3 3 3" xfId="28634"/>
    <cellStyle name="Обычный 7 3 2 4 3 3 4" xfId="28635"/>
    <cellStyle name="Обычный 7 3 2 4 3 3 4 2" xfId="28636"/>
    <cellStyle name="Обычный 7 3 2 4 3 3 5" xfId="28637"/>
    <cellStyle name="Обычный 7 3 2 4 3 3 6" xfId="28638"/>
    <cellStyle name="Обычный 7 3 2 4 3 4" xfId="28639"/>
    <cellStyle name="Обычный 7 3 2 4 3 4 2" xfId="28640"/>
    <cellStyle name="Обычный 7 3 2 4 3 4 3" xfId="28641"/>
    <cellStyle name="Обычный 7 3 2 4 3 5" xfId="28642"/>
    <cellStyle name="Обычный 7 3 2 4 3 5 2" xfId="28643"/>
    <cellStyle name="Обычный 7 3 2 4 3 5 3" xfId="28644"/>
    <cellStyle name="Обычный 7 3 2 4 3 6" xfId="28645"/>
    <cellStyle name="Обычный 7 3 2 4 3 6 2" xfId="28646"/>
    <cellStyle name="Обычный 7 3 2 4 3 7" xfId="28647"/>
    <cellStyle name="Обычный 7 3 2 4 3 8" xfId="28648"/>
    <cellStyle name="Обычный 7 3 2 4 4" xfId="28649"/>
    <cellStyle name="Обычный 7 3 2 4 4 2" xfId="28650"/>
    <cellStyle name="Обычный 7 3 2 4 4 2 2" xfId="28651"/>
    <cellStyle name="Обычный 7 3 2 4 4 2 2 2" xfId="28652"/>
    <cellStyle name="Обычный 7 3 2 4 4 2 2 3" xfId="28653"/>
    <cellStyle name="Обычный 7 3 2 4 4 2 3" xfId="28654"/>
    <cellStyle name="Обычный 7 3 2 4 4 2 3 2" xfId="28655"/>
    <cellStyle name="Обычный 7 3 2 4 4 2 3 3" xfId="28656"/>
    <cellStyle name="Обычный 7 3 2 4 4 2 4" xfId="28657"/>
    <cellStyle name="Обычный 7 3 2 4 4 2 4 2" xfId="28658"/>
    <cellStyle name="Обычный 7 3 2 4 4 2 5" xfId="28659"/>
    <cellStyle name="Обычный 7 3 2 4 4 2 6" xfId="28660"/>
    <cellStyle name="Обычный 7 3 2 4 4 3" xfId="28661"/>
    <cellStyle name="Обычный 7 3 2 4 4 3 2" xfId="28662"/>
    <cellStyle name="Обычный 7 3 2 4 4 3 3" xfId="28663"/>
    <cellStyle name="Обычный 7 3 2 4 4 4" xfId="28664"/>
    <cellStyle name="Обычный 7 3 2 4 4 4 2" xfId="28665"/>
    <cellStyle name="Обычный 7 3 2 4 4 4 3" xfId="28666"/>
    <cellStyle name="Обычный 7 3 2 4 4 5" xfId="28667"/>
    <cellStyle name="Обычный 7 3 2 4 4 5 2" xfId="28668"/>
    <cellStyle name="Обычный 7 3 2 4 4 6" xfId="28669"/>
    <cellStyle name="Обычный 7 3 2 4 4 7" xfId="28670"/>
    <cellStyle name="Обычный 7 3 2 4 5" xfId="28671"/>
    <cellStyle name="Обычный 7 3 2 4 5 2" xfId="28672"/>
    <cellStyle name="Обычный 7 3 2 4 5 2 2" xfId="28673"/>
    <cellStyle name="Обычный 7 3 2 4 5 2 3" xfId="28674"/>
    <cellStyle name="Обычный 7 3 2 4 5 3" xfId="28675"/>
    <cellStyle name="Обычный 7 3 2 4 5 3 2" xfId="28676"/>
    <cellStyle name="Обычный 7 3 2 4 5 3 3" xfId="28677"/>
    <cellStyle name="Обычный 7 3 2 4 5 4" xfId="28678"/>
    <cellStyle name="Обычный 7 3 2 4 5 4 2" xfId="28679"/>
    <cellStyle name="Обычный 7 3 2 4 5 5" xfId="28680"/>
    <cellStyle name="Обычный 7 3 2 4 5 6" xfId="28681"/>
    <cellStyle name="Обычный 7 3 2 4 6" xfId="28682"/>
    <cellStyle name="Обычный 7 3 2 4 6 2" xfId="28683"/>
    <cellStyle name="Обычный 7 3 2 4 6 3" xfId="28684"/>
    <cellStyle name="Обычный 7 3 2 4 7" xfId="28685"/>
    <cellStyle name="Обычный 7 3 2 4 7 2" xfId="28686"/>
    <cellStyle name="Обычный 7 3 2 4 7 3" xfId="28687"/>
    <cellStyle name="Обычный 7 3 2 4 8" xfId="28688"/>
    <cellStyle name="Обычный 7 3 2 4 8 2" xfId="28689"/>
    <cellStyle name="Обычный 7 3 2 4 9" xfId="28690"/>
    <cellStyle name="Обычный 7 3 2 5" xfId="28691"/>
    <cellStyle name="Обычный 7 3 2 5 2" xfId="28692"/>
    <cellStyle name="Обычный 7 3 2 5 2 2" xfId="28693"/>
    <cellStyle name="Обычный 7 3 2 5 2 2 2" xfId="28694"/>
    <cellStyle name="Обычный 7 3 2 5 2 2 2 2" xfId="28695"/>
    <cellStyle name="Обычный 7 3 2 5 2 2 2 2 2" xfId="28696"/>
    <cellStyle name="Обычный 7 3 2 5 2 2 2 2 3" xfId="28697"/>
    <cellStyle name="Обычный 7 3 2 5 2 2 2 3" xfId="28698"/>
    <cellStyle name="Обычный 7 3 2 5 2 2 2 3 2" xfId="28699"/>
    <cellStyle name="Обычный 7 3 2 5 2 2 2 3 3" xfId="28700"/>
    <cellStyle name="Обычный 7 3 2 5 2 2 2 4" xfId="28701"/>
    <cellStyle name="Обычный 7 3 2 5 2 2 2 4 2" xfId="28702"/>
    <cellStyle name="Обычный 7 3 2 5 2 2 2 5" xfId="28703"/>
    <cellStyle name="Обычный 7 3 2 5 2 2 2 6" xfId="28704"/>
    <cellStyle name="Обычный 7 3 2 5 2 2 3" xfId="28705"/>
    <cellStyle name="Обычный 7 3 2 5 2 2 3 2" xfId="28706"/>
    <cellStyle name="Обычный 7 3 2 5 2 2 3 3" xfId="28707"/>
    <cellStyle name="Обычный 7 3 2 5 2 2 4" xfId="28708"/>
    <cellStyle name="Обычный 7 3 2 5 2 2 4 2" xfId="28709"/>
    <cellStyle name="Обычный 7 3 2 5 2 2 4 3" xfId="28710"/>
    <cellStyle name="Обычный 7 3 2 5 2 2 5" xfId="28711"/>
    <cellStyle name="Обычный 7 3 2 5 2 2 5 2" xfId="28712"/>
    <cellStyle name="Обычный 7 3 2 5 2 2 6" xfId="28713"/>
    <cellStyle name="Обычный 7 3 2 5 2 2 7" xfId="28714"/>
    <cellStyle name="Обычный 7 3 2 5 2 3" xfId="28715"/>
    <cellStyle name="Обычный 7 3 2 5 2 3 2" xfId="28716"/>
    <cellStyle name="Обычный 7 3 2 5 2 3 2 2" xfId="28717"/>
    <cellStyle name="Обычный 7 3 2 5 2 3 2 3" xfId="28718"/>
    <cellStyle name="Обычный 7 3 2 5 2 3 3" xfId="28719"/>
    <cellStyle name="Обычный 7 3 2 5 2 3 3 2" xfId="28720"/>
    <cellStyle name="Обычный 7 3 2 5 2 3 3 3" xfId="28721"/>
    <cellStyle name="Обычный 7 3 2 5 2 3 4" xfId="28722"/>
    <cellStyle name="Обычный 7 3 2 5 2 3 4 2" xfId="28723"/>
    <cellStyle name="Обычный 7 3 2 5 2 3 5" xfId="28724"/>
    <cellStyle name="Обычный 7 3 2 5 2 3 6" xfId="28725"/>
    <cellStyle name="Обычный 7 3 2 5 2 4" xfId="28726"/>
    <cellStyle name="Обычный 7 3 2 5 2 4 2" xfId="28727"/>
    <cellStyle name="Обычный 7 3 2 5 2 4 3" xfId="28728"/>
    <cellStyle name="Обычный 7 3 2 5 2 5" xfId="28729"/>
    <cellStyle name="Обычный 7 3 2 5 2 5 2" xfId="28730"/>
    <cellStyle name="Обычный 7 3 2 5 2 5 3" xfId="28731"/>
    <cellStyle name="Обычный 7 3 2 5 2 6" xfId="28732"/>
    <cellStyle name="Обычный 7 3 2 5 2 6 2" xfId="28733"/>
    <cellStyle name="Обычный 7 3 2 5 2 7" xfId="28734"/>
    <cellStyle name="Обычный 7 3 2 5 2 8" xfId="28735"/>
    <cellStyle name="Обычный 7 3 2 5 3" xfId="28736"/>
    <cellStyle name="Обычный 7 3 2 5 3 2" xfId="28737"/>
    <cellStyle name="Обычный 7 3 2 5 3 2 2" xfId="28738"/>
    <cellStyle name="Обычный 7 3 2 5 3 2 2 2" xfId="28739"/>
    <cellStyle name="Обычный 7 3 2 5 3 2 2 3" xfId="28740"/>
    <cellStyle name="Обычный 7 3 2 5 3 2 3" xfId="28741"/>
    <cellStyle name="Обычный 7 3 2 5 3 2 3 2" xfId="28742"/>
    <cellStyle name="Обычный 7 3 2 5 3 2 3 3" xfId="28743"/>
    <cellStyle name="Обычный 7 3 2 5 3 2 4" xfId="28744"/>
    <cellStyle name="Обычный 7 3 2 5 3 2 4 2" xfId="28745"/>
    <cellStyle name="Обычный 7 3 2 5 3 2 5" xfId="28746"/>
    <cellStyle name="Обычный 7 3 2 5 3 2 6" xfId="28747"/>
    <cellStyle name="Обычный 7 3 2 5 3 3" xfId="28748"/>
    <cellStyle name="Обычный 7 3 2 5 3 3 2" xfId="28749"/>
    <cellStyle name="Обычный 7 3 2 5 3 3 3" xfId="28750"/>
    <cellStyle name="Обычный 7 3 2 5 3 4" xfId="28751"/>
    <cellStyle name="Обычный 7 3 2 5 3 4 2" xfId="28752"/>
    <cellStyle name="Обычный 7 3 2 5 3 4 3" xfId="28753"/>
    <cellStyle name="Обычный 7 3 2 5 3 5" xfId="28754"/>
    <cellStyle name="Обычный 7 3 2 5 3 5 2" xfId="28755"/>
    <cellStyle name="Обычный 7 3 2 5 3 6" xfId="28756"/>
    <cellStyle name="Обычный 7 3 2 5 3 7" xfId="28757"/>
    <cellStyle name="Обычный 7 3 2 5 4" xfId="28758"/>
    <cellStyle name="Обычный 7 3 2 5 4 2" xfId="28759"/>
    <cellStyle name="Обычный 7 3 2 5 4 2 2" xfId="28760"/>
    <cellStyle name="Обычный 7 3 2 5 4 2 3" xfId="28761"/>
    <cellStyle name="Обычный 7 3 2 5 4 3" xfId="28762"/>
    <cellStyle name="Обычный 7 3 2 5 4 3 2" xfId="28763"/>
    <cellStyle name="Обычный 7 3 2 5 4 3 3" xfId="28764"/>
    <cellStyle name="Обычный 7 3 2 5 4 4" xfId="28765"/>
    <cellStyle name="Обычный 7 3 2 5 4 4 2" xfId="28766"/>
    <cellStyle name="Обычный 7 3 2 5 4 5" xfId="28767"/>
    <cellStyle name="Обычный 7 3 2 5 4 6" xfId="28768"/>
    <cellStyle name="Обычный 7 3 2 5 5" xfId="28769"/>
    <cellStyle name="Обычный 7 3 2 5 5 2" xfId="28770"/>
    <cellStyle name="Обычный 7 3 2 5 5 3" xfId="28771"/>
    <cellStyle name="Обычный 7 3 2 5 6" xfId="28772"/>
    <cellStyle name="Обычный 7 3 2 5 6 2" xfId="28773"/>
    <cellStyle name="Обычный 7 3 2 5 6 3" xfId="28774"/>
    <cellStyle name="Обычный 7 3 2 5 7" xfId="28775"/>
    <cellStyle name="Обычный 7 3 2 5 7 2" xfId="28776"/>
    <cellStyle name="Обычный 7 3 2 5 8" xfId="28777"/>
    <cellStyle name="Обычный 7 3 2 5 9" xfId="28778"/>
    <cellStyle name="Обычный 7 3 2 6" xfId="28779"/>
    <cellStyle name="Обычный 7 3 2 6 2" xfId="28780"/>
    <cellStyle name="Обычный 7 3 2 6 2 2" xfId="28781"/>
    <cellStyle name="Обычный 7 3 2 6 2 2 2" xfId="28782"/>
    <cellStyle name="Обычный 7 3 2 6 2 2 2 2" xfId="28783"/>
    <cellStyle name="Обычный 7 3 2 6 2 2 2 3" xfId="28784"/>
    <cellStyle name="Обычный 7 3 2 6 2 2 3" xfId="28785"/>
    <cellStyle name="Обычный 7 3 2 6 2 2 3 2" xfId="28786"/>
    <cellStyle name="Обычный 7 3 2 6 2 2 3 3" xfId="28787"/>
    <cellStyle name="Обычный 7 3 2 6 2 2 4" xfId="28788"/>
    <cellStyle name="Обычный 7 3 2 6 2 2 4 2" xfId="28789"/>
    <cellStyle name="Обычный 7 3 2 6 2 2 5" xfId="28790"/>
    <cellStyle name="Обычный 7 3 2 6 2 2 6" xfId="28791"/>
    <cellStyle name="Обычный 7 3 2 6 2 3" xfId="28792"/>
    <cellStyle name="Обычный 7 3 2 6 2 3 2" xfId="28793"/>
    <cellStyle name="Обычный 7 3 2 6 2 3 3" xfId="28794"/>
    <cellStyle name="Обычный 7 3 2 6 2 4" xfId="28795"/>
    <cellStyle name="Обычный 7 3 2 6 2 4 2" xfId="28796"/>
    <cellStyle name="Обычный 7 3 2 6 2 4 3" xfId="28797"/>
    <cellStyle name="Обычный 7 3 2 6 2 5" xfId="28798"/>
    <cellStyle name="Обычный 7 3 2 6 2 5 2" xfId="28799"/>
    <cellStyle name="Обычный 7 3 2 6 2 6" xfId="28800"/>
    <cellStyle name="Обычный 7 3 2 6 2 7" xfId="28801"/>
    <cellStyle name="Обычный 7 3 2 6 3" xfId="28802"/>
    <cellStyle name="Обычный 7 3 2 6 3 2" xfId="28803"/>
    <cellStyle name="Обычный 7 3 2 6 3 2 2" xfId="28804"/>
    <cellStyle name="Обычный 7 3 2 6 3 2 3" xfId="28805"/>
    <cellStyle name="Обычный 7 3 2 6 3 3" xfId="28806"/>
    <cellStyle name="Обычный 7 3 2 6 3 3 2" xfId="28807"/>
    <cellStyle name="Обычный 7 3 2 6 3 3 3" xfId="28808"/>
    <cellStyle name="Обычный 7 3 2 6 3 4" xfId="28809"/>
    <cellStyle name="Обычный 7 3 2 6 3 4 2" xfId="28810"/>
    <cellStyle name="Обычный 7 3 2 6 3 5" xfId="28811"/>
    <cellStyle name="Обычный 7 3 2 6 3 6" xfId="28812"/>
    <cellStyle name="Обычный 7 3 2 6 4" xfId="28813"/>
    <cellStyle name="Обычный 7 3 2 6 4 2" xfId="28814"/>
    <cellStyle name="Обычный 7 3 2 6 4 3" xfId="28815"/>
    <cellStyle name="Обычный 7 3 2 6 5" xfId="28816"/>
    <cellStyle name="Обычный 7 3 2 6 5 2" xfId="28817"/>
    <cellStyle name="Обычный 7 3 2 6 5 3" xfId="28818"/>
    <cellStyle name="Обычный 7 3 2 6 6" xfId="28819"/>
    <cellStyle name="Обычный 7 3 2 6 6 2" xfId="28820"/>
    <cellStyle name="Обычный 7 3 2 6 7" xfId="28821"/>
    <cellStyle name="Обычный 7 3 2 6 8" xfId="28822"/>
    <cellStyle name="Обычный 7 3 2 7" xfId="28823"/>
    <cellStyle name="Обычный 7 3 2 7 2" xfId="28824"/>
    <cellStyle name="Обычный 7 3 2 7 2 2" xfId="28825"/>
    <cellStyle name="Обычный 7 3 2 7 2 2 2" xfId="28826"/>
    <cellStyle name="Обычный 7 3 2 7 2 2 3" xfId="28827"/>
    <cellStyle name="Обычный 7 3 2 7 2 3" xfId="28828"/>
    <cellStyle name="Обычный 7 3 2 7 2 3 2" xfId="28829"/>
    <cellStyle name="Обычный 7 3 2 7 2 3 3" xfId="28830"/>
    <cellStyle name="Обычный 7 3 2 7 2 4" xfId="28831"/>
    <cellStyle name="Обычный 7 3 2 7 2 4 2" xfId="28832"/>
    <cellStyle name="Обычный 7 3 2 7 2 5" xfId="28833"/>
    <cellStyle name="Обычный 7 3 2 7 2 6" xfId="28834"/>
    <cellStyle name="Обычный 7 3 2 7 3" xfId="28835"/>
    <cellStyle name="Обычный 7 3 2 7 3 2" xfId="28836"/>
    <cellStyle name="Обычный 7 3 2 7 3 3" xfId="28837"/>
    <cellStyle name="Обычный 7 3 2 7 4" xfId="28838"/>
    <cellStyle name="Обычный 7 3 2 7 4 2" xfId="28839"/>
    <cellStyle name="Обычный 7 3 2 7 4 3" xfId="28840"/>
    <cellStyle name="Обычный 7 3 2 7 5" xfId="28841"/>
    <cellStyle name="Обычный 7 3 2 7 5 2" xfId="28842"/>
    <cellStyle name="Обычный 7 3 2 7 6" xfId="28843"/>
    <cellStyle name="Обычный 7 3 2 7 7" xfId="28844"/>
    <cellStyle name="Обычный 7 3 2 8" xfId="28845"/>
    <cellStyle name="Обычный 7 3 2 8 2" xfId="28846"/>
    <cellStyle name="Обычный 7 3 2 8 2 2" xfId="28847"/>
    <cellStyle name="Обычный 7 3 2 8 2 3" xfId="28848"/>
    <cellStyle name="Обычный 7 3 2 8 3" xfId="28849"/>
    <cellStyle name="Обычный 7 3 2 8 3 2" xfId="28850"/>
    <cellStyle name="Обычный 7 3 2 8 3 3" xfId="28851"/>
    <cellStyle name="Обычный 7 3 2 8 4" xfId="28852"/>
    <cellStyle name="Обычный 7 3 2 8 4 2" xfId="28853"/>
    <cellStyle name="Обычный 7 3 2 8 5" xfId="28854"/>
    <cellStyle name="Обычный 7 3 2 8 6" xfId="28855"/>
    <cellStyle name="Обычный 7 3 2 9" xfId="28856"/>
    <cellStyle name="Обычный 7 3 2 9 2" xfId="28857"/>
    <cellStyle name="Обычный 7 3 2 9 3" xfId="28858"/>
    <cellStyle name="Обычный 7 3 3" xfId="28859"/>
    <cellStyle name="Обычный 7 3 3 10" xfId="28860"/>
    <cellStyle name="Обычный 7 3 3 2" xfId="28861"/>
    <cellStyle name="Обычный 7 3 3 2 2" xfId="28862"/>
    <cellStyle name="Обычный 7 3 3 2 2 2" xfId="28863"/>
    <cellStyle name="Обычный 7 3 3 2 2 2 2" xfId="28864"/>
    <cellStyle name="Обычный 7 3 3 2 2 2 2 2" xfId="28865"/>
    <cellStyle name="Обычный 7 3 3 2 2 2 2 2 2" xfId="28866"/>
    <cellStyle name="Обычный 7 3 3 2 2 2 2 2 3" xfId="28867"/>
    <cellStyle name="Обычный 7 3 3 2 2 2 2 3" xfId="28868"/>
    <cellStyle name="Обычный 7 3 3 2 2 2 2 3 2" xfId="28869"/>
    <cellStyle name="Обычный 7 3 3 2 2 2 2 3 3" xfId="28870"/>
    <cellStyle name="Обычный 7 3 3 2 2 2 2 4" xfId="28871"/>
    <cellStyle name="Обычный 7 3 3 2 2 2 2 4 2" xfId="28872"/>
    <cellStyle name="Обычный 7 3 3 2 2 2 2 5" xfId="28873"/>
    <cellStyle name="Обычный 7 3 3 2 2 2 2 6" xfId="28874"/>
    <cellStyle name="Обычный 7 3 3 2 2 2 3" xfId="28875"/>
    <cellStyle name="Обычный 7 3 3 2 2 2 3 2" xfId="28876"/>
    <cellStyle name="Обычный 7 3 3 2 2 2 3 3" xfId="28877"/>
    <cellStyle name="Обычный 7 3 3 2 2 2 4" xfId="28878"/>
    <cellStyle name="Обычный 7 3 3 2 2 2 4 2" xfId="28879"/>
    <cellStyle name="Обычный 7 3 3 2 2 2 4 3" xfId="28880"/>
    <cellStyle name="Обычный 7 3 3 2 2 2 5" xfId="28881"/>
    <cellStyle name="Обычный 7 3 3 2 2 2 5 2" xfId="28882"/>
    <cellStyle name="Обычный 7 3 3 2 2 2 6" xfId="28883"/>
    <cellStyle name="Обычный 7 3 3 2 2 2 7" xfId="28884"/>
    <cellStyle name="Обычный 7 3 3 2 2 3" xfId="28885"/>
    <cellStyle name="Обычный 7 3 3 2 2 3 2" xfId="28886"/>
    <cellStyle name="Обычный 7 3 3 2 2 3 2 2" xfId="28887"/>
    <cellStyle name="Обычный 7 3 3 2 2 3 2 3" xfId="28888"/>
    <cellStyle name="Обычный 7 3 3 2 2 3 3" xfId="28889"/>
    <cellStyle name="Обычный 7 3 3 2 2 3 3 2" xfId="28890"/>
    <cellStyle name="Обычный 7 3 3 2 2 3 3 3" xfId="28891"/>
    <cellStyle name="Обычный 7 3 3 2 2 3 4" xfId="28892"/>
    <cellStyle name="Обычный 7 3 3 2 2 3 4 2" xfId="28893"/>
    <cellStyle name="Обычный 7 3 3 2 2 3 5" xfId="28894"/>
    <cellStyle name="Обычный 7 3 3 2 2 3 6" xfId="28895"/>
    <cellStyle name="Обычный 7 3 3 2 2 4" xfId="28896"/>
    <cellStyle name="Обычный 7 3 3 2 2 4 2" xfId="28897"/>
    <cellStyle name="Обычный 7 3 3 2 2 4 3" xfId="28898"/>
    <cellStyle name="Обычный 7 3 3 2 2 5" xfId="28899"/>
    <cellStyle name="Обычный 7 3 3 2 2 5 2" xfId="28900"/>
    <cellStyle name="Обычный 7 3 3 2 2 5 3" xfId="28901"/>
    <cellStyle name="Обычный 7 3 3 2 2 6" xfId="28902"/>
    <cellStyle name="Обычный 7 3 3 2 2 6 2" xfId="28903"/>
    <cellStyle name="Обычный 7 3 3 2 2 7" xfId="28904"/>
    <cellStyle name="Обычный 7 3 3 2 2 8" xfId="28905"/>
    <cellStyle name="Обычный 7 3 3 2 3" xfId="28906"/>
    <cellStyle name="Обычный 7 3 3 2 3 2" xfId="28907"/>
    <cellStyle name="Обычный 7 3 3 2 3 2 2" xfId="28908"/>
    <cellStyle name="Обычный 7 3 3 2 3 2 2 2" xfId="28909"/>
    <cellStyle name="Обычный 7 3 3 2 3 2 2 3" xfId="28910"/>
    <cellStyle name="Обычный 7 3 3 2 3 2 3" xfId="28911"/>
    <cellStyle name="Обычный 7 3 3 2 3 2 3 2" xfId="28912"/>
    <cellStyle name="Обычный 7 3 3 2 3 2 3 3" xfId="28913"/>
    <cellStyle name="Обычный 7 3 3 2 3 2 4" xfId="28914"/>
    <cellStyle name="Обычный 7 3 3 2 3 2 4 2" xfId="28915"/>
    <cellStyle name="Обычный 7 3 3 2 3 2 5" xfId="28916"/>
    <cellStyle name="Обычный 7 3 3 2 3 2 6" xfId="28917"/>
    <cellStyle name="Обычный 7 3 3 2 3 3" xfId="28918"/>
    <cellStyle name="Обычный 7 3 3 2 3 3 2" xfId="28919"/>
    <cellStyle name="Обычный 7 3 3 2 3 3 3" xfId="28920"/>
    <cellStyle name="Обычный 7 3 3 2 3 4" xfId="28921"/>
    <cellStyle name="Обычный 7 3 3 2 3 4 2" xfId="28922"/>
    <cellStyle name="Обычный 7 3 3 2 3 4 3" xfId="28923"/>
    <cellStyle name="Обычный 7 3 3 2 3 5" xfId="28924"/>
    <cellStyle name="Обычный 7 3 3 2 3 5 2" xfId="28925"/>
    <cellStyle name="Обычный 7 3 3 2 3 6" xfId="28926"/>
    <cellStyle name="Обычный 7 3 3 2 3 7" xfId="28927"/>
    <cellStyle name="Обычный 7 3 3 2 4" xfId="28928"/>
    <cellStyle name="Обычный 7 3 3 2 4 2" xfId="28929"/>
    <cellStyle name="Обычный 7 3 3 2 4 2 2" xfId="28930"/>
    <cellStyle name="Обычный 7 3 3 2 4 2 3" xfId="28931"/>
    <cellStyle name="Обычный 7 3 3 2 4 3" xfId="28932"/>
    <cellStyle name="Обычный 7 3 3 2 4 3 2" xfId="28933"/>
    <cellStyle name="Обычный 7 3 3 2 4 3 3" xfId="28934"/>
    <cellStyle name="Обычный 7 3 3 2 4 4" xfId="28935"/>
    <cellStyle name="Обычный 7 3 3 2 4 4 2" xfId="28936"/>
    <cellStyle name="Обычный 7 3 3 2 4 5" xfId="28937"/>
    <cellStyle name="Обычный 7 3 3 2 4 6" xfId="28938"/>
    <cellStyle name="Обычный 7 3 3 2 5" xfId="28939"/>
    <cellStyle name="Обычный 7 3 3 2 5 2" xfId="28940"/>
    <cellStyle name="Обычный 7 3 3 2 5 3" xfId="28941"/>
    <cellStyle name="Обычный 7 3 3 2 6" xfId="28942"/>
    <cellStyle name="Обычный 7 3 3 2 6 2" xfId="28943"/>
    <cellStyle name="Обычный 7 3 3 2 6 3" xfId="28944"/>
    <cellStyle name="Обычный 7 3 3 2 7" xfId="28945"/>
    <cellStyle name="Обычный 7 3 3 2 7 2" xfId="28946"/>
    <cellStyle name="Обычный 7 3 3 2 8" xfId="28947"/>
    <cellStyle name="Обычный 7 3 3 2 9" xfId="28948"/>
    <cellStyle name="Обычный 7 3 3 3" xfId="28949"/>
    <cellStyle name="Обычный 7 3 3 3 2" xfId="28950"/>
    <cellStyle name="Обычный 7 3 3 3 2 2" xfId="28951"/>
    <cellStyle name="Обычный 7 3 3 3 2 2 2" xfId="28952"/>
    <cellStyle name="Обычный 7 3 3 3 2 2 2 2" xfId="28953"/>
    <cellStyle name="Обычный 7 3 3 3 2 2 2 3" xfId="28954"/>
    <cellStyle name="Обычный 7 3 3 3 2 2 3" xfId="28955"/>
    <cellStyle name="Обычный 7 3 3 3 2 2 3 2" xfId="28956"/>
    <cellStyle name="Обычный 7 3 3 3 2 2 3 3" xfId="28957"/>
    <cellStyle name="Обычный 7 3 3 3 2 2 4" xfId="28958"/>
    <cellStyle name="Обычный 7 3 3 3 2 2 4 2" xfId="28959"/>
    <cellStyle name="Обычный 7 3 3 3 2 2 5" xfId="28960"/>
    <cellStyle name="Обычный 7 3 3 3 2 2 6" xfId="28961"/>
    <cellStyle name="Обычный 7 3 3 3 2 3" xfId="28962"/>
    <cellStyle name="Обычный 7 3 3 3 2 3 2" xfId="28963"/>
    <cellStyle name="Обычный 7 3 3 3 2 3 3" xfId="28964"/>
    <cellStyle name="Обычный 7 3 3 3 2 4" xfId="28965"/>
    <cellStyle name="Обычный 7 3 3 3 2 4 2" xfId="28966"/>
    <cellStyle name="Обычный 7 3 3 3 2 4 3" xfId="28967"/>
    <cellStyle name="Обычный 7 3 3 3 2 5" xfId="28968"/>
    <cellStyle name="Обычный 7 3 3 3 2 5 2" xfId="28969"/>
    <cellStyle name="Обычный 7 3 3 3 2 6" xfId="28970"/>
    <cellStyle name="Обычный 7 3 3 3 2 7" xfId="28971"/>
    <cellStyle name="Обычный 7 3 3 3 3" xfId="28972"/>
    <cellStyle name="Обычный 7 3 3 3 3 2" xfId="28973"/>
    <cellStyle name="Обычный 7 3 3 3 3 2 2" xfId="28974"/>
    <cellStyle name="Обычный 7 3 3 3 3 2 3" xfId="28975"/>
    <cellStyle name="Обычный 7 3 3 3 3 3" xfId="28976"/>
    <cellStyle name="Обычный 7 3 3 3 3 3 2" xfId="28977"/>
    <cellStyle name="Обычный 7 3 3 3 3 3 3" xfId="28978"/>
    <cellStyle name="Обычный 7 3 3 3 3 4" xfId="28979"/>
    <cellStyle name="Обычный 7 3 3 3 3 4 2" xfId="28980"/>
    <cellStyle name="Обычный 7 3 3 3 3 5" xfId="28981"/>
    <cellStyle name="Обычный 7 3 3 3 3 6" xfId="28982"/>
    <cellStyle name="Обычный 7 3 3 3 4" xfId="28983"/>
    <cellStyle name="Обычный 7 3 3 3 4 2" xfId="28984"/>
    <cellStyle name="Обычный 7 3 3 3 4 3" xfId="28985"/>
    <cellStyle name="Обычный 7 3 3 3 5" xfId="28986"/>
    <cellStyle name="Обычный 7 3 3 3 5 2" xfId="28987"/>
    <cellStyle name="Обычный 7 3 3 3 5 3" xfId="28988"/>
    <cellStyle name="Обычный 7 3 3 3 6" xfId="28989"/>
    <cellStyle name="Обычный 7 3 3 3 6 2" xfId="28990"/>
    <cellStyle name="Обычный 7 3 3 3 7" xfId="28991"/>
    <cellStyle name="Обычный 7 3 3 3 8" xfId="28992"/>
    <cellStyle name="Обычный 7 3 3 4" xfId="28993"/>
    <cellStyle name="Обычный 7 3 3 4 2" xfId="28994"/>
    <cellStyle name="Обычный 7 3 3 4 2 2" xfId="28995"/>
    <cellStyle name="Обычный 7 3 3 4 2 2 2" xfId="28996"/>
    <cellStyle name="Обычный 7 3 3 4 2 2 3" xfId="28997"/>
    <cellStyle name="Обычный 7 3 3 4 2 3" xfId="28998"/>
    <cellStyle name="Обычный 7 3 3 4 2 3 2" xfId="28999"/>
    <cellStyle name="Обычный 7 3 3 4 2 3 3" xfId="29000"/>
    <cellStyle name="Обычный 7 3 3 4 2 4" xfId="29001"/>
    <cellStyle name="Обычный 7 3 3 4 2 4 2" xfId="29002"/>
    <cellStyle name="Обычный 7 3 3 4 2 5" xfId="29003"/>
    <cellStyle name="Обычный 7 3 3 4 2 6" xfId="29004"/>
    <cellStyle name="Обычный 7 3 3 4 3" xfId="29005"/>
    <cellStyle name="Обычный 7 3 3 4 3 2" xfId="29006"/>
    <cellStyle name="Обычный 7 3 3 4 3 3" xfId="29007"/>
    <cellStyle name="Обычный 7 3 3 4 4" xfId="29008"/>
    <cellStyle name="Обычный 7 3 3 4 4 2" xfId="29009"/>
    <cellStyle name="Обычный 7 3 3 4 4 3" xfId="29010"/>
    <cellStyle name="Обычный 7 3 3 4 5" xfId="29011"/>
    <cellStyle name="Обычный 7 3 3 4 5 2" xfId="29012"/>
    <cellStyle name="Обычный 7 3 3 4 6" xfId="29013"/>
    <cellStyle name="Обычный 7 3 3 4 7" xfId="29014"/>
    <cellStyle name="Обычный 7 3 3 5" xfId="29015"/>
    <cellStyle name="Обычный 7 3 3 5 2" xfId="29016"/>
    <cellStyle name="Обычный 7 3 3 5 2 2" xfId="29017"/>
    <cellStyle name="Обычный 7 3 3 5 2 3" xfId="29018"/>
    <cellStyle name="Обычный 7 3 3 5 3" xfId="29019"/>
    <cellStyle name="Обычный 7 3 3 5 3 2" xfId="29020"/>
    <cellStyle name="Обычный 7 3 3 5 3 3" xfId="29021"/>
    <cellStyle name="Обычный 7 3 3 5 4" xfId="29022"/>
    <cellStyle name="Обычный 7 3 3 5 4 2" xfId="29023"/>
    <cellStyle name="Обычный 7 3 3 5 5" xfId="29024"/>
    <cellStyle name="Обычный 7 3 3 5 6" xfId="29025"/>
    <cellStyle name="Обычный 7 3 3 6" xfId="29026"/>
    <cellStyle name="Обычный 7 3 3 6 2" xfId="29027"/>
    <cellStyle name="Обычный 7 3 3 6 3" xfId="29028"/>
    <cellStyle name="Обычный 7 3 3 7" xfId="29029"/>
    <cellStyle name="Обычный 7 3 3 7 2" xfId="29030"/>
    <cellStyle name="Обычный 7 3 3 7 3" xfId="29031"/>
    <cellStyle name="Обычный 7 3 3 8" xfId="29032"/>
    <cellStyle name="Обычный 7 3 3 8 2" xfId="29033"/>
    <cellStyle name="Обычный 7 3 3 9" xfId="29034"/>
    <cellStyle name="Обычный 7 3 4" xfId="29035"/>
    <cellStyle name="Обычный 7 3 4 10" xfId="29036"/>
    <cellStyle name="Обычный 7 3 4 2" xfId="29037"/>
    <cellStyle name="Обычный 7 3 4 2 2" xfId="29038"/>
    <cellStyle name="Обычный 7 3 4 2 2 2" xfId="29039"/>
    <cellStyle name="Обычный 7 3 4 2 2 2 2" xfId="29040"/>
    <cellStyle name="Обычный 7 3 4 2 2 2 2 2" xfId="29041"/>
    <cellStyle name="Обычный 7 3 4 2 2 2 2 2 2" xfId="29042"/>
    <cellStyle name="Обычный 7 3 4 2 2 2 2 2 3" xfId="29043"/>
    <cellStyle name="Обычный 7 3 4 2 2 2 2 3" xfId="29044"/>
    <cellStyle name="Обычный 7 3 4 2 2 2 2 3 2" xfId="29045"/>
    <cellStyle name="Обычный 7 3 4 2 2 2 2 3 3" xfId="29046"/>
    <cellStyle name="Обычный 7 3 4 2 2 2 2 4" xfId="29047"/>
    <cellStyle name="Обычный 7 3 4 2 2 2 2 4 2" xfId="29048"/>
    <cellStyle name="Обычный 7 3 4 2 2 2 2 5" xfId="29049"/>
    <cellStyle name="Обычный 7 3 4 2 2 2 2 6" xfId="29050"/>
    <cellStyle name="Обычный 7 3 4 2 2 2 3" xfId="29051"/>
    <cellStyle name="Обычный 7 3 4 2 2 2 3 2" xfId="29052"/>
    <cellStyle name="Обычный 7 3 4 2 2 2 3 3" xfId="29053"/>
    <cellStyle name="Обычный 7 3 4 2 2 2 4" xfId="29054"/>
    <cellStyle name="Обычный 7 3 4 2 2 2 4 2" xfId="29055"/>
    <cellStyle name="Обычный 7 3 4 2 2 2 4 3" xfId="29056"/>
    <cellStyle name="Обычный 7 3 4 2 2 2 5" xfId="29057"/>
    <cellStyle name="Обычный 7 3 4 2 2 2 5 2" xfId="29058"/>
    <cellStyle name="Обычный 7 3 4 2 2 2 6" xfId="29059"/>
    <cellStyle name="Обычный 7 3 4 2 2 2 7" xfId="29060"/>
    <cellStyle name="Обычный 7 3 4 2 2 3" xfId="29061"/>
    <cellStyle name="Обычный 7 3 4 2 2 3 2" xfId="29062"/>
    <cellStyle name="Обычный 7 3 4 2 2 3 2 2" xfId="29063"/>
    <cellStyle name="Обычный 7 3 4 2 2 3 2 3" xfId="29064"/>
    <cellStyle name="Обычный 7 3 4 2 2 3 3" xfId="29065"/>
    <cellStyle name="Обычный 7 3 4 2 2 3 3 2" xfId="29066"/>
    <cellStyle name="Обычный 7 3 4 2 2 3 3 3" xfId="29067"/>
    <cellStyle name="Обычный 7 3 4 2 2 3 4" xfId="29068"/>
    <cellStyle name="Обычный 7 3 4 2 2 3 4 2" xfId="29069"/>
    <cellStyle name="Обычный 7 3 4 2 2 3 5" xfId="29070"/>
    <cellStyle name="Обычный 7 3 4 2 2 3 6" xfId="29071"/>
    <cellStyle name="Обычный 7 3 4 2 2 4" xfId="29072"/>
    <cellStyle name="Обычный 7 3 4 2 2 4 2" xfId="29073"/>
    <cellStyle name="Обычный 7 3 4 2 2 4 3" xfId="29074"/>
    <cellStyle name="Обычный 7 3 4 2 2 5" xfId="29075"/>
    <cellStyle name="Обычный 7 3 4 2 2 5 2" xfId="29076"/>
    <cellStyle name="Обычный 7 3 4 2 2 5 3" xfId="29077"/>
    <cellStyle name="Обычный 7 3 4 2 2 6" xfId="29078"/>
    <cellStyle name="Обычный 7 3 4 2 2 6 2" xfId="29079"/>
    <cellStyle name="Обычный 7 3 4 2 2 7" xfId="29080"/>
    <cellStyle name="Обычный 7 3 4 2 2 8" xfId="29081"/>
    <cellStyle name="Обычный 7 3 4 2 3" xfId="29082"/>
    <cellStyle name="Обычный 7 3 4 2 3 2" xfId="29083"/>
    <cellStyle name="Обычный 7 3 4 2 3 2 2" xfId="29084"/>
    <cellStyle name="Обычный 7 3 4 2 3 2 2 2" xfId="29085"/>
    <cellStyle name="Обычный 7 3 4 2 3 2 2 3" xfId="29086"/>
    <cellStyle name="Обычный 7 3 4 2 3 2 3" xfId="29087"/>
    <cellStyle name="Обычный 7 3 4 2 3 2 3 2" xfId="29088"/>
    <cellStyle name="Обычный 7 3 4 2 3 2 3 3" xfId="29089"/>
    <cellStyle name="Обычный 7 3 4 2 3 2 4" xfId="29090"/>
    <cellStyle name="Обычный 7 3 4 2 3 2 4 2" xfId="29091"/>
    <cellStyle name="Обычный 7 3 4 2 3 2 5" xfId="29092"/>
    <cellStyle name="Обычный 7 3 4 2 3 2 6" xfId="29093"/>
    <cellStyle name="Обычный 7 3 4 2 3 3" xfId="29094"/>
    <cellStyle name="Обычный 7 3 4 2 3 3 2" xfId="29095"/>
    <cellStyle name="Обычный 7 3 4 2 3 3 3" xfId="29096"/>
    <cellStyle name="Обычный 7 3 4 2 3 4" xfId="29097"/>
    <cellStyle name="Обычный 7 3 4 2 3 4 2" xfId="29098"/>
    <cellStyle name="Обычный 7 3 4 2 3 4 3" xfId="29099"/>
    <cellStyle name="Обычный 7 3 4 2 3 5" xfId="29100"/>
    <cellStyle name="Обычный 7 3 4 2 3 5 2" xfId="29101"/>
    <cellStyle name="Обычный 7 3 4 2 3 6" xfId="29102"/>
    <cellStyle name="Обычный 7 3 4 2 3 7" xfId="29103"/>
    <cellStyle name="Обычный 7 3 4 2 4" xfId="29104"/>
    <cellStyle name="Обычный 7 3 4 2 4 2" xfId="29105"/>
    <cellStyle name="Обычный 7 3 4 2 4 2 2" xfId="29106"/>
    <cellStyle name="Обычный 7 3 4 2 4 2 3" xfId="29107"/>
    <cellStyle name="Обычный 7 3 4 2 4 3" xfId="29108"/>
    <cellStyle name="Обычный 7 3 4 2 4 3 2" xfId="29109"/>
    <cellStyle name="Обычный 7 3 4 2 4 3 3" xfId="29110"/>
    <cellStyle name="Обычный 7 3 4 2 4 4" xfId="29111"/>
    <cellStyle name="Обычный 7 3 4 2 4 4 2" xfId="29112"/>
    <cellStyle name="Обычный 7 3 4 2 4 5" xfId="29113"/>
    <cellStyle name="Обычный 7 3 4 2 4 6" xfId="29114"/>
    <cellStyle name="Обычный 7 3 4 2 5" xfId="29115"/>
    <cellStyle name="Обычный 7 3 4 2 5 2" xfId="29116"/>
    <cellStyle name="Обычный 7 3 4 2 5 3" xfId="29117"/>
    <cellStyle name="Обычный 7 3 4 2 6" xfId="29118"/>
    <cellStyle name="Обычный 7 3 4 2 6 2" xfId="29119"/>
    <cellStyle name="Обычный 7 3 4 2 6 3" xfId="29120"/>
    <cellStyle name="Обычный 7 3 4 2 7" xfId="29121"/>
    <cellStyle name="Обычный 7 3 4 2 7 2" xfId="29122"/>
    <cellStyle name="Обычный 7 3 4 2 8" xfId="29123"/>
    <cellStyle name="Обычный 7 3 4 2 9" xfId="29124"/>
    <cellStyle name="Обычный 7 3 4 3" xfId="29125"/>
    <cellStyle name="Обычный 7 3 4 3 2" xfId="29126"/>
    <cellStyle name="Обычный 7 3 4 3 2 2" xfId="29127"/>
    <cellStyle name="Обычный 7 3 4 3 2 2 2" xfId="29128"/>
    <cellStyle name="Обычный 7 3 4 3 2 2 2 2" xfId="29129"/>
    <cellStyle name="Обычный 7 3 4 3 2 2 2 3" xfId="29130"/>
    <cellStyle name="Обычный 7 3 4 3 2 2 3" xfId="29131"/>
    <cellStyle name="Обычный 7 3 4 3 2 2 3 2" xfId="29132"/>
    <cellStyle name="Обычный 7 3 4 3 2 2 3 3" xfId="29133"/>
    <cellStyle name="Обычный 7 3 4 3 2 2 4" xfId="29134"/>
    <cellStyle name="Обычный 7 3 4 3 2 2 4 2" xfId="29135"/>
    <cellStyle name="Обычный 7 3 4 3 2 2 5" xfId="29136"/>
    <cellStyle name="Обычный 7 3 4 3 2 2 6" xfId="29137"/>
    <cellStyle name="Обычный 7 3 4 3 2 3" xfId="29138"/>
    <cellStyle name="Обычный 7 3 4 3 2 3 2" xfId="29139"/>
    <cellStyle name="Обычный 7 3 4 3 2 3 3" xfId="29140"/>
    <cellStyle name="Обычный 7 3 4 3 2 4" xfId="29141"/>
    <cellStyle name="Обычный 7 3 4 3 2 4 2" xfId="29142"/>
    <cellStyle name="Обычный 7 3 4 3 2 4 3" xfId="29143"/>
    <cellStyle name="Обычный 7 3 4 3 2 5" xfId="29144"/>
    <cellStyle name="Обычный 7 3 4 3 2 5 2" xfId="29145"/>
    <cellStyle name="Обычный 7 3 4 3 2 6" xfId="29146"/>
    <cellStyle name="Обычный 7 3 4 3 2 7" xfId="29147"/>
    <cellStyle name="Обычный 7 3 4 3 3" xfId="29148"/>
    <cellStyle name="Обычный 7 3 4 3 3 2" xfId="29149"/>
    <cellStyle name="Обычный 7 3 4 3 3 2 2" xfId="29150"/>
    <cellStyle name="Обычный 7 3 4 3 3 2 3" xfId="29151"/>
    <cellStyle name="Обычный 7 3 4 3 3 3" xfId="29152"/>
    <cellStyle name="Обычный 7 3 4 3 3 3 2" xfId="29153"/>
    <cellStyle name="Обычный 7 3 4 3 3 3 3" xfId="29154"/>
    <cellStyle name="Обычный 7 3 4 3 3 4" xfId="29155"/>
    <cellStyle name="Обычный 7 3 4 3 3 4 2" xfId="29156"/>
    <cellStyle name="Обычный 7 3 4 3 3 5" xfId="29157"/>
    <cellStyle name="Обычный 7 3 4 3 3 6" xfId="29158"/>
    <cellStyle name="Обычный 7 3 4 3 4" xfId="29159"/>
    <cellStyle name="Обычный 7 3 4 3 4 2" xfId="29160"/>
    <cellStyle name="Обычный 7 3 4 3 4 3" xfId="29161"/>
    <cellStyle name="Обычный 7 3 4 3 5" xfId="29162"/>
    <cellStyle name="Обычный 7 3 4 3 5 2" xfId="29163"/>
    <cellStyle name="Обычный 7 3 4 3 5 3" xfId="29164"/>
    <cellStyle name="Обычный 7 3 4 3 6" xfId="29165"/>
    <cellStyle name="Обычный 7 3 4 3 6 2" xfId="29166"/>
    <cellStyle name="Обычный 7 3 4 3 7" xfId="29167"/>
    <cellStyle name="Обычный 7 3 4 3 8" xfId="29168"/>
    <cellStyle name="Обычный 7 3 4 4" xfId="29169"/>
    <cellStyle name="Обычный 7 3 4 4 2" xfId="29170"/>
    <cellStyle name="Обычный 7 3 4 4 2 2" xfId="29171"/>
    <cellStyle name="Обычный 7 3 4 4 2 2 2" xfId="29172"/>
    <cellStyle name="Обычный 7 3 4 4 2 2 3" xfId="29173"/>
    <cellStyle name="Обычный 7 3 4 4 2 3" xfId="29174"/>
    <cellStyle name="Обычный 7 3 4 4 2 3 2" xfId="29175"/>
    <cellStyle name="Обычный 7 3 4 4 2 3 3" xfId="29176"/>
    <cellStyle name="Обычный 7 3 4 4 2 4" xfId="29177"/>
    <cellStyle name="Обычный 7 3 4 4 2 4 2" xfId="29178"/>
    <cellStyle name="Обычный 7 3 4 4 2 5" xfId="29179"/>
    <cellStyle name="Обычный 7 3 4 4 2 6" xfId="29180"/>
    <cellStyle name="Обычный 7 3 4 4 3" xfId="29181"/>
    <cellStyle name="Обычный 7 3 4 4 3 2" xfId="29182"/>
    <cellStyle name="Обычный 7 3 4 4 3 3" xfId="29183"/>
    <cellStyle name="Обычный 7 3 4 4 4" xfId="29184"/>
    <cellStyle name="Обычный 7 3 4 4 4 2" xfId="29185"/>
    <cellStyle name="Обычный 7 3 4 4 4 3" xfId="29186"/>
    <cellStyle name="Обычный 7 3 4 4 5" xfId="29187"/>
    <cellStyle name="Обычный 7 3 4 4 5 2" xfId="29188"/>
    <cellStyle name="Обычный 7 3 4 4 6" xfId="29189"/>
    <cellStyle name="Обычный 7 3 4 4 7" xfId="29190"/>
    <cellStyle name="Обычный 7 3 4 5" xfId="29191"/>
    <cellStyle name="Обычный 7 3 4 5 2" xfId="29192"/>
    <cellStyle name="Обычный 7 3 4 5 2 2" xfId="29193"/>
    <cellStyle name="Обычный 7 3 4 5 2 3" xfId="29194"/>
    <cellStyle name="Обычный 7 3 4 5 3" xfId="29195"/>
    <cellStyle name="Обычный 7 3 4 5 3 2" xfId="29196"/>
    <cellStyle name="Обычный 7 3 4 5 3 3" xfId="29197"/>
    <cellStyle name="Обычный 7 3 4 5 4" xfId="29198"/>
    <cellStyle name="Обычный 7 3 4 5 4 2" xfId="29199"/>
    <cellStyle name="Обычный 7 3 4 5 5" xfId="29200"/>
    <cellStyle name="Обычный 7 3 4 5 6" xfId="29201"/>
    <cellStyle name="Обычный 7 3 4 6" xfId="29202"/>
    <cellStyle name="Обычный 7 3 4 6 2" xfId="29203"/>
    <cellStyle name="Обычный 7 3 4 6 3" xfId="29204"/>
    <cellStyle name="Обычный 7 3 4 7" xfId="29205"/>
    <cellStyle name="Обычный 7 3 4 7 2" xfId="29206"/>
    <cellStyle name="Обычный 7 3 4 7 3" xfId="29207"/>
    <cellStyle name="Обычный 7 3 4 8" xfId="29208"/>
    <cellStyle name="Обычный 7 3 4 8 2" xfId="29209"/>
    <cellStyle name="Обычный 7 3 4 9" xfId="29210"/>
    <cellStyle name="Обычный 7 3 5" xfId="29211"/>
    <cellStyle name="Обычный 7 3 5 10" xfId="29212"/>
    <cellStyle name="Обычный 7 3 5 2" xfId="29213"/>
    <cellStyle name="Обычный 7 3 5 2 2" xfId="29214"/>
    <cellStyle name="Обычный 7 3 5 2 2 2" xfId="29215"/>
    <cellStyle name="Обычный 7 3 5 2 2 2 2" xfId="29216"/>
    <cellStyle name="Обычный 7 3 5 2 2 2 2 2" xfId="29217"/>
    <cellStyle name="Обычный 7 3 5 2 2 2 2 2 2" xfId="29218"/>
    <cellStyle name="Обычный 7 3 5 2 2 2 2 2 3" xfId="29219"/>
    <cellStyle name="Обычный 7 3 5 2 2 2 2 3" xfId="29220"/>
    <cellStyle name="Обычный 7 3 5 2 2 2 2 3 2" xfId="29221"/>
    <cellStyle name="Обычный 7 3 5 2 2 2 2 3 3" xfId="29222"/>
    <cellStyle name="Обычный 7 3 5 2 2 2 2 4" xfId="29223"/>
    <cellStyle name="Обычный 7 3 5 2 2 2 2 4 2" xfId="29224"/>
    <cellStyle name="Обычный 7 3 5 2 2 2 2 5" xfId="29225"/>
    <cellStyle name="Обычный 7 3 5 2 2 2 2 6" xfId="29226"/>
    <cellStyle name="Обычный 7 3 5 2 2 2 3" xfId="29227"/>
    <cellStyle name="Обычный 7 3 5 2 2 2 3 2" xfId="29228"/>
    <cellStyle name="Обычный 7 3 5 2 2 2 3 3" xfId="29229"/>
    <cellStyle name="Обычный 7 3 5 2 2 2 4" xfId="29230"/>
    <cellStyle name="Обычный 7 3 5 2 2 2 4 2" xfId="29231"/>
    <cellStyle name="Обычный 7 3 5 2 2 2 4 3" xfId="29232"/>
    <cellStyle name="Обычный 7 3 5 2 2 2 5" xfId="29233"/>
    <cellStyle name="Обычный 7 3 5 2 2 2 5 2" xfId="29234"/>
    <cellStyle name="Обычный 7 3 5 2 2 2 6" xfId="29235"/>
    <cellStyle name="Обычный 7 3 5 2 2 2 7" xfId="29236"/>
    <cellStyle name="Обычный 7 3 5 2 2 3" xfId="29237"/>
    <cellStyle name="Обычный 7 3 5 2 2 3 2" xfId="29238"/>
    <cellStyle name="Обычный 7 3 5 2 2 3 2 2" xfId="29239"/>
    <cellStyle name="Обычный 7 3 5 2 2 3 2 3" xfId="29240"/>
    <cellStyle name="Обычный 7 3 5 2 2 3 3" xfId="29241"/>
    <cellStyle name="Обычный 7 3 5 2 2 3 3 2" xfId="29242"/>
    <cellStyle name="Обычный 7 3 5 2 2 3 3 3" xfId="29243"/>
    <cellStyle name="Обычный 7 3 5 2 2 3 4" xfId="29244"/>
    <cellStyle name="Обычный 7 3 5 2 2 3 4 2" xfId="29245"/>
    <cellStyle name="Обычный 7 3 5 2 2 3 5" xfId="29246"/>
    <cellStyle name="Обычный 7 3 5 2 2 3 6" xfId="29247"/>
    <cellStyle name="Обычный 7 3 5 2 2 4" xfId="29248"/>
    <cellStyle name="Обычный 7 3 5 2 2 4 2" xfId="29249"/>
    <cellStyle name="Обычный 7 3 5 2 2 4 3" xfId="29250"/>
    <cellStyle name="Обычный 7 3 5 2 2 5" xfId="29251"/>
    <cellStyle name="Обычный 7 3 5 2 2 5 2" xfId="29252"/>
    <cellStyle name="Обычный 7 3 5 2 2 5 3" xfId="29253"/>
    <cellStyle name="Обычный 7 3 5 2 2 6" xfId="29254"/>
    <cellStyle name="Обычный 7 3 5 2 2 6 2" xfId="29255"/>
    <cellStyle name="Обычный 7 3 5 2 2 7" xfId="29256"/>
    <cellStyle name="Обычный 7 3 5 2 2 8" xfId="29257"/>
    <cellStyle name="Обычный 7 3 5 2 3" xfId="29258"/>
    <cellStyle name="Обычный 7 3 5 2 3 2" xfId="29259"/>
    <cellStyle name="Обычный 7 3 5 2 3 2 2" xfId="29260"/>
    <cellStyle name="Обычный 7 3 5 2 3 2 2 2" xfId="29261"/>
    <cellStyle name="Обычный 7 3 5 2 3 2 2 3" xfId="29262"/>
    <cellStyle name="Обычный 7 3 5 2 3 2 3" xfId="29263"/>
    <cellStyle name="Обычный 7 3 5 2 3 2 3 2" xfId="29264"/>
    <cellStyle name="Обычный 7 3 5 2 3 2 3 3" xfId="29265"/>
    <cellStyle name="Обычный 7 3 5 2 3 2 4" xfId="29266"/>
    <cellStyle name="Обычный 7 3 5 2 3 2 4 2" xfId="29267"/>
    <cellStyle name="Обычный 7 3 5 2 3 2 5" xfId="29268"/>
    <cellStyle name="Обычный 7 3 5 2 3 2 6" xfId="29269"/>
    <cellStyle name="Обычный 7 3 5 2 3 3" xfId="29270"/>
    <cellStyle name="Обычный 7 3 5 2 3 3 2" xfId="29271"/>
    <cellStyle name="Обычный 7 3 5 2 3 3 3" xfId="29272"/>
    <cellStyle name="Обычный 7 3 5 2 3 4" xfId="29273"/>
    <cellStyle name="Обычный 7 3 5 2 3 4 2" xfId="29274"/>
    <cellStyle name="Обычный 7 3 5 2 3 4 3" xfId="29275"/>
    <cellStyle name="Обычный 7 3 5 2 3 5" xfId="29276"/>
    <cellStyle name="Обычный 7 3 5 2 3 5 2" xfId="29277"/>
    <cellStyle name="Обычный 7 3 5 2 3 6" xfId="29278"/>
    <cellStyle name="Обычный 7 3 5 2 3 7" xfId="29279"/>
    <cellStyle name="Обычный 7 3 5 2 4" xfId="29280"/>
    <cellStyle name="Обычный 7 3 5 2 4 2" xfId="29281"/>
    <cellStyle name="Обычный 7 3 5 2 4 2 2" xfId="29282"/>
    <cellStyle name="Обычный 7 3 5 2 4 2 3" xfId="29283"/>
    <cellStyle name="Обычный 7 3 5 2 4 3" xfId="29284"/>
    <cellStyle name="Обычный 7 3 5 2 4 3 2" xfId="29285"/>
    <cellStyle name="Обычный 7 3 5 2 4 3 3" xfId="29286"/>
    <cellStyle name="Обычный 7 3 5 2 4 4" xfId="29287"/>
    <cellStyle name="Обычный 7 3 5 2 4 4 2" xfId="29288"/>
    <cellStyle name="Обычный 7 3 5 2 4 5" xfId="29289"/>
    <cellStyle name="Обычный 7 3 5 2 4 6" xfId="29290"/>
    <cellStyle name="Обычный 7 3 5 2 5" xfId="29291"/>
    <cellStyle name="Обычный 7 3 5 2 5 2" xfId="29292"/>
    <cellStyle name="Обычный 7 3 5 2 5 3" xfId="29293"/>
    <cellStyle name="Обычный 7 3 5 2 6" xfId="29294"/>
    <cellStyle name="Обычный 7 3 5 2 6 2" xfId="29295"/>
    <cellStyle name="Обычный 7 3 5 2 6 3" xfId="29296"/>
    <cellStyle name="Обычный 7 3 5 2 7" xfId="29297"/>
    <cellStyle name="Обычный 7 3 5 2 7 2" xfId="29298"/>
    <cellStyle name="Обычный 7 3 5 2 8" xfId="29299"/>
    <cellStyle name="Обычный 7 3 5 2 9" xfId="29300"/>
    <cellStyle name="Обычный 7 3 5 3" xfId="29301"/>
    <cellStyle name="Обычный 7 3 5 3 2" xfId="29302"/>
    <cellStyle name="Обычный 7 3 5 3 2 2" xfId="29303"/>
    <cellStyle name="Обычный 7 3 5 3 2 2 2" xfId="29304"/>
    <cellStyle name="Обычный 7 3 5 3 2 2 2 2" xfId="29305"/>
    <cellStyle name="Обычный 7 3 5 3 2 2 2 3" xfId="29306"/>
    <cellStyle name="Обычный 7 3 5 3 2 2 3" xfId="29307"/>
    <cellStyle name="Обычный 7 3 5 3 2 2 3 2" xfId="29308"/>
    <cellStyle name="Обычный 7 3 5 3 2 2 3 3" xfId="29309"/>
    <cellStyle name="Обычный 7 3 5 3 2 2 4" xfId="29310"/>
    <cellStyle name="Обычный 7 3 5 3 2 2 4 2" xfId="29311"/>
    <cellStyle name="Обычный 7 3 5 3 2 2 5" xfId="29312"/>
    <cellStyle name="Обычный 7 3 5 3 2 2 6" xfId="29313"/>
    <cellStyle name="Обычный 7 3 5 3 2 3" xfId="29314"/>
    <cellStyle name="Обычный 7 3 5 3 2 3 2" xfId="29315"/>
    <cellStyle name="Обычный 7 3 5 3 2 3 3" xfId="29316"/>
    <cellStyle name="Обычный 7 3 5 3 2 4" xfId="29317"/>
    <cellStyle name="Обычный 7 3 5 3 2 4 2" xfId="29318"/>
    <cellStyle name="Обычный 7 3 5 3 2 4 3" xfId="29319"/>
    <cellStyle name="Обычный 7 3 5 3 2 5" xfId="29320"/>
    <cellStyle name="Обычный 7 3 5 3 2 5 2" xfId="29321"/>
    <cellStyle name="Обычный 7 3 5 3 2 6" xfId="29322"/>
    <cellStyle name="Обычный 7 3 5 3 2 7" xfId="29323"/>
    <cellStyle name="Обычный 7 3 5 3 3" xfId="29324"/>
    <cellStyle name="Обычный 7 3 5 3 3 2" xfId="29325"/>
    <cellStyle name="Обычный 7 3 5 3 3 2 2" xfId="29326"/>
    <cellStyle name="Обычный 7 3 5 3 3 2 3" xfId="29327"/>
    <cellStyle name="Обычный 7 3 5 3 3 3" xfId="29328"/>
    <cellStyle name="Обычный 7 3 5 3 3 3 2" xfId="29329"/>
    <cellStyle name="Обычный 7 3 5 3 3 3 3" xfId="29330"/>
    <cellStyle name="Обычный 7 3 5 3 3 4" xfId="29331"/>
    <cellStyle name="Обычный 7 3 5 3 3 4 2" xfId="29332"/>
    <cellStyle name="Обычный 7 3 5 3 3 5" xfId="29333"/>
    <cellStyle name="Обычный 7 3 5 3 3 6" xfId="29334"/>
    <cellStyle name="Обычный 7 3 5 3 4" xfId="29335"/>
    <cellStyle name="Обычный 7 3 5 3 4 2" xfId="29336"/>
    <cellStyle name="Обычный 7 3 5 3 4 3" xfId="29337"/>
    <cellStyle name="Обычный 7 3 5 3 5" xfId="29338"/>
    <cellStyle name="Обычный 7 3 5 3 5 2" xfId="29339"/>
    <cellStyle name="Обычный 7 3 5 3 5 3" xfId="29340"/>
    <cellStyle name="Обычный 7 3 5 3 6" xfId="29341"/>
    <cellStyle name="Обычный 7 3 5 3 6 2" xfId="29342"/>
    <cellStyle name="Обычный 7 3 5 3 7" xfId="29343"/>
    <cellStyle name="Обычный 7 3 5 3 8" xfId="29344"/>
    <cellStyle name="Обычный 7 3 5 4" xfId="29345"/>
    <cellStyle name="Обычный 7 3 5 4 2" xfId="29346"/>
    <cellStyle name="Обычный 7 3 5 4 2 2" xfId="29347"/>
    <cellStyle name="Обычный 7 3 5 4 2 2 2" xfId="29348"/>
    <cellStyle name="Обычный 7 3 5 4 2 2 3" xfId="29349"/>
    <cellStyle name="Обычный 7 3 5 4 2 3" xfId="29350"/>
    <cellStyle name="Обычный 7 3 5 4 2 3 2" xfId="29351"/>
    <cellStyle name="Обычный 7 3 5 4 2 3 3" xfId="29352"/>
    <cellStyle name="Обычный 7 3 5 4 2 4" xfId="29353"/>
    <cellStyle name="Обычный 7 3 5 4 2 4 2" xfId="29354"/>
    <cellStyle name="Обычный 7 3 5 4 2 5" xfId="29355"/>
    <cellStyle name="Обычный 7 3 5 4 2 6" xfId="29356"/>
    <cellStyle name="Обычный 7 3 5 4 3" xfId="29357"/>
    <cellStyle name="Обычный 7 3 5 4 3 2" xfId="29358"/>
    <cellStyle name="Обычный 7 3 5 4 3 3" xfId="29359"/>
    <cellStyle name="Обычный 7 3 5 4 4" xfId="29360"/>
    <cellStyle name="Обычный 7 3 5 4 4 2" xfId="29361"/>
    <cellStyle name="Обычный 7 3 5 4 4 3" xfId="29362"/>
    <cellStyle name="Обычный 7 3 5 4 5" xfId="29363"/>
    <cellStyle name="Обычный 7 3 5 4 5 2" xfId="29364"/>
    <cellStyle name="Обычный 7 3 5 4 6" xfId="29365"/>
    <cellStyle name="Обычный 7 3 5 4 7" xfId="29366"/>
    <cellStyle name="Обычный 7 3 5 5" xfId="29367"/>
    <cellStyle name="Обычный 7 3 5 5 2" xfId="29368"/>
    <cellStyle name="Обычный 7 3 5 5 2 2" xfId="29369"/>
    <cellStyle name="Обычный 7 3 5 5 2 3" xfId="29370"/>
    <cellStyle name="Обычный 7 3 5 5 3" xfId="29371"/>
    <cellStyle name="Обычный 7 3 5 5 3 2" xfId="29372"/>
    <cellStyle name="Обычный 7 3 5 5 3 3" xfId="29373"/>
    <cellStyle name="Обычный 7 3 5 5 4" xfId="29374"/>
    <cellStyle name="Обычный 7 3 5 5 4 2" xfId="29375"/>
    <cellStyle name="Обычный 7 3 5 5 5" xfId="29376"/>
    <cellStyle name="Обычный 7 3 5 5 6" xfId="29377"/>
    <cellStyle name="Обычный 7 3 5 6" xfId="29378"/>
    <cellStyle name="Обычный 7 3 5 6 2" xfId="29379"/>
    <cellStyle name="Обычный 7 3 5 6 3" xfId="29380"/>
    <cellStyle name="Обычный 7 3 5 7" xfId="29381"/>
    <cellStyle name="Обычный 7 3 5 7 2" xfId="29382"/>
    <cellStyle name="Обычный 7 3 5 7 3" xfId="29383"/>
    <cellStyle name="Обычный 7 3 5 8" xfId="29384"/>
    <cellStyle name="Обычный 7 3 5 8 2" xfId="29385"/>
    <cellStyle name="Обычный 7 3 5 9" xfId="29386"/>
    <cellStyle name="Обычный 7 3 6" xfId="29387"/>
    <cellStyle name="Обычный 7 3 6 2" xfId="29388"/>
    <cellStyle name="Обычный 7 3 6 2 2" xfId="29389"/>
    <cellStyle name="Обычный 7 3 6 2 2 2" xfId="29390"/>
    <cellStyle name="Обычный 7 3 6 2 2 2 2" xfId="29391"/>
    <cellStyle name="Обычный 7 3 6 2 2 2 2 2" xfId="29392"/>
    <cellStyle name="Обычный 7 3 6 2 2 2 2 3" xfId="29393"/>
    <cellStyle name="Обычный 7 3 6 2 2 2 3" xfId="29394"/>
    <cellStyle name="Обычный 7 3 6 2 2 2 3 2" xfId="29395"/>
    <cellStyle name="Обычный 7 3 6 2 2 2 3 3" xfId="29396"/>
    <cellStyle name="Обычный 7 3 6 2 2 2 4" xfId="29397"/>
    <cellStyle name="Обычный 7 3 6 2 2 2 4 2" xfId="29398"/>
    <cellStyle name="Обычный 7 3 6 2 2 2 5" xfId="29399"/>
    <cellStyle name="Обычный 7 3 6 2 2 2 6" xfId="29400"/>
    <cellStyle name="Обычный 7 3 6 2 2 3" xfId="29401"/>
    <cellStyle name="Обычный 7 3 6 2 2 3 2" xfId="29402"/>
    <cellStyle name="Обычный 7 3 6 2 2 3 3" xfId="29403"/>
    <cellStyle name="Обычный 7 3 6 2 2 4" xfId="29404"/>
    <cellStyle name="Обычный 7 3 6 2 2 4 2" xfId="29405"/>
    <cellStyle name="Обычный 7 3 6 2 2 4 3" xfId="29406"/>
    <cellStyle name="Обычный 7 3 6 2 2 5" xfId="29407"/>
    <cellStyle name="Обычный 7 3 6 2 2 5 2" xfId="29408"/>
    <cellStyle name="Обычный 7 3 6 2 2 6" xfId="29409"/>
    <cellStyle name="Обычный 7 3 6 2 2 7" xfId="29410"/>
    <cellStyle name="Обычный 7 3 6 2 3" xfId="29411"/>
    <cellStyle name="Обычный 7 3 6 2 3 2" xfId="29412"/>
    <cellStyle name="Обычный 7 3 6 2 3 2 2" xfId="29413"/>
    <cellStyle name="Обычный 7 3 6 2 3 2 3" xfId="29414"/>
    <cellStyle name="Обычный 7 3 6 2 3 3" xfId="29415"/>
    <cellStyle name="Обычный 7 3 6 2 3 3 2" xfId="29416"/>
    <cellStyle name="Обычный 7 3 6 2 3 3 3" xfId="29417"/>
    <cellStyle name="Обычный 7 3 6 2 3 4" xfId="29418"/>
    <cellStyle name="Обычный 7 3 6 2 3 4 2" xfId="29419"/>
    <cellStyle name="Обычный 7 3 6 2 3 5" xfId="29420"/>
    <cellStyle name="Обычный 7 3 6 2 3 6" xfId="29421"/>
    <cellStyle name="Обычный 7 3 6 2 4" xfId="29422"/>
    <cellStyle name="Обычный 7 3 6 2 4 2" xfId="29423"/>
    <cellStyle name="Обычный 7 3 6 2 4 3" xfId="29424"/>
    <cellStyle name="Обычный 7 3 6 2 5" xfId="29425"/>
    <cellStyle name="Обычный 7 3 6 2 5 2" xfId="29426"/>
    <cellStyle name="Обычный 7 3 6 2 5 3" xfId="29427"/>
    <cellStyle name="Обычный 7 3 6 2 6" xfId="29428"/>
    <cellStyle name="Обычный 7 3 6 2 6 2" xfId="29429"/>
    <cellStyle name="Обычный 7 3 6 2 7" xfId="29430"/>
    <cellStyle name="Обычный 7 3 6 2 8" xfId="29431"/>
    <cellStyle name="Обычный 7 3 6 3" xfId="29432"/>
    <cellStyle name="Обычный 7 3 6 3 2" xfId="29433"/>
    <cellStyle name="Обычный 7 3 6 3 2 2" xfId="29434"/>
    <cellStyle name="Обычный 7 3 6 3 2 2 2" xfId="29435"/>
    <cellStyle name="Обычный 7 3 6 3 2 2 3" xfId="29436"/>
    <cellStyle name="Обычный 7 3 6 3 2 3" xfId="29437"/>
    <cellStyle name="Обычный 7 3 6 3 2 3 2" xfId="29438"/>
    <cellStyle name="Обычный 7 3 6 3 2 3 3" xfId="29439"/>
    <cellStyle name="Обычный 7 3 6 3 2 4" xfId="29440"/>
    <cellStyle name="Обычный 7 3 6 3 2 4 2" xfId="29441"/>
    <cellStyle name="Обычный 7 3 6 3 2 5" xfId="29442"/>
    <cellStyle name="Обычный 7 3 6 3 2 6" xfId="29443"/>
    <cellStyle name="Обычный 7 3 6 3 3" xfId="29444"/>
    <cellStyle name="Обычный 7 3 6 3 3 2" xfId="29445"/>
    <cellStyle name="Обычный 7 3 6 3 3 3" xfId="29446"/>
    <cellStyle name="Обычный 7 3 6 3 4" xfId="29447"/>
    <cellStyle name="Обычный 7 3 6 3 4 2" xfId="29448"/>
    <cellStyle name="Обычный 7 3 6 3 4 3" xfId="29449"/>
    <cellStyle name="Обычный 7 3 6 3 5" xfId="29450"/>
    <cellStyle name="Обычный 7 3 6 3 5 2" xfId="29451"/>
    <cellStyle name="Обычный 7 3 6 3 6" xfId="29452"/>
    <cellStyle name="Обычный 7 3 6 3 7" xfId="29453"/>
    <cellStyle name="Обычный 7 3 6 4" xfId="29454"/>
    <cellStyle name="Обычный 7 3 6 4 2" xfId="29455"/>
    <cellStyle name="Обычный 7 3 6 4 2 2" xfId="29456"/>
    <cellStyle name="Обычный 7 3 6 4 2 3" xfId="29457"/>
    <cellStyle name="Обычный 7 3 6 4 3" xfId="29458"/>
    <cellStyle name="Обычный 7 3 6 4 3 2" xfId="29459"/>
    <cellStyle name="Обычный 7 3 6 4 3 3" xfId="29460"/>
    <cellStyle name="Обычный 7 3 6 4 4" xfId="29461"/>
    <cellStyle name="Обычный 7 3 6 4 4 2" xfId="29462"/>
    <cellStyle name="Обычный 7 3 6 4 5" xfId="29463"/>
    <cellStyle name="Обычный 7 3 6 4 6" xfId="29464"/>
    <cellStyle name="Обычный 7 3 6 5" xfId="29465"/>
    <cellStyle name="Обычный 7 3 6 5 2" xfId="29466"/>
    <cellStyle name="Обычный 7 3 6 5 3" xfId="29467"/>
    <cellStyle name="Обычный 7 3 6 6" xfId="29468"/>
    <cellStyle name="Обычный 7 3 6 6 2" xfId="29469"/>
    <cellStyle name="Обычный 7 3 6 6 3" xfId="29470"/>
    <cellStyle name="Обычный 7 3 6 7" xfId="29471"/>
    <cellStyle name="Обычный 7 3 6 7 2" xfId="29472"/>
    <cellStyle name="Обычный 7 3 6 8" xfId="29473"/>
    <cellStyle name="Обычный 7 3 6 9" xfId="29474"/>
    <cellStyle name="Обычный 7 3 7" xfId="29475"/>
    <cellStyle name="Обычный 7 3 7 2" xfId="29476"/>
    <cellStyle name="Обычный 7 3 7 2 2" xfId="29477"/>
    <cellStyle name="Обычный 7 3 7 2 2 2" xfId="29478"/>
    <cellStyle name="Обычный 7 3 7 2 2 2 2" xfId="29479"/>
    <cellStyle name="Обычный 7 3 7 2 2 2 3" xfId="29480"/>
    <cellStyle name="Обычный 7 3 7 2 2 3" xfId="29481"/>
    <cellStyle name="Обычный 7 3 7 2 2 3 2" xfId="29482"/>
    <cellStyle name="Обычный 7 3 7 2 2 3 3" xfId="29483"/>
    <cellStyle name="Обычный 7 3 7 2 2 4" xfId="29484"/>
    <cellStyle name="Обычный 7 3 7 2 2 4 2" xfId="29485"/>
    <cellStyle name="Обычный 7 3 7 2 2 5" xfId="29486"/>
    <cellStyle name="Обычный 7 3 7 2 2 6" xfId="29487"/>
    <cellStyle name="Обычный 7 3 7 2 3" xfId="29488"/>
    <cellStyle name="Обычный 7 3 7 2 3 2" xfId="29489"/>
    <cellStyle name="Обычный 7 3 7 2 3 3" xfId="29490"/>
    <cellStyle name="Обычный 7 3 7 2 4" xfId="29491"/>
    <cellStyle name="Обычный 7 3 7 2 4 2" xfId="29492"/>
    <cellStyle name="Обычный 7 3 7 2 4 3" xfId="29493"/>
    <cellStyle name="Обычный 7 3 7 2 5" xfId="29494"/>
    <cellStyle name="Обычный 7 3 7 2 5 2" xfId="29495"/>
    <cellStyle name="Обычный 7 3 7 2 6" xfId="29496"/>
    <cellStyle name="Обычный 7 3 7 2 7" xfId="29497"/>
    <cellStyle name="Обычный 7 3 7 3" xfId="29498"/>
    <cellStyle name="Обычный 7 3 7 3 2" xfId="29499"/>
    <cellStyle name="Обычный 7 3 7 3 2 2" xfId="29500"/>
    <cellStyle name="Обычный 7 3 7 3 2 3" xfId="29501"/>
    <cellStyle name="Обычный 7 3 7 3 3" xfId="29502"/>
    <cellStyle name="Обычный 7 3 7 3 3 2" xfId="29503"/>
    <cellStyle name="Обычный 7 3 7 3 3 3" xfId="29504"/>
    <cellStyle name="Обычный 7 3 7 3 4" xfId="29505"/>
    <cellStyle name="Обычный 7 3 7 3 4 2" xfId="29506"/>
    <cellStyle name="Обычный 7 3 7 3 5" xfId="29507"/>
    <cellStyle name="Обычный 7 3 7 3 6" xfId="29508"/>
    <cellStyle name="Обычный 7 3 7 4" xfId="29509"/>
    <cellStyle name="Обычный 7 3 7 4 2" xfId="29510"/>
    <cellStyle name="Обычный 7 3 7 4 3" xfId="29511"/>
    <cellStyle name="Обычный 7 3 7 5" xfId="29512"/>
    <cellStyle name="Обычный 7 3 7 5 2" xfId="29513"/>
    <cellStyle name="Обычный 7 3 7 5 3" xfId="29514"/>
    <cellStyle name="Обычный 7 3 7 6" xfId="29515"/>
    <cellStyle name="Обычный 7 3 7 6 2" xfId="29516"/>
    <cellStyle name="Обычный 7 3 7 7" xfId="29517"/>
    <cellStyle name="Обычный 7 3 7 8" xfId="29518"/>
    <cellStyle name="Обычный 7 3 8" xfId="29519"/>
    <cellStyle name="Обычный 7 3 8 2" xfId="29520"/>
    <cellStyle name="Обычный 7 3 8 2 2" xfId="29521"/>
    <cellStyle name="Обычный 7 3 8 2 2 2" xfId="29522"/>
    <cellStyle name="Обычный 7 3 8 2 2 3" xfId="29523"/>
    <cellStyle name="Обычный 7 3 8 2 3" xfId="29524"/>
    <cellStyle name="Обычный 7 3 8 2 3 2" xfId="29525"/>
    <cellStyle name="Обычный 7 3 8 2 3 3" xfId="29526"/>
    <cellStyle name="Обычный 7 3 8 2 4" xfId="29527"/>
    <cellStyle name="Обычный 7 3 8 2 4 2" xfId="29528"/>
    <cellStyle name="Обычный 7 3 8 2 5" xfId="29529"/>
    <cellStyle name="Обычный 7 3 8 2 6" xfId="29530"/>
    <cellStyle name="Обычный 7 3 8 3" xfId="29531"/>
    <cellStyle name="Обычный 7 3 8 3 2" xfId="29532"/>
    <cellStyle name="Обычный 7 3 8 3 3" xfId="29533"/>
    <cellStyle name="Обычный 7 3 8 4" xfId="29534"/>
    <cellStyle name="Обычный 7 3 8 4 2" xfId="29535"/>
    <cellStyle name="Обычный 7 3 8 4 3" xfId="29536"/>
    <cellStyle name="Обычный 7 3 8 5" xfId="29537"/>
    <cellStyle name="Обычный 7 3 8 5 2" xfId="29538"/>
    <cellStyle name="Обычный 7 3 8 6" xfId="29539"/>
    <cellStyle name="Обычный 7 3 8 7" xfId="29540"/>
    <cellStyle name="Обычный 7 3 9" xfId="29541"/>
    <cellStyle name="Обычный 7 3 9 2" xfId="29542"/>
    <cellStyle name="Обычный 7 3 9 2 2" xfId="29543"/>
    <cellStyle name="Обычный 7 3 9 2 3" xfId="29544"/>
    <cellStyle name="Обычный 7 3 9 3" xfId="29545"/>
    <cellStyle name="Обычный 7 3 9 3 2" xfId="29546"/>
    <cellStyle name="Обычный 7 3 9 3 3" xfId="29547"/>
    <cellStyle name="Обычный 7 3 9 4" xfId="29548"/>
    <cellStyle name="Обычный 7 3 9 4 2" xfId="29549"/>
    <cellStyle name="Обычный 7 3 9 5" xfId="29550"/>
    <cellStyle name="Обычный 7 3 9 6" xfId="29551"/>
    <cellStyle name="Обычный 7 4" xfId="29552"/>
    <cellStyle name="Обычный 7 4 10" xfId="29553"/>
    <cellStyle name="Обычный 7 4 10 2" xfId="29554"/>
    <cellStyle name="Обычный 7 4 10 3" xfId="29555"/>
    <cellStyle name="Обычный 7 4 11" xfId="29556"/>
    <cellStyle name="Обычный 7 4 11 2" xfId="29557"/>
    <cellStyle name="Обычный 7 4 11 3" xfId="29558"/>
    <cellStyle name="Обычный 7 4 12" xfId="29559"/>
    <cellStyle name="Обычный 7 4 12 2" xfId="29560"/>
    <cellStyle name="Обычный 7 4 13" xfId="29561"/>
    <cellStyle name="Обычный 7 4 14" xfId="29562"/>
    <cellStyle name="Обычный 7 4 2" xfId="29563"/>
    <cellStyle name="Обычный 7 4 2 10" xfId="29564"/>
    <cellStyle name="Обычный 7 4 2 10 2" xfId="29565"/>
    <cellStyle name="Обычный 7 4 2 10 3" xfId="29566"/>
    <cellStyle name="Обычный 7 4 2 11" xfId="29567"/>
    <cellStyle name="Обычный 7 4 2 11 2" xfId="29568"/>
    <cellStyle name="Обычный 7 4 2 12" xfId="29569"/>
    <cellStyle name="Обычный 7 4 2 13" xfId="29570"/>
    <cellStyle name="Обычный 7 4 2 2" xfId="29571"/>
    <cellStyle name="Обычный 7 4 2 2 10" xfId="29572"/>
    <cellStyle name="Обычный 7 4 2 2 2" xfId="29573"/>
    <cellStyle name="Обычный 7 4 2 2 2 2" xfId="29574"/>
    <cellStyle name="Обычный 7 4 2 2 2 2 2" xfId="29575"/>
    <cellStyle name="Обычный 7 4 2 2 2 2 2 2" xfId="29576"/>
    <cellStyle name="Обычный 7 4 2 2 2 2 2 2 2" xfId="29577"/>
    <cellStyle name="Обычный 7 4 2 2 2 2 2 2 2 2" xfId="29578"/>
    <cellStyle name="Обычный 7 4 2 2 2 2 2 2 2 3" xfId="29579"/>
    <cellStyle name="Обычный 7 4 2 2 2 2 2 2 3" xfId="29580"/>
    <cellStyle name="Обычный 7 4 2 2 2 2 2 2 3 2" xfId="29581"/>
    <cellStyle name="Обычный 7 4 2 2 2 2 2 2 3 3" xfId="29582"/>
    <cellStyle name="Обычный 7 4 2 2 2 2 2 2 4" xfId="29583"/>
    <cellStyle name="Обычный 7 4 2 2 2 2 2 2 4 2" xfId="29584"/>
    <cellStyle name="Обычный 7 4 2 2 2 2 2 2 5" xfId="29585"/>
    <cellStyle name="Обычный 7 4 2 2 2 2 2 2 6" xfId="29586"/>
    <cellStyle name="Обычный 7 4 2 2 2 2 2 3" xfId="29587"/>
    <cellStyle name="Обычный 7 4 2 2 2 2 2 3 2" xfId="29588"/>
    <cellStyle name="Обычный 7 4 2 2 2 2 2 3 3" xfId="29589"/>
    <cellStyle name="Обычный 7 4 2 2 2 2 2 4" xfId="29590"/>
    <cellStyle name="Обычный 7 4 2 2 2 2 2 4 2" xfId="29591"/>
    <cellStyle name="Обычный 7 4 2 2 2 2 2 4 3" xfId="29592"/>
    <cellStyle name="Обычный 7 4 2 2 2 2 2 5" xfId="29593"/>
    <cellStyle name="Обычный 7 4 2 2 2 2 2 5 2" xfId="29594"/>
    <cellStyle name="Обычный 7 4 2 2 2 2 2 6" xfId="29595"/>
    <cellStyle name="Обычный 7 4 2 2 2 2 2 7" xfId="29596"/>
    <cellStyle name="Обычный 7 4 2 2 2 2 3" xfId="29597"/>
    <cellStyle name="Обычный 7 4 2 2 2 2 3 2" xfId="29598"/>
    <cellStyle name="Обычный 7 4 2 2 2 2 3 2 2" xfId="29599"/>
    <cellStyle name="Обычный 7 4 2 2 2 2 3 2 3" xfId="29600"/>
    <cellStyle name="Обычный 7 4 2 2 2 2 3 3" xfId="29601"/>
    <cellStyle name="Обычный 7 4 2 2 2 2 3 3 2" xfId="29602"/>
    <cellStyle name="Обычный 7 4 2 2 2 2 3 3 3" xfId="29603"/>
    <cellStyle name="Обычный 7 4 2 2 2 2 3 4" xfId="29604"/>
    <cellStyle name="Обычный 7 4 2 2 2 2 3 4 2" xfId="29605"/>
    <cellStyle name="Обычный 7 4 2 2 2 2 3 5" xfId="29606"/>
    <cellStyle name="Обычный 7 4 2 2 2 2 3 6" xfId="29607"/>
    <cellStyle name="Обычный 7 4 2 2 2 2 4" xfId="29608"/>
    <cellStyle name="Обычный 7 4 2 2 2 2 4 2" xfId="29609"/>
    <cellStyle name="Обычный 7 4 2 2 2 2 4 3" xfId="29610"/>
    <cellStyle name="Обычный 7 4 2 2 2 2 5" xfId="29611"/>
    <cellStyle name="Обычный 7 4 2 2 2 2 5 2" xfId="29612"/>
    <cellStyle name="Обычный 7 4 2 2 2 2 5 3" xfId="29613"/>
    <cellStyle name="Обычный 7 4 2 2 2 2 6" xfId="29614"/>
    <cellStyle name="Обычный 7 4 2 2 2 2 6 2" xfId="29615"/>
    <cellStyle name="Обычный 7 4 2 2 2 2 7" xfId="29616"/>
    <cellStyle name="Обычный 7 4 2 2 2 2 8" xfId="29617"/>
    <cellStyle name="Обычный 7 4 2 2 2 3" xfId="29618"/>
    <cellStyle name="Обычный 7 4 2 2 2 3 2" xfId="29619"/>
    <cellStyle name="Обычный 7 4 2 2 2 3 2 2" xfId="29620"/>
    <cellStyle name="Обычный 7 4 2 2 2 3 2 2 2" xfId="29621"/>
    <cellStyle name="Обычный 7 4 2 2 2 3 2 2 3" xfId="29622"/>
    <cellStyle name="Обычный 7 4 2 2 2 3 2 3" xfId="29623"/>
    <cellStyle name="Обычный 7 4 2 2 2 3 2 3 2" xfId="29624"/>
    <cellStyle name="Обычный 7 4 2 2 2 3 2 3 3" xfId="29625"/>
    <cellStyle name="Обычный 7 4 2 2 2 3 2 4" xfId="29626"/>
    <cellStyle name="Обычный 7 4 2 2 2 3 2 4 2" xfId="29627"/>
    <cellStyle name="Обычный 7 4 2 2 2 3 2 5" xfId="29628"/>
    <cellStyle name="Обычный 7 4 2 2 2 3 2 6" xfId="29629"/>
    <cellStyle name="Обычный 7 4 2 2 2 3 3" xfId="29630"/>
    <cellStyle name="Обычный 7 4 2 2 2 3 3 2" xfId="29631"/>
    <cellStyle name="Обычный 7 4 2 2 2 3 3 3" xfId="29632"/>
    <cellStyle name="Обычный 7 4 2 2 2 3 4" xfId="29633"/>
    <cellStyle name="Обычный 7 4 2 2 2 3 4 2" xfId="29634"/>
    <cellStyle name="Обычный 7 4 2 2 2 3 4 3" xfId="29635"/>
    <cellStyle name="Обычный 7 4 2 2 2 3 5" xfId="29636"/>
    <cellStyle name="Обычный 7 4 2 2 2 3 5 2" xfId="29637"/>
    <cellStyle name="Обычный 7 4 2 2 2 3 6" xfId="29638"/>
    <cellStyle name="Обычный 7 4 2 2 2 3 7" xfId="29639"/>
    <cellStyle name="Обычный 7 4 2 2 2 4" xfId="29640"/>
    <cellStyle name="Обычный 7 4 2 2 2 4 2" xfId="29641"/>
    <cellStyle name="Обычный 7 4 2 2 2 4 2 2" xfId="29642"/>
    <cellStyle name="Обычный 7 4 2 2 2 4 2 3" xfId="29643"/>
    <cellStyle name="Обычный 7 4 2 2 2 4 3" xfId="29644"/>
    <cellStyle name="Обычный 7 4 2 2 2 4 3 2" xfId="29645"/>
    <cellStyle name="Обычный 7 4 2 2 2 4 3 3" xfId="29646"/>
    <cellStyle name="Обычный 7 4 2 2 2 4 4" xfId="29647"/>
    <cellStyle name="Обычный 7 4 2 2 2 4 4 2" xfId="29648"/>
    <cellStyle name="Обычный 7 4 2 2 2 4 5" xfId="29649"/>
    <cellStyle name="Обычный 7 4 2 2 2 4 6" xfId="29650"/>
    <cellStyle name="Обычный 7 4 2 2 2 5" xfId="29651"/>
    <cellStyle name="Обычный 7 4 2 2 2 5 2" xfId="29652"/>
    <cellStyle name="Обычный 7 4 2 2 2 5 3" xfId="29653"/>
    <cellStyle name="Обычный 7 4 2 2 2 6" xfId="29654"/>
    <cellStyle name="Обычный 7 4 2 2 2 6 2" xfId="29655"/>
    <cellStyle name="Обычный 7 4 2 2 2 6 3" xfId="29656"/>
    <cellStyle name="Обычный 7 4 2 2 2 7" xfId="29657"/>
    <cellStyle name="Обычный 7 4 2 2 2 7 2" xfId="29658"/>
    <cellStyle name="Обычный 7 4 2 2 2 8" xfId="29659"/>
    <cellStyle name="Обычный 7 4 2 2 2 9" xfId="29660"/>
    <cellStyle name="Обычный 7 4 2 2 3" xfId="29661"/>
    <cellStyle name="Обычный 7 4 2 2 3 2" xfId="29662"/>
    <cellStyle name="Обычный 7 4 2 2 3 2 2" xfId="29663"/>
    <cellStyle name="Обычный 7 4 2 2 3 2 2 2" xfId="29664"/>
    <cellStyle name="Обычный 7 4 2 2 3 2 2 2 2" xfId="29665"/>
    <cellStyle name="Обычный 7 4 2 2 3 2 2 2 3" xfId="29666"/>
    <cellStyle name="Обычный 7 4 2 2 3 2 2 3" xfId="29667"/>
    <cellStyle name="Обычный 7 4 2 2 3 2 2 3 2" xfId="29668"/>
    <cellStyle name="Обычный 7 4 2 2 3 2 2 3 3" xfId="29669"/>
    <cellStyle name="Обычный 7 4 2 2 3 2 2 4" xfId="29670"/>
    <cellStyle name="Обычный 7 4 2 2 3 2 2 4 2" xfId="29671"/>
    <cellStyle name="Обычный 7 4 2 2 3 2 2 5" xfId="29672"/>
    <cellStyle name="Обычный 7 4 2 2 3 2 2 6" xfId="29673"/>
    <cellStyle name="Обычный 7 4 2 2 3 2 3" xfId="29674"/>
    <cellStyle name="Обычный 7 4 2 2 3 2 3 2" xfId="29675"/>
    <cellStyle name="Обычный 7 4 2 2 3 2 3 3" xfId="29676"/>
    <cellStyle name="Обычный 7 4 2 2 3 2 4" xfId="29677"/>
    <cellStyle name="Обычный 7 4 2 2 3 2 4 2" xfId="29678"/>
    <cellStyle name="Обычный 7 4 2 2 3 2 4 3" xfId="29679"/>
    <cellStyle name="Обычный 7 4 2 2 3 2 5" xfId="29680"/>
    <cellStyle name="Обычный 7 4 2 2 3 2 5 2" xfId="29681"/>
    <cellStyle name="Обычный 7 4 2 2 3 2 6" xfId="29682"/>
    <cellStyle name="Обычный 7 4 2 2 3 2 7" xfId="29683"/>
    <cellStyle name="Обычный 7 4 2 2 3 3" xfId="29684"/>
    <cellStyle name="Обычный 7 4 2 2 3 3 2" xfId="29685"/>
    <cellStyle name="Обычный 7 4 2 2 3 3 2 2" xfId="29686"/>
    <cellStyle name="Обычный 7 4 2 2 3 3 2 3" xfId="29687"/>
    <cellStyle name="Обычный 7 4 2 2 3 3 3" xfId="29688"/>
    <cellStyle name="Обычный 7 4 2 2 3 3 3 2" xfId="29689"/>
    <cellStyle name="Обычный 7 4 2 2 3 3 3 3" xfId="29690"/>
    <cellStyle name="Обычный 7 4 2 2 3 3 4" xfId="29691"/>
    <cellStyle name="Обычный 7 4 2 2 3 3 4 2" xfId="29692"/>
    <cellStyle name="Обычный 7 4 2 2 3 3 5" xfId="29693"/>
    <cellStyle name="Обычный 7 4 2 2 3 3 6" xfId="29694"/>
    <cellStyle name="Обычный 7 4 2 2 3 4" xfId="29695"/>
    <cellStyle name="Обычный 7 4 2 2 3 4 2" xfId="29696"/>
    <cellStyle name="Обычный 7 4 2 2 3 4 3" xfId="29697"/>
    <cellStyle name="Обычный 7 4 2 2 3 5" xfId="29698"/>
    <cellStyle name="Обычный 7 4 2 2 3 5 2" xfId="29699"/>
    <cellStyle name="Обычный 7 4 2 2 3 5 3" xfId="29700"/>
    <cellStyle name="Обычный 7 4 2 2 3 6" xfId="29701"/>
    <cellStyle name="Обычный 7 4 2 2 3 6 2" xfId="29702"/>
    <cellStyle name="Обычный 7 4 2 2 3 7" xfId="29703"/>
    <cellStyle name="Обычный 7 4 2 2 3 8" xfId="29704"/>
    <cellStyle name="Обычный 7 4 2 2 4" xfId="29705"/>
    <cellStyle name="Обычный 7 4 2 2 4 2" xfId="29706"/>
    <cellStyle name="Обычный 7 4 2 2 4 2 2" xfId="29707"/>
    <cellStyle name="Обычный 7 4 2 2 4 2 2 2" xfId="29708"/>
    <cellStyle name="Обычный 7 4 2 2 4 2 2 3" xfId="29709"/>
    <cellStyle name="Обычный 7 4 2 2 4 2 3" xfId="29710"/>
    <cellStyle name="Обычный 7 4 2 2 4 2 3 2" xfId="29711"/>
    <cellStyle name="Обычный 7 4 2 2 4 2 3 3" xfId="29712"/>
    <cellStyle name="Обычный 7 4 2 2 4 2 4" xfId="29713"/>
    <cellStyle name="Обычный 7 4 2 2 4 2 4 2" xfId="29714"/>
    <cellStyle name="Обычный 7 4 2 2 4 2 5" xfId="29715"/>
    <cellStyle name="Обычный 7 4 2 2 4 2 6" xfId="29716"/>
    <cellStyle name="Обычный 7 4 2 2 4 3" xfId="29717"/>
    <cellStyle name="Обычный 7 4 2 2 4 3 2" xfId="29718"/>
    <cellStyle name="Обычный 7 4 2 2 4 3 3" xfId="29719"/>
    <cellStyle name="Обычный 7 4 2 2 4 4" xfId="29720"/>
    <cellStyle name="Обычный 7 4 2 2 4 4 2" xfId="29721"/>
    <cellStyle name="Обычный 7 4 2 2 4 4 3" xfId="29722"/>
    <cellStyle name="Обычный 7 4 2 2 4 5" xfId="29723"/>
    <cellStyle name="Обычный 7 4 2 2 4 5 2" xfId="29724"/>
    <cellStyle name="Обычный 7 4 2 2 4 6" xfId="29725"/>
    <cellStyle name="Обычный 7 4 2 2 4 7" xfId="29726"/>
    <cellStyle name="Обычный 7 4 2 2 5" xfId="29727"/>
    <cellStyle name="Обычный 7 4 2 2 5 2" xfId="29728"/>
    <cellStyle name="Обычный 7 4 2 2 5 2 2" xfId="29729"/>
    <cellStyle name="Обычный 7 4 2 2 5 2 3" xfId="29730"/>
    <cellStyle name="Обычный 7 4 2 2 5 3" xfId="29731"/>
    <cellStyle name="Обычный 7 4 2 2 5 3 2" xfId="29732"/>
    <cellStyle name="Обычный 7 4 2 2 5 3 3" xfId="29733"/>
    <cellStyle name="Обычный 7 4 2 2 5 4" xfId="29734"/>
    <cellStyle name="Обычный 7 4 2 2 5 4 2" xfId="29735"/>
    <cellStyle name="Обычный 7 4 2 2 5 5" xfId="29736"/>
    <cellStyle name="Обычный 7 4 2 2 5 6" xfId="29737"/>
    <cellStyle name="Обычный 7 4 2 2 6" xfId="29738"/>
    <cellStyle name="Обычный 7 4 2 2 6 2" xfId="29739"/>
    <cellStyle name="Обычный 7 4 2 2 6 3" xfId="29740"/>
    <cellStyle name="Обычный 7 4 2 2 7" xfId="29741"/>
    <cellStyle name="Обычный 7 4 2 2 7 2" xfId="29742"/>
    <cellStyle name="Обычный 7 4 2 2 7 3" xfId="29743"/>
    <cellStyle name="Обычный 7 4 2 2 8" xfId="29744"/>
    <cellStyle name="Обычный 7 4 2 2 8 2" xfId="29745"/>
    <cellStyle name="Обычный 7 4 2 2 9" xfId="29746"/>
    <cellStyle name="Обычный 7 4 2 3" xfId="29747"/>
    <cellStyle name="Обычный 7 4 2 3 10" xfId="29748"/>
    <cellStyle name="Обычный 7 4 2 3 2" xfId="29749"/>
    <cellStyle name="Обычный 7 4 2 3 2 2" xfId="29750"/>
    <cellStyle name="Обычный 7 4 2 3 2 2 2" xfId="29751"/>
    <cellStyle name="Обычный 7 4 2 3 2 2 2 2" xfId="29752"/>
    <cellStyle name="Обычный 7 4 2 3 2 2 2 2 2" xfId="29753"/>
    <cellStyle name="Обычный 7 4 2 3 2 2 2 2 2 2" xfId="29754"/>
    <cellStyle name="Обычный 7 4 2 3 2 2 2 2 2 3" xfId="29755"/>
    <cellStyle name="Обычный 7 4 2 3 2 2 2 2 3" xfId="29756"/>
    <cellStyle name="Обычный 7 4 2 3 2 2 2 2 3 2" xfId="29757"/>
    <cellStyle name="Обычный 7 4 2 3 2 2 2 2 3 3" xfId="29758"/>
    <cellStyle name="Обычный 7 4 2 3 2 2 2 2 4" xfId="29759"/>
    <cellStyle name="Обычный 7 4 2 3 2 2 2 2 4 2" xfId="29760"/>
    <cellStyle name="Обычный 7 4 2 3 2 2 2 2 5" xfId="29761"/>
    <cellStyle name="Обычный 7 4 2 3 2 2 2 2 6" xfId="29762"/>
    <cellStyle name="Обычный 7 4 2 3 2 2 2 3" xfId="29763"/>
    <cellStyle name="Обычный 7 4 2 3 2 2 2 3 2" xfId="29764"/>
    <cellStyle name="Обычный 7 4 2 3 2 2 2 3 3" xfId="29765"/>
    <cellStyle name="Обычный 7 4 2 3 2 2 2 4" xfId="29766"/>
    <cellStyle name="Обычный 7 4 2 3 2 2 2 4 2" xfId="29767"/>
    <cellStyle name="Обычный 7 4 2 3 2 2 2 4 3" xfId="29768"/>
    <cellStyle name="Обычный 7 4 2 3 2 2 2 5" xfId="29769"/>
    <cellStyle name="Обычный 7 4 2 3 2 2 2 5 2" xfId="29770"/>
    <cellStyle name="Обычный 7 4 2 3 2 2 2 6" xfId="29771"/>
    <cellStyle name="Обычный 7 4 2 3 2 2 2 7" xfId="29772"/>
    <cellStyle name="Обычный 7 4 2 3 2 2 3" xfId="29773"/>
    <cellStyle name="Обычный 7 4 2 3 2 2 3 2" xfId="29774"/>
    <cellStyle name="Обычный 7 4 2 3 2 2 3 2 2" xfId="29775"/>
    <cellStyle name="Обычный 7 4 2 3 2 2 3 2 3" xfId="29776"/>
    <cellStyle name="Обычный 7 4 2 3 2 2 3 3" xfId="29777"/>
    <cellStyle name="Обычный 7 4 2 3 2 2 3 3 2" xfId="29778"/>
    <cellStyle name="Обычный 7 4 2 3 2 2 3 3 3" xfId="29779"/>
    <cellStyle name="Обычный 7 4 2 3 2 2 3 4" xfId="29780"/>
    <cellStyle name="Обычный 7 4 2 3 2 2 3 4 2" xfId="29781"/>
    <cellStyle name="Обычный 7 4 2 3 2 2 3 5" xfId="29782"/>
    <cellStyle name="Обычный 7 4 2 3 2 2 3 6" xfId="29783"/>
    <cellStyle name="Обычный 7 4 2 3 2 2 4" xfId="29784"/>
    <cellStyle name="Обычный 7 4 2 3 2 2 4 2" xfId="29785"/>
    <cellStyle name="Обычный 7 4 2 3 2 2 4 3" xfId="29786"/>
    <cellStyle name="Обычный 7 4 2 3 2 2 5" xfId="29787"/>
    <cellStyle name="Обычный 7 4 2 3 2 2 5 2" xfId="29788"/>
    <cellStyle name="Обычный 7 4 2 3 2 2 5 3" xfId="29789"/>
    <cellStyle name="Обычный 7 4 2 3 2 2 6" xfId="29790"/>
    <cellStyle name="Обычный 7 4 2 3 2 2 6 2" xfId="29791"/>
    <cellStyle name="Обычный 7 4 2 3 2 2 7" xfId="29792"/>
    <cellStyle name="Обычный 7 4 2 3 2 2 8" xfId="29793"/>
    <cellStyle name="Обычный 7 4 2 3 2 3" xfId="29794"/>
    <cellStyle name="Обычный 7 4 2 3 2 3 2" xfId="29795"/>
    <cellStyle name="Обычный 7 4 2 3 2 3 2 2" xfId="29796"/>
    <cellStyle name="Обычный 7 4 2 3 2 3 2 2 2" xfId="29797"/>
    <cellStyle name="Обычный 7 4 2 3 2 3 2 2 3" xfId="29798"/>
    <cellStyle name="Обычный 7 4 2 3 2 3 2 3" xfId="29799"/>
    <cellStyle name="Обычный 7 4 2 3 2 3 2 3 2" xfId="29800"/>
    <cellStyle name="Обычный 7 4 2 3 2 3 2 3 3" xfId="29801"/>
    <cellStyle name="Обычный 7 4 2 3 2 3 2 4" xfId="29802"/>
    <cellStyle name="Обычный 7 4 2 3 2 3 2 4 2" xfId="29803"/>
    <cellStyle name="Обычный 7 4 2 3 2 3 2 5" xfId="29804"/>
    <cellStyle name="Обычный 7 4 2 3 2 3 2 6" xfId="29805"/>
    <cellStyle name="Обычный 7 4 2 3 2 3 3" xfId="29806"/>
    <cellStyle name="Обычный 7 4 2 3 2 3 3 2" xfId="29807"/>
    <cellStyle name="Обычный 7 4 2 3 2 3 3 3" xfId="29808"/>
    <cellStyle name="Обычный 7 4 2 3 2 3 4" xfId="29809"/>
    <cellStyle name="Обычный 7 4 2 3 2 3 4 2" xfId="29810"/>
    <cellStyle name="Обычный 7 4 2 3 2 3 4 3" xfId="29811"/>
    <cellStyle name="Обычный 7 4 2 3 2 3 5" xfId="29812"/>
    <cellStyle name="Обычный 7 4 2 3 2 3 5 2" xfId="29813"/>
    <cellStyle name="Обычный 7 4 2 3 2 3 6" xfId="29814"/>
    <cellStyle name="Обычный 7 4 2 3 2 3 7" xfId="29815"/>
    <cellStyle name="Обычный 7 4 2 3 2 4" xfId="29816"/>
    <cellStyle name="Обычный 7 4 2 3 2 4 2" xfId="29817"/>
    <cellStyle name="Обычный 7 4 2 3 2 4 2 2" xfId="29818"/>
    <cellStyle name="Обычный 7 4 2 3 2 4 2 3" xfId="29819"/>
    <cellStyle name="Обычный 7 4 2 3 2 4 3" xfId="29820"/>
    <cellStyle name="Обычный 7 4 2 3 2 4 3 2" xfId="29821"/>
    <cellStyle name="Обычный 7 4 2 3 2 4 3 3" xfId="29822"/>
    <cellStyle name="Обычный 7 4 2 3 2 4 4" xfId="29823"/>
    <cellStyle name="Обычный 7 4 2 3 2 4 4 2" xfId="29824"/>
    <cellStyle name="Обычный 7 4 2 3 2 4 5" xfId="29825"/>
    <cellStyle name="Обычный 7 4 2 3 2 4 6" xfId="29826"/>
    <cellStyle name="Обычный 7 4 2 3 2 5" xfId="29827"/>
    <cellStyle name="Обычный 7 4 2 3 2 5 2" xfId="29828"/>
    <cellStyle name="Обычный 7 4 2 3 2 5 3" xfId="29829"/>
    <cellStyle name="Обычный 7 4 2 3 2 6" xfId="29830"/>
    <cellStyle name="Обычный 7 4 2 3 2 6 2" xfId="29831"/>
    <cellStyle name="Обычный 7 4 2 3 2 6 3" xfId="29832"/>
    <cellStyle name="Обычный 7 4 2 3 2 7" xfId="29833"/>
    <cellStyle name="Обычный 7 4 2 3 2 7 2" xfId="29834"/>
    <cellStyle name="Обычный 7 4 2 3 2 8" xfId="29835"/>
    <cellStyle name="Обычный 7 4 2 3 2 9" xfId="29836"/>
    <cellStyle name="Обычный 7 4 2 3 3" xfId="29837"/>
    <cellStyle name="Обычный 7 4 2 3 3 2" xfId="29838"/>
    <cellStyle name="Обычный 7 4 2 3 3 2 2" xfId="29839"/>
    <cellStyle name="Обычный 7 4 2 3 3 2 2 2" xfId="29840"/>
    <cellStyle name="Обычный 7 4 2 3 3 2 2 2 2" xfId="29841"/>
    <cellStyle name="Обычный 7 4 2 3 3 2 2 2 3" xfId="29842"/>
    <cellStyle name="Обычный 7 4 2 3 3 2 2 3" xfId="29843"/>
    <cellStyle name="Обычный 7 4 2 3 3 2 2 3 2" xfId="29844"/>
    <cellStyle name="Обычный 7 4 2 3 3 2 2 3 3" xfId="29845"/>
    <cellStyle name="Обычный 7 4 2 3 3 2 2 4" xfId="29846"/>
    <cellStyle name="Обычный 7 4 2 3 3 2 2 4 2" xfId="29847"/>
    <cellStyle name="Обычный 7 4 2 3 3 2 2 5" xfId="29848"/>
    <cellStyle name="Обычный 7 4 2 3 3 2 2 6" xfId="29849"/>
    <cellStyle name="Обычный 7 4 2 3 3 2 3" xfId="29850"/>
    <cellStyle name="Обычный 7 4 2 3 3 2 3 2" xfId="29851"/>
    <cellStyle name="Обычный 7 4 2 3 3 2 3 3" xfId="29852"/>
    <cellStyle name="Обычный 7 4 2 3 3 2 4" xfId="29853"/>
    <cellStyle name="Обычный 7 4 2 3 3 2 4 2" xfId="29854"/>
    <cellStyle name="Обычный 7 4 2 3 3 2 4 3" xfId="29855"/>
    <cellStyle name="Обычный 7 4 2 3 3 2 5" xfId="29856"/>
    <cellStyle name="Обычный 7 4 2 3 3 2 5 2" xfId="29857"/>
    <cellStyle name="Обычный 7 4 2 3 3 2 6" xfId="29858"/>
    <cellStyle name="Обычный 7 4 2 3 3 2 7" xfId="29859"/>
    <cellStyle name="Обычный 7 4 2 3 3 3" xfId="29860"/>
    <cellStyle name="Обычный 7 4 2 3 3 3 2" xfId="29861"/>
    <cellStyle name="Обычный 7 4 2 3 3 3 2 2" xfId="29862"/>
    <cellStyle name="Обычный 7 4 2 3 3 3 2 3" xfId="29863"/>
    <cellStyle name="Обычный 7 4 2 3 3 3 3" xfId="29864"/>
    <cellStyle name="Обычный 7 4 2 3 3 3 3 2" xfId="29865"/>
    <cellStyle name="Обычный 7 4 2 3 3 3 3 3" xfId="29866"/>
    <cellStyle name="Обычный 7 4 2 3 3 3 4" xfId="29867"/>
    <cellStyle name="Обычный 7 4 2 3 3 3 4 2" xfId="29868"/>
    <cellStyle name="Обычный 7 4 2 3 3 3 5" xfId="29869"/>
    <cellStyle name="Обычный 7 4 2 3 3 3 6" xfId="29870"/>
    <cellStyle name="Обычный 7 4 2 3 3 4" xfId="29871"/>
    <cellStyle name="Обычный 7 4 2 3 3 4 2" xfId="29872"/>
    <cellStyle name="Обычный 7 4 2 3 3 4 3" xfId="29873"/>
    <cellStyle name="Обычный 7 4 2 3 3 5" xfId="29874"/>
    <cellStyle name="Обычный 7 4 2 3 3 5 2" xfId="29875"/>
    <cellStyle name="Обычный 7 4 2 3 3 5 3" xfId="29876"/>
    <cellStyle name="Обычный 7 4 2 3 3 6" xfId="29877"/>
    <cellStyle name="Обычный 7 4 2 3 3 6 2" xfId="29878"/>
    <cellStyle name="Обычный 7 4 2 3 3 7" xfId="29879"/>
    <cellStyle name="Обычный 7 4 2 3 3 8" xfId="29880"/>
    <cellStyle name="Обычный 7 4 2 3 4" xfId="29881"/>
    <cellStyle name="Обычный 7 4 2 3 4 2" xfId="29882"/>
    <cellStyle name="Обычный 7 4 2 3 4 2 2" xfId="29883"/>
    <cellStyle name="Обычный 7 4 2 3 4 2 2 2" xfId="29884"/>
    <cellStyle name="Обычный 7 4 2 3 4 2 2 3" xfId="29885"/>
    <cellStyle name="Обычный 7 4 2 3 4 2 3" xfId="29886"/>
    <cellStyle name="Обычный 7 4 2 3 4 2 3 2" xfId="29887"/>
    <cellStyle name="Обычный 7 4 2 3 4 2 3 3" xfId="29888"/>
    <cellStyle name="Обычный 7 4 2 3 4 2 4" xfId="29889"/>
    <cellStyle name="Обычный 7 4 2 3 4 2 4 2" xfId="29890"/>
    <cellStyle name="Обычный 7 4 2 3 4 2 5" xfId="29891"/>
    <cellStyle name="Обычный 7 4 2 3 4 2 6" xfId="29892"/>
    <cellStyle name="Обычный 7 4 2 3 4 3" xfId="29893"/>
    <cellStyle name="Обычный 7 4 2 3 4 3 2" xfId="29894"/>
    <cellStyle name="Обычный 7 4 2 3 4 3 3" xfId="29895"/>
    <cellStyle name="Обычный 7 4 2 3 4 4" xfId="29896"/>
    <cellStyle name="Обычный 7 4 2 3 4 4 2" xfId="29897"/>
    <cellStyle name="Обычный 7 4 2 3 4 4 3" xfId="29898"/>
    <cellStyle name="Обычный 7 4 2 3 4 5" xfId="29899"/>
    <cellStyle name="Обычный 7 4 2 3 4 5 2" xfId="29900"/>
    <cellStyle name="Обычный 7 4 2 3 4 6" xfId="29901"/>
    <cellStyle name="Обычный 7 4 2 3 4 7" xfId="29902"/>
    <cellStyle name="Обычный 7 4 2 3 5" xfId="29903"/>
    <cellStyle name="Обычный 7 4 2 3 5 2" xfId="29904"/>
    <cellStyle name="Обычный 7 4 2 3 5 2 2" xfId="29905"/>
    <cellStyle name="Обычный 7 4 2 3 5 2 3" xfId="29906"/>
    <cellStyle name="Обычный 7 4 2 3 5 3" xfId="29907"/>
    <cellStyle name="Обычный 7 4 2 3 5 3 2" xfId="29908"/>
    <cellStyle name="Обычный 7 4 2 3 5 3 3" xfId="29909"/>
    <cellStyle name="Обычный 7 4 2 3 5 4" xfId="29910"/>
    <cellStyle name="Обычный 7 4 2 3 5 4 2" xfId="29911"/>
    <cellStyle name="Обычный 7 4 2 3 5 5" xfId="29912"/>
    <cellStyle name="Обычный 7 4 2 3 5 6" xfId="29913"/>
    <cellStyle name="Обычный 7 4 2 3 6" xfId="29914"/>
    <cellStyle name="Обычный 7 4 2 3 6 2" xfId="29915"/>
    <cellStyle name="Обычный 7 4 2 3 6 3" xfId="29916"/>
    <cellStyle name="Обычный 7 4 2 3 7" xfId="29917"/>
    <cellStyle name="Обычный 7 4 2 3 7 2" xfId="29918"/>
    <cellStyle name="Обычный 7 4 2 3 7 3" xfId="29919"/>
    <cellStyle name="Обычный 7 4 2 3 8" xfId="29920"/>
    <cellStyle name="Обычный 7 4 2 3 8 2" xfId="29921"/>
    <cellStyle name="Обычный 7 4 2 3 9" xfId="29922"/>
    <cellStyle name="Обычный 7 4 2 4" xfId="29923"/>
    <cellStyle name="Обычный 7 4 2 4 10" xfId="29924"/>
    <cellStyle name="Обычный 7 4 2 4 2" xfId="29925"/>
    <cellStyle name="Обычный 7 4 2 4 2 2" xfId="29926"/>
    <cellStyle name="Обычный 7 4 2 4 2 2 2" xfId="29927"/>
    <cellStyle name="Обычный 7 4 2 4 2 2 2 2" xfId="29928"/>
    <cellStyle name="Обычный 7 4 2 4 2 2 2 2 2" xfId="29929"/>
    <cellStyle name="Обычный 7 4 2 4 2 2 2 2 2 2" xfId="29930"/>
    <cellStyle name="Обычный 7 4 2 4 2 2 2 2 2 3" xfId="29931"/>
    <cellStyle name="Обычный 7 4 2 4 2 2 2 2 3" xfId="29932"/>
    <cellStyle name="Обычный 7 4 2 4 2 2 2 2 3 2" xfId="29933"/>
    <cellStyle name="Обычный 7 4 2 4 2 2 2 2 3 3" xfId="29934"/>
    <cellStyle name="Обычный 7 4 2 4 2 2 2 2 4" xfId="29935"/>
    <cellStyle name="Обычный 7 4 2 4 2 2 2 2 4 2" xfId="29936"/>
    <cellStyle name="Обычный 7 4 2 4 2 2 2 2 5" xfId="29937"/>
    <cellStyle name="Обычный 7 4 2 4 2 2 2 2 6" xfId="29938"/>
    <cellStyle name="Обычный 7 4 2 4 2 2 2 3" xfId="29939"/>
    <cellStyle name="Обычный 7 4 2 4 2 2 2 3 2" xfId="29940"/>
    <cellStyle name="Обычный 7 4 2 4 2 2 2 3 3" xfId="29941"/>
    <cellStyle name="Обычный 7 4 2 4 2 2 2 4" xfId="29942"/>
    <cellStyle name="Обычный 7 4 2 4 2 2 2 4 2" xfId="29943"/>
    <cellStyle name="Обычный 7 4 2 4 2 2 2 4 3" xfId="29944"/>
    <cellStyle name="Обычный 7 4 2 4 2 2 2 5" xfId="29945"/>
    <cellStyle name="Обычный 7 4 2 4 2 2 2 5 2" xfId="29946"/>
    <cellStyle name="Обычный 7 4 2 4 2 2 2 6" xfId="29947"/>
    <cellStyle name="Обычный 7 4 2 4 2 2 2 7" xfId="29948"/>
    <cellStyle name="Обычный 7 4 2 4 2 2 3" xfId="29949"/>
    <cellStyle name="Обычный 7 4 2 4 2 2 3 2" xfId="29950"/>
    <cellStyle name="Обычный 7 4 2 4 2 2 3 2 2" xfId="29951"/>
    <cellStyle name="Обычный 7 4 2 4 2 2 3 2 3" xfId="29952"/>
    <cellStyle name="Обычный 7 4 2 4 2 2 3 3" xfId="29953"/>
    <cellStyle name="Обычный 7 4 2 4 2 2 3 3 2" xfId="29954"/>
    <cellStyle name="Обычный 7 4 2 4 2 2 3 3 3" xfId="29955"/>
    <cellStyle name="Обычный 7 4 2 4 2 2 3 4" xfId="29956"/>
    <cellStyle name="Обычный 7 4 2 4 2 2 3 4 2" xfId="29957"/>
    <cellStyle name="Обычный 7 4 2 4 2 2 3 5" xfId="29958"/>
    <cellStyle name="Обычный 7 4 2 4 2 2 3 6" xfId="29959"/>
    <cellStyle name="Обычный 7 4 2 4 2 2 4" xfId="29960"/>
    <cellStyle name="Обычный 7 4 2 4 2 2 4 2" xfId="29961"/>
    <cellStyle name="Обычный 7 4 2 4 2 2 4 3" xfId="29962"/>
    <cellStyle name="Обычный 7 4 2 4 2 2 5" xfId="29963"/>
    <cellStyle name="Обычный 7 4 2 4 2 2 5 2" xfId="29964"/>
    <cellStyle name="Обычный 7 4 2 4 2 2 5 3" xfId="29965"/>
    <cellStyle name="Обычный 7 4 2 4 2 2 6" xfId="29966"/>
    <cellStyle name="Обычный 7 4 2 4 2 2 6 2" xfId="29967"/>
    <cellStyle name="Обычный 7 4 2 4 2 2 7" xfId="29968"/>
    <cellStyle name="Обычный 7 4 2 4 2 2 8" xfId="29969"/>
    <cellStyle name="Обычный 7 4 2 4 2 3" xfId="29970"/>
    <cellStyle name="Обычный 7 4 2 4 2 3 2" xfId="29971"/>
    <cellStyle name="Обычный 7 4 2 4 2 3 2 2" xfId="29972"/>
    <cellStyle name="Обычный 7 4 2 4 2 3 2 2 2" xfId="29973"/>
    <cellStyle name="Обычный 7 4 2 4 2 3 2 2 3" xfId="29974"/>
    <cellStyle name="Обычный 7 4 2 4 2 3 2 3" xfId="29975"/>
    <cellStyle name="Обычный 7 4 2 4 2 3 2 3 2" xfId="29976"/>
    <cellStyle name="Обычный 7 4 2 4 2 3 2 3 3" xfId="29977"/>
    <cellStyle name="Обычный 7 4 2 4 2 3 2 4" xfId="29978"/>
    <cellStyle name="Обычный 7 4 2 4 2 3 2 4 2" xfId="29979"/>
    <cellStyle name="Обычный 7 4 2 4 2 3 2 5" xfId="29980"/>
    <cellStyle name="Обычный 7 4 2 4 2 3 2 6" xfId="29981"/>
    <cellStyle name="Обычный 7 4 2 4 2 3 3" xfId="29982"/>
    <cellStyle name="Обычный 7 4 2 4 2 3 3 2" xfId="29983"/>
    <cellStyle name="Обычный 7 4 2 4 2 3 3 3" xfId="29984"/>
    <cellStyle name="Обычный 7 4 2 4 2 3 4" xfId="29985"/>
    <cellStyle name="Обычный 7 4 2 4 2 3 4 2" xfId="29986"/>
    <cellStyle name="Обычный 7 4 2 4 2 3 4 3" xfId="29987"/>
    <cellStyle name="Обычный 7 4 2 4 2 3 5" xfId="29988"/>
    <cellStyle name="Обычный 7 4 2 4 2 3 5 2" xfId="29989"/>
    <cellStyle name="Обычный 7 4 2 4 2 3 6" xfId="29990"/>
    <cellStyle name="Обычный 7 4 2 4 2 3 7" xfId="29991"/>
    <cellStyle name="Обычный 7 4 2 4 2 4" xfId="29992"/>
    <cellStyle name="Обычный 7 4 2 4 2 4 2" xfId="29993"/>
    <cellStyle name="Обычный 7 4 2 4 2 4 2 2" xfId="29994"/>
    <cellStyle name="Обычный 7 4 2 4 2 4 2 3" xfId="29995"/>
    <cellStyle name="Обычный 7 4 2 4 2 4 3" xfId="29996"/>
    <cellStyle name="Обычный 7 4 2 4 2 4 3 2" xfId="29997"/>
    <cellStyle name="Обычный 7 4 2 4 2 4 3 3" xfId="29998"/>
    <cellStyle name="Обычный 7 4 2 4 2 4 4" xfId="29999"/>
    <cellStyle name="Обычный 7 4 2 4 2 4 4 2" xfId="30000"/>
    <cellStyle name="Обычный 7 4 2 4 2 4 5" xfId="30001"/>
    <cellStyle name="Обычный 7 4 2 4 2 4 6" xfId="30002"/>
    <cellStyle name="Обычный 7 4 2 4 2 5" xfId="30003"/>
    <cellStyle name="Обычный 7 4 2 4 2 5 2" xfId="30004"/>
    <cellStyle name="Обычный 7 4 2 4 2 5 3" xfId="30005"/>
    <cellStyle name="Обычный 7 4 2 4 2 6" xfId="30006"/>
    <cellStyle name="Обычный 7 4 2 4 2 6 2" xfId="30007"/>
    <cellStyle name="Обычный 7 4 2 4 2 6 3" xfId="30008"/>
    <cellStyle name="Обычный 7 4 2 4 2 7" xfId="30009"/>
    <cellStyle name="Обычный 7 4 2 4 2 7 2" xfId="30010"/>
    <cellStyle name="Обычный 7 4 2 4 2 8" xfId="30011"/>
    <cellStyle name="Обычный 7 4 2 4 2 9" xfId="30012"/>
    <cellStyle name="Обычный 7 4 2 4 3" xfId="30013"/>
    <cellStyle name="Обычный 7 4 2 4 3 2" xfId="30014"/>
    <cellStyle name="Обычный 7 4 2 4 3 2 2" xfId="30015"/>
    <cellStyle name="Обычный 7 4 2 4 3 2 2 2" xfId="30016"/>
    <cellStyle name="Обычный 7 4 2 4 3 2 2 2 2" xfId="30017"/>
    <cellStyle name="Обычный 7 4 2 4 3 2 2 2 3" xfId="30018"/>
    <cellStyle name="Обычный 7 4 2 4 3 2 2 3" xfId="30019"/>
    <cellStyle name="Обычный 7 4 2 4 3 2 2 3 2" xfId="30020"/>
    <cellStyle name="Обычный 7 4 2 4 3 2 2 3 3" xfId="30021"/>
    <cellStyle name="Обычный 7 4 2 4 3 2 2 4" xfId="30022"/>
    <cellStyle name="Обычный 7 4 2 4 3 2 2 4 2" xfId="30023"/>
    <cellStyle name="Обычный 7 4 2 4 3 2 2 5" xfId="30024"/>
    <cellStyle name="Обычный 7 4 2 4 3 2 2 6" xfId="30025"/>
    <cellStyle name="Обычный 7 4 2 4 3 2 3" xfId="30026"/>
    <cellStyle name="Обычный 7 4 2 4 3 2 3 2" xfId="30027"/>
    <cellStyle name="Обычный 7 4 2 4 3 2 3 3" xfId="30028"/>
    <cellStyle name="Обычный 7 4 2 4 3 2 4" xfId="30029"/>
    <cellStyle name="Обычный 7 4 2 4 3 2 4 2" xfId="30030"/>
    <cellStyle name="Обычный 7 4 2 4 3 2 4 3" xfId="30031"/>
    <cellStyle name="Обычный 7 4 2 4 3 2 5" xfId="30032"/>
    <cellStyle name="Обычный 7 4 2 4 3 2 5 2" xfId="30033"/>
    <cellStyle name="Обычный 7 4 2 4 3 2 6" xfId="30034"/>
    <cellStyle name="Обычный 7 4 2 4 3 2 7" xfId="30035"/>
    <cellStyle name="Обычный 7 4 2 4 3 3" xfId="30036"/>
    <cellStyle name="Обычный 7 4 2 4 3 3 2" xfId="30037"/>
    <cellStyle name="Обычный 7 4 2 4 3 3 2 2" xfId="30038"/>
    <cellStyle name="Обычный 7 4 2 4 3 3 2 3" xfId="30039"/>
    <cellStyle name="Обычный 7 4 2 4 3 3 3" xfId="30040"/>
    <cellStyle name="Обычный 7 4 2 4 3 3 3 2" xfId="30041"/>
    <cellStyle name="Обычный 7 4 2 4 3 3 3 3" xfId="30042"/>
    <cellStyle name="Обычный 7 4 2 4 3 3 4" xfId="30043"/>
    <cellStyle name="Обычный 7 4 2 4 3 3 4 2" xfId="30044"/>
    <cellStyle name="Обычный 7 4 2 4 3 3 5" xfId="30045"/>
    <cellStyle name="Обычный 7 4 2 4 3 3 6" xfId="30046"/>
    <cellStyle name="Обычный 7 4 2 4 3 4" xfId="30047"/>
    <cellStyle name="Обычный 7 4 2 4 3 4 2" xfId="30048"/>
    <cellStyle name="Обычный 7 4 2 4 3 4 3" xfId="30049"/>
    <cellStyle name="Обычный 7 4 2 4 3 5" xfId="30050"/>
    <cellStyle name="Обычный 7 4 2 4 3 5 2" xfId="30051"/>
    <cellStyle name="Обычный 7 4 2 4 3 5 3" xfId="30052"/>
    <cellStyle name="Обычный 7 4 2 4 3 6" xfId="30053"/>
    <cellStyle name="Обычный 7 4 2 4 3 6 2" xfId="30054"/>
    <cellStyle name="Обычный 7 4 2 4 3 7" xfId="30055"/>
    <cellStyle name="Обычный 7 4 2 4 3 8" xfId="30056"/>
    <cellStyle name="Обычный 7 4 2 4 4" xfId="30057"/>
    <cellStyle name="Обычный 7 4 2 4 4 2" xfId="30058"/>
    <cellStyle name="Обычный 7 4 2 4 4 2 2" xfId="30059"/>
    <cellStyle name="Обычный 7 4 2 4 4 2 2 2" xfId="30060"/>
    <cellStyle name="Обычный 7 4 2 4 4 2 2 3" xfId="30061"/>
    <cellStyle name="Обычный 7 4 2 4 4 2 3" xfId="30062"/>
    <cellStyle name="Обычный 7 4 2 4 4 2 3 2" xfId="30063"/>
    <cellStyle name="Обычный 7 4 2 4 4 2 3 3" xfId="30064"/>
    <cellStyle name="Обычный 7 4 2 4 4 2 4" xfId="30065"/>
    <cellStyle name="Обычный 7 4 2 4 4 2 4 2" xfId="30066"/>
    <cellStyle name="Обычный 7 4 2 4 4 2 5" xfId="30067"/>
    <cellStyle name="Обычный 7 4 2 4 4 2 6" xfId="30068"/>
    <cellStyle name="Обычный 7 4 2 4 4 3" xfId="30069"/>
    <cellStyle name="Обычный 7 4 2 4 4 3 2" xfId="30070"/>
    <cellStyle name="Обычный 7 4 2 4 4 3 3" xfId="30071"/>
    <cellStyle name="Обычный 7 4 2 4 4 4" xfId="30072"/>
    <cellStyle name="Обычный 7 4 2 4 4 4 2" xfId="30073"/>
    <cellStyle name="Обычный 7 4 2 4 4 4 3" xfId="30074"/>
    <cellStyle name="Обычный 7 4 2 4 4 5" xfId="30075"/>
    <cellStyle name="Обычный 7 4 2 4 4 5 2" xfId="30076"/>
    <cellStyle name="Обычный 7 4 2 4 4 6" xfId="30077"/>
    <cellStyle name="Обычный 7 4 2 4 4 7" xfId="30078"/>
    <cellStyle name="Обычный 7 4 2 4 5" xfId="30079"/>
    <cellStyle name="Обычный 7 4 2 4 5 2" xfId="30080"/>
    <cellStyle name="Обычный 7 4 2 4 5 2 2" xfId="30081"/>
    <cellStyle name="Обычный 7 4 2 4 5 2 3" xfId="30082"/>
    <cellStyle name="Обычный 7 4 2 4 5 3" xfId="30083"/>
    <cellStyle name="Обычный 7 4 2 4 5 3 2" xfId="30084"/>
    <cellStyle name="Обычный 7 4 2 4 5 3 3" xfId="30085"/>
    <cellStyle name="Обычный 7 4 2 4 5 4" xfId="30086"/>
    <cellStyle name="Обычный 7 4 2 4 5 4 2" xfId="30087"/>
    <cellStyle name="Обычный 7 4 2 4 5 5" xfId="30088"/>
    <cellStyle name="Обычный 7 4 2 4 5 6" xfId="30089"/>
    <cellStyle name="Обычный 7 4 2 4 6" xfId="30090"/>
    <cellStyle name="Обычный 7 4 2 4 6 2" xfId="30091"/>
    <cellStyle name="Обычный 7 4 2 4 6 3" xfId="30092"/>
    <cellStyle name="Обычный 7 4 2 4 7" xfId="30093"/>
    <cellStyle name="Обычный 7 4 2 4 7 2" xfId="30094"/>
    <cellStyle name="Обычный 7 4 2 4 7 3" xfId="30095"/>
    <cellStyle name="Обычный 7 4 2 4 8" xfId="30096"/>
    <cellStyle name="Обычный 7 4 2 4 8 2" xfId="30097"/>
    <cellStyle name="Обычный 7 4 2 4 9" xfId="30098"/>
    <cellStyle name="Обычный 7 4 2 5" xfId="30099"/>
    <cellStyle name="Обычный 7 4 2 5 2" xfId="30100"/>
    <cellStyle name="Обычный 7 4 2 5 2 2" xfId="30101"/>
    <cellStyle name="Обычный 7 4 2 5 2 2 2" xfId="30102"/>
    <cellStyle name="Обычный 7 4 2 5 2 2 2 2" xfId="30103"/>
    <cellStyle name="Обычный 7 4 2 5 2 2 2 2 2" xfId="30104"/>
    <cellStyle name="Обычный 7 4 2 5 2 2 2 2 3" xfId="30105"/>
    <cellStyle name="Обычный 7 4 2 5 2 2 2 3" xfId="30106"/>
    <cellStyle name="Обычный 7 4 2 5 2 2 2 3 2" xfId="30107"/>
    <cellStyle name="Обычный 7 4 2 5 2 2 2 3 3" xfId="30108"/>
    <cellStyle name="Обычный 7 4 2 5 2 2 2 4" xfId="30109"/>
    <cellStyle name="Обычный 7 4 2 5 2 2 2 4 2" xfId="30110"/>
    <cellStyle name="Обычный 7 4 2 5 2 2 2 5" xfId="30111"/>
    <cellStyle name="Обычный 7 4 2 5 2 2 2 6" xfId="30112"/>
    <cellStyle name="Обычный 7 4 2 5 2 2 3" xfId="30113"/>
    <cellStyle name="Обычный 7 4 2 5 2 2 3 2" xfId="30114"/>
    <cellStyle name="Обычный 7 4 2 5 2 2 3 3" xfId="30115"/>
    <cellStyle name="Обычный 7 4 2 5 2 2 4" xfId="30116"/>
    <cellStyle name="Обычный 7 4 2 5 2 2 4 2" xfId="30117"/>
    <cellStyle name="Обычный 7 4 2 5 2 2 4 3" xfId="30118"/>
    <cellStyle name="Обычный 7 4 2 5 2 2 5" xfId="30119"/>
    <cellStyle name="Обычный 7 4 2 5 2 2 5 2" xfId="30120"/>
    <cellStyle name="Обычный 7 4 2 5 2 2 6" xfId="30121"/>
    <cellStyle name="Обычный 7 4 2 5 2 2 7" xfId="30122"/>
    <cellStyle name="Обычный 7 4 2 5 2 3" xfId="30123"/>
    <cellStyle name="Обычный 7 4 2 5 2 3 2" xfId="30124"/>
    <cellStyle name="Обычный 7 4 2 5 2 3 2 2" xfId="30125"/>
    <cellStyle name="Обычный 7 4 2 5 2 3 2 3" xfId="30126"/>
    <cellStyle name="Обычный 7 4 2 5 2 3 3" xfId="30127"/>
    <cellStyle name="Обычный 7 4 2 5 2 3 3 2" xfId="30128"/>
    <cellStyle name="Обычный 7 4 2 5 2 3 3 3" xfId="30129"/>
    <cellStyle name="Обычный 7 4 2 5 2 3 4" xfId="30130"/>
    <cellStyle name="Обычный 7 4 2 5 2 3 4 2" xfId="30131"/>
    <cellStyle name="Обычный 7 4 2 5 2 3 5" xfId="30132"/>
    <cellStyle name="Обычный 7 4 2 5 2 3 6" xfId="30133"/>
    <cellStyle name="Обычный 7 4 2 5 2 4" xfId="30134"/>
    <cellStyle name="Обычный 7 4 2 5 2 4 2" xfId="30135"/>
    <cellStyle name="Обычный 7 4 2 5 2 4 3" xfId="30136"/>
    <cellStyle name="Обычный 7 4 2 5 2 5" xfId="30137"/>
    <cellStyle name="Обычный 7 4 2 5 2 5 2" xfId="30138"/>
    <cellStyle name="Обычный 7 4 2 5 2 5 3" xfId="30139"/>
    <cellStyle name="Обычный 7 4 2 5 2 6" xfId="30140"/>
    <cellStyle name="Обычный 7 4 2 5 2 6 2" xfId="30141"/>
    <cellStyle name="Обычный 7 4 2 5 2 7" xfId="30142"/>
    <cellStyle name="Обычный 7 4 2 5 2 8" xfId="30143"/>
    <cellStyle name="Обычный 7 4 2 5 3" xfId="30144"/>
    <cellStyle name="Обычный 7 4 2 5 3 2" xfId="30145"/>
    <cellStyle name="Обычный 7 4 2 5 3 2 2" xfId="30146"/>
    <cellStyle name="Обычный 7 4 2 5 3 2 2 2" xfId="30147"/>
    <cellStyle name="Обычный 7 4 2 5 3 2 2 3" xfId="30148"/>
    <cellStyle name="Обычный 7 4 2 5 3 2 3" xfId="30149"/>
    <cellStyle name="Обычный 7 4 2 5 3 2 3 2" xfId="30150"/>
    <cellStyle name="Обычный 7 4 2 5 3 2 3 3" xfId="30151"/>
    <cellStyle name="Обычный 7 4 2 5 3 2 4" xfId="30152"/>
    <cellStyle name="Обычный 7 4 2 5 3 2 4 2" xfId="30153"/>
    <cellStyle name="Обычный 7 4 2 5 3 2 5" xfId="30154"/>
    <cellStyle name="Обычный 7 4 2 5 3 2 6" xfId="30155"/>
    <cellStyle name="Обычный 7 4 2 5 3 3" xfId="30156"/>
    <cellStyle name="Обычный 7 4 2 5 3 3 2" xfId="30157"/>
    <cellStyle name="Обычный 7 4 2 5 3 3 3" xfId="30158"/>
    <cellStyle name="Обычный 7 4 2 5 3 4" xfId="30159"/>
    <cellStyle name="Обычный 7 4 2 5 3 4 2" xfId="30160"/>
    <cellStyle name="Обычный 7 4 2 5 3 4 3" xfId="30161"/>
    <cellStyle name="Обычный 7 4 2 5 3 5" xfId="30162"/>
    <cellStyle name="Обычный 7 4 2 5 3 5 2" xfId="30163"/>
    <cellStyle name="Обычный 7 4 2 5 3 6" xfId="30164"/>
    <cellStyle name="Обычный 7 4 2 5 3 7" xfId="30165"/>
    <cellStyle name="Обычный 7 4 2 5 4" xfId="30166"/>
    <cellStyle name="Обычный 7 4 2 5 4 2" xfId="30167"/>
    <cellStyle name="Обычный 7 4 2 5 4 2 2" xfId="30168"/>
    <cellStyle name="Обычный 7 4 2 5 4 2 3" xfId="30169"/>
    <cellStyle name="Обычный 7 4 2 5 4 3" xfId="30170"/>
    <cellStyle name="Обычный 7 4 2 5 4 3 2" xfId="30171"/>
    <cellStyle name="Обычный 7 4 2 5 4 3 3" xfId="30172"/>
    <cellStyle name="Обычный 7 4 2 5 4 4" xfId="30173"/>
    <cellStyle name="Обычный 7 4 2 5 4 4 2" xfId="30174"/>
    <cellStyle name="Обычный 7 4 2 5 4 5" xfId="30175"/>
    <cellStyle name="Обычный 7 4 2 5 4 6" xfId="30176"/>
    <cellStyle name="Обычный 7 4 2 5 5" xfId="30177"/>
    <cellStyle name="Обычный 7 4 2 5 5 2" xfId="30178"/>
    <cellStyle name="Обычный 7 4 2 5 5 3" xfId="30179"/>
    <cellStyle name="Обычный 7 4 2 5 6" xfId="30180"/>
    <cellStyle name="Обычный 7 4 2 5 6 2" xfId="30181"/>
    <cellStyle name="Обычный 7 4 2 5 6 3" xfId="30182"/>
    <cellStyle name="Обычный 7 4 2 5 7" xfId="30183"/>
    <cellStyle name="Обычный 7 4 2 5 7 2" xfId="30184"/>
    <cellStyle name="Обычный 7 4 2 5 8" xfId="30185"/>
    <cellStyle name="Обычный 7 4 2 5 9" xfId="30186"/>
    <cellStyle name="Обычный 7 4 2 6" xfId="30187"/>
    <cellStyle name="Обычный 7 4 2 6 2" xfId="30188"/>
    <cellStyle name="Обычный 7 4 2 6 2 2" xfId="30189"/>
    <cellStyle name="Обычный 7 4 2 6 2 2 2" xfId="30190"/>
    <cellStyle name="Обычный 7 4 2 6 2 2 2 2" xfId="30191"/>
    <cellStyle name="Обычный 7 4 2 6 2 2 2 3" xfId="30192"/>
    <cellStyle name="Обычный 7 4 2 6 2 2 3" xfId="30193"/>
    <cellStyle name="Обычный 7 4 2 6 2 2 3 2" xfId="30194"/>
    <cellStyle name="Обычный 7 4 2 6 2 2 3 3" xfId="30195"/>
    <cellStyle name="Обычный 7 4 2 6 2 2 4" xfId="30196"/>
    <cellStyle name="Обычный 7 4 2 6 2 2 4 2" xfId="30197"/>
    <cellStyle name="Обычный 7 4 2 6 2 2 5" xfId="30198"/>
    <cellStyle name="Обычный 7 4 2 6 2 2 6" xfId="30199"/>
    <cellStyle name="Обычный 7 4 2 6 2 3" xfId="30200"/>
    <cellStyle name="Обычный 7 4 2 6 2 3 2" xfId="30201"/>
    <cellStyle name="Обычный 7 4 2 6 2 3 3" xfId="30202"/>
    <cellStyle name="Обычный 7 4 2 6 2 4" xfId="30203"/>
    <cellStyle name="Обычный 7 4 2 6 2 4 2" xfId="30204"/>
    <cellStyle name="Обычный 7 4 2 6 2 4 3" xfId="30205"/>
    <cellStyle name="Обычный 7 4 2 6 2 5" xfId="30206"/>
    <cellStyle name="Обычный 7 4 2 6 2 5 2" xfId="30207"/>
    <cellStyle name="Обычный 7 4 2 6 2 6" xfId="30208"/>
    <cellStyle name="Обычный 7 4 2 6 2 7" xfId="30209"/>
    <cellStyle name="Обычный 7 4 2 6 3" xfId="30210"/>
    <cellStyle name="Обычный 7 4 2 6 3 2" xfId="30211"/>
    <cellStyle name="Обычный 7 4 2 6 3 2 2" xfId="30212"/>
    <cellStyle name="Обычный 7 4 2 6 3 2 3" xfId="30213"/>
    <cellStyle name="Обычный 7 4 2 6 3 3" xfId="30214"/>
    <cellStyle name="Обычный 7 4 2 6 3 3 2" xfId="30215"/>
    <cellStyle name="Обычный 7 4 2 6 3 3 3" xfId="30216"/>
    <cellStyle name="Обычный 7 4 2 6 3 4" xfId="30217"/>
    <cellStyle name="Обычный 7 4 2 6 3 4 2" xfId="30218"/>
    <cellStyle name="Обычный 7 4 2 6 3 5" xfId="30219"/>
    <cellStyle name="Обычный 7 4 2 6 3 6" xfId="30220"/>
    <cellStyle name="Обычный 7 4 2 6 4" xfId="30221"/>
    <cellStyle name="Обычный 7 4 2 6 4 2" xfId="30222"/>
    <cellStyle name="Обычный 7 4 2 6 4 3" xfId="30223"/>
    <cellStyle name="Обычный 7 4 2 6 5" xfId="30224"/>
    <cellStyle name="Обычный 7 4 2 6 5 2" xfId="30225"/>
    <cellStyle name="Обычный 7 4 2 6 5 3" xfId="30226"/>
    <cellStyle name="Обычный 7 4 2 6 6" xfId="30227"/>
    <cellStyle name="Обычный 7 4 2 6 6 2" xfId="30228"/>
    <cellStyle name="Обычный 7 4 2 6 7" xfId="30229"/>
    <cellStyle name="Обычный 7 4 2 6 8" xfId="30230"/>
    <cellStyle name="Обычный 7 4 2 7" xfId="30231"/>
    <cellStyle name="Обычный 7 4 2 7 2" xfId="30232"/>
    <cellStyle name="Обычный 7 4 2 7 2 2" xfId="30233"/>
    <cellStyle name="Обычный 7 4 2 7 2 2 2" xfId="30234"/>
    <cellStyle name="Обычный 7 4 2 7 2 2 3" xfId="30235"/>
    <cellStyle name="Обычный 7 4 2 7 2 3" xfId="30236"/>
    <cellStyle name="Обычный 7 4 2 7 2 3 2" xfId="30237"/>
    <cellStyle name="Обычный 7 4 2 7 2 3 3" xfId="30238"/>
    <cellStyle name="Обычный 7 4 2 7 2 4" xfId="30239"/>
    <cellStyle name="Обычный 7 4 2 7 2 4 2" xfId="30240"/>
    <cellStyle name="Обычный 7 4 2 7 2 5" xfId="30241"/>
    <cellStyle name="Обычный 7 4 2 7 2 6" xfId="30242"/>
    <cellStyle name="Обычный 7 4 2 7 3" xfId="30243"/>
    <cellStyle name="Обычный 7 4 2 7 3 2" xfId="30244"/>
    <cellStyle name="Обычный 7 4 2 7 3 3" xfId="30245"/>
    <cellStyle name="Обычный 7 4 2 7 4" xfId="30246"/>
    <cellStyle name="Обычный 7 4 2 7 4 2" xfId="30247"/>
    <cellStyle name="Обычный 7 4 2 7 4 3" xfId="30248"/>
    <cellStyle name="Обычный 7 4 2 7 5" xfId="30249"/>
    <cellStyle name="Обычный 7 4 2 7 5 2" xfId="30250"/>
    <cellStyle name="Обычный 7 4 2 7 6" xfId="30251"/>
    <cellStyle name="Обычный 7 4 2 7 7" xfId="30252"/>
    <cellStyle name="Обычный 7 4 2 8" xfId="30253"/>
    <cellStyle name="Обычный 7 4 2 8 2" xfId="30254"/>
    <cellStyle name="Обычный 7 4 2 8 2 2" xfId="30255"/>
    <cellStyle name="Обычный 7 4 2 8 2 3" xfId="30256"/>
    <cellStyle name="Обычный 7 4 2 8 3" xfId="30257"/>
    <cellStyle name="Обычный 7 4 2 8 3 2" xfId="30258"/>
    <cellStyle name="Обычный 7 4 2 8 3 3" xfId="30259"/>
    <cellStyle name="Обычный 7 4 2 8 4" xfId="30260"/>
    <cellStyle name="Обычный 7 4 2 8 4 2" xfId="30261"/>
    <cellStyle name="Обычный 7 4 2 8 5" xfId="30262"/>
    <cellStyle name="Обычный 7 4 2 8 6" xfId="30263"/>
    <cellStyle name="Обычный 7 4 2 9" xfId="30264"/>
    <cellStyle name="Обычный 7 4 2 9 2" xfId="30265"/>
    <cellStyle name="Обычный 7 4 2 9 3" xfId="30266"/>
    <cellStyle name="Обычный 7 4 3" xfId="30267"/>
    <cellStyle name="Обычный 7 4 3 10" xfId="30268"/>
    <cellStyle name="Обычный 7 4 3 2" xfId="30269"/>
    <cellStyle name="Обычный 7 4 3 2 2" xfId="30270"/>
    <cellStyle name="Обычный 7 4 3 2 2 2" xfId="30271"/>
    <cellStyle name="Обычный 7 4 3 2 2 2 2" xfId="30272"/>
    <cellStyle name="Обычный 7 4 3 2 2 2 2 2" xfId="30273"/>
    <cellStyle name="Обычный 7 4 3 2 2 2 2 2 2" xfId="30274"/>
    <cellStyle name="Обычный 7 4 3 2 2 2 2 2 3" xfId="30275"/>
    <cellStyle name="Обычный 7 4 3 2 2 2 2 3" xfId="30276"/>
    <cellStyle name="Обычный 7 4 3 2 2 2 2 3 2" xfId="30277"/>
    <cellStyle name="Обычный 7 4 3 2 2 2 2 3 3" xfId="30278"/>
    <cellStyle name="Обычный 7 4 3 2 2 2 2 4" xfId="30279"/>
    <cellStyle name="Обычный 7 4 3 2 2 2 2 4 2" xfId="30280"/>
    <cellStyle name="Обычный 7 4 3 2 2 2 2 5" xfId="30281"/>
    <cellStyle name="Обычный 7 4 3 2 2 2 2 6" xfId="30282"/>
    <cellStyle name="Обычный 7 4 3 2 2 2 3" xfId="30283"/>
    <cellStyle name="Обычный 7 4 3 2 2 2 3 2" xfId="30284"/>
    <cellStyle name="Обычный 7 4 3 2 2 2 3 3" xfId="30285"/>
    <cellStyle name="Обычный 7 4 3 2 2 2 4" xfId="30286"/>
    <cellStyle name="Обычный 7 4 3 2 2 2 4 2" xfId="30287"/>
    <cellStyle name="Обычный 7 4 3 2 2 2 4 3" xfId="30288"/>
    <cellStyle name="Обычный 7 4 3 2 2 2 5" xfId="30289"/>
    <cellStyle name="Обычный 7 4 3 2 2 2 5 2" xfId="30290"/>
    <cellStyle name="Обычный 7 4 3 2 2 2 6" xfId="30291"/>
    <cellStyle name="Обычный 7 4 3 2 2 2 7" xfId="30292"/>
    <cellStyle name="Обычный 7 4 3 2 2 3" xfId="30293"/>
    <cellStyle name="Обычный 7 4 3 2 2 3 2" xfId="30294"/>
    <cellStyle name="Обычный 7 4 3 2 2 3 2 2" xfId="30295"/>
    <cellStyle name="Обычный 7 4 3 2 2 3 2 3" xfId="30296"/>
    <cellStyle name="Обычный 7 4 3 2 2 3 3" xfId="30297"/>
    <cellStyle name="Обычный 7 4 3 2 2 3 3 2" xfId="30298"/>
    <cellStyle name="Обычный 7 4 3 2 2 3 3 3" xfId="30299"/>
    <cellStyle name="Обычный 7 4 3 2 2 3 4" xfId="30300"/>
    <cellStyle name="Обычный 7 4 3 2 2 3 4 2" xfId="30301"/>
    <cellStyle name="Обычный 7 4 3 2 2 3 5" xfId="30302"/>
    <cellStyle name="Обычный 7 4 3 2 2 3 6" xfId="30303"/>
    <cellStyle name="Обычный 7 4 3 2 2 4" xfId="30304"/>
    <cellStyle name="Обычный 7 4 3 2 2 4 2" xfId="30305"/>
    <cellStyle name="Обычный 7 4 3 2 2 4 3" xfId="30306"/>
    <cellStyle name="Обычный 7 4 3 2 2 5" xfId="30307"/>
    <cellStyle name="Обычный 7 4 3 2 2 5 2" xfId="30308"/>
    <cellStyle name="Обычный 7 4 3 2 2 5 3" xfId="30309"/>
    <cellStyle name="Обычный 7 4 3 2 2 6" xfId="30310"/>
    <cellStyle name="Обычный 7 4 3 2 2 6 2" xfId="30311"/>
    <cellStyle name="Обычный 7 4 3 2 2 7" xfId="30312"/>
    <cellStyle name="Обычный 7 4 3 2 2 8" xfId="30313"/>
    <cellStyle name="Обычный 7 4 3 2 3" xfId="30314"/>
    <cellStyle name="Обычный 7 4 3 2 3 2" xfId="30315"/>
    <cellStyle name="Обычный 7 4 3 2 3 2 2" xfId="30316"/>
    <cellStyle name="Обычный 7 4 3 2 3 2 2 2" xfId="30317"/>
    <cellStyle name="Обычный 7 4 3 2 3 2 2 3" xfId="30318"/>
    <cellStyle name="Обычный 7 4 3 2 3 2 3" xfId="30319"/>
    <cellStyle name="Обычный 7 4 3 2 3 2 3 2" xfId="30320"/>
    <cellStyle name="Обычный 7 4 3 2 3 2 3 3" xfId="30321"/>
    <cellStyle name="Обычный 7 4 3 2 3 2 4" xfId="30322"/>
    <cellStyle name="Обычный 7 4 3 2 3 2 4 2" xfId="30323"/>
    <cellStyle name="Обычный 7 4 3 2 3 2 5" xfId="30324"/>
    <cellStyle name="Обычный 7 4 3 2 3 2 6" xfId="30325"/>
    <cellStyle name="Обычный 7 4 3 2 3 3" xfId="30326"/>
    <cellStyle name="Обычный 7 4 3 2 3 3 2" xfId="30327"/>
    <cellStyle name="Обычный 7 4 3 2 3 3 3" xfId="30328"/>
    <cellStyle name="Обычный 7 4 3 2 3 4" xfId="30329"/>
    <cellStyle name="Обычный 7 4 3 2 3 4 2" xfId="30330"/>
    <cellStyle name="Обычный 7 4 3 2 3 4 3" xfId="30331"/>
    <cellStyle name="Обычный 7 4 3 2 3 5" xfId="30332"/>
    <cellStyle name="Обычный 7 4 3 2 3 5 2" xfId="30333"/>
    <cellStyle name="Обычный 7 4 3 2 3 6" xfId="30334"/>
    <cellStyle name="Обычный 7 4 3 2 3 7" xfId="30335"/>
    <cellStyle name="Обычный 7 4 3 2 4" xfId="30336"/>
    <cellStyle name="Обычный 7 4 3 2 4 2" xfId="30337"/>
    <cellStyle name="Обычный 7 4 3 2 4 2 2" xfId="30338"/>
    <cellStyle name="Обычный 7 4 3 2 4 2 3" xfId="30339"/>
    <cellStyle name="Обычный 7 4 3 2 4 3" xfId="30340"/>
    <cellStyle name="Обычный 7 4 3 2 4 3 2" xfId="30341"/>
    <cellStyle name="Обычный 7 4 3 2 4 3 3" xfId="30342"/>
    <cellStyle name="Обычный 7 4 3 2 4 4" xfId="30343"/>
    <cellStyle name="Обычный 7 4 3 2 4 4 2" xfId="30344"/>
    <cellStyle name="Обычный 7 4 3 2 4 5" xfId="30345"/>
    <cellStyle name="Обычный 7 4 3 2 4 6" xfId="30346"/>
    <cellStyle name="Обычный 7 4 3 2 5" xfId="30347"/>
    <cellStyle name="Обычный 7 4 3 2 5 2" xfId="30348"/>
    <cellStyle name="Обычный 7 4 3 2 5 3" xfId="30349"/>
    <cellStyle name="Обычный 7 4 3 2 6" xfId="30350"/>
    <cellStyle name="Обычный 7 4 3 2 6 2" xfId="30351"/>
    <cellStyle name="Обычный 7 4 3 2 6 3" xfId="30352"/>
    <cellStyle name="Обычный 7 4 3 2 7" xfId="30353"/>
    <cellStyle name="Обычный 7 4 3 2 7 2" xfId="30354"/>
    <cellStyle name="Обычный 7 4 3 2 8" xfId="30355"/>
    <cellStyle name="Обычный 7 4 3 2 9" xfId="30356"/>
    <cellStyle name="Обычный 7 4 3 3" xfId="30357"/>
    <cellStyle name="Обычный 7 4 3 3 2" xfId="30358"/>
    <cellStyle name="Обычный 7 4 3 3 2 2" xfId="30359"/>
    <cellStyle name="Обычный 7 4 3 3 2 2 2" xfId="30360"/>
    <cellStyle name="Обычный 7 4 3 3 2 2 2 2" xfId="30361"/>
    <cellStyle name="Обычный 7 4 3 3 2 2 2 3" xfId="30362"/>
    <cellStyle name="Обычный 7 4 3 3 2 2 3" xfId="30363"/>
    <cellStyle name="Обычный 7 4 3 3 2 2 3 2" xfId="30364"/>
    <cellStyle name="Обычный 7 4 3 3 2 2 3 3" xfId="30365"/>
    <cellStyle name="Обычный 7 4 3 3 2 2 4" xfId="30366"/>
    <cellStyle name="Обычный 7 4 3 3 2 2 4 2" xfId="30367"/>
    <cellStyle name="Обычный 7 4 3 3 2 2 5" xfId="30368"/>
    <cellStyle name="Обычный 7 4 3 3 2 2 6" xfId="30369"/>
    <cellStyle name="Обычный 7 4 3 3 2 3" xfId="30370"/>
    <cellStyle name="Обычный 7 4 3 3 2 3 2" xfId="30371"/>
    <cellStyle name="Обычный 7 4 3 3 2 3 3" xfId="30372"/>
    <cellStyle name="Обычный 7 4 3 3 2 4" xfId="30373"/>
    <cellStyle name="Обычный 7 4 3 3 2 4 2" xfId="30374"/>
    <cellStyle name="Обычный 7 4 3 3 2 4 3" xfId="30375"/>
    <cellStyle name="Обычный 7 4 3 3 2 5" xfId="30376"/>
    <cellStyle name="Обычный 7 4 3 3 2 5 2" xfId="30377"/>
    <cellStyle name="Обычный 7 4 3 3 2 6" xfId="30378"/>
    <cellStyle name="Обычный 7 4 3 3 2 7" xfId="30379"/>
    <cellStyle name="Обычный 7 4 3 3 3" xfId="30380"/>
    <cellStyle name="Обычный 7 4 3 3 3 2" xfId="30381"/>
    <cellStyle name="Обычный 7 4 3 3 3 2 2" xfId="30382"/>
    <cellStyle name="Обычный 7 4 3 3 3 2 3" xfId="30383"/>
    <cellStyle name="Обычный 7 4 3 3 3 3" xfId="30384"/>
    <cellStyle name="Обычный 7 4 3 3 3 3 2" xfId="30385"/>
    <cellStyle name="Обычный 7 4 3 3 3 3 3" xfId="30386"/>
    <cellStyle name="Обычный 7 4 3 3 3 4" xfId="30387"/>
    <cellStyle name="Обычный 7 4 3 3 3 4 2" xfId="30388"/>
    <cellStyle name="Обычный 7 4 3 3 3 5" xfId="30389"/>
    <cellStyle name="Обычный 7 4 3 3 3 6" xfId="30390"/>
    <cellStyle name="Обычный 7 4 3 3 4" xfId="30391"/>
    <cellStyle name="Обычный 7 4 3 3 4 2" xfId="30392"/>
    <cellStyle name="Обычный 7 4 3 3 4 3" xfId="30393"/>
    <cellStyle name="Обычный 7 4 3 3 5" xfId="30394"/>
    <cellStyle name="Обычный 7 4 3 3 5 2" xfId="30395"/>
    <cellStyle name="Обычный 7 4 3 3 5 3" xfId="30396"/>
    <cellStyle name="Обычный 7 4 3 3 6" xfId="30397"/>
    <cellStyle name="Обычный 7 4 3 3 6 2" xfId="30398"/>
    <cellStyle name="Обычный 7 4 3 3 7" xfId="30399"/>
    <cellStyle name="Обычный 7 4 3 3 8" xfId="30400"/>
    <cellStyle name="Обычный 7 4 3 4" xfId="30401"/>
    <cellStyle name="Обычный 7 4 3 4 2" xfId="30402"/>
    <cellStyle name="Обычный 7 4 3 4 2 2" xfId="30403"/>
    <cellStyle name="Обычный 7 4 3 4 2 2 2" xfId="30404"/>
    <cellStyle name="Обычный 7 4 3 4 2 2 3" xfId="30405"/>
    <cellStyle name="Обычный 7 4 3 4 2 3" xfId="30406"/>
    <cellStyle name="Обычный 7 4 3 4 2 3 2" xfId="30407"/>
    <cellStyle name="Обычный 7 4 3 4 2 3 3" xfId="30408"/>
    <cellStyle name="Обычный 7 4 3 4 2 4" xfId="30409"/>
    <cellStyle name="Обычный 7 4 3 4 2 4 2" xfId="30410"/>
    <cellStyle name="Обычный 7 4 3 4 2 5" xfId="30411"/>
    <cellStyle name="Обычный 7 4 3 4 2 6" xfId="30412"/>
    <cellStyle name="Обычный 7 4 3 4 3" xfId="30413"/>
    <cellStyle name="Обычный 7 4 3 4 3 2" xfId="30414"/>
    <cellStyle name="Обычный 7 4 3 4 3 3" xfId="30415"/>
    <cellStyle name="Обычный 7 4 3 4 4" xfId="30416"/>
    <cellStyle name="Обычный 7 4 3 4 4 2" xfId="30417"/>
    <cellStyle name="Обычный 7 4 3 4 4 3" xfId="30418"/>
    <cellStyle name="Обычный 7 4 3 4 5" xfId="30419"/>
    <cellStyle name="Обычный 7 4 3 4 5 2" xfId="30420"/>
    <cellStyle name="Обычный 7 4 3 4 6" xfId="30421"/>
    <cellStyle name="Обычный 7 4 3 4 7" xfId="30422"/>
    <cellStyle name="Обычный 7 4 3 5" xfId="30423"/>
    <cellStyle name="Обычный 7 4 3 5 2" xfId="30424"/>
    <cellStyle name="Обычный 7 4 3 5 2 2" xfId="30425"/>
    <cellStyle name="Обычный 7 4 3 5 2 3" xfId="30426"/>
    <cellStyle name="Обычный 7 4 3 5 3" xfId="30427"/>
    <cellStyle name="Обычный 7 4 3 5 3 2" xfId="30428"/>
    <cellStyle name="Обычный 7 4 3 5 3 3" xfId="30429"/>
    <cellStyle name="Обычный 7 4 3 5 4" xfId="30430"/>
    <cellStyle name="Обычный 7 4 3 5 4 2" xfId="30431"/>
    <cellStyle name="Обычный 7 4 3 5 5" xfId="30432"/>
    <cellStyle name="Обычный 7 4 3 5 6" xfId="30433"/>
    <cellStyle name="Обычный 7 4 3 6" xfId="30434"/>
    <cellStyle name="Обычный 7 4 3 6 2" xfId="30435"/>
    <cellStyle name="Обычный 7 4 3 6 3" xfId="30436"/>
    <cellStyle name="Обычный 7 4 3 7" xfId="30437"/>
    <cellStyle name="Обычный 7 4 3 7 2" xfId="30438"/>
    <cellStyle name="Обычный 7 4 3 7 3" xfId="30439"/>
    <cellStyle name="Обычный 7 4 3 8" xfId="30440"/>
    <cellStyle name="Обычный 7 4 3 8 2" xfId="30441"/>
    <cellStyle name="Обычный 7 4 3 9" xfId="30442"/>
    <cellStyle name="Обычный 7 4 4" xfId="30443"/>
    <cellStyle name="Обычный 7 4 4 10" xfId="30444"/>
    <cellStyle name="Обычный 7 4 4 2" xfId="30445"/>
    <cellStyle name="Обычный 7 4 4 2 2" xfId="30446"/>
    <cellStyle name="Обычный 7 4 4 2 2 2" xfId="30447"/>
    <cellStyle name="Обычный 7 4 4 2 2 2 2" xfId="30448"/>
    <cellStyle name="Обычный 7 4 4 2 2 2 2 2" xfId="30449"/>
    <cellStyle name="Обычный 7 4 4 2 2 2 2 2 2" xfId="30450"/>
    <cellStyle name="Обычный 7 4 4 2 2 2 2 2 3" xfId="30451"/>
    <cellStyle name="Обычный 7 4 4 2 2 2 2 3" xfId="30452"/>
    <cellStyle name="Обычный 7 4 4 2 2 2 2 3 2" xfId="30453"/>
    <cellStyle name="Обычный 7 4 4 2 2 2 2 3 3" xfId="30454"/>
    <cellStyle name="Обычный 7 4 4 2 2 2 2 4" xfId="30455"/>
    <cellStyle name="Обычный 7 4 4 2 2 2 2 4 2" xfId="30456"/>
    <cellStyle name="Обычный 7 4 4 2 2 2 2 5" xfId="30457"/>
    <cellStyle name="Обычный 7 4 4 2 2 2 2 6" xfId="30458"/>
    <cellStyle name="Обычный 7 4 4 2 2 2 3" xfId="30459"/>
    <cellStyle name="Обычный 7 4 4 2 2 2 3 2" xfId="30460"/>
    <cellStyle name="Обычный 7 4 4 2 2 2 3 3" xfId="30461"/>
    <cellStyle name="Обычный 7 4 4 2 2 2 4" xfId="30462"/>
    <cellStyle name="Обычный 7 4 4 2 2 2 4 2" xfId="30463"/>
    <cellStyle name="Обычный 7 4 4 2 2 2 4 3" xfId="30464"/>
    <cellStyle name="Обычный 7 4 4 2 2 2 5" xfId="30465"/>
    <cellStyle name="Обычный 7 4 4 2 2 2 5 2" xfId="30466"/>
    <cellStyle name="Обычный 7 4 4 2 2 2 6" xfId="30467"/>
    <cellStyle name="Обычный 7 4 4 2 2 2 7" xfId="30468"/>
    <cellStyle name="Обычный 7 4 4 2 2 3" xfId="30469"/>
    <cellStyle name="Обычный 7 4 4 2 2 3 2" xfId="30470"/>
    <cellStyle name="Обычный 7 4 4 2 2 3 2 2" xfId="30471"/>
    <cellStyle name="Обычный 7 4 4 2 2 3 2 3" xfId="30472"/>
    <cellStyle name="Обычный 7 4 4 2 2 3 3" xfId="30473"/>
    <cellStyle name="Обычный 7 4 4 2 2 3 3 2" xfId="30474"/>
    <cellStyle name="Обычный 7 4 4 2 2 3 3 3" xfId="30475"/>
    <cellStyle name="Обычный 7 4 4 2 2 3 4" xfId="30476"/>
    <cellStyle name="Обычный 7 4 4 2 2 3 4 2" xfId="30477"/>
    <cellStyle name="Обычный 7 4 4 2 2 3 5" xfId="30478"/>
    <cellStyle name="Обычный 7 4 4 2 2 3 6" xfId="30479"/>
    <cellStyle name="Обычный 7 4 4 2 2 4" xfId="30480"/>
    <cellStyle name="Обычный 7 4 4 2 2 4 2" xfId="30481"/>
    <cellStyle name="Обычный 7 4 4 2 2 4 3" xfId="30482"/>
    <cellStyle name="Обычный 7 4 4 2 2 5" xfId="30483"/>
    <cellStyle name="Обычный 7 4 4 2 2 5 2" xfId="30484"/>
    <cellStyle name="Обычный 7 4 4 2 2 5 3" xfId="30485"/>
    <cellStyle name="Обычный 7 4 4 2 2 6" xfId="30486"/>
    <cellStyle name="Обычный 7 4 4 2 2 6 2" xfId="30487"/>
    <cellStyle name="Обычный 7 4 4 2 2 7" xfId="30488"/>
    <cellStyle name="Обычный 7 4 4 2 2 8" xfId="30489"/>
    <cellStyle name="Обычный 7 4 4 2 3" xfId="30490"/>
    <cellStyle name="Обычный 7 4 4 2 3 2" xfId="30491"/>
    <cellStyle name="Обычный 7 4 4 2 3 2 2" xfId="30492"/>
    <cellStyle name="Обычный 7 4 4 2 3 2 2 2" xfId="30493"/>
    <cellStyle name="Обычный 7 4 4 2 3 2 2 3" xfId="30494"/>
    <cellStyle name="Обычный 7 4 4 2 3 2 3" xfId="30495"/>
    <cellStyle name="Обычный 7 4 4 2 3 2 3 2" xfId="30496"/>
    <cellStyle name="Обычный 7 4 4 2 3 2 3 3" xfId="30497"/>
    <cellStyle name="Обычный 7 4 4 2 3 2 4" xfId="30498"/>
    <cellStyle name="Обычный 7 4 4 2 3 2 4 2" xfId="30499"/>
    <cellStyle name="Обычный 7 4 4 2 3 2 5" xfId="30500"/>
    <cellStyle name="Обычный 7 4 4 2 3 2 6" xfId="30501"/>
    <cellStyle name="Обычный 7 4 4 2 3 3" xfId="30502"/>
    <cellStyle name="Обычный 7 4 4 2 3 3 2" xfId="30503"/>
    <cellStyle name="Обычный 7 4 4 2 3 3 3" xfId="30504"/>
    <cellStyle name="Обычный 7 4 4 2 3 4" xfId="30505"/>
    <cellStyle name="Обычный 7 4 4 2 3 4 2" xfId="30506"/>
    <cellStyle name="Обычный 7 4 4 2 3 4 3" xfId="30507"/>
    <cellStyle name="Обычный 7 4 4 2 3 5" xfId="30508"/>
    <cellStyle name="Обычный 7 4 4 2 3 5 2" xfId="30509"/>
    <cellStyle name="Обычный 7 4 4 2 3 6" xfId="30510"/>
    <cellStyle name="Обычный 7 4 4 2 3 7" xfId="30511"/>
    <cellStyle name="Обычный 7 4 4 2 4" xfId="30512"/>
    <cellStyle name="Обычный 7 4 4 2 4 2" xfId="30513"/>
    <cellStyle name="Обычный 7 4 4 2 4 2 2" xfId="30514"/>
    <cellStyle name="Обычный 7 4 4 2 4 2 3" xfId="30515"/>
    <cellStyle name="Обычный 7 4 4 2 4 3" xfId="30516"/>
    <cellStyle name="Обычный 7 4 4 2 4 3 2" xfId="30517"/>
    <cellStyle name="Обычный 7 4 4 2 4 3 3" xfId="30518"/>
    <cellStyle name="Обычный 7 4 4 2 4 4" xfId="30519"/>
    <cellStyle name="Обычный 7 4 4 2 4 4 2" xfId="30520"/>
    <cellStyle name="Обычный 7 4 4 2 4 5" xfId="30521"/>
    <cellStyle name="Обычный 7 4 4 2 4 6" xfId="30522"/>
    <cellStyle name="Обычный 7 4 4 2 5" xfId="30523"/>
    <cellStyle name="Обычный 7 4 4 2 5 2" xfId="30524"/>
    <cellStyle name="Обычный 7 4 4 2 5 3" xfId="30525"/>
    <cellStyle name="Обычный 7 4 4 2 6" xfId="30526"/>
    <cellStyle name="Обычный 7 4 4 2 6 2" xfId="30527"/>
    <cellStyle name="Обычный 7 4 4 2 6 3" xfId="30528"/>
    <cellStyle name="Обычный 7 4 4 2 7" xfId="30529"/>
    <cellStyle name="Обычный 7 4 4 2 7 2" xfId="30530"/>
    <cellStyle name="Обычный 7 4 4 2 8" xfId="30531"/>
    <cellStyle name="Обычный 7 4 4 2 9" xfId="30532"/>
    <cellStyle name="Обычный 7 4 4 3" xfId="30533"/>
    <cellStyle name="Обычный 7 4 4 3 2" xfId="30534"/>
    <cellStyle name="Обычный 7 4 4 3 2 2" xfId="30535"/>
    <cellStyle name="Обычный 7 4 4 3 2 2 2" xfId="30536"/>
    <cellStyle name="Обычный 7 4 4 3 2 2 2 2" xfId="30537"/>
    <cellStyle name="Обычный 7 4 4 3 2 2 2 3" xfId="30538"/>
    <cellStyle name="Обычный 7 4 4 3 2 2 3" xfId="30539"/>
    <cellStyle name="Обычный 7 4 4 3 2 2 3 2" xfId="30540"/>
    <cellStyle name="Обычный 7 4 4 3 2 2 3 3" xfId="30541"/>
    <cellStyle name="Обычный 7 4 4 3 2 2 4" xfId="30542"/>
    <cellStyle name="Обычный 7 4 4 3 2 2 4 2" xfId="30543"/>
    <cellStyle name="Обычный 7 4 4 3 2 2 5" xfId="30544"/>
    <cellStyle name="Обычный 7 4 4 3 2 2 6" xfId="30545"/>
    <cellStyle name="Обычный 7 4 4 3 2 3" xfId="30546"/>
    <cellStyle name="Обычный 7 4 4 3 2 3 2" xfId="30547"/>
    <cellStyle name="Обычный 7 4 4 3 2 3 3" xfId="30548"/>
    <cellStyle name="Обычный 7 4 4 3 2 4" xfId="30549"/>
    <cellStyle name="Обычный 7 4 4 3 2 4 2" xfId="30550"/>
    <cellStyle name="Обычный 7 4 4 3 2 4 3" xfId="30551"/>
    <cellStyle name="Обычный 7 4 4 3 2 5" xfId="30552"/>
    <cellStyle name="Обычный 7 4 4 3 2 5 2" xfId="30553"/>
    <cellStyle name="Обычный 7 4 4 3 2 6" xfId="30554"/>
    <cellStyle name="Обычный 7 4 4 3 2 7" xfId="30555"/>
    <cellStyle name="Обычный 7 4 4 3 3" xfId="30556"/>
    <cellStyle name="Обычный 7 4 4 3 3 2" xfId="30557"/>
    <cellStyle name="Обычный 7 4 4 3 3 2 2" xfId="30558"/>
    <cellStyle name="Обычный 7 4 4 3 3 2 3" xfId="30559"/>
    <cellStyle name="Обычный 7 4 4 3 3 3" xfId="30560"/>
    <cellStyle name="Обычный 7 4 4 3 3 3 2" xfId="30561"/>
    <cellStyle name="Обычный 7 4 4 3 3 3 3" xfId="30562"/>
    <cellStyle name="Обычный 7 4 4 3 3 4" xfId="30563"/>
    <cellStyle name="Обычный 7 4 4 3 3 4 2" xfId="30564"/>
    <cellStyle name="Обычный 7 4 4 3 3 5" xfId="30565"/>
    <cellStyle name="Обычный 7 4 4 3 3 6" xfId="30566"/>
    <cellStyle name="Обычный 7 4 4 3 4" xfId="30567"/>
    <cellStyle name="Обычный 7 4 4 3 4 2" xfId="30568"/>
    <cellStyle name="Обычный 7 4 4 3 4 3" xfId="30569"/>
    <cellStyle name="Обычный 7 4 4 3 5" xfId="30570"/>
    <cellStyle name="Обычный 7 4 4 3 5 2" xfId="30571"/>
    <cellStyle name="Обычный 7 4 4 3 5 3" xfId="30572"/>
    <cellStyle name="Обычный 7 4 4 3 6" xfId="30573"/>
    <cellStyle name="Обычный 7 4 4 3 6 2" xfId="30574"/>
    <cellStyle name="Обычный 7 4 4 3 7" xfId="30575"/>
    <cellStyle name="Обычный 7 4 4 3 8" xfId="30576"/>
    <cellStyle name="Обычный 7 4 4 4" xfId="30577"/>
    <cellStyle name="Обычный 7 4 4 4 2" xfId="30578"/>
    <cellStyle name="Обычный 7 4 4 4 2 2" xfId="30579"/>
    <cellStyle name="Обычный 7 4 4 4 2 2 2" xfId="30580"/>
    <cellStyle name="Обычный 7 4 4 4 2 2 3" xfId="30581"/>
    <cellStyle name="Обычный 7 4 4 4 2 3" xfId="30582"/>
    <cellStyle name="Обычный 7 4 4 4 2 3 2" xfId="30583"/>
    <cellStyle name="Обычный 7 4 4 4 2 3 3" xfId="30584"/>
    <cellStyle name="Обычный 7 4 4 4 2 4" xfId="30585"/>
    <cellStyle name="Обычный 7 4 4 4 2 4 2" xfId="30586"/>
    <cellStyle name="Обычный 7 4 4 4 2 5" xfId="30587"/>
    <cellStyle name="Обычный 7 4 4 4 2 6" xfId="30588"/>
    <cellStyle name="Обычный 7 4 4 4 3" xfId="30589"/>
    <cellStyle name="Обычный 7 4 4 4 3 2" xfId="30590"/>
    <cellStyle name="Обычный 7 4 4 4 3 3" xfId="30591"/>
    <cellStyle name="Обычный 7 4 4 4 4" xfId="30592"/>
    <cellStyle name="Обычный 7 4 4 4 4 2" xfId="30593"/>
    <cellStyle name="Обычный 7 4 4 4 4 3" xfId="30594"/>
    <cellStyle name="Обычный 7 4 4 4 5" xfId="30595"/>
    <cellStyle name="Обычный 7 4 4 4 5 2" xfId="30596"/>
    <cellStyle name="Обычный 7 4 4 4 6" xfId="30597"/>
    <cellStyle name="Обычный 7 4 4 4 7" xfId="30598"/>
    <cellStyle name="Обычный 7 4 4 5" xfId="30599"/>
    <cellStyle name="Обычный 7 4 4 5 2" xfId="30600"/>
    <cellStyle name="Обычный 7 4 4 5 2 2" xfId="30601"/>
    <cellStyle name="Обычный 7 4 4 5 2 3" xfId="30602"/>
    <cellStyle name="Обычный 7 4 4 5 3" xfId="30603"/>
    <cellStyle name="Обычный 7 4 4 5 3 2" xfId="30604"/>
    <cellStyle name="Обычный 7 4 4 5 3 3" xfId="30605"/>
    <cellStyle name="Обычный 7 4 4 5 4" xfId="30606"/>
    <cellStyle name="Обычный 7 4 4 5 4 2" xfId="30607"/>
    <cellStyle name="Обычный 7 4 4 5 5" xfId="30608"/>
    <cellStyle name="Обычный 7 4 4 5 6" xfId="30609"/>
    <cellStyle name="Обычный 7 4 4 6" xfId="30610"/>
    <cellStyle name="Обычный 7 4 4 6 2" xfId="30611"/>
    <cellStyle name="Обычный 7 4 4 6 3" xfId="30612"/>
    <cellStyle name="Обычный 7 4 4 7" xfId="30613"/>
    <cellStyle name="Обычный 7 4 4 7 2" xfId="30614"/>
    <cellStyle name="Обычный 7 4 4 7 3" xfId="30615"/>
    <cellStyle name="Обычный 7 4 4 8" xfId="30616"/>
    <cellStyle name="Обычный 7 4 4 8 2" xfId="30617"/>
    <cellStyle name="Обычный 7 4 4 9" xfId="30618"/>
    <cellStyle name="Обычный 7 4 5" xfId="30619"/>
    <cellStyle name="Обычный 7 4 5 10" xfId="30620"/>
    <cellStyle name="Обычный 7 4 5 2" xfId="30621"/>
    <cellStyle name="Обычный 7 4 5 2 2" xfId="30622"/>
    <cellStyle name="Обычный 7 4 5 2 2 2" xfId="30623"/>
    <cellStyle name="Обычный 7 4 5 2 2 2 2" xfId="30624"/>
    <cellStyle name="Обычный 7 4 5 2 2 2 2 2" xfId="30625"/>
    <cellStyle name="Обычный 7 4 5 2 2 2 2 2 2" xfId="30626"/>
    <cellStyle name="Обычный 7 4 5 2 2 2 2 2 3" xfId="30627"/>
    <cellStyle name="Обычный 7 4 5 2 2 2 2 3" xfId="30628"/>
    <cellStyle name="Обычный 7 4 5 2 2 2 2 3 2" xfId="30629"/>
    <cellStyle name="Обычный 7 4 5 2 2 2 2 3 3" xfId="30630"/>
    <cellStyle name="Обычный 7 4 5 2 2 2 2 4" xfId="30631"/>
    <cellStyle name="Обычный 7 4 5 2 2 2 2 4 2" xfId="30632"/>
    <cellStyle name="Обычный 7 4 5 2 2 2 2 5" xfId="30633"/>
    <cellStyle name="Обычный 7 4 5 2 2 2 2 6" xfId="30634"/>
    <cellStyle name="Обычный 7 4 5 2 2 2 3" xfId="30635"/>
    <cellStyle name="Обычный 7 4 5 2 2 2 3 2" xfId="30636"/>
    <cellStyle name="Обычный 7 4 5 2 2 2 3 3" xfId="30637"/>
    <cellStyle name="Обычный 7 4 5 2 2 2 4" xfId="30638"/>
    <cellStyle name="Обычный 7 4 5 2 2 2 4 2" xfId="30639"/>
    <cellStyle name="Обычный 7 4 5 2 2 2 4 3" xfId="30640"/>
    <cellStyle name="Обычный 7 4 5 2 2 2 5" xfId="30641"/>
    <cellStyle name="Обычный 7 4 5 2 2 2 5 2" xfId="30642"/>
    <cellStyle name="Обычный 7 4 5 2 2 2 6" xfId="30643"/>
    <cellStyle name="Обычный 7 4 5 2 2 2 7" xfId="30644"/>
    <cellStyle name="Обычный 7 4 5 2 2 3" xfId="30645"/>
    <cellStyle name="Обычный 7 4 5 2 2 3 2" xfId="30646"/>
    <cellStyle name="Обычный 7 4 5 2 2 3 2 2" xfId="30647"/>
    <cellStyle name="Обычный 7 4 5 2 2 3 2 3" xfId="30648"/>
    <cellStyle name="Обычный 7 4 5 2 2 3 3" xfId="30649"/>
    <cellStyle name="Обычный 7 4 5 2 2 3 3 2" xfId="30650"/>
    <cellStyle name="Обычный 7 4 5 2 2 3 3 3" xfId="30651"/>
    <cellStyle name="Обычный 7 4 5 2 2 3 4" xfId="30652"/>
    <cellStyle name="Обычный 7 4 5 2 2 3 4 2" xfId="30653"/>
    <cellStyle name="Обычный 7 4 5 2 2 3 5" xfId="30654"/>
    <cellStyle name="Обычный 7 4 5 2 2 3 6" xfId="30655"/>
    <cellStyle name="Обычный 7 4 5 2 2 4" xfId="30656"/>
    <cellStyle name="Обычный 7 4 5 2 2 4 2" xfId="30657"/>
    <cellStyle name="Обычный 7 4 5 2 2 4 3" xfId="30658"/>
    <cellStyle name="Обычный 7 4 5 2 2 5" xfId="30659"/>
    <cellStyle name="Обычный 7 4 5 2 2 5 2" xfId="30660"/>
    <cellStyle name="Обычный 7 4 5 2 2 5 3" xfId="30661"/>
    <cellStyle name="Обычный 7 4 5 2 2 6" xfId="30662"/>
    <cellStyle name="Обычный 7 4 5 2 2 6 2" xfId="30663"/>
    <cellStyle name="Обычный 7 4 5 2 2 7" xfId="30664"/>
    <cellStyle name="Обычный 7 4 5 2 2 8" xfId="30665"/>
    <cellStyle name="Обычный 7 4 5 2 3" xfId="30666"/>
    <cellStyle name="Обычный 7 4 5 2 3 2" xfId="30667"/>
    <cellStyle name="Обычный 7 4 5 2 3 2 2" xfId="30668"/>
    <cellStyle name="Обычный 7 4 5 2 3 2 2 2" xfId="30669"/>
    <cellStyle name="Обычный 7 4 5 2 3 2 2 3" xfId="30670"/>
    <cellStyle name="Обычный 7 4 5 2 3 2 3" xfId="30671"/>
    <cellStyle name="Обычный 7 4 5 2 3 2 3 2" xfId="30672"/>
    <cellStyle name="Обычный 7 4 5 2 3 2 3 3" xfId="30673"/>
    <cellStyle name="Обычный 7 4 5 2 3 2 4" xfId="30674"/>
    <cellStyle name="Обычный 7 4 5 2 3 2 4 2" xfId="30675"/>
    <cellStyle name="Обычный 7 4 5 2 3 2 5" xfId="30676"/>
    <cellStyle name="Обычный 7 4 5 2 3 2 6" xfId="30677"/>
    <cellStyle name="Обычный 7 4 5 2 3 3" xfId="30678"/>
    <cellStyle name="Обычный 7 4 5 2 3 3 2" xfId="30679"/>
    <cellStyle name="Обычный 7 4 5 2 3 3 3" xfId="30680"/>
    <cellStyle name="Обычный 7 4 5 2 3 4" xfId="30681"/>
    <cellStyle name="Обычный 7 4 5 2 3 4 2" xfId="30682"/>
    <cellStyle name="Обычный 7 4 5 2 3 4 3" xfId="30683"/>
    <cellStyle name="Обычный 7 4 5 2 3 5" xfId="30684"/>
    <cellStyle name="Обычный 7 4 5 2 3 5 2" xfId="30685"/>
    <cellStyle name="Обычный 7 4 5 2 3 6" xfId="30686"/>
    <cellStyle name="Обычный 7 4 5 2 3 7" xfId="30687"/>
    <cellStyle name="Обычный 7 4 5 2 4" xfId="30688"/>
    <cellStyle name="Обычный 7 4 5 2 4 2" xfId="30689"/>
    <cellStyle name="Обычный 7 4 5 2 4 2 2" xfId="30690"/>
    <cellStyle name="Обычный 7 4 5 2 4 2 3" xfId="30691"/>
    <cellStyle name="Обычный 7 4 5 2 4 3" xfId="30692"/>
    <cellStyle name="Обычный 7 4 5 2 4 3 2" xfId="30693"/>
    <cellStyle name="Обычный 7 4 5 2 4 3 3" xfId="30694"/>
    <cellStyle name="Обычный 7 4 5 2 4 4" xfId="30695"/>
    <cellStyle name="Обычный 7 4 5 2 4 4 2" xfId="30696"/>
    <cellStyle name="Обычный 7 4 5 2 4 5" xfId="30697"/>
    <cellStyle name="Обычный 7 4 5 2 4 6" xfId="30698"/>
    <cellStyle name="Обычный 7 4 5 2 5" xfId="30699"/>
    <cellStyle name="Обычный 7 4 5 2 5 2" xfId="30700"/>
    <cellStyle name="Обычный 7 4 5 2 5 3" xfId="30701"/>
    <cellStyle name="Обычный 7 4 5 2 6" xfId="30702"/>
    <cellStyle name="Обычный 7 4 5 2 6 2" xfId="30703"/>
    <cellStyle name="Обычный 7 4 5 2 6 3" xfId="30704"/>
    <cellStyle name="Обычный 7 4 5 2 7" xfId="30705"/>
    <cellStyle name="Обычный 7 4 5 2 7 2" xfId="30706"/>
    <cellStyle name="Обычный 7 4 5 2 8" xfId="30707"/>
    <cellStyle name="Обычный 7 4 5 2 9" xfId="30708"/>
    <cellStyle name="Обычный 7 4 5 3" xfId="30709"/>
    <cellStyle name="Обычный 7 4 5 3 2" xfId="30710"/>
    <cellStyle name="Обычный 7 4 5 3 2 2" xfId="30711"/>
    <cellStyle name="Обычный 7 4 5 3 2 2 2" xfId="30712"/>
    <cellStyle name="Обычный 7 4 5 3 2 2 2 2" xfId="30713"/>
    <cellStyle name="Обычный 7 4 5 3 2 2 2 3" xfId="30714"/>
    <cellStyle name="Обычный 7 4 5 3 2 2 3" xfId="30715"/>
    <cellStyle name="Обычный 7 4 5 3 2 2 3 2" xfId="30716"/>
    <cellStyle name="Обычный 7 4 5 3 2 2 3 3" xfId="30717"/>
    <cellStyle name="Обычный 7 4 5 3 2 2 4" xfId="30718"/>
    <cellStyle name="Обычный 7 4 5 3 2 2 4 2" xfId="30719"/>
    <cellStyle name="Обычный 7 4 5 3 2 2 5" xfId="30720"/>
    <cellStyle name="Обычный 7 4 5 3 2 2 6" xfId="30721"/>
    <cellStyle name="Обычный 7 4 5 3 2 3" xfId="30722"/>
    <cellStyle name="Обычный 7 4 5 3 2 3 2" xfId="30723"/>
    <cellStyle name="Обычный 7 4 5 3 2 3 3" xfId="30724"/>
    <cellStyle name="Обычный 7 4 5 3 2 4" xfId="30725"/>
    <cellStyle name="Обычный 7 4 5 3 2 4 2" xfId="30726"/>
    <cellStyle name="Обычный 7 4 5 3 2 4 3" xfId="30727"/>
    <cellStyle name="Обычный 7 4 5 3 2 5" xfId="30728"/>
    <cellStyle name="Обычный 7 4 5 3 2 5 2" xfId="30729"/>
    <cellStyle name="Обычный 7 4 5 3 2 6" xfId="30730"/>
    <cellStyle name="Обычный 7 4 5 3 2 7" xfId="30731"/>
    <cellStyle name="Обычный 7 4 5 3 3" xfId="30732"/>
    <cellStyle name="Обычный 7 4 5 3 3 2" xfId="30733"/>
    <cellStyle name="Обычный 7 4 5 3 3 2 2" xfId="30734"/>
    <cellStyle name="Обычный 7 4 5 3 3 2 3" xfId="30735"/>
    <cellStyle name="Обычный 7 4 5 3 3 3" xfId="30736"/>
    <cellStyle name="Обычный 7 4 5 3 3 3 2" xfId="30737"/>
    <cellStyle name="Обычный 7 4 5 3 3 3 3" xfId="30738"/>
    <cellStyle name="Обычный 7 4 5 3 3 4" xfId="30739"/>
    <cellStyle name="Обычный 7 4 5 3 3 4 2" xfId="30740"/>
    <cellStyle name="Обычный 7 4 5 3 3 5" xfId="30741"/>
    <cellStyle name="Обычный 7 4 5 3 3 6" xfId="30742"/>
    <cellStyle name="Обычный 7 4 5 3 4" xfId="30743"/>
    <cellStyle name="Обычный 7 4 5 3 4 2" xfId="30744"/>
    <cellStyle name="Обычный 7 4 5 3 4 3" xfId="30745"/>
    <cellStyle name="Обычный 7 4 5 3 5" xfId="30746"/>
    <cellStyle name="Обычный 7 4 5 3 5 2" xfId="30747"/>
    <cellStyle name="Обычный 7 4 5 3 5 3" xfId="30748"/>
    <cellStyle name="Обычный 7 4 5 3 6" xfId="30749"/>
    <cellStyle name="Обычный 7 4 5 3 6 2" xfId="30750"/>
    <cellStyle name="Обычный 7 4 5 3 7" xfId="30751"/>
    <cellStyle name="Обычный 7 4 5 3 8" xfId="30752"/>
    <cellStyle name="Обычный 7 4 5 4" xfId="30753"/>
    <cellStyle name="Обычный 7 4 5 4 2" xfId="30754"/>
    <cellStyle name="Обычный 7 4 5 4 2 2" xfId="30755"/>
    <cellStyle name="Обычный 7 4 5 4 2 2 2" xfId="30756"/>
    <cellStyle name="Обычный 7 4 5 4 2 2 3" xfId="30757"/>
    <cellStyle name="Обычный 7 4 5 4 2 3" xfId="30758"/>
    <cellStyle name="Обычный 7 4 5 4 2 3 2" xfId="30759"/>
    <cellStyle name="Обычный 7 4 5 4 2 3 3" xfId="30760"/>
    <cellStyle name="Обычный 7 4 5 4 2 4" xfId="30761"/>
    <cellStyle name="Обычный 7 4 5 4 2 4 2" xfId="30762"/>
    <cellStyle name="Обычный 7 4 5 4 2 5" xfId="30763"/>
    <cellStyle name="Обычный 7 4 5 4 2 6" xfId="30764"/>
    <cellStyle name="Обычный 7 4 5 4 3" xfId="30765"/>
    <cellStyle name="Обычный 7 4 5 4 3 2" xfId="30766"/>
    <cellStyle name="Обычный 7 4 5 4 3 3" xfId="30767"/>
    <cellStyle name="Обычный 7 4 5 4 4" xfId="30768"/>
    <cellStyle name="Обычный 7 4 5 4 4 2" xfId="30769"/>
    <cellStyle name="Обычный 7 4 5 4 4 3" xfId="30770"/>
    <cellStyle name="Обычный 7 4 5 4 5" xfId="30771"/>
    <cellStyle name="Обычный 7 4 5 4 5 2" xfId="30772"/>
    <cellStyle name="Обычный 7 4 5 4 6" xfId="30773"/>
    <cellStyle name="Обычный 7 4 5 4 7" xfId="30774"/>
    <cellStyle name="Обычный 7 4 5 5" xfId="30775"/>
    <cellStyle name="Обычный 7 4 5 5 2" xfId="30776"/>
    <cellStyle name="Обычный 7 4 5 5 2 2" xfId="30777"/>
    <cellStyle name="Обычный 7 4 5 5 2 3" xfId="30778"/>
    <cellStyle name="Обычный 7 4 5 5 3" xfId="30779"/>
    <cellStyle name="Обычный 7 4 5 5 3 2" xfId="30780"/>
    <cellStyle name="Обычный 7 4 5 5 3 3" xfId="30781"/>
    <cellStyle name="Обычный 7 4 5 5 4" xfId="30782"/>
    <cellStyle name="Обычный 7 4 5 5 4 2" xfId="30783"/>
    <cellStyle name="Обычный 7 4 5 5 5" xfId="30784"/>
    <cellStyle name="Обычный 7 4 5 5 6" xfId="30785"/>
    <cellStyle name="Обычный 7 4 5 6" xfId="30786"/>
    <cellStyle name="Обычный 7 4 5 6 2" xfId="30787"/>
    <cellStyle name="Обычный 7 4 5 6 3" xfId="30788"/>
    <cellStyle name="Обычный 7 4 5 7" xfId="30789"/>
    <cellStyle name="Обычный 7 4 5 7 2" xfId="30790"/>
    <cellStyle name="Обычный 7 4 5 7 3" xfId="30791"/>
    <cellStyle name="Обычный 7 4 5 8" xfId="30792"/>
    <cellStyle name="Обычный 7 4 5 8 2" xfId="30793"/>
    <cellStyle name="Обычный 7 4 5 9" xfId="30794"/>
    <cellStyle name="Обычный 7 4 6" xfId="30795"/>
    <cellStyle name="Обычный 7 4 6 2" xfId="30796"/>
    <cellStyle name="Обычный 7 4 6 2 2" xfId="30797"/>
    <cellStyle name="Обычный 7 4 6 2 2 2" xfId="30798"/>
    <cellStyle name="Обычный 7 4 6 2 2 2 2" xfId="30799"/>
    <cellStyle name="Обычный 7 4 6 2 2 2 2 2" xfId="30800"/>
    <cellStyle name="Обычный 7 4 6 2 2 2 2 3" xfId="30801"/>
    <cellStyle name="Обычный 7 4 6 2 2 2 3" xfId="30802"/>
    <cellStyle name="Обычный 7 4 6 2 2 2 3 2" xfId="30803"/>
    <cellStyle name="Обычный 7 4 6 2 2 2 3 3" xfId="30804"/>
    <cellStyle name="Обычный 7 4 6 2 2 2 4" xfId="30805"/>
    <cellStyle name="Обычный 7 4 6 2 2 2 4 2" xfId="30806"/>
    <cellStyle name="Обычный 7 4 6 2 2 2 5" xfId="30807"/>
    <cellStyle name="Обычный 7 4 6 2 2 2 6" xfId="30808"/>
    <cellStyle name="Обычный 7 4 6 2 2 3" xfId="30809"/>
    <cellStyle name="Обычный 7 4 6 2 2 3 2" xfId="30810"/>
    <cellStyle name="Обычный 7 4 6 2 2 3 3" xfId="30811"/>
    <cellStyle name="Обычный 7 4 6 2 2 4" xfId="30812"/>
    <cellStyle name="Обычный 7 4 6 2 2 4 2" xfId="30813"/>
    <cellStyle name="Обычный 7 4 6 2 2 4 3" xfId="30814"/>
    <cellStyle name="Обычный 7 4 6 2 2 5" xfId="30815"/>
    <cellStyle name="Обычный 7 4 6 2 2 5 2" xfId="30816"/>
    <cellStyle name="Обычный 7 4 6 2 2 6" xfId="30817"/>
    <cellStyle name="Обычный 7 4 6 2 2 7" xfId="30818"/>
    <cellStyle name="Обычный 7 4 6 2 3" xfId="30819"/>
    <cellStyle name="Обычный 7 4 6 2 3 2" xfId="30820"/>
    <cellStyle name="Обычный 7 4 6 2 3 2 2" xfId="30821"/>
    <cellStyle name="Обычный 7 4 6 2 3 2 3" xfId="30822"/>
    <cellStyle name="Обычный 7 4 6 2 3 3" xfId="30823"/>
    <cellStyle name="Обычный 7 4 6 2 3 3 2" xfId="30824"/>
    <cellStyle name="Обычный 7 4 6 2 3 3 3" xfId="30825"/>
    <cellStyle name="Обычный 7 4 6 2 3 4" xfId="30826"/>
    <cellStyle name="Обычный 7 4 6 2 3 4 2" xfId="30827"/>
    <cellStyle name="Обычный 7 4 6 2 3 5" xfId="30828"/>
    <cellStyle name="Обычный 7 4 6 2 3 6" xfId="30829"/>
    <cellStyle name="Обычный 7 4 6 2 4" xfId="30830"/>
    <cellStyle name="Обычный 7 4 6 2 4 2" xfId="30831"/>
    <cellStyle name="Обычный 7 4 6 2 4 3" xfId="30832"/>
    <cellStyle name="Обычный 7 4 6 2 5" xfId="30833"/>
    <cellStyle name="Обычный 7 4 6 2 5 2" xfId="30834"/>
    <cellStyle name="Обычный 7 4 6 2 5 3" xfId="30835"/>
    <cellStyle name="Обычный 7 4 6 2 6" xfId="30836"/>
    <cellStyle name="Обычный 7 4 6 2 6 2" xfId="30837"/>
    <cellStyle name="Обычный 7 4 6 2 7" xfId="30838"/>
    <cellStyle name="Обычный 7 4 6 2 8" xfId="30839"/>
    <cellStyle name="Обычный 7 4 6 3" xfId="30840"/>
    <cellStyle name="Обычный 7 4 6 3 2" xfId="30841"/>
    <cellStyle name="Обычный 7 4 6 3 2 2" xfId="30842"/>
    <cellStyle name="Обычный 7 4 6 3 2 2 2" xfId="30843"/>
    <cellStyle name="Обычный 7 4 6 3 2 2 3" xfId="30844"/>
    <cellStyle name="Обычный 7 4 6 3 2 3" xfId="30845"/>
    <cellStyle name="Обычный 7 4 6 3 2 3 2" xfId="30846"/>
    <cellStyle name="Обычный 7 4 6 3 2 3 3" xfId="30847"/>
    <cellStyle name="Обычный 7 4 6 3 2 4" xfId="30848"/>
    <cellStyle name="Обычный 7 4 6 3 2 4 2" xfId="30849"/>
    <cellStyle name="Обычный 7 4 6 3 2 5" xfId="30850"/>
    <cellStyle name="Обычный 7 4 6 3 2 6" xfId="30851"/>
    <cellStyle name="Обычный 7 4 6 3 3" xfId="30852"/>
    <cellStyle name="Обычный 7 4 6 3 3 2" xfId="30853"/>
    <cellStyle name="Обычный 7 4 6 3 3 3" xfId="30854"/>
    <cellStyle name="Обычный 7 4 6 3 4" xfId="30855"/>
    <cellStyle name="Обычный 7 4 6 3 4 2" xfId="30856"/>
    <cellStyle name="Обычный 7 4 6 3 4 3" xfId="30857"/>
    <cellStyle name="Обычный 7 4 6 3 5" xfId="30858"/>
    <cellStyle name="Обычный 7 4 6 3 5 2" xfId="30859"/>
    <cellStyle name="Обычный 7 4 6 3 6" xfId="30860"/>
    <cellStyle name="Обычный 7 4 6 3 7" xfId="30861"/>
    <cellStyle name="Обычный 7 4 6 4" xfId="30862"/>
    <cellStyle name="Обычный 7 4 6 4 2" xfId="30863"/>
    <cellStyle name="Обычный 7 4 6 4 2 2" xfId="30864"/>
    <cellStyle name="Обычный 7 4 6 4 2 3" xfId="30865"/>
    <cellStyle name="Обычный 7 4 6 4 3" xfId="30866"/>
    <cellStyle name="Обычный 7 4 6 4 3 2" xfId="30867"/>
    <cellStyle name="Обычный 7 4 6 4 3 3" xfId="30868"/>
    <cellStyle name="Обычный 7 4 6 4 4" xfId="30869"/>
    <cellStyle name="Обычный 7 4 6 4 4 2" xfId="30870"/>
    <cellStyle name="Обычный 7 4 6 4 5" xfId="30871"/>
    <cellStyle name="Обычный 7 4 6 4 6" xfId="30872"/>
    <cellStyle name="Обычный 7 4 6 5" xfId="30873"/>
    <cellStyle name="Обычный 7 4 6 5 2" xfId="30874"/>
    <cellStyle name="Обычный 7 4 6 5 3" xfId="30875"/>
    <cellStyle name="Обычный 7 4 6 6" xfId="30876"/>
    <cellStyle name="Обычный 7 4 6 6 2" xfId="30877"/>
    <cellStyle name="Обычный 7 4 6 6 3" xfId="30878"/>
    <cellStyle name="Обычный 7 4 6 7" xfId="30879"/>
    <cellStyle name="Обычный 7 4 6 7 2" xfId="30880"/>
    <cellStyle name="Обычный 7 4 6 8" xfId="30881"/>
    <cellStyle name="Обычный 7 4 6 9" xfId="30882"/>
    <cellStyle name="Обычный 7 4 7" xfId="30883"/>
    <cellStyle name="Обычный 7 4 7 2" xfId="30884"/>
    <cellStyle name="Обычный 7 4 7 2 2" xfId="30885"/>
    <cellStyle name="Обычный 7 4 7 2 2 2" xfId="30886"/>
    <cellStyle name="Обычный 7 4 7 2 2 2 2" xfId="30887"/>
    <cellStyle name="Обычный 7 4 7 2 2 2 3" xfId="30888"/>
    <cellStyle name="Обычный 7 4 7 2 2 3" xfId="30889"/>
    <cellStyle name="Обычный 7 4 7 2 2 3 2" xfId="30890"/>
    <cellStyle name="Обычный 7 4 7 2 2 3 3" xfId="30891"/>
    <cellStyle name="Обычный 7 4 7 2 2 4" xfId="30892"/>
    <cellStyle name="Обычный 7 4 7 2 2 4 2" xfId="30893"/>
    <cellStyle name="Обычный 7 4 7 2 2 5" xfId="30894"/>
    <cellStyle name="Обычный 7 4 7 2 2 6" xfId="30895"/>
    <cellStyle name="Обычный 7 4 7 2 3" xfId="30896"/>
    <cellStyle name="Обычный 7 4 7 2 3 2" xfId="30897"/>
    <cellStyle name="Обычный 7 4 7 2 3 3" xfId="30898"/>
    <cellStyle name="Обычный 7 4 7 2 4" xfId="30899"/>
    <cellStyle name="Обычный 7 4 7 2 4 2" xfId="30900"/>
    <cellStyle name="Обычный 7 4 7 2 4 3" xfId="30901"/>
    <cellStyle name="Обычный 7 4 7 2 5" xfId="30902"/>
    <cellStyle name="Обычный 7 4 7 2 5 2" xfId="30903"/>
    <cellStyle name="Обычный 7 4 7 2 6" xfId="30904"/>
    <cellStyle name="Обычный 7 4 7 2 7" xfId="30905"/>
    <cellStyle name="Обычный 7 4 7 3" xfId="30906"/>
    <cellStyle name="Обычный 7 4 7 3 2" xfId="30907"/>
    <cellStyle name="Обычный 7 4 7 3 2 2" xfId="30908"/>
    <cellStyle name="Обычный 7 4 7 3 2 3" xfId="30909"/>
    <cellStyle name="Обычный 7 4 7 3 3" xfId="30910"/>
    <cellStyle name="Обычный 7 4 7 3 3 2" xfId="30911"/>
    <cellStyle name="Обычный 7 4 7 3 3 3" xfId="30912"/>
    <cellStyle name="Обычный 7 4 7 3 4" xfId="30913"/>
    <cellStyle name="Обычный 7 4 7 3 4 2" xfId="30914"/>
    <cellStyle name="Обычный 7 4 7 3 5" xfId="30915"/>
    <cellStyle name="Обычный 7 4 7 3 6" xfId="30916"/>
    <cellStyle name="Обычный 7 4 7 4" xfId="30917"/>
    <cellStyle name="Обычный 7 4 7 4 2" xfId="30918"/>
    <cellStyle name="Обычный 7 4 7 4 3" xfId="30919"/>
    <cellStyle name="Обычный 7 4 7 5" xfId="30920"/>
    <cellStyle name="Обычный 7 4 7 5 2" xfId="30921"/>
    <cellStyle name="Обычный 7 4 7 5 3" xfId="30922"/>
    <cellStyle name="Обычный 7 4 7 6" xfId="30923"/>
    <cellStyle name="Обычный 7 4 7 6 2" xfId="30924"/>
    <cellStyle name="Обычный 7 4 7 7" xfId="30925"/>
    <cellStyle name="Обычный 7 4 7 8" xfId="30926"/>
    <cellStyle name="Обычный 7 4 8" xfId="30927"/>
    <cellStyle name="Обычный 7 4 8 2" xfId="30928"/>
    <cellStyle name="Обычный 7 4 8 2 2" xfId="30929"/>
    <cellStyle name="Обычный 7 4 8 2 2 2" xfId="30930"/>
    <cellStyle name="Обычный 7 4 8 2 2 3" xfId="30931"/>
    <cellStyle name="Обычный 7 4 8 2 3" xfId="30932"/>
    <cellStyle name="Обычный 7 4 8 2 3 2" xfId="30933"/>
    <cellStyle name="Обычный 7 4 8 2 3 3" xfId="30934"/>
    <cellStyle name="Обычный 7 4 8 2 4" xfId="30935"/>
    <cellStyle name="Обычный 7 4 8 2 4 2" xfId="30936"/>
    <cellStyle name="Обычный 7 4 8 2 5" xfId="30937"/>
    <cellStyle name="Обычный 7 4 8 2 6" xfId="30938"/>
    <cellStyle name="Обычный 7 4 8 3" xfId="30939"/>
    <cellStyle name="Обычный 7 4 8 3 2" xfId="30940"/>
    <cellStyle name="Обычный 7 4 8 3 3" xfId="30941"/>
    <cellStyle name="Обычный 7 4 8 4" xfId="30942"/>
    <cellStyle name="Обычный 7 4 8 4 2" xfId="30943"/>
    <cellStyle name="Обычный 7 4 8 4 3" xfId="30944"/>
    <cellStyle name="Обычный 7 4 8 5" xfId="30945"/>
    <cellStyle name="Обычный 7 4 8 5 2" xfId="30946"/>
    <cellStyle name="Обычный 7 4 8 6" xfId="30947"/>
    <cellStyle name="Обычный 7 4 8 7" xfId="30948"/>
    <cellStyle name="Обычный 7 4 9" xfId="30949"/>
    <cellStyle name="Обычный 7 4 9 2" xfId="30950"/>
    <cellStyle name="Обычный 7 4 9 2 2" xfId="30951"/>
    <cellStyle name="Обычный 7 4 9 2 3" xfId="30952"/>
    <cellStyle name="Обычный 7 4 9 3" xfId="30953"/>
    <cellStyle name="Обычный 7 4 9 3 2" xfId="30954"/>
    <cellStyle name="Обычный 7 4 9 3 3" xfId="30955"/>
    <cellStyle name="Обычный 7 4 9 4" xfId="30956"/>
    <cellStyle name="Обычный 7 4 9 4 2" xfId="30957"/>
    <cellStyle name="Обычный 7 4 9 5" xfId="30958"/>
    <cellStyle name="Обычный 7 4 9 6" xfId="30959"/>
    <cellStyle name="Обычный 7 5" xfId="30960"/>
    <cellStyle name="Обычный 7 5 10" xfId="30961"/>
    <cellStyle name="Обычный 7 5 10 2" xfId="30962"/>
    <cellStyle name="Обычный 7 5 10 3" xfId="30963"/>
    <cellStyle name="Обычный 7 5 11" xfId="30964"/>
    <cellStyle name="Обычный 7 5 11 2" xfId="30965"/>
    <cellStyle name="Обычный 7 5 11 3" xfId="30966"/>
    <cellStyle name="Обычный 7 5 12" xfId="30967"/>
    <cellStyle name="Обычный 7 5 12 2" xfId="30968"/>
    <cellStyle name="Обычный 7 5 13" xfId="30969"/>
    <cellStyle name="Обычный 7 5 14" xfId="30970"/>
    <cellStyle name="Обычный 7 5 2" xfId="30971"/>
    <cellStyle name="Обычный 7 5 2 10" xfId="30972"/>
    <cellStyle name="Обычный 7 5 2 10 2" xfId="30973"/>
    <cellStyle name="Обычный 7 5 2 10 3" xfId="30974"/>
    <cellStyle name="Обычный 7 5 2 11" xfId="30975"/>
    <cellStyle name="Обычный 7 5 2 11 2" xfId="30976"/>
    <cellStyle name="Обычный 7 5 2 12" xfId="30977"/>
    <cellStyle name="Обычный 7 5 2 13" xfId="30978"/>
    <cellStyle name="Обычный 7 5 2 2" xfId="30979"/>
    <cellStyle name="Обычный 7 5 2 2 10" xfId="30980"/>
    <cellStyle name="Обычный 7 5 2 2 2" xfId="30981"/>
    <cellStyle name="Обычный 7 5 2 2 2 2" xfId="30982"/>
    <cellStyle name="Обычный 7 5 2 2 2 2 2" xfId="30983"/>
    <cellStyle name="Обычный 7 5 2 2 2 2 2 2" xfId="30984"/>
    <cellStyle name="Обычный 7 5 2 2 2 2 2 2 2" xfId="30985"/>
    <cellStyle name="Обычный 7 5 2 2 2 2 2 2 2 2" xfId="30986"/>
    <cellStyle name="Обычный 7 5 2 2 2 2 2 2 2 3" xfId="30987"/>
    <cellStyle name="Обычный 7 5 2 2 2 2 2 2 3" xfId="30988"/>
    <cellStyle name="Обычный 7 5 2 2 2 2 2 2 3 2" xfId="30989"/>
    <cellStyle name="Обычный 7 5 2 2 2 2 2 2 3 3" xfId="30990"/>
    <cellStyle name="Обычный 7 5 2 2 2 2 2 2 4" xfId="30991"/>
    <cellStyle name="Обычный 7 5 2 2 2 2 2 2 4 2" xfId="30992"/>
    <cellStyle name="Обычный 7 5 2 2 2 2 2 2 5" xfId="30993"/>
    <cellStyle name="Обычный 7 5 2 2 2 2 2 2 6" xfId="30994"/>
    <cellStyle name="Обычный 7 5 2 2 2 2 2 3" xfId="30995"/>
    <cellStyle name="Обычный 7 5 2 2 2 2 2 3 2" xfId="30996"/>
    <cellStyle name="Обычный 7 5 2 2 2 2 2 3 3" xfId="30997"/>
    <cellStyle name="Обычный 7 5 2 2 2 2 2 4" xfId="30998"/>
    <cellStyle name="Обычный 7 5 2 2 2 2 2 4 2" xfId="30999"/>
    <cellStyle name="Обычный 7 5 2 2 2 2 2 4 3" xfId="31000"/>
    <cellStyle name="Обычный 7 5 2 2 2 2 2 5" xfId="31001"/>
    <cellStyle name="Обычный 7 5 2 2 2 2 2 5 2" xfId="31002"/>
    <cellStyle name="Обычный 7 5 2 2 2 2 2 6" xfId="31003"/>
    <cellStyle name="Обычный 7 5 2 2 2 2 2 7" xfId="31004"/>
    <cellStyle name="Обычный 7 5 2 2 2 2 3" xfId="31005"/>
    <cellStyle name="Обычный 7 5 2 2 2 2 3 2" xfId="31006"/>
    <cellStyle name="Обычный 7 5 2 2 2 2 3 2 2" xfId="31007"/>
    <cellStyle name="Обычный 7 5 2 2 2 2 3 2 3" xfId="31008"/>
    <cellStyle name="Обычный 7 5 2 2 2 2 3 3" xfId="31009"/>
    <cellStyle name="Обычный 7 5 2 2 2 2 3 3 2" xfId="31010"/>
    <cellStyle name="Обычный 7 5 2 2 2 2 3 3 3" xfId="31011"/>
    <cellStyle name="Обычный 7 5 2 2 2 2 3 4" xfId="31012"/>
    <cellStyle name="Обычный 7 5 2 2 2 2 3 4 2" xfId="31013"/>
    <cellStyle name="Обычный 7 5 2 2 2 2 3 5" xfId="31014"/>
    <cellStyle name="Обычный 7 5 2 2 2 2 3 6" xfId="31015"/>
    <cellStyle name="Обычный 7 5 2 2 2 2 4" xfId="31016"/>
    <cellStyle name="Обычный 7 5 2 2 2 2 4 2" xfId="31017"/>
    <cellStyle name="Обычный 7 5 2 2 2 2 4 3" xfId="31018"/>
    <cellStyle name="Обычный 7 5 2 2 2 2 5" xfId="31019"/>
    <cellStyle name="Обычный 7 5 2 2 2 2 5 2" xfId="31020"/>
    <cellStyle name="Обычный 7 5 2 2 2 2 5 3" xfId="31021"/>
    <cellStyle name="Обычный 7 5 2 2 2 2 6" xfId="31022"/>
    <cellStyle name="Обычный 7 5 2 2 2 2 6 2" xfId="31023"/>
    <cellStyle name="Обычный 7 5 2 2 2 2 7" xfId="31024"/>
    <cellStyle name="Обычный 7 5 2 2 2 2 8" xfId="31025"/>
    <cellStyle name="Обычный 7 5 2 2 2 3" xfId="31026"/>
    <cellStyle name="Обычный 7 5 2 2 2 3 2" xfId="31027"/>
    <cellStyle name="Обычный 7 5 2 2 2 3 2 2" xfId="31028"/>
    <cellStyle name="Обычный 7 5 2 2 2 3 2 2 2" xfId="31029"/>
    <cellStyle name="Обычный 7 5 2 2 2 3 2 2 3" xfId="31030"/>
    <cellStyle name="Обычный 7 5 2 2 2 3 2 3" xfId="31031"/>
    <cellStyle name="Обычный 7 5 2 2 2 3 2 3 2" xfId="31032"/>
    <cellStyle name="Обычный 7 5 2 2 2 3 2 3 3" xfId="31033"/>
    <cellStyle name="Обычный 7 5 2 2 2 3 2 4" xfId="31034"/>
    <cellStyle name="Обычный 7 5 2 2 2 3 2 4 2" xfId="31035"/>
    <cellStyle name="Обычный 7 5 2 2 2 3 2 5" xfId="31036"/>
    <cellStyle name="Обычный 7 5 2 2 2 3 2 6" xfId="31037"/>
    <cellStyle name="Обычный 7 5 2 2 2 3 3" xfId="31038"/>
    <cellStyle name="Обычный 7 5 2 2 2 3 3 2" xfId="31039"/>
    <cellStyle name="Обычный 7 5 2 2 2 3 3 3" xfId="31040"/>
    <cellStyle name="Обычный 7 5 2 2 2 3 4" xfId="31041"/>
    <cellStyle name="Обычный 7 5 2 2 2 3 4 2" xfId="31042"/>
    <cellStyle name="Обычный 7 5 2 2 2 3 4 3" xfId="31043"/>
    <cellStyle name="Обычный 7 5 2 2 2 3 5" xfId="31044"/>
    <cellStyle name="Обычный 7 5 2 2 2 3 5 2" xfId="31045"/>
    <cellStyle name="Обычный 7 5 2 2 2 3 6" xfId="31046"/>
    <cellStyle name="Обычный 7 5 2 2 2 3 7" xfId="31047"/>
    <cellStyle name="Обычный 7 5 2 2 2 4" xfId="31048"/>
    <cellStyle name="Обычный 7 5 2 2 2 4 2" xfId="31049"/>
    <cellStyle name="Обычный 7 5 2 2 2 4 2 2" xfId="31050"/>
    <cellStyle name="Обычный 7 5 2 2 2 4 2 3" xfId="31051"/>
    <cellStyle name="Обычный 7 5 2 2 2 4 3" xfId="31052"/>
    <cellStyle name="Обычный 7 5 2 2 2 4 3 2" xfId="31053"/>
    <cellStyle name="Обычный 7 5 2 2 2 4 3 3" xfId="31054"/>
    <cellStyle name="Обычный 7 5 2 2 2 4 4" xfId="31055"/>
    <cellStyle name="Обычный 7 5 2 2 2 4 4 2" xfId="31056"/>
    <cellStyle name="Обычный 7 5 2 2 2 4 5" xfId="31057"/>
    <cellStyle name="Обычный 7 5 2 2 2 4 6" xfId="31058"/>
    <cellStyle name="Обычный 7 5 2 2 2 5" xfId="31059"/>
    <cellStyle name="Обычный 7 5 2 2 2 5 2" xfId="31060"/>
    <cellStyle name="Обычный 7 5 2 2 2 5 3" xfId="31061"/>
    <cellStyle name="Обычный 7 5 2 2 2 6" xfId="31062"/>
    <cellStyle name="Обычный 7 5 2 2 2 6 2" xfId="31063"/>
    <cellStyle name="Обычный 7 5 2 2 2 6 3" xfId="31064"/>
    <cellStyle name="Обычный 7 5 2 2 2 7" xfId="31065"/>
    <cellStyle name="Обычный 7 5 2 2 2 7 2" xfId="31066"/>
    <cellStyle name="Обычный 7 5 2 2 2 8" xfId="31067"/>
    <cellStyle name="Обычный 7 5 2 2 2 9" xfId="31068"/>
    <cellStyle name="Обычный 7 5 2 2 3" xfId="31069"/>
    <cellStyle name="Обычный 7 5 2 2 3 2" xfId="31070"/>
    <cellStyle name="Обычный 7 5 2 2 3 2 2" xfId="31071"/>
    <cellStyle name="Обычный 7 5 2 2 3 2 2 2" xfId="31072"/>
    <cellStyle name="Обычный 7 5 2 2 3 2 2 2 2" xfId="31073"/>
    <cellStyle name="Обычный 7 5 2 2 3 2 2 2 3" xfId="31074"/>
    <cellStyle name="Обычный 7 5 2 2 3 2 2 3" xfId="31075"/>
    <cellStyle name="Обычный 7 5 2 2 3 2 2 3 2" xfId="31076"/>
    <cellStyle name="Обычный 7 5 2 2 3 2 2 3 3" xfId="31077"/>
    <cellStyle name="Обычный 7 5 2 2 3 2 2 4" xfId="31078"/>
    <cellStyle name="Обычный 7 5 2 2 3 2 2 4 2" xfId="31079"/>
    <cellStyle name="Обычный 7 5 2 2 3 2 2 5" xfId="31080"/>
    <cellStyle name="Обычный 7 5 2 2 3 2 2 6" xfId="31081"/>
    <cellStyle name="Обычный 7 5 2 2 3 2 3" xfId="31082"/>
    <cellStyle name="Обычный 7 5 2 2 3 2 3 2" xfId="31083"/>
    <cellStyle name="Обычный 7 5 2 2 3 2 3 3" xfId="31084"/>
    <cellStyle name="Обычный 7 5 2 2 3 2 4" xfId="31085"/>
    <cellStyle name="Обычный 7 5 2 2 3 2 4 2" xfId="31086"/>
    <cellStyle name="Обычный 7 5 2 2 3 2 4 3" xfId="31087"/>
    <cellStyle name="Обычный 7 5 2 2 3 2 5" xfId="31088"/>
    <cellStyle name="Обычный 7 5 2 2 3 2 5 2" xfId="31089"/>
    <cellStyle name="Обычный 7 5 2 2 3 2 6" xfId="31090"/>
    <cellStyle name="Обычный 7 5 2 2 3 2 7" xfId="31091"/>
    <cellStyle name="Обычный 7 5 2 2 3 3" xfId="31092"/>
    <cellStyle name="Обычный 7 5 2 2 3 3 2" xfId="31093"/>
    <cellStyle name="Обычный 7 5 2 2 3 3 2 2" xfId="31094"/>
    <cellStyle name="Обычный 7 5 2 2 3 3 2 3" xfId="31095"/>
    <cellStyle name="Обычный 7 5 2 2 3 3 3" xfId="31096"/>
    <cellStyle name="Обычный 7 5 2 2 3 3 3 2" xfId="31097"/>
    <cellStyle name="Обычный 7 5 2 2 3 3 3 3" xfId="31098"/>
    <cellStyle name="Обычный 7 5 2 2 3 3 4" xfId="31099"/>
    <cellStyle name="Обычный 7 5 2 2 3 3 4 2" xfId="31100"/>
    <cellStyle name="Обычный 7 5 2 2 3 3 5" xfId="31101"/>
    <cellStyle name="Обычный 7 5 2 2 3 3 6" xfId="31102"/>
    <cellStyle name="Обычный 7 5 2 2 3 4" xfId="31103"/>
    <cellStyle name="Обычный 7 5 2 2 3 4 2" xfId="31104"/>
    <cellStyle name="Обычный 7 5 2 2 3 4 3" xfId="31105"/>
    <cellStyle name="Обычный 7 5 2 2 3 5" xfId="31106"/>
    <cellStyle name="Обычный 7 5 2 2 3 5 2" xfId="31107"/>
    <cellStyle name="Обычный 7 5 2 2 3 5 3" xfId="31108"/>
    <cellStyle name="Обычный 7 5 2 2 3 6" xfId="31109"/>
    <cellStyle name="Обычный 7 5 2 2 3 6 2" xfId="31110"/>
    <cellStyle name="Обычный 7 5 2 2 3 7" xfId="31111"/>
    <cellStyle name="Обычный 7 5 2 2 3 8" xfId="31112"/>
    <cellStyle name="Обычный 7 5 2 2 4" xfId="31113"/>
    <cellStyle name="Обычный 7 5 2 2 4 2" xfId="31114"/>
    <cellStyle name="Обычный 7 5 2 2 4 2 2" xfId="31115"/>
    <cellStyle name="Обычный 7 5 2 2 4 2 2 2" xfId="31116"/>
    <cellStyle name="Обычный 7 5 2 2 4 2 2 3" xfId="31117"/>
    <cellStyle name="Обычный 7 5 2 2 4 2 3" xfId="31118"/>
    <cellStyle name="Обычный 7 5 2 2 4 2 3 2" xfId="31119"/>
    <cellStyle name="Обычный 7 5 2 2 4 2 3 3" xfId="31120"/>
    <cellStyle name="Обычный 7 5 2 2 4 2 4" xfId="31121"/>
    <cellStyle name="Обычный 7 5 2 2 4 2 4 2" xfId="31122"/>
    <cellStyle name="Обычный 7 5 2 2 4 2 5" xfId="31123"/>
    <cellStyle name="Обычный 7 5 2 2 4 2 6" xfId="31124"/>
    <cellStyle name="Обычный 7 5 2 2 4 3" xfId="31125"/>
    <cellStyle name="Обычный 7 5 2 2 4 3 2" xfId="31126"/>
    <cellStyle name="Обычный 7 5 2 2 4 3 3" xfId="31127"/>
    <cellStyle name="Обычный 7 5 2 2 4 4" xfId="31128"/>
    <cellStyle name="Обычный 7 5 2 2 4 4 2" xfId="31129"/>
    <cellStyle name="Обычный 7 5 2 2 4 4 3" xfId="31130"/>
    <cellStyle name="Обычный 7 5 2 2 4 5" xfId="31131"/>
    <cellStyle name="Обычный 7 5 2 2 4 5 2" xfId="31132"/>
    <cellStyle name="Обычный 7 5 2 2 4 6" xfId="31133"/>
    <cellStyle name="Обычный 7 5 2 2 4 7" xfId="31134"/>
    <cellStyle name="Обычный 7 5 2 2 5" xfId="31135"/>
    <cellStyle name="Обычный 7 5 2 2 5 2" xfId="31136"/>
    <cellStyle name="Обычный 7 5 2 2 5 2 2" xfId="31137"/>
    <cellStyle name="Обычный 7 5 2 2 5 2 3" xfId="31138"/>
    <cellStyle name="Обычный 7 5 2 2 5 3" xfId="31139"/>
    <cellStyle name="Обычный 7 5 2 2 5 3 2" xfId="31140"/>
    <cellStyle name="Обычный 7 5 2 2 5 3 3" xfId="31141"/>
    <cellStyle name="Обычный 7 5 2 2 5 4" xfId="31142"/>
    <cellStyle name="Обычный 7 5 2 2 5 4 2" xfId="31143"/>
    <cellStyle name="Обычный 7 5 2 2 5 5" xfId="31144"/>
    <cellStyle name="Обычный 7 5 2 2 5 6" xfId="31145"/>
    <cellStyle name="Обычный 7 5 2 2 6" xfId="31146"/>
    <cellStyle name="Обычный 7 5 2 2 6 2" xfId="31147"/>
    <cellStyle name="Обычный 7 5 2 2 6 3" xfId="31148"/>
    <cellStyle name="Обычный 7 5 2 2 7" xfId="31149"/>
    <cellStyle name="Обычный 7 5 2 2 7 2" xfId="31150"/>
    <cellStyle name="Обычный 7 5 2 2 7 3" xfId="31151"/>
    <cellStyle name="Обычный 7 5 2 2 8" xfId="31152"/>
    <cellStyle name="Обычный 7 5 2 2 8 2" xfId="31153"/>
    <cellStyle name="Обычный 7 5 2 2 9" xfId="31154"/>
    <cellStyle name="Обычный 7 5 2 3" xfId="31155"/>
    <cellStyle name="Обычный 7 5 2 3 10" xfId="31156"/>
    <cellStyle name="Обычный 7 5 2 3 2" xfId="31157"/>
    <cellStyle name="Обычный 7 5 2 3 2 2" xfId="31158"/>
    <cellStyle name="Обычный 7 5 2 3 2 2 2" xfId="31159"/>
    <cellStyle name="Обычный 7 5 2 3 2 2 2 2" xfId="31160"/>
    <cellStyle name="Обычный 7 5 2 3 2 2 2 2 2" xfId="31161"/>
    <cellStyle name="Обычный 7 5 2 3 2 2 2 2 2 2" xfId="31162"/>
    <cellStyle name="Обычный 7 5 2 3 2 2 2 2 2 3" xfId="31163"/>
    <cellStyle name="Обычный 7 5 2 3 2 2 2 2 3" xfId="31164"/>
    <cellStyle name="Обычный 7 5 2 3 2 2 2 2 3 2" xfId="31165"/>
    <cellStyle name="Обычный 7 5 2 3 2 2 2 2 3 3" xfId="31166"/>
    <cellStyle name="Обычный 7 5 2 3 2 2 2 2 4" xfId="31167"/>
    <cellStyle name="Обычный 7 5 2 3 2 2 2 2 4 2" xfId="31168"/>
    <cellStyle name="Обычный 7 5 2 3 2 2 2 2 5" xfId="31169"/>
    <cellStyle name="Обычный 7 5 2 3 2 2 2 2 6" xfId="31170"/>
    <cellStyle name="Обычный 7 5 2 3 2 2 2 3" xfId="31171"/>
    <cellStyle name="Обычный 7 5 2 3 2 2 2 3 2" xfId="31172"/>
    <cellStyle name="Обычный 7 5 2 3 2 2 2 3 3" xfId="31173"/>
    <cellStyle name="Обычный 7 5 2 3 2 2 2 4" xfId="31174"/>
    <cellStyle name="Обычный 7 5 2 3 2 2 2 4 2" xfId="31175"/>
    <cellStyle name="Обычный 7 5 2 3 2 2 2 4 3" xfId="31176"/>
    <cellStyle name="Обычный 7 5 2 3 2 2 2 5" xfId="31177"/>
    <cellStyle name="Обычный 7 5 2 3 2 2 2 5 2" xfId="31178"/>
    <cellStyle name="Обычный 7 5 2 3 2 2 2 6" xfId="31179"/>
    <cellStyle name="Обычный 7 5 2 3 2 2 2 7" xfId="31180"/>
    <cellStyle name="Обычный 7 5 2 3 2 2 3" xfId="31181"/>
    <cellStyle name="Обычный 7 5 2 3 2 2 3 2" xfId="31182"/>
    <cellStyle name="Обычный 7 5 2 3 2 2 3 2 2" xfId="31183"/>
    <cellStyle name="Обычный 7 5 2 3 2 2 3 2 3" xfId="31184"/>
    <cellStyle name="Обычный 7 5 2 3 2 2 3 3" xfId="31185"/>
    <cellStyle name="Обычный 7 5 2 3 2 2 3 3 2" xfId="31186"/>
    <cellStyle name="Обычный 7 5 2 3 2 2 3 3 3" xfId="31187"/>
    <cellStyle name="Обычный 7 5 2 3 2 2 3 4" xfId="31188"/>
    <cellStyle name="Обычный 7 5 2 3 2 2 3 4 2" xfId="31189"/>
    <cellStyle name="Обычный 7 5 2 3 2 2 3 5" xfId="31190"/>
    <cellStyle name="Обычный 7 5 2 3 2 2 3 6" xfId="31191"/>
    <cellStyle name="Обычный 7 5 2 3 2 2 4" xfId="31192"/>
    <cellStyle name="Обычный 7 5 2 3 2 2 4 2" xfId="31193"/>
    <cellStyle name="Обычный 7 5 2 3 2 2 4 3" xfId="31194"/>
    <cellStyle name="Обычный 7 5 2 3 2 2 5" xfId="31195"/>
    <cellStyle name="Обычный 7 5 2 3 2 2 5 2" xfId="31196"/>
    <cellStyle name="Обычный 7 5 2 3 2 2 5 3" xfId="31197"/>
    <cellStyle name="Обычный 7 5 2 3 2 2 6" xfId="31198"/>
    <cellStyle name="Обычный 7 5 2 3 2 2 6 2" xfId="31199"/>
    <cellStyle name="Обычный 7 5 2 3 2 2 7" xfId="31200"/>
    <cellStyle name="Обычный 7 5 2 3 2 2 8" xfId="31201"/>
    <cellStyle name="Обычный 7 5 2 3 2 3" xfId="31202"/>
    <cellStyle name="Обычный 7 5 2 3 2 3 2" xfId="31203"/>
    <cellStyle name="Обычный 7 5 2 3 2 3 2 2" xfId="31204"/>
    <cellStyle name="Обычный 7 5 2 3 2 3 2 2 2" xfId="31205"/>
    <cellStyle name="Обычный 7 5 2 3 2 3 2 2 3" xfId="31206"/>
    <cellStyle name="Обычный 7 5 2 3 2 3 2 3" xfId="31207"/>
    <cellStyle name="Обычный 7 5 2 3 2 3 2 3 2" xfId="31208"/>
    <cellStyle name="Обычный 7 5 2 3 2 3 2 3 3" xfId="31209"/>
    <cellStyle name="Обычный 7 5 2 3 2 3 2 4" xfId="31210"/>
    <cellStyle name="Обычный 7 5 2 3 2 3 2 4 2" xfId="31211"/>
    <cellStyle name="Обычный 7 5 2 3 2 3 2 5" xfId="31212"/>
    <cellStyle name="Обычный 7 5 2 3 2 3 2 6" xfId="31213"/>
    <cellStyle name="Обычный 7 5 2 3 2 3 3" xfId="31214"/>
    <cellStyle name="Обычный 7 5 2 3 2 3 3 2" xfId="31215"/>
    <cellStyle name="Обычный 7 5 2 3 2 3 3 3" xfId="31216"/>
    <cellStyle name="Обычный 7 5 2 3 2 3 4" xfId="31217"/>
    <cellStyle name="Обычный 7 5 2 3 2 3 4 2" xfId="31218"/>
    <cellStyle name="Обычный 7 5 2 3 2 3 4 3" xfId="31219"/>
    <cellStyle name="Обычный 7 5 2 3 2 3 5" xfId="31220"/>
    <cellStyle name="Обычный 7 5 2 3 2 3 5 2" xfId="31221"/>
    <cellStyle name="Обычный 7 5 2 3 2 3 6" xfId="31222"/>
    <cellStyle name="Обычный 7 5 2 3 2 3 7" xfId="31223"/>
    <cellStyle name="Обычный 7 5 2 3 2 4" xfId="31224"/>
    <cellStyle name="Обычный 7 5 2 3 2 4 2" xfId="31225"/>
    <cellStyle name="Обычный 7 5 2 3 2 4 2 2" xfId="31226"/>
    <cellStyle name="Обычный 7 5 2 3 2 4 2 3" xfId="31227"/>
    <cellStyle name="Обычный 7 5 2 3 2 4 3" xfId="31228"/>
    <cellStyle name="Обычный 7 5 2 3 2 4 3 2" xfId="31229"/>
    <cellStyle name="Обычный 7 5 2 3 2 4 3 3" xfId="31230"/>
    <cellStyle name="Обычный 7 5 2 3 2 4 4" xfId="31231"/>
    <cellStyle name="Обычный 7 5 2 3 2 4 4 2" xfId="31232"/>
    <cellStyle name="Обычный 7 5 2 3 2 4 5" xfId="31233"/>
    <cellStyle name="Обычный 7 5 2 3 2 4 6" xfId="31234"/>
    <cellStyle name="Обычный 7 5 2 3 2 5" xfId="31235"/>
    <cellStyle name="Обычный 7 5 2 3 2 5 2" xfId="31236"/>
    <cellStyle name="Обычный 7 5 2 3 2 5 3" xfId="31237"/>
    <cellStyle name="Обычный 7 5 2 3 2 6" xfId="31238"/>
    <cellStyle name="Обычный 7 5 2 3 2 6 2" xfId="31239"/>
    <cellStyle name="Обычный 7 5 2 3 2 6 3" xfId="31240"/>
    <cellStyle name="Обычный 7 5 2 3 2 7" xfId="31241"/>
    <cellStyle name="Обычный 7 5 2 3 2 7 2" xfId="31242"/>
    <cellStyle name="Обычный 7 5 2 3 2 8" xfId="31243"/>
    <cellStyle name="Обычный 7 5 2 3 2 9" xfId="31244"/>
    <cellStyle name="Обычный 7 5 2 3 3" xfId="31245"/>
    <cellStyle name="Обычный 7 5 2 3 3 2" xfId="31246"/>
    <cellStyle name="Обычный 7 5 2 3 3 2 2" xfId="31247"/>
    <cellStyle name="Обычный 7 5 2 3 3 2 2 2" xfId="31248"/>
    <cellStyle name="Обычный 7 5 2 3 3 2 2 2 2" xfId="31249"/>
    <cellStyle name="Обычный 7 5 2 3 3 2 2 2 3" xfId="31250"/>
    <cellStyle name="Обычный 7 5 2 3 3 2 2 3" xfId="31251"/>
    <cellStyle name="Обычный 7 5 2 3 3 2 2 3 2" xfId="31252"/>
    <cellStyle name="Обычный 7 5 2 3 3 2 2 3 3" xfId="31253"/>
    <cellStyle name="Обычный 7 5 2 3 3 2 2 4" xfId="31254"/>
    <cellStyle name="Обычный 7 5 2 3 3 2 2 4 2" xfId="31255"/>
    <cellStyle name="Обычный 7 5 2 3 3 2 2 5" xfId="31256"/>
    <cellStyle name="Обычный 7 5 2 3 3 2 2 6" xfId="31257"/>
    <cellStyle name="Обычный 7 5 2 3 3 2 3" xfId="31258"/>
    <cellStyle name="Обычный 7 5 2 3 3 2 3 2" xfId="31259"/>
    <cellStyle name="Обычный 7 5 2 3 3 2 3 3" xfId="31260"/>
    <cellStyle name="Обычный 7 5 2 3 3 2 4" xfId="31261"/>
    <cellStyle name="Обычный 7 5 2 3 3 2 4 2" xfId="31262"/>
    <cellStyle name="Обычный 7 5 2 3 3 2 4 3" xfId="31263"/>
    <cellStyle name="Обычный 7 5 2 3 3 2 5" xfId="31264"/>
    <cellStyle name="Обычный 7 5 2 3 3 2 5 2" xfId="31265"/>
    <cellStyle name="Обычный 7 5 2 3 3 2 6" xfId="31266"/>
    <cellStyle name="Обычный 7 5 2 3 3 2 7" xfId="31267"/>
    <cellStyle name="Обычный 7 5 2 3 3 3" xfId="31268"/>
    <cellStyle name="Обычный 7 5 2 3 3 3 2" xfId="31269"/>
    <cellStyle name="Обычный 7 5 2 3 3 3 2 2" xfId="31270"/>
    <cellStyle name="Обычный 7 5 2 3 3 3 2 3" xfId="31271"/>
    <cellStyle name="Обычный 7 5 2 3 3 3 3" xfId="31272"/>
    <cellStyle name="Обычный 7 5 2 3 3 3 3 2" xfId="31273"/>
    <cellStyle name="Обычный 7 5 2 3 3 3 3 3" xfId="31274"/>
    <cellStyle name="Обычный 7 5 2 3 3 3 4" xfId="31275"/>
    <cellStyle name="Обычный 7 5 2 3 3 3 4 2" xfId="31276"/>
    <cellStyle name="Обычный 7 5 2 3 3 3 5" xfId="31277"/>
    <cellStyle name="Обычный 7 5 2 3 3 3 6" xfId="31278"/>
    <cellStyle name="Обычный 7 5 2 3 3 4" xfId="31279"/>
    <cellStyle name="Обычный 7 5 2 3 3 4 2" xfId="31280"/>
    <cellStyle name="Обычный 7 5 2 3 3 4 3" xfId="31281"/>
    <cellStyle name="Обычный 7 5 2 3 3 5" xfId="31282"/>
    <cellStyle name="Обычный 7 5 2 3 3 5 2" xfId="31283"/>
    <cellStyle name="Обычный 7 5 2 3 3 5 3" xfId="31284"/>
    <cellStyle name="Обычный 7 5 2 3 3 6" xfId="31285"/>
    <cellStyle name="Обычный 7 5 2 3 3 6 2" xfId="31286"/>
    <cellStyle name="Обычный 7 5 2 3 3 7" xfId="31287"/>
    <cellStyle name="Обычный 7 5 2 3 3 8" xfId="31288"/>
    <cellStyle name="Обычный 7 5 2 3 4" xfId="31289"/>
    <cellStyle name="Обычный 7 5 2 3 4 2" xfId="31290"/>
    <cellStyle name="Обычный 7 5 2 3 4 2 2" xfId="31291"/>
    <cellStyle name="Обычный 7 5 2 3 4 2 2 2" xfId="31292"/>
    <cellStyle name="Обычный 7 5 2 3 4 2 2 3" xfId="31293"/>
    <cellStyle name="Обычный 7 5 2 3 4 2 3" xfId="31294"/>
    <cellStyle name="Обычный 7 5 2 3 4 2 3 2" xfId="31295"/>
    <cellStyle name="Обычный 7 5 2 3 4 2 3 3" xfId="31296"/>
    <cellStyle name="Обычный 7 5 2 3 4 2 4" xfId="31297"/>
    <cellStyle name="Обычный 7 5 2 3 4 2 4 2" xfId="31298"/>
    <cellStyle name="Обычный 7 5 2 3 4 2 5" xfId="31299"/>
    <cellStyle name="Обычный 7 5 2 3 4 2 6" xfId="31300"/>
    <cellStyle name="Обычный 7 5 2 3 4 3" xfId="31301"/>
    <cellStyle name="Обычный 7 5 2 3 4 3 2" xfId="31302"/>
    <cellStyle name="Обычный 7 5 2 3 4 3 3" xfId="31303"/>
    <cellStyle name="Обычный 7 5 2 3 4 4" xfId="31304"/>
    <cellStyle name="Обычный 7 5 2 3 4 4 2" xfId="31305"/>
    <cellStyle name="Обычный 7 5 2 3 4 4 3" xfId="31306"/>
    <cellStyle name="Обычный 7 5 2 3 4 5" xfId="31307"/>
    <cellStyle name="Обычный 7 5 2 3 4 5 2" xfId="31308"/>
    <cellStyle name="Обычный 7 5 2 3 4 6" xfId="31309"/>
    <cellStyle name="Обычный 7 5 2 3 4 7" xfId="31310"/>
    <cellStyle name="Обычный 7 5 2 3 5" xfId="31311"/>
    <cellStyle name="Обычный 7 5 2 3 5 2" xfId="31312"/>
    <cellStyle name="Обычный 7 5 2 3 5 2 2" xfId="31313"/>
    <cellStyle name="Обычный 7 5 2 3 5 2 3" xfId="31314"/>
    <cellStyle name="Обычный 7 5 2 3 5 3" xfId="31315"/>
    <cellStyle name="Обычный 7 5 2 3 5 3 2" xfId="31316"/>
    <cellStyle name="Обычный 7 5 2 3 5 3 3" xfId="31317"/>
    <cellStyle name="Обычный 7 5 2 3 5 4" xfId="31318"/>
    <cellStyle name="Обычный 7 5 2 3 5 4 2" xfId="31319"/>
    <cellStyle name="Обычный 7 5 2 3 5 5" xfId="31320"/>
    <cellStyle name="Обычный 7 5 2 3 5 6" xfId="31321"/>
    <cellStyle name="Обычный 7 5 2 3 6" xfId="31322"/>
    <cellStyle name="Обычный 7 5 2 3 6 2" xfId="31323"/>
    <cellStyle name="Обычный 7 5 2 3 6 3" xfId="31324"/>
    <cellStyle name="Обычный 7 5 2 3 7" xfId="31325"/>
    <cellStyle name="Обычный 7 5 2 3 7 2" xfId="31326"/>
    <cellStyle name="Обычный 7 5 2 3 7 3" xfId="31327"/>
    <cellStyle name="Обычный 7 5 2 3 8" xfId="31328"/>
    <cellStyle name="Обычный 7 5 2 3 8 2" xfId="31329"/>
    <cellStyle name="Обычный 7 5 2 3 9" xfId="31330"/>
    <cellStyle name="Обычный 7 5 2 4" xfId="31331"/>
    <cellStyle name="Обычный 7 5 2 4 10" xfId="31332"/>
    <cellStyle name="Обычный 7 5 2 4 2" xfId="31333"/>
    <cellStyle name="Обычный 7 5 2 4 2 2" xfId="31334"/>
    <cellStyle name="Обычный 7 5 2 4 2 2 2" xfId="31335"/>
    <cellStyle name="Обычный 7 5 2 4 2 2 2 2" xfId="31336"/>
    <cellStyle name="Обычный 7 5 2 4 2 2 2 2 2" xfId="31337"/>
    <cellStyle name="Обычный 7 5 2 4 2 2 2 2 2 2" xfId="31338"/>
    <cellStyle name="Обычный 7 5 2 4 2 2 2 2 2 3" xfId="31339"/>
    <cellStyle name="Обычный 7 5 2 4 2 2 2 2 3" xfId="31340"/>
    <cellStyle name="Обычный 7 5 2 4 2 2 2 2 3 2" xfId="31341"/>
    <cellStyle name="Обычный 7 5 2 4 2 2 2 2 3 3" xfId="31342"/>
    <cellStyle name="Обычный 7 5 2 4 2 2 2 2 4" xfId="31343"/>
    <cellStyle name="Обычный 7 5 2 4 2 2 2 2 4 2" xfId="31344"/>
    <cellStyle name="Обычный 7 5 2 4 2 2 2 2 5" xfId="31345"/>
    <cellStyle name="Обычный 7 5 2 4 2 2 2 2 6" xfId="31346"/>
    <cellStyle name="Обычный 7 5 2 4 2 2 2 3" xfId="31347"/>
    <cellStyle name="Обычный 7 5 2 4 2 2 2 3 2" xfId="31348"/>
    <cellStyle name="Обычный 7 5 2 4 2 2 2 3 3" xfId="31349"/>
    <cellStyle name="Обычный 7 5 2 4 2 2 2 4" xfId="31350"/>
    <cellStyle name="Обычный 7 5 2 4 2 2 2 4 2" xfId="31351"/>
    <cellStyle name="Обычный 7 5 2 4 2 2 2 4 3" xfId="31352"/>
    <cellStyle name="Обычный 7 5 2 4 2 2 2 5" xfId="31353"/>
    <cellStyle name="Обычный 7 5 2 4 2 2 2 5 2" xfId="31354"/>
    <cellStyle name="Обычный 7 5 2 4 2 2 2 6" xfId="31355"/>
    <cellStyle name="Обычный 7 5 2 4 2 2 2 7" xfId="31356"/>
    <cellStyle name="Обычный 7 5 2 4 2 2 3" xfId="31357"/>
    <cellStyle name="Обычный 7 5 2 4 2 2 3 2" xfId="31358"/>
    <cellStyle name="Обычный 7 5 2 4 2 2 3 2 2" xfId="31359"/>
    <cellStyle name="Обычный 7 5 2 4 2 2 3 2 3" xfId="31360"/>
    <cellStyle name="Обычный 7 5 2 4 2 2 3 3" xfId="31361"/>
    <cellStyle name="Обычный 7 5 2 4 2 2 3 3 2" xfId="31362"/>
    <cellStyle name="Обычный 7 5 2 4 2 2 3 3 3" xfId="31363"/>
    <cellStyle name="Обычный 7 5 2 4 2 2 3 4" xfId="31364"/>
    <cellStyle name="Обычный 7 5 2 4 2 2 3 4 2" xfId="31365"/>
    <cellStyle name="Обычный 7 5 2 4 2 2 3 5" xfId="31366"/>
    <cellStyle name="Обычный 7 5 2 4 2 2 3 6" xfId="31367"/>
    <cellStyle name="Обычный 7 5 2 4 2 2 4" xfId="31368"/>
    <cellStyle name="Обычный 7 5 2 4 2 2 4 2" xfId="31369"/>
    <cellStyle name="Обычный 7 5 2 4 2 2 4 3" xfId="31370"/>
    <cellStyle name="Обычный 7 5 2 4 2 2 5" xfId="31371"/>
    <cellStyle name="Обычный 7 5 2 4 2 2 5 2" xfId="31372"/>
    <cellStyle name="Обычный 7 5 2 4 2 2 5 3" xfId="31373"/>
    <cellStyle name="Обычный 7 5 2 4 2 2 6" xfId="31374"/>
    <cellStyle name="Обычный 7 5 2 4 2 2 6 2" xfId="31375"/>
    <cellStyle name="Обычный 7 5 2 4 2 2 7" xfId="31376"/>
    <cellStyle name="Обычный 7 5 2 4 2 2 8" xfId="31377"/>
    <cellStyle name="Обычный 7 5 2 4 2 3" xfId="31378"/>
    <cellStyle name="Обычный 7 5 2 4 2 3 2" xfId="31379"/>
    <cellStyle name="Обычный 7 5 2 4 2 3 2 2" xfId="31380"/>
    <cellStyle name="Обычный 7 5 2 4 2 3 2 2 2" xfId="31381"/>
    <cellStyle name="Обычный 7 5 2 4 2 3 2 2 3" xfId="31382"/>
    <cellStyle name="Обычный 7 5 2 4 2 3 2 3" xfId="31383"/>
    <cellStyle name="Обычный 7 5 2 4 2 3 2 3 2" xfId="31384"/>
    <cellStyle name="Обычный 7 5 2 4 2 3 2 3 3" xfId="31385"/>
    <cellStyle name="Обычный 7 5 2 4 2 3 2 4" xfId="31386"/>
    <cellStyle name="Обычный 7 5 2 4 2 3 2 4 2" xfId="31387"/>
    <cellStyle name="Обычный 7 5 2 4 2 3 2 5" xfId="31388"/>
    <cellStyle name="Обычный 7 5 2 4 2 3 2 6" xfId="31389"/>
    <cellStyle name="Обычный 7 5 2 4 2 3 3" xfId="31390"/>
    <cellStyle name="Обычный 7 5 2 4 2 3 3 2" xfId="31391"/>
    <cellStyle name="Обычный 7 5 2 4 2 3 3 3" xfId="31392"/>
    <cellStyle name="Обычный 7 5 2 4 2 3 4" xfId="31393"/>
    <cellStyle name="Обычный 7 5 2 4 2 3 4 2" xfId="31394"/>
    <cellStyle name="Обычный 7 5 2 4 2 3 4 3" xfId="31395"/>
    <cellStyle name="Обычный 7 5 2 4 2 3 5" xfId="31396"/>
    <cellStyle name="Обычный 7 5 2 4 2 3 5 2" xfId="31397"/>
    <cellStyle name="Обычный 7 5 2 4 2 3 6" xfId="31398"/>
    <cellStyle name="Обычный 7 5 2 4 2 3 7" xfId="31399"/>
    <cellStyle name="Обычный 7 5 2 4 2 4" xfId="31400"/>
    <cellStyle name="Обычный 7 5 2 4 2 4 2" xfId="31401"/>
    <cellStyle name="Обычный 7 5 2 4 2 4 2 2" xfId="31402"/>
    <cellStyle name="Обычный 7 5 2 4 2 4 2 3" xfId="31403"/>
    <cellStyle name="Обычный 7 5 2 4 2 4 3" xfId="31404"/>
    <cellStyle name="Обычный 7 5 2 4 2 4 3 2" xfId="31405"/>
    <cellStyle name="Обычный 7 5 2 4 2 4 3 3" xfId="31406"/>
    <cellStyle name="Обычный 7 5 2 4 2 4 4" xfId="31407"/>
    <cellStyle name="Обычный 7 5 2 4 2 4 4 2" xfId="31408"/>
    <cellStyle name="Обычный 7 5 2 4 2 4 5" xfId="31409"/>
    <cellStyle name="Обычный 7 5 2 4 2 4 6" xfId="31410"/>
    <cellStyle name="Обычный 7 5 2 4 2 5" xfId="31411"/>
    <cellStyle name="Обычный 7 5 2 4 2 5 2" xfId="31412"/>
    <cellStyle name="Обычный 7 5 2 4 2 5 3" xfId="31413"/>
    <cellStyle name="Обычный 7 5 2 4 2 6" xfId="31414"/>
    <cellStyle name="Обычный 7 5 2 4 2 6 2" xfId="31415"/>
    <cellStyle name="Обычный 7 5 2 4 2 6 3" xfId="31416"/>
    <cellStyle name="Обычный 7 5 2 4 2 7" xfId="31417"/>
    <cellStyle name="Обычный 7 5 2 4 2 7 2" xfId="31418"/>
    <cellStyle name="Обычный 7 5 2 4 2 8" xfId="31419"/>
    <cellStyle name="Обычный 7 5 2 4 2 9" xfId="31420"/>
    <cellStyle name="Обычный 7 5 2 4 3" xfId="31421"/>
    <cellStyle name="Обычный 7 5 2 4 3 2" xfId="31422"/>
    <cellStyle name="Обычный 7 5 2 4 3 2 2" xfId="31423"/>
    <cellStyle name="Обычный 7 5 2 4 3 2 2 2" xfId="31424"/>
    <cellStyle name="Обычный 7 5 2 4 3 2 2 2 2" xfId="31425"/>
    <cellStyle name="Обычный 7 5 2 4 3 2 2 2 3" xfId="31426"/>
    <cellStyle name="Обычный 7 5 2 4 3 2 2 3" xfId="31427"/>
    <cellStyle name="Обычный 7 5 2 4 3 2 2 3 2" xfId="31428"/>
    <cellStyle name="Обычный 7 5 2 4 3 2 2 3 3" xfId="31429"/>
    <cellStyle name="Обычный 7 5 2 4 3 2 2 4" xfId="31430"/>
    <cellStyle name="Обычный 7 5 2 4 3 2 2 4 2" xfId="31431"/>
    <cellStyle name="Обычный 7 5 2 4 3 2 2 5" xfId="31432"/>
    <cellStyle name="Обычный 7 5 2 4 3 2 2 6" xfId="31433"/>
    <cellStyle name="Обычный 7 5 2 4 3 2 3" xfId="31434"/>
    <cellStyle name="Обычный 7 5 2 4 3 2 3 2" xfId="31435"/>
    <cellStyle name="Обычный 7 5 2 4 3 2 3 3" xfId="31436"/>
    <cellStyle name="Обычный 7 5 2 4 3 2 4" xfId="31437"/>
    <cellStyle name="Обычный 7 5 2 4 3 2 4 2" xfId="31438"/>
    <cellStyle name="Обычный 7 5 2 4 3 2 4 3" xfId="31439"/>
    <cellStyle name="Обычный 7 5 2 4 3 2 5" xfId="31440"/>
    <cellStyle name="Обычный 7 5 2 4 3 2 5 2" xfId="31441"/>
    <cellStyle name="Обычный 7 5 2 4 3 2 6" xfId="31442"/>
    <cellStyle name="Обычный 7 5 2 4 3 2 7" xfId="31443"/>
    <cellStyle name="Обычный 7 5 2 4 3 3" xfId="31444"/>
    <cellStyle name="Обычный 7 5 2 4 3 3 2" xfId="31445"/>
    <cellStyle name="Обычный 7 5 2 4 3 3 2 2" xfId="31446"/>
    <cellStyle name="Обычный 7 5 2 4 3 3 2 3" xfId="31447"/>
    <cellStyle name="Обычный 7 5 2 4 3 3 3" xfId="31448"/>
    <cellStyle name="Обычный 7 5 2 4 3 3 3 2" xfId="31449"/>
    <cellStyle name="Обычный 7 5 2 4 3 3 3 3" xfId="31450"/>
    <cellStyle name="Обычный 7 5 2 4 3 3 4" xfId="31451"/>
    <cellStyle name="Обычный 7 5 2 4 3 3 4 2" xfId="31452"/>
    <cellStyle name="Обычный 7 5 2 4 3 3 5" xfId="31453"/>
    <cellStyle name="Обычный 7 5 2 4 3 3 6" xfId="31454"/>
    <cellStyle name="Обычный 7 5 2 4 3 4" xfId="31455"/>
    <cellStyle name="Обычный 7 5 2 4 3 4 2" xfId="31456"/>
    <cellStyle name="Обычный 7 5 2 4 3 4 3" xfId="31457"/>
    <cellStyle name="Обычный 7 5 2 4 3 5" xfId="31458"/>
    <cellStyle name="Обычный 7 5 2 4 3 5 2" xfId="31459"/>
    <cellStyle name="Обычный 7 5 2 4 3 5 3" xfId="31460"/>
    <cellStyle name="Обычный 7 5 2 4 3 6" xfId="31461"/>
    <cellStyle name="Обычный 7 5 2 4 3 6 2" xfId="31462"/>
    <cellStyle name="Обычный 7 5 2 4 3 7" xfId="31463"/>
    <cellStyle name="Обычный 7 5 2 4 3 8" xfId="31464"/>
    <cellStyle name="Обычный 7 5 2 4 4" xfId="31465"/>
    <cellStyle name="Обычный 7 5 2 4 4 2" xfId="31466"/>
    <cellStyle name="Обычный 7 5 2 4 4 2 2" xfId="31467"/>
    <cellStyle name="Обычный 7 5 2 4 4 2 2 2" xfId="31468"/>
    <cellStyle name="Обычный 7 5 2 4 4 2 2 3" xfId="31469"/>
    <cellStyle name="Обычный 7 5 2 4 4 2 3" xfId="31470"/>
    <cellStyle name="Обычный 7 5 2 4 4 2 3 2" xfId="31471"/>
    <cellStyle name="Обычный 7 5 2 4 4 2 3 3" xfId="31472"/>
    <cellStyle name="Обычный 7 5 2 4 4 2 4" xfId="31473"/>
    <cellStyle name="Обычный 7 5 2 4 4 2 4 2" xfId="31474"/>
    <cellStyle name="Обычный 7 5 2 4 4 2 5" xfId="31475"/>
    <cellStyle name="Обычный 7 5 2 4 4 2 6" xfId="31476"/>
    <cellStyle name="Обычный 7 5 2 4 4 3" xfId="31477"/>
    <cellStyle name="Обычный 7 5 2 4 4 3 2" xfId="31478"/>
    <cellStyle name="Обычный 7 5 2 4 4 3 3" xfId="31479"/>
    <cellStyle name="Обычный 7 5 2 4 4 4" xfId="31480"/>
    <cellStyle name="Обычный 7 5 2 4 4 4 2" xfId="31481"/>
    <cellStyle name="Обычный 7 5 2 4 4 4 3" xfId="31482"/>
    <cellStyle name="Обычный 7 5 2 4 4 5" xfId="31483"/>
    <cellStyle name="Обычный 7 5 2 4 4 5 2" xfId="31484"/>
    <cellStyle name="Обычный 7 5 2 4 4 6" xfId="31485"/>
    <cellStyle name="Обычный 7 5 2 4 4 7" xfId="31486"/>
    <cellStyle name="Обычный 7 5 2 4 5" xfId="31487"/>
    <cellStyle name="Обычный 7 5 2 4 5 2" xfId="31488"/>
    <cellStyle name="Обычный 7 5 2 4 5 2 2" xfId="31489"/>
    <cellStyle name="Обычный 7 5 2 4 5 2 3" xfId="31490"/>
    <cellStyle name="Обычный 7 5 2 4 5 3" xfId="31491"/>
    <cellStyle name="Обычный 7 5 2 4 5 3 2" xfId="31492"/>
    <cellStyle name="Обычный 7 5 2 4 5 3 3" xfId="31493"/>
    <cellStyle name="Обычный 7 5 2 4 5 4" xfId="31494"/>
    <cellStyle name="Обычный 7 5 2 4 5 4 2" xfId="31495"/>
    <cellStyle name="Обычный 7 5 2 4 5 5" xfId="31496"/>
    <cellStyle name="Обычный 7 5 2 4 5 6" xfId="31497"/>
    <cellStyle name="Обычный 7 5 2 4 6" xfId="31498"/>
    <cellStyle name="Обычный 7 5 2 4 6 2" xfId="31499"/>
    <cellStyle name="Обычный 7 5 2 4 6 3" xfId="31500"/>
    <cellStyle name="Обычный 7 5 2 4 7" xfId="31501"/>
    <cellStyle name="Обычный 7 5 2 4 7 2" xfId="31502"/>
    <cellStyle name="Обычный 7 5 2 4 7 3" xfId="31503"/>
    <cellStyle name="Обычный 7 5 2 4 8" xfId="31504"/>
    <cellStyle name="Обычный 7 5 2 4 8 2" xfId="31505"/>
    <cellStyle name="Обычный 7 5 2 4 9" xfId="31506"/>
    <cellStyle name="Обычный 7 5 2 5" xfId="31507"/>
    <cellStyle name="Обычный 7 5 2 5 2" xfId="31508"/>
    <cellStyle name="Обычный 7 5 2 5 2 2" xfId="31509"/>
    <cellStyle name="Обычный 7 5 2 5 2 2 2" xfId="31510"/>
    <cellStyle name="Обычный 7 5 2 5 2 2 2 2" xfId="31511"/>
    <cellStyle name="Обычный 7 5 2 5 2 2 2 2 2" xfId="31512"/>
    <cellStyle name="Обычный 7 5 2 5 2 2 2 2 3" xfId="31513"/>
    <cellStyle name="Обычный 7 5 2 5 2 2 2 3" xfId="31514"/>
    <cellStyle name="Обычный 7 5 2 5 2 2 2 3 2" xfId="31515"/>
    <cellStyle name="Обычный 7 5 2 5 2 2 2 3 3" xfId="31516"/>
    <cellStyle name="Обычный 7 5 2 5 2 2 2 4" xfId="31517"/>
    <cellStyle name="Обычный 7 5 2 5 2 2 2 4 2" xfId="31518"/>
    <cellStyle name="Обычный 7 5 2 5 2 2 2 5" xfId="31519"/>
    <cellStyle name="Обычный 7 5 2 5 2 2 2 6" xfId="31520"/>
    <cellStyle name="Обычный 7 5 2 5 2 2 3" xfId="31521"/>
    <cellStyle name="Обычный 7 5 2 5 2 2 3 2" xfId="31522"/>
    <cellStyle name="Обычный 7 5 2 5 2 2 3 3" xfId="31523"/>
    <cellStyle name="Обычный 7 5 2 5 2 2 4" xfId="31524"/>
    <cellStyle name="Обычный 7 5 2 5 2 2 4 2" xfId="31525"/>
    <cellStyle name="Обычный 7 5 2 5 2 2 4 3" xfId="31526"/>
    <cellStyle name="Обычный 7 5 2 5 2 2 5" xfId="31527"/>
    <cellStyle name="Обычный 7 5 2 5 2 2 5 2" xfId="31528"/>
    <cellStyle name="Обычный 7 5 2 5 2 2 6" xfId="31529"/>
    <cellStyle name="Обычный 7 5 2 5 2 2 7" xfId="31530"/>
    <cellStyle name="Обычный 7 5 2 5 2 3" xfId="31531"/>
    <cellStyle name="Обычный 7 5 2 5 2 3 2" xfId="31532"/>
    <cellStyle name="Обычный 7 5 2 5 2 3 2 2" xfId="31533"/>
    <cellStyle name="Обычный 7 5 2 5 2 3 2 3" xfId="31534"/>
    <cellStyle name="Обычный 7 5 2 5 2 3 3" xfId="31535"/>
    <cellStyle name="Обычный 7 5 2 5 2 3 3 2" xfId="31536"/>
    <cellStyle name="Обычный 7 5 2 5 2 3 3 3" xfId="31537"/>
    <cellStyle name="Обычный 7 5 2 5 2 3 4" xfId="31538"/>
    <cellStyle name="Обычный 7 5 2 5 2 3 4 2" xfId="31539"/>
    <cellStyle name="Обычный 7 5 2 5 2 3 5" xfId="31540"/>
    <cellStyle name="Обычный 7 5 2 5 2 3 6" xfId="31541"/>
    <cellStyle name="Обычный 7 5 2 5 2 4" xfId="31542"/>
    <cellStyle name="Обычный 7 5 2 5 2 4 2" xfId="31543"/>
    <cellStyle name="Обычный 7 5 2 5 2 4 3" xfId="31544"/>
    <cellStyle name="Обычный 7 5 2 5 2 5" xfId="31545"/>
    <cellStyle name="Обычный 7 5 2 5 2 5 2" xfId="31546"/>
    <cellStyle name="Обычный 7 5 2 5 2 5 3" xfId="31547"/>
    <cellStyle name="Обычный 7 5 2 5 2 6" xfId="31548"/>
    <cellStyle name="Обычный 7 5 2 5 2 6 2" xfId="31549"/>
    <cellStyle name="Обычный 7 5 2 5 2 7" xfId="31550"/>
    <cellStyle name="Обычный 7 5 2 5 2 8" xfId="31551"/>
    <cellStyle name="Обычный 7 5 2 5 3" xfId="31552"/>
    <cellStyle name="Обычный 7 5 2 5 3 2" xfId="31553"/>
    <cellStyle name="Обычный 7 5 2 5 3 2 2" xfId="31554"/>
    <cellStyle name="Обычный 7 5 2 5 3 2 2 2" xfId="31555"/>
    <cellStyle name="Обычный 7 5 2 5 3 2 2 3" xfId="31556"/>
    <cellStyle name="Обычный 7 5 2 5 3 2 3" xfId="31557"/>
    <cellStyle name="Обычный 7 5 2 5 3 2 3 2" xfId="31558"/>
    <cellStyle name="Обычный 7 5 2 5 3 2 3 3" xfId="31559"/>
    <cellStyle name="Обычный 7 5 2 5 3 2 4" xfId="31560"/>
    <cellStyle name="Обычный 7 5 2 5 3 2 4 2" xfId="31561"/>
    <cellStyle name="Обычный 7 5 2 5 3 2 5" xfId="31562"/>
    <cellStyle name="Обычный 7 5 2 5 3 2 6" xfId="31563"/>
    <cellStyle name="Обычный 7 5 2 5 3 3" xfId="31564"/>
    <cellStyle name="Обычный 7 5 2 5 3 3 2" xfId="31565"/>
    <cellStyle name="Обычный 7 5 2 5 3 3 3" xfId="31566"/>
    <cellStyle name="Обычный 7 5 2 5 3 4" xfId="31567"/>
    <cellStyle name="Обычный 7 5 2 5 3 4 2" xfId="31568"/>
    <cellStyle name="Обычный 7 5 2 5 3 4 3" xfId="31569"/>
    <cellStyle name="Обычный 7 5 2 5 3 5" xfId="31570"/>
    <cellStyle name="Обычный 7 5 2 5 3 5 2" xfId="31571"/>
    <cellStyle name="Обычный 7 5 2 5 3 6" xfId="31572"/>
    <cellStyle name="Обычный 7 5 2 5 3 7" xfId="31573"/>
    <cellStyle name="Обычный 7 5 2 5 4" xfId="31574"/>
    <cellStyle name="Обычный 7 5 2 5 4 2" xfId="31575"/>
    <cellStyle name="Обычный 7 5 2 5 4 2 2" xfId="31576"/>
    <cellStyle name="Обычный 7 5 2 5 4 2 3" xfId="31577"/>
    <cellStyle name="Обычный 7 5 2 5 4 3" xfId="31578"/>
    <cellStyle name="Обычный 7 5 2 5 4 3 2" xfId="31579"/>
    <cellStyle name="Обычный 7 5 2 5 4 3 3" xfId="31580"/>
    <cellStyle name="Обычный 7 5 2 5 4 4" xfId="31581"/>
    <cellStyle name="Обычный 7 5 2 5 4 4 2" xfId="31582"/>
    <cellStyle name="Обычный 7 5 2 5 4 5" xfId="31583"/>
    <cellStyle name="Обычный 7 5 2 5 4 6" xfId="31584"/>
    <cellStyle name="Обычный 7 5 2 5 5" xfId="31585"/>
    <cellStyle name="Обычный 7 5 2 5 5 2" xfId="31586"/>
    <cellStyle name="Обычный 7 5 2 5 5 3" xfId="31587"/>
    <cellStyle name="Обычный 7 5 2 5 6" xfId="31588"/>
    <cellStyle name="Обычный 7 5 2 5 6 2" xfId="31589"/>
    <cellStyle name="Обычный 7 5 2 5 6 3" xfId="31590"/>
    <cellStyle name="Обычный 7 5 2 5 7" xfId="31591"/>
    <cellStyle name="Обычный 7 5 2 5 7 2" xfId="31592"/>
    <cellStyle name="Обычный 7 5 2 5 8" xfId="31593"/>
    <cellStyle name="Обычный 7 5 2 5 9" xfId="31594"/>
    <cellStyle name="Обычный 7 5 2 6" xfId="31595"/>
    <cellStyle name="Обычный 7 5 2 6 2" xfId="31596"/>
    <cellStyle name="Обычный 7 5 2 6 2 2" xfId="31597"/>
    <cellStyle name="Обычный 7 5 2 6 2 2 2" xfId="31598"/>
    <cellStyle name="Обычный 7 5 2 6 2 2 2 2" xfId="31599"/>
    <cellStyle name="Обычный 7 5 2 6 2 2 2 3" xfId="31600"/>
    <cellStyle name="Обычный 7 5 2 6 2 2 3" xfId="31601"/>
    <cellStyle name="Обычный 7 5 2 6 2 2 3 2" xfId="31602"/>
    <cellStyle name="Обычный 7 5 2 6 2 2 3 3" xfId="31603"/>
    <cellStyle name="Обычный 7 5 2 6 2 2 4" xfId="31604"/>
    <cellStyle name="Обычный 7 5 2 6 2 2 4 2" xfId="31605"/>
    <cellStyle name="Обычный 7 5 2 6 2 2 5" xfId="31606"/>
    <cellStyle name="Обычный 7 5 2 6 2 2 6" xfId="31607"/>
    <cellStyle name="Обычный 7 5 2 6 2 3" xfId="31608"/>
    <cellStyle name="Обычный 7 5 2 6 2 3 2" xfId="31609"/>
    <cellStyle name="Обычный 7 5 2 6 2 3 3" xfId="31610"/>
    <cellStyle name="Обычный 7 5 2 6 2 4" xfId="31611"/>
    <cellStyle name="Обычный 7 5 2 6 2 4 2" xfId="31612"/>
    <cellStyle name="Обычный 7 5 2 6 2 4 3" xfId="31613"/>
    <cellStyle name="Обычный 7 5 2 6 2 5" xfId="31614"/>
    <cellStyle name="Обычный 7 5 2 6 2 5 2" xfId="31615"/>
    <cellStyle name="Обычный 7 5 2 6 2 6" xfId="31616"/>
    <cellStyle name="Обычный 7 5 2 6 2 7" xfId="31617"/>
    <cellStyle name="Обычный 7 5 2 6 3" xfId="31618"/>
    <cellStyle name="Обычный 7 5 2 6 3 2" xfId="31619"/>
    <cellStyle name="Обычный 7 5 2 6 3 2 2" xfId="31620"/>
    <cellStyle name="Обычный 7 5 2 6 3 2 3" xfId="31621"/>
    <cellStyle name="Обычный 7 5 2 6 3 3" xfId="31622"/>
    <cellStyle name="Обычный 7 5 2 6 3 3 2" xfId="31623"/>
    <cellStyle name="Обычный 7 5 2 6 3 3 3" xfId="31624"/>
    <cellStyle name="Обычный 7 5 2 6 3 4" xfId="31625"/>
    <cellStyle name="Обычный 7 5 2 6 3 4 2" xfId="31626"/>
    <cellStyle name="Обычный 7 5 2 6 3 5" xfId="31627"/>
    <cellStyle name="Обычный 7 5 2 6 3 6" xfId="31628"/>
    <cellStyle name="Обычный 7 5 2 6 4" xfId="31629"/>
    <cellStyle name="Обычный 7 5 2 6 4 2" xfId="31630"/>
    <cellStyle name="Обычный 7 5 2 6 4 3" xfId="31631"/>
    <cellStyle name="Обычный 7 5 2 6 5" xfId="31632"/>
    <cellStyle name="Обычный 7 5 2 6 5 2" xfId="31633"/>
    <cellStyle name="Обычный 7 5 2 6 5 3" xfId="31634"/>
    <cellStyle name="Обычный 7 5 2 6 6" xfId="31635"/>
    <cellStyle name="Обычный 7 5 2 6 6 2" xfId="31636"/>
    <cellStyle name="Обычный 7 5 2 6 7" xfId="31637"/>
    <cellStyle name="Обычный 7 5 2 6 8" xfId="31638"/>
    <cellStyle name="Обычный 7 5 2 7" xfId="31639"/>
    <cellStyle name="Обычный 7 5 2 7 2" xfId="31640"/>
    <cellStyle name="Обычный 7 5 2 7 2 2" xfId="31641"/>
    <cellStyle name="Обычный 7 5 2 7 2 2 2" xfId="31642"/>
    <cellStyle name="Обычный 7 5 2 7 2 2 3" xfId="31643"/>
    <cellStyle name="Обычный 7 5 2 7 2 3" xfId="31644"/>
    <cellStyle name="Обычный 7 5 2 7 2 3 2" xfId="31645"/>
    <cellStyle name="Обычный 7 5 2 7 2 3 3" xfId="31646"/>
    <cellStyle name="Обычный 7 5 2 7 2 4" xfId="31647"/>
    <cellStyle name="Обычный 7 5 2 7 2 4 2" xfId="31648"/>
    <cellStyle name="Обычный 7 5 2 7 2 5" xfId="31649"/>
    <cellStyle name="Обычный 7 5 2 7 2 6" xfId="31650"/>
    <cellStyle name="Обычный 7 5 2 7 3" xfId="31651"/>
    <cellStyle name="Обычный 7 5 2 7 3 2" xfId="31652"/>
    <cellStyle name="Обычный 7 5 2 7 3 3" xfId="31653"/>
    <cellStyle name="Обычный 7 5 2 7 4" xfId="31654"/>
    <cellStyle name="Обычный 7 5 2 7 4 2" xfId="31655"/>
    <cellStyle name="Обычный 7 5 2 7 4 3" xfId="31656"/>
    <cellStyle name="Обычный 7 5 2 7 5" xfId="31657"/>
    <cellStyle name="Обычный 7 5 2 7 5 2" xfId="31658"/>
    <cellStyle name="Обычный 7 5 2 7 6" xfId="31659"/>
    <cellStyle name="Обычный 7 5 2 7 7" xfId="31660"/>
    <cellStyle name="Обычный 7 5 2 8" xfId="31661"/>
    <cellStyle name="Обычный 7 5 2 8 2" xfId="31662"/>
    <cellStyle name="Обычный 7 5 2 8 2 2" xfId="31663"/>
    <cellStyle name="Обычный 7 5 2 8 2 3" xfId="31664"/>
    <cellStyle name="Обычный 7 5 2 8 3" xfId="31665"/>
    <cellStyle name="Обычный 7 5 2 8 3 2" xfId="31666"/>
    <cellStyle name="Обычный 7 5 2 8 3 3" xfId="31667"/>
    <cellStyle name="Обычный 7 5 2 8 4" xfId="31668"/>
    <cellStyle name="Обычный 7 5 2 8 4 2" xfId="31669"/>
    <cellStyle name="Обычный 7 5 2 8 5" xfId="31670"/>
    <cellStyle name="Обычный 7 5 2 8 6" xfId="31671"/>
    <cellStyle name="Обычный 7 5 2 9" xfId="31672"/>
    <cellStyle name="Обычный 7 5 2 9 2" xfId="31673"/>
    <cellStyle name="Обычный 7 5 2 9 3" xfId="31674"/>
    <cellStyle name="Обычный 7 5 3" xfId="31675"/>
    <cellStyle name="Обычный 7 5 3 10" xfId="31676"/>
    <cellStyle name="Обычный 7 5 3 2" xfId="31677"/>
    <cellStyle name="Обычный 7 5 3 2 2" xfId="31678"/>
    <cellStyle name="Обычный 7 5 3 2 2 2" xfId="31679"/>
    <cellStyle name="Обычный 7 5 3 2 2 2 2" xfId="31680"/>
    <cellStyle name="Обычный 7 5 3 2 2 2 2 2" xfId="31681"/>
    <cellStyle name="Обычный 7 5 3 2 2 2 2 2 2" xfId="31682"/>
    <cellStyle name="Обычный 7 5 3 2 2 2 2 2 3" xfId="31683"/>
    <cellStyle name="Обычный 7 5 3 2 2 2 2 3" xfId="31684"/>
    <cellStyle name="Обычный 7 5 3 2 2 2 2 3 2" xfId="31685"/>
    <cellStyle name="Обычный 7 5 3 2 2 2 2 3 3" xfId="31686"/>
    <cellStyle name="Обычный 7 5 3 2 2 2 2 4" xfId="31687"/>
    <cellStyle name="Обычный 7 5 3 2 2 2 2 4 2" xfId="31688"/>
    <cellStyle name="Обычный 7 5 3 2 2 2 2 5" xfId="31689"/>
    <cellStyle name="Обычный 7 5 3 2 2 2 2 6" xfId="31690"/>
    <cellStyle name="Обычный 7 5 3 2 2 2 3" xfId="31691"/>
    <cellStyle name="Обычный 7 5 3 2 2 2 3 2" xfId="31692"/>
    <cellStyle name="Обычный 7 5 3 2 2 2 3 3" xfId="31693"/>
    <cellStyle name="Обычный 7 5 3 2 2 2 4" xfId="31694"/>
    <cellStyle name="Обычный 7 5 3 2 2 2 4 2" xfId="31695"/>
    <cellStyle name="Обычный 7 5 3 2 2 2 4 3" xfId="31696"/>
    <cellStyle name="Обычный 7 5 3 2 2 2 5" xfId="31697"/>
    <cellStyle name="Обычный 7 5 3 2 2 2 5 2" xfId="31698"/>
    <cellStyle name="Обычный 7 5 3 2 2 2 6" xfId="31699"/>
    <cellStyle name="Обычный 7 5 3 2 2 2 7" xfId="31700"/>
    <cellStyle name="Обычный 7 5 3 2 2 3" xfId="31701"/>
    <cellStyle name="Обычный 7 5 3 2 2 3 2" xfId="31702"/>
    <cellStyle name="Обычный 7 5 3 2 2 3 2 2" xfId="31703"/>
    <cellStyle name="Обычный 7 5 3 2 2 3 2 3" xfId="31704"/>
    <cellStyle name="Обычный 7 5 3 2 2 3 3" xfId="31705"/>
    <cellStyle name="Обычный 7 5 3 2 2 3 3 2" xfId="31706"/>
    <cellStyle name="Обычный 7 5 3 2 2 3 3 3" xfId="31707"/>
    <cellStyle name="Обычный 7 5 3 2 2 3 4" xfId="31708"/>
    <cellStyle name="Обычный 7 5 3 2 2 3 4 2" xfId="31709"/>
    <cellStyle name="Обычный 7 5 3 2 2 3 5" xfId="31710"/>
    <cellStyle name="Обычный 7 5 3 2 2 3 6" xfId="31711"/>
    <cellStyle name="Обычный 7 5 3 2 2 4" xfId="31712"/>
    <cellStyle name="Обычный 7 5 3 2 2 4 2" xfId="31713"/>
    <cellStyle name="Обычный 7 5 3 2 2 4 3" xfId="31714"/>
    <cellStyle name="Обычный 7 5 3 2 2 5" xfId="31715"/>
    <cellStyle name="Обычный 7 5 3 2 2 5 2" xfId="31716"/>
    <cellStyle name="Обычный 7 5 3 2 2 5 3" xfId="31717"/>
    <cellStyle name="Обычный 7 5 3 2 2 6" xfId="31718"/>
    <cellStyle name="Обычный 7 5 3 2 2 6 2" xfId="31719"/>
    <cellStyle name="Обычный 7 5 3 2 2 7" xfId="31720"/>
    <cellStyle name="Обычный 7 5 3 2 2 8" xfId="31721"/>
    <cellStyle name="Обычный 7 5 3 2 3" xfId="31722"/>
    <cellStyle name="Обычный 7 5 3 2 3 2" xfId="31723"/>
    <cellStyle name="Обычный 7 5 3 2 3 2 2" xfId="31724"/>
    <cellStyle name="Обычный 7 5 3 2 3 2 2 2" xfId="31725"/>
    <cellStyle name="Обычный 7 5 3 2 3 2 2 3" xfId="31726"/>
    <cellStyle name="Обычный 7 5 3 2 3 2 3" xfId="31727"/>
    <cellStyle name="Обычный 7 5 3 2 3 2 3 2" xfId="31728"/>
    <cellStyle name="Обычный 7 5 3 2 3 2 3 3" xfId="31729"/>
    <cellStyle name="Обычный 7 5 3 2 3 2 4" xfId="31730"/>
    <cellStyle name="Обычный 7 5 3 2 3 2 4 2" xfId="31731"/>
    <cellStyle name="Обычный 7 5 3 2 3 2 5" xfId="31732"/>
    <cellStyle name="Обычный 7 5 3 2 3 2 6" xfId="31733"/>
    <cellStyle name="Обычный 7 5 3 2 3 3" xfId="31734"/>
    <cellStyle name="Обычный 7 5 3 2 3 3 2" xfId="31735"/>
    <cellStyle name="Обычный 7 5 3 2 3 3 3" xfId="31736"/>
    <cellStyle name="Обычный 7 5 3 2 3 4" xfId="31737"/>
    <cellStyle name="Обычный 7 5 3 2 3 4 2" xfId="31738"/>
    <cellStyle name="Обычный 7 5 3 2 3 4 3" xfId="31739"/>
    <cellStyle name="Обычный 7 5 3 2 3 5" xfId="31740"/>
    <cellStyle name="Обычный 7 5 3 2 3 5 2" xfId="31741"/>
    <cellStyle name="Обычный 7 5 3 2 3 6" xfId="31742"/>
    <cellStyle name="Обычный 7 5 3 2 3 7" xfId="31743"/>
    <cellStyle name="Обычный 7 5 3 2 4" xfId="31744"/>
    <cellStyle name="Обычный 7 5 3 2 4 2" xfId="31745"/>
    <cellStyle name="Обычный 7 5 3 2 4 2 2" xfId="31746"/>
    <cellStyle name="Обычный 7 5 3 2 4 2 3" xfId="31747"/>
    <cellStyle name="Обычный 7 5 3 2 4 3" xfId="31748"/>
    <cellStyle name="Обычный 7 5 3 2 4 3 2" xfId="31749"/>
    <cellStyle name="Обычный 7 5 3 2 4 3 3" xfId="31750"/>
    <cellStyle name="Обычный 7 5 3 2 4 4" xfId="31751"/>
    <cellStyle name="Обычный 7 5 3 2 4 4 2" xfId="31752"/>
    <cellStyle name="Обычный 7 5 3 2 4 5" xfId="31753"/>
    <cellStyle name="Обычный 7 5 3 2 4 6" xfId="31754"/>
    <cellStyle name="Обычный 7 5 3 2 5" xfId="31755"/>
    <cellStyle name="Обычный 7 5 3 2 5 2" xfId="31756"/>
    <cellStyle name="Обычный 7 5 3 2 5 3" xfId="31757"/>
    <cellStyle name="Обычный 7 5 3 2 6" xfId="31758"/>
    <cellStyle name="Обычный 7 5 3 2 6 2" xfId="31759"/>
    <cellStyle name="Обычный 7 5 3 2 6 3" xfId="31760"/>
    <cellStyle name="Обычный 7 5 3 2 7" xfId="31761"/>
    <cellStyle name="Обычный 7 5 3 2 7 2" xfId="31762"/>
    <cellStyle name="Обычный 7 5 3 2 8" xfId="31763"/>
    <cellStyle name="Обычный 7 5 3 2 9" xfId="31764"/>
    <cellStyle name="Обычный 7 5 3 3" xfId="31765"/>
    <cellStyle name="Обычный 7 5 3 3 2" xfId="31766"/>
    <cellStyle name="Обычный 7 5 3 3 2 2" xfId="31767"/>
    <cellStyle name="Обычный 7 5 3 3 2 2 2" xfId="31768"/>
    <cellStyle name="Обычный 7 5 3 3 2 2 2 2" xfId="31769"/>
    <cellStyle name="Обычный 7 5 3 3 2 2 2 3" xfId="31770"/>
    <cellStyle name="Обычный 7 5 3 3 2 2 3" xfId="31771"/>
    <cellStyle name="Обычный 7 5 3 3 2 2 3 2" xfId="31772"/>
    <cellStyle name="Обычный 7 5 3 3 2 2 3 3" xfId="31773"/>
    <cellStyle name="Обычный 7 5 3 3 2 2 4" xfId="31774"/>
    <cellStyle name="Обычный 7 5 3 3 2 2 4 2" xfId="31775"/>
    <cellStyle name="Обычный 7 5 3 3 2 2 5" xfId="31776"/>
    <cellStyle name="Обычный 7 5 3 3 2 2 6" xfId="31777"/>
    <cellStyle name="Обычный 7 5 3 3 2 3" xfId="31778"/>
    <cellStyle name="Обычный 7 5 3 3 2 3 2" xfId="31779"/>
    <cellStyle name="Обычный 7 5 3 3 2 3 3" xfId="31780"/>
    <cellStyle name="Обычный 7 5 3 3 2 4" xfId="31781"/>
    <cellStyle name="Обычный 7 5 3 3 2 4 2" xfId="31782"/>
    <cellStyle name="Обычный 7 5 3 3 2 4 3" xfId="31783"/>
    <cellStyle name="Обычный 7 5 3 3 2 5" xfId="31784"/>
    <cellStyle name="Обычный 7 5 3 3 2 5 2" xfId="31785"/>
    <cellStyle name="Обычный 7 5 3 3 2 6" xfId="31786"/>
    <cellStyle name="Обычный 7 5 3 3 2 7" xfId="31787"/>
    <cellStyle name="Обычный 7 5 3 3 3" xfId="31788"/>
    <cellStyle name="Обычный 7 5 3 3 3 2" xfId="31789"/>
    <cellStyle name="Обычный 7 5 3 3 3 2 2" xfId="31790"/>
    <cellStyle name="Обычный 7 5 3 3 3 2 3" xfId="31791"/>
    <cellStyle name="Обычный 7 5 3 3 3 3" xfId="31792"/>
    <cellStyle name="Обычный 7 5 3 3 3 3 2" xfId="31793"/>
    <cellStyle name="Обычный 7 5 3 3 3 3 3" xfId="31794"/>
    <cellStyle name="Обычный 7 5 3 3 3 4" xfId="31795"/>
    <cellStyle name="Обычный 7 5 3 3 3 4 2" xfId="31796"/>
    <cellStyle name="Обычный 7 5 3 3 3 5" xfId="31797"/>
    <cellStyle name="Обычный 7 5 3 3 3 6" xfId="31798"/>
    <cellStyle name="Обычный 7 5 3 3 4" xfId="31799"/>
    <cellStyle name="Обычный 7 5 3 3 4 2" xfId="31800"/>
    <cellStyle name="Обычный 7 5 3 3 4 3" xfId="31801"/>
    <cellStyle name="Обычный 7 5 3 3 5" xfId="31802"/>
    <cellStyle name="Обычный 7 5 3 3 5 2" xfId="31803"/>
    <cellStyle name="Обычный 7 5 3 3 5 3" xfId="31804"/>
    <cellStyle name="Обычный 7 5 3 3 6" xfId="31805"/>
    <cellStyle name="Обычный 7 5 3 3 6 2" xfId="31806"/>
    <cellStyle name="Обычный 7 5 3 3 7" xfId="31807"/>
    <cellStyle name="Обычный 7 5 3 3 8" xfId="31808"/>
    <cellStyle name="Обычный 7 5 3 4" xfId="31809"/>
    <cellStyle name="Обычный 7 5 3 4 2" xfId="31810"/>
    <cellStyle name="Обычный 7 5 3 4 2 2" xfId="31811"/>
    <cellStyle name="Обычный 7 5 3 4 2 2 2" xfId="31812"/>
    <cellStyle name="Обычный 7 5 3 4 2 2 3" xfId="31813"/>
    <cellStyle name="Обычный 7 5 3 4 2 3" xfId="31814"/>
    <cellStyle name="Обычный 7 5 3 4 2 3 2" xfId="31815"/>
    <cellStyle name="Обычный 7 5 3 4 2 3 3" xfId="31816"/>
    <cellStyle name="Обычный 7 5 3 4 2 4" xfId="31817"/>
    <cellStyle name="Обычный 7 5 3 4 2 4 2" xfId="31818"/>
    <cellStyle name="Обычный 7 5 3 4 2 5" xfId="31819"/>
    <cellStyle name="Обычный 7 5 3 4 2 6" xfId="31820"/>
    <cellStyle name="Обычный 7 5 3 4 3" xfId="31821"/>
    <cellStyle name="Обычный 7 5 3 4 3 2" xfId="31822"/>
    <cellStyle name="Обычный 7 5 3 4 3 3" xfId="31823"/>
    <cellStyle name="Обычный 7 5 3 4 4" xfId="31824"/>
    <cellStyle name="Обычный 7 5 3 4 4 2" xfId="31825"/>
    <cellStyle name="Обычный 7 5 3 4 4 3" xfId="31826"/>
    <cellStyle name="Обычный 7 5 3 4 5" xfId="31827"/>
    <cellStyle name="Обычный 7 5 3 4 5 2" xfId="31828"/>
    <cellStyle name="Обычный 7 5 3 4 6" xfId="31829"/>
    <cellStyle name="Обычный 7 5 3 4 7" xfId="31830"/>
    <cellStyle name="Обычный 7 5 3 5" xfId="31831"/>
    <cellStyle name="Обычный 7 5 3 5 2" xfId="31832"/>
    <cellStyle name="Обычный 7 5 3 5 2 2" xfId="31833"/>
    <cellStyle name="Обычный 7 5 3 5 2 3" xfId="31834"/>
    <cellStyle name="Обычный 7 5 3 5 3" xfId="31835"/>
    <cellStyle name="Обычный 7 5 3 5 3 2" xfId="31836"/>
    <cellStyle name="Обычный 7 5 3 5 3 3" xfId="31837"/>
    <cellStyle name="Обычный 7 5 3 5 4" xfId="31838"/>
    <cellStyle name="Обычный 7 5 3 5 4 2" xfId="31839"/>
    <cellStyle name="Обычный 7 5 3 5 5" xfId="31840"/>
    <cellStyle name="Обычный 7 5 3 5 6" xfId="31841"/>
    <cellStyle name="Обычный 7 5 3 6" xfId="31842"/>
    <cellStyle name="Обычный 7 5 3 6 2" xfId="31843"/>
    <cellStyle name="Обычный 7 5 3 6 3" xfId="31844"/>
    <cellStyle name="Обычный 7 5 3 7" xfId="31845"/>
    <cellStyle name="Обычный 7 5 3 7 2" xfId="31846"/>
    <cellStyle name="Обычный 7 5 3 7 3" xfId="31847"/>
    <cellStyle name="Обычный 7 5 3 8" xfId="31848"/>
    <cellStyle name="Обычный 7 5 3 8 2" xfId="31849"/>
    <cellStyle name="Обычный 7 5 3 9" xfId="31850"/>
    <cellStyle name="Обычный 7 5 4" xfId="31851"/>
    <cellStyle name="Обычный 7 5 4 10" xfId="31852"/>
    <cellStyle name="Обычный 7 5 4 2" xfId="31853"/>
    <cellStyle name="Обычный 7 5 4 2 2" xfId="31854"/>
    <cellStyle name="Обычный 7 5 4 2 2 2" xfId="31855"/>
    <cellStyle name="Обычный 7 5 4 2 2 2 2" xfId="31856"/>
    <cellStyle name="Обычный 7 5 4 2 2 2 2 2" xfId="31857"/>
    <cellStyle name="Обычный 7 5 4 2 2 2 2 2 2" xfId="31858"/>
    <cellStyle name="Обычный 7 5 4 2 2 2 2 2 3" xfId="31859"/>
    <cellStyle name="Обычный 7 5 4 2 2 2 2 3" xfId="31860"/>
    <cellStyle name="Обычный 7 5 4 2 2 2 2 3 2" xfId="31861"/>
    <cellStyle name="Обычный 7 5 4 2 2 2 2 3 3" xfId="31862"/>
    <cellStyle name="Обычный 7 5 4 2 2 2 2 4" xfId="31863"/>
    <cellStyle name="Обычный 7 5 4 2 2 2 2 4 2" xfId="31864"/>
    <cellStyle name="Обычный 7 5 4 2 2 2 2 5" xfId="31865"/>
    <cellStyle name="Обычный 7 5 4 2 2 2 2 6" xfId="31866"/>
    <cellStyle name="Обычный 7 5 4 2 2 2 3" xfId="31867"/>
    <cellStyle name="Обычный 7 5 4 2 2 2 3 2" xfId="31868"/>
    <cellStyle name="Обычный 7 5 4 2 2 2 3 3" xfId="31869"/>
    <cellStyle name="Обычный 7 5 4 2 2 2 4" xfId="31870"/>
    <cellStyle name="Обычный 7 5 4 2 2 2 4 2" xfId="31871"/>
    <cellStyle name="Обычный 7 5 4 2 2 2 4 3" xfId="31872"/>
    <cellStyle name="Обычный 7 5 4 2 2 2 5" xfId="31873"/>
    <cellStyle name="Обычный 7 5 4 2 2 2 5 2" xfId="31874"/>
    <cellStyle name="Обычный 7 5 4 2 2 2 6" xfId="31875"/>
    <cellStyle name="Обычный 7 5 4 2 2 2 7" xfId="31876"/>
    <cellStyle name="Обычный 7 5 4 2 2 3" xfId="31877"/>
    <cellStyle name="Обычный 7 5 4 2 2 3 2" xfId="31878"/>
    <cellStyle name="Обычный 7 5 4 2 2 3 2 2" xfId="31879"/>
    <cellStyle name="Обычный 7 5 4 2 2 3 2 3" xfId="31880"/>
    <cellStyle name="Обычный 7 5 4 2 2 3 3" xfId="31881"/>
    <cellStyle name="Обычный 7 5 4 2 2 3 3 2" xfId="31882"/>
    <cellStyle name="Обычный 7 5 4 2 2 3 3 3" xfId="31883"/>
    <cellStyle name="Обычный 7 5 4 2 2 3 4" xfId="31884"/>
    <cellStyle name="Обычный 7 5 4 2 2 3 4 2" xfId="31885"/>
    <cellStyle name="Обычный 7 5 4 2 2 3 5" xfId="31886"/>
    <cellStyle name="Обычный 7 5 4 2 2 3 6" xfId="31887"/>
    <cellStyle name="Обычный 7 5 4 2 2 4" xfId="31888"/>
    <cellStyle name="Обычный 7 5 4 2 2 4 2" xfId="31889"/>
    <cellStyle name="Обычный 7 5 4 2 2 4 3" xfId="31890"/>
    <cellStyle name="Обычный 7 5 4 2 2 5" xfId="31891"/>
    <cellStyle name="Обычный 7 5 4 2 2 5 2" xfId="31892"/>
    <cellStyle name="Обычный 7 5 4 2 2 5 3" xfId="31893"/>
    <cellStyle name="Обычный 7 5 4 2 2 6" xfId="31894"/>
    <cellStyle name="Обычный 7 5 4 2 2 6 2" xfId="31895"/>
    <cellStyle name="Обычный 7 5 4 2 2 7" xfId="31896"/>
    <cellStyle name="Обычный 7 5 4 2 2 8" xfId="31897"/>
    <cellStyle name="Обычный 7 5 4 2 3" xfId="31898"/>
    <cellStyle name="Обычный 7 5 4 2 3 2" xfId="31899"/>
    <cellStyle name="Обычный 7 5 4 2 3 2 2" xfId="31900"/>
    <cellStyle name="Обычный 7 5 4 2 3 2 2 2" xfId="31901"/>
    <cellStyle name="Обычный 7 5 4 2 3 2 2 3" xfId="31902"/>
    <cellStyle name="Обычный 7 5 4 2 3 2 3" xfId="31903"/>
    <cellStyle name="Обычный 7 5 4 2 3 2 3 2" xfId="31904"/>
    <cellStyle name="Обычный 7 5 4 2 3 2 3 3" xfId="31905"/>
    <cellStyle name="Обычный 7 5 4 2 3 2 4" xfId="31906"/>
    <cellStyle name="Обычный 7 5 4 2 3 2 4 2" xfId="31907"/>
    <cellStyle name="Обычный 7 5 4 2 3 2 5" xfId="31908"/>
    <cellStyle name="Обычный 7 5 4 2 3 2 6" xfId="31909"/>
    <cellStyle name="Обычный 7 5 4 2 3 3" xfId="31910"/>
    <cellStyle name="Обычный 7 5 4 2 3 3 2" xfId="31911"/>
    <cellStyle name="Обычный 7 5 4 2 3 3 3" xfId="31912"/>
    <cellStyle name="Обычный 7 5 4 2 3 4" xfId="31913"/>
    <cellStyle name="Обычный 7 5 4 2 3 4 2" xfId="31914"/>
    <cellStyle name="Обычный 7 5 4 2 3 4 3" xfId="31915"/>
    <cellStyle name="Обычный 7 5 4 2 3 5" xfId="31916"/>
    <cellStyle name="Обычный 7 5 4 2 3 5 2" xfId="31917"/>
    <cellStyle name="Обычный 7 5 4 2 3 6" xfId="31918"/>
    <cellStyle name="Обычный 7 5 4 2 3 7" xfId="31919"/>
    <cellStyle name="Обычный 7 5 4 2 4" xfId="31920"/>
    <cellStyle name="Обычный 7 5 4 2 4 2" xfId="31921"/>
    <cellStyle name="Обычный 7 5 4 2 4 2 2" xfId="31922"/>
    <cellStyle name="Обычный 7 5 4 2 4 2 3" xfId="31923"/>
    <cellStyle name="Обычный 7 5 4 2 4 3" xfId="31924"/>
    <cellStyle name="Обычный 7 5 4 2 4 3 2" xfId="31925"/>
    <cellStyle name="Обычный 7 5 4 2 4 3 3" xfId="31926"/>
    <cellStyle name="Обычный 7 5 4 2 4 4" xfId="31927"/>
    <cellStyle name="Обычный 7 5 4 2 4 4 2" xfId="31928"/>
    <cellStyle name="Обычный 7 5 4 2 4 5" xfId="31929"/>
    <cellStyle name="Обычный 7 5 4 2 4 6" xfId="31930"/>
    <cellStyle name="Обычный 7 5 4 2 5" xfId="31931"/>
    <cellStyle name="Обычный 7 5 4 2 5 2" xfId="31932"/>
    <cellStyle name="Обычный 7 5 4 2 5 3" xfId="31933"/>
    <cellStyle name="Обычный 7 5 4 2 6" xfId="31934"/>
    <cellStyle name="Обычный 7 5 4 2 6 2" xfId="31935"/>
    <cellStyle name="Обычный 7 5 4 2 6 3" xfId="31936"/>
    <cellStyle name="Обычный 7 5 4 2 7" xfId="31937"/>
    <cellStyle name="Обычный 7 5 4 2 7 2" xfId="31938"/>
    <cellStyle name="Обычный 7 5 4 2 8" xfId="31939"/>
    <cellStyle name="Обычный 7 5 4 2 9" xfId="31940"/>
    <cellStyle name="Обычный 7 5 4 3" xfId="31941"/>
    <cellStyle name="Обычный 7 5 4 3 2" xfId="31942"/>
    <cellStyle name="Обычный 7 5 4 3 2 2" xfId="31943"/>
    <cellStyle name="Обычный 7 5 4 3 2 2 2" xfId="31944"/>
    <cellStyle name="Обычный 7 5 4 3 2 2 2 2" xfId="31945"/>
    <cellStyle name="Обычный 7 5 4 3 2 2 2 3" xfId="31946"/>
    <cellStyle name="Обычный 7 5 4 3 2 2 3" xfId="31947"/>
    <cellStyle name="Обычный 7 5 4 3 2 2 3 2" xfId="31948"/>
    <cellStyle name="Обычный 7 5 4 3 2 2 3 3" xfId="31949"/>
    <cellStyle name="Обычный 7 5 4 3 2 2 4" xfId="31950"/>
    <cellStyle name="Обычный 7 5 4 3 2 2 4 2" xfId="31951"/>
    <cellStyle name="Обычный 7 5 4 3 2 2 5" xfId="31952"/>
    <cellStyle name="Обычный 7 5 4 3 2 2 6" xfId="31953"/>
    <cellStyle name="Обычный 7 5 4 3 2 3" xfId="31954"/>
    <cellStyle name="Обычный 7 5 4 3 2 3 2" xfId="31955"/>
    <cellStyle name="Обычный 7 5 4 3 2 3 3" xfId="31956"/>
    <cellStyle name="Обычный 7 5 4 3 2 4" xfId="31957"/>
    <cellStyle name="Обычный 7 5 4 3 2 4 2" xfId="31958"/>
    <cellStyle name="Обычный 7 5 4 3 2 4 3" xfId="31959"/>
    <cellStyle name="Обычный 7 5 4 3 2 5" xfId="31960"/>
    <cellStyle name="Обычный 7 5 4 3 2 5 2" xfId="31961"/>
    <cellStyle name="Обычный 7 5 4 3 2 6" xfId="31962"/>
    <cellStyle name="Обычный 7 5 4 3 2 7" xfId="31963"/>
    <cellStyle name="Обычный 7 5 4 3 3" xfId="31964"/>
    <cellStyle name="Обычный 7 5 4 3 3 2" xfId="31965"/>
    <cellStyle name="Обычный 7 5 4 3 3 2 2" xfId="31966"/>
    <cellStyle name="Обычный 7 5 4 3 3 2 3" xfId="31967"/>
    <cellStyle name="Обычный 7 5 4 3 3 3" xfId="31968"/>
    <cellStyle name="Обычный 7 5 4 3 3 3 2" xfId="31969"/>
    <cellStyle name="Обычный 7 5 4 3 3 3 3" xfId="31970"/>
    <cellStyle name="Обычный 7 5 4 3 3 4" xfId="31971"/>
    <cellStyle name="Обычный 7 5 4 3 3 4 2" xfId="31972"/>
    <cellStyle name="Обычный 7 5 4 3 3 5" xfId="31973"/>
    <cellStyle name="Обычный 7 5 4 3 3 6" xfId="31974"/>
    <cellStyle name="Обычный 7 5 4 3 4" xfId="31975"/>
    <cellStyle name="Обычный 7 5 4 3 4 2" xfId="31976"/>
    <cellStyle name="Обычный 7 5 4 3 4 3" xfId="31977"/>
    <cellStyle name="Обычный 7 5 4 3 5" xfId="31978"/>
    <cellStyle name="Обычный 7 5 4 3 5 2" xfId="31979"/>
    <cellStyle name="Обычный 7 5 4 3 5 3" xfId="31980"/>
    <cellStyle name="Обычный 7 5 4 3 6" xfId="31981"/>
    <cellStyle name="Обычный 7 5 4 3 6 2" xfId="31982"/>
    <cellStyle name="Обычный 7 5 4 3 7" xfId="31983"/>
    <cellStyle name="Обычный 7 5 4 3 8" xfId="31984"/>
    <cellStyle name="Обычный 7 5 4 4" xfId="31985"/>
    <cellStyle name="Обычный 7 5 4 4 2" xfId="31986"/>
    <cellStyle name="Обычный 7 5 4 4 2 2" xfId="31987"/>
    <cellStyle name="Обычный 7 5 4 4 2 2 2" xfId="31988"/>
    <cellStyle name="Обычный 7 5 4 4 2 2 3" xfId="31989"/>
    <cellStyle name="Обычный 7 5 4 4 2 3" xfId="31990"/>
    <cellStyle name="Обычный 7 5 4 4 2 3 2" xfId="31991"/>
    <cellStyle name="Обычный 7 5 4 4 2 3 3" xfId="31992"/>
    <cellStyle name="Обычный 7 5 4 4 2 4" xfId="31993"/>
    <cellStyle name="Обычный 7 5 4 4 2 4 2" xfId="31994"/>
    <cellStyle name="Обычный 7 5 4 4 2 5" xfId="31995"/>
    <cellStyle name="Обычный 7 5 4 4 2 6" xfId="31996"/>
    <cellStyle name="Обычный 7 5 4 4 3" xfId="31997"/>
    <cellStyle name="Обычный 7 5 4 4 3 2" xfId="31998"/>
    <cellStyle name="Обычный 7 5 4 4 3 3" xfId="31999"/>
    <cellStyle name="Обычный 7 5 4 4 4" xfId="32000"/>
    <cellStyle name="Обычный 7 5 4 4 4 2" xfId="32001"/>
    <cellStyle name="Обычный 7 5 4 4 4 3" xfId="32002"/>
    <cellStyle name="Обычный 7 5 4 4 5" xfId="32003"/>
    <cellStyle name="Обычный 7 5 4 4 5 2" xfId="32004"/>
    <cellStyle name="Обычный 7 5 4 4 6" xfId="32005"/>
    <cellStyle name="Обычный 7 5 4 4 7" xfId="32006"/>
    <cellStyle name="Обычный 7 5 4 5" xfId="32007"/>
    <cellStyle name="Обычный 7 5 4 5 2" xfId="32008"/>
    <cellStyle name="Обычный 7 5 4 5 2 2" xfId="32009"/>
    <cellStyle name="Обычный 7 5 4 5 2 3" xfId="32010"/>
    <cellStyle name="Обычный 7 5 4 5 3" xfId="32011"/>
    <cellStyle name="Обычный 7 5 4 5 3 2" xfId="32012"/>
    <cellStyle name="Обычный 7 5 4 5 3 3" xfId="32013"/>
    <cellStyle name="Обычный 7 5 4 5 4" xfId="32014"/>
    <cellStyle name="Обычный 7 5 4 5 4 2" xfId="32015"/>
    <cellStyle name="Обычный 7 5 4 5 5" xfId="32016"/>
    <cellStyle name="Обычный 7 5 4 5 6" xfId="32017"/>
    <cellStyle name="Обычный 7 5 4 6" xfId="32018"/>
    <cellStyle name="Обычный 7 5 4 6 2" xfId="32019"/>
    <cellStyle name="Обычный 7 5 4 6 3" xfId="32020"/>
    <cellStyle name="Обычный 7 5 4 7" xfId="32021"/>
    <cellStyle name="Обычный 7 5 4 7 2" xfId="32022"/>
    <cellStyle name="Обычный 7 5 4 7 3" xfId="32023"/>
    <cellStyle name="Обычный 7 5 4 8" xfId="32024"/>
    <cellStyle name="Обычный 7 5 4 8 2" xfId="32025"/>
    <cellStyle name="Обычный 7 5 4 9" xfId="32026"/>
    <cellStyle name="Обычный 7 5 5" xfId="32027"/>
    <cellStyle name="Обычный 7 5 5 10" xfId="32028"/>
    <cellStyle name="Обычный 7 5 5 2" xfId="32029"/>
    <cellStyle name="Обычный 7 5 5 2 2" xfId="32030"/>
    <cellStyle name="Обычный 7 5 5 2 2 2" xfId="32031"/>
    <cellStyle name="Обычный 7 5 5 2 2 2 2" xfId="32032"/>
    <cellStyle name="Обычный 7 5 5 2 2 2 2 2" xfId="32033"/>
    <cellStyle name="Обычный 7 5 5 2 2 2 2 2 2" xfId="32034"/>
    <cellStyle name="Обычный 7 5 5 2 2 2 2 2 3" xfId="32035"/>
    <cellStyle name="Обычный 7 5 5 2 2 2 2 3" xfId="32036"/>
    <cellStyle name="Обычный 7 5 5 2 2 2 2 3 2" xfId="32037"/>
    <cellStyle name="Обычный 7 5 5 2 2 2 2 3 3" xfId="32038"/>
    <cellStyle name="Обычный 7 5 5 2 2 2 2 4" xfId="32039"/>
    <cellStyle name="Обычный 7 5 5 2 2 2 2 4 2" xfId="32040"/>
    <cellStyle name="Обычный 7 5 5 2 2 2 2 5" xfId="32041"/>
    <cellStyle name="Обычный 7 5 5 2 2 2 2 6" xfId="32042"/>
    <cellStyle name="Обычный 7 5 5 2 2 2 3" xfId="32043"/>
    <cellStyle name="Обычный 7 5 5 2 2 2 3 2" xfId="32044"/>
    <cellStyle name="Обычный 7 5 5 2 2 2 3 3" xfId="32045"/>
    <cellStyle name="Обычный 7 5 5 2 2 2 4" xfId="32046"/>
    <cellStyle name="Обычный 7 5 5 2 2 2 4 2" xfId="32047"/>
    <cellStyle name="Обычный 7 5 5 2 2 2 4 3" xfId="32048"/>
    <cellStyle name="Обычный 7 5 5 2 2 2 5" xfId="32049"/>
    <cellStyle name="Обычный 7 5 5 2 2 2 5 2" xfId="32050"/>
    <cellStyle name="Обычный 7 5 5 2 2 2 6" xfId="32051"/>
    <cellStyle name="Обычный 7 5 5 2 2 2 7" xfId="32052"/>
    <cellStyle name="Обычный 7 5 5 2 2 3" xfId="32053"/>
    <cellStyle name="Обычный 7 5 5 2 2 3 2" xfId="32054"/>
    <cellStyle name="Обычный 7 5 5 2 2 3 2 2" xfId="32055"/>
    <cellStyle name="Обычный 7 5 5 2 2 3 2 3" xfId="32056"/>
    <cellStyle name="Обычный 7 5 5 2 2 3 3" xfId="32057"/>
    <cellStyle name="Обычный 7 5 5 2 2 3 3 2" xfId="32058"/>
    <cellStyle name="Обычный 7 5 5 2 2 3 3 3" xfId="32059"/>
    <cellStyle name="Обычный 7 5 5 2 2 3 4" xfId="32060"/>
    <cellStyle name="Обычный 7 5 5 2 2 3 4 2" xfId="32061"/>
    <cellStyle name="Обычный 7 5 5 2 2 3 5" xfId="32062"/>
    <cellStyle name="Обычный 7 5 5 2 2 3 6" xfId="32063"/>
    <cellStyle name="Обычный 7 5 5 2 2 4" xfId="32064"/>
    <cellStyle name="Обычный 7 5 5 2 2 4 2" xfId="32065"/>
    <cellStyle name="Обычный 7 5 5 2 2 4 3" xfId="32066"/>
    <cellStyle name="Обычный 7 5 5 2 2 5" xfId="32067"/>
    <cellStyle name="Обычный 7 5 5 2 2 5 2" xfId="32068"/>
    <cellStyle name="Обычный 7 5 5 2 2 5 3" xfId="32069"/>
    <cellStyle name="Обычный 7 5 5 2 2 6" xfId="32070"/>
    <cellStyle name="Обычный 7 5 5 2 2 6 2" xfId="32071"/>
    <cellStyle name="Обычный 7 5 5 2 2 7" xfId="32072"/>
    <cellStyle name="Обычный 7 5 5 2 2 8" xfId="32073"/>
    <cellStyle name="Обычный 7 5 5 2 3" xfId="32074"/>
    <cellStyle name="Обычный 7 5 5 2 3 2" xfId="32075"/>
    <cellStyle name="Обычный 7 5 5 2 3 2 2" xfId="32076"/>
    <cellStyle name="Обычный 7 5 5 2 3 2 2 2" xfId="32077"/>
    <cellStyle name="Обычный 7 5 5 2 3 2 2 3" xfId="32078"/>
    <cellStyle name="Обычный 7 5 5 2 3 2 3" xfId="32079"/>
    <cellStyle name="Обычный 7 5 5 2 3 2 3 2" xfId="32080"/>
    <cellStyle name="Обычный 7 5 5 2 3 2 3 3" xfId="32081"/>
    <cellStyle name="Обычный 7 5 5 2 3 2 4" xfId="32082"/>
    <cellStyle name="Обычный 7 5 5 2 3 2 4 2" xfId="32083"/>
    <cellStyle name="Обычный 7 5 5 2 3 2 5" xfId="32084"/>
    <cellStyle name="Обычный 7 5 5 2 3 2 6" xfId="32085"/>
    <cellStyle name="Обычный 7 5 5 2 3 3" xfId="32086"/>
    <cellStyle name="Обычный 7 5 5 2 3 3 2" xfId="32087"/>
    <cellStyle name="Обычный 7 5 5 2 3 3 3" xfId="32088"/>
    <cellStyle name="Обычный 7 5 5 2 3 4" xfId="32089"/>
    <cellStyle name="Обычный 7 5 5 2 3 4 2" xfId="32090"/>
    <cellStyle name="Обычный 7 5 5 2 3 4 3" xfId="32091"/>
    <cellStyle name="Обычный 7 5 5 2 3 5" xfId="32092"/>
    <cellStyle name="Обычный 7 5 5 2 3 5 2" xfId="32093"/>
    <cellStyle name="Обычный 7 5 5 2 3 6" xfId="32094"/>
    <cellStyle name="Обычный 7 5 5 2 3 7" xfId="32095"/>
    <cellStyle name="Обычный 7 5 5 2 4" xfId="32096"/>
    <cellStyle name="Обычный 7 5 5 2 4 2" xfId="32097"/>
    <cellStyle name="Обычный 7 5 5 2 4 2 2" xfId="32098"/>
    <cellStyle name="Обычный 7 5 5 2 4 2 3" xfId="32099"/>
    <cellStyle name="Обычный 7 5 5 2 4 3" xfId="32100"/>
    <cellStyle name="Обычный 7 5 5 2 4 3 2" xfId="32101"/>
    <cellStyle name="Обычный 7 5 5 2 4 3 3" xfId="32102"/>
    <cellStyle name="Обычный 7 5 5 2 4 4" xfId="32103"/>
    <cellStyle name="Обычный 7 5 5 2 4 4 2" xfId="32104"/>
    <cellStyle name="Обычный 7 5 5 2 4 5" xfId="32105"/>
    <cellStyle name="Обычный 7 5 5 2 4 6" xfId="32106"/>
    <cellStyle name="Обычный 7 5 5 2 5" xfId="32107"/>
    <cellStyle name="Обычный 7 5 5 2 5 2" xfId="32108"/>
    <cellStyle name="Обычный 7 5 5 2 5 3" xfId="32109"/>
    <cellStyle name="Обычный 7 5 5 2 6" xfId="32110"/>
    <cellStyle name="Обычный 7 5 5 2 6 2" xfId="32111"/>
    <cellStyle name="Обычный 7 5 5 2 6 3" xfId="32112"/>
    <cellStyle name="Обычный 7 5 5 2 7" xfId="32113"/>
    <cellStyle name="Обычный 7 5 5 2 7 2" xfId="32114"/>
    <cellStyle name="Обычный 7 5 5 2 8" xfId="32115"/>
    <cellStyle name="Обычный 7 5 5 2 9" xfId="32116"/>
    <cellStyle name="Обычный 7 5 5 3" xfId="32117"/>
    <cellStyle name="Обычный 7 5 5 3 2" xfId="32118"/>
    <cellStyle name="Обычный 7 5 5 3 2 2" xfId="32119"/>
    <cellStyle name="Обычный 7 5 5 3 2 2 2" xfId="32120"/>
    <cellStyle name="Обычный 7 5 5 3 2 2 2 2" xfId="32121"/>
    <cellStyle name="Обычный 7 5 5 3 2 2 2 3" xfId="32122"/>
    <cellStyle name="Обычный 7 5 5 3 2 2 3" xfId="32123"/>
    <cellStyle name="Обычный 7 5 5 3 2 2 3 2" xfId="32124"/>
    <cellStyle name="Обычный 7 5 5 3 2 2 3 3" xfId="32125"/>
    <cellStyle name="Обычный 7 5 5 3 2 2 4" xfId="32126"/>
    <cellStyle name="Обычный 7 5 5 3 2 2 4 2" xfId="32127"/>
    <cellStyle name="Обычный 7 5 5 3 2 2 5" xfId="32128"/>
    <cellStyle name="Обычный 7 5 5 3 2 2 6" xfId="32129"/>
    <cellStyle name="Обычный 7 5 5 3 2 3" xfId="32130"/>
    <cellStyle name="Обычный 7 5 5 3 2 3 2" xfId="32131"/>
    <cellStyle name="Обычный 7 5 5 3 2 3 3" xfId="32132"/>
    <cellStyle name="Обычный 7 5 5 3 2 4" xfId="32133"/>
    <cellStyle name="Обычный 7 5 5 3 2 4 2" xfId="32134"/>
    <cellStyle name="Обычный 7 5 5 3 2 4 3" xfId="32135"/>
    <cellStyle name="Обычный 7 5 5 3 2 5" xfId="32136"/>
    <cellStyle name="Обычный 7 5 5 3 2 5 2" xfId="32137"/>
    <cellStyle name="Обычный 7 5 5 3 2 6" xfId="32138"/>
    <cellStyle name="Обычный 7 5 5 3 2 7" xfId="32139"/>
    <cellStyle name="Обычный 7 5 5 3 3" xfId="32140"/>
    <cellStyle name="Обычный 7 5 5 3 3 2" xfId="32141"/>
    <cellStyle name="Обычный 7 5 5 3 3 2 2" xfId="32142"/>
    <cellStyle name="Обычный 7 5 5 3 3 2 3" xfId="32143"/>
    <cellStyle name="Обычный 7 5 5 3 3 3" xfId="32144"/>
    <cellStyle name="Обычный 7 5 5 3 3 3 2" xfId="32145"/>
    <cellStyle name="Обычный 7 5 5 3 3 3 3" xfId="32146"/>
    <cellStyle name="Обычный 7 5 5 3 3 4" xfId="32147"/>
    <cellStyle name="Обычный 7 5 5 3 3 4 2" xfId="32148"/>
    <cellStyle name="Обычный 7 5 5 3 3 5" xfId="32149"/>
    <cellStyle name="Обычный 7 5 5 3 3 6" xfId="32150"/>
    <cellStyle name="Обычный 7 5 5 3 4" xfId="32151"/>
    <cellStyle name="Обычный 7 5 5 3 4 2" xfId="32152"/>
    <cellStyle name="Обычный 7 5 5 3 4 3" xfId="32153"/>
    <cellStyle name="Обычный 7 5 5 3 5" xfId="32154"/>
    <cellStyle name="Обычный 7 5 5 3 5 2" xfId="32155"/>
    <cellStyle name="Обычный 7 5 5 3 5 3" xfId="32156"/>
    <cellStyle name="Обычный 7 5 5 3 6" xfId="32157"/>
    <cellStyle name="Обычный 7 5 5 3 6 2" xfId="32158"/>
    <cellStyle name="Обычный 7 5 5 3 7" xfId="32159"/>
    <cellStyle name="Обычный 7 5 5 3 8" xfId="32160"/>
    <cellStyle name="Обычный 7 5 5 4" xfId="32161"/>
    <cellStyle name="Обычный 7 5 5 4 2" xfId="32162"/>
    <cellStyle name="Обычный 7 5 5 4 2 2" xfId="32163"/>
    <cellStyle name="Обычный 7 5 5 4 2 2 2" xfId="32164"/>
    <cellStyle name="Обычный 7 5 5 4 2 2 3" xfId="32165"/>
    <cellStyle name="Обычный 7 5 5 4 2 3" xfId="32166"/>
    <cellStyle name="Обычный 7 5 5 4 2 3 2" xfId="32167"/>
    <cellStyle name="Обычный 7 5 5 4 2 3 3" xfId="32168"/>
    <cellStyle name="Обычный 7 5 5 4 2 4" xfId="32169"/>
    <cellStyle name="Обычный 7 5 5 4 2 4 2" xfId="32170"/>
    <cellStyle name="Обычный 7 5 5 4 2 5" xfId="32171"/>
    <cellStyle name="Обычный 7 5 5 4 2 6" xfId="32172"/>
    <cellStyle name="Обычный 7 5 5 4 3" xfId="32173"/>
    <cellStyle name="Обычный 7 5 5 4 3 2" xfId="32174"/>
    <cellStyle name="Обычный 7 5 5 4 3 3" xfId="32175"/>
    <cellStyle name="Обычный 7 5 5 4 4" xfId="32176"/>
    <cellStyle name="Обычный 7 5 5 4 4 2" xfId="32177"/>
    <cellStyle name="Обычный 7 5 5 4 4 3" xfId="32178"/>
    <cellStyle name="Обычный 7 5 5 4 5" xfId="32179"/>
    <cellStyle name="Обычный 7 5 5 4 5 2" xfId="32180"/>
    <cellStyle name="Обычный 7 5 5 4 6" xfId="32181"/>
    <cellStyle name="Обычный 7 5 5 4 7" xfId="32182"/>
    <cellStyle name="Обычный 7 5 5 5" xfId="32183"/>
    <cellStyle name="Обычный 7 5 5 5 2" xfId="32184"/>
    <cellStyle name="Обычный 7 5 5 5 2 2" xfId="32185"/>
    <cellStyle name="Обычный 7 5 5 5 2 3" xfId="32186"/>
    <cellStyle name="Обычный 7 5 5 5 3" xfId="32187"/>
    <cellStyle name="Обычный 7 5 5 5 3 2" xfId="32188"/>
    <cellStyle name="Обычный 7 5 5 5 3 3" xfId="32189"/>
    <cellStyle name="Обычный 7 5 5 5 4" xfId="32190"/>
    <cellStyle name="Обычный 7 5 5 5 4 2" xfId="32191"/>
    <cellStyle name="Обычный 7 5 5 5 5" xfId="32192"/>
    <cellStyle name="Обычный 7 5 5 5 6" xfId="32193"/>
    <cellStyle name="Обычный 7 5 5 6" xfId="32194"/>
    <cellStyle name="Обычный 7 5 5 6 2" xfId="32195"/>
    <cellStyle name="Обычный 7 5 5 6 3" xfId="32196"/>
    <cellStyle name="Обычный 7 5 5 7" xfId="32197"/>
    <cellStyle name="Обычный 7 5 5 7 2" xfId="32198"/>
    <cellStyle name="Обычный 7 5 5 7 3" xfId="32199"/>
    <cellStyle name="Обычный 7 5 5 8" xfId="32200"/>
    <cellStyle name="Обычный 7 5 5 8 2" xfId="32201"/>
    <cellStyle name="Обычный 7 5 5 9" xfId="32202"/>
    <cellStyle name="Обычный 7 5 6" xfId="32203"/>
    <cellStyle name="Обычный 7 5 6 2" xfId="32204"/>
    <cellStyle name="Обычный 7 5 6 2 2" xfId="32205"/>
    <cellStyle name="Обычный 7 5 6 2 2 2" xfId="32206"/>
    <cellStyle name="Обычный 7 5 6 2 2 2 2" xfId="32207"/>
    <cellStyle name="Обычный 7 5 6 2 2 2 2 2" xfId="32208"/>
    <cellStyle name="Обычный 7 5 6 2 2 2 2 3" xfId="32209"/>
    <cellStyle name="Обычный 7 5 6 2 2 2 3" xfId="32210"/>
    <cellStyle name="Обычный 7 5 6 2 2 2 3 2" xfId="32211"/>
    <cellStyle name="Обычный 7 5 6 2 2 2 3 3" xfId="32212"/>
    <cellStyle name="Обычный 7 5 6 2 2 2 4" xfId="32213"/>
    <cellStyle name="Обычный 7 5 6 2 2 2 4 2" xfId="32214"/>
    <cellStyle name="Обычный 7 5 6 2 2 2 5" xfId="32215"/>
    <cellStyle name="Обычный 7 5 6 2 2 2 6" xfId="32216"/>
    <cellStyle name="Обычный 7 5 6 2 2 3" xfId="32217"/>
    <cellStyle name="Обычный 7 5 6 2 2 3 2" xfId="32218"/>
    <cellStyle name="Обычный 7 5 6 2 2 3 3" xfId="32219"/>
    <cellStyle name="Обычный 7 5 6 2 2 4" xfId="32220"/>
    <cellStyle name="Обычный 7 5 6 2 2 4 2" xfId="32221"/>
    <cellStyle name="Обычный 7 5 6 2 2 4 3" xfId="32222"/>
    <cellStyle name="Обычный 7 5 6 2 2 5" xfId="32223"/>
    <cellStyle name="Обычный 7 5 6 2 2 5 2" xfId="32224"/>
    <cellStyle name="Обычный 7 5 6 2 2 6" xfId="32225"/>
    <cellStyle name="Обычный 7 5 6 2 2 7" xfId="32226"/>
    <cellStyle name="Обычный 7 5 6 2 3" xfId="32227"/>
    <cellStyle name="Обычный 7 5 6 2 3 2" xfId="32228"/>
    <cellStyle name="Обычный 7 5 6 2 3 2 2" xfId="32229"/>
    <cellStyle name="Обычный 7 5 6 2 3 2 3" xfId="32230"/>
    <cellStyle name="Обычный 7 5 6 2 3 3" xfId="32231"/>
    <cellStyle name="Обычный 7 5 6 2 3 3 2" xfId="32232"/>
    <cellStyle name="Обычный 7 5 6 2 3 3 3" xfId="32233"/>
    <cellStyle name="Обычный 7 5 6 2 3 4" xfId="32234"/>
    <cellStyle name="Обычный 7 5 6 2 3 4 2" xfId="32235"/>
    <cellStyle name="Обычный 7 5 6 2 3 5" xfId="32236"/>
    <cellStyle name="Обычный 7 5 6 2 3 6" xfId="32237"/>
    <cellStyle name="Обычный 7 5 6 2 4" xfId="32238"/>
    <cellStyle name="Обычный 7 5 6 2 4 2" xfId="32239"/>
    <cellStyle name="Обычный 7 5 6 2 4 3" xfId="32240"/>
    <cellStyle name="Обычный 7 5 6 2 5" xfId="32241"/>
    <cellStyle name="Обычный 7 5 6 2 5 2" xfId="32242"/>
    <cellStyle name="Обычный 7 5 6 2 5 3" xfId="32243"/>
    <cellStyle name="Обычный 7 5 6 2 6" xfId="32244"/>
    <cellStyle name="Обычный 7 5 6 2 6 2" xfId="32245"/>
    <cellStyle name="Обычный 7 5 6 2 7" xfId="32246"/>
    <cellStyle name="Обычный 7 5 6 2 8" xfId="32247"/>
    <cellStyle name="Обычный 7 5 6 3" xfId="32248"/>
    <cellStyle name="Обычный 7 5 6 3 2" xfId="32249"/>
    <cellStyle name="Обычный 7 5 6 3 2 2" xfId="32250"/>
    <cellStyle name="Обычный 7 5 6 3 2 2 2" xfId="32251"/>
    <cellStyle name="Обычный 7 5 6 3 2 2 3" xfId="32252"/>
    <cellStyle name="Обычный 7 5 6 3 2 3" xfId="32253"/>
    <cellStyle name="Обычный 7 5 6 3 2 3 2" xfId="32254"/>
    <cellStyle name="Обычный 7 5 6 3 2 3 3" xfId="32255"/>
    <cellStyle name="Обычный 7 5 6 3 2 4" xfId="32256"/>
    <cellStyle name="Обычный 7 5 6 3 2 4 2" xfId="32257"/>
    <cellStyle name="Обычный 7 5 6 3 2 5" xfId="32258"/>
    <cellStyle name="Обычный 7 5 6 3 2 6" xfId="32259"/>
    <cellStyle name="Обычный 7 5 6 3 3" xfId="32260"/>
    <cellStyle name="Обычный 7 5 6 3 3 2" xfId="32261"/>
    <cellStyle name="Обычный 7 5 6 3 3 3" xfId="32262"/>
    <cellStyle name="Обычный 7 5 6 3 4" xfId="32263"/>
    <cellStyle name="Обычный 7 5 6 3 4 2" xfId="32264"/>
    <cellStyle name="Обычный 7 5 6 3 4 3" xfId="32265"/>
    <cellStyle name="Обычный 7 5 6 3 5" xfId="32266"/>
    <cellStyle name="Обычный 7 5 6 3 5 2" xfId="32267"/>
    <cellStyle name="Обычный 7 5 6 3 6" xfId="32268"/>
    <cellStyle name="Обычный 7 5 6 3 7" xfId="32269"/>
    <cellStyle name="Обычный 7 5 6 4" xfId="32270"/>
    <cellStyle name="Обычный 7 5 6 4 2" xfId="32271"/>
    <cellStyle name="Обычный 7 5 6 4 2 2" xfId="32272"/>
    <cellStyle name="Обычный 7 5 6 4 2 3" xfId="32273"/>
    <cellStyle name="Обычный 7 5 6 4 3" xfId="32274"/>
    <cellStyle name="Обычный 7 5 6 4 3 2" xfId="32275"/>
    <cellStyle name="Обычный 7 5 6 4 3 3" xfId="32276"/>
    <cellStyle name="Обычный 7 5 6 4 4" xfId="32277"/>
    <cellStyle name="Обычный 7 5 6 4 4 2" xfId="32278"/>
    <cellStyle name="Обычный 7 5 6 4 5" xfId="32279"/>
    <cellStyle name="Обычный 7 5 6 4 6" xfId="32280"/>
    <cellStyle name="Обычный 7 5 6 5" xfId="32281"/>
    <cellStyle name="Обычный 7 5 6 5 2" xfId="32282"/>
    <cellStyle name="Обычный 7 5 6 5 3" xfId="32283"/>
    <cellStyle name="Обычный 7 5 6 6" xfId="32284"/>
    <cellStyle name="Обычный 7 5 6 6 2" xfId="32285"/>
    <cellStyle name="Обычный 7 5 6 6 3" xfId="32286"/>
    <cellStyle name="Обычный 7 5 6 7" xfId="32287"/>
    <cellStyle name="Обычный 7 5 6 7 2" xfId="32288"/>
    <cellStyle name="Обычный 7 5 6 8" xfId="32289"/>
    <cellStyle name="Обычный 7 5 6 9" xfId="32290"/>
    <cellStyle name="Обычный 7 5 7" xfId="32291"/>
    <cellStyle name="Обычный 7 5 7 2" xfId="32292"/>
    <cellStyle name="Обычный 7 5 7 2 2" xfId="32293"/>
    <cellStyle name="Обычный 7 5 7 2 2 2" xfId="32294"/>
    <cellStyle name="Обычный 7 5 7 2 2 2 2" xfId="32295"/>
    <cellStyle name="Обычный 7 5 7 2 2 2 3" xfId="32296"/>
    <cellStyle name="Обычный 7 5 7 2 2 3" xfId="32297"/>
    <cellStyle name="Обычный 7 5 7 2 2 3 2" xfId="32298"/>
    <cellStyle name="Обычный 7 5 7 2 2 3 3" xfId="32299"/>
    <cellStyle name="Обычный 7 5 7 2 2 4" xfId="32300"/>
    <cellStyle name="Обычный 7 5 7 2 2 4 2" xfId="32301"/>
    <cellStyle name="Обычный 7 5 7 2 2 5" xfId="32302"/>
    <cellStyle name="Обычный 7 5 7 2 2 6" xfId="32303"/>
    <cellStyle name="Обычный 7 5 7 2 3" xfId="32304"/>
    <cellStyle name="Обычный 7 5 7 2 3 2" xfId="32305"/>
    <cellStyle name="Обычный 7 5 7 2 3 3" xfId="32306"/>
    <cellStyle name="Обычный 7 5 7 2 4" xfId="32307"/>
    <cellStyle name="Обычный 7 5 7 2 4 2" xfId="32308"/>
    <cellStyle name="Обычный 7 5 7 2 4 3" xfId="32309"/>
    <cellStyle name="Обычный 7 5 7 2 5" xfId="32310"/>
    <cellStyle name="Обычный 7 5 7 2 5 2" xfId="32311"/>
    <cellStyle name="Обычный 7 5 7 2 6" xfId="32312"/>
    <cellStyle name="Обычный 7 5 7 2 7" xfId="32313"/>
    <cellStyle name="Обычный 7 5 7 3" xfId="32314"/>
    <cellStyle name="Обычный 7 5 7 3 2" xfId="32315"/>
    <cellStyle name="Обычный 7 5 7 3 2 2" xfId="32316"/>
    <cellStyle name="Обычный 7 5 7 3 2 3" xfId="32317"/>
    <cellStyle name="Обычный 7 5 7 3 3" xfId="32318"/>
    <cellStyle name="Обычный 7 5 7 3 3 2" xfId="32319"/>
    <cellStyle name="Обычный 7 5 7 3 3 3" xfId="32320"/>
    <cellStyle name="Обычный 7 5 7 3 4" xfId="32321"/>
    <cellStyle name="Обычный 7 5 7 3 4 2" xfId="32322"/>
    <cellStyle name="Обычный 7 5 7 3 5" xfId="32323"/>
    <cellStyle name="Обычный 7 5 7 3 6" xfId="32324"/>
    <cellStyle name="Обычный 7 5 7 4" xfId="32325"/>
    <cellStyle name="Обычный 7 5 7 4 2" xfId="32326"/>
    <cellStyle name="Обычный 7 5 7 4 3" xfId="32327"/>
    <cellStyle name="Обычный 7 5 7 5" xfId="32328"/>
    <cellStyle name="Обычный 7 5 7 5 2" xfId="32329"/>
    <cellStyle name="Обычный 7 5 7 5 3" xfId="32330"/>
    <cellStyle name="Обычный 7 5 7 6" xfId="32331"/>
    <cellStyle name="Обычный 7 5 7 6 2" xfId="32332"/>
    <cellStyle name="Обычный 7 5 7 7" xfId="32333"/>
    <cellStyle name="Обычный 7 5 7 8" xfId="32334"/>
    <cellStyle name="Обычный 7 5 8" xfId="32335"/>
    <cellStyle name="Обычный 7 5 8 2" xfId="32336"/>
    <cellStyle name="Обычный 7 5 8 2 2" xfId="32337"/>
    <cellStyle name="Обычный 7 5 8 2 2 2" xfId="32338"/>
    <cellStyle name="Обычный 7 5 8 2 2 3" xfId="32339"/>
    <cellStyle name="Обычный 7 5 8 2 3" xfId="32340"/>
    <cellStyle name="Обычный 7 5 8 2 3 2" xfId="32341"/>
    <cellStyle name="Обычный 7 5 8 2 3 3" xfId="32342"/>
    <cellStyle name="Обычный 7 5 8 2 4" xfId="32343"/>
    <cellStyle name="Обычный 7 5 8 2 4 2" xfId="32344"/>
    <cellStyle name="Обычный 7 5 8 2 5" xfId="32345"/>
    <cellStyle name="Обычный 7 5 8 2 6" xfId="32346"/>
    <cellStyle name="Обычный 7 5 8 3" xfId="32347"/>
    <cellStyle name="Обычный 7 5 8 3 2" xfId="32348"/>
    <cellStyle name="Обычный 7 5 8 3 3" xfId="32349"/>
    <cellStyle name="Обычный 7 5 8 4" xfId="32350"/>
    <cellStyle name="Обычный 7 5 8 4 2" xfId="32351"/>
    <cellStyle name="Обычный 7 5 8 4 3" xfId="32352"/>
    <cellStyle name="Обычный 7 5 8 5" xfId="32353"/>
    <cellStyle name="Обычный 7 5 8 5 2" xfId="32354"/>
    <cellStyle name="Обычный 7 5 8 6" xfId="32355"/>
    <cellStyle name="Обычный 7 5 8 7" xfId="32356"/>
    <cellStyle name="Обычный 7 5 9" xfId="32357"/>
    <cellStyle name="Обычный 7 5 9 2" xfId="32358"/>
    <cellStyle name="Обычный 7 5 9 2 2" xfId="32359"/>
    <cellStyle name="Обычный 7 5 9 2 3" xfId="32360"/>
    <cellStyle name="Обычный 7 5 9 3" xfId="32361"/>
    <cellStyle name="Обычный 7 5 9 3 2" xfId="32362"/>
    <cellStyle name="Обычный 7 5 9 3 3" xfId="32363"/>
    <cellStyle name="Обычный 7 5 9 4" xfId="32364"/>
    <cellStyle name="Обычный 7 5 9 4 2" xfId="32365"/>
    <cellStyle name="Обычный 7 5 9 5" xfId="32366"/>
    <cellStyle name="Обычный 7 5 9 6" xfId="32367"/>
    <cellStyle name="Обычный 7 6" xfId="32368"/>
    <cellStyle name="Обычный 7 6 10" xfId="32369"/>
    <cellStyle name="Обычный 7 6 10 2" xfId="32370"/>
    <cellStyle name="Обычный 7 6 10 3" xfId="32371"/>
    <cellStyle name="Обычный 7 6 11" xfId="32372"/>
    <cellStyle name="Обычный 7 6 11 2" xfId="32373"/>
    <cellStyle name="Обычный 7 6 11 3" xfId="32374"/>
    <cellStyle name="Обычный 7 6 12" xfId="32375"/>
    <cellStyle name="Обычный 7 6 12 2" xfId="32376"/>
    <cellStyle name="Обычный 7 6 13" xfId="32377"/>
    <cellStyle name="Обычный 7 6 14" xfId="32378"/>
    <cellStyle name="Обычный 7 6 2" xfId="32379"/>
    <cellStyle name="Обычный 7 6 2 10" xfId="32380"/>
    <cellStyle name="Обычный 7 6 2 10 2" xfId="32381"/>
    <cellStyle name="Обычный 7 6 2 10 3" xfId="32382"/>
    <cellStyle name="Обычный 7 6 2 11" xfId="32383"/>
    <cellStyle name="Обычный 7 6 2 11 2" xfId="32384"/>
    <cellStyle name="Обычный 7 6 2 12" xfId="32385"/>
    <cellStyle name="Обычный 7 6 2 13" xfId="32386"/>
    <cellStyle name="Обычный 7 6 2 2" xfId="32387"/>
    <cellStyle name="Обычный 7 6 2 2 10" xfId="32388"/>
    <cellStyle name="Обычный 7 6 2 2 2" xfId="32389"/>
    <cellStyle name="Обычный 7 6 2 2 2 2" xfId="32390"/>
    <cellStyle name="Обычный 7 6 2 2 2 2 2" xfId="32391"/>
    <cellStyle name="Обычный 7 6 2 2 2 2 2 2" xfId="32392"/>
    <cellStyle name="Обычный 7 6 2 2 2 2 2 2 2" xfId="32393"/>
    <cellStyle name="Обычный 7 6 2 2 2 2 2 2 2 2" xfId="32394"/>
    <cellStyle name="Обычный 7 6 2 2 2 2 2 2 2 3" xfId="32395"/>
    <cellStyle name="Обычный 7 6 2 2 2 2 2 2 3" xfId="32396"/>
    <cellStyle name="Обычный 7 6 2 2 2 2 2 2 3 2" xfId="32397"/>
    <cellStyle name="Обычный 7 6 2 2 2 2 2 2 3 3" xfId="32398"/>
    <cellStyle name="Обычный 7 6 2 2 2 2 2 2 4" xfId="32399"/>
    <cellStyle name="Обычный 7 6 2 2 2 2 2 2 4 2" xfId="32400"/>
    <cellStyle name="Обычный 7 6 2 2 2 2 2 2 5" xfId="32401"/>
    <cellStyle name="Обычный 7 6 2 2 2 2 2 2 6" xfId="32402"/>
    <cellStyle name="Обычный 7 6 2 2 2 2 2 3" xfId="32403"/>
    <cellStyle name="Обычный 7 6 2 2 2 2 2 3 2" xfId="32404"/>
    <cellStyle name="Обычный 7 6 2 2 2 2 2 3 3" xfId="32405"/>
    <cellStyle name="Обычный 7 6 2 2 2 2 2 4" xfId="32406"/>
    <cellStyle name="Обычный 7 6 2 2 2 2 2 4 2" xfId="32407"/>
    <cellStyle name="Обычный 7 6 2 2 2 2 2 4 3" xfId="32408"/>
    <cellStyle name="Обычный 7 6 2 2 2 2 2 5" xfId="32409"/>
    <cellStyle name="Обычный 7 6 2 2 2 2 2 5 2" xfId="32410"/>
    <cellStyle name="Обычный 7 6 2 2 2 2 2 6" xfId="32411"/>
    <cellStyle name="Обычный 7 6 2 2 2 2 2 7" xfId="32412"/>
    <cellStyle name="Обычный 7 6 2 2 2 2 3" xfId="32413"/>
    <cellStyle name="Обычный 7 6 2 2 2 2 3 2" xfId="32414"/>
    <cellStyle name="Обычный 7 6 2 2 2 2 3 2 2" xfId="32415"/>
    <cellStyle name="Обычный 7 6 2 2 2 2 3 2 3" xfId="32416"/>
    <cellStyle name="Обычный 7 6 2 2 2 2 3 3" xfId="32417"/>
    <cellStyle name="Обычный 7 6 2 2 2 2 3 3 2" xfId="32418"/>
    <cellStyle name="Обычный 7 6 2 2 2 2 3 3 3" xfId="32419"/>
    <cellStyle name="Обычный 7 6 2 2 2 2 3 4" xfId="32420"/>
    <cellStyle name="Обычный 7 6 2 2 2 2 3 4 2" xfId="32421"/>
    <cellStyle name="Обычный 7 6 2 2 2 2 3 5" xfId="32422"/>
    <cellStyle name="Обычный 7 6 2 2 2 2 3 6" xfId="32423"/>
    <cellStyle name="Обычный 7 6 2 2 2 2 4" xfId="32424"/>
    <cellStyle name="Обычный 7 6 2 2 2 2 4 2" xfId="32425"/>
    <cellStyle name="Обычный 7 6 2 2 2 2 4 3" xfId="32426"/>
    <cellStyle name="Обычный 7 6 2 2 2 2 5" xfId="32427"/>
    <cellStyle name="Обычный 7 6 2 2 2 2 5 2" xfId="32428"/>
    <cellStyle name="Обычный 7 6 2 2 2 2 5 3" xfId="32429"/>
    <cellStyle name="Обычный 7 6 2 2 2 2 6" xfId="32430"/>
    <cellStyle name="Обычный 7 6 2 2 2 2 6 2" xfId="32431"/>
    <cellStyle name="Обычный 7 6 2 2 2 2 7" xfId="32432"/>
    <cellStyle name="Обычный 7 6 2 2 2 2 8" xfId="32433"/>
    <cellStyle name="Обычный 7 6 2 2 2 3" xfId="32434"/>
    <cellStyle name="Обычный 7 6 2 2 2 3 2" xfId="32435"/>
    <cellStyle name="Обычный 7 6 2 2 2 3 2 2" xfId="32436"/>
    <cellStyle name="Обычный 7 6 2 2 2 3 2 2 2" xfId="32437"/>
    <cellStyle name="Обычный 7 6 2 2 2 3 2 2 3" xfId="32438"/>
    <cellStyle name="Обычный 7 6 2 2 2 3 2 3" xfId="32439"/>
    <cellStyle name="Обычный 7 6 2 2 2 3 2 3 2" xfId="32440"/>
    <cellStyle name="Обычный 7 6 2 2 2 3 2 3 3" xfId="32441"/>
    <cellStyle name="Обычный 7 6 2 2 2 3 2 4" xfId="32442"/>
    <cellStyle name="Обычный 7 6 2 2 2 3 2 4 2" xfId="32443"/>
    <cellStyle name="Обычный 7 6 2 2 2 3 2 5" xfId="32444"/>
    <cellStyle name="Обычный 7 6 2 2 2 3 2 6" xfId="32445"/>
    <cellStyle name="Обычный 7 6 2 2 2 3 3" xfId="32446"/>
    <cellStyle name="Обычный 7 6 2 2 2 3 3 2" xfId="32447"/>
    <cellStyle name="Обычный 7 6 2 2 2 3 3 3" xfId="32448"/>
    <cellStyle name="Обычный 7 6 2 2 2 3 4" xfId="32449"/>
    <cellStyle name="Обычный 7 6 2 2 2 3 4 2" xfId="32450"/>
    <cellStyle name="Обычный 7 6 2 2 2 3 4 3" xfId="32451"/>
    <cellStyle name="Обычный 7 6 2 2 2 3 5" xfId="32452"/>
    <cellStyle name="Обычный 7 6 2 2 2 3 5 2" xfId="32453"/>
    <cellStyle name="Обычный 7 6 2 2 2 3 6" xfId="32454"/>
    <cellStyle name="Обычный 7 6 2 2 2 3 7" xfId="32455"/>
    <cellStyle name="Обычный 7 6 2 2 2 4" xfId="32456"/>
    <cellStyle name="Обычный 7 6 2 2 2 4 2" xfId="32457"/>
    <cellStyle name="Обычный 7 6 2 2 2 4 2 2" xfId="32458"/>
    <cellStyle name="Обычный 7 6 2 2 2 4 2 3" xfId="32459"/>
    <cellStyle name="Обычный 7 6 2 2 2 4 3" xfId="32460"/>
    <cellStyle name="Обычный 7 6 2 2 2 4 3 2" xfId="32461"/>
    <cellStyle name="Обычный 7 6 2 2 2 4 3 3" xfId="32462"/>
    <cellStyle name="Обычный 7 6 2 2 2 4 4" xfId="32463"/>
    <cellStyle name="Обычный 7 6 2 2 2 4 4 2" xfId="32464"/>
    <cellStyle name="Обычный 7 6 2 2 2 4 5" xfId="32465"/>
    <cellStyle name="Обычный 7 6 2 2 2 4 6" xfId="32466"/>
    <cellStyle name="Обычный 7 6 2 2 2 5" xfId="32467"/>
    <cellStyle name="Обычный 7 6 2 2 2 5 2" xfId="32468"/>
    <cellStyle name="Обычный 7 6 2 2 2 5 3" xfId="32469"/>
    <cellStyle name="Обычный 7 6 2 2 2 6" xfId="32470"/>
    <cellStyle name="Обычный 7 6 2 2 2 6 2" xfId="32471"/>
    <cellStyle name="Обычный 7 6 2 2 2 6 3" xfId="32472"/>
    <cellStyle name="Обычный 7 6 2 2 2 7" xfId="32473"/>
    <cellStyle name="Обычный 7 6 2 2 2 7 2" xfId="32474"/>
    <cellStyle name="Обычный 7 6 2 2 2 8" xfId="32475"/>
    <cellStyle name="Обычный 7 6 2 2 2 9" xfId="32476"/>
    <cellStyle name="Обычный 7 6 2 2 3" xfId="32477"/>
    <cellStyle name="Обычный 7 6 2 2 3 2" xfId="32478"/>
    <cellStyle name="Обычный 7 6 2 2 3 2 2" xfId="32479"/>
    <cellStyle name="Обычный 7 6 2 2 3 2 2 2" xfId="32480"/>
    <cellStyle name="Обычный 7 6 2 2 3 2 2 2 2" xfId="32481"/>
    <cellStyle name="Обычный 7 6 2 2 3 2 2 2 3" xfId="32482"/>
    <cellStyle name="Обычный 7 6 2 2 3 2 2 3" xfId="32483"/>
    <cellStyle name="Обычный 7 6 2 2 3 2 2 3 2" xfId="32484"/>
    <cellStyle name="Обычный 7 6 2 2 3 2 2 3 3" xfId="32485"/>
    <cellStyle name="Обычный 7 6 2 2 3 2 2 4" xfId="32486"/>
    <cellStyle name="Обычный 7 6 2 2 3 2 2 4 2" xfId="32487"/>
    <cellStyle name="Обычный 7 6 2 2 3 2 2 5" xfId="32488"/>
    <cellStyle name="Обычный 7 6 2 2 3 2 2 6" xfId="32489"/>
    <cellStyle name="Обычный 7 6 2 2 3 2 3" xfId="32490"/>
    <cellStyle name="Обычный 7 6 2 2 3 2 3 2" xfId="32491"/>
    <cellStyle name="Обычный 7 6 2 2 3 2 3 3" xfId="32492"/>
    <cellStyle name="Обычный 7 6 2 2 3 2 4" xfId="32493"/>
    <cellStyle name="Обычный 7 6 2 2 3 2 4 2" xfId="32494"/>
    <cellStyle name="Обычный 7 6 2 2 3 2 4 3" xfId="32495"/>
    <cellStyle name="Обычный 7 6 2 2 3 2 5" xfId="32496"/>
    <cellStyle name="Обычный 7 6 2 2 3 2 5 2" xfId="32497"/>
    <cellStyle name="Обычный 7 6 2 2 3 2 6" xfId="32498"/>
    <cellStyle name="Обычный 7 6 2 2 3 2 7" xfId="32499"/>
    <cellStyle name="Обычный 7 6 2 2 3 3" xfId="32500"/>
    <cellStyle name="Обычный 7 6 2 2 3 3 2" xfId="32501"/>
    <cellStyle name="Обычный 7 6 2 2 3 3 2 2" xfId="32502"/>
    <cellStyle name="Обычный 7 6 2 2 3 3 2 3" xfId="32503"/>
    <cellStyle name="Обычный 7 6 2 2 3 3 3" xfId="32504"/>
    <cellStyle name="Обычный 7 6 2 2 3 3 3 2" xfId="32505"/>
    <cellStyle name="Обычный 7 6 2 2 3 3 3 3" xfId="32506"/>
    <cellStyle name="Обычный 7 6 2 2 3 3 4" xfId="32507"/>
    <cellStyle name="Обычный 7 6 2 2 3 3 4 2" xfId="32508"/>
    <cellStyle name="Обычный 7 6 2 2 3 3 5" xfId="32509"/>
    <cellStyle name="Обычный 7 6 2 2 3 3 6" xfId="32510"/>
    <cellStyle name="Обычный 7 6 2 2 3 4" xfId="32511"/>
    <cellStyle name="Обычный 7 6 2 2 3 4 2" xfId="32512"/>
    <cellStyle name="Обычный 7 6 2 2 3 4 3" xfId="32513"/>
    <cellStyle name="Обычный 7 6 2 2 3 5" xfId="32514"/>
    <cellStyle name="Обычный 7 6 2 2 3 5 2" xfId="32515"/>
    <cellStyle name="Обычный 7 6 2 2 3 5 3" xfId="32516"/>
    <cellStyle name="Обычный 7 6 2 2 3 6" xfId="32517"/>
    <cellStyle name="Обычный 7 6 2 2 3 6 2" xfId="32518"/>
    <cellStyle name="Обычный 7 6 2 2 3 7" xfId="32519"/>
    <cellStyle name="Обычный 7 6 2 2 3 8" xfId="32520"/>
    <cellStyle name="Обычный 7 6 2 2 4" xfId="32521"/>
    <cellStyle name="Обычный 7 6 2 2 4 2" xfId="32522"/>
    <cellStyle name="Обычный 7 6 2 2 4 2 2" xfId="32523"/>
    <cellStyle name="Обычный 7 6 2 2 4 2 2 2" xfId="32524"/>
    <cellStyle name="Обычный 7 6 2 2 4 2 2 3" xfId="32525"/>
    <cellStyle name="Обычный 7 6 2 2 4 2 3" xfId="32526"/>
    <cellStyle name="Обычный 7 6 2 2 4 2 3 2" xfId="32527"/>
    <cellStyle name="Обычный 7 6 2 2 4 2 3 3" xfId="32528"/>
    <cellStyle name="Обычный 7 6 2 2 4 2 4" xfId="32529"/>
    <cellStyle name="Обычный 7 6 2 2 4 2 4 2" xfId="32530"/>
    <cellStyle name="Обычный 7 6 2 2 4 2 5" xfId="32531"/>
    <cellStyle name="Обычный 7 6 2 2 4 2 6" xfId="32532"/>
    <cellStyle name="Обычный 7 6 2 2 4 3" xfId="32533"/>
    <cellStyle name="Обычный 7 6 2 2 4 3 2" xfId="32534"/>
    <cellStyle name="Обычный 7 6 2 2 4 3 3" xfId="32535"/>
    <cellStyle name="Обычный 7 6 2 2 4 4" xfId="32536"/>
    <cellStyle name="Обычный 7 6 2 2 4 4 2" xfId="32537"/>
    <cellStyle name="Обычный 7 6 2 2 4 4 3" xfId="32538"/>
    <cellStyle name="Обычный 7 6 2 2 4 5" xfId="32539"/>
    <cellStyle name="Обычный 7 6 2 2 4 5 2" xfId="32540"/>
    <cellStyle name="Обычный 7 6 2 2 4 6" xfId="32541"/>
    <cellStyle name="Обычный 7 6 2 2 4 7" xfId="32542"/>
    <cellStyle name="Обычный 7 6 2 2 5" xfId="32543"/>
    <cellStyle name="Обычный 7 6 2 2 5 2" xfId="32544"/>
    <cellStyle name="Обычный 7 6 2 2 5 2 2" xfId="32545"/>
    <cellStyle name="Обычный 7 6 2 2 5 2 3" xfId="32546"/>
    <cellStyle name="Обычный 7 6 2 2 5 3" xfId="32547"/>
    <cellStyle name="Обычный 7 6 2 2 5 3 2" xfId="32548"/>
    <cellStyle name="Обычный 7 6 2 2 5 3 3" xfId="32549"/>
    <cellStyle name="Обычный 7 6 2 2 5 4" xfId="32550"/>
    <cellStyle name="Обычный 7 6 2 2 5 4 2" xfId="32551"/>
    <cellStyle name="Обычный 7 6 2 2 5 5" xfId="32552"/>
    <cellStyle name="Обычный 7 6 2 2 5 6" xfId="32553"/>
    <cellStyle name="Обычный 7 6 2 2 6" xfId="32554"/>
    <cellStyle name="Обычный 7 6 2 2 6 2" xfId="32555"/>
    <cellStyle name="Обычный 7 6 2 2 6 3" xfId="32556"/>
    <cellStyle name="Обычный 7 6 2 2 7" xfId="32557"/>
    <cellStyle name="Обычный 7 6 2 2 7 2" xfId="32558"/>
    <cellStyle name="Обычный 7 6 2 2 7 3" xfId="32559"/>
    <cellStyle name="Обычный 7 6 2 2 8" xfId="32560"/>
    <cellStyle name="Обычный 7 6 2 2 8 2" xfId="32561"/>
    <cellStyle name="Обычный 7 6 2 2 9" xfId="32562"/>
    <cellStyle name="Обычный 7 6 2 3" xfId="32563"/>
    <cellStyle name="Обычный 7 6 2 3 10" xfId="32564"/>
    <cellStyle name="Обычный 7 6 2 3 2" xfId="32565"/>
    <cellStyle name="Обычный 7 6 2 3 2 2" xfId="32566"/>
    <cellStyle name="Обычный 7 6 2 3 2 2 2" xfId="32567"/>
    <cellStyle name="Обычный 7 6 2 3 2 2 2 2" xfId="32568"/>
    <cellStyle name="Обычный 7 6 2 3 2 2 2 2 2" xfId="32569"/>
    <cellStyle name="Обычный 7 6 2 3 2 2 2 2 2 2" xfId="32570"/>
    <cellStyle name="Обычный 7 6 2 3 2 2 2 2 2 3" xfId="32571"/>
    <cellStyle name="Обычный 7 6 2 3 2 2 2 2 3" xfId="32572"/>
    <cellStyle name="Обычный 7 6 2 3 2 2 2 2 3 2" xfId="32573"/>
    <cellStyle name="Обычный 7 6 2 3 2 2 2 2 3 3" xfId="32574"/>
    <cellStyle name="Обычный 7 6 2 3 2 2 2 2 4" xfId="32575"/>
    <cellStyle name="Обычный 7 6 2 3 2 2 2 2 4 2" xfId="32576"/>
    <cellStyle name="Обычный 7 6 2 3 2 2 2 2 5" xfId="32577"/>
    <cellStyle name="Обычный 7 6 2 3 2 2 2 2 6" xfId="32578"/>
    <cellStyle name="Обычный 7 6 2 3 2 2 2 3" xfId="32579"/>
    <cellStyle name="Обычный 7 6 2 3 2 2 2 3 2" xfId="32580"/>
    <cellStyle name="Обычный 7 6 2 3 2 2 2 3 3" xfId="32581"/>
    <cellStyle name="Обычный 7 6 2 3 2 2 2 4" xfId="32582"/>
    <cellStyle name="Обычный 7 6 2 3 2 2 2 4 2" xfId="32583"/>
    <cellStyle name="Обычный 7 6 2 3 2 2 2 4 3" xfId="32584"/>
    <cellStyle name="Обычный 7 6 2 3 2 2 2 5" xfId="32585"/>
    <cellStyle name="Обычный 7 6 2 3 2 2 2 5 2" xfId="32586"/>
    <cellStyle name="Обычный 7 6 2 3 2 2 2 6" xfId="32587"/>
    <cellStyle name="Обычный 7 6 2 3 2 2 2 7" xfId="32588"/>
    <cellStyle name="Обычный 7 6 2 3 2 2 3" xfId="32589"/>
    <cellStyle name="Обычный 7 6 2 3 2 2 3 2" xfId="32590"/>
    <cellStyle name="Обычный 7 6 2 3 2 2 3 2 2" xfId="32591"/>
    <cellStyle name="Обычный 7 6 2 3 2 2 3 2 3" xfId="32592"/>
    <cellStyle name="Обычный 7 6 2 3 2 2 3 3" xfId="32593"/>
    <cellStyle name="Обычный 7 6 2 3 2 2 3 3 2" xfId="32594"/>
    <cellStyle name="Обычный 7 6 2 3 2 2 3 3 3" xfId="32595"/>
    <cellStyle name="Обычный 7 6 2 3 2 2 3 4" xfId="32596"/>
    <cellStyle name="Обычный 7 6 2 3 2 2 3 4 2" xfId="32597"/>
    <cellStyle name="Обычный 7 6 2 3 2 2 3 5" xfId="32598"/>
    <cellStyle name="Обычный 7 6 2 3 2 2 3 6" xfId="32599"/>
    <cellStyle name="Обычный 7 6 2 3 2 2 4" xfId="32600"/>
    <cellStyle name="Обычный 7 6 2 3 2 2 4 2" xfId="32601"/>
    <cellStyle name="Обычный 7 6 2 3 2 2 4 3" xfId="32602"/>
    <cellStyle name="Обычный 7 6 2 3 2 2 5" xfId="32603"/>
    <cellStyle name="Обычный 7 6 2 3 2 2 5 2" xfId="32604"/>
    <cellStyle name="Обычный 7 6 2 3 2 2 5 3" xfId="32605"/>
    <cellStyle name="Обычный 7 6 2 3 2 2 6" xfId="32606"/>
    <cellStyle name="Обычный 7 6 2 3 2 2 6 2" xfId="32607"/>
    <cellStyle name="Обычный 7 6 2 3 2 2 7" xfId="32608"/>
    <cellStyle name="Обычный 7 6 2 3 2 2 8" xfId="32609"/>
    <cellStyle name="Обычный 7 6 2 3 2 3" xfId="32610"/>
    <cellStyle name="Обычный 7 6 2 3 2 3 2" xfId="32611"/>
    <cellStyle name="Обычный 7 6 2 3 2 3 2 2" xfId="32612"/>
    <cellStyle name="Обычный 7 6 2 3 2 3 2 2 2" xfId="32613"/>
    <cellStyle name="Обычный 7 6 2 3 2 3 2 2 3" xfId="32614"/>
    <cellStyle name="Обычный 7 6 2 3 2 3 2 3" xfId="32615"/>
    <cellStyle name="Обычный 7 6 2 3 2 3 2 3 2" xfId="32616"/>
    <cellStyle name="Обычный 7 6 2 3 2 3 2 3 3" xfId="32617"/>
    <cellStyle name="Обычный 7 6 2 3 2 3 2 4" xfId="32618"/>
    <cellStyle name="Обычный 7 6 2 3 2 3 2 4 2" xfId="32619"/>
    <cellStyle name="Обычный 7 6 2 3 2 3 2 5" xfId="32620"/>
    <cellStyle name="Обычный 7 6 2 3 2 3 2 6" xfId="32621"/>
    <cellStyle name="Обычный 7 6 2 3 2 3 3" xfId="32622"/>
    <cellStyle name="Обычный 7 6 2 3 2 3 3 2" xfId="32623"/>
    <cellStyle name="Обычный 7 6 2 3 2 3 3 3" xfId="32624"/>
    <cellStyle name="Обычный 7 6 2 3 2 3 4" xfId="32625"/>
    <cellStyle name="Обычный 7 6 2 3 2 3 4 2" xfId="32626"/>
    <cellStyle name="Обычный 7 6 2 3 2 3 4 3" xfId="32627"/>
    <cellStyle name="Обычный 7 6 2 3 2 3 5" xfId="32628"/>
    <cellStyle name="Обычный 7 6 2 3 2 3 5 2" xfId="32629"/>
    <cellStyle name="Обычный 7 6 2 3 2 3 6" xfId="32630"/>
    <cellStyle name="Обычный 7 6 2 3 2 3 7" xfId="32631"/>
    <cellStyle name="Обычный 7 6 2 3 2 4" xfId="32632"/>
    <cellStyle name="Обычный 7 6 2 3 2 4 2" xfId="32633"/>
    <cellStyle name="Обычный 7 6 2 3 2 4 2 2" xfId="32634"/>
    <cellStyle name="Обычный 7 6 2 3 2 4 2 3" xfId="32635"/>
    <cellStyle name="Обычный 7 6 2 3 2 4 3" xfId="32636"/>
    <cellStyle name="Обычный 7 6 2 3 2 4 3 2" xfId="32637"/>
    <cellStyle name="Обычный 7 6 2 3 2 4 3 3" xfId="32638"/>
    <cellStyle name="Обычный 7 6 2 3 2 4 4" xfId="32639"/>
    <cellStyle name="Обычный 7 6 2 3 2 4 4 2" xfId="32640"/>
    <cellStyle name="Обычный 7 6 2 3 2 4 5" xfId="32641"/>
    <cellStyle name="Обычный 7 6 2 3 2 4 6" xfId="32642"/>
    <cellStyle name="Обычный 7 6 2 3 2 5" xfId="32643"/>
    <cellStyle name="Обычный 7 6 2 3 2 5 2" xfId="32644"/>
    <cellStyle name="Обычный 7 6 2 3 2 5 3" xfId="32645"/>
    <cellStyle name="Обычный 7 6 2 3 2 6" xfId="32646"/>
    <cellStyle name="Обычный 7 6 2 3 2 6 2" xfId="32647"/>
    <cellStyle name="Обычный 7 6 2 3 2 6 3" xfId="32648"/>
    <cellStyle name="Обычный 7 6 2 3 2 7" xfId="32649"/>
    <cellStyle name="Обычный 7 6 2 3 2 7 2" xfId="32650"/>
    <cellStyle name="Обычный 7 6 2 3 2 8" xfId="32651"/>
    <cellStyle name="Обычный 7 6 2 3 2 9" xfId="32652"/>
    <cellStyle name="Обычный 7 6 2 3 3" xfId="32653"/>
    <cellStyle name="Обычный 7 6 2 3 3 2" xfId="32654"/>
    <cellStyle name="Обычный 7 6 2 3 3 2 2" xfId="32655"/>
    <cellStyle name="Обычный 7 6 2 3 3 2 2 2" xfId="32656"/>
    <cellStyle name="Обычный 7 6 2 3 3 2 2 2 2" xfId="32657"/>
    <cellStyle name="Обычный 7 6 2 3 3 2 2 2 3" xfId="32658"/>
    <cellStyle name="Обычный 7 6 2 3 3 2 2 3" xfId="32659"/>
    <cellStyle name="Обычный 7 6 2 3 3 2 2 3 2" xfId="32660"/>
    <cellStyle name="Обычный 7 6 2 3 3 2 2 3 3" xfId="32661"/>
    <cellStyle name="Обычный 7 6 2 3 3 2 2 4" xfId="32662"/>
    <cellStyle name="Обычный 7 6 2 3 3 2 2 4 2" xfId="32663"/>
    <cellStyle name="Обычный 7 6 2 3 3 2 2 5" xfId="32664"/>
    <cellStyle name="Обычный 7 6 2 3 3 2 2 6" xfId="32665"/>
    <cellStyle name="Обычный 7 6 2 3 3 2 3" xfId="32666"/>
    <cellStyle name="Обычный 7 6 2 3 3 2 3 2" xfId="32667"/>
    <cellStyle name="Обычный 7 6 2 3 3 2 3 3" xfId="32668"/>
    <cellStyle name="Обычный 7 6 2 3 3 2 4" xfId="32669"/>
    <cellStyle name="Обычный 7 6 2 3 3 2 4 2" xfId="32670"/>
    <cellStyle name="Обычный 7 6 2 3 3 2 4 3" xfId="32671"/>
    <cellStyle name="Обычный 7 6 2 3 3 2 5" xfId="32672"/>
    <cellStyle name="Обычный 7 6 2 3 3 2 5 2" xfId="32673"/>
    <cellStyle name="Обычный 7 6 2 3 3 2 6" xfId="32674"/>
    <cellStyle name="Обычный 7 6 2 3 3 2 7" xfId="32675"/>
    <cellStyle name="Обычный 7 6 2 3 3 3" xfId="32676"/>
    <cellStyle name="Обычный 7 6 2 3 3 3 2" xfId="32677"/>
    <cellStyle name="Обычный 7 6 2 3 3 3 2 2" xfId="32678"/>
    <cellStyle name="Обычный 7 6 2 3 3 3 2 3" xfId="32679"/>
    <cellStyle name="Обычный 7 6 2 3 3 3 3" xfId="32680"/>
    <cellStyle name="Обычный 7 6 2 3 3 3 3 2" xfId="32681"/>
    <cellStyle name="Обычный 7 6 2 3 3 3 3 3" xfId="32682"/>
    <cellStyle name="Обычный 7 6 2 3 3 3 4" xfId="32683"/>
    <cellStyle name="Обычный 7 6 2 3 3 3 4 2" xfId="32684"/>
    <cellStyle name="Обычный 7 6 2 3 3 3 5" xfId="32685"/>
    <cellStyle name="Обычный 7 6 2 3 3 3 6" xfId="32686"/>
    <cellStyle name="Обычный 7 6 2 3 3 4" xfId="32687"/>
    <cellStyle name="Обычный 7 6 2 3 3 4 2" xfId="32688"/>
    <cellStyle name="Обычный 7 6 2 3 3 4 3" xfId="32689"/>
    <cellStyle name="Обычный 7 6 2 3 3 5" xfId="32690"/>
    <cellStyle name="Обычный 7 6 2 3 3 5 2" xfId="32691"/>
    <cellStyle name="Обычный 7 6 2 3 3 5 3" xfId="32692"/>
    <cellStyle name="Обычный 7 6 2 3 3 6" xfId="32693"/>
    <cellStyle name="Обычный 7 6 2 3 3 6 2" xfId="32694"/>
    <cellStyle name="Обычный 7 6 2 3 3 7" xfId="32695"/>
    <cellStyle name="Обычный 7 6 2 3 3 8" xfId="32696"/>
    <cellStyle name="Обычный 7 6 2 3 4" xfId="32697"/>
    <cellStyle name="Обычный 7 6 2 3 4 2" xfId="32698"/>
    <cellStyle name="Обычный 7 6 2 3 4 2 2" xfId="32699"/>
    <cellStyle name="Обычный 7 6 2 3 4 2 2 2" xfId="32700"/>
    <cellStyle name="Обычный 7 6 2 3 4 2 2 3" xfId="32701"/>
    <cellStyle name="Обычный 7 6 2 3 4 2 3" xfId="32702"/>
    <cellStyle name="Обычный 7 6 2 3 4 2 3 2" xfId="32703"/>
    <cellStyle name="Обычный 7 6 2 3 4 2 3 3" xfId="32704"/>
    <cellStyle name="Обычный 7 6 2 3 4 2 4" xfId="32705"/>
    <cellStyle name="Обычный 7 6 2 3 4 2 4 2" xfId="32706"/>
    <cellStyle name="Обычный 7 6 2 3 4 2 5" xfId="32707"/>
    <cellStyle name="Обычный 7 6 2 3 4 2 6" xfId="32708"/>
    <cellStyle name="Обычный 7 6 2 3 4 3" xfId="32709"/>
    <cellStyle name="Обычный 7 6 2 3 4 3 2" xfId="32710"/>
    <cellStyle name="Обычный 7 6 2 3 4 3 3" xfId="32711"/>
    <cellStyle name="Обычный 7 6 2 3 4 4" xfId="32712"/>
    <cellStyle name="Обычный 7 6 2 3 4 4 2" xfId="32713"/>
    <cellStyle name="Обычный 7 6 2 3 4 4 3" xfId="32714"/>
    <cellStyle name="Обычный 7 6 2 3 4 5" xfId="32715"/>
    <cellStyle name="Обычный 7 6 2 3 4 5 2" xfId="32716"/>
    <cellStyle name="Обычный 7 6 2 3 4 6" xfId="32717"/>
    <cellStyle name="Обычный 7 6 2 3 4 7" xfId="32718"/>
    <cellStyle name="Обычный 7 6 2 3 5" xfId="32719"/>
    <cellStyle name="Обычный 7 6 2 3 5 2" xfId="32720"/>
    <cellStyle name="Обычный 7 6 2 3 5 2 2" xfId="32721"/>
    <cellStyle name="Обычный 7 6 2 3 5 2 3" xfId="32722"/>
    <cellStyle name="Обычный 7 6 2 3 5 3" xfId="32723"/>
    <cellStyle name="Обычный 7 6 2 3 5 3 2" xfId="32724"/>
    <cellStyle name="Обычный 7 6 2 3 5 3 3" xfId="32725"/>
    <cellStyle name="Обычный 7 6 2 3 5 4" xfId="32726"/>
    <cellStyle name="Обычный 7 6 2 3 5 4 2" xfId="32727"/>
    <cellStyle name="Обычный 7 6 2 3 5 5" xfId="32728"/>
    <cellStyle name="Обычный 7 6 2 3 5 6" xfId="32729"/>
    <cellStyle name="Обычный 7 6 2 3 6" xfId="32730"/>
    <cellStyle name="Обычный 7 6 2 3 6 2" xfId="32731"/>
    <cellStyle name="Обычный 7 6 2 3 6 3" xfId="32732"/>
    <cellStyle name="Обычный 7 6 2 3 7" xfId="32733"/>
    <cellStyle name="Обычный 7 6 2 3 7 2" xfId="32734"/>
    <cellStyle name="Обычный 7 6 2 3 7 3" xfId="32735"/>
    <cellStyle name="Обычный 7 6 2 3 8" xfId="32736"/>
    <cellStyle name="Обычный 7 6 2 3 8 2" xfId="32737"/>
    <cellStyle name="Обычный 7 6 2 3 9" xfId="32738"/>
    <cellStyle name="Обычный 7 6 2 4" xfId="32739"/>
    <cellStyle name="Обычный 7 6 2 4 10" xfId="32740"/>
    <cellStyle name="Обычный 7 6 2 4 2" xfId="32741"/>
    <cellStyle name="Обычный 7 6 2 4 2 2" xfId="32742"/>
    <cellStyle name="Обычный 7 6 2 4 2 2 2" xfId="32743"/>
    <cellStyle name="Обычный 7 6 2 4 2 2 2 2" xfId="32744"/>
    <cellStyle name="Обычный 7 6 2 4 2 2 2 2 2" xfId="32745"/>
    <cellStyle name="Обычный 7 6 2 4 2 2 2 2 2 2" xfId="32746"/>
    <cellStyle name="Обычный 7 6 2 4 2 2 2 2 2 3" xfId="32747"/>
    <cellStyle name="Обычный 7 6 2 4 2 2 2 2 3" xfId="32748"/>
    <cellStyle name="Обычный 7 6 2 4 2 2 2 2 3 2" xfId="32749"/>
    <cellStyle name="Обычный 7 6 2 4 2 2 2 2 3 3" xfId="32750"/>
    <cellStyle name="Обычный 7 6 2 4 2 2 2 2 4" xfId="32751"/>
    <cellStyle name="Обычный 7 6 2 4 2 2 2 2 4 2" xfId="32752"/>
    <cellStyle name="Обычный 7 6 2 4 2 2 2 2 5" xfId="32753"/>
    <cellStyle name="Обычный 7 6 2 4 2 2 2 2 6" xfId="32754"/>
    <cellStyle name="Обычный 7 6 2 4 2 2 2 3" xfId="32755"/>
    <cellStyle name="Обычный 7 6 2 4 2 2 2 3 2" xfId="32756"/>
    <cellStyle name="Обычный 7 6 2 4 2 2 2 3 3" xfId="32757"/>
    <cellStyle name="Обычный 7 6 2 4 2 2 2 4" xfId="32758"/>
    <cellStyle name="Обычный 7 6 2 4 2 2 2 4 2" xfId="32759"/>
    <cellStyle name="Обычный 7 6 2 4 2 2 2 4 3" xfId="32760"/>
    <cellStyle name="Обычный 7 6 2 4 2 2 2 5" xfId="32761"/>
    <cellStyle name="Обычный 7 6 2 4 2 2 2 5 2" xfId="32762"/>
    <cellStyle name="Обычный 7 6 2 4 2 2 2 6" xfId="32763"/>
    <cellStyle name="Обычный 7 6 2 4 2 2 2 7" xfId="32764"/>
    <cellStyle name="Обычный 7 6 2 4 2 2 3" xfId="32765"/>
    <cellStyle name="Обычный 7 6 2 4 2 2 3 2" xfId="32766"/>
    <cellStyle name="Обычный 7 6 2 4 2 2 3 2 2" xfId="32767"/>
    <cellStyle name="Обычный 7 6 2 4 2 2 3 2 3" xfId="32768"/>
    <cellStyle name="Обычный 7 6 2 4 2 2 3 3" xfId="32769"/>
    <cellStyle name="Обычный 7 6 2 4 2 2 3 3 2" xfId="32770"/>
    <cellStyle name="Обычный 7 6 2 4 2 2 3 3 3" xfId="32771"/>
    <cellStyle name="Обычный 7 6 2 4 2 2 3 4" xfId="32772"/>
    <cellStyle name="Обычный 7 6 2 4 2 2 3 4 2" xfId="32773"/>
    <cellStyle name="Обычный 7 6 2 4 2 2 3 5" xfId="32774"/>
    <cellStyle name="Обычный 7 6 2 4 2 2 3 6" xfId="32775"/>
    <cellStyle name="Обычный 7 6 2 4 2 2 4" xfId="32776"/>
    <cellStyle name="Обычный 7 6 2 4 2 2 4 2" xfId="32777"/>
    <cellStyle name="Обычный 7 6 2 4 2 2 4 3" xfId="32778"/>
    <cellStyle name="Обычный 7 6 2 4 2 2 5" xfId="32779"/>
    <cellStyle name="Обычный 7 6 2 4 2 2 5 2" xfId="32780"/>
    <cellStyle name="Обычный 7 6 2 4 2 2 5 3" xfId="32781"/>
    <cellStyle name="Обычный 7 6 2 4 2 2 6" xfId="32782"/>
    <cellStyle name="Обычный 7 6 2 4 2 2 6 2" xfId="32783"/>
    <cellStyle name="Обычный 7 6 2 4 2 2 7" xfId="32784"/>
    <cellStyle name="Обычный 7 6 2 4 2 2 8" xfId="32785"/>
    <cellStyle name="Обычный 7 6 2 4 2 3" xfId="32786"/>
    <cellStyle name="Обычный 7 6 2 4 2 3 2" xfId="32787"/>
    <cellStyle name="Обычный 7 6 2 4 2 3 2 2" xfId="32788"/>
    <cellStyle name="Обычный 7 6 2 4 2 3 2 2 2" xfId="32789"/>
    <cellStyle name="Обычный 7 6 2 4 2 3 2 2 3" xfId="32790"/>
    <cellStyle name="Обычный 7 6 2 4 2 3 2 3" xfId="32791"/>
    <cellStyle name="Обычный 7 6 2 4 2 3 2 3 2" xfId="32792"/>
    <cellStyle name="Обычный 7 6 2 4 2 3 2 3 3" xfId="32793"/>
    <cellStyle name="Обычный 7 6 2 4 2 3 2 4" xfId="32794"/>
    <cellStyle name="Обычный 7 6 2 4 2 3 2 4 2" xfId="32795"/>
    <cellStyle name="Обычный 7 6 2 4 2 3 2 5" xfId="32796"/>
    <cellStyle name="Обычный 7 6 2 4 2 3 2 6" xfId="32797"/>
    <cellStyle name="Обычный 7 6 2 4 2 3 3" xfId="32798"/>
    <cellStyle name="Обычный 7 6 2 4 2 3 3 2" xfId="32799"/>
    <cellStyle name="Обычный 7 6 2 4 2 3 3 3" xfId="32800"/>
    <cellStyle name="Обычный 7 6 2 4 2 3 4" xfId="32801"/>
    <cellStyle name="Обычный 7 6 2 4 2 3 4 2" xfId="32802"/>
    <cellStyle name="Обычный 7 6 2 4 2 3 4 3" xfId="32803"/>
    <cellStyle name="Обычный 7 6 2 4 2 3 5" xfId="32804"/>
    <cellStyle name="Обычный 7 6 2 4 2 3 5 2" xfId="32805"/>
    <cellStyle name="Обычный 7 6 2 4 2 3 6" xfId="32806"/>
    <cellStyle name="Обычный 7 6 2 4 2 3 7" xfId="32807"/>
    <cellStyle name="Обычный 7 6 2 4 2 4" xfId="32808"/>
    <cellStyle name="Обычный 7 6 2 4 2 4 2" xfId="32809"/>
    <cellStyle name="Обычный 7 6 2 4 2 4 2 2" xfId="32810"/>
    <cellStyle name="Обычный 7 6 2 4 2 4 2 3" xfId="32811"/>
    <cellStyle name="Обычный 7 6 2 4 2 4 3" xfId="32812"/>
    <cellStyle name="Обычный 7 6 2 4 2 4 3 2" xfId="32813"/>
    <cellStyle name="Обычный 7 6 2 4 2 4 3 3" xfId="32814"/>
    <cellStyle name="Обычный 7 6 2 4 2 4 4" xfId="32815"/>
    <cellStyle name="Обычный 7 6 2 4 2 4 4 2" xfId="32816"/>
    <cellStyle name="Обычный 7 6 2 4 2 4 5" xfId="32817"/>
    <cellStyle name="Обычный 7 6 2 4 2 4 6" xfId="32818"/>
    <cellStyle name="Обычный 7 6 2 4 2 5" xfId="32819"/>
    <cellStyle name="Обычный 7 6 2 4 2 5 2" xfId="32820"/>
    <cellStyle name="Обычный 7 6 2 4 2 5 3" xfId="32821"/>
    <cellStyle name="Обычный 7 6 2 4 2 6" xfId="32822"/>
    <cellStyle name="Обычный 7 6 2 4 2 6 2" xfId="32823"/>
    <cellStyle name="Обычный 7 6 2 4 2 6 3" xfId="32824"/>
    <cellStyle name="Обычный 7 6 2 4 2 7" xfId="32825"/>
    <cellStyle name="Обычный 7 6 2 4 2 7 2" xfId="32826"/>
    <cellStyle name="Обычный 7 6 2 4 2 8" xfId="32827"/>
    <cellStyle name="Обычный 7 6 2 4 2 9" xfId="32828"/>
    <cellStyle name="Обычный 7 6 2 4 3" xfId="32829"/>
    <cellStyle name="Обычный 7 6 2 4 3 2" xfId="32830"/>
    <cellStyle name="Обычный 7 6 2 4 3 2 2" xfId="32831"/>
    <cellStyle name="Обычный 7 6 2 4 3 2 2 2" xfId="32832"/>
    <cellStyle name="Обычный 7 6 2 4 3 2 2 2 2" xfId="32833"/>
    <cellStyle name="Обычный 7 6 2 4 3 2 2 2 3" xfId="32834"/>
    <cellStyle name="Обычный 7 6 2 4 3 2 2 3" xfId="32835"/>
    <cellStyle name="Обычный 7 6 2 4 3 2 2 3 2" xfId="32836"/>
    <cellStyle name="Обычный 7 6 2 4 3 2 2 3 3" xfId="32837"/>
    <cellStyle name="Обычный 7 6 2 4 3 2 2 4" xfId="32838"/>
    <cellStyle name="Обычный 7 6 2 4 3 2 2 4 2" xfId="32839"/>
    <cellStyle name="Обычный 7 6 2 4 3 2 2 5" xfId="32840"/>
    <cellStyle name="Обычный 7 6 2 4 3 2 2 6" xfId="32841"/>
    <cellStyle name="Обычный 7 6 2 4 3 2 3" xfId="32842"/>
    <cellStyle name="Обычный 7 6 2 4 3 2 3 2" xfId="32843"/>
    <cellStyle name="Обычный 7 6 2 4 3 2 3 3" xfId="32844"/>
    <cellStyle name="Обычный 7 6 2 4 3 2 4" xfId="32845"/>
    <cellStyle name="Обычный 7 6 2 4 3 2 4 2" xfId="32846"/>
    <cellStyle name="Обычный 7 6 2 4 3 2 4 3" xfId="32847"/>
    <cellStyle name="Обычный 7 6 2 4 3 2 5" xfId="32848"/>
    <cellStyle name="Обычный 7 6 2 4 3 2 5 2" xfId="32849"/>
    <cellStyle name="Обычный 7 6 2 4 3 2 6" xfId="32850"/>
    <cellStyle name="Обычный 7 6 2 4 3 2 7" xfId="32851"/>
    <cellStyle name="Обычный 7 6 2 4 3 3" xfId="32852"/>
    <cellStyle name="Обычный 7 6 2 4 3 3 2" xfId="32853"/>
    <cellStyle name="Обычный 7 6 2 4 3 3 2 2" xfId="32854"/>
    <cellStyle name="Обычный 7 6 2 4 3 3 2 3" xfId="32855"/>
    <cellStyle name="Обычный 7 6 2 4 3 3 3" xfId="32856"/>
    <cellStyle name="Обычный 7 6 2 4 3 3 3 2" xfId="32857"/>
    <cellStyle name="Обычный 7 6 2 4 3 3 3 3" xfId="32858"/>
    <cellStyle name="Обычный 7 6 2 4 3 3 4" xfId="32859"/>
    <cellStyle name="Обычный 7 6 2 4 3 3 4 2" xfId="32860"/>
    <cellStyle name="Обычный 7 6 2 4 3 3 5" xfId="32861"/>
    <cellStyle name="Обычный 7 6 2 4 3 3 6" xfId="32862"/>
    <cellStyle name="Обычный 7 6 2 4 3 4" xfId="32863"/>
    <cellStyle name="Обычный 7 6 2 4 3 4 2" xfId="32864"/>
    <cellStyle name="Обычный 7 6 2 4 3 4 3" xfId="32865"/>
    <cellStyle name="Обычный 7 6 2 4 3 5" xfId="32866"/>
    <cellStyle name="Обычный 7 6 2 4 3 5 2" xfId="32867"/>
    <cellStyle name="Обычный 7 6 2 4 3 5 3" xfId="32868"/>
    <cellStyle name="Обычный 7 6 2 4 3 6" xfId="32869"/>
    <cellStyle name="Обычный 7 6 2 4 3 6 2" xfId="32870"/>
    <cellStyle name="Обычный 7 6 2 4 3 7" xfId="32871"/>
    <cellStyle name="Обычный 7 6 2 4 3 8" xfId="32872"/>
    <cellStyle name="Обычный 7 6 2 4 4" xfId="32873"/>
    <cellStyle name="Обычный 7 6 2 4 4 2" xfId="32874"/>
    <cellStyle name="Обычный 7 6 2 4 4 2 2" xfId="32875"/>
    <cellStyle name="Обычный 7 6 2 4 4 2 2 2" xfId="32876"/>
    <cellStyle name="Обычный 7 6 2 4 4 2 2 3" xfId="32877"/>
    <cellStyle name="Обычный 7 6 2 4 4 2 3" xfId="32878"/>
    <cellStyle name="Обычный 7 6 2 4 4 2 3 2" xfId="32879"/>
    <cellStyle name="Обычный 7 6 2 4 4 2 3 3" xfId="32880"/>
    <cellStyle name="Обычный 7 6 2 4 4 2 4" xfId="32881"/>
    <cellStyle name="Обычный 7 6 2 4 4 2 4 2" xfId="32882"/>
    <cellStyle name="Обычный 7 6 2 4 4 2 5" xfId="32883"/>
    <cellStyle name="Обычный 7 6 2 4 4 2 6" xfId="32884"/>
    <cellStyle name="Обычный 7 6 2 4 4 3" xfId="32885"/>
    <cellStyle name="Обычный 7 6 2 4 4 3 2" xfId="32886"/>
    <cellStyle name="Обычный 7 6 2 4 4 3 3" xfId="32887"/>
    <cellStyle name="Обычный 7 6 2 4 4 4" xfId="32888"/>
    <cellStyle name="Обычный 7 6 2 4 4 4 2" xfId="32889"/>
    <cellStyle name="Обычный 7 6 2 4 4 4 3" xfId="32890"/>
    <cellStyle name="Обычный 7 6 2 4 4 5" xfId="32891"/>
    <cellStyle name="Обычный 7 6 2 4 4 5 2" xfId="32892"/>
    <cellStyle name="Обычный 7 6 2 4 4 6" xfId="32893"/>
    <cellStyle name="Обычный 7 6 2 4 4 7" xfId="32894"/>
    <cellStyle name="Обычный 7 6 2 4 5" xfId="32895"/>
    <cellStyle name="Обычный 7 6 2 4 5 2" xfId="32896"/>
    <cellStyle name="Обычный 7 6 2 4 5 2 2" xfId="32897"/>
    <cellStyle name="Обычный 7 6 2 4 5 2 3" xfId="32898"/>
    <cellStyle name="Обычный 7 6 2 4 5 3" xfId="32899"/>
    <cellStyle name="Обычный 7 6 2 4 5 3 2" xfId="32900"/>
    <cellStyle name="Обычный 7 6 2 4 5 3 3" xfId="32901"/>
    <cellStyle name="Обычный 7 6 2 4 5 4" xfId="32902"/>
    <cellStyle name="Обычный 7 6 2 4 5 4 2" xfId="32903"/>
    <cellStyle name="Обычный 7 6 2 4 5 5" xfId="32904"/>
    <cellStyle name="Обычный 7 6 2 4 5 6" xfId="32905"/>
    <cellStyle name="Обычный 7 6 2 4 6" xfId="32906"/>
    <cellStyle name="Обычный 7 6 2 4 6 2" xfId="32907"/>
    <cellStyle name="Обычный 7 6 2 4 6 3" xfId="32908"/>
    <cellStyle name="Обычный 7 6 2 4 7" xfId="32909"/>
    <cellStyle name="Обычный 7 6 2 4 7 2" xfId="32910"/>
    <cellStyle name="Обычный 7 6 2 4 7 3" xfId="32911"/>
    <cellStyle name="Обычный 7 6 2 4 8" xfId="32912"/>
    <cellStyle name="Обычный 7 6 2 4 8 2" xfId="32913"/>
    <cellStyle name="Обычный 7 6 2 4 9" xfId="32914"/>
    <cellStyle name="Обычный 7 6 2 5" xfId="32915"/>
    <cellStyle name="Обычный 7 6 2 5 2" xfId="32916"/>
    <cellStyle name="Обычный 7 6 2 5 2 2" xfId="32917"/>
    <cellStyle name="Обычный 7 6 2 5 2 2 2" xfId="32918"/>
    <cellStyle name="Обычный 7 6 2 5 2 2 2 2" xfId="32919"/>
    <cellStyle name="Обычный 7 6 2 5 2 2 2 2 2" xfId="32920"/>
    <cellStyle name="Обычный 7 6 2 5 2 2 2 2 3" xfId="32921"/>
    <cellStyle name="Обычный 7 6 2 5 2 2 2 3" xfId="32922"/>
    <cellStyle name="Обычный 7 6 2 5 2 2 2 3 2" xfId="32923"/>
    <cellStyle name="Обычный 7 6 2 5 2 2 2 3 3" xfId="32924"/>
    <cellStyle name="Обычный 7 6 2 5 2 2 2 4" xfId="32925"/>
    <cellStyle name="Обычный 7 6 2 5 2 2 2 4 2" xfId="32926"/>
    <cellStyle name="Обычный 7 6 2 5 2 2 2 5" xfId="32927"/>
    <cellStyle name="Обычный 7 6 2 5 2 2 2 6" xfId="32928"/>
    <cellStyle name="Обычный 7 6 2 5 2 2 3" xfId="32929"/>
    <cellStyle name="Обычный 7 6 2 5 2 2 3 2" xfId="32930"/>
    <cellStyle name="Обычный 7 6 2 5 2 2 3 3" xfId="32931"/>
    <cellStyle name="Обычный 7 6 2 5 2 2 4" xfId="32932"/>
    <cellStyle name="Обычный 7 6 2 5 2 2 4 2" xfId="32933"/>
    <cellStyle name="Обычный 7 6 2 5 2 2 4 3" xfId="32934"/>
    <cellStyle name="Обычный 7 6 2 5 2 2 5" xfId="32935"/>
    <cellStyle name="Обычный 7 6 2 5 2 2 5 2" xfId="32936"/>
    <cellStyle name="Обычный 7 6 2 5 2 2 6" xfId="32937"/>
    <cellStyle name="Обычный 7 6 2 5 2 2 7" xfId="32938"/>
    <cellStyle name="Обычный 7 6 2 5 2 3" xfId="32939"/>
    <cellStyle name="Обычный 7 6 2 5 2 3 2" xfId="32940"/>
    <cellStyle name="Обычный 7 6 2 5 2 3 2 2" xfId="32941"/>
    <cellStyle name="Обычный 7 6 2 5 2 3 2 3" xfId="32942"/>
    <cellStyle name="Обычный 7 6 2 5 2 3 3" xfId="32943"/>
    <cellStyle name="Обычный 7 6 2 5 2 3 3 2" xfId="32944"/>
    <cellStyle name="Обычный 7 6 2 5 2 3 3 3" xfId="32945"/>
    <cellStyle name="Обычный 7 6 2 5 2 3 4" xfId="32946"/>
    <cellStyle name="Обычный 7 6 2 5 2 3 4 2" xfId="32947"/>
    <cellStyle name="Обычный 7 6 2 5 2 3 5" xfId="32948"/>
    <cellStyle name="Обычный 7 6 2 5 2 3 6" xfId="32949"/>
    <cellStyle name="Обычный 7 6 2 5 2 4" xfId="32950"/>
    <cellStyle name="Обычный 7 6 2 5 2 4 2" xfId="32951"/>
    <cellStyle name="Обычный 7 6 2 5 2 4 3" xfId="32952"/>
    <cellStyle name="Обычный 7 6 2 5 2 5" xfId="32953"/>
    <cellStyle name="Обычный 7 6 2 5 2 5 2" xfId="32954"/>
    <cellStyle name="Обычный 7 6 2 5 2 5 3" xfId="32955"/>
    <cellStyle name="Обычный 7 6 2 5 2 6" xfId="32956"/>
    <cellStyle name="Обычный 7 6 2 5 2 6 2" xfId="32957"/>
    <cellStyle name="Обычный 7 6 2 5 2 7" xfId="32958"/>
    <cellStyle name="Обычный 7 6 2 5 2 8" xfId="32959"/>
    <cellStyle name="Обычный 7 6 2 5 3" xfId="32960"/>
    <cellStyle name="Обычный 7 6 2 5 3 2" xfId="32961"/>
    <cellStyle name="Обычный 7 6 2 5 3 2 2" xfId="32962"/>
    <cellStyle name="Обычный 7 6 2 5 3 2 2 2" xfId="32963"/>
    <cellStyle name="Обычный 7 6 2 5 3 2 2 3" xfId="32964"/>
    <cellStyle name="Обычный 7 6 2 5 3 2 3" xfId="32965"/>
    <cellStyle name="Обычный 7 6 2 5 3 2 3 2" xfId="32966"/>
    <cellStyle name="Обычный 7 6 2 5 3 2 3 3" xfId="32967"/>
    <cellStyle name="Обычный 7 6 2 5 3 2 4" xfId="32968"/>
    <cellStyle name="Обычный 7 6 2 5 3 2 4 2" xfId="32969"/>
    <cellStyle name="Обычный 7 6 2 5 3 2 5" xfId="32970"/>
    <cellStyle name="Обычный 7 6 2 5 3 2 6" xfId="32971"/>
    <cellStyle name="Обычный 7 6 2 5 3 3" xfId="32972"/>
    <cellStyle name="Обычный 7 6 2 5 3 3 2" xfId="32973"/>
    <cellStyle name="Обычный 7 6 2 5 3 3 3" xfId="32974"/>
    <cellStyle name="Обычный 7 6 2 5 3 4" xfId="32975"/>
    <cellStyle name="Обычный 7 6 2 5 3 4 2" xfId="32976"/>
    <cellStyle name="Обычный 7 6 2 5 3 4 3" xfId="32977"/>
    <cellStyle name="Обычный 7 6 2 5 3 5" xfId="32978"/>
    <cellStyle name="Обычный 7 6 2 5 3 5 2" xfId="32979"/>
    <cellStyle name="Обычный 7 6 2 5 3 6" xfId="32980"/>
    <cellStyle name="Обычный 7 6 2 5 3 7" xfId="32981"/>
    <cellStyle name="Обычный 7 6 2 5 4" xfId="32982"/>
    <cellStyle name="Обычный 7 6 2 5 4 2" xfId="32983"/>
    <cellStyle name="Обычный 7 6 2 5 4 2 2" xfId="32984"/>
    <cellStyle name="Обычный 7 6 2 5 4 2 3" xfId="32985"/>
    <cellStyle name="Обычный 7 6 2 5 4 3" xfId="32986"/>
    <cellStyle name="Обычный 7 6 2 5 4 3 2" xfId="32987"/>
    <cellStyle name="Обычный 7 6 2 5 4 3 3" xfId="32988"/>
    <cellStyle name="Обычный 7 6 2 5 4 4" xfId="32989"/>
    <cellStyle name="Обычный 7 6 2 5 4 4 2" xfId="32990"/>
    <cellStyle name="Обычный 7 6 2 5 4 5" xfId="32991"/>
    <cellStyle name="Обычный 7 6 2 5 4 6" xfId="32992"/>
    <cellStyle name="Обычный 7 6 2 5 5" xfId="32993"/>
    <cellStyle name="Обычный 7 6 2 5 5 2" xfId="32994"/>
    <cellStyle name="Обычный 7 6 2 5 5 3" xfId="32995"/>
    <cellStyle name="Обычный 7 6 2 5 6" xfId="32996"/>
    <cellStyle name="Обычный 7 6 2 5 6 2" xfId="32997"/>
    <cellStyle name="Обычный 7 6 2 5 6 3" xfId="32998"/>
    <cellStyle name="Обычный 7 6 2 5 7" xfId="32999"/>
    <cellStyle name="Обычный 7 6 2 5 7 2" xfId="33000"/>
    <cellStyle name="Обычный 7 6 2 5 8" xfId="33001"/>
    <cellStyle name="Обычный 7 6 2 5 9" xfId="33002"/>
    <cellStyle name="Обычный 7 6 2 6" xfId="33003"/>
    <cellStyle name="Обычный 7 6 2 6 2" xfId="33004"/>
    <cellStyle name="Обычный 7 6 2 6 2 2" xfId="33005"/>
    <cellStyle name="Обычный 7 6 2 6 2 2 2" xfId="33006"/>
    <cellStyle name="Обычный 7 6 2 6 2 2 2 2" xfId="33007"/>
    <cellStyle name="Обычный 7 6 2 6 2 2 2 3" xfId="33008"/>
    <cellStyle name="Обычный 7 6 2 6 2 2 3" xfId="33009"/>
    <cellStyle name="Обычный 7 6 2 6 2 2 3 2" xfId="33010"/>
    <cellStyle name="Обычный 7 6 2 6 2 2 3 3" xfId="33011"/>
    <cellStyle name="Обычный 7 6 2 6 2 2 4" xfId="33012"/>
    <cellStyle name="Обычный 7 6 2 6 2 2 4 2" xfId="33013"/>
    <cellStyle name="Обычный 7 6 2 6 2 2 5" xfId="33014"/>
    <cellStyle name="Обычный 7 6 2 6 2 2 6" xfId="33015"/>
    <cellStyle name="Обычный 7 6 2 6 2 3" xfId="33016"/>
    <cellStyle name="Обычный 7 6 2 6 2 3 2" xfId="33017"/>
    <cellStyle name="Обычный 7 6 2 6 2 3 3" xfId="33018"/>
    <cellStyle name="Обычный 7 6 2 6 2 4" xfId="33019"/>
    <cellStyle name="Обычный 7 6 2 6 2 4 2" xfId="33020"/>
    <cellStyle name="Обычный 7 6 2 6 2 4 3" xfId="33021"/>
    <cellStyle name="Обычный 7 6 2 6 2 5" xfId="33022"/>
    <cellStyle name="Обычный 7 6 2 6 2 5 2" xfId="33023"/>
    <cellStyle name="Обычный 7 6 2 6 2 6" xfId="33024"/>
    <cellStyle name="Обычный 7 6 2 6 2 7" xfId="33025"/>
    <cellStyle name="Обычный 7 6 2 6 3" xfId="33026"/>
    <cellStyle name="Обычный 7 6 2 6 3 2" xfId="33027"/>
    <cellStyle name="Обычный 7 6 2 6 3 2 2" xfId="33028"/>
    <cellStyle name="Обычный 7 6 2 6 3 2 3" xfId="33029"/>
    <cellStyle name="Обычный 7 6 2 6 3 3" xfId="33030"/>
    <cellStyle name="Обычный 7 6 2 6 3 3 2" xfId="33031"/>
    <cellStyle name="Обычный 7 6 2 6 3 3 3" xfId="33032"/>
    <cellStyle name="Обычный 7 6 2 6 3 4" xfId="33033"/>
    <cellStyle name="Обычный 7 6 2 6 3 4 2" xfId="33034"/>
    <cellStyle name="Обычный 7 6 2 6 3 5" xfId="33035"/>
    <cellStyle name="Обычный 7 6 2 6 3 6" xfId="33036"/>
    <cellStyle name="Обычный 7 6 2 6 4" xfId="33037"/>
    <cellStyle name="Обычный 7 6 2 6 4 2" xfId="33038"/>
    <cellStyle name="Обычный 7 6 2 6 4 3" xfId="33039"/>
    <cellStyle name="Обычный 7 6 2 6 5" xfId="33040"/>
    <cellStyle name="Обычный 7 6 2 6 5 2" xfId="33041"/>
    <cellStyle name="Обычный 7 6 2 6 5 3" xfId="33042"/>
    <cellStyle name="Обычный 7 6 2 6 6" xfId="33043"/>
    <cellStyle name="Обычный 7 6 2 6 6 2" xfId="33044"/>
    <cellStyle name="Обычный 7 6 2 6 7" xfId="33045"/>
    <cellStyle name="Обычный 7 6 2 6 8" xfId="33046"/>
    <cellStyle name="Обычный 7 6 2 7" xfId="33047"/>
    <cellStyle name="Обычный 7 6 2 7 2" xfId="33048"/>
    <cellStyle name="Обычный 7 6 2 7 2 2" xfId="33049"/>
    <cellStyle name="Обычный 7 6 2 7 2 2 2" xfId="33050"/>
    <cellStyle name="Обычный 7 6 2 7 2 2 3" xfId="33051"/>
    <cellStyle name="Обычный 7 6 2 7 2 3" xfId="33052"/>
    <cellStyle name="Обычный 7 6 2 7 2 3 2" xfId="33053"/>
    <cellStyle name="Обычный 7 6 2 7 2 3 3" xfId="33054"/>
    <cellStyle name="Обычный 7 6 2 7 2 4" xfId="33055"/>
    <cellStyle name="Обычный 7 6 2 7 2 4 2" xfId="33056"/>
    <cellStyle name="Обычный 7 6 2 7 2 5" xfId="33057"/>
    <cellStyle name="Обычный 7 6 2 7 2 6" xfId="33058"/>
    <cellStyle name="Обычный 7 6 2 7 3" xfId="33059"/>
    <cellStyle name="Обычный 7 6 2 7 3 2" xfId="33060"/>
    <cellStyle name="Обычный 7 6 2 7 3 3" xfId="33061"/>
    <cellStyle name="Обычный 7 6 2 7 4" xfId="33062"/>
    <cellStyle name="Обычный 7 6 2 7 4 2" xfId="33063"/>
    <cellStyle name="Обычный 7 6 2 7 4 3" xfId="33064"/>
    <cellStyle name="Обычный 7 6 2 7 5" xfId="33065"/>
    <cellStyle name="Обычный 7 6 2 7 5 2" xfId="33066"/>
    <cellStyle name="Обычный 7 6 2 7 6" xfId="33067"/>
    <cellStyle name="Обычный 7 6 2 7 7" xfId="33068"/>
    <cellStyle name="Обычный 7 6 2 8" xfId="33069"/>
    <cellStyle name="Обычный 7 6 2 8 2" xfId="33070"/>
    <cellStyle name="Обычный 7 6 2 8 2 2" xfId="33071"/>
    <cellStyle name="Обычный 7 6 2 8 2 3" xfId="33072"/>
    <cellStyle name="Обычный 7 6 2 8 3" xfId="33073"/>
    <cellStyle name="Обычный 7 6 2 8 3 2" xfId="33074"/>
    <cellStyle name="Обычный 7 6 2 8 3 3" xfId="33075"/>
    <cellStyle name="Обычный 7 6 2 8 4" xfId="33076"/>
    <cellStyle name="Обычный 7 6 2 8 4 2" xfId="33077"/>
    <cellStyle name="Обычный 7 6 2 8 5" xfId="33078"/>
    <cellStyle name="Обычный 7 6 2 8 6" xfId="33079"/>
    <cellStyle name="Обычный 7 6 2 9" xfId="33080"/>
    <cellStyle name="Обычный 7 6 2 9 2" xfId="33081"/>
    <cellStyle name="Обычный 7 6 2 9 3" xfId="33082"/>
    <cellStyle name="Обычный 7 6 3" xfId="33083"/>
    <cellStyle name="Обычный 7 6 3 10" xfId="33084"/>
    <cellStyle name="Обычный 7 6 3 2" xfId="33085"/>
    <cellStyle name="Обычный 7 6 3 2 2" xfId="33086"/>
    <cellStyle name="Обычный 7 6 3 2 2 2" xfId="33087"/>
    <cellStyle name="Обычный 7 6 3 2 2 2 2" xfId="33088"/>
    <cellStyle name="Обычный 7 6 3 2 2 2 2 2" xfId="33089"/>
    <cellStyle name="Обычный 7 6 3 2 2 2 2 2 2" xfId="33090"/>
    <cellStyle name="Обычный 7 6 3 2 2 2 2 2 3" xfId="33091"/>
    <cellStyle name="Обычный 7 6 3 2 2 2 2 3" xfId="33092"/>
    <cellStyle name="Обычный 7 6 3 2 2 2 2 3 2" xfId="33093"/>
    <cellStyle name="Обычный 7 6 3 2 2 2 2 3 3" xfId="33094"/>
    <cellStyle name="Обычный 7 6 3 2 2 2 2 4" xfId="33095"/>
    <cellStyle name="Обычный 7 6 3 2 2 2 2 4 2" xfId="33096"/>
    <cellStyle name="Обычный 7 6 3 2 2 2 2 5" xfId="33097"/>
    <cellStyle name="Обычный 7 6 3 2 2 2 2 6" xfId="33098"/>
    <cellStyle name="Обычный 7 6 3 2 2 2 3" xfId="33099"/>
    <cellStyle name="Обычный 7 6 3 2 2 2 3 2" xfId="33100"/>
    <cellStyle name="Обычный 7 6 3 2 2 2 3 3" xfId="33101"/>
    <cellStyle name="Обычный 7 6 3 2 2 2 4" xfId="33102"/>
    <cellStyle name="Обычный 7 6 3 2 2 2 4 2" xfId="33103"/>
    <cellStyle name="Обычный 7 6 3 2 2 2 4 3" xfId="33104"/>
    <cellStyle name="Обычный 7 6 3 2 2 2 5" xfId="33105"/>
    <cellStyle name="Обычный 7 6 3 2 2 2 5 2" xfId="33106"/>
    <cellStyle name="Обычный 7 6 3 2 2 2 6" xfId="33107"/>
    <cellStyle name="Обычный 7 6 3 2 2 2 7" xfId="33108"/>
    <cellStyle name="Обычный 7 6 3 2 2 3" xfId="33109"/>
    <cellStyle name="Обычный 7 6 3 2 2 3 2" xfId="33110"/>
    <cellStyle name="Обычный 7 6 3 2 2 3 2 2" xfId="33111"/>
    <cellStyle name="Обычный 7 6 3 2 2 3 2 3" xfId="33112"/>
    <cellStyle name="Обычный 7 6 3 2 2 3 3" xfId="33113"/>
    <cellStyle name="Обычный 7 6 3 2 2 3 3 2" xfId="33114"/>
    <cellStyle name="Обычный 7 6 3 2 2 3 3 3" xfId="33115"/>
    <cellStyle name="Обычный 7 6 3 2 2 3 4" xfId="33116"/>
    <cellStyle name="Обычный 7 6 3 2 2 3 4 2" xfId="33117"/>
    <cellStyle name="Обычный 7 6 3 2 2 3 5" xfId="33118"/>
    <cellStyle name="Обычный 7 6 3 2 2 3 6" xfId="33119"/>
    <cellStyle name="Обычный 7 6 3 2 2 4" xfId="33120"/>
    <cellStyle name="Обычный 7 6 3 2 2 4 2" xfId="33121"/>
    <cellStyle name="Обычный 7 6 3 2 2 4 3" xfId="33122"/>
    <cellStyle name="Обычный 7 6 3 2 2 5" xfId="33123"/>
    <cellStyle name="Обычный 7 6 3 2 2 5 2" xfId="33124"/>
    <cellStyle name="Обычный 7 6 3 2 2 5 3" xfId="33125"/>
    <cellStyle name="Обычный 7 6 3 2 2 6" xfId="33126"/>
    <cellStyle name="Обычный 7 6 3 2 2 6 2" xfId="33127"/>
    <cellStyle name="Обычный 7 6 3 2 2 7" xfId="33128"/>
    <cellStyle name="Обычный 7 6 3 2 2 8" xfId="33129"/>
    <cellStyle name="Обычный 7 6 3 2 3" xfId="33130"/>
    <cellStyle name="Обычный 7 6 3 2 3 2" xfId="33131"/>
    <cellStyle name="Обычный 7 6 3 2 3 2 2" xfId="33132"/>
    <cellStyle name="Обычный 7 6 3 2 3 2 2 2" xfId="33133"/>
    <cellStyle name="Обычный 7 6 3 2 3 2 2 3" xfId="33134"/>
    <cellStyle name="Обычный 7 6 3 2 3 2 3" xfId="33135"/>
    <cellStyle name="Обычный 7 6 3 2 3 2 3 2" xfId="33136"/>
    <cellStyle name="Обычный 7 6 3 2 3 2 3 3" xfId="33137"/>
    <cellStyle name="Обычный 7 6 3 2 3 2 4" xfId="33138"/>
    <cellStyle name="Обычный 7 6 3 2 3 2 4 2" xfId="33139"/>
    <cellStyle name="Обычный 7 6 3 2 3 2 5" xfId="33140"/>
    <cellStyle name="Обычный 7 6 3 2 3 2 6" xfId="33141"/>
    <cellStyle name="Обычный 7 6 3 2 3 3" xfId="33142"/>
    <cellStyle name="Обычный 7 6 3 2 3 3 2" xfId="33143"/>
    <cellStyle name="Обычный 7 6 3 2 3 3 3" xfId="33144"/>
    <cellStyle name="Обычный 7 6 3 2 3 4" xfId="33145"/>
    <cellStyle name="Обычный 7 6 3 2 3 4 2" xfId="33146"/>
    <cellStyle name="Обычный 7 6 3 2 3 4 3" xfId="33147"/>
    <cellStyle name="Обычный 7 6 3 2 3 5" xfId="33148"/>
    <cellStyle name="Обычный 7 6 3 2 3 5 2" xfId="33149"/>
    <cellStyle name="Обычный 7 6 3 2 3 6" xfId="33150"/>
    <cellStyle name="Обычный 7 6 3 2 3 7" xfId="33151"/>
    <cellStyle name="Обычный 7 6 3 2 4" xfId="33152"/>
    <cellStyle name="Обычный 7 6 3 2 4 2" xfId="33153"/>
    <cellStyle name="Обычный 7 6 3 2 4 2 2" xfId="33154"/>
    <cellStyle name="Обычный 7 6 3 2 4 2 3" xfId="33155"/>
    <cellStyle name="Обычный 7 6 3 2 4 3" xfId="33156"/>
    <cellStyle name="Обычный 7 6 3 2 4 3 2" xfId="33157"/>
    <cellStyle name="Обычный 7 6 3 2 4 3 3" xfId="33158"/>
    <cellStyle name="Обычный 7 6 3 2 4 4" xfId="33159"/>
    <cellStyle name="Обычный 7 6 3 2 4 4 2" xfId="33160"/>
    <cellStyle name="Обычный 7 6 3 2 4 5" xfId="33161"/>
    <cellStyle name="Обычный 7 6 3 2 4 6" xfId="33162"/>
    <cellStyle name="Обычный 7 6 3 2 5" xfId="33163"/>
    <cellStyle name="Обычный 7 6 3 2 5 2" xfId="33164"/>
    <cellStyle name="Обычный 7 6 3 2 5 3" xfId="33165"/>
    <cellStyle name="Обычный 7 6 3 2 6" xfId="33166"/>
    <cellStyle name="Обычный 7 6 3 2 6 2" xfId="33167"/>
    <cellStyle name="Обычный 7 6 3 2 6 3" xfId="33168"/>
    <cellStyle name="Обычный 7 6 3 2 7" xfId="33169"/>
    <cellStyle name="Обычный 7 6 3 2 7 2" xfId="33170"/>
    <cellStyle name="Обычный 7 6 3 2 8" xfId="33171"/>
    <cellStyle name="Обычный 7 6 3 2 9" xfId="33172"/>
    <cellStyle name="Обычный 7 6 3 3" xfId="33173"/>
    <cellStyle name="Обычный 7 6 3 3 2" xfId="33174"/>
    <cellStyle name="Обычный 7 6 3 3 2 2" xfId="33175"/>
    <cellStyle name="Обычный 7 6 3 3 2 2 2" xfId="33176"/>
    <cellStyle name="Обычный 7 6 3 3 2 2 2 2" xfId="33177"/>
    <cellStyle name="Обычный 7 6 3 3 2 2 2 3" xfId="33178"/>
    <cellStyle name="Обычный 7 6 3 3 2 2 3" xfId="33179"/>
    <cellStyle name="Обычный 7 6 3 3 2 2 3 2" xfId="33180"/>
    <cellStyle name="Обычный 7 6 3 3 2 2 3 3" xfId="33181"/>
    <cellStyle name="Обычный 7 6 3 3 2 2 4" xfId="33182"/>
    <cellStyle name="Обычный 7 6 3 3 2 2 4 2" xfId="33183"/>
    <cellStyle name="Обычный 7 6 3 3 2 2 5" xfId="33184"/>
    <cellStyle name="Обычный 7 6 3 3 2 2 6" xfId="33185"/>
    <cellStyle name="Обычный 7 6 3 3 2 3" xfId="33186"/>
    <cellStyle name="Обычный 7 6 3 3 2 3 2" xfId="33187"/>
    <cellStyle name="Обычный 7 6 3 3 2 3 3" xfId="33188"/>
    <cellStyle name="Обычный 7 6 3 3 2 4" xfId="33189"/>
    <cellStyle name="Обычный 7 6 3 3 2 4 2" xfId="33190"/>
    <cellStyle name="Обычный 7 6 3 3 2 4 3" xfId="33191"/>
    <cellStyle name="Обычный 7 6 3 3 2 5" xfId="33192"/>
    <cellStyle name="Обычный 7 6 3 3 2 5 2" xfId="33193"/>
    <cellStyle name="Обычный 7 6 3 3 2 6" xfId="33194"/>
    <cellStyle name="Обычный 7 6 3 3 2 7" xfId="33195"/>
    <cellStyle name="Обычный 7 6 3 3 3" xfId="33196"/>
    <cellStyle name="Обычный 7 6 3 3 3 2" xfId="33197"/>
    <cellStyle name="Обычный 7 6 3 3 3 2 2" xfId="33198"/>
    <cellStyle name="Обычный 7 6 3 3 3 2 3" xfId="33199"/>
    <cellStyle name="Обычный 7 6 3 3 3 3" xfId="33200"/>
    <cellStyle name="Обычный 7 6 3 3 3 3 2" xfId="33201"/>
    <cellStyle name="Обычный 7 6 3 3 3 3 3" xfId="33202"/>
    <cellStyle name="Обычный 7 6 3 3 3 4" xfId="33203"/>
    <cellStyle name="Обычный 7 6 3 3 3 4 2" xfId="33204"/>
    <cellStyle name="Обычный 7 6 3 3 3 5" xfId="33205"/>
    <cellStyle name="Обычный 7 6 3 3 3 6" xfId="33206"/>
    <cellStyle name="Обычный 7 6 3 3 4" xfId="33207"/>
    <cellStyle name="Обычный 7 6 3 3 4 2" xfId="33208"/>
    <cellStyle name="Обычный 7 6 3 3 4 3" xfId="33209"/>
    <cellStyle name="Обычный 7 6 3 3 5" xfId="33210"/>
    <cellStyle name="Обычный 7 6 3 3 5 2" xfId="33211"/>
    <cellStyle name="Обычный 7 6 3 3 5 3" xfId="33212"/>
    <cellStyle name="Обычный 7 6 3 3 6" xfId="33213"/>
    <cellStyle name="Обычный 7 6 3 3 6 2" xfId="33214"/>
    <cellStyle name="Обычный 7 6 3 3 7" xfId="33215"/>
    <cellStyle name="Обычный 7 6 3 3 8" xfId="33216"/>
    <cellStyle name="Обычный 7 6 3 4" xfId="33217"/>
    <cellStyle name="Обычный 7 6 3 4 2" xfId="33218"/>
    <cellStyle name="Обычный 7 6 3 4 2 2" xfId="33219"/>
    <cellStyle name="Обычный 7 6 3 4 2 2 2" xfId="33220"/>
    <cellStyle name="Обычный 7 6 3 4 2 2 3" xfId="33221"/>
    <cellStyle name="Обычный 7 6 3 4 2 3" xfId="33222"/>
    <cellStyle name="Обычный 7 6 3 4 2 3 2" xfId="33223"/>
    <cellStyle name="Обычный 7 6 3 4 2 3 3" xfId="33224"/>
    <cellStyle name="Обычный 7 6 3 4 2 4" xfId="33225"/>
    <cellStyle name="Обычный 7 6 3 4 2 4 2" xfId="33226"/>
    <cellStyle name="Обычный 7 6 3 4 2 5" xfId="33227"/>
    <cellStyle name="Обычный 7 6 3 4 2 6" xfId="33228"/>
    <cellStyle name="Обычный 7 6 3 4 3" xfId="33229"/>
    <cellStyle name="Обычный 7 6 3 4 3 2" xfId="33230"/>
    <cellStyle name="Обычный 7 6 3 4 3 3" xfId="33231"/>
    <cellStyle name="Обычный 7 6 3 4 4" xfId="33232"/>
    <cellStyle name="Обычный 7 6 3 4 4 2" xfId="33233"/>
    <cellStyle name="Обычный 7 6 3 4 4 3" xfId="33234"/>
    <cellStyle name="Обычный 7 6 3 4 5" xfId="33235"/>
    <cellStyle name="Обычный 7 6 3 4 5 2" xfId="33236"/>
    <cellStyle name="Обычный 7 6 3 4 6" xfId="33237"/>
    <cellStyle name="Обычный 7 6 3 4 7" xfId="33238"/>
    <cellStyle name="Обычный 7 6 3 5" xfId="33239"/>
    <cellStyle name="Обычный 7 6 3 5 2" xfId="33240"/>
    <cellStyle name="Обычный 7 6 3 5 2 2" xfId="33241"/>
    <cellStyle name="Обычный 7 6 3 5 2 3" xfId="33242"/>
    <cellStyle name="Обычный 7 6 3 5 3" xfId="33243"/>
    <cellStyle name="Обычный 7 6 3 5 3 2" xfId="33244"/>
    <cellStyle name="Обычный 7 6 3 5 3 3" xfId="33245"/>
    <cellStyle name="Обычный 7 6 3 5 4" xfId="33246"/>
    <cellStyle name="Обычный 7 6 3 5 4 2" xfId="33247"/>
    <cellStyle name="Обычный 7 6 3 5 5" xfId="33248"/>
    <cellStyle name="Обычный 7 6 3 5 6" xfId="33249"/>
    <cellStyle name="Обычный 7 6 3 6" xfId="33250"/>
    <cellStyle name="Обычный 7 6 3 6 2" xfId="33251"/>
    <cellStyle name="Обычный 7 6 3 6 3" xfId="33252"/>
    <cellStyle name="Обычный 7 6 3 7" xfId="33253"/>
    <cellStyle name="Обычный 7 6 3 7 2" xfId="33254"/>
    <cellStyle name="Обычный 7 6 3 7 3" xfId="33255"/>
    <cellStyle name="Обычный 7 6 3 8" xfId="33256"/>
    <cellStyle name="Обычный 7 6 3 8 2" xfId="33257"/>
    <cellStyle name="Обычный 7 6 3 9" xfId="33258"/>
    <cellStyle name="Обычный 7 6 4" xfId="33259"/>
    <cellStyle name="Обычный 7 6 4 10" xfId="33260"/>
    <cellStyle name="Обычный 7 6 4 2" xfId="33261"/>
    <cellStyle name="Обычный 7 6 4 2 2" xfId="33262"/>
    <cellStyle name="Обычный 7 6 4 2 2 2" xfId="33263"/>
    <cellStyle name="Обычный 7 6 4 2 2 2 2" xfId="33264"/>
    <cellStyle name="Обычный 7 6 4 2 2 2 2 2" xfId="33265"/>
    <cellStyle name="Обычный 7 6 4 2 2 2 2 2 2" xfId="33266"/>
    <cellStyle name="Обычный 7 6 4 2 2 2 2 2 3" xfId="33267"/>
    <cellStyle name="Обычный 7 6 4 2 2 2 2 3" xfId="33268"/>
    <cellStyle name="Обычный 7 6 4 2 2 2 2 3 2" xfId="33269"/>
    <cellStyle name="Обычный 7 6 4 2 2 2 2 3 3" xfId="33270"/>
    <cellStyle name="Обычный 7 6 4 2 2 2 2 4" xfId="33271"/>
    <cellStyle name="Обычный 7 6 4 2 2 2 2 4 2" xfId="33272"/>
    <cellStyle name="Обычный 7 6 4 2 2 2 2 5" xfId="33273"/>
    <cellStyle name="Обычный 7 6 4 2 2 2 2 6" xfId="33274"/>
    <cellStyle name="Обычный 7 6 4 2 2 2 3" xfId="33275"/>
    <cellStyle name="Обычный 7 6 4 2 2 2 3 2" xfId="33276"/>
    <cellStyle name="Обычный 7 6 4 2 2 2 3 3" xfId="33277"/>
    <cellStyle name="Обычный 7 6 4 2 2 2 4" xfId="33278"/>
    <cellStyle name="Обычный 7 6 4 2 2 2 4 2" xfId="33279"/>
    <cellStyle name="Обычный 7 6 4 2 2 2 4 3" xfId="33280"/>
    <cellStyle name="Обычный 7 6 4 2 2 2 5" xfId="33281"/>
    <cellStyle name="Обычный 7 6 4 2 2 2 5 2" xfId="33282"/>
    <cellStyle name="Обычный 7 6 4 2 2 2 6" xfId="33283"/>
    <cellStyle name="Обычный 7 6 4 2 2 2 7" xfId="33284"/>
    <cellStyle name="Обычный 7 6 4 2 2 3" xfId="33285"/>
    <cellStyle name="Обычный 7 6 4 2 2 3 2" xfId="33286"/>
    <cellStyle name="Обычный 7 6 4 2 2 3 2 2" xfId="33287"/>
    <cellStyle name="Обычный 7 6 4 2 2 3 2 3" xfId="33288"/>
    <cellStyle name="Обычный 7 6 4 2 2 3 3" xfId="33289"/>
    <cellStyle name="Обычный 7 6 4 2 2 3 3 2" xfId="33290"/>
    <cellStyle name="Обычный 7 6 4 2 2 3 3 3" xfId="33291"/>
    <cellStyle name="Обычный 7 6 4 2 2 3 4" xfId="33292"/>
    <cellStyle name="Обычный 7 6 4 2 2 3 4 2" xfId="33293"/>
    <cellStyle name="Обычный 7 6 4 2 2 3 5" xfId="33294"/>
    <cellStyle name="Обычный 7 6 4 2 2 3 6" xfId="33295"/>
    <cellStyle name="Обычный 7 6 4 2 2 4" xfId="33296"/>
    <cellStyle name="Обычный 7 6 4 2 2 4 2" xfId="33297"/>
    <cellStyle name="Обычный 7 6 4 2 2 4 3" xfId="33298"/>
    <cellStyle name="Обычный 7 6 4 2 2 5" xfId="33299"/>
    <cellStyle name="Обычный 7 6 4 2 2 5 2" xfId="33300"/>
    <cellStyle name="Обычный 7 6 4 2 2 5 3" xfId="33301"/>
    <cellStyle name="Обычный 7 6 4 2 2 6" xfId="33302"/>
    <cellStyle name="Обычный 7 6 4 2 2 6 2" xfId="33303"/>
    <cellStyle name="Обычный 7 6 4 2 2 7" xfId="33304"/>
    <cellStyle name="Обычный 7 6 4 2 2 8" xfId="33305"/>
    <cellStyle name="Обычный 7 6 4 2 3" xfId="33306"/>
    <cellStyle name="Обычный 7 6 4 2 3 2" xfId="33307"/>
    <cellStyle name="Обычный 7 6 4 2 3 2 2" xfId="33308"/>
    <cellStyle name="Обычный 7 6 4 2 3 2 2 2" xfId="33309"/>
    <cellStyle name="Обычный 7 6 4 2 3 2 2 3" xfId="33310"/>
    <cellStyle name="Обычный 7 6 4 2 3 2 3" xfId="33311"/>
    <cellStyle name="Обычный 7 6 4 2 3 2 3 2" xfId="33312"/>
    <cellStyle name="Обычный 7 6 4 2 3 2 3 3" xfId="33313"/>
    <cellStyle name="Обычный 7 6 4 2 3 2 4" xfId="33314"/>
    <cellStyle name="Обычный 7 6 4 2 3 2 4 2" xfId="33315"/>
    <cellStyle name="Обычный 7 6 4 2 3 2 5" xfId="33316"/>
    <cellStyle name="Обычный 7 6 4 2 3 2 6" xfId="33317"/>
    <cellStyle name="Обычный 7 6 4 2 3 3" xfId="33318"/>
    <cellStyle name="Обычный 7 6 4 2 3 3 2" xfId="33319"/>
    <cellStyle name="Обычный 7 6 4 2 3 3 3" xfId="33320"/>
    <cellStyle name="Обычный 7 6 4 2 3 4" xfId="33321"/>
    <cellStyle name="Обычный 7 6 4 2 3 4 2" xfId="33322"/>
    <cellStyle name="Обычный 7 6 4 2 3 4 3" xfId="33323"/>
    <cellStyle name="Обычный 7 6 4 2 3 5" xfId="33324"/>
    <cellStyle name="Обычный 7 6 4 2 3 5 2" xfId="33325"/>
    <cellStyle name="Обычный 7 6 4 2 3 6" xfId="33326"/>
    <cellStyle name="Обычный 7 6 4 2 3 7" xfId="33327"/>
    <cellStyle name="Обычный 7 6 4 2 4" xfId="33328"/>
    <cellStyle name="Обычный 7 6 4 2 4 2" xfId="33329"/>
    <cellStyle name="Обычный 7 6 4 2 4 2 2" xfId="33330"/>
    <cellStyle name="Обычный 7 6 4 2 4 2 3" xfId="33331"/>
    <cellStyle name="Обычный 7 6 4 2 4 3" xfId="33332"/>
    <cellStyle name="Обычный 7 6 4 2 4 3 2" xfId="33333"/>
    <cellStyle name="Обычный 7 6 4 2 4 3 3" xfId="33334"/>
    <cellStyle name="Обычный 7 6 4 2 4 4" xfId="33335"/>
    <cellStyle name="Обычный 7 6 4 2 4 4 2" xfId="33336"/>
    <cellStyle name="Обычный 7 6 4 2 4 5" xfId="33337"/>
    <cellStyle name="Обычный 7 6 4 2 4 6" xfId="33338"/>
    <cellStyle name="Обычный 7 6 4 2 5" xfId="33339"/>
    <cellStyle name="Обычный 7 6 4 2 5 2" xfId="33340"/>
    <cellStyle name="Обычный 7 6 4 2 5 3" xfId="33341"/>
    <cellStyle name="Обычный 7 6 4 2 6" xfId="33342"/>
    <cellStyle name="Обычный 7 6 4 2 6 2" xfId="33343"/>
    <cellStyle name="Обычный 7 6 4 2 6 3" xfId="33344"/>
    <cellStyle name="Обычный 7 6 4 2 7" xfId="33345"/>
    <cellStyle name="Обычный 7 6 4 2 7 2" xfId="33346"/>
    <cellStyle name="Обычный 7 6 4 2 8" xfId="33347"/>
    <cellStyle name="Обычный 7 6 4 2 9" xfId="33348"/>
    <cellStyle name="Обычный 7 6 4 3" xfId="33349"/>
    <cellStyle name="Обычный 7 6 4 3 2" xfId="33350"/>
    <cellStyle name="Обычный 7 6 4 3 2 2" xfId="33351"/>
    <cellStyle name="Обычный 7 6 4 3 2 2 2" xfId="33352"/>
    <cellStyle name="Обычный 7 6 4 3 2 2 2 2" xfId="33353"/>
    <cellStyle name="Обычный 7 6 4 3 2 2 2 3" xfId="33354"/>
    <cellStyle name="Обычный 7 6 4 3 2 2 3" xfId="33355"/>
    <cellStyle name="Обычный 7 6 4 3 2 2 3 2" xfId="33356"/>
    <cellStyle name="Обычный 7 6 4 3 2 2 3 3" xfId="33357"/>
    <cellStyle name="Обычный 7 6 4 3 2 2 4" xfId="33358"/>
    <cellStyle name="Обычный 7 6 4 3 2 2 4 2" xfId="33359"/>
    <cellStyle name="Обычный 7 6 4 3 2 2 5" xfId="33360"/>
    <cellStyle name="Обычный 7 6 4 3 2 2 6" xfId="33361"/>
    <cellStyle name="Обычный 7 6 4 3 2 3" xfId="33362"/>
    <cellStyle name="Обычный 7 6 4 3 2 3 2" xfId="33363"/>
    <cellStyle name="Обычный 7 6 4 3 2 3 3" xfId="33364"/>
    <cellStyle name="Обычный 7 6 4 3 2 4" xfId="33365"/>
    <cellStyle name="Обычный 7 6 4 3 2 4 2" xfId="33366"/>
    <cellStyle name="Обычный 7 6 4 3 2 4 3" xfId="33367"/>
    <cellStyle name="Обычный 7 6 4 3 2 5" xfId="33368"/>
    <cellStyle name="Обычный 7 6 4 3 2 5 2" xfId="33369"/>
    <cellStyle name="Обычный 7 6 4 3 2 6" xfId="33370"/>
    <cellStyle name="Обычный 7 6 4 3 2 7" xfId="33371"/>
    <cellStyle name="Обычный 7 6 4 3 3" xfId="33372"/>
    <cellStyle name="Обычный 7 6 4 3 3 2" xfId="33373"/>
    <cellStyle name="Обычный 7 6 4 3 3 2 2" xfId="33374"/>
    <cellStyle name="Обычный 7 6 4 3 3 2 3" xfId="33375"/>
    <cellStyle name="Обычный 7 6 4 3 3 3" xfId="33376"/>
    <cellStyle name="Обычный 7 6 4 3 3 3 2" xfId="33377"/>
    <cellStyle name="Обычный 7 6 4 3 3 3 3" xfId="33378"/>
    <cellStyle name="Обычный 7 6 4 3 3 4" xfId="33379"/>
    <cellStyle name="Обычный 7 6 4 3 3 4 2" xfId="33380"/>
    <cellStyle name="Обычный 7 6 4 3 3 5" xfId="33381"/>
    <cellStyle name="Обычный 7 6 4 3 3 6" xfId="33382"/>
    <cellStyle name="Обычный 7 6 4 3 4" xfId="33383"/>
    <cellStyle name="Обычный 7 6 4 3 4 2" xfId="33384"/>
    <cellStyle name="Обычный 7 6 4 3 4 3" xfId="33385"/>
    <cellStyle name="Обычный 7 6 4 3 5" xfId="33386"/>
    <cellStyle name="Обычный 7 6 4 3 5 2" xfId="33387"/>
    <cellStyle name="Обычный 7 6 4 3 5 3" xfId="33388"/>
    <cellStyle name="Обычный 7 6 4 3 6" xfId="33389"/>
    <cellStyle name="Обычный 7 6 4 3 6 2" xfId="33390"/>
    <cellStyle name="Обычный 7 6 4 3 7" xfId="33391"/>
    <cellStyle name="Обычный 7 6 4 3 8" xfId="33392"/>
    <cellStyle name="Обычный 7 6 4 4" xfId="33393"/>
    <cellStyle name="Обычный 7 6 4 4 2" xfId="33394"/>
    <cellStyle name="Обычный 7 6 4 4 2 2" xfId="33395"/>
    <cellStyle name="Обычный 7 6 4 4 2 2 2" xfId="33396"/>
    <cellStyle name="Обычный 7 6 4 4 2 2 3" xfId="33397"/>
    <cellStyle name="Обычный 7 6 4 4 2 3" xfId="33398"/>
    <cellStyle name="Обычный 7 6 4 4 2 3 2" xfId="33399"/>
    <cellStyle name="Обычный 7 6 4 4 2 3 3" xfId="33400"/>
    <cellStyle name="Обычный 7 6 4 4 2 4" xfId="33401"/>
    <cellStyle name="Обычный 7 6 4 4 2 4 2" xfId="33402"/>
    <cellStyle name="Обычный 7 6 4 4 2 5" xfId="33403"/>
    <cellStyle name="Обычный 7 6 4 4 2 6" xfId="33404"/>
    <cellStyle name="Обычный 7 6 4 4 3" xfId="33405"/>
    <cellStyle name="Обычный 7 6 4 4 3 2" xfId="33406"/>
    <cellStyle name="Обычный 7 6 4 4 3 3" xfId="33407"/>
    <cellStyle name="Обычный 7 6 4 4 4" xfId="33408"/>
    <cellStyle name="Обычный 7 6 4 4 4 2" xfId="33409"/>
    <cellStyle name="Обычный 7 6 4 4 4 3" xfId="33410"/>
    <cellStyle name="Обычный 7 6 4 4 5" xfId="33411"/>
    <cellStyle name="Обычный 7 6 4 4 5 2" xfId="33412"/>
    <cellStyle name="Обычный 7 6 4 4 6" xfId="33413"/>
    <cellStyle name="Обычный 7 6 4 4 7" xfId="33414"/>
    <cellStyle name="Обычный 7 6 4 5" xfId="33415"/>
    <cellStyle name="Обычный 7 6 4 5 2" xfId="33416"/>
    <cellStyle name="Обычный 7 6 4 5 2 2" xfId="33417"/>
    <cellStyle name="Обычный 7 6 4 5 2 3" xfId="33418"/>
    <cellStyle name="Обычный 7 6 4 5 3" xfId="33419"/>
    <cellStyle name="Обычный 7 6 4 5 3 2" xfId="33420"/>
    <cellStyle name="Обычный 7 6 4 5 3 3" xfId="33421"/>
    <cellStyle name="Обычный 7 6 4 5 4" xfId="33422"/>
    <cellStyle name="Обычный 7 6 4 5 4 2" xfId="33423"/>
    <cellStyle name="Обычный 7 6 4 5 5" xfId="33424"/>
    <cellStyle name="Обычный 7 6 4 5 6" xfId="33425"/>
    <cellStyle name="Обычный 7 6 4 6" xfId="33426"/>
    <cellStyle name="Обычный 7 6 4 6 2" xfId="33427"/>
    <cellStyle name="Обычный 7 6 4 6 3" xfId="33428"/>
    <cellStyle name="Обычный 7 6 4 7" xfId="33429"/>
    <cellStyle name="Обычный 7 6 4 7 2" xfId="33430"/>
    <cellStyle name="Обычный 7 6 4 7 3" xfId="33431"/>
    <cellStyle name="Обычный 7 6 4 8" xfId="33432"/>
    <cellStyle name="Обычный 7 6 4 8 2" xfId="33433"/>
    <cellStyle name="Обычный 7 6 4 9" xfId="33434"/>
    <cellStyle name="Обычный 7 6 5" xfId="33435"/>
    <cellStyle name="Обычный 7 6 5 10" xfId="33436"/>
    <cellStyle name="Обычный 7 6 5 2" xfId="33437"/>
    <cellStyle name="Обычный 7 6 5 2 2" xfId="33438"/>
    <cellStyle name="Обычный 7 6 5 2 2 2" xfId="33439"/>
    <cellStyle name="Обычный 7 6 5 2 2 2 2" xfId="33440"/>
    <cellStyle name="Обычный 7 6 5 2 2 2 2 2" xfId="33441"/>
    <cellStyle name="Обычный 7 6 5 2 2 2 2 2 2" xfId="33442"/>
    <cellStyle name="Обычный 7 6 5 2 2 2 2 2 3" xfId="33443"/>
    <cellStyle name="Обычный 7 6 5 2 2 2 2 3" xfId="33444"/>
    <cellStyle name="Обычный 7 6 5 2 2 2 2 3 2" xfId="33445"/>
    <cellStyle name="Обычный 7 6 5 2 2 2 2 3 3" xfId="33446"/>
    <cellStyle name="Обычный 7 6 5 2 2 2 2 4" xfId="33447"/>
    <cellStyle name="Обычный 7 6 5 2 2 2 2 4 2" xfId="33448"/>
    <cellStyle name="Обычный 7 6 5 2 2 2 2 5" xfId="33449"/>
    <cellStyle name="Обычный 7 6 5 2 2 2 2 6" xfId="33450"/>
    <cellStyle name="Обычный 7 6 5 2 2 2 3" xfId="33451"/>
    <cellStyle name="Обычный 7 6 5 2 2 2 3 2" xfId="33452"/>
    <cellStyle name="Обычный 7 6 5 2 2 2 3 3" xfId="33453"/>
    <cellStyle name="Обычный 7 6 5 2 2 2 4" xfId="33454"/>
    <cellStyle name="Обычный 7 6 5 2 2 2 4 2" xfId="33455"/>
    <cellStyle name="Обычный 7 6 5 2 2 2 4 3" xfId="33456"/>
    <cellStyle name="Обычный 7 6 5 2 2 2 5" xfId="33457"/>
    <cellStyle name="Обычный 7 6 5 2 2 2 5 2" xfId="33458"/>
    <cellStyle name="Обычный 7 6 5 2 2 2 6" xfId="33459"/>
    <cellStyle name="Обычный 7 6 5 2 2 2 7" xfId="33460"/>
    <cellStyle name="Обычный 7 6 5 2 2 3" xfId="33461"/>
    <cellStyle name="Обычный 7 6 5 2 2 3 2" xfId="33462"/>
    <cellStyle name="Обычный 7 6 5 2 2 3 2 2" xfId="33463"/>
    <cellStyle name="Обычный 7 6 5 2 2 3 2 3" xfId="33464"/>
    <cellStyle name="Обычный 7 6 5 2 2 3 3" xfId="33465"/>
    <cellStyle name="Обычный 7 6 5 2 2 3 3 2" xfId="33466"/>
    <cellStyle name="Обычный 7 6 5 2 2 3 3 3" xfId="33467"/>
    <cellStyle name="Обычный 7 6 5 2 2 3 4" xfId="33468"/>
    <cellStyle name="Обычный 7 6 5 2 2 3 4 2" xfId="33469"/>
    <cellStyle name="Обычный 7 6 5 2 2 3 5" xfId="33470"/>
    <cellStyle name="Обычный 7 6 5 2 2 3 6" xfId="33471"/>
    <cellStyle name="Обычный 7 6 5 2 2 4" xfId="33472"/>
    <cellStyle name="Обычный 7 6 5 2 2 4 2" xfId="33473"/>
    <cellStyle name="Обычный 7 6 5 2 2 4 3" xfId="33474"/>
    <cellStyle name="Обычный 7 6 5 2 2 5" xfId="33475"/>
    <cellStyle name="Обычный 7 6 5 2 2 5 2" xfId="33476"/>
    <cellStyle name="Обычный 7 6 5 2 2 5 3" xfId="33477"/>
    <cellStyle name="Обычный 7 6 5 2 2 6" xfId="33478"/>
    <cellStyle name="Обычный 7 6 5 2 2 6 2" xfId="33479"/>
    <cellStyle name="Обычный 7 6 5 2 2 7" xfId="33480"/>
    <cellStyle name="Обычный 7 6 5 2 2 8" xfId="33481"/>
    <cellStyle name="Обычный 7 6 5 2 3" xfId="33482"/>
    <cellStyle name="Обычный 7 6 5 2 3 2" xfId="33483"/>
    <cellStyle name="Обычный 7 6 5 2 3 2 2" xfId="33484"/>
    <cellStyle name="Обычный 7 6 5 2 3 2 2 2" xfId="33485"/>
    <cellStyle name="Обычный 7 6 5 2 3 2 2 3" xfId="33486"/>
    <cellStyle name="Обычный 7 6 5 2 3 2 3" xfId="33487"/>
    <cellStyle name="Обычный 7 6 5 2 3 2 3 2" xfId="33488"/>
    <cellStyle name="Обычный 7 6 5 2 3 2 3 3" xfId="33489"/>
    <cellStyle name="Обычный 7 6 5 2 3 2 4" xfId="33490"/>
    <cellStyle name="Обычный 7 6 5 2 3 2 4 2" xfId="33491"/>
    <cellStyle name="Обычный 7 6 5 2 3 2 5" xfId="33492"/>
    <cellStyle name="Обычный 7 6 5 2 3 2 6" xfId="33493"/>
    <cellStyle name="Обычный 7 6 5 2 3 3" xfId="33494"/>
    <cellStyle name="Обычный 7 6 5 2 3 3 2" xfId="33495"/>
    <cellStyle name="Обычный 7 6 5 2 3 3 3" xfId="33496"/>
    <cellStyle name="Обычный 7 6 5 2 3 4" xfId="33497"/>
    <cellStyle name="Обычный 7 6 5 2 3 4 2" xfId="33498"/>
    <cellStyle name="Обычный 7 6 5 2 3 4 3" xfId="33499"/>
    <cellStyle name="Обычный 7 6 5 2 3 5" xfId="33500"/>
    <cellStyle name="Обычный 7 6 5 2 3 5 2" xfId="33501"/>
    <cellStyle name="Обычный 7 6 5 2 3 6" xfId="33502"/>
    <cellStyle name="Обычный 7 6 5 2 3 7" xfId="33503"/>
    <cellStyle name="Обычный 7 6 5 2 4" xfId="33504"/>
    <cellStyle name="Обычный 7 6 5 2 4 2" xfId="33505"/>
    <cellStyle name="Обычный 7 6 5 2 4 2 2" xfId="33506"/>
    <cellStyle name="Обычный 7 6 5 2 4 2 3" xfId="33507"/>
    <cellStyle name="Обычный 7 6 5 2 4 3" xfId="33508"/>
    <cellStyle name="Обычный 7 6 5 2 4 3 2" xfId="33509"/>
    <cellStyle name="Обычный 7 6 5 2 4 3 3" xfId="33510"/>
    <cellStyle name="Обычный 7 6 5 2 4 4" xfId="33511"/>
    <cellStyle name="Обычный 7 6 5 2 4 4 2" xfId="33512"/>
    <cellStyle name="Обычный 7 6 5 2 4 5" xfId="33513"/>
    <cellStyle name="Обычный 7 6 5 2 4 6" xfId="33514"/>
    <cellStyle name="Обычный 7 6 5 2 5" xfId="33515"/>
    <cellStyle name="Обычный 7 6 5 2 5 2" xfId="33516"/>
    <cellStyle name="Обычный 7 6 5 2 5 3" xfId="33517"/>
    <cellStyle name="Обычный 7 6 5 2 6" xfId="33518"/>
    <cellStyle name="Обычный 7 6 5 2 6 2" xfId="33519"/>
    <cellStyle name="Обычный 7 6 5 2 6 3" xfId="33520"/>
    <cellStyle name="Обычный 7 6 5 2 7" xfId="33521"/>
    <cellStyle name="Обычный 7 6 5 2 7 2" xfId="33522"/>
    <cellStyle name="Обычный 7 6 5 2 8" xfId="33523"/>
    <cellStyle name="Обычный 7 6 5 2 9" xfId="33524"/>
    <cellStyle name="Обычный 7 6 5 3" xfId="33525"/>
    <cellStyle name="Обычный 7 6 5 3 2" xfId="33526"/>
    <cellStyle name="Обычный 7 6 5 3 2 2" xfId="33527"/>
    <cellStyle name="Обычный 7 6 5 3 2 2 2" xfId="33528"/>
    <cellStyle name="Обычный 7 6 5 3 2 2 2 2" xfId="33529"/>
    <cellStyle name="Обычный 7 6 5 3 2 2 2 3" xfId="33530"/>
    <cellStyle name="Обычный 7 6 5 3 2 2 3" xfId="33531"/>
    <cellStyle name="Обычный 7 6 5 3 2 2 3 2" xfId="33532"/>
    <cellStyle name="Обычный 7 6 5 3 2 2 3 3" xfId="33533"/>
    <cellStyle name="Обычный 7 6 5 3 2 2 4" xfId="33534"/>
    <cellStyle name="Обычный 7 6 5 3 2 2 4 2" xfId="33535"/>
    <cellStyle name="Обычный 7 6 5 3 2 2 5" xfId="33536"/>
    <cellStyle name="Обычный 7 6 5 3 2 2 6" xfId="33537"/>
    <cellStyle name="Обычный 7 6 5 3 2 3" xfId="33538"/>
    <cellStyle name="Обычный 7 6 5 3 2 3 2" xfId="33539"/>
    <cellStyle name="Обычный 7 6 5 3 2 3 3" xfId="33540"/>
    <cellStyle name="Обычный 7 6 5 3 2 4" xfId="33541"/>
    <cellStyle name="Обычный 7 6 5 3 2 4 2" xfId="33542"/>
    <cellStyle name="Обычный 7 6 5 3 2 4 3" xfId="33543"/>
    <cellStyle name="Обычный 7 6 5 3 2 5" xfId="33544"/>
    <cellStyle name="Обычный 7 6 5 3 2 5 2" xfId="33545"/>
    <cellStyle name="Обычный 7 6 5 3 2 6" xfId="33546"/>
    <cellStyle name="Обычный 7 6 5 3 2 7" xfId="33547"/>
    <cellStyle name="Обычный 7 6 5 3 3" xfId="33548"/>
    <cellStyle name="Обычный 7 6 5 3 3 2" xfId="33549"/>
    <cellStyle name="Обычный 7 6 5 3 3 2 2" xfId="33550"/>
    <cellStyle name="Обычный 7 6 5 3 3 2 3" xfId="33551"/>
    <cellStyle name="Обычный 7 6 5 3 3 3" xfId="33552"/>
    <cellStyle name="Обычный 7 6 5 3 3 3 2" xfId="33553"/>
    <cellStyle name="Обычный 7 6 5 3 3 3 3" xfId="33554"/>
    <cellStyle name="Обычный 7 6 5 3 3 4" xfId="33555"/>
    <cellStyle name="Обычный 7 6 5 3 3 4 2" xfId="33556"/>
    <cellStyle name="Обычный 7 6 5 3 3 5" xfId="33557"/>
    <cellStyle name="Обычный 7 6 5 3 3 6" xfId="33558"/>
    <cellStyle name="Обычный 7 6 5 3 4" xfId="33559"/>
    <cellStyle name="Обычный 7 6 5 3 4 2" xfId="33560"/>
    <cellStyle name="Обычный 7 6 5 3 4 3" xfId="33561"/>
    <cellStyle name="Обычный 7 6 5 3 5" xfId="33562"/>
    <cellStyle name="Обычный 7 6 5 3 5 2" xfId="33563"/>
    <cellStyle name="Обычный 7 6 5 3 5 3" xfId="33564"/>
    <cellStyle name="Обычный 7 6 5 3 6" xfId="33565"/>
    <cellStyle name="Обычный 7 6 5 3 6 2" xfId="33566"/>
    <cellStyle name="Обычный 7 6 5 3 7" xfId="33567"/>
    <cellStyle name="Обычный 7 6 5 3 8" xfId="33568"/>
    <cellStyle name="Обычный 7 6 5 4" xfId="33569"/>
    <cellStyle name="Обычный 7 6 5 4 2" xfId="33570"/>
    <cellStyle name="Обычный 7 6 5 4 2 2" xfId="33571"/>
    <cellStyle name="Обычный 7 6 5 4 2 2 2" xfId="33572"/>
    <cellStyle name="Обычный 7 6 5 4 2 2 3" xfId="33573"/>
    <cellStyle name="Обычный 7 6 5 4 2 3" xfId="33574"/>
    <cellStyle name="Обычный 7 6 5 4 2 3 2" xfId="33575"/>
    <cellStyle name="Обычный 7 6 5 4 2 3 3" xfId="33576"/>
    <cellStyle name="Обычный 7 6 5 4 2 4" xfId="33577"/>
    <cellStyle name="Обычный 7 6 5 4 2 4 2" xfId="33578"/>
    <cellStyle name="Обычный 7 6 5 4 2 5" xfId="33579"/>
    <cellStyle name="Обычный 7 6 5 4 2 6" xfId="33580"/>
    <cellStyle name="Обычный 7 6 5 4 3" xfId="33581"/>
    <cellStyle name="Обычный 7 6 5 4 3 2" xfId="33582"/>
    <cellStyle name="Обычный 7 6 5 4 3 3" xfId="33583"/>
    <cellStyle name="Обычный 7 6 5 4 4" xfId="33584"/>
    <cellStyle name="Обычный 7 6 5 4 4 2" xfId="33585"/>
    <cellStyle name="Обычный 7 6 5 4 4 3" xfId="33586"/>
    <cellStyle name="Обычный 7 6 5 4 5" xfId="33587"/>
    <cellStyle name="Обычный 7 6 5 4 5 2" xfId="33588"/>
    <cellStyle name="Обычный 7 6 5 4 6" xfId="33589"/>
    <cellStyle name="Обычный 7 6 5 4 7" xfId="33590"/>
    <cellStyle name="Обычный 7 6 5 5" xfId="33591"/>
    <cellStyle name="Обычный 7 6 5 5 2" xfId="33592"/>
    <cellStyle name="Обычный 7 6 5 5 2 2" xfId="33593"/>
    <cellStyle name="Обычный 7 6 5 5 2 3" xfId="33594"/>
    <cellStyle name="Обычный 7 6 5 5 3" xfId="33595"/>
    <cellStyle name="Обычный 7 6 5 5 3 2" xfId="33596"/>
    <cellStyle name="Обычный 7 6 5 5 3 3" xfId="33597"/>
    <cellStyle name="Обычный 7 6 5 5 4" xfId="33598"/>
    <cellStyle name="Обычный 7 6 5 5 4 2" xfId="33599"/>
    <cellStyle name="Обычный 7 6 5 5 5" xfId="33600"/>
    <cellStyle name="Обычный 7 6 5 5 6" xfId="33601"/>
    <cellStyle name="Обычный 7 6 5 6" xfId="33602"/>
    <cellStyle name="Обычный 7 6 5 6 2" xfId="33603"/>
    <cellStyle name="Обычный 7 6 5 6 3" xfId="33604"/>
    <cellStyle name="Обычный 7 6 5 7" xfId="33605"/>
    <cellStyle name="Обычный 7 6 5 7 2" xfId="33606"/>
    <cellStyle name="Обычный 7 6 5 7 3" xfId="33607"/>
    <cellStyle name="Обычный 7 6 5 8" xfId="33608"/>
    <cellStyle name="Обычный 7 6 5 8 2" xfId="33609"/>
    <cellStyle name="Обычный 7 6 5 9" xfId="33610"/>
    <cellStyle name="Обычный 7 6 6" xfId="33611"/>
    <cellStyle name="Обычный 7 6 6 2" xfId="33612"/>
    <cellStyle name="Обычный 7 6 6 2 2" xfId="33613"/>
    <cellStyle name="Обычный 7 6 6 2 2 2" xfId="33614"/>
    <cellStyle name="Обычный 7 6 6 2 2 2 2" xfId="33615"/>
    <cellStyle name="Обычный 7 6 6 2 2 2 2 2" xfId="33616"/>
    <cellStyle name="Обычный 7 6 6 2 2 2 2 3" xfId="33617"/>
    <cellStyle name="Обычный 7 6 6 2 2 2 3" xfId="33618"/>
    <cellStyle name="Обычный 7 6 6 2 2 2 3 2" xfId="33619"/>
    <cellStyle name="Обычный 7 6 6 2 2 2 3 3" xfId="33620"/>
    <cellStyle name="Обычный 7 6 6 2 2 2 4" xfId="33621"/>
    <cellStyle name="Обычный 7 6 6 2 2 2 4 2" xfId="33622"/>
    <cellStyle name="Обычный 7 6 6 2 2 2 5" xfId="33623"/>
    <cellStyle name="Обычный 7 6 6 2 2 2 6" xfId="33624"/>
    <cellStyle name="Обычный 7 6 6 2 2 3" xfId="33625"/>
    <cellStyle name="Обычный 7 6 6 2 2 3 2" xfId="33626"/>
    <cellStyle name="Обычный 7 6 6 2 2 3 3" xfId="33627"/>
    <cellStyle name="Обычный 7 6 6 2 2 4" xfId="33628"/>
    <cellStyle name="Обычный 7 6 6 2 2 4 2" xfId="33629"/>
    <cellStyle name="Обычный 7 6 6 2 2 4 3" xfId="33630"/>
    <cellStyle name="Обычный 7 6 6 2 2 5" xfId="33631"/>
    <cellStyle name="Обычный 7 6 6 2 2 5 2" xfId="33632"/>
    <cellStyle name="Обычный 7 6 6 2 2 6" xfId="33633"/>
    <cellStyle name="Обычный 7 6 6 2 2 7" xfId="33634"/>
    <cellStyle name="Обычный 7 6 6 2 3" xfId="33635"/>
    <cellStyle name="Обычный 7 6 6 2 3 2" xfId="33636"/>
    <cellStyle name="Обычный 7 6 6 2 3 2 2" xfId="33637"/>
    <cellStyle name="Обычный 7 6 6 2 3 2 3" xfId="33638"/>
    <cellStyle name="Обычный 7 6 6 2 3 3" xfId="33639"/>
    <cellStyle name="Обычный 7 6 6 2 3 3 2" xfId="33640"/>
    <cellStyle name="Обычный 7 6 6 2 3 3 3" xfId="33641"/>
    <cellStyle name="Обычный 7 6 6 2 3 4" xfId="33642"/>
    <cellStyle name="Обычный 7 6 6 2 3 4 2" xfId="33643"/>
    <cellStyle name="Обычный 7 6 6 2 3 5" xfId="33644"/>
    <cellStyle name="Обычный 7 6 6 2 3 6" xfId="33645"/>
    <cellStyle name="Обычный 7 6 6 2 4" xfId="33646"/>
    <cellStyle name="Обычный 7 6 6 2 4 2" xfId="33647"/>
    <cellStyle name="Обычный 7 6 6 2 4 3" xfId="33648"/>
    <cellStyle name="Обычный 7 6 6 2 5" xfId="33649"/>
    <cellStyle name="Обычный 7 6 6 2 5 2" xfId="33650"/>
    <cellStyle name="Обычный 7 6 6 2 5 3" xfId="33651"/>
    <cellStyle name="Обычный 7 6 6 2 6" xfId="33652"/>
    <cellStyle name="Обычный 7 6 6 2 6 2" xfId="33653"/>
    <cellStyle name="Обычный 7 6 6 2 7" xfId="33654"/>
    <cellStyle name="Обычный 7 6 6 2 8" xfId="33655"/>
    <cellStyle name="Обычный 7 6 6 3" xfId="33656"/>
    <cellStyle name="Обычный 7 6 6 3 2" xfId="33657"/>
    <cellStyle name="Обычный 7 6 6 3 2 2" xfId="33658"/>
    <cellStyle name="Обычный 7 6 6 3 2 2 2" xfId="33659"/>
    <cellStyle name="Обычный 7 6 6 3 2 2 3" xfId="33660"/>
    <cellStyle name="Обычный 7 6 6 3 2 3" xfId="33661"/>
    <cellStyle name="Обычный 7 6 6 3 2 3 2" xfId="33662"/>
    <cellStyle name="Обычный 7 6 6 3 2 3 3" xfId="33663"/>
    <cellStyle name="Обычный 7 6 6 3 2 4" xfId="33664"/>
    <cellStyle name="Обычный 7 6 6 3 2 4 2" xfId="33665"/>
    <cellStyle name="Обычный 7 6 6 3 2 5" xfId="33666"/>
    <cellStyle name="Обычный 7 6 6 3 2 6" xfId="33667"/>
    <cellStyle name="Обычный 7 6 6 3 3" xfId="33668"/>
    <cellStyle name="Обычный 7 6 6 3 3 2" xfId="33669"/>
    <cellStyle name="Обычный 7 6 6 3 3 3" xfId="33670"/>
    <cellStyle name="Обычный 7 6 6 3 4" xfId="33671"/>
    <cellStyle name="Обычный 7 6 6 3 4 2" xfId="33672"/>
    <cellStyle name="Обычный 7 6 6 3 4 3" xfId="33673"/>
    <cellStyle name="Обычный 7 6 6 3 5" xfId="33674"/>
    <cellStyle name="Обычный 7 6 6 3 5 2" xfId="33675"/>
    <cellStyle name="Обычный 7 6 6 3 6" xfId="33676"/>
    <cellStyle name="Обычный 7 6 6 3 7" xfId="33677"/>
    <cellStyle name="Обычный 7 6 6 4" xfId="33678"/>
    <cellStyle name="Обычный 7 6 6 4 2" xfId="33679"/>
    <cellStyle name="Обычный 7 6 6 4 2 2" xfId="33680"/>
    <cellStyle name="Обычный 7 6 6 4 2 3" xfId="33681"/>
    <cellStyle name="Обычный 7 6 6 4 3" xfId="33682"/>
    <cellStyle name="Обычный 7 6 6 4 3 2" xfId="33683"/>
    <cellStyle name="Обычный 7 6 6 4 3 3" xfId="33684"/>
    <cellStyle name="Обычный 7 6 6 4 4" xfId="33685"/>
    <cellStyle name="Обычный 7 6 6 4 4 2" xfId="33686"/>
    <cellStyle name="Обычный 7 6 6 4 5" xfId="33687"/>
    <cellStyle name="Обычный 7 6 6 4 6" xfId="33688"/>
    <cellStyle name="Обычный 7 6 6 5" xfId="33689"/>
    <cellStyle name="Обычный 7 6 6 5 2" xfId="33690"/>
    <cellStyle name="Обычный 7 6 6 5 3" xfId="33691"/>
    <cellStyle name="Обычный 7 6 6 6" xfId="33692"/>
    <cellStyle name="Обычный 7 6 6 6 2" xfId="33693"/>
    <cellStyle name="Обычный 7 6 6 6 3" xfId="33694"/>
    <cellStyle name="Обычный 7 6 6 7" xfId="33695"/>
    <cellStyle name="Обычный 7 6 6 7 2" xfId="33696"/>
    <cellStyle name="Обычный 7 6 6 8" xfId="33697"/>
    <cellStyle name="Обычный 7 6 6 9" xfId="33698"/>
    <cellStyle name="Обычный 7 6 7" xfId="33699"/>
    <cellStyle name="Обычный 7 6 7 2" xfId="33700"/>
    <cellStyle name="Обычный 7 6 7 2 2" xfId="33701"/>
    <cellStyle name="Обычный 7 6 7 2 2 2" xfId="33702"/>
    <cellStyle name="Обычный 7 6 7 2 2 2 2" xfId="33703"/>
    <cellStyle name="Обычный 7 6 7 2 2 2 3" xfId="33704"/>
    <cellStyle name="Обычный 7 6 7 2 2 3" xfId="33705"/>
    <cellStyle name="Обычный 7 6 7 2 2 3 2" xfId="33706"/>
    <cellStyle name="Обычный 7 6 7 2 2 3 3" xfId="33707"/>
    <cellStyle name="Обычный 7 6 7 2 2 4" xfId="33708"/>
    <cellStyle name="Обычный 7 6 7 2 2 4 2" xfId="33709"/>
    <cellStyle name="Обычный 7 6 7 2 2 5" xfId="33710"/>
    <cellStyle name="Обычный 7 6 7 2 2 6" xfId="33711"/>
    <cellStyle name="Обычный 7 6 7 2 3" xfId="33712"/>
    <cellStyle name="Обычный 7 6 7 2 3 2" xfId="33713"/>
    <cellStyle name="Обычный 7 6 7 2 3 3" xfId="33714"/>
    <cellStyle name="Обычный 7 6 7 2 4" xfId="33715"/>
    <cellStyle name="Обычный 7 6 7 2 4 2" xfId="33716"/>
    <cellStyle name="Обычный 7 6 7 2 4 3" xfId="33717"/>
    <cellStyle name="Обычный 7 6 7 2 5" xfId="33718"/>
    <cellStyle name="Обычный 7 6 7 2 5 2" xfId="33719"/>
    <cellStyle name="Обычный 7 6 7 2 6" xfId="33720"/>
    <cellStyle name="Обычный 7 6 7 2 7" xfId="33721"/>
    <cellStyle name="Обычный 7 6 7 3" xfId="33722"/>
    <cellStyle name="Обычный 7 6 7 3 2" xfId="33723"/>
    <cellStyle name="Обычный 7 6 7 3 2 2" xfId="33724"/>
    <cellStyle name="Обычный 7 6 7 3 2 3" xfId="33725"/>
    <cellStyle name="Обычный 7 6 7 3 3" xfId="33726"/>
    <cellStyle name="Обычный 7 6 7 3 3 2" xfId="33727"/>
    <cellStyle name="Обычный 7 6 7 3 3 3" xfId="33728"/>
    <cellStyle name="Обычный 7 6 7 3 4" xfId="33729"/>
    <cellStyle name="Обычный 7 6 7 3 4 2" xfId="33730"/>
    <cellStyle name="Обычный 7 6 7 3 5" xfId="33731"/>
    <cellStyle name="Обычный 7 6 7 3 6" xfId="33732"/>
    <cellStyle name="Обычный 7 6 7 4" xfId="33733"/>
    <cellStyle name="Обычный 7 6 7 4 2" xfId="33734"/>
    <cellStyle name="Обычный 7 6 7 4 3" xfId="33735"/>
    <cellStyle name="Обычный 7 6 7 5" xfId="33736"/>
    <cellStyle name="Обычный 7 6 7 5 2" xfId="33737"/>
    <cellStyle name="Обычный 7 6 7 5 3" xfId="33738"/>
    <cellStyle name="Обычный 7 6 7 6" xfId="33739"/>
    <cellStyle name="Обычный 7 6 7 6 2" xfId="33740"/>
    <cellStyle name="Обычный 7 6 7 7" xfId="33741"/>
    <cellStyle name="Обычный 7 6 7 8" xfId="33742"/>
    <cellStyle name="Обычный 7 6 8" xfId="33743"/>
    <cellStyle name="Обычный 7 6 8 2" xfId="33744"/>
    <cellStyle name="Обычный 7 6 8 2 2" xfId="33745"/>
    <cellStyle name="Обычный 7 6 8 2 2 2" xfId="33746"/>
    <cellStyle name="Обычный 7 6 8 2 2 3" xfId="33747"/>
    <cellStyle name="Обычный 7 6 8 2 3" xfId="33748"/>
    <cellStyle name="Обычный 7 6 8 2 3 2" xfId="33749"/>
    <cellStyle name="Обычный 7 6 8 2 3 3" xfId="33750"/>
    <cellStyle name="Обычный 7 6 8 2 4" xfId="33751"/>
    <cellStyle name="Обычный 7 6 8 2 4 2" xfId="33752"/>
    <cellStyle name="Обычный 7 6 8 2 5" xfId="33753"/>
    <cellStyle name="Обычный 7 6 8 2 6" xfId="33754"/>
    <cellStyle name="Обычный 7 6 8 3" xfId="33755"/>
    <cellStyle name="Обычный 7 6 8 3 2" xfId="33756"/>
    <cellStyle name="Обычный 7 6 8 3 3" xfId="33757"/>
    <cellStyle name="Обычный 7 6 8 4" xfId="33758"/>
    <cellStyle name="Обычный 7 6 8 4 2" xfId="33759"/>
    <cellStyle name="Обычный 7 6 8 4 3" xfId="33760"/>
    <cellStyle name="Обычный 7 6 8 5" xfId="33761"/>
    <cellStyle name="Обычный 7 6 8 5 2" xfId="33762"/>
    <cellStyle name="Обычный 7 6 8 6" xfId="33763"/>
    <cellStyle name="Обычный 7 6 8 7" xfId="33764"/>
    <cellStyle name="Обычный 7 6 9" xfId="33765"/>
    <cellStyle name="Обычный 7 6 9 2" xfId="33766"/>
    <cellStyle name="Обычный 7 6 9 2 2" xfId="33767"/>
    <cellStyle name="Обычный 7 6 9 2 3" xfId="33768"/>
    <cellStyle name="Обычный 7 6 9 3" xfId="33769"/>
    <cellStyle name="Обычный 7 6 9 3 2" xfId="33770"/>
    <cellStyle name="Обычный 7 6 9 3 3" xfId="33771"/>
    <cellStyle name="Обычный 7 6 9 4" xfId="33772"/>
    <cellStyle name="Обычный 7 6 9 4 2" xfId="33773"/>
    <cellStyle name="Обычный 7 6 9 5" xfId="33774"/>
    <cellStyle name="Обычный 7 6 9 6" xfId="33775"/>
    <cellStyle name="Обычный 7 7" xfId="33776"/>
    <cellStyle name="Обычный 7 7 10" xfId="33777"/>
    <cellStyle name="Обычный 7 7 10 2" xfId="33778"/>
    <cellStyle name="Обычный 7 7 10 3" xfId="33779"/>
    <cellStyle name="Обычный 7 7 11" xfId="33780"/>
    <cellStyle name="Обычный 7 7 11 2" xfId="33781"/>
    <cellStyle name="Обычный 7 7 11 3" xfId="33782"/>
    <cellStyle name="Обычный 7 7 12" xfId="33783"/>
    <cellStyle name="Обычный 7 7 12 2" xfId="33784"/>
    <cellStyle name="Обычный 7 7 13" xfId="33785"/>
    <cellStyle name="Обычный 7 7 14" xfId="33786"/>
    <cellStyle name="Обычный 7 7 2" xfId="33787"/>
    <cellStyle name="Обычный 7 7 2 10" xfId="33788"/>
    <cellStyle name="Обычный 7 7 2 10 2" xfId="33789"/>
    <cellStyle name="Обычный 7 7 2 10 3" xfId="33790"/>
    <cellStyle name="Обычный 7 7 2 11" xfId="33791"/>
    <cellStyle name="Обычный 7 7 2 11 2" xfId="33792"/>
    <cellStyle name="Обычный 7 7 2 12" xfId="33793"/>
    <cellStyle name="Обычный 7 7 2 13" xfId="33794"/>
    <cellStyle name="Обычный 7 7 2 2" xfId="33795"/>
    <cellStyle name="Обычный 7 7 2 2 10" xfId="33796"/>
    <cellStyle name="Обычный 7 7 2 2 2" xfId="33797"/>
    <cellStyle name="Обычный 7 7 2 2 2 2" xfId="33798"/>
    <cellStyle name="Обычный 7 7 2 2 2 2 2" xfId="33799"/>
    <cellStyle name="Обычный 7 7 2 2 2 2 2 2" xfId="33800"/>
    <cellStyle name="Обычный 7 7 2 2 2 2 2 2 2" xfId="33801"/>
    <cellStyle name="Обычный 7 7 2 2 2 2 2 2 2 2" xfId="33802"/>
    <cellStyle name="Обычный 7 7 2 2 2 2 2 2 2 3" xfId="33803"/>
    <cellStyle name="Обычный 7 7 2 2 2 2 2 2 3" xfId="33804"/>
    <cellStyle name="Обычный 7 7 2 2 2 2 2 2 3 2" xfId="33805"/>
    <cellStyle name="Обычный 7 7 2 2 2 2 2 2 3 3" xfId="33806"/>
    <cellStyle name="Обычный 7 7 2 2 2 2 2 2 4" xfId="33807"/>
    <cellStyle name="Обычный 7 7 2 2 2 2 2 2 4 2" xfId="33808"/>
    <cellStyle name="Обычный 7 7 2 2 2 2 2 2 5" xfId="33809"/>
    <cellStyle name="Обычный 7 7 2 2 2 2 2 2 6" xfId="33810"/>
    <cellStyle name="Обычный 7 7 2 2 2 2 2 3" xfId="33811"/>
    <cellStyle name="Обычный 7 7 2 2 2 2 2 3 2" xfId="33812"/>
    <cellStyle name="Обычный 7 7 2 2 2 2 2 3 3" xfId="33813"/>
    <cellStyle name="Обычный 7 7 2 2 2 2 2 4" xfId="33814"/>
    <cellStyle name="Обычный 7 7 2 2 2 2 2 4 2" xfId="33815"/>
    <cellStyle name="Обычный 7 7 2 2 2 2 2 4 3" xfId="33816"/>
    <cellStyle name="Обычный 7 7 2 2 2 2 2 5" xfId="33817"/>
    <cellStyle name="Обычный 7 7 2 2 2 2 2 5 2" xfId="33818"/>
    <cellStyle name="Обычный 7 7 2 2 2 2 2 6" xfId="33819"/>
    <cellStyle name="Обычный 7 7 2 2 2 2 2 7" xfId="33820"/>
    <cellStyle name="Обычный 7 7 2 2 2 2 3" xfId="33821"/>
    <cellStyle name="Обычный 7 7 2 2 2 2 3 2" xfId="33822"/>
    <cellStyle name="Обычный 7 7 2 2 2 2 3 2 2" xfId="33823"/>
    <cellStyle name="Обычный 7 7 2 2 2 2 3 2 3" xfId="33824"/>
    <cellStyle name="Обычный 7 7 2 2 2 2 3 3" xfId="33825"/>
    <cellStyle name="Обычный 7 7 2 2 2 2 3 3 2" xfId="33826"/>
    <cellStyle name="Обычный 7 7 2 2 2 2 3 3 3" xfId="33827"/>
    <cellStyle name="Обычный 7 7 2 2 2 2 3 4" xfId="33828"/>
    <cellStyle name="Обычный 7 7 2 2 2 2 3 4 2" xfId="33829"/>
    <cellStyle name="Обычный 7 7 2 2 2 2 3 5" xfId="33830"/>
    <cellStyle name="Обычный 7 7 2 2 2 2 3 6" xfId="33831"/>
    <cellStyle name="Обычный 7 7 2 2 2 2 4" xfId="33832"/>
    <cellStyle name="Обычный 7 7 2 2 2 2 4 2" xfId="33833"/>
    <cellStyle name="Обычный 7 7 2 2 2 2 4 3" xfId="33834"/>
    <cellStyle name="Обычный 7 7 2 2 2 2 5" xfId="33835"/>
    <cellStyle name="Обычный 7 7 2 2 2 2 5 2" xfId="33836"/>
    <cellStyle name="Обычный 7 7 2 2 2 2 5 3" xfId="33837"/>
    <cellStyle name="Обычный 7 7 2 2 2 2 6" xfId="33838"/>
    <cellStyle name="Обычный 7 7 2 2 2 2 6 2" xfId="33839"/>
    <cellStyle name="Обычный 7 7 2 2 2 2 7" xfId="33840"/>
    <cellStyle name="Обычный 7 7 2 2 2 2 8" xfId="33841"/>
    <cellStyle name="Обычный 7 7 2 2 2 3" xfId="33842"/>
    <cellStyle name="Обычный 7 7 2 2 2 3 2" xfId="33843"/>
    <cellStyle name="Обычный 7 7 2 2 2 3 2 2" xfId="33844"/>
    <cellStyle name="Обычный 7 7 2 2 2 3 2 2 2" xfId="33845"/>
    <cellStyle name="Обычный 7 7 2 2 2 3 2 2 3" xfId="33846"/>
    <cellStyle name="Обычный 7 7 2 2 2 3 2 3" xfId="33847"/>
    <cellStyle name="Обычный 7 7 2 2 2 3 2 3 2" xfId="33848"/>
    <cellStyle name="Обычный 7 7 2 2 2 3 2 3 3" xfId="33849"/>
    <cellStyle name="Обычный 7 7 2 2 2 3 2 4" xfId="33850"/>
    <cellStyle name="Обычный 7 7 2 2 2 3 2 4 2" xfId="33851"/>
    <cellStyle name="Обычный 7 7 2 2 2 3 2 5" xfId="33852"/>
    <cellStyle name="Обычный 7 7 2 2 2 3 2 6" xfId="33853"/>
    <cellStyle name="Обычный 7 7 2 2 2 3 3" xfId="33854"/>
    <cellStyle name="Обычный 7 7 2 2 2 3 3 2" xfId="33855"/>
    <cellStyle name="Обычный 7 7 2 2 2 3 3 3" xfId="33856"/>
    <cellStyle name="Обычный 7 7 2 2 2 3 4" xfId="33857"/>
    <cellStyle name="Обычный 7 7 2 2 2 3 4 2" xfId="33858"/>
    <cellStyle name="Обычный 7 7 2 2 2 3 4 3" xfId="33859"/>
    <cellStyle name="Обычный 7 7 2 2 2 3 5" xfId="33860"/>
    <cellStyle name="Обычный 7 7 2 2 2 3 5 2" xfId="33861"/>
    <cellStyle name="Обычный 7 7 2 2 2 3 6" xfId="33862"/>
    <cellStyle name="Обычный 7 7 2 2 2 3 7" xfId="33863"/>
    <cellStyle name="Обычный 7 7 2 2 2 4" xfId="33864"/>
    <cellStyle name="Обычный 7 7 2 2 2 4 2" xfId="33865"/>
    <cellStyle name="Обычный 7 7 2 2 2 4 2 2" xfId="33866"/>
    <cellStyle name="Обычный 7 7 2 2 2 4 2 3" xfId="33867"/>
    <cellStyle name="Обычный 7 7 2 2 2 4 3" xfId="33868"/>
    <cellStyle name="Обычный 7 7 2 2 2 4 3 2" xfId="33869"/>
    <cellStyle name="Обычный 7 7 2 2 2 4 3 3" xfId="33870"/>
    <cellStyle name="Обычный 7 7 2 2 2 4 4" xfId="33871"/>
    <cellStyle name="Обычный 7 7 2 2 2 4 4 2" xfId="33872"/>
    <cellStyle name="Обычный 7 7 2 2 2 4 5" xfId="33873"/>
    <cellStyle name="Обычный 7 7 2 2 2 4 6" xfId="33874"/>
    <cellStyle name="Обычный 7 7 2 2 2 5" xfId="33875"/>
    <cellStyle name="Обычный 7 7 2 2 2 5 2" xfId="33876"/>
    <cellStyle name="Обычный 7 7 2 2 2 5 3" xfId="33877"/>
    <cellStyle name="Обычный 7 7 2 2 2 6" xfId="33878"/>
    <cellStyle name="Обычный 7 7 2 2 2 6 2" xfId="33879"/>
    <cellStyle name="Обычный 7 7 2 2 2 6 3" xfId="33880"/>
    <cellStyle name="Обычный 7 7 2 2 2 7" xfId="33881"/>
    <cellStyle name="Обычный 7 7 2 2 2 7 2" xfId="33882"/>
    <cellStyle name="Обычный 7 7 2 2 2 8" xfId="33883"/>
    <cellStyle name="Обычный 7 7 2 2 2 9" xfId="33884"/>
    <cellStyle name="Обычный 7 7 2 2 3" xfId="33885"/>
    <cellStyle name="Обычный 7 7 2 2 3 2" xfId="33886"/>
    <cellStyle name="Обычный 7 7 2 2 3 2 2" xfId="33887"/>
    <cellStyle name="Обычный 7 7 2 2 3 2 2 2" xfId="33888"/>
    <cellStyle name="Обычный 7 7 2 2 3 2 2 2 2" xfId="33889"/>
    <cellStyle name="Обычный 7 7 2 2 3 2 2 2 3" xfId="33890"/>
    <cellStyle name="Обычный 7 7 2 2 3 2 2 3" xfId="33891"/>
    <cellStyle name="Обычный 7 7 2 2 3 2 2 3 2" xfId="33892"/>
    <cellStyle name="Обычный 7 7 2 2 3 2 2 3 3" xfId="33893"/>
    <cellStyle name="Обычный 7 7 2 2 3 2 2 4" xfId="33894"/>
    <cellStyle name="Обычный 7 7 2 2 3 2 2 4 2" xfId="33895"/>
    <cellStyle name="Обычный 7 7 2 2 3 2 2 5" xfId="33896"/>
    <cellStyle name="Обычный 7 7 2 2 3 2 2 6" xfId="33897"/>
    <cellStyle name="Обычный 7 7 2 2 3 2 3" xfId="33898"/>
    <cellStyle name="Обычный 7 7 2 2 3 2 3 2" xfId="33899"/>
    <cellStyle name="Обычный 7 7 2 2 3 2 3 3" xfId="33900"/>
    <cellStyle name="Обычный 7 7 2 2 3 2 4" xfId="33901"/>
    <cellStyle name="Обычный 7 7 2 2 3 2 4 2" xfId="33902"/>
    <cellStyle name="Обычный 7 7 2 2 3 2 4 3" xfId="33903"/>
    <cellStyle name="Обычный 7 7 2 2 3 2 5" xfId="33904"/>
    <cellStyle name="Обычный 7 7 2 2 3 2 5 2" xfId="33905"/>
    <cellStyle name="Обычный 7 7 2 2 3 2 6" xfId="33906"/>
    <cellStyle name="Обычный 7 7 2 2 3 2 7" xfId="33907"/>
    <cellStyle name="Обычный 7 7 2 2 3 3" xfId="33908"/>
    <cellStyle name="Обычный 7 7 2 2 3 3 2" xfId="33909"/>
    <cellStyle name="Обычный 7 7 2 2 3 3 2 2" xfId="33910"/>
    <cellStyle name="Обычный 7 7 2 2 3 3 2 3" xfId="33911"/>
    <cellStyle name="Обычный 7 7 2 2 3 3 3" xfId="33912"/>
    <cellStyle name="Обычный 7 7 2 2 3 3 3 2" xfId="33913"/>
    <cellStyle name="Обычный 7 7 2 2 3 3 3 3" xfId="33914"/>
    <cellStyle name="Обычный 7 7 2 2 3 3 4" xfId="33915"/>
    <cellStyle name="Обычный 7 7 2 2 3 3 4 2" xfId="33916"/>
    <cellStyle name="Обычный 7 7 2 2 3 3 5" xfId="33917"/>
    <cellStyle name="Обычный 7 7 2 2 3 3 6" xfId="33918"/>
    <cellStyle name="Обычный 7 7 2 2 3 4" xfId="33919"/>
    <cellStyle name="Обычный 7 7 2 2 3 4 2" xfId="33920"/>
    <cellStyle name="Обычный 7 7 2 2 3 4 3" xfId="33921"/>
    <cellStyle name="Обычный 7 7 2 2 3 5" xfId="33922"/>
    <cellStyle name="Обычный 7 7 2 2 3 5 2" xfId="33923"/>
    <cellStyle name="Обычный 7 7 2 2 3 5 3" xfId="33924"/>
    <cellStyle name="Обычный 7 7 2 2 3 6" xfId="33925"/>
    <cellStyle name="Обычный 7 7 2 2 3 6 2" xfId="33926"/>
    <cellStyle name="Обычный 7 7 2 2 3 7" xfId="33927"/>
    <cellStyle name="Обычный 7 7 2 2 3 8" xfId="33928"/>
    <cellStyle name="Обычный 7 7 2 2 4" xfId="33929"/>
    <cellStyle name="Обычный 7 7 2 2 4 2" xfId="33930"/>
    <cellStyle name="Обычный 7 7 2 2 4 2 2" xfId="33931"/>
    <cellStyle name="Обычный 7 7 2 2 4 2 2 2" xfId="33932"/>
    <cellStyle name="Обычный 7 7 2 2 4 2 2 3" xfId="33933"/>
    <cellStyle name="Обычный 7 7 2 2 4 2 3" xfId="33934"/>
    <cellStyle name="Обычный 7 7 2 2 4 2 3 2" xfId="33935"/>
    <cellStyle name="Обычный 7 7 2 2 4 2 3 3" xfId="33936"/>
    <cellStyle name="Обычный 7 7 2 2 4 2 4" xfId="33937"/>
    <cellStyle name="Обычный 7 7 2 2 4 2 4 2" xfId="33938"/>
    <cellStyle name="Обычный 7 7 2 2 4 2 5" xfId="33939"/>
    <cellStyle name="Обычный 7 7 2 2 4 2 6" xfId="33940"/>
    <cellStyle name="Обычный 7 7 2 2 4 3" xfId="33941"/>
    <cellStyle name="Обычный 7 7 2 2 4 3 2" xfId="33942"/>
    <cellStyle name="Обычный 7 7 2 2 4 3 3" xfId="33943"/>
    <cellStyle name="Обычный 7 7 2 2 4 4" xfId="33944"/>
    <cellStyle name="Обычный 7 7 2 2 4 4 2" xfId="33945"/>
    <cellStyle name="Обычный 7 7 2 2 4 4 3" xfId="33946"/>
    <cellStyle name="Обычный 7 7 2 2 4 5" xfId="33947"/>
    <cellStyle name="Обычный 7 7 2 2 4 5 2" xfId="33948"/>
    <cellStyle name="Обычный 7 7 2 2 4 6" xfId="33949"/>
    <cellStyle name="Обычный 7 7 2 2 4 7" xfId="33950"/>
    <cellStyle name="Обычный 7 7 2 2 5" xfId="33951"/>
    <cellStyle name="Обычный 7 7 2 2 5 2" xfId="33952"/>
    <cellStyle name="Обычный 7 7 2 2 5 2 2" xfId="33953"/>
    <cellStyle name="Обычный 7 7 2 2 5 2 3" xfId="33954"/>
    <cellStyle name="Обычный 7 7 2 2 5 3" xfId="33955"/>
    <cellStyle name="Обычный 7 7 2 2 5 3 2" xfId="33956"/>
    <cellStyle name="Обычный 7 7 2 2 5 3 3" xfId="33957"/>
    <cellStyle name="Обычный 7 7 2 2 5 4" xfId="33958"/>
    <cellStyle name="Обычный 7 7 2 2 5 4 2" xfId="33959"/>
    <cellStyle name="Обычный 7 7 2 2 5 5" xfId="33960"/>
    <cellStyle name="Обычный 7 7 2 2 5 6" xfId="33961"/>
    <cellStyle name="Обычный 7 7 2 2 6" xfId="33962"/>
    <cellStyle name="Обычный 7 7 2 2 6 2" xfId="33963"/>
    <cellStyle name="Обычный 7 7 2 2 6 3" xfId="33964"/>
    <cellStyle name="Обычный 7 7 2 2 7" xfId="33965"/>
    <cellStyle name="Обычный 7 7 2 2 7 2" xfId="33966"/>
    <cellStyle name="Обычный 7 7 2 2 7 3" xfId="33967"/>
    <cellStyle name="Обычный 7 7 2 2 8" xfId="33968"/>
    <cellStyle name="Обычный 7 7 2 2 8 2" xfId="33969"/>
    <cellStyle name="Обычный 7 7 2 2 9" xfId="33970"/>
    <cellStyle name="Обычный 7 7 2 3" xfId="33971"/>
    <cellStyle name="Обычный 7 7 2 3 10" xfId="33972"/>
    <cellStyle name="Обычный 7 7 2 3 2" xfId="33973"/>
    <cellStyle name="Обычный 7 7 2 3 2 2" xfId="33974"/>
    <cellStyle name="Обычный 7 7 2 3 2 2 2" xfId="33975"/>
    <cellStyle name="Обычный 7 7 2 3 2 2 2 2" xfId="33976"/>
    <cellStyle name="Обычный 7 7 2 3 2 2 2 2 2" xfId="33977"/>
    <cellStyle name="Обычный 7 7 2 3 2 2 2 2 2 2" xfId="33978"/>
    <cellStyle name="Обычный 7 7 2 3 2 2 2 2 2 3" xfId="33979"/>
    <cellStyle name="Обычный 7 7 2 3 2 2 2 2 3" xfId="33980"/>
    <cellStyle name="Обычный 7 7 2 3 2 2 2 2 3 2" xfId="33981"/>
    <cellStyle name="Обычный 7 7 2 3 2 2 2 2 3 3" xfId="33982"/>
    <cellStyle name="Обычный 7 7 2 3 2 2 2 2 4" xfId="33983"/>
    <cellStyle name="Обычный 7 7 2 3 2 2 2 2 4 2" xfId="33984"/>
    <cellStyle name="Обычный 7 7 2 3 2 2 2 2 5" xfId="33985"/>
    <cellStyle name="Обычный 7 7 2 3 2 2 2 2 6" xfId="33986"/>
    <cellStyle name="Обычный 7 7 2 3 2 2 2 3" xfId="33987"/>
    <cellStyle name="Обычный 7 7 2 3 2 2 2 3 2" xfId="33988"/>
    <cellStyle name="Обычный 7 7 2 3 2 2 2 3 3" xfId="33989"/>
    <cellStyle name="Обычный 7 7 2 3 2 2 2 4" xfId="33990"/>
    <cellStyle name="Обычный 7 7 2 3 2 2 2 4 2" xfId="33991"/>
    <cellStyle name="Обычный 7 7 2 3 2 2 2 4 3" xfId="33992"/>
    <cellStyle name="Обычный 7 7 2 3 2 2 2 5" xfId="33993"/>
    <cellStyle name="Обычный 7 7 2 3 2 2 2 5 2" xfId="33994"/>
    <cellStyle name="Обычный 7 7 2 3 2 2 2 6" xfId="33995"/>
    <cellStyle name="Обычный 7 7 2 3 2 2 2 7" xfId="33996"/>
    <cellStyle name="Обычный 7 7 2 3 2 2 3" xfId="33997"/>
    <cellStyle name="Обычный 7 7 2 3 2 2 3 2" xfId="33998"/>
    <cellStyle name="Обычный 7 7 2 3 2 2 3 2 2" xfId="33999"/>
    <cellStyle name="Обычный 7 7 2 3 2 2 3 2 3" xfId="34000"/>
    <cellStyle name="Обычный 7 7 2 3 2 2 3 3" xfId="34001"/>
    <cellStyle name="Обычный 7 7 2 3 2 2 3 3 2" xfId="34002"/>
    <cellStyle name="Обычный 7 7 2 3 2 2 3 3 3" xfId="34003"/>
    <cellStyle name="Обычный 7 7 2 3 2 2 3 4" xfId="34004"/>
    <cellStyle name="Обычный 7 7 2 3 2 2 3 4 2" xfId="34005"/>
    <cellStyle name="Обычный 7 7 2 3 2 2 3 5" xfId="34006"/>
    <cellStyle name="Обычный 7 7 2 3 2 2 3 6" xfId="34007"/>
    <cellStyle name="Обычный 7 7 2 3 2 2 4" xfId="34008"/>
    <cellStyle name="Обычный 7 7 2 3 2 2 4 2" xfId="34009"/>
    <cellStyle name="Обычный 7 7 2 3 2 2 4 3" xfId="34010"/>
    <cellStyle name="Обычный 7 7 2 3 2 2 5" xfId="34011"/>
    <cellStyle name="Обычный 7 7 2 3 2 2 5 2" xfId="34012"/>
    <cellStyle name="Обычный 7 7 2 3 2 2 5 3" xfId="34013"/>
    <cellStyle name="Обычный 7 7 2 3 2 2 6" xfId="34014"/>
    <cellStyle name="Обычный 7 7 2 3 2 2 6 2" xfId="34015"/>
    <cellStyle name="Обычный 7 7 2 3 2 2 7" xfId="34016"/>
    <cellStyle name="Обычный 7 7 2 3 2 2 8" xfId="34017"/>
    <cellStyle name="Обычный 7 7 2 3 2 3" xfId="34018"/>
    <cellStyle name="Обычный 7 7 2 3 2 3 2" xfId="34019"/>
    <cellStyle name="Обычный 7 7 2 3 2 3 2 2" xfId="34020"/>
    <cellStyle name="Обычный 7 7 2 3 2 3 2 2 2" xfId="34021"/>
    <cellStyle name="Обычный 7 7 2 3 2 3 2 2 3" xfId="34022"/>
    <cellStyle name="Обычный 7 7 2 3 2 3 2 3" xfId="34023"/>
    <cellStyle name="Обычный 7 7 2 3 2 3 2 3 2" xfId="34024"/>
    <cellStyle name="Обычный 7 7 2 3 2 3 2 3 3" xfId="34025"/>
    <cellStyle name="Обычный 7 7 2 3 2 3 2 4" xfId="34026"/>
    <cellStyle name="Обычный 7 7 2 3 2 3 2 4 2" xfId="34027"/>
    <cellStyle name="Обычный 7 7 2 3 2 3 2 5" xfId="34028"/>
    <cellStyle name="Обычный 7 7 2 3 2 3 2 6" xfId="34029"/>
    <cellStyle name="Обычный 7 7 2 3 2 3 3" xfId="34030"/>
    <cellStyle name="Обычный 7 7 2 3 2 3 3 2" xfId="34031"/>
    <cellStyle name="Обычный 7 7 2 3 2 3 3 3" xfId="34032"/>
    <cellStyle name="Обычный 7 7 2 3 2 3 4" xfId="34033"/>
    <cellStyle name="Обычный 7 7 2 3 2 3 4 2" xfId="34034"/>
    <cellStyle name="Обычный 7 7 2 3 2 3 4 3" xfId="34035"/>
    <cellStyle name="Обычный 7 7 2 3 2 3 5" xfId="34036"/>
    <cellStyle name="Обычный 7 7 2 3 2 3 5 2" xfId="34037"/>
    <cellStyle name="Обычный 7 7 2 3 2 3 6" xfId="34038"/>
    <cellStyle name="Обычный 7 7 2 3 2 3 7" xfId="34039"/>
    <cellStyle name="Обычный 7 7 2 3 2 4" xfId="34040"/>
    <cellStyle name="Обычный 7 7 2 3 2 4 2" xfId="34041"/>
    <cellStyle name="Обычный 7 7 2 3 2 4 2 2" xfId="34042"/>
    <cellStyle name="Обычный 7 7 2 3 2 4 2 3" xfId="34043"/>
    <cellStyle name="Обычный 7 7 2 3 2 4 3" xfId="34044"/>
    <cellStyle name="Обычный 7 7 2 3 2 4 3 2" xfId="34045"/>
    <cellStyle name="Обычный 7 7 2 3 2 4 3 3" xfId="34046"/>
    <cellStyle name="Обычный 7 7 2 3 2 4 4" xfId="34047"/>
    <cellStyle name="Обычный 7 7 2 3 2 4 4 2" xfId="34048"/>
    <cellStyle name="Обычный 7 7 2 3 2 4 5" xfId="34049"/>
    <cellStyle name="Обычный 7 7 2 3 2 4 6" xfId="34050"/>
    <cellStyle name="Обычный 7 7 2 3 2 5" xfId="34051"/>
    <cellStyle name="Обычный 7 7 2 3 2 5 2" xfId="34052"/>
    <cellStyle name="Обычный 7 7 2 3 2 5 3" xfId="34053"/>
    <cellStyle name="Обычный 7 7 2 3 2 6" xfId="34054"/>
    <cellStyle name="Обычный 7 7 2 3 2 6 2" xfId="34055"/>
    <cellStyle name="Обычный 7 7 2 3 2 6 3" xfId="34056"/>
    <cellStyle name="Обычный 7 7 2 3 2 7" xfId="34057"/>
    <cellStyle name="Обычный 7 7 2 3 2 7 2" xfId="34058"/>
    <cellStyle name="Обычный 7 7 2 3 2 8" xfId="34059"/>
    <cellStyle name="Обычный 7 7 2 3 2 9" xfId="34060"/>
    <cellStyle name="Обычный 7 7 2 3 3" xfId="34061"/>
    <cellStyle name="Обычный 7 7 2 3 3 2" xfId="34062"/>
    <cellStyle name="Обычный 7 7 2 3 3 2 2" xfId="34063"/>
    <cellStyle name="Обычный 7 7 2 3 3 2 2 2" xfId="34064"/>
    <cellStyle name="Обычный 7 7 2 3 3 2 2 2 2" xfId="34065"/>
    <cellStyle name="Обычный 7 7 2 3 3 2 2 2 3" xfId="34066"/>
    <cellStyle name="Обычный 7 7 2 3 3 2 2 3" xfId="34067"/>
    <cellStyle name="Обычный 7 7 2 3 3 2 2 3 2" xfId="34068"/>
    <cellStyle name="Обычный 7 7 2 3 3 2 2 3 3" xfId="34069"/>
    <cellStyle name="Обычный 7 7 2 3 3 2 2 4" xfId="34070"/>
    <cellStyle name="Обычный 7 7 2 3 3 2 2 4 2" xfId="34071"/>
    <cellStyle name="Обычный 7 7 2 3 3 2 2 5" xfId="34072"/>
    <cellStyle name="Обычный 7 7 2 3 3 2 2 6" xfId="34073"/>
    <cellStyle name="Обычный 7 7 2 3 3 2 3" xfId="34074"/>
    <cellStyle name="Обычный 7 7 2 3 3 2 3 2" xfId="34075"/>
    <cellStyle name="Обычный 7 7 2 3 3 2 3 3" xfId="34076"/>
    <cellStyle name="Обычный 7 7 2 3 3 2 4" xfId="34077"/>
    <cellStyle name="Обычный 7 7 2 3 3 2 4 2" xfId="34078"/>
    <cellStyle name="Обычный 7 7 2 3 3 2 4 3" xfId="34079"/>
    <cellStyle name="Обычный 7 7 2 3 3 2 5" xfId="34080"/>
    <cellStyle name="Обычный 7 7 2 3 3 2 5 2" xfId="34081"/>
    <cellStyle name="Обычный 7 7 2 3 3 2 6" xfId="34082"/>
    <cellStyle name="Обычный 7 7 2 3 3 2 7" xfId="34083"/>
    <cellStyle name="Обычный 7 7 2 3 3 3" xfId="34084"/>
    <cellStyle name="Обычный 7 7 2 3 3 3 2" xfId="34085"/>
    <cellStyle name="Обычный 7 7 2 3 3 3 2 2" xfId="34086"/>
    <cellStyle name="Обычный 7 7 2 3 3 3 2 3" xfId="34087"/>
    <cellStyle name="Обычный 7 7 2 3 3 3 3" xfId="34088"/>
    <cellStyle name="Обычный 7 7 2 3 3 3 3 2" xfId="34089"/>
    <cellStyle name="Обычный 7 7 2 3 3 3 3 3" xfId="34090"/>
    <cellStyle name="Обычный 7 7 2 3 3 3 4" xfId="34091"/>
    <cellStyle name="Обычный 7 7 2 3 3 3 4 2" xfId="34092"/>
    <cellStyle name="Обычный 7 7 2 3 3 3 5" xfId="34093"/>
    <cellStyle name="Обычный 7 7 2 3 3 3 6" xfId="34094"/>
    <cellStyle name="Обычный 7 7 2 3 3 4" xfId="34095"/>
    <cellStyle name="Обычный 7 7 2 3 3 4 2" xfId="34096"/>
    <cellStyle name="Обычный 7 7 2 3 3 4 3" xfId="34097"/>
    <cellStyle name="Обычный 7 7 2 3 3 5" xfId="34098"/>
    <cellStyle name="Обычный 7 7 2 3 3 5 2" xfId="34099"/>
    <cellStyle name="Обычный 7 7 2 3 3 5 3" xfId="34100"/>
    <cellStyle name="Обычный 7 7 2 3 3 6" xfId="34101"/>
    <cellStyle name="Обычный 7 7 2 3 3 6 2" xfId="34102"/>
    <cellStyle name="Обычный 7 7 2 3 3 7" xfId="34103"/>
    <cellStyle name="Обычный 7 7 2 3 3 8" xfId="34104"/>
    <cellStyle name="Обычный 7 7 2 3 4" xfId="34105"/>
    <cellStyle name="Обычный 7 7 2 3 4 2" xfId="34106"/>
    <cellStyle name="Обычный 7 7 2 3 4 2 2" xfId="34107"/>
    <cellStyle name="Обычный 7 7 2 3 4 2 2 2" xfId="34108"/>
    <cellStyle name="Обычный 7 7 2 3 4 2 2 3" xfId="34109"/>
    <cellStyle name="Обычный 7 7 2 3 4 2 3" xfId="34110"/>
    <cellStyle name="Обычный 7 7 2 3 4 2 3 2" xfId="34111"/>
    <cellStyle name="Обычный 7 7 2 3 4 2 3 3" xfId="34112"/>
    <cellStyle name="Обычный 7 7 2 3 4 2 4" xfId="34113"/>
    <cellStyle name="Обычный 7 7 2 3 4 2 4 2" xfId="34114"/>
    <cellStyle name="Обычный 7 7 2 3 4 2 5" xfId="34115"/>
    <cellStyle name="Обычный 7 7 2 3 4 2 6" xfId="34116"/>
    <cellStyle name="Обычный 7 7 2 3 4 3" xfId="34117"/>
    <cellStyle name="Обычный 7 7 2 3 4 3 2" xfId="34118"/>
    <cellStyle name="Обычный 7 7 2 3 4 3 3" xfId="34119"/>
    <cellStyle name="Обычный 7 7 2 3 4 4" xfId="34120"/>
    <cellStyle name="Обычный 7 7 2 3 4 4 2" xfId="34121"/>
    <cellStyle name="Обычный 7 7 2 3 4 4 3" xfId="34122"/>
    <cellStyle name="Обычный 7 7 2 3 4 5" xfId="34123"/>
    <cellStyle name="Обычный 7 7 2 3 4 5 2" xfId="34124"/>
    <cellStyle name="Обычный 7 7 2 3 4 6" xfId="34125"/>
    <cellStyle name="Обычный 7 7 2 3 4 7" xfId="34126"/>
    <cellStyle name="Обычный 7 7 2 3 5" xfId="34127"/>
    <cellStyle name="Обычный 7 7 2 3 5 2" xfId="34128"/>
    <cellStyle name="Обычный 7 7 2 3 5 2 2" xfId="34129"/>
    <cellStyle name="Обычный 7 7 2 3 5 2 3" xfId="34130"/>
    <cellStyle name="Обычный 7 7 2 3 5 3" xfId="34131"/>
    <cellStyle name="Обычный 7 7 2 3 5 3 2" xfId="34132"/>
    <cellStyle name="Обычный 7 7 2 3 5 3 3" xfId="34133"/>
    <cellStyle name="Обычный 7 7 2 3 5 4" xfId="34134"/>
    <cellStyle name="Обычный 7 7 2 3 5 4 2" xfId="34135"/>
    <cellStyle name="Обычный 7 7 2 3 5 5" xfId="34136"/>
    <cellStyle name="Обычный 7 7 2 3 5 6" xfId="34137"/>
    <cellStyle name="Обычный 7 7 2 3 6" xfId="34138"/>
    <cellStyle name="Обычный 7 7 2 3 6 2" xfId="34139"/>
    <cellStyle name="Обычный 7 7 2 3 6 3" xfId="34140"/>
    <cellStyle name="Обычный 7 7 2 3 7" xfId="34141"/>
    <cellStyle name="Обычный 7 7 2 3 7 2" xfId="34142"/>
    <cellStyle name="Обычный 7 7 2 3 7 3" xfId="34143"/>
    <cellStyle name="Обычный 7 7 2 3 8" xfId="34144"/>
    <cellStyle name="Обычный 7 7 2 3 8 2" xfId="34145"/>
    <cellStyle name="Обычный 7 7 2 3 9" xfId="34146"/>
    <cellStyle name="Обычный 7 7 2 4" xfId="34147"/>
    <cellStyle name="Обычный 7 7 2 4 10" xfId="34148"/>
    <cellStyle name="Обычный 7 7 2 4 2" xfId="34149"/>
    <cellStyle name="Обычный 7 7 2 4 2 2" xfId="34150"/>
    <cellStyle name="Обычный 7 7 2 4 2 2 2" xfId="34151"/>
    <cellStyle name="Обычный 7 7 2 4 2 2 2 2" xfId="34152"/>
    <cellStyle name="Обычный 7 7 2 4 2 2 2 2 2" xfId="34153"/>
    <cellStyle name="Обычный 7 7 2 4 2 2 2 2 2 2" xfId="34154"/>
    <cellStyle name="Обычный 7 7 2 4 2 2 2 2 2 3" xfId="34155"/>
    <cellStyle name="Обычный 7 7 2 4 2 2 2 2 3" xfId="34156"/>
    <cellStyle name="Обычный 7 7 2 4 2 2 2 2 3 2" xfId="34157"/>
    <cellStyle name="Обычный 7 7 2 4 2 2 2 2 3 3" xfId="34158"/>
    <cellStyle name="Обычный 7 7 2 4 2 2 2 2 4" xfId="34159"/>
    <cellStyle name="Обычный 7 7 2 4 2 2 2 2 4 2" xfId="34160"/>
    <cellStyle name="Обычный 7 7 2 4 2 2 2 2 5" xfId="34161"/>
    <cellStyle name="Обычный 7 7 2 4 2 2 2 2 6" xfId="34162"/>
    <cellStyle name="Обычный 7 7 2 4 2 2 2 3" xfId="34163"/>
    <cellStyle name="Обычный 7 7 2 4 2 2 2 3 2" xfId="34164"/>
    <cellStyle name="Обычный 7 7 2 4 2 2 2 3 3" xfId="34165"/>
    <cellStyle name="Обычный 7 7 2 4 2 2 2 4" xfId="34166"/>
    <cellStyle name="Обычный 7 7 2 4 2 2 2 4 2" xfId="34167"/>
    <cellStyle name="Обычный 7 7 2 4 2 2 2 4 3" xfId="34168"/>
    <cellStyle name="Обычный 7 7 2 4 2 2 2 5" xfId="34169"/>
    <cellStyle name="Обычный 7 7 2 4 2 2 2 5 2" xfId="34170"/>
    <cellStyle name="Обычный 7 7 2 4 2 2 2 6" xfId="34171"/>
    <cellStyle name="Обычный 7 7 2 4 2 2 2 7" xfId="34172"/>
    <cellStyle name="Обычный 7 7 2 4 2 2 3" xfId="34173"/>
    <cellStyle name="Обычный 7 7 2 4 2 2 3 2" xfId="34174"/>
    <cellStyle name="Обычный 7 7 2 4 2 2 3 2 2" xfId="34175"/>
    <cellStyle name="Обычный 7 7 2 4 2 2 3 2 3" xfId="34176"/>
    <cellStyle name="Обычный 7 7 2 4 2 2 3 3" xfId="34177"/>
    <cellStyle name="Обычный 7 7 2 4 2 2 3 3 2" xfId="34178"/>
    <cellStyle name="Обычный 7 7 2 4 2 2 3 3 3" xfId="34179"/>
    <cellStyle name="Обычный 7 7 2 4 2 2 3 4" xfId="34180"/>
    <cellStyle name="Обычный 7 7 2 4 2 2 3 4 2" xfId="34181"/>
    <cellStyle name="Обычный 7 7 2 4 2 2 3 5" xfId="34182"/>
    <cellStyle name="Обычный 7 7 2 4 2 2 3 6" xfId="34183"/>
    <cellStyle name="Обычный 7 7 2 4 2 2 4" xfId="34184"/>
    <cellStyle name="Обычный 7 7 2 4 2 2 4 2" xfId="34185"/>
    <cellStyle name="Обычный 7 7 2 4 2 2 4 3" xfId="34186"/>
    <cellStyle name="Обычный 7 7 2 4 2 2 5" xfId="34187"/>
    <cellStyle name="Обычный 7 7 2 4 2 2 5 2" xfId="34188"/>
    <cellStyle name="Обычный 7 7 2 4 2 2 5 3" xfId="34189"/>
    <cellStyle name="Обычный 7 7 2 4 2 2 6" xfId="34190"/>
    <cellStyle name="Обычный 7 7 2 4 2 2 6 2" xfId="34191"/>
    <cellStyle name="Обычный 7 7 2 4 2 2 7" xfId="34192"/>
    <cellStyle name="Обычный 7 7 2 4 2 2 8" xfId="34193"/>
    <cellStyle name="Обычный 7 7 2 4 2 3" xfId="34194"/>
    <cellStyle name="Обычный 7 7 2 4 2 3 2" xfId="34195"/>
    <cellStyle name="Обычный 7 7 2 4 2 3 2 2" xfId="34196"/>
    <cellStyle name="Обычный 7 7 2 4 2 3 2 2 2" xfId="34197"/>
    <cellStyle name="Обычный 7 7 2 4 2 3 2 2 3" xfId="34198"/>
    <cellStyle name="Обычный 7 7 2 4 2 3 2 3" xfId="34199"/>
    <cellStyle name="Обычный 7 7 2 4 2 3 2 3 2" xfId="34200"/>
    <cellStyle name="Обычный 7 7 2 4 2 3 2 3 3" xfId="34201"/>
    <cellStyle name="Обычный 7 7 2 4 2 3 2 4" xfId="34202"/>
    <cellStyle name="Обычный 7 7 2 4 2 3 2 4 2" xfId="34203"/>
    <cellStyle name="Обычный 7 7 2 4 2 3 2 5" xfId="34204"/>
    <cellStyle name="Обычный 7 7 2 4 2 3 2 6" xfId="34205"/>
    <cellStyle name="Обычный 7 7 2 4 2 3 3" xfId="34206"/>
    <cellStyle name="Обычный 7 7 2 4 2 3 3 2" xfId="34207"/>
    <cellStyle name="Обычный 7 7 2 4 2 3 3 3" xfId="34208"/>
    <cellStyle name="Обычный 7 7 2 4 2 3 4" xfId="34209"/>
    <cellStyle name="Обычный 7 7 2 4 2 3 4 2" xfId="34210"/>
    <cellStyle name="Обычный 7 7 2 4 2 3 4 3" xfId="34211"/>
    <cellStyle name="Обычный 7 7 2 4 2 3 5" xfId="34212"/>
    <cellStyle name="Обычный 7 7 2 4 2 3 5 2" xfId="34213"/>
    <cellStyle name="Обычный 7 7 2 4 2 3 6" xfId="34214"/>
    <cellStyle name="Обычный 7 7 2 4 2 3 7" xfId="34215"/>
    <cellStyle name="Обычный 7 7 2 4 2 4" xfId="34216"/>
    <cellStyle name="Обычный 7 7 2 4 2 4 2" xfId="34217"/>
    <cellStyle name="Обычный 7 7 2 4 2 4 2 2" xfId="34218"/>
    <cellStyle name="Обычный 7 7 2 4 2 4 2 3" xfId="34219"/>
    <cellStyle name="Обычный 7 7 2 4 2 4 3" xfId="34220"/>
    <cellStyle name="Обычный 7 7 2 4 2 4 3 2" xfId="34221"/>
    <cellStyle name="Обычный 7 7 2 4 2 4 3 3" xfId="34222"/>
    <cellStyle name="Обычный 7 7 2 4 2 4 4" xfId="34223"/>
    <cellStyle name="Обычный 7 7 2 4 2 4 4 2" xfId="34224"/>
    <cellStyle name="Обычный 7 7 2 4 2 4 5" xfId="34225"/>
    <cellStyle name="Обычный 7 7 2 4 2 4 6" xfId="34226"/>
    <cellStyle name="Обычный 7 7 2 4 2 5" xfId="34227"/>
    <cellStyle name="Обычный 7 7 2 4 2 5 2" xfId="34228"/>
    <cellStyle name="Обычный 7 7 2 4 2 5 3" xfId="34229"/>
    <cellStyle name="Обычный 7 7 2 4 2 6" xfId="34230"/>
    <cellStyle name="Обычный 7 7 2 4 2 6 2" xfId="34231"/>
    <cellStyle name="Обычный 7 7 2 4 2 6 3" xfId="34232"/>
    <cellStyle name="Обычный 7 7 2 4 2 7" xfId="34233"/>
    <cellStyle name="Обычный 7 7 2 4 2 7 2" xfId="34234"/>
    <cellStyle name="Обычный 7 7 2 4 2 8" xfId="34235"/>
    <cellStyle name="Обычный 7 7 2 4 2 9" xfId="34236"/>
    <cellStyle name="Обычный 7 7 2 4 3" xfId="34237"/>
    <cellStyle name="Обычный 7 7 2 4 3 2" xfId="34238"/>
    <cellStyle name="Обычный 7 7 2 4 3 2 2" xfId="34239"/>
    <cellStyle name="Обычный 7 7 2 4 3 2 2 2" xfId="34240"/>
    <cellStyle name="Обычный 7 7 2 4 3 2 2 2 2" xfId="34241"/>
    <cellStyle name="Обычный 7 7 2 4 3 2 2 2 3" xfId="34242"/>
    <cellStyle name="Обычный 7 7 2 4 3 2 2 3" xfId="34243"/>
    <cellStyle name="Обычный 7 7 2 4 3 2 2 3 2" xfId="34244"/>
    <cellStyle name="Обычный 7 7 2 4 3 2 2 3 3" xfId="34245"/>
    <cellStyle name="Обычный 7 7 2 4 3 2 2 4" xfId="34246"/>
    <cellStyle name="Обычный 7 7 2 4 3 2 2 4 2" xfId="34247"/>
    <cellStyle name="Обычный 7 7 2 4 3 2 2 5" xfId="34248"/>
    <cellStyle name="Обычный 7 7 2 4 3 2 2 6" xfId="34249"/>
    <cellStyle name="Обычный 7 7 2 4 3 2 3" xfId="34250"/>
    <cellStyle name="Обычный 7 7 2 4 3 2 3 2" xfId="34251"/>
    <cellStyle name="Обычный 7 7 2 4 3 2 3 3" xfId="34252"/>
    <cellStyle name="Обычный 7 7 2 4 3 2 4" xfId="34253"/>
    <cellStyle name="Обычный 7 7 2 4 3 2 4 2" xfId="34254"/>
    <cellStyle name="Обычный 7 7 2 4 3 2 4 3" xfId="34255"/>
    <cellStyle name="Обычный 7 7 2 4 3 2 5" xfId="34256"/>
    <cellStyle name="Обычный 7 7 2 4 3 2 5 2" xfId="34257"/>
    <cellStyle name="Обычный 7 7 2 4 3 2 6" xfId="34258"/>
    <cellStyle name="Обычный 7 7 2 4 3 2 7" xfId="34259"/>
    <cellStyle name="Обычный 7 7 2 4 3 3" xfId="34260"/>
    <cellStyle name="Обычный 7 7 2 4 3 3 2" xfId="34261"/>
    <cellStyle name="Обычный 7 7 2 4 3 3 2 2" xfId="34262"/>
    <cellStyle name="Обычный 7 7 2 4 3 3 2 3" xfId="34263"/>
    <cellStyle name="Обычный 7 7 2 4 3 3 3" xfId="34264"/>
    <cellStyle name="Обычный 7 7 2 4 3 3 3 2" xfId="34265"/>
    <cellStyle name="Обычный 7 7 2 4 3 3 3 3" xfId="34266"/>
    <cellStyle name="Обычный 7 7 2 4 3 3 4" xfId="34267"/>
    <cellStyle name="Обычный 7 7 2 4 3 3 4 2" xfId="34268"/>
    <cellStyle name="Обычный 7 7 2 4 3 3 5" xfId="34269"/>
    <cellStyle name="Обычный 7 7 2 4 3 3 6" xfId="34270"/>
    <cellStyle name="Обычный 7 7 2 4 3 4" xfId="34271"/>
    <cellStyle name="Обычный 7 7 2 4 3 4 2" xfId="34272"/>
    <cellStyle name="Обычный 7 7 2 4 3 4 3" xfId="34273"/>
    <cellStyle name="Обычный 7 7 2 4 3 5" xfId="34274"/>
    <cellStyle name="Обычный 7 7 2 4 3 5 2" xfId="34275"/>
    <cellStyle name="Обычный 7 7 2 4 3 5 3" xfId="34276"/>
    <cellStyle name="Обычный 7 7 2 4 3 6" xfId="34277"/>
    <cellStyle name="Обычный 7 7 2 4 3 6 2" xfId="34278"/>
    <cellStyle name="Обычный 7 7 2 4 3 7" xfId="34279"/>
    <cellStyle name="Обычный 7 7 2 4 3 8" xfId="34280"/>
    <cellStyle name="Обычный 7 7 2 4 4" xfId="34281"/>
    <cellStyle name="Обычный 7 7 2 4 4 2" xfId="34282"/>
    <cellStyle name="Обычный 7 7 2 4 4 2 2" xfId="34283"/>
    <cellStyle name="Обычный 7 7 2 4 4 2 2 2" xfId="34284"/>
    <cellStyle name="Обычный 7 7 2 4 4 2 2 3" xfId="34285"/>
    <cellStyle name="Обычный 7 7 2 4 4 2 3" xfId="34286"/>
    <cellStyle name="Обычный 7 7 2 4 4 2 3 2" xfId="34287"/>
    <cellStyle name="Обычный 7 7 2 4 4 2 3 3" xfId="34288"/>
    <cellStyle name="Обычный 7 7 2 4 4 2 4" xfId="34289"/>
    <cellStyle name="Обычный 7 7 2 4 4 2 4 2" xfId="34290"/>
    <cellStyle name="Обычный 7 7 2 4 4 2 5" xfId="34291"/>
    <cellStyle name="Обычный 7 7 2 4 4 2 6" xfId="34292"/>
    <cellStyle name="Обычный 7 7 2 4 4 3" xfId="34293"/>
    <cellStyle name="Обычный 7 7 2 4 4 3 2" xfId="34294"/>
    <cellStyle name="Обычный 7 7 2 4 4 3 3" xfId="34295"/>
    <cellStyle name="Обычный 7 7 2 4 4 4" xfId="34296"/>
    <cellStyle name="Обычный 7 7 2 4 4 4 2" xfId="34297"/>
    <cellStyle name="Обычный 7 7 2 4 4 4 3" xfId="34298"/>
    <cellStyle name="Обычный 7 7 2 4 4 5" xfId="34299"/>
    <cellStyle name="Обычный 7 7 2 4 4 5 2" xfId="34300"/>
    <cellStyle name="Обычный 7 7 2 4 4 6" xfId="34301"/>
    <cellStyle name="Обычный 7 7 2 4 4 7" xfId="34302"/>
    <cellStyle name="Обычный 7 7 2 4 5" xfId="34303"/>
    <cellStyle name="Обычный 7 7 2 4 5 2" xfId="34304"/>
    <cellStyle name="Обычный 7 7 2 4 5 2 2" xfId="34305"/>
    <cellStyle name="Обычный 7 7 2 4 5 2 3" xfId="34306"/>
    <cellStyle name="Обычный 7 7 2 4 5 3" xfId="34307"/>
    <cellStyle name="Обычный 7 7 2 4 5 3 2" xfId="34308"/>
    <cellStyle name="Обычный 7 7 2 4 5 3 3" xfId="34309"/>
    <cellStyle name="Обычный 7 7 2 4 5 4" xfId="34310"/>
    <cellStyle name="Обычный 7 7 2 4 5 4 2" xfId="34311"/>
    <cellStyle name="Обычный 7 7 2 4 5 5" xfId="34312"/>
    <cellStyle name="Обычный 7 7 2 4 5 6" xfId="34313"/>
    <cellStyle name="Обычный 7 7 2 4 6" xfId="34314"/>
    <cellStyle name="Обычный 7 7 2 4 6 2" xfId="34315"/>
    <cellStyle name="Обычный 7 7 2 4 6 3" xfId="34316"/>
    <cellStyle name="Обычный 7 7 2 4 7" xfId="34317"/>
    <cellStyle name="Обычный 7 7 2 4 7 2" xfId="34318"/>
    <cellStyle name="Обычный 7 7 2 4 7 3" xfId="34319"/>
    <cellStyle name="Обычный 7 7 2 4 8" xfId="34320"/>
    <cellStyle name="Обычный 7 7 2 4 8 2" xfId="34321"/>
    <cellStyle name="Обычный 7 7 2 4 9" xfId="34322"/>
    <cellStyle name="Обычный 7 7 2 5" xfId="34323"/>
    <cellStyle name="Обычный 7 7 2 5 2" xfId="34324"/>
    <cellStyle name="Обычный 7 7 2 5 2 2" xfId="34325"/>
    <cellStyle name="Обычный 7 7 2 5 2 2 2" xfId="34326"/>
    <cellStyle name="Обычный 7 7 2 5 2 2 2 2" xfId="34327"/>
    <cellStyle name="Обычный 7 7 2 5 2 2 2 2 2" xfId="34328"/>
    <cellStyle name="Обычный 7 7 2 5 2 2 2 2 3" xfId="34329"/>
    <cellStyle name="Обычный 7 7 2 5 2 2 2 3" xfId="34330"/>
    <cellStyle name="Обычный 7 7 2 5 2 2 2 3 2" xfId="34331"/>
    <cellStyle name="Обычный 7 7 2 5 2 2 2 3 3" xfId="34332"/>
    <cellStyle name="Обычный 7 7 2 5 2 2 2 4" xfId="34333"/>
    <cellStyle name="Обычный 7 7 2 5 2 2 2 4 2" xfId="34334"/>
    <cellStyle name="Обычный 7 7 2 5 2 2 2 5" xfId="34335"/>
    <cellStyle name="Обычный 7 7 2 5 2 2 2 6" xfId="34336"/>
    <cellStyle name="Обычный 7 7 2 5 2 2 3" xfId="34337"/>
    <cellStyle name="Обычный 7 7 2 5 2 2 3 2" xfId="34338"/>
    <cellStyle name="Обычный 7 7 2 5 2 2 3 3" xfId="34339"/>
    <cellStyle name="Обычный 7 7 2 5 2 2 4" xfId="34340"/>
    <cellStyle name="Обычный 7 7 2 5 2 2 4 2" xfId="34341"/>
    <cellStyle name="Обычный 7 7 2 5 2 2 4 3" xfId="34342"/>
    <cellStyle name="Обычный 7 7 2 5 2 2 5" xfId="34343"/>
    <cellStyle name="Обычный 7 7 2 5 2 2 5 2" xfId="34344"/>
    <cellStyle name="Обычный 7 7 2 5 2 2 6" xfId="34345"/>
    <cellStyle name="Обычный 7 7 2 5 2 2 7" xfId="34346"/>
    <cellStyle name="Обычный 7 7 2 5 2 3" xfId="34347"/>
    <cellStyle name="Обычный 7 7 2 5 2 3 2" xfId="34348"/>
    <cellStyle name="Обычный 7 7 2 5 2 3 2 2" xfId="34349"/>
    <cellStyle name="Обычный 7 7 2 5 2 3 2 3" xfId="34350"/>
    <cellStyle name="Обычный 7 7 2 5 2 3 3" xfId="34351"/>
    <cellStyle name="Обычный 7 7 2 5 2 3 3 2" xfId="34352"/>
    <cellStyle name="Обычный 7 7 2 5 2 3 3 3" xfId="34353"/>
    <cellStyle name="Обычный 7 7 2 5 2 3 4" xfId="34354"/>
    <cellStyle name="Обычный 7 7 2 5 2 3 4 2" xfId="34355"/>
    <cellStyle name="Обычный 7 7 2 5 2 3 5" xfId="34356"/>
    <cellStyle name="Обычный 7 7 2 5 2 3 6" xfId="34357"/>
    <cellStyle name="Обычный 7 7 2 5 2 4" xfId="34358"/>
    <cellStyle name="Обычный 7 7 2 5 2 4 2" xfId="34359"/>
    <cellStyle name="Обычный 7 7 2 5 2 4 3" xfId="34360"/>
    <cellStyle name="Обычный 7 7 2 5 2 5" xfId="34361"/>
    <cellStyle name="Обычный 7 7 2 5 2 5 2" xfId="34362"/>
    <cellStyle name="Обычный 7 7 2 5 2 5 3" xfId="34363"/>
    <cellStyle name="Обычный 7 7 2 5 2 6" xfId="34364"/>
    <cellStyle name="Обычный 7 7 2 5 2 6 2" xfId="34365"/>
    <cellStyle name="Обычный 7 7 2 5 2 7" xfId="34366"/>
    <cellStyle name="Обычный 7 7 2 5 2 8" xfId="34367"/>
    <cellStyle name="Обычный 7 7 2 5 3" xfId="34368"/>
    <cellStyle name="Обычный 7 7 2 5 3 2" xfId="34369"/>
    <cellStyle name="Обычный 7 7 2 5 3 2 2" xfId="34370"/>
    <cellStyle name="Обычный 7 7 2 5 3 2 2 2" xfId="34371"/>
    <cellStyle name="Обычный 7 7 2 5 3 2 2 3" xfId="34372"/>
    <cellStyle name="Обычный 7 7 2 5 3 2 3" xfId="34373"/>
    <cellStyle name="Обычный 7 7 2 5 3 2 3 2" xfId="34374"/>
    <cellStyle name="Обычный 7 7 2 5 3 2 3 3" xfId="34375"/>
    <cellStyle name="Обычный 7 7 2 5 3 2 4" xfId="34376"/>
    <cellStyle name="Обычный 7 7 2 5 3 2 4 2" xfId="34377"/>
    <cellStyle name="Обычный 7 7 2 5 3 2 5" xfId="34378"/>
    <cellStyle name="Обычный 7 7 2 5 3 2 6" xfId="34379"/>
    <cellStyle name="Обычный 7 7 2 5 3 3" xfId="34380"/>
    <cellStyle name="Обычный 7 7 2 5 3 3 2" xfId="34381"/>
    <cellStyle name="Обычный 7 7 2 5 3 3 3" xfId="34382"/>
    <cellStyle name="Обычный 7 7 2 5 3 4" xfId="34383"/>
    <cellStyle name="Обычный 7 7 2 5 3 4 2" xfId="34384"/>
    <cellStyle name="Обычный 7 7 2 5 3 4 3" xfId="34385"/>
    <cellStyle name="Обычный 7 7 2 5 3 5" xfId="34386"/>
    <cellStyle name="Обычный 7 7 2 5 3 5 2" xfId="34387"/>
    <cellStyle name="Обычный 7 7 2 5 3 6" xfId="34388"/>
    <cellStyle name="Обычный 7 7 2 5 3 7" xfId="34389"/>
    <cellStyle name="Обычный 7 7 2 5 4" xfId="34390"/>
    <cellStyle name="Обычный 7 7 2 5 4 2" xfId="34391"/>
    <cellStyle name="Обычный 7 7 2 5 4 2 2" xfId="34392"/>
    <cellStyle name="Обычный 7 7 2 5 4 2 3" xfId="34393"/>
    <cellStyle name="Обычный 7 7 2 5 4 3" xfId="34394"/>
    <cellStyle name="Обычный 7 7 2 5 4 3 2" xfId="34395"/>
    <cellStyle name="Обычный 7 7 2 5 4 3 3" xfId="34396"/>
    <cellStyle name="Обычный 7 7 2 5 4 4" xfId="34397"/>
    <cellStyle name="Обычный 7 7 2 5 4 4 2" xfId="34398"/>
    <cellStyle name="Обычный 7 7 2 5 4 5" xfId="34399"/>
    <cellStyle name="Обычный 7 7 2 5 4 6" xfId="34400"/>
    <cellStyle name="Обычный 7 7 2 5 5" xfId="34401"/>
    <cellStyle name="Обычный 7 7 2 5 5 2" xfId="34402"/>
    <cellStyle name="Обычный 7 7 2 5 5 3" xfId="34403"/>
    <cellStyle name="Обычный 7 7 2 5 6" xfId="34404"/>
    <cellStyle name="Обычный 7 7 2 5 6 2" xfId="34405"/>
    <cellStyle name="Обычный 7 7 2 5 6 3" xfId="34406"/>
    <cellStyle name="Обычный 7 7 2 5 7" xfId="34407"/>
    <cellStyle name="Обычный 7 7 2 5 7 2" xfId="34408"/>
    <cellStyle name="Обычный 7 7 2 5 8" xfId="34409"/>
    <cellStyle name="Обычный 7 7 2 5 9" xfId="34410"/>
    <cellStyle name="Обычный 7 7 2 6" xfId="34411"/>
    <cellStyle name="Обычный 7 7 2 6 2" xfId="34412"/>
    <cellStyle name="Обычный 7 7 2 6 2 2" xfId="34413"/>
    <cellStyle name="Обычный 7 7 2 6 2 2 2" xfId="34414"/>
    <cellStyle name="Обычный 7 7 2 6 2 2 2 2" xfId="34415"/>
    <cellStyle name="Обычный 7 7 2 6 2 2 2 3" xfId="34416"/>
    <cellStyle name="Обычный 7 7 2 6 2 2 3" xfId="34417"/>
    <cellStyle name="Обычный 7 7 2 6 2 2 3 2" xfId="34418"/>
    <cellStyle name="Обычный 7 7 2 6 2 2 3 3" xfId="34419"/>
    <cellStyle name="Обычный 7 7 2 6 2 2 4" xfId="34420"/>
    <cellStyle name="Обычный 7 7 2 6 2 2 4 2" xfId="34421"/>
    <cellStyle name="Обычный 7 7 2 6 2 2 5" xfId="34422"/>
    <cellStyle name="Обычный 7 7 2 6 2 2 6" xfId="34423"/>
    <cellStyle name="Обычный 7 7 2 6 2 3" xfId="34424"/>
    <cellStyle name="Обычный 7 7 2 6 2 3 2" xfId="34425"/>
    <cellStyle name="Обычный 7 7 2 6 2 3 3" xfId="34426"/>
    <cellStyle name="Обычный 7 7 2 6 2 4" xfId="34427"/>
    <cellStyle name="Обычный 7 7 2 6 2 4 2" xfId="34428"/>
    <cellStyle name="Обычный 7 7 2 6 2 4 3" xfId="34429"/>
    <cellStyle name="Обычный 7 7 2 6 2 5" xfId="34430"/>
    <cellStyle name="Обычный 7 7 2 6 2 5 2" xfId="34431"/>
    <cellStyle name="Обычный 7 7 2 6 2 6" xfId="34432"/>
    <cellStyle name="Обычный 7 7 2 6 2 7" xfId="34433"/>
    <cellStyle name="Обычный 7 7 2 6 3" xfId="34434"/>
    <cellStyle name="Обычный 7 7 2 6 3 2" xfId="34435"/>
    <cellStyle name="Обычный 7 7 2 6 3 2 2" xfId="34436"/>
    <cellStyle name="Обычный 7 7 2 6 3 2 3" xfId="34437"/>
    <cellStyle name="Обычный 7 7 2 6 3 3" xfId="34438"/>
    <cellStyle name="Обычный 7 7 2 6 3 3 2" xfId="34439"/>
    <cellStyle name="Обычный 7 7 2 6 3 3 3" xfId="34440"/>
    <cellStyle name="Обычный 7 7 2 6 3 4" xfId="34441"/>
    <cellStyle name="Обычный 7 7 2 6 3 4 2" xfId="34442"/>
    <cellStyle name="Обычный 7 7 2 6 3 5" xfId="34443"/>
    <cellStyle name="Обычный 7 7 2 6 3 6" xfId="34444"/>
    <cellStyle name="Обычный 7 7 2 6 4" xfId="34445"/>
    <cellStyle name="Обычный 7 7 2 6 4 2" xfId="34446"/>
    <cellStyle name="Обычный 7 7 2 6 4 3" xfId="34447"/>
    <cellStyle name="Обычный 7 7 2 6 5" xfId="34448"/>
    <cellStyle name="Обычный 7 7 2 6 5 2" xfId="34449"/>
    <cellStyle name="Обычный 7 7 2 6 5 3" xfId="34450"/>
    <cellStyle name="Обычный 7 7 2 6 6" xfId="34451"/>
    <cellStyle name="Обычный 7 7 2 6 6 2" xfId="34452"/>
    <cellStyle name="Обычный 7 7 2 6 7" xfId="34453"/>
    <cellStyle name="Обычный 7 7 2 6 8" xfId="34454"/>
    <cellStyle name="Обычный 7 7 2 7" xfId="34455"/>
    <cellStyle name="Обычный 7 7 2 7 2" xfId="34456"/>
    <cellStyle name="Обычный 7 7 2 7 2 2" xfId="34457"/>
    <cellStyle name="Обычный 7 7 2 7 2 2 2" xfId="34458"/>
    <cellStyle name="Обычный 7 7 2 7 2 2 3" xfId="34459"/>
    <cellStyle name="Обычный 7 7 2 7 2 3" xfId="34460"/>
    <cellStyle name="Обычный 7 7 2 7 2 3 2" xfId="34461"/>
    <cellStyle name="Обычный 7 7 2 7 2 3 3" xfId="34462"/>
    <cellStyle name="Обычный 7 7 2 7 2 4" xfId="34463"/>
    <cellStyle name="Обычный 7 7 2 7 2 4 2" xfId="34464"/>
    <cellStyle name="Обычный 7 7 2 7 2 5" xfId="34465"/>
    <cellStyle name="Обычный 7 7 2 7 2 6" xfId="34466"/>
    <cellStyle name="Обычный 7 7 2 7 3" xfId="34467"/>
    <cellStyle name="Обычный 7 7 2 7 3 2" xfId="34468"/>
    <cellStyle name="Обычный 7 7 2 7 3 3" xfId="34469"/>
    <cellStyle name="Обычный 7 7 2 7 4" xfId="34470"/>
    <cellStyle name="Обычный 7 7 2 7 4 2" xfId="34471"/>
    <cellStyle name="Обычный 7 7 2 7 4 3" xfId="34472"/>
    <cellStyle name="Обычный 7 7 2 7 5" xfId="34473"/>
    <cellStyle name="Обычный 7 7 2 7 5 2" xfId="34474"/>
    <cellStyle name="Обычный 7 7 2 7 6" xfId="34475"/>
    <cellStyle name="Обычный 7 7 2 7 7" xfId="34476"/>
    <cellStyle name="Обычный 7 7 2 8" xfId="34477"/>
    <cellStyle name="Обычный 7 7 2 8 2" xfId="34478"/>
    <cellStyle name="Обычный 7 7 2 8 2 2" xfId="34479"/>
    <cellStyle name="Обычный 7 7 2 8 2 3" xfId="34480"/>
    <cellStyle name="Обычный 7 7 2 8 3" xfId="34481"/>
    <cellStyle name="Обычный 7 7 2 8 3 2" xfId="34482"/>
    <cellStyle name="Обычный 7 7 2 8 3 3" xfId="34483"/>
    <cellStyle name="Обычный 7 7 2 8 4" xfId="34484"/>
    <cellStyle name="Обычный 7 7 2 8 4 2" xfId="34485"/>
    <cellStyle name="Обычный 7 7 2 8 5" xfId="34486"/>
    <cellStyle name="Обычный 7 7 2 8 6" xfId="34487"/>
    <cellStyle name="Обычный 7 7 2 9" xfId="34488"/>
    <cellStyle name="Обычный 7 7 2 9 2" xfId="34489"/>
    <cellStyle name="Обычный 7 7 2 9 3" xfId="34490"/>
    <cellStyle name="Обычный 7 7 3" xfId="34491"/>
    <cellStyle name="Обычный 7 7 3 10" xfId="34492"/>
    <cellStyle name="Обычный 7 7 3 2" xfId="34493"/>
    <cellStyle name="Обычный 7 7 3 2 2" xfId="34494"/>
    <cellStyle name="Обычный 7 7 3 2 2 2" xfId="34495"/>
    <cellStyle name="Обычный 7 7 3 2 2 2 2" xfId="34496"/>
    <cellStyle name="Обычный 7 7 3 2 2 2 2 2" xfId="34497"/>
    <cellStyle name="Обычный 7 7 3 2 2 2 2 2 2" xfId="34498"/>
    <cellStyle name="Обычный 7 7 3 2 2 2 2 2 3" xfId="34499"/>
    <cellStyle name="Обычный 7 7 3 2 2 2 2 3" xfId="34500"/>
    <cellStyle name="Обычный 7 7 3 2 2 2 2 3 2" xfId="34501"/>
    <cellStyle name="Обычный 7 7 3 2 2 2 2 3 3" xfId="34502"/>
    <cellStyle name="Обычный 7 7 3 2 2 2 2 4" xfId="34503"/>
    <cellStyle name="Обычный 7 7 3 2 2 2 2 4 2" xfId="34504"/>
    <cellStyle name="Обычный 7 7 3 2 2 2 2 5" xfId="34505"/>
    <cellStyle name="Обычный 7 7 3 2 2 2 2 6" xfId="34506"/>
    <cellStyle name="Обычный 7 7 3 2 2 2 3" xfId="34507"/>
    <cellStyle name="Обычный 7 7 3 2 2 2 3 2" xfId="34508"/>
    <cellStyle name="Обычный 7 7 3 2 2 2 3 3" xfId="34509"/>
    <cellStyle name="Обычный 7 7 3 2 2 2 4" xfId="34510"/>
    <cellStyle name="Обычный 7 7 3 2 2 2 4 2" xfId="34511"/>
    <cellStyle name="Обычный 7 7 3 2 2 2 4 3" xfId="34512"/>
    <cellStyle name="Обычный 7 7 3 2 2 2 5" xfId="34513"/>
    <cellStyle name="Обычный 7 7 3 2 2 2 5 2" xfId="34514"/>
    <cellStyle name="Обычный 7 7 3 2 2 2 6" xfId="34515"/>
    <cellStyle name="Обычный 7 7 3 2 2 2 7" xfId="34516"/>
    <cellStyle name="Обычный 7 7 3 2 2 3" xfId="34517"/>
    <cellStyle name="Обычный 7 7 3 2 2 3 2" xfId="34518"/>
    <cellStyle name="Обычный 7 7 3 2 2 3 2 2" xfId="34519"/>
    <cellStyle name="Обычный 7 7 3 2 2 3 2 3" xfId="34520"/>
    <cellStyle name="Обычный 7 7 3 2 2 3 3" xfId="34521"/>
    <cellStyle name="Обычный 7 7 3 2 2 3 3 2" xfId="34522"/>
    <cellStyle name="Обычный 7 7 3 2 2 3 3 3" xfId="34523"/>
    <cellStyle name="Обычный 7 7 3 2 2 3 4" xfId="34524"/>
    <cellStyle name="Обычный 7 7 3 2 2 3 4 2" xfId="34525"/>
    <cellStyle name="Обычный 7 7 3 2 2 3 5" xfId="34526"/>
    <cellStyle name="Обычный 7 7 3 2 2 3 6" xfId="34527"/>
    <cellStyle name="Обычный 7 7 3 2 2 4" xfId="34528"/>
    <cellStyle name="Обычный 7 7 3 2 2 4 2" xfId="34529"/>
    <cellStyle name="Обычный 7 7 3 2 2 4 3" xfId="34530"/>
    <cellStyle name="Обычный 7 7 3 2 2 5" xfId="34531"/>
    <cellStyle name="Обычный 7 7 3 2 2 5 2" xfId="34532"/>
    <cellStyle name="Обычный 7 7 3 2 2 5 3" xfId="34533"/>
    <cellStyle name="Обычный 7 7 3 2 2 6" xfId="34534"/>
    <cellStyle name="Обычный 7 7 3 2 2 6 2" xfId="34535"/>
    <cellStyle name="Обычный 7 7 3 2 2 7" xfId="34536"/>
    <cellStyle name="Обычный 7 7 3 2 2 8" xfId="34537"/>
    <cellStyle name="Обычный 7 7 3 2 3" xfId="34538"/>
    <cellStyle name="Обычный 7 7 3 2 3 2" xfId="34539"/>
    <cellStyle name="Обычный 7 7 3 2 3 2 2" xfId="34540"/>
    <cellStyle name="Обычный 7 7 3 2 3 2 2 2" xfId="34541"/>
    <cellStyle name="Обычный 7 7 3 2 3 2 2 3" xfId="34542"/>
    <cellStyle name="Обычный 7 7 3 2 3 2 3" xfId="34543"/>
    <cellStyle name="Обычный 7 7 3 2 3 2 3 2" xfId="34544"/>
    <cellStyle name="Обычный 7 7 3 2 3 2 3 3" xfId="34545"/>
    <cellStyle name="Обычный 7 7 3 2 3 2 4" xfId="34546"/>
    <cellStyle name="Обычный 7 7 3 2 3 2 4 2" xfId="34547"/>
    <cellStyle name="Обычный 7 7 3 2 3 2 5" xfId="34548"/>
    <cellStyle name="Обычный 7 7 3 2 3 2 6" xfId="34549"/>
    <cellStyle name="Обычный 7 7 3 2 3 3" xfId="34550"/>
    <cellStyle name="Обычный 7 7 3 2 3 3 2" xfId="34551"/>
    <cellStyle name="Обычный 7 7 3 2 3 3 3" xfId="34552"/>
    <cellStyle name="Обычный 7 7 3 2 3 4" xfId="34553"/>
    <cellStyle name="Обычный 7 7 3 2 3 4 2" xfId="34554"/>
    <cellStyle name="Обычный 7 7 3 2 3 4 3" xfId="34555"/>
    <cellStyle name="Обычный 7 7 3 2 3 5" xfId="34556"/>
    <cellStyle name="Обычный 7 7 3 2 3 5 2" xfId="34557"/>
    <cellStyle name="Обычный 7 7 3 2 3 6" xfId="34558"/>
    <cellStyle name="Обычный 7 7 3 2 3 7" xfId="34559"/>
    <cellStyle name="Обычный 7 7 3 2 4" xfId="34560"/>
    <cellStyle name="Обычный 7 7 3 2 4 2" xfId="34561"/>
    <cellStyle name="Обычный 7 7 3 2 4 2 2" xfId="34562"/>
    <cellStyle name="Обычный 7 7 3 2 4 2 3" xfId="34563"/>
    <cellStyle name="Обычный 7 7 3 2 4 3" xfId="34564"/>
    <cellStyle name="Обычный 7 7 3 2 4 3 2" xfId="34565"/>
    <cellStyle name="Обычный 7 7 3 2 4 3 3" xfId="34566"/>
    <cellStyle name="Обычный 7 7 3 2 4 4" xfId="34567"/>
    <cellStyle name="Обычный 7 7 3 2 4 4 2" xfId="34568"/>
    <cellStyle name="Обычный 7 7 3 2 4 5" xfId="34569"/>
    <cellStyle name="Обычный 7 7 3 2 4 6" xfId="34570"/>
    <cellStyle name="Обычный 7 7 3 2 5" xfId="34571"/>
    <cellStyle name="Обычный 7 7 3 2 5 2" xfId="34572"/>
    <cellStyle name="Обычный 7 7 3 2 5 3" xfId="34573"/>
    <cellStyle name="Обычный 7 7 3 2 6" xfId="34574"/>
    <cellStyle name="Обычный 7 7 3 2 6 2" xfId="34575"/>
    <cellStyle name="Обычный 7 7 3 2 6 3" xfId="34576"/>
    <cellStyle name="Обычный 7 7 3 2 7" xfId="34577"/>
    <cellStyle name="Обычный 7 7 3 2 7 2" xfId="34578"/>
    <cellStyle name="Обычный 7 7 3 2 8" xfId="34579"/>
    <cellStyle name="Обычный 7 7 3 2 9" xfId="34580"/>
    <cellStyle name="Обычный 7 7 3 3" xfId="34581"/>
    <cellStyle name="Обычный 7 7 3 3 2" xfId="34582"/>
    <cellStyle name="Обычный 7 7 3 3 2 2" xfId="34583"/>
    <cellStyle name="Обычный 7 7 3 3 2 2 2" xfId="34584"/>
    <cellStyle name="Обычный 7 7 3 3 2 2 2 2" xfId="34585"/>
    <cellStyle name="Обычный 7 7 3 3 2 2 2 3" xfId="34586"/>
    <cellStyle name="Обычный 7 7 3 3 2 2 3" xfId="34587"/>
    <cellStyle name="Обычный 7 7 3 3 2 2 3 2" xfId="34588"/>
    <cellStyle name="Обычный 7 7 3 3 2 2 3 3" xfId="34589"/>
    <cellStyle name="Обычный 7 7 3 3 2 2 4" xfId="34590"/>
    <cellStyle name="Обычный 7 7 3 3 2 2 4 2" xfId="34591"/>
    <cellStyle name="Обычный 7 7 3 3 2 2 5" xfId="34592"/>
    <cellStyle name="Обычный 7 7 3 3 2 2 6" xfId="34593"/>
    <cellStyle name="Обычный 7 7 3 3 2 3" xfId="34594"/>
    <cellStyle name="Обычный 7 7 3 3 2 3 2" xfId="34595"/>
    <cellStyle name="Обычный 7 7 3 3 2 3 3" xfId="34596"/>
    <cellStyle name="Обычный 7 7 3 3 2 4" xfId="34597"/>
    <cellStyle name="Обычный 7 7 3 3 2 4 2" xfId="34598"/>
    <cellStyle name="Обычный 7 7 3 3 2 4 3" xfId="34599"/>
    <cellStyle name="Обычный 7 7 3 3 2 5" xfId="34600"/>
    <cellStyle name="Обычный 7 7 3 3 2 5 2" xfId="34601"/>
    <cellStyle name="Обычный 7 7 3 3 2 6" xfId="34602"/>
    <cellStyle name="Обычный 7 7 3 3 2 7" xfId="34603"/>
    <cellStyle name="Обычный 7 7 3 3 3" xfId="34604"/>
    <cellStyle name="Обычный 7 7 3 3 3 2" xfId="34605"/>
    <cellStyle name="Обычный 7 7 3 3 3 2 2" xfId="34606"/>
    <cellStyle name="Обычный 7 7 3 3 3 2 3" xfId="34607"/>
    <cellStyle name="Обычный 7 7 3 3 3 3" xfId="34608"/>
    <cellStyle name="Обычный 7 7 3 3 3 3 2" xfId="34609"/>
    <cellStyle name="Обычный 7 7 3 3 3 3 3" xfId="34610"/>
    <cellStyle name="Обычный 7 7 3 3 3 4" xfId="34611"/>
    <cellStyle name="Обычный 7 7 3 3 3 4 2" xfId="34612"/>
    <cellStyle name="Обычный 7 7 3 3 3 5" xfId="34613"/>
    <cellStyle name="Обычный 7 7 3 3 3 6" xfId="34614"/>
    <cellStyle name="Обычный 7 7 3 3 4" xfId="34615"/>
    <cellStyle name="Обычный 7 7 3 3 4 2" xfId="34616"/>
    <cellStyle name="Обычный 7 7 3 3 4 3" xfId="34617"/>
    <cellStyle name="Обычный 7 7 3 3 5" xfId="34618"/>
    <cellStyle name="Обычный 7 7 3 3 5 2" xfId="34619"/>
    <cellStyle name="Обычный 7 7 3 3 5 3" xfId="34620"/>
    <cellStyle name="Обычный 7 7 3 3 6" xfId="34621"/>
    <cellStyle name="Обычный 7 7 3 3 6 2" xfId="34622"/>
    <cellStyle name="Обычный 7 7 3 3 7" xfId="34623"/>
    <cellStyle name="Обычный 7 7 3 3 8" xfId="34624"/>
    <cellStyle name="Обычный 7 7 3 4" xfId="34625"/>
    <cellStyle name="Обычный 7 7 3 4 2" xfId="34626"/>
    <cellStyle name="Обычный 7 7 3 4 2 2" xfId="34627"/>
    <cellStyle name="Обычный 7 7 3 4 2 2 2" xfId="34628"/>
    <cellStyle name="Обычный 7 7 3 4 2 2 3" xfId="34629"/>
    <cellStyle name="Обычный 7 7 3 4 2 3" xfId="34630"/>
    <cellStyle name="Обычный 7 7 3 4 2 3 2" xfId="34631"/>
    <cellStyle name="Обычный 7 7 3 4 2 3 3" xfId="34632"/>
    <cellStyle name="Обычный 7 7 3 4 2 4" xfId="34633"/>
    <cellStyle name="Обычный 7 7 3 4 2 4 2" xfId="34634"/>
    <cellStyle name="Обычный 7 7 3 4 2 5" xfId="34635"/>
    <cellStyle name="Обычный 7 7 3 4 2 6" xfId="34636"/>
    <cellStyle name="Обычный 7 7 3 4 3" xfId="34637"/>
    <cellStyle name="Обычный 7 7 3 4 3 2" xfId="34638"/>
    <cellStyle name="Обычный 7 7 3 4 3 3" xfId="34639"/>
    <cellStyle name="Обычный 7 7 3 4 4" xfId="34640"/>
    <cellStyle name="Обычный 7 7 3 4 4 2" xfId="34641"/>
    <cellStyle name="Обычный 7 7 3 4 4 3" xfId="34642"/>
    <cellStyle name="Обычный 7 7 3 4 5" xfId="34643"/>
    <cellStyle name="Обычный 7 7 3 4 5 2" xfId="34644"/>
    <cellStyle name="Обычный 7 7 3 4 6" xfId="34645"/>
    <cellStyle name="Обычный 7 7 3 4 7" xfId="34646"/>
    <cellStyle name="Обычный 7 7 3 5" xfId="34647"/>
    <cellStyle name="Обычный 7 7 3 5 2" xfId="34648"/>
    <cellStyle name="Обычный 7 7 3 5 2 2" xfId="34649"/>
    <cellStyle name="Обычный 7 7 3 5 2 3" xfId="34650"/>
    <cellStyle name="Обычный 7 7 3 5 3" xfId="34651"/>
    <cellStyle name="Обычный 7 7 3 5 3 2" xfId="34652"/>
    <cellStyle name="Обычный 7 7 3 5 3 3" xfId="34653"/>
    <cellStyle name="Обычный 7 7 3 5 4" xfId="34654"/>
    <cellStyle name="Обычный 7 7 3 5 4 2" xfId="34655"/>
    <cellStyle name="Обычный 7 7 3 5 5" xfId="34656"/>
    <cellStyle name="Обычный 7 7 3 5 6" xfId="34657"/>
    <cellStyle name="Обычный 7 7 3 6" xfId="34658"/>
    <cellStyle name="Обычный 7 7 3 6 2" xfId="34659"/>
    <cellStyle name="Обычный 7 7 3 6 3" xfId="34660"/>
    <cellStyle name="Обычный 7 7 3 7" xfId="34661"/>
    <cellStyle name="Обычный 7 7 3 7 2" xfId="34662"/>
    <cellStyle name="Обычный 7 7 3 7 3" xfId="34663"/>
    <cellStyle name="Обычный 7 7 3 8" xfId="34664"/>
    <cellStyle name="Обычный 7 7 3 8 2" xfId="34665"/>
    <cellStyle name="Обычный 7 7 3 9" xfId="34666"/>
    <cellStyle name="Обычный 7 7 4" xfId="34667"/>
    <cellStyle name="Обычный 7 7 4 10" xfId="34668"/>
    <cellStyle name="Обычный 7 7 4 2" xfId="34669"/>
    <cellStyle name="Обычный 7 7 4 2 2" xfId="34670"/>
    <cellStyle name="Обычный 7 7 4 2 2 2" xfId="34671"/>
    <cellStyle name="Обычный 7 7 4 2 2 2 2" xfId="34672"/>
    <cellStyle name="Обычный 7 7 4 2 2 2 2 2" xfId="34673"/>
    <cellStyle name="Обычный 7 7 4 2 2 2 2 2 2" xfId="34674"/>
    <cellStyle name="Обычный 7 7 4 2 2 2 2 2 3" xfId="34675"/>
    <cellStyle name="Обычный 7 7 4 2 2 2 2 3" xfId="34676"/>
    <cellStyle name="Обычный 7 7 4 2 2 2 2 3 2" xfId="34677"/>
    <cellStyle name="Обычный 7 7 4 2 2 2 2 3 3" xfId="34678"/>
    <cellStyle name="Обычный 7 7 4 2 2 2 2 4" xfId="34679"/>
    <cellStyle name="Обычный 7 7 4 2 2 2 2 4 2" xfId="34680"/>
    <cellStyle name="Обычный 7 7 4 2 2 2 2 5" xfId="34681"/>
    <cellStyle name="Обычный 7 7 4 2 2 2 2 6" xfId="34682"/>
    <cellStyle name="Обычный 7 7 4 2 2 2 3" xfId="34683"/>
    <cellStyle name="Обычный 7 7 4 2 2 2 3 2" xfId="34684"/>
    <cellStyle name="Обычный 7 7 4 2 2 2 3 3" xfId="34685"/>
    <cellStyle name="Обычный 7 7 4 2 2 2 4" xfId="34686"/>
    <cellStyle name="Обычный 7 7 4 2 2 2 4 2" xfId="34687"/>
    <cellStyle name="Обычный 7 7 4 2 2 2 4 3" xfId="34688"/>
    <cellStyle name="Обычный 7 7 4 2 2 2 5" xfId="34689"/>
    <cellStyle name="Обычный 7 7 4 2 2 2 5 2" xfId="34690"/>
    <cellStyle name="Обычный 7 7 4 2 2 2 6" xfId="34691"/>
    <cellStyle name="Обычный 7 7 4 2 2 2 7" xfId="34692"/>
    <cellStyle name="Обычный 7 7 4 2 2 3" xfId="34693"/>
    <cellStyle name="Обычный 7 7 4 2 2 3 2" xfId="34694"/>
    <cellStyle name="Обычный 7 7 4 2 2 3 2 2" xfId="34695"/>
    <cellStyle name="Обычный 7 7 4 2 2 3 2 3" xfId="34696"/>
    <cellStyle name="Обычный 7 7 4 2 2 3 3" xfId="34697"/>
    <cellStyle name="Обычный 7 7 4 2 2 3 3 2" xfId="34698"/>
    <cellStyle name="Обычный 7 7 4 2 2 3 3 3" xfId="34699"/>
    <cellStyle name="Обычный 7 7 4 2 2 3 4" xfId="34700"/>
    <cellStyle name="Обычный 7 7 4 2 2 3 4 2" xfId="34701"/>
    <cellStyle name="Обычный 7 7 4 2 2 3 5" xfId="34702"/>
    <cellStyle name="Обычный 7 7 4 2 2 3 6" xfId="34703"/>
    <cellStyle name="Обычный 7 7 4 2 2 4" xfId="34704"/>
    <cellStyle name="Обычный 7 7 4 2 2 4 2" xfId="34705"/>
    <cellStyle name="Обычный 7 7 4 2 2 4 3" xfId="34706"/>
    <cellStyle name="Обычный 7 7 4 2 2 5" xfId="34707"/>
    <cellStyle name="Обычный 7 7 4 2 2 5 2" xfId="34708"/>
    <cellStyle name="Обычный 7 7 4 2 2 5 3" xfId="34709"/>
    <cellStyle name="Обычный 7 7 4 2 2 6" xfId="34710"/>
    <cellStyle name="Обычный 7 7 4 2 2 6 2" xfId="34711"/>
    <cellStyle name="Обычный 7 7 4 2 2 7" xfId="34712"/>
    <cellStyle name="Обычный 7 7 4 2 2 8" xfId="34713"/>
    <cellStyle name="Обычный 7 7 4 2 3" xfId="34714"/>
    <cellStyle name="Обычный 7 7 4 2 3 2" xfId="34715"/>
    <cellStyle name="Обычный 7 7 4 2 3 2 2" xfId="34716"/>
    <cellStyle name="Обычный 7 7 4 2 3 2 2 2" xfId="34717"/>
    <cellStyle name="Обычный 7 7 4 2 3 2 2 3" xfId="34718"/>
    <cellStyle name="Обычный 7 7 4 2 3 2 3" xfId="34719"/>
    <cellStyle name="Обычный 7 7 4 2 3 2 3 2" xfId="34720"/>
    <cellStyle name="Обычный 7 7 4 2 3 2 3 3" xfId="34721"/>
    <cellStyle name="Обычный 7 7 4 2 3 2 4" xfId="34722"/>
    <cellStyle name="Обычный 7 7 4 2 3 2 4 2" xfId="34723"/>
    <cellStyle name="Обычный 7 7 4 2 3 2 5" xfId="34724"/>
    <cellStyle name="Обычный 7 7 4 2 3 2 6" xfId="34725"/>
    <cellStyle name="Обычный 7 7 4 2 3 3" xfId="34726"/>
    <cellStyle name="Обычный 7 7 4 2 3 3 2" xfId="34727"/>
    <cellStyle name="Обычный 7 7 4 2 3 3 3" xfId="34728"/>
    <cellStyle name="Обычный 7 7 4 2 3 4" xfId="34729"/>
    <cellStyle name="Обычный 7 7 4 2 3 4 2" xfId="34730"/>
    <cellStyle name="Обычный 7 7 4 2 3 4 3" xfId="34731"/>
    <cellStyle name="Обычный 7 7 4 2 3 5" xfId="34732"/>
    <cellStyle name="Обычный 7 7 4 2 3 5 2" xfId="34733"/>
    <cellStyle name="Обычный 7 7 4 2 3 6" xfId="34734"/>
    <cellStyle name="Обычный 7 7 4 2 3 7" xfId="34735"/>
    <cellStyle name="Обычный 7 7 4 2 4" xfId="34736"/>
    <cellStyle name="Обычный 7 7 4 2 4 2" xfId="34737"/>
    <cellStyle name="Обычный 7 7 4 2 4 2 2" xfId="34738"/>
    <cellStyle name="Обычный 7 7 4 2 4 2 3" xfId="34739"/>
    <cellStyle name="Обычный 7 7 4 2 4 3" xfId="34740"/>
    <cellStyle name="Обычный 7 7 4 2 4 3 2" xfId="34741"/>
    <cellStyle name="Обычный 7 7 4 2 4 3 3" xfId="34742"/>
    <cellStyle name="Обычный 7 7 4 2 4 4" xfId="34743"/>
    <cellStyle name="Обычный 7 7 4 2 4 4 2" xfId="34744"/>
    <cellStyle name="Обычный 7 7 4 2 4 5" xfId="34745"/>
    <cellStyle name="Обычный 7 7 4 2 4 6" xfId="34746"/>
    <cellStyle name="Обычный 7 7 4 2 5" xfId="34747"/>
    <cellStyle name="Обычный 7 7 4 2 5 2" xfId="34748"/>
    <cellStyle name="Обычный 7 7 4 2 5 3" xfId="34749"/>
    <cellStyle name="Обычный 7 7 4 2 6" xfId="34750"/>
    <cellStyle name="Обычный 7 7 4 2 6 2" xfId="34751"/>
    <cellStyle name="Обычный 7 7 4 2 6 3" xfId="34752"/>
    <cellStyle name="Обычный 7 7 4 2 7" xfId="34753"/>
    <cellStyle name="Обычный 7 7 4 2 7 2" xfId="34754"/>
    <cellStyle name="Обычный 7 7 4 2 8" xfId="34755"/>
    <cellStyle name="Обычный 7 7 4 2 9" xfId="34756"/>
    <cellStyle name="Обычный 7 7 4 3" xfId="34757"/>
    <cellStyle name="Обычный 7 7 4 3 2" xfId="34758"/>
    <cellStyle name="Обычный 7 7 4 3 2 2" xfId="34759"/>
    <cellStyle name="Обычный 7 7 4 3 2 2 2" xfId="34760"/>
    <cellStyle name="Обычный 7 7 4 3 2 2 2 2" xfId="34761"/>
    <cellStyle name="Обычный 7 7 4 3 2 2 2 3" xfId="34762"/>
    <cellStyle name="Обычный 7 7 4 3 2 2 3" xfId="34763"/>
    <cellStyle name="Обычный 7 7 4 3 2 2 3 2" xfId="34764"/>
    <cellStyle name="Обычный 7 7 4 3 2 2 3 3" xfId="34765"/>
    <cellStyle name="Обычный 7 7 4 3 2 2 4" xfId="34766"/>
    <cellStyle name="Обычный 7 7 4 3 2 2 4 2" xfId="34767"/>
    <cellStyle name="Обычный 7 7 4 3 2 2 5" xfId="34768"/>
    <cellStyle name="Обычный 7 7 4 3 2 2 6" xfId="34769"/>
    <cellStyle name="Обычный 7 7 4 3 2 3" xfId="34770"/>
    <cellStyle name="Обычный 7 7 4 3 2 3 2" xfId="34771"/>
    <cellStyle name="Обычный 7 7 4 3 2 3 3" xfId="34772"/>
    <cellStyle name="Обычный 7 7 4 3 2 4" xfId="34773"/>
    <cellStyle name="Обычный 7 7 4 3 2 4 2" xfId="34774"/>
    <cellStyle name="Обычный 7 7 4 3 2 4 3" xfId="34775"/>
    <cellStyle name="Обычный 7 7 4 3 2 5" xfId="34776"/>
    <cellStyle name="Обычный 7 7 4 3 2 5 2" xfId="34777"/>
    <cellStyle name="Обычный 7 7 4 3 2 6" xfId="34778"/>
    <cellStyle name="Обычный 7 7 4 3 2 7" xfId="34779"/>
    <cellStyle name="Обычный 7 7 4 3 3" xfId="34780"/>
    <cellStyle name="Обычный 7 7 4 3 3 2" xfId="34781"/>
    <cellStyle name="Обычный 7 7 4 3 3 2 2" xfId="34782"/>
    <cellStyle name="Обычный 7 7 4 3 3 2 3" xfId="34783"/>
    <cellStyle name="Обычный 7 7 4 3 3 3" xfId="34784"/>
    <cellStyle name="Обычный 7 7 4 3 3 3 2" xfId="34785"/>
    <cellStyle name="Обычный 7 7 4 3 3 3 3" xfId="34786"/>
    <cellStyle name="Обычный 7 7 4 3 3 4" xfId="34787"/>
    <cellStyle name="Обычный 7 7 4 3 3 4 2" xfId="34788"/>
    <cellStyle name="Обычный 7 7 4 3 3 5" xfId="34789"/>
    <cellStyle name="Обычный 7 7 4 3 3 6" xfId="34790"/>
    <cellStyle name="Обычный 7 7 4 3 4" xfId="34791"/>
    <cellStyle name="Обычный 7 7 4 3 4 2" xfId="34792"/>
    <cellStyle name="Обычный 7 7 4 3 4 3" xfId="34793"/>
    <cellStyle name="Обычный 7 7 4 3 5" xfId="34794"/>
    <cellStyle name="Обычный 7 7 4 3 5 2" xfId="34795"/>
    <cellStyle name="Обычный 7 7 4 3 5 3" xfId="34796"/>
    <cellStyle name="Обычный 7 7 4 3 6" xfId="34797"/>
    <cellStyle name="Обычный 7 7 4 3 6 2" xfId="34798"/>
    <cellStyle name="Обычный 7 7 4 3 7" xfId="34799"/>
    <cellStyle name="Обычный 7 7 4 3 8" xfId="34800"/>
    <cellStyle name="Обычный 7 7 4 4" xfId="34801"/>
    <cellStyle name="Обычный 7 7 4 4 2" xfId="34802"/>
    <cellStyle name="Обычный 7 7 4 4 2 2" xfId="34803"/>
    <cellStyle name="Обычный 7 7 4 4 2 2 2" xfId="34804"/>
    <cellStyle name="Обычный 7 7 4 4 2 2 3" xfId="34805"/>
    <cellStyle name="Обычный 7 7 4 4 2 3" xfId="34806"/>
    <cellStyle name="Обычный 7 7 4 4 2 3 2" xfId="34807"/>
    <cellStyle name="Обычный 7 7 4 4 2 3 3" xfId="34808"/>
    <cellStyle name="Обычный 7 7 4 4 2 4" xfId="34809"/>
    <cellStyle name="Обычный 7 7 4 4 2 4 2" xfId="34810"/>
    <cellStyle name="Обычный 7 7 4 4 2 5" xfId="34811"/>
    <cellStyle name="Обычный 7 7 4 4 2 6" xfId="34812"/>
    <cellStyle name="Обычный 7 7 4 4 3" xfId="34813"/>
    <cellStyle name="Обычный 7 7 4 4 3 2" xfId="34814"/>
    <cellStyle name="Обычный 7 7 4 4 3 3" xfId="34815"/>
    <cellStyle name="Обычный 7 7 4 4 4" xfId="34816"/>
    <cellStyle name="Обычный 7 7 4 4 4 2" xfId="34817"/>
    <cellStyle name="Обычный 7 7 4 4 4 3" xfId="34818"/>
    <cellStyle name="Обычный 7 7 4 4 5" xfId="34819"/>
    <cellStyle name="Обычный 7 7 4 4 5 2" xfId="34820"/>
    <cellStyle name="Обычный 7 7 4 4 6" xfId="34821"/>
    <cellStyle name="Обычный 7 7 4 4 7" xfId="34822"/>
    <cellStyle name="Обычный 7 7 4 5" xfId="34823"/>
    <cellStyle name="Обычный 7 7 4 5 2" xfId="34824"/>
    <cellStyle name="Обычный 7 7 4 5 2 2" xfId="34825"/>
    <cellStyle name="Обычный 7 7 4 5 2 3" xfId="34826"/>
    <cellStyle name="Обычный 7 7 4 5 3" xfId="34827"/>
    <cellStyle name="Обычный 7 7 4 5 3 2" xfId="34828"/>
    <cellStyle name="Обычный 7 7 4 5 3 3" xfId="34829"/>
    <cellStyle name="Обычный 7 7 4 5 4" xfId="34830"/>
    <cellStyle name="Обычный 7 7 4 5 4 2" xfId="34831"/>
    <cellStyle name="Обычный 7 7 4 5 5" xfId="34832"/>
    <cellStyle name="Обычный 7 7 4 5 6" xfId="34833"/>
    <cellStyle name="Обычный 7 7 4 6" xfId="34834"/>
    <cellStyle name="Обычный 7 7 4 6 2" xfId="34835"/>
    <cellStyle name="Обычный 7 7 4 6 3" xfId="34836"/>
    <cellStyle name="Обычный 7 7 4 7" xfId="34837"/>
    <cellStyle name="Обычный 7 7 4 7 2" xfId="34838"/>
    <cellStyle name="Обычный 7 7 4 7 3" xfId="34839"/>
    <cellStyle name="Обычный 7 7 4 8" xfId="34840"/>
    <cellStyle name="Обычный 7 7 4 8 2" xfId="34841"/>
    <cellStyle name="Обычный 7 7 4 9" xfId="34842"/>
    <cellStyle name="Обычный 7 7 5" xfId="34843"/>
    <cellStyle name="Обычный 7 7 5 10" xfId="34844"/>
    <cellStyle name="Обычный 7 7 5 2" xfId="34845"/>
    <cellStyle name="Обычный 7 7 5 2 2" xfId="34846"/>
    <cellStyle name="Обычный 7 7 5 2 2 2" xfId="34847"/>
    <cellStyle name="Обычный 7 7 5 2 2 2 2" xfId="34848"/>
    <cellStyle name="Обычный 7 7 5 2 2 2 2 2" xfId="34849"/>
    <cellStyle name="Обычный 7 7 5 2 2 2 2 2 2" xfId="34850"/>
    <cellStyle name="Обычный 7 7 5 2 2 2 2 2 3" xfId="34851"/>
    <cellStyle name="Обычный 7 7 5 2 2 2 2 3" xfId="34852"/>
    <cellStyle name="Обычный 7 7 5 2 2 2 2 3 2" xfId="34853"/>
    <cellStyle name="Обычный 7 7 5 2 2 2 2 3 3" xfId="34854"/>
    <cellStyle name="Обычный 7 7 5 2 2 2 2 4" xfId="34855"/>
    <cellStyle name="Обычный 7 7 5 2 2 2 2 4 2" xfId="34856"/>
    <cellStyle name="Обычный 7 7 5 2 2 2 2 5" xfId="34857"/>
    <cellStyle name="Обычный 7 7 5 2 2 2 2 6" xfId="34858"/>
    <cellStyle name="Обычный 7 7 5 2 2 2 3" xfId="34859"/>
    <cellStyle name="Обычный 7 7 5 2 2 2 3 2" xfId="34860"/>
    <cellStyle name="Обычный 7 7 5 2 2 2 3 3" xfId="34861"/>
    <cellStyle name="Обычный 7 7 5 2 2 2 4" xfId="34862"/>
    <cellStyle name="Обычный 7 7 5 2 2 2 4 2" xfId="34863"/>
    <cellStyle name="Обычный 7 7 5 2 2 2 4 3" xfId="34864"/>
    <cellStyle name="Обычный 7 7 5 2 2 2 5" xfId="34865"/>
    <cellStyle name="Обычный 7 7 5 2 2 2 5 2" xfId="34866"/>
    <cellStyle name="Обычный 7 7 5 2 2 2 6" xfId="34867"/>
    <cellStyle name="Обычный 7 7 5 2 2 2 7" xfId="34868"/>
    <cellStyle name="Обычный 7 7 5 2 2 3" xfId="34869"/>
    <cellStyle name="Обычный 7 7 5 2 2 3 2" xfId="34870"/>
    <cellStyle name="Обычный 7 7 5 2 2 3 2 2" xfId="34871"/>
    <cellStyle name="Обычный 7 7 5 2 2 3 2 3" xfId="34872"/>
    <cellStyle name="Обычный 7 7 5 2 2 3 3" xfId="34873"/>
    <cellStyle name="Обычный 7 7 5 2 2 3 3 2" xfId="34874"/>
    <cellStyle name="Обычный 7 7 5 2 2 3 3 3" xfId="34875"/>
    <cellStyle name="Обычный 7 7 5 2 2 3 4" xfId="34876"/>
    <cellStyle name="Обычный 7 7 5 2 2 3 4 2" xfId="34877"/>
    <cellStyle name="Обычный 7 7 5 2 2 3 5" xfId="34878"/>
    <cellStyle name="Обычный 7 7 5 2 2 3 6" xfId="34879"/>
    <cellStyle name="Обычный 7 7 5 2 2 4" xfId="34880"/>
    <cellStyle name="Обычный 7 7 5 2 2 4 2" xfId="34881"/>
    <cellStyle name="Обычный 7 7 5 2 2 4 3" xfId="34882"/>
    <cellStyle name="Обычный 7 7 5 2 2 5" xfId="34883"/>
    <cellStyle name="Обычный 7 7 5 2 2 5 2" xfId="34884"/>
    <cellStyle name="Обычный 7 7 5 2 2 5 3" xfId="34885"/>
    <cellStyle name="Обычный 7 7 5 2 2 6" xfId="34886"/>
    <cellStyle name="Обычный 7 7 5 2 2 6 2" xfId="34887"/>
    <cellStyle name="Обычный 7 7 5 2 2 7" xfId="34888"/>
    <cellStyle name="Обычный 7 7 5 2 2 8" xfId="34889"/>
    <cellStyle name="Обычный 7 7 5 2 3" xfId="34890"/>
    <cellStyle name="Обычный 7 7 5 2 3 2" xfId="34891"/>
    <cellStyle name="Обычный 7 7 5 2 3 2 2" xfId="34892"/>
    <cellStyle name="Обычный 7 7 5 2 3 2 2 2" xfId="34893"/>
    <cellStyle name="Обычный 7 7 5 2 3 2 2 3" xfId="34894"/>
    <cellStyle name="Обычный 7 7 5 2 3 2 3" xfId="34895"/>
    <cellStyle name="Обычный 7 7 5 2 3 2 3 2" xfId="34896"/>
    <cellStyle name="Обычный 7 7 5 2 3 2 3 3" xfId="34897"/>
    <cellStyle name="Обычный 7 7 5 2 3 2 4" xfId="34898"/>
    <cellStyle name="Обычный 7 7 5 2 3 2 4 2" xfId="34899"/>
    <cellStyle name="Обычный 7 7 5 2 3 2 5" xfId="34900"/>
    <cellStyle name="Обычный 7 7 5 2 3 2 6" xfId="34901"/>
    <cellStyle name="Обычный 7 7 5 2 3 3" xfId="34902"/>
    <cellStyle name="Обычный 7 7 5 2 3 3 2" xfId="34903"/>
    <cellStyle name="Обычный 7 7 5 2 3 3 3" xfId="34904"/>
    <cellStyle name="Обычный 7 7 5 2 3 4" xfId="34905"/>
    <cellStyle name="Обычный 7 7 5 2 3 4 2" xfId="34906"/>
    <cellStyle name="Обычный 7 7 5 2 3 4 3" xfId="34907"/>
    <cellStyle name="Обычный 7 7 5 2 3 5" xfId="34908"/>
    <cellStyle name="Обычный 7 7 5 2 3 5 2" xfId="34909"/>
    <cellStyle name="Обычный 7 7 5 2 3 6" xfId="34910"/>
    <cellStyle name="Обычный 7 7 5 2 3 7" xfId="34911"/>
    <cellStyle name="Обычный 7 7 5 2 4" xfId="34912"/>
    <cellStyle name="Обычный 7 7 5 2 4 2" xfId="34913"/>
    <cellStyle name="Обычный 7 7 5 2 4 2 2" xfId="34914"/>
    <cellStyle name="Обычный 7 7 5 2 4 2 3" xfId="34915"/>
    <cellStyle name="Обычный 7 7 5 2 4 3" xfId="34916"/>
    <cellStyle name="Обычный 7 7 5 2 4 3 2" xfId="34917"/>
    <cellStyle name="Обычный 7 7 5 2 4 3 3" xfId="34918"/>
    <cellStyle name="Обычный 7 7 5 2 4 4" xfId="34919"/>
    <cellStyle name="Обычный 7 7 5 2 4 4 2" xfId="34920"/>
    <cellStyle name="Обычный 7 7 5 2 4 5" xfId="34921"/>
    <cellStyle name="Обычный 7 7 5 2 4 6" xfId="34922"/>
    <cellStyle name="Обычный 7 7 5 2 5" xfId="34923"/>
    <cellStyle name="Обычный 7 7 5 2 5 2" xfId="34924"/>
    <cellStyle name="Обычный 7 7 5 2 5 3" xfId="34925"/>
    <cellStyle name="Обычный 7 7 5 2 6" xfId="34926"/>
    <cellStyle name="Обычный 7 7 5 2 6 2" xfId="34927"/>
    <cellStyle name="Обычный 7 7 5 2 6 3" xfId="34928"/>
    <cellStyle name="Обычный 7 7 5 2 7" xfId="34929"/>
    <cellStyle name="Обычный 7 7 5 2 7 2" xfId="34930"/>
    <cellStyle name="Обычный 7 7 5 2 8" xfId="34931"/>
    <cellStyle name="Обычный 7 7 5 2 9" xfId="34932"/>
    <cellStyle name="Обычный 7 7 5 3" xfId="34933"/>
    <cellStyle name="Обычный 7 7 5 3 2" xfId="34934"/>
    <cellStyle name="Обычный 7 7 5 3 2 2" xfId="34935"/>
    <cellStyle name="Обычный 7 7 5 3 2 2 2" xfId="34936"/>
    <cellStyle name="Обычный 7 7 5 3 2 2 2 2" xfId="34937"/>
    <cellStyle name="Обычный 7 7 5 3 2 2 2 3" xfId="34938"/>
    <cellStyle name="Обычный 7 7 5 3 2 2 3" xfId="34939"/>
    <cellStyle name="Обычный 7 7 5 3 2 2 3 2" xfId="34940"/>
    <cellStyle name="Обычный 7 7 5 3 2 2 3 3" xfId="34941"/>
    <cellStyle name="Обычный 7 7 5 3 2 2 4" xfId="34942"/>
    <cellStyle name="Обычный 7 7 5 3 2 2 4 2" xfId="34943"/>
    <cellStyle name="Обычный 7 7 5 3 2 2 5" xfId="34944"/>
    <cellStyle name="Обычный 7 7 5 3 2 2 6" xfId="34945"/>
    <cellStyle name="Обычный 7 7 5 3 2 3" xfId="34946"/>
    <cellStyle name="Обычный 7 7 5 3 2 3 2" xfId="34947"/>
    <cellStyle name="Обычный 7 7 5 3 2 3 3" xfId="34948"/>
    <cellStyle name="Обычный 7 7 5 3 2 4" xfId="34949"/>
    <cellStyle name="Обычный 7 7 5 3 2 4 2" xfId="34950"/>
    <cellStyle name="Обычный 7 7 5 3 2 4 3" xfId="34951"/>
    <cellStyle name="Обычный 7 7 5 3 2 5" xfId="34952"/>
    <cellStyle name="Обычный 7 7 5 3 2 5 2" xfId="34953"/>
    <cellStyle name="Обычный 7 7 5 3 2 6" xfId="34954"/>
    <cellStyle name="Обычный 7 7 5 3 2 7" xfId="34955"/>
    <cellStyle name="Обычный 7 7 5 3 3" xfId="34956"/>
    <cellStyle name="Обычный 7 7 5 3 3 2" xfId="34957"/>
    <cellStyle name="Обычный 7 7 5 3 3 2 2" xfId="34958"/>
    <cellStyle name="Обычный 7 7 5 3 3 2 3" xfId="34959"/>
    <cellStyle name="Обычный 7 7 5 3 3 3" xfId="34960"/>
    <cellStyle name="Обычный 7 7 5 3 3 3 2" xfId="34961"/>
    <cellStyle name="Обычный 7 7 5 3 3 3 3" xfId="34962"/>
    <cellStyle name="Обычный 7 7 5 3 3 4" xfId="34963"/>
    <cellStyle name="Обычный 7 7 5 3 3 4 2" xfId="34964"/>
    <cellStyle name="Обычный 7 7 5 3 3 5" xfId="34965"/>
    <cellStyle name="Обычный 7 7 5 3 3 6" xfId="34966"/>
    <cellStyle name="Обычный 7 7 5 3 4" xfId="34967"/>
    <cellStyle name="Обычный 7 7 5 3 4 2" xfId="34968"/>
    <cellStyle name="Обычный 7 7 5 3 4 3" xfId="34969"/>
    <cellStyle name="Обычный 7 7 5 3 5" xfId="34970"/>
    <cellStyle name="Обычный 7 7 5 3 5 2" xfId="34971"/>
    <cellStyle name="Обычный 7 7 5 3 5 3" xfId="34972"/>
    <cellStyle name="Обычный 7 7 5 3 6" xfId="34973"/>
    <cellStyle name="Обычный 7 7 5 3 6 2" xfId="34974"/>
    <cellStyle name="Обычный 7 7 5 3 7" xfId="34975"/>
    <cellStyle name="Обычный 7 7 5 3 8" xfId="34976"/>
    <cellStyle name="Обычный 7 7 5 4" xfId="34977"/>
    <cellStyle name="Обычный 7 7 5 4 2" xfId="34978"/>
    <cellStyle name="Обычный 7 7 5 4 2 2" xfId="34979"/>
    <cellStyle name="Обычный 7 7 5 4 2 2 2" xfId="34980"/>
    <cellStyle name="Обычный 7 7 5 4 2 2 3" xfId="34981"/>
    <cellStyle name="Обычный 7 7 5 4 2 3" xfId="34982"/>
    <cellStyle name="Обычный 7 7 5 4 2 3 2" xfId="34983"/>
    <cellStyle name="Обычный 7 7 5 4 2 3 3" xfId="34984"/>
    <cellStyle name="Обычный 7 7 5 4 2 4" xfId="34985"/>
    <cellStyle name="Обычный 7 7 5 4 2 4 2" xfId="34986"/>
    <cellStyle name="Обычный 7 7 5 4 2 5" xfId="34987"/>
    <cellStyle name="Обычный 7 7 5 4 2 6" xfId="34988"/>
    <cellStyle name="Обычный 7 7 5 4 3" xfId="34989"/>
    <cellStyle name="Обычный 7 7 5 4 3 2" xfId="34990"/>
    <cellStyle name="Обычный 7 7 5 4 3 3" xfId="34991"/>
    <cellStyle name="Обычный 7 7 5 4 4" xfId="34992"/>
    <cellStyle name="Обычный 7 7 5 4 4 2" xfId="34993"/>
    <cellStyle name="Обычный 7 7 5 4 4 3" xfId="34994"/>
    <cellStyle name="Обычный 7 7 5 4 5" xfId="34995"/>
    <cellStyle name="Обычный 7 7 5 4 5 2" xfId="34996"/>
    <cellStyle name="Обычный 7 7 5 4 6" xfId="34997"/>
    <cellStyle name="Обычный 7 7 5 4 7" xfId="34998"/>
    <cellStyle name="Обычный 7 7 5 5" xfId="34999"/>
    <cellStyle name="Обычный 7 7 5 5 2" xfId="35000"/>
    <cellStyle name="Обычный 7 7 5 5 2 2" xfId="35001"/>
    <cellStyle name="Обычный 7 7 5 5 2 3" xfId="35002"/>
    <cellStyle name="Обычный 7 7 5 5 3" xfId="35003"/>
    <cellStyle name="Обычный 7 7 5 5 3 2" xfId="35004"/>
    <cellStyle name="Обычный 7 7 5 5 3 3" xfId="35005"/>
    <cellStyle name="Обычный 7 7 5 5 4" xfId="35006"/>
    <cellStyle name="Обычный 7 7 5 5 4 2" xfId="35007"/>
    <cellStyle name="Обычный 7 7 5 5 5" xfId="35008"/>
    <cellStyle name="Обычный 7 7 5 5 6" xfId="35009"/>
    <cellStyle name="Обычный 7 7 5 6" xfId="35010"/>
    <cellStyle name="Обычный 7 7 5 6 2" xfId="35011"/>
    <cellStyle name="Обычный 7 7 5 6 3" xfId="35012"/>
    <cellStyle name="Обычный 7 7 5 7" xfId="35013"/>
    <cellStyle name="Обычный 7 7 5 7 2" xfId="35014"/>
    <cellStyle name="Обычный 7 7 5 7 3" xfId="35015"/>
    <cellStyle name="Обычный 7 7 5 8" xfId="35016"/>
    <cellStyle name="Обычный 7 7 5 8 2" xfId="35017"/>
    <cellStyle name="Обычный 7 7 5 9" xfId="35018"/>
    <cellStyle name="Обычный 7 7 6" xfId="35019"/>
    <cellStyle name="Обычный 7 7 6 2" xfId="35020"/>
    <cellStyle name="Обычный 7 7 6 2 2" xfId="35021"/>
    <cellStyle name="Обычный 7 7 6 2 2 2" xfId="35022"/>
    <cellStyle name="Обычный 7 7 6 2 2 2 2" xfId="35023"/>
    <cellStyle name="Обычный 7 7 6 2 2 2 2 2" xfId="35024"/>
    <cellStyle name="Обычный 7 7 6 2 2 2 2 3" xfId="35025"/>
    <cellStyle name="Обычный 7 7 6 2 2 2 3" xfId="35026"/>
    <cellStyle name="Обычный 7 7 6 2 2 2 3 2" xfId="35027"/>
    <cellStyle name="Обычный 7 7 6 2 2 2 3 3" xfId="35028"/>
    <cellStyle name="Обычный 7 7 6 2 2 2 4" xfId="35029"/>
    <cellStyle name="Обычный 7 7 6 2 2 2 4 2" xfId="35030"/>
    <cellStyle name="Обычный 7 7 6 2 2 2 5" xfId="35031"/>
    <cellStyle name="Обычный 7 7 6 2 2 2 6" xfId="35032"/>
    <cellStyle name="Обычный 7 7 6 2 2 3" xfId="35033"/>
    <cellStyle name="Обычный 7 7 6 2 2 3 2" xfId="35034"/>
    <cellStyle name="Обычный 7 7 6 2 2 3 3" xfId="35035"/>
    <cellStyle name="Обычный 7 7 6 2 2 4" xfId="35036"/>
    <cellStyle name="Обычный 7 7 6 2 2 4 2" xfId="35037"/>
    <cellStyle name="Обычный 7 7 6 2 2 4 3" xfId="35038"/>
    <cellStyle name="Обычный 7 7 6 2 2 5" xfId="35039"/>
    <cellStyle name="Обычный 7 7 6 2 2 5 2" xfId="35040"/>
    <cellStyle name="Обычный 7 7 6 2 2 6" xfId="35041"/>
    <cellStyle name="Обычный 7 7 6 2 2 7" xfId="35042"/>
    <cellStyle name="Обычный 7 7 6 2 3" xfId="35043"/>
    <cellStyle name="Обычный 7 7 6 2 3 2" xfId="35044"/>
    <cellStyle name="Обычный 7 7 6 2 3 2 2" xfId="35045"/>
    <cellStyle name="Обычный 7 7 6 2 3 2 3" xfId="35046"/>
    <cellStyle name="Обычный 7 7 6 2 3 3" xfId="35047"/>
    <cellStyle name="Обычный 7 7 6 2 3 3 2" xfId="35048"/>
    <cellStyle name="Обычный 7 7 6 2 3 3 3" xfId="35049"/>
    <cellStyle name="Обычный 7 7 6 2 3 4" xfId="35050"/>
    <cellStyle name="Обычный 7 7 6 2 3 4 2" xfId="35051"/>
    <cellStyle name="Обычный 7 7 6 2 3 5" xfId="35052"/>
    <cellStyle name="Обычный 7 7 6 2 3 6" xfId="35053"/>
    <cellStyle name="Обычный 7 7 6 2 4" xfId="35054"/>
    <cellStyle name="Обычный 7 7 6 2 4 2" xfId="35055"/>
    <cellStyle name="Обычный 7 7 6 2 4 3" xfId="35056"/>
    <cellStyle name="Обычный 7 7 6 2 5" xfId="35057"/>
    <cellStyle name="Обычный 7 7 6 2 5 2" xfId="35058"/>
    <cellStyle name="Обычный 7 7 6 2 5 3" xfId="35059"/>
    <cellStyle name="Обычный 7 7 6 2 6" xfId="35060"/>
    <cellStyle name="Обычный 7 7 6 2 6 2" xfId="35061"/>
    <cellStyle name="Обычный 7 7 6 2 7" xfId="35062"/>
    <cellStyle name="Обычный 7 7 6 2 8" xfId="35063"/>
    <cellStyle name="Обычный 7 7 6 3" xfId="35064"/>
    <cellStyle name="Обычный 7 7 6 3 2" xfId="35065"/>
    <cellStyle name="Обычный 7 7 6 3 2 2" xfId="35066"/>
    <cellStyle name="Обычный 7 7 6 3 2 2 2" xfId="35067"/>
    <cellStyle name="Обычный 7 7 6 3 2 2 3" xfId="35068"/>
    <cellStyle name="Обычный 7 7 6 3 2 3" xfId="35069"/>
    <cellStyle name="Обычный 7 7 6 3 2 3 2" xfId="35070"/>
    <cellStyle name="Обычный 7 7 6 3 2 3 3" xfId="35071"/>
    <cellStyle name="Обычный 7 7 6 3 2 4" xfId="35072"/>
    <cellStyle name="Обычный 7 7 6 3 2 4 2" xfId="35073"/>
    <cellStyle name="Обычный 7 7 6 3 2 5" xfId="35074"/>
    <cellStyle name="Обычный 7 7 6 3 2 6" xfId="35075"/>
    <cellStyle name="Обычный 7 7 6 3 3" xfId="35076"/>
    <cellStyle name="Обычный 7 7 6 3 3 2" xfId="35077"/>
    <cellStyle name="Обычный 7 7 6 3 3 3" xfId="35078"/>
    <cellStyle name="Обычный 7 7 6 3 4" xfId="35079"/>
    <cellStyle name="Обычный 7 7 6 3 4 2" xfId="35080"/>
    <cellStyle name="Обычный 7 7 6 3 4 3" xfId="35081"/>
    <cellStyle name="Обычный 7 7 6 3 5" xfId="35082"/>
    <cellStyle name="Обычный 7 7 6 3 5 2" xfId="35083"/>
    <cellStyle name="Обычный 7 7 6 3 6" xfId="35084"/>
    <cellStyle name="Обычный 7 7 6 3 7" xfId="35085"/>
    <cellStyle name="Обычный 7 7 6 4" xfId="35086"/>
    <cellStyle name="Обычный 7 7 6 4 2" xfId="35087"/>
    <cellStyle name="Обычный 7 7 6 4 2 2" xfId="35088"/>
    <cellStyle name="Обычный 7 7 6 4 2 3" xfId="35089"/>
    <cellStyle name="Обычный 7 7 6 4 3" xfId="35090"/>
    <cellStyle name="Обычный 7 7 6 4 3 2" xfId="35091"/>
    <cellStyle name="Обычный 7 7 6 4 3 3" xfId="35092"/>
    <cellStyle name="Обычный 7 7 6 4 4" xfId="35093"/>
    <cellStyle name="Обычный 7 7 6 4 4 2" xfId="35094"/>
    <cellStyle name="Обычный 7 7 6 4 5" xfId="35095"/>
    <cellStyle name="Обычный 7 7 6 4 6" xfId="35096"/>
    <cellStyle name="Обычный 7 7 6 5" xfId="35097"/>
    <cellStyle name="Обычный 7 7 6 5 2" xfId="35098"/>
    <cellStyle name="Обычный 7 7 6 5 3" xfId="35099"/>
    <cellStyle name="Обычный 7 7 6 6" xfId="35100"/>
    <cellStyle name="Обычный 7 7 6 6 2" xfId="35101"/>
    <cellStyle name="Обычный 7 7 6 6 3" xfId="35102"/>
    <cellStyle name="Обычный 7 7 6 7" xfId="35103"/>
    <cellStyle name="Обычный 7 7 6 7 2" xfId="35104"/>
    <cellStyle name="Обычный 7 7 6 8" xfId="35105"/>
    <cellStyle name="Обычный 7 7 6 9" xfId="35106"/>
    <cellStyle name="Обычный 7 7 7" xfId="35107"/>
    <cellStyle name="Обычный 7 7 7 2" xfId="35108"/>
    <cellStyle name="Обычный 7 7 7 2 2" xfId="35109"/>
    <cellStyle name="Обычный 7 7 7 2 2 2" xfId="35110"/>
    <cellStyle name="Обычный 7 7 7 2 2 2 2" xfId="35111"/>
    <cellStyle name="Обычный 7 7 7 2 2 2 3" xfId="35112"/>
    <cellStyle name="Обычный 7 7 7 2 2 3" xfId="35113"/>
    <cellStyle name="Обычный 7 7 7 2 2 3 2" xfId="35114"/>
    <cellStyle name="Обычный 7 7 7 2 2 3 3" xfId="35115"/>
    <cellStyle name="Обычный 7 7 7 2 2 4" xfId="35116"/>
    <cellStyle name="Обычный 7 7 7 2 2 4 2" xfId="35117"/>
    <cellStyle name="Обычный 7 7 7 2 2 5" xfId="35118"/>
    <cellStyle name="Обычный 7 7 7 2 2 6" xfId="35119"/>
    <cellStyle name="Обычный 7 7 7 2 3" xfId="35120"/>
    <cellStyle name="Обычный 7 7 7 2 3 2" xfId="35121"/>
    <cellStyle name="Обычный 7 7 7 2 3 3" xfId="35122"/>
    <cellStyle name="Обычный 7 7 7 2 4" xfId="35123"/>
    <cellStyle name="Обычный 7 7 7 2 4 2" xfId="35124"/>
    <cellStyle name="Обычный 7 7 7 2 4 3" xfId="35125"/>
    <cellStyle name="Обычный 7 7 7 2 5" xfId="35126"/>
    <cellStyle name="Обычный 7 7 7 2 5 2" xfId="35127"/>
    <cellStyle name="Обычный 7 7 7 2 6" xfId="35128"/>
    <cellStyle name="Обычный 7 7 7 2 7" xfId="35129"/>
    <cellStyle name="Обычный 7 7 7 3" xfId="35130"/>
    <cellStyle name="Обычный 7 7 7 3 2" xfId="35131"/>
    <cellStyle name="Обычный 7 7 7 3 2 2" xfId="35132"/>
    <cellStyle name="Обычный 7 7 7 3 2 3" xfId="35133"/>
    <cellStyle name="Обычный 7 7 7 3 3" xfId="35134"/>
    <cellStyle name="Обычный 7 7 7 3 3 2" xfId="35135"/>
    <cellStyle name="Обычный 7 7 7 3 3 3" xfId="35136"/>
    <cellStyle name="Обычный 7 7 7 3 4" xfId="35137"/>
    <cellStyle name="Обычный 7 7 7 3 4 2" xfId="35138"/>
    <cellStyle name="Обычный 7 7 7 3 5" xfId="35139"/>
    <cellStyle name="Обычный 7 7 7 3 6" xfId="35140"/>
    <cellStyle name="Обычный 7 7 7 4" xfId="35141"/>
    <cellStyle name="Обычный 7 7 7 4 2" xfId="35142"/>
    <cellStyle name="Обычный 7 7 7 4 3" xfId="35143"/>
    <cellStyle name="Обычный 7 7 7 5" xfId="35144"/>
    <cellStyle name="Обычный 7 7 7 5 2" xfId="35145"/>
    <cellStyle name="Обычный 7 7 7 5 3" xfId="35146"/>
    <cellStyle name="Обычный 7 7 7 6" xfId="35147"/>
    <cellStyle name="Обычный 7 7 7 6 2" xfId="35148"/>
    <cellStyle name="Обычный 7 7 7 7" xfId="35149"/>
    <cellStyle name="Обычный 7 7 7 8" xfId="35150"/>
    <cellStyle name="Обычный 7 7 8" xfId="35151"/>
    <cellStyle name="Обычный 7 7 8 2" xfId="35152"/>
    <cellStyle name="Обычный 7 7 8 2 2" xfId="35153"/>
    <cellStyle name="Обычный 7 7 8 2 2 2" xfId="35154"/>
    <cellStyle name="Обычный 7 7 8 2 2 3" xfId="35155"/>
    <cellStyle name="Обычный 7 7 8 2 3" xfId="35156"/>
    <cellStyle name="Обычный 7 7 8 2 3 2" xfId="35157"/>
    <cellStyle name="Обычный 7 7 8 2 3 3" xfId="35158"/>
    <cellStyle name="Обычный 7 7 8 2 4" xfId="35159"/>
    <cellStyle name="Обычный 7 7 8 2 4 2" xfId="35160"/>
    <cellStyle name="Обычный 7 7 8 2 5" xfId="35161"/>
    <cellStyle name="Обычный 7 7 8 2 6" xfId="35162"/>
    <cellStyle name="Обычный 7 7 8 3" xfId="35163"/>
    <cellStyle name="Обычный 7 7 8 3 2" xfId="35164"/>
    <cellStyle name="Обычный 7 7 8 3 3" xfId="35165"/>
    <cellStyle name="Обычный 7 7 8 4" xfId="35166"/>
    <cellStyle name="Обычный 7 7 8 4 2" xfId="35167"/>
    <cellStyle name="Обычный 7 7 8 4 3" xfId="35168"/>
    <cellStyle name="Обычный 7 7 8 5" xfId="35169"/>
    <cellStyle name="Обычный 7 7 8 5 2" xfId="35170"/>
    <cellStyle name="Обычный 7 7 8 6" xfId="35171"/>
    <cellStyle name="Обычный 7 7 8 7" xfId="35172"/>
    <cellStyle name="Обычный 7 7 9" xfId="35173"/>
    <cellStyle name="Обычный 7 7 9 2" xfId="35174"/>
    <cellStyle name="Обычный 7 7 9 2 2" xfId="35175"/>
    <cellStyle name="Обычный 7 7 9 2 3" xfId="35176"/>
    <cellStyle name="Обычный 7 7 9 3" xfId="35177"/>
    <cellStyle name="Обычный 7 7 9 3 2" xfId="35178"/>
    <cellStyle name="Обычный 7 7 9 3 3" xfId="35179"/>
    <cellStyle name="Обычный 7 7 9 4" xfId="35180"/>
    <cellStyle name="Обычный 7 7 9 4 2" xfId="35181"/>
    <cellStyle name="Обычный 7 7 9 5" xfId="35182"/>
    <cellStyle name="Обычный 7 7 9 6" xfId="35183"/>
    <cellStyle name="Обычный 7 8" xfId="35184"/>
    <cellStyle name="Обычный 7 8 10" xfId="35185"/>
    <cellStyle name="Обычный 7 8 10 2" xfId="35186"/>
    <cellStyle name="Обычный 7 8 10 3" xfId="35187"/>
    <cellStyle name="Обычный 7 8 11" xfId="35188"/>
    <cellStyle name="Обычный 7 8 11 2" xfId="35189"/>
    <cellStyle name="Обычный 7 8 11 3" xfId="35190"/>
    <cellStyle name="Обычный 7 8 12" xfId="35191"/>
    <cellStyle name="Обычный 7 8 12 2" xfId="35192"/>
    <cellStyle name="Обычный 7 8 13" xfId="35193"/>
    <cellStyle name="Обычный 7 8 14" xfId="35194"/>
    <cellStyle name="Обычный 7 8 2" xfId="35195"/>
    <cellStyle name="Обычный 7 8 2 10" xfId="35196"/>
    <cellStyle name="Обычный 7 8 2 10 2" xfId="35197"/>
    <cellStyle name="Обычный 7 8 2 10 3" xfId="35198"/>
    <cellStyle name="Обычный 7 8 2 11" xfId="35199"/>
    <cellStyle name="Обычный 7 8 2 11 2" xfId="35200"/>
    <cellStyle name="Обычный 7 8 2 12" xfId="35201"/>
    <cellStyle name="Обычный 7 8 2 13" xfId="35202"/>
    <cellStyle name="Обычный 7 8 2 2" xfId="35203"/>
    <cellStyle name="Обычный 7 8 2 2 10" xfId="35204"/>
    <cellStyle name="Обычный 7 8 2 2 2" xfId="35205"/>
    <cellStyle name="Обычный 7 8 2 2 2 2" xfId="35206"/>
    <cellStyle name="Обычный 7 8 2 2 2 2 2" xfId="35207"/>
    <cellStyle name="Обычный 7 8 2 2 2 2 2 2" xfId="35208"/>
    <cellStyle name="Обычный 7 8 2 2 2 2 2 2 2" xfId="35209"/>
    <cellStyle name="Обычный 7 8 2 2 2 2 2 2 2 2" xfId="35210"/>
    <cellStyle name="Обычный 7 8 2 2 2 2 2 2 2 3" xfId="35211"/>
    <cellStyle name="Обычный 7 8 2 2 2 2 2 2 3" xfId="35212"/>
    <cellStyle name="Обычный 7 8 2 2 2 2 2 2 3 2" xfId="35213"/>
    <cellStyle name="Обычный 7 8 2 2 2 2 2 2 3 3" xfId="35214"/>
    <cellStyle name="Обычный 7 8 2 2 2 2 2 2 4" xfId="35215"/>
    <cellStyle name="Обычный 7 8 2 2 2 2 2 2 4 2" xfId="35216"/>
    <cellStyle name="Обычный 7 8 2 2 2 2 2 2 5" xfId="35217"/>
    <cellStyle name="Обычный 7 8 2 2 2 2 2 2 6" xfId="35218"/>
    <cellStyle name="Обычный 7 8 2 2 2 2 2 3" xfId="35219"/>
    <cellStyle name="Обычный 7 8 2 2 2 2 2 3 2" xfId="35220"/>
    <cellStyle name="Обычный 7 8 2 2 2 2 2 3 3" xfId="35221"/>
    <cellStyle name="Обычный 7 8 2 2 2 2 2 4" xfId="35222"/>
    <cellStyle name="Обычный 7 8 2 2 2 2 2 4 2" xfId="35223"/>
    <cellStyle name="Обычный 7 8 2 2 2 2 2 4 3" xfId="35224"/>
    <cellStyle name="Обычный 7 8 2 2 2 2 2 5" xfId="35225"/>
    <cellStyle name="Обычный 7 8 2 2 2 2 2 5 2" xfId="35226"/>
    <cellStyle name="Обычный 7 8 2 2 2 2 2 6" xfId="35227"/>
    <cellStyle name="Обычный 7 8 2 2 2 2 2 7" xfId="35228"/>
    <cellStyle name="Обычный 7 8 2 2 2 2 3" xfId="35229"/>
    <cellStyle name="Обычный 7 8 2 2 2 2 3 2" xfId="35230"/>
    <cellStyle name="Обычный 7 8 2 2 2 2 3 2 2" xfId="35231"/>
    <cellStyle name="Обычный 7 8 2 2 2 2 3 2 3" xfId="35232"/>
    <cellStyle name="Обычный 7 8 2 2 2 2 3 3" xfId="35233"/>
    <cellStyle name="Обычный 7 8 2 2 2 2 3 3 2" xfId="35234"/>
    <cellStyle name="Обычный 7 8 2 2 2 2 3 3 3" xfId="35235"/>
    <cellStyle name="Обычный 7 8 2 2 2 2 3 4" xfId="35236"/>
    <cellStyle name="Обычный 7 8 2 2 2 2 3 4 2" xfId="35237"/>
    <cellStyle name="Обычный 7 8 2 2 2 2 3 5" xfId="35238"/>
    <cellStyle name="Обычный 7 8 2 2 2 2 3 6" xfId="35239"/>
    <cellStyle name="Обычный 7 8 2 2 2 2 4" xfId="35240"/>
    <cellStyle name="Обычный 7 8 2 2 2 2 4 2" xfId="35241"/>
    <cellStyle name="Обычный 7 8 2 2 2 2 4 3" xfId="35242"/>
    <cellStyle name="Обычный 7 8 2 2 2 2 5" xfId="35243"/>
    <cellStyle name="Обычный 7 8 2 2 2 2 5 2" xfId="35244"/>
    <cellStyle name="Обычный 7 8 2 2 2 2 5 3" xfId="35245"/>
    <cellStyle name="Обычный 7 8 2 2 2 2 6" xfId="35246"/>
    <cellStyle name="Обычный 7 8 2 2 2 2 6 2" xfId="35247"/>
    <cellStyle name="Обычный 7 8 2 2 2 2 7" xfId="35248"/>
    <cellStyle name="Обычный 7 8 2 2 2 2 8" xfId="35249"/>
    <cellStyle name="Обычный 7 8 2 2 2 3" xfId="35250"/>
    <cellStyle name="Обычный 7 8 2 2 2 3 2" xfId="35251"/>
    <cellStyle name="Обычный 7 8 2 2 2 3 2 2" xfId="35252"/>
    <cellStyle name="Обычный 7 8 2 2 2 3 2 2 2" xfId="35253"/>
    <cellStyle name="Обычный 7 8 2 2 2 3 2 2 3" xfId="35254"/>
    <cellStyle name="Обычный 7 8 2 2 2 3 2 3" xfId="35255"/>
    <cellStyle name="Обычный 7 8 2 2 2 3 2 3 2" xfId="35256"/>
    <cellStyle name="Обычный 7 8 2 2 2 3 2 3 3" xfId="35257"/>
    <cellStyle name="Обычный 7 8 2 2 2 3 2 4" xfId="35258"/>
    <cellStyle name="Обычный 7 8 2 2 2 3 2 4 2" xfId="35259"/>
    <cellStyle name="Обычный 7 8 2 2 2 3 2 5" xfId="35260"/>
    <cellStyle name="Обычный 7 8 2 2 2 3 2 6" xfId="35261"/>
    <cellStyle name="Обычный 7 8 2 2 2 3 3" xfId="35262"/>
    <cellStyle name="Обычный 7 8 2 2 2 3 3 2" xfId="35263"/>
    <cellStyle name="Обычный 7 8 2 2 2 3 3 3" xfId="35264"/>
    <cellStyle name="Обычный 7 8 2 2 2 3 4" xfId="35265"/>
    <cellStyle name="Обычный 7 8 2 2 2 3 4 2" xfId="35266"/>
    <cellStyle name="Обычный 7 8 2 2 2 3 4 3" xfId="35267"/>
    <cellStyle name="Обычный 7 8 2 2 2 3 5" xfId="35268"/>
    <cellStyle name="Обычный 7 8 2 2 2 3 5 2" xfId="35269"/>
    <cellStyle name="Обычный 7 8 2 2 2 3 6" xfId="35270"/>
    <cellStyle name="Обычный 7 8 2 2 2 3 7" xfId="35271"/>
    <cellStyle name="Обычный 7 8 2 2 2 4" xfId="35272"/>
    <cellStyle name="Обычный 7 8 2 2 2 4 2" xfId="35273"/>
    <cellStyle name="Обычный 7 8 2 2 2 4 2 2" xfId="35274"/>
    <cellStyle name="Обычный 7 8 2 2 2 4 2 3" xfId="35275"/>
    <cellStyle name="Обычный 7 8 2 2 2 4 3" xfId="35276"/>
    <cellStyle name="Обычный 7 8 2 2 2 4 3 2" xfId="35277"/>
    <cellStyle name="Обычный 7 8 2 2 2 4 3 3" xfId="35278"/>
    <cellStyle name="Обычный 7 8 2 2 2 4 4" xfId="35279"/>
    <cellStyle name="Обычный 7 8 2 2 2 4 4 2" xfId="35280"/>
    <cellStyle name="Обычный 7 8 2 2 2 4 5" xfId="35281"/>
    <cellStyle name="Обычный 7 8 2 2 2 4 6" xfId="35282"/>
    <cellStyle name="Обычный 7 8 2 2 2 5" xfId="35283"/>
    <cellStyle name="Обычный 7 8 2 2 2 5 2" xfId="35284"/>
    <cellStyle name="Обычный 7 8 2 2 2 5 3" xfId="35285"/>
    <cellStyle name="Обычный 7 8 2 2 2 6" xfId="35286"/>
    <cellStyle name="Обычный 7 8 2 2 2 6 2" xfId="35287"/>
    <cellStyle name="Обычный 7 8 2 2 2 6 3" xfId="35288"/>
    <cellStyle name="Обычный 7 8 2 2 2 7" xfId="35289"/>
    <cellStyle name="Обычный 7 8 2 2 2 7 2" xfId="35290"/>
    <cellStyle name="Обычный 7 8 2 2 2 8" xfId="35291"/>
    <cellStyle name="Обычный 7 8 2 2 2 9" xfId="35292"/>
    <cellStyle name="Обычный 7 8 2 2 3" xfId="35293"/>
    <cellStyle name="Обычный 7 8 2 2 3 2" xfId="35294"/>
    <cellStyle name="Обычный 7 8 2 2 3 2 2" xfId="35295"/>
    <cellStyle name="Обычный 7 8 2 2 3 2 2 2" xfId="35296"/>
    <cellStyle name="Обычный 7 8 2 2 3 2 2 2 2" xfId="35297"/>
    <cellStyle name="Обычный 7 8 2 2 3 2 2 2 3" xfId="35298"/>
    <cellStyle name="Обычный 7 8 2 2 3 2 2 3" xfId="35299"/>
    <cellStyle name="Обычный 7 8 2 2 3 2 2 3 2" xfId="35300"/>
    <cellStyle name="Обычный 7 8 2 2 3 2 2 3 3" xfId="35301"/>
    <cellStyle name="Обычный 7 8 2 2 3 2 2 4" xfId="35302"/>
    <cellStyle name="Обычный 7 8 2 2 3 2 2 4 2" xfId="35303"/>
    <cellStyle name="Обычный 7 8 2 2 3 2 2 5" xfId="35304"/>
    <cellStyle name="Обычный 7 8 2 2 3 2 2 6" xfId="35305"/>
    <cellStyle name="Обычный 7 8 2 2 3 2 3" xfId="35306"/>
    <cellStyle name="Обычный 7 8 2 2 3 2 3 2" xfId="35307"/>
    <cellStyle name="Обычный 7 8 2 2 3 2 3 3" xfId="35308"/>
    <cellStyle name="Обычный 7 8 2 2 3 2 4" xfId="35309"/>
    <cellStyle name="Обычный 7 8 2 2 3 2 4 2" xfId="35310"/>
    <cellStyle name="Обычный 7 8 2 2 3 2 4 3" xfId="35311"/>
    <cellStyle name="Обычный 7 8 2 2 3 2 5" xfId="35312"/>
    <cellStyle name="Обычный 7 8 2 2 3 2 5 2" xfId="35313"/>
    <cellStyle name="Обычный 7 8 2 2 3 2 6" xfId="35314"/>
    <cellStyle name="Обычный 7 8 2 2 3 2 7" xfId="35315"/>
    <cellStyle name="Обычный 7 8 2 2 3 3" xfId="35316"/>
    <cellStyle name="Обычный 7 8 2 2 3 3 2" xfId="35317"/>
    <cellStyle name="Обычный 7 8 2 2 3 3 2 2" xfId="35318"/>
    <cellStyle name="Обычный 7 8 2 2 3 3 2 3" xfId="35319"/>
    <cellStyle name="Обычный 7 8 2 2 3 3 3" xfId="35320"/>
    <cellStyle name="Обычный 7 8 2 2 3 3 3 2" xfId="35321"/>
    <cellStyle name="Обычный 7 8 2 2 3 3 3 3" xfId="35322"/>
    <cellStyle name="Обычный 7 8 2 2 3 3 4" xfId="35323"/>
    <cellStyle name="Обычный 7 8 2 2 3 3 4 2" xfId="35324"/>
    <cellStyle name="Обычный 7 8 2 2 3 3 5" xfId="35325"/>
    <cellStyle name="Обычный 7 8 2 2 3 3 6" xfId="35326"/>
    <cellStyle name="Обычный 7 8 2 2 3 4" xfId="35327"/>
    <cellStyle name="Обычный 7 8 2 2 3 4 2" xfId="35328"/>
    <cellStyle name="Обычный 7 8 2 2 3 4 3" xfId="35329"/>
    <cellStyle name="Обычный 7 8 2 2 3 5" xfId="35330"/>
    <cellStyle name="Обычный 7 8 2 2 3 5 2" xfId="35331"/>
    <cellStyle name="Обычный 7 8 2 2 3 5 3" xfId="35332"/>
    <cellStyle name="Обычный 7 8 2 2 3 6" xfId="35333"/>
    <cellStyle name="Обычный 7 8 2 2 3 6 2" xfId="35334"/>
    <cellStyle name="Обычный 7 8 2 2 3 7" xfId="35335"/>
    <cellStyle name="Обычный 7 8 2 2 3 8" xfId="35336"/>
    <cellStyle name="Обычный 7 8 2 2 4" xfId="35337"/>
    <cellStyle name="Обычный 7 8 2 2 4 2" xfId="35338"/>
    <cellStyle name="Обычный 7 8 2 2 4 2 2" xfId="35339"/>
    <cellStyle name="Обычный 7 8 2 2 4 2 2 2" xfId="35340"/>
    <cellStyle name="Обычный 7 8 2 2 4 2 2 3" xfId="35341"/>
    <cellStyle name="Обычный 7 8 2 2 4 2 3" xfId="35342"/>
    <cellStyle name="Обычный 7 8 2 2 4 2 3 2" xfId="35343"/>
    <cellStyle name="Обычный 7 8 2 2 4 2 3 3" xfId="35344"/>
    <cellStyle name="Обычный 7 8 2 2 4 2 4" xfId="35345"/>
    <cellStyle name="Обычный 7 8 2 2 4 2 4 2" xfId="35346"/>
    <cellStyle name="Обычный 7 8 2 2 4 2 5" xfId="35347"/>
    <cellStyle name="Обычный 7 8 2 2 4 2 6" xfId="35348"/>
    <cellStyle name="Обычный 7 8 2 2 4 3" xfId="35349"/>
    <cellStyle name="Обычный 7 8 2 2 4 3 2" xfId="35350"/>
    <cellStyle name="Обычный 7 8 2 2 4 3 3" xfId="35351"/>
    <cellStyle name="Обычный 7 8 2 2 4 4" xfId="35352"/>
    <cellStyle name="Обычный 7 8 2 2 4 4 2" xfId="35353"/>
    <cellStyle name="Обычный 7 8 2 2 4 4 3" xfId="35354"/>
    <cellStyle name="Обычный 7 8 2 2 4 5" xfId="35355"/>
    <cellStyle name="Обычный 7 8 2 2 4 5 2" xfId="35356"/>
    <cellStyle name="Обычный 7 8 2 2 4 6" xfId="35357"/>
    <cellStyle name="Обычный 7 8 2 2 4 7" xfId="35358"/>
    <cellStyle name="Обычный 7 8 2 2 5" xfId="35359"/>
    <cellStyle name="Обычный 7 8 2 2 5 2" xfId="35360"/>
    <cellStyle name="Обычный 7 8 2 2 5 2 2" xfId="35361"/>
    <cellStyle name="Обычный 7 8 2 2 5 2 3" xfId="35362"/>
    <cellStyle name="Обычный 7 8 2 2 5 3" xfId="35363"/>
    <cellStyle name="Обычный 7 8 2 2 5 3 2" xfId="35364"/>
    <cellStyle name="Обычный 7 8 2 2 5 3 3" xfId="35365"/>
    <cellStyle name="Обычный 7 8 2 2 5 4" xfId="35366"/>
    <cellStyle name="Обычный 7 8 2 2 5 4 2" xfId="35367"/>
    <cellStyle name="Обычный 7 8 2 2 5 5" xfId="35368"/>
    <cellStyle name="Обычный 7 8 2 2 5 6" xfId="35369"/>
    <cellStyle name="Обычный 7 8 2 2 6" xfId="35370"/>
    <cellStyle name="Обычный 7 8 2 2 6 2" xfId="35371"/>
    <cellStyle name="Обычный 7 8 2 2 6 3" xfId="35372"/>
    <cellStyle name="Обычный 7 8 2 2 7" xfId="35373"/>
    <cellStyle name="Обычный 7 8 2 2 7 2" xfId="35374"/>
    <cellStyle name="Обычный 7 8 2 2 7 3" xfId="35375"/>
    <cellStyle name="Обычный 7 8 2 2 8" xfId="35376"/>
    <cellStyle name="Обычный 7 8 2 2 8 2" xfId="35377"/>
    <cellStyle name="Обычный 7 8 2 2 9" xfId="35378"/>
    <cellStyle name="Обычный 7 8 2 3" xfId="35379"/>
    <cellStyle name="Обычный 7 8 2 3 10" xfId="35380"/>
    <cellStyle name="Обычный 7 8 2 3 2" xfId="35381"/>
    <cellStyle name="Обычный 7 8 2 3 2 2" xfId="35382"/>
    <cellStyle name="Обычный 7 8 2 3 2 2 2" xfId="35383"/>
    <cellStyle name="Обычный 7 8 2 3 2 2 2 2" xfId="35384"/>
    <cellStyle name="Обычный 7 8 2 3 2 2 2 2 2" xfId="35385"/>
    <cellStyle name="Обычный 7 8 2 3 2 2 2 2 2 2" xfId="35386"/>
    <cellStyle name="Обычный 7 8 2 3 2 2 2 2 2 3" xfId="35387"/>
    <cellStyle name="Обычный 7 8 2 3 2 2 2 2 3" xfId="35388"/>
    <cellStyle name="Обычный 7 8 2 3 2 2 2 2 3 2" xfId="35389"/>
    <cellStyle name="Обычный 7 8 2 3 2 2 2 2 3 3" xfId="35390"/>
    <cellStyle name="Обычный 7 8 2 3 2 2 2 2 4" xfId="35391"/>
    <cellStyle name="Обычный 7 8 2 3 2 2 2 2 4 2" xfId="35392"/>
    <cellStyle name="Обычный 7 8 2 3 2 2 2 2 5" xfId="35393"/>
    <cellStyle name="Обычный 7 8 2 3 2 2 2 2 6" xfId="35394"/>
    <cellStyle name="Обычный 7 8 2 3 2 2 2 3" xfId="35395"/>
    <cellStyle name="Обычный 7 8 2 3 2 2 2 3 2" xfId="35396"/>
    <cellStyle name="Обычный 7 8 2 3 2 2 2 3 3" xfId="35397"/>
    <cellStyle name="Обычный 7 8 2 3 2 2 2 4" xfId="35398"/>
    <cellStyle name="Обычный 7 8 2 3 2 2 2 4 2" xfId="35399"/>
    <cellStyle name="Обычный 7 8 2 3 2 2 2 4 3" xfId="35400"/>
    <cellStyle name="Обычный 7 8 2 3 2 2 2 5" xfId="35401"/>
    <cellStyle name="Обычный 7 8 2 3 2 2 2 5 2" xfId="35402"/>
    <cellStyle name="Обычный 7 8 2 3 2 2 2 6" xfId="35403"/>
    <cellStyle name="Обычный 7 8 2 3 2 2 2 7" xfId="35404"/>
    <cellStyle name="Обычный 7 8 2 3 2 2 3" xfId="35405"/>
    <cellStyle name="Обычный 7 8 2 3 2 2 3 2" xfId="35406"/>
    <cellStyle name="Обычный 7 8 2 3 2 2 3 2 2" xfId="35407"/>
    <cellStyle name="Обычный 7 8 2 3 2 2 3 2 3" xfId="35408"/>
    <cellStyle name="Обычный 7 8 2 3 2 2 3 3" xfId="35409"/>
    <cellStyle name="Обычный 7 8 2 3 2 2 3 3 2" xfId="35410"/>
    <cellStyle name="Обычный 7 8 2 3 2 2 3 3 3" xfId="35411"/>
    <cellStyle name="Обычный 7 8 2 3 2 2 3 4" xfId="35412"/>
    <cellStyle name="Обычный 7 8 2 3 2 2 3 4 2" xfId="35413"/>
    <cellStyle name="Обычный 7 8 2 3 2 2 3 5" xfId="35414"/>
    <cellStyle name="Обычный 7 8 2 3 2 2 3 6" xfId="35415"/>
    <cellStyle name="Обычный 7 8 2 3 2 2 4" xfId="35416"/>
    <cellStyle name="Обычный 7 8 2 3 2 2 4 2" xfId="35417"/>
    <cellStyle name="Обычный 7 8 2 3 2 2 4 3" xfId="35418"/>
    <cellStyle name="Обычный 7 8 2 3 2 2 5" xfId="35419"/>
    <cellStyle name="Обычный 7 8 2 3 2 2 5 2" xfId="35420"/>
    <cellStyle name="Обычный 7 8 2 3 2 2 5 3" xfId="35421"/>
    <cellStyle name="Обычный 7 8 2 3 2 2 6" xfId="35422"/>
    <cellStyle name="Обычный 7 8 2 3 2 2 6 2" xfId="35423"/>
    <cellStyle name="Обычный 7 8 2 3 2 2 7" xfId="35424"/>
    <cellStyle name="Обычный 7 8 2 3 2 2 8" xfId="35425"/>
    <cellStyle name="Обычный 7 8 2 3 2 3" xfId="35426"/>
    <cellStyle name="Обычный 7 8 2 3 2 3 2" xfId="35427"/>
    <cellStyle name="Обычный 7 8 2 3 2 3 2 2" xfId="35428"/>
    <cellStyle name="Обычный 7 8 2 3 2 3 2 2 2" xfId="35429"/>
    <cellStyle name="Обычный 7 8 2 3 2 3 2 2 3" xfId="35430"/>
    <cellStyle name="Обычный 7 8 2 3 2 3 2 3" xfId="35431"/>
    <cellStyle name="Обычный 7 8 2 3 2 3 2 3 2" xfId="35432"/>
    <cellStyle name="Обычный 7 8 2 3 2 3 2 3 3" xfId="35433"/>
    <cellStyle name="Обычный 7 8 2 3 2 3 2 4" xfId="35434"/>
    <cellStyle name="Обычный 7 8 2 3 2 3 2 4 2" xfId="35435"/>
    <cellStyle name="Обычный 7 8 2 3 2 3 2 5" xfId="35436"/>
    <cellStyle name="Обычный 7 8 2 3 2 3 2 6" xfId="35437"/>
    <cellStyle name="Обычный 7 8 2 3 2 3 3" xfId="35438"/>
    <cellStyle name="Обычный 7 8 2 3 2 3 3 2" xfId="35439"/>
    <cellStyle name="Обычный 7 8 2 3 2 3 3 3" xfId="35440"/>
    <cellStyle name="Обычный 7 8 2 3 2 3 4" xfId="35441"/>
    <cellStyle name="Обычный 7 8 2 3 2 3 4 2" xfId="35442"/>
    <cellStyle name="Обычный 7 8 2 3 2 3 4 3" xfId="35443"/>
    <cellStyle name="Обычный 7 8 2 3 2 3 5" xfId="35444"/>
    <cellStyle name="Обычный 7 8 2 3 2 3 5 2" xfId="35445"/>
    <cellStyle name="Обычный 7 8 2 3 2 3 6" xfId="35446"/>
    <cellStyle name="Обычный 7 8 2 3 2 3 7" xfId="35447"/>
    <cellStyle name="Обычный 7 8 2 3 2 4" xfId="35448"/>
    <cellStyle name="Обычный 7 8 2 3 2 4 2" xfId="35449"/>
    <cellStyle name="Обычный 7 8 2 3 2 4 2 2" xfId="35450"/>
    <cellStyle name="Обычный 7 8 2 3 2 4 2 3" xfId="35451"/>
    <cellStyle name="Обычный 7 8 2 3 2 4 3" xfId="35452"/>
    <cellStyle name="Обычный 7 8 2 3 2 4 3 2" xfId="35453"/>
    <cellStyle name="Обычный 7 8 2 3 2 4 3 3" xfId="35454"/>
    <cellStyle name="Обычный 7 8 2 3 2 4 4" xfId="35455"/>
    <cellStyle name="Обычный 7 8 2 3 2 4 4 2" xfId="35456"/>
    <cellStyle name="Обычный 7 8 2 3 2 4 5" xfId="35457"/>
    <cellStyle name="Обычный 7 8 2 3 2 4 6" xfId="35458"/>
    <cellStyle name="Обычный 7 8 2 3 2 5" xfId="35459"/>
    <cellStyle name="Обычный 7 8 2 3 2 5 2" xfId="35460"/>
    <cellStyle name="Обычный 7 8 2 3 2 5 3" xfId="35461"/>
    <cellStyle name="Обычный 7 8 2 3 2 6" xfId="35462"/>
    <cellStyle name="Обычный 7 8 2 3 2 6 2" xfId="35463"/>
    <cellStyle name="Обычный 7 8 2 3 2 6 3" xfId="35464"/>
    <cellStyle name="Обычный 7 8 2 3 2 7" xfId="35465"/>
    <cellStyle name="Обычный 7 8 2 3 2 7 2" xfId="35466"/>
    <cellStyle name="Обычный 7 8 2 3 2 8" xfId="35467"/>
    <cellStyle name="Обычный 7 8 2 3 2 9" xfId="35468"/>
    <cellStyle name="Обычный 7 8 2 3 3" xfId="35469"/>
    <cellStyle name="Обычный 7 8 2 3 3 2" xfId="35470"/>
    <cellStyle name="Обычный 7 8 2 3 3 2 2" xfId="35471"/>
    <cellStyle name="Обычный 7 8 2 3 3 2 2 2" xfId="35472"/>
    <cellStyle name="Обычный 7 8 2 3 3 2 2 2 2" xfId="35473"/>
    <cellStyle name="Обычный 7 8 2 3 3 2 2 2 3" xfId="35474"/>
    <cellStyle name="Обычный 7 8 2 3 3 2 2 3" xfId="35475"/>
    <cellStyle name="Обычный 7 8 2 3 3 2 2 3 2" xfId="35476"/>
    <cellStyle name="Обычный 7 8 2 3 3 2 2 3 3" xfId="35477"/>
    <cellStyle name="Обычный 7 8 2 3 3 2 2 4" xfId="35478"/>
    <cellStyle name="Обычный 7 8 2 3 3 2 2 4 2" xfId="35479"/>
    <cellStyle name="Обычный 7 8 2 3 3 2 2 5" xfId="35480"/>
    <cellStyle name="Обычный 7 8 2 3 3 2 2 6" xfId="35481"/>
    <cellStyle name="Обычный 7 8 2 3 3 2 3" xfId="35482"/>
    <cellStyle name="Обычный 7 8 2 3 3 2 3 2" xfId="35483"/>
    <cellStyle name="Обычный 7 8 2 3 3 2 3 3" xfId="35484"/>
    <cellStyle name="Обычный 7 8 2 3 3 2 4" xfId="35485"/>
    <cellStyle name="Обычный 7 8 2 3 3 2 4 2" xfId="35486"/>
    <cellStyle name="Обычный 7 8 2 3 3 2 4 3" xfId="35487"/>
    <cellStyle name="Обычный 7 8 2 3 3 2 5" xfId="35488"/>
    <cellStyle name="Обычный 7 8 2 3 3 2 5 2" xfId="35489"/>
    <cellStyle name="Обычный 7 8 2 3 3 2 6" xfId="35490"/>
    <cellStyle name="Обычный 7 8 2 3 3 2 7" xfId="35491"/>
    <cellStyle name="Обычный 7 8 2 3 3 3" xfId="35492"/>
    <cellStyle name="Обычный 7 8 2 3 3 3 2" xfId="35493"/>
    <cellStyle name="Обычный 7 8 2 3 3 3 2 2" xfId="35494"/>
    <cellStyle name="Обычный 7 8 2 3 3 3 2 3" xfId="35495"/>
    <cellStyle name="Обычный 7 8 2 3 3 3 3" xfId="35496"/>
    <cellStyle name="Обычный 7 8 2 3 3 3 3 2" xfId="35497"/>
    <cellStyle name="Обычный 7 8 2 3 3 3 3 3" xfId="35498"/>
    <cellStyle name="Обычный 7 8 2 3 3 3 4" xfId="35499"/>
    <cellStyle name="Обычный 7 8 2 3 3 3 4 2" xfId="35500"/>
    <cellStyle name="Обычный 7 8 2 3 3 3 5" xfId="35501"/>
    <cellStyle name="Обычный 7 8 2 3 3 3 6" xfId="35502"/>
    <cellStyle name="Обычный 7 8 2 3 3 4" xfId="35503"/>
    <cellStyle name="Обычный 7 8 2 3 3 4 2" xfId="35504"/>
    <cellStyle name="Обычный 7 8 2 3 3 4 3" xfId="35505"/>
    <cellStyle name="Обычный 7 8 2 3 3 5" xfId="35506"/>
    <cellStyle name="Обычный 7 8 2 3 3 5 2" xfId="35507"/>
    <cellStyle name="Обычный 7 8 2 3 3 5 3" xfId="35508"/>
    <cellStyle name="Обычный 7 8 2 3 3 6" xfId="35509"/>
    <cellStyle name="Обычный 7 8 2 3 3 6 2" xfId="35510"/>
    <cellStyle name="Обычный 7 8 2 3 3 7" xfId="35511"/>
    <cellStyle name="Обычный 7 8 2 3 3 8" xfId="35512"/>
    <cellStyle name="Обычный 7 8 2 3 4" xfId="35513"/>
    <cellStyle name="Обычный 7 8 2 3 4 2" xfId="35514"/>
    <cellStyle name="Обычный 7 8 2 3 4 2 2" xfId="35515"/>
    <cellStyle name="Обычный 7 8 2 3 4 2 2 2" xfId="35516"/>
    <cellStyle name="Обычный 7 8 2 3 4 2 2 3" xfId="35517"/>
    <cellStyle name="Обычный 7 8 2 3 4 2 3" xfId="35518"/>
    <cellStyle name="Обычный 7 8 2 3 4 2 3 2" xfId="35519"/>
    <cellStyle name="Обычный 7 8 2 3 4 2 3 3" xfId="35520"/>
    <cellStyle name="Обычный 7 8 2 3 4 2 4" xfId="35521"/>
    <cellStyle name="Обычный 7 8 2 3 4 2 4 2" xfId="35522"/>
    <cellStyle name="Обычный 7 8 2 3 4 2 5" xfId="35523"/>
    <cellStyle name="Обычный 7 8 2 3 4 2 6" xfId="35524"/>
    <cellStyle name="Обычный 7 8 2 3 4 3" xfId="35525"/>
    <cellStyle name="Обычный 7 8 2 3 4 3 2" xfId="35526"/>
    <cellStyle name="Обычный 7 8 2 3 4 3 3" xfId="35527"/>
    <cellStyle name="Обычный 7 8 2 3 4 4" xfId="35528"/>
    <cellStyle name="Обычный 7 8 2 3 4 4 2" xfId="35529"/>
    <cellStyle name="Обычный 7 8 2 3 4 4 3" xfId="35530"/>
    <cellStyle name="Обычный 7 8 2 3 4 5" xfId="35531"/>
    <cellStyle name="Обычный 7 8 2 3 4 5 2" xfId="35532"/>
    <cellStyle name="Обычный 7 8 2 3 4 6" xfId="35533"/>
    <cellStyle name="Обычный 7 8 2 3 4 7" xfId="35534"/>
    <cellStyle name="Обычный 7 8 2 3 5" xfId="35535"/>
    <cellStyle name="Обычный 7 8 2 3 5 2" xfId="35536"/>
    <cellStyle name="Обычный 7 8 2 3 5 2 2" xfId="35537"/>
    <cellStyle name="Обычный 7 8 2 3 5 2 3" xfId="35538"/>
    <cellStyle name="Обычный 7 8 2 3 5 3" xfId="35539"/>
    <cellStyle name="Обычный 7 8 2 3 5 3 2" xfId="35540"/>
    <cellStyle name="Обычный 7 8 2 3 5 3 3" xfId="35541"/>
    <cellStyle name="Обычный 7 8 2 3 5 4" xfId="35542"/>
    <cellStyle name="Обычный 7 8 2 3 5 4 2" xfId="35543"/>
    <cellStyle name="Обычный 7 8 2 3 5 5" xfId="35544"/>
    <cellStyle name="Обычный 7 8 2 3 5 6" xfId="35545"/>
    <cellStyle name="Обычный 7 8 2 3 6" xfId="35546"/>
    <cellStyle name="Обычный 7 8 2 3 6 2" xfId="35547"/>
    <cellStyle name="Обычный 7 8 2 3 6 3" xfId="35548"/>
    <cellStyle name="Обычный 7 8 2 3 7" xfId="35549"/>
    <cellStyle name="Обычный 7 8 2 3 7 2" xfId="35550"/>
    <cellStyle name="Обычный 7 8 2 3 7 3" xfId="35551"/>
    <cellStyle name="Обычный 7 8 2 3 8" xfId="35552"/>
    <cellStyle name="Обычный 7 8 2 3 8 2" xfId="35553"/>
    <cellStyle name="Обычный 7 8 2 3 9" xfId="35554"/>
    <cellStyle name="Обычный 7 8 2 4" xfId="35555"/>
    <cellStyle name="Обычный 7 8 2 4 10" xfId="35556"/>
    <cellStyle name="Обычный 7 8 2 4 2" xfId="35557"/>
    <cellStyle name="Обычный 7 8 2 4 2 2" xfId="35558"/>
    <cellStyle name="Обычный 7 8 2 4 2 2 2" xfId="35559"/>
    <cellStyle name="Обычный 7 8 2 4 2 2 2 2" xfId="35560"/>
    <cellStyle name="Обычный 7 8 2 4 2 2 2 2 2" xfId="35561"/>
    <cellStyle name="Обычный 7 8 2 4 2 2 2 2 2 2" xfId="35562"/>
    <cellStyle name="Обычный 7 8 2 4 2 2 2 2 2 3" xfId="35563"/>
    <cellStyle name="Обычный 7 8 2 4 2 2 2 2 3" xfId="35564"/>
    <cellStyle name="Обычный 7 8 2 4 2 2 2 2 3 2" xfId="35565"/>
    <cellStyle name="Обычный 7 8 2 4 2 2 2 2 3 3" xfId="35566"/>
    <cellStyle name="Обычный 7 8 2 4 2 2 2 2 4" xfId="35567"/>
    <cellStyle name="Обычный 7 8 2 4 2 2 2 2 4 2" xfId="35568"/>
    <cellStyle name="Обычный 7 8 2 4 2 2 2 2 5" xfId="35569"/>
    <cellStyle name="Обычный 7 8 2 4 2 2 2 2 6" xfId="35570"/>
    <cellStyle name="Обычный 7 8 2 4 2 2 2 3" xfId="35571"/>
    <cellStyle name="Обычный 7 8 2 4 2 2 2 3 2" xfId="35572"/>
    <cellStyle name="Обычный 7 8 2 4 2 2 2 3 3" xfId="35573"/>
    <cellStyle name="Обычный 7 8 2 4 2 2 2 4" xfId="35574"/>
    <cellStyle name="Обычный 7 8 2 4 2 2 2 4 2" xfId="35575"/>
    <cellStyle name="Обычный 7 8 2 4 2 2 2 4 3" xfId="35576"/>
    <cellStyle name="Обычный 7 8 2 4 2 2 2 5" xfId="35577"/>
    <cellStyle name="Обычный 7 8 2 4 2 2 2 5 2" xfId="35578"/>
    <cellStyle name="Обычный 7 8 2 4 2 2 2 6" xfId="35579"/>
    <cellStyle name="Обычный 7 8 2 4 2 2 2 7" xfId="35580"/>
    <cellStyle name="Обычный 7 8 2 4 2 2 3" xfId="35581"/>
    <cellStyle name="Обычный 7 8 2 4 2 2 3 2" xfId="35582"/>
    <cellStyle name="Обычный 7 8 2 4 2 2 3 2 2" xfId="35583"/>
    <cellStyle name="Обычный 7 8 2 4 2 2 3 2 3" xfId="35584"/>
    <cellStyle name="Обычный 7 8 2 4 2 2 3 3" xfId="35585"/>
    <cellStyle name="Обычный 7 8 2 4 2 2 3 3 2" xfId="35586"/>
    <cellStyle name="Обычный 7 8 2 4 2 2 3 3 3" xfId="35587"/>
    <cellStyle name="Обычный 7 8 2 4 2 2 3 4" xfId="35588"/>
    <cellStyle name="Обычный 7 8 2 4 2 2 3 4 2" xfId="35589"/>
    <cellStyle name="Обычный 7 8 2 4 2 2 3 5" xfId="35590"/>
    <cellStyle name="Обычный 7 8 2 4 2 2 3 6" xfId="35591"/>
    <cellStyle name="Обычный 7 8 2 4 2 2 4" xfId="35592"/>
    <cellStyle name="Обычный 7 8 2 4 2 2 4 2" xfId="35593"/>
    <cellStyle name="Обычный 7 8 2 4 2 2 4 3" xfId="35594"/>
    <cellStyle name="Обычный 7 8 2 4 2 2 5" xfId="35595"/>
    <cellStyle name="Обычный 7 8 2 4 2 2 5 2" xfId="35596"/>
    <cellStyle name="Обычный 7 8 2 4 2 2 5 3" xfId="35597"/>
    <cellStyle name="Обычный 7 8 2 4 2 2 6" xfId="35598"/>
    <cellStyle name="Обычный 7 8 2 4 2 2 6 2" xfId="35599"/>
    <cellStyle name="Обычный 7 8 2 4 2 2 7" xfId="35600"/>
    <cellStyle name="Обычный 7 8 2 4 2 2 8" xfId="35601"/>
    <cellStyle name="Обычный 7 8 2 4 2 3" xfId="35602"/>
    <cellStyle name="Обычный 7 8 2 4 2 3 2" xfId="35603"/>
    <cellStyle name="Обычный 7 8 2 4 2 3 2 2" xfId="35604"/>
    <cellStyle name="Обычный 7 8 2 4 2 3 2 2 2" xfId="35605"/>
    <cellStyle name="Обычный 7 8 2 4 2 3 2 2 3" xfId="35606"/>
    <cellStyle name="Обычный 7 8 2 4 2 3 2 3" xfId="35607"/>
    <cellStyle name="Обычный 7 8 2 4 2 3 2 3 2" xfId="35608"/>
    <cellStyle name="Обычный 7 8 2 4 2 3 2 3 3" xfId="35609"/>
    <cellStyle name="Обычный 7 8 2 4 2 3 2 4" xfId="35610"/>
    <cellStyle name="Обычный 7 8 2 4 2 3 2 4 2" xfId="35611"/>
    <cellStyle name="Обычный 7 8 2 4 2 3 2 5" xfId="35612"/>
    <cellStyle name="Обычный 7 8 2 4 2 3 2 6" xfId="35613"/>
    <cellStyle name="Обычный 7 8 2 4 2 3 3" xfId="35614"/>
    <cellStyle name="Обычный 7 8 2 4 2 3 3 2" xfId="35615"/>
    <cellStyle name="Обычный 7 8 2 4 2 3 3 3" xfId="35616"/>
    <cellStyle name="Обычный 7 8 2 4 2 3 4" xfId="35617"/>
    <cellStyle name="Обычный 7 8 2 4 2 3 4 2" xfId="35618"/>
    <cellStyle name="Обычный 7 8 2 4 2 3 4 3" xfId="35619"/>
    <cellStyle name="Обычный 7 8 2 4 2 3 5" xfId="35620"/>
    <cellStyle name="Обычный 7 8 2 4 2 3 5 2" xfId="35621"/>
    <cellStyle name="Обычный 7 8 2 4 2 3 6" xfId="35622"/>
    <cellStyle name="Обычный 7 8 2 4 2 3 7" xfId="35623"/>
    <cellStyle name="Обычный 7 8 2 4 2 4" xfId="35624"/>
    <cellStyle name="Обычный 7 8 2 4 2 4 2" xfId="35625"/>
    <cellStyle name="Обычный 7 8 2 4 2 4 2 2" xfId="35626"/>
    <cellStyle name="Обычный 7 8 2 4 2 4 2 3" xfId="35627"/>
    <cellStyle name="Обычный 7 8 2 4 2 4 3" xfId="35628"/>
    <cellStyle name="Обычный 7 8 2 4 2 4 3 2" xfId="35629"/>
    <cellStyle name="Обычный 7 8 2 4 2 4 3 3" xfId="35630"/>
    <cellStyle name="Обычный 7 8 2 4 2 4 4" xfId="35631"/>
    <cellStyle name="Обычный 7 8 2 4 2 4 4 2" xfId="35632"/>
    <cellStyle name="Обычный 7 8 2 4 2 4 5" xfId="35633"/>
    <cellStyle name="Обычный 7 8 2 4 2 4 6" xfId="35634"/>
    <cellStyle name="Обычный 7 8 2 4 2 5" xfId="35635"/>
    <cellStyle name="Обычный 7 8 2 4 2 5 2" xfId="35636"/>
    <cellStyle name="Обычный 7 8 2 4 2 5 3" xfId="35637"/>
    <cellStyle name="Обычный 7 8 2 4 2 6" xfId="35638"/>
    <cellStyle name="Обычный 7 8 2 4 2 6 2" xfId="35639"/>
    <cellStyle name="Обычный 7 8 2 4 2 6 3" xfId="35640"/>
    <cellStyle name="Обычный 7 8 2 4 2 7" xfId="35641"/>
    <cellStyle name="Обычный 7 8 2 4 2 7 2" xfId="35642"/>
    <cellStyle name="Обычный 7 8 2 4 2 8" xfId="35643"/>
    <cellStyle name="Обычный 7 8 2 4 2 9" xfId="35644"/>
    <cellStyle name="Обычный 7 8 2 4 3" xfId="35645"/>
    <cellStyle name="Обычный 7 8 2 4 3 2" xfId="35646"/>
    <cellStyle name="Обычный 7 8 2 4 3 2 2" xfId="35647"/>
    <cellStyle name="Обычный 7 8 2 4 3 2 2 2" xfId="35648"/>
    <cellStyle name="Обычный 7 8 2 4 3 2 2 2 2" xfId="35649"/>
    <cellStyle name="Обычный 7 8 2 4 3 2 2 2 3" xfId="35650"/>
    <cellStyle name="Обычный 7 8 2 4 3 2 2 3" xfId="35651"/>
    <cellStyle name="Обычный 7 8 2 4 3 2 2 3 2" xfId="35652"/>
    <cellStyle name="Обычный 7 8 2 4 3 2 2 3 3" xfId="35653"/>
    <cellStyle name="Обычный 7 8 2 4 3 2 2 4" xfId="35654"/>
    <cellStyle name="Обычный 7 8 2 4 3 2 2 4 2" xfId="35655"/>
    <cellStyle name="Обычный 7 8 2 4 3 2 2 5" xfId="35656"/>
    <cellStyle name="Обычный 7 8 2 4 3 2 2 6" xfId="35657"/>
    <cellStyle name="Обычный 7 8 2 4 3 2 3" xfId="35658"/>
    <cellStyle name="Обычный 7 8 2 4 3 2 3 2" xfId="35659"/>
    <cellStyle name="Обычный 7 8 2 4 3 2 3 3" xfId="35660"/>
    <cellStyle name="Обычный 7 8 2 4 3 2 4" xfId="35661"/>
    <cellStyle name="Обычный 7 8 2 4 3 2 4 2" xfId="35662"/>
    <cellStyle name="Обычный 7 8 2 4 3 2 4 3" xfId="35663"/>
    <cellStyle name="Обычный 7 8 2 4 3 2 5" xfId="35664"/>
    <cellStyle name="Обычный 7 8 2 4 3 2 5 2" xfId="35665"/>
    <cellStyle name="Обычный 7 8 2 4 3 2 6" xfId="35666"/>
    <cellStyle name="Обычный 7 8 2 4 3 2 7" xfId="35667"/>
    <cellStyle name="Обычный 7 8 2 4 3 3" xfId="35668"/>
    <cellStyle name="Обычный 7 8 2 4 3 3 2" xfId="35669"/>
    <cellStyle name="Обычный 7 8 2 4 3 3 2 2" xfId="35670"/>
    <cellStyle name="Обычный 7 8 2 4 3 3 2 3" xfId="35671"/>
    <cellStyle name="Обычный 7 8 2 4 3 3 3" xfId="35672"/>
    <cellStyle name="Обычный 7 8 2 4 3 3 3 2" xfId="35673"/>
    <cellStyle name="Обычный 7 8 2 4 3 3 3 3" xfId="35674"/>
    <cellStyle name="Обычный 7 8 2 4 3 3 4" xfId="35675"/>
    <cellStyle name="Обычный 7 8 2 4 3 3 4 2" xfId="35676"/>
    <cellStyle name="Обычный 7 8 2 4 3 3 5" xfId="35677"/>
    <cellStyle name="Обычный 7 8 2 4 3 3 6" xfId="35678"/>
    <cellStyle name="Обычный 7 8 2 4 3 4" xfId="35679"/>
    <cellStyle name="Обычный 7 8 2 4 3 4 2" xfId="35680"/>
    <cellStyle name="Обычный 7 8 2 4 3 4 3" xfId="35681"/>
    <cellStyle name="Обычный 7 8 2 4 3 5" xfId="35682"/>
    <cellStyle name="Обычный 7 8 2 4 3 5 2" xfId="35683"/>
    <cellStyle name="Обычный 7 8 2 4 3 5 3" xfId="35684"/>
    <cellStyle name="Обычный 7 8 2 4 3 6" xfId="35685"/>
    <cellStyle name="Обычный 7 8 2 4 3 6 2" xfId="35686"/>
    <cellStyle name="Обычный 7 8 2 4 3 7" xfId="35687"/>
    <cellStyle name="Обычный 7 8 2 4 3 8" xfId="35688"/>
    <cellStyle name="Обычный 7 8 2 4 4" xfId="35689"/>
    <cellStyle name="Обычный 7 8 2 4 4 2" xfId="35690"/>
    <cellStyle name="Обычный 7 8 2 4 4 2 2" xfId="35691"/>
    <cellStyle name="Обычный 7 8 2 4 4 2 2 2" xfId="35692"/>
    <cellStyle name="Обычный 7 8 2 4 4 2 2 3" xfId="35693"/>
    <cellStyle name="Обычный 7 8 2 4 4 2 3" xfId="35694"/>
    <cellStyle name="Обычный 7 8 2 4 4 2 3 2" xfId="35695"/>
    <cellStyle name="Обычный 7 8 2 4 4 2 3 3" xfId="35696"/>
    <cellStyle name="Обычный 7 8 2 4 4 2 4" xfId="35697"/>
    <cellStyle name="Обычный 7 8 2 4 4 2 4 2" xfId="35698"/>
    <cellStyle name="Обычный 7 8 2 4 4 2 5" xfId="35699"/>
    <cellStyle name="Обычный 7 8 2 4 4 2 6" xfId="35700"/>
    <cellStyle name="Обычный 7 8 2 4 4 3" xfId="35701"/>
    <cellStyle name="Обычный 7 8 2 4 4 3 2" xfId="35702"/>
    <cellStyle name="Обычный 7 8 2 4 4 3 3" xfId="35703"/>
    <cellStyle name="Обычный 7 8 2 4 4 4" xfId="35704"/>
    <cellStyle name="Обычный 7 8 2 4 4 4 2" xfId="35705"/>
    <cellStyle name="Обычный 7 8 2 4 4 4 3" xfId="35706"/>
    <cellStyle name="Обычный 7 8 2 4 4 5" xfId="35707"/>
    <cellStyle name="Обычный 7 8 2 4 4 5 2" xfId="35708"/>
    <cellStyle name="Обычный 7 8 2 4 4 6" xfId="35709"/>
    <cellStyle name="Обычный 7 8 2 4 4 7" xfId="35710"/>
    <cellStyle name="Обычный 7 8 2 4 5" xfId="35711"/>
    <cellStyle name="Обычный 7 8 2 4 5 2" xfId="35712"/>
    <cellStyle name="Обычный 7 8 2 4 5 2 2" xfId="35713"/>
    <cellStyle name="Обычный 7 8 2 4 5 2 3" xfId="35714"/>
    <cellStyle name="Обычный 7 8 2 4 5 3" xfId="35715"/>
    <cellStyle name="Обычный 7 8 2 4 5 3 2" xfId="35716"/>
    <cellStyle name="Обычный 7 8 2 4 5 3 3" xfId="35717"/>
    <cellStyle name="Обычный 7 8 2 4 5 4" xfId="35718"/>
    <cellStyle name="Обычный 7 8 2 4 5 4 2" xfId="35719"/>
    <cellStyle name="Обычный 7 8 2 4 5 5" xfId="35720"/>
    <cellStyle name="Обычный 7 8 2 4 5 6" xfId="35721"/>
    <cellStyle name="Обычный 7 8 2 4 6" xfId="35722"/>
    <cellStyle name="Обычный 7 8 2 4 6 2" xfId="35723"/>
    <cellStyle name="Обычный 7 8 2 4 6 3" xfId="35724"/>
    <cellStyle name="Обычный 7 8 2 4 7" xfId="35725"/>
    <cellStyle name="Обычный 7 8 2 4 7 2" xfId="35726"/>
    <cellStyle name="Обычный 7 8 2 4 7 3" xfId="35727"/>
    <cellStyle name="Обычный 7 8 2 4 8" xfId="35728"/>
    <cellStyle name="Обычный 7 8 2 4 8 2" xfId="35729"/>
    <cellStyle name="Обычный 7 8 2 4 9" xfId="35730"/>
    <cellStyle name="Обычный 7 8 2 5" xfId="35731"/>
    <cellStyle name="Обычный 7 8 2 5 2" xfId="35732"/>
    <cellStyle name="Обычный 7 8 2 5 2 2" xfId="35733"/>
    <cellStyle name="Обычный 7 8 2 5 2 2 2" xfId="35734"/>
    <cellStyle name="Обычный 7 8 2 5 2 2 2 2" xfId="35735"/>
    <cellStyle name="Обычный 7 8 2 5 2 2 2 2 2" xfId="35736"/>
    <cellStyle name="Обычный 7 8 2 5 2 2 2 2 3" xfId="35737"/>
    <cellStyle name="Обычный 7 8 2 5 2 2 2 3" xfId="35738"/>
    <cellStyle name="Обычный 7 8 2 5 2 2 2 3 2" xfId="35739"/>
    <cellStyle name="Обычный 7 8 2 5 2 2 2 3 3" xfId="35740"/>
    <cellStyle name="Обычный 7 8 2 5 2 2 2 4" xfId="35741"/>
    <cellStyle name="Обычный 7 8 2 5 2 2 2 4 2" xfId="35742"/>
    <cellStyle name="Обычный 7 8 2 5 2 2 2 5" xfId="35743"/>
    <cellStyle name="Обычный 7 8 2 5 2 2 2 6" xfId="35744"/>
    <cellStyle name="Обычный 7 8 2 5 2 2 3" xfId="35745"/>
    <cellStyle name="Обычный 7 8 2 5 2 2 3 2" xfId="35746"/>
    <cellStyle name="Обычный 7 8 2 5 2 2 3 3" xfId="35747"/>
    <cellStyle name="Обычный 7 8 2 5 2 2 4" xfId="35748"/>
    <cellStyle name="Обычный 7 8 2 5 2 2 4 2" xfId="35749"/>
    <cellStyle name="Обычный 7 8 2 5 2 2 4 3" xfId="35750"/>
    <cellStyle name="Обычный 7 8 2 5 2 2 5" xfId="35751"/>
    <cellStyle name="Обычный 7 8 2 5 2 2 5 2" xfId="35752"/>
    <cellStyle name="Обычный 7 8 2 5 2 2 6" xfId="35753"/>
    <cellStyle name="Обычный 7 8 2 5 2 2 7" xfId="35754"/>
    <cellStyle name="Обычный 7 8 2 5 2 3" xfId="35755"/>
    <cellStyle name="Обычный 7 8 2 5 2 3 2" xfId="35756"/>
    <cellStyle name="Обычный 7 8 2 5 2 3 2 2" xfId="35757"/>
    <cellStyle name="Обычный 7 8 2 5 2 3 2 3" xfId="35758"/>
    <cellStyle name="Обычный 7 8 2 5 2 3 3" xfId="35759"/>
    <cellStyle name="Обычный 7 8 2 5 2 3 3 2" xfId="35760"/>
    <cellStyle name="Обычный 7 8 2 5 2 3 3 3" xfId="35761"/>
    <cellStyle name="Обычный 7 8 2 5 2 3 4" xfId="35762"/>
    <cellStyle name="Обычный 7 8 2 5 2 3 4 2" xfId="35763"/>
    <cellStyle name="Обычный 7 8 2 5 2 3 5" xfId="35764"/>
    <cellStyle name="Обычный 7 8 2 5 2 3 6" xfId="35765"/>
    <cellStyle name="Обычный 7 8 2 5 2 4" xfId="35766"/>
    <cellStyle name="Обычный 7 8 2 5 2 4 2" xfId="35767"/>
    <cellStyle name="Обычный 7 8 2 5 2 4 3" xfId="35768"/>
    <cellStyle name="Обычный 7 8 2 5 2 5" xfId="35769"/>
    <cellStyle name="Обычный 7 8 2 5 2 5 2" xfId="35770"/>
    <cellStyle name="Обычный 7 8 2 5 2 5 3" xfId="35771"/>
    <cellStyle name="Обычный 7 8 2 5 2 6" xfId="35772"/>
    <cellStyle name="Обычный 7 8 2 5 2 6 2" xfId="35773"/>
    <cellStyle name="Обычный 7 8 2 5 2 7" xfId="35774"/>
    <cellStyle name="Обычный 7 8 2 5 2 8" xfId="35775"/>
    <cellStyle name="Обычный 7 8 2 5 3" xfId="35776"/>
    <cellStyle name="Обычный 7 8 2 5 3 2" xfId="35777"/>
    <cellStyle name="Обычный 7 8 2 5 3 2 2" xfId="35778"/>
    <cellStyle name="Обычный 7 8 2 5 3 2 2 2" xfId="35779"/>
    <cellStyle name="Обычный 7 8 2 5 3 2 2 3" xfId="35780"/>
    <cellStyle name="Обычный 7 8 2 5 3 2 3" xfId="35781"/>
    <cellStyle name="Обычный 7 8 2 5 3 2 3 2" xfId="35782"/>
    <cellStyle name="Обычный 7 8 2 5 3 2 3 3" xfId="35783"/>
    <cellStyle name="Обычный 7 8 2 5 3 2 4" xfId="35784"/>
    <cellStyle name="Обычный 7 8 2 5 3 2 4 2" xfId="35785"/>
    <cellStyle name="Обычный 7 8 2 5 3 2 5" xfId="35786"/>
    <cellStyle name="Обычный 7 8 2 5 3 2 6" xfId="35787"/>
    <cellStyle name="Обычный 7 8 2 5 3 3" xfId="35788"/>
    <cellStyle name="Обычный 7 8 2 5 3 3 2" xfId="35789"/>
    <cellStyle name="Обычный 7 8 2 5 3 3 3" xfId="35790"/>
    <cellStyle name="Обычный 7 8 2 5 3 4" xfId="35791"/>
    <cellStyle name="Обычный 7 8 2 5 3 4 2" xfId="35792"/>
    <cellStyle name="Обычный 7 8 2 5 3 4 3" xfId="35793"/>
    <cellStyle name="Обычный 7 8 2 5 3 5" xfId="35794"/>
    <cellStyle name="Обычный 7 8 2 5 3 5 2" xfId="35795"/>
    <cellStyle name="Обычный 7 8 2 5 3 6" xfId="35796"/>
    <cellStyle name="Обычный 7 8 2 5 3 7" xfId="35797"/>
    <cellStyle name="Обычный 7 8 2 5 4" xfId="35798"/>
    <cellStyle name="Обычный 7 8 2 5 4 2" xfId="35799"/>
    <cellStyle name="Обычный 7 8 2 5 4 2 2" xfId="35800"/>
    <cellStyle name="Обычный 7 8 2 5 4 2 3" xfId="35801"/>
    <cellStyle name="Обычный 7 8 2 5 4 3" xfId="35802"/>
    <cellStyle name="Обычный 7 8 2 5 4 3 2" xfId="35803"/>
    <cellStyle name="Обычный 7 8 2 5 4 3 3" xfId="35804"/>
    <cellStyle name="Обычный 7 8 2 5 4 4" xfId="35805"/>
    <cellStyle name="Обычный 7 8 2 5 4 4 2" xfId="35806"/>
    <cellStyle name="Обычный 7 8 2 5 4 5" xfId="35807"/>
    <cellStyle name="Обычный 7 8 2 5 4 6" xfId="35808"/>
    <cellStyle name="Обычный 7 8 2 5 5" xfId="35809"/>
    <cellStyle name="Обычный 7 8 2 5 5 2" xfId="35810"/>
    <cellStyle name="Обычный 7 8 2 5 5 3" xfId="35811"/>
    <cellStyle name="Обычный 7 8 2 5 6" xfId="35812"/>
    <cellStyle name="Обычный 7 8 2 5 6 2" xfId="35813"/>
    <cellStyle name="Обычный 7 8 2 5 6 3" xfId="35814"/>
    <cellStyle name="Обычный 7 8 2 5 7" xfId="35815"/>
    <cellStyle name="Обычный 7 8 2 5 7 2" xfId="35816"/>
    <cellStyle name="Обычный 7 8 2 5 8" xfId="35817"/>
    <cellStyle name="Обычный 7 8 2 5 9" xfId="35818"/>
    <cellStyle name="Обычный 7 8 2 6" xfId="35819"/>
    <cellStyle name="Обычный 7 8 2 6 2" xfId="35820"/>
    <cellStyle name="Обычный 7 8 2 6 2 2" xfId="35821"/>
    <cellStyle name="Обычный 7 8 2 6 2 2 2" xfId="35822"/>
    <cellStyle name="Обычный 7 8 2 6 2 2 2 2" xfId="35823"/>
    <cellStyle name="Обычный 7 8 2 6 2 2 2 3" xfId="35824"/>
    <cellStyle name="Обычный 7 8 2 6 2 2 3" xfId="35825"/>
    <cellStyle name="Обычный 7 8 2 6 2 2 3 2" xfId="35826"/>
    <cellStyle name="Обычный 7 8 2 6 2 2 3 3" xfId="35827"/>
    <cellStyle name="Обычный 7 8 2 6 2 2 4" xfId="35828"/>
    <cellStyle name="Обычный 7 8 2 6 2 2 4 2" xfId="35829"/>
    <cellStyle name="Обычный 7 8 2 6 2 2 5" xfId="35830"/>
    <cellStyle name="Обычный 7 8 2 6 2 2 6" xfId="35831"/>
    <cellStyle name="Обычный 7 8 2 6 2 3" xfId="35832"/>
    <cellStyle name="Обычный 7 8 2 6 2 3 2" xfId="35833"/>
    <cellStyle name="Обычный 7 8 2 6 2 3 3" xfId="35834"/>
    <cellStyle name="Обычный 7 8 2 6 2 4" xfId="35835"/>
    <cellStyle name="Обычный 7 8 2 6 2 4 2" xfId="35836"/>
    <cellStyle name="Обычный 7 8 2 6 2 4 3" xfId="35837"/>
    <cellStyle name="Обычный 7 8 2 6 2 5" xfId="35838"/>
    <cellStyle name="Обычный 7 8 2 6 2 5 2" xfId="35839"/>
    <cellStyle name="Обычный 7 8 2 6 2 6" xfId="35840"/>
    <cellStyle name="Обычный 7 8 2 6 2 7" xfId="35841"/>
    <cellStyle name="Обычный 7 8 2 6 3" xfId="35842"/>
    <cellStyle name="Обычный 7 8 2 6 3 2" xfId="35843"/>
    <cellStyle name="Обычный 7 8 2 6 3 2 2" xfId="35844"/>
    <cellStyle name="Обычный 7 8 2 6 3 2 3" xfId="35845"/>
    <cellStyle name="Обычный 7 8 2 6 3 3" xfId="35846"/>
    <cellStyle name="Обычный 7 8 2 6 3 3 2" xfId="35847"/>
    <cellStyle name="Обычный 7 8 2 6 3 3 3" xfId="35848"/>
    <cellStyle name="Обычный 7 8 2 6 3 4" xfId="35849"/>
    <cellStyle name="Обычный 7 8 2 6 3 4 2" xfId="35850"/>
    <cellStyle name="Обычный 7 8 2 6 3 5" xfId="35851"/>
    <cellStyle name="Обычный 7 8 2 6 3 6" xfId="35852"/>
    <cellStyle name="Обычный 7 8 2 6 4" xfId="35853"/>
    <cellStyle name="Обычный 7 8 2 6 4 2" xfId="35854"/>
    <cellStyle name="Обычный 7 8 2 6 4 3" xfId="35855"/>
    <cellStyle name="Обычный 7 8 2 6 5" xfId="35856"/>
    <cellStyle name="Обычный 7 8 2 6 5 2" xfId="35857"/>
    <cellStyle name="Обычный 7 8 2 6 5 3" xfId="35858"/>
    <cellStyle name="Обычный 7 8 2 6 6" xfId="35859"/>
    <cellStyle name="Обычный 7 8 2 6 6 2" xfId="35860"/>
    <cellStyle name="Обычный 7 8 2 6 7" xfId="35861"/>
    <cellStyle name="Обычный 7 8 2 6 8" xfId="35862"/>
    <cellStyle name="Обычный 7 8 2 7" xfId="35863"/>
    <cellStyle name="Обычный 7 8 2 7 2" xfId="35864"/>
    <cellStyle name="Обычный 7 8 2 7 2 2" xfId="35865"/>
    <cellStyle name="Обычный 7 8 2 7 2 2 2" xfId="35866"/>
    <cellStyle name="Обычный 7 8 2 7 2 2 3" xfId="35867"/>
    <cellStyle name="Обычный 7 8 2 7 2 3" xfId="35868"/>
    <cellStyle name="Обычный 7 8 2 7 2 3 2" xfId="35869"/>
    <cellStyle name="Обычный 7 8 2 7 2 3 3" xfId="35870"/>
    <cellStyle name="Обычный 7 8 2 7 2 4" xfId="35871"/>
    <cellStyle name="Обычный 7 8 2 7 2 4 2" xfId="35872"/>
    <cellStyle name="Обычный 7 8 2 7 2 5" xfId="35873"/>
    <cellStyle name="Обычный 7 8 2 7 2 6" xfId="35874"/>
    <cellStyle name="Обычный 7 8 2 7 3" xfId="35875"/>
    <cellStyle name="Обычный 7 8 2 7 3 2" xfId="35876"/>
    <cellStyle name="Обычный 7 8 2 7 3 3" xfId="35877"/>
    <cellStyle name="Обычный 7 8 2 7 4" xfId="35878"/>
    <cellStyle name="Обычный 7 8 2 7 4 2" xfId="35879"/>
    <cellStyle name="Обычный 7 8 2 7 4 3" xfId="35880"/>
    <cellStyle name="Обычный 7 8 2 7 5" xfId="35881"/>
    <cellStyle name="Обычный 7 8 2 7 5 2" xfId="35882"/>
    <cellStyle name="Обычный 7 8 2 7 6" xfId="35883"/>
    <cellStyle name="Обычный 7 8 2 7 7" xfId="35884"/>
    <cellStyle name="Обычный 7 8 2 8" xfId="35885"/>
    <cellStyle name="Обычный 7 8 2 8 2" xfId="35886"/>
    <cellStyle name="Обычный 7 8 2 8 2 2" xfId="35887"/>
    <cellStyle name="Обычный 7 8 2 8 2 3" xfId="35888"/>
    <cellStyle name="Обычный 7 8 2 8 3" xfId="35889"/>
    <cellStyle name="Обычный 7 8 2 8 3 2" xfId="35890"/>
    <cellStyle name="Обычный 7 8 2 8 3 3" xfId="35891"/>
    <cellStyle name="Обычный 7 8 2 8 4" xfId="35892"/>
    <cellStyle name="Обычный 7 8 2 8 4 2" xfId="35893"/>
    <cellStyle name="Обычный 7 8 2 8 5" xfId="35894"/>
    <cellStyle name="Обычный 7 8 2 8 6" xfId="35895"/>
    <cellStyle name="Обычный 7 8 2 9" xfId="35896"/>
    <cellStyle name="Обычный 7 8 2 9 2" xfId="35897"/>
    <cellStyle name="Обычный 7 8 2 9 3" xfId="35898"/>
    <cellStyle name="Обычный 7 8 3" xfId="35899"/>
    <cellStyle name="Обычный 7 8 3 10" xfId="35900"/>
    <cellStyle name="Обычный 7 8 3 2" xfId="35901"/>
    <cellStyle name="Обычный 7 8 3 2 2" xfId="35902"/>
    <cellStyle name="Обычный 7 8 3 2 2 2" xfId="35903"/>
    <cellStyle name="Обычный 7 8 3 2 2 2 2" xfId="35904"/>
    <cellStyle name="Обычный 7 8 3 2 2 2 2 2" xfId="35905"/>
    <cellStyle name="Обычный 7 8 3 2 2 2 2 2 2" xfId="35906"/>
    <cellStyle name="Обычный 7 8 3 2 2 2 2 2 3" xfId="35907"/>
    <cellStyle name="Обычный 7 8 3 2 2 2 2 3" xfId="35908"/>
    <cellStyle name="Обычный 7 8 3 2 2 2 2 3 2" xfId="35909"/>
    <cellStyle name="Обычный 7 8 3 2 2 2 2 3 3" xfId="35910"/>
    <cellStyle name="Обычный 7 8 3 2 2 2 2 4" xfId="35911"/>
    <cellStyle name="Обычный 7 8 3 2 2 2 2 4 2" xfId="35912"/>
    <cellStyle name="Обычный 7 8 3 2 2 2 2 5" xfId="35913"/>
    <cellStyle name="Обычный 7 8 3 2 2 2 2 6" xfId="35914"/>
    <cellStyle name="Обычный 7 8 3 2 2 2 3" xfId="35915"/>
    <cellStyle name="Обычный 7 8 3 2 2 2 3 2" xfId="35916"/>
    <cellStyle name="Обычный 7 8 3 2 2 2 3 3" xfId="35917"/>
    <cellStyle name="Обычный 7 8 3 2 2 2 4" xfId="35918"/>
    <cellStyle name="Обычный 7 8 3 2 2 2 4 2" xfId="35919"/>
    <cellStyle name="Обычный 7 8 3 2 2 2 4 3" xfId="35920"/>
    <cellStyle name="Обычный 7 8 3 2 2 2 5" xfId="35921"/>
    <cellStyle name="Обычный 7 8 3 2 2 2 5 2" xfId="35922"/>
    <cellStyle name="Обычный 7 8 3 2 2 2 6" xfId="35923"/>
    <cellStyle name="Обычный 7 8 3 2 2 2 7" xfId="35924"/>
    <cellStyle name="Обычный 7 8 3 2 2 3" xfId="35925"/>
    <cellStyle name="Обычный 7 8 3 2 2 3 2" xfId="35926"/>
    <cellStyle name="Обычный 7 8 3 2 2 3 2 2" xfId="35927"/>
    <cellStyle name="Обычный 7 8 3 2 2 3 2 3" xfId="35928"/>
    <cellStyle name="Обычный 7 8 3 2 2 3 3" xfId="35929"/>
    <cellStyle name="Обычный 7 8 3 2 2 3 3 2" xfId="35930"/>
    <cellStyle name="Обычный 7 8 3 2 2 3 3 3" xfId="35931"/>
    <cellStyle name="Обычный 7 8 3 2 2 3 4" xfId="35932"/>
    <cellStyle name="Обычный 7 8 3 2 2 3 4 2" xfId="35933"/>
    <cellStyle name="Обычный 7 8 3 2 2 3 5" xfId="35934"/>
    <cellStyle name="Обычный 7 8 3 2 2 3 6" xfId="35935"/>
    <cellStyle name="Обычный 7 8 3 2 2 4" xfId="35936"/>
    <cellStyle name="Обычный 7 8 3 2 2 4 2" xfId="35937"/>
    <cellStyle name="Обычный 7 8 3 2 2 4 3" xfId="35938"/>
    <cellStyle name="Обычный 7 8 3 2 2 5" xfId="35939"/>
    <cellStyle name="Обычный 7 8 3 2 2 5 2" xfId="35940"/>
    <cellStyle name="Обычный 7 8 3 2 2 5 3" xfId="35941"/>
    <cellStyle name="Обычный 7 8 3 2 2 6" xfId="35942"/>
    <cellStyle name="Обычный 7 8 3 2 2 6 2" xfId="35943"/>
    <cellStyle name="Обычный 7 8 3 2 2 7" xfId="35944"/>
    <cellStyle name="Обычный 7 8 3 2 2 8" xfId="35945"/>
    <cellStyle name="Обычный 7 8 3 2 3" xfId="35946"/>
    <cellStyle name="Обычный 7 8 3 2 3 2" xfId="35947"/>
    <cellStyle name="Обычный 7 8 3 2 3 2 2" xfId="35948"/>
    <cellStyle name="Обычный 7 8 3 2 3 2 2 2" xfId="35949"/>
    <cellStyle name="Обычный 7 8 3 2 3 2 2 3" xfId="35950"/>
    <cellStyle name="Обычный 7 8 3 2 3 2 3" xfId="35951"/>
    <cellStyle name="Обычный 7 8 3 2 3 2 3 2" xfId="35952"/>
    <cellStyle name="Обычный 7 8 3 2 3 2 3 3" xfId="35953"/>
    <cellStyle name="Обычный 7 8 3 2 3 2 4" xfId="35954"/>
    <cellStyle name="Обычный 7 8 3 2 3 2 4 2" xfId="35955"/>
    <cellStyle name="Обычный 7 8 3 2 3 2 5" xfId="35956"/>
    <cellStyle name="Обычный 7 8 3 2 3 2 6" xfId="35957"/>
    <cellStyle name="Обычный 7 8 3 2 3 3" xfId="35958"/>
    <cellStyle name="Обычный 7 8 3 2 3 3 2" xfId="35959"/>
    <cellStyle name="Обычный 7 8 3 2 3 3 3" xfId="35960"/>
    <cellStyle name="Обычный 7 8 3 2 3 4" xfId="35961"/>
    <cellStyle name="Обычный 7 8 3 2 3 4 2" xfId="35962"/>
    <cellStyle name="Обычный 7 8 3 2 3 4 3" xfId="35963"/>
    <cellStyle name="Обычный 7 8 3 2 3 5" xfId="35964"/>
    <cellStyle name="Обычный 7 8 3 2 3 5 2" xfId="35965"/>
    <cellStyle name="Обычный 7 8 3 2 3 6" xfId="35966"/>
    <cellStyle name="Обычный 7 8 3 2 3 7" xfId="35967"/>
    <cellStyle name="Обычный 7 8 3 2 4" xfId="35968"/>
    <cellStyle name="Обычный 7 8 3 2 4 2" xfId="35969"/>
    <cellStyle name="Обычный 7 8 3 2 4 2 2" xfId="35970"/>
    <cellStyle name="Обычный 7 8 3 2 4 2 3" xfId="35971"/>
    <cellStyle name="Обычный 7 8 3 2 4 3" xfId="35972"/>
    <cellStyle name="Обычный 7 8 3 2 4 3 2" xfId="35973"/>
    <cellStyle name="Обычный 7 8 3 2 4 3 3" xfId="35974"/>
    <cellStyle name="Обычный 7 8 3 2 4 4" xfId="35975"/>
    <cellStyle name="Обычный 7 8 3 2 4 4 2" xfId="35976"/>
    <cellStyle name="Обычный 7 8 3 2 4 5" xfId="35977"/>
    <cellStyle name="Обычный 7 8 3 2 4 6" xfId="35978"/>
    <cellStyle name="Обычный 7 8 3 2 5" xfId="35979"/>
    <cellStyle name="Обычный 7 8 3 2 5 2" xfId="35980"/>
    <cellStyle name="Обычный 7 8 3 2 5 3" xfId="35981"/>
    <cellStyle name="Обычный 7 8 3 2 6" xfId="35982"/>
    <cellStyle name="Обычный 7 8 3 2 6 2" xfId="35983"/>
    <cellStyle name="Обычный 7 8 3 2 6 3" xfId="35984"/>
    <cellStyle name="Обычный 7 8 3 2 7" xfId="35985"/>
    <cellStyle name="Обычный 7 8 3 2 7 2" xfId="35986"/>
    <cellStyle name="Обычный 7 8 3 2 8" xfId="35987"/>
    <cellStyle name="Обычный 7 8 3 2 9" xfId="35988"/>
    <cellStyle name="Обычный 7 8 3 3" xfId="35989"/>
    <cellStyle name="Обычный 7 8 3 3 2" xfId="35990"/>
    <cellStyle name="Обычный 7 8 3 3 2 2" xfId="35991"/>
    <cellStyle name="Обычный 7 8 3 3 2 2 2" xfId="35992"/>
    <cellStyle name="Обычный 7 8 3 3 2 2 2 2" xfId="35993"/>
    <cellStyle name="Обычный 7 8 3 3 2 2 2 3" xfId="35994"/>
    <cellStyle name="Обычный 7 8 3 3 2 2 3" xfId="35995"/>
    <cellStyle name="Обычный 7 8 3 3 2 2 3 2" xfId="35996"/>
    <cellStyle name="Обычный 7 8 3 3 2 2 3 3" xfId="35997"/>
    <cellStyle name="Обычный 7 8 3 3 2 2 4" xfId="35998"/>
    <cellStyle name="Обычный 7 8 3 3 2 2 4 2" xfId="35999"/>
    <cellStyle name="Обычный 7 8 3 3 2 2 5" xfId="36000"/>
    <cellStyle name="Обычный 7 8 3 3 2 2 6" xfId="36001"/>
    <cellStyle name="Обычный 7 8 3 3 2 3" xfId="36002"/>
    <cellStyle name="Обычный 7 8 3 3 2 3 2" xfId="36003"/>
    <cellStyle name="Обычный 7 8 3 3 2 3 3" xfId="36004"/>
    <cellStyle name="Обычный 7 8 3 3 2 4" xfId="36005"/>
    <cellStyle name="Обычный 7 8 3 3 2 4 2" xfId="36006"/>
    <cellStyle name="Обычный 7 8 3 3 2 4 3" xfId="36007"/>
    <cellStyle name="Обычный 7 8 3 3 2 5" xfId="36008"/>
    <cellStyle name="Обычный 7 8 3 3 2 5 2" xfId="36009"/>
    <cellStyle name="Обычный 7 8 3 3 2 6" xfId="36010"/>
    <cellStyle name="Обычный 7 8 3 3 2 7" xfId="36011"/>
    <cellStyle name="Обычный 7 8 3 3 3" xfId="36012"/>
    <cellStyle name="Обычный 7 8 3 3 3 2" xfId="36013"/>
    <cellStyle name="Обычный 7 8 3 3 3 2 2" xfId="36014"/>
    <cellStyle name="Обычный 7 8 3 3 3 2 3" xfId="36015"/>
    <cellStyle name="Обычный 7 8 3 3 3 3" xfId="36016"/>
    <cellStyle name="Обычный 7 8 3 3 3 3 2" xfId="36017"/>
    <cellStyle name="Обычный 7 8 3 3 3 3 3" xfId="36018"/>
    <cellStyle name="Обычный 7 8 3 3 3 4" xfId="36019"/>
    <cellStyle name="Обычный 7 8 3 3 3 4 2" xfId="36020"/>
    <cellStyle name="Обычный 7 8 3 3 3 5" xfId="36021"/>
    <cellStyle name="Обычный 7 8 3 3 3 6" xfId="36022"/>
    <cellStyle name="Обычный 7 8 3 3 4" xfId="36023"/>
    <cellStyle name="Обычный 7 8 3 3 4 2" xfId="36024"/>
    <cellStyle name="Обычный 7 8 3 3 4 3" xfId="36025"/>
    <cellStyle name="Обычный 7 8 3 3 5" xfId="36026"/>
    <cellStyle name="Обычный 7 8 3 3 5 2" xfId="36027"/>
    <cellStyle name="Обычный 7 8 3 3 5 3" xfId="36028"/>
    <cellStyle name="Обычный 7 8 3 3 6" xfId="36029"/>
    <cellStyle name="Обычный 7 8 3 3 6 2" xfId="36030"/>
    <cellStyle name="Обычный 7 8 3 3 7" xfId="36031"/>
    <cellStyle name="Обычный 7 8 3 3 8" xfId="36032"/>
    <cellStyle name="Обычный 7 8 3 4" xfId="36033"/>
    <cellStyle name="Обычный 7 8 3 4 2" xfId="36034"/>
    <cellStyle name="Обычный 7 8 3 4 2 2" xfId="36035"/>
    <cellStyle name="Обычный 7 8 3 4 2 2 2" xfId="36036"/>
    <cellStyle name="Обычный 7 8 3 4 2 2 3" xfId="36037"/>
    <cellStyle name="Обычный 7 8 3 4 2 3" xfId="36038"/>
    <cellStyle name="Обычный 7 8 3 4 2 3 2" xfId="36039"/>
    <cellStyle name="Обычный 7 8 3 4 2 3 3" xfId="36040"/>
    <cellStyle name="Обычный 7 8 3 4 2 4" xfId="36041"/>
    <cellStyle name="Обычный 7 8 3 4 2 4 2" xfId="36042"/>
    <cellStyle name="Обычный 7 8 3 4 2 5" xfId="36043"/>
    <cellStyle name="Обычный 7 8 3 4 2 6" xfId="36044"/>
    <cellStyle name="Обычный 7 8 3 4 3" xfId="36045"/>
    <cellStyle name="Обычный 7 8 3 4 3 2" xfId="36046"/>
    <cellStyle name="Обычный 7 8 3 4 3 3" xfId="36047"/>
    <cellStyle name="Обычный 7 8 3 4 4" xfId="36048"/>
    <cellStyle name="Обычный 7 8 3 4 4 2" xfId="36049"/>
    <cellStyle name="Обычный 7 8 3 4 4 3" xfId="36050"/>
    <cellStyle name="Обычный 7 8 3 4 5" xfId="36051"/>
    <cellStyle name="Обычный 7 8 3 4 5 2" xfId="36052"/>
    <cellStyle name="Обычный 7 8 3 4 6" xfId="36053"/>
    <cellStyle name="Обычный 7 8 3 4 7" xfId="36054"/>
    <cellStyle name="Обычный 7 8 3 5" xfId="36055"/>
    <cellStyle name="Обычный 7 8 3 5 2" xfId="36056"/>
    <cellStyle name="Обычный 7 8 3 5 2 2" xfId="36057"/>
    <cellStyle name="Обычный 7 8 3 5 2 3" xfId="36058"/>
    <cellStyle name="Обычный 7 8 3 5 3" xfId="36059"/>
    <cellStyle name="Обычный 7 8 3 5 3 2" xfId="36060"/>
    <cellStyle name="Обычный 7 8 3 5 3 3" xfId="36061"/>
    <cellStyle name="Обычный 7 8 3 5 4" xfId="36062"/>
    <cellStyle name="Обычный 7 8 3 5 4 2" xfId="36063"/>
    <cellStyle name="Обычный 7 8 3 5 5" xfId="36064"/>
    <cellStyle name="Обычный 7 8 3 5 6" xfId="36065"/>
    <cellStyle name="Обычный 7 8 3 6" xfId="36066"/>
    <cellStyle name="Обычный 7 8 3 6 2" xfId="36067"/>
    <cellStyle name="Обычный 7 8 3 6 3" xfId="36068"/>
    <cellStyle name="Обычный 7 8 3 7" xfId="36069"/>
    <cellStyle name="Обычный 7 8 3 7 2" xfId="36070"/>
    <cellStyle name="Обычный 7 8 3 7 3" xfId="36071"/>
    <cellStyle name="Обычный 7 8 3 8" xfId="36072"/>
    <cellStyle name="Обычный 7 8 3 8 2" xfId="36073"/>
    <cellStyle name="Обычный 7 8 3 9" xfId="36074"/>
    <cellStyle name="Обычный 7 8 4" xfId="36075"/>
    <cellStyle name="Обычный 7 8 4 10" xfId="36076"/>
    <cellStyle name="Обычный 7 8 4 2" xfId="36077"/>
    <cellStyle name="Обычный 7 8 4 2 2" xfId="36078"/>
    <cellStyle name="Обычный 7 8 4 2 2 2" xfId="36079"/>
    <cellStyle name="Обычный 7 8 4 2 2 2 2" xfId="36080"/>
    <cellStyle name="Обычный 7 8 4 2 2 2 2 2" xfId="36081"/>
    <cellStyle name="Обычный 7 8 4 2 2 2 2 2 2" xfId="36082"/>
    <cellStyle name="Обычный 7 8 4 2 2 2 2 2 3" xfId="36083"/>
    <cellStyle name="Обычный 7 8 4 2 2 2 2 3" xfId="36084"/>
    <cellStyle name="Обычный 7 8 4 2 2 2 2 3 2" xfId="36085"/>
    <cellStyle name="Обычный 7 8 4 2 2 2 2 3 3" xfId="36086"/>
    <cellStyle name="Обычный 7 8 4 2 2 2 2 4" xfId="36087"/>
    <cellStyle name="Обычный 7 8 4 2 2 2 2 4 2" xfId="36088"/>
    <cellStyle name="Обычный 7 8 4 2 2 2 2 5" xfId="36089"/>
    <cellStyle name="Обычный 7 8 4 2 2 2 2 6" xfId="36090"/>
    <cellStyle name="Обычный 7 8 4 2 2 2 3" xfId="36091"/>
    <cellStyle name="Обычный 7 8 4 2 2 2 3 2" xfId="36092"/>
    <cellStyle name="Обычный 7 8 4 2 2 2 3 3" xfId="36093"/>
    <cellStyle name="Обычный 7 8 4 2 2 2 4" xfId="36094"/>
    <cellStyle name="Обычный 7 8 4 2 2 2 4 2" xfId="36095"/>
    <cellStyle name="Обычный 7 8 4 2 2 2 4 3" xfId="36096"/>
    <cellStyle name="Обычный 7 8 4 2 2 2 5" xfId="36097"/>
    <cellStyle name="Обычный 7 8 4 2 2 2 5 2" xfId="36098"/>
    <cellStyle name="Обычный 7 8 4 2 2 2 6" xfId="36099"/>
    <cellStyle name="Обычный 7 8 4 2 2 2 7" xfId="36100"/>
    <cellStyle name="Обычный 7 8 4 2 2 3" xfId="36101"/>
    <cellStyle name="Обычный 7 8 4 2 2 3 2" xfId="36102"/>
    <cellStyle name="Обычный 7 8 4 2 2 3 2 2" xfId="36103"/>
    <cellStyle name="Обычный 7 8 4 2 2 3 2 3" xfId="36104"/>
    <cellStyle name="Обычный 7 8 4 2 2 3 3" xfId="36105"/>
    <cellStyle name="Обычный 7 8 4 2 2 3 3 2" xfId="36106"/>
    <cellStyle name="Обычный 7 8 4 2 2 3 3 3" xfId="36107"/>
    <cellStyle name="Обычный 7 8 4 2 2 3 4" xfId="36108"/>
    <cellStyle name="Обычный 7 8 4 2 2 3 4 2" xfId="36109"/>
    <cellStyle name="Обычный 7 8 4 2 2 3 5" xfId="36110"/>
    <cellStyle name="Обычный 7 8 4 2 2 3 6" xfId="36111"/>
    <cellStyle name="Обычный 7 8 4 2 2 4" xfId="36112"/>
    <cellStyle name="Обычный 7 8 4 2 2 4 2" xfId="36113"/>
    <cellStyle name="Обычный 7 8 4 2 2 4 3" xfId="36114"/>
    <cellStyle name="Обычный 7 8 4 2 2 5" xfId="36115"/>
    <cellStyle name="Обычный 7 8 4 2 2 5 2" xfId="36116"/>
    <cellStyle name="Обычный 7 8 4 2 2 5 3" xfId="36117"/>
    <cellStyle name="Обычный 7 8 4 2 2 6" xfId="36118"/>
    <cellStyle name="Обычный 7 8 4 2 2 6 2" xfId="36119"/>
    <cellStyle name="Обычный 7 8 4 2 2 7" xfId="36120"/>
    <cellStyle name="Обычный 7 8 4 2 2 8" xfId="36121"/>
    <cellStyle name="Обычный 7 8 4 2 3" xfId="36122"/>
    <cellStyle name="Обычный 7 8 4 2 3 2" xfId="36123"/>
    <cellStyle name="Обычный 7 8 4 2 3 2 2" xfId="36124"/>
    <cellStyle name="Обычный 7 8 4 2 3 2 2 2" xfId="36125"/>
    <cellStyle name="Обычный 7 8 4 2 3 2 2 3" xfId="36126"/>
    <cellStyle name="Обычный 7 8 4 2 3 2 3" xfId="36127"/>
    <cellStyle name="Обычный 7 8 4 2 3 2 3 2" xfId="36128"/>
    <cellStyle name="Обычный 7 8 4 2 3 2 3 3" xfId="36129"/>
    <cellStyle name="Обычный 7 8 4 2 3 2 4" xfId="36130"/>
    <cellStyle name="Обычный 7 8 4 2 3 2 4 2" xfId="36131"/>
    <cellStyle name="Обычный 7 8 4 2 3 2 5" xfId="36132"/>
    <cellStyle name="Обычный 7 8 4 2 3 2 6" xfId="36133"/>
    <cellStyle name="Обычный 7 8 4 2 3 3" xfId="36134"/>
    <cellStyle name="Обычный 7 8 4 2 3 3 2" xfId="36135"/>
    <cellStyle name="Обычный 7 8 4 2 3 3 3" xfId="36136"/>
    <cellStyle name="Обычный 7 8 4 2 3 4" xfId="36137"/>
    <cellStyle name="Обычный 7 8 4 2 3 4 2" xfId="36138"/>
    <cellStyle name="Обычный 7 8 4 2 3 4 3" xfId="36139"/>
    <cellStyle name="Обычный 7 8 4 2 3 5" xfId="36140"/>
    <cellStyle name="Обычный 7 8 4 2 3 5 2" xfId="36141"/>
    <cellStyle name="Обычный 7 8 4 2 3 6" xfId="36142"/>
    <cellStyle name="Обычный 7 8 4 2 3 7" xfId="36143"/>
    <cellStyle name="Обычный 7 8 4 2 4" xfId="36144"/>
    <cellStyle name="Обычный 7 8 4 2 4 2" xfId="36145"/>
    <cellStyle name="Обычный 7 8 4 2 4 2 2" xfId="36146"/>
    <cellStyle name="Обычный 7 8 4 2 4 2 3" xfId="36147"/>
    <cellStyle name="Обычный 7 8 4 2 4 3" xfId="36148"/>
    <cellStyle name="Обычный 7 8 4 2 4 3 2" xfId="36149"/>
    <cellStyle name="Обычный 7 8 4 2 4 3 3" xfId="36150"/>
    <cellStyle name="Обычный 7 8 4 2 4 4" xfId="36151"/>
    <cellStyle name="Обычный 7 8 4 2 4 4 2" xfId="36152"/>
    <cellStyle name="Обычный 7 8 4 2 4 5" xfId="36153"/>
    <cellStyle name="Обычный 7 8 4 2 4 6" xfId="36154"/>
    <cellStyle name="Обычный 7 8 4 2 5" xfId="36155"/>
    <cellStyle name="Обычный 7 8 4 2 5 2" xfId="36156"/>
    <cellStyle name="Обычный 7 8 4 2 5 3" xfId="36157"/>
    <cellStyle name="Обычный 7 8 4 2 6" xfId="36158"/>
    <cellStyle name="Обычный 7 8 4 2 6 2" xfId="36159"/>
    <cellStyle name="Обычный 7 8 4 2 6 3" xfId="36160"/>
    <cellStyle name="Обычный 7 8 4 2 7" xfId="36161"/>
    <cellStyle name="Обычный 7 8 4 2 7 2" xfId="36162"/>
    <cellStyle name="Обычный 7 8 4 2 8" xfId="36163"/>
    <cellStyle name="Обычный 7 8 4 2 9" xfId="36164"/>
    <cellStyle name="Обычный 7 8 4 3" xfId="36165"/>
    <cellStyle name="Обычный 7 8 4 3 2" xfId="36166"/>
    <cellStyle name="Обычный 7 8 4 3 2 2" xfId="36167"/>
    <cellStyle name="Обычный 7 8 4 3 2 2 2" xfId="36168"/>
    <cellStyle name="Обычный 7 8 4 3 2 2 2 2" xfId="36169"/>
    <cellStyle name="Обычный 7 8 4 3 2 2 2 3" xfId="36170"/>
    <cellStyle name="Обычный 7 8 4 3 2 2 3" xfId="36171"/>
    <cellStyle name="Обычный 7 8 4 3 2 2 3 2" xfId="36172"/>
    <cellStyle name="Обычный 7 8 4 3 2 2 3 3" xfId="36173"/>
    <cellStyle name="Обычный 7 8 4 3 2 2 4" xfId="36174"/>
    <cellStyle name="Обычный 7 8 4 3 2 2 4 2" xfId="36175"/>
    <cellStyle name="Обычный 7 8 4 3 2 2 5" xfId="36176"/>
    <cellStyle name="Обычный 7 8 4 3 2 2 6" xfId="36177"/>
    <cellStyle name="Обычный 7 8 4 3 2 3" xfId="36178"/>
    <cellStyle name="Обычный 7 8 4 3 2 3 2" xfId="36179"/>
    <cellStyle name="Обычный 7 8 4 3 2 3 3" xfId="36180"/>
    <cellStyle name="Обычный 7 8 4 3 2 4" xfId="36181"/>
    <cellStyle name="Обычный 7 8 4 3 2 4 2" xfId="36182"/>
    <cellStyle name="Обычный 7 8 4 3 2 4 3" xfId="36183"/>
    <cellStyle name="Обычный 7 8 4 3 2 5" xfId="36184"/>
    <cellStyle name="Обычный 7 8 4 3 2 5 2" xfId="36185"/>
    <cellStyle name="Обычный 7 8 4 3 2 6" xfId="36186"/>
    <cellStyle name="Обычный 7 8 4 3 2 7" xfId="36187"/>
    <cellStyle name="Обычный 7 8 4 3 3" xfId="36188"/>
    <cellStyle name="Обычный 7 8 4 3 3 2" xfId="36189"/>
    <cellStyle name="Обычный 7 8 4 3 3 2 2" xfId="36190"/>
    <cellStyle name="Обычный 7 8 4 3 3 2 3" xfId="36191"/>
    <cellStyle name="Обычный 7 8 4 3 3 3" xfId="36192"/>
    <cellStyle name="Обычный 7 8 4 3 3 3 2" xfId="36193"/>
    <cellStyle name="Обычный 7 8 4 3 3 3 3" xfId="36194"/>
    <cellStyle name="Обычный 7 8 4 3 3 4" xfId="36195"/>
    <cellStyle name="Обычный 7 8 4 3 3 4 2" xfId="36196"/>
    <cellStyle name="Обычный 7 8 4 3 3 5" xfId="36197"/>
    <cellStyle name="Обычный 7 8 4 3 3 6" xfId="36198"/>
    <cellStyle name="Обычный 7 8 4 3 4" xfId="36199"/>
    <cellStyle name="Обычный 7 8 4 3 4 2" xfId="36200"/>
    <cellStyle name="Обычный 7 8 4 3 4 3" xfId="36201"/>
    <cellStyle name="Обычный 7 8 4 3 5" xfId="36202"/>
    <cellStyle name="Обычный 7 8 4 3 5 2" xfId="36203"/>
    <cellStyle name="Обычный 7 8 4 3 5 3" xfId="36204"/>
    <cellStyle name="Обычный 7 8 4 3 6" xfId="36205"/>
    <cellStyle name="Обычный 7 8 4 3 6 2" xfId="36206"/>
    <cellStyle name="Обычный 7 8 4 3 7" xfId="36207"/>
    <cellStyle name="Обычный 7 8 4 3 8" xfId="36208"/>
    <cellStyle name="Обычный 7 8 4 4" xfId="36209"/>
    <cellStyle name="Обычный 7 8 4 4 2" xfId="36210"/>
    <cellStyle name="Обычный 7 8 4 4 2 2" xfId="36211"/>
    <cellStyle name="Обычный 7 8 4 4 2 2 2" xfId="36212"/>
    <cellStyle name="Обычный 7 8 4 4 2 2 3" xfId="36213"/>
    <cellStyle name="Обычный 7 8 4 4 2 3" xfId="36214"/>
    <cellStyle name="Обычный 7 8 4 4 2 3 2" xfId="36215"/>
    <cellStyle name="Обычный 7 8 4 4 2 3 3" xfId="36216"/>
    <cellStyle name="Обычный 7 8 4 4 2 4" xfId="36217"/>
    <cellStyle name="Обычный 7 8 4 4 2 4 2" xfId="36218"/>
    <cellStyle name="Обычный 7 8 4 4 2 5" xfId="36219"/>
    <cellStyle name="Обычный 7 8 4 4 2 6" xfId="36220"/>
    <cellStyle name="Обычный 7 8 4 4 3" xfId="36221"/>
    <cellStyle name="Обычный 7 8 4 4 3 2" xfId="36222"/>
    <cellStyle name="Обычный 7 8 4 4 3 3" xfId="36223"/>
    <cellStyle name="Обычный 7 8 4 4 4" xfId="36224"/>
    <cellStyle name="Обычный 7 8 4 4 4 2" xfId="36225"/>
    <cellStyle name="Обычный 7 8 4 4 4 3" xfId="36226"/>
    <cellStyle name="Обычный 7 8 4 4 5" xfId="36227"/>
    <cellStyle name="Обычный 7 8 4 4 5 2" xfId="36228"/>
    <cellStyle name="Обычный 7 8 4 4 6" xfId="36229"/>
    <cellStyle name="Обычный 7 8 4 4 7" xfId="36230"/>
    <cellStyle name="Обычный 7 8 4 5" xfId="36231"/>
    <cellStyle name="Обычный 7 8 4 5 2" xfId="36232"/>
    <cellStyle name="Обычный 7 8 4 5 2 2" xfId="36233"/>
    <cellStyle name="Обычный 7 8 4 5 2 3" xfId="36234"/>
    <cellStyle name="Обычный 7 8 4 5 3" xfId="36235"/>
    <cellStyle name="Обычный 7 8 4 5 3 2" xfId="36236"/>
    <cellStyle name="Обычный 7 8 4 5 3 3" xfId="36237"/>
    <cellStyle name="Обычный 7 8 4 5 4" xfId="36238"/>
    <cellStyle name="Обычный 7 8 4 5 4 2" xfId="36239"/>
    <cellStyle name="Обычный 7 8 4 5 5" xfId="36240"/>
    <cellStyle name="Обычный 7 8 4 5 6" xfId="36241"/>
    <cellStyle name="Обычный 7 8 4 6" xfId="36242"/>
    <cellStyle name="Обычный 7 8 4 6 2" xfId="36243"/>
    <cellStyle name="Обычный 7 8 4 6 3" xfId="36244"/>
    <cellStyle name="Обычный 7 8 4 7" xfId="36245"/>
    <cellStyle name="Обычный 7 8 4 7 2" xfId="36246"/>
    <cellStyle name="Обычный 7 8 4 7 3" xfId="36247"/>
    <cellStyle name="Обычный 7 8 4 8" xfId="36248"/>
    <cellStyle name="Обычный 7 8 4 8 2" xfId="36249"/>
    <cellStyle name="Обычный 7 8 4 9" xfId="36250"/>
    <cellStyle name="Обычный 7 8 5" xfId="36251"/>
    <cellStyle name="Обычный 7 8 5 10" xfId="36252"/>
    <cellStyle name="Обычный 7 8 5 2" xfId="36253"/>
    <cellStyle name="Обычный 7 8 5 2 2" xfId="36254"/>
    <cellStyle name="Обычный 7 8 5 2 2 2" xfId="36255"/>
    <cellStyle name="Обычный 7 8 5 2 2 2 2" xfId="36256"/>
    <cellStyle name="Обычный 7 8 5 2 2 2 2 2" xfId="36257"/>
    <cellStyle name="Обычный 7 8 5 2 2 2 2 2 2" xfId="36258"/>
    <cellStyle name="Обычный 7 8 5 2 2 2 2 2 3" xfId="36259"/>
    <cellStyle name="Обычный 7 8 5 2 2 2 2 3" xfId="36260"/>
    <cellStyle name="Обычный 7 8 5 2 2 2 2 3 2" xfId="36261"/>
    <cellStyle name="Обычный 7 8 5 2 2 2 2 3 3" xfId="36262"/>
    <cellStyle name="Обычный 7 8 5 2 2 2 2 4" xfId="36263"/>
    <cellStyle name="Обычный 7 8 5 2 2 2 2 4 2" xfId="36264"/>
    <cellStyle name="Обычный 7 8 5 2 2 2 2 5" xfId="36265"/>
    <cellStyle name="Обычный 7 8 5 2 2 2 2 6" xfId="36266"/>
    <cellStyle name="Обычный 7 8 5 2 2 2 3" xfId="36267"/>
    <cellStyle name="Обычный 7 8 5 2 2 2 3 2" xfId="36268"/>
    <cellStyle name="Обычный 7 8 5 2 2 2 3 3" xfId="36269"/>
    <cellStyle name="Обычный 7 8 5 2 2 2 4" xfId="36270"/>
    <cellStyle name="Обычный 7 8 5 2 2 2 4 2" xfId="36271"/>
    <cellStyle name="Обычный 7 8 5 2 2 2 4 3" xfId="36272"/>
    <cellStyle name="Обычный 7 8 5 2 2 2 5" xfId="36273"/>
    <cellStyle name="Обычный 7 8 5 2 2 2 5 2" xfId="36274"/>
    <cellStyle name="Обычный 7 8 5 2 2 2 6" xfId="36275"/>
    <cellStyle name="Обычный 7 8 5 2 2 2 7" xfId="36276"/>
    <cellStyle name="Обычный 7 8 5 2 2 3" xfId="36277"/>
    <cellStyle name="Обычный 7 8 5 2 2 3 2" xfId="36278"/>
    <cellStyle name="Обычный 7 8 5 2 2 3 2 2" xfId="36279"/>
    <cellStyle name="Обычный 7 8 5 2 2 3 2 3" xfId="36280"/>
    <cellStyle name="Обычный 7 8 5 2 2 3 3" xfId="36281"/>
    <cellStyle name="Обычный 7 8 5 2 2 3 3 2" xfId="36282"/>
    <cellStyle name="Обычный 7 8 5 2 2 3 3 3" xfId="36283"/>
    <cellStyle name="Обычный 7 8 5 2 2 3 4" xfId="36284"/>
    <cellStyle name="Обычный 7 8 5 2 2 3 4 2" xfId="36285"/>
    <cellStyle name="Обычный 7 8 5 2 2 3 5" xfId="36286"/>
    <cellStyle name="Обычный 7 8 5 2 2 3 6" xfId="36287"/>
    <cellStyle name="Обычный 7 8 5 2 2 4" xfId="36288"/>
    <cellStyle name="Обычный 7 8 5 2 2 4 2" xfId="36289"/>
    <cellStyle name="Обычный 7 8 5 2 2 4 3" xfId="36290"/>
    <cellStyle name="Обычный 7 8 5 2 2 5" xfId="36291"/>
    <cellStyle name="Обычный 7 8 5 2 2 5 2" xfId="36292"/>
    <cellStyle name="Обычный 7 8 5 2 2 5 3" xfId="36293"/>
    <cellStyle name="Обычный 7 8 5 2 2 6" xfId="36294"/>
    <cellStyle name="Обычный 7 8 5 2 2 6 2" xfId="36295"/>
    <cellStyle name="Обычный 7 8 5 2 2 7" xfId="36296"/>
    <cellStyle name="Обычный 7 8 5 2 2 8" xfId="36297"/>
    <cellStyle name="Обычный 7 8 5 2 3" xfId="36298"/>
    <cellStyle name="Обычный 7 8 5 2 3 2" xfId="36299"/>
    <cellStyle name="Обычный 7 8 5 2 3 2 2" xfId="36300"/>
    <cellStyle name="Обычный 7 8 5 2 3 2 2 2" xfId="36301"/>
    <cellStyle name="Обычный 7 8 5 2 3 2 2 3" xfId="36302"/>
    <cellStyle name="Обычный 7 8 5 2 3 2 3" xfId="36303"/>
    <cellStyle name="Обычный 7 8 5 2 3 2 3 2" xfId="36304"/>
    <cellStyle name="Обычный 7 8 5 2 3 2 3 3" xfId="36305"/>
    <cellStyle name="Обычный 7 8 5 2 3 2 4" xfId="36306"/>
    <cellStyle name="Обычный 7 8 5 2 3 2 4 2" xfId="36307"/>
    <cellStyle name="Обычный 7 8 5 2 3 2 5" xfId="36308"/>
    <cellStyle name="Обычный 7 8 5 2 3 2 6" xfId="36309"/>
    <cellStyle name="Обычный 7 8 5 2 3 3" xfId="36310"/>
    <cellStyle name="Обычный 7 8 5 2 3 3 2" xfId="36311"/>
    <cellStyle name="Обычный 7 8 5 2 3 3 3" xfId="36312"/>
    <cellStyle name="Обычный 7 8 5 2 3 4" xfId="36313"/>
    <cellStyle name="Обычный 7 8 5 2 3 4 2" xfId="36314"/>
    <cellStyle name="Обычный 7 8 5 2 3 4 3" xfId="36315"/>
    <cellStyle name="Обычный 7 8 5 2 3 5" xfId="36316"/>
    <cellStyle name="Обычный 7 8 5 2 3 5 2" xfId="36317"/>
    <cellStyle name="Обычный 7 8 5 2 3 6" xfId="36318"/>
    <cellStyle name="Обычный 7 8 5 2 3 7" xfId="36319"/>
    <cellStyle name="Обычный 7 8 5 2 4" xfId="36320"/>
    <cellStyle name="Обычный 7 8 5 2 4 2" xfId="36321"/>
    <cellStyle name="Обычный 7 8 5 2 4 2 2" xfId="36322"/>
    <cellStyle name="Обычный 7 8 5 2 4 2 3" xfId="36323"/>
    <cellStyle name="Обычный 7 8 5 2 4 3" xfId="36324"/>
    <cellStyle name="Обычный 7 8 5 2 4 3 2" xfId="36325"/>
    <cellStyle name="Обычный 7 8 5 2 4 3 3" xfId="36326"/>
    <cellStyle name="Обычный 7 8 5 2 4 4" xfId="36327"/>
    <cellStyle name="Обычный 7 8 5 2 4 4 2" xfId="36328"/>
    <cellStyle name="Обычный 7 8 5 2 4 5" xfId="36329"/>
    <cellStyle name="Обычный 7 8 5 2 4 6" xfId="36330"/>
    <cellStyle name="Обычный 7 8 5 2 5" xfId="36331"/>
    <cellStyle name="Обычный 7 8 5 2 5 2" xfId="36332"/>
    <cellStyle name="Обычный 7 8 5 2 5 3" xfId="36333"/>
    <cellStyle name="Обычный 7 8 5 2 6" xfId="36334"/>
    <cellStyle name="Обычный 7 8 5 2 6 2" xfId="36335"/>
    <cellStyle name="Обычный 7 8 5 2 6 3" xfId="36336"/>
    <cellStyle name="Обычный 7 8 5 2 7" xfId="36337"/>
    <cellStyle name="Обычный 7 8 5 2 7 2" xfId="36338"/>
    <cellStyle name="Обычный 7 8 5 2 8" xfId="36339"/>
    <cellStyle name="Обычный 7 8 5 2 9" xfId="36340"/>
    <cellStyle name="Обычный 7 8 5 3" xfId="36341"/>
    <cellStyle name="Обычный 7 8 5 3 2" xfId="36342"/>
    <cellStyle name="Обычный 7 8 5 3 2 2" xfId="36343"/>
    <cellStyle name="Обычный 7 8 5 3 2 2 2" xfId="36344"/>
    <cellStyle name="Обычный 7 8 5 3 2 2 2 2" xfId="36345"/>
    <cellStyle name="Обычный 7 8 5 3 2 2 2 3" xfId="36346"/>
    <cellStyle name="Обычный 7 8 5 3 2 2 3" xfId="36347"/>
    <cellStyle name="Обычный 7 8 5 3 2 2 3 2" xfId="36348"/>
    <cellStyle name="Обычный 7 8 5 3 2 2 3 3" xfId="36349"/>
    <cellStyle name="Обычный 7 8 5 3 2 2 4" xfId="36350"/>
    <cellStyle name="Обычный 7 8 5 3 2 2 4 2" xfId="36351"/>
    <cellStyle name="Обычный 7 8 5 3 2 2 5" xfId="36352"/>
    <cellStyle name="Обычный 7 8 5 3 2 2 6" xfId="36353"/>
    <cellStyle name="Обычный 7 8 5 3 2 3" xfId="36354"/>
    <cellStyle name="Обычный 7 8 5 3 2 3 2" xfId="36355"/>
    <cellStyle name="Обычный 7 8 5 3 2 3 3" xfId="36356"/>
    <cellStyle name="Обычный 7 8 5 3 2 4" xfId="36357"/>
    <cellStyle name="Обычный 7 8 5 3 2 4 2" xfId="36358"/>
    <cellStyle name="Обычный 7 8 5 3 2 4 3" xfId="36359"/>
    <cellStyle name="Обычный 7 8 5 3 2 5" xfId="36360"/>
    <cellStyle name="Обычный 7 8 5 3 2 5 2" xfId="36361"/>
    <cellStyle name="Обычный 7 8 5 3 2 6" xfId="36362"/>
    <cellStyle name="Обычный 7 8 5 3 2 7" xfId="36363"/>
    <cellStyle name="Обычный 7 8 5 3 3" xfId="36364"/>
    <cellStyle name="Обычный 7 8 5 3 3 2" xfId="36365"/>
    <cellStyle name="Обычный 7 8 5 3 3 2 2" xfId="36366"/>
    <cellStyle name="Обычный 7 8 5 3 3 2 3" xfId="36367"/>
    <cellStyle name="Обычный 7 8 5 3 3 3" xfId="36368"/>
    <cellStyle name="Обычный 7 8 5 3 3 3 2" xfId="36369"/>
    <cellStyle name="Обычный 7 8 5 3 3 3 3" xfId="36370"/>
    <cellStyle name="Обычный 7 8 5 3 3 4" xfId="36371"/>
    <cellStyle name="Обычный 7 8 5 3 3 4 2" xfId="36372"/>
    <cellStyle name="Обычный 7 8 5 3 3 5" xfId="36373"/>
    <cellStyle name="Обычный 7 8 5 3 3 6" xfId="36374"/>
    <cellStyle name="Обычный 7 8 5 3 4" xfId="36375"/>
    <cellStyle name="Обычный 7 8 5 3 4 2" xfId="36376"/>
    <cellStyle name="Обычный 7 8 5 3 4 3" xfId="36377"/>
    <cellStyle name="Обычный 7 8 5 3 5" xfId="36378"/>
    <cellStyle name="Обычный 7 8 5 3 5 2" xfId="36379"/>
    <cellStyle name="Обычный 7 8 5 3 5 3" xfId="36380"/>
    <cellStyle name="Обычный 7 8 5 3 6" xfId="36381"/>
    <cellStyle name="Обычный 7 8 5 3 6 2" xfId="36382"/>
    <cellStyle name="Обычный 7 8 5 3 7" xfId="36383"/>
    <cellStyle name="Обычный 7 8 5 3 8" xfId="36384"/>
    <cellStyle name="Обычный 7 8 5 4" xfId="36385"/>
    <cellStyle name="Обычный 7 8 5 4 2" xfId="36386"/>
    <cellStyle name="Обычный 7 8 5 4 2 2" xfId="36387"/>
    <cellStyle name="Обычный 7 8 5 4 2 2 2" xfId="36388"/>
    <cellStyle name="Обычный 7 8 5 4 2 2 3" xfId="36389"/>
    <cellStyle name="Обычный 7 8 5 4 2 3" xfId="36390"/>
    <cellStyle name="Обычный 7 8 5 4 2 3 2" xfId="36391"/>
    <cellStyle name="Обычный 7 8 5 4 2 3 3" xfId="36392"/>
    <cellStyle name="Обычный 7 8 5 4 2 4" xfId="36393"/>
    <cellStyle name="Обычный 7 8 5 4 2 4 2" xfId="36394"/>
    <cellStyle name="Обычный 7 8 5 4 2 5" xfId="36395"/>
    <cellStyle name="Обычный 7 8 5 4 2 6" xfId="36396"/>
    <cellStyle name="Обычный 7 8 5 4 3" xfId="36397"/>
    <cellStyle name="Обычный 7 8 5 4 3 2" xfId="36398"/>
    <cellStyle name="Обычный 7 8 5 4 3 3" xfId="36399"/>
    <cellStyle name="Обычный 7 8 5 4 4" xfId="36400"/>
    <cellStyle name="Обычный 7 8 5 4 4 2" xfId="36401"/>
    <cellStyle name="Обычный 7 8 5 4 4 3" xfId="36402"/>
    <cellStyle name="Обычный 7 8 5 4 5" xfId="36403"/>
    <cellStyle name="Обычный 7 8 5 4 5 2" xfId="36404"/>
    <cellStyle name="Обычный 7 8 5 4 6" xfId="36405"/>
    <cellStyle name="Обычный 7 8 5 4 7" xfId="36406"/>
    <cellStyle name="Обычный 7 8 5 5" xfId="36407"/>
    <cellStyle name="Обычный 7 8 5 5 2" xfId="36408"/>
    <cellStyle name="Обычный 7 8 5 5 2 2" xfId="36409"/>
    <cellStyle name="Обычный 7 8 5 5 2 3" xfId="36410"/>
    <cellStyle name="Обычный 7 8 5 5 3" xfId="36411"/>
    <cellStyle name="Обычный 7 8 5 5 3 2" xfId="36412"/>
    <cellStyle name="Обычный 7 8 5 5 3 3" xfId="36413"/>
    <cellStyle name="Обычный 7 8 5 5 4" xfId="36414"/>
    <cellStyle name="Обычный 7 8 5 5 4 2" xfId="36415"/>
    <cellStyle name="Обычный 7 8 5 5 5" xfId="36416"/>
    <cellStyle name="Обычный 7 8 5 5 6" xfId="36417"/>
    <cellStyle name="Обычный 7 8 5 6" xfId="36418"/>
    <cellStyle name="Обычный 7 8 5 6 2" xfId="36419"/>
    <cellStyle name="Обычный 7 8 5 6 3" xfId="36420"/>
    <cellStyle name="Обычный 7 8 5 7" xfId="36421"/>
    <cellStyle name="Обычный 7 8 5 7 2" xfId="36422"/>
    <cellStyle name="Обычный 7 8 5 7 3" xfId="36423"/>
    <cellStyle name="Обычный 7 8 5 8" xfId="36424"/>
    <cellStyle name="Обычный 7 8 5 8 2" xfId="36425"/>
    <cellStyle name="Обычный 7 8 5 9" xfId="36426"/>
    <cellStyle name="Обычный 7 8 6" xfId="36427"/>
    <cellStyle name="Обычный 7 8 6 2" xfId="36428"/>
    <cellStyle name="Обычный 7 8 6 2 2" xfId="36429"/>
    <cellStyle name="Обычный 7 8 6 2 2 2" xfId="36430"/>
    <cellStyle name="Обычный 7 8 6 2 2 2 2" xfId="36431"/>
    <cellStyle name="Обычный 7 8 6 2 2 2 2 2" xfId="36432"/>
    <cellStyle name="Обычный 7 8 6 2 2 2 2 3" xfId="36433"/>
    <cellStyle name="Обычный 7 8 6 2 2 2 3" xfId="36434"/>
    <cellStyle name="Обычный 7 8 6 2 2 2 3 2" xfId="36435"/>
    <cellStyle name="Обычный 7 8 6 2 2 2 3 3" xfId="36436"/>
    <cellStyle name="Обычный 7 8 6 2 2 2 4" xfId="36437"/>
    <cellStyle name="Обычный 7 8 6 2 2 2 4 2" xfId="36438"/>
    <cellStyle name="Обычный 7 8 6 2 2 2 5" xfId="36439"/>
    <cellStyle name="Обычный 7 8 6 2 2 2 6" xfId="36440"/>
    <cellStyle name="Обычный 7 8 6 2 2 3" xfId="36441"/>
    <cellStyle name="Обычный 7 8 6 2 2 3 2" xfId="36442"/>
    <cellStyle name="Обычный 7 8 6 2 2 3 3" xfId="36443"/>
    <cellStyle name="Обычный 7 8 6 2 2 4" xfId="36444"/>
    <cellStyle name="Обычный 7 8 6 2 2 4 2" xfId="36445"/>
    <cellStyle name="Обычный 7 8 6 2 2 4 3" xfId="36446"/>
    <cellStyle name="Обычный 7 8 6 2 2 5" xfId="36447"/>
    <cellStyle name="Обычный 7 8 6 2 2 5 2" xfId="36448"/>
    <cellStyle name="Обычный 7 8 6 2 2 6" xfId="36449"/>
    <cellStyle name="Обычный 7 8 6 2 2 7" xfId="36450"/>
    <cellStyle name="Обычный 7 8 6 2 3" xfId="36451"/>
    <cellStyle name="Обычный 7 8 6 2 3 2" xfId="36452"/>
    <cellStyle name="Обычный 7 8 6 2 3 2 2" xfId="36453"/>
    <cellStyle name="Обычный 7 8 6 2 3 2 3" xfId="36454"/>
    <cellStyle name="Обычный 7 8 6 2 3 3" xfId="36455"/>
    <cellStyle name="Обычный 7 8 6 2 3 3 2" xfId="36456"/>
    <cellStyle name="Обычный 7 8 6 2 3 3 3" xfId="36457"/>
    <cellStyle name="Обычный 7 8 6 2 3 4" xfId="36458"/>
    <cellStyle name="Обычный 7 8 6 2 3 4 2" xfId="36459"/>
    <cellStyle name="Обычный 7 8 6 2 3 5" xfId="36460"/>
    <cellStyle name="Обычный 7 8 6 2 3 6" xfId="36461"/>
    <cellStyle name="Обычный 7 8 6 2 4" xfId="36462"/>
    <cellStyle name="Обычный 7 8 6 2 4 2" xfId="36463"/>
    <cellStyle name="Обычный 7 8 6 2 4 3" xfId="36464"/>
    <cellStyle name="Обычный 7 8 6 2 5" xfId="36465"/>
    <cellStyle name="Обычный 7 8 6 2 5 2" xfId="36466"/>
    <cellStyle name="Обычный 7 8 6 2 5 3" xfId="36467"/>
    <cellStyle name="Обычный 7 8 6 2 6" xfId="36468"/>
    <cellStyle name="Обычный 7 8 6 2 6 2" xfId="36469"/>
    <cellStyle name="Обычный 7 8 6 2 7" xfId="36470"/>
    <cellStyle name="Обычный 7 8 6 2 8" xfId="36471"/>
    <cellStyle name="Обычный 7 8 6 3" xfId="36472"/>
    <cellStyle name="Обычный 7 8 6 3 2" xfId="36473"/>
    <cellStyle name="Обычный 7 8 6 3 2 2" xfId="36474"/>
    <cellStyle name="Обычный 7 8 6 3 2 2 2" xfId="36475"/>
    <cellStyle name="Обычный 7 8 6 3 2 2 3" xfId="36476"/>
    <cellStyle name="Обычный 7 8 6 3 2 3" xfId="36477"/>
    <cellStyle name="Обычный 7 8 6 3 2 3 2" xfId="36478"/>
    <cellStyle name="Обычный 7 8 6 3 2 3 3" xfId="36479"/>
    <cellStyle name="Обычный 7 8 6 3 2 4" xfId="36480"/>
    <cellStyle name="Обычный 7 8 6 3 2 4 2" xfId="36481"/>
    <cellStyle name="Обычный 7 8 6 3 2 5" xfId="36482"/>
    <cellStyle name="Обычный 7 8 6 3 2 6" xfId="36483"/>
    <cellStyle name="Обычный 7 8 6 3 3" xfId="36484"/>
    <cellStyle name="Обычный 7 8 6 3 3 2" xfId="36485"/>
    <cellStyle name="Обычный 7 8 6 3 3 3" xfId="36486"/>
    <cellStyle name="Обычный 7 8 6 3 4" xfId="36487"/>
    <cellStyle name="Обычный 7 8 6 3 4 2" xfId="36488"/>
    <cellStyle name="Обычный 7 8 6 3 4 3" xfId="36489"/>
    <cellStyle name="Обычный 7 8 6 3 5" xfId="36490"/>
    <cellStyle name="Обычный 7 8 6 3 5 2" xfId="36491"/>
    <cellStyle name="Обычный 7 8 6 3 6" xfId="36492"/>
    <cellStyle name="Обычный 7 8 6 3 7" xfId="36493"/>
    <cellStyle name="Обычный 7 8 6 4" xfId="36494"/>
    <cellStyle name="Обычный 7 8 6 4 2" xfId="36495"/>
    <cellStyle name="Обычный 7 8 6 4 2 2" xfId="36496"/>
    <cellStyle name="Обычный 7 8 6 4 2 3" xfId="36497"/>
    <cellStyle name="Обычный 7 8 6 4 3" xfId="36498"/>
    <cellStyle name="Обычный 7 8 6 4 3 2" xfId="36499"/>
    <cellStyle name="Обычный 7 8 6 4 3 3" xfId="36500"/>
    <cellStyle name="Обычный 7 8 6 4 4" xfId="36501"/>
    <cellStyle name="Обычный 7 8 6 4 4 2" xfId="36502"/>
    <cellStyle name="Обычный 7 8 6 4 5" xfId="36503"/>
    <cellStyle name="Обычный 7 8 6 4 6" xfId="36504"/>
    <cellStyle name="Обычный 7 8 6 5" xfId="36505"/>
    <cellStyle name="Обычный 7 8 6 5 2" xfId="36506"/>
    <cellStyle name="Обычный 7 8 6 5 3" xfId="36507"/>
    <cellStyle name="Обычный 7 8 6 6" xfId="36508"/>
    <cellStyle name="Обычный 7 8 6 6 2" xfId="36509"/>
    <cellStyle name="Обычный 7 8 6 6 3" xfId="36510"/>
    <cellStyle name="Обычный 7 8 6 7" xfId="36511"/>
    <cellStyle name="Обычный 7 8 6 7 2" xfId="36512"/>
    <cellStyle name="Обычный 7 8 6 8" xfId="36513"/>
    <cellStyle name="Обычный 7 8 6 9" xfId="36514"/>
    <cellStyle name="Обычный 7 8 7" xfId="36515"/>
    <cellStyle name="Обычный 7 8 7 2" xfId="36516"/>
    <cellStyle name="Обычный 7 8 7 2 2" xfId="36517"/>
    <cellStyle name="Обычный 7 8 7 2 2 2" xfId="36518"/>
    <cellStyle name="Обычный 7 8 7 2 2 2 2" xfId="36519"/>
    <cellStyle name="Обычный 7 8 7 2 2 2 3" xfId="36520"/>
    <cellStyle name="Обычный 7 8 7 2 2 3" xfId="36521"/>
    <cellStyle name="Обычный 7 8 7 2 2 3 2" xfId="36522"/>
    <cellStyle name="Обычный 7 8 7 2 2 3 3" xfId="36523"/>
    <cellStyle name="Обычный 7 8 7 2 2 4" xfId="36524"/>
    <cellStyle name="Обычный 7 8 7 2 2 4 2" xfId="36525"/>
    <cellStyle name="Обычный 7 8 7 2 2 5" xfId="36526"/>
    <cellStyle name="Обычный 7 8 7 2 2 6" xfId="36527"/>
    <cellStyle name="Обычный 7 8 7 2 3" xfId="36528"/>
    <cellStyle name="Обычный 7 8 7 2 3 2" xfId="36529"/>
    <cellStyle name="Обычный 7 8 7 2 3 3" xfId="36530"/>
    <cellStyle name="Обычный 7 8 7 2 4" xfId="36531"/>
    <cellStyle name="Обычный 7 8 7 2 4 2" xfId="36532"/>
    <cellStyle name="Обычный 7 8 7 2 4 3" xfId="36533"/>
    <cellStyle name="Обычный 7 8 7 2 5" xfId="36534"/>
    <cellStyle name="Обычный 7 8 7 2 5 2" xfId="36535"/>
    <cellStyle name="Обычный 7 8 7 2 6" xfId="36536"/>
    <cellStyle name="Обычный 7 8 7 2 7" xfId="36537"/>
    <cellStyle name="Обычный 7 8 7 3" xfId="36538"/>
    <cellStyle name="Обычный 7 8 7 3 2" xfId="36539"/>
    <cellStyle name="Обычный 7 8 7 3 2 2" xfId="36540"/>
    <cellStyle name="Обычный 7 8 7 3 2 3" xfId="36541"/>
    <cellStyle name="Обычный 7 8 7 3 3" xfId="36542"/>
    <cellStyle name="Обычный 7 8 7 3 3 2" xfId="36543"/>
    <cellStyle name="Обычный 7 8 7 3 3 3" xfId="36544"/>
    <cellStyle name="Обычный 7 8 7 3 4" xfId="36545"/>
    <cellStyle name="Обычный 7 8 7 3 4 2" xfId="36546"/>
    <cellStyle name="Обычный 7 8 7 3 5" xfId="36547"/>
    <cellStyle name="Обычный 7 8 7 3 6" xfId="36548"/>
    <cellStyle name="Обычный 7 8 7 4" xfId="36549"/>
    <cellStyle name="Обычный 7 8 7 4 2" xfId="36550"/>
    <cellStyle name="Обычный 7 8 7 4 3" xfId="36551"/>
    <cellStyle name="Обычный 7 8 7 5" xfId="36552"/>
    <cellStyle name="Обычный 7 8 7 5 2" xfId="36553"/>
    <cellStyle name="Обычный 7 8 7 5 3" xfId="36554"/>
    <cellStyle name="Обычный 7 8 7 6" xfId="36555"/>
    <cellStyle name="Обычный 7 8 7 6 2" xfId="36556"/>
    <cellStyle name="Обычный 7 8 7 7" xfId="36557"/>
    <cellStyle name="Обычный 7 8 7 8" xfId="36558"/>
    <cellStyle name="Обычный 7 8 8" xfId="36559"/>
    <cellStyle name="Обычный 7 8 8 2" xfId="36560"/>
    <cellStyle name="Обычный 7 8 8 2 2" xfId="36561"/>
    <cellStyle name="Обычный 7 8 8 2 2 2" xfId="36562"/>
    <cellStyle name="Обычный 7 8 8 2 2 3" xfId="36563"/>
    <cellStyle name="Обычный 7 8 8 2 3" xfId="36564"/>
    <cellStyle name="Обычный 7 8 8 2 3 2" xfId="36565"/>
    <cellStyle name="Обычный 7 8 8 2 3 3" xfId="36566"/>
    <cellStyle name="Обычный 7 8 8 2 4" xfId="36567"/>
    <cellStyle name="Обычный 7 8 8 2 4 2" xfId="36568"/>
    <cellStyle name="Обычный 7 8 8 2 5" xfId="36569"/>
    <cellStyle name="Обычный 7 8 8 2 6" xfId="36570"/>
    <cellStyle name="Обычный 7 8 8 3" xfId="36571"/>
    <cellStyle name="Обычный 7 8 8 3 2" xfId="36572"/>
    <cellStyle name="Обычный 7 8 8 3 3" xfId="36573"/>
    <cellStyle name="Обычный 7 8 8 4" xfId="36574"/>
    <cellStyle name="Обычный 7 8 8 4 2" xfId="36575"/>
    <cellStyle name="Обычный 7 8 8 4 3" xfId="36576"/>
    <cellStyle name="Обычный 7 8 8 5" xfId="36577"/>
    <cellStyle name="Обычный 7 8 8 5 2" xfId="36578"/>
    <cellStyle name="Обычный 7 8 8 6" xfId="36579"/>
    <cellStyle name="Обычный 7 8 8 7" xfId="36580"/>
    <cellStyle name="Обычный 7 8 9" xfId="36581"/>
    <cellStyle name="Обычный 7 8 9 2" xfId="36582"/>
    <cellStyle name="Обычный 7 8 9 2 2" xfId="36583"/>
    <cellStyle name="Обычный 7 8 9 2 3" xfId="36584"/>
    <cellStyle name="Обычный 7 8 9 3" xfId="36585"/>
    <cellStyle name="Обычный 7 8 9 3 2" xfId="36586"/>
    <cellStyle name="Обычный 7 8 9 3 3" xfId="36587"/>
    <cellStyle name="Обычный 7 8 9 4" xfId="36588"/>
    <cellStyle name="Обычный 7 8 9 4 2" xfId="36589"/>
    <cellStyle name="Обычный 7 8 9 5" xfId="36590"/>
    <cellStyle name="Обычный 7 8 9 6" xfId="36591"/>
    <cellStyle name="Обычный 7 9" xfId="36592"/>
    <cellStyle name="Обычный 7 9 10" xfId="36593"/>
    <cellStyle name="Обычный 7 9 10 2" xfId="36594"/>
    <cellStyle name="Обычный 7 9 10 3" xfId="36595"/>
    <cellStyle name="Обычный 7 9 11" xfId="36596"/>
    <cellStyle name="Обычный 7 9 11 2" xfId="36597"/>
    <cellStyle name="Обычный 7 9 12" xfId="36598"/>
    <cellStyle name="Обычный 7 9 13" xfId="36599"/>
    <cellStyle name="Обычный 7 9 2" xfId="36600"/>
    <cellStyle name="Обычный 7 9 2 10" xfId="36601"/>
    <cellStyle name="Обычный 7 9 2 2" xfId="36602"/>
    <cellStyle name="Обычный 7 9 2 2 2" xfId="36603"/>
    <cellStyle name="Обычный 7 9 2 2 2 2" xfId="36604"/>
    <cellStyle name="Обычный 7 9 2 2 2 2 2" xfId="36605"/>
    <cellStyle name="Обычный 7 9 2 2 2 2 2 2" xfId="36606"/>
    <cellStyle name="Обычный 7 9 2 2 2 2 2 2 2" xfId="36607"/>
    <cellStyle name="Обычный 7 9 2 2 2 2 2 2 3" xfId="36608"/>
    <cellStyle name="Обычный 7 9 2 2 2 2 2 3" xfId="36609"/>
    <cellStyle name="Обычный 7 9 2 2 2 2 2 3 2" xfId="36610"/>
    <cellStyle name="Обычный 7 9 2 2 2 2 2 3 3" xfId="36611"/>
    <cellStyle name="Обычный 7 9 2 2 2 2 2 4" xfId="36612"/>
    <cellStyle name="Обычный 7 9 2 2 2 2 2 4 2" xfId="36613"/>
    <cellStyle name="Обычный 7 9 2 2 2 2 2 5" xfId="36614"/>
    <cellStyle name="Обычный 7 9 2 2 2 2 2 6" xfId="36615"/>
    <cellStyle name="Обычный 7 9 2 2 2 2 3" xfId="36616"/>
    <cellStyle name="Обычный 7 9 2 2 2 2 3 2" xfId="36617"/>
    <cellStyle name="Обычный 7 9 2 2 2 2 3 3" xfId="36618"/>
    <cellStyle name="Обычный 7 9 2 2 2 2 4" xfId="36619"/>
    <cellStyle name="Обычный 7 9 2 2 2 2 4 2" xfId="36620"/>
    <cellStyle name="Обычный 7 9 2 2 2 2 4 3" xfId="36621"/>
    <cellStyle name="Обычный 7 9 2 2 2 2 5" xfId="36622"/>
    <cellStyle name="Обычный 7 9 2 2 2 2 5 2" xfId="36623"/>
    <cellStyle name="Обычный 7 9 2 2 2 2 6" xfId="36624"/>
    <cellStyle name="Обычный 7 9 2 2 2 2 7" xfId="36625"/>
    <cellStyle name="Обычный 7 9 2 2 2 3" xfId="36626"/>
    <cellStyle name="Обычный 7 9 2 2 2 3 2" xfId="36627"/>
    <cellStyle name="Обычный 7 9 2 2 2 3 2 2" xfId="36628"/>
    <cellStyle name="Обычный 7 9 2 2 2 3 2 3" xfId="36629"/>
    <cellStyle name="Обычный 7 9 2 2 2 3 3" xfId="36630"/>
    <cellStyle name="Обычный 7 9 2 2 2 3 3 2" xfId="36631"/>
    <cellStyle name="Обычный 7 9 2 2 2 3 3 3" xfId="36632"/>
    <cellStyle name="Обычный 7 9 2 2 2 3 4" xfId="36633"/>
    <cellStyle name="Обычный 7 9 2 2 2 3 4 2" xfId="36634"/>
    <cellStyle name="Обычный 7 9 2 2 2 3 5" xfId="36635"/>
    <cellStyle name="Обычный 7 9 2 2 2 3 6" xfId="36636"/>
    <cellStyle name="Обычный 7 9 2 2 2 4" xfId="36637"/>
    <cellStyle name="Обычный 7 9 2 2 2 4 2" xfId="36638"/>
    <cellStyle name="Обычный 7 9 2 2 2 4 3" xfId="36639"/>
    <cellStyle name="Обычный 7 9 2 2 2 5" xfId="36640"/>
    <cellStyle name="Обычный 7 9 2 2 2 5 2" xfId="36641"/>
    <cellStyle name="Обычный 7 9 2 2 2 5 3" xfId="36642"/>
    <cellStyle name="Обычный 7 9 2 2 2 6" xfId="36643"/>
    <cellStyle name="Обычный 7 9 2 2 2 6 2" xfId="36644"/>
    <cellStyle name="Обычный 7 9 2 2 2 7" xfId="36645"/>
    <cellStyle name="Обычный 7 9 2 2 2 8" xfId="36646"/>
    <cellStyle name="Обычный 7 9 2 2 3" xfId="36647"/>
    <cellStyle name="Обычный 7 9 2 2 3 2" xfId="36648"/>
    <cellStyle name="Обычный 7 9 2 2 3 2 2" xfId="36649"/>
    <cellStyle name="Обычный 7 9 2 2 3 2 2 2" xfId="36650"/>
    <cellStyle name="Обычный 7 9 2 2 3 2 2 3" xfId="36651"/>
    <cellStyle name="Обычный 7 9 2 2 3 2 3" xfId="36652"/>
    <cellStyle name="Обычный 7 9 2 2 3 2 3 2" xfId="36653"/>
    <cellStyle name="Обычный 7 9 2 2 3 2 3 3" xfId="36654"/>
    <cellStyle name="Обычный 7 9 2 2 3 2 4" xfId="36655"/>
    <cellStyle name="Обычный 7 9 2 2 3 2 4 2" xfId="36656"/>
    <cellStyle name="Обычный 7 9 2 2 3 2 5" xfId="36657"/>
    <cellStyle name="Обычный 7 9 2 2 3 2 6" xfId="36658"/>
    <cellStyle name="Обычный 7 9 2 2 3 3" xfId="36659"/>
    <cellStyle name="Обычный 7 9 2 2 3 3 2" xfId="36660"/>
    <cellStyle name="Обычный 7 9 2 2 3 3 3" xfId="36661"/>
    <cellStyle name="Обычный 7 9 2 2 3 4" xfId="36662"/>
    <cellStyle name="Обычный 7 9 2 2 3 4 2" xfId="36663"/>
    <cellStyle name="Обычный 7 9 2 2 3 4 3" xfId="36664"/>
    <cellStyle name="Обычный 7 9 2 2 3 5" xfId="36665"/>
    <cellStyle name="Обычный 7 9 2 2 3 5 2" xfId="36666"/>
    <cellStyle name="Обычный 7 9 2 2 3 6" xfId="36667"/>
    <cellStyle name="Обычный 7 9 2 2 3 7" xfId="36668"/>
    <cellStyle name="Обычный 7 9 2 2 4" xfId="36669"/>
    <cellStyle name="Обычный 7 9 2 2 4 2" xfId="36670"/>
    <cellStyle name="Обычный 7 9 2 2 4 2 2" xfId="36671"/>
    <cellStyle name="Обычный 7 9 2 2 4 2 3" xfId="36672"/>
    <cellStyle name="Обычный 7 9 2 2 4 3" xfId="36673"/>
    <cellStyle name="Обычный 7 9 2 2 4 3 2" xfId="36674"/>
    <cellStyle name="Обычный 7 9 2 2 4 3 3" xfId="36675"/>
    <cellStyle name="Обычный 7 9 2 2 4 4" xfId="36676"/>
    <cellStyle name="Обычный 7 9 2 2 4 4 2" xfId="36677"/>
    <cellStyle name="Обычный 7 9 2 2 4 5" xfId="36678"/>
    <cellStyle name="Обычный 7 9 2 2 4 6" xfId="36679"/>
    <cellStyle name="Обычный 7 9 2 2 5" xfId="36680"/>
    <cellStyle name="Обычный 7 9 2 2 5 2" xfId="36681"/>
    <cellStyle name="Обычный 7 9 2 2 5 3" xfId="36682"/>
    <cellStyle name="Обычный 7 9 2 2 6" xfId="36683"/>
    <cellStyle name="Обычный 7 9 2 2 6 2" xfId="36684"/>
    <cellStyle name="Обычный 7 9 2 2 6 3" xfId="36685"/>
    <cellStyle name="Обычный 7 9 2 2 7" xfId="36686"/>
    <cellStyle name="Обычный 7 9 2 2 7 2" xfId="36687"/>
    <cellStyle name="Обычный 7 9 2 2 8" xfId="36688"/>
    <cellStyle name="Обычный 7 9 2 2 9" xfId="36689"/>
    <cellStyle name="Обычный 7 9 2 3" xfId="36690"/>
    <cellStyle name="Обычный 7 9 2 3 2" xfId="36691"/>
    <cellStyle name="Обычный 7 9 2 3 2 2" xfId="36692"/>
    <cellStyle name="Обычный 7 9 2 3 2 2 2" xfId="36693"/>
    <cellStyle name="Обычный 7 9 2 3 2 2 2 2" xfId="36694"/>
    <cellStyle name="Обычный 7 9 2 3 2 2 2 3" xfId="36695"/>
    <cellStyle name="Обычный 7 9 2 3 2 2 3" xfId="36696"/>
    <cellStyle name="Обычный 7 9 2 3 2 2 3 2" xfId="36697"/>
    <cellStyle name="Обычный 7 9 2 3 2 2 3 3" xfId="36698"/>
    <cellStyle name="Обычный 7 9 2 3 2 2 4" xfId="36699"/>
    <cellStyle name="Обычный 7 9 2 3 2 2 4 2" xfId="36700"/>
    <cellStyle name="Обычный 7 9 2 3 2 2 5" xfId="36701"/>
    <cellStyle name="Обычный 7 9 2 3 2 2 6" xfId="36702"/>
    <cellStyle name="Обычный 7 9 2 3 2 3" xfId="36703"/>
    <cellStyle name="Обычный 7 9 2 3 2 3 2" xfId="36704"/>
    <cellStyle name="Обычный 7 9 2 3 2 3 3" xfId="36705"/>
    <cellStyle name="Обычный 7 9 2 3 2 4" xfId="36706"/>
    <cellStyle name="Обычный 7 9 2 3 2 4 2" xfId="36707"/>
    <cellStyle name="Обычный 7 9 2 3 2 4 3" xfId="36708"/>
    <cellStyle name="Обычный 7 9 2 3 2 5" xfId="36709"/>
    <cellStyle name="Обычный 7 9 2 3 2 5 2" xfId="36710"/>
    <cellStyle name="Обычный 7 9 2 3 2 6" xfId="36711"/>
    <cellStyle name="Обычный 7 9 2 3 2 7" xfId="36712"/>
    <cellStyle name="Обычный 7 9 2 3 3" xfId="36713"/>
    <cellStyle name="Обычный 7 9 2 3 3 2" xfId="36714"/>
    <cellStyle name="Обычный 7 9 2 3 3 2 2" xfId="36715"/>
    <cellStyle name="Обычный 7 9 2 3 3 2 3" xfId="36716"/>
    <cellStyle name="Обычный 7 9 2 3 3 3" xfId="36717"/>
    <cellStyle name="Обычный 7 9 2 3 3 3 2" xfId="36718"/>
    <cellStyle name="Обычный 7 9 2 3 3 3 3" xfId="36719"/>
    <cellStyle name="Обычный 7 9 2 3 3 4" xfId="36720"/>
    <cellStyle name="Обычный 7 9 2 3 3 4 2" xfId="36721"/>
    <cellStyle name="Обычный 7 9 2 3 3 5" xfId="36722"/>
    <cellStyle name="Обычный 7 9 2 3 3 6" xfId="36723"/>
    <cellStyle name="Обычный 7 9 2 3 4" xfId="36724"/>
    <cellStyle name="Обычный 7 9 2 3 4 2" xfId="36725"/>
    <cellStyle name="Обычный 7 9 2 3 4 3" xfId="36726"/>
    <cellStyle name="Обычный 7 9 2 3 5" xfId="36727"/>
    <cellStyle name="Обычный 7 9 2 3 5 2" xfId="36728"/>
    <cellStyle name="Обычный 7 9 2 3 5 3" xfId="36729"/>
    <cellStyle name="Обычный 7 9 2 3 6" xfId="36730"/>
    <cellStyle name="Обычный 7 9 2 3 6 2" xfId="36731"/>
    <cellStyle name="Обычный 7 9 2 3 7" xfId="36732"/>
    <cellStyle name="Обычный 7 9 2 3 8" xfId="36733"/>
    <cellStyle name="Обычный 7 9 2 4" xfId="36734"/>
    <cellStyle name="Обычный 7 9 2 4 2" xfId="36735"/>
    <cellStyle name="Обычный 7 9 2 4 2 2" xfId="36736"/>
    <cellStyle name="Обычный 7 9 2 4 2 2 2" xfId="36737"/>
    <cellStyle name="Обычный 7 9 2 4 2 2 3" xfId="36738"/>
    <cellStyle name="Обычный 7 9 2 4 2 3" xfId="36739"/>
    <cellStyle name="Обычный 7 9 2 4 2 3 2" xfId="36740"/>
    <cellStyle name="Обычный 7 9 2 4 2 3 3" xfId="36741"/>
    <cellStyle name="Обычный 7 9 2 4 2 4" xfId="36742"/>
    <cellStyle name="Обычный 7 9 2 4 2 4 2" xfId="36743"/>
    <cellStyle name="Обычный 7 9 2 4 2 5" xfId="36744"/>
    <cellStyle name="Обычный 7 9 2 4 2 6" xfId="36745"/>
    <cellStyle name="Обычный 7 9 2 4 3" xfId="36746"/>
    <cellStyle name="Обычный 7 9 2 4 3 2" xfId="36747"/>
    <cellStyle name="Обычный 7 9 2 4 3 3" xfId="36748"/>
    <cellStyle name="Обычный 7 9 2 4 4" xfId="36749"/>
    <cellStyle name="Обычный 7 9 2 4 4 2" xfId="36750"/>
    <cellStyle name="Обычный 7 9 2 4 4 3" xfId="36751"/>
    <cellStyle name="Обычный 7 9 2 4 5" xfId="36752"/>
    <cellStyle name="Обычный 7 9 2 4 5 2" xfId="36753"/>
    <cellStyle name="Обычный 7 9 2 4 6" xfId="36754"/>
    <cellStyle name="Обычный 7 9 2 4 7" xfId="36755"/>
    <cellStyle name="Обычный 7 9 2 5" xfId="36756"/>
    <cellStyle name="Обычный 7 9 2 5 2" xfId="36757"/>
    <cellStyle name="Обычный 7 9 2 5 2 2" xfId="36758"/>
    <cellStyle name="Обычный 7 9 2 5 2 3" xfId="36759"/>
    <cellStyle name="Обычный 7 9 2 5 3" xfId="36760"/>
    <cellStyle name="Обычный 7 9 2 5 3 2" xfId="36761"/>
    <cellStyle name="Обычный 7 9 2 5 3 3" xfId="36762"/>
    <cellStyle name="Обычный 7 9 2 5 4" xfId="36763"/>
    <cellStyle name="Обычный 7 9 2 5 4 2" xfId="36764"/>
    <cellStyle name="Обычный 7 9 2 5 5" xfId="36765"/>
    <cellStyle name="Обычный 7 9 2 5 6" xfId="36766"/>
    <cellStyle name="Обычный 7 9 2 6" xfId="36767"/>
    <cellStyle name="Обычный 7 9 2 6 2" xfId="36768"/>
    <cellStyle name="Обычный 7 9 2 6 3" xfId="36769"/>
    <cellStyle name="Обычный 7 9 2 7" xfId="36770"/>
    <cellStyle name="Обычный 7 9 2 7 2" xfId="36771"/>
    <cellStyle name="Обычный 7 9 2 7 3" xfId="36772"/>
    <cellStyle name="Обычный 7 9 2 8" xfId="36773"/>
    <cellStyle name="Обычный 7 9 2 8 2" xfId="36774"/>
    <cellStyle name="Обычный 7 9 2 9" xfId="36775"/>
    <cellStyle name="Обычный 7 9 3" xfId="36776"/>
    <cellStyle name="Обычный 7 9 3 10" xfId="36777"/>
    <cellStyle name="Обычный 7 9 3 2" xfId="36778"/>
    <cellStyle name="Обычный 7 9 3 2 2" xfId="36779"/>
    <cellStyle name="Обычный 7 9 3 2 2 2" xfId="36780"/>
    <cellStyle name="Обычный 7 9 3 2 2 2 2" xfId="36781"/>
    <cellStyle name="Обычный 7 9 3 2 2 2 2 2" xfId="36782"/>
    <cellStyle name="Обычный 7 9 3 2 2 2 2 2 2" xfId="36783"/>
    <cellStyle name="Обычный 7 9 3 2 2 2 2 2 3" xfId="36784"/>
    <cellStyle name="Обычный 7 9 3 2 2 2 2 3" xfId="36785"/>
    <cellStyle name="Обычный 7 9 3 2 2 2 2 3 2" xfId="36786"/>
    <cellStyle name="Обычный 7 9 3 2 2 2 2 3 3" xfId="36787"/>
    <cellStyle name="Обычный 7 9 3 2 2 2 2 4" xfId="36788"/>
    <cellStyle name="Обычный 7 9 3 2 2 2 2 4 2" xfId="36789"/>
    <cellStyle name="Обычный 7 9 3 2 2 2 2 5" xfId="36790"/>
    <cellStyle name="Обычный 7 9 3 2 2 2 2 6" xfId="36791"/>
    <cellStyle name="Обычный 7 9 3 2 2 2 3" xfId="36792"/>
    <cellStyle name="Обычный 7 9 3 2 2 2 3 2" xfId="36793"/>
    <cellStyle name="Обычный 7 9 3 2 2 2 3 3" xfId="36794"/>
    <cellStyle name="Обычный 7 9 3 2 2 2 4" xfId="36795"/>
    <cellStyle name="Обычный 7 9 3 2 2 2 4 2" xfId="36796"/>
    <cellStyle name="Обычный 7 9 3 2 2 2 4 3" xfId="36797"/>
    <cellStyle name="Обычный 7 9 3 2 2 2 5" xfId="36798"/>
    <cellStyle name="Обычный 7 9 3 2 2 2 5 2" xfId="36799"/>
    <cellStyle name="Обычный 7 9 3 2 2 2 6" xfId="36800"/>
    <cellStyle name="Обычный 7 9 3 2 2 2 7" xfId="36801"/>
    <cellStyle name="Обычный 7 9 3 2 2 3" xfId="36802"/>
    <cellStyle name="Обычный 7 9 3 2 2 3 2" xfId="36803"/>
    <cellStyle name="Обычный 7 9 3 2 2 3 2 2" xfId="36804"/>
    <cellStyle name="Обычный 7 9 3 2 2 3 2 3" xfId="36805"/>
    <cellStyle name="Обычный 7 9 3 2 2 3 3" xfId="36806"/>
    <cellStyle name="Обычный 7 9 3 2 2 3 3 2" xfId="36807"/>
    <cellStyle name="Обычный 7 9 3 2 2 3 3 3" xfId="36808"/>
    <cellStyle name="Обычный 7 9 3 2 2 3 4" xfId="36809"/>
    <cellStyle name="Обычный 7 9 3 2 2 3 4 2" xfId="36810"/>
    <cellStyle name="Обычный 7 9 3 2 2 3 5" xfId="36811"/>
    <cellStyle name="Обычный 7 9 3 2 2 3 6" xfId="36812"/>
    <cellStyle name="Обычный 7 9 3 2 2 4" xfId="36813"/>
    <cellStyle name="Обычный 7 9 3 2 2 4 2" xfId="36814"/>
    <cellStyle name="Обычный 7 9 3 2 2 4 3" xfId="36815"/>
    <cellStyle name="Обычный 7 9 3 2 2 5" xfId="36816"/>
    <cellStyle name="Обычный 7 9 3 2 2 5 2" xfId="36817"/>
    <cellStyle name="Обычный 7 9 3 2 2 5 3" xfId="36818"/>
    <cellStyle name="Обычный 7 9 3 2 2 6" xfId="36819"/>
    <cellStyle name="Обычный 7 9 3 2 2 6 2" xfId="36820"/>
    <cellStyle name="Обычный 7 9 3 2 2 7" xfId="36821"/>
    <cellStyle name="Обычный 7 9 3 2 2 8" xfId="36822"/>
    <cellStyle name="Обычный 7 9 3 2 3" xfId="36823"/>
    <cellStyle name="Обычный 7 9 3 2 3 2" xfId="36824"/>
    <cellStyle name="Обычный 7 9 3 2 3 2 2" xfId="36825"/>
    <cellStyle name="Обычный 7 9 3 2 3 2 2 2" xfId="36826"/>
    <cellStyle name="Обычный 7 9 3 2 3 2 2 3" xfId="36827"/>
    <cellStyle name="Обычный 7 9 3 2 3 2 3" xfId="36828"/>
    <cellStyle name="Обычный 7 9 3 2 3 2 3 2" xfId="36829"/>
    <cellStyle name="Обычный 7 9 3 2 3 2 3 3" xfId="36830"/>
    <cellStyle name="Обычный 7 9 3 2 3 2 4" xfId="36831"/>
    <cellStyle name="Обычный 7 9 3 2 3 2 4 2" xfId="36832"/>
    <cellStyle name="Обычный 7 9 3 2 3 2 5" xfId="36833"/>
    <cellStyle name="Обычный 7 9 3 2 3 2 6" xfId="36834"/>
    <cellStyle name="Обычный 7 9 3 2 3 3" xfId="36835"/>
    <cellStyle name="Обычный 7 9 3 2 3 3 2" xfId="36836"/>
    <cellStyle name="Обычный 7 9 3 2 3 3 3" xfId="36837"/>
    <cellStyle name="Обычный 7 9 3 2 3 4" xfId="36838"/>
    <cellStyle name="Обычный 7 9 3 2 3 4 2" xfId="36839"/>
    <cellStyle name="Обычный 7 9 3 2 3 4 3" xfId="36840"/>
    <cellStyle name="Обычный 7 9 3 2 3 5" xfId="36841"/>
    <cellStyle name="Обычный 7 9 3 2 3 5 2" xfId="36842"/>
    <cellStyle name="Обычный 7 9 3 2 3 6" xfId="36843"/>
    <cellStyle name="Обычный 7 9 3 2 3 7" xfId="36844"/>
    <cellStyle name="Обычный 7 9 3 2 4" xfId="36845"/>
    <cellStyle name="Обычный 7 9 3 2 4 2" xfId="36846"/>
    <cellStyle name="Обычный 7 9 3 2 4 2 2" xfId="36847"/>
    <cellStyle name="Обычный 7 9 3 2 4 2 3" xfId="36848"/>
    <cellStyle name="Обычный 7 9 3 2 4 3" xfId="36849"/>
    <cellStyle name="Обычный 7 9 3 2 4 3 2" xfId="36850"/>
    <cellStyle name="Обычный 7 9 3 2 4 3 3" xfId="36851"/>
    <cellStyle name="Обычный 7 9 3 2 4 4" xfId="36852"/>
    <cellStyle name="Обычный 7 9 3 2 4 4 2" xfId="36853"/>
    <cellStyle name="Обычный 7 9 3 2 4 5" xfId="36854"/>
    <cellStyle name="Обычный 7 9 3 2 4 6" xfId="36855"/>
    <cellStyle name="Обычный 7 9 3 2 5" xfId="36856"/>
    <cellStyle name="Обычный 7 9 3 2 5 2" xfId="36857"/>
    <cellStyle name="Обычный 7 9 3 2 5 3" xfId="36858"/>
    <cellStyle name="Обычный 7 9 3 2 6" xfId="36859"/>
    <cellStyle name="Обычный 7 9 3 2 6 2" xfId="36860"/>
    <cellStyle name="Обычный 7 9 3 2 6 3" xfId="36861"/>
    <cellStyle name="Обычный 7 9 3 2 7" xfId="36862"/>
    <cellStyle name="Обычный 7 9 3 2 7 2" xfId="36863"/>
    <cellStyle name="Обычный 7 9 3 2 8" xfId="36864"/>
    <cellStyle name="Обычный 7 9 3 2 9" xfId="36865"/>
    <cellStyle name="Обычный 7 9 3 3" xfId="36866"/>
    <cellStyle name="Обычный 7 9 3 3 2" xfId="36867"/>
    <cellStyle name="Обычный 7 9 3 3 2 2" xfId="36868"/>
    <cellStyle name="Обычный 7 9 3 3 2 2 2" xfId="36869"/>
    <cellStyle name="Обычный 7 9 3 3 2 2 2 2" xfId="36870"/>
    <cellStyle name="Обычный 7 9 3 3 2 2 2 3" xfId="36871"/>
    <cellStyle name="Обычный 7 9 3 3 2 2 3" xfId="36872"/>
    <cellStyle name="Обычный 7 9 3 3 2 2 3 2" xfId="36873"/>
    <cellStyle name="Обычный 7 9 3 3 2 2 3 3" xfId="36874"/>
    <cellStyle name="Обычный 7 9 3 3 2 2 4" xfId="36875"/>
    <cellStyle name="Обычный 7 9 3 3 2 2 4 2" xfId="36876"/>
    <cellStyle name="Обычный 7 9 3 3 2 2 5" xfId="36877"/>
    <cellStyle name="Обычный 7 9 3 3 2 2 6" xfId="36878"/>
    <cellStyle name="Обычный 7 9 3 3 2 3" xfId="36879"/>
    <cellStyle name="Обычный 7 9 3 3 2 3 2" xfId="36880"/>
    <cellStyle name="Обычный 7 9 3 3 2 3 3" xfId="36881"/>
    <cellStyle name="Обычный 7 9 3 3 2 4" xfId="36882"/>
    <cellStyle name="Обычный 7 9 3 3 2 4 2" xfId="36883"/>
    <cellStyle name="Обычный 7 9 3 3 2 4 3" xfId="36884"/>
    <cellStyle name="Обычный 7 9 3 3 2 5" xfId="36885"/>
    <cellStyle name="Обычный 7 9 3 3 2 5 2" xfId="36886"/>
    <cellStyle name="Обычный 7 9 3 3 2 6" xfId="36887"/>
    <cellStyle name="Обычный 7 9 3 3 2 7" xfId="36888"/>
    <cellStyle name="Обычный 7 9 3 3 3" xfId="36889"/>
    <cellStyle name="Обычный 7 9 3 3 3 2" xfId="36890"/>
    <cellStyle name="Обычный 7 9 3 3 3 2 2" xfId="36891"/>
    <cellStyle name="Обычный 7 9 3 3 3 2 3" xfId="36892"/>
    <cellStyle name="Обычный 7 9 3 3 3 3" xfId="36893"/>
    <cellStyle name="Обычный 7 9 3 3 3 3 2" xfId="36894"/>
    <cellStyle name="Обычный 7 9 3 3 3 3 3" xfId="36895"/>
    <cellStyle name="Обычный 7 9 3 3 3 4" xfId="36896"/>
    <cellStyle name="Обычный 7 9 3 3 3 4 2" xfId="36897"/>
    <cellStyle name="Обычный 7 9 3 3 3 5" xfId="36898"/>
    <cellStyle name="Обычный 7 9 3 3 3 6" xfId="36899"/>
    <cellStyle name="Обычный 7 9 3 3 4" xfId="36900"/>
    <cellStyle name="Обычный 7 9 3 3 4 2" xfId="36901"/>
    <cellStyle name="Обычный 7 9 3 3 4 3" xfId="36902"/>
    <cellStyle name="Обычный 7 9 3 3 5" xfId="36903"/>
    <cellStyle name="Обычный 7 9 3 3 5 2" xfId="36904"/>
    <cellStyle name="Обычный 7 9 3 3 5 3" xfId="36905"/>
    <cellStyle name="Обычный 7 9 3 3 6" xfId="36906"/>
    <cellStyle name="Обычный 7 9 3 3 6 2" xfId="36907"/>
    <cellStyle name="Обычный 7 9 3 3 7" xfId="36908"/>
    <cellStyle name="Обычный 7 9 3 3 8" xfId="36909"/>
    <cellStyle name="Обычный 7 9 3 4" xfId="36910"/>
    <cellStyle name="Обычный 7 9 3 4 2" xfId="36911"/>
    <cellStyle name="Обычный 7 9 3 4 2 2" xfId="36912"/>
    <cellStyle name="Обычный 7 9 3 4 2 2 2" xfId="36913"/>
    <cellStyle name="Обычный 7 9 3 4 2 2 3" xfId="36914"/>
    <cellStyle name="Обычный 7 9 3 4 2 3" xfId="36915"/>
    <cellStyle name="Обычный 7 9 3 4 2 3 2" xfId="36916"/>
    <cellStyle name="Обычный 7 9 3 4 2 3 3" xfId="36917"/>
    <cellStyle name="Обычный 7 9 3 4 2 4" xfId="36918"/>
    <cellStyle name="Обычный 7 9 3 4 2 4 2" xfId="36919"/>
    <cellStyle name="Обычный 7 9 3 4 2 5" xfId="36920"/>
    <cellStyle name="Обычный 7 9 3 4 2 6" xfId="36921"/>
    <cellStyle name="Обычный 7 9 3 4 3" xfId="36922"/>
    <cellStyle name="Обычный 7 9 3 4 3 2" xfId="36923"/>
    <cellStyle name="Обычный 7 9 3 4 3 3" xfId="36924"/>
    <cellStyle name="Обычный 7 9 3 4 4" xfId="36925"/>
    <cellStyle name="Обычный 7 9 3 4 4 2" xfId="36926"/>
    <cellStyle name="Обычный 7 9 3 4 4 3" xfId="36927"/>
    <cellStyle name="Обычный 7 9 3 4 5" xfId="36928"/>
    <cellStyle name="Обычный 7 9 3 4 5 2" xfId="36929"/>
    <cellStyle name="Обычный 7 9 3 4 6" xfId="36930"/>
    <cellStyle name="Обычный 7 9 3 4 7" xfId="36931"/>
    <cellStyle name="Обычный 7 9 3 5" xfId="36932"/>
    <cellStyle name="Обычный 7 9 3 5 2" xfId="36933"/>
    <cellStyle name="Обычный 7 9 3 5 2 2" xfId="36934"/>
    <cellStyle name="Обычный 7 9 3 5 2 3" xfId="36935"/>
    <cellStyle name="Обычный 7 9 3 5 3" xfId="36936"/>
    <cellStyle name="Обычный 7 9 3 5 3 2" xfId="36937"/>
    <cellStyle name="Обычный 7 9 3 5 3 3" xfId="36938"/>
    <cellStyle name="Обычный 7 9 3 5 4" xfId="36939"/>
    <cellStyle name="Обычный 7 9 3 5 4 2" xfId="36940"/>
    <cellStyle name="Обычный 7 9 3 5 5" xfId="36941"/>
    <cellStyle name="Обычный 7 9 3 5 6" xfId="36942"/>
    <cellStyle name="Обычный 7 9 3 6" xfId="36943"/>
    <cellStyle name="Обычный 7 9 3 6 2" xfId="36944"/>
    <cellStyle name="Обычный 7 9 3 6 3" xfId="36945"/>
    <cellStyle name="Обычный 7 9 3 7" xfId="36946"/>
    <cellStyle name="Обычный 7 9 3 7 2" xfId="36947"/>
    <cellStyle name="Обычный 7 9 3 7 3" xfId="36948"/>
    <cellStyle name="Обычный 7 9 3 8" xfId="36949"/>
    <cellStyle name="Обычный 7 9 3 8 2" xfId="36950"/>
    <cellStyle name="Обычный 7 9 3 9" xfId="36951"/>
    <cellStyle name="Обычный 7 9 4" xfId="36952"/>
    <cellStyle name="Обычный 7 9 4 10" xfId="36953"/>
    <cellStyle name="Обычный 7 9 4 2" xfId="36954"/>
    <cellStyle name="Обычный 7 9 4 2 2" xfId="36955"/>
    <cellStyle name="Обычный 7 9 4 2 2 2" xfId="36956"/>
    <cellStyle name="Обычный 7 9 4 2 2 2 2" xfId="36957"/>
    <cellStyle name="Обычный 7 9 4 2 2 2 2 2" xfId="36958"/>
    <cellStyle name="Обычный 7 9 4 2 2 2 2 2 2" xfId="36959"/>
    <cellStyle name="Обычный 7 9 4 2 2 2 2 2 3" xfId="36960"/>
    <cellStyle name="Обычный 7 9 4 2 2 2 2 3" xfId="36961"/>
    <cellStyle name="Обычный 7 9 4 2 2 2 2 3 2" xfId="36962"/>
    <cellStyle name="Обычный 7 9 4 2 2 2 2 3 3" xfId="36963"/>
    <cellStyle name="Обычный 7 9 4 2 2 2 2 4" xfId="36964"/>
    <cellStyle name="Обычный 7 9 4 2 2 2 2 4 2" xfId="36965"/>
    <cellStyle name="Обычный 7 9 4 2 2 2 2 5" xfId="36966"/>
    <cellStyle name="Обычный 7 9 4 2 2 2 2 6" xfId="36967"/>
    <cellStyle name="Обычный 7 9 4 2 2 2 3" xfId="36968"/>
    <cellStyle name="Обычный 7 9 4 2 2 2 3 2" xfId="36969"/>
    <cellStyle name="Обычный 7 9 4 2 2 2 3 3" xfId="36970"/>
    <cellStyle name="Обычный 7 9 4 2 2 2 4" xfId="36971"/>
    <cellStyle name="Обычный 7 9 4 2 2 2 4 2" xfId="36972"/>
    <cellStyle name="Обычный 7 9 4 2 2 2 4 3" xfId="36973"/>
    <cellStyle name="Обычный 7 9 4 2 2 2 5" xfId="36974"/>
    <cellStyle name="Обычный 7 9 4 2 2 2 5 2" xfId="36975"/>
    <cellStyle name="Обычный 7 9 4 2 2 2 6" xfId="36976"/>
    <cellStyle name="Обычный 7 9 4 2 2 2 7" xfId="36977"/>
    <cellStyle name="Обычный 7 9 4 2 2 3" xfId="36978"/>
    <cellStyle name="Обычный 7 9 4 2 2 3 2" xfId="36979"/>
    <cellStyle name="Обычный 7 9 4 2 2 3 2 2" xfId="36980"/>
    <cellStyle name="Обычный 7 9 4 2 2 3 2 3" xfId="36981"/>
    <cellStyle name="Обычный 7 9 4 2 2 3 3" xfId="36982"/>
    <cellStyle name="Обычный 7 9 4 2 2 3 3 2" xfId="36983"/>
    <cellStyle name="Обычный 7 9 4 2 2 3 3 3" xfId="36984"/>
    <cellStyle name="Обычный 7 9 4 2 2 3 4" xfId="36985"/>
    <cellStyle name="Обычный 7 9 4 2 2 3 4 2" xfId="36986"/>
    <cellStyle name="Обычный 7 9 4 2 2 3 5" xfId="36987"/>
    <cellStyle name="Обычный 7 9 4 2 2 3 6" xfId="36988"/>
    <cellStyle name="Обычный 7 9 4 2 2 4" xfId="36989"/>
    <cellStyle name="Обычный 7 9 4 2 2 4 2" xfId="36990"/>
    <cellStyle name="Обычный 7 9 4 2 2 4 3" xfId="36991"/>
    <cellStyle name="Обычный 7 9 4 2 2 5" xfId="36992"/>
    <cellStyle name="Обычный 7 9 4 2 2 5 2" xfId="36993"/>
    <cellStyle name="Обычный 7 9 4 2 2 5 3" xfId="36994"/>
    <cellStyle name="Обычный 7 9 4 2 2 6" xfId="36995"/>
    <cellStyle name="Обычный 7 9 4 2 2 6 2" xfId="36996"/>
    <cellStyle name="Обычный 7 9 4 2 2 7" xfId="36997"/>
    <cellStyle name="Обычный 7 9 4 2 2 8" xfId="36998"/>
    <cellStyle name="Обычный 7 9 4 2 3" xfId="36999"/>
    <cellStyle name="Обычный 7 9 4 2 3 2" xfId="37000"/>
    <cellStyle name="Обычный 7 9 4 2 3 2 2" xfId="37001"/>
    <cellStyle name="Обычный 7 9 4 2 3 2 2 2" xfId="37002"/>
    <cellStyle name="Обычный 7 9 4 2 3 2 2 3" xfId="37003"/>
    <cellStyle name="Обычный 7 9 4 2 3 2 3" xfId="37004"/>
    <cellStyle name="Обычный 7 9 4 2 3 2 3 2" xfId="37005"/>
    <cellStyle name="Обычный 7 9 4 2 3 2 3 3" xfId="37006"/>
    <cellStyle name="Обычный 7 9 4 2 3 2 4" xfId="37007"/>
    <cellStyle name="Обычный 7 9 4 2 3 2 4 2" xfId="37008"/>
    <cellStyle name="Обычный 7 9 4 2 3 2 5" xfId="37009"/>
    <cellStyle name="Обычный 7 9 4 2 3 2 6" xfId="37010"/>
    <cellStyle name="Обычный 7 9 4 2 3 3" xfId="37011"/>
    <cellStyle name="Обычный 7 9 4 2 3 3 2" xfId="37012"/>
    <cellStyle name="Обычный 7 9 4 2 3 3 3" xfId="37013"/>
    <cellStyle name="Обычный 7 9 4 2 3 4" xfId="37014"/>
    <cellStyle name="Обычный 7 9 4 2 3 4 2" xfId="37015"/>
    <cellStyle name="Обычный 7 9 4 2 3 4 3" xfId="37016"/>
    <cellStyle name="Обычный 7 9 4 2 3 5" xfId="37017"/>
    <cellStyle name="Обычный 7 9 4 2 3 5 2" xfId="37018"/>
    <cellStyle name="Обычный 7 9 4 2 3 6" xfId="37019"/>
    <cellStyle name="Обычный 7 9 4 2 3 7" xfId="37020"/>
    <cellStyle name="Обычный 7 9 4 2 4" xfId="37021"/>
    <cellStyle name="Обычный 7 9 4 2 4 2" xfId="37022"/>
    <cellStyle name="Обычный 7 9 4 2 4 2 2" xfId="37023"/>
    <cellStyle name="Обычный 7 9 4 2 4 2 3" xfId="37024"/>
    <cellStyle name="Обычный 7 9 4 2 4 3" xfId="37025"/>
    <cellStyle name="Обычный 7 9 4 2 4 3 2" xfId="37026"/>
    <cellStyle name="Обычный 7 9 4 2 4 3 3" xfId="37027"/>
    <cellStyle name="Обычный 7 9 4 2 4 4" xfId="37028"/>
    <cellStyle name="Обычный 7 9 4 2 4 4 2" xfId="37029"/>
    <cellStyle name="Обычный 7 9 4 2 4 5" xfId="37030"/>
    <cellStyle name="Обычный 7 9 4 2 4 6" xfId="37031"/>
    <cellStyle name="Обычный 7 9 4 2 5" xfId="37032"/>
    <cellStyle name="Обычный 7 9 4 2 5 2" xfId="37033"/>
    <cellStyle name="Обычный 7 9 4 2 5 3" xfId="37034"/>
    <cellStyle name="Обычный 7 9 4 2 6" xfId="37035"/>
    <cellStyle name="Обычный 7 9 4 2 6 2" xfId="37036"/>
    <cellStyle name="Обычный 7 9 4 2 6 3" xfId="37037"/>
    <cellStyle name="Обычный 7 9 4 2 7" xfId="37038"/>
    <cellStyle name="Обычный 7 9 4 2 7 2" xfId="37039"/>
    <cellStyle name="Обычный 7 9 4 2 8" xfId="37040"/>
    <cellStyle name="Обычный 7 9 4 2 9" xfId="37041"/>
    <cellStyle name="Обычный 7 9 4 3" xfId="37042"/>
    <cellStyle name="Обычный 7 9 4 3 2" xfId="37043"/>
    <cellStyle name="Обычный 7 9 4 3 2 2" xfId="37044"/>
    <cellStyle name="Обычный 7 9 4 3 2 2 2" xfId="37045"/>
    <cellStyle name="Обычный 7 9 4 3 2 2 2 2" xfId="37046"/>
    <cellStyle name="Обычный 7 9 4 3 2 2 2 3" xfId="37047"/>
    <cellStyle name="Обычный 7 9 4 3 2 2 3" xfId="37048"/>
    <cellStyle name="Обычный 7 9 4 3 2 2 3 2" xfId="37049"/>
    <cellStyle name="Обычный 7 9 4 3 2 2 3 3" xfId="37050"/>
    <cellStyle name="Обычный 7 9 4 3 2 2 4" xfId="37051"/>
    <cellStyle name="Обычный 7 9 4 3 2 2 4 2" xfId="37052"/>
    <cellStyle name="Обычный 7 9 4 3 2 2 5" xfId="37053"/>
    <cellStyle name="Обычный 7 9 4 3 2 2 6" xfId="37054"/>
    <cellStyle name="Обычный 7 9 4 3 2 3" xfId="37055"/>
    <cellStyle name="Обычный 7 9 4 3 2 3 2" xfId="37056"/>
    <cellStyle name="Обычный 7 9 4 3 2 3 3" xfId="37057"/>
    <cellStyle name="Обычный 7 9 4 3 2 4" xfId="37058"/>
    <cellStyle name="Обычный 7 9 4 3 2 4 2" xfId="37059"/>
    <cellStyle name="Обычный 7 9 4 3 2 4 3" xfId="37060"/>
    <cellStyle name="Обычный 7 9 4 3 2 5" xfId="37061"/>
    <cellStyle name="Обычный 7 9 4 3 2 5 2" xfId="37062"/>
    <cellStyle name="Обычный 7 9 4 3 2 6" xfId="37063"/>
    <cellStyle name="Обычный 7 9 4 3 2 7" xfId="37064"/>
    <cellStyle name="Обычный 7 9 4 3 3" xfId="37065"/>
    <cellStyle name="Обычный 7 9 4 3 3 2" xfId="37066"/>
    <cellStyle name="Обычный 7 9 4 3 3 2 2" xfId="37067"/>
    <cellStyle name="Обычный 7 9 4 3 3 2 3" xfId="37068"/>
    <cellStyle name="Обычный 7 9 4 3 3 3" xfId="37069"/>
    <cellStyle name="Обычный 7 9 4 3 3 3 2" xfId="37070"/>
    <cellStyle name="Обычный 7 9 4 3 3 3 3" xfId="37071"/>
    <cellStyle name="Обычный 7 9 4 3 3 4" xfId="37072"/>
    <cellStyle name="Обычный 7 9 4 3 3 4 2" xfId="37073"/>
    <cellStyle name="Обычный 7 9 4 3 3 5" xfId="37074"/>
    <cellStyle name="Обычный 7 9 4 3 3 6" xfId="37075"/>
    <cellStyle name="Обычный 7 9 4 3 4" xfId="37076"/>
    <cellStyle name="Обычный 7 9 4 3 4 2" xfId="37077"/>
    <cellStyle name="Обычный 7 9 4 3 4 3" xfId="37078"/>
    <cellStyle name="Обычный 7 9 4 3 5" xfId="37079"/>
    <cellStyle name="Обычный 7 9 4 3 5 2" xfId="37080"/>
    <cellStyle name="Обычный 7 9 4 3 5 3" xfId="37081"/>
    <cellStyle name="Обычный 7 9 4 3 6" xfId="37082"/>
    <cellStyle name="Обычный 7 9 4 3 6 2" xfId="37083"/>
    <cellStyle name="Обычный 7 9 4 3 7" xfId="37084"/>
    <cellStyle name="Обычный 7 9 4 3 8" xfId="37085"/>
    <cellStyle name="Обычный 7 9 4 4" xfId="37086"/>
    <cellStyle name="Обычный 7 9 4 4 2" xfId="37087"/>
    <cellStyle name="Обычный 7 9 4 4 2 2" xfId="37088"/>
    <cellStyle name="Обычный 7 9 4 4 2 2 2" xfId="37089"/>
    <cellStyle name="Обычный 7 9 4 4 2 2 3" xfId="37090"/>
    <cellStyle name="Обычный 7 9 4 4 2 3" xfId="37091"/>
    <cellStyle name="Обычный 7 9 4 4 2 3 2" xfId="37092"/>
    <cellStyle name="Обычный 7 9 4 4 2 3 3" xfId="37093"/>
    <cellStyle name="Обычный 7 9 4 4 2 4" xfId="37094"/>
    <cellStyle name="Обычный 7 9 4 4 2 4 2" xfId="37095"/>
    <cellStyle name="Обычный 7 9 4 4 2 5" xfId="37096"/>
    <cellStyle name="Обычный 7 9 4 4 2 6" xfId="37097"/>
    <cellStyle name="Обычный 7 9 4 4 3" xfId="37098"/>
    <cellStyle name="Обычный 7 9 4 4 3 2" xfId="37099"/>
    <cellStyle name="Обычный 7 9 4 4 3 3" xfId="37100"/>
    <cellStyle name="Обычный 7 9 4 4 4" xfId="37101"/>
    <cellStyle name="Обычный 7 9 4 4 4 2" xfId="37102"/>
    <cellStyle name="Обычный 7 9 4 4 4 3" xfId="37103"/>
    <cellStyle name="Обычный 7 9 4 4 5" xfId="37104"/>
    <cellStyle name="Обычный 7 9 4 4 5 2" xfId="37105"/>
    <cellStyle name="Обычный 7 9 4 4 6" xfId="37106"/>
    <cellStyle name="Обычный 7 9 4 4 7" xfId="37107"/>
    <cellStyle name="Обычный 7 9 4 5" xfId="37108"/>
    <cellStyle name="Обычный 7 9 4 5 2" xfId="37109"/>
    <cellStyle name="Обычный 7 9 4 5 2 2" xfId="37110"/>
    <cellStyle name="Обычный 7 9 4 5 2 3" xfId="37111"/>
    <cellStyle name="Обычный 7 9 4 5 3" xfId="37112"/>
    <cellStyle name="Обычный 7 9 4 5 3 2" xfId="37113"/>
    <cellStyle name="Обычный 7 9 4 5 3 3" xfId="37114"/>
    <cellStyle name="Обычный 7 9 4 5 4" xfId="37115"/>
    <cellStyle name="Обычный 7 9 4 5 4 2" xfId="37116"/>
    <cellStyle name="Обычный 7 9 4 5 5" xfId="37117"/>
    <cellStyle name="Обычный 7 9 4 5 6" xfId="37118"/>
    <cellStyle name="Обычный 7 9 4 6" xfId="37119"/>
    <cellStyle name="Обычный 7 9 4 6 2" xfId="37120"/>
    <cellStyle name="Обычный 7 9 4 6 3" xfId="37121"/>
    <cellStyle name="Обычный 7 9 4 7" xfId="37122"/>
    <cellStyle name="Обычный 7 9 4 7 2" xfId="37123"/>
    <cellStyle name="Обычный 7 9 4 7 3" xfId="37124"/>
    <cellStyle name="Обычный 7 9 4 8" xfId="37125"/>
    <cellStyle name="Обычный 7 9 4 8 2" xfId="37126"/>
    <cellStyle name="Обычный 7 9 4 9" xfId="37127"/>
    <cellStyle name="Обычный 7 9 5" xfId="37128"/>
    <cellStyle name="Обычный 7 9 5 2" xfId="37129"/>
    <cellStyle name="Обычный 7 9 5 2 2" xfId="37130"/>
    <cellStyle name="Обычный 7 9 5 2 2 2" xfId="37131"/>
    <cellStyle name="Обычный 7 9 5 2 2 2 2" xfId="37132"/>
    <cellStyle name="Обычный 7 9 5 2 2 2 2 2" xfId="37133"/>
    <cellStyle name="Обычный 7 9 5 2 2 2 2 3" xfId="37134"/>
    <cellStyle name="Обычный 7 9 5 2 2 2 3" xfId="37135"/>
    <cellStyle name="Обычный 7 9 5 2 2 2 3 2" xfId="37136"/>
    <cellStyle name="Обычный 7 9 5 2 2 2 3 3" xfId="37137"/>
    <cellStyle name="Обычный 7 9 5 2 2 2 4" xfId="37138"/>
    <cellStyle name="Обычный 7 9 5 2 2 2 4 2" xfId="37139"/>
    <cellStyle name="Обычный 7 9 5 2 2 2 5" xfId="37140"/>
    <cellStyle name="Обычный 7 9 5 2 2 2 6" xfId="37141"/>
    <cellStyle name="Обычный 7 9 5 2 2 3" xfId="37142"/>
    <cellStyle name="Обычный 7 9 5 2 2 3 2" xfId="37143"/>
    <cellStyle name="Обычный 7 9 5 2 2 3 3" xfId="37144"/>
    <cellStyle name="Обычный 7 9 5 2 2 4" xfId="37145"/>
    <cellStyle name="Обычный 7 9 5 2 2 4 2" xfId="37146"/>
    <cellStyle name="Обычный 7 9 5 2 2 4 3" xfId="37147"/>
    <cellStyle name="Обычный 7 9 5 2 2 5" xfId="37148"/>
    <cellStyle name="Обычный 7 9 5 2 2 5 2" xfId="37149"/>
    <cellStyle name="Обычный 7 9 5 2 2 6" xfId="37150"/>
    <cellStyle name="Обычный 7 9 5 2 2 7" xfId="37151"/>
    <cellStyle name="Обычный 7 9 5 2 3" xfId="37152"/>
    <cellStyle name="Обычный 7 9 5 2 3 2" xfId="37153"/>
    <cellStyle name="Обычный 7 9 5 2 3 2 2" xfId="37154"/>
    <cellStyle name="Обычный 7 9 5 2 3 2 3" xfId="37155"/>
    <cellStyle name="Обычный 7 9 5 2 3 3" xfId="37156"/>
    <cellStyle name="Обычный 7 9 5 2 3 3 2" xfId="37157"/>
    <cellStyle name="Обычный 7 9 5 2 3 3 3" xfId="37158"/>
    <cellStyle name="Обычный 7 9 5 2 3 4" xfId="37159"/>
    <cellStyle name="Обычный 7 9 5 2 3 4 2" xfId="37160"/>
    <cellStyle name="Обычный 7 9 5 2 3 5" xfId="37161"/>
    <cellStyle name="Обычный 7 9 5 2 3 6" xfId="37162"/>
    <cellStyle name="Обычный 7 9 5 2 4" xfId="37163"/>
    <cellStyle name="Обычный 7 9 5 2 4 2" xfId="37164"/>
    <cellStyle name="Обычный 7 9 5 2 4 3" xfId="37165"/>
    <cellStyle name="Обычный 7 9 5 2 5" xfId="37166"/>
    <cellStyle name="Обычный 7 9 5 2 5 2" xfId="37167"/>
    <cellStyle name="Обычный 7 9 5 2 5 3" xfId="37168"/>
    <cellStyle name="Обычный 7 9 5 2 6" xfId="37169"/>
    <cellStyle name="Обычный 7 9 5 2 6 2" xfId="37170"/>
    <cellStyle name="Обычный 7 9 5 2 7" xfId="37171"/>
    <cellStyle name="Обычный 7 9 5 2 8" xfId="37172"/>
    <cellStyle name="Обычный 7 9 5 3" xfId="37173"/>
    <cellStyle name="Обычный 7 9 5 3 2" xfId="37174"/>
    <cellStyle name="Обычный 7 9 5 3 2 2" xfId="37175"/>
    <cellStyle name="Обычный 7 9 5 3 2 2 2" xfId="37176"/>
    <cellStyle name="Обычный 7 9 5 3 2 2 3" xfId="37177"/>
    <cellStyle name="Обычный 7 9 5 3 2 3" xfId="37178"/>
    <cellStyle name="Обычный 7 9 5 3 2 3 2" xfId="37179"/>
    <cellStyle name="Обычный 7 9 5 3 2 3 3" xfId="37180"/>
    <cellStyle name="Обычный 7 9 5 3 2 4" xfId="37181"/>
    <cellStyle name="Обычный 7 9 5 3 2 4 2" xfId="37182"/>
    <cellStyle name="Обычный 7 9 5 3 2 5" xfId="37183"/>
    <cellStyle name="Обычный 7 9 5 3 2 6" xfId="37184"/>
    <cellStyle name="Обычный 7 9 5 3 3" xfId="37185"/>
    <cellStyle name="Обычный 7 9 5 3 3 2" xfId="37186"/>
    <cellStyle name="Обычный 7 9 5 3 3 3" xfId="37187"/>
    <cellStyle name="Обычный 7 9 5 3 4" xfId="37188"/>
    <cellStyle name="Обычный 7 9 5 3 4 2" xfId="37189"/>
    <cellStyle name="Обычный 7 9 5 3 4 3" xfId="37190"/>
    <cellStyle name="Обычный 7 9 5 3 5" xfId="37191"/>
    <cellStyle name="Обычный 7 9 5 3 5 2" xfId="37192"/>
    <cellStyle name="Обычный 7 9 5 3 6" xfId="37193"/>
    <cellStyle name="Обычный 7 9 5 3 7" xfId="37194"/>
    <cellStyle name="Обычный 7 9 5 4" xfId="37195"/>
    <cellStyle name="Обычный 7 9 5 4 2" xfId="37196"/>
    <cellStyle name="Обычный 7 9 5 4 2 2" xfId="37197"/>
    <cellStyle name="Обычный 7 9 5 4 2 3" xfId="37198"/>
    <cellStyle name="Обычный 7 9 5 4 3" xfId="37199"/>
    <cellStyle name="Обычный 7 9 5 4 3 2" xfId="37200"/>
    <cellStyle name="Обычный 7 9 5 4 3 3" xfId="37201"/>
    <cellStyle name="Обычный 7 9 5 4 4" xfId="37202"/>
    <cellStyle name="Обычный 7 9 5 4 4 2" xfId="37203"/>
    <cellStyle name="Обычный 7 9 5 4 5" xfId="37204"/>
    <cellStyle name="Обычный 7 9 5 4 6" xfId="37205"/>
    <cellStyle name="Обычный 7 9 5 5" xfId="37206"/>
    <cellStyle name="Обычный 7 9 5 5 2" xfId="37207"/>
    <cellStyle name="Обычный 7 9 5 5 3" xfId="37208"/>
    <cellStyle name="Обычный 7 9 5 6" xfId="37209"/>
    <cellStyle name="Обычный 7 9 5 6 2" xfId="37210"/>
    <cellStyle name="Обычный 7 9 5 6 3" xfId="37211"/>
    <cellStyle name="Обычный 7 9 5 7" xfId="37212"/>
    <cellStyle name="Обычный 7 9 5 7 2" xfId="37213"/>
    <cellStyle name="Обычный 7 9 5 8" xfId="37214"/>
    <cellStyle name="Обычный 7 9 5 9" xfId="37215"/>
    <cellStyle name="Обычный 7 9 6" xfId="37216"/>
    <cellStyle name="Обычный 7 9 6 2" xfId="37217"/>
    <cellStyle name="Обычный 7 9 6 2 2" xfId="37218"/>
    <cellStyle name="Обычный 7 9 6 2 2 2" xfId="37219"/>
    <cellStyle name="Обычный 7 9 6 2 2 2 2" xfId="37220"/>
    <cellStyle name="Обычный 7 9 6 2 2 2 3" xfId="37221"/>
    <cellStyle name="Обычный 7 9 6 2 2 3" xfId="37222"/>
    <cellStyle name="Обычный 7 9 6 2 2 3 2" xfId="37223"/>
    <cellStyle name="Обычный 7 9 6 2 2 3 3" xfId="37224"/>
    <cellStyle name="Обычный 7 9 6 2 2 4" xfId="37225"/>
    <cellStyle name="Обычный 7 9 6 2 2 4 2" xfId="37226"/>
    <cellStyle name="Обычный 7 9 6 2 2 5" xfId="37227"/>
    <cellStyle name="Обычный 7 9 6 2 2 6" xfId="37228"/>
    <cellStyle name="Обычный 7 9 6 2 3" xfId="37229"/>
    <cellStyle name="Обычный 7 9 6 2 3 2" xfId="37230"/>
    <cellStyle name="Обычный 7 9 6 2 3 3" xfId="37231"/>
    <cellStyle name="Обычный 7 9 6 2 4" xfId="37232"/>
    <cellStyle name="Обычный 7 9 6 2 4 2" xfId="37233"/>
    <cellStyle name="Обычный 7 9 6 2 4 3" xfId="37234"/>
    <cellStyle name="Обычный 7 9 6 2 5" xfId="37235"/>
    <cellStyle name="Обычный 7 9 6 2 5 2" xfId="37236"/>
    <cellStyle name="Обычный 7 9 6 2 6" xfId="37237"/>
    <cellStyle name="Обычный 7 9 6 2 7" xfId="37238"/>
    <cellStyle name="Обычный 7 9 6 3" xfId="37239"/>
    <cellStyle name="Обычный 7 9 6 3 2" xfId="37240"/>
    <cellStyle name="Обычный 7 9 6 3 2 2" xfId="37241"/>
    <cellStyle name="Обычный 7 9 6 3 2 3" xfId="37242"/>
    <cellStyle name="Обычный 7 9 6 3 3" xfId="37243"/>
    <cellStyle name="Обычный 7 9 6 3 3 2" xfId="37244"/>
    <cellStyle name="Обычный 7 9 6 3 3 3" xfId="37245"/>
    <cellStyle name="Обычный 7 9 6 3 4" xfId="37246"/>
    <cellStyle name="Обычный 7 9 6 3 4 2" xfId="37247"/>
    <cellStyle name="Обычный 7 9 6 3 5" xfId="37248"/>
    <cellStyle name="Обычный 7 9 6 3 6" xfId="37249"/>
    <cellStyle name="Обычный 7 9 6 4" xfId="37250"/>
    <cellStyle name="Обычный 7 9 6 4 2" xfId="37251"/>
    <cellStyle name="Обычный 7 9 6 4 3" xfId="37252"/>
    <cellStyle name="Обычный 7 9 6 5" xfId="37253"/>
    <cellStyle name="Обычный 7 9 6 5 2" xfId="37254"/>
    <cellStyle name="Обычный 7 9 6 5 3" xfId="37255"/>
    <cellStyle name="Обычный 7 9 6 6" xfId="37256"/>
    <cellStyle name="Обычный 7 9 6 6 2" xfId="37257"/>
    <cellStyle name="Обычный 7 9 6 7" xfId="37258"/>
    <cellStyle name="Обычный 7 9 6 8" xfId="37259"/>
    <cellStyle name="Обычный 7 9 7" xfId="37260"/>
    <cellStyle name="Обычный 7 9 7 2" xfId="37261"/>
    <cellStyle name="Обычный 7 9 7 2 2" xfId="37262"/>
    <cellStyle name="Обычный 7 9 7 2 2 2" xfId="37263"/>
    <cellStyle name="Обычный 7 9 7 2 2 3" xfId="37264"/>
    <cellStyle name="Обычный 7 9 7 2 3" xfId="37265"/>
    <cellStyle name="Обычный 7 9 7 2 3 2" xfId="37266"/>
    <cellStyle name="Обычный 7 9 7 2 3 3" xfId="37267"/>
    <cellStyle name="Обычный 7 9 7 2 4" xfId="37268"/>
    <cellStyle name="Обычный 7 9 7 2 4 2" xfId="37269"/>
    <cellStyle name="Обычный 7 9 7 2 5" xfId="37270"/>
    <cellStyle name="Обычный 7 9 7 2 6" xfId="37271"/>
    <cellStyle name="Обычный 7 9 7 3" xfId="37272"/>
    <cellStyle name="Обычный 7 9 7 3 2" xfId="37273"/>
    <cellStyle name="Обычный 7 9 7 3 3" xfId="37274"/>
    <cellStyle name="Обычный 7 9 7 4" xfId="37275"/>
    <cellStyle name="Обычный 7 9 7 4 2" xfId="37276"/>
    <cellStyle name="Обычный 7 9 7 4 3" xfId="37277"/>
    <cellStyle name="Обычный 7 9 7 5" xfId="37278"/>
    <cellStyle name="Обычный 7 9 7 5 2" xfId="37279"/>
    <cellStyle name="Обычный 7 9 7 6" xfId="37280"/>
    <cellStyle name="Обычный 7 9 7 7" xfId="37281"/>
    <cellStyle name="Обычный 7 9 8" xfId="37282"/>
    <cellStyle name="Обычный 7 9 8 2" xfId="37283"/>
    <cellStyle name="Обычный 7 9 8 2 2" xfId="37284"/>
    <cellStyle name="Обычный 7 9 8 2 3" xfId="37285"/>
    <cellStyle name="Обычный 7 9 8 3" xfId="37286"/>
    <cellStyle name="Обычный 7 9 8 3 2" xfId="37287"/>
    <cellStyle name="Обычный 7 9 8 3 3" xfId="37288"/>
    <cellStyle name="Обычный 7 9 8 4" xfId="37289"/>
    <cellStyle name="Обычный 7 9 8 4 2" xfId="37290"/>
    <cellStyle name="Обычный 7 9 8 5" xfId="37291"/>
    <cellStyle name="Обычный 7 9 8 6" xfId="37292"/>
    <cellStyle name="Обычный 7 9 9" xfId="37293"/>
    <cellStyle name="Обычный 7 9 9 2" xfId="37294"/>
    <cellStyle name="Обычный 7 9 9 3" xfId="37295"/>
    <cellStyle name="Обычный 8" xfId="37296"/>
    <cellStyle name="Обычный 8 10" xfId="37297"/>
    <cellStyle name="Обычный 8 10 10" xfId="37298"/>
    <cellStyle name="Обычный 8 10 2" xfId="37299"/>
    <cellStyle name="Обычный 8 10 2 2" xfId="37300"/>
    <cellStyle name="Обычный 8 10 2 2 2" xfId="37301"/>
    <cellStyle name="Обычный 8 10 2 2 2 2" xfId="37302"/>
    <cellStyle name="Обычный 8 10 2 2 2 2 2" xfId="37303"/>
    <cellStyle name="Обычный 8 10 2 2 2 2 2 2" xfId="37304"/>
    <cellStyle name="Обычный 8 10 2 2 2 2 2 3" xfId="37305"/>
    <cellStyle name="Обычный 8 10 2 2 2 2 3" xfId="37306"/>
    <cellStyle name="Обычный 8 10 2 2 2 2 3 2" xfId="37307"/>
    <cellStyle name="Обычный 8 10 2 2 2 2 3 3" xfId="37308"/>
    <cellStyle name="Обычный 8 10 2 2 2 2 4" xfId="37309"/>
    <cellStyle name="Обычный 8 10 2 2 2 2 4 2" xfId="37310"/>
    <cellStyle name="Обычный 8 10 2 2 2 2 5" xfId="37311"/>
    <cellStyle name="Обычный 8 10 2 2 2 2 6" xfId="37312"/>
    <cellStyle name="Обычный 8 10 2 2 2 3" xfId="37313"/>
    <cellStyle name="Обычный 8 10 2 2 2 3 2" xfId="37314"/>
    <cellStyle name="Обычный 8 10 2 2 2 3 3" xfId="37315"/>
    <cellStyle name="Обычный 8 10 2 2 2 4" xfId="37316"/>
    <cellStyle name="Обычный 8 10 2 2 2 4 2" xfId="37317"/>
    <cellStyle name="Обычный 8 10 2 2 2 4 3" xfId="37318"/>
    <cellStyle name="Обычный 8 10 2 2 2 5" xfId="37319"/>
    <cellStyle name="Обычный 8 10 2 2 2 5 2" xfId="37320"/>
    <cellStyle name="Обычный 8 10 2 2 2 6" xfId="37321"/>
    <cellStyle name="Обычный 8 10 2 2 2 7" xfId="37322"/>
    <cellStyle name="Обычный 8 10 2 2 3" xfId="37323"/>
    <cellStyle name="Обычный 8 10 2 2 3 2" xfId="37324"/>
    <cellStyle name="Обычный 8 10 2 2 3 2 2" xfId="37325"/>
    <cellStyle name="Обычный 8 10 2 2 3 2 3" xfId="37326"/>
    <cellStyle name="Обычный 8 10 2 2 3 3" xfId="37327"/>
    <cellStyle name="Обычный 8 10 2 2 3 3 2" xfId="37328"/>
    <cellStyle name="Обычный 8 10 2 2 3 3 3" xfId="37329"/>
    <cellStyle name="Обычный 8 10 2 2 3 4" xfId="37330"/>
    <cellStyle name="Обычный 8 10 2 2 3 4 2" xfId="37331"/>
    <cellStyle name="Обычный 8 10 2 2 3 5" xfId="37332"/>
    <cellStyle name="Обычный 8 10 2 2 3 6" xfId="37333"/>
    <cellStyle name="Обычный 8 10 2 2 4" xfId="37334"/>
    <cellStyle name="Обычный 8 10 2 2 4 2" xfId="37335"/>
    <cellStyle name="Обычный 8 10 2 2 4 3" xfId="37336"/>
    <cellStyle name="Обычный 8 10 2 2 5" xfId="37337"/>
    <cellStyle name="Обычный 8 10 2 2 5 2" xfId="37338"/>
    <cellStyle name="Обычный 8 10 2 2 5 3" xfId="37339"/>
    <cellStyle name="Обычный 8 10 2 2 6" xfId="37340"/>
    <cellStyle name="Обычный 8 10 2 2 6 2" xfId="37341"/>
    <cellStyle name="Обычный 8 10 2 2 7" xfId="37342"/>
    <cellStyle name="Обычный 8 10 2 2 8" xfId="37343"/>
    <cellStyle name="Обычный 8 10 2 3" xfId="37344"/>
    <cellStyle name="Обычный 8 10 2 3 2" xfId="37345"/>
    <cellStyle name="Обычный 8 10 2 3 2 2" xfId="37346"/>
    <cellStyle name="Обычный 8 10 2 3 2 2 2" xfId="37347"/>
    <cellStyle name="Обычный 8 10 2 3 2 2 3" xfId="37348"/>
    <cellStyle name="Обычный 8 10 2 3 2 3" xfId="37349"/>
    <cellStyle name="Обычный 8 10 2 3 2 3 2" xfId="37350"/>
    <cellStyle name="Обычный 8 10 2 3 2 3 3" xfId="37351"/>
    <cellStyle name="Обычный 8 10 2 3 2 4" xfId="37352"/>
    <cellStyle name="Обычный 8 10 2 3 2 4 2" xfId="37353"/>
    <cellStyle name="Обычный 8 10 2 3 2 5" xfId="37354"/>
    <cellStyle name="Обычный 8 10 2 3 2 6" xfId="37355"/>
    <cellStyle name="Обычный 8 10 2 3 3" xfId="37356"/>
    <cellStyle name="Обычный 8 10 2 3 3 2" xfId="37357"/>
    <cellStyle name="Обычный 8 10 2 3 3 3" xfId="37358"/>
    <cellStyle name="Обычный 8 10 2 3 4" xfId="37359"/>
    <cellStyle name="Обычный 8 10 2 3 4 2" xfId="37360"/>
    <cellStyle name="Обычный 8 10 2 3 4 3" xfId="37361"/>
    <cellStyle name="Обычный 8 10 2 3 5" xfId="37362"/>
    <cellStyle name="Обычный 8 10 2 3 5 2" xfId="37363"/>
    <cellStyle name="Обычный 8 10 2 3 6" xfId="37364"/>
    <cellStyle name="Обычный 8 10 2 3 7" xfId="37365"/>
    <cellStyle name="Обычный 8 10 2 4" xfId="37366"/>
    <cellStyle name="Обычный 8 10 2 4 2" xfId="37367"/>
    <cellStyle name="Обычный 8 10 2 4 2 2" xfId="37368"/>
    <cellStyle name="Обычный 8 10 2 4 2 3" xfId="37369"/>
    <cellStyle name="Обычный 8 10 2 4 3" xfId="37370"/>
    <cellStyle name="Обычный 8 10 2 4 3 2" xfId="37371"/>
    <cellStyle name="Обычный 8 10 2 4 3 3" xfId="37372"/>
    <cellStyle name="Обычный 8 10 2 4 4" xfId="37373"/>
    <cellStyle name="Обычный 8 10 2 4 4 2" xfId="37374"/>
    <cellStyle name="Обычный 8 10 2 4 5" xfId="37375"/>
    <cellStyle name="Обычный 8 10 2 4 6" xfId="37376"/>
    <cellStyle name="Обычный 8 10 2 5" xfId="37377"/>
    <cellStyle name="Обычный 8 10 2 5 2" xfId="37378"/>
    <cellStyle name="Обычный 8 10 2 5 3" xfId="37379"/>
    <cellStyle name="Обычный 8 10 2 6" xfId="37380"/>
    <cellStyle name="Обычный 8 10 2 6 2" xfId="37381"/>
    <cellStyle name="Обычный 8 10 2 6 3" xfId="37382"/>
    <cellStyle name="Обычный 8 10 2 7" xfId="37383"/>
    <cellStyle name="Обычный 8 10 2 7 2" xfId="37384"/>
    <cellStyle name="Обычный 8 10 2 8" xfId="37385"/>
    <cellStyle name="Обычный 8 10 2 9" xfId="37386"/>
    <cellStyle name="Обычный 8 10 3" xfId="37387"/>
    <cellStyle name="Обычный 8 10 3 2" xfId="37388"/>
    <cellStyle name="Обычный 8 10 3 2 2" xfId="37389"/>
    <cellStyle name="Обычный 8 10 3 2 2 2" xfId="37390"/>
    <cellStyle name="Обычный 8 10 3 2 2 2 2" xfId="37391"/>
    <cellStyle name="Обычный 8 10 3 2 2 2 3" xfId="37392"/>
    <cellStyle name="Обычный 8 10 3 2 2 3" xfId="37393"/>
    <cellStyle name="Обычный 8 10 3 2 2 3 2" xfId="37394"/>
    <cellStyle name="Обычный 8 10 3 2 2 3 3" xfId="37395"/>
    <cellStyle name="Обычный 8 10 3 2 2 4" xfId="37396"/>
    <cellStyle name="Обычный 8 10 3 2 2 4 2" xfId="37397"/>
    <cellStyle name="Обычный 8 10 3 2 2 5" xfId="37398"/>
    <cellStyle name="Обычный 8 10 3 2 2 6" xfId="37399"/>
    <cellStyle name="Обычный 8 10 3 2 3" xfId="37400"/>
    <cellStyle name="Обычный 8 10 3 2 3 2" xfId="37401"/>
    <cellStyle name="Обычный 8 10 3 2 3 3" xfId="37402"/>
    <cellStyle name="Обычный 8 10 3 2 4" xfId="37403"/>
    <cellStyle name="Обычный 8 10 3 2 4 2" xfId="37404"/>
    <cellStyle name="Обычный 8 10 3 2 4 3" xfId="37405"/>
    <cellStyle name="Обычный 8 10 3 2 5" xfId="37406"/>
    <cellStyle name="Обычный 8 10 3 2 5 2" xfId="37407"/>
    <cellStyle name="Обычный 8 10 3 2 6" xfId="37408"/>
    <cellStyle name="Обычный 8 10 3 2 7" xfId="37409"/>
    <cellStyle name="Обычный 8 10 3 3" xfId="37410"/>
    <cellStyle name="Обычный 8 10 3 3 2" xfId="37411"/>
    <cellStyle name="Обычный 8 10 3 3 2 2" xfId="37412"/>
    <cellStyle name="Обычный 8 10 3 3 2 3" xfId="37413"/>
    <cellStyle name="Обычный 8 10 3 3 3" xfId="37414"/>
    <cellStyle name="Обычный 8 10 3 3 3 2" xfId="37415"/>
    <cellStyle name="Обычный 8 10 3 3 3 3" xfId="37416"/>
    <cellStyle name="Обычный 8 10 3 3 4" xfId="37417"/>
    <cellStyle name="Обычный 8 10 3 3 4 2" xfId="37418"/>
    <cellStyle name="Обычный 8 10 3 3 5" xfId="37419"/>
    <cellStyle name="Обычный 8 10 3 3 6" xfId="37420"/>
    <cellStyle name="Обычный 8 10 3 4" xfId="37421"/>
    <cellStyle name="Обычный 8 10 3 4 2" xfId="37422"/>
    <cellStyle name="Обычный 8 10 3 4 3" xfId="37423"/>
    <cellStyle name="Обычный 8 10 3 5" xfId="37424"/>
    <cellStyle name="Обычный 8 10 3 5 2" xfId="37425"/>
    <cellStyle name="Обычный 8 10 3 5 3" xfId="37426"/>
    <cellStyle name="Обычный 8 10 3 6" xfId="37427"/>
    <cellStyle name="Обычный 8 10 3 6 2" xfId="37428"/>
    <cellStyle name="Обычный 8 10 3 7" xfId="37429"/>
    <cellStyle name="Обычный 8 10 3 8" xfId="37430"/>
    <cellStyle name="Обычный 8 10 4" xfId="37431"/>
    <cellStyle name="Обычный 8 10 4 2" xfId="37432"/>
    <cellStyle name="Обычный 8 10 4 2 2" xfId="37433"/>
    <cellStyle name="Обычный 8 10 4 2 2 2" xfId="37434"/>
    <cellStyle name="Обычный 8 10 4 2 2 3" xfId="37435"/>
    <cellStyle name="Обычный 8 10 4 2 3" xfId="37436"/>
    <cellStyle name="Обычный 8 10 4 2 3 2" xfId="37437"/>
    <cellStyle name="Обычный 8 10 4 2 3 3" xfId="37438"/>
    <cellStyle name="Обычный 8 10 4 2 4" xfId="37439"/>
    <cellStyle name="Обычный 8 10 4 2 4 2" xfId="37440"/>
    <cellStyle name="Обычный 8 10 4 2 5" xfId="37441"/>
    <cellStyle name="Обычный 8 10 4 2 6" xfId="37442"/>
    <cellStyle name="Обычный 8 10 4 3" xfId="37443"/>
    <cellStyle name="Обычный 8 10 4 3 2" xfId="37444"/>
    <cellStyle name="Обычный 8 10 4 3 3" xfId="37445"/>
    <cellStyle name="Обычный 8 10 4 4" xfId="37446"/>
    <cellStyle name="Обычный 8 10 4 4 2" xfId="37447"/>
    <cellStyle name="Обычный 8 10 4 4 3" xfId="37448"/>
    <cellStyle name="Обычный 8 10 4 5" xfId="37449"/>
    <cellStyle name="Обычный 8 10 4 5 2" xfId="37450"/>
    <cellStyle name="Обычный 8 10 4 6" xfId="37451"/>
    <cellStyle name="Обычный 8 10 4 7" xfId="37452"/>
    <cellStyle name="Обычный 8 10 5" xfId="37453"/>
    <cellStyle name="Обычный 8 10 5 2" xfId="37454"/>
    <cellStyle name="Обычный 8 10 5 2 2" xfId="37455"/>
    <cellStyle name="Обычный 8 10 5 2 3" xfId="37456"/>
    <cellStyle name="Обычный 8 10 5 3" xfId="37457"/>
    <cellStyle name="Обычный 8 10 5 3 2" xfId="37458"/>
    <cellStyle name="Обычный 8 10 5 3 3" xfId="37459"/>
    <cellStyle name="Обычный 8 10 5 4" xfId="37460"/>
    <cellStyle name="Обычный 8 10 5 4 2" xfId="37461"/>
    <cellStyle name="Обычный 8 10 5 5" xfId="37462"/>
    <cellStyle name="Обычный 8 10 5 6" xfId="37463"/>
    <cellStyle name="Обычный 8 10 6" xfId="37464"/>
    <cellStyle name="Обычный 8 10 6 2" xfId="37465"/>
    <cellStyle name="Обычный 8 10 6 3" xfId="37466"/>
    <cellStyle name="Обычный 8 10 7" xfId="37467"/>
    <cellStyle name="Обычный 8 10 7 2" xfId="37468"/>
    <cellStyle name="Обычный 8 10 7 3" xfId="37469"/>
    <cellStyle name="Обычный 8 10 8" xfId="37470"/>
    <cellStyle name="Обычный 8 10 8 2" xfId="37471"/>
    <cellStyle name="Обычный 8 10 9" xfId="37472"/>
    <cellStyle name="Обычный 8 11" xfId="37473"/>
    <cellStyle name="Обычный 8 11 10" xfId="37474"/>
    <cellStyle name="Обычный 8 11 2" xfId="37475"/>
    <cellStyle name="Обычный 8 11 2 2" xfId="37476"/>
    <cellStyle name="Обычный 8 11 2 2 2" xfId="37477"/>
    <cellStyle name="Обычный 8 11 2 2 2 2" xfId="37478"/>
    <cellStyle name="Обычный 8 11 2 2 2 2 2" xfId="37479"/>
    <cellStyle name="Обычный 8 11 2 2 2 2 2 2" xfId="37480"/>
    <cellStyle name="Обычный 8 11 2 2 2 2 2 3" xfId="37481"/>
    <cellStyle name="Обычный 8 11 2 2 2 2 3" xfId="37482"/>
    <cellStyle name="Обычный 8 11 2 2 2 2 3 2" xfId="37483"/>
    <cellStyle name="Обычный 8 11 2 2 2 2 3 3" xfId="37484"/>
    <cellStyle name="Обычный 8 11 2 2 2 2 4" xfId="37485"/>
    <cellStyle name="Обычный 8 11 2 2 2 2 4 2" xfId="37486"/>
    <cellStyle name="Обычный 8 11 2 2 2 2 5" xfId="37487"/>
    <cellStyle name="Обычный 8 11 2 2 2 2 6" xfId="37488"/>
    <cellStyle name="Обычный 8 11 2 2 2 3" xfId="37489"/>
    <cellStyle name="Обычный 8 11 2 2 2 3 2" xfId="37490"/>
    <cellStyle name="Обычный 8 11 2 2 2 3 3" xfId="37491"/>
    <cellStyle name="Обычный 8 11 2 2 2 4" xfId="37492"/>
    <cellStyle name="Обычный 8 11 2 2 2 4 2" xfId="37493"/>
    <cellStyle name="Обычный 8 11 2 2 2 4 3" xfId="37494"/>
    <cellStyle name="Обычный 8 11 2 2 2 5" xfId="37495"/>
    <cellStyle name="Обычный 8 11 2 2 2 5 2" xfId="37496"/>
    <cellStyle name="Обычный 8 11 2 2 2 6" xfId="37497"/>
    <cellStyle name="Обычный 8 11 2 2 2 7" xfId="37498"/>
    <cellStyle name="Обычный 8 11 2 2 3" xfId="37499"/>
    <cellStyle name="Обычный 8 11 2 2 3 2" xfId="37500"/>
    <cellStyle name="Обычный 8 11 2 2 3 2 2" xfId="37501"/>
    <cellStyle name="Обычный 8 11 2 2 3 2 3" xfId="37502"/>
    <cellStyle name="Обычный 8 11 2 2 3 3" xfId="37503"/>
    <cellStyle name="Обычный 8 11 2 2 3 3 2" xfId="37504"/>
    <cellStyle name="Обычный 8 11 2 2 3 3 3" xfId="37505"/>
    <cellStyle name="Обычный 8 11 2 2 3 4" xfId="37506"/>
    <cellStyle name="Обычный 8 11 2 2 3 4 2" xfId="37507"/>
    <cellStyle name="Обычный 8 11 2 2 3 5" xfId="37508"/>
    <cellStyle name="Обычный 8 11 2 2 3 6" xfId="37509"/>
    <cellStyle name="Обычный 8 11 2 2 4" xfId="37510"/>
    <cellStyle name="Обычный 8 11 2 2 4 2" xfId="37511"/>
    <cellStyle name="Обычный 8 11 2 2 4 3" xfId="37512"/>
    <cellStyle name="Обычный 8 11 2 2 5" xfId="37513"/>
    <cellStyle name="Обычный 8 11 2 2 5 2" xfId="37514"/>
    <cellStyle name="Обычный 8 11 2 2 5 3" xfId="37515"/>
    <cellStyle name="Обычный 8 11 2 2 6" xfId="37516"/>
    <cellStyle name="Обычный 8 11 2 2 6 2" xfId="37517"/>
    <cellStyle name="Обычный 8 11 2 2 7" xfId="37518"/>
    <cellStyle name="Обычный 8 11 2 2 8" xfId="37519"/>
    <cellStyle name="Обычный 8 11 2 3" xfId="37520"/>
    <cellStyle name="Обычный 8 11 2 3 2" xfId="37521"/>
    <cellStyle name="Обычный 8 11 2 3 2 2" xfId="37522"/>
    <cellStyle name="Обычный 8 11 2 3 2 2 2" xfId="37523"/>
    <cellStyle name="Обычный 8 11 2 3 2 2 3" xfId="37524"/>
    <cellStyle name="Обычный 8 11 2 3 2 3" xfId="37525"/>
    <cellStyle name="Обычный 8 11 2 3 2 3 2" xfId="37526"/>
    <cellStyle name="Обычный 8 11 2 3 2 3 3" xfId="37527"/>
    <cellStyle name="Обычный 8 11 2 3 2 4" xfId="37528"/>
    <cellStyle name="Обычный 8 11 2 3 2 4 2" xfId="37529"/>
    <cellStyle name="Обычный 8 11 2 3 2 5" xfId="37530"/>
    <cellStyle name="Обычный 8 11 2 3 2 6" xfId="37531"/>
    <cellStyle name="Обычный 8 11 2 3 3" xfId="37532"/>
    <cellStyle name="Обычный 8 11 2 3 3 2" xfId="37533"/>
    <cellStyle name="Обычный 8 11 2 3 3 3" xfId="37534"/>
    <cellStyle name="Обычный 8 11 2 3 4" xfId="37535"/>
    <cellStyle name="Обычный 8 11 2 3 4 2" xfId="37536"/>
    <cellStyle name="Обычный 8 11 2 3 4 3" xfId="37537"/>
    <cellStyle name="Обычный 8 11 2 3 5" xfId="37538"/>
    <cellStyle name="Обычный 8 11 2 3 5 2" xfId="37539"/>
    <cellStyle name="Обычный 8 11 2 3 6" xfId="37540"/>
    <cellStyle name="Обычный 8 11 2 3 7" xfId="37541"/>
    <cellStyle name="Обычный 8 11 2 4" xfId="37542"/>
    <cellStyle name="Обычный 8 11 2 4 2" xfId="37543"/>
    <cellStyle name="Обычный 8 11 2 4 2 2" xfId="37544"/>
    <cellStyle name="Обычный 8 11 2 4 2 3" xfId="37545"/>
    <cellStyle name="Обычный 8 11 2 4 3" xfId="37546"/>
    <cellStyle name="Обычный 8 11 2 4 3 2" xfId="37547"/>
    <cellStyle name="Обычный 8 11 2 4 3 3" xfId="37548"/>
    <cellStyle name="Обычный 8 11 2 4 4" xfId="37549"/>
    <cellStyle name="Обычный 8 11 2 4 4 2" xfId="37550"/>
    <cellStyle name="Обычный 8 11 2 4 5" xfId="37551"/>
    <cellStyle name="Обычный 8 11 2 4 6" xfId="37552"/>
    <cellStyle name="Обычный 8 11 2 5" xfId="37553"/>
    <cellStyle name="Обычный 8 11 2 5 2" xfId="37554"/>
    <cellStyle name="Обычный 8 11 2 5 3" xfId="37555"/>
    <cellStyle name="Обычный 8 11 2 6" xfId="37556"/>
    <cellStyle name="Обычный 8 11 2 6 2" xfId="37557"/>
    <cellStyle name="Обычный 8 11 2 6 3" xfId="37558"/>
    <cellStyle name="Обычный 8 11 2 7" xfId="37559"/>
    <cellStyle name="Обычный 8 11 2 7 2" xfId="37560"/>
    <cellStyle name="Обычный 8 11 2 8" xfId="37561"/>
    <cellStyle name="Обычный 8 11 2 9" xfId="37562"/>
    <cellStyle name="Обычный 8 11 3" xfId="37563"/>
    <cellStyle name="Обычный 8 11 3 2" xfId="37564"/>
    <cellStyle name="Обычный 8 11 3 2 2" xfId="37565"/>
    <cellStyle name="Обычный 8 11 3 2 2 2" xfId="37566"/>
    <cellStyle name="Обычный 8 11 3 2 2 2 2" xfId="37567"/>
    <cellStyle name="Обычный 8 11 3 2 2 2 3" xfId="37568"/>
    <cellStyle name="Обычный 8 11 3 2 2 3" xfId="37569"/>
    <cellStyle name="Обычный 8 11 3 2 2 3 2" xfId="37570"/>
    <cellStyle name="Обычный 8 11 3 2 2 3 3" xfId="37571"/>
    <cellStyle name="Обычный 8 11 3 2 2 4" xfId="37572"/>
    <cellStyle name="Обычный 8 11 3 2 2 4 2" xfId="37573"/>
    <cellStyle name="Обычный 8 11 3 2 2 5" xfId="37574"/>
    <cellStyle name="Обычный 8 11 3 2 2 6" xfId="37575"/>
    <cellStyle name="Обычный 8 11 3 2 3" xfId="37576"/>
    <cellStyle name="Обычный 8 11 3 2 3 2" xfId="37577"/>
    <cellStyle name="Обычный 8 11 3 2 3 3" xfId="37578"/>
    <cellStyle name="Обычный 8 11 3 2 4" xfId="37579"/>
    <cellStyle name="Обычный 8 11 3 2 4 2" xfId="37580"/>
    <cellStyle name="Обычный 8 11 3 2 4 3" xfId="37581"/>
    <cellStyle name="Обычный 8 11 3 2 5" xfId="37582"/>
    <cellStyle name="Обычный 8 11 3 2 5 2" xfId="37583"/>
    <cellStyle name="Обычный 8 11 3 2 6" xfId="37584"/>
    <cellStyle name="Обычный 8 11 3 2 7" xfId="37585"/>
    <cellStyle name="Обычный 8 11 3 3" xfId="37586"/>
    <cellStyle name="Обычный 8 11 3 3 2" xfId="37587"/>
    <cellStyle name="Обычный 8 11 3 3 2 2" xfId="37588"/>
    <cellStyle name="Обычный 8 11 3 3 2 3" xfId="37589"/>
    <cellStyle name="Обычный 8 11 3 3 3" xfId="37590"/>
    <cellStyle name="Обычный 8 11 3 3 3 2" xfId="37591"/>
    <cellStyle name="Обычный 8 11 3 3 3 3" xfId="37592"/>
    <cellStyle name="Обычный 8 11 3 3 4" xfId="37593"/>
    <cellStyle name="Обычный 8 11 3 3 4 2" xfId="37594"/>
    <cellStyle name="Обычный 8 11 3 3 5" xfId="37595"/>
    <cellStyle name="Обычный 8 11 3 3 6" xfId="37596"/>
    <cellStyle name="Обычный 8 11 3 4" xfId="37597"/>
    <cellStyle name="Обычный 8 11 3 4 2" xfId="37598"/>
    <cellStyle name="Обычный 8 11 3 4 3" xfId="37599"/>
    <cellStyle name="Обычный 8 11 3 5" xfId="37600"/>
    <cellStyle name="Обычный 8 11 3 5 2" xfId="37601"/>
    <cellStyle name="Обычный 8 11 3 5 3" xfId="37602"/>
    <cellStyle name="Обычный 8 11 3 6" xfId="37603"/>
    <cellStyle name="Обычный 8 11 3 6 2" xfId="37604"/>
    <cellStyle name="Обычный 8 11 3 7" xfId="37605"/>
    <cellStyle name="Обычный 8 11 3 8" xfId="37606"/>
    <cellStyle name="Обычный 8 11 4" xfId="37607"/>
    <cellStyle name="Обычный 8 11 4 2" xfId="37608"/>
    <cellStyle name="Обычный 8 11 4 2 2" xfId="37609"/>
    <cellStyle name="Обычный 8 11 4 2 2 2" xfId="37610"/>
    <cellStyle name="Обычный 8 11 4 2 2 3" xfId="37611"/>
    <cellStyle name="Обычный 8 11 4 2 3" xfId="37612"/>
    <cellStyle name="Обычный 8 11 4 2 3 2" xfId="37613"/>
    <cellStyle name="Обычный 8 11 4 2 3 3" xfId="37614"/>
    <cellStyle name="Обычный 8 11 4 2 4" xfId="37615"/>
    <cellStyle name="Обычный 8 11 4 2 4 2" xfId="37616"/>
    <cellStyle name="Обычный 8 11 4 2 5" xfId="37617"/>
    <cellStyle name="Обычный 8 11 4 2 6" xfId="37618"/>
    <cellStyle name="Обычный 8 11 4 3" xfId="37619"/>
    <cellStyle name="Обычный 8 11 4 3 2" xfId="37620"/>
    <cellStyle name="Обычный 8 11 4 3 3" xfId="37621"/>
    <cellStyle name="Обычный 8 11 4 4" xfId="37622"/>
    <cellStyle name="Обычный 8 11 4 4 2" xfId="37623"/>
    <cellStyle name="Обычный 8 11 4 4 3" xfId="37624"/>
    <cellStyle name="Обычный 8 11 4 5" xfId="37625"/>
    <cellStyle name="Обычный 8 11 4 5 2" xfId="37626"/>
    <cellStyle name="Обычный 8 11 4 6" xfId="37627"/>
    <cellStyle name="Обычный 8 11 4 7" xfId="37628"/>
    <cellStyle name="Обычный 8 11 5" xfId="37629"/>
    <cellStyle name="Обычный 8 11 5 2" xfId="37630"/>
    <cellStyle name="Обычный 8 11 5 2 2" xfId="37631"/>
    <cellStyle name="Обычный 8 11 5 2 3" xfId="37632"/>
    <cellStyle name="Обычный 8 11 5 3" xfId="37633"/>
    <cellStyle name="Обычный 8 11 5 3 2" xfId="37634"/>
    <cellStyle name="Обычный 8 11 5 3 3" xfId="37635"/>
    <cellStyle name="Обычный 8 11 5 4" xfId="37636"/>
    <cellStyle name="Обычный 8 11 5 4 2" xfId="37637"/>
    <cellStyle name="Обычный 8 11 5 5" xfId="37638"/>
    <cellStyle name="Обычный 8 11 5 6" xfId="37639"/>
    <cellStyle name="Обычный 8 11 6" xfId="37640"/>
    <cellStyle name="Обычный 8 11 6 2" xfId="37641"/>
    <cellStyle name="Обычный 8 11 6 3" xfId="37642"/>
    <cellStyle name="Обычный 8 11 7" xfId="37643"/>
    <cellStyle name="Обычный 8 11 7 2" xfId="37644"/>
    <cellStyle name="Обычный 8 11 7 3" xfId="37645"/>
    <cellStyle name="Обычный 8 11 8" xfId="37646"/>
    <cellStyle name="Обычный 8 11 8 2" xfId="37647"/>
    <cellStyle name="Обычный 8 11 9" xfId="37648"/>
    <cellStyle name="Обычный 8 12" xfId="37649"/>
    <cellStyle name="Обычный 8 12 10" xfId="37650"/>
    <cellStyle name="Обычный 8 12 2" xfId="37651"/>
    <cellStyle name="Обычный 8 12 2 2" xfId="37652"/>
    <cellStyle name="Обычный 8 12 2 2 2" xfId="37653"/>
    <cellStyle name="Обычный 8 12 2 2 2 2" xfId="37654"/>
    <cellStyle name="Обычный 8 12 2 2 2 2 2" xfId="37655"/>
    <cellStyle name="Обычный 8 12 2 2 2 2 2 2" xfId="37656"/>
    <cellStyle name="Обычный 8 12 2 2 2 2 2 3" xfId="37657"/>
    <cellStyle name="Обычный 8 12 2 2 2 2 3" xfId="37658"/>
    <cellStyle name="Обычный 8 12 2 2 2 2 3 2" xfId="37659"/>
    <cellStyle name="Обычный 8 12 2 2 2 2 3 3" xfId="37660"/>
    <cellStyle name="Обычный 8 12 2 2 2 2 4" xfId="37661"/>
    <cellStyle name="Обычный 8 12 2 2 2 2 4 2" xfId="37662"/>
    <cellStyle name="Обычный 8 12 2 2 2 2 5" xfId="37663"/>
    <cellStyle name="Обычный 8 12 2 2 2 2 6" xfId="37664"/>
    <cellStyle name="Обычный 8 12 2 2 2 3" xfId="37665"/>
    <cellStyle name="Обычный 8 12 2 2 2 3 2" xfId="37666"/>
    <cellStyle name="Обычный 8 12 2 2 2 3 3" xfId="37667"/>
    <cellStyle name="Обычный 8 12 2 2 2 4" xfId="37668"/>
    <cellStyle name="Обычный 8 12 2 2 2 4 2" xfId="37669"/>
    <cellStyle name="Обычный 8 12 2 2 2 4 3" xfId="37670"/>
    <cellStyle name="Обычный 8 12 2 2 2 5" xfId="37671"/>
    <cellStyle name="Обычный 8 12 2 2 2 5 2" xfId="37672"/>
    <cellStyle name="Обычный 8 12 2 2 2 6" xfId="37673"/>
    <cellStyle name="Обычный 8 12 2 2 2 7" xfId="37674"/>
    <cellStyle name="Обычный 8 12 2 2 3" xfId="37675"/>
    <cellStyle name="Обычный 8 12 2 2 3 2" xfId="37676"/>
    <cellStyle name="Обычный 8 12 2 2 3 2 2" xfId="37677"/>
    <cellStyle name="Обычный 8 12 2 2 3 2 3" xfId="37678"/>
    <cellStyle name="Обычный 8 12 2 2 3 3" xfId="37679"/>
    <cellStyle name="Обычный 8 12 2 2 3 3 2" xfId="37680"/>
    <cellStyle name="Обычный 8 12 2 2 3 3 3" xfId="37681"/>
    <cellStyle name="Обычный 8 12 2 2 3 4" xfId="37682"/>
    <cellStyle name="Обычный 8 12 2 2 3 4 2" xfId="37683"/>
    <cellStyle name="Обычный 8 12 2 2 3 5" xfId="37684"/>
    <cellStyle name="Обычный 8 12 2 2 3 6" xfId="37685"/>
    <cellStyle name="Обычный 8 12 2 2 4" xfId="37686"/>
    <cellStyle name="Обычный 8 12 2 2 4 2" xfId="37687"/>
    <cellStyle name="Обычный 8 12 2 2 4 3" xfId="37688"/>
    <cellStyle name="Обычный 8 12 2 2 5" xfId="37689"/>
    <cellStyle name="Обычный 8 12 2 2 5 2" xfId="37690"/>
    <cellStyle name="Обычный 8 12 2 2 5 3" xfId="37691"/>
    <cellStyle name="Обычный 8 12 2 2 6" xfId="37692"/>
    <cellStyle name="Обычный 8 12 2 2 6 2" xfId="37693"/>
    <cellStyle name="Обычный 8 12 2 2 7" xfId="37694"/>
    <cellStyle name="Обычный 8 12 2 2 8" xfId="37695"/>
    <cellStyle name="Обычный 8 12 2 3" xfId="37696"/>
    <cellStyle name="Обычный 8 12 2 3 2" xfId="37697"/>
    <cellStyle name="Обычный 8 12 2 3 2 2" xfId="37698"/>
    <cellStyle name="Обычный 8 12 2 3 2 2 2" xfId="37699"/>
    <cellStyle name="Обычный 8 12 2 3 2 2 3" xfId="37700"/>
    <cellStyle name="Обычный 8 12 2 3 2 3" xfId="37701"/>
    <cellStyle name="Обычный 8 12 2 3 2 3 2" xfId="37702"/>
    <cellStyle name="Обычный 8 12 2 3 2 3 3" xfId="37703"/>
    <cellStyle name="Обычный 8 12 2 3 2 4" xfId="37704"/>
    <cellStyle name="Обычный 8 12 2 3 2 4 2" xfId="37705"/>
    <cellStyle name="Обычный 8 12 2 3 2 5" xfId="37706"/>
    <cellStyle name="Обычный 8 12 2 3 2 6" xfId="37707"/>
    <cellStyle name="Обычный 8 12 2 3 3" xfId="37708"/>
    <cellStyle name="Обычный 8 12 2 3 3 2" xfId="37709"/>
    <cellStyle name="Обычный 8 12 2 3 3 3" xfId="37710"/>
    <cellStyle name="Обычный 8 12 2 3 4" xfId="37711"/>
    <cellStyle name="Обычный 8 12 2 3 4 2" xfId="37712"/>
    <cellStyle name="Обычный 8 12 2 3 4 3" xfId="37713"/>
    <cellStyle name="Обычный 8 12 2 3 5" xfId="37714"/>
    <cellStyle name="Обычный 8 12 2 3 5 2" xfId="37715"/>
    <cellStyle name="Обычный 8 12 2 3 6" xfId="37716"/>
    <cellStyle name="Обычный 8 12 2 3 7" xfId="37717"/>
    <cellStyle name="Обычный 8 12 2 4" xfId="37718"/>
    <cellStyle name="Обычный 8 12 2 4 2" xfId="37719"/>
    <cellStyle name="Обычный 8 12 2 4 2 2" xfId="37720"/>
    <cellStyle name="Обычный 8 12 2 4 2 3" xfId="37721"/>
    <cellStyle name="Обычный 8 12 2 4 3" xfId="37722"/>
    <cellStyle name="Обычный 8 12 2 4 3 2" xfId="37723"/>
    <cellStyle name="Обычный 8 12 2 4 3 3" xfId="37724"/>
    <cellStyle name="Обычный 8 12 2 4 4" xfId="37725"/>
    <cellStyle name="Обычный 8 12 2 4 4 2" xfId="37726"/>
    <cellStyle name="Обычный 8 12 2 4 5" xfId="37727"/>
    <cellStyle name="Обычный 8 12 2 4 6" xfId="37728"/>
    <cellStyle name="Обычный 8 12 2 5" xfId="37729"/>
    <cellStyle name="Обычный 8 12 2 5 2" xfId="37730"/>
    <cellStyle name="Обычный 8 12 2 5 3" xfId="37731"/>
    <cellStyle name="Обычный 8 12 2 6" xfId="37732"/>
    <cellStyle name="Обычный 8 12 2 6 2" xfId="37733"/>
    <cellStyle name="Обычный 8 12 2 6 3" xfId="37734"/>
    <cellStyle name="Обычный 8 12 2 7" xfId="37735"/>
    <cellStyle name="Обычный 8 12 2 7 2" xfId="37736"/>
    <cellStyle name="Обычный 8 12 2 8" xfId="37737"/>
    <cellStyle name="Обычный 8 12 2 9" xfId="37738"/>
    <cellStyle name="Обычный 8 12 3" xfId="37739"/>
    <cellStyle name="Обычный 8 12 3 2" xfId="37740"/>
    <cellStyle name="Обычный 8 12 3 2 2" xfId="37741"/>
    <cellStyle name="Обычный 8 12 3 2 2 2" xfId="37742"/>
    <cellStyle name="Обычный 8 12 3 2 2 2 2" xfId="37743"/>
    <cellStyle name="Обычный 8 12 3 2 2 2 3" xfId="37744"/>
    <cellStyle name="Обычный 8 12 3 2 2 3" xfId="37745"/>
    <cellStyle name="Обычный 8 12 3 2 2 3 2" xfId="37746"/>
    <cellStyle name="Обычный 8 12 3 2 2 3 3" xfId="37747"/>
    <cellStyle name="Обычный 8 12 3 2 2 4" xfId="37748"/>
    <cellStyle name="Обычный 8 12 3 2 2 4 2" xfId="37749"/>
    <cellStyle name="Обычный 8 12 3 2 2 5" xfId="37750"/>
    <cellStyle name="Обычный 8 12 3 2 2 6" xfId="37751"/>
    <cellStyle name="Обычный 8 12 3 2 3" xfId="37752"/>
    <cellStyle name="Обычный 8 12 3 2 3 2" xfId="37753"/>
    <cellStyle name="Обычный 8 12 3 2 3 3" xfId="37754"/>
    <cellStyle name="Обычный 8 12 3 2 4" xfId="37755"/>
    <cellStyle name="Обычный 8 12 3 2 4 2" xfId="37756"/>
    <cellStyle name="Обычный 8 12 3 2 4 3" xfId="37757"/>
    <cellStyle name="Обычный 8 12 3 2 5" xfId="37758"/>
    <cellStyle name="Обычный 8 12 3 2 5 2" xfId="37759"/>
    <cellStyle name="Обычный 8 12 3 2 6" xfId="37760"/>
    <cellStyle name="Обычный 8 12 3 2 7" xfId="37761"/>
    <cellStyle name="Обычный 8 12 3 3" xfId="37762"/>
    <cellStyle name="Обычный 8 12 3 3 2" xfId="37763"/>
    <cellStyle name="Обычный 8 12 3 3 2 2" xfId="37764"/>
    <cellStyle name="Обычный 8 12 3 3 2 3" xfId="37765"/>
    <cellStyle name="Обычный 8 12 3 3 3" xfId="37766"/>
    <cellStyle name="Обычный 8 12 3 3 3 2" xfId="37767"/>
    <cellStyle name="Обычный 8 12 3 3 3 3" xfId="37768"/>
    <cellStyle name="Обычный 8 12 3 3 4" xfId="37769"/>
    <cellStyle name="Обычный 8 12 3 3 4 2" xfId="37770"/>
    <cellStyle name="Обычный 8 12 3 3 5" xfId="37771"/>
    <cellStyle name="Обычный 8 12 3 3 6" xfId="37772"/>
    <cellStyle name="Обычный 8 12 3 4" xfId="37773"/>
    <cellStyle name="Обычный 8 12 3 4 2" xfId="37774"/>
    <cellStyle name="Обычный 8 12 3 4 3" xfId="37775"/>
    <cellStyle name="Обычный 8 12 3 5" xfId="37776"/>
    <cellStyle name="Обычный 8 12 3 5 2" xfId="37777"/>
    <cellStyle name="Обычный 8 12 3 5 3" xfId="37778"/>
    <cellStyle name="Обычный 8 12 3 6" xfId="37779"/>
    <cellStyle name="Обычный 8 12 3 6 2" xfId="37780"/>
    <cellStyle name="Обычный 8 12 3 7" xfId="37781"/>
    <cellStyle name="Обычный 8 12 3 8" xfId="37782"/>
    <cellStyle name="Обычный 8 12 4" xfId="37783"/>
    <cellStyle name="Обычный 8 12 4 2" xfId="37784"/>
    <cellStyle name="Обычный 8 12 4 2 2" xfId="37785"/>
    <cellStyle name="Обычный 8 12 4 2 2 2" xfId="37786"/>
    <cellStyle name="Обычный 8 12 4 2 2 3" xfId="37787"/>
    <cellStyle name="Обычный 8 12 4 2 3" xfId="37788"/>
    <cellStyle name="Обычный 8 12 4 2 3 2" xfId="37789"/>
    <cellStyle name="Обычный 8 12 4 2 3 3" xfId="37790"/>
    <cellStyle name="Обычный 8 12 4 2 4" xfId="37791"/>
    <cellStyle name="Обычный 8 12 4 2 4 2" xfId="37792"/>
    <cellStyle name="Обычный 8 12 4 2 5" xfId="37793"/>
    <cellStyle name="Обычный 8 12 4 2 6" xfId="37794"/>
    <cellStyle name="Обычный 8 12 4 3" xfId="37795"/>
    <cellStyle name="Обычный 8 12 4 3 2" xfId="37796"/>
    <cellStyle name="Обычный 8 12 4 3 3" xfId="37797"/>
    <cellStyle name="Обычный 8 12 4 4" xfId="37798"/>
    <cellStyle name="Обычный 8 12 4 4 2" xfId="37799"/>
    <cellStyle name="Обычный 8 12 4 4 3" xfId="37800"/>
    <cellStyle name="Обычный 8 12 4 5" xfId="37801"/>
    <cellStyle name="Обычный 8 12 4 5 2" xfId="37802"/>
    <cellStyle name="Обычный 8 12 4 6" xfId="37803"/>
    <cellStyle name="Обычный 8 12 4 7" xfId="37804"/>
    <cellStyle name="Обычный 8 12 5" xfId="37805"/>
    <cellStyle name="Обычный 8 12 5 2" xfId="37806"/>
    <cellStyle name="Обычный 8 12 5 2 2" xfId="37807"/>
    <cellStyle name="Обычный 8 12 5 2 3" xfId="37808"/>
    <cellStyle name="Обычный 8 12 5 3" xfId="37809"/>
    <cellStyle name="Обычный 8 12 5 3 2" xfId="37810"/>
    <cellStyle name="Обычный 8 12 5 3 3" xfId="37811"/>
    <cellStyle name="Обычный 8 12 5 4" xfId="37812"/>
    <cellStyle name="Обычный 8 12 5 4 2" xfId="37813"/>
    <cellStyle name="Обычный 8 12 5 5" xfId="37814"/>
    <cellStyle name="Обычный 8 12 5 6" xfId="37815"/>
    <cellStyle name="Обычный 8 12 6" xfId="37816"/>
    <cellStyle name="Обычный 8 12 6 2" xfId="37817"/>
    <cellStyle name="Обычный 8 12 6 3" xfId="37818"/>
    <cellStyle name="Обычный 8 12 7" xfId="37819"/>
    <cellStyle name="Обычный 8 12 7 2" xfId="37820"/>
    <cellStyle name="Обычный 8 12 7 3" xfId="37821"/>
    <cellStyle name="Обычный 8 12 8" xfId="37822"/>
    <cellStyle name="Обычный 8 12 8 2" xfId="37823"/>
    <cellStyle name="Обычный 8 12 9" xfId="37824"/>
    <cellStyle name="Обычный 8 13" xfId="37825"/>
    <cellStyle name="Обычный 8 13 2" xfId="37826"/>
    <cellStyle name="Обычный 8 13 2 2" xfId="37827"/>
    <cellStyle name="Обычный 8 13 2 2 2" xfId="37828"/>
    <cellStyle name="Обычный 8 13 2 2 2 2" xfId="37829"/>
    <cellStyle name="Обычный 8 13 2 2 2 2 2" xfId="37830"/>
    <cellStyle name="Обычный 8 13 2 2 2 2 3" xfId="37831"/>
    <cellStyle name="Обычный 8 13 2 2 2 3" xfId="37832"/>
    <cellStyle name="Обычный 8 13 2 2 2 3 2" xfId="37833"/>
    <cellStyle name="Обычный 8 13 2 2 2 3 3" xfId="37834"/>
    <cellStyle name="Обычный 8 13 2 2 2 4" xfId="37835"/>
    <cellStyle name="Обычный 8 13 2 2 2 4 2" xfId="37836"/>
    <cellStyle name="Обычный 8 13 2 2 2 5" xfId="37837"/>
    <cellStyle name="Обычный 8 13 2 2 2 6" xfId="37838"/>
    <cellStyle name="Обычный 8 13 2 2 3" xfId="37839"/>
    <cellStyle name="Обычный 8 13 2 2 3 2" xfId="37840"/>
    <cellStyle name="Обычный 8 13 2 2 3 3" xfId="37841"/>
    <cellStyle name="Обычный 8 13 2 2 4" xfId="37842"/>
    <cellStyle name="Обычный 8 13 2 2 4 2" xfId="37843"/>
    <cellStyle name="Обычный 8 13 2 2 4 3" xfId="37844"/>
    <cellStyle name="Обычный 8 13 2 2 5" xfId="37845"/>
    <cellStyle name="Обычный 8 13 2 2 5 2" xfId="37846"/>
    <cellStyle name="Обычный 8 13 2 2 6" xfId="37847"/>
    <cellStyle name="Обычный 8 13 2 2 7" xfId="37848"/>
    <cellStyle name="Обычный 8 13 2 3" xfId="37849"/>
    <cellStyle name="Обычный 8 13 2 3 2" xfId="37850"/>
    <cellStyle name="Обычный 8 13 2 3 2 2" xfId="37851"/>
    <cellStyle name="Обычный 8 13 2 3 2 3" xfId="37852"/>
    <cellStyle name="Обычный 8 13 2 3 3" xfId="37853"/>
    <cellStyle name="Обычный 8 13 2 3 3 2" xfId="37854"/>
    <cellStyle name="Обычный 8 13 2 3 3 3" xfId="37855"/>
    <cellStyle name="Обычный 8 13 2 3 4" xfId="37856"/>
    <cellStyle name="Обычный 8 13 2 3 4 2" xfId="37857"/>
    <cellStyle name="Обычный 8 13 2 3 5" xfId="37858"/>
    <cellStyle name="Обычный 8 13 2 3 6" xfId="37859"/>
    <cellStyle name="Обычный 8 13 2 4" xfId="37860"/>
    <cellStyle name="Обычный 8 13 2 4 2" xfId="37861"/>
    <cellStyle name="Обычный 8 13 2 4 3" xfId="37862"/>
    <cellStyle name="Обычный 8 13 2 5" xfId="37863"/>
    <cellStyle name="Обычный 8 13 2 5 2" xfId="37864"/>
    <cellStyle name="Обычный 8 13 2 5 3" xfId="37865"/>
    <cellStyle name="Обычный 8 13 2 6" xfId="37866"/>
    <cellStyle name="Обычный 8 13 2 6 2" xfId="37867"/>
    <cellStyle name="Обычный 8 13 2 7" xfId="37868"/>
    <cellStyle name="Обычный 8 13 2 8" xfId="37869"/>
    <cellStyle name="Обычный 8 13 3" xfId="37870"/>
    <cellStyle name="Обычный 8 13 3 2" xfId="37871"/>
    <cellStyle name="Обычный 8 13 3 2 2" xfId="37872"/>
    <cellStyle name="Обычный 8 13 3 2 2 2" xfId="37873"/>
    <cellStyle name="Обычный 8 13 3 2 2 3" xfId="37874"/>
    <cellStyle name="Обычный 8 13 3 2 3" xfId="37875"/>
    <cellStyle name="Обычный 8 13 3 2 3 2" xfId="37876"/>
    <cellStyle name="Обычный 8 13 3 2 3 3" xfId="37877"/>
    <cellStyle name="Обычный 8 13 3 2 4" xfId="37878"/>
    <cellStyle name="Обычный 8 13 3 2 4 2" xfId="37879"/>
    <cellStyle name="Обычный 8 13 3 2 5" xfId="37880"/>
    <cellStyle name="Обычный 8 13 3 2 6" xfId="37881"/>
    <cellStyle name="Обычный 8 13 3 3" xfId="37882"/>
    <cellStyle name="Обычный 8 13 3 3 2" xfId="37883"/>
    <cellStyle name="Обычный 8 13 3 3 3" xfId="37884"/>
    <cellStyle name="Обычный 8 13 3 4" xfId="37885"/>
    <cellStyle name="Обычный 8 13 3 4 2" xfId="37886"/>
    <cellStyle name="Обычный 8 13 3 4 3" xfId="37887"/>
    <cellStyle name="Обычный 8 13 3 5" xfId="37888"/>
    <cellStyle name="Обычный 8 13 3 5 2" xfId="37889"/>
    <cellStyle name="Обычный 8 13 3 6" xfId="37890"/>
    <cellStyle name="Обычный 8 13 3 7" xfId="37891"/>
    <cellStyle name="Обычный 8 13 4" xfId="37892"/>
    <cellStyle name="Обычный 8 13 4 2" xfId="37893"/>
    <cellStyle name="Обычный 8 13 4 2 2" xfId="37894"/>
    <cellStyle name="Обычный 8 13 4 2 3" xfId="37895"/>
    <cellStyle name="Обычный 8 13 4 3" xfId="37896"/>
    <cellStyle name="Обычный 8 13 4 3 2" xfId="37897"/>
    <cellStyle name="Обычный 8 13 4 3 3" xfId="37898"/>
    <cellStyle name="Обычный 8 13 4 4" xfId="37899"/>
    <cellStyle name="Обычный 8 13 4 4 2" xfId="37900"/>
    <cellStyle name="Обычный 8 13 4 5" xfId="37901"/>
    <cellStyle name="Обычный 8 13 4 6" xfId="37902"/>
    <cellStyle name="Обычный 8 13 5" xfId="37903"/>
    <cellStyle name="Обычный 8 13 5 2" xfId="37904"/>
    <cellStyle name="Обычный 8 13 5 3" xfId="37905"/>
    <cellStyle name="Обычный 8 13 6" xfId="37906"/>
    <cellStyle name="Обычный 8 13 6 2" xfId="37907"/>
    <cellStyle name="Обычный 8 13 6 3" xfId="37908"/>
    <cellStyle name="Обычный 8 13 7" xfId="37909"/>
    <cellStyle name="Обычный 8 13 7 2" xfId="37910"/>
    <cellStyle name="Обычный 8 13 8" xfId="37911"/>
    <cellStyle name="Обычный 8 13 9" xfId="37912"/>
    <cellStyle name="Обычный 8 14" xfId="37913"/>
    <cellStyle name="Обычный 8 14 2" xfId="37914"/>
    <cellStyle name="Обычный 8 14 2 2" xfId="37915"/>
    <cellStyle name="Обычный 8 14 2 2 2" xfId="37916"/>
    <cellStyle name="Обычный 8 14 2 2 2 2" xfId="37917"/>
    <cellStyle name="Обычный 8 14 2 2 2 3" xfId="37918"/>
    <cellStyle name="Обычный 8 14 2 2 3" xfId="37919"/>
    <cellStyle name="Обычный 8 14 2 2 3 2" xfId="37920"/>
    <cellStyle name="Обычный 8 14 2 2 3 3" xfId="37921"/>
    <cellStyle name="Обычный 8 14 2 2 4" xfId="37922"/>
    <cellStyle name="Обычный 8 14 2 2 4 2" xfId="37923"/>
    <cellStyle name="Обычный 8 14 2 2 5" xfId="37924"/>
    <cellStyle name="Обычный 8 14 2 2 6" xfId="37925"/>
    <cellStyle name="Обычный 8 14 2 3" xfId="37926"/>
    <cellStyle name="Обычный 8 14 2 3 2" xfId="37927"/>
    <cellStyle name="Обычный 8 14 2 3 3" xfId="37928"/>
    <cellStyle name="Обычный 8 14 2 4" xfId="37929"/>
    <cellStyle name="Обычный 8 14 2 4 2" xfId="37930"/>
    <cellStyle name="Обычный 8 14 2 4 3" xfId="37931"/>
    <cellStyle name="Обычный 8 14 2 5" xfId="37932"/>
    <cellStyle name="Обычный 8 14 2 5 2" xfId="37933"/>
    <cellStyle name="Обычный 8 14 2 6" xfId="37934"/>
    <cellStyle name="Обычный 8 14 2 7" xfId="37935"/>
    <cellStyle name="Обычный 8 14 3" xfId="37936"/>
    <cellStyle name="Обычный 8 14 3 2" xfId="37937"/>
    <cellStyle name="Обычный 8 14 3 2 2" xfId="37938"/>
    <cellStyle name="Обычный 8 14 3 2 3" xfId="37939"/>
    <cellStyle name="Обычный 8 14 3 3" xfId="37940"/>
    <cellStyle name="Обычный 8 14 3 3 2" xfId="37941"/>
    <cellStyle name="Обычный 8 14 3 3 3" xfId="37942"/>
    <cellStyle name="Обычный 8 14 3 4" xfId="37943"/>
    <cellStyle name="Обычный 8 14 3 4 2" xfId="37944"/>
    <cellStyle name="Обычный 8 14 3 5" xfId="37945"/>
    <cellStyle name="Обычный 8 14 3 6" xfId="37946"/>
    <cellStyle name="Обычный 8 14 4" xfId="37947"/>
    <cellStyle name="Обычный 8 14 4 2" xfId="37948"/>
    <cellStyle name="Обычный 8 14 4 3" xfId="37949"/>
    <cellStyle name="Обычный 8 14 5" xfId="37950"/>
    <cellStyle name="Обычный 8 14 5 2" xfId="37951"/>
    <cellStyle name="Обычный 8 14 5 3" xfId="37952"/>
    <cellStyle name="Обычный 8 14 6" xfId="37953"/>
    <cellStyle name="Обычный 8 14 6 2" xfId="37954"/>
    <cellStyle name="Обычный 8 14 7" xfId="37955"/>
    <cellStyle name="Обычный 8 14 8" xfId="37956"/>
    <cellStyle name="Обычный 8 15" xfId="37957"/>
    <cellStyle name="Обычный 8 15 2" xfId="37958"/>
    <cellStyle name="Обычный 8 15 2 2" xfId="37959"/>
    <cellStyle name="Обычный 8 15 2 2 2" xfId="37960"/>
    <cellStyle name="Обычный 8 15 2 2 3" xfId="37961"/>
    <cellStyle name="Обычный 8 15 2 3" xfId="37962"/>
    <cellStyle name="Обычный 8 15 2 3 2" xfId="37963"/>
    <cellStyle name="Обычный 8 15 2 3 3" xfId="37964"/>
    <cellStyle name="Обычный 8 15 2 4" xfId="37965"/>
    <cellStyle name="Обычный 8 15 2 4 2" xfId="37966"/>
    <cellStyle name="Обычный 8 15 2 5" xfId="37967"/>
    <cellStyle name="Обычный 8 15 2 6" xfId="37968"/>
    <cellStyle name="Обычный 8 15 3" xfId="37969"/>
    <cellStyle name="Обычный 8 15 3 2" xfId="37970"/>
    <cellStyle name="Обычный 8 15 3 3" xfId="37971"/>
    <cellStyle name="Обычный 8 15 4" xfId="37972"/>
    <cellStyle name="Обычный 8 15 4 2" xfId="37973"/>
    <cellStyle name="Обычный 8 15 4 3" xfId="37974"/>
    <cellStyle name="Обычный 8 15 5" xfId="37975"/>
    <cellStyle name="Обычный 8 15 5 2" xfId="37976"/>
    <cellStyle name="Обычный 8 15 6" xfId="37977"/>
    <cellStyle name="Обычный 8 15 7" xfId="37978"/>
    <cellStyle name="Обычный 8 16" xfId="37979"/>
    <cellStyle name="Обычный 8 16 2" xfId="37980"/>
    <cellStyle name="Обычный 8 16 2 2" xfId="37981"/>
    <cellStyle name="Обычный 8 16 2 3" xfId="37982"/>
    <cellStyle name="Обычный 8 16 3" xfId="37983"/>
    <cellStyle name="Обычный 8 16 3 2" xfId="37984"/>
    <cellStyle name="Обычный 8 16 3 3" xfId="37985"/>
    <cellStyle name="Обычный 8 16 4" xfId="37986"/>
    <cellStyle name="Обычный 8 16 4 2" xfId="37987"/>
    <cellStyle name="Обычный 8 16 5" xfId="37988"/>
    <cellStyle name="Обычный 8 16 6" xfId="37989"/>
    <cellStyle name="Обычный 8 17" xfId="37990"/>
    <cellStyle name="Обычный 8 17 2" xfId="37991"/>
    <cellStyle name="Обычный 8 17 3" xfId="37992"/>
    <cellStyle name="Обычный 8 18" xfId="37993"/>
    <cellStyle name="Обычный 8 18 2" xfId="37994"/>
    <cellStyle name="Обычный 8 18 3" xfId="37995"/>
    <cellStyle name="Обычный 8 19" xfId="37996"/>
    <cellStyle name="Обычный 8 19 2" xfId="37997"/>
    <cellStyle name="Обычный 8 2" xfId="37998"/>
    <cellStyle name="Обычный 8 2 10" xfId="37999"/>
    <cellStyle name="Обычный 8 2 10 2" xfId="38000"/>
    <cellStyle name="Обычный 8 2 10 3" xfId="38001"/>
    <cellStyle name="Обычный 8 2 11" xfId="38002"/>
    <cellStyle name="Обычный 8 2 11 2" xfId="38003"/>
    <cellStyle name="Обычный 8 2 11 3" xfId="38004"/>
    <cellStyle name="Обычный 8 2 12" xfId="38005"/>
    <cellStyle name="Обычный 8 2 12 2" xfId="38006"/>
    <cellStyle name="Обычный 8 2 13" xfId="38007"/>
    <cellStyle name="Обычный 8 2 14" xfId="38008"/>
    <cellStyle name="Обычный 8 2 2" xfId="38009"/>
    <cellStyle name="Обычный 8 2 2 10" xfId="38010"/>
    <cellStyle name="Обычный 8 2 2 10 2" xfId="38011"/>
    <cellStyle name="Обычный 8 2 2 10 3" xfId="38012"/>
    <cellStyle name="Обычный 8 2 2 11" xfId="38013"/>
    <cellStyle name="Обычный 8 2 2 11 2" xfId="38014"/>
    <cellStyle name="Обычный 8 2 2 12" xfId="38015"/>
    <cellStyle name="Обычный 8 2 2 13" xfId="38016"/>
    <cellStyle name="Обычный 8 2 2 2" xfId="38017"/>
    <cellStyle name="Обычный 8 2 2 2 10" xfId="38018"/>
    <cellStyle name="Обычный 8 2 2 2 2" xfId="38019"/>
    <cellStyle name="Обычный 8 2 2 2 2 2" xfId="38020"/>
    <cellStyle name="Обычный 8 2 2 2 2 2 2" xfId="38021"/>
    <cellStyle name="Обычный 8 2 2 2 2 2 2 2" xfId="38022"/>
    <cellStyle name="Обычный 8 2 2 2 2 2 2 2 2" xfId="38023"/>
    <cellStyle name="Обычный 8 2 2 2 2 2 2 2 2 2" xfId="38024"/>
    <cellStyle name="Обычный 8 2 2 2 2 2 2 2 2 3" xfId="38025"/>
    <cellStyle name="Обычный 8 2 2 2 2 2 2 2 3" xfId="38026"/>
    <cellStyle name="Обычный 8 2 2 2 2 2 2 2 3 2" xfId="38027"/>
    <cellStyle name="Обычный 8 2 2 2 2 2 2 2 3 3" xfId="38028"/>
    <cellStyle name="Обычный 8 2 2 2 2 2 2 2 4" xfId="38029"/>
    <cellStyle name="Обычный 8 2 2 2 2 2 2 2 4 2" xfId="38030"/>
    <cellStyle name="Обычный 8 2 2 2 2 2 2 2 5" xfId="38031"/>
    <cellStyle name="Обычный 8 2 2 2 2 2 2 2 6" xfId="38032"/>
    <cellStyle name="Обычный 8 2 2 2 2 2 2 3" xfId="38033"/>
    <cellStyle name="Обычный 8 2 2 2 2 2 2 3 2" xfId="38034"/>
    <cellStyle name="Обычный 8 2 2 2 2 2 2 3 3" xfId="38035"/>
    <cellStyle name="Обычный 8 2 2 2 2 2 2 4" xfId="38036"/>
    <cellStyle name="Обычный 8 2 2 2 2 2 2 4 2" xfId="38037"/>
    <cellStyle name="Обычный 8 2 2 2 2 2 2 4 3" xfId="38038"/>
    <cellStyle name="Обычный 8 2 2 2 2 2 2 5" xfId="38039"/>
    <cellStyle name="Обычный 8 2 2 2 2 2 2 5 2" xfId="38040"/>
    <cellStyle name="Обычный 8 2 2 2 2 2 2 6" xfId="38041"/>
    <cellStyle name="Обычный 8 2 2 2 2 2 2 7" xfId="38042"/>
    <cellStyle name="Обычный 8 2 2 2 2 2 3" xfId="38043"/>
    <cellStyle name="Обычный 8 2 2 2 2 2 3 2" xfId="38044"/>
    <cellStyle name="Обычный 8 2 2 2 2 2 3 2 2" xfId="38045"/>
    <cellStyle name="Обычный 8 2 2 2 2 2 3 2 3" xfId="38046"/>
    <cellStyle name="Обычный 8 2 2 2 2 2 3 3" xfId="38047"/>
    <cellStyle name="Обычный 8 2 2 2 2 2 3 3 2" xfId="38048"/>
    <cellStyle name="Обычный 8 2 2 2 2 2 3 3 3" xfId="38049"/>
    <cellStyle name="Обычный 8 2 2 2 2 2 3 4" xfId="38050"/>
    <cellStyle name="Обычный 8 2 2 2 2 2 3 4 2" xfId="38051"/>
    <cellStyle name="Обычный 8 2 2 2 2 2 3 5" xfId="38052"/>
    <cellStyle name="Обычный 8 2 2 2 2 2 3 6" xfId="38053"/>
    <cellStyle name="Обычный 8 2 2 2 2 2 4" xfId="38054"/>
    <cellStyle name="Обычный 8 2 2 2 2 2 4 2" xfId="38055"/>
    <cellStyle name="Обычный 8 2 2 2 2 2 4 3" xfId="38056"/>
    <cellStyle name="Обычный 8 2 2 2 2 2 5" xfId="38057"/>
    <cellStyle name="Обычный 8 2 2 2 2 2 5 2" xfId="38058"/>
    <cellStyle name="Обычный 8 2 2 2 2 2 5 3" xfId="38059"/>
    <cellStyle name="Обычный 8 2 2 2 2 2 6" xfId="38060"/>
    <cellStyle name="Обычный 8 2 2 2 2 2 6 2" xfId="38061"/>
    <cellStyle name="Обычный 8 2 2 2 2 2 7" xfId="38062"/>
    <cellStyle name="Обычный 8 2 2 2 2 2 8" xfId="38063"/>
    <cellStyle name="Обычный 8 2 2 2 2 3" xfId="38064"/>
    <cellStyle name="Обычный 8 2 2 2 2 3 2" xfId="38065"/>
    <cellStyle name="Обычный 8 2 2 2 2 3 2 2" xfId="38066"/>
    <cellStyle name="Обычный 8 2 2 2 2 3 2 2 2" xfId="38067"/>
    <cellStyle name="Обычный 8 2 2 2 2 3 2 2 3" xfId="38068"/>
    <cellStyle name="Обычный 8 2 2 2 2 3 2 3" xfId="38069"/>
    <cellStyle name="Обычный 8 2 2 2 2 3 2 3 2" xfId="38070"/>
    <cellStyle name="Обычный 8 2 2 2 2 3 2 3 3" xfId="38071"/>
    <cellStyle name="Обычный 8 2 2 2 2 3 2 4" xfId="38072"/>
    <cellStyle name="Обычный 8 2 2 2 2 3 2 4 2" xfId="38073"/>
    <cellStyle name="Обычный 8 2 2 2 2 3 2 5" xfId="38074"/>
    <cellStyle name="Обычный 8 2 2 2 2 3 2 6" xfId="38075"/>
    <cellStyle name="Обычный 8 2 2 2 2 3 3" xfId="38076"/>
    <cellStyle name="Обычный 8 2 2 2 2 3 3 2" xfId="38077"/>
    <cellStyle name="Обычный 8 2 2 2 2 3 3 3" xfId="38078"/>
    <cellStyle name="Обычный 8 2 2 2 2 3 4" xfId="38079"/>
    <cellStyle name="Обычный 8 2 2 2 2 3 4 2" xfId="38080"/>
    <cellStyle name="Обычный 8 2 2 2 2 3 4 3" xfId="38081"/>
    <cellStyle name="Обычный 8 2 2 2 2 3 5" xfId="38082"/>
    <cellStyle name="Обычный 8 2 2 2 2 3 5 2" xfId="38083"/>
    <cellStyle name="Обычный 8 2 2 2 2 3 6" xfId="38084"/>
    <cellStyle name="Обычный 8 2 2 2 2 3 7" xfId="38085"/>
    <cellStyle name="Обычный 8 2 2 2 2 4" xfId="38086"/>
    <cellStyle name="Обычный 8 2 2 2 2 4 2" xfId="38087"/>
    <cellStyle name="Обычный 8 2 2 2 2 4 2 2" xfId="38088"/>
    <cellStyle name="Обычный 8 2 2 2 2 4 2 3" xfId="38089"/>
    <cellStyle name="Обычный 8 2 2 2 2 4 3" xfId="38090"/>
    <cellStyle name="Обычный 8 2 2 2 2 4 3 2" xfId="38091"/>
    <cellStyle name="Обычный 8 2 2 2 2 4 3 3" xfId="38092"/>
    <cellStyle name="Обычный 8 2 2 2 2 4 4" xfId="38093"/>
    <cellStyle name="Обычный 8 2 2 2 2 4 4 2" xfId="38094"/>
    <cellStyle name="Обычный 8 2 2 2 2 4 5" xfId="38095"/>
    <cellStyle name="Обычный 8 2 2 2 2 4 6" xfId="38096"/>
    <cellStyle name="Обычный 8 2 2 2 2 5" xfId="38097"/>
    <cellStyle name="Обычный 8 2 2 2 2 5 2" xfId="38098"/>
    <cellStyle name="Обычный 8 2 2 2 2 5 3" xfId="38099"/>
    <cellStyle name="Обычный 8 2 2 2 2 6" xfId="38100"/>
    <cellStyle name="Обычный 8 2 2 2 2 6 2" xfId="38101"/>
    <cellStyle name="Обычный 8 2 2 2 2 6 3" xfId="38102"/>
    <cellStyle name="Обычный 8 2 2 2 2 7" xfId="38103"/>
    <cellStyle name="Обычный 8 2 2 2 2 7 2" xfId="38104"/>
    <cellStyle name="Обычный 8 2 2 2 2 8" xfId="38105"/>
    <cellStyle name="Обычный 8 2 2 2 2 9" xfId="38106"/>
    <cellStyle name="Обычный 8 2 2 2 3" xfId="38107"/>
    <cellStyle name="Обычный 8 2 2 2 3 2" xfId="38108"/>
    <cellStyle name="Обычный 8 2 2 2 3 2 2" xfId="38109"/>
    <cellStyle name="Обычный 8 2 2 2 3 2 2 2" xfId="38110"/>
    <cellStyle name="Обычный 8 2 2 2 3 2 2 2 2" xfId="38111"/>
    <cellStyle name="Обычный 8 2 2 2 3 2 2 2 3" xfId="38112"/>
    <cellStyle name="Обычный 8 2 2 2 3 2 2 3" xfId="38113"/>
    <cellStyle name="Обычный 8 2 2 2 3 2 2 3 2" xfId="38114"/>
    <cellStyle name="Обычный 8 2 2 2 3 2 2 3 3" xfId="38115"/>
    <cellStyle name="Обычный 8 2 2 2 3 2 2 4" xfId="38116"/>
    <cellStyle name="Обычный 8 2 2 2 3 2 2 4 2" xfId="38117"/>
    <cellStyle name="Обычный 8 2 2 2 3 2 2 5" xfId="38118"/>
    <cellStyle name="Обычный 8 2 2 2 3 2 2 6" xfId="38119"/>
    <cellStyle name="Обычный 8 2 2 2 3 2 3" xfId="38120"/>
    <cellStyle name="Обычный 8 2 2 2 3 2 3 2" xfId="38121"/>
    <cellStyle name="Обычный 8 2 2 2 3 2 3 3" xfId="38122"/>
    <cellStyle name="Обычный 8 2 2 2 3 2 4" xfId="38123"/>
    <cellStyle name="Обычный 8 2 2 2 3 2 4 2" xfId="38124"/>
    <cellStyle name="Обычный 8 2 2 2 3 2 4 3" xfId="38125"/>
    <cellStyle name="Обычный 8 2 2 2 3 2 5" xfId="38126"/>
    <cellStyle name="Обычный 8 2 2 2 3 2 5 2" xfId="38127"/>
    <cellStyle name="Обычный 8 2 2 2 3 2 6" xfId="38128"/>
    <cellStyle name="Обычный 8 2 2 2 3 2 7" xfId="38129"/>
    <cellStyle name="Обычный 8 2 2 2 3 3" xfId="38130"/>
    <cellStyle name="Обычный 8 2 2 2 3 3 2" xfId="38131"/>
    <cellStyle name="Обычный 8 2 2 2 3 3 2 2" xfId="38132"/>
    <cellStyle name="Обычный 8 2 2 2 3 3 2 3" xfId="38133"/>
    <cellStyle name="Обычный 8 2 2 2 3 3 3" xfId="38134"/>
    <cellStyle name="Обычный 8 2 2 2 3 3 3 2" xfId="38135"/>
    <cellStyle name="Обычный 8 2 2 2 3 3 3 3" xfId="38136"/>
    <cellStyle name="Обычный 8 2 2 2 3 3 4" xfId="38137"/>
    <cellStyle name="Обычный 8 2 2 2 3 3 4 2" xfId="38138"/>
    <cellStyle name="Обычный 8 2 2 2 3 3 5" xfId="38139"/>
    <cellStyle name="Обычный 8 2 2 2 3 3 6" xfId="38140"/>
    <cellStyle name="Обычный 8 2 2 2 3 4" xfId="38141"/>
    <cellStyle name="Обычный 8 2 2 2 3 4 2" xfId="38142"/>
    <cellStyle name="Обычный 8 2 2 2 3 4 3" xfId="38143"/>
    <cellStyle name="Обычный 8 2 2 2 3 5" xfId="38144"/>
    <cellStyle name="Обычный 8 2 2 2 3 5 2" xfId="38145"/>
    <cellStyle name="Обычный 8 2 2 2 3 5 3" xfId="38146"/>
    <cellStyle name="Обычный 8 2 2 2 3 6" xfId="38147"/>
    <cellStyle name="Обычный 8 2 2 2 3 6 2" xfId="38148"/>
    <cellStyle name="Обычный 8 2 2 2 3 7" xfId="38149"/>
    <cellStyle name="Обычный 8 2 2 2 3 8" xfId="38150"/>
    <cellStyle name="Обычный 8 2 2 2 4" xfId="38151"/>
    <cellStyle name="Обычный 8 2 2 2 4 2" xfId="38152"/>
    <cellStyle name="Обычный 8 2 2 2 4 2 2" xfId="38153"/>
    <cellStyle name="Обычный 8 2 2 2 4 2 2 2" xfId="38154"/>
    <cellStyle name="Обычный 8 2 2 2 4 2 2 3" xfId="38155"/>
    <cellStyle name="Обычный 8 2 2 2 4 2 3" xfId="38156"/>
    <cellStyle name="Обычный 8 2 2 2 4 2 3 2" xfId="38157"/>
    <cellStyle name="Обычный 8 2 2 2 4 2 3 3" xfId="38158"/>
    <cellStyle name="Обычный 8 2 2 2 4 2 4" xfId="38159"/>
    <cellStyle name="Обычный 8 2 2 2 4 2 4 2" xfId="38160"/>
    <cellStyle name="Обычный 8 2 2 2 4 2 5" xfId="38161"/>
    <cellStyle name="Обычный 8 2 2 2 4 2 6" xfId="38162"/>
    <cellStyle name="Обычный 8 2 2 2 4 3" xfId="38163"/>
    <cellStyle name="Обычный 8 2 2 2 4 3 2" xfId="38164"/>
    <cellStyle name="Обычный 8 2 2 2 4 3 3" xfId="38165"/>
    <cellStyle name="Обычный 8 2 2 2 4 4" xfId="38166"/>
    <cellStyle name="Обычный 8 2 2 2 4 4 2" xfId="38167"/>
    <cellStyle name="Обычный 8 2 2 2 4 4 3" xfId="38168"/>
    <cellStyle name="Обычный 8 2 2 2 4 5" xfId="38169"/>
    <cellStyle name="Обычный 8 2 2 2 4 5 2" xfId="38170"/>
    <cellStyle name="Обычный 8 2 2 2 4 6" xfId="38171"/>
    <cellStyle name="Обычный 8 2 2 2 4 7" xfId="38172"/>
    <cellStyle name="Обычный 8 2 2 2 5" xfId="38173"/>
    <cellStyle name="Обычный 8 2 2 2 5 2" xfId="38174"/>
    <cellStyle name="Обычный 8 2 2 2 5 2 2" xfId="38175"/>
    <cellStyle name="Обычный 8 2 2 2 5 2 3" xfId="38176"/>
    <cellStyle name="Обычный 8 2 2 2 5 3" xfId="38177"/>
    <cellStyle name="Обычный 8 2 2 2 5 3 2" xfId="38178"/>
    <cellStyle name="Обычный 8 2 2 2 5 3 3" xfId="38179"/>
    <cellStyle name="Обычный 8 2 2 2 5 4" xfId="38180"/>
    <cellStyle name="Обычный 8 2 2 2 5 4 2" xfId="38181"/>
    <cellStyle name="Обычный 8 2 2 2 5 5" xfId="38182"/>
    <cellStyle name="Обычный 8 2 2 2 5 6" xfId="38183"/>
    <cellStyle name="Обычный 8 2 2 2 6" xfId="38184"/>
    <cellStyle name="Обычный 8 2 2 2 6 2" xfId="38185"/>
    <cellStyle name="Обычный 8 2 2 2 6 3" xfId="38186"/>
    <cellStyle name="Обычный 8 2 2 2 7" xfId="38187"/>
    <cellStyle name="Обычный 8 2 2 2 7 2" xfId="38188"/>
    <cellStyle name="Обычный 8 2 2 2 7 3" xfId="38189"/>
    <cellStyle name="Обычный 8 2 2 2 8" xfId="38190"/>
    <cellStyle name="Обычный 8 2 2 2 8 2" xfId="38191"/>
    <cellStyle name="Обычный 8 2 2 2 9" xfId="38192"/>
    <cellStyle name="Обычный 8 2 2 3" xfId="38193"/>
    <cellStyle name="Обычный 8 2 2 3 10" xfId="38194"/>
    <cellStyle name="Обычный 8 2 2 3 2" xfId="38195"/>
    <cellStyle name="Обычный 8 2 2 3 2 2" xfId="38196"/>
    <cellStyle name="Обычный 8 2 2 3 2 2 2" xfId="38197"/>
    <cellStyle name="Обычный 8 2 2 3 2 2 2 2" xfId="38198"/>
    <cellStyle name="Обычный 8 2 2 3 2 2 2 2 2" xfId="38199"/>
    <cellStyle name="Обычный 8 2 2 3 2 2 2 2 2 2" xfId="38200"/>
    <cellStyle name="Обычный 8 2 2 3 2 2 2 2 2 3" xfId="38201"/>
    <cellStyle name="Обычный 8 2 2 3 2 2 2 2 3" xfId="38202"/>
    <cellStyle name="Обычный 8 2 2 3 2 2 2 2 3 2" xfId="38203"/>
    <cellStyle name="Обычный 8 2 2 3 2 2 2 2 3 3" xfId="38204"/>
    <cellStyle name="Обычный 8 2 2 3 2 2 2 2 4" xfId="38205"/>
    <cellStyle name="Обычный 8 2 2 3 2 2 2 2 4 2" xfId="38206"/>
    <cellStyle name="Обычный 8 2 2 3 2 2 2 2 5" xfId="38207"/>
    <cellStyle name="Обычный 8 2 2 3 2 2 2 2 6" xfId="38208"/>
    <cellStyle name="Обычный 8 2 2 3 2 2 2 3" xfId="38209"/>
    <cellStyle name="Обычный 8 2 2 3 2 2 2 3 2" xfId="38210"/>
    <cellStyle name="Обычный 8 2 2 3 2 2 2 3 3" xfId="38211"/>
    <cellStyle name="Обычный 8 2 2 3 2 2 2 4" xfId="38212"/>
    <cellStyle name="Обычный 8 2 2 3 2 2 2 4 2" xfId="38213"/>
    <cellStyle name="Обычный 8 2 2 3 2 2 2 4 3" xfId="38214"/>
    <cellStyle name="Обычный 8 2 2 3 2 2 2 5" xfId="38215"/>
    <cellStyle name="Обычный 8 2 2 3 2 2 2 5 2" xfId="38216"/>
    <cellStyle name="Обычный 8 2 2 3 2 2 2 6" xfId="38217"/>
    <cellStyle name="Обычный 8 2 2 3 2 2 2 7" xfId="38218"/>
    <cellStyle name="Обычный 8 2 2 3 2 2 3" xfId="38219"/>
    <cellStyle name="Обычный 8 2 2 3 2 2 3 2" xfId="38220"/>
    <cellStyle name="Обычный 8 2 2 3 2 2 3 2 2" xfId="38221"/>
    <cellStyle name="Обычный 8 2 2 3 2 2 3 2 3" xfId="38222"/>
    <cellStyle name="Обычный 8 2 2 3 2 2 3 3" xfId="38223"/>
    <cellStyle name="Обычный 8 2 2 3 2 2 3 3 2" xfId="38224"/>
    <cellStyle name="Обычный 8 2 2 3 2 2 3 3 3" xfId="38225"/>
    <cellStyle name="Обычный 8 2 2 3 2 2 3 4" xfId="38226"/>
    <cellStyle name="Обычный 8 2 2 3 2 2 3 4 2" xfId="38227"/>
    <cellStyle name="Обычный 8 2 2 3 2 2 3 5" xfId="38228"/>
    <cellStyle name="Обычный 8 2 2 3 2 2 3 6" xfId="38229"/>
    <cellStyle name="Обычный 8 2 2 3 2 2 4" xfId="38230"/>
    <cellStyle name="Обычный 8 2 2 3 2 2 4 2" xfId="38231"/>
    <cellStyle name="Обычный 8 2 2 3 2 2 4 3" xfId="38232"/>
    <cellStyle name="Обычный 8 2 2 3 2 2 5" xfId="38233"/>
    <cellStyle name="Обычный 8 2 2 3 2 2 5 2" xfId="38234"/>
    <cellStyle name="Обычный 8 2 2 3 2 2 5 3" xfId="38235"/>
    <cellStyle name="Обычный 8 2 2 3 2 2 6" xfId="38236"/>
    <cellStyle name="Обычный 8 2 2 3 2 2 6 2" xfId="38237"/>
    <cellStyle name="Обычный 8 2 2 3 2 2 7" xfId="38238"/>
    <cellStyle name="Обычный 8 2 2 3 2 2 8" xfId="38239"/>
    <cellStyle name="Обычный 8 2 2 3 2 3" xfId="38240"/>
    <cellStyle name="Обычный 8 2 2 3 2 3 2" xfId="38241"/>
    <cellStyle name="Обычный 8 2 2 3 2 3 2 2" xfId="38242"/>
    <cellStyle name="Обычный 8 2 2 3 2 3 2 2 2" xfId="38243"/>
    <cellStyle name="Обычный 8 2 2 3 2 3 2 2 3" xfId="38244"/>
    <cellStyle name="Обычный 8 2 2 3 2 3 2 3" xfId="38245"/>
    <cellStyle name="Обычный 8 2 2 3 2 3 2 3 2" xfId="38246"/>
    <cellStyle name="Обычный 8 2 2 3 2 3 2 3 3" xfId="38247"/>
    <cellStyle name="Обычный 8 2 2 3 2 3 2 4" xfId="38248"/>
    <cellStyle name="Обычный 8 2 2 3 2 3 2 4 2" xfId="38249"/>
    <cellStyle name="Обычный 8 2 2 3 2 3 2 5" xfId="38250"/>
    <cellStyle name="Обычный 8 2 2 3 2 3 2 6" xfId="38251"/>
    <cellStyle name="Обычный 8 2 2 3 2 3 3" xfId="38252"/>
    <cellStyle name="Обычный 8 2 2 3 2 3 3 2" xfId="38253"/>
    <cellStyle name="Обычный 8 2 2 3 2 3 3 3" xfId="38254"/>
    <cellStyle name="Обычный 8 2 2 3 2 3 4" xfId="38255"/>
    <cellStyle name="Обычный 8 2 2 3 2 3 4 2" xfId="38256"/>
    <cellStyle name="Обычный 8 2 2 3 2 3 4 3" xfId="38257"/>
    <cellStyle name="Обычный 8 2 2 3 2 3 5" xfId="38258"/>
    <cellStyle name="Обычный 8 2 2 3 2 3 5 2" xfId="38259"/>
    <cellStyle name="Обычный 8 2 2 3 2 3 6" xfId="38260"/>
    <cellStyle name="Обычный 8 2 2 3 2 3 7" xfId="38261"/>
    <cellStyle name="Обычный 8 2 2 3 2 4" xfId="38262"/>
    <cellStyle name="Обычный 8 2 2 3 2 4 2" xfId="38263"/>
    <cellStyle name="Обычный 8 2 2 3 2 4 2 2" xfId="38264"/>
    <cellStyle name="Обычный 8 2 2 3 2 4 2 3" xfId="38265"/>
    <cellStyle name="Обычный 8 2 2 3 2 4 3" xfId="38266"/>
    <cellStyle name="Обычный 8 2 2 3 2 4 3 2" xfId="38267"/>
    <cellStyle name="Обычный 8 2 2 3 2 4 3 3" xfId="38268"/>
    <cellStyle name="Обычный 8 2 2 3 2 4 4" xfId="38269"/>
    <cellStyle name="Обычный 8 2 2 3 2 4 4 2" xfId="38270"/>
    <cellStyle name="Обычный 8 2 2 3 2 4 5" xfId="38271"/>
    <cellStyle name="Обычный 8 2 2 3 2 4 6" xfId="38272"/>
    <cellStyle name="Обычный 8 2 2 3 2 5" xfId="38273"/>
    <cellStyle name="Обычный 8 2 2 3 2 5 2" xfId="38274"/>
    <cellStyle name="Обычный 8 2 2 3 2 5 3" xfId="38275"/>
    <cellStyle name="Обычный 8 2 2 3 2 6" xfId="38276"/>
    <cellStyle name="Обычный 8 2 2 3 2 6 2" xfId="38277"/>
    <cellStyle name="Обычный 8 2 2 3 2 6 3" xfId="38278"/>
    <cellStyle name="Обычный 8 2 2 3 2 7" xfId="38279"/>
    <cellStyle name="Обычный 8 2 2 3 2 7 2" xfId="38280"/>
    <cellStyle name="Обычный 8 2 2 3 2 8" xfId="38281"/>
    <cellStyle name="Обычный 8 2 2 3 2 9" xfId="38282"/>
    <cellStyle name="Обычный 8 2 2 3 3" xfId="38283"/>
    <cellStyle name="Обычный 8 2 2 3 3 2" xfId="38284"/>
    <cellStyle name="Обычный 8 2 2 3 3 2 2" xfId="38285"/>
    <cellStyle name="Обычный 8 2 2 3 3 2 2 2" xfId="38286"/>
    <cellStyle name="Обычный 8 2 2 3 3 2 2 2 2" xfId="38287"/>
    <cellStyle name="Обычный 8 2 2 3 3 2 2 2 3" xfId="38288"/>
    <cellStyle name="Обычный 8 2 2 3 3 2 2 3" xfId="38289"/>
    <cellStyle name="Обычный 8 2 2 3 3 2 2 3 2" xfId="38290"/>
    <cellStyle name="Обычный 8 2 2 3 3 2 2 3 3" xfId="38291"/>
    <cellStyle name="Обычный 8 2 2 3 3 2 2 4" xfId="38292"/>
    <cellStyle name="Обычный 8 2 2 3 3 2 2 4 2" xfId="38293"/>
    <cellStyle name="Обычный 8 2 2 3 3 2 2 5" xfId="38294"/>
    <cellStyle name="Обычный 8 2 2 3 3 2 2 6" xfId="38295"/>
    <cellStyle name="Обычный 8 2 2 3 3 2 3" xfId="38296"/>
    <cellStyle name="Обычный 8 2 2 3 3 2 3 2" xfId="38297"/>
    <cellStyle name="Обычный 8 2 2 3 3 2 3 3" xfId="38298"/>
    <cellStyle name="Обычный 8 2 2 3 3 2 4" xfId="38299"/>
    <cellStyle name="Обычный 8 2 2 3 3 2 4 2" xfId="38300"/>
    <cellStyle name="Обычный 8 2 2 3 3 2 4 3" xfId="38301"/>
    <cellStyle name="Обычный 8 2 2 3 3 2 5" xfId="38302"/>
    <cellStyle name="Обычный 8 2 2 3 3 2 5 2" xfId="38303"/>
    <cellStyle name="Обычный 8 2 2 3 3 2 6" xfId="38304"/>
    <cellStyle name="Обычный 8 2 2 3 3 2 7" xfId="38305"/>
    <cellStyle name="Обычный 8 2 2 3 3 3" xfId="38306"/>
    <cellStyle name="Обычный 8 2 2 3 3 3 2" xfId="38307"/>
    <cellStyle name="Обычный 8 2 2 3 3 3 2 2" xfId="38308"/>
    <cellStyle name="Обычный 8 2 2 3 3 3 2 3" xfId="38309"/>
    <cellStyle name="Обычный 8 2 2 3 3 3 3" xfId="38310"/>
    <cellStyle name="Обычный 8 2 2 3 3 3 3 2" xfId="38311"/>
    <cellStyle name="Обычный 8 2 2 3 3 3 3 3" xfId="38312"/>
    <cellStyle name="Обычный 8 2 2 3 3 3 4" xfId="38313"/>
    <cellStyle name="Обычный 8 2 2 3 3 3 4 2" xfId="38314"/>
    <cellStyle name="Обычный 8 2 2 3 3 3 5" xfId="38315"/>
    <cellStyle name="Обычный 8 2 2 3 3 3 6" xfId="38316"/>
    <cellStyle name="Обычный 8 2 2 3 3 4" xfId="38317"/>
    <cellStyle name="Обычный 8 2 2 3 3 4 2" xfId="38318"/>
    <cellStyle name="Обычный 8 2 2 3 3 4 3" xfId="38319"/>
    <cellStyle name="Обычный 8 2 2 3 3 5" xfId="38320"/>
    <cellStyle name="Обычный 8 2 2 3 3 5 2" xfId="38321"/>
    <cellStyle name="Обычный 8 2 2 3 3 5 3" xfId="38322"/>
    <cellStyle name="Обычный 8 2 2 3 3 6" xfId="38323"/>
    <cellStyle name="Обычный 8 2 2 3 3 6 2" xfId="38324"/>
    <cellStyle name="Обычный 8 2 2 3 3 7" xfId="38325"/>
    <cellStyle name="Обычный 8 2 2 3 3 8" xfId="38326"/>
    <cellStyle name="Обычный 8 2 2 3 4" xfId="38327"/>
    <cellStyle name="Обычный 8 2 2 3 4 2" xfId="38328"/>
    <cellStyle name="Обычный 8 2 2 3 4 2 2" xfId="38329"/>
    <cellStyle name="Обычный 8 2 2 3 4 2 2 2" xfId="38330"/>
    <cellStyle name="Обычный 8 2 2 3 4 2 2 3" xfId="38331"/>
    <cellStyle name="Обычный 8 2 2 3 4 2 3" xfId="38332"/>
    <cellStyle name="Обычный 8 2 2 3 4 2 3 2" xfId="38333"/>
    <cellStyle name="Обычный 8 2 2 3 4 2 3 3" xfId="38334"/>
    <cellStyle name="Обычный 8 2 2 3 4 2 4" xfId="38335"/>
    <cellStyle name="Обычный 8 2 2 3 4 2 4 2" xfId="38336"/>
    <cellStyle name="Обычный 8 2 2 3 4 2 5" xfId="38337"/>
    <cellStyle name="Обычный 8 2 2 3 4 2 6" xfId="38338"/>
    <cellStyle name="Обычный 8 2 2 3 4 3" xfId="38339"/>
    <cellStyle name="Обычный 8 2 2 3 4 3 2" xfId="38340"/>
    <cellStyle name="Обычный 8 2 2 3 4 3 3" xfId="38341"/>
    <cellStyle name="Обычный 8 2 2 3 4 4" xfId="38342"/>
    <cellStyle name="Обычный 8 2 2 3 4 4 2" xfId="38343"/>
    <cellStyle name="Обычный 8 2 2 3 4 4 3" xfId="38344"/>
    <cellStyle name="Обычный 8 2 2 3 4 5" xfId="38345"/>
    <cellStyle name="Обычный 8 2 2 3 4 5 2" xfId="38346"/>
    <cellStyle name="Обычный 8 2 2 3 4 6" xfId="38347"/>
    <cellStyle name="Обычный 8 2 2 3 4 7" xfId="38348"/>
    <cellStyle name="Обычный 8 2 2 3 5" xfId="38349"/>
    <cellStyle name="Обычный 8 2 2 3 5 2" xfId="38350"/>
    <cellStyle name="Обычный 8 2 2 3 5 2 2" xfId="38351"/>
    <cellStyle name="Обычный 8 2 2 3 5 2 3" xfId="38352"/>
    <cellStyle name="Обычный 8 2 2 3 5 3" xfId="38353"/>
    <cellStyle name="Обычный 8 2 2 3 5 3 2" xfId="38354"/>
    <cellStyle name="Обычный 8 2 2 3 5 3 3" xfId="38355"/>
    <cellStyle name="Обычный 8 2 2 3 5 4" xfId="38356"/>
    <cellStyle name="Обычный 8 2 2 3 5 4 2" xfId="38357"/>
    <cellStyle name="Обычный 8 2 2 3 5 5" xfId="38358"/>
    <cellStyle name="Обычный 8 2 2 3 5 6" xfId="38359"/>
    <cellStyle name="Обычный 8 2 2 3 6" xfId="38360"/>
    <cellStyle name="Обычный 8 2 2 3 6 2" xfId="38361"/>
    <cellStyle name="Обычный 8 2 2 3 6 3" xfId="38362"/>
    <cellStyle name="Обычный 8 2 2 3 7" xfId="38363"/>
    <cellStyle name="Обычный 8 2 2 3 7 2" xfId="38364"/>
    <cellStyle name="Обычный 8 2 2 3 7 3" xfId="38365"/>
    <cellStyle name="Обычный 8 2 2 3 8" xfId="38366"/>
    <cellStyle name="Обычный 8 2 2 3 8 2" xfId="38367"/>
    <cellStyle name="Обычный 8 2 2 3 9" xfId="38368"/>
    <cellStyle name="Обычный 8 2 2 4" xfId="38369"/>
    <cellStyle name="Обычный 8 2 2 4 10" xfId="38370"/>
    <cellStyle name="Обычный 8 2 2 4 2" xfId="38371"/>
    <cellStyle name="Обычный 8 2 2 4 2 2" xfId="38372"/>
    <cellStyle name="Обычный 8 2 2 4 2 2 2" xfId="38373"/>
    <cellStyle name="Обычный 8 2 2 4 2 2 2 2" xfId="38374"/>
    <cellStyle name="Обычный 8 2 2 4 2 2 2 2 2" xfId="38375"/>
    <cellStyle name="Обычный 8 2 2 4 2 2 2 2 2 2" xfId="38376"/>
    <cellStyle name="Обычный 8 2 2 4 2 2 2 2 2 3" xfId="38377"/>
    <cellStyle name="Обычный 8 2 2 4 2 2 2 2 3" xfId="38378"/>
    <cellStyle name="Обычный 8 2 2 4 2 2 2 2 3 2" xfId="38379"/>
    <cellStyle name="Обычный 8 2 2 4 2 2 2 2 3 3" xfId="38380"/>
    <cellStyle name="Обычный 8 2 2 4 2 2 2 2 4" xfId="38381"/>
    <cellStyle name="Обычный 8 2 2 4 2 2 2 2 4 2" xfId="38382"/>
    <cellStyle name="Обычный 8 2 2 4 2 2 2 2 5" xfId="38383"/>
    <cellStyle name="Обычный 8 2 2 4 2 2 2 2 6" xfId="38384"/>
    <cellStyle name="Обычный 8 2 2 4 2 2 2 3" xfId="38385"/>
    <cellStyle name="Обычный 8 2 2 4 2 2 2 3 2" xfId="38386"/>
    <cellStyle name="Обычный 8 2 2 4 2 2 2 3 3" xfId="38387"/>
    <cellStyle name="Обычный 8 2 2 4 2 2 2 4" xfId="38388"/>
    <cellStyle name="Обычный 8 2 2 4 2 2 2 4 2" xfId="38389"/>
    <cellStyle name="Обычный 8 2 2 4 2 2 2 4 3" xfId="38390"/>
    <cellStyle name="Обычный 8 2 2 4 2 2 2 5" xfId="38391"/>
    <cellStyle name="Обычный 8 2 2 4 2 2 2 5 2" xfId="38392"/>
    <cellStyle name="Обычный 8 2 2 4 2 2 2 6" xfId="38393"/>
    <cellStyle name="Обычный 8 2 2 4 2 2 2 7" xfId="38394"/>
    <cellStyle name="Обычный 8 2 2 4 2 2 3" xfId="38395"/>
    <cellStyle name="Обычный 8 2 2 4 2 2 3 2" xfId="38396"/>
    <cellStyle name="Обычный 8 2 2 4 2 2 3 2 2" xfId="38397"/>
    <cellStyle name="Обычный 8 2 2 4 2 2 3 2 3" xfId="38398"/>
    <cellStyle name="Обычный 8 2 2 4 2 2 3 3" xfId="38399"/>
    <cellStyle name="Обычный 8 2 2 4 2 2 3 3 2" xfId="38400"/>
    <cellStyle name="Обычный 8 2 2 4 2 2 3 3 3" xfId="38401"/>
    <cellStyle name="Обычный 8 2 2 4 2 2 3 4" xfId="38402"/>
    <cellStyle name="Обычный 8 2 2 4 2 2 3 4 2" xfId="38403"/>
    <cellStyle name="Обычный 8 2 2 4 2 2 3 5" xfId="38404"/>
    <cellStyle name="Обычный 8 2 2 4 2 2 3 6" xfId="38405"/>
    <cellStyle name="Обычный 8 2 2 4 2 2 4" xfId="38406"/>
    <cellStyle name="Обычный 8 2 2 4 2 2 4 2" xfId="38407"/>
    <cellStyle name="Обычный 8 2 2 4 2 2 4 3" xfId="38408"/>
    <cellStyle name="Обычный 8 2 2 4 2 2 5" xfId="38409"/>
    <cellStyle name="Обычный 8 2 2 4 2 2 5 2" xfId="38410"/>
    <cellStyle name="Обычный 8 2 2 4 2 2 5 3" xfId="38411"/>
    <cellStyle name="Обычный 8 2 2 4 2 2 6" xfId="38412"/>
    <cellStyle name="Обычный 8 2 2 4 2 2 6 2" xfId="38413"/>
    <cellStyle name="Обычный 8 2 2 4 2 2 7" xfId="38414"/>
    <cellStyle name="Обычный 8 2 2 4 2 2 8" xfId="38415"/>
    <cellStyle name="Обычный 8 2 2 4 2 3" xfId="38416"/>
    <cellStyle name="Обычный 8 2 2 4 2 3 2" xfId="38417"/>
    <cellStyle name="Обычный 8 2 2 4 2 3 2 2" xfId="38418"/>
    <cellStyle name="Обычный 8 2 2 4 2 3 2 2 2" xfId="38419"/>
    <cellStyle name="Обычный 8 2 2 4 2 3 2 2 3" xfId="38420"/>
    <cellStyle name="Обычный 8 2 2 4 2 3 2 3" xfId="38421"/>
    <cellStyle name="Обычный 8 2 2 4 2 3 2 3 2" xfId="38422"/>
    <cellStyle name="Обычный 8 2 2 4 2 3 2 3 3" xfId="38423"/>
    <cellStyle name="Обычный 8 2 2 4 2 3 2 4" xfId="38424"/>
    <cellStyle name="Обычный 8 2 2 4 2 3 2 4 2" xfId="38425"/>
    <cellStyle name="Обычный 8 2 2 4 2 3 2 5" xfId="38426"/>
    <cellStyle name="Обычный 8 2 2 4 2 3 2 6" xfId="38427"/>
    <cellStyle name="Обычный 8 2 2 4 2 3 3" xfId="38428"/>
    <cellStyle name="Обычный 8 2 2 4 2 3 3 2" xfId="38429"/>
    <cellStyle name="Обычный 8 2 2 4 2 3 3 3" xfId="38430"/>
    <cellStyle name="Обычный 8 2 2 4 2 3 4" xfId="38431"/>
    <cellStyle name="Обычный 8 2 2 4 2 3 4 2" xfId="38432"/>
    <cellStyle name="Обычный 8 2 2 4 2 3 4 3" xfId="38433"/>
    <cellStyle name="Обычный 8 2 2 4 2 3 5" xfId="38434"/>
    <cellStyle name="Обычный 8 2 2 4 2 3 5 2" xfId="38435"/>
    <cellStyle name="Обычный 8 2 2 4 2 3 6" xfId="38436"/>
    <cellStyle name="Обычный 8 2 2 4 2 3 7" xfId="38437"/>
    <cellStyle name="Обычный 8 2 2 4 2 4" xfId="38438"/>
    <cellStyle name="Обычный 8 2 2 4 2 4 2" xfId="38439"/>
    <cellStyle name="Обычный 8 2 2 4 2 4 2 2" xfId="38440"/>
    <cellStyle name="Обычный 8 2 2 4 2 4 2 3" xfId="38441"/>
    <cellStyle name="Обычный 8 2 2 4 2 4 3" xfId="38442"/>
    <cellStyle name="Обычный 8 2 2 4 2 4 3 2" xfId="38443"/>
    <cellStyle name="Обычный 8 2 2 4 2 4 3 3" xfId="38444"/>
    <cellStyle name="Обычный 8 2 2 4 2 4 4" xfId="38445"/>
    <cellStyle name="Обычный 8 2 2 4 2 4 4 2" xfId="38446"/>
    <cellStyle name="Обычный 8 2 2 4 2 4 5" xfId="38447"/>
    <cellStyle name="Обычный 8 2 2 4 2 4 6" xfId="38448"/>
    <cellStyle name="Обычный 8 2 2 4 2 5" xfId="38449"/>
    <cellStyle name="Обычный 8 2 2 4 2 5 2" xfId="38450"/>
    <cellStyle name="Обычный 8 2 2 4 2 5 3" xfId="38451"/>
    <cellStyle name="Обычный 8 2 2 4 2 6" xfId="38452"/>
    <cellStyle name="Обычный 8 2 2 4 2 6 2" xfId="38453"/>
    <cellStyle name="Обычный 8 2 2 4 2 6 3" xfId="38454"/>
    <cellStyle name="Обычный 8 2 2 4 2 7" xfId="38455"/>
    <cellStyle name="Обычный 8 2 2 4 2 7 2" xfId="38456"/>
    <cellStyle name="Обычный 8 2 2 4 2 8" xfId="38457"/>
    <cellStyle name="Обычный 8 2 2 4 2 9" xfId="38458"/>
    <cellStyle name="Обычный 8 2 2 4 3" xfId="38459"/>
    <cellStyle name="Обычный 8 2 2 4 3 2" xfId="38460"/>
    <cellStyle name="Обычный 8 2 2 4 3 2 2" xfId="38461"/>
    <cellStyle name="Обычный 8 2 2 4 3 2 2 2" xfId="38462"/>
    <cellStyle name="Обычный 8 2 2 4 3 2 2 2 2" xfId="38463"/>
    <cellStyle name="Обычный 8 2 2 4 3 2 2 2 3" xfId="38464"/>
    <cellStyle name="Обычный 8 2 2 4 3 2 2 3" xfId="38465"/>
    <cellStyle name="Обычный 8 2 2 4 3 2 2 3 2" xfId="38466"/>
    <cellStyle name="Обычный 8 2 2 4 3 2 2 3 3" xfId="38467"/>
    <cellStyle name="Обычный 8 2 2 4 3 2 2 4" xfId="38468"/>
    <cellStyle name="Обычный 8 2 2 4 3 2 2 4 2" xfId="38469"/>
    <cellStyle name="Обычный 8 2 2 4 3 2 2 5" xfId="38470"/>
    <cellStyle name="Обычный 8 2 2 4 3 2 2 6" xfId="38471"/>
    <cellStyle name="Обычный 8 2 2 4 3 2 3" xfId="38472"/>
    <cellStyle name="Обычный 8 2 2 4 3 2 3 2" xfId="38473"/>
    <cellStyle name="Обычный 8 2 2 4 3 2 3 3" xfId="38474"/>
    <cellStyle name="Обычный 8 2 2 4 3 2 4" xfId="38475"/>
    <cellStyle name="Обычный 8 2 2 4 3 2 4 2" xfId="38476"/>
    <cellStyle name="Обычный 8 2 2 4 3 2 4 3" xfId="38477"/>
    <cellStyle name="Обычный 8 2 2 4 3 2 5" xfId="38478"/>
    <cellStyle name="Обычный 8 2 2 4 3 2 5 2" xfId="38479"/>
    <cellStyle name="Обычный 8 2 2 4 3 2 6" xfId="38480"/>
    <cellStyle name="Обычный 8 2 2 4 3 2 7" xfId="38481"/>
    <cellStyle name="Обычный 8 2 2 4 3 3" xfId="38482"/>
    <cellStyle name="Обычный 8 2 2 4 3 3 2" xfId="38483"/>
    <cellStyle name="Обычный 8 2 2 4 3 3 2 2" xfId="38484"/>
    <cellStyle name="Обычный 8 2 2 4 3 3 2 3" xfId="38485"/>
    <cellStyle name="Обычный 8 2 2 4 3 3 3" xfId="38486"/>
    <cellStyle name="Обычный 8 2 2 4 3 3 3 2" xfId="38487"/>
    <cellStyle name="Обычный 8 2 2 4 3 3 3 3" xfId="38488"/>
    <cellStyle name="Обычный 8 2 2 4 3 3 4" xfId="38489"/>
    <cellStyle name="Обычный 8 2 2 4 3 3 4 2" xfId="38490"/>
    <cellStyle name="Обычный 8 2 2 4 3 3 5" xfId="38491"/>
    <cellStyle name="Обычный 8 2 2 4 3 3 6" xfId="38492"/>
    <cellStyle name="Обычный 8 2 2 4 3 4" xfId="38493"/>
    <cellStyle name="Обычный 8 2 2 4 3 4 2" xfId="38494"/>
    <cellStyle name="Обычный 8 2 2 4 3 4 3" xfId="38495"/>
    <cellStyle name="Обычный 8 2 2 4 3 5" xfId="38496"/>
    <cellStyle name="Обычный 8 2 2 4 3 5 2" xfId="38497"/>
    <cellStyle name="Обычный 8 2 2 4 3 5 3" xfId="38498"/>
    <cellStyle name="Обычный 8 2 2 4 3 6" xfId="38499"/>
    <cellStyle name="Обычный 8 2 2 4 3 6 2" xfId="38500"/>
    <cellStyle name="Обычный 8 2 2 4 3 7" xfId="38501"/>
    <cellStyle name="Обычный 8 2 2 4 3 8" xfId="38502"/>
    <cellStyle name="Обычный 8 2 2 4 4" xfId="38503"/>
    <cellStyle name="Обычный 8 2 2 4 4 2" xfId="38504"/>
    <cellStyle name="Обычный 8 2 2 4 4 2 2" xfId="38505"/>
    <cellStyle name="Обычный 8 2 2 4 4 2 2 2" xfId="38506"/>
    <cellStyle name="Обычный 8 2 2 4 4 2 2 3" xfId="38507"/>
    <cellStyle name="Обычный 8 2 2 4 4 2 3" xfId="38508"/>
    <cellStyle name="Обычный 8 2 2 4 4 2 3 2" xfId="38509"/>
    <cellStyle name="Обычный 8 2 2 4 4 2 3 3" xfId="38510"/>
    <cellStyle name="Обычный 8 2 2 4 4 2 4" xfId="38511"/>
    <cellStyle name="Обычный 8 2 2 4 4 2 4 2" xfId="38512"/>
    <cellStyle name="Обычный 8 2 2 4 4 2 5" xfId="38513"/>
    <cellStyle name="Обычный 8 2 2 4 4 2 6" xfId="38514"/>
    <cellStyle name="Обычный 8 2 2 4 4 3" xfId="38515"/>
    <cellStyle name="Обычный 8 2 2 4 4 3 2" xfId="38516"/>
    <cellStyle name="Обычный 8 2 2 4 4 3 3" xfId="38517"/>
    <cellStyle name="Обычный 8 2 2 4 4 4" xfId="38518"/>
    <cellStyle name="Обычный 8 2 2 4 4 4 2" xfId="38519"/>
    <cellStyle name="Обычный 8 2 2 4 4 4 3" xfId="38520"/>
    <cellStyle name="Обычный 8 2 2 4 4 5" xfId="38521"/>
    <cellStyle name="Обычный 8 2 2 4 4 5 2" xfId="38522"/>
    <cellStyle name="Обычный 8 2 2 4 4 6" xfId="38523"/>
    <cellStyle name="Обычный 8 2 2 4 4 7" xfId="38524"/>
    <cellStyle name="Обычный 8 2 2 4 5" xfId="38525"/>
    <cellStyle name="Обычный 8 2 2 4 5 2" xfId="38526"/>
    <cellStyle name="Обычный 8 2 2 4 5 2 2" xfId="38527"/>
    <cellStyle name="Обычный 8 2 2 4 5 2 3" xfId="38528"/>
    <cellStyle name="Обычный 8 2 2 4 5 3" xfId="38529"/>
    <cellStyle name="Обычный 8 2 2 4 5 3 2" xfId="38530"/>
    <cellStyle name="Обычный 8 2 2 4 5 3 3" xfId="38531"/>
    <cellStyle name="Обычный 8 2 2 4 5 4" xfId="38532"/>
    <cellStyle name="Обычный 8 2 2 4 5 4 2" xfId="38533"/>
    <cellStyle name="Обычный 8 2 2 4 5 5" xfId="38534"/>
    <cellStyle name="Обычный 8 2 2 4 5 6" xfId="38535"/>
    <cellStyle name="Обычный 8 2 2 4 6" xfId="38536"/>
    <cellStyle name="Обычный 8 2 2 4 6 2" xfId="38537"/>
    <cellStyle name="Обычный 8 2 2 4 6 3" xfId="38538"/>
    <cellStyle name="Обычный 8 2 2 4 7" xfId="38539"/>
    <cellStyle name="Обычный 8 2 2 4 7 2" xfId="38540"/>
    <cellStyle name="Обычный 8 2 2 4 7 3" xfId="38541"/>
    <cellStyle name="Обычный 8 2 2 4 8" xfId="38542"/>
    <cellStyle name="Обычный 8 2 2 4 8 2" xfId="38543"/>
    <cellStyle name="Обычный 8 2 2 4 9" xfId="38544"/>
    <cellStyle name="Обычный 8 2 2 5" xfId="38545"/>
    <cellStyle name="Обычный 8 2 2 5 2" xfId="38546"/>
    <cellStyle name="Обычный 8 2 2 5 2 2" xfId="38547"/>
    <cellStyle name="Обычный 8 2 2 5 2 2 2" xfId="38548"/>
    <cellStyle name="Обычный 8 2 2 5 2 2 2 2" xfId="38549"/>
    <cellStyle name="Обычный 8 2 2 5 2 2 2 2 2" xfId="38550"/>
    <cellStyle name="Обычный 8 2 2 5 2 2 2 2 3" xfId="38551"/>
    <cellStyle name="Обычный 8 2 2 5 2 2 2 3" xfId="38552"/>
    <cellStyle name="Обычный 8 2 2 5 2 2 2 3 2" xfId="38553"/>
    <cellStyle name="Обычный 8 2 2 5 2 2 2 3 3" xfId="38554"/>
    <cellStyle name="Обычный 8 2 2 5 2 2 2 4" xfId="38555"/>
    <cellStyle name="Обычный 8 2 2 5 2 2 2 4 2" xfId="38556"/>
    <cellStyle name="Обычный 8 2 2 5 2 2 2 5" xfId="38557"/>
    <cellStyle name="Обычный 8 2 2 5 2 2 2 6" xfId="38558"/>
    <cellStyle name="Обычный 8 2 2 5 2 2 3" xfId="38559"/>
    <cellStyle name="Обычный 8 2 2 5 2 2 3 2" xfId="38560"/>
    <cellStyle name="Обычный 8 2 2 5 2 2 3 3" xfId="38561"/>
    <cellStyle name="Обычный 8 2 2 5 2 2 4" xfId="38562"/>
    <cellStyle name="Обычный 8 2 2 5 2 2 4 2" xfId="38563"/>
    <cellStyle name="Обычный 8 2 2 5 2 2 4 3" xfId="38564"/>
    <cellStyle name="Обычный 8 2 2 5 2 2 5" xfId="38565"/>
    <cellStyle name="Обычный 8 2 2 5 2 2 5 2" xfId="38566"/>
    <cellStyle name="Обычный 8 2 2 5 2 2 6" xfId="38567"/>
    <cellStyle name="Обычный 8 2 2 5 2 2 7" xfId="38568"/>
    <cellStyle name="Обычный 8 2 2 5 2 3" xfId="38569"/>
    <cellStyle name="Обычный 8 2 2 5 2 3 2" xfId="38570"/>
    <cellStyle name="Обычный 8 2 2 5 2 3 2 2" xfId="38571"/>
    <cellStyle name="Обычный 8 2 2 5 2 3 2 3" xfId="38572"/>
    <cellStyle name="Обычный 8 2 2 5 2 3 3" xfId="38573"/>
    <cellStyle name="Обычный 8 2 2 5 2 3 3 2" xfId="38574"/>
    <cellStyle name="Обычный 8 2 2 5 2 3 3 3" xfId="38575"/>
    <cellStyle name="Обычный 8 2 2 5 2 3 4" xfId="38576"/>
    <cellStyle name="Обычный 8 2 2 5 2 3 4 2" xfId="38577"/>
    <cellStyle name="Обычный 8 2 2 5 2 3 5" xfId="38578"/>
    <cellStyle name="Обычный 8 2 2 5 2 3 6" xfId="38579"/>
    <cellStyle name="Обычный 8 2 2 5 2 4" xfId="38580"/>
    <cellStyle name="Обычный 8 2 2 5 2 4 2" xfId="38581"/>
    <cellStyle name="Обычный 8 2 2 5 2 4 3" xfId="38582"/>
    <cellStyle name="Обычный 8 2 2 5 2 5" xfId="38583"/>
    <cellStyle name="Обычный 8 2 2 5 2 5 2" xfId="38584"/>
    <cellStyle name="Обычный 8 2 2 5 2 5 3" xfId="38585"/>
    <cellStyle name="Обычный 8 2 2 5 2 6" xfId="38586"/>
    <cellStyle name="Обычный 8 2 2 5 2 6 2" xfId="38587"/>
    <cellStyle name="Обычный 8 2 2 5 2 7" xfId="38588"/>
    <cellStyle name="Обычный 8 2 2 5 2 8" xfId="38589"/>
    <cellStyle name="Обычный 8 2 2 5 3" xfId="38590"/>
    <cellStyle name="Обычный 8 2 2 5 3 2" xfId="38591"/>
    <cellStyle name="Обычный 8 2 2 5 3 2 2" xfId="38592"/>
    <cellStyle name="Обычный 8 2 2 5 3 2 2 2" xfId="38593"/>
    <cellStyle name="Обычный 8 2 2 5 3 2 2 3" xfId="38594"/>
    <cellStyle name="Обычный 8 2 2 5 3 2 3" xfId="38595"/>
    <cellStyle name="Обычный 8 2 2 5 3 2 3 2" xfId="38596"/>
    <cellStyle name="Обычный 8 2 2 5 3 2 3 3" xfId="38597"/>
    <cellStyle name="Обычный 8 2 2 5 3 2 4" xfId="38598"/>
    <cellStyle name="Обычный 8 2 2 5 3 2 4 2" xfId="38599"/>
    <cellStyle name="Обычный 8 2 2 5 3 2 5" xfId="38600"/>
    <cellStyle name="Обычный 8 2 2 5 3 2 6" xfId="38601"/>
    <cellStyle name="Обычный 8 2 2 5 3 3" xfId="38602"/>
    <cellStyle name="Обычный 8 2 2 5 3 3 2" xfId="38603"/>
    <cellStyle name="Обычный 8 2 2 5 3 3 3" xfId="38604"/>
    <cellStyle name="Обычный 8 2 2 5 3 4" xfId="38605"/>
    <cellStyle name="Обычный 8 2 2 5 3 4 2" xfId="38606"/>
    <cellStyle name="Обычный 8 2 2 5 3 4 3" xfId="38607"/>
    <cellStyle name="Обычный 8 2 2 5 3 5" xfId="38608"/>
    <cellStyle name="Обычный 8 2 2 5 3 5 2" xfId="38609"/>
    <cellStyle name="Обычный 8 2 2 5 3 6" xfId="38610"/>
    <cellStyle name="Обычный 8 2 2 5 3 7" xfId="38611"/>
    <cellStyle name="Обычный 8 2 2 5 4" xfId="38612"/>
    <cellStyle name="Обычный 8 2 2 5 4 2" xfId="38613"/>
    <cellStyle name="Обычный 8 2 2 5 4 2 2" xfId="38614"/>
    <cellStyle name="Обычный 8 2 2 5 4 2 3" xfId="38615"/>
    <cellStyle name="Обычный 8 2 2 5 4 3" xfId="38616"/>
    <cellStyle name="Обычный 8 2 2 5 4 3 2" xfId="38617"/>
    <cellStyle name="Обычный 8 2 2 5 4 3 3" xfId="38618"/>
    <cellStyle name="Обычный 8 2 2 5 4 4" xfId="38619"/>
    <cellStyle name="Обычный 8 2 2 5 4 4 2" xfId="38620"/>
    <cellStyle name="Обычный 8 2 2 5 4 5" xfId="38621"/>
    <cellStyle name="Обычный 8 2 2 5 4 6" xfId="38622"/>
    <cellStyle name="Обычный 8 2 2 5 5" xfId="38623"/>
    <cellStyle name="Обычный 8 2 2 5 5 2" xfId="38624"/>
    <cellStyle name="Обычный 8 2 2 5 5 3" xfId="38625"/>
    <cellStyle name="Обычный 8 2 2 5 6" xfId="38626"/>
    <cellStyle name="Обычный 8 2 2 5 6 2" xfId="38627"/>
    <cellStyle name="Обычный 8 2 2 5 6 3" xfId="38628"/>
    <cellStyle name="Обычный 8 2 2 5 7" xfId="38629"/>
    <cellStyle name="Обычный 8 2 2 5 7 2" xfId="38630"/>
    <cellStyle name="Обычный 8 2 2 5 8" xfId="38631"/>
    <cellStyle name="Обычный 8 2 2 5 9" xfId="38632"/>
    <cellStyle name="Обычный 8 2 2 6" xfId="38633"/>
    <cellStyle name="Обычный 8 2 2 6 2" xfId="38634"/>
    <cellStyle name="Обычный 8 2 2 6 2 2" xfId="38635"/>
    <cellStyle name="Обычный 8 2 2 6 2 2 2" xfId="38636"/>
    <cellStyle name="Обычный 8 2 2 6 2 2 2 2" xfId="38637"/>
    <cellStyle name="Обычный 8 2 2 6 2 2 2 3" xfId="38638"/>
    <cellStyle name="Обычный 8 2 2 6 2 2 3" xfId="38639"/>
    <cellStyle name="Обычный 8 2 2 6 2 2 3 2" xfId="38640"/>
    <cellStyle name="Обычный 8 2 2 6 2 2 3 3" xfId="38641"/>
    <cellStyle name="Обычный 8 2 2 6 2 2 4" xfId="38642"/>
    <cellStyle name="Обычный 8 2 2 6 2 2 4 2" xfId="38643"/>
    <cellStyle name="Обычный 8 2 2 6 2 2 5" xfId="38644"/>
    <cellStyle name="Обычный 8 2 2 6 2 2 6" xfId="38645"/>
    <cellStyle name="Обычный 8 2 2 6 2 3" xfId="38646"/>
    <cellStyle name="Обычный 8 2 2 6 2 3 2" xfId="38647"/>
    <cellStyle name="Обычный 8 2 2 6 2 3 3" xfId="38648"/>
    <cellStyle name="Обычный 8 2 2 6 2 4" xfId="38649"/>
    <cellStyle name="Обычный 8 2 2 6 2 4 2" xfId="38650"/>
    <cellStyle name="Обычный 8 2 2 6 2 4 3" xfId="38651"/>
    <cellStyle name="Обычный 8 2 2 6 2 5" xfId="38652"/>
    <cellStyle name="Обычный 8 2 2 6 2 5 2" xfId="38653"/>
    <cellStyle name="Обычный 8 2 2 6 2 6" xfId="38654"/>
    <cellStyle name="Обычный 8 2 2 6 2 7" xfId="38655"/>
    <cellStyle name="Обычный 8 2 2 6 3" xfId="38656"/>
    <cellStyle name="Обычный 8 2 2 6 3 2" xfId="38657"/>
    <cellStyle name="Обычный 8 2 2 6 3 2 2" xfId="38658"/>
    <cellStyle name="Обычный 8 2 2 6 3 2 3" xfId="38659"/>
    <cellStyle name="Обычный 8 2 2 6 3 3" xfId="38660"/>
    <cellStyle name="Обычный 8 2 2 6 3 3 2" xfId="38661"/>
    <cellStyle name="Обычный 8 2 2 6 3 3 3" xfId="38662"/>
    <cellStyle name="Обычный 8 2 2 6 3 4" xfId="38663"/>
    <cellStyle name="Обычный 8 2 2 6 3 4 2" xfId="38664"/>
    <cellStyle name="Обычный 8 2 2 6 3 5" xfId="38665"/>
    <cellStyle name="Обычный 8 2 2 6 3 6" xfId="38666"/>
    <cellStyle name="Обычный 8 2 2 6 4" xfId="38667"/>
    <cellStyle name="Обычный 8 2 2 6 4 2" xfId="38668"/>
    <cellStyle name="Обычный 8 2 2 6 4 3" xfId="38669"/>
    <cellStyle name="Обычный 8 2 2 6 5" xfId="38670"/>
    <cellStyle name="Обычный 8 2 2 6 5 2" xfId="38671"/>
    <cellStyle name="Обычный 8 2 2 6 5 3" xfId="38672"/>
    <cellStyle name="Обычный 8 2 2 6 6" xfId="38673"/>
    <cellStyle name="Обычный 8 2 2 6 6 2" xfId="38674"/>
    <cellStyle name="Обычный 8 2 2 6 7" xfId="38675"/>
    <cellStyle name="Обычный 8 2 2 6 8" xfId="38676"/>
    <cellStyle name="Обычный 8 2 2 7" xfId="38677"/>
    <cellStyle name="Обычный 8 2 2 7 2" xfId="38678"/>
    <cellStyle name="Обычный 8 2 2 7 2 2" xfId="38679"/>
    <cellStyle name="Обычный 8 2 2 7 2 2 2" xfId="38680"/>
    <cellStyle name="Обычный 8 2 2 7 2 2 3" xfId="38681"/>
    <cellStyle name="Обычный 8 2 2 7 2 3" xfId="38682"/>
    <cellStyle name="Обычный 8 2 2 7 2 3 2" xfId="38683"/>
    <cellStyle name="Обычный 8 2 2 7 2 3 3" xfId="38684"/>
    <cellStyle name="Обычный 8 2 2 7 2 4" xfId="38685"/>
    <cellStyle name="Обычный 8 2 2 7 2 4 2" xfId="38686"/>
    <cellStyle name="Обычный 8 2 2 7 2 5" xfId="38687"/>
    <cellStyle name="Обычный 8 2 2 7 2 6" xfId="38688"/>
    <cellStyle name="Обычный 8 2 2 7 3" xfId="38689"/>
    <cellStyle name="Обычный 8 2 2 7 3 2" xfId="38690"/>
    <cellStyle name="Обычный 8 2 2 7 3 3" xfId="38691"/>
    <cellStyle name="Обычный 8 2 2 7 4" xfId="38692"/>
    <cellStyle name="Обычный 8 2 2 7 4 2" xfId="38693"/>
    <cellStyle name="Обычный 8 2 2 7 4 3" xfId="38694"/>
    <cellStyle name="Обычный 8 2 2 7 5" xfId="38695"/>
    <cellStyle name="Обычный 8 2 2 7 5 2" xfId="38696"/>
    <cellStyle name="Обычный 8 2 2 7 6" xfId="38697"/>
    <cellStyle name="Обычный 8 2 2 7 7" xfId="38698"/>
    <cellStyle name="Обычный 8 2 2 8" xfId="38699"/>
    <cellStyle name="Обычный 8 2 2 8 2" xfId="38700"/>
    <cellStyle name="Обычный 8 2 2 8 2 2" xfId="38701"/>
    <cellStyle name="Обычный 8 2 2 8 2 3" xfId="38702"/>
    <cellStyle name="Обычный 8 2 2 8 3" xfId="38703"/>
    <cellStyle name="Обычный 8 2 2 8 3 2" xfId="38704"/>
    <cellStyle name="Обычный 8 2 2 8 3 3" xfId="38705"/>
    <cellStyle name="Обычный 8 2 2 8 4" xfId="38706"/>
    <cellStyle name="Обычный 8 2 2 8 4 2" xfId="38707"/>
    <cellStyle name="Обычный 8 2 2 8 5" xfId="38708"/>
    <cellStyle name="Обычный 8 2 2 8 6" xfId="38709"/>
    <cellStyle name="Обычный 8 2 2 9" xfId="38710"/>
    <cellStyle name="Обычный 8 2 2 9 2" xfId="38711"/>
    <cellStyle name="Обычный 8 2 2 9 3" xfId="38712"/>
    <cellStyle name="Обычный 8 2 3" xfId="38713"/>
    <cellStyle name="Обычный 8 2 3 10" xfId="38714"/>
    <cellStyle name="Обычный 8 2 3 2" xfId="38715"/>
    <cellStyle name="Обычный 8 2 3 2 2" xfId="38716"/>
    <cellStyle name="Обычный 8 2 3 2 2 2" xfId="38717"/>
    <cellStyle name="Обычный 8 2 3 2 2 2 2" xfId="38718"/>
    <cellStyle name="Обычный 8 2 3 2 2 2 2 2" xfId="38719"/>
    <cellStyle name="Обычный 8 2 3 2 2 2 2 2 2" xfId="38720"/>
    <cellStyle name="Обычный 8 2 3 2 2 2 2 2 3" xfId="38721"/>
    <cellStyle name="Обычный 8 2 3 2 2 2 2 3" xfId="38722"/>
    <cellStyle name="Обычный 8 2 3 2 2 2 2 3 2" xfId="38723"/>
    <cellStyle name="Обычный 8 2 3 2 2 2 2 3 3" xfId="38724"/>
    <cellStyle name="Обычный 8 2 3 2 2 2 2 4" xfId="38725"/>
    <cellStyle name="Обычный 8 2 3 2 2 2 2 4 2" xfId="38726"/>
    <cellStyle name="Обычный 8 2 3 2 2 2 2 5" xfId="38727"/>
    <cellStyle name="Обычный 8 2 3 2 2 2 2 6" xfId="38728"/>
    <cellStyle name="Обычный 8 2 3 2 2 2 3" xfId="38729"/>
    <cellStyle name="Обычный 8 2 3 2 2 2 3 2" xfId="38730"/>
    <cellStyle name="Обычный 8 2 3 2 2 2 3 3" xfId="38731"/>
    <cellStyle name="Обычный 8 2 3 2 2 2 4" xfId="38732"/>
    <cellStyle name="Обычный 8 2 3 2 2 2 4 2" xfId="38733"/>
    <cellStyle name="Обычный 8 2 3 2 2 2 4 3" xfId="38734"/>
    <cellStyle name="Обычный 8 2 3 2 2 2 5" xfId="38735"/>
    <cellStyle name="Обычный 8 2 3 2 2 2 5 2" xfId="38736"/>
    <cellStyle name="Обычный 8 2 3 2 2 2 6" xfId="38737"/>
    <cellStyle name="Обычный 8 2 3 2 2 2 7" xfId="38738"/>
    <cellStyle name="Обычный 8 2 3 2 2 3" xfId="38739"/>
    <cellStyle name="Обычный 8 2 3 2 2 3 2" xfId="38740"/>
    <cellStyle name="Обычный 8 2 3 2 2 3 2 2" xfId="38741"/>
    <cellStyle name="Обычный 8 2 3 2 2 3 2 3" xfId="38742"/>
    <cellStyle name="Обычный 8 2 3 2 2 3 3" xfId="38743"/>
    <cellStyle name="Обычный 8 2 3 2 2 3 3 2" xfId="38744"/>
    <cellStyle name="Обычный 8 2 3 2 2 3 3 3" xfId="38745"/>
    <cellStyle name="Обычный 8 2 3 2 2 3 4" xfId="38746"/>
    <cellStyle name="Обычный 8 2 3 2 2 3 4 2" xfId="38747"/>
    <cellStyle name="Обычный 8 2 3 2 2 3 5" xfId="38748"/>
    <cellStyle name="Обычный 8 2 3 2 2 3 6" xfId="38749"/>
    <cellStyle name="Обычный 8 2 3 2 2 4" xfId="38750"/>
    <cellStyle name="Обычный 8 2 3 2 2 4 2" xfId="38751"/>
    <cellStyle name="Обычный 8 2 3 2 2 4 3" xfId="38752"/>
    <cellStyle name="Обычный 8 2 3 2 2 5" xfId="38753"/>
    <cellStyle name="Обычный 8 2 3 2 2 5 2" xfId="38754"/>
    <cellStyle name="Обычный 8 2 3 2 2 5 3" xfId="38755"/>
    <cellStyle name="Обычный 8 2 3 2 2 6" xfId="38756"/>
    <cellStyle name="Обычный 8 2 3 2 2 6 2" xfId="38757"/>
    <cellStyle name="Обычный 8 2 3 2 2 7" xfId="38758"/>
    <cellStyle name="Обычный 8 2 3 2 2 8" xfId="38759"/>
    <cellStyle name="Обычный 8 2 3 2 3" xfId="38760"/>
    <cellStyle name="Обычный 8 2 3 2 3 2" xfId="38761"/>
    <cellStyle name="Обычный 8 2 3 2 3 2 2" xfId="38762"/>
    <cellStyle name="Обычный 8 2 3 2 3 2 2 2" xfId="38763"/>
    <cellStyle name="Обычный 8 2 3 2 3 2 2 3" xfId="38764"/>
    <cellStyle name="Обычный 8 2 3 2 3 2 3" xfId="38765"/>
    <cellStyle name="Обычный 8 2 3 2 3 2 3 2" xfId="38766"/>
    <cellStyle name="Обычный 8 2 3 2 3 2 3 3" xfId="38767"/>
    <cellStyle name="Обычный 8 2 3 2 3 2 4" xfId="38768"/>
    <cellStyle name="Обычный 8 2 3 2 3 2 4 2" xfId="38769"/>
    <cellStyle name="Обычный 8 2 3 2 3 2 5" xfId="38770"/>
    <cellStyle name="Обычный 8 2 3 2 3 2 6" xfId="38771"/>
    <cellStyle name="Обычный 8 2 3 2 3 3" xfId="38772"/>
    <cellStyle name="Обычный 8 2 3 2 3 3 2" xfId="38773"/>
    <cellStyle name="Обычный 8 2 3 2 3 3 3" xfId="38774"/>
    <cellStyle name="Обычный 8 2 3 2 3 4" xfId="38775"/>
    <cellStyle name="Обычный 8 2 3 2 3 4 2" xfId="38776"/>
    <cellStyle name="Обычный 8 2 3 2 3 4 3" xfId="38777"/>
    <cellStyle name="Обычный 8 2 3 2 3 5" xfId="38778"/>
    <cellStyle name="Обычный 8 2 3 2 3 5 2" xfId="38779"/>
    <cellStyle name="Обычный 8 2 3 2 3 6" xfId="38780"/>
    <cellStyle name="Обычный 8 2 3 2 3 7" xfId="38781"/>
    <cellStyle name="Обычный 8 2 3 2 4" xfId="38782"/>
    <cellStyle name="Обычный 8 2 3 2 4 2" xfId="38783"/>
    <cellStyle name="Обычный 8 2 3 2 4 2 2" xfId="38784"/>
    <cellStyle name="Обычный 8 2 3 2 4 2 3" xfId="38785"/>
    <cellStyle name="Обычный 8 2 3 2 4 3" xfId="38786"/>
    <cellStyle name="Обычный 8 2 3 2 4 3 2" xfId="38787"/>
    <cellStyle name="Обычный 8 2 3 2 4 3 3" xfId="38788"/>
    <cellStyle name="Обычный 8 2 3 2 4 4" xfId="38789"/>
    <cellStyle name="Обычный 8 2 3 2 4 4 2" xfId="38790"/>
    <cellStyle name="Обычный 8 2 3 2 4 5" xfId="38791"/>
    <cellStyle name="Обычный 8 2 3 2 4 6" xfId="38792"/>
    <cellStyle name="Обычный 8 2 3 2 5" xfId="38793"/>
    <cellStyle name="Обычный 8 2 3 2 5 2" xfId="38794"/>
    <cellStyle name="Обычный 8 2 3 2 5 3" xfId="38795"/>
    <cellStyle name="Обычный 8 2 3 2 6" xfId="38796"/>
    <cellStyle name="Обычный 8 2 3 2 6 2" xfId="38797"/>
    <cellStyle name="Обычный 8 2 3 2 6 3" xfId="38798"/>
    <cellStyle name="Обычный 8 2 3 2 7" xfId="38799"/>
    <cellStyle name="Обычный 8 2 3 2 7 2" xfId="38800"/>
    <cellStyle name="Обычный 8 2 3 2 8" xfId="38801"/>
    <cellStyle name="Обычный 8 2 3 2 9" xfId="38802"/>
    <cellStyle name="Обычный 8 2 3 3" xfId="38803"/>
    <cellStyle name="Обычный 8 2 3 3 2" xfId="38804"/>
    <cellStyle name="Обычный 8 2 3 3 2 2" xfId="38805"/>
    <cellStyle name="Обычный 8 2 3 3 2 2 2" xfId="38806"/>
    <cellStyle name="Обычный 8 2 3 3 2 2 2 2" xfId="38807"/>
    <cellStyle name="Обычный 8 2 3 3 2 2 2 3" xfId="38808"/>
    <cellStyle name="Обычный 8 2 3 3 2 2 3" xfId="38809"/>
    <cellStyle name="Обычный 8 2 3 3 2 2 3 2" xfId="38810"/>
    <cellStyle name="Обычный 8 2 3 3 2 2 3 3" xfId="38811"/>
    <cellStyle name="Обычный 8 2 3 3 2 2 4" xfId="38812"/>
    <cellStyle name="Обычный 8 2 3 3 2 2 4 2" xfId="38813"/>
    <cellStyle name="Обычный 8 2 3 3 2 2 5" xfId="38814"/>
    <cellStyle name="Обычный 8 2 3 3 2 2 6" xfId="38815"/>
    <cellStyle name="Обычный 8 2 3 3 2 3" xfId="38816"/>
    <cellStyle name="Обычный 8 2 3 3 2 3 2" xfId="38817"/>
    <cellStyle name="Обычный 8 2 3 3 2 3 3" xfId="38818"/>
    <cellStyle name="Обычный 8 2 3 3 2 4" xfId="38819"/>
    <cellStyle name="Обычный 8 2 3 3 2 4 2" xfId="38820"/>
    <cellStyle name="Обычный 8 2 3 3 2 4 3" xfId="38821"/>
    <cellStyle name="Обычный 8 2 3 3 2 5" xfId="38822"/>
    <cellStyle name="Обычный 8 2 3 3 2 5 2" xfId="38823"/>
    <cellStyle name="Обычный 8 2 3 3 2 6" xfId="38824"/>
    <cellStyle name="Обычный 8 2 3 3 2 7" xfId="38825"/>
    <cellStyle name="Обычный 8 2 3 3 3" xfId="38826"/>
    <cellStyle name="Обычный 8 2 3 3 3 2" xfId="38827"/>
    <cellStyle name="Обычный 8 2 3 3 3 2 2" xfId="38828"/>
    <cellStyle name="Обычный 8 2 3 3 3 2 3" xfId="38829"/>
    <cellStyle name="Обычный 8 2 3 3 3 3" xfId="38830"/>
    <cellStyle name="Обычный 8 2 3 3 3 3 2" xfId="38831"/>
    <cellStyle name="Обычный 8 2 3 3 3 3 3" xfId="38832"/>
    <cellStyle name="Обычный 8 2 3 3 3 4" xfId="38833"/>
    <cellStyle name="Обычный 8 2 3 3 3 4 2" xfId="38834"/>
    <cellStyle name="Обычный 8 2 3 3 3 5" xfId="38835"/>
    <cellStyle name="Обычный 8 2 3 3 3 6" xfId="38836"/>
    <cellStyle name="Обычный 8 2 3 3 4" xfId="38837"/>
    <cellStyle name="Обычный 8 2 3 3 4 2" xfId="38838"/>
    <cellStyle name="Обычный 8 2 3 3 4 3" xfId="38839"/>
    <cellStyle name="Обычный 8 2 3 3 5" xfId="38840"/>
    <cellStyle name="Обычный 8 2 3 3 5 2" xfId="38841"/>
    <cellStyle name="Обычный 8 2 3 3 5 3" xfId="38842"/>
    <cellStyle name="Обычный 8 2 3 3 6" xfId="38843"/>
    <cellStyle name="Обычный 8 2 3 3 6 2" xfId="38844"/>
    <cellStyle name="Обычный 8 2 3 3 7" xfId="38845"/>
    <cellStyle name="Обычный 8 2 3 3 8" xfId="38846"/>
    <cellStyle name="Обычный 8 2 3 4" xfId="38847"/>
    <cellStyle name="Обычный 8 2 3 4 2" xfId="38848"/>
    <cellStyle name="Обычный 8 2 3 4 2 2" xfId="38849"/>
    <cellStyle name="Обычный 8 2 3 4 2 2 2" xfId="38850"/>
    <cellStyle name="Обычный 8 2 3 4 2 2 3" xfId="38851"/>
    <cellStyle name="Обычный 8 2 3 4 2 3" xfId="38852"/>
    <cellStyle name="Обычный 8 2 3 4 2 3 2" xfId="38853"/>
    <cellStyle name="Обычный 8 2 3 4 2 3 3" xfId="38854"/>
    <cellStyle name="Обычный 8 2 3 4 2 4" xfId="38855"/>
    <cellStyle name="Обычный 8 2 3 4 2 4 2" xfId="38856"/>
    <cellStyle name="Обычный 8 2 3 4 2 5" xfId="38857"/>
    <cellStyle name="Обычный 8 2 3 4 2 6" xfId="38858"/>
    <cellStyle name="Обычный 8 2 3 4 3" xfId="38859"/>
    <cellStyle name="Обычный 8 2 3 4 3 2" xfId="38860"/>
    <cellStyle name="Обычный 8 2 3 4 3 3" xfId="38861"/>
    <cellStyle name="Обычный 8 2 3 4 4" xfId="38862"/>
    <cellStyle name="Обычный 8 2 3 4 4 2" xfId="38863"/>
    <cellStyle name="Обычный 8 2 3 4 4 3" xfId="38864"/>
    <cellStyle name="Обычный 8 2 3 4 5" xfId="38865"/>
    <cellStyle name="Обычный 8 2 3 4 5 2" xfId="38866"/>
    <cellStyle name="Обычный 8 2 3 4 6" xfId="38867"/>
    <cellStyle name="Обычный 8 2 3 4 7" xfId="38868"/>
    <cellStyle name="Обычный 8 2 3 5" xfId="38869"/>
    <cellStyle name="Обычный 8 2 3 5 2" xfId="38870"/>
    <cellStyle name="Обычный 8 2 3 5 2 2" xfId="38871"/>
    <cellStyle name="Обычный 8 2 3 5 2 3" xfId="38872"/>
    <cellStyle name="Обычный 8 2 3 5 3" xfId="38873"/>
    <cellStyle name="Обычный 8 2 3 5 3 2" xfId="38874"/>
    <cellStyle name="Обычный 8 2 3 5 3 3" xfId="38875"/>
    <cellStyle name="Обычный 8 2 3 5 4" xfId="38876"/>
    <cellStyle name="Обычный 8 2 3 5 4 2" xfId="38877"/>
    <cellStyle name="Обычный 8 2 3 5 5" xfId="38878"/>
    <cellStyle name="Обычный 8 2 3 5 6" xfId="38879"/>
    <cellStyle name="Обычный 8 2 3 6" xfId="38880"/>
    <cellStyle name="Обычный 8 2 3 6 2" xfId="38881"/>
    <cellStyle name="Обычный 8 2 3 6 3" xfId="38882"/>
    <cellStyle name="Обычный 8 2 3 7" xfId="38883"/>
    <cellStyle name="Обычный 8 2 3 7 2" xfId="38884"/>
    <cellStyle name="Обычный 8 2 3 7 3" xfId="38885"/>
    <cellStyle name="Обычный 8 2 3 8" xfId="38886"/>
    <cellStyle name="Обычный 8 2 3 8 2" xfId="38887"/>
    <cellStyle name="Обычный 8 2 3 9" xfId="38888"/>
    <cellStyle name="Обычный 8 2 4" xfId="38889"/>
    <cellStyle name="Обычный 8 2 4 10" xfId="38890"/>
    <cellStyle name="Обычный 8 2 4 2" xfId="38891"/>
    <cellStyle name="Обычный 8 2 4 2 2" xfId="38892"/>
    <cellStyle name="Обычный 8 2 4 2 2 2" xfId="38893"/>
    <cellStyle name="Обычный 8 2 4 2 2 2 2" xfId="38894"/>
    <cellStyle name="Обычный 8 2 4 2 2 2 2 2" xfId="38895"/>
    <cellStyle name="Обычный 8 2 4 2 2 2 2 2 2" xfId="38896"/>
    <cellStyle name="Обычный 8 2 4 2 2 2 2 2 3" xfId="38897"/>
    <cellStyle name="Обычный 8 2 4 2 2 2 2 3" xfId="38898"/>
    <cellStyle name="Обычный 8 2 4 2 2 2 2 3 2" xfId="38899"/>
    <cellStyle name="Обычный 8 2 4 2 2 2 2 3 3" xfId="38900"/>
    <cellStyle name="Обычный 8 2 4 2 2 2 2 4" xfId="38901"/>
    <cellStyle name="Обычный 8 2 4 2 2 2 2 4 2" xfId="38902"/>
    <cellStyle name="Обычный 8 2 4 2 2 2 2 5" xfId="38903"/>
    <cellStyle name="Обычный 8 2 4 2 2 2 2 6" xfId="38904"/>
    <cellStyle name="Обычный 8 2 4 2 2 2 3" xfId="38905"/>
    <cellStyle name="Обычный 8 2 4 2 2 2 3 2" xfId="38906"/>
    <cellStyle name="Обычный 8 2 4 2 2 2 3 3" xfId="38907"/>
    <cellStyle name="Обычный 8 2 4 2 2 2 4" xfId="38908"/>
    <cellStyle name="Обычный 8 2 4 2 2 2 4 2" xfId="38909"/>
    <cellStyle name="Обычный 8 2 4 2 2 2 4 3" xfId="38910"/>
    <cellStyle name="Обычный 8 2 4 2 2 2 5" xfId="38911"/>
    <cellStyle name="Обычный 8 2 4 2 2 2 5 2" xfId="38912"/>
    <cellStyle name="Обычный 8 2 4 2 2 2 6" xfId="38913"/>
    <cellStyle name="Обычный 8 2 4 2 2 2 7" xfId="38914"/>
    <cellStyle name="Обычный 8 2 4 2 2 3" xfId="38915"/>
    <cellStyle name="Обычный 8 2 4 2 2 3 2" xfId="38916"/>
    <cellStyle name="Обычный 8 2 4 2 2 3 2 2" xfId="38917"/>
    <cellStyle name="Обычный 8 2 4 2 2 3 2 3" xfId="38918"/>
    <cellStyle name="Обычный 8 2 4 2 2 3 3" xfId="38919"/>
    <cellStyle name="Обычный 8 2 4 2 2 3 3 2" xfId="38920"/>
    <cellStyle name="Обычный 8 2 4 2 2 3 3 3" xfId="38921"/>
    <cellStyle name="Обычный 8 2 4 2 2 3 4" xfId="38922"/>
    <cellStyle name="Обычный 8 2 4 2 2 3 4 2" xfId="38923"/>
    <cellStyle name="Обычный 8 2 4 2 2 3 5" xfId="38924"/>
    <cellStyle name="Обычный 8 2 4 2 2 3 6" xfId="38925"/>
    <cellStyle name="Обычный 8 2 4 2 2 4" xfId="38926"/>
    <cellStyle name="Обычный 8 2 4 2 2 4 2" xfId="38927"/>
    <cellStyle name="Обычный 8 2 4 2 2 4 3" xfId="38928"/>
    <cellStyle name="Обычный 8 2 4 2 2 5" xfId="38929"/>
    <cellStyle name="Обычный 8 2 4 2 2 5 2" xfId="38930"/>
    <cellStyle name="Обычный 8 2 4 2 2 5 3" xfId="38931"/>
    <cellStyle name="Обычный 8 2 4 2 2 6" xfId="38932"/>
    <cellStyle name="Обычный 8 2 4 2 2 6 2" xfId="38933"/>
    <cellStyle name="Обычный 8 2 4 2 2 7" xfId="38934"/>
    <cellStyle name="Обычный 8 2 4 2 2 8" xfId="38935"/>
    <cellStyle name="Обычный 8 2 4 2 3" xfId="38936"/>
    <cellStyle name="Обычный 8 2 4 2 3 2" xfId="38937"/>
    <cellStyle name="Обычный 8 2 4 2 3 2 2" xfId="38938"/>
    <cellStyle name="Обычный 8 2 4 2 3 2 2 2" xfId="38939"/>
    <cellStyle name="Обычный 8 2 4 2 3 2 2 3" xfId="38940"/>
    <cellStyle name="Обычный 8 2 4 2 3 2 3" xfId="38941"/>
    <cellStyle name="Обычный 8 2 4 2 3 2 3 2" xfId="38942"/>
    <cellStyle name="Обычный 8 2 4 2 3 2 3 3" xfId="38943"/>
    <cellStyle name="Обычный 8 2 4 2 3 2 4" xfId="38944"/>
    <cellStyle name="Обычный 8 2 4 2 3 2 4 2" xfId="38945"/>
    <cellStyle name="Обычный 8 2 4 2 3 2 5" xfId="38946"/>
    <cellStyle name="Обычный 8 2 4 2 3 2 6" xfId="38947"/>
    <cellStyle name="Обычный 8 2 4 2 3 3" xfId="38948"/>
    <cellStyle name="Обычный 8 2 4 2 3 3 2" xfId="38949"/>
    <cellStyle name="Обычный 8 2 4 2 3 3 3" xfId="38950"/>
    <cellStyle name="Обычный 8 2 4 2 3 4" xfId="38951"/>
    <cellStyle name="Обычный 8 2 4 2 3 4 2" xfId="38952"/>
    <cellStyle name="Обычный 8 2 4 2 3 4 3" xfId="38953"/>
    <cellStyle name="Обычный 8 2 4 2 3 5" xfId="38954"/>
    <cellStyle name="Обычный 8 2 4 2 3 5 2" xfId="38955"/>
    <cellStyle name="Обычный 8 2 4 2 3 6" xfId="38956"/>
    <cellStyle name="Обычный 8 2 4 2 3 7" xfId="38957"/>
    <cellStyle name="Обычный 8 2 4 2 4" xfId="38958"/>
    <cellStyle name="Обычный 8 2 4 2 4 2" xfId="38959"/>
    <cellStyle name="Обычный 8 2 4 2 4 2 2" xfId="38960"/>
    <cellStyle name="Обычный 8 2 4 2 4 2 3" xfId="38961"/>
    <cellStyle name="Обычный 8 2 4 2 4 3" xfId="38962"/>
    <cellStyle name="Обычный 8 2 4 2 4 3 2" xfId="38963"/>
    <cellStyle name="Обычный 8 2 4 2 4 3 3" xfId="38964"/>
    <cellStyle name="Обычный 8 2 4 2 4 4" xfId="38965"/>
    <cellStyle name="Обычный 8 2 4 2 4 4 2" xfId="38966"/>
    <cellStyle name="Обычный 8 2 4 2 4 5" xfId="38967"/>
    <cellStyle name="Обычный 8 2 4 2 4 6" xfId="38968"/>
    <cellStyle name="Обычный 8 2 4 2 5" xfId="38969"/>
    <cellStyle name="Обычный 8 2 4 2 5 2" xfId="38970"/>
    <cellStyle name="Обычный 8 2 4 2 5 3" xfId="38971"/>
    <cellStyle name="Обычный 8 2 4 2 6" xfId="38972"/>
    <cellStyle name="Обычный 8 2 4 2 6 2" xfId="38973"/>
    <cellStyle name="Обычный 8 2 4 2 6 3" xfId="38974"/>
    <cellStyle name="Обычный 8 2 4 2 7" xfId="38975"/>
    <cellStyle name="Обычный 8 2 4 2 7 2" xfId="38976"/>
    <cellStyle name="Обычный 8 2 4 2 8" xfId="38977"/>
    <cellStyle name="Обычный 8 2 4 2 9" xfId="38978"/>
    <cellStyle name="Обычный 8 2 4 3" xfId="38979"/>
    <cellStyle name="Обычный 8 2 4 3 2" xfId="38980"/>
    <cellStyle name="Обычный 8 2 4 3 2 2" xfId="38981"/>
    <cellStyle name="Обычный 8 2 4 3 2 2 2" xfId="38982"/>
    <cellStyle name="Обычный 8 2 4 3 2 2 2 2" xfId="38983"/>
    <cellStyle name="Обычный 8 2 4 3 2 2 2 3" xfId="38984"/>
    <cellStyle name="Обычный 8 2 4 3 2 2 3" xfId="38985"/>
    <cellStyle name="Обычный 8 2 4 3 2 2 3 2" xfId="38986"/>
    <cellStyle name="Обычный 8 2 4 3 2 2 3 3" xfId="38987"/>
    <cellStyle name="Обычный 8 2 4 3 2 2 4" xfId="38988"/>
    <cellStyle name="Обычный 8 2 4 3 2 2 4 2" xfId="38989"/>
    <cellStyle name="Обычный 8 2 4 3 2 2 5" xfId="38990"/>
    <cellStyle name="Обычный 8 2 4 3 2 2 6" xfId="38991"/>
    <cellStyle name="Обычный 8 2 4 3 2 3" xfId="38992"/>
    <cellStyle name="Обычный 8 2 4 3 2 3 2" xfId="38993"/>
    <cellStyle name="Обычный 8 2 4 3 2 3 3" xfId="38994"/>
    <cellStyle name="Обычный 8 2 4 3 2 4" xfId="38995"/>
    <cellStyle name="Обычный 8 2 4 3 2 4 2" xfId="38996"/>
    <cellStyle name="Обычный 8 2 4 3 2 4 3" xfId="38997"/>
    <cellStyle name="Обычный 8 2 4 3 2 5" xfId="38998"/>
    <cellStyle name="Обычный 8 2 4 3 2 5 2" xfId="38999"/>
    <cellStyle name="Обычный 8 2 4 3 2 6" xfId="39000"/>
    <cellStyle name="Обычный 8 2 4 3 2 7" xfId="39001"/>
    <cellStyle name="Обычный 8 2 4 3 3" xfId="39002"/>
    <cellStyle name="Обычный 8 2 4 3 3 2" xfId="39003"/>
    <cellStyle name="Обычный 8 2 4 3 3 2 2" xfId="39004"/>
    <cellStyle name="Обычный 8 2 4 3 3 2 3" xfId="39005"/>
    <cellStyle name="Обычный 8 2 4 3 3 3" xfId="39006"/>
    <cellStyle name="Обычный 8 2 4 3 3 3 2" xfId="39007"/>
    <cellStyle name="Обычный 8 2 4 3 3 3 3" xfId="39008"/>
    <cellStyle name="Обычный 8 2 4 3 3 4" xfId="39009"/>
    <cellStyle name="Обычный 8 2 4 3 3 4 2" xfId="39010"/>
    <cellStyle name="Обычный 8 2 4 3 3 5" xfId="39011"/>
    <cellStyle name="Обычный 8 2 4 3 3 6" xfId="39012"/>
    <cellStyle name="Обычный 8 2 4 3 4" xfId="39013"/>
    <cellStyle name="Обычный 8 2 4 3 4 2" xfId="39014"/>
    <cellStyle name="Обычный 8 2 4 3 4 3" xfId="39015"/>
    <cellStyle name="Обычный 8 2 4 3 5" xfId="39016"/>
    <cellStyle name="Обычный 8 2 4 3 5 2" xfId="39017"/>
    <cellStyle name="Обычный 8 2 4 3 5 3" xfId="39018"/>
    <cellStyle name="Обычный 8 2 4 3 6" xfId="39019"/>
    <cellStyle name="Обычный 8 2 4 3 6 2" xfId="39020"/>
    <cellStyle name="Обычный 8 2 4 3 7" xfId="39021"/>
    <cellStyle name="Обычный 8 2 4 3 8" xfId="39022"/>
    <cellStyle name="Обычный 8 2 4 4" xfId="39023"/>
    <cellStyle name="Обычный 8 2 4 4 2" xfId="39024"/>
    <cellStyle name="Обычный 8 2 4 4 2 2" xfId="39025"/>
    <cellStyle name="Обычный 8 2 4 4 2 2 2" xfId="39026"/>
    <cellStyle name="Обычный 8 2 4 4 2 2 3" xfId="39027"/>
    <cellStyle name="Обычный 8 2 4 4 2 3" xfId="39028"/>
    <cellStyle name="Обычный 8 2 4 4 2 3 2" xfId="39029"/>
    <cellStyle name="Обычный 8 2 4 4 2 3 3" xfId="39030"/>
    <cellStyle name="Обычный 8 2 4 4 2 4" xfId="39031"/>
    <cellStyle name="Обычный 8 2 4 4 2 4 2" xfId="39032"/>
    <cellStyle name="Обычный 8 2 4 4 2 5" xfId="39033"/>
    <cellStyle name="Обычный 8 2 4 4 2 6" xfId="39034"/>
    <cellStyle name="Обычный 8 2 4 4 3" xfId="39035"/>
    <cellStyle name="Обычный 8 2 4 4 3 2" xfId="39036"/>
    <cellStyle name="Обычный 8 2 4 4 3 3" xfId="39037"/>
    <cellStyle name="Обычный 8 2 4 4 4" xfId="39038"/>
    <cellStyle name="Обычный 8 2 4 4 4 2" xfId="39039"/>
    <cellStyle name="Обычный 8 2 4 4 4 3" xfId="39040"/>
    <cellStyle name="Обычный 8 2 4 4 5" xfId="39041"/>
    <cellStyle name="Обычный 8 2 4 4 5 2" xfId="39042"/>
    <cellStyle name="Обычный 8 2 4 4 6" xfId="39043"/>
    <cellStyle name="Обычный 8 2 4 4 7" xfId="39044"/>
    <cellStyle name="Обычный 8 2 4 5" xfId="39045"/>
    <cellStyle name="Обычный 8 2 4 5 2" xfId="39046"/>
    <cellStyle name="Обычный 8 2 4 5 2 2" xfId="39047"/>
    <cellStyle name="Обычный 8 2 4 5 2 3" xfId="39048"/>
    <cellStyle name="Обычный 8 2 4 5 3" xfId="39049"/>
    <cellStyle name="Обычный 8 2 4 5 3 2" xfId="39050"/>
    <cellStyle name="Обычный 8 2 4 5 3 3" xfId="39051"/>
    <cellStyle name="Обычный 8 2 4 5 4" xfId="39052"/>
    <cellStyle name="Обычный 8 2 4 5 4 2" xfId="39053"/>
    <cellStyle name="Обычный 8 2 4 5 5" xfId="39054"/>
    <cellStyle name="Обычный 8 2 4 5 6" xfId="39055"/>
    <cellStyle name="Обычный 8 2 4 6" xfId="39056"/>
    <cellStyle name="Обычный 8 2 4 6 2" xfId="39057"/>
    <cellStyle name="Обычный 8 2 4 6 3" xfId="39058"/>
    <cellStyle name="Обычный 8 2 4 7" xfId="39059"/>
    <cellStyle name="Обычный 8 2 4 7 2" xfId="39060"/>
    <cellStyle name="Обычный 8 2 4 7 3" xfId="39061"/>
    <cellStyle name="Обычный 8 2 4 8" xfId="39062"/>
    <cellStyle name="Обычный 8 2 4 8 2" xfId="39063"/>
    <cellStyle name="Обычный 8 2 4 9" xfId="39064"/>
    <cellStyle name="Обычный 8 2 5" xfId="39065"/>
    <cellStyle name="Обычный 8 2 5 10" xfId="39066"/>
    <cellStyle name="Обычный 8 2 5 2" xfId="39067"/>
    <cellStyle name="Обычный 8 2 5 2 2" xfId="39068"/>
    <cellStyle name="Обычный 8 2 5 2 2 2" xfId="39069"/>
    <cellStyle name="Обычный 8 2 5 2 2 2 2" xfId="39070"/>
    <cellStyle name="Обычный 8 2 5 2 2 2 2 2" xfId="39071"/>
    <cellStyle name="Обычный 8 2 5 2 2 2 2 2 2" xfId="39072"/>
    <cellStyle name="Обычный 8 2 5 2 2 2 2 2 3" xfId="39073"/>
    <cellStyle name="Обычный 8 2 5 2 2 2 2 3" xfId="39074"/>
    <cellStyle name="Обычный 8 2 5 2 2 2 2 3 2" xfId="39075"/>
    <cellStyle name="Обычный 8 2 5 2 2 2 2 3 3" xfId="39076"/>
    <cellStyle name="Обычный 8 2 5 2 2 2 2 4" xfId="39077"/>
    <cellStyle name="Обычный 8 2 5 2 2 2 2 4 2" xfId="39078"/>
    <cellStyle name="Обычный 8 2 5 2 2 2 2 5" xfId="39079"/>
    <cellStyle name="Обычный 8 2 5 2 2 2 2 6" xfId="39080"/>
    <cellStyle name="Обычный 8 2 5 2 2 2 3" xfId="39081"/>
    <cellStyle name="Обычный 8 2 5 2 2 2 3 2" xfId="39082"/>
    <cellStyle name="Обычный 8 2 5 2 2 2 3 3" xfId="39083"/>
    <cellStyle name="Обычный 8 2 5 2 2 2 4" xfId="39084"/>
    <cellStyle name="Обычный 8 2 5 2 2 2 4 2" xfId="39085"/>
    <cellStyle name="Обычный 8 2 5 2 2 2 4 3" xfId="39086"/>
    <cellStyle name="Обычный 8 2 5 2 2 2 5" xfId="39087"/>
    <cellStyle name="Обычный 8 2 5 2 2 2 5 2" xfId="39088"/>
    <cellStyle name="Обычный 8 2 5 2 2 2 6" xfId="39089"/>
    <cellStyle name="Обычный 8 2 5 2 2 2 7" xfId="39090"/>
    <cellStyle name="Обычный 8 2 5 2 2 3" xfId="39091"/>
    <cellStyle name="Обычный 8 2 5 2 2 3 2" xfId="39092"/>
    <cellStyle name="Обычный 8 2 5 2 2 3 2 2" xfId="39093"/>
    <cellStyle name="Обычный 8 2 5 2 2 3 2 3" xfId="39094"/>
    <cellStyle name="Обычный 8 2 5 2 2 3 3" xfId="39095"/>
    <cellStyle name="Обычный 8 2 5 2 2 3 3 2" xfId="39096"/>
    <cellStyle name="Обычный 8 2 5 2 2 3 3 3" xfId="39097"/>
    <cellStyle name="Обычный 8 2 5 2 2 3 4" xfId="39098"/>
    <cellStyle name="Обычный 8 2 5 2 2 3 4 2" xfId="39099"/>
    <cellStyle name="Обычный 8 2 5 2 2 3 5" xfId="39100"/>
    <cellStyle name="Обычный 8 2 5 2 2 3 6" xfId="39101"/>
    <cellStyle name="Обычный 8 2 5 2 2 4" xfId="39102"/>
    <cellStyle name="Обычный 8 2 5 2 2 4 2" xfId="39103"/>
    <cellStyle name="Обычный 8 2 5 2 2 4 3" xfId="39104"/>
    <cellStyle name="Обычный 8 2 5 2 2 5" xfId="39105"/>
    <cellStyle name="Обычный 8 2 5 2 2 5 2" xfId="39106"/>
    <cellStyle name="Обычный 8 2 5 2 2 5 3" xfId="39107"/>
    <cellStyle name="Обычный 8 2 5 2 2 6" xfId="39108"/>
    <cellStyle name="Обычный 8 2 5 2 2 6 2" xfId="39109"/>
    <cellStyle name="Обычный 8 2 5 2 2 7" xfId="39110"/>
    <cellStyle name="Обычный 8 2 5 2 2 8" xfId="39111"/>
    <cellStyle name="Обычный 8 2 5 2 3" xfId="39112"/>
    <cellStyle name="Обычный 8 2 5 2 3 2" xfId="39113"/>
    <cellStyle name="Обычный 8 2 5 2 3 2 2" xfId="39114"/>
    <cellStyle name="Обычный 8 2 5 2 3 2 2 2" xfId="39115"/>
    <cellStyle name="Обычный 8 2 5 2 3 2 2 3" xfId="39116"/>
    <cellStyle name="Обычный 8 2 5 2 3 2 3" xfId="39117"/>
    <cellStyle name="Обычный 8 2 5 2 3 2 3 2" xfId="39118"/>
    <cellStyle name="Обычный 8 2 5 2 3 2 3 3" xfId="39119"/>
    <cellStyle name="Обычный 8 2 5 2 3 2 4" xfId="39120"/>
    <cellStyle name="Обычный 8 2 5 2 3 2 4 2" xfId="39121"/>
    <cellStyle name="Обычный 8 2 5 2 3 2 5" xfId="39122"/>
    <cellStyle name="Обычный 8 2 5 2 3 2 6" xfId="39123"/>
    <cellStyle name="Обычный 8 2 5 2 3 3" xfId="39124"/>
    <cellStyle name="Обычный 8 2 5 2 3 3 2" xfId="39125"/>
    <cellStyle name="Обычный 8 2 5 2 3 3 3" xfId="39126"/>
    <cellStyle name="Обычный 8 2 5 2 3 4" xfId="39127"/>
    <cellStyle name="Обычный 8 2 5 2 3 4 2" xfId="39128"/>
    <cellStyle name="Обычный 8 2 5 2 3 4 3" xfId="39129"/>
    <cellStyle name="Обычный 8 2 5 2 3 5" xfId="39130"/>
    <cellStyle name="Обычный 8 2 5 2 3 5 2" xfId="39131"/>
    <cellStyle name="Обычный 8 2 5 2 3 6" xfId="39132"/>
    <cellStyle name="Обычный 8 2 5 2 3 7" xfId="39133"/>
    <cellStyle name="Обычный 8 2 5 2 4" xfId="39134"/>
    <cellStyle name="Обычный 8 2 5 2 4 2" xfId="39135"/>
    <cellStyle name="Обычный 8 2 5 2 4 2 2" xfId="39136"/>
    <cellStyle name="Обычный 8 2 5 2 4 2 3" xfId="39137"/>
    <cellStyle name="Обычный 8 2 5 2 4 3" xfId="39138"/>
    <cellStyle name="Обычный 8 2 5 2 4 3 2" xfId="39139"/>
    <cellStyle name="Обычный 8 2 5 2 4 3 3" xfId="39140"/>
    <cellStyle name="Обычный 8 2 5 2 4 4" xfId="39141"/>
    <cellStyle name="Обычный 8 2 5 2 4 4 2" xfId="39142"/>
    <cellStyle name="Обычный 8 2 5 2 4 5" xfId="39143"/>
    <cellStyle name="Обычный 8 2 5 2 4 6" xfId="39144"/>
    <cellStyle name="Обычный 8 2 5 2 5" xfId="39145"/>
    <cellStyle name="Обычный 8 2 5 2 5 2" xfId="39146"/>
    <cellStyle name="Обычный 8 2 5 2 5 3" xfId="39147"/>
    <cellStyle name="Обычный 8 2 5 2 6" xfId="39148"/>
    <cellStyle name="Обычный 8 2 5 2 6 2" xfId="39149"/>
    <cellStyle name="Обычный 8 2 5 2 6 3" xfId="39150"/>
    <cellStyle name="Обычный 8 2 5 2 7" xfId="39151"/>
    <cellStyle name="Обычный 8 2 5 2 7 2" xfId="39152"/>
    <cellStyle name="Обычный 8 2 5 2 8" xfId="39153"/>
    <cellStyle name="Обычный 8 2 5 2 9" xfId="39154"/>
    <cellStyle name="Обычный 8 2 5 3" xfId="39155"/>
    <cellStyle name="Обычный 8 2 5 3 2" xfId="39156"/>
    <cellStyle name="Обычный 8 2 5 3 2 2" xfId="39157"/>
    <cellStyle name="Обычный 8 2 5 3 2 2 2" xfId="39158"/>
    <cellStyle name="Обычный 8 2 5 3 2 2 2 2" xfId="39159"/>
    <cellStyle name="Обычный 8 2 5 3 2 2 2 3" xfId="39160"/>
    <cellStyle name="Обычный 8 2 5 3 2 2 3" xfId="39161"/>
    <cellStyle name="Обычный 8 2 5 3 2 2 3 2" xfId="39162"/>
    <cellStyle name="Обычный 8 2 5 3 2 2 3 3" xfId="39163"/>
    <cellStyle name="Обычный 8 2 5 3 2 2 4" xfId="39164"/>
    <cellStyle name="Обычный 8 2 5 3 2 2 4 2" xfId="39165"/>
    <cellStyle name="Обычный 8 2 5 3 2 2 5" xfId="39166"/>
    <cellStyle name="Обычный 8 2 5 3 2 2 6" xfId="39167"/>
    <cellStyle name="Обычный 8 2 5 3 2 3" xfId="39168"/>
    <cellStyle name="Обычный 8 2 5 3 2 3 2" xfId="39169"/>
    <cellStyle name="Обычный 8 2 5 3 2 3 3" xfId="39170"/>
    <cellStyle name="Обычный 8 2 5 3 2 4" xfId="39171"/>
    <cellStyle name="Обычный 8 2 5 3 2 4 2" xfId="39172"/>
    <cellStyle name="Обычный 8 2 5 3 2 4 3" xfId="39173"/>
    <cellStyle name="Обычный 8 2 5 3 2 5" xfId="39174"/>
    <cellStyle name="Обычный 8 2 5 3 2 5 2" xfId="39175"/>
    <cellStyle name="Обычный 8 2 5 3 2 6" xfId="39176"/>
    <cellStyle name="Обычный 8 2 5 3 2 7" xfId="39177"/>
    <cellStyle name="Обычный 8 2 5 3 3" xfId="39178"/>
    <cellStyle name="Обычный 8 2 5 3 3 2" xfId="39179"/>
    <cellStyle name="Обычный 8 2 5 3 3 2 2" xfId="39180"/>
    <cellStyle name="Обычный 8 2 5 3 3 2 3" xfId="39181"/>
    <cellStyle name="Обычный 8 2 5 3 3 3" xfId="39182"/>
    <cellStyle name="Обычный 8 2 5 3 3 3 2" xfId="39183"/>
    <cellStyle name="Обычный 8 2 5 3 3 3 3" xfId="39184"/>
    <cellStyle name="Обычный 8 2 5 3 3 4" xfId="39185"/>
    <cellStyle name="Обычный 8 2 5 3 3 4 2" xfId="39186"/>
    <cellStyle name="Обычный 8 2 5 3 3 5" xfId="39187"/>
    <cellStyle name="Обычный 8 2 5 3 3 6" xfId="39188"/>
    <cellStyle name="Обычный 8 2 5 3 4" xfId="39189"/>
    <cellStyle name="Обычный 8 2 5 3 4 2" xfId="39190"/>
    <cellStyle name="Обычный 8 2 5 3 4 3" xfId="39191"/>
    <cellStyle name="Обычный 8 2 5 3 5" xfId="39192"/>
    <cellStyle name="Обычный 8 2 5 3 5 2" xfId="39193"/>
    <cellStyle name="Обычный 8 2 5 3 5 3" xfId="39194"/>
    <cellStyle name="Обычный 8 2 5 3 6" xfId="39195"/>
    <cellStyle name="Обычный 8 2 5 3 6 2" xfId="39196"/>
    <cellStyle name="Обычный 8 2 5 3 7" xfId="39197"/>
    <cellStyle name="Обычный 8 2 5 3 8" xfId="39198"/>
    <cellStyle name="Обычный 8 2 5 4" xfId="39199"/>
    <cellStyle name="Обычный 8 2 5 4 2" xfId="39200"/>
    <cellStyle name="Обычный 8 2 5 4 2 2" xfId="39201"/>
    <cellStyle name="Обычный 8 2 5 4 2 2 2" xfId="39202"/>
    <cellStyle name="Обычный 8 2 5 4 2 2 3" xfId="39203"/>
    <cellStyle name="Обычный 8 2 5 4 2 3" xfId="39204"/>
    <cellStyle name="Обычный 8 2 5 4 2 3 2" xfId="39205"/>
    <cellStyle name="Обычный 8 2 5 4 2 3 3" xfId="39206"/>
    <cellStyle name="Обычный 8 2 5 4 2 4" xfId="39207"/>
    <cellStyle name="Обычный 8 2 5 4 2 4 2" xfId="39208"/>
    <cellStyle name="Обычный 8 2 5 4 2 5" xfId="39209"/>
    <cellStyle name="Обычный 8 2 5 4 2 6" xfId="39210"/>
    <cellStyle name="Обычный 8 2 5 4 3" xfId="39211"/>
    <cellStyle name="Обычный 8 2 5 4 3 2" xfId="39212"/>
    <cellStyle name="Обычный 8 2 5 4 3 3" xfId="39213"/>
    <cellStyle name="Обычный 8 2 5 4 4" xfId="39214"/>
    <cellStyle name="Обычный 8 2 5 4 4 2" xfId="39215"/>
    <cellStyle name="Обычный 8 2 5 4 4 3" xfId="39216"/>
    <cellStyle name="Обычный 8 2 5 4 5" xfId="39217"/>
    <cellStyle name="Обычный 8 2 5 4 5 2" xfId="39218"/>
    <cellStyle name="Обычный 8 2 5 4 6" xfId="39219"/>
    <cellStyle name="Обычный 8 2 5 4 7" xfId="39220"/>
    <cellStyle name="Обычный 8 2 5 5" xfId="39221"/>
    <cellStyle name="Обычный 8 2 5 5 2" xfId="39222"/>
    <cellStyle name="Обычный 8 2 5 5 2 2" xfId="39223"/>
    <cellStyle name="Обычный 8 2 5 5 2 3" xfId="39224"/>
    <cellStyle name="Обычный 8 2 5 5 3" xfId="39225"/>
    <cellStyle name="Обычный 8 2 5 5 3 2" xfId="39226"/>
    <cellStyle name="Обычный 8 2 5 5 3 3" xfId="39227"/>
    <cellStyle name="Обычный 8 2 5 5 4" xfId="39228"/>
    <cellStyle name="Обычный 8 2 5 5 4 2" xfId="39229"/>
    <cellStyle name="Обычный 8 2 5 5 5" xfId="39230"/>
    <cellStyle name="Обычный 8 2 5 5 6" xfId="39231"/>
    <cellStyle name="Обычный 8 2 5 6" xfId="39232"/>
    <cellStyle name="Обычный 8 2 5 6 2" xfId="39233"/>
    <cellStyle name="Обычный 8 2 5 6 3" xfId="39234"/>
    <cellStyle name="Обычный 8 2 5 7" xfId="39235"/>
    <cellStyle name="Обычный 8 2 5 7 2" xfId="39236"/>
    <cellStyle name="Обычный 8 2 5 7 3" xfId="39237"/>
    <cellStyle name="Обычный 8 2 5 8" xfId="39238"/>
    <cellStyle name="Обычный 8 2 5 8 2" xfId="39239"/>
    <cellStyle name="Обычный 8 2 5 9" xfId="39240"/>
    <cellStyle name="Обычный 8 2 6" xfId="39241"/>
    <cellStyle name="Обычный 8 2 6 2" xfId="39242"/>
    <cellStyle name="Обычный 8 2 6 2 2" xfId="39243"/>
    <cellStyle name="Обычный 8 2 6 2 2 2" xfId="39244"/>
    <cellStyle name="Обычный 8 2 6 2 2 2 2" xfId="39245"/>
    <cellStyle name="Обычный 8 2 6 2 2 2 2 2" xfId="39246"/>
    <cellStyle name="Обычный 8 2 6 2 2 2 2 3" xfId="39247"/>
    <cellStyle name="Обычный 8 2 6 2 2 2 3" xfId="39248"/>
    <cellStyle name="Обычный 8 2 6 2 2 2 3 2" xfId="39249"/>
    <cellStyle name="Обычный 8 2 6 2 2 2 3 3" xfId="39250"/>
    <cellStyle name="Обычный 8 2 6 2 2 2 4" xfId="39251"/>
    <cellStyle name="Обычный 8 2 6 2 2 2 4 2" xfId="39252"/>
    <cellStyle name="Обычный 8 2 6 2 2 2 5" xfId="39253"/>
    <cellStyle name="Обычный 8 2 6 2 2 2 6" xfId="39254"/>
    <cellStyle name="Обычный 8 2 6 2 2 3" xfId="39255"/>
    <cellStyle name="Обычный 8 2 6 2 2 3 2" xfId="39256"/>
    <cellStyle name="Обычный 8 2 6 2 2 3 3" xfId="39257"/>
    <cellStyle name="Обычный 8 2 6 2 2 4" xfId="39258"/>
    <cellStyle name="Обычный 8 2 6 2 2 4 2" xfId="39259"/>
    <cellStyle name="Обычный 8 2 6 2 2 4 3" xfId="39260"/>
    <cellStyle name="Обычный 8 2 6 2 2 5" xfId="39261"/>
    <cellStyle name="Обычный 8 2 6 2 2 5 2" xfId="39262"/>
    <cellStyle name="Обычный 8 2 6 2 2 6" xfId="39263"/>
    <cellStyle name="Обычный 8 2 6 2 2 7" xfId="39264"/>
    <cellStyle name="Обычный 8 2 6 2 3" xfId="39265"/>
    <cellStyle name="Обычный 8 2 6 2 3 2" xfId="39266"/>
    <cellStyle name="Обычный 8 2 6 2 3 2 2" xfId="39267"/>
    <cellStyle name="Обычный 8 2 6 2 3 2 3" xfId="39268"/>
    <cellStyle name="Обычный 8 2 6 2 3 3" xfId="39269"/>
    <cellStyle name="Обычный 8 2 6 2 3 3 2" xfId="39270"/>
    <cellStyle name="Обычный 8 2 6 2 3 3 3" xfId="39271"/>
    <cellStyle name="Обычный 8 2 6 2 3 4" xfId="39272"/>
    <cellStyle name="Обычный 8 2 6 2 3 4 2" xfId="39273"/>
    <cellStyle name="Обычный 8 2 6 2 3 5" xfId="39274"/>
    <cellStyle name="Обычный 8 2 6 2 3 6" xfId="39275"/>
    <cellStyle name="Обычный 8 2 6 2 4" xfId="39276"/>
    <cellStyle name="Обычный 8 2 6 2 4 2" xfId="39277"/>
    <cellStyle name="Обычный 8 2 6 2 4 3" xfId="39278"/>
    <cellStyle name="Обычный 8 2 6 2 5" xfId="39279"/>
    <cellStyle name="Обычный 8 2 6 2 5 2" xfId="39280"/>
    <cellStyle name="Обычный 8 2 6 2 5 3" xfId="39281"/>
    <cellStyle name="Обычный 8 2 6 2 6" xfId="39282"/>
    <cellStyle name="Обычный 8 2 6 2 6 2" xfId="39283"/>
    <cellStyle name="Обычный 8 2 6 2 7" xfId="39284"/>
    <cellStyle name="Обычный 8 2 6 2 8" xfId="39285"/>
    <cellStyle name="Обычный 8 2 6 3" xfId="39286"/>
    <cellStyle name="Обычный 8 2 6 3 2" xfId="39287"/>
    <cellStyle name="Обычный 8 2 6 3 2 2" xfId="39288"/>
    <cellStyle name="Обычный 8 2 6 3 2 2 2" xfId="39289"/>
    <cellStyle name="Обычный 8 2 6 3 2 2 3" xfId="39290"/>
    <cellStyle name="Обычный 8 2 6 3 2 3" xfId="39291"/>
    <cellStyle name="Обычный 8 2 6 3 2 3 2" xfId="39292"/>
    <cellStyle name="Обычный 8 2 6 3 2 3 3" xfId="39293"/>
    <cellStyle name="Обычный 8 2 6 3 2 4" xfId="39294"/>
    <cellStyle name="Обычный 8 2 6 3 2 4 2" xfId="39295"/>
    <cellStyle name="Обычный 8 2 6 3 2 5" xfId="39296"/>
    <cellStyle name="Обычный 8 2 6 3 2 6" xfId="39297"/>
    <cellStyle name="Обычный 8 2 6 3 3" xfId="39298"/>
    <cellStyle name="Обычный 8 2 6 3 3 2" xfId="39299"/>
    <cellStyle name="Обычный 8 2 6 3 3 3" xfId="39300"/>
    <cellStyle name="Обычный 8 2 6 3 4" xfId="39301"/>
    <cellStyle name="Обычный 8 2 6 3 4 2" xfId="39302"/>
    <cellStyle name="Обычный 8 2 6 3 4 3" xfId="39303"/>
    <cellStyle name="Обычный 8 2 6 3 5" xfId="39304"/>
    <cellStyle name="Обычный 8 2 6 3 5 2" xfId="39305"/>
    <cellStyle name="Обычный 8 2 6 3 6" xfId="39306"/>
    <cellStyle name="Обычный 8 2 6 3 7" xfId="39307"/>
    <cellStyle name="Обычный 8 2 6 4" xfId="39308"/>
    <cellStyle name="Обычный 8 2 6 4 2" xfId="39309"/>
    <cellStyle name="Обычный 8 2 6 4 2 2" xfId="39310"/>
    <cellStyle name="Обычный 8 2 6 4 2 3" xfId="39311"/>
    <cellStyle name="Обычный 8 2 6 4 3" xfId="39312"/>
    <cellStyle name="Обычный 8 2 6 4 3 2" xfId="39313"/>
    <cellStyle name="Обычный 8 2 6 4 3 3" xfId="39314"/>
    <cellStyle name="Обычный 8 2 6 4 4" xfId="39315"/>
    <cellStyle name="Обычный 8 2 6 4 4 2" xfId="39316"/>
    <cellStyle name="Обычный 8 2 6 4 5" xfId="39317"/>
    <cellStyle name="Обычный 8 2 6 4 6" xfId="39318"/>
    <cellStyle name="Обычный 8 2 6 5" xfId="39319"/>
    <cellStyle name="Обычный 8 2 6 5 2" xfId="39320"/>
    <cellStyle name="Обычный 8 2 6 5 3" xfId="39321"/>
    <cellStyle name="Обычный 8 2 6 6" xfId="39322"/>
    <cellStyle name="Обычный 8 2 6 6 2" xfId="39323"/>
    <cellStyle name="Обычный 8 2 6 6 3" xfId="39324"/>
    <cellStyle name="Обычный 8 2 6 7" xfId="39325"/>
    <cellStyle name="Обычный 8 2 6 7 2" xfId="39326"/>
    <cellStyle name="Обычный 8 2 6 8" xfId="39327"/>
    <cellStyle name="Обычный 8 2 6 9" xfId="39328"/>
    <cellStyle name="Обычный 8 2 7" xfId="39329"/>
    <cellStyle name="Обычный 8 2 7 2" xfId="39330"/>
    <cellStyle name="Обычный 8 2 7 2 2" xfId="39331"/>
    <cellStyle name="Обычный 8 2 7 2 2 2" xfId="39332"/>
    <cellStyle name="Обычный 8 2 7 2 2 2 2" xfId="39333"/>
    <cellStyle name="Обычный 8 2 7 2 2 2 3" xfId="39334"/>
    <cellStyle name="Обычный 8 2 7 2 2 3" xfId="39335"/>
    <cellStyle name="Обычный 8 2 7 2 2 3 2" xfId="39336"/>
    <cellStyle name="Обычный 8 2 7 2 2 3 3" xfId="39337"/>
    <cellStyle name="Обычный 8 2 7 2 2 4" xfId="39338"/>
    <cellStyle name="Обычный 8 2 7 2 2 4 2" xfId="39339"/>
    <cellStyle name="Обычный 8 2 7 2 2 5" xfId="39340"/>
    <cellStyle name="Обычный 8 2 7 2 2 6" xfId="39341"/>
    <cellStyle name="Обычный 8 2 7 2 3" xfId="39342"/>
    <cellStyle name="Обычный 8 2 7 2 3 2" xfId="39343"/>
    <cellStyle name="Обычный 8 2 7 2 3 3" xfId="39344"/>
    <cellStyle name="Обычный 8 2 7 2 4" xfId="39345"/>
    <cellStyle name="Обычный 8 2 7 2 4 2" xfId="39346"/>
    <cellStyle name="Обычный 8 2 7 2 4 3" xfId="39347"/>
    <cellStyle name="Обычный 8 2 7 2 5" xfId="39348"/>
    <cellStyle name="Обычный 8 2 7 2 5 2" xfId="39349"/>
    <cellStyle name="Обычный 8 2 7 2 6" xfId="39350"/>
    <cellStyle name="Обычный 8 2 7 2 7" xfId="39351"/>
    <cellStyle name="Обычный 8 2 7 3" xfId="39352"/>
    <cellStyle name="Обычный 8 2 7 3 2" xfId="39353"/>
    <cellStyle name="Обычный 8 2 7 3 2 2" xfId="39354"/>
    <cellStyle name="Обычный 8 2 7 3 2 3" xfId="39355"/>
    <cellStyle name="Обычный 8 2 7 3 3" xfId="39356"/>
    <cellStyle name="Обычный 8 2 7 3 3 2" xfId="39357"/>
    <cellStyle name="Обычный 8 2 7 3 3 3" xfId="39358"/>
    <cellStyle name="Обычный 8 2 7 3 4" xfId="39359"/>
    <cellStyle name="Обычный 8 2 7 3 4 2" xfId="39360"/>
    <cellStyle name="Обычный 8 2 7 3 5" xfId="39361"/>
    <cellStyle name="Обычный 8 2 7 3 6" xfId="39362"/>
    <cellStyle name="Обычный 8 2 7 4" xfId="39363"/>
    <cellStyle name="Обычный 8 2 7 4 2" xfId="39364"/>
    <cellStyle name="Обычный 8 2 7 4 3" xfId="39365"/>
    <cellStyle name="Обычный 8 2 7 5" xfId="39366"/>
    <cellStyle name="Обычный 8 2 7 5 2" xfId="39367"/>
    <cellStyle name="Обычный 8 2 7 5 3" xfId="39368"/>
    <cellStyle name="Обычный 8 2 7 6" xfId="39369"/>
    <cellStyle name="Обычный 8 2 7 6 2" xfId="39370"/>
    <cellStyle name="Обычный 8 2 7 7" xfId="39371"/>
    <cellStyle name="Обычный 8 2 7 8" xfId="39372"/>
    <cellStyle name="Обычный 8 2 8" xfId="39373"/>
    <cellStyle name="Обычный 8 2 8 2" xfId="39374"/>
    <cellStyle name="Обычный 8 2 8 2 2" xfId="39375"/>
    <cellStyle name="Обычный 8 2 8 2 2 2" xfId="39376"/>
    <cellStyle name="Обычный 8 2 8 2 2 3" xfId="39377"/>
    <cellStyle name="Обычный 8 2 8 2 3" xfId="39378"/>
    <cellStyle name="Обычный 8 2 8 2 3 2" xfId="39379"/>
    <cellStyle name="Обычный 8 2 8 2 3 3" xfId="39380"/>
    <cellStyle name="Обычный 8 2 8 2 4" xfId="39381"/>
    <cellStyle name="Обычный 8 2 8 2 4 2" xfId="39382"/>
    <cellStyle name="Обычный 8 2 8 2 5" xfId="39383"/>
    <cellStyle name="Обычный 8 2 8 2 6" xfId="39384"/>
    <cellStyle name="Обычный 8 2 8 3" xfId="39385"/>
    <cellStyle name="Обычный 8 2 8 3 2" xfId="39386"/>
    <cellStyle name="Обычный 8 2 8 3 3" xfId="39387"/>
    <cellStyle name="Обычный 8 2 8 4" xfId="39388"/>
    <cellStyle name="Обычный 8 2 8 4 2" xfId="39389"/>
    <cellStyle name="Обычный 8 2 8 4 3" xfId="39390"/>
    <cellStyle name="Обычный 8 2 8 5" xfId="39391"/>
    <cellStyle name="Обычный 8 2 8 5 2" xfId="39392"/>
    <cellStyle name="Обычный 8 2 8 6" xfId="39393"/>
    <cellStyle name="Обычный 8 2 8 7" xfId="39394"/>
    <cellStyle name="Обычный 8 2 9" xfId="39395"/>
    <cellStyle name="Обычный 8 2 9 2" xfId="39396"/>
    <cellStyle name="Обычный 8 2 9 2 2" xfId="39397"/>
    <cellStyle name="Обычный 8 2 9 2 3" xfId="39398"/>
    <cellStyle name="Обычный 8 2 9 3" xfId="39399"/>
    <cellStyle name="Обычный 8 2 9 3 2" xfId="39400"/>
    <cellStyle name="Обычный 8 2 9 3 3" xfId="39401"/>
    <cellStyle name="Обычный 8 2 9 4" xfId="39402"/>
    <cellStyle name="Обычный 8 2 9 4 2" xfId="39403"/>
    <cellStyle name="Обычный 8 2 9 5" xfId="39404"/>
    <cellStyle name="Обычный 8 2 9 6" xfId="39405"/>
    <cellStyle name="Обычный 8 20" xfId="39406"/>
    <cellStyle name="Обычный 8 21" xfId="39407"/>
    <cellStyle name="Обычный 8 22" xfId="39408"/>
    <cellStyle name="Обычный 8 3" xfId="39409"/>
    <cellStyle name="Обычный 8 3 10" xfId="39410"/>
    <cellStyle name="Обычный 8 3 10 2" xfId="39411"/>
    <cellStyle name="Обычный 8 3 10 3" xfId="39412"/>
    <cellStyle name="Обычный 8 3 11" xfId="39413"/>
    <cellStyle name="Обычный 8 3 11 2" xfId="39414"/>
    <cellStyle name="Обычный 8 3 11 3" xfId="39415"/>
    <cellStyle name="Обычный 8 3 12" xfId="39416"/>
    <cellStyle name="Обычный 8 3 12 2" xfId="39417"/>
    <cellStyle name="Обычный 8 3 13" xfId="39418"/>
    <cellStyle name="Обычный 8 3 14" xfId="39419"/>
    <cellStyle name="Обычный 8 3 2" xfId="39420"/>
    <cellStyle name="Обычный 8 3 2 10" xfId="39421"/>
    <cellStyle name="Обычный 8 3 2 10 2" xfId="39422"/>
    <cellStyle name="Обычный 8 3 2 10 3" xfId="39423"/>
    <cellStyle name="Обычный 8 3 2 11" xfId="39424"/>
    <cellStyle name="Обычный 8 3 2 11 2" xfId="39425"/>
    <cellStyle name="Обычный 8 3 2 12" xfId="39426"/>
    <cellStyle name="Обычный 8 3 2 13" xfId="39427"/>
    <cellStyle name="Обычный 8 3 2 2" xfId="39428"/>
    <cellStyle name="Обычный 8 3 2 2 10" xfId="39429"/>
    <cellStyle name="Обычный 8 3 2 2 2" xfId="39430"/>
    <cellStyle name="Обычный 8 3 2 2 2 2" xfId="39431"/>
    <cellStyle name="Обычный 8 3 2 2 2 2 2" xfId="39432"/>
    <cellStyle name="Обычный 8 3 2 2 2 2 2 2" xfId="39433"/>
    <cellStyle name="Обычный 8 3 2 2 2 2 2 2 2" xfId="39434"/>
    <cellStyle name="Обычный 8 3 2 2 2 2 2 2 2 2" xfId="39435"/>
    <cellStyle name="Обычный 8 3 2 2 2 2 2 2 2 3" xfId="39436"/>
    <cellStyle name="Обычный 8 3 2 2 2 2 2 2 3" xfId="39437"/>
    <cellStyle name="Обычный 8 3 2 2 2 2 2 2 3 2" xfId="39438"/>
    <cellStyle name="Обычный 8 3 2 2 2 2 2 2 3 3" xfId="39439"/>
    <cellStyle name="Обычный 8 3 2 2 2 2 2 2 4" xfId="39440"/>
    <cellStyle name="Обычный 8 3 2 2 2 2 2 2 4 2" xfId="39441"/>
    <cellStyle name="Обычный 8 3 2 2 2 2 2 2 5" xfId="39442"/>
    <cellStyle name="Обычный 8 3 2 2 2 2 2 2 6" xfId="39443"/>
    <cellStyle name="Обычный 8 3 2 2 2 2 2 3" xfId="39444"/>
    <cellStyle name="Обычный 8 3 2 2 2 2 2 3 2" xfId="39445"/>
    <cellStyle name="Обычный 8 3 2 2 2 2 2 3 3" xfId="39446"/>
    <cellStyle name="Обычный 8 3 2 2 2 2 2 4" xfId="39447"/>
    <cellStyle name="Обычный 8 3 2 2 2 2 2 4 2" xfId="39448"/>
    <cellStyle name="Обычный 8 3 2 2 2 2 2 4 3" xfId="39449"/>
    <cellStyle name="Обычный 8 3 2 2 2 2 2 5" xfId="39450"/>
    <cellStyle name="Обычный 8 3 2 2 2 2 2 5 2" xfId="39451"/>
    <cellStyle name="Обычный 8 3 2 2 2 2 2 6" xfId="39452"/>
    <cellStyle name="Обычный 8 3 2 2 2 2 2 7" xfId="39453"/>
    <cellStyle name="Обычный 8 3 2 2 2 2 3" xfId="39454"/>
    <cellStyle name="Обычный 8 3 2 2 2 2 3 2" xfId="39455"/>
    <cellStyle name="Обычный 8 3 2 2 2 2 3 2 2" xfId="39456"/>
    <cellStyle name="Обычный 8 3 2 2 2 2 3 2 3" xfId="39457"/>
    <cellStyle name="Обычный 8 3 2 2 2 2 3 3" xfId="39458"/>
    <cellStyle name="Обычный 8 3 2 2 2 2 3 3 2" xfId="39459"/>
    <cellStyle name="Обычный 8 3 2 2 2 2 3 3 3" xfId="39460"/>
    <cellStyle name="Обычный 8 3 2 2 2 2 3 4" xfId="39461"/>
    <cellStyle name="Обычный 8 3 2 2 2 2 3 4 2" xfId="39462"/>
    <cellStyle name="Обычный 8 3 2 2 2 2 3 5" xfId="39463"/>
    <cellStyle name="Обычный 8 3 2 2 2 2 3 6" xfId="39464"/>
    <cellStyle name="Обычный 8 3 2 2 2 2 4" xfId="39465"/>
    <cellStyle name="Обычный 8 3 2 2 2 2 4 2" xfId="39466"/>
    <cellStyle name="Обычный 8 3 2 2 2 2 4 3" xfId="39467"/>
    <cellStyle name="Обычный 8 3 2 2 2 2 5" xfId="39468"/>
    <cellStyle name="Обычный 8 3 2 2 2 2 5 2" xfId="39469"/>
    <cellStyle name="Обычный 8 3 2 2 2 2 5 3" xfId="39470"/>
    <cellStyle name="Обычный 8 3 2 2 2 2 6" xfId="39471"/>
    <cellStyle name="Обычный 8 3 2 2 2 2 6 2" xfId="39472"/>
    <cellStyle name="Обычный 8 3 2 2 2 2 7" xfId="39473"/>
    <cellStyle name="Обычный 8 3 2 2 2 2 8" xfId="39474"/>
    <cellStyle name="Обычный 8 3 2 2 2 3" xfId="39475"/>
    <cellStyle name="Обычный 8 3 2 2 2 3 2" xfId="39476"/>
    <cellStyle name="Обычный 8 3 2 2 2 3 2 2" xfId="39477"/>
    <cellStyle name="Обычный 8 3 2 2 2 3 2 2 2" xfId="39478"/>
    <cellStyle name="Обычный 8 3 2 2 2 3 2 2 3" xfId="39479"/>
    <cellStyle name="Обычный 8 3 2 2 2 3 2 3" xfId="39480"/>
    <cellStyle name="Обычный 8 3 2 2 2 3 2 3 2" xfId="39481"/>
    <cellStyle name="Обычный 8 3 2 2 2 3 2 3 3" xfId="39482"/>
    <cellStyle name="Обычный 8 3 2 2 2 3 2 4" xfId="39483"/>
    <cellStyle name="Обычный 8 3 2 2 2 3 2 4 2" xfId="39484"/>
    <cellStyle name="Обычный 8 3 2 2 2 3 2 5" xfId="39485"/>
    <cellStyle name="Обычный 8 3 2 2 2 3 2 6" xfId="39486"/>
    <cellStyle name="Обычный 8 3 2 2 2 3 3" xfId="39487"/>
    <cellStyle name="Обычный 8 3 2 2 2 3 3 2" xfId="39488"/>
    <cellStyle name="Обычный 8 3 2 2 2 3 3 3" xfId="39489"/>
    <cellStyle name="Обычный 8 3 2 2 2 3 4" xfId="39490"/>
    <cellStyle name="Обычный 8 3 2 2 2 3 4 2" xfId="39491"/>
    <cellStyle name="Обычный 8 3 2 2 2 3 4 3" xfId="39492"/>
    <cellStyle name="Обычный 8 3 2 2 2 3 5" xfId="39493"/>
    <cellStyle name="Обычный 8 3 2 2 2 3 5 2" xfId="39494"/>
    <cellStyle name="Обычный 8 3 2 2 2 3 6" xfId="39495"/>
    <cellStyle name="Обычный 8 3 2 2 2 3 7" xfId="39496"/>
    <cellStyle name="Обычный 8 3 2 2 2 4" xfId="39497"/>
    <cellStyle name="Обычный 8 3 2 2 2 4 2" xfId="39498"/>
    <cellStyle name="Обычный 8 3 2 2 2 4 2 2" xfId="39499"/>
    <cellStyle name="Обычный 8 3 2 2 2 4 2 3" xfId="39500"/>
    <cellStyle name="Обычный 8 3 2 2 2 4 3" xfId="39501"/>
    <cellStyle name="Обычный 8 3 2 2 2 4 3 2" xfId="39502"/>
    <cellStyle name="Обычный 8 3 2 2 2 4 3 3" xfId="39503"/>
    <cellStyle name="Обычный 8 3 2 2 2 4 4" xfId="39504"/>
    <cellStyle name="Обычный 8 3 2 2 2 4 4 2" xfId="39505"/>
    <cellStyle name="Обычный 8 3 2 2 2 4 5" xfId="39506"/>
    <cellStyle name="Обычный 8 3 2 2 2 4 6" xfId="39507"/>
    <cellStyle name="Обычный 8 3 2 2 2 5" xfId="39508"/>
    <cellStyle name="Обычный 8 3 2 2 2 5 2" xfId="39509"/>
    <cellStyle name="Обычный 8 3 2 2 2 5 3" xfId="39510"/>
    <cellStyle name="Обычный 8 3 2 2 2 6" xfId="39511"/>
    <cellStyle name="Обычный 8 3 2 2 2 6 2" xfId="39512"/>
    <cellStyle name="Обычный 8 3 2 2 2 6 3" xfId="39513"/>
    <cellStyle name="Обычный 8 3 2 2 2 7" xfId="39514"/>
    <cellStyle name="Обычный 8 3 2 2 2 7 2" xfId="39515"/>
    <cellStyle name="Обычный 8 3 2 2 2 8" xfId="39516"/>
    <cellStyle name="Обычный 8 3 2 2 2 9" xfId="39517"/>
    <cellStyle name="Обычный 8 3 2 2 3" xfId="39518"/>
    <cellStyle name="Обычный 8 3 2 2 3 2" xfId="39519"/>
    <cellStyle name="Обычный 8 3 2 2 3 2 2" xfId="39520"/>
    <cellStyle name="Обычный 8 3 2 2 3 2 2 2" xfId="39521"/>
    <cellStyle name="Обычный 8 3 2 2 3 2 2 2 2" xfId="39522"/>
    <cellStyle name="Обычный 8 3 2 2 3 2 2 2 3" xfId="39523"/>
    <cellStyle name="Обычный 8 3 2 2 3 2 2 3" xfId="39524"/>
    <cellStyle name="Обычный 8 3 2 2 3 2 2 3 2" xfId="39525"/>
    <cellStyle name="Обычный 8 3 2 2 3 2 2 3 3" xfId="39526"/>
    <cellStyle name="Обычный 8 3 2 2 3 2 2 4" xfId="39527"/>
    <cellStyle name="Обычный 8 3 2 2 3 2 2 4 2" xfId="39528"/>
    <cellStyle name="Обычный 8 3 2 2 3 2 2 5" xfId="39529"/>
    <cellStyle name="Обычный 8 3 2 2 3 2 2 6" xfId="39530"/>
    <cellStyle name="Обычный 8 3 2 2 3 2 3" xfId="39531"/>
    <cellStyle name="Обычный 8 3 2 2 3 2 3 2" xfId="39532"/>
    <cellStyle name="Обычный 8 3 2 2 3 2 3 3" xfId="39533"/>
    <cellStyle name="Обычный 8 3 2 2 3 2 4" xfId="39534"/>
    <cellStyle name="Обычный 8 3 2 2 3 2 4 2" xfId="39535"/>
    <cellStyle name="Обычный 8 3 2 2 3 2 4 3" xfId="39536"/>
    <cellStyle name="Обычный 8 3 2 2 3 2 5" xfId="39537"/>
    <cellStyle name="Обычный 8 3 2 2 3 2 5 2" xfId="39538"/>
    <cellStyle name="Обычный 8 3 2 2 3 2 6" xfId="39539"/>
    <cellStyle name="Обычный 8 3 2 2 3 2 7" xfId="39540"/>
    <cellStyle name="Обычный 8 3 2 2 3 3" xfId="39541"/>
    <cellStyle name="Обычный 8 3 2 2 3 3 2" xfId="39542"/>
    <cellStyle name="Обычный 8 3 2 2 3 3 2 2" xfId="39543"/>
    <cellStyle name="Обычный 8 3 2 2 3 3 2 3" xfId="39544"/>
    <cellStyle name="Обычный 8 3 2 2 3 3 3" xfId="39545"/>
    <cellStyle name="Обычный 8 3 2 2 3 3 3 2" xfId="39546"/>
    <cellStyle name="Обычный 8 3 2 2 3 3 3 3" xfId="39547"/>
    <cellStyle name="Обычный 8 3 2 2 3 3 4" xfId="39548"/>
    <cellStyle name="Обычный 8 3 2 2 3 3 4 2" xfId="39549"/>
    <cellStyle name="Обычный 8 3 2 2 3 3 5" xfId="39550"/>
    <cellStyle name="Обычный 8 3 2 2 3 3 6" xfId="39551"/>
    <cellStyle name="Обычный 8 3 2 2 3 4" xfId="39552"/>
    <cellStyle name="Обычный 8 3 2 2 3 4 2" xfId="39553"/>
    <cellStyle name="Обычный 8 3 2 2 3 4 3" xfId="39554"/>
    <cellStyle name="Обычный 8 3 2 2 3 5" xfId="39555"/>
    <cellStyle name="Обычный 8 3 2 2 3 5 2" xfId="39556"/>
    <cellStyle name="Обычный 8 3 2 2 3 5 3" xfId="39557"/>
    <cellStyle name="Обычный 8 3 2 2 3 6" xfId="39558"/>
    <cellStyle name="Обычный 8 3 2 2 3 6 2" xfId="39559"/>
    <cellStyle name="Обычный 8 3 2 2 3 7" xfId="39560"/>
    <cellStyle name="Обычный 8 3 2 2 3 8" xfId="39561"/>
    <cellStyle name="Обычный 8 3 2 2 4" xfId="39562"/>
    <cellStyle name="Обычный 8 3 2 2 4 2" xfId="39563"/>
    <cellStyle name="Обычный 8 3 2 2 4 2 2" xfId="39564"/>
    <cellStyle name="Обычный 8 3 2 2 4 2 2 2" xfId="39565"/>
    <cellStyle name="Обычный 8 3 2 2 4 2 2 3" xfId="39566"/>
    <cellStyle name="Обычный 8 3 2 2 4 2 3" xfId="39567"/>
    <cellStyle name="Обычный 8 3 2 2 4 2 3 2" xfId="39568"/>
    <cellStyle name="Обычный 8 3 2 2 4 2 3 3" xfId="39569"/>
    <cellStyle name="Обычный 8 3 2 2 4 2 4" xfId="39570"/>
    <cellStyle name="Обычный 8 3 2 2 4 2 4 2" xfId="39571"/>
    <cellStyle name="Обычный 8 3 2 2 4 2 5" xfId="39572"/>
    <cellStyle name="Обычный 8 3 2 2 4 2 6" xfId="39573"/>
    <cellStyle name="Обычный 8 3 2 2 4 3" xfId="39574"/>
    <cellStyle name="Обычный 8 3 2 2 4 3 2" xfId="39575"/>
    <cellStyle name="Обычный 8 3 2 2 4 3 3" xfId="39576"/>
    <cellStyle name="Обычный 8 3 2 2 4 4" xfId="39577"/>
    <cellStyle name="Обычный 8 3 2 2 4 4 2" xfId="39578"/>
    <cellStyle name="Обычный 8 3 2 2 4 4 3" xfId="39579"/>
    <cellStyle name="Обычный 8 3 2 2 4 5" xfId="39580"/>
    <cellStyle name="Обычный 8 3 2 2 4 5 2" xfId="39581"/>
    <cellStyle name="Обычный 8 3 2 2 4 6" xfId="39582"/>
    <cellStyle name="Обычный 8 3 2 2 4 7" xfId="39583"/>
    <cellStyle name="Обычный 8 3 2 2 5" xfId="39584"/>
    <cellStyle name="Обычный 8 3 2 2 5 2" xfId="39585"/>
    <cellStyle name="Обычный 8 3 2 2 5 2 2" xfId="39586"/>
    <cellStyle name="Обычный 8 3 2 2 5 2 3" xfId="39587"/>
    <cellStyle name="Обычный 8 3 2 2 5 3" xfId="39588"/>
    <cellStyle name="Обычный 8 3 2 2 5 3 2" xfId="39589"/>
    <cellStyle name="Обычный 8 3 2 2 5 3 3" xfId="39590"/>
    <cellStyle name="Обычный 8 3 2 2 5 4" xfId="39591"/>
    <cellStyle name="Обычный 8 3 2 2 5 4 2" xfId="39592"/>
    <cellStyle name="Обычный 8 3 2 2 5 5" xfId="39593"/>
    <cellStyle name="Обычный 8 3 2 2 5 6" xfId="39594"/>
    <cellStyle name="Обычный 8 3 2 2 6" xfId="39595"/>
    <cellStyle name="Обычный 8 3 2 2 6 2" xfId="39596"/>
    <cellStyle name="Обычный 8 3 2 2 6 3" xfId="39597"/>
    <cellStyle name="Обычный 8 3 2 2 7" xfId="39598"/>
    <cellStyle name="Обычный 8 3 2 2 7 2" xfId="39599"/>
    <cellStyle name="Обычный 8 3 2 2 7 3" xfId="39600"/>
    <cellStyle name="Обычный 8 3 2 2 8" xfId="39601"/>
    <cellStyle name="Обычный 8 3 2 2 8 2" xfId="39602"/>
    <cellStyle name="Обычный 8 3 2 2 9" xfId="39603"/>
    <cellStyle name="Обычный 8 3 2 3" xfId="39604"/>
    <cellStyle name="Обычный 8 3 2 3 10" xfId="39605"/>
    <cellStyle name="Обычный 8 3 2 3 2" xfId="39606"/>
    <cellStyle name="Обычный 8 3 2 3 2 2" xfId="39607"/>
    <cellStyle name="Обычный 8 3 2 3 2 2 2" xfId="39608"/>
    <cellStyle name="Обычный 8 3 2 3 2 2 2 2" xfId="39609"/>
    <cellStyle name="Обычный 8 3 2 3 2 2 2 2 2" xfId="39610"/>
    <cellStyle name="Обычный 8 3 2 3 2 2 2 2 2 2" xfId="39611"/>
    <cellStyle name="Обычный 8 3 2 3 2 2 2 2 2 3" xfId="39612"/>
    <cellStyle name="Обычный 8 3 2 3 2 2 2 2 3" xfId="39613"/>
    <cellStyle name="Обычный 8 3 2 3 2 2 2 2 3 2" xfId="39614"/>
    <cellStyle name="Обычный 8 3 2 3 2 2 2 2 3 3" xfId="39615"/>
    <cellStyle name="Обычный 8 3 2 3 2 2 2 2 4" xfId="39616"/>
    <cellStyle name="Обычный 8 3 2 3 2 2 2 2 4 2" xfId="39617"/>
    <cellStyle name="Обычный 8 3 2 3 2 2 2 2 5" xfId="39618"/>
    <cellStyle name="Обычный 8 3 2 3 2 2 2 2 6" xfId="39619"/>
    <cellStyle name="Обычный 8 3 2 3 2 2 2 3" xfId="39620"/>
    <cellStyle name="Обычный 8 3 2 3 2 2 2 3 2" xfId="39621"/>
    <cellStyle name="Обычный 8 3 2 3 2 2 2 3 3" xfId="39622"/>
    <cellStyle name="Обычный 8 3 2 3 2 2 2 4" xfId="39623"/>
    <cellStyle name="Обычный 8 3 2 3 2 2 2 4 2" xfId="39624"/>
    <cellStyle name="Обычный 8 3 2 3 2 2 2 4 3" xfId="39625"/>
    <cellStyle name="Обычный 8 3 2 3 2 2 2 5" xfId="39626"/>
    <cellStyle name="Обычный 8 3 2 3 2 2 2 5 2" xfId="39627"/>
    <cellStyle name="Обычный 8 3 2 3 2 2 2 6" xfId="39628"/>
    <cellStyle name="Обычный 8 3 2 3 2 2 2 7" xfId="39629"/>
    <cellStyle name="Обычный 8 3 2 3 2 2 3" xfId="39630"/>
    <cellStyle name="Обычный 8 3 2 3 2 2 3 2" xfId="39631"/>
    <cellStyle name="Обычный 8 3 2 3 2 2 3 2 2" xfId="39632"/>
    <cellStyle name="Обычный 8 3 2 3 2 2 3 2 3" xfId="39633"/>
    <cellStyle name="Обычный 8 3 2 3 2 2 3 3" xfId="39634"/>
    <cellStyle name="Обычный 8 3 2 3 2 2 3 3 2" xfId="39635"/>
    <cellStyle name="Обычный 8 3 2 3 2 2 3 3 3" xfId="39636"/>
    <cellStyle name="Обычный 8 3 2 3 2 2 3 4" xfId="39637"/>
    <cellStyle name="Обычный 8 3 2 3 2 2 3 4 2" xfId="39638"/>
    <cellStyle name="Обычный 8 3 2 3 2 2 3 5" xfId="39639"/>
    <cellStyle name="Обычный 8 3 2 3 2 2 3 6" xfId="39640"/>
    <cellStyle name="Обычный 8 3 2 3 2 2 4" xfId="39641"/>
    <cellStyle name="Обычный 8 3 2 3 2 2 4 2" xfId="39642"/>
    <cellStyle name="Обычный 8 3 2 3 2 2 4 3" xfId="39643"/>
    <cellStyle name="Обычный 8 3 2 3 2 2 5" xfId="39644"/>
    <cellStyle name="Обычный 8 3 2 3 2 2 5 2" xfId="39645"/>
    <cellStyle name="Обычный 8 3 2 3 2 2 5 3" xfId="39646"/>
    <cellStyle name="Обычный 8 3 2 3 2 2 6" xfId="39647"/>
    <cellStyle name="Обычный 8 3 2 3 2 2 6 2" xfId="39648"/>
    <cellStyle name="Обычный 8 3 2 3 2 2 7" xfId="39649"/>
    <cellStyle name="Обычный 8 3 2 3 2 2 8" xfId="39650"/>
    <cellStyle name="Обычный 8 3 2 3 2 3" xfId="39651"/>
    <cellStyle name="Обычный 8 3 2 3 2 3 2" xfId="39652"/>
    <cellStyle name="Обычный 8 3 2 3 2 3 2 2" xfId="39653"/>
    <cellStyle name="Обычный 8 3 2 3 2 3 2 2 2" xfId="39654"/>
    <cellStyle name="Обычный 8 3 2 3 2 3 2 2 3" xfId="39655"/>
    <cellStyle name="Обычный 8 3 2 3 2 3 2 3" xfId="39656"/>
    <cellStyle name="Обычный 8 3 2 3 2 3 2 3 2" xfId="39657"/>
    <cellStyle name="Обычный 8 3 2 3 2 3 2 3 3" xfId="39658"/>
    <cellStyle name="Обычный 8 3 2 3 2 3 2 4" xfId="39659"/>
    <cellStyle name="Обычный 8 3 2 3 2 3 2 4 2" xfId="39660"/>
    <cellStyle name="Обычный 8 3 2 3 2 3 2 5" xfId="39661"/>
    <cellStyle name="Обычный 8 3 2 3 2 3 2 6" xfId="39662"/>
    <cellStyle name="Обычный 8 3 2 3 2 3 3" xfId="39663"/>
    <cellStyle name="Обычный 8 3 2 3 2 3 3 2" xfId="39664"/>
    <cellStyle name="Обычный 8 3 2 3 2 3 3 3" xfId="39665"/>
    <cellStyle name="Обычный 8 3 2 3 2 3 4" xfId="39666"/>
    <cellStyle name="Обычный 8 3 2 3 2 3 4 2" xfId="39667"/>
    <cellStyle name="Обычный 8 3 2 3 2 3 4 3" xfId="39668"/>
    <cellStyle name="Обычный 8 3 2 3 2 3 5" xfId="39669"/>
    <cellStyle name="Обычный 8 3 2 3 2 3 5 2" xfId="39670"/>
    <cellStyle name="Обычный 8 3 2 3 2 3 6" xfId="39671"/>
    <cellStyle name="Обычный 8 3 2 3 2 3 7" xfId="39672"/>
    <cellStyle name="Обычный 8 3 2 3 2 4" xfId="39673"/>
    <cellStyle name="Обычный 8 3 2 3 2 4 2" xfId="39674"/>
    <cellStyle name="Обычный 8 3 2 3 2 4 2 2" xfId="39675"/>
    <cellStyle name="Обычный 8 3 2 3 2 4 2 3" xfId="39676"/>
    <cellStyle name="Обычный 8 3 2 3 2 4 3" xfId="39677"/>
    <cellStyle name="Обычный 8 3 2 3 2 4 3 2" xfId="39678"/>
    <cellStyle name="Обычный 8 3 2 3 2 4 3 3" xfId="39679"/>
    <cellStyle name="Обычный 8 3 2 3 2 4 4" xfId="39680"/>
    <cellStyle name="Обычный 8 3 2 3 2 4 4 2" xfId="39681"/>
    <cellStyle name="Обычный 8 3 2 3 2 4 5" xfId="39682"/>
    <cellStyle name="Обычный 8 3 2 3 2 4 6" xfId="39683"/>
    <cellStyle name="Обычный 8 3 2 3 2 5" xfId="39684"/>
    <cellStyle name="Обычный 8 3 2 3 2 5 2" xfId="39685"/>
    <cellStyle name="Обычный 8 3 2 3 2 5 3" xfId="39686"/>
    <cellStyle name="Обычный 8 3 2 3 2 6" xfId="39687"/>
    <cellStyle name="Обычный 8 3 2 3 2 6 2" xfId="39688"/>
    <cellStyle name="Обычный 8 3 2 3 2 6 3" xfId="39689"/>
    <cellStyle name="Обычный 8 3 2 3 2 7" xfId="39690"/>
    <cellStyle name="Обычный 8 3 2 3 2 7 2" xfId="39691"/>
    <cellStyle name="Обычный 8 3 2 3 2 8" xfId="39692"/>
    <cellStyle name="Обычный 8 3 2 3 2 9" xfId="39693"/>
    <cellStyle name="Обычный 8 3 2 3 3" xfId="39694"/>
    <cellStyle name="Обычный 8 3 2 3 3 2" xfId="39695"/>
    <cellStyle name="Обычный 8 3 2 3 3 2 2" xfId="39696"/>
    <cellStyle name="Обычный 8 3 2 3 3 2 2 2" xfId="39697"/>
    <cellStyle name="Обычный 8 3 2 3 3 2 2 2 2" xfId="39698"/>
    <cellStyle name="Обычный 8 3 2 3 3 2 2 2 3" xfId="39699"/>
    <cellStyle name="Обычный 8 3 2 3 3 2 2 3" xfId="39700"/>
    <cellStyle name="Обычный 8 3 2 3 3 2 2 3 2" xfId="39701"/>
    <cellStyle name="Обычный 8 3 2 3 3 2 2 3 3" xfId="39702"/>
    <cellStyle name="Обычный 8 3 2 3 3 2 2 4" xfId="39703"/>
    <cellStyle name="Обычный 8 3 2 3 3 2 2 4 2" xfId="39704"/>
    <cellStyle name="Обычный 8 3 2 3 3 2 2 5" xfId="39705"/>
    <cellStyle name="Обычный 8 3 2 3 3 2 2 6" xfId="39706"/>
    <cellStyle name="Обычный 8 3 2 3 3 2 3" xfId="39707"/>
    <cellStyle name="Обычный 8 3 2 3 3 2 3 2" xfId="39708"/>
    <cellStyle name="Обычный 8 3 2 3 3 2 3 3" xfId="39709"/>
    <cellStyle name="Обычный 8 3 2 3 3 2 4" xfId="39710"/>
    <cellStyle name="Обычный 8 3 2 3 3 2 4 2" xfId="39711"/>
    <cellStyle name="Обычный 8 3 2 3 3 2 4 3" xfId="39712"/>
    <cellStyle name="Обычный 8 3 2 3 3 2 5" xfId="39713"/>
    <cellStyle name="Обычный 8 3 2 3 3 2 5 2" xfId="39714"/>
    <cellStyle name="Обычный 8 3 2 3 3 2 6" xfId="39715"/>
    <cellStyle name="Обычный 8 3 2 3 3 2 7" xfId="39716"/>
    <cellStyle name="Обычный 8 3 2 3 3 3" xfId="39717"/>
    <cellStyle name="Обычный 8 3 2 3 3 3 2" xfId="39718"/>
    <cellStyle name="Обычный 8 3 2 3 3 3 2 2" xfId="39719"/>
    <cellStyle name="Обычный 8 3 2 3 3 3 2 3" xfId="39720"/>
    <cellStyle name="Обычный 8 3 2 3 3 3 3" xfId="39721"/>
    <cellStyle name="Обычный 8 3 2 3 3 3 3 2" xfId="39722"/>
    <cellStyle name="Обычный 8 3 2 3 3 3 3 3" xfId="39723"/>
    <cellStyle name="Обычный 8 3 2 3 3 3 4" xfId="39724"/>
    <cellStyle name="Обычный 8 3 2 3 3 3 4 2" xfId="39725"/>
    <cellStyle name="Обычный 8 3 2 3 3 3 5" xfId="39726"/>
    <cellStyle name="Обычный 8 3 2 3 3 3 6" xfId="39727"/>
    <cellStyle name="Обычный 8 3 2 3 3 4" xfId="39728"/>
    <cellStyle name="Обычный 8 3 2 3 3 4 2" xfId="39729"/>
    <cellStyle name="Обычный 8 3 2 3 3 4 3" xfId="39730"/>
    <cellStyle name="Обычный 8 3 2 3 3 5" xfId="39731"/>
    <cellStyle name="Обычный 8 3 2 3 3 5 2" xfId="39732"/>
    <cellStyle name="Обычный 8 3 2 3 3 5 3" xfId="39733"/>
    <cellStyle name="Обычный 8 3 2 3 3 6" xfId="39734"/>
    <cellStyle name="Обычный 8 3 2 3 3 6 2" xfId="39735"/>
    <cellStyle name="Обычный 8 3 2 3 3 7" xfId="39736"/>
    <cellStyle name="Обычный 8 3 2 3 3 8" xfId="39737"/>
    <cellStyle name="Обычный 8 3 2 3 4" xfId="39738"/>
    <cellStyle name="Обычный 8 3 2 3 4 2" xfId="39739"/>
    <cellStyle name="Обычный 8 3 2 3 4 2 2" xfId="39740"/>
    <cellStyle name="Обычный 8 3 2 3 4 2 2 2" xfId="39741"/>
    <cellStyle name="Обычный 8 3 2 3 4 2 2 3" xfId="39742"/>
    <cellStyle name="Обычный 8 3 2 3 4 2 3" xfId="39743"/>
    <cellStyle name="Обычный 8 3 2 3 4 2 3 2" xfId="39744"/>
    <cellStyle name="Обычный 8 3 2 3 4 2 3 3" xfId="39745"/>
    <cellStyle name="Обычный 8 3 2 3 4 2 4" xfId="39746"/>
    <cellStyle name="Обычный 8 3 2 3 4 2 4 2" xfId="39747"/>
    <cellStyle name="Обычный 8 3 2 3 4 2 5" xfId="39748"/>
    <cellStyle name="Обычный 8 3 2 3 4 2 6" xfId="39749"/>
    <cellStyle name="Обычный 8 3 2 3 4 3" xfId="39750"/>
    <cellStyle name="Обычный 8 3 2 3 4 3 2" xfId="39751"/>
    <cellStyle name="Обычный 8 3 2 3 4 3 3" xfId="39752"/>
    <cellStyle name="Обычный 8 3 2 3 4 4" xfId="39753"/>
    <cellStyle name="Обычный 8 3 2 3 4 4 2" xfId="39754"/>
    <cellStyle name="Обычный 8 3 2 3 4 4 3" xfId="39755"/>
    <cellStyle name="Обычный 8 3 2 3 4 5" xfId="39756"/>
    <cellStyle name="Обычный 8 3 2 3 4 5 2" xfId="39757"/>
    <cellStyle name="Обычный 8 3 2 3 4 6" xfId="39758"/>
    <cellStyle name="Обычный 8 3 2 3 4 7" xfId="39759"/>
    <cellStyle name="Обычный 8 3 2 3 5" xfId="39760"/>
    <cellStyle name="Обычный 8 3 2 3 5 2" xfId="39761"/>
    <cellStyle name="Обычный 8 3 2 3 5 2 2" xfId="39762"/>
    <cellStyle name="Обычный 8 3 2 3 5 2 3" xfId="39763"/>
    <cellStyle name="Обычный 8 3 2 3 5 3" xfId="39764"/>
    <cellStyle name="Обычный 8 3 2 3 5 3 2" xfId="39765"/>
    <cellStyle name="Обычный 8 3 2 3 5 3 3" xfId="39766"/>
    <cellStyle name="Обычный 8 3 2 3 5 4" xfId="39767"/>
    <cellStyle name="Обычный 8 3 2 3 5 4 2" xfId="39768"/>
    <cellStyle name="Обычный 8 3 2 3 5 5" xfId="39769"/>
    <cellStyle name="Обычный 8 3 2 3 5 6" xfId="39770"/>
    <cellStyle name="Обычный 8 3 2 3 6" xfId="39771"/>
    <cellStyle name="Обычный 8 3 2 3 6 2" xfId="39772"/>
    <cellStyle name="Обычный 8 3 2 3 6 3" xfId="39773"/>
    <cellStyle name="Обычный 8 3 2 3 7" xfId="39774"/>
    <cellStyle name="Обычный 8 3 2 3 7 2" xfId="39775"/>
    <cellStyle name="Обычный 8 3 2 3 7 3" xfId="39776"/>
    <cellStyle name="Обычный 8 3 2 3 8" xfId="39777"/>
    <cellStyle name="Обычный 8 3 2 3 8 2" xfId="39778"/>
    <cellStyle name="Обычный 8 3 2 3 9" xfId="39779"/>
    <cellStyle name="Обычный 8 3 2 4" xfId="39780"/>
    <cellStyle name="Обычный 8 3 2 4 10" xfId="39781"/>
    <cellStyle name="Обычный 8 3 2 4 2" xfId="39782"/>
    <cellStyle name="Обычный 8 3 2 4 2 2" xfId="39783"/>
    <cellStyle name="Обычный 8 3 2 4 2 2 2" xfId="39784"/>
    <cellStyle name="Обычный 8 3 2 4 2 2 2 2" xfId="39785"/>
    <cellStyle name="Обычный 8 3 2 4 2 2 2 2 2" xfId="39786"/>
    <cellStyle name="Обычный 8 3 2 4 2 2 2 2 2 2" xfId="39787"/>
    <cellStyle name="Обычный 8 3 2 4 2 2 2 2 2 3" xfId="39788"/>
    <cellStyle name="Обычный 8 3 2 4 2 2 2 2 3" xfId="39789"/>
    <cellStyle name="Обычный 8 3 2 4 2 2 2 2 3 2" xfId="39790"/>
    <cellStyle name="Обычный 8 3 2 4 2 2 2 2 3 3" xfId="39791"/>
    <cellStyle name="Обычный 8 3 2 4 2 2 2 2 4" xfId="39792"/>
    <cellStyle name="Обычный 8 3 2 4 2 2 2 2 4 2" xfId="39793"/>
    <cellStyle name="Обычный 8 3 2 4 2 2 2 2 5" xfId="39794"/>
    <cellStyle name="Обычный 8 3 2 4 2 2 2 2 6" xfId="39795"/>
    <cellStyle name="Обычный 8 3 2 4 2 2 2 3" xfId="39796"/>
    <cellStyle name="Обычный 8 3 2 4 2 2 2 3 2" xfId="39797"/>
    <cellStyle name="Обычный 8 3 2 4 2 2 2 3 3" xfId="39798"/>
    <cellStyle name="Обычный 8 3 2 4 2 2 2 4" xfId="39799"/>
    <cellStyle name="Обычный 8 3 2 4 2 2 2 4 2" xfId="39800"/>
    <cellStyle name="Обычный 8 3 2 4 2 2 2 4 3" xfId="39801"/>
    <cellStyle name="Обычный 8 3 2 4 2 2 2 5" xfId="39802"/>
    <cellStyle name="Обычный 8 3 2 4 2 2 2 5 2" xfId="39803"/>
    <cellStyle name="Обычный 8 3 2 4 2 2 2 6" xfId="39804"/>
    <cellStyle name="Обычный 8 3 2 4 2 2 2 7" xfId="39805"/>
    <cellStyle name="Обычный 8 3 2 4 2 2 3" xfId="39806"/>
    <cellStyle name="Обычный 8 3 2 4 2 2 3 2" xfId="39807"/>
    <cellStyle name="Обычный 8 3 2 4 2 2 3 2 2" xfId="39808"/>
    <cellStyle name="Обычный 8 3 2 4 2 2 3 2 3" xfId="39809"/>
    <cellStyle name="Обычный 8 3 2 4 2 2 3 3" xfId="39810"/>
    <cellStyle name="Обычный 8 3 2 4 2 2 3 3 2" xfId="39811"/>
    <cellStyle name="Обычный 8 3 2 4 2 2 3 3 3" xfId="39812"/>
    <cellStyle name="Обычный 8 3 2 4 2 2 3 4" xfId="39813"/>
    <cellStyle name="Обычный 8 3 2 4 2 2 3 4 2" xfId="39814"/>
    <cellStyle name="Обычный 8 3 2 4 2 2 3 5" xfId="39815"/>
    <cellStyle name="Обычный 8 3 2 4 2 2 3 6" xfId="39816"/>
    <cellStyle name="Обычный 8 3 2 4 2 2 4" xfId="39817"/>
    <cellStyle name="Обычный 8 3 2 4 2 2 4 2" xfId="39818"/>
    <cellStyle name="Обычный 8 3 2 4 2 2 4 3" xfId="39819"/>
    <cellStyle name="Обычный 8 3 2 4 2 2 5" xfId="39820"/>
    <cellStyle name="Обычный 8 3 2 4 2 2 5 2" xfId="39821"/>
    <cellStyle name="Обычный 8 3 2 4 2 2 5 3" xfId="39822"/>
    <cellStyle name="Обычный 8 3 2 4 2 2 6" xfId="39823"/>
    <cellStyle name="Обычный 8 3 2 4 2 2 6 2" xfId="39824"/>
    <cellStyle name="Обычный 8 3 2 4 2 2 7" xfId="39825"/>
    <cellStyle name="Обычный 8 3 2 4 2 2 8" xfId="39826"/>
    <cellStyle name="Обычный 8 3 2 4 2 3" xfId="39827"/>
    <cellStyle name="Обычный 8 3 2 4 2 3 2" xfId="39828"/>
    <cellStyle name="Обычный 8 3 2 4 2 3 2 2" xfId="39829"/>
    <cellStyle name="Обычный 8 3 2 4 2 3 2 2 2" xfId="39830"/>
    <cellStyle name="Обычный 8 3 2 4 2 3 2 2 3" xfId="39831"/>
    <cellStyle name="Обычный 8 3 2 4 2 3 2 3" xfId="39832"/>
    <cellStyle name="Обычный 8 3 2 4 2 3 2 3 2" xfId="39833"/>
    <cellStyle name="Обычный 8 3 2 4 2 3 2 3 3" xfId="39834"/>
    <cellStyle name="Обычный 8 3 2 4 2 3 2 4" xfId="39835"/>
    <cellStyle name="Обычный 8 3 2 4 2 3 2 4 2" xfId="39836"/>
    <cellStyle name="Обычный 8 3 2 4 2 3 2 5" xfId="39837"/>
    <cellStyle name="Обычный 8 3 2 4 2 3 2 6" xfId="39838"/>
    <cellStyle name="Обычный 8 3 2 4 2 3 3" xfId="39839"/>
    <cellStyle name="Обычный 8 3 2 4 2 3 3 2" xfId="39840"/>
    <cellStyle name="Обычный 8 3 2 4 2 3 3 3" xfId="39841"/>
    <cellStyle name="Обычный 8 3 2 4 2 3 4" xfId="39842"/>
    <cellStyle name="Обычный 8 3 2 4 2 3 4 2" xfId="39843"/>
    <cellStyle name="Обычный 8 3 2 4 2 3 4 3" xfId="39844"/>
    <cellStyle name="Обычный 8 3 2 4 2 3 5" xfId="39845"/>
    <cellStyle name="Обычный 8 3 2 4 2 3 5 2" xfId="39846"/>
    <cellStyle name="Обычный 8 3 2 4 2 3 6" xfId="39847"/>
    <cellStyle name="Обычный 8 3 2 4 2 3 7" xfId="39848"/>
    <cellStyle name="Обычный 8 3 2 4 2 4" xfId="39849"/>
    <cellStyle name="Обычный 8 3 2 4 2 4 2" xfId="39850"/>
    <cellStyle name="Обычный 8 3 2 4 2 4 2 2" xfId="39851"/>
    <cellStyle name="Обычный 8 3 2 4 2 4 2 3" xfId="39852"/>
    <cellStyle name="Обычный 8 3 2 4 2 4 3" xfId="39853"/>
    <cellStyle name="Обычный 8 3 2 4 2 4 3 2" xfId="39854"/>
    <cellStyle name="Обычный 8 3 2 4 2 4 3 3" xfId="39855"/>
    <cellStyle name="Обычный 8 3 2 4 2 4 4" xfId="39856"/>
    <cellStyle name="Обычный 8 3 2 4 2 4 4 2" xfId="39857"/>
    <cellStyle name="Обычный 8 3 2 4 2 4 5" xfId="39858"/>
    <cellStyle name="Обычный 8 3 2 4 2 4 6" xfId="39859"/>
    <cellStyle name="Обычный 8 3 2 4 2 5" xfId="39860"/>
    <cellStyle name="Обычный 8 3 2 4 2 5 2" xfId="39861"/>
    <cellStyle name="Обычный 8 3 2 4 2 5 3" xfId="39862"/>
    <cellStyle name="Обычный 8 3 2 4 2 6" xfId="39863"/>
    <cellStyle name="Обычный 8 3 2 4 2 6 2" xfId="39864"/>
    <cellStyle name="Обычный 8 3 2 4 2 6 3" xfId="39865"/>
    <cellStyle name="Обычный 8 3 2 4 2 7" xfId="39866"/>
    <cellStyle name="Обычный 8 3 2 4 2 7 2" xfId="39867"/>
    <cellStyle name="Обычный 8 3 2 4 2 8" xfId="39868"/>
    <cellStyle name="Обычный 8 3 2 4 2 9" xfId="39869"/>
    <cellStyle name="Обычный 8 3 2 4 3" xfId="39870"/>
    <cellStyle name="Обычный 8 3 2 4 3 2" xfId="39871"/>
    <cellStyle name="Обычный 8 3 2 4 3 2 2" xfId="39872"/>
    <cellStyle name="Обычный 8 3 2 4 3 2 2 2" xfId="39873"/>
    <cellStyle name="Обычный 8 3 2 4 3 2 2 2 2" xfId="39874"/>
    <cellStyle name="Обычный 8 3 2 4 3 2 2 2 3" xfId="39875"/>
    <cellStyle name="Обычный 8 3 2 4 3 2 2 3" xfId="39876"/>
    <cellStyle name="Обычный 8 3 2 4 3 2 2 3 2" xfId="39877"/>
    <cellStyle name="Обычный 8 3 2 4 3 2 2 3 3" xfId="39878"/>
    <cellStyle name="Обычный 8 3 2 4 3 2 2 4" xfId="39879"/>
    <cellStyle name="Обычный 8 3 2 4 3 2 2 4 2" xfId="39880"/>
    <cellStyle name="Обычный 8 3 2 4 3 2 2 5" xfId="39881"/>
    <cellStyle name="Обычный 8 3 2 4 3 2 2 6" xfId="39882"/>
    <cellStyle name="Обычный 8 3 2 4 3 2 3" xfId="39883"/>
    <cellStyle name="Обычный 8 3 2 4 3 2 3 2" xfId="39884"/>
    <cellStyle name="Обычный 8 3 2 4 3 2 3 3" xfId="39885"/>
    <cellStyle name="Обычный 8 3 2 4 3 2 4" xfId="39886"/>
    <cellStyle name="Обычный 8 3 2 4 3 2 4 2" xfId="39887"/>
    <cellStyle name="Обычный 8 3 2 4 3 2 4 3" xfId="39888"/>
    <cellStyle name="Обычный 8 3 2 4 3 2 5" xfId="39889"/>
    <cellStyle name="Обычный 8 3 2 4 3 2 5 2" xfId="39890"/>
    <cellStyle name="Обычный 8 3 2 4 3 2 6" xfId="39891"/>
    <cellStyle name="Обычный 8 3 2 4 3 2 7" xfId="39892"/>
    <cellStyle name="Обычный 8 3 2 4 3 3" xfId="39893"/>
    <cellStyle name="Обычный 8 3 2 4 3 3 2" xfId="39894"/>
    <cellStyle name="Обычный 8 3 2 4 3 3 2 2" xfId="39895"/>
    <cellStyle name="Обычный 8 3 2 4 3 3 2 3" xfId="39896"/>
    <cellStyle name="Обычный 8 3 2 4 3 3 3" xfId="39897"/>
    <cellStyle name="Обычный 8 3 2 4 3 3 3 2" xfId="39898"/>
    <cellStyle name="Обычный 8 3 2 4 3 3 3 3" xfId="39899"/>
    <cellStyle name="Обычный 8 3 2 4 3 3 4" xfId="39900"/>
    <cellStyle name="Обычный 8 3 2 4 3 3 4 2" xfId="39901"/>
    <cellStyle name="Обычный 8 3 2 4 3 3 5" xfId="39902"/>
    <cellStyle name="Обычный 8 3 2 4 3 3 6" xfId="39903"/>
    <cellStyle name="Обычный 8 3 2 4 3 4" xfId="39904"/>
    <cellStyle name="Обычный 8 3 2 4 3 4 2" xfId="39905"/>
    <cellStyle name="Обычный 8 3 2 4 3 4 3" xfId="39906"/>
    <cellStyle name="Обычный 8 3 2 4 3 5" xfId="39907"/>
    <cellStyle name="Обычный 8 3 2 4 3 5 2" xfId="39908"/>
    <cellStyle name="Обычный 8 3 2 4 3 5 3" xfId="39909"/>
    <cellStyle name="Обычный 8 3 2 4 3 6" xfId="39910"/>
    <cellStyle name="Обычный 8 3 2 4 3 6 2" xfId="39911"/>
    <cellStyle name="Обычный 8 3 2 4 3 7" xfId="39912"/>
    <cellStyle name="Обычный 8 3 2 4 3 8" xfId="39913"/>
    <cellStyle name="Обычный 8 3 2 4 4" xfId="39914"/>
    <cellStyle name="Обычный 8 3 2 4 4 2" xfId="39915"/>
    <cellStyle name="Обычный 8 3 2 4 4 2 2" xfId="39916"/>
    <cellStyle name="Обычный 8 3 2 4 4 2 2 2" xfId="39917"/>
    <cellStyle name="Обычный 8 3 2 4 4 2 2 3" xfId="39918"/>
    <cellStyle name="Обычный 8 3 2 4 4 2 3" xfId="39919"/>
    <cellStyle name="Обычный 8 3 2 4 4 2 3 2" xfId="39920"/>
    <cellStyle name="Обычный 8 3 2 4 4 2 3 3" xfId="39921"/>
    <cellStyle name="Обычный 8 3 2 4 4 2 4" xfId="39922"/>
    <cellStyle name="Обычный 8 3 2 4 4 2 4 2" xfId="39923"/>
    <cellStyle name="Обычный 8 3 2 4 4 2 5" xfId="39924"/>
    <cellStyle name="Обычный 8 3 2 4 4 2 6" xfId="39925"/>
    <cellStyle name="Обычный 8 3 2 4 4 3" xfId="39926"/>
    <cellStyle name="Обычный 8 3 2 4 4 3 2" xfId="39927"/>
    <cellStyle name="Обычный 8 3 2 4 4 3 3" xfId="39928"/>
    <cellStyle name="Обычный 8 3 2 4 4 4" xfId="39929"/>
    <cellStyle name="Обычный 8 3 2 4 4 4 2" xfId="39930"/>
    <cellStyle name="Обычный 8 3 2 4 4 4 3" xfId="39931"/>
    <cellStyle name="Обычный 8 3 2 4 4 5" xfId="39932"/>
    <cellStyle name="Обычный 8 3 2 4 4 5 2" xfId="39933"/>
    <cellStyle name="Обычный 8 3 2 4 4 6" xfId="39934"/>
    <cellStyle name="Обычный 8 3 2 4 4 7" xfId="39935"/>
    <cellStyle name="Обычный 8 3 2 4 5" xfId="39936"/>
    <cellStyle name="Обычный 8 3 2 4 5 2" xfId="39937"/>
    <cellStyle name="Обычный 8 3 2 4 5 2 2" xfId="39938"/>
    <cellStyle name="Обычный 8 3 2 4 5 2 3" xfId="39939"/>
    <cellStyle name="Обычный 8 3 2 4 5 3" xfId="39940"/>
    <cellStyle name="Обычный 8 3 2 4 5 3 2" xfId="39941"/>
    <cellStyle name="Обычный 8 3 2 4 5 3 3" xfId="39942"/>
    <cellStyle name="Обычный 8 3 2 4 5 4" xfId="39943"/>
    <cellStyle name="Обычный 8 3 2 4 5 4 2" xfId="39944"/>
    <cellStyle name="Обычный 8 3 2 4 5 5" xfId="39945"/>
    <cellStyle name="Обычный 8 3 2 4 5 6" xfId="39946"/>
    <cellStyle name="Обычный 8 3 2 4 6" xfId="39947"/>
    <cellStyle name="Обычный 8 3 2 4 6 2" xfId="39948"/>
    <cellStyle name="Обычный 8 3 2 4 6 3" xfId="39949"/>
    <cellStyle name="Обычный 8 3 2 4 7" xfId="39950"/>
    <cellStyle name="Обычный 8 3 2 4 7 2" xfId="39951"/>
    <cellStyle name="Обычный 8 3 2 4 7 3" xfId="39952"/>
    <cellStyle name="Обычный 8 3 2 4 8" xfId="39953"/>
    <cellStyle name="Обычный 8 3 2 4 8 2" xfId="39954"/>
    <cellStyle name="Обычный 8 3 2 4 9" xfId="39955"/>
    <cellStyle name="Обычный 8 3 2 5" xfId="39956"/>
    <cellStyle name="Обычный 8 3 2 5 2" xfId="39957"/>
    <cellStyle name="Обычный 8 3 2 5 2 2" xfId="39958"/>
    <cellStyle name="Обычный 8 3 2 5 2 2 2" xfId="39959"/>
    <cellStyle name="Обычный 8 3 2 5 2 2 2 2" xfId="39960"/>
    <cellStyle name="Обычный 8 3 2 5 2 2 2 2 2" xfId="39961"/>
    <cellStyle name="Обычный 8 3 2 5 2 2 2 2 3" xfId="39962"/>
    <cellStyle name="Обычный 8 3 2 5 2 2 2 3" xfId="39963"/>
    <cellStyle name="Обычный 8 3 2 5 2 2 2 3 2" xfId="39964"/>
    <cellStyle name="Обычный 8 3 2 5 2 2 2 3 3" xfId="39965"/>
    <cellStyle name="Обычный 8 3 2 5 2 2 2 4" xfId="39966"/>
    <cellStyle name="Обычный 8 3 2 5 2 2 2 4 2" xfId="39967"/>
    <cellStyle name="Обычный 8 3 2 5 2 2 2 5" xfId="39968"/>
    <cellStyle name="Обычный 8 3 2 5 2 2 2 6" xfId="39969"/>
    <cellStyle name="Обычный 8 3 2 5 2 2 3" xfId="39970"/>
    <cellStyle name="Обычный 8 3 2 5 2 2 3 2" xfId="39971"/>
    <cellStyle name="Обычный 8 3 2 5 2 2 3 3" xfId="39972"/>
    <cellStyle name="Обычный 8 3 2 5 2 2 4" xfId="39973"/>
    <cellStyle name="Обычный 8 3 2 5 2 2 4 2" xfId="39974"/>
    <cellStyle name="Обычный 8 3 2 5 2 2 4 3" xfId="39975"/>
    <cellStyle name="Обычный 8 3 2 5 2 2 5" xfId="39976"/>
    <cellStyle name="Обычный 8 3 2 5 2 2 5 2" xfId="39977"/>
    <cellStyle name="Обычный 8 3 2 5 2 2 6" xfId="39978"/>
    <cellStyle name="Обычный 8 3 2 5 2 2 7" xfId="39979"/>
    <cellStyle name="Обычный 8 3 2 5 2 3" xfId="39980"/>
    <cellStyle name="Обычный 8 3 2 5 2 3 2" xfId="39981"/>
    <cellStyle name="Обычный 8 3 2 5 2 3 2 2" xfId="39982"/>
    <cellStyle name="Обычный 8 3 2 5 2 3 2 3" xfId="39983"/>
    <cellStyle name="Обычный 8 3 2 5 2 3 3" xfId="39984"/>
    <cellStyle name="Обычный 8 3 2 5 2 3 3 2" xfId="39985"/>
    <cellStyle name="Обычный 8 3 2 5 2 3 3 3" xfId="39986"/>
    <cellStyle name="Обычный 8 3 2 5 2 3 4" xfId="39987"/>
    <cellStyle name="Обычный 8 3 2 5 2 3 4 2" xfId="39988"/>
    <cellStyle name="Обычный 8 3 2 5 2 3 5" xfId="39989"/>
    <cellStyle name="Обычный 8 3 2 5 2 3 6" xfId="39990"/>
    <cellStyle name="Обычный 8 3 2 5 2 4" xfId="39991"/>
    <cellStyle name="Обычный 8 3 2 5 2 4 2" xfId="39992"/>
    <cellStyle name="Обычный 8 3 2 5 2 4 3" xfId="39993"/>
    <cellStyle name="Обычный 8 3 2 5 2 5" xfId="39994"/>
    <cellStyle name="Обычный 8 3 2 5 2 5 2" xfId="39995"/>
    <cellStyle name="Обычный 8 3 2 5 2 5 3" xfId="39996"/>
    <cellStyle name="Обычный 8 3 2 5 2 6" xfId="39997"/>
    <cellStyle name="Обычный 8 3 2 5 2 6 2" xfId="39998"/>
    <cellStyle name="Обычный 8 3 2 5 2 7" xfId="39999"/>
    <cellStyle name="Обычный 8 3 2 5 2 8" xfId="40000"/>
    <cellStyle name="Обычный 8 3 2 5 3" xfId="40001"/>
    <cellStyle name="Обычный 8 3 2 5 3 2" xfId="40002"/>
    <cellStyle name="Обычный 8 3 2 5 3 2 2" xfId="40003"/>
    <cellStyle name="Обычный 8 3 2 5 3 2 2 2" xfId="40004"/>
    <cellStyle name="Обычный 8 3 2 5 3 2 2 3" xfId="40005"/>
    <cellStyle name="Обычный 8 3 2 5 3 2 3" xfId="40006"/>
    <cellStyle name="Обычный 8 3 2 5 3 2 3 2" xfId="40007"/>
    <cellStyle name="Обычный 8 3 2 5 3 2 3 3" xfId="40008"/>
    <cellStyle name="Обычный 8 3 2 5 3 2 4" xfId="40009"/>
    <cellStyle name="Обычный 8 3 2 5 3 2 4 2" xfId="40010"/>
    <cellStyle name="Обычный 8 3 2 5 3 2 5" xfId="40011"/>
    <cellStyle name="Обычный 8 3 2 5 3 2 6" xfId="40012"/>
    <cellStyle name="Обычный 8 3 2 5 3 3" xfId="40013"/>
    <cellStyle name="Обычный 8 3 2 5 3 3 2" xfId="40014"/>
    <cellStyle name="Обычный 8 3 2 5 3 3 3" xfId="40015"/>
    <cellStyle name="Обычный 8 3 2 5 3 4" xfId="40016"/>
    <cellStyle name="Обычный 8 3 2 5 3 4 2" xfId="40017"/>
    <cellStyle name="Обычный 8 3 2 5 3 4 3" xfId="40018"/>
    <cellStyle name="Обычный 8 3 2 5 3 5" xfId="40019"/>
    <cellStyle name="Обычный 8 3 2 5 3 5 2" xfId="40020"/>
    <cellStyle name="Обычный 8 3 2 5 3 6" xfId="40021"/>
    <cellStyle name="Обычный 8 3 2 5 3 7" xfId="40022"/>
    <cellStyle name="Обычный 8 3 2 5 4" xfId="40023"/>
    <cellStyle name="Обычный 8 3 2 5 4 2" xfId="40024"/>
    <cellStyle name="Обычный 8 3 2 5 4 2 2" xfId="40025"/>
    <cellStyle name="Обычный 8 3 2 5 4 2 3" xfId="40026"/>
    <cellStyle name="Обычный 8 3 2 5 4 3" xfId="40027"/>
    <cellStyle name="Обычный 8 3 2 5 4 3 2" xfId="40028"/>
    <cellStyle name="Обычный 8 3 2 5 4 3 3" xfId="40029"/>
    <cellStyle name="Обычный 8 3 2 5 4 4" xfId="40030"/>
    <cellStyle name="Обычный 8 3 2 5 4 4 2" xfId="40031"/>
    <cellStyle name="Обычный 8 3 2 5 4 5" xfId="40032"/>
    <cellStyle name="Обычный 8 3 2 5 4 6" xfId="40033"/>
    <cellStyle name="Обычный 8 3 2 5 5" xfId="40034"/>
    <cellStyle name="Обычный 8 3 2 5 5 2" xfId="40035"/>
    <cellStyle name="Обычный 8 3 2 5 5 3" xfId="40036"/>
    <cellStyle name="Обычный 8 3 2 5 6" xfId="40037"/>
    <cellStyle name="Обычный 8 3 2 5 6 2" xfId="40038"/>
    <cellStyle name="Обычный 8 3 2 5 6 3" xfId="40039"/>
    <cellStyle name="Обычный 8 3 2 5 7" xfId="40040"/>
    <cellStyle name="Обычный 8 3 2 5 7 2" xfId="40041"/>
    <cellStyle name="Обычный 8 3 2 5 8" xfId="40042"/>
    <cellStyle name="Обычный 8 3 2 5 9" xfId="40043"/>
    <cellStyle name="Обычный 8 3 2 6" xfId="40044"/>
    <cellStyle name="Обычный 8 3 2 6 2" xfId="40045"/>
    <cellStyle name="Обычный 8 3 2 6 2 2" xfId="40046"/>
    <cellStyle name="Обычный 8 3 2 6 2 2 2" xfId="40047"/>
    <cellStyle name="Обычный 8 3 2 6 2 2 2 2" xfId="40048"/>
    <cellStyle name="Обычный 8 3 2 6 2 2 2 3" xfId="40049"/>
    <cellStyle name="Обычный 8 3 2 6 2 2 3" xfId="40050"/>
    <cellStyle name="Обычный 8 3 2 6 2 2 3 2" xfId="40051"/>
    <cellStyle name="Обычный 8 3 2 6 2 2 3 3" xfId="40052"/>
    <cellStyle name="Обычный 8 3 2 6 2 2 4" xfId="40053"/>
    <cellStyle name="Обычный 8 3 2 6 2 2 4 2" xfId="40054"/>
    <cellStyle name="Обычный 8 3 2 6 2 2 5" xfId="40055"/>
    <cellStyle name="Обычный 8 3 2 6 2 2 6" xfId="40056"/>
    <cellStyle name="Обычный 8 3 2 6 2 3" xfId="40057"/>
    <cellStyle name="Обычный 8 3 2 6 2 3 2" xfId="40058"/>
    <cellStyle name="Обычный 8 3 2 6 2 3 3" xfId="40059"/>
    <cellStyle name="Обычный 8 3 2 6 2 4" xfId="40060"/>
    <cellStyle name="Обычный 8 3 2 6 2 4 2" xfId="40061"/>
    <cellStyle name="Обычный 8 3 2 6 2 4 3" xfId="40062"/>
    <cellStyle name="Обычный 8 3 2 6 2 5" xfId="40063"/>
    <cellStyle name="Обычный 8 3 2 6 2 5 2" xfId="40064"/>
    <cellStyle name="Обычный 8 3 2 6 2 6" xfId="40065"/>
    <cellStyle name="Обычный 8 3 2 6 2 7" xfId="40066"/>
    <cellStyle name="Обычный 8 3 2 6 3" xfId="40067"/>
    <cellStyle name="Обычный 8 3 2 6 3 2" xfId="40068"/>
    <cellStyle name="Обычный 8 3 2 6 3 2 2" xfId="40069"/>
    <cellStyle name="Обычный 8 3 2 6 3 2 3" xfId="40070"/>
    <cellStyle name="Обычный 8 3 2 6 3 3" xfId="40071"/>
    <cellStyle name="Обычный 8 3 2 6 3 3 2" xfId="40072"/>
    <cellStyle name="Обычный 8 3 2 6 3 3 3" xfId="40073"/>
    <cellStyle name="Обычный 8 3 2 6 3 4" xfId="40074"/>
    <cellStyle name="Обычный 8 3 2 6 3 4 2" xfId="40075"/>
    <cellStyle name="Обычный 8 3 2 6 3 5" xfId="40076"/>
    <cellStyle name="Обычный 8 3 2 6 3 6" xfId="40077"/>
    <cellStyle name="Обычный 8 3 2 6 4" xfId="40078"/>
    <cellStyle name="Обычный 8 3 2 6 4 2" xfId="40079"/>
    <cellStyle name="Обычный 8 3 2 6 4 3" xfId="40080"/>
    <cellStyle name="Обычный 8 3 2 6 5" xfId="40081"/>
    <cellStyle name="Обычный 8 3 2 6 5 2" xfId="40082"/>
    <cellStyle name="Обычный 8 3 2 6 5 3" xfId="40083"/>
    <cellStyle name="Обычный 8 3 2 6 6" xfId="40084"/>
    <cellStyle name="Обычный 8 3 2 6 6 2" xfId="40085"/>
    <cellStyle name="Обычный 8 3 2 6 7" xfId="40086"/>
    <cellStyle name="Обычный 8 3 2 6 8" xfId="40087"/>
    <cellStyle name="Обычный 8 3 2 7" xfId="40088"/>
    <cellStyle name="Обычный 8 3 2 7 2" xfId="40089"/>
    <cellStyle name="Обычный 8 3 2 7 2 2" xfId="40090"/>
    <cellStyle name="Обычный 8 3 2 7 2 2 2" xfId="40091"/>
    <cellStyle name="Обычный 8 3 2 7 2 2 3" xfId="40092"/>
    <cellStyle name="Обычный 8 3 2 7 2 3" xfId="40093"/>
    <cellStyle name="Обычный 8 3 2 7 2 3 2" xfId="40094"/>
    <cellStyle name="Обычный 8 3 2 7 2 3 3" xfId="40095"/>
    <cellStyle name="Обычный 8 3 2 7 2 4" xfId="40096"/>
    <cellStyle name="Обычный 8 3 2 7 2 4 2" xfId="40097"/>
    <cellStyle name="Обычный 8 3 2 7 2 5" xfId="40098"/>
    <cellStyle name="Обычный 8 3 2 7 2 6" xfId="40099"/>
    <cellStyle name="Обычный 8 3 2 7 3" xfId="40100"/>
    <cellStyle name="Обычный 8 3 2 7 3 2" xfId="40101"/>
    <cellStyle name="Обычный 8 3 2 7 3 3" xfId="40102"/>
    <cellStyle name="Обычный 8 3 2 7 4" xfId="40103"/>
    <cellStyle name="Обычный 8 3 2 7 4 2" xfId="40104"/>
    <cellStyle name="Обычный 8 3 2 7 4 3" xfId="40105"/>
    <cellStyle name="Обычный 8 3 2 7 5" xfId="40106"/>
    <cellStyle name="Обычный 8 3 2 7 5 2" xfId="40107"/>
    <cellStyle name="Обычный 8 3 2 7 6" xfId="40108"/>
    <cellStyle name="Обычный 8 3 2 7 7" xfId="40109"/>
    <cellStyle name="Обычный 8 3 2 8" xfId="40110"/>
    <cellStyle name="Обычный 8 3 2 8 2" xfId="40111"/>
    <cellStyle name="Обычный 8 3 2 8 2 2" xfId="40112"/>
    <cellStyle name="Обычный 8 3 2 8 2 3" xfId="40113"/>
    <cellStyle name="Обычный 8 3 2 8 3" xfId="40114"/>
    <cellStyle name="Обычный 8 3 2 8 3 2" xfId="40115"/>
    <cellStyle name="Обычный 8 3 2 8 3 3" xfId="40116"/>
    <cellStyle name="Обычный 8 3 2 8 4" xfId="40117"/>
    <cellStyle name="Обычный 8 3 2 8 4 2" xfId="40118"/>
    <cellStyle name="Обычный 8 3 2 8 5" xfId="40119"/>
    <cellStyle name="Обычный 8 3 2 8 6" xfId="40120"/>
    <cellStyle name="Обычный 8 3 2 9" xfId="40121"/>
    <cellStyle name="Обычный 8 3 2 9 2" xfId="40122"/>
    <cellStyle name="Обычный 8 3 2 9 3" xfId="40123"/>
    <cellStyle name="Обычный 8 3 3" xfId="40124"/>
    <cellStyle name="Обычный 8 3 3 10" xfId="40125"/>
    <cellStyle name="Обычный 8 3 3 2" xfId="40126"/>
    <cellStyle name="Обычный 8 3 3 2 2" xfId="40127"/>
    <cellStyle name="Обычный 8 3 3 2 2 2" xfId="40128"/>
    <cellStyle name="Обычный 8 3 3 2 2 2 2" xfId="40129"/>
    <cellStyle name="Обычный 8 3 3 2 2 2 2 2" xfId="40130"/>
    <cellStyle name="Обычный 8 3 3 2 2 2 2 2 2" xfId="40131"/>
    <cellStyle name="Обычный 8 3 3 2 2 2 2 2 3" xfId="40132"/>
    <cellStyle name="Обычный 8 3 3 2 2 2 2 3" xfId="40133"/>
    <cellStyle name="Обычный 8 3 3 2 2 2 2 3 2" xfId="40134"/>
    <cellStyle name="Обычный 8 3 3 2 2 2 2 3 3" xfId="40135"/>
    <cellStyle name="Обычный 8 3 3 2 2 2 2 4" xfId="40136"/>
    <cellStyle name="Обычный 8 3 3 2 2 2 2 4 2" xfId="40137"/>
    <cellStyle name="Обычный 8 3 3 2 2 2 2 5" xfId="40138"/>
    <cellStyle name="Обычный 8 3 3 2 2 2 2 6" xfId="40139"/>
    <cellStyle name="Обычный 8 3 3 2 2 2 3" xfId="40140"/>
    <cellStyle name="Обычный 8 3 3 2 2 2 3 2" xfId="40141"/>
    <cellStyle name="Обычный 8 3 3 2 2 2 3 3" xfId="40142"/>
    <cellStyle name="Обычный 8 3 3 2 2 2 4" xfId="40143"/>
    <cellStyle name="Обычный 8 3 3 2 2 2 4 2" xfId="40144"/>
    <cellStyle name="Обычный 8 3 3 2 2 2 4 3" xfId="40145"/>
    <cellStyle name="Обычный 8 3 3 2 2 2 5" xfId="40146"/>
    <cellStyle name="Обычный 8 3 3 2 2 2 5 2" xfId="40147"/>
    <cellStyle name="Обычный 8 3 3 2 2 2 6" xfId="40148"/>
    <cellStyle name="Обычный 8 3 3 2 2 2 7" xfId="40149"/>
    <cellStyle name="Обычный 8 3 3 2 2 3" xfId="40150"/>
    <cellStyle name="Обычный 8 3 3 2 2 3 2" xfId="40151"/>
    <cellStyle name="Обычный 8 3 3 2 2 3 2 2" xfId="40152"/>
    <cellStyle name="Обычный 8 3 3 2 2 3 2 3" xfId="40153"/>
    <cellStyle name="Обычный 8 3 3 2 2 3 3" xfId="40154"/>
    <cellStyle name="Обычный 8 3 3 2 2 3 3 2" xfId="40155"/>
    <cellStyle name="Обычный 8 3 3 2 2 3 3 3" xfId="40156"/>
    <cellStyle name="Обычный 8 3 3 2 2 3 4" xfId="40157"/>
    <cellStyle name="Обычный 8 3 3 2 2 3 4 2" xfId="40158"/>
    <cellStyle name="Обычный 8 3 3 2 2 3 5" xfId="40159"/>
    <cellStyle name="Обычный 8 3 3 2 2 3 6" xfId="40160"/>
    <cellStyle name="Обычный 8 3 3 2 2 4" xfId="40161"/>
    <cellStyle name="Обычный 8 3 3 2 2 4 2" xfId="40162"/>
    <cellStyle name="Обычный 8 3 3 2 2 4 3" xfId="40163"/>
    <cellStyle name="Обычный 8 3 3 2 2 5" xfId="40164"/>
    <cellStyle name="Обычный 8 3 3 2 2 5 2" xfId="40165"/>
    <cellStyle name="Обычный 8 3 3 2 2 5 3" xfId="40166"/>
    <cellStyle name="Обычный 8 3 3 2 2 6" xfId="40167"/>
    <cellStyle name="Обычный 8 3 3 2 2 6 2" xfId="40168"/>
    <cellStyle name="Обычный 8 3 3 2 2 7" xfId="40169"/>
    <cellStyle name="Обычный 8 3 3 2 2 8" xfId="40170"/>
    <cellStyle name="Обычный 8 3 3 2 3" xfId="40171"/>
    <cellStyle name="Обычный 8 3 3 2 3 2" xfId="40172"/>
    <cellStyle name="Обычный 8 3 3 2 3 2 2" xfId="40173"/>
    <cellStyle name="Обычный 8 3 3 2 3 2 2 2" xfId="40174"/>
    <cellStyle name="Обычный 8 3 3 2 3 2 2 3" xfId="40175"/>
    <cellStyle name="Обычный 8 3 3 2 3 2 3" xfId="40176"/>
    <cellStyle name="Обычный 8 3 3 2 3 2 3 2" xfId="40177"/>
    <cellStyle name="Обычный 8 3 3 2 3 2 3 3" xfId="40178"/>
    <cellStyle name="Обычный 8 3 3 2 3 2 4" xfId="40179"/>
    <cellStyle name="Обычный 8 3 3 2 3 2 4 2" xfId="40180"/>
    <cellStyle name="Обычный 8 3 3 2 3 2 5" xfId="40181"/>
    <cellStyle name="Обычный 8 3 3 2 3 2 6" xfId="40182"/>
    <cellStyle name="Обычный 8 3 3 2 3 3" xfId="40183"/>
    <cellStyle name="Обычный 8 3 3 2 3 3 2" xfId="40184"/>
    <cellStyle name="Обычный 8 3 3 2 3 3 3" xfId="40185"/>
    <cellStyle name="Обычный 8 3 3 2 3 4" xfId="40186"/>
    <cellStyle name="Обычный 8 3 3 2 3 4 2" xfId="40187"/>
    <cellStyle name="Обычный 8 3 3 2 3 4 3" xfId="40188"/>
    <cellStyle name="Обычный 8 3 3 2 3 5" xfId="40189"/>
    <cellStyle name="Обычный 8 3 3 2 3 5 2" xfId="40190"/>
    <cellStyle name="Обычный 8 3 3 2 3 6" xfId="40191"/>
    <cellStyle name="Обычный 8 3 3 2 3 7" xfId="40192"/>
    <cellStyle name="Обычный 8 3 3 2 4" xfId="40193"/>
    <cellStyle name="Обычный 8 3 3 2 4 2" xfId="40194"/>
    <cellStyle name="Обычный 8 3 3 2 4 2 2" xfId="40195"/>
    <cellStyle name="Обычный 8 3 3 2 4 2 3" xfId="40196"/>
    <cellStyle name="Обычный 8 3 3 2 4 3" xfId="40197"/>
    <cellStyle name="Обычный 8 3 3 2 4 3 2" xfId="40198"/>
    <cellStyle name="Обычный 8 3 3 2 4 3 3" xfId="40199"/>
    <cellStyle name="Обычный 8 3 3 2 4 4" xfId="40200"/>
    <cellStyle name="Обычный 8 3 3 2 4 4 2" xfId="40201"/>
    <cellStyle name="Обычный 8 3 3 2 4 5" xfId="40202"/>
    <cellStyle name="Обычный 8 3 3 2 4 6" xfId="40203"/>
    <cellStyle name="Обычный 8 3 3 2 5" xfId="40204"/>
    <cellStyle name="Обычный 8 3 3 2 5 2" xfId="40205"/>
    <cellStyle name="Обычный 8 3 3 2 5 3" xfId="40206"/>
    <cellStyle name="Обычный 8 3 3 2 6" xfId="40207"/>
    <cellStyle name="Обычный 8 3 3 2 6 2" xfId="40208"/>
    <cellStyle name="Обычный 8 3 3 2 6 3" xfId="40209"/>
    <cellStyle name="Обычный 8 3 3 2 7" xfId="40210"/>
    <cellStyle name="Обычный 8 3 3 2 7 2" xfId="40211"/>
    <cellStyle name="Обычный 8 3 3 2 8" xfId="40212"/>
    <cellStyle name="Обычный 8 3 3 2 9" xfId="40213"/>
    <cellStyle name="Обычный 8 3 3 3" xfId="40214"/>
    <cellStyle name="Обычный 8 3 3 3 2" xfId="40215"/>
    <cellStyle name="Обычный 8 3 3 3 2 2" xfId="40216"/>
    <cellStyle name="Обычный 8 3 3 3 2 2 2" xfId="40217"/>
    <cellStyle name="Обычный 8 3 3 3 2 2 2 2" xfId="40218"/>
    <cellStyle name="Обычный 8 3 3 3 2 2 2 3" xfId="40219"/>
    <cellStyle name="Обычный 8 3 3 3 2 2 3" xfId="40220"/>
    <cellStyle name="Обычный 8 3 3 3 2 2 3 2" xfId="40221"/>
    <cellStyle name="Обычный 8 3 3 3 2 2 3 3" xfId="40222"/>
    <cellStyle name="Обычный 8 3 3 3 2 2 4" xfId="40223"/>
    <cellStyle name="Обычный 8 3 3 3 2 2 4 2" xfId="40224"/>
    <cellStyle name="Обычный 8 3 3 3 2 2 5" xfId="40225"/>
    <cellStyle name="Обычный 8 3 3 3 2 2 6" xfId="40226"/>
    <cellStyle name="Обычный 8 3 3 3 2 3" xfId="40227"/>
    <cellStyle name="Обычный 8 3 3 3 2 3 2" xfId="40228"/>
    <cellStyle name="Обычный 8 3 3 3 2 3 3" xfId="40229"/>
    <cellStyle name="Обычный 8 3 3 3 2 4" xfId="40230"/>
    <cellStyle name="Обычный 8 3 3 3 2 4 2" xfId="40231"/>
    <cellStyle name="Обычный 8 3 3 3 2 4 3" xfId="40232"/>
    <cellStyle name="Обычный 8 3 3 3 2 5" xfId="40233"/>
    <cellStyle name="Обычный 8 3 3 3 2 5 2" xfId="40234"/>
    <cellStyle name="Обычный 8 3 3 3 2 6" xfId="40235"/>
    <cellStyle name="Обычный 8 3 3 3 2 7" xfId="40236"/>
    <cellStyle name="Обычный 8 3 3 3 3" xfId="40237"/>
    <cellStyle name="Обычный 8 3 3 3 3 2" xfId="40238"/>
    <cellStyle name="Обычный 8 3 3 3 3 2 2" xfId="40239"/>
    <cellStyle name="Обычный 8 3 3 3 3 2 3" xfId="40240"/>
    <cellStyle name="Обычный 8 3 3 3 3 3" xfId="40241"/>
    <cellStyle name="Обычный 8 3 3 3 3 3 2" xfId="40242"/>
    <cellStyle name="Обычный 8 3 3 3 3 3 3" xfId="40243"/>
    <cellStyle name="Обычный 8 3 3 3 3 4" xfId="40244"/>
    <cellStyle name="Обычный 8 3 3 3 3 4 2" xfId="40245"/>
    <cellStyle name="Обычный 8 3 3 3 3 5" xfId="40246"/>
    <cellStyle name="Обычный 8 3 3 3 3 6" xfId="40247"/>
    <cellStyle name="Обычный 8 3 3 3 4" xfId="40248"/>
    <cellStyle name="Обычный 8 3 3 3 4 2" xfId="40249"/>
    <cellStyle name="Обычный 8 3 3 3 4 3" xfId="40250"/>
    <cellStyle name="Обычный 8 3 3 3 5" xfId="40251"/>
    <cellStyle name="Обычный 8 3 3 3 5 2" xfId="40252"/>
    <cellStyle name="Обычный 8 3 3 3 5 3" xfId="40253"/>
    <cellStyle name="Обычный 8 3 3 3 6" xfId="40254"/>
    <cellStyle name="Обычный 8 3 3 3 6 2" xfId="40255"/>
    <cellStyle name="Обычный 8 3 3 3 7" xfId="40256"/>
    <cellStyle name="Обычный 8 3 3 3 8" xfId="40257"/>
    <cellStyle name="Обычный 8 3 3 4" xfId="40258"/>
    <cellStyle name="Обычный 8 3 3 4 2" xfId="40259"/>
    <cellStyle name="Обычный 8 3 3 4 2 2" xfId="40260"/>
    <cellStyle name="Обычный 8 3 3 4 2 2 2" xfId="40261"/>
    <cellStyle name="Обычный 8 3 3 4 2 2 3" xfId="40262"/>
    <cellStyle name="Обычный 8 3 3 4 2 3" xfId="40263"/>
    <cellStyle name="Обычный 8 3 3 4 2 3 2" xfId="40264"/>
    <cellStyle name="Обычный 8 3 3 4 2 3 3" xfId="40265"/>
    <cellStyle name="Обычный 8 3 3 4 2 4" xfId="40266"/>
    <cellStyle name="Обычный 8 3 3 4 2 4 2" xfId="40267"/>
    <cellStyle name="Обычный 8 3 3 4 2 5" xfId="40268"/>
    <cellStyle name="Обычный 8 3 3 4 2 6" xfId="40269"/>
    <cellStyle name="Обычный 8 3 3 4 3" xfId="40270"/>
    <cellStyle name="Обычный 8 3 3 4 3 2" xfId="40271"/>
    <cellStyle name="Обычный 8 3 3 4 3 3" xfId="40272"/>
    <cellStyle name="Обычный 8 3 3 4 4" xfId="40273"/>
    <cellStyle name="Обычный 8 3 3 4 4 2" xfId="40274"/>
    <cellStyle name="Обычный 8 3 3 4 4 3" xfId="40275"/>
    <cellStyle name="Обычный 8 3 3 4 5" xfId="40276"/>
    <cellStyle name="Обычный 8 3 3 4 5 2" xfId="40277"/>
    <cellStyle name="Обычный 8 3 3 4 6" xfId="40278"/>
    <cellStyle name="Обычный 8 3 3 4 7" xfId="40279"/>
    <cellStyle name="Обычный 8 3 3 5" xfId="40280"/>
    <cellStyle name="Обычный 8 3 3 5 2" xfId="40281"/>
    <cellStyle name="Обычный 8 3 3 5 2 2" xfId="40282"/>
    <cellStyle name="Обычный 8 3 3 5 2 3" xfId="40283"/>
    <cellStyle name="Обычный 8 3 3 5 3" xfId="40284"/>
    <cellStyle name="Обычный 8 3 3 5 3 2" xfId="40285"/>
    <cellStyle name="Обычный 8 3 3 5 3 3" xfId="40286"/>
    <cellStyle name="Обычный 8 3 3 5 4" xfId="40287"/>
    <cellStyle name="Обычный 8 3 3 5 4 2" xfId="40288"/>
    <cellStyle name="Обычный 8 3 3 5 5" xfId="40289"/>
    <cellStyle name="Обычный 8 3 3 5 6" xfId="40290"/>
    <cellStyle name="Обычный 8 3 3 6" xfId="40291"/>
    <cellStyle name="Обычный 8 3 3 6 2" xfId="40292"/>
    <cellStyle name="Обычный 8 3 3 6 3" xfId="40293"/>
    <cellStyle name="Обычный 8 3 3 7" xfId="40294"/>
    <cellStyle name="Обычный 8 3 3 7 2" xfId="40295"/>
    <cellStyle name="Обычный 8 3 3 7 3" xfId="40296"/>
    <cellStyle name="Обычный 8 3 3 8" xfId="40297"/>
    <cellStyle name="Обычный 8 3 3 8 2" xfId="40298"/>
    <cellStyle name="Обычный 8 3 3 9" xfId="40299"/>
    <cellStyle name="Обычный 8 3 4" xfId="40300"/>
    <cellStyle name="Обычный 8 3 4 10" xfId="40301"/>
    <cellStyle name="Обычный 8 3 4 2" xfId="40302"/>
    <cellStyle name="Обычный 8 3 4 2 2" xfId="40303"/>
    <cellStyle name="Обычный 8 3 4 2 2 2" xfId="40304"/>
    <cellStyle name="Обычный 8 3 4 2 2 2 2" xfId="40305"/>
    <cellStyle name="Обычный 8 3 4 2 2 2 2 2" xfId="40306"/>
    <cellStyle name="Обычный 8 3 4 2 2 2 2 2 2" xfId="40307"/>
    <cellStyle name="Обычный 8 3 4 2 2 2 2 2 3" xfId="40308"/>
    <cellStyle name="Обычный 8 3 4 2 2 2 2 3" xfId="40309"/>
    <cellStyle name="Обычный 8 3 4 2 2 2 2 3 2" xfId="40310"/>
    <cellStyle name="Обычный 8 3 4 2 2 2 2 3 3" xfId="40311"/>
    <cellStyle name="Обычный 8 3 4 2 2 2 2 4" xfId="40312"/>
    <cellStyle name="Обычный 8 3 4 2 2 2 2 4 2" xfId="40313"/>
    <cellStyle name="Обычный 8 3 4 2 2 2 2 5" xfId="40314"/>
    <cellStyle name="Обычный 8 3 4 2 2 2 2 6" xfId="40315"/>
    <cellStyle name="Обычный 8 3 4 2 2 2 3" xfId="40316"/>
    <cellStyle name="Обычный 8 3 4 2 2 2 3 2" xfId="40317"/>
    <cellStyle name="Обычный 8 3 4 2 2 2 3 3" xfId="40318"/>
    <cellStyle name="Обычный 8 3 4 2 2 2 4" xfId="40319"/>
    <cellStyle name="Обычный 8 3 4 2 2 2 4 2" xfId="40320"/>
    <cellStyle name="Обычный 8 3 4 2 2 2 4 3" xfId="40321"/>
    <cellStyle name="Обычный 8 3 4 2 2 2 5" xfId="40322"/>
    <cellStyle name="Обычный 8 3 4 2 2 2 5 2" xfId="40323"/>
    <cellStyle name="Обычный 8 3 4 2 2 2 6" xfId="40324"/>
    <cellStyle name="Обычный 8 3 4 2 2 2 7" xfId="40325"/>
    <cellStyle name="Обычный 8 3 4 2 2 3" xfId="40326"/>
    <cellStyle name="Обычный 8 3 4 2 2 3 2" xfId="40327"/>
    <cellStyle name="Обычный 8 3 4 2 2 3 2 2" xfId="40328"/>
    <cellStyle name="Обычный 8 3 4 2 2 3 2 3" xfId="40329"/>
    <cellStyle name="Обычный 8 3 4 2 2 3 3" xfId="40330"/>
    <cellStyle name="Обычный 8 3 4 2 2 3 3 2" xfId="40331"/>
    <cellStyle name="Обычный 8 3 4 2 2 3 3 3" xfId="40332"/>
    <cellStyle name="Обычный 8 3 4 2 2 3 4" xfId="40333"/>
    <cellStyle name="Обычный 8 3 4 2 2 3 4 2" xfId="40334"/>
    <cellStyle name="Обычный 8 3 4 2 2 3 5" xfId="40335"/>
    <cellStyle name="Обычный 8 3 4 2 2 3 6" xfId="40336"/>
    <cellStyle name="Обычный 8 3 4 2 2 4" xfId="40337"/>
    <cellStyle name="Обычный 8 3 4 2 2 4 2" xfId="40338"/>
    <cellStyle name="Обычный 8 3 4 2 2 4 3" xfId="40339"/>
    <cellStyle name="Обычный 8 3 4 2 2 5" xfId="40340"/>
    <cellStyle name="Обычный 8 3 4 2 2 5 2" xfId="40341"/>
    <cellStyle name="Обычный 8 3 4 2 2 5 3" xfId="40342"/>
    <cellStyle name="Обычный 8 3 4 2 2 6" xfId="40343"/>
    <cellStyle name="Обычный 8 3 4 2 2 6 2" xfId="40344"/>
    <cellStyle name="Обычный 8 3 4 2 2 7" xfId="40345"/>
    <cellStyle name="Обычный 8 3 4 2 2 8" xfId="40346"/>
    <cellStyle name="Обычный 8 3 4 2 3" xfId="40347"/>
    <cellStyle name="Обычный 8 3 4 2 3 2" xfId="40348"/>
    <cellStyle name="Обычный 8 3 4 2 3 2 2" xfId="40349"/>
    <cellStyle name="Обычный 8 3 4 2 3 2 2 2" xfId="40350"/>
    <cellStyle name="Обычный 8 3 4 2 3 2 2 3" xfId="40351"/>
    <cellStyle name="Обычный 8 3 4 2 3 2 3" xfId="40352"/>
    <cellStyle name="Обычный 8 3 4 2 3 2 3 2" xfId="40353"/>
    <cellStyle name="Обычный 8 3 4 2 3 2 3 3" xfId="40354"/>
    <cellStyle name="Обычный 8 3 4 2 3 2 4" xfId="40355"/>
    <cellStyle name="Обычный 8 3 4 2 3 2 4 2" xfId="40356"/>
    <cellStyle name="Обычный 8 3 4 2 3 2 5" xfId="40357"/>
    <cellStyle name="Обычный 8 3 4 2 3 2 6" xfId="40358"/>
    <cellStyle name="Обычный 8 3 4 2 3 3" xfId="40359"/>
    <cellStyle name="Обычный 8 3 4 2 3 3 2" xfId="40360"/>
    <cellStyle name="Обычный 8 3 4 2 3 3 3" xfId="40361"/>
    <cellStyle name="Обычный 8 3 4 2 3 4" xfId="40362"/>
    <cellStyle name="Обычный 8 3 4 2 3 4 2" xfId="40363"/>
    <cellStyle name="Обычный 8 3 4 2 3 4 3" xfId="40364"/>
    <cellStyle name="Обычный 8 3 4 2 3 5" xfId="40365"/>
    <cellStyle name="Обычный 8 3 4 2 3 5 2" xfId="40366"/>
    <cellStyle name="Обычный 8 3 4 2 3 6" xfId="40367"/>
    <cellStyle name="Обычный 8 3 4 2 3 7" xfId="40368"/>
    <cellStyle name="Обычный 8 3 4 2 4" xfId="40369"/>
    <cellStyle name="Обычный 8 3 4 2 4 2" xfId="40370"/>
    <cellStyle name="Обычный 8 3 4 2 4 2 2" xfId="40371"/>
    <cellStyle name="Обычный 8 3 4 2 4 2 3" xfId="40372"/>
    <cellStyle name="Обычный 8 3 4 2 4 3" xfId="40373"/>
    <cellStyle name="Обычный 8 3 4 2 4 3 2" xfId="40374"/>
    <cellStyle name="Обычный 8 3 4 2 4 3 3" xfId="40375"/>
    <cellStyle name="Обычный 8 3 4 2 4 4" xfId="40376"/>
    <cellStyle name="Обычный 8 3 4 2 4 4 2" xfId="40377"/>
    <cellStyle name="Обычный 8 3 4 2 4 5" xfId="40378"/>
    <cellStyle name="Обычный 8 3 4 2 4 6" xfId="40379"/>
    <cellStyle name="Обычный 8 3 4 2 5" xfId="40380"/>
    <cellStyle name="Обычный 8 3 4 2 5 2" xfId="40381"/>
    <cellStyle name="Обычный 8 3 4 2 5 3" xfId="40382"/>
    <cellStyle name="Обычный 8 3 4 2 6" xfId="40383"/>
    <cellStyle name="Обычный 8 3 4 2 6 2" xfId="40384"/>
    <cellStyle name="Обычный 8 3 4 2 6 3" xfId="40385"/>
    <cellStyle name="Обычный 8 3 4 2 7" xfId="40386"/>
    <cellStyle name="Обычный 8 3 4 2 7 2" xfId="40387"/>
    <cellStyle name="Обычный 8 3 4 2 8" xfId="40388"/>
    <cellStyle name="Обычный 8 3 4 2 9" xfId="40389"/>
    <cellStyle name="Обычный 8 3 4 3" xfId="40390"/>
    <cellStyle name="Обычный 8 3 4 3 2" xfId="40391"/>
    <cellStyle name="Обычный 8 3 4 3 2 2" xfId="40392"/>
    <cellStyle name="Обычный 8 3 4 3 2 2 2" xfId="40393"/>
    <cellStyle name="Обычный 8 3 4 3 2 2 2 2" xfId="40394"/>
    <cellStyle name="Обычный 8 3 4 3 2 2 2 3" xfId="40395"/>
    <cellStyle name="Обычный 8 3 4 3 2 2 3" xfId="40396"/>
    <cellStyle name="Обычный 8 3 4 3 2 2 3 2" xfId="40397"/>
    <cellStyle name="Обычный 8 3 4 3 2 2 3 3" xfId="40398"/>
    <cellStyle name="Обычный 8 3 4 3 2 2 4" xfId="40399"/>
    <cellStyle name="Обычный 8 3 4 3 2 2 4 2" xfId="40400"/>
    <cellStyle name="Обычный 8 3 4 3 2 2 5" xfId="40401"/>
    <cellStyle name="Обычный 8 3 4 3 2 2 6" xfId="40402"/>
    <cellStyle name="Обычный 8 3 4 3 2 3" xfId="40403"/>
    <cellStyle name="Обычный 8 3 4 3 2 3 2" xfId="40404"/>
    <cellStyle name="Обычный 8 3 4 3 2 3 3" xfId="40405"/>
    <cellStyle name="Обычный 8 3 4 3 2 4" xfId="40406"/>
    <cellStyle name="Обычный 8 3 4 3 2 4 2" xfId="40407"/>
    <cellStyle name="Обычный 8 3 4 3 2 4 3" xfId="40408"/>
    <cellStyle name="Обычный 8 3 4 3 2 5" xfId="40409"/>
    <cellStyle name="Обычный 8 3 4 3 2 5 2" xfId="40410"/>
    <cellStyle name="Обычный 8 3 4 3 2 6" xfId="40411"/>
    <cellStyle name="Обычный 8 3 4 3 2 7" xfId="40412"/>
    <cellStyle name="Обычный 8 3 4 3 3" xfId="40413"/>
    <cellStyle name="Обычный 8 3 4 3 3 2" xfId="40414"/>
    <cellStyle name="Обычный 8 3 4 3 3 2 2" xfId="40415"/>
    <cellStyle name="Обычный 8 3 4 3 3 2 3" xfId="40416"/>
    <cellStyle name="Обычный 8 3 4 3 3 3" xfId="40417"/>
    <cellStyle name="Обычный 8 3 4 3 3 3 2" xfId="40418"/>
    <cellStyle name="Обычный 8 3 4 3 3 3 3" xfId="40419"/>
    <cellStyle name="Обычный 8 3 4 3 3 4" xfId="40420"/>
    <cellStyle name="Обычный 8 3 4 3 3 4 2" xfId="40421"/>
    <cellStyle name="Обычный 8 3 4 3 3 5" xfId="40422"/>
    <cellStyle name="Обычный 8 3 4 3 3 6" xfId="40423"/>
    <cellStyle name="Обычный 8 3 4 3 4" xfId="40424"/>
    <cellStyle name="Обычный 8 3 4 3 4 2" xfId="40425"/>
    <cellStyle name="Обычный 8 3 4 3 4 3" xfId="40426"/>
    <cellStyle name="Обычный 8 3 4 3 5" xfId="40427"/>
    <cellStyle name="Обычный 8 3 4 3 5 2" xfId="40428"/>
    <cellStyle name="Обычный 8 3 4 3 5 3" xfId="40429"/>
    <cellStyle name="Обычный 8 3 4 3 6" xfId="40430"/>
    <cellStyle name="Обычный 8 3 4 3 6 2" xfId="40431"/>
    <cellStyle name="Обычный 8 3 4 3 7" xfId="40432"/>
    <cellStyle name="Обычный 8 3 4 3 8" xfId="40433"/>
    <cellStyle name="Обычный 8 3 4 4" xfId="40434"/>
    <cellStyle name="Обычный 8 3 4 4 2" xfId="40435"/>
    <cellStyle name="Обычный 8 3 4 4 2 2" xfId="40436"/>
    <cellStyle name="Обычный 8 3 4 4 2 2 2" xfId="40437"/>
    <cellStyle name="Обычный 8 3 4 4 2 2 3" xfId="40438"/>
    <cellStyle name="Обычный 8 3 4 4 2 3" xfId="40439"/>
    <cellStyle name="Обычный 8 3 4 4 2 3 2" xfId="40440"/>
    <cellStyle name="Обычный 8 3 4 4 2 3 3" xfId="40441"/>
    <cellStyle name="Обычный 8 3 4 4 2 4" xfId="40442"/>
    <cellStyle name="Обычный 8 3 4 4 2 4 2" xfId="40443"/>
    <cellStyle name="Обычный 8 3 4 4 2 5" xfId="40444"/>
    <cellStyle name="Обычный 8 3 4 4 2 6" xfId="40445"/>
    <cellStyle name="Обычный 8 3 4 4 3" xfId="40446"/>
    <cellStyle name="Обычный 8 3 4 4 3 2" xfId="40447"/>
    <cellStyle name="Обычный 8 3 4 4 3 3" xfId="40448"/>
    <cellStyle name="Обычный 8 3 4 4 4" xfId="40449"/>
    <cellStyle name="Обычный 8 3 4 4 4 2" xfId="40450"/>
    <cellStyle name="Обычный 8 3 4 4 4 3" xfId="40451"/>
    <cellStyle name="Обычный 8 3 4 4 5" xfId="40452"/>
    <cellStyle name="Обычный 8 3 4 4 5 2" xfId="40453"/>
    <cellStyle name="Обычный 8 3 4 4 6" xfId="40454"/>
    <cellStyle name="Обычный 8 3 4 4 7" xfId="40455"/>
    <cellStyle name="Обычный 8 3 4 5" xfId="40456"/>
    <cellStyle name="Обычный 8 3 4 5 2" xfId="40457"/>
    <cellStyle name="Обычный 8 3 4 5 2 2" xfId="40458"/>
    <cellStyle name="Обычный 8 3 4 5 2 3" xfId="40459"/>
    <cellStyle name="Обычный 8 3 4 5 3" xfId="40460"/>
    <cellStyle name="Обычный 8 3 4 5 3 2" xfId="40461"/>
    <cellStyle name="Обычный 8 3 4 5 3 3" xfId="40462"/>
    <cellStyle name="Обычный 8 3 4 5 4" xfId="40463"/>
    <cellStyle name="Обычный 8 3 4 5 4 2" xfId="40464"/>
    <cellStyle name="Обычный 8 3 4 5 5" xfId="40465"/>
    <cellStyle name="Обычный 8 3 4 5 6" xfId="40466"/>
    <cellStyle name="Обычный 8 3 4 6" xfId="40467"/>
    <cellStyle name="Обычный 8 3 4 6 2" xfId="40468"/>
    <cellStyle name="Обычный 8 3 4 6 3" xfId="40469"/>
    <cellStyle name="Обычный 8 3 4 7" xfId="40470"/>
    <cellStyle name="Обычный 8 3 4 7 2" xfId="40471"/>
    <cellStyle name="Обычный 8 3 4 7 3" xfId="40472"/>
    <cellStyle name="Обычный 8 3 4 8" xfId="40473"/>
    <cellStyle name="Обычный 8 3 4 8 2" xfId="40474"/>
    <cellStyle name="Обычный 8 3 4 9" xfId="40475"/>
    <cellStyle name="Обычный 8 3 5" xfId="40476"/>
    <cellStyle name="Обычный 8 3 5 10" xfId="40477"/>
    <cellStyle name="Обычный 8 3 5 2" xfId="40478"/>
    <cellStyle name="Обычный 8 3 5 2 2" xfId="40479"/>
    <cellStyle name="Обычный 8 3 5 2 2 2" xfId="40480"/>
    <cellStyle name="Обычный 8 3 5 2 2 2 2" xfId="40481"/>
    <cellStyle name="Обычный 8 3 5 2 2 2 2 2" xfId="40482"/>
    <cellStyle name="Обычный 8 3 5 2 2 2 2 2 2" xfId="40483"/>
    <cellStyle name="Обычный 8 3 5 2 2 2 2 2 3" xfId="40484"/>
    <cellStyle name="Обычный 8 3 5 2 2 2 2 3" xfId="40485"/>
    <cellStyle name="Обычный 8 3 5 2 2 2 2 3 2" xfId="40486"/>
    <cellStyle name="Обычный 8 3 5 2 2 2 2 3 3" xfId="40487"/>
    <cellStyle name="Обычный 8 3 5 2 2 2 2 4" xfId="40488"/>
    <cellStyle name="Обычный 8 3 5 2 2 2 2 4 2" xfId="40489"/>
    <cellStyle name="Обычный 8 3 5 2 2 2 2 5" xfId="40490"/>
    <cellStyle name="Обычный 8 3 5 2 2 2 2 6" xfId="40491"/>
    <cellStyle name="Обычный 8 3 5 2 2 2 3" xfId="40492"/>
    <cellStyle name="Обычный 8 3 5 2 2 2 3 2" xfId="40493"/>
    <cellStyle name="Обычный 8 3 5 2 2 2 3 3" xfId="40494"/>
    <cellStyle name="Обычный 8 3 5 2 2 2 4" xfId="40495"/>
    <cellStyle name="Обычный 8 3 5 2 2 2 4 2" xfId="40496"/>
    <cellStyle name="Обычный 8 3 5 2 2 2 4 3" xfId="40497"/>
    <cellStyle name="Обычный 8 3 5 2 2 2 5" xfId="40498"/>
    <cellStyle name="Обычный 8 3 5 2 2 2 5 2" xfId="40499"/>
    <cellStyle name="Обычный 8 3 5 2 2 2 6" xfId="40500"/>
    <cellStyle name="Обычный 8 3 5 2 2 2 7" xfId="40501"/>
    <cellStyle name="Обычный 8 3 5 2 2 3" xfId="40502"/>
    <cellStyle name="Обычный 8 3 5 2 2 3 2" xfId="40503"/>
    <cellStyle name="Обычный 8 3 5 2 2 3 2 2" xfId="40504"/>
    <cellStyle name="Обычный 8 3 5 2 2 3 2 3" xfId="40505"/>
    <cellStyle name="Обычный 8 3 5 2 2 3 3" xfId="40506"/>
    <cellStyle name="Обычный 8 3 5 2 2 3 3 2" xfId="40507"/>
    <cellStyle name="Обычный 8 3 5 2 2 3 3 3" xfId="40508"/>
    <cellStyle name="Обычный 8 3 5 2 2 3 4" xfId="40509"/>
    <cellStyle name="Обычный 8 3 5 2 2 3 4 2" xfId="40510"/>
    <cellStyle name="Обычный 8 3 5 2 2 3 5" xfId="40511"/>
    <cellStyle name="Обычный 8 3 5 2 2 3 6" xfId="40512"/>
    <cellStyle name="Обычный 8 3 5 2 2 4" xfId="40513"/>
    <cellStyle name="Обычный 8 3 5 2 2 4 2" xfId="40514"/>
    <cellStyle name="Обычный 8 3 5 2 2 4 3" xfId="40515"/>
    <cellStyle name="Обычный 8 3 5 2 2 5" xfId="40516"/>
    <cellStyle name="Обычный 8 3 5 2 2 5 2" xfId="40517"/>
    <cellStyle name="Обычный 8 3 5 2 2 5 3" xfId="40518"/>
    <cellStyle name="Обычный 8 3 5 2 2 6" xfId="40519"/>
    <cellStyle name="Обычный 8 3 5 2 2 6 2" xfId="40520"/>
    <cellStyle name="Обычный 8 3 5 2 2 7" xfId="40521"/>
    <cellStyle name="Обычный 8 3 5 2 2 8" xfId="40522"/>
    <cellStyle name="Обычный 8 3 5 2 3" xfId="40523"/>
    <cellStyle name="Обычный 8 3 5 2 3 2" xfId="40524"/>
    <cellStyle name="Обычный 8 3 5 2 3 2 2" xfId="40525"/>
    <cellStyle name="Обычный 8 3 5 2 3 2 2 2" xfId="40526"/>
    <cellStyle name="Обычный 8 3 5 2 3 2 2 3" xfId="40527"/>
    <cellStyle name="Обычный 8 3 5 2 3 2 3" xfId="40528"/>
    <cellStyle name="Обычный 8 3 5 2 3 2 3 2" xfId="40529"/>
    <cellStyle name="Обычный 8 3 5 2 3 2 3 3" xfId="40530"/>
    <cellStyle name="Обычный 8 3 5 2 3 2 4" xfId="40531"/>
    <cellStyle name="Обычный 8 3 5 2 3 2 4 2" xfId="40532"/>
    <cellStyle name="Обычный 8 3 5 2 3 2 5" xfId="40533"/>
    <cellStyle name="Обычный 8 3 5 2 3 2 6" xfId="40534"/>
    <cellStyle name="Обычный 8 3 5 2 3 3" xfId="40535"/>
    <cellStyle name="Обычный 8 3 5 2 3 3 2" xfId="40536"/>
    <cellStyle name="Обычный 8 3 5 2 3 3 3" xfId="40537"/>
    <cellStyle name="Обычный 8 3 5 2 3 4" xfId="40538"/>
    <cellStyle name="Обычный 8 3 5 2 3 4 2" xfId="40539"/>
    <cellStyle name="Обычный 8 3 5 2 3 4 3" xfId="40540"/>
    <cellStyle name="Обычный 8 3 5 2 3 5" xfId="40541"/>
    <cellStyle name="Обычный 8 3 5 2 3 5 2" xfId="40542"/>
    <cellStyle name="Обычный 8 3 5 2 3 6" xfId="40543"/>
    <cellStyle name="Обычный 8 3 5 2 3 7" xfId="40544"/>
    <cellStyle name="Обычный 8 3 5 2 4" xfId="40545"/>
    <cellStyle name="Обычный 8 3 5 2 4 2" xfId="40546"/>
    <cellStyle name="Обычный 8 3 5 2 4 2 2" xfId="40547"/>
    <cellStyle name="Обычный 8 3 5 2 4 2 3" xfId="40548"/>
    <cellStyle name="Обычный 8 3 5 2 4 3" xfId="40549"/>
    <cellStyle name="Обычный 8 3 5 2 4 3 2" xfId="40550"/>
    <cellStyle name="Обычный 8 3 5 2 4 3 3" xfId="40551"/>
    <cellStyle name="Обычный 8 3 5 2 4 4" xfId="40552"/>
    <cellStyle name="Обычный 8 3 5 2 4 4 2" xfId="40553"/>
    <cellStyle name="Обычный 8 3 5 2 4 5" xfId="40554"/>
    <cellStyle name="Обычный 8 3 5 2 4 6" xfId="40555"/>
    <cellStyle name="Обычный 8 3 5 2 5" xfId="40556"/>
    <cellStyle name="Обычный 8 3 5 2 5 2" xfId="40557"/>
    <cellStyle name="Обычный 8 3 5 2 5 3" xfId="40558"/>
    <cellStyle name="Обычный 8 3 5 2 6" xfId="40559"/>
    <cellStyle name="Обычный 8 3 5 2 6 2" xfId="40560"/>
    <cellStyle name="Обычный 8 3 5 2 6 3" xfId="40561"/>
    <cellStyle name="Обычный 8 3 5 2 7" xfId="40562"/>
    <cellStyle name="Обычный 8 3 5 2 7 2" xfId="40563"/>
    <cellStyle name="Обычный 8 3 5 2 8" xfId="40564"/>
    <cellStyle name="Обычный 8 3 5 2 9" xfId="40565"/>
    <cellStyle name="Обычный 8 3 5 3" xfId="40566"/>
    <cellStyle name="Обычный 8 3 5 3 2" xfId="40567"/>
    <cellStyle name="Обычный 8 3 5 3 2 2" xfId="40568"/>
    <cellStyle name="Обычный 8 3 5 3 2 2 2" xfId="40569"/>
    <cellStyle name="Обычный 8 3 5 3 2 2 2 2" xfId="40570"/>
    <cellStyle name="Обычный 8 3 5 3 2 2 2 3" xfId="40571"/>
    <cellStyle name="Обычный 8 3 5 3 2 2 3" xfId="40572"/>
    <cellStyle name="Обычный 8 3 5 3 2 2 3 2" xfId="40573"/>
    <cellStyle name="Обычный 8 3 5 3 2 2 3 3" xfId="40574"/>
    <cellStyle name="Обычный 8 3 5 3 2 2 4" xfId="40575"/>
    <cellStyle name="Обычный 8 3 5 3 2 2 4 2" xfId="40576"/>
    <cellStyle name="Обычный 8 3 5 3 2 2 5" xfId="40577"/>
    <cellStyle name="Обычный 8 3 5 3 2 2 6" xfId="40578"/>
    <cellStyle name="Обычный 8 3 5 3 2 3" xfId="40579"/>
    <cellStyle name="Обычный 8 3 5 3 2 3 2" xfId="40580"/>
    <cellStyle name="Обычный 8 3 5 3 2 3 3" xfId="40581"/>
    <cellStyle name="Обычный 8 3 5 3 2 4" xfId="40582"/>
    <cellStyle name="Обычный 8 3 5 3 2 4 2" xfId="40583"/>
    <cellStyle name="Обычный 8 3 5 3 2 4 3" xfId="40584"/>
    <cellStyle name="Обычный 8 3 5 3 2 5" xfId="40585"/>
    <cellStyle name="Обычный 8 3 5 3 2 5 2" xfId="40586"/>
    <cellStyle name="Обычный 8 3 5 3 2 6" xfId="40587"/>
    <cellStyle name="Обычный 8 3 5 3 2 7" xfId="40588"/>
    <cellStyle name="Обычный 8 3 5 3 3" xfId="40589"/>
    <cellStyle name="Обычный 8 3 5 3 3 2" xfId="40590"/>
    <cellStyle name="Обычный 8 3 5 3 3 2 2" xfId="40591"/>
    <cellStyle name="Обычный 8 3 5 3 3 2 3" xfId="40592"/>
    <cellStyle name="Обычный 8 3 5 3 3 3" xfId="40593"/>
    <cellStyle name="Обычный 8 3 5 3 3 3 2" xfId="40594"/>
    <cellStyle name="Обычный 8 3 5 3 3 3 3" xfId="40595"/>
    <cellStyle name="Обычный 8 3 5 3 3 4" xfId="40596"/>
    <cellStyle name="Обычный 8 3 5 3 3 4 2" xfId="40597"/>
    <cellStyle name="Обычный 8 3 5 3 3 5" xfId="40598"/>
    <cellStyle name="Обычный 8 3 5 3 3 6" xfId="40599"/>
    <cellStyle name="Обычный 8 3 5 3 4" xfId="40600"/>
    <cellStyle name="Обычный 8 3 5 3 4 2" xfId="40601"/>
    <cellStyle name="Обычный 8 3 5 3 4 3" xfId="40602"/>
    <cellStyle name="Обычный 8 3 5 3 5" xfId="40603"/>
    <cellStyle name="Обычный 8 3 5 3 5 2" xfId="40604"/>
    <cellStyle name="Обычный 8 3 5 3 5 3" xfId="40605"/>
    <cellStyle name="Обычный 8 3 5 3 6" xfId="40606"/>
    <cellStyle name="Обычный 8 3 5 3 6 2" xfId="40607"/>
    <cellStyle name="Обычный 8 3 5 3 7" xfId="40608"/>
    <cellStyle name="Обычный 8 3 5 3 8" xfId="40609"/>
    <cellStyle name="Обычный 8 3 5 4" xfId="40610"/>
    <cellStyle name="Обычный 8 3 5 4 2" xfId="40611"/>
    <cellStyle name="Обычный 8 3 5 4 2 2" xfId="40612"/>
    <cellStyle name="Обычный 8 3 5 4 2 2 2" xfId="40613"/>
    <cellStyle name="Обычный 8 3 5 4 2 2 3" xfId="40614"/>
    <cellStyle name="Обычный 8 3 5 4 2 3" xfId="40615"/>
    <cellStyle name="Обычный 8 3 5 4 2 3 2" xfId="40616"/>
    <cellStyle name="Обычный 8 3 5 4 2 3 3" xfId="40617"/>
    <cellStyle name="Обычный 8 3 5 4 2 4" xfId="40618"/>
    <cellStyle name="Обычный 8 3 5 4 2 4 2" xfId="40619"/>
    <cellStyle name="Обычный 8 3 5 4 2 5" xfId="40620"/>
    <cellStyle name="Обычный 8 3 5 4 2 6" xfId="40621"/>
    <cellStyle name="Обычный 8 3 5 4 3" xfId="40622"/>
    <cellStyle name="Обычный 8 3 5 4 3 2" xfId="40623"/>
    <cellStyle name="Обычный 8 3 5 4 3 3" xfId="40624"/>
    <cellStyle name="Обычный 8 3 5 4 4" xfId="40625"/>
    <cellStyle name="Обычный 8 3 5 4 4 2" xfId="40626"/>
    <cellStyle name="Обычный 8 3 5 4 4 3" xfId="40627"/>
    <cellStyle name="Обычный 8 3 5 4 5" xfId="40628"/>
    <cellStyle name="Обычный 8 3 5 4 5 2" xfId="40629"/>
    <cellStyle name="Обычный 8 3 5 4 6" xfId="40630"/>
    <cellStyle name="Обычный 8 3 5 4 7" xfId="40631"/>
    <cellStyle name="Обычный 8 3 5 5" xfId="40632"/>
    <cellStyle name="Обычный 8 3 5 5 2" xfId="40633"/>
    <cellStyle name="Обычный 8 3 5 5 2 2" xfId="40634"/>
    <cellStyle name="Обычный 8 3 5 5 2 3" xfId="40635"/>
    <cellStyle name="Обычный 8 3 5 5 3" xfId="40636"/>
    <cellStyle name="Обычный 8 3 5 5 3 2" xfId="40637"/>
    <cellStyle name="Обычный 8 3 5 5 3 3" xfId="40638"/>
    <cellStyle name="Обычный 8 3 5 5 4" xfId="40639"/>
    <cellStyle name="Обычный 8 3 5 5 4 2" xfId="40640"/>
    <cellStyle name="Обычный 8 3 5 5 5" xfId="40641"/>
    <cellStyle name="Обычный 8 3 5 5 6" xfId="40642"/>
    <cellStyle name="Обычный 8 3 5 6" xfId="40643"/>
    <cellStyle name="Обычный 8 3 5 6 2" xfId="40644"/>
    <cellStyle name="Обычный 8 3 5 6 3" xfId="40645"/>
    <cellStyle name="Обычный 8 3 5 7" xfId="40646"/>
    <cellStyle name="Обычный 8 3 5 7 2" xfId="40647"/>
    <cellStyle name="Обычный 8 3 5 7 3" xfId="40648"/>
    <cellStyle name="Обычный 8 3 5 8" xfId="40649"/>
    <cellStyle name="Обычный 8 3 5 8 2" xfId="40650"/>
    <cellStyle name="Обычный 8 3 5 9" xfId="40651"/>
    <cellStyle name="Обычный 8 3 6" xfId="40652"/>
    <cellStyle name="Обычный 8 3 6 2" xfId="40653"/>
    <cellStyle name="Обычный 8 3 6 2 2" xfId="40654"/>
    <cellStyle name="Обычный 8 3 6 2 2 2" xfId="40655"/>
    <cellStyle name="Обычный 8 3 6 2 2 2 2" xfId="40656"/>
    <cellStyle name="Обычный 8 3 6 2 2 2 2 2" xfId="40657"/>
    <cellStyle name="Обычный 8 3 6 2 2 2 2 3" xfId="40658"/>
    <cellStyle name="Обычный 8 3 6 2 2 2 3" xfId="40659"/>
    <cellStyle name="Обычный 8 3 6 2 2 2 3 2" xfId="40660"/>
    <cellStyle name="Обычный 8 3 6 2 2 2 3 3" xfId="40661"/>
    <cellStyle name="Обычный 8 3 6 2 2 2 4" xfId="40662"/>
    <cellStyle name="Обычный 8 3 6 2 2 2 4 2" xfId="40663"/>
    <cellStyle name="Обычный 8 3 6 2 2 2 5" xfId="40664"/>
    <cellStyle name="Обычный 8 3 6 2 2 2 6" xfId="40665"/>
    <cellStyle name="Обычный 8 3 6 2 2 3" xfId="40666"/>
    <cellStyle name="Обычный 8 3 6 2 2 3 2" xfId="40667"/>
    <cellStyle name="Обычный 8 3 6 2 2 3 3" xfId="40668"/>
    <cellStyle name="Обычный 8 3 6 2 2 4" xfId="40669"/>
    <cellStyle name="Обычный 8 3 6 2 2 4 2" xfId="40670"/>
    <cellStyle name="Обычный 8 3 6 2 2 4 3" xfId="40671"/>
    <cellStyle name="Обычный 8 3 6 2 2 5" xfId="40672"/>
    <cellStyle name="Обычный 8 3 6 2 2 5 2" xfId="40673"/>
    <cellStyle name="Обычный 8 3 6 2 2 6" xfId="40674"/>
    <cellStyle name="Обычный 8 3 6 2 2 7" xfId="40675"/>
    <cellStyle name="Обычный 8 3 6 2 3" xfId="40676"/>
    <cellStyle name="Обычный 8 3 6 2 3 2" xfId="40677"/>
    <cellStyle name="Обычный 8 3 6 2 3 2 2" xfId="40678"/>
    <cellStyle name="Обычный 8 3 6 2 3 2 3" xfId="40679"/>
    <cellStyle name="Обычный 8 3 6 2 3 3" xfId="40680"/>
    <cellStyle name="Обычный 8 3 6 2 3 3 2" xfId="40681"/>
    <cellStyle name="Обычный 8 3 6 2 3 3 3" xfId="40682"/>
    <cellStyle name="Обычный 8 3 6 2 3 4" xfId="40683"/>
    <cellStyle name="Обычный 8 3 6 2 3 4 2" xfId="40684"/>
    <cellStyle name="Обычный 8 3 6 2 3 5" xfId="40685"/>
    <cellStyle name="Обычный 8 3 6 2 3 6" xfId="40686"/>
    <cellStyle name="Обычный 8 3 6 2 4" xfId="40687"/>
    <cellStyle name="Обычный 8 3 6 2 4 2" xfId="40688"/>
    <cellStyle name="Обычный 8 3 6 2 4 3" xfId="40689"/>
    <cellStyle name="Обычный 8 3 6 2 5" xfId="40690"/>
    <cellStyle name="Обычный 8 3 6 2 5 2" xfId="40691"/>
    <cellStyle name="Обычный 8 3 6 2 5 3" xfId="40692"/>
    <cellStyle name="Обычный 8 3 6 2 6" xfId="40693"/>
    <cellStyle name="Обычный 8 3 6 2 6 2" xfId="40694"/>
    <cellStyle name="Обычный 8 3 6 2 7" xfId="40695"/>
    <cellStyle name="Обычный 8 3 6 2 8" xfId="40696"/>
    <cellStyle name="Обычный 8 3 6 3" xfId="40697"/>
    <cellStyle name="Обычный 8 3 6 3 2" xfId="40698"/>
    <cellStyle name="Обычный 8 3 6 3 2 2" xfId="40699"/>
    <cellStyle name="Обычный 8 3 6 3 2 2 2" xfId="40700"/>
    <cellStyle name="Обычный 8 3 6 3 2 2 3" xfId="40701"/>
    <cellStyle name="Обычный 8 3 6 3 2 3" xfId="40702"/>
    <cellStyle name="Обычный 8 3 6 3 2 3 2" xfId="40703"/>
    <cellStyle name="Обычный 8 3 6 3 2 3 3" xfId="40704"/>
    <cellStyle name="Обычный 8 3 6 3 2 4" xfId="40705"/>
    <cellStyle name="Обычный 8 3 6 3 2 4 2" xfId="40706"/>
    <cellStyle name="Обычный 8 3 6 3 2 5" xfId="40707"/>
    <cellStyle name="Обычный 8 3 6 3 2 6" xfId="40708"/>
    <cellStyle name="Обычный 8 3 6 3 3" xfId="40709"/>
    <cellStyle name="Обычный 8 3 6 3 3 2" xfId="40710"/>
    <cellStyle name="Обычный 8 3 6 3 3 3" xfId="40711"/>
    <cellStyle name="Обычный 8 3 6 3 4" xfId="40712"/>
    <cellStyle name="Обычный 8 3 6 3 4 2" xfId="40713"/>
    <cellStyle name="Обычный 8 3 6 3 4 3" xfId="40714"/>
    <cellStyle name="Обычный 8 3 6 3 5" xfId="40715"/>
    <cellStyle name="Обычный 8 3 6 3 5 2" xfId="40716"/>
    <cellStyle name="Обычный 8 3 6 3 6" xfId="40717"/>
    <cellStyle name="Обычный 8 3 6 3 7" xfId="40718"/>
    <cellStyle name="Обычный 8 3 6 4" xfId="40719"/>
    <cellStyle name="Обычный 8 3 6 4 2" xfId="40720"/>
    <cellStyle name="Обычный 8 3 6 4 2 2" xfId="40721"/>
    <cellStyle name="Обычный 8 3 6 4 2 3" xfId="40722"/>
    <cellStyle name="Обычный 8 3 6 4 3" xfId="40723"/>
    <cellStyle name="Обычный 8 3 6 4 3 2" xfId="40724"/>
    <cellStyle name="Обычный 8 3 6 4 3 3" xfId="40725"/>
    <cellStyle name="Обычный 8 3 6 4 4" xfId="40726"/>
    <cellStyle name="Обычный 8 3 6 4 4 2" xfId="40727"/>
    <cellStyle name="Обычный 8 3 6 4 5" xfId="40728"/>
    <cellStyle name="Обычный 8 3 6 4 6" xfId="40729"/>
    <cellStyle name="Обычный 8 3 6 5" xfId="40730"/>
    <cellStyle name="Обычный 8 3 6 5 2" xfId="40731"/>
    <cellStyle name="Обычный 8 3 6 5 3" xfId="40732"/>
    <cellStyle name="Обычный 8 3 6 6" xfId="40733"/>
    <cellStyle name="Обычный 8 3 6 6 2" xfId="40734"/>
    <cellStyle name="Обычный 8 3 6 6 3" xfId="40735"/>
    <cellStyle name="Обычный 8 3 6 7" xfId="40736"/>
    <cellStyle name="Обычный 8 3 6 7 2" xfId="40737"/>
    <cellStyle name="Обычный 8 3 6 8" xfId="40738"/>
    <cellStyle name="Обычный 8 3 6 9" xfId="40739"/>
    <cellStyle name="Обычный 8 3 7" xfId="40740"/>
    <cellStyle name="Обычный 8 3 7 2" xfId="40741"/>
    <cellStyle name="Обычный 8 3 7 2 2" xfId="40742"/>
    <cellStyle name="Обычный 8 3 7 2 2 2" xfId="40743"/>
    <cellStyle name="Обычный 8 3 7 2 2 2 2" xfId="40744"/>
    <cellStyle name="Обычный 8 3 7 2 2 2 3" xfId="40745"/>
    <cellStyle name="Обычный 8 3 7 2 2 3" xfId="40746"/>
    <cellStyle name="Обычный 8 3 7 2 2 3 2" xfId="40747"/>
    <cellStyle name="Обычный 8 3 7 2 2 3 3" xfId="40748"/>
    <cellStyle name="Обычный 8 3 7 2 2 4" xfId="40749"/>
    <cellStyle name="Обычный 8 3 7 2 2 4 2" xfId="40750"/>
    <cellStyle name="Обычный 8 3 7 2 2 5" xfId="40751"/>
    <cellStyle name="Обычный 8 3 7 2 2 6" xfId="40752"/>
    <cellStyle name="Обычный 8 3 7 2 3" xfId="40753"/>
    <cellStyle name="Обычный 8 3 7 2 3 2" xfId="40754"/>
    <cellStyle name="Обычный 8 3 7 2 3 3" xfId="40755"/>
    <cellStyle name="Обычный 8 3 7 2 4" xfId="40756"/>
    <cellStyle name="Обычный 8 3 7 2 4 2" xfId="40757"/>
    <cellStyle name="Обычный 8 3 7 2 4 3" xfId="40758"/>
    <cellStyle name="Обычный 8 3 7 2 5" xfId="40759"/>
    <cellStyle name="Обычный 8 3 7 2 5 2" xfId="40760"/>
    <cellStyle name="Обычный 8 3 7 2 6" xfId="40761"/>
    <cellStyle name="Обычный 8 3 7 2 7" xfId="40762"/>
    <cellStyle name="Обычный 8 3 7 3" xfId="40763"/>
    <cellStyle name="Обычный 8 3 7 3 2" xfId="40764"/>
    <cellStyle name="Обычный 8 3 7 3 2 2" xfId="40765"/>
    <cellStyle name="Обычный 8 3 7 3 2 3" xfId="40766"/>
    <cellStyle name="Обычный 8 3 7 3 3" xfId="40767"/>
    <cellStyle name="Обычный 8 3 7 3 3 2" xfId="40768"/>
    <cellStyle name="Обычный 8 3 7 3 3 3" xfId="40769"/>
    <cellStyle name="Обычный 8 3 7 3 4" xfId="40770"/>
    <cellStyle name="Обычный 8 3 7 3 4 2" xfId="40771"/>
    <cellStyle name="Обычный 8 3 7 3 5" xfId="40772"/>
    <cellStyle name="Обычный 8 3 7 3 6" xfId="40773"/>
    <cellStyle name="Обычный 8 3 7 4" xfId="40774"/>
    <cellStyle name="Обычный 8 3 7 4 2" xfId="40775"/>
    <cellStyle name="Обычный 8 3 7 4 3" xfId="40776"/>
    <cellStyle name="Обычный 8 3 7 5" xfId="40777"/>
    <cellStyle name="Обычный 8 3 7 5 2" xfId="40778"/>
    <cellStyle name="Обычный 8 3 7 5 3" xfId="40779"/>
    <cellStyle name="Обычный 8 3 7 6" xfId="40780"/>
    <cellStyle name="Обычный 8 3 7 6 2" xfId="40781"/>
    <cellStyle name="Обычный 8 3 7 7" xfId="40782"/>
    <cellStyle name="Обычный 8 3 7 8" xfId="40783"/>
    <cellStyle name="Обычный 8 3 8" xfId="40784"/>
    <cellStyle name="Обычный 8 3 8 2" xfId="40785"/>
    <cellStyle name="Обычный 8 3 8 2 2" xfId="40786"/>
    <cellStyle name="Обычный 8 3 8 2 2 2" xfId="40787"/>
    <cellStyle name="Обычный 8 3 8 2 2 3" xfId="40788"/>
    <cellStyle name="Обычный 8 3 8 2 3" xfId="40789"/>
    <cellStyle name="Обычный 8 3 8 2 3 2" xfId="40790"/>
    <cellStyle name="Обычный 8 3 8 2 3 3" xfId="40791"/>
    <cellStyle name="Обычный 8 3 8 2 4" xfId="40792"/>
    <cellStyle name="Обычный 8 3 8 2 4 2" xfId="40793"/>
    <cellStyle name="Обычный 8 3 8 2 5" xfId="40794"/>
    <cellStyle name="Обычный 8 3 8 2 6" xfId="40795"/>
    <cellStyle name="Обычный 8 3 8 3" xfId="40796"/>
    <cellStyle name="Обычный 8 3 8 3 2" xfId="40797"/>
    <cellStyle name="Обычный 8 3 8 3 3" xfId="40798"/>
    <cellStyle name="Обычный 8 3 8 4" xfId="40799"/>
    <cellStyle name="Обычный 8 3 8 4 2" xfId="40800"/>
    <cellStyle name="Обычный 8 3 8 4 3" xfId="40801"/>
    <cellStyle name="Обычный 8 3 8 5" xfId="40802"/>
    <cellStyle name="Обычный 8 3 8 5 2" xfId="40803"/>
    <cellStyle name="Обычный 8 3 8 6" xfId="40804"/>
    <cellStyle name="Обычный 8 3 8 7" xfId="40805"/>
    <cellStyle name="Обычный 8 3 9" xfId="40806"/>
    <cellStyle name="Обычный 8 3 9 2" xfId="40807"/>
    <cellStyle name="Обычный 8 3 9 2 2" xfId="40808"/>
    <cellStyle name="Обычный 8 3 9 2 3" xfId="40809"/>
    <cellStyle name="Обычный 8 3 9 3" xfId="40810"/>
    <cellStyle name="Обычный 8 3 9 3 2" xfId="40811"/>
    <cellStyle name="Обычный 8 3 9 3 3" xfId="40812"/>
    <cellStyle name="Обычный 8 3 9 4" xfId="40813"/>
    <cellStyle name="Обычный 8 3 9 4 2" xfId="40814"/>
    <cellStyle name="Обычный 8 3 9 5" xfId="40815"/>
    <cellStyle name="Обычный 8 3 9 6" xfId="40816"/>
    <cellStyle name="Обычный 8 4" xfId="40817"/>
    <cellStyle name="Обычный 8 4 10" xfId="40818"/>
    <cellStyle name="Обычный 8 4 10 2" xfId="40819"/>
    <cellStyle name="Обычный 8 4 10 3" xfId="40820"/>
    <cellStyle name="Обычный 8 4 11" xfId="40821"/>
    <cellStyle name="Обычный 8 4 11 2" xfId="40822"/>
    <cellStyle name="Обычный 8 4 11 3" xfId="40823"/>
    <cellStyle name="Обычный 8 4 12" xfId="40824"/>
    <cellStyle name="Обычный 8 4 12 2" xfId="40825"/>
    <cellStyle name="Обычный 8 4 13" xfId="40826"/>
    <cellStyle name="Обычный 8 4 14" xfId="40827"/>
    <cellStyle name="Обычный 8 4 2" xfId="40828"/>
    <cellStyle name="Обычный 8 4 2 10" xfId="40829"/>
    <cellStyle name="Обычный 8 4 2 10 2" xfId="40830"/>
    <cellStyle name="Обычный 8 4 2 10 3" xfId="40831"/>
    <cellStyle name="Обычный 8 4 2 11" xfId="40832"/>
    <cellStyle name="Обычный 8 4 2 11 2" xfId="40833"/>
    <cellStyle name="Обычный 8 4 2 12" xfId="40834"/>
    <cellStyle name="Обычный 8 4 2 13" xfId="40835"/>
    <cellStyle name="Обычный 8 4 2 2" xfId="40836"/>
    <cellStyle name="Обычный 8 4 2 2 10" xfId="40837"/>
    <cellStyle name="Обычный 8 4 2 2 2" xfId="40838"/>
    <cellStyle name="Обычный 8 4 2 2 2 2" xfId="40839"/>
    <cellStyle name="Обычный 8 4 2 2 2 2 2" xfId="40840"/>
    <cellStyle name="Обычный 8 4 2 2 2 2 2 2" xfId="40841"/>
    <cellStyle name="Обычный 8 4 2 2 2 2 2 2 2" xfId="40842"/>
    <cellStyle name="Обычный 8 4 2 2 2 2 2 2 2 2" xfId="40843"/>
    <cellStyle name="Обычный 8 4 2 2 2 2 2 2 2 3" xfId="40844"/>
    <cellStyle name="Обычный 8 4 2 2 2 2 2 2 3" xfId="40845"/>
    <cellStyle name="Обычный 8 4 2 2 2 2 2 2 3 2" xfId="40846"/>
    <cellStyle name="Обычный 8 4 2 2 2 2 2 2 3 3" xfId="40847"/>
    <cellStyle name="Обычный 8 4 2 2 2 2 2 2 4" xfId="40848"/>
    <cellStyle name="Обычный 8 4 2 2 2 2 2 2 4 2" xfId="40849"/>
    <cellStyle name="Обычный 8 4 2 2 2 2 2 2 5" xfId="40850"/>
    <cellStyle name="Обычный 8 4 2 2 2 2 2 2 6" xfId="40851"/>
    <cellStyle name="Обычный 8 4 2 2 2 2 2 3" xfId="40852"/>
    <cellStyle name="Обычный 8 4 2 2 2 2 2 3 2" xfId="40853"/>
    <cellStyle name="Обычный 8 4 2 2 2 2 2 3 3" xfId="40854"/>
    <cellStyle name="Обычный 8 4 2 2 2 2 2 4" xfId="40855"/>
    <cellStyle name="Обычный 8 4 2 2 2 2 2 4 2" xfId="40856"/>
    <cellStyle name="Обычный 8 4 2 2 2 2 2 4 3" xfId="40857"/>
    <cellStyle name="Обычный 8 4 2 2 2 2 2 5" xfId="40858"/>
    <cellStyle name="Обычный 8 4 2 2 2 2 2 5 2" xfId="40859"/>
    <cellStyle name="Обычный 8 4 2 2 2 2 2 6" xfId="40860"/>
    <cellStyle name="Обычный 8 4 2 2 2 2 2 7" xfId="40861"/>
    <cellStyle name="Обычный 8 4 2 2 2 2 3" xfId="40862"/>
    <cellStyle name="Обычный 8 4 2 2 2 2 3 2" xfId="40863"/>
    <cellStyle name="Обычный 8 4 2 2 2 2 3 2 2" xfId="40864"/>
    <cellStyle name="Обычный 8 4 2 2 2 2 3 2 3" xfId="40865"/>
    <cellStyle name="Обычный 8 4 2 2 2 2 3 3" xfId="40866"/>
    <cellStyle name="Обычный 8 4 2 2 2 2 3 3 2" xfId="40867"/>
    <cellStyle name="Обычный 8 4 2 2 2 2 3 3 3" xfId="40868"/>
    <cellStyle name="Обычный 8 4 2 2 2 2 3 4" xfId="40869"/>
    <cellStyle name="Обычный 8 4 2 2 2 2 3 4 2" xfId="40870"/>
    <cellStyle name="Обычный 8 4 2 2 2 2 3 5" xfId="40871"/>
    <cellStyle name="Обычный 8 4 2 2 2 2 3 6" xfId="40872"/>
    <cellStyle name="Обычный 8 4 2 2 2 2 4" xfId="40873"/>
    <cellStyle name="Обычный 8 4 2 2 2 2 4 2" xfId="40874"/>
    <cellStyle name="Обычный 8 4 2 2 2 2 4 3" xfId="40875"/>
    <cellStyle name="Обычный 8 4 2 2 2 2 5" xfId="40876"/>
    <cellStyle name="Обычный 8 4 2 2 2 2 5 2" xfId="40877"/>
    <cellStyle name="Обычный 8 4 2 2 2 2 5 3" xfId="40878"/>
    <cellStyle name="Обычный 8 4 2 2 2 2 6" xfId="40879"/>
    <cellStyle name="Обычный 8 4 2 2 2 2 6 2" xfId="40880"/>
    <cellStyle name="Обычный 8 4 2 2 2 2 7" xfId="40881"/>
    <cellStyle name="Обычный 8 4 2 2 2 2 8" xfId="40882"/>
    <cellStyle name="Обычный 8 4 2 2 2 3" xfId="40883"/>
    <cellStyle name="Обычный 8 4 2 2 2 3 2" xfId="40884"/>
    <cellStyle name="Обычный 8 4 2 2 2 3 2 2" xfId="40885"/>
    <cellStyle name="Обычный 8 4 2 2 2 3 2 2 2" xfId="40886"/>
    <cellStyle name="Обычный 8 4 2 2 2 3 2 2 3" xfId="40887"/>
    <cellStyle name="Обычный 8 4 2 2 2 3 2 3" xfId="40888"/>
    <cellStyle name="Обычный 8 4 2 2 2 3 2 3 2" xfId="40889"/>
    <cellStyle name="Обычный 8 4 2 2 2 3 2 3 3" xfId="40890"/>
    <cellStyle name="Обычный 8 4 2 2 2 3 2 4" xfId="40891"/>
    <cellStyle name="Обычный 8 4 2 2 2 3 2 4 2" xfId="40892"/>
    <cellStyle name="Обычный 8 4 2 2 2 3 2 5" xfId="40893"/>
    <cellStyle name="Обычный 8 4 2 2 2 3 2 6" xfId="40894"/>
    <cellStyle name="Обычный 8 4 2 2 2 3 3" xfId="40895"/>
    <cellStyle name="Обычный 8 4 2 2 2 3 3 2" xfId="40896"/>
    <cellStyle name="Обычный 8 4 2 2 2 3 3 3" xfId="40897"/>
    <cellStyle name="Обычный 8 4 2 2 2 3 4" xfId="40898"/>
    <cellStyle name="Обычный 8 4 2 2 2 3 4 2" xfId="40899"/>
    <cellStyle name="Обычный 8 4 2 2 2 3 4 3" xfId="40900"/>
    <cellStyle name="Обычный 8 4 2 2 2 3 5" xfId="40901"/>
    <cellStyle name="Обычный 8 4 2 2 2 3 5 2" xfId="40902"/>
    <cellStyle name="Обычный 8 4 2 2 2 3 6" xfId="40903"/>
    <cellStyle name="Обычный 8 4 2 2 2 3 7" xfId="40904"/>
    <cellStyle name="Обычный 8 4 2 2 2 4" xfId="40905"/>
    <cellStyle name="Обычный 8 4 2 2 2 4 2" xfId="40906"/>
    <cellStyle name="Обычный 8 4 2 2 2 4 2 2" xfId="40907"/>
    <cellStyle name="Обычный 8 4 2 2 2 4 2 3" xfId="40908"/>
    <cellStyle name="Обычный 8 4 2 2 2 4 3" xfId="40909"/>
    <cellStyle name="Обычный 8 4 2 2 2 4 3 2" xfId="40910"/>
    <cellStyle name="Обычный 8 4 2 2 2 4 3 3" xfId="40911"/>
    <cellStyle name="Обычный 8 4 2 2 2 4 4" xfId="40912"/>
    <cellStyle name="Обычный 8 4 2 2 2 4 4 2" xfId="40913"/>
    <cellStyle name="Обычный 8 4 2 2 2 4 5" xfId="40914"/>
    <cellStyle name="Обычный 8 4 2 2 2 4 6" xfId="40915"/>
    <cellStyle name="Обычный 8 4 2 2 2 5" xfId="40916"/>
    <cellStyle name="Обычный 8 4 2 2 2 5 2" xfId="40917"/>
    <cellStyle name="Обычный 8 4 2 2 2 5 3" xfId="40918"/>
    <cellStyle name="Обычный 8 4 2 2 2 6" xfId="40919"/>
    <cellStyle name="Обычный 8 4 2 2 2 6 2" xfId="40920"/>
    <cellStyle name="Обычный 8 4 2 2 2 6 3" xfId="40921"/>
    <cellStyle name="Обычный 8 4 2 2 2 7" xfId="40922"/>
    <cellStyle name="Обычный 8 4 2 2 2 7 2" xfId="40923"/>
    <cellStyle name="Обычный 8 4 2 2 2 8" xfId="40924"/>
    <cellStyle name="Обычный 8 4 2 2 2 9" xfId="40925"/>
    <cellStyle name="Обычный 8 4 2 2 3" xfId="40926"/>
    <cellStyle name="Обычный 8 4 2 2 3 2" xfId="40927"/>
    <cellStyle name="Обычный 8 4 2 2 3 2 2" xfId="40928"/>
    <cellStyle name="Обычный 8 4 2 2 3 2 2 2" xfId="40929"/>
    <cellStyle name="Обычный 8 4 2 2 3 2 2 2 2" xfId="40930"/>
    <cellStyle name="Обычный 8 4 2 2 3 2 2 2 3" xfId="40931"/>
    <cellStyle name="Обычный 8 4 2 2 3 2 2 3" xfId="40932"/>
    <cellStyle name="Обычный 8 4 2 2 3 2 2 3 2" xfId="40933"/>
    <cellStyle name="Обычный 8 4 2 2 3 2 2 3 3" xfId="40934"/>
    <cellStyle name="Обычный 8 4 2 2 3 2 2 4" xfId="40935"/>
    <cellStyle name="Обычный 8 4 2 2 3 2 2 4 2" xfId="40936"/>
    <cellStyle name="Обычный 8 4 2 2 3 2 2 5" xfId="40937"/>
    <cellStyle name="Обычный 8 4 2 2 3 2 2 6" xfId="40938"/>
    <cellStyle name="Обычный 8 4 2 2 3 2 3" xfId="40939"/>
    <cellStyle name="Обычный 8 4 2 2 3 2 3 2" xfId="40940"/>
    <cellStyle name="Обычный 8 4 2 2 3 2 3 3" xfId="40941"/>
    <cellStyle name="Обычный 8 4 2 2 3 2 4" xfId="40942"/>
    <cellStyle name="Обычный 8 4 2 2 3 2 4 2" xfId="40943"/>
    <cellStyle name="Обычный 8 4 2 2 3 2 4 3" xfId="40944"/>
    <cellStyle name="Обычный 8 4 2 2 3 2 5" xfId="40945"/>
    <cellStyle name="Обычный 8 4 2 2 3 2 5 2" xfId="40946"/>
    <cellStyle name="Обычный 8 4 2 2 3 2 6" xfId="40947"/>
    <cellStyle name="Обычный 8 4 2 2 3 2 7" xfId="40948"/>
    <cellStyle name="Обычный 8 4 2 2 3 3" xfId="40949"/>
    <cellStyle name="Обычный 8 4 2 2 3 3 2" xfId="40950"/>
    <cellStyle name="Обычный 8 4 2 2 3 3 2 2" xfId="40951"/>
    <cellStyle name="Обычный 8 4 2 2 3 3 2 3" xfId="40952"/>
    <cellStyle name="Обычный 8 4 2 2 3 3 3" xfId="40953"/>
    <cellStyle name="Обычный 8 4 2 2 3 3 3 2" xfId="40954"/>
    <cellStyle name="Обычный 8 4 2 2 3 3 3 3" xfId="40955"/>
    <cellStyle name="Обычный 8 4 2 2 3 3 4" xfId="40956"/>
    <cellStyle name="Обычный 8 4 2 2 3 3 4 2" xfId="40957"/>
    <cellStyle name="Обычный 8 4 2 2 3 3 5" xfId="40958"/>
    <cellStyle name="Обычный 8 4 2 2 3 3 6" xfId="40959"/>
    <cellStyle name="Обычный 8 4 2 2 3 4" xfId="40960"/>
    <cellStyle name="Обычный 8 4 2 2 3 4 2" xfId="40961"/>
    <cellStyle name="Обычный 8 4 2 2 3 4 3" xfId="40962"/>
    <cellStyle name="Обычный 8 4 2 2 3 5" xfId="40963"/>
    <cellStyle name="Обычный 8 4 2 2 3 5 2" xfId="40964"/>
    <cellStyle name="Обычный 8 4 2 2 3 5 3" xfId="40965"/>
    <cellStyle name="Обычный 8 4 2 2 3 6" xfId="40966"/>
    <cellStyle name="Обычный 8 4 2 2 3 6 2" xfId="40967"/>
    <cellStyle name="Обычный 8 4 2 2 3 7" xfId="40968"/>
    <cellStyle name="Обычный 8 4 2 2 3 8" xfId="40969"/>
    <cellStyle name="Обычный 8 4 2 2 4" xfId="40970"/>
    <cellStyle name="Обычный 8 4 2 2 4 2" xfId="40971"/>
    <cellStyle name="Обычный 8 4 2 2 4 2 2" xfId="40972"/>
    <cellStyle name="Обычный 8 4 2 2 4 2 2 2" xfId="40973"/>
    <cellStyle name="Обычный 8 4 2 2 4 2 2 3" xfId="40974"/>
    <cellStyle name="Обычный 8 4 2 2 4 2 3" xfId="40975"/>
    <cellStyle name="Обычный 8 4 2 2 4 2 3 2" xfId="40976"/>
    <cellStyle name="Обычный 8 4 2 2 4 2 3 3" xfId="40977"/>
    <cellStyle name="Обычный 8 4 2 2 4 2 4" xfId="40978"/>
    <cellStyle name="Обычный 8 4 2 2 4 2 4 2" xfId="40979"/>
    <cellStyle name="Обычный 8 4 2 2 4 2 5" xfId="40980"/>
    <cellStyle name="Обычный 8 4 2 2 4 2 6" xfId="40981"/>
    <cellStyle name="Обычный 8 4 2 2 4 3" xfId="40982"/>
    <cellStyle name="Обычный 8 4 2 2 4 3 2" xfId="40983"/>
    <cellStyle name="Обычный 8 4 2 2 4 3 3" xfId="40984"/>
    <cellStyle name="Обычный 8 4 2 2 4 4" xfId="40985"/>
    <cellStyle name="Обычный 8 4 2 2 4 4 2" xfId="40986"/>
    <cellStyle name="Обычный 8 4 2 2 4 4 3" xfId="40987"/>
    <cellStyle name="Обычный 8 4 2 2 4 5" xfId="40988"/>
    <cellStyle name="Обычный 8 4 2 2 4 5 2" xfId="40989"/>
    <cellStyle name="Обычный 8 4 2 2 4 6" xfId="40990"/>
    <cellStyle name="Обычный 8 4 2 2 4 7" xfId="40991"/>
    <cellStyle name="Обычный 8 4 2 2 5" xfId="40992"/>
    <cellStyle name="Обычный 8 4 2 2 5 2" xfId="40993"/>
    <cellStyle name="Обычный 8 4 2 2 5 2 2" xfId="40994"/>
    <cellStyle name="Обычный 8 4 2 2 5 2 3" xfId="40995"/>
    <cellStyle name="Обычный 8 4 2 2 5 3" xfId="40996"/>
    <cellStyle name="Обычный 8 4 2 2 5 3 2" xfId="40997"/>
    <cellStyle name="Обычный 8 4 2 2 5 3 3" xfId="40998"/>
    <cellStyle name="Обычный 8 4 2 2 5 4" xfId="40999"/>
    <cellStyle name="Обычный 8 4 2 2 5 4 2" xfId="41000"/>
    <cellStyle name="Обычный 8 4 2 2 5 5" xfId="41001"/>
    <cellStyle name="Обычный 8 4 2 2 5 6" xfId="41002"/>
    <cellStyle name="Обычный 8 4 2 2 6" xfId="41003"/>
    <cellStyle name="Обычный 8 4 2 2 6 2" xfId="41004"/>
    <cellStyle name="Обычный 8 4 2 2 6 3" xfId="41005"/>
    <cellStyle name="Обычный 8 4 2 2 7" xfId="41006"/>
    <cellStyle name="Обычный 8 4 2 2 7 2" xfId="41007"/>
    <cellStyle name="Обычный 8 4 2 2 7 3" xfId="41008"/>
    <cellStyle name="Обычный 8 4 2 2 8" xfId="41009"/>
    <cellStyle name="Обычный 8 4 2 2 8 2" xfId="41010"/>
    <cellStyle name="Обычный 8 4 2 2 9" xfId="41011"/>
    <cellStyle name="Обычный 8 4 2 3" xfId="41012"/>
    <cellStyle name="Обычный 8 4 2 3 10" xfId="41013"/>
    <cellStyle name="Обычный 8 4 2 3 2" xfId="41014"/>
    <cellStyle name="Обычный 8 4 2 3 2 2" xfId="41015"/>
    <cellStyle name="Обычный 8 4 2 3 2 2 2" xfId="41016"/>
    <cellStyle name="Обычный 8 4 2 3 2 2 2 2" xfId="41017"/>
    <cellStyle name="Обычный 8 4 2 3 2 2 2 2 2" xfId="41018"/>
    <cellStyle name="Обычный 8 4 2 3 2 2 2 2 2 2" xfId="41019"/>
    <cellStyle name="Обычный 8 4 2 3 2 2 2 2 2 3" xfId="41020"/>
    <cellStyle name="Обычный 8 4 2 3 2 2 2 2 3" xfId="41021"/>
    <cellStyle name="Обычный 8 4 2 3 2 2 2 2 3 2" xfId="41022"/>
    <cellStyle name="Обычный 8 4 2 3 2 2 2 2 3 3" xfId="41023"/>
    <cellStyle name="Обычный 8 4 2 3 2 2 2 2 4" xfId="41024"/>
    <cellStyle name="Обычный 8 4 2 3 2 2 2 2 4 2" xfId="41025"/>
    <cellStyle name="Обычный 8 4 2 3 2 2 2 2 5" xfId="41026"/>
    <cellStyle name="Обычный 8 4 2 3 2 2 2 2 6" xfId="41027"/>
    <cellStyle name="Обычный 8 4 2 3 2 2 2 3" xfId="41028"/>
    <cellStyle name="Обычный 8 4 2 3 2 2 2 3 2" xfId="41029"/>
    <cellStyle name="Обычный 8 4 2 3 2 2 2 3 3" xfId="41030"/>
    <cellStyle name="Обычный 8 4 2 3 2 2 2 4" xfId="41031"/>
    <cellStyle name="Обычный 8 4 2 3 2 2 2 4 2" xfId="41032"/>
    <cellStyle name="Обычный 8 4 2 3 2 2 2 4 3" xfId="41033"/>
    <cellStyle name="Обычный 8 4 2 3 2 2 2 5" xfId="41034"/>
    <cellStyle name="Обычный 8 4 2 3 2 2 2 5 2" xfId="41035"/>
    <cellStyle name="Обычный 8 4 2 3 2 2 2 6" xfId="41036"/>
    <cellStyle name="Обычный 8 4 2 3 2 2 2 7" xfId="41037"/>
    <cellStyle name="Обычный 8 4 2 3 2 2 3" xfId="41038"/>
    <cellStyle name="Обычный 8 4 2 3 2 2 3 2" xfId="41039"/>
    <cellStyle name="Обычный 8 4 2 3 2 2 3 2 2" xfId="41040"/>
    <cellStyle name="Обычный 8 4 2 3 2 2 3 2 3" xfId="41041"/>
    <cellStyle name="Обычный 8 4 2 3 2 2 3 3" xfId="41042"/>
    <cellStyle name="Обычный 8 4 2 3 2 2 3 3 2" xfId="41043"/>
    <cellStyle name="Обычный 8 4 2 3 2 2 3 3 3" xfId="41044"/>
    <cellStyle name="Обычный 8 4 2 3 2 2 3 4" xfId="41045"/>
    <cellStyle name="Обычный 8 4 2 3 2 2 3 4 2" xfId="41046"/>
    <cellStyle name="Обычный 8 4 2 3 2 2 3 5" xfId="41047"/>
    <cellStyle name="Обычный 8 4 2 3 2 2 3 6" xfId="41048"/>
    <cellStyle name="Обычный 8 4 2 3 2 2 4" xfId="41049"/>
    <cellStyle name="Обычный 8 4 2 3 2 2 4 2" xfId="41050"/>
    <cellStyle name="Обычный 8 4 2 3 2 2 4 3" xfId="41051"/>
    <cellStyle name="Обычный 8 4 2 3 2 2 5" xfId="41052"/>
    <cellStyle name="Обычный 8 4 2 3 2 2 5 2" xfId="41053"/>
    <cellStyle name="Обычный 8 4 2 3 2 2 5 3" xfId="41054"/>
    <cellStyle name="Обычный 8 4 2 3 2 2 6" xfId="41055"/>
    <cellStyle name="Обычный 8 4 2 3 2 2 6 2" xfId="41056"/>
    <cellStyle name="Обычный 8 4 2 3 2 2 7" xfId="41057"/>
    <cellStyle name="Обычный 8 4 2 3 2 2 8" xfId="41058"/>
    <cellStyle name="Обычный 8 4 2 3 2 3" xfId="41059"/>
    <cellStyle name="Обычный 8 4 2 3 2 3 2" xfId="41060"/>
    <cellStyle name="Обычный 8 4 2 3 2 3 2 2" xfId="41061"/>
    <cellStyle name="Обычный 8 4 2 3 2 3 2 2 2" xfId="41062"/>
    <cellStyle name="Обычный 8 4 2 3 2 3 2 2 3" xfId="41063"/>
    <cellStyle name="Обычный 8 4 2 3 2 3 2 3" xfId="41064"/>
    <cellStyle name="Обычный 8 4 2 3 2 3 2 3 2" xfId="41065"/>
    <cellStyle name="Обычный 8 4 2 3 2 3 2 3 3" xfId="41066"/>
    <cellStyle name="Обычный 8 4 2 3 2 3 2 4" xfId="41067"/>
    <cellStyle name="Обычный 8 4 2 3 2 3 2 4 2" xfId="41068"/>
    <cellStyle name="Обычный 8 4 2 3 2 3 2 5" xfId="41069"/>
    <cellStyle name="Обычный 8 4 2 3 2 3 2 6" xfId="41070"/>
    <cellStyle name="Обычный 8 4 2 3 2 3 3" xfId="41071"/>
    <cellStyle name="Обычный 8 4 2 3 2 3 3 2" xfId="41072"/>
    <cellStyle name="Обычный 8 4 2 3 2 3 3 3" xfId="41073"/>
    <cellStyle name="Обычный 8 4 2 3 2 3 4" xfId="41074"/>
    <cellStyle name="Обычный 8 4 2 3 2 3 4 2" xfId="41075"/>
    <cellStyle name="Обычный 8 4 2 3 2 3 4 3" xfId="41076"/>
    <cellStyle name="Обычный 8 4 2 3 2 3 5" xfId="41077"/>
    <cellStyle name="Обычный 8 4 2 3 2 3 5 2" xfId="41078"/>
    <cellStyle name="Обычный 8 4 2 3 2 3 6" xfId="41079"/>
    <cellStyle name="Обычный 8 4 2 3 2 3 7" xfId="41080"/>
    <cellStyle name="Обычный 8 4 2 3 2 4" xfId="41081"/>
    <cellStyle name="Обычный 8 4 2 3 2 4 2" xfId="41082"/>
    <cellStyle name="Обычный 8 4 2 3 2 4 2 2" xfId="41083"/>
    <cellStyle name="Обычный 8 4 2 3 2 4 2 3" xfId="41084"/>
    <cellStyle name="Обычный 8 4 2 3 2 4 3" xfId="41085"/>
    <cellStyle name="Обычный 8 4 2 3 2 4 3 2" xfId="41086"/>
    <cellStyle name="Обычный 8 4 2 3 2 4 3 3" xfId="41087"/>
    <cellStyle name="Обычный 8 4 2 3 2 4 4" xfId="41088"/>
    <cellStyle name="Обычный 8 4 2 3 2 4 4 2" xfId="41089"/>
    <cellStyle name="Обычный 8 4 2 3 2 4 5" xfId="41090"/>
    <cellStyle name="Обычный 8 4 2 3 2 4 6" xfId="41091"/>
    <cellStyle name="Обычный 8 4 2 3 2 5" xfId="41092"/>
    <cellStyle name="Обычный 8 4 2 3 2 5 2" xfId="41093"/>
    <cellStyle name="Обычный 8 4 2 3 2 5 3" xfId="41094"/>
    <cellStyle name="Обычный 8 4 2 3 2 6" xfId="41095"/>
    <cellStyle name="Обычный 8 4 2 3 2 6 2" xfId="41096"/>
    <cellStyle name="Обычный 8 4 2 3 2 6 3" xfId="41097"/>
    <cellStyle name="Обычный 8 4 2 3 2 7" xfId="41098"/>
    <cellStyle name="Обычный 8 4 2 3 2 7 2" xfId="41099"/>
    <cellStyle name="Обычный 8 4 2 3 2 8" xfId="41100"/>
    <cellStyle name="Обычный 8 4 2 3 2 9" xfId="41101"/>
    <cellStyle name="Обычный 8 4 2 3 3" xfId="41102"/>
    <cellStyle name="Обычный 8 4 2 3 3 2" xfId="41103"/>
    <cellStyle name="Обычный 8 4 2 3 3 2 2" xfId="41104"/>
    <cellStyle name="Обычный 8 4 2 3 3 2 2 2" xfId="41105"/>
    <cellStyle name="Обычный 8 4 2 3 3 2 2 2 2" xfId="41106"/>
    <cellStyle name="Обычный 8 4 2 3 3 2 2 2 3" xfId="41107"/>
    <cellStyle name="Обычный 8 4 2 3 3 2 2 3" xfId="41108"/>
    <cellStyle name="Обычный 8 4 2 3 3 2 2 3 2" xfId="41109"/>
    <cellStyle name="Обычный 8 4 2 3 3 2 2 3 3" xfId="41110"/>
    <cellStyle name="Обычный 8 4 2 3 3 2 2 4" xfId="41111"/>
    <cellStyle name="Обычный 8 4 2 3 3 2 2 4 2" xfId="41112"/>
    <cellStyle name="Обычный 8 4 2 3 3 2 2 5" xfId="41113"/>
    <cellStyle name="Обычный 8 4 2 3 3 2 2 6" xfId="41114"/>
    <cellStyle name="Обычный 8 4 2 3 3 2 3" xfId="41115"/>
    <cellStyle name="Обычный 8 4 2 3 3 2 3 2" xfId="41116"/>
    <cellStyle name="Обычный 8 4 2 3 3 2 3 3" xfId="41117"/>
    <cellStyle name="Обычный 8 4 2 3 3 2 4" xfId="41118"/>
    <cellStyle name="Обычный 8 4 2 3 3 2 4 2" xfId="41119"/>
    <cellStyle name="Обычный 8 4 2 3 3 2 4 3" xfId="41120"/>
    <cellStyle name="Обычный 8 4 2 3 3 2 5" xfId="41121"/>
    <cellStyle name="Обычный 8 4 2 3 3 2 5 2" xfId="41122"/>
    <cellStyle name="Обычный 8 4 2 3 3 2 6" xfId="41123"/>
    <cellStyle name="Обычный 8 4 2 3 3 2 7" xfId="41124"/>
    <cellStyle name="Обычный 8 4 2 3 3 3" xfId="41125"/>
    <cellStyle name="Обычный 8 4 2 3 3 3 2" xfId="41126"/>
    <cellStyle name="Обычный 8 4 2 3 3 3 2 2" xfId="41127"/>
    <cellStyle name="Обычный 8 4 2 3 3 3 2 3" xfId="41128"/>
    <cellStyle name="Обычный 8 4 2 3 3 3 3" xfId="41129"/>
    <cellStyle name="Обычный 8 4 2 3 3 3 3 2" xfId="41130"/>
    <cellStyle name="Обычный 8 4 2 3 3 3 3 3" xfId="41131"/>
    <cellStyle name="Обычный 8 4 2 3 3 3 4" xfId="41132"/>
    <cellStyle name="Обычный 8 4 2 3 3 3 4 2" xfId="41133"/>
    <cellStyle name="Обычный 8 4 2 3 3 3 5" xfId="41134"/>
    <cellStyle name="Обычный 8 4 2 3 3 3 6" xfId="41135"/>
    <cellStyle name="Обычный 8 4 2 3 3 4" xfId="41136"/>
    <cellStyle name="Обычный 8 4 2 3 3 4 2" xfId="41137"/>
    <cellStyle name="Обычный 8 4 2 3 3 4 3" xfId="41138"/>
    <cellStyle name="Обычный 8 4 2 3 3 5" xfId="41139"/>
    <cellStyle name="Обычный 8 4 2 3 3 5 2" xfId="41140"/>
    <cellStyle name="Обычный 8 4 2 3 3 5 3" xfId="41141"/>
    <cellStyle name="Обычный 8 4 2 3 3 6" xfId="41142"/>
    <cellStyle name="Обычный 8 4 2 3 3 6 2" xfId="41143"/>
    <cellStyle name="Обычный 8 4 2 3 3 7" xfId="41144"/>
    <cellStyle name="Обычный 8 4 2 3 3 8" xfId="41145"/>
    <cellStyle name="Обычный 8 4 2 3 4" xfId="41146"/>
    <cellStyle name="Обычный 8 4 2 3 4 2" xfId="41147"/>
    <cellStyle name="Обычный 8 4 2 3 4 2 2" xfId="41148"/>
    <cellStyle name="Обычный 8 4 2 3 4 2 2 2" xfId="41149"/>
    <cellStyle name="Обычный 8 4 2 3 4 2 2 3" xfId="41150"/>
    <cellStyle name="Обычный 8 4 2 3 4 2 3" xfId="41151"/>
    <cellStyle name="Обычный 8 4 2 3 4 2 3 2" xfId="41152"/>
    <cellStyle name="Обычный 8 4 2 3 4 2 3 3" xfId="41153"/>
    <cellStyle name="Обычный 8 4 2 3 4 2 4" xfId="41154"/>
    <cellStyle name="Обычный 8 4 2 3 4 2 4 2" xfId="41155"/>
    <cellStyle name="Обычный 8 4 2 3 4 2 5" xfId="41156"/>
    <cellStyle name="Обычный 8 4 2 3 4 2 6" xfId="41157"/>
    <cellStyle name="Обычный 8 4 2 3 4 3" xfId="41158"/>
    <cellStyle name="Обычный 8 4 2 3 4 3 2" xfId="41159"/>
    <cellStyle name="Обычный 8 4 2 3 4 3 3" xfId="41160"/>
    <cellStyle name="Обычный 8 4 2 3 4 4" xfId="41161"/>
    <cellStyle name="Обычный 8 4 2 3 4 4 2" xfId="41162"/>
    <cellStyle name="Обычный 8 4 2 3 4 4 3" xfId="41163"/>
    <cellStyle name="Обычный 8 4 2 3 4 5" xfId="41164"/>
    <cellStyle name="Обычный 8 4 2 3 4 5 2" xfId="41165"/>
    <cellStyle name="Обычный 8 4 2 3 4 6" xfId="41166"/>
    <cellStyle name="Обычный 8 4 2 3 4 7" xfId="41167"/>
    <cellStyle name="Обычный 8 4 2 3 5" xfId="41168"/>
    <cellStyle name="Обычный 8 4 2 3 5 2" xfId="41169"/>
    <cellStyle name="Обычный 8 4 2 3 5 2 2" xfId="41170"/>
    <cellStyle name="Обычный 8 4 2 3 5 2 3" xfId="41171"/>
    <cellStyle name="Обычный 8 4 2 3 5 3" xfId="41172"/>
    <cellStyle name="Обычный 8 4 2 3 5 3 2" xfId="41173"/>
    <cellStyle name="Обычный 8 4 2 3 5 3 3" xfId="41174"/>
    <cellStyle name="Обычный 8 4 2 3 5 4" xfId="41175"/>
    <cellStyle name="Обычный 8 4 2 3 5 4 2" xfId="41176"/>
    <cellStyle name="Обычный 8 4 2 3 5 5" xfId="41177"/>
    <cellStyle name="Обычный 8 4 2 3 5 6" xfId="41178"/>
    <cellStyle name="Обычный 8 4 2 3 6" xfId="41179"/>
    <cellStyle name="Обычный 8 4 2 3 6 2" xfId="41180"/>
    <cellStyle name="Обычный 8 4 2 3 6 3" xfId="41181"/>
    <cellStyle name="Обычный 8 4 2 3 7" xfId="41182"/>
    <cellStyle name="Обычный 8 4 2 3 7 2" xfId="41183"/>
    <cellStyle name="Обычный 8 4 2 3 7 3" xfId="41184"/>
    <cellStyle name="Обычный 8 4 2 3 8" xfId="41185"/>
    <cellStyle name="Обычный 8 4 2 3 8 2" xfId="41186"/>
    <cellStyle name="Обычный 8 4 2 3 9" xfId="41187"/>
    <cellStyle name="Обычный 8 4 2 4" xfId="41188"/>
    <cellStyle name="Обычный 8 4 2 4 10" xfId="41189"/>
    <cellStyle name="Обычный 8 4 2 4 2" xfId="41190"/>
    <cellStyle name="Обычный 8 4 2 4 2 2" xfId="41191"/>
    <cellStyle name="Обычный 8 4 2 4 2 2 2" xfId="41192"/>
    <cellStyle name="Обычный 8 4 2 4 2 2 2 2" xfId="41193"/>
    <cellStyle name="Обычный 8 4 2 4 2 2 2 2 2" xfId="41194"/>
    <cellStyle name="Обычный 8 4 2 4 2 2 2 2 2 2" xfId="41195"/>
    <cellStyle name="Обычный 8 4 2 4 2 2 2 2 2 3" xfId="41196"/>
    <cellStyle name="Обычный 8 4 2 4 2 2 2 2 3" xfId="41197"/>
    <cellStyle name="Обычный 8 4 2 4 2 2 2 2 3 2" xfId="41198"/>
    <cellStyle name="Обычный 8 4 2 4 2 2 2 2 3 3" xfId="41199"/>
    <cellStyle name="Обычный 8 4 2 4 2 2 2 2 4" xfId="41200"/>
    <cellStyle name="Обычный 8 4 2 4 2 2 2 2 4 2" xfId="41201"/>
    <cellStyle name="Обычный 8 4 2 4 2 2 2 2 5" xfId="41202"/>
    <cellStyle name="Обычный 8 4 2 4 2 2 2 2 6" xfId="41203"/>
    <cellStyle name="Обычный 8 4 2 4 2 2 2 3" xfId="41204"/>
    <cellStyle name="Обычный 8 4 2 4 2 2 2 3 2" xfId="41205"/>
    <cellStyle name="Обычный 8 4 2 4 2 2 2 3 3" xfId="41206"/>
    <cellStyle name="Обычный 8 4 2 4 2 2 2 4" xfId="41207"/>
    <cellStyle name="Обычный 8 4 2 4 2 2 2 4 2" xfId="41208"/>
    <cellStyle name="Обычный 8 4 2 4 2 2 2 4 3" xfId="41209"/>
    <cellStyle name="Обычный 8 4 2 4 2 2 2 5" xfId="41210"/>
    <cellStyle name="Обычный 8 4 2 4 2 2 2 5 2" xfId="41211"/>
    <cellStyle name="Обычный 8 4 2 4 2 2 2 6" xfId="41212"/>
    <cellStyle name="Обычный 8 4 2 4 2 2 2 7" xfId="41213"/>
    <cellStyle name="Обычный 8 4 2 4 2 2 3" xfId="41214"/>
    <cellStyle name="Обычный 8 4 2 4 2 2 3 2" xfId="41215"/>
    <cellStyle name="Обычный 8 4 2 4 2 2 3 2 2" xfId="41216"/>
    <cellStyle name="Обычный 8 4 2 4 2 2 3 2 3" xfId="41217"/>
    <cellStyle name="Обычный 8 4 2 4 2 2 3 3" xfId="41218"/>
    <cellStyle name="Обычный 8 4 2 4 2 2 3 3 2" xfId="41219"/>
    <cellStyle name="Обычный 8 4 2 4 2 2 3 3 3" xfId="41220"/>
    <cellStyle name="Обычный 8 4 2 4 2 2 3 4" xfId="41221"/>
    <cellStyle name="Обычный 8 4 2 4 2 2 3 4 2" xfId="41222"/>
    <cellStyle name="Обычный 8 4 2 4 2 2 3 5" xfId="41223"/>
    <cellStyle name="Обычный 8 4 2 4 2 2 3 6" xfId="41224"/>
    <cellStyle name="Обычный 8 4 2 4 2 2 4" xfId="41225"/>
    <cellStyle name="Обычный 8 4 2 4 2 2 4 2" xfId="41226"/>
    <cellStyle name="Обычный 8 4 2 4 2 2 4 3" xfId="41227"/>
    <cellStyle name="Обычный 8 4 2 4 2 2 5" xfId="41228"/>
    <cellStyle name="Обычный 8 4 2 4 2 2 5 2" xfId="41229"/>
    <cellStyle name="Обычный 8 4 2 4 2 2 5 3" xfId="41230"/>
    <cellStyle name="Обычный 8 4 2 4 2 2 6" xfId="41231"/>
    <cellStyle name="Обычный 8 4 2 4 2 2 6 2" xfId="41232"/>
    <cellStyle name="Обычный 8 4 2 4 2 2 7" xfId="41233"/>
    <cellStyle name="Обычный 8 4 2 4 2 2 8" xfId="41234"/>
    <cellStyle name="Обычный 8 4 2 4 2 3" xfId="41235"/>
    <cellStyle name="Обычный 8 4 2 4 2 3 2" xfId="41236"/>
    <cellStyle name="Обычный 8 4 2 4 2 3 2 2" xfId="41237"/>
    <cellStyle name="Обычный 8 4 2 4 2 3 2 2 2" xfId="41238"/>
    <cellStyle name="Обычный 8 4 2 4 2 3 2 2 3" xfId="41239"/>
    <cellStyle name="Обычный 8 4 2 4 2 3 2 3" xfId="41240"/>
    <cellStyle name="Обычный 8 4 2 4 2 3 2 3 2" xfId="41241"/>
    <cellStyle name="Обычный 8 4 2 4 2 3 2 3 3" xfId="41242"/>
    <cellStyle name="Обычный 8 4 2 4 2 3 2 4" xfId="41243"/>
    <cellStyle name="Обычный 8 4 2 4 2 3 2 4 2" xfId="41244"/>
    <cellStyle name="Обычный 8 4 2 4 2 3 2 5" xfId="41245"/>
    <cellStyle name="Обычный 8 4 2 4 2 3 2 6" xfId="41246"/>
    <cellStyle name="Обычный 8 4 2 4 2 3 3" xfId="41247"/>
    <cellStyle name="Обычный 8 4 2 4 2 3 3 2" xfId="41248"/>
    <cellStyle name="Обычный 8 4 2 4 2 3 3 3" xfId="41249"/>
    <cellStyle name="Обычный 8 4 2 4 2 3 4" xfId="41250"/>
    <cellStyle name="Обычный 8 4 2 4 2 3 4 2" xfId="41251"/>
    <cellStyle name="Обычный 8 4 2 4 2 3 4 3" xfId="41252"/>
    <cellStyle name="Обычный 8 4 2 4 2 3 5" xfId="41253"/>
    <cellStyle name="Обычный 8 4 2 4 2 3 5 2" xfId="41254"/>
    <cellStyle name="Обычный 8 4 2 4 2 3 6" xfId="41255"/>
    <cellStyle name="Обычный 8 4 2 4 2 3 7" xfId="41256"/>
    <cellStyle name="Обычный 8 4 2 4 2 4" xfId="41257"/>
    <cellStyle name="Обычный 8 4 2 4 2 4 2" xfId="41258"/>
    <cellStyle name="Обычный 8 4 2 4 2 4 2 2" xfId="41259"/>
    <cellStyle name="Обычный 8 4 2 4 2 4 2 3" xfId="41260"/>
    <cellStyle name="Обычный 8 4 2 4 2 4 3" xfId="41261"/>
    <cellStyle name="Обычный 8 4 2 4 2 4 3 2" xfId="41262"/>
    <cellStyle name="Обычный 8 4 2 4 2 4 3 3" xfId="41263"/>
    <cellStyle name="Обычный 8 4 2 4 2 4 4" xfId="41264"/>
    <cellStyle name="Обычный 8 4 2 4 2 4 4 2" xfId="41265"/>
    <cellStyle name="Обычный 8 4 2 4 2 4 5" xfId="41266"/>
    <cellStyle name="Обычный 8 4 2 4 2 4 6" xfId="41267"/>
    <cellStyle name="Обычный 8 4 2 4 2 5" xfId="41268"/>
    <cellStyle name="Обычный 8 4 2 4 2 5 2" xfId="41269"/>
    <cellStyle name="Обычный 8 4 2 4 2 5 3" xfId="41270"/>
    <cellStyle name="Обычный 8 4 2 4 2 6" xfId="41271"/>
    <cellStyle name="Обычный 8 4 2 4 2 6 2" xfId="41272"/>
    <cellStyle name="Обычный 8 4 2 4 2 6 3" xfId="41273"/>
    <cellStyle name="Обычный 8 4 2 4 2 7" xfId="41274"/>
    <cellStyle name="Обычный 8 4 2 4 2 7 2" xfId="41275"/>
    <cellStyle name="Обычный 8 4 2 4 2 8" xfId="41276"/>
    <cellStyle name="Обычный 8 4 2 4 2 9" xfId="41277"/>
    <cellStyle name="Обычный 8 4 2 4 3" xfId="41278"/>
    <cellStyle name="Обычный 8 4 2 4 3 2" xfId="41279"/>
    <cellStyle name="Обычный 8 4 2 4 3 2 2" xfId="41280"/>
    <cellStyle name="Обычный 8 4 2 4 3 2 2 2" xfId="41281"/>
    <cellStyle name="Обычный 8 4 2 4 3 2 2 2 2" xfId="41282"/>
    <cellStyle name="Обычный 8 4 2 4 3 2 2 2 3" xfId="41283"/>
    <cellStyle name="Обычный 8 4 2 4 3 2 2 3" xfId="41284"/>
    <cellStyle name="Обычный 8 4 2 4 3 2 2 3 2" xfId="41285"/>
    <cellStyle name="Обычный 8 4 2 4 3 2 2 3 3" xfId="41286"/>
    <cellStyle name="Обычный 8 4 2 4 3 2 2 4" xfId="41287"/>
    <cellStyle name="Обычный 8 4 2 4 3 2 2 4 2" xfId="41288"/>
    <cellStyle name="Обычный 8 4 2 4 3 2 2 5" xfId="41289"/>
    <cellStyle name="Обычный 8 4 2 4 3 2 2 6" xfId="41290"/>
    <cellStyle name="Обычный 8 4 2 4 3 2 3" xfId="41291"/>
    <cellStyle name="Обычный 8 4 2 4 3 2 3 2" xfId="41292"/>
    <cellStyle name="Обычный 8 4 2 4 3 2 3 3" xfId="41293"/>
    <cellStyle name="Обычный 8 4 2 4 3 2 4" xfId="41294"/>
    <cellStyle name="Обычный 8 4 2 4 3 2 4 2" xfId="41295"/>
    <cellStyle name="Обычный 8 4 2 4 3 2 4 3" xfId="41296"/>
    <cellStyle name="Обычный 8 4 2 4 3 2 5" xfId="41297"/>
    <cellStyle name="Обычный 8 4 2 4 3 2 5 2" xfId="41298"/>
    <cellStyle name="Обычный 8 4 2 4 3 2 6" xfId="41299"/>
    <cellStyle name="Обычный 8 4 2 4 3 2 7" xfId="41300"/>
    <cellStyle name="Обычный 8 4 2 4 3 3" xfId="41301"/>
    <cellStyle name="Обычный 8 4 2 4 3 3 2" xfId="41302"/>
    <cellStyle name="Обычный 8 4 2 4 3 3 2 2" xfId="41303"/>
    <cellStyle name="Обычный 8 4 2 4 3 3 2 3" xfId="41304"/>
    <cellStyle name="Обычный 8 4 2 4 3 3 3" xfId="41305"/>
    <cellStyle name="Обычный 8 4 2 4 3 3 3 2" xfId="41306"/>
    <cellStyle name="Обычный 8 4 2 4 3 3 3 3" xfId="41307"/>
    <cellStyle name="Обычный 8 4 2 4 3 3 4" xfId="41308"/>
    <cellStyle name="Обычный 8 4 2 4 3 3 4 2" xfId="41309"/>
    <cellStyle name="Обычный 8 4 2 4 3 3 5" xfId="41310"/>
    <cellStyle name="Обычный 8 4 2 4 3 3 6" xfId="41311"/>
    <cellStyle name="Обычный 8 4 2 4 3 4" xfId="41312"/>
    <cellStyle name="Обычный 8 4 2 4 3 4 2" xfId="41313"/>
    <cellStyle name="Обычный 8 4 2 4 3 4 3" xfId="41314"/>
    <cellStyle name="Обычный 8 4 2 4 3 5" xfId="41315"/>
    <cellStyle name="Обычный 8 4 2 4 3 5 2" xfId="41316"/>
    <cellStyle name="Обычный 8 4 2 4 3 5 3" xfId="41317"/>
    <cellStyle name="Обычный 8 4 2 4 3 6" xfId="41318"/>
    <cellStyle name="Обычный 8 4 2 4 3 6 2" xfId="41319"/>
    <cellStyle name="Обычный 8 4 2 4 3 7" xfId="41320"/>
    <cellStyle name="Обычный 8 4 2 4 3 8" xfId="41321"/>
    <cellStyle name="Обычный 8 4 2 4 4" xfId="41322"/>
    <cellStyle name="Обычный 8 4 2 4 4 2" xfId="41323"/>
    <cellStyle name="Обычный 8 4 2 4 4 2 2" xfId="41324"/>
    <cellStyle name="Обычный 8 4 2 4 4 2 2 2" xfId="41325"/>
    <cellStyle name="Обычный 8 4 2 4 4 2 2 3" xfId="41326"/>
    <cellStyle name="Обычный 8 4 2 4 4 2 3" xfId="41327"/>
    <cellStyle name="Обычный 8 4 2 4 4 2 3 2" xfId="41328"/>
    <cellStyle name="Обычный 8 4 2 4 4 2 3 3" xfId="41329"/>
    <cellStyle name="Обычный 8 4 2 4 4 2 4" xfId="41330"/>
    <cellStyle name="Обычный 8 4 2 4 4 2 4 2" xfId="41331"/>
    <cellStyle name="Обычный 8 4 2 4 4 2 5" xfId="41332"/>
    <cellStyle name="Обычный 8 4 2 4 4 2 6" xfId="41333"/>
    <cellStyle name="Обычный 8 4 2 4 4 3" xfId="41334"/>
    <cellStyle name="Обычный 8 4 2 4 4 3 2" xfId="41335"/>
    <cellStyle name="Обычный 8 4 2 4 4 3 3" xfId="41336"/>
    <cellStyle name="Обычный 8 4 2 4 4 4" xfId="41337"/>
    <cellStyle name="Обычный 8 4 2 4 4 4 2" xfId="41338"/>
    <cellStyle name="Обычный 8 4 2 4 4 4 3" xfId="41339"/>
    <cellStyle name="Обычный 8 4 2 4 4 5" xfId="41340"/>
    <cellStyle name="Обычный 8 4 2 4 4 5 2" xfId="41341"/>
    <cellStyle name="Обычный 8 4 2 4 4 6" xfId="41342"/>
    <cellStyle name="Обычный 8 4 2 4 4 7" xfId="41343"/>
    <cellStyle name="Обычный 8 4 2 4 5" xfId="41344"/>
    <cellStyle name="Обычный 8 4 2 4 5 2" xfId="41345"/>
    <cellStyle name="Обычный 8 4 2 4 5 2 2" xfId="41346"/>
    <cellStyle name="Обычный 8 4 2 4 5 2 3" xfId="41347"/>
    <cellStyle name="Обычный 8 4 2 4 5 3" xfId="41348"/>
    <cellStyle name="Обычный 8 4 2 4 5 3 2" xfId="41349"/>
    <cellStyle name="Обычный 8 4 2 4 5 3 3" xfId="41350"/>
    <cellStyle name="Обычный 8 4 2 4 5 4" xfId="41351"/>
    <cellStyle name="Обычный 8 4 2 4 5 4 2" xfId="41352"/>
    <cellStyle name="Обычный 8 4 2 4 5 5" xfId="41353"/>
    <cellStyle name="Обычный 8 4 2 4 5 6" xfId="41354"/>
    <cellStyle name="Обычный 8 4 2 4 6" xfId="41355"/>
    <cellStyle name="Обычный 8 4 2 4 6 2" xfId="41356"/>
    <cellStyle name="Обычный 8 4 2 4 6 3" xfId="41357"/>
    <cellStyle name="Обычный 8 4 2 4 7" xfId="41358"/>
    <cellStyle name="Обычный 8 4 2 4 7 2" xfId="41359"/>
    <cellStyle name="Обычный 8 4 2 4 7 3" xfId="41360"/>
    <cellStyle name="Обычный 8 4 2 4 8" xfId="41361"/>
    <cellStyle name="Обычный 8 4 2 4 8 2" xfId="41362"/>
    <cellStyle name="Обычный 8 4 2 4 9" xfId="41363"/>
    <cellStyle name="Обычный 8 4 2 5" xfId="41364"/>
    <cellStyle name="Обычный 8 4 2 5 2" xfId="41365"/>
    <cellStyle name="Обычный 8 4 2 5 2 2" xfId="41366"/>
    <cellStyle name="Обычный 8 4 2 5 2 2 2" xfId="41367"/>
    <cellStyle name="Обычный 8 4 2 5 2 2 2 2" xfId="41368"/>
    <cellStyle name="Обычный 8 4 2 5 2 2 2 2 2" xfId="41369"/>
    <cellStyle name="Обычный 8 4 2 5 2 2 2 2 3" xfId="41370"/>
    <cellStyle name="Обычный 8 4 2 5 2 2 2 3" xfId="41371"/>
    <cellStyle name="Обычный 8 4 2 5 2 2 2 3 2" xfId="41372"/>
    <cellStyle name="Обычный 8 4 2 5 2 2 2 3 3" xfId="41373"/>
    <cellStyle name="Обычный 8 4 2 5 2 2 2 4" xfId="41374"/>
    <cellStyle name="Обычный 8 4 2 5 2 2 2 4 2" xfId="41375"/>
    <cellStyle name="Обычный 8 4 2 5 2 2 2 5" xfId="41376"/>
    <cellStyle name="Обычный 8 4 2 5 2 2 2 6" xfId="41377"/>
    <cellStyle name="Обычный 8 4 2 5 2 2 3" xfId="41378"/>
    <cellStyle name="Обычный 8 4 2 5 2 2 3 2" xfId="41379"/>
    <cellStyle name="Обычный 8 4 2 5 2 2 3 3" xfId="41380"/>
    <cellStyle name="Обычный 8 4 2 5 2 2 4" xfId="41381"/>
    <cellStyle name="Обычный 8 4 2 5 2 2 4 2" xfId="41382"/>
    <cellStyle name="Обычный 8 4 2 5 2 2 4 3" xfId="41383"/>
    <cellStyle name="Обычный 8 4 2 5 2 2 5" xfId="41384"/>
    <cellStyle name="Обычный 8 4 2 5 2 2 5 2" xfId="41385"/>
    <cellStyle name="Обычный 8 4 2 5 2 2 6" xfId="41386"/>
    <cellStyle name="Обычный 8 4 2 5 2 2 7" xfId="41387"/>
    <cellStyle name="Обычный 8 4 2 5 2 3" xfId="41388"/>
    <cellStyle name="Обычный 8 4 2 5 2 3 2" xfId="41389"/>
    <cellStyle name="Обычный 8 4 2 5 2 3 2 2" xfId="41390"/>
    <cellStyle name="Обычный 8 4 2 5 2 3 2 3" xfId="41391"/>
    <cellStyle name="Обычный 8 4 2 5 2 3 3" xfId="41392"/>
    <cellStyle name="Обычный 8 4 2 5 2 3 3 2" xfId="41393"/>
    <cellStyle name="Обычный 8 4 2 5 2 3 3 3" xfId="41394"/>
    <cellStyle name="Обычный 8 4 2 5 2 3 4" xfId="41395"/>
    <cellStyle name="Обычный 8 4 2 5 2 3 4 2" xfId="41396"/>
    <cellStyle name="Обычный 8 4 2 5 2 3 5" xfId="41397"/>
    <cellStyle name="Обычный 8 4 2 5 2 3 6" xfId="41398"/>
    <cellStyle name="Обычный 8 4 2 5 2 4" xfId="41399"/>
    <cellStyle name="Обычный 8 4 2 5 2 4 2" xfId="41400"/>
    <cellStyle name="Обычный 8 4 2 5 2 4 3" xfId="41401"/>
    <cellStyle name="Обычный 8 4 2 5 2 5" xfId="41402"/>
    <cellStyle name="Обычный 8 4 2 5 2 5 2" xfId="41403"/>
    <cellStyle name="Обычный 8 4 2 5 2 5 3" xfId="41404"/>
    <cellStyle name="Обычный 8 4 2 5 2 6" xfId="41405"/>
    <cellStyle name="Обычный 8 4 2 5 2 6 2" xfId="41406"/>
    <cellStyle name="Обычный 8 4 2 5 2 7" xfId="41407"/>
    <cellStyle name="Обычный 8 4 2 5 2 8" xfId="41408"/>
    <cellStyle name="Обычный 8 4 2 5 3" xfId="41409"/>
    <cellStyle name="Обычный 8 4 2 5 3 2" xfId="41410"/>
    <cellStyle name="Обычный 8 4 2 5 3 2 2" xfId="41411"/>
    <cellStyle name="Обычный 8 4 2 5 3 2 2 2" xfId="41412"/>
    <cellStyle name="Обычный 8 4 2 5 3 2 2 3" xfId="41413"/>
    <cellStyle name="Обычный 8 4 2 5 3 2 3" xfId="41414"/>
    <cellStyle name="Обычный 8 4 2 5 3 2 3 2" xfId="41415"/>
    <cellStyle name="Обычный 8 4 2 5 3 2 3 3" xfId="41416"/>
    <cellStyle name="Обычный 8 4 2 5 3 2 4" xfId="41417"/>
    <cellStyle name="Обычный 8 4 2 5 3 2 4 2" xfId="41418"/>
    <cellStyle name="Обычный 8 4 2 5 3 2 5" xfId="41419"/>
    <cellStyle name="Обычный 8 4 2 5 3 2 6" xfId="41420"/>
    <cellStyle name="Обычный 8 4 2 5 3 3" xfId="41421"/>
    <cellStyle name="Обычный 8 4 2 5 3 3 2" xfId="41422"/>
    <cellStyle name="Обычный 8 4 2 5 3 3 3" xfId="41423"/>
    <cellStyle name="Обычный 8 4 2 5 3 4" xfId="41424"/>
    <cellStyle name="Обычный 8 4 2 5 3 4 2" xfId="41425"/>
    <cellStyle name="Обычный 8 4 2 5 3 4 3" xfId="41426"/>
    <cellStyle name="Обычный 8 4 2 5 3 5" xfId="41427"/>
    <cellStyle name="Обычный 8 4 2 5 3 5 2" xfId="41428"/>
    <cellStyle name="Обычный 8 4 2 5 3 6" xfId="41429"/>
    <cellStyle name="Обычный 8 4 2 5 3 7" xfId="41430"/>
    <cellStyle name="Обычный 8 4 2 5 4" xfId="41431"/>
    <cellStyle name="Обычный 8 4 2 5 4 2" xfId="41432"/>
    <cellStyle name="Обычный 8 4 2 5 4 2 2" xfId="41433"/>
    <cellStyle name="Обычный 8 4 2 5 4 2 3" xfId="41434"/>
    <cellStyle name="Обычный 8 4 2 5 4 3" xfId="41435"/>
    <cellStyle name="Обычный 8 4 2 5 4 3 2" xfId="41436"/>
    <cellStyle name="Обычный 8 4 2 5 4 3 3" xfId="41437"/>
    <cellStyle name="Обычный 8 4 2 5 4 4" xfId="41438"/>
    <cellStyle name="Обычный 8 4 2 5 4 4 2" xfId="41439"/>
    <cellStyle name="Обычный 8 4 2 5 4 5" xfId="41440"/>
    <cellStyle name="Обычный 8 4 2 5 4 6" xfId="41441"/>
    <cellStyle name="Обычный 8 4 2 5 5" xfId="41442"/>
    <cellStyle name="Обычный 8 4 2 5 5 2" xfId="41443"/>
    <cellStyle name="Обычный 8 4 2 5 5 3" xfId="41444"/>
    <cellStyle name="Обычный 8 4 2 5 6" xfId="41445"/>
    <cellStyle name="Обычный 8 4 2 5 6 2" xfId="41446"/>
    <cellStyle name="Обычный 8 4 2 5 6 3" xfId="41447"/>
    <cellStyle name="Обычный 8 4 2 5 7" xfId="41448"/>
    <cellStyle name="Обычный 8 4 2 5 7 2" xfId="41449"/>
    <cellStyle name="Обычный 8 4 2 5 8" xfId="41450"/>
    <cellStyle name="Обычный 8 4 2 5 9" xfId="41451"/>
    <cellStyle name="Обычный 8 4 2 6" xfId="41452"/>
    <cellStyle name="Обычный 8 4 2 6 2" xfId="41453"/>
    <cellStyle name="Обычный 8 4 2 6 2 2" xfId="41454"/>
    <cellStyle name="Обычный 8 4 2 6 2 2 2" xfId="41455"/>
    <cellStyle name="Обычный 8 4 2 6 2 2 2 2" xfId="41456"/>
    <cellStyle name="Обычный 8 4 2 6 2 2 2 3" xfId="41457"/>
    <cellStyle name="Обычный 8 4 2 6 2 2 3" xfId="41458"/>
    <cellStyle name="Обычный 8 4 2 6 2 2 3 2" xfId="41459"/>
    <cellStyle name="Обычный 8 4 2 6 2 2 3 3" xfId="41460"/>
    <cellStyle name="Обычный 8 4 2 6 2 2 4" xfId="41461"/>
    <cellStyle name="Обычный 8 4 2 6 2 2 4 2" xfId="41462"/>
    <cellStyle name="Обычный 8 4 2 6 2 2 5" xfId="41463"/>
    <cellStyle name="Обычный 8 4 2 6 2 2 6" xfId="41464"/>
    <cellStyle name="Обычный 8 4 2 6 2 3" xfId="41465"/>
    <cellStyle name="Обычный 8 4 2 6 2 3 2" xfId="41466"/>
    <cellStyle name="Обычный 8 4 2 6 2 3 3" xfId="41467"/>
    <cellStyle name="Обычный 8 4 2 6 2 4" xfId="41468"/>
    <cellStyle name="Обычный 8 4 2 6 2 4 2" xfId="41469"/>
    <cellStyle name="Обычный 8 4 2 6 2 4 3" xfId="41470"/>
    <cellStyle name="Обычный 8 4 2 6 2 5" xfId="41471"/>
    <cellStyle name="Обычный 8 4 2 6 2 5 2" xfId="41472"/>
    <cellStyle name="Обычный 8 4 2 6 2 6" xfId="41473"/>
    <cellStyle name="Обычный 8 4 2 6 2 7" xfId="41474"/>
    <cellStyle name="Обычный 8 4 2 6 3" xfId="41475"/>
    <cellStyle name="Обычный 8 4 2 6 3 2" xfId="41476"/>
    <cellStyle name="Обычный 8 4 2 6 3 2 2" xfId="41477"/>
    <cellStyle name="Обычный 8 4 2 6 3 2 3" xfId="41478"/>
    <cellStyle name="Обычный 8 4 2 6 3 3" xfId="41479"/>
    <cellStyle name="Обычный 8 4 2 6 3 3 2" xfId="41480"/>
    <cellStyle name="Обычный 8 4 2 6 3 3 3" xfId="41481"/>
    <cellStyle name="Обычный 8 4 2 6 3 4" xfId="41482"/>
    <cellStyle name="Обычный 8 4 2 6 3 4 2" xfId="41483"/>
    <cellStyle name="Обычный 8 4 2 6 3 5" xfId="41484"/>
    <cellStyle name="Обычный 8 4 2 6 3 6" xfId="41485"/>
    <cellStyle name="Обычный 8 4 2 6 4" xfId="41486"/>
    <cellStyle name="Обычный 8 4 2 6 4 2" xfId="41487"/>
    <cellStyle name="Обычный 8 4 2 6 4 3" xfId="41488"/>
    <cellStyle name="Обычный 8 4 2 6 5" xfId="41489"/>
    <cellStyle name="Обычный 8 4 2 6 5 2" xfId="41490"/>
    <cellStyle name="Обычный 8 4 2 6 5 3" xfId="41491"/>
    <cellStyle name="Обычный 8 4 2 6 6" xfId="41492"/>
    <cellStyle name="Обычный 8 4 2 6 6 2" xfId="41493"/>
    <cellStyle name="Обычный 8 4 2 6 7" xfId="41494"/>
    <cellStyle name="Обычный 8 4 2 6 8" xfId="41495"/>
    <cellStyle name="Обычный 8 4 2 7" xfId="41496"/>
    <cellStyle name="Обычный 8 4 2 7 2" xfId="41497"/>
    <cellStyle name="Обычный 8 4 2 7 2 2" xfId="41498"/>
    <cellStyle name="Обычный 8 4 2 7 2 2 2" xfId="41499"/>
    <cellStyle name="Обычный 8 4 2 7 2 2 3" xfId="41500"/>
    <cellStyle name="Обычный 8 4 2 7 2 3" xfId="41501"/>
    <cellStyle name="Обычный 8 4 2 7 2 3 2" xfId="41502"/>
    <cellStyle name="Обычный 8 4 2 7 2 3 3" xfId="41503"/>
    <cellStyle name="Обычный 8 4 2 7 2 4" xfId="41504"/>
    <cellStyle name="Обычный 8 4 2 7 2 4 2" xfId="41505"/>
    <cellStyle name="Обычный 8 4 2 7 2 5" xfId="41506"/>
    <cellStyle name="Обычный 8 4 2 7 2 6" xfId="41507"/>
    <cellStyle name="Обычный 8 4 2 7 3" xfId="41508"/>
    <cellStyle name="Обычный 8 4 2 7 3 2" xfId="41509"/>
    <cellStyle name="Обычный 8 4 2 7 3 3" xfId="41510"/>
    <cellStyle name="Обычный 8 4 2 7 4" xfId="41511"/>
    <cellStyle name="Обычный 8 4 2 7 4 2" xfId="41512"/>
    <cellStyle name="Обычный 8 4 2 7 4 3" xfId="41513"/>
    <cellStyle name="Обычный 8 4 2 7 5" xfId="41514"/>
    <cellStyle name="Обычный 8 4 2 7 5 2" xfId="41515"/>
    <cellStyle name="Обычный 8 4 2 7 6" xfId="41516"/>
    <cellStyle name="Обычный 8 4 2 7 7" xfId="41517"/>
    <cellStyle name="Обычный 8 4 2 8" xfId="41518"/>
    <cellStyle name="Обычный 8 4 2 8 2" xfId="41519"/>
    <cellStyle name="Обычный 8 4 2 8 2 2" xfId="41520"/>
    <cellStyle name="Обычный 8 4 2 8 2 3" xfId="41521"/>
    <cellStyle name="Обычный 8 4 2 8 3" xfId="41522"/>
    <cellStyle name="Обычный 8 4 2 8 3 2" xfId="41523"/>
    <cellStyle name="Обычный 8 4 2 8 3 3" xfId="41524"/>
    <cellStyle name="Обычный 8 4 2 8 4" xfId="41525"/>
    <cellStyle name="Обычный 8 4 2 8 4 2" xfId="41526"/>
    <cellStyle name="Обычный 8 4 2 8 5" xfId="41527"/>
    <cellStyle name="Обычный 8 4 2 8 6" xfId="41528"/>
    <cellStyle name="Обычный 8 4 2 9" xfId="41529"/>
    <cellStyle name="Обычный 8 4 2 9 2" xfId="41530"/>
    <cellStyle name="Обычный 8 4 2 9 3" xfId="41531"/>
    <cellStyle name="Обычный 8 4 3" xfId="41532"/>
    <cellStyle name="Обычный 8 4 3 10" xfId="41533"/>
    <cellStyle name="Обычный 8 4 3 2" xfId="41534"/>
    <cellStyle name="Обычный 8 4 3 2 2" xfId="41535"/>
    <cellStyle name="Обычный 8 4 3 2 2 2" xfId="41536"/>
    <cellStyle name="Обычный 8 4 3 2 2 2 2" xfId="41537"/>
    <cellStyle name="Обычный 8 4 3 2 2 2 2 2" xfId="41538"/>
    <cellStyle name="Обычный 8 4 3 2 2 2 2 2 2" xfId="41539"/>
    <cellStyle name="Обычный 8 4 3 2 2 2 2 2 3" xfId="41540"/>
    <cellStyle name="Обычный 8 4 3 2 2 2 2 3" xfId="41541"/>
    <cellStyle name="Обычный 8 4 3 2 2 2 2 3 2" xfId="41542"/>
    <cellStyle name="Обычный 8 4 3 2 2 2 2 3 3" xfId="41543"/>
    <cellStyle name="Обычный 8 4 3 2 2 2 2 4" xfId="41544"/>
    <cellStyle name="Обычный 8 4 3 2 2 2 2 4 2" xfId="41545"/>
    <cellStyle name="Обычный 8 4 3 2 2 2 2 5" xfId="41546"/>
    <cellStyle name="Обычный 8 4 3 2 2 2 2 6" xfId="41547"/>
    <cellStyle name="Обычный 8 4 3 2 2 2 3" xfId="41548"/>
    <cellStyle name="Обычный 8 4 3 2 2 2 3 2" xfId="41549"/>
    <cellStyle name="Обычный 8 4 3 2 2 2 3 3" xfId="41550"/>
    <cellStyle name="Обычный 8 4 3 2 2 2 4" xfId="41551"/>
    <cellStyle name="Обычный 8 4 3 2 2 2 4 2" xfId="41552"/>
    <cellStyle name="Обычный 8 4 3 2 2 2 4 3" xfId="41553"/>
    <cellStyle name="Обычный 8 4 3 2 2 2 5" xfId="41554"/>
    <cellStyle name="Обычный 8 4 3 2 2 2 5 2" xfId="41555"/>
    <cellStyle name="Обычный 8 4 3 2 2 2 6" xfId="41556"/>
    <cellStyle name="Обычный 8 4 3 2 2 2 7" xfId="41557"/>
    <cellStyle name="Обычный 8 4 3 2 2 3" xfId="41558"/>
    <cellStyle name="Обычный 8 4 3 2 2 3 2" xfId="41559"/>
    <cellStyle name="Обычный 8 4 3 2 2 3 2 2" xfId="41560"/>
    <cellStyle name="Обычный 8 4 3 2 2 3 2 3" xfId="41561"/>
    <cellStyle name="Обычный 8 4 3 2 2 3 3" xfId="41562"/>
    <cellStyle name="Обычный 8 4 3 2 2 3 3 2" xfId="41563"/>
    <cellStyle name="Обычный 8 4 3 2 2 3 3 3" xfId="41564"/>
    <cellStyle name="Обычный 8 4 3 2 2 3 4" xfId="41565"/>
    <cellStyle name="Обычный 8 4 3 2 2 3 4 2" xfId="41566"/>
    <cellStyle name="Обычный 8 4 3 2 2 3 5" xfId="41567"/>
    <cellStyle name="Обычный 8 4 3 2 2 3 6" xfId="41568"/>
    <cellStyle name="Обычный 8 4 3 2 2 4" xfId="41569"/>
    <cellStyle name="Обычный 8 4 3 2 2 4 2" xfId="41570"/>
    <cellStyle name="Обычный 8 4 3 2 2 4 3" xfId="41571"/>
    <cellStyle name="Обычный 8 4 3 2 2 5" xfId="41572"/>
    <cellStyle name="Обычный 8 4 3 2 2 5 2" xfId="41573"/>
    <cellStyle name="Обычный 8 4 3 2 2 5 3" xfId="41574"/>
    <cellStyle name="Обычный 8 4 3 2 2 6" xfId="41575"/>
    <cellStyle name="Обычный 8 4 3 2 2 6 2" xfId="41576"/>
    <cellStyle name="Обычный 8 4 3 2 2 7" xfId="41577"/>
    <cellStyle name="Обычный 8 4 3 2 2 8" xfId="41578"/>
    <cellStyle name="Обычный 8 4 3 2 3" xfId="41579"/>
    <cellStyle name="Обычный 8 4 3 2 3 2" xfId="41580"/>
    <cellStyle name="Обычный 8 4 3 2 3 2 2" xfId="41581"/>
    <cellStyle name="Обычный 8 4 3 2 3 2 2 2" xfId="41582"/>
    <cellStyle name="Обычный 8 4 3 2 3 2 2 3" xfId="41583"/>
    <cellStyle name="Обычный 8 4 3 2 3 2 3" xfId="41584"/>
    <cellStyle name="Обычный 8 4 3 2 3 2 3 2" xfId="41585"/>
    <cellStyle name="Обычный 8 4 3 2 3 2 3 3" xfId="41586"/>
    <cellStyle name="Обычный 8 4 3 2 3 2 4" xfId="41587"/>
    <cellStyle name="Обычный 8 4 3 2 3 2 4 2" xfId="41588"/>
    <cellStyle name="Обычный 8 4 3 2 3 2 5" xfId="41589"/>
    <cellStyle name="Обычный 8 4 3 2 3 2 6" xfId="41590"/>
    <cellStyle name="Обычный 8 4 3 2 3 3" xfId="41591"/>
    <cellStyle name="Обычный 8 4 3 2 3 3 2" xfId="41592"/>
    <cellStyle name="Обычный 8 4 3 2 3 3 3" xfId="41593"/>
    <cellStyle name="Обычный 8 4 3 2 3 4" xfId="41594"/>
    <cellStyle name="Обычный 8 4 3 2 3 4 2" xfId="41595"/>
    <cellStyle name="Обычный 8 4 3 2 3 4 3" xfId="41596"/>
    <cellStyle name="Обычный 8 4 3 2 3 5" xfId="41597"/>
    <cellStyle name="Обычный 8 4 3 2 3 5 2" xfId="41598"/>
    <cellStyle name="Обычный 8 4 3 2 3 6" xfId="41599"/>
    <cellStyle name="Обычный 8 4 3 2 3 7" xfId="41600"/>
    <cellStyle name="Обычный 8 4 3 2 4" xfId="41601"/>
    <cellStyle name="Обычный 8 4 3 2 4 2" xfId="41602"/>
    <cellStyle name="Обычный 8 4 3 2 4 2 2" xfId="41603"/>
    <cellStyle name="Обычный 8 4 3 2 4 2 3" xfId="41604"/>
    <cellStyle name="Обычный 8 4 3 2 4 3" xfId="41605"/>
    <cellStyle name="Обычный 8 4 3 2 4 3 2" xfId="41606"/>
    <cellStyle name="Обычный 8 4 3 2 4 3 3" xfId="41607"/>
    <cellStyle name="Обычный 8 4 3 2 4 4" xfId="41608"/>
    <cellStyle name="Обычный 8 4 3 2 4 4 2" xfId="41609"/>
    <cellStyle name="Обычный 8 4 3 2 4 5" xfId="41610"/>
    <cellStyle name="Обычный 8 4 3 2 4 6" xfId="41611"/>
    <cellStyle name="Обычный 8 4 3 2 5" xfId="41612"/>
    <cellStyle name="Обычный 8 4 3 2 5 2" xfId="41613"/>
    <cellStyle name="Обычный 8 4 3 2 5 3" xfId="41614"/>
    <cellStyle name="Обычный 8 4 3 2 6" xfId="41615"/>
    <cellStyle name="Обычный 8 4 3 2 6 2" xfId="41616"/>
    <cellStyle name="Обычный 8 4 3 2 6 3" xfId="41617"/>
    <cellStyle name="Обычный 8 4 3 2 7" xfId="41618"/>
    <cellStyle name="Обычный 8 4 3 2 7 2" xfId="41619"/>
    <cellStyle name="Обычный 8 4 3 2 8" xfId="41620"/>
    <cellStyle name="Обычный 8 4 3 2 9" xfId="41621"/>
    <cellStyle name="Обычный 8 4 3 3" xfId="41622"/>
    <cellStyle name="Обычный 8 4 3 3 2" xfId="41623"/>
    <cellStyle name="Обычный 8 4 3 3 2 2" xfId="41624"/>
    <cellStyle name="Обычный 8 4 3 3 2 2 2" xfId="41625"/>
    <cellStyle name="Обычный 8 4 3 3 2 2 2 2" xfId="41626"/>
    <cellStyle name="Обычный 8 4 3 3 2 2 2 3" xfId="41627"/>
    <cellStyle name="Обычный 8 4 3 3 2 2 3" xfId="41628"/>
    <cellStyle name="Обычный 8 4 3 3 2 2 3 2" xfId="41629"/>
    <cellStyle name="Обычный 8 4 3 3 2 2 3 3" xfId="41630"/>
    <cellStyle name="Обычный 8 4 3 3 2 2 4" xfId="41631"/>
    <cellStyle name="Обычный 8 4 3 3 2 2 4 2" xfId="41632"/>
    <cellStyle name="Обычный 8 4 3 3 2 2 5" xfId="41633"/>
    <cellStyle name="Обычный 8 4 3 3 2 2 6" xfId="41634"/>
    <cellStyle name="Обычный 8 4 3 3 2 3" xfId="41635"/>
    <cellStyle name="Обычный 8 4 3 3 2 3 2" xfId="41636"/>
    <cellStyle name="Обычный 8 4 3 3 2 3 3" xfId="41637"/>
    <cellStyle name="Обычный 8 4 3 3 2 4" xfId="41638"/>
    <cellStyle name="Обычный 8 4 3 3 2 4 2" xfId="41639"/>
    <cellStyle name="Обычный 8 4 3 3 2 4 3" xfId="41640"/>
    <cellStyle name="Обычный 8 4 3 3 2 5" xfId="41641"/>
    <cellStyle name="Обычный 8 4 3 3 2 5 2" xfId="41642"/>
    <cellStyle name="Обычный 8 4 3 3 2 6" xfId="41643"/>
    <cellStyle name="Обычный 8 4 3 3 2 7" xfId="41644"/>
    <cellStyle name="Обычный 8 4 3 3 3" xfId="41645"/>
    <cellStyle name="Обычный 8 4 3 3 3 2" xfId="41646"/>
    <cellStyle name="Обычный 8 4 3 3 3 2 2" xfId="41647"/>
    <cellStyle name="Обычный 8 4 3 3 3 2 3" xfId="41648"/>
    <cellStyle name="Обычный 8 4 3 3 3 3" xfId="41649"/>
    <cellStyle name="Обычный 8 4 3 3 3 3 2" xfId="41650"/>
    <cellStyle name="Обычный 8 4 3 3 3 3 3" xfId="41651"/>
    <cellStyle name="Обычный 8 4 3 3 3 4" xfId="41652"/>
    <cellStyle name="Обычный 8 4 3 3 3 4 2" xfId="41653"/>
    <cellStyle name="Обычный 8 4 3 3 3 5" xfId="41654"/>
    <cellStyle name="Обычный 8 4 3 3 3 6" xfId="41655"/>
    <cellStyle name="Обычный 8 4 3 3 4" xfId="41656"/>
    <cellStyle name="Обычный 8 4 3 3 4 2" xfId="41657"/>
    <cellStyle name="Обычный 8 4 3 3 4 3" xfId="41658"/>
    <cellStyle name="Обычный 8 4 3 3 5" xfId="41659"/>
    <cellStyle name="Обычный 8 4 3 3 5 2" xfId="41660"/>
    <cellStyle name="Обычный 8 4 3 3 5 3" xfId="41661"/>
    <cellStyle name="Обычный 8 4 3 3 6" xfId="41662"/>
    <cellStyle name="Обычный 8 4 3 3 6 2" xfId="41663"/>
    <cellStyle name="Обычный 8 4 3 3 7" xfId="41664"/>
    <cellStyle name="Обычный 8 4 3 3 8" xfId="41665"/>
    <cellStyle name="Обычный 8 4 3 4" xfId="41666"/>
    <cellStyle name="Обычный 8 4 3 4 2" xfId="41667"/>
    <cellStyle name="Обычный 8 4 3 4 2 2" xfId="41668"/>
    <cellStyle name="Обычный 8 4 3 4 2 2 2" xfId="41669"/>
    <cellStyle name="Обычный 8 4 3 4 2 2 3" xfId="41670"/>
    <cellStyle name="Обычный 8 4 3 4 2 3" xfId="41671"/>
    <cellStyle name="Обычный 8 4 3 4 2 3 2" xfId="41672"/>
    <cellStyle name="Обычный 8 4 3 4 2 3 3" xfId="41673"/>
    <cellStyle name="Обычный 8 4 3 4 2 4" xfId="41674"/>
    <cellStyle name="Обычный 8 4 3 4 2 4 2" xfId="41675"/>
    <cellStyle name="Обычный 8 4 3 4 2 5" xfId="41676"/>
    <cellStyle name="Обычный 8 4 3 4 2 6" xfId="41677"/>
    <cellStyle name="Обычный 8 4 3 4 3" xfId="41678"/>
    <cellStyle name="Обычный 8 4 3 4 3 2" xfId="41679"/>
    <cellStyle name="Обычный 8 4 3 4 3 3" xfId="41680"/>
    <cellStyle name="Обычный 8 4 3 4 4" xfId="41681"/>
    <cellStyle name="Обычный 8 4 3 4 4 2" xfId="41682"/>
    <cellStyle name="Обычный 8 4 3 4 4 3" xfId="41683"/>
    <cellStyle name="Обычный 8 4 3 4 5" xfId="41684"/>
    <cellStyle name="Обычный 8 4 3 4 5 2" xfId="41685"/>
    <cellStyle name="Обычный 8 4 3 4 6" xfId="41686"/>
    <cellStyle name="Обычный 8 4 3 4 7" xfId="41687"/>
    <cellStyle name="Обычный 8 4 3 5" xfId="41688"/>
    <cellStyle name="Обычный 8 4 3 5 2" xfId="41689"/>
    <cellStyle name="Обычный 8 4 3 5 2 2" xfId="41690"/>
    <cellStyle name="Обычный 8 4 3 5 2 3" xfId="41691"/>
    <cellStyle name="Обычный 8 4 3 5 3" xfId="41692"/>
    <cellStyle name="Обычный 8 4 3 5 3 2" xfId="41693"/>
    <cellStyle name="Обычный 8 4 3 5 3 3" xfId="41694"/>
    <cellStyle name="Обычный 8 4 3 5 4" xfId="41695"/>
    <cellStyle name="Обычный 8 4 3 5 4 2" xfId="41696"/>
    <cellStyle name="Обычный 8 4 3 5 5" xfId="41697"/>
    <cellStyle name="Обычный 8 4 3 5 6" xfId="41698"/>
    <cellStyle name="Обычный 8 4 3 6" xfId="41699"/>
    <cellStyle name="Обычный 8 4 3 6 2" xfId="41700"/>
    <cellStyle name="Обычный 8 4 3 6 3" xfId="41701"/>
    <cellStyle name="Обычный 8 4 3 7" xfId="41702"/>
    <cellStyle name="Обычный 8 4 3 7 2" xfId="41703"/>
    <cellStyle name="Обычный 8 4 3 7 3" xfId="41704"/>
    <cellStyle name="Обычный 8 4 3 8" xfId="41705"/>
    <cellStyle name="Обычный 8 4 3 8 2" xfId="41706"/>
    <cellStyle name="Обычный 8 4 3 9" xfId="41707"/>
    <cellStyle name="Обычный 8 4 4" xfId="41708"/>
    <cellStyle name="Обычный 8 4 4 10" xfId="41709"/>
    <cellStyle name="Обычный 8 4 4 2" xfId="41710"/>
    <cellStyle name="Обычный 8 4 4 2 2" xfId="41711"/>
    <cellStyle name="Обычный 8 4 4 2 2 2" xfId="41712"/>
    <cellStyle name="Обычный 8 4 4 2 2 2 2" xfId="41713"/>
    <cellStyle name="Обычный 8 4 4 2 2 2 2 2" xfId="41714"/>
    <cellStyle name="Обычный 8 4 4 2 2 2 2 2 2" xfId="41715"/>
    <cellStyle name="Обычный 8 4 4 2 2 2 2 2 3" xfId="41716"/>
    <cellStyle name="Обычный 8 4 4 2 2 2 2 3" xfId="41717"/>
    <cellStyle name="Обычный 8 4 4 2 2 2 2 3 2" xfId="41718"/>
    <cellStyle name="Обычный 8 4 4 2 2 2 2 3 3" xfId="41719"/>
    <cellStyle name="Обычный 8 4 4 2 2 2 2 4" xfId="41720"/>
    <cellStyle name="Обычный 8 4 4 2 2 2 2 4 2" xfId="41721"/>
    <cellStyle name="Обычный 8 4 4 2 2 2 2 5" xfId="41722"/>
    <cellStyle name="Обычный 8 4 4 2 2 2 2 6" xfId="41723"/>
    <cellStyle name="Обычный 8 4 4 2 2 2 3" xfId="41724"/>
    <cellStyle name="Обычный 8 4 4 2 2 2 3 2" xfId="41725"/>
    <cellStyle name="Обычный 8 4 4 2 2 2 3 3" xfId="41726"/>
    <cellStyle name="Обычный 8 4 4 2 2 2 4" xfId="41727"/>
    <cellStyle name="Обычный 8 4 4 2 2 2 4 2" xfId="41728"/>
    <cellStyle name="Обычный 8 4 4 2 2 2 4 3" xfId="41729"/>
    <cellStyle name="Обычный 8 4 4 2 2 2 5" xfId="41730"/>
    <cellStyle name="Обычный 8 4 4 2 2 2 5 2" xfId="41731"/>
    <cellStyle name="Обычный 8 4 4 2 2 2 6" xfId="41732"/>
    <cellStyle name="Обычный 8 4 4 2 2 2 7" xfId="41733"/>
    <cellStyle name="Обычный 8 4 4 2 2 3" xfId="41734"/>
    <cellStyle name="Обычный 8 4 4 2 2 3 2" xfId="41735"/>
    <cellStyle name="Обычный 8 4 4 2 2 3 2 2" xfId="41736"/>
    <cellStyle name="Обычный 8 4 4 2 2 3 2 3" xfId="41737"/>
    <cellStyle name="Обычный 8 4 4 2 2 3 3" xfId="41738"/>
    <cellStyle name="Обычный 8 4 4 2 2 3 3 2" xfId="41739"/>
    <cellStyle name="Обычный 8 4 4 2 2 3 3 3" xfId="41740"/>
    <cellStyle name="Обычный 8 4 4 2 2 3 4" xfId="41741"/>
    <cellStyle name="Обычный 8 4 4 2 2 3 4 2" xfId="41742"/>
    <cellStyle name="Обычный 8 4 4 2 2 3 5" xfId="41743"/>
    <cellStyle name="Обычный 8 4 4 2 2 3 6" xfId="41744"/>
    <cellStyle name="Обычный 8 4 4 2 2 4" xfId="41745"/>
    <cellStyle name="Обычный 8 4 4 2 2 4 2" xfId="41746"/>
    <cellStyle name="Обычный 8 4 4 2 2 4 3" xfId="41747"/>
    <cellStyle name="Обычный 8 4 4 2 2 5" xfId="41748"/>
    <cellStyle name="Обычный 8 4 4 2 2 5 2" xfId="41749"/>
    <cellStyle name="Обычный 8 4 4 2 2 5 3" xfId="41750"/>
    <cellStyle name="Обычный 8 4 4 2 2 6" xfId="41751"/>
    <cellStyle name="Обычный 8 4 4 2 2 6 2" xfId="41752"/>
    <cellStyle name="Обычный 8 4 4 2 2 7" xfId="41753"/>
    <cellStyle name="Обычный 8 4 4 2 2 8" xfId="41754"/>
    <cellStyle name="Обычный 8 4 4 2 3" xfId="41755"/>
    <cellStyle name="Обычный 8 4 4 2 3 2" xfId="41756"/>
    <cellStyle name="Обычный 8 4 4 2 3 2 2" xfId="41757"/>
    <cellStyle name="Обычный 8 4 4 2 3 2 2 2" xfId="41758"/>
    <cellStyle name="Обычный 8 4 4 2 3 2 2 3" xfId="41759"/>
    <cellStyle name="Обычный 8 4 4 2 3 2 3" xfId="41760"/>
    <cellStyle name="Обычный 8 4 4 2 3 2 3 2" xfId="41761"/>
    <cellStyle name="Обычный 8 4 4 2 3 2 3 3" xfId="41762"/>
    <cellStyle name="Обычный 8 4 4 2 3 2 4" xfId="41763"/>
    <cellStyle name="Обычный 8 4 4 2 3 2 4 2" xfId="41764"/>
    <cellStyle name="Обычный 8 4 4 2 3 2 5" xfId="41765"/>
    <cellStyle name="Обычный 8 4 4 2 3 2 6" xfId="41766"/>
    <cellStyle name="Обычный 8 4 4 2 3 3" xfId="41767"/>
    <cellStyle name="Обычный 8 4 4 2 3 3 2" xfId="41768"/>
    <cellStyle name="Обычный 8 4 4 2 3 3 3" xfId="41769"/>
    <cellStyle name="Обычный 8 4 4 2 3 4" xfId="41770"/>
    <cellStyle name="Обычный 8 4 4 2 3 4 2" xfId="41771"/>
    <cellStyle name="Обычный 8 4 4 2 3 4 3" xfId="41772"/>
    <cellStyle name="Обычный 8 4 4 2 3 5" xfId="41773"/>
    <cellStyle name="Обычный 8 4 4 2 3 5 2" xfId="41774"/>
    <cellStyle name="Обычный 8 4 4 2 3 6" xfId="41775"/>
    <cellStyle name="Обычный 8 4 4 2 3 7" xfId="41776"/>
    <cellStyle name="Обычный 8 4 4 2 4" xfId="41777"/>
    <cellStyle name="Обычный 8 4 4 2 4 2" xfId="41778"/>
    <cellStyle name="Обычный 8 4 4 2 4 2 2" xfId="41779"/>
    <cellStyle name="Обычный 8 4 4 2 4 2 3" xfId="41780"/>
    <cellStyle name="Обычный 8 4 4 2 4 3" xfId="41781"/>
    <cellStyle name="Обычный 8 4 4 2 4 3 2" xfId="41782"/>
    <cellStyle name="Обычный 8 4 4 2 4 3 3" xfId="41783"/>
    <cellStyle name="Обычный 8 4 4 2 4 4" xfId="41784"/>
    <cellStyle name="Обычный 8 4 4 2 4 4 2" xfId="41785"/>
    <cellStyle name="Обычный 8 4 4 2 4 5" xfId="41786"/>
    <cellStyle name="Обычный 8 4 4 2 4 6" xfId="41787"/>
    <cellStyle name="Обычный 8 4 4 2 5" xfId="41788"/>
    <cellStyle name="Обычный 8 4 4 2 5 2" xfId="41789"/>
    <cellStyle name="Обычный 8 4 4 2 5 3" xfId="41790"/>
    <cellStyle name="Обычный 8 4 4 2 6" xfId="41791"/>
    <cellStyle name="Обычный 8 4 4 2 6 2" xfId="41792"/>
    <cellStyle name="Обычный 8 4 4 2 6 3" xfId="41793"/>
    <cellStyle name="Обычный 8 4 4 2 7" xfId="41794"/>
    <cellStyle name="Обычный 8 4 4 2 7 2" xfId="41795"/>
    <cellStyle name="Обычный 8 4 4 2 8" xfId="41796"/>
    <cellStyle name="Обычный 8 4 4 2 9" xfId="41797"/>
    <cellStyle name="Обычный 8 4 4 3" xfId="41798"/>
    <cellStyle name="Обычный 8 4 4 3 2" xfId="41799"/>
    <cellStyle name="Обычный 8 4 4 3 2 2" xfId="41800"/>
    <cellStyle name="Обычный 8 4 4 3 2 2 2" xfId="41801"/>
    <cellStyle name="Обычный 8 4 4 3 2 2 2 2" xfId="41802"/>
    <cellStyle name="Обычный 8 4 4 3 2 2 2 3" xfId="41803"/>
    <cellStyle name="Обычный 8 4 4 3 2 2 3" xfId="41804"/>
    <cellStyle name="Обычный 8 4 4 3 2 2 3 2" xfId="41805"/>
    <cellStyle name="Обычный 8 4 4 3 2 2 3 3" xfId="41806"/>
    <cellStyle name="Обычный 8 4 4 3 2 2 4" xfId="41807"/>
    <cellStyle name="Обычный 8 4 4 3 2 2 4 2" xfId="41808"/>
    <cellStyle name="Обычный 8 4 4 3 2 2 5" xfId="41809"/>
    <cellStyle name="Обычный 8 4 4 3 2 2 6" xfId="41810"/>
    <cellStyle name="Обычный 8 4 4 3 2 3" xfId="41811"/>
    <cellStyle name="Обычный 8 4 4 3 2 3 2" xfId="41812"/>
    <cellStyle name="Обычный 8 4 4 3 2 3 3" xfId="41813"/>
    <cellStyle name="Обычный 8 4 4 3 2 4" xfId="41814"/>
    <cellStyle name="Обычный 8 4 4 3 2 4 2" xfId="41815"/>
    <cellStyle name="Обычный 8 4 4 3 2 4 3" xfId="41816"/>
    <cellStyle name="Обычный 8 4 4 3 2 5" xfId="41817"/>
    <cellStyle name="Обычный 8 4 4 3 2 5 2" xfId="41818"/>
    <cellStyle name="Обычный 8 4 4 3 2 6" xfId="41819"/>
    <cellStyle name="Обычный 8 4 4 3 2 7" xfId="41820"/>
    <cellStyle name="Обычный 8 4 4 3 3" xfId="41821"/>
    <cellStyle name="Обычный 8 4 4 3 3 2" xfId="41822"/>
    <cellStyle name="Обычный 8 4 4 3 3 2 2" xfId="41823"/>
    <cellStyle name="Обычный 8 4 4 3 3 2 3" xfId="41824"/>
    <cellStyle name="Обычный 8 4 4 3 3 3" xfId="41825"/>
    <cellStyle name="Обычный 8 4 4 3 3 3 2" xfId="41826"/>
    <cellStyle name="Обычный 8 4 4 3 3 3 3" xfId="41827"/>
    <cellStyle name="Обычный 8 4 4 3 3 4" xfId="41828"/>
    <cellStyle name="Обычный 8 4 4 3 3 4 2" xfId="41829"/>
    <cellStyle name="Обычный 8 4 4 3 3 5" xfId="41830"/>
    <cellStyle name="Обычный 8 4 4 3 3 6" xfId="41831"/>
    <cellStyle name="Обычный 8 4 4 3 4" xfId="41832"/>
    <cellStyle name="Обычный 8 4 4 3 4 2" xfId="41833"/>
    <cellStyle name="Обычный 8 4 4 3 4 3" xfId="41834"/>
    <cellStyle name="Обычный 8 4 4 3 5" xfId="41835"/>
    <cellStyle name="Обычный 8 4 4 3 5 2" xfId="41836"/>
    <cellStyle name="Обычный 8 4 4 3 5 3" xfId="41837"/>
    <cellStyle name="Обычный 8 4 4 3 6" xfId="41838"/>
    <cellStyle name="Обычный 8 4 4 3 6 2" xfId="41839"/>
    <cellStyle name="Обычный 8 4 4 3 7" xfId="41840"/>
    <cellStyle name="Обычный 8 4 4 3 8" xfId="41841"/>
    <cellStyle name="Обычный 8 4 4 4" xfId="41842"/>
    <cellStyle name="Обычный 8 4 4 4 2" xfId="41843"/>
    <cellStyle name="Обычный 8 4 4 4 2 2" xfId="41844"/>
    <cellStyle name="Обычный 8 4 4 4 2 2 2" xfId="41845"/>
    <cellStyle name="Обычный 8 4 4 4 2 2 3" xfId="41846"/>
    <cellStyle name="Обычный 8 4 4 4 2 3" xfId="41847"/>
    <cellStyle name="Обычный 8 4 4 4 2 3 2" xfId="41848"/>
    <cellStyle name="Обычный 8 4 4 4 2 3 3" xfId="41849"/>
    <cellStyle name="Обычный 8 4 4 4 2 4" xfId="41850"/>
    <cellStyle name="Обычный 8 4 4 4 2 4 2" xfId="41851"/>
    <cellStyle name="Обычный 8 4 4 4 2 5" xfId="41852"/>
    <cellStyle name="Обычный 8 4 4 4 2 6" xfId="41853"/>
    <cellStyle name="Обычный 8 4 4 4 3" xfId="41854"/>
    <cellStyle name="Обычный 8 4 4 4 3 2" xfId="41855"/>
    <cellStyle name="Обычный 8 4 4 4 3 3" xfId="41856"/>
    <cellStyle name="Обычный 8 4 4 4 4" xfId="41857"/>
    <cellStyle name="Обычный 8 4 4 4 4 2" xfId="41858"/>
    <cellStyle name="Обычный 8 4 4 4 4 3" xfId="41859"/>
    <cellStyle name="Обычный 8 4 4 4 5" xfId="41860"/>
    <cellStyle name="Обычный 8 4 4 4 5 2" xfId="41861"/>
    <cellStyle name="Обычный 8 4 4 4 6" xfId="41862"/>
    <cellStyle name="Обычный 8 4 4 4 7" xfId="41863"/>
    <cellStyle name="Обычный 8 4 4 5" xfId="41864"/>
    <cellStyle name="Обычный 8 4 4 5 2" xfId="41865"/>
    <cellStyle name="Обычный 8 4 4 5 2 2" xfId="41866"/>
    <cellStyle name="Обычный 8 4 4 5 2 3" xfId="41867"/>
    <cellStyle name="Обычный 8 4 4 5 3" xfId="41868"/>
    <cellStyle name="Обычный 8 4 4 5 3 2" xfId="41869"/>
    <cellStyle name="Обычный 8 4 4 5 3 3" xfId="41870"/>
    <cellStyle name="Обычный 8 4 4 5 4" xfId="41871"/>
    <cellStyle name="Обычный 8 4 4 5 4 2" xfId="41872"/>
    <cellStyle name="Обычный 8 4 4 5 5" xfId="41873"/>
    <cellStyle name="Обычный 8 4 4 5 6" xfId="41874"/>
    <cellStyle name="Обычный 8 4 4 6" xfId="41875"/>
    <cellStyle name="Обычный 8 4 4 6 2" xfId="41876"/>
    <cellStyle name="Обычный 8 4 4 6 3" xfId="41877"/>
    <cellStyle name="Обычный 8 4 4 7" xfId="41878"/>
    <cellStyle name="Обычный 8 4 4 7 2" xfId="41879"/>
    <cellStyle name="Обычный 8 4 4 7 3" xfId="41880"/>
    <cellStyle name="Обычный 8 4 4 8" xfId="41881"/>
    <cellStyle name="Обычный 8 4 4 8 2" xfId="41882"/>
    <cellStyle name="Обычный 8 4 4 9" xfId="41883"/>
    <cellStyle name="Обычный 8 4 5" xfId="41884"/>
    <cellStyle name="Обычный 8 4 5 10" xfId="41885"/>
    <cellStyle name="Обычный 8 4 5 2" xfId="41886"/>
    <cellStyle name="Обычный 8 4 5 2 2" xfId="41887"/>
    <cellStyle name="Обычный 8 4 5 2 2 2" xfId="41888"/>
    <cellStyle name="Обычный 8 4 5 2 2 2 2" xfId="41889"/>
    <cellStyle name="Обычный 8 4 5 2 2 2 2 2" xfId="41890"/>
    <cellStyle name="Обычный 8 4 5 2 2 2 2 2 2" xfId="41891"/>
    <cellStyle name="Обычный 8 4 5 2 2 2 2 2 3" xfId="41892"/>
    <cellStyle name="Обычный 8 4 5 2 2 2 2 3" xfId="41893"/>
    <cellStyle name="Обычный 8 4 5 2 2 2 2 3 2" xfId="41894"/>
    <cellStyle name="Обычный 8 4 5 2 2 2 2 3 3" xfId="41895"/>
    <cellStyle name="Обычный 8 4 5 2 2 2 2 4" xfId="41896"/>
    <cellStyle name="Обычный 8 4 5 2 2 2 2 4 2" xfId="41897"/>
    <cellStyle name="Обычный 8 4 5 2 2 2 2 5" xfId="41898"/>
    <cellStyle name="Обычный 8 4 5 2 2 2 2 6" xfId="41899"/>
    <cellStyle name="Обычный 8 4 5 2 2 2 3" xfId="41900"/>
    <cellStyle name="Обычный 8 4 5 2 2 2 3 2" xfId="41901"/>
    <cellStyle name="Обычный 8 4 5 2 2 2 3 3" xfId="41902"/>
    <cellStyle name="Обычный 8 4 5 2 2 2 4" xfId="41903"/>
    <cellStyle name="Обычный 8 4 5 2 2 2 4 2" xfId="41904"/>
    <cellStyle name="Обычный 8 4 5 2 2 2 4 3" xfId="41905"/>
    <cellStyle name="Обычный 8 4 5 2 2 2 5" xfId="41906"/>
    <cellStyle name="Обычный 8 4 5 2 2 2 5 2" xfId="41907"/>
    <cellStyle name="Обычный 8 4 5 2 2 2 6" xfId="41908"/>
    <cellStyle name="Обычный 8 4 5 2 2 2 7" xfId="41909"/>
    <cellStyle name="Обычный 8 4 5 2 2 3" xfId="41910"/>
    <cellStyle name="Обычный 8 4 5 2 2 3 2" xfId="41911"/>
    <cellStyle name="Обычный 8 4 5 2 2 3 2 2" xfId="41912"/>
    <cellStyle name="Обычный 8 4 5 2 2 3 2 3" xfId="41913"/>
    <cellStyle name="Обычный 8 4 5 2 2 3 3" xfId="41914"/>
    <cellStyle name="Обычный 8 4 5 2 2 3 3 2" xfId="41915"/>
    <cellStyle name="Обычный 8 4 5 2 2 3 3 3" xfId="41916"/>
    <cellStyle name="Обычный 8 4 5 2 2 3 4" xfId="41917"/>
    <cellStyle name="Обычный 8 4 5 2 2 3 4 2" xfId="41918"/>
    <cellStyle name="Обычный 8 4 5 2 2 3 5" xfId="41919"/>
    <cellStyle name="Обычный 8 4 5 2 2 3 6" xfId="41920"/>
    <cellStyle name="Обычный 8 4 5 2 2 4" xfId="41921"/>
    <cellStyle name="Обычный 8 4 5 2 2 4 2" xfId="41922"/>
    <cellStyle name="Обычный 8 4 5 2 2 4 3" xfId="41923"/>
    <cellStyle name="Обычный 8 4 5 2 2 5" xfId="41924"/>
    <cellStyle name="Обычный 8 4 5 2 2 5 2" xfId="41925"/>
    <cellStyle name="Обычный 8 4 5 2 2 5 3" xfId="41926"/>
    <cellStyle name="Обычный 8 4 5 2 2 6" xfId="41927"/>
    <cellStyle name="Обычный 8 4 5 2 2 6 2" xfId="41928"/>
    <cellStyle name="Обычный 8 4 5 2 2 7" xfId="41929"/>
    <cellStyle name="Обычный 8 4 5 2 2 8" xfId="41930"/>
    <cellStyle name="Обычный 8 4 5 2 3" xfId="41931"/>
    <cellStyle name="Обычный 8 4 5 2 3 2" xfId="41932"/>
    <cellStyle name="Обычный 8 4 5 2 3 2 2" xfId="41933"/>
    <cellStyle name="Обычный 8 4 5 2 3 2 2 2" xfId="41934"/>
    <cellStyle name="Обычный 8 4 5 2 3 2 2 3" xfId="41935"/>
    <cellStyle name="Обычный 8 4 5 2 3 2 3" xfId="41936"/>
    <cellStyle name="Обычный 8 4 5 2 3 2 3 2" xfId="41937"/>
    <cellStyle name="Обычный 8 4 5 2 3 2 3 3" xfId="41938"/>
    <cellStyle name="Обычный 8 4 5 2 3 2 4" xfId="41939"/>
    <cellStyle name="Обычный 8 4 5 2 3 2 4 2" xfId="41940"/>
    <cellStyle name="Обычный 8 4 5 2 3 2 5" xfId="41941"/>
    <cellStyle name="Обычный 8 4 5 2 3 2 6" xfId="41942"/>
    <cellStyle name="Обычный 8 4 5 2 3 3" xfId="41943"/>
    <cellStyle name="Обычный 8 4 5 2 3 3 2" xfId="41944"/>
    <cellStyle name="Обычный 8 4 5 2 3 3 3" xfId="41945"/>
    <cellStyle name="Обычный 8 4 5 2 3 4" xfId="41946"/>
    <cellStyle name="Обычный 8 4 5 2 3 4 2" xfId="41947"/>
    <cellStyle name="Обычный 8 4 5 2 3 4 3" xfId="41948"/>
    <cellStyle name="Обычный 8 4 5 2 3 5" xfId="41949"/>
    <cellStyle name="Обычный 8 4 5 2 3 5 2" xfId="41950"/>
    <cellStyle name="Обычный 8 4 5 2 3 6" xfId="41951"/>
    <cellStyle name="Обычный 8 4 5 2 3 7" xfId="41952"/>
    <cellStyle name="Обычный 8 4 5 2 4" xfId="41953"/>
    <cellStyle name="Обычный 8 4 5 2 4 2" xfId="41954"/>
    <cellStyle name="Обычный 8 4 5 2 4 2 2" xfId="41955"/>
    <cellStyle name="Обычный 8 4 5 2 4 2 3" xfId="41956"/>
    <cellStyle name="Обычный 8 4 5 2 4 3" xfId="41957"/>
    <cellStyle name="Обычный 8 4 5 2 4 3 2" xfId="41958"/>
    <cellStyle name="Обычный 8 4 5 2 4 3 3" xfId="41959"/>
    <cellStyle name="Обычный 8 4 5 2 4 4" xfId="41960"/>
    <cellStyle name="Обычный 8 4 5 2 4 4 2" xfId="41961"/>
    <cellStyle name="Обычный 8 4 5 2 4 5" xfId="41962"/>
    <cellStyle name="Обычный 8 4 5 2 4 6" xfId="41963"/>
    <cellStyle name="Обычный 8 4 5 2 5" xfId="41964"/>
    <cellStyle name="Обычный 8 4 5 2 5 2" xfId="41965"/>
    <cellStyle name="Обычный 8 4 5 2 5 3" xfId="41966"/>
    <cellStyle name="Обычный 8 4 5 2 6" xfId="41967"/>
    <cellStyle name="Обычный 8 4 5 2 6 2" xfId="41968"/>
    <cellStyle name="Обычный 8 4 5 2 6 3" xfId="41969"/>
    <cellStyle name="Обычный 8 4 5 2 7" xfId="41970"/>
    <cellStyle name="Обычный 8 4 5 2 7 2" xfId="41971"/>
    <cellStyle name="Обычный 8 4 5 2 8" xfId="41972"/>
    <cellStyle name="Обычный 8 4 5 2 9" xfId="41973"/>
    <cellStyle name="Обычный 8 4 5 3" xfId="41974"/>
    <cellStyle name="Обычный 8 4 5 3 2" xfId="41975"/>
    <cellStyle name="Обычный 8 4 5 3 2 2" xfId="41976"/>
    <cellStyle name="Обычный 8 4 5 3 2 2 2" xfId="41977"/>
    <cellStyle name="Обычный 8 4 5 3 2 2 2 2" xfId="41978"/>
    <cellStyle name="Обычный 8 4 5 3 2 2 2 3" xfId="41979"/>
    <cellStyle name="Обычный 8 4 5 3 2 2 3" xfId="41980"/>
    <cellStyle name="Обычный 8 4 5 3 2 2 3 2" xfId="41981"/>
    <cellStyle name="Обычный 8 4 5 3 2 2 3 3" xfId="41982"/>
    <cellStyle name="Обычный 8 4 5 3 2 2 4" xfId="41983"/>
    <cellStyle name="Обычный 8 4 5 3 2 2 4 2" xfId="41984"/>
    <cellStyle name="Обычный 8 4 5 3 2 2 5" xfId="41985"/>
    <cellStyle name="Обычный 8 4 5 3 2 2 6" xfId="41986"/>
    <cellStyle name="Обычный 8 4 5 3 2 3" xfId="41987"/>
    <cellStyle name="Обычный 8 4 5 3 2 3 2" xfId="41988"/>
    <cellStyle name="Обычный 8 4 5 3 2 3 3" xfId="41989"/>
    <cellStyle name="Обычный 8 4 5 3 2 4" xfId="41990"/>
    <cellStyle name="Обычный 8 4 5 3 2 4 2" xfId="41991"/>
    <cellStyle name="Обычный 8 4 5 3 2 4 3" xfId="41992"/>
    <cellStyle name="Обычный 8 4 5 3 2 5" xfId="41993"/>
    <cellStyle name="Обычный 8 4 5 3 2 5 2" xfId="41994"/>
    <cellStyle name="Обычный 8 4 5 3 2 6" xfId="41995"/>
    <cellStyle name="Обычный 8 4 5 3 2 7" xfId="41996"/>
    <cellStyle name="Обычный 8 4 5 3 3" xfId="41997"/>
    <cellStyle name="Обычный 8 4 5 3 3 2" xfId="41998"/>
    <cellStyle name="Обычный 8 4 5 3 3 2 2" xfId="41999"/>
    <cellStyle name="Обычный 8 4 5 3 3 2 3" xfId="42000"/>
    <cellStyle name="Обычный 8 4 5 3 3 3" xfId="42001"/>
    <cellStyle name="Обычный 8 4 5 3 3 3 2" xfId="42002"/>
    <cellStyle name="Обычный 8 4 5 3 3 3 3" xfId="42003"/>
    <cellStyle name="Обычный 8 4 5 3 3 4" xfId="42004"/>
    <cellStyle name="Обычный 8 4 5 3 3 4 2" xfId="42005"/>
    <cellStyle name="Обычный 8 4 5 3 3 5" xfId="42006"/>
    <cellStyle name="Обычный 8 4 5 3 3 6" xfId="42007"/>
    <cellStyle name="Обычный 8 4 5 3 4" xfId="42008"/>
    <cellStyle name="Обычный 8 4 5 3 4 2" xfId="42009"/>
    <cellStyle name="Обычный 8 4 5 3 4 3" xfId="42010"/>
    <cellStyle name="Обычный 8 4 5 3 5" xfId="42011"/>
    <cellStyle name="Обычный 8 4 5 3 5 2" xfId="42012"/>
    <cellStyle name="Обычный 8 4 5 3 5 3" xfId="42013"/>
    <cellStyle name="Обычный 8 4 5 3 6" xfId="42014"/>
    <cellStyle name="Обычный 8 4 5 3 6 2" xfId="42015"/>
    <cellStyle name="Обычный 8 4 5 3 7" xfId="42016"/>
    <cellStyle name="Обычный 8 4 5 3 8" xfId="42017"/>
    <cellStyle name="Обычный 8 4 5 4" xfId="42018"/>
    <cellStyle name="Обычный 8 4 5 4 2" xfId="42019"/>
    <cellStyle name="Обычный 8 4 5 4 2 2" xfId="42020"/>
    <cellStyle name="Обычный 8 4 5 4 2 2 2" xfId="42021"/>
    <cellStyle name="Обычный 8 4 5 4 2 2 3" xfId="42022"/>
    <cellStyle name="Обычный 8 4 5 4 2 3" xfId="42023"/>
    <cellStyle name="Обычный 8 4 5 4 2 3 2" xfId="42024"/>
    <cellStyle name="Обычный 8 4 5 4 2 3 3" xfId="42025"/>
    <cellStyle name="Обычный 8 4 5 4 2 4" xfId="42026"/>
    <cellStyle name="Обычный 8 4 5 4 2 4 2" xfId="42027"/>
    <cellStyle name="Обычный 8 4 5 4 2 5" xfId="42028"/>
    <cellStyle name="Обычный 8 4 5 4 2 6" xfId="42029"/>
    <cellStyle name="Обычный 8 4 5 4 3" xfId="42030"/>
    <cellStyle name="Обычный 8 4 5 4 3 2" xfId="42031"/>
    <cellStyle name="Обычный 8 4 5 4 3 3" xfId="42032"/>
    <cellStyle name="Обычный 8 4 5 4 4" xfId="42033"/>
    <cellStyle name="Обычный 8 4 5 4 4 2" xfId="42034"/>
    <cellStyle name="Обычный 8 4 5 4 4 3" xfId="42035"/>
    <cellStyle name="Обычный 8 4 5 4 5" xfId="42036"/>
    <cellStyle name="Обычный 8 4 5 4 5 2" xfId="42037"/>
    <cellStyle name="Обычный 8 4 5 4 6" xfId="42038"/>
    <cellStyle name="Обычный 8 4 5 4 7" xfId="42039"/>
    <cellStyle name="Обычный 8 4 5 5" xfId="42040"/>
    <cellStyle name="Обычный 8 4 5 5 2" xfId="42041"/>
    <cellStyle name="Обычный 8 4 5 5 2 2" xfId="42042"/>
    <cellStyle name="Обычный 8 4 5 5 2 3" xfId="42043"/>
    <cellStyle name="Обычный 8 4 5 5 3" xfId="42044"/>
    <cellStyle name="Обычный 8 4 5 5 3 2" xfId="42045"/>
    <cellStyle name="Обычный 8 4 5 5 3 3" xfId="42046"/>
    <cellStyle name="Обычный 8 4 5 5 4" xfId="42047"/>
    <cellStyle name="Обычный 8 4 5 5 4 2" xfId="42048"/>
    <cellStyle name="Обычный 8 4 5 5 5" xfId="42049"/>
    <cellStyle name="Обычный 8 4 5 5 6" xfId="42050"/>
    <cellStyle name="Обычный 8 4 5 6" xfId="42051"/>
    <cellStyle name="Обычный 8 4 5 6 2" xfId="42052"/>
    <cellStyle name="Обычный 8 4 5 6 3" xfId="42053"/>
    <cellStyle name="Обычный 8 4 5 7" xfId="42054"/>
    <cellStyle name="Обычный 8 4 5 7 2" xfId="42055"/>
    <cellStyle name="Обычный 8 4 5 7 3" xfId="42056"/>
    <cellStyle name="Обычный 8 4 5 8" xfId="42057"/>
    <cellStyle name="Обычный 8 4 5 8 2" xfId="42058"/>
    <cellStyle name="Обычный 8 4 5 9" xfId="42059"/>
    <cellStyle name="Обычный 8 4 6" xfId="42060"/>
    <cellStyle name="Обычный 8 4 6 2" xfId="42061"/>
    <cellStyle name="Обычный 8 4 6 2 2" xfId="42062"/>
    <cellStyle name="Обычный 8 4 6 2 2 2" xfId="42063"/>
    <cellStyle name="Обычный 8 4 6 2 2 2 2" xfId="42064"/>
    <cellStyle name="Обычный 8 4 6 2 2 2 2 2" xfId="42065"/>
    <cellStyle name="Обычный 8 4 6 2 2 2 2 3" xfId="42066"/>
    <cellStyle name="Обычный 8 4 6 2 2 2 3" xfId="42067"/>
    <cellStyle name="Обычный 8 4 6 2 2 2 3 2" xfId="42068"/>
    <cellStyle name="Обычный 8 4 6 2 2 2 3 3" xfId="42069"/>
    <cellStyle name="Обычный 8 4 6 2 2 2 4" xfId="42070"/>
    <cellStyle name="Обычный 8 4 6 2 2 2 4 2" xfId="42071"/>
    <cellStyle name="Обычный 8 4 6 2 2 2 5" xfId="42072"/>
    <cellStyle name="Обычный 8 4 6 2 2 2 6" xfId="42073"/>
    <cellStyle name="Обычный 8 4 6 2 2 3" xfId="42074"/>
    <cellStyle name="Обычный 8 4 6 2 2 3 2" xfId="42075"/>
    <cellStyle name="Обычный 8 4 6 2 2 3 3" xfId="42076"/>
    <cellStyle name="Обычный 8 4 6 2 2 4" xfId="42077"/>
    <cellStyle name="Обычный 8 4 6 2 2 4 2" xfId="42078"/>
    <cellStyle name="Обычный 8 4 6 2 2 4 3" xfId="42079"/>
    <cellStyle name="Обычный 8 4 6 2 2 5" xfId="42080"/>
    <cellStyle name="Обычный 8 4 6 2 2 5 2" xfId="42081"/>
    <cellStyle name="Обычный 8 4 6 2 2 6" xfId="42082"/>
    <cellStyle name="Обычный 8 4 6 2 2 7" xfId="42083"/>
    <cellStyle name="Обычный 8 4 6 2 3" xfId="42084"/>
    <cellStyle name="Обычный 8 4 6 2 3 2" xfId="42085"/>
    <cellStyle name="Обычный 8 4 6 2 3 2 2" xfId="42086"/>
    <cellStyle name="Обычный 8 4 6 2 3 2 3" xfId="42087"/>
    <cellStyle name="Обычный 8 4 6 2 3 3" xfId="42088"/>
    <cellStyle name="Обычный 8 4 6 2 3 3 2" xfId="42089"/>
    <cellStyle name="Обычный 8 4 6 2 3 3 3" xfId="42090"/>
    <cellStyle name="Обычный 8 4 6 2 3 4" xfId="42091"/>
    <cellStyle name="Обычный 8 4 6 2 3 4 2" xfId="42092"/>
    <cellStyle name="Обычный 8 4 6 2 3 5" xfId="42093"/>
    <cellStyle name="Обычный 8 4 6 2 3 6" xfId="42094"/>
    <cellStyle name="Обычный 8 4 6 2 4" xfId="42095"/>
    <cellStyle name="Обычный 8 4 6 2 4 2" xfId="42096"/>
    <cellStyle name="Обычный 8 4 6 2 4 3" xfId="42097"/>
    <cellStyle name="Обычный 8 4 6 2 5" xfId="42098"/>
    <cellStyle name="Обычный 8 4 6 2 5 2" xfId="42099"/>
    <cellStyle name="Обычный 8 4 6 2 5 3" xfId="42100"/>
    <cellStyle name="Обычный 8 4 6 2 6" xfId="42101"/>
    <cellStyle name="Обычный 8 4 6 2 6 2" xfId="42102"/>
    <cellStyle name="Обычный 8 4 6 2 7" xfId="42103"/>
    <cellStyle name="Обычный 8 4 6 2 8" xfId="42104"/>
    <cellStyle name="Обычный 8 4 6 3" xfId="42105"/>
    <cellStyle name="Обычный 8 4 6 3 2" xfId="42106"/>
    <cellStyle name="Обычный 8 4 6 3 2 2" xfId="42107"/>
    <cellStyle name="Обычный 8 4 6 3 2 2 2" xfId="42108"/>
    <cellStyle name="Обычный 8 4 6 3 2 2 3" xfId="42109"/>
    <cellStyle name="Обычный 8 4 6 3 2 3" xfId="42110"/>
    <cellStyle name="Обычный 8 4 6 3 2 3 2" xfId="42111"/>
    <cellStyle name="Обычный 8 4 6 3 2 3 3" xfId="42112"/>
    <cellStyle name="Обычный 8 4 6 3 2 4" xfId="42113"/>
    <cellStyle name="Обычный 8 4 6 3 2 4 2" xfId="42114"/>
    <cellStyle name="Обычный 8 4 6 3 2 5" xfId="42115"/>
    <cellStyle name="Обычный 8 4 6 3 2 6" xfId="42116"/>
    <cellStyle name="Обычный 8 4 6 3 3" xfId="42117"/>
    <cellStyle name="Обычный 8 4 6 3 3 2" xfId="42118"/>
    <cellStyle name="Обычный 8 4 6 3 3 3" xfId="42119"/>
    <cellStyle name="Обычный 8 4 6 3 4" xfId="42120"/>
    <cellStyle name="Обычный 8 4 6 3 4 2" xfId="42121"/>
    <cellStyle name="Обычный 8 4 6 3 4 3" xfId="42122"/>
    <cellStyle name="Обычный 8 4 6 3 5" xfId="42123"/>
    <cellStyle name="Обычный 8 4 6 3 5 2" xfId="42124"/>
    <cellStyle name="Обычный 8 4 6 3 6" xfId="42125"/>
    <cellStyle name="Обычный 8 4 6 3 7" xfId="42126"/>
    <cellStyle name="Обычный 8 4 6 4" xfId="42127"/>
    <cellStyle name="Обычный 8 4 6 4 2" xfId="42128"/>
    <cellStyle name="Обычный 8 4 6 4 2 2" xfId="42129"/>
    <cellStyle name="Обычный 8 4 6 4 2 3" xfId="42130"/>
    <cellStyle name="Обычный 8 4 6 4 3" xfId="42131"/>
    <cellStyle name="Обычный 8 4 6 4 3 2" xfId="42132"/>
    <cellStyle name="Обычный 8 4 6 4 3 3" xfId="42133"/>
    <cellStyle name="Обычный 8 4 6 4 4" xfId="42134"/>
    <cellStyle name="Обычный 8 4 6 4 4 2" xfId="42135"/>
    <cellStyle name="Обычный 8 4 6 4 5" xfId="42136"/>
    <cellStyle name="Обычный 8 4 6 4 6" xfId="42137"/>
    <cellStyle name="Обычный 8 4 6 5" xfId="42138"/>
    <cellStyle name="Обычный 8 4 6 5 2" xfId="42139"/>
    <cellStyle name="Обычный 8 4 6 5 3" xfId="42140"/>
    <cellStyle name="Обычный 8 4 6 6" xfId="42141"/>
    <cellStyle name="Обычный 8 4 6 6 2" xfId="42142"/>
    <cellStyle name="Обычный 8 4 6 6 3" xfId="42143"/>
    <cellStyle name="Обычный 8 4 6 7" xfId="42144"/>
    <cellStyle name="Обычный 8 4 6 7 2" xfId="42145"/>
    <cellStyle name="Обычный 8 4 6 8" xfId="42146"/>
    <cellStyle name="Обычный 8 4 6 9" xfId="42147"/>
    <cellStyle name="Обычный 8 4 7" xfId="42148"/>
    <cellStyle name="Обычный 8 4 7 2" xfId="42149"/>
    <cellStyle name="Обычный 8 4 7 2 2" xfId="42150"/>
    <cellStyle name="Обычный 8 4 7 2 2 2" xfId="42151"/>
    <cellStyle name="Обычный 8 4 7 2 2 2 2" xfId="42152"/>
    <cellStyle name="Обычный 8 4 7 2 2 2 3" xfId="42153"/>
    <cellStyle name="Обычный 8 4 7 2 2 3" xfId="42154"/>
    <cellStyle name="Обычный 8 4 7 2 2 3 2" xfId="42155"/>
    <cellStyle name="Обычный 8 4 7 2 2 3 3" xfId="42156"/>
    <cellStyle name="Обычный 8 4 7 2 2 4" xfId="42157"/>
    <cellStyle name="Обычный 8 4 7 2 2 4 2" xfId="42158"/>
    <cellStyle name="Обычный 8 4 7 2 2 5" xfId="42159"/>
    <cellStyle name="Обычный 8 4 7 2 2 6" xfId="42160"/>
    <cellStyle name="Обычный 8 4 7 2 3" xfId="42161"/>
    <cellStyle name="Обычный 8 4 7 2 3 2" xfId="42162"/>
    <cellStyle name="Обычный 8 4 7 2 3 3" xfId="42163"/>
    <cellStyle name="Обычный 8 4 7 2 4" xfId="42164"/>
    <cellStyle name="Обычный 8 4 7 2 4 2" xfId="42165"/>
    <cellStyle name="Обычный 8 4 7 2 4 3" xfId="42166"/>
    <cellStyle name="Обычный 8 4 7 2 5" xfId="42167"/>
    <cellStyle name="Обычный 8 4 7 2 5 2" xfId="42168"/>
    <cellStyle name="Обычный 8 4 7 2 6" xfId="42169"/>
    <cellStyle name="Обычный 8 4 7 2 7" xfId="42170"/>
    <cellStyle name="Обычный 8 4 7 3" xfId="42171"/>
    <cellStyle name="Обычный 8 4 7 3 2" xfId="42172"/>
    <cellStyle name="Обычный 8 4 7 3 2 2" xfId="42173"/>
    <cellStyle name="Обычный 8 4 7 3 2 3" xfId="42174"/>
    <cellStyle name="Обычный 8 4 7 3 3" xfId="42175"/>
    <cellStyle name="Обычный 8 4 7 3 3 2" xfId="42176"/>
    <cellStyle name="Обычный 8 4 7 3 3 3" xfId="42177"/>
    <cellStyle name="Обычный 8 4 7 3 4" xfId="42178"/>
    <cellStyle name="Обычный 8 4 7 3 4 2" xfId="42179"/>
    <cellStyle name="Обычный 8 4 7 3 5" xfId="42180"/>
    <cellStyle name="Обычный 8 4 7 3 6" xfId="42181"/>
    <cellStyle name="Обычный 8 4 7 4" xfId="42182"/>
    <cellStyle name="Обычный 8 4 7 4 2" xfId="42183"/>
    <cellStyle name="Обычный 8 4 7 4 3" xfId="42184"/>
    <cellStyle name="Обычный 8 4 7 5" xfId="42185"/>
    <cellStyle name="Обычный 8 4 7 5 2" xfId="42186"/>
    <cellStyle name="Обычный 8 4 7 5 3" xfId="42187"/>
    <cellStyle name="Обычный 8 4 7 6" xfId="42188"/>
    <cellStyle name="Обычный 8 4 7 6 2" xfId="42189"/>
    <cellStyle name="Обычный 8 4 7 7" xfId="42190"/>
    <cellStyle name="Обычный 8 4 7 8" xfId="42191"/>
    <cellStyle name="Обычный 8 4 8" xfId="42192"/>
    <cellStyle name="Обычный 8 4 8 2" xfId="42193"/>
    <cellStyle name="Обычный 8 4 8 2 2" xfId="42194"/>
    <cellStyle name="Обычный 8 4 8 2 2 2" xfId="42195"/>
    <cellStyle name="Обычный 8 4 8 2 2 3" xfId="42196"/>
    <cellStyle name="Обычный 8 4 8 2 3" xfId="42197"/>
    <cellStyle name="Обычный 8 4 8 2 3 2" xfId="42198"/>
    <cellStyle name="Обычный 8 4 8 2 3 3" xfId="42199"/>
    <cellStyle name="Обычный 8 4 8 2 4" xfId="42200"/>
    <cellStyle name="Обычный 8 4 8 2 4 2" xfId="42201"/>
    <cellStyle name="Обычный 8 4 8 2 5" xfId="42202"/>
    <cellStyle name="Обычный 8 4 8 2 6" xfId="42203"/>
    <cellStyle name="Обычный 8 4 8 3" xfId="42204"/>
    <cellStyle name="Обычный 8 4 8 3 2" xfId="42205"/>
    <cellStyle name="Обычный 8 4 8 3 3" xfId="42206"/>
    <cellStyle name="Обычный 8 4 8 4" xfId="42207"/>
    <cellStyle name="Обычный 8 4 8 4 2" xfId="42208"/>
    <cellStyle name="Обычный 8 4 8 4 3" xfId="42209"/>
    <cellStyle name="Обычный 8 4 8 5" xfId="42210"/>
    <cellStyle name="Обычный 8 4 8 5 2" xfId="42211"/>
    <cellStyle name="Обычный 8 4 8 6" xfId="42212"/>
    <cellStyle name="Обычный 8 4 8 7" xfId="42213"/>
    <cellStyle name="Обычный 8 4 9" xfId="42214"/>
    <cellStyle name="Обычный 8 4 9 2" xfId="42215"/>
    <cellStyle name="Обычный 8 4 9 2 2" xfId="42216"/>
    <cellStyle name="Обычный 8 4 9 2 3" xfId="42217"/>
    <cellStyle name="Обычный 8 4 9 3" xfId="42218"/>
    <cellStyle name="Обычный 8 4 9 3 2" xfId="42219"/>
    <cellStyle name="Обычный 8 4 9 3 3" xfId="42220"/>
    <cellStyle name="Обычный 8 4 9 4" xfId="42221"/>
    <cellStyle name="Обычный 8 4 9 4 2" xfId="42222"/>
    <cellStyle name="Обычный 8 4 9 5" xfId="42223"/>
    <cellStyle name="Обычный 8 4 9 6" xfId="42224"/>
    <cellStyle name="Обычный 8 5" xfId="42225"/>
    <cellStyle name="Обычный 8 5 10" xfId="42226"/>
    <cellStyle name="Обычный 8 5 10 2" xfId="42227"/>
    <cellStyle name="Обычный 8 5 10 3" xfId="42228"/>
    <cellStyle name="Обычный 8 5 11" xfId="42229"/>
    <cellStyle name="Обычный 8 5 11 2" xfId="42230"/>
    <cellStyle name="Обычный 8 5 11 3" xfId="42231"/>
    <cellStyle name="Обычный 8 5 12" xfId="42232"/>
    <cellStyle name="Обычный 8 5 12 2" xfId="42233"/>
    <cellStyle name="Обычный 8 5 13" xfId="42234"/>
    <cellStyle name="Обычный 8 5 14" xfId="42235"/>
    <cellStyle name="Обычный 8 5 2" xfId="42236"/>
    <cellStyle name="Обычный 8 5 2 10" xfId="42237"/>
    <cellStyle name="Обычный 8 5 2 10 2" xfId="42238"/>
    <cellStyle name="Обычный 8 5 2 10 3" xfId="42239"/>
    <cellStyle name="Обычный 8 5 2 11" xfId="42240"/>
    <cellStyle name="Обычный 8 5 2 11 2" xfId="42241"/>
    <cellStyle name="Обычный 8 5 2 12" xfId="42242"/>
    <cellStyle name="Обычный 8 5 2 13" xfId="42243"/>
    <cellStyle name="Обычный 8 5 2 2" xfId="42244"/>
    <cellStyle name="Обычный 8 5 2 2 10" xfId="42245"/>
    <cellStyle name="Обычный 8 5 2 2 2" xfId="42246"/>
    <cellStyle name="Обычный 8 5 2 2 2 2" xfId="42247"/>
    <cellStyle name="Обычный 8 5 2 2 2 2 2" xfId="42248"/>
    <cellStyle name="Обычный 8 5 2 2 2 2 2 2" xfId="42249"/>
    <cellStyle name="Обычный 8 5 2 2 2 2 2 2 2" xfId="42250"/>
    <cellStyle name="Обычный 8 5 2 2 2 2 2 2 2 2" xfId="42251"/>
    <cellStyle name="Обычный 8 5 2 2 2 2 2 2 2 3" xfId="42252"/>
    <cellStyle name="Обычный 8 5 2 2 2 2 2 2 3" xfId="42253"/>
    <cellStyle name="Обычный 8 5 2 2 2 2 2 2 3 2" xfId="42254"/>
    <cellStyle name="Обычный 8 5 2 2 2 2 2 2 3 3" xfId="42255"/>
    <cellStyle name="Обычный 8 5 2 2 2 2 2 2 4" xfId="42256"/>
    <cellStyle name="Обычный 8 5 2 2 2 2 2 2 4 2" xfId="42257"/>
    <cellStyle name="Обычный 8 5 2 2 2 2 2 2 5" xfId="42258"/>
    <cellStyle name="Обычный 8 5 2 2 2 2 2 2 6" xfId="42259"/>
    <cellStyle name="Обычный 8 5 2 2 2 2 2 3" xfId="42260"/>
    <cellStyle name="Обычный 8 5 2 2 2 2 2 3 2" xfId="42261"/>
    <cellStyle name="Обычный 8 5 2 2 2 2 2 3 3" xfId="42262"/>
    <cellStyle name="Обычный 8 5 2 2 2 2 2 4" xfId="42263"/>
    <cellStyle name="Обычный 8 5 2 2 2 2 2 4 2" xfId="42264"/>
    <cellStyle name="Обычный 8 5 2 2 2 2 2 4 3" xfId="42265"/>
    <cellStyle name="Обычный 8 5 2 2 2 2 2 5" xfId="42266"/>
    <cellStyle name="Обычный 8 5 2 2 2 2 2 5 2" xfId="42267"/>
    <cellStyle name="Обычный 8 5 2 2 2 2 2 6" xfId="42268"/>
    <cellStyle name="Обычный 8 5 2 2 2 2 2 7" xfId="42269"/>
    <cellStyle name="Обычный 8 5 2 2 2 2 3" xfId="42270"/>
    <cellStyle name="Обычный 8 5 2 2 2 2 3 2" xfId="42271"/>
    <cellStyle name="Обычный 8 5 2 2 2 2 3 2 2" xfId="42272"/>
    <cellStyle name="Обычный 8 5 2 2 2 2 3 2 3" xfId="42273"/>
    <cellStyle name="Обычный 8 5 2 2 2 2 3 3" xfId="42274"/>
    <cellStyle name="Обычный 8 5 2 2 2 2 3 3 2" xfId="42275"/>
    <cellStyle name="Обычный 8 5 2 2 2 2 3 3 3" xfId="42276"/>
    <cellStyle name="Обычный 8 5 2 2 2 2 3 4" xfId="42277"/>
    <cellStyle name="Обычный 8 5 2 2 2 2 3 4 2" xfId="42278"/>
    <cellStyle name="Обычный 8 5 2 2 2 2 3 5" xfId="42279"/>
    <cellStyle name="Обычный 8 5 2 2 2 2 3 6" xfId="42280"/>
    <cellStyle name="Обычный 8 5 2 2 2 2 4" xfId="42281"/>
    <cellStyle name="Обычный 8 5 2 2 2 2 4 2" xfId="42282"/>
    <cellStyle name="Обычный 8 5 2 2 2 2 4 3" xfId="42283"/>
    <cellStyle name="Обычный 8 5 2 2 2 2 5" xfId="42284"/>
    <cellStyle name="Обычный 8 5 2 2 2 2 5 2" xfId="42285"/>
    <cellStyle name="Обычный 8 5 2 2 2 2 5 3" xfId="42286"/>
    <cellStyle name="Обычный 8 5 2 2 2 2 6" xfId="42287"/>
    <cellStyle name="Обычный 8 5 2 2 2 2 6 2" xfId="42288"/>
    <cellStyle name="Обычный 8 5 2 2 2 2 7" xfId="42289"/>
    <cellStyle name="Обычный 8 5 2 2 2 2 8" xfId="42290"/>
    <cellStyle name="Обычный 8 5 2 2 2 3" xfId="42291"/>
    <cellStyle name="Обычный 8 5 2 2 2 3 2" xfId="42292"/>
    <cellStyle name="Обычный 8 5 2 2 2 3 2 2" xfId="42293"/>
    <cellStyle name="Обычный 8 5 2 2 2 3 2 2 2" xfId="42294"/>
    <cellStyle name="Обычный 8 5 2 2 2 3 2 2 3" xfId="42295"/>
    <cellStyle name="Обычный 8 5 2 2 2 3 2 3" xfId="42296"/>
    <cellStyle name="Обычный 8 5 2 2 2 3 2 3 2" xfId="42297"/>
    <cellStyle name="Обычный 8 5 2 2 2 3 2 3 3" xfId="42298"/>
    <cellStyle name="Обычный 8 5 2 2 2 3 2 4" xfId="42299"/>
    <cellStyle name="Обычный 8 5 2 2 2 3 2 4 2" xfId="42300"/>
    <cellStyle name="Обычный 8 5 2 2 2 3 2 5" xfId="42301"/>
    <cellStyle name="Обычный 8 5 2 2 2 3 2 6" xfId="42302"/>
    <cellStyle name="Обычный 8 5 2 2 2 3 3" xfId="42303"/>
    <cellStyle name="Обычный 8 5 2 2 2 3 3 2" xfId="42304"/>
    <cellStyle name="Обычный 8 5 2 2 2 3 3 3" xfId="42305"/>
    <cellStyle name="Обычный 8 5 2 2 2 3 4" xfId="42306"/>
    <cellStyle name="Обычный 8 5 2 2 2 3 4 2" xfId="42307"/>
    <cellStyle name="Обычный 8 5 2 2 2 3 4 3" xfId="42308"/>
    <cellStyle name="Обычный 8 5 2 2 2 3 5" xfId="42309"/>
    <cellStyle name="Обычный 8 5 2 2 2 3 5 2" xfId="42310"/>
    <cellStyle name="Обычный 8 5 2 2 2 3 6" xfId="42311"/>
    <cellStyle name="Обычный 8 5 2 2 2 3 7" xfId="42312"/>
    <cellStyle name="Обычный 8 5 2 2 2 4" xfId="42313"/>
    <cellStyle name="Обычный 8 5 2 2 2 4 2" xfId="42314"/>
    <cellStyle name="Обычный 8 5 2 2 2 4 2 2" xfId="42315"/>
    <cellStyle name="Обычный 8 5 2 2 2 4 2 3" xfId="42316"/>
    <cellStyle name="Обычный 8 5 2 2 2 4 3" xfId="42317"/>
    <cellStyle name="Обычный 8 5 2 2 2 4 3 2" xfId="42318"/>
    <cellStyle name="Обычный 8 5 2 2 2 4 3 3" xfId="42319"/>
    <cellStyle name="Обычный 8 5 2 2 2 4 4" xfId="42320"/>
    <cellStyle name="Обычный 8 5 2 2 2 4 4 2" xfId="42321"/>
    <cellStyle name="Обычный 8 5 2 2 2 4 5" xfId="42322"/>
    <cellStyle name="Обычный 8 5 2 2 2 4 6" xfId="42323"/>
    <cellStyle name="Обычный 8 5 2 2 2 5" xfId="42324"/>
    <cellStyle name="Обычный 8 5 2 2 2 5 2" xfId="42325"/>
    <cellStyle name="Обычный 8 5 2 2 2 5 3" xfId="42326"/>
    <cellStyle name="Обычный 8 5 2 2 2 6" xfId="42327"/>
    <cellStyle name="Обычный 8 5 2 2 2 6 2" xfId="42328"/>
    <cellStyle name="Обычный 8 5 2 2 2 6 3" xfId="42329"/>
    <cellStyle name="Обычный 8 5 2 2 2 7" xfId="42330"/>
    <cellStyle name="Обычный 8 5 2 2 2 7 2" xfId="42331"/>
    <cellStyle name="Обычный 8 5 2 2 2 8" xfId="42332"/>
    <cellStyle name="Обычный 8 5 2 2 2 9" xfId="42333"/>
    <cellStyle name="Обычный 8 5 2 2 3" xfId="42334"/>
    <cellStyle name="Обычный 8 5 2 2 3 2" xfId="42335"/>
    <cellStyle name="Обычный 8 5 2 2 3 2 2" xfId="42336"/>
    <cellStyle name="Обычный 8 5 2 2 3 2 2 2" xfId="42337"/>
    <cellStyle name="Обычный 8 5 2 2 3 2 2 2 2" xfId="42338"/>
    <cellStyle name="Обычный 8 5 2 2 3 2 2 2 3" xfId="42339"/>
    <cellStyle name="Обычный 8 5 2 2 3 2 2 3" xfId="42340"/>
    <cellStyle name="Обычный 8 5 2 2 3 2 2 3 2" xfId="42341"/>
    <cellStyle name="Обычный 8 5 2 2 3 2 2 3 3" xfId="42342"/>
    <cellStyle name="Обычный 8 5 2 2 3 2 2 4" xfId="42343"/>
    <cellStyle name="Обычный 8 5 2 2 3 2 2 4 2" xfId="42344"/>
    <cellStyle name="Обычный 8 5 2 2 3 2 2 5" xfId="42345"/>
    <cellStyle name="Обычный 8 5 2 2 3 2 2 6" xfId="42346"/>
    <cellStyle name="Обычный 8 5 2 2 3 2 3" xfId="42347"/>
    <cellStyle name="Обычный 8 5 2 2 3 2 3 2" xfId="42348"/>
    <cellStyle name="Обычный 8 5 2 2 3 2 3 3" xfId="42349"/>
    <cellStyle name="Обычный 8 5 2 2 3 2 4" xfId="42350"/>
    <cellStyle name="Обычный 8 5 2 2 3 2 4 2" xfId="42351"/>
    <cellStyle name="Обычный 8 5 2 2 3 2 4 3" xfId="42352"/>
    <cellStyle name="Обычный 8 5 2 2 3 2 5" xfId="42353"/>
    <cellStyle name="Обычный 8 5 2 2 3 2 5 2" xfId="42354"/>
    <cellStyle name="Обычный 8 5 2 2 3 2 6" xfId="42355"/>
    <cellStyle name="Обычный 8 5 2 2 3 2 7" xfId="42356"/>
    <cellStyle name="Обычный 8 5 2 2 3 3" xfId="42357"/>
    <cellStyle name="Обычный 8 5 2 2 3 3 2" xfId="42358"/>
    <cellStyle name="Обычный 8 5 2 2 3 3 2 2" xfId="42359"/>
    <cellStyle name="Обычный 8 5 2 2 3 3 2 3" xfId="42360"/>
    <cellStyle name="Обычный 8 5 2 2 3 3 3" xfId="42361"/>
    <cellStyle name="Обычный 8 5 2 2 3 3 3 2" xfId="42362"/>
    <cellStyle name="Обычный 8 5 2 2 3 3 3 3" xfId="42363"/>
    <cellStyle name="Обычный 8 5 2 2 3 3 4" xfId="42364"/>
    <cellStyle name="Обычный 8 5 2 2 3 3 4 2" xfId="42365"/>
    <cellStyle name="Обычный 8 5 2 2 3 3 5" xfId="42366"/>
    <cellStyle name="Обычный 8 5 2 2 3 3 6" xfId="42367"/>
    <cellStyle name="Обычный 8 5 2 2 3 4" xfId="42368"/>
    <cellStyle name="Обычный 8 5 2 2 3 4 2" xfId="42369"/>
    <cellStyle name="Обычный 8 5 2 2 3 4 3" xfId="42370"/>
    <cellStyle name="Обычный 8 5 2 2 3 5" xfId="42371"/>
    <cellStyle name="Обычный 8 5 2 2 3 5 2" xfId="42372"/>
    <cellStyle name="Обычный 8 5 2 2 3 5 3" xfId="42373"/>
    <cellStyle name="Обычный 8 5 2 2 3 6" xfId="42374"/>
    <cellStyle name="Обычный 8 5 2 2 3 6 2" xfId="42375"/>
    <cellStyle name="Обычный 8 5 2 2 3 7" xfId="42376"/>
    <cellStyle name="Обычный 8 5 2 2 3 8" xfId="42377"/>
    <cellStyle name="Обычный 8 5 2 2 4" xfId="42378"/>
    <cellStyle name="Обычный 8 5 2 2 4 2" xfId="42379"/>
    <cellStyle name="Обычный 8 5 2 2 4 2 2" xfId="42380"/>
    <cellStyle name="Обычный 8 5 2 2 4 2 2 2" xfId="42381"/>
    <cellStyle name="Обычный 8 5 2 2 4 2 2 3" xfId="42382"/>
    <cellStyle name="Обычный 8 5 2 2 4 2 3" xfId="42383"/>
    <cellStyle name="Обычный 8 5 2 2 4 2 3 2" xfId="42384"/>
    <cellStyle name="Обычный 8 5 2 2 4 2 3 3" xfId="42385"/>
    <cellStyle name="Обычный 8 5 2 2 4 2 4" xfId="42386"/>
    <cellStyle name="Обычный 8 5 2 2 4 2 4 2" xfId="42387"/>
    <cellStyle name="Обычный 8 5 2 2 4 2 5" xfId="42388"/>
    <cellStyle name="Обычный 8 5 2 2 4 2 6" xfId="42389"/>
    <cellStyle name="Обычный 8 5 2 2 4 3" xfId="42390"/>
    <cellStyle name="Обычный 8 5 2 2 4 3 2" xfId="42391"/>
    <cellStyle name="Обычный 8 5 2 2 4 3 3" xfId="42392"/>
    <cellStyle name="Обычный 8 5 2 2 4 4" xfId="42393"/>
    <cellStyle name="Обычный 8 5 2 2 4 4 2" xfId="42394"/>
    <cellStyle name="Обычный 8 5 2 2 4 4 3" xfId="42395"/>
    <cellStyle name="Обычный 8 5 2 2 4 5" xfId="42396"/>
    <cellStyle name="Обычный 8 5 2 2 4 5 2" xfId="42397"/>
    <cellStyle name="Обычный 8 5 2 2 4 6" xfId="42398"/>
    <cellStyle name="Обычный 8 5 2 2 4 7" xfId="42399"/>
    <cellStyle name="Обычный 8 5 2 2 5" xfId="42400"/>
    <cellStyle name="Обычный 8 5 2 2 5 2" xfId="42401"/>
    <cellStyle name="Обычный 8 5 2 2 5 2 2" xfId="42402"/>
    <cellStyle name="Обычный 8 5 2 2 5 2 3" xfId="42403"/>
    <cellStyle name="Обычный 8 5 2 2 5 3" xfId="42404"/>
    <cellStyle name="Обычный 8 5 2 2 5 3 2" xfId="42405"/>
    <cellStyle name="Обычный 8 5 2 2 5 3 3" xfId="42406"/>
    <cellStyle name="Обычный 8 5 2 2 5 4" xfId="42407"/>
    <cellStyle name="Обычный 8 5 2 2 5 4 2" xfId="42408"/>
    <cellStyle name="Обычный 8 5 2 2 5 5" xfId="42409"/>
    <cellStyle name="Обычный 8 5 2 2 5 6" xfId="42410"/>
    <cellStyle name="Обычный 8 5 2 2 6" xfId="42411"/>
    <cellStyle name="Обычный 8 5 2 2 6 2" xfId="42412"/>
    <cellStyle name="Обычный 8 5 2 2 6 3" xfId="42413"/>
    <cellStyle name="Обычный 8 5 2 2 7" xfId="42414"/>
    <cellStyle name="Обычный 8 5 2 2 7 2" xfId="42415"/>
    <cellStyle name="Обычный 8 5 2 2 7 3" xfId="42416"/>
    <cellStyle name="Обычный 8 5 2 2 8" xfId="42417"/>
    <cellStyle name="Обычный 8 5 2 2 8 2" xfId="42418"/>
    <cellStyle name="Обычный 8 5 2 2 9" xfId="42419"/>
    <cellStyle name="Обычный 8 5 2 3" xfId="42420"/>
    <cellStyle name="Обычный 8 5 2 3 10" xfId="42421"/>
    <cellStyle name="Обычный 8 5 2 3 2" xfId="42422"/>
    <cellStyle name="Обычный 8 5 2 3 2 2" xfId="42423"/>
    <cellStyle name="Обычный 8 5 2 3 2 2 2" xfId="42424"/>
    <cellStyle name="Обычный 8 5 2 3 2 2 2 2" xfId="42425"/>
    <cellStyle name="Обычный 8 5 2 3 2 2 2 2 2" xfId="42426"/>
    <cellStyle name="Обычный 8 5 2 3 2 2 2 2 2 2" xfId="42427"/>
    <cellStyle name="Обычный 8 5 2 3 2 2 2 2 2 3" xfId="42428"/>
    <cellStyle name="Обычный 8 5 2 3 2 2 2 2 3" xfId="42429"/>
    <cellStyle name="Обычный 8 5 2 3 2 2 2 2 3 2" xfId="42430"/>
    <cellStyle name="Обычный 8 5 2 3 2 2 2 2 3 3" xfId="42431"/>
    <cellStyle name="Обычный 8 5 2 3 2 2 2 2 4" xfId="42432"/>
    <cellStyle name="Обычный 8 5 2 3 2 2 2 2 4 2" xfId="42433"/>
    <cellStyle name="Обычный 8 5 2 3 2 2 2 2 5" xfId="42434"/>
    <cellStyle name="Обычный 8 5 2 3 2 2 2 2 6" xfId="42435"/>
    <cellStyle name="Обычный 8 5 2 3 2 2 2 3" xfId="42436"/>
    <cellStyle name="Обычный 8 5 2 3 2 2 2 3 2" xfId="42437"/>
    <cellStyle name="Обычный 8 5 2 3 2 2 2 3 3" xfId="42438"/>
    <cellStyle name="Обычный 8 5 2 3 2 2 2 4" xfId="42439"/>
    <cellStyle name="Обычный 8 5 2 3 2 2 2 4 2" xfId="42440"/>
    <cellStyle name="Обычный 8 5 2 3 2 2 2 4 3" xfId="42441"/>
    <cellStyle name="Обычный 8 5 2 3 2 2 2 5" xfId="42442"/>
    <cellStyle name="Обычный 8 5 2 3 2 2 2 5 2" xfId="42443"/>
    <cellStyle name="Обычный 8 5 2 3 2 2 2 6" xfId="42444"/>
    <cellStyle name="Обычный 8 5 2 3 2 2 2 7" xfId="42445"/>
    <cellStyle name="Обычный 8 5 2 3 2 2 3" xfId="42446"/>
    <cellStyle name="Обычный 8 5 2 3 2 2 3 2" xfId="42447"/>
    <cellStyle name="Обычный 8 5 2 3 2 2 3 2 2" xfId="42448"/>
    <cellStyle name="Обычный 8 5 2 3 2 2 3 2 3" xfId="42449"/>
    <cellStyle name="Обычный 8 5 2 3 2 2 3 3" xfId="42450"/>
    <cellStyle name="Обычный 8 5 2 3 2 2 3 3 2" xfId="42451"/>
    <cellStyle name="Обычный 8 5 2 3 2 2 3 3 3" xfId="42452"/>
    <cellStyle name="Обычный 8 5 2 3 2 2 3 4" xfId="42453"/>
    <cellStyle name="Обычный 8 5 2 3 2 2 3 4 2" xfId="42454"/>
    <cellStyle name="Обычный 8 5 2 3 2 2 3 5" xfId="42455"/>
    <cellStyle name="Обычный 8 5 2 3 2 2 3 6" xfId="42456"/>
    <cellStyle name="Обычный 8 5 2 3 2 2 4" xfId="42457"/>
    <cellStyle name="Обычный 8 5 2 3 2 2 4 2" xfId="42458"/>
    <cellStyle name="Обычный 8 5 2 3 2 2 4 3" xfId="42459"/>
    <cellStyle name="Обычный 8 5 2 3 2 2 5" xfId="42460"/>
    <cellStyle name="Обычный 8 5 2 3 2 2 5 2" xfId="42461"/>
    <cellStyle name="Обычный 8 5 2 3 2 2 5 3" xfId="42462"/>
    <cellStyle name="Обычный 8 5 2 3 2 2 6" xfId="42463"/>
    <cellStyle name="Обычный 8 5 2 3 2 2 6 2" xfId="42464"/>
    <cellStyle name="Обычный 8 5 2 3 2 2 7" xfId="42465"/>
    <cellStyle name="Обычный 8 5 2 3 2 2 8" xfId="42466"/>
    <cellStyle name="Обычный 8 5 2 3 2 3" xfId="42467"/>
    <cellStyle name="Обычный 8 5 2 3 2 3 2" xfId="42468"/>
    <cellStyle name="Обычный 8 5 2 3 2 3 2 2" xfId="42469"/>
    <cellStyle name="Обычный 8 5 2 3 2 3 2 2 2" xfId="42470"/>
    <cellStyle name="Обычный 8 5 2 3 2 3 2 2 3" xfId="42471"/>
    <cellStyle name="Обычный 8 5 2 3 2 3 2 3" xfId="42472"/>
    <cellStyle name="Обычный 8 5 2 3 2 3 2 3 2" xfId="42473"/>
    <cellStyle name="Обычный 8 5 2 3 2 3 2 3 3" xfId="42474"/>
    <cellStyle name="Обычный 8 5 2 3 2 3 2 4" xfId="42475"/>
    <cellStyle name="Обычный 8 5 2 3 2 3 2 4 2" xfId="42476"/>
    <cellStyle name="Обычный 8 5 2 3 2 3 2 5" xfId="42477"/>
    <cellStyle name="Обычный 8 5 2 3 2 3 2 6" xfId="42478"/>
    <cellStyle name="Обычный 8 5 2 3 2 3 3" xfId="42479"/>
    <cellStyle name="Обычный 8 5 2 3 2 3 3 2" xfId="42480"/>
    <cellStyle name="Обычный 8 5 2 3 2 3 3 3" xfId="42481"/>
    <cellStyle name="Обычный 8 5 2 3 2 3 4" xfId="42482"/>
    <cellStyle name="Обычный 8 5 2 3 2 3 4 2" xfId="42483"/>
    <cellStyle name="Обычный 8 5 2 3 2 3 4 3" xfId="42484"/>
    <cellStyle name="Обычный 8 5 2 3 2 3 5" xfId="42485"/>
    <cellStyle name="Обычный 8 5 2 3 2 3 5 2" xfId="42486"/>
    <cellStyle name="Обычный 8 5 2 3 2 3 6" xfId="42487"/>
    <cellStyle name="Обычный 8 5 2 3 2 3 7" xfId="42488"/>
    <cellStyle name="Обычный 8 5 2 3 2 4" xfId="42489"/>
    <cellStyle name="Обычный 8 5 2 3 2 4 2" xfId="42490"/>
    <cellStyle name="Обычный 8 5 2 3 2 4 2 2" xfId="42491"/>
    <cellStyle name="Обычный 8 5 2 3 2 4 2 3" xfId="42492"/>
    <cellStyle name="Обычный 8 5 2 3 2 4 3" xfId="42493"/>
    <cellStyle name="Обычный 8 5 2 3 2 4 3 2" xfId="42494"/>
    <cellStyle name="Обычный 8 5 2 3 2 4 3 3" xfId="42495"/>
    <cellStyle name="Обычный 8 5 2 3 2 4 4" xfId="42496"/>
    <cellStyle name="Обычный 8 5 2 3 2 4 4 2" xfId="42497"/>
    <cellStyle name="Обычный 8 5 2 3 2 4 5" xfId="42498"/>
    <cellStyle name="Обычный 8 5 2 3 2 4 6" xfId="42499"/>
    <cellStyle name="Обычный 8 5 2 3 2 5" xfId="42500"/>
    <cellStyle name="Обычный 8 5 2 3 2 5 2" xfId="42501"/>
    <cellStyle name="Обычный 8 5 2 3 2 5 3" xfId="42502"/>
    <cellStyle name="Обычный 8 5 2 3 2 6" xfId="42503"/>
    <cellStyle name="Обычный 8 5 2 3 2 6 2" xfId="42504"/>
    <cellStyle name="Обычный 8 5 2 3 2 6 3" xfId="42505"/>
    <cellStyle name="Обычный 8 5 2 3 2 7" xfId="42506"/>
    <cellStyle name="Обычный 8 5 2 3 2 7 2" xfId="42507"/>
    <cellStyle name="Обычный 8 5 2 3 2 8" xfId="42508"/>
    <cellStyle name="Обычный 8 5 2 3 2 9" xfId="42509"/>
    <cellStyle name="Обычный 8 5 2 3 3" xfId="42510"/>
    <cellStyle name="Обычный 8 5 2 3 3 2" xfId="42511"/>
    <cellStyle name="Обычный 8 5 2 3 3 2 2" xfId="42512"/>
    <cellStyle name="Обычный 8 5 2 3 3 2 2 2" xfId="42513"/>
    <cellStyle name="Обычный 8 5 2 3 3 2 2 2 2" xfId="42514"/>
    <cellStyle name="Обычный 8 5 2 3 3 2 2 2 3" xfId="42515"/>
    <cellStyle name="Обычный 8 5 2 3 3 2 2 3" xfId="42516"/>
    <cellStyle name="Обычный 8 5 2 3 3 2 2 3 2" xfId="42517"/>
    <cellStyle name="Обычный 8 5 2 3 3 2 2 3 3" xfId="42518"/>
    <cellStyle name="Обычный 8 5 2 3 3 2 2 4" xfId="42519"/>
    <cellStyle name="Обычный 8 5 2 3 3 2 2 4 2" xfId="42520"/>
    <cellStyle name="Обычный 8 5 2 3 3 2 2 5" xfId="42521"/>
    <cellStyle name="Обычный 8 5 2 3 3 2 2 6" xfId="42522"/>
    <cellStyle name="Обычный 8 5 2 3 3 2 3" xfId="42523"/>
    <cellStyle name="Обычный 8 5 2 3 3 2 3 2" xfId="42524"/>
    <cellStyle name="Обычный 8 5 2 3 3 2 3 3" xfId="42525"/>
    <cellStyle name="Обычный 8 5 2 3 3 2 4" xfId="42526"/>
    <cellStyle name="Обычный 8 5 2 3 3 2 4 2" xfId="42527"/>
    <cellStyle name="Обычный 8 5 2 3 3 2 4 3" xfId="42528"/>
    <cellStyle name="Обычный 8 5 2 3 3 2 5" xfId="42529"/>
    <cellStyle name="Обычный 8 5 2 3 3 2 5 2" xfId="42530"/>
    <cellStyle name="Обычный 8 5 2 3 3 2 6" xfId="42531"/>
    <cellStyle name="Обычный 8 5 2 3 3 2 7" xfId="42532"/>
    <cellStyle name="Обычный 8 5 2 3 3 3" xfId="42533"/>
    <cellStyle name="Обычный 8 5 2 3 3 3 2" xfId="42534"/>
    <cellStyle name="Обычный 8 5 2 3 3 3 2 2" xfId="42535"/>
    <cellStyle name="Обычный 8 5 2 3 3 3 2 3" xfId="42536"/>
    <cellStyle name="Обычный 8 5 2 3 3 3 3" xfId="42537"/>
    <cellStyle name="Обычный 8 5 2 3 3 3 3 2" xfId="42538"/>
    <cellStyle name="Обычный 8 5 2 3 3 3 3 3" xfId="42539"/>
    <cellStyle name="Обычный 8 5 2 3 3 3 4" xfId="42540"/>
    <cellStyle name="Обычный 8 5 2 3 3 3 4 2" xfId="42541"/>
    <cellStyle name="Обычный 8 5 2 3 3 3 5" xfId="42542"/>
    <cellStyle name="Обычный 8 5 2 3 3 3 6" xfId="42543"/>
    <cellStyle name="Обычный 8 5 2 3 3 4" xfId="42544"/>
    <cellStyle name="Обычный 8 5 2 3 3 4 2" xfId="42545"/>
    <cellStyle name="Обычный 8 5 2 3 3 4 3" xfId="42546"/>
    <cellStyle name="Обычный 8 5 2 3 3 5" xfId="42547"/>
    <cellStyle name="Обычный 8 5 2 3 3 5 2" xfId="42548"/>
    <cellStyle name="Обычный 8 5 2 3 3 5 3" xfId="42549"/>
    <cellStyle name="Обычный 8 5 2 3 3 6" xfId="42550"/>
    <cellStyle name="Обычный 8 5 2 3 3 6 2" xfId="42551"/>
    <cellStyle name="Обычный 8 5 2 3 3 7" xfId="42552"/>
    <cellStyle name="Обычный 8 5 2 3 3 8" xfId="42553"/>
    <cellStyle name="Обычный 8 5 2 3 4" xfId="42554"/>
    <cellStyle name="Обычный 8 5 2 3 4 2" xfId="42555"/>
    <cellStyle name="Обычный 8 5 2 3 4 2 2" xfId="42556"/>
    <cellStyle name="Обычный 8 5 2 3 4 2 2 2" xfId="42557"/>
    <cellStyle name="Обычный 8 5 2 3 4 2 2 3" xfId="42558"/>
    <cellStyle name="Обычный 8 5 2 3 4 2 3" xfId="42559"/>
    <cellStyle name="Обычный 8 5 2 3 4 2 3 2" xfId="42560"/>
    <cellStyle name="Обычный 8 5 2 3 4 2 3 3" xfId="42561"/>
    <cellStyle name="Обычный 8 5 2 3 4 2 4" xfId="42562"/>
    <cellStyle name="Обычный 8 5 2 3 4 2 4 2" xfId="42563"/>
    <cellStyle name="Обычный 8 5 2 3 4 2 5" xfId="42564"/>
    <cellStyle name="Обычный 8 5 2 3 4 2 6" xfId="42565"/>
    <cellStyle name="Обычный 8 5 2 3 4 3" xfId="42566"/>
    <cellStyle name="Обычный 8 5 2 3 4 3 2" xfId="42567"/>
    <cellStyle name="Обычный 8 5 2 3 4 3 3" xfId="42568"/>
    <cellStyle name="Обычный 8 5 2 3 4 4" xfId="42569"/>
    <cellStyle name="Обычный 8 5 2 3 4 4 2" xfId="42570"/>
    <cellStyle name="Обычный 8 5 2 3 4 4 3" xfId="42571"/>
    <cellStyle name="Обычный 8 5 2 3 4 5" xfId="42572"/>
    <cellStyle name="Обычный 8 5 2 3 4 5 2" xfId="42573"/>
    <cellStyle name="Обычный 8 5 2 3 4 6" xfId="42574"/>
    <cellStyle name="Обычный 8 5 2 3 4 7" xfId="42575"/>
    <cellStyle name="Обычный 8 5 2 3 5" xfId="42576"/>
    <cellStyle name="Обычный 8 5 2 3 5 2" xfId="42577"/>
    <cellStyle name="Обычный 8 5 2 3 5 2 2" xfId="42578"/>
    <cellStyle name="Обычный 8 5 2 3 5 2 3" xfId="42579"/>
    <cellStyle name="Обычный 8 5 2 3 5 3" xfId="42580"/>
    <cellStyle name="Обычный 8 5 2 3 5 3 2" xfId="42581"/>
    <cellStyle name="Обычный 8 5 2 3 5 3 3" xfId="42582"/>
    <cellStyle name="Обычный 8 5 2 3 5 4" xfId="42583"/>
    <cellStyle name="Обычный 8 5 2 3 5 4 2" xfId="42584"/>
    <cellStyle name="Обычный 8 5 2 3 5 5" xfId="42585"/>
    <cellStyle name="Обычный 8 5 2 3 5 6" xfId="42586"/>
    <cellStyle name="Обычный 8 5 2 3 6" xfId="42587"/>
    <cellStyle name="Обычный 8 5 2 3 6 2" xfId="42588"/>
    <cellStyle name="Обычный 8 5 2 3 6 3" xfId="42589"/>
    <cellStyle name="Обычный 8 5 2 3 7" xfId="42590"/>
    <cellStyle name="Обычный 8 5 2 3 7 2" xfId="42591"/>
    <cellStyle name="Обычный 8 5 2 3 7 3" xfId="42592"/>
    <cellStyle name="Обычный 8 5 2 3 8" xfId="42593"/>
    <cellStyle name="Обычный 8 5 2 3 8 2" xfId="42594"/>
    <cellStyle name="Обычный 8 5 2 3 9" xfId="42595"/>
    <cellStyle name="Обычный 8 5 2 4" xfId="42596"/>
    <cellStyle name="Обычный 8 5 2 4 10" xfId="42597"/>
    <cellStyle name="Обычный 8 5 2 4 2" xfId="42598"/>
    <cellStyle name="Обычный 8 5 2 4 2 2" xfId="42599"/>
    <cellStyle name="Обычный 8 5 2 4 2 2 2" xfId="42600"/>
    <cellStyle name="Обычный 8 5 2 4 2 2 2 2" xfId="42601"/>
    <cellStyle name="Обычный 8 5 2 4 2 2 2 2 2" xfId="42602"/>
    <cellStyle name="Обычный 8 5 2 4 2 2 2 2 2 2" xfId="42603"/>
    <cellStyle name="Обычный 8 5 2 4 2 2 2 2 2 3" xfId="42604"/>
    <cellStyle name="Обычный 8 5 2 4 2 2 2 2 3" xfId="42605"/>
    <cellStyle name="Обычный 8 5 2 4 2 2 2 2 3 2" xfId="42606"/>
    <cellStyle name="Обычный 8 5 2 4 2 2 2 2 3 3" xfId="42607"/>
    <cellStyle name="Обычный 8 5 2 4 2 2 2 2 4" xfId="42608"/>
    <cellStyle name="Обычный 8 5 2 4 2 2 2 2 4 2" xfId="42609"/>
    <cellStyle name="Обычный 8 5 2 4 2 2 2 2 5" xfId="42610"/>
    <cellStyle name="Обычный 8 5 2 4 2 2 2 2 6" xfId="42611"/>
    <cellStyle name="Обычный 8 5 2 4 2 2 2 3" xfId="42612"/>
    <cellStyle name="Обычный 8 5 2 4 2 2 2 3 2" xfId="42613"/>
    <cellStyle name="Обычный 8 5 2 4 2 2 2 3 3" xfId="42614"/>
    <cellStyle name="Обычный 8 5 2 4 2 2 2 4" xfId="42615"/>
    <cellStyle name="Обычный 8 5 2 4 2 2 2 4 2" xfId="42616"/>
    <cellStyle name="Обычный 8 5 2 4 2 2 2 4 3" xfId="42617"/>
    <cellStyle name="Обычный 8 5 2 4 2 2 2 5" xfId="42618"/>
    <cellStyle name="Обычный 8 5 2 4 2 2 2 5 2" xfId="42619"/>
    <cellStyle name="Обычный 8 5 2 4 2 2 2 6" xfId="42620"/>
    <cellStyle name="Обычный 8 5 2 4 2 2 2 7" xfId="42621"/>
    <cellStyle name="Обычный 8 5 2 4 2 2 3" xfId="42622"/>
    <cellStyle name="Обычный 8 5 2 4 2 2 3 2" xfId="42623"/>
    <cellStyle name="Обычный 8 5 2 4 2 2 3 2 2" xfId="42624"/>
    <cellStyle name="Обычный 8 5 2 4 2 2 3 2 3" xfId="42625"/>
    <cellStyle name="Обычный 8 5 2 4 2 2 3 3" xfId="42626"/>
    <cellStyle name="Обычный 8 5 2 4 2 2 3 3 2" xfId="42627"/>
    <cellStyle name="Обычный 8 5 2 4 2 2 3 3 3" xfId="42628"/>
    <cellStyle name="Обычный 8 5 2 4 2 2 3 4" xfId="42629"/>
    <cellStyle name="Обычный 8 5 2 4 2 2 3 4 2" xfId="42630"/>
    <cellStyle name="Обычный 8 5 2 4 2 2 3 5" xfId="42631"/>
    <cellStyle name="Обычный 8 5 2 4 2 2 3 6" xfId="42632"/>
    <cellStyle name="Обычный 8 5 2 4 2 2 4" xfId="42633"/>
    <cellStyle name="Обычный 8 5 2 4 2 2 4 2" xfId="42634"/>
    <cellStyle name="Обычный 8 5 2 4 2 2 4 3" xfId="42635"/>
    <cellStyle name="Обычный 8 5 2 4 2 2 5" xfId="42636"/>
    <cellStyle name="Обычный 8 5 2 4 2 2 5 2" xfId="42637"/>
    <cellStyle name="Обычный 8 5 2 4 2 2 5 3" xfId="42638"/>
    <cellStyle name="Обычный 8 5 2 4 2 2 6" xfId="42639"/>
    <cellStyle name="Обычный 8 5 2 4 2 2 6 2" xfId="42640"/>
    <cellStyle name="Обычный 8 5 2 4 2 2 7" xfId="42641"/>
    <cellStyle name="Обычный 8 5 2 4 2 2 8" xfId="42642"/>
    <cellStyle name="Обычный 8 5 2 4 2 3" xfId="42643"/>
    <cellStyle name="Обычный 8 5 2 4 2 3 2" xfId="42644"/>
    <cellStyle name="Обычный 8 5 2 4 2 3 2 2" xfId="42645"/>
    <cellStyle name="Обычный 8 5 2 4 2 3 2 2 2" xfId="42646"/>
    <cellStyle name="Обычный 8 5 2 4 2 3 2 2 3" xfId="42647"/>
    <cellStyle name="Обычный 8 5 2 4 2 3 2 3" xfId="42648"/>
    <cellStyle name="Обычный 8 5 2 4 2 3 2 3 2" xfId="42649"/>
    <cellStyle name="Обычный 8 5 2 4 2 3 2 3 3" xfId="42650"/>
    <cellStyle name="Обычный 8 5 2 4 2 3 2 4" xfId="42651"/>
    <cellStyle name="Обычный 8 5 2 4 2 3 2 4 2" xfId="42652"/>
    <cellStyle name="Обычный 8 5 2 4 2 3 2 5" xfId="42653"/>
    <cellStyle name="Обычный 8 5 2 4 2 3 2 6" xfId="42654"/>
    <cellStyle name="Обычный 8 5 2 4 2 3 3" xfId="42655"/>
    <cellStyle name="Обычный 8 5 2 4 2 3 3 2" xfId="42656"/>
    <cellStyle name="Обычный 8 5 2 4 2 3 3 3" xfId="42657"/>
    <cellStyle name="Обычный 8 5 2 4 2 3 4" xfId="42658"/>
    <cellStyle name="Обычный 8 5 2 4 2 3 4 2" xfId="42659"/>
    <cellStyle name="Обычный 8 5 2 4 2 3 4 3" xfId="42660"/>
    <cellStyle name="Обычный 8 5 2 4 2 3 5" xfId="42661"/>
    <cellStyle name="Обычный 8 5 2 4 2 3 5 2" xfId="42662"/>
    <cellStyle name="Обычный 8 5 2 4 2 3 6" xfId="42663"/>
    <cellStyle name="Обычный 8 5 2 4 2 3 7" xfId="42664"/>
    <cellStyle name="Обычный 8 5 2 4 2 4" xfId="42665"/>
    <cellStyle name="Обычный 8 5 2 4 2 4 2" xfId="42666"/>
    <cellStyle name="Обычный 8 5 2 4 2 4 2 2" xfId="42667"/>
    <cellStyle name="Обычный 8 5 2 4 2 4 2 3" xfId="42668"/>
    <cellStyle name="Обычный 8 5 2 4 2 4 3" xfId="42669"/>
    <cellStyle name="Обычный 8 5 2 4 2 4 3 2" xfId="42670"/>
    <cellStyle name="Обычный 8 5 2 4 2 4 3 3" xfId="42671"/>
    <cellStyle name="Обычный 8 5 2 4 2 4 4" xfId="42672"/>
    <cellStyle name="Обычный 8 5 2 4 2 4 4 2" xfId="42673"/>
    <cellStyle name="Обычный 8 5 2 4 2 4 5" xfId="42674"/>
    <cellStyle name="Обычный 8 5 2 4 2 4 6" xfId="42675"/>
    <cellStyle name="Обычный 8 5 2 4 2 5" xfId="42676"/>
    <cellStyle name="Обычный 8 5 2 4 2 5 2" xfId="42677"/>
    <cellStyle name="Обычный 8 5 2 4 2 5 3" xfId="42678"/>
    <cellStyle name="Обычный 8 5 2 4 2 6" xfId="42679"/>
    <cellStyle name="Обычный 8 5 2 4 2 6 2" xfId="42680"/>
    <cellStyle name="Обычный 8 5 2 4 2 6 3" xfId="42681"/>
    <cellStyle name="Обычный 8 5 2 4 2 7" xfId="42682"/>
    <cellStyle name="Обычный 8 5 2 4 2 7 2" xfId="42683"/>
    <cellStyle name="Обычный 8 5 2 4 2 8" xfId="42684"/>
    <cellStyle name="Обычный 8 5 2 4 2 9" xfId="42685"/>
    <cellStyle name="Обычный 8 5 2 4 3" xfId="42686"/>
    <cellStyle name="Обычный 8 5 2 4 3 2" xfId="42687"/>
    <cellStyle name="Обычный 8 5 2 4 3 2 2" xfId="42688"/>
    <cellStyle name="Обычный 8 5 2 4 3 2 2 2" xfId="42689"/>
    <cellStyle name="Обычный 8 5 2 4 3 2 2 2 2" xfId="42690"/>
    <cellStyle name="Обычный 8 5 2 4 3 2 2 2 3" xfId="42691"/>
    <cellStyle name="Обычный 8 5 2 4 3 2 2 3" xfId="42692"/>
    <cellStyle name="Обычный 8 5 2 4 3 2 2 3 2" xfId="42693"/>
    <cellStyle name="Обычный 8 5 2 4 3 2 2 3 3" xfId="42694"/>
    <cellStyle name="Обычный 8 5 2 4 3 2 2 4" xfId="42695"/>
    <cellStyle name="Обычный 8 5 2 4 3 2 2 4 2" xfId="42696"/>
    <cellStyle name="Обычный 8 5 2 4 3 2 2 5" xfId="42697"/>
    <cellStyle name="Обычный 8 5 2 4 3 2 2 6" xfId="42698"/>
    <cellStyle name="Обычный 8 5 2 4 3 2 3" xfId="42699"/>
    <cellStyle name="Обычный 8 5 2 4 3 2 3 2" xfId="42700"/>
    <cellStyle name="Обычный 8 5 2 4 3 2 3 3" xfId="42701"/>
    <cellStyle name="Обычный 8 5 2 4 3 2 4" xfId="42702"/>
    <cellStyle name="Обычный 8 5 2 4 3 2 4 2" xfId="42703"/>
    <cellStyle name="Обычный 8 5 2 4 3 2 4 3" xfId="42704"/>
    <cellStyle name="Обычный 8 5 2 4 3 2 5" xfId="42705"/>
    <cellStyle name="Обычный 8 5 2 4 3 2 5 2" xfId="42706"/>
    <cellStyle name="Обычный 8 5 2 4 3 2 6" xfId="42707"/>
    <cellStyle name="Обычный 8 5 2 4 3 2 7" xfId="42708"/>
    <cellStyle name="Обычный 8 5 2 4 3 3" xfId="42709"/>
    <cellStyle name="Обычный 8 5 2 4 3 3 2" xfId="42710"/>
    <cellStyle name="Обычный 8 5 2 4 3 3 2 2" xfId="42711"/>
    <cellStyle name="Обычный 8 5 2 4 3 3 2 3" xfId="42712"/>
    <cellStyle name="Обычный 8 5 2 4 3 3 3" xfId="42713"/>
    <cellStyle name="Обычный 8 5 2 4 3 3 3 2" xfId="42714"/>
    <cellStyle name="Обычный 8 5 2 4 3 3 3 3" xfId="42715"/>
    <cellStyle name="Обычный 8 5 2 4 3 3 4" xfId="42716"/>
    <cellStyle name="Обычный 8 5 2 4 3 3 4 2" xfId="42717"/>
    <cellStyle name="Обычный 8 5 2 4 3 3 5" xfId="42718"/>
    <cellStyle name="Обычный 8 5 2 4 3 3 6" xfId="42719"/>
    <cellStyle name="Обычный 8 5 2 4 3 4" xfId="42720"/>
    <cellStyle name="Обычный 8 5 2 4 3 4 2" xfId="42721"/>
    <cellStyle name="Обычный 8 5 2 4 3 4 3" xfId="42722"/>
    <cellStyle name="Обычный 8 5 2 4 3 5" xfId="42723"/>
    <cellStyle name="Обычный 8 5 2 4 3 5 2" xfId="42724"/>
    <cellStyle name="Обычный 8 5 2 4 3 5 3" xfId="42725"/>
    <cellStyle name="Обычный 8 5 2 4 3 6" xfId="42726"/>
    <cellStyle name="Обычный 8 5 2 4 3 6 2" xfId="42727"/>
    <cellStyle name="Обычный 8 5 2 4 3 7" xfId="42728"/>
    <cellStyle name="Обычный 8 5 2 4 3 8" xfId="42729"/>
    <cellStyle name="Обычный 8 5 2 4 4" xfId="42730"/>
    <cellStyle name="Обычный 8 5 2 4 4 2" xfId="42731"/>
    <cellStyle name="Обычный 8 5 2 4 4 2 2" xfId="42732"/>
    <cellStyle name="Обычный 8 5 2 4 4 2 2 2" xfId="42733"/>
    <cellStyle name="Обычный 8 5 2 4 4 2 2 3" xfId="42734"/>
    <cellStyle name="Обычный 8 5 2 4 4 2 3" xfId="42735"/>
    <cellStyle name="Обычный 8 5 2 4 4 2 3 2" xfId="42736"/>
    <cellStyle name="Обычный 8 5 2 4 4 2 3 3" xfId="42737"/>
    <cellStyle name="Обычный 8 5 2 4 4 2 4" xfId="42738"/>
    <cellStyle name="Обычный 8 5 2 4 4 2 4 2" xfId="42739"/>
    <cellStyle name="Обычный 8 5 2 4 4 2 5" xfId="42740"/>
    <cellStyle name="Обычный 8 5 2 4 4 2 6" xfId="42741"/>
    <cellStyle name="Обычный 8 5 2 4 4 3" xfId="42742"/>
    <cellStyle name="Обычный 8 5 2 4 4 3 2" xfId="42743"/>
    <cellStyle name="Обычный 8 5 2 4 4 3 3" xfId="42744"/>
    <cellStyle name="Обычный 8 5 2 4 4 4" xfId="42745"/>
    <cellStyle name="Обычный 8 5 2 4 4 4 2" xfId="42746"/>
    <cellStyle name="Обычный 8 5 2 4 4 4 3" xfId="42747"/>
    <cellStyle name="Обычный 8 5 2 4 4 5" xfId="42748"/>
    <cellStyle name="Обычный 8 5 2 4 4 5 2" xfId="42749"/>
    <cellStyle name="Обычный 8 5 2 4 4 6" xfId="42750"/>
    <cellStyle name="Обычный 8 5 2 4 4 7" xfId="42751"/>
    <cellStyle name="Обычный 8 5 2 4 5" xfId="42752"/>
    <cellStyle name="Обычный 8 5 2 4 5 2" xfId="42753"/>
    <cellStyle name="Обычный 8 5 2 4 5 2 2" xfId="42754"/>
    <cellStyle name="Обычный 8 5 2 4 5 2 3" xfId="42755"/>
    <cellStyle name="Обычный 8 5 2 4 5 3" xfId="42756"/>
    <cellStyle name="Обычный 8 5 2 4 5 3 2" xfId="42757"/>
    <cellStyle name="Обычный 8 5 2 4 5 3 3" xfId="42758"/>
    <cellStyle name="Обычный 8 5 2 4 5 4" xfId="42759"/>
    <cellStyle name="Обычный 8 5 2 4 5 4 2" xfId="42760"/>
    <cellStyle name="Обычный 8 5 2 4 5 5" xfId="42761"/>
    <cellStyle name="Обычный 8 5 2 4 5 6" xfId="42762"/>
    <cellStyle name="Обычный 8 5 2 4 6" xfId="42763"/>
    <cellStyle name="Обычный 8 5 2 4 6 2" xfId="42764"/>
    <cellStyle name="Обычный 8 5 2 4 6 3" xfId="42765"/>
    <cellStyle name="Обычный 8 5 2 4 7" xfId="42766"/>
    <cellStyle name="Обычный 8 5 2 4 7 2" xfId="42767"/>
    <cellStyle name="Обычный 8 5 2 4 7 3" xfId="42768"/>
    <cellStyle name="Обычный 8 5 2 4 8" xfId="42769"/>
    <cellStyle name="Обычный 8 5 2 4 8 2" xfId="42770"/>
    <cellStyle name="Обычный 8 5 2 4 9" xfId="42771"/>
    <cellStyle name="Обычный 8 5 2 5" xfId="42772"/>
    <cellStyle name="Обычный 8 5 2 5 2" xfId="42773"/>
    <cellStyle name="Обычный 8 5 2 5 2 2" xfId="42774"/>
    <cellStyle name="Обычный 8 5 2 5 2 2 2" xfId="42775"/>
    <cellStyle name="Обычный 8 5 2 5 2 2 2 2" xfId="42776"/>
    <cellStyle name="Обычный 8 5 2 5 2 2 2 2 2" xfId="42777"/>
    <cellStyle name="Обычный 8 5 2 5 2 2 2 2 3" xfId="42778"/>
    <cellStyle name="Обычный 8 5 2 5 2 2 2 3" xfId="42779"/>
    <cellStyle name="Обычный 8 5 2 5 2 2 2 3 2" xfId="42780"/>
    <cellStyle name="Обычный 8 5 2 5 2 2 2 3 3" xfId="42781"/>
    <cellStyle name="Обычный 8 5 2 5 2 2 2 4" xfId="42782"/>
    <cellStyle name="Обычный 8 5 2 5 2 2 2 4 2" xfId="42783"/>
    <cellStyle name="Обычный 8 5 2 5 2 2 2 5" xfId="42784"/>
    <cellStyle name="Обычный 8 5 2 5 2 2 2 6" xfId="42785"/>
    <cellStyle name="Обычный 8 5 2 5 2 2 3" xfId="42786"/>
    <cellStyle name="Обычный 8 5 2 5 2 2 3 2" xfId="42787"/>
    <cellStyle name="Обычный 8 5 2 5 2 2 3 3" xfId="42788"/>
    <cellStyle name="Обычный 8 5 2 5 2 2 4" xfId="42789"/>
    <cellStyle name="Обычный 8 5 2 5 2 2 4 2" xfId="42790"/>
    <cellStyle name="Обычный 8 5 2 5 2 2 4 3" xfId="42791"/>
    <cellStyle name="Обычный 8 5 2 5 2 2 5" xfId="42792"/>
    <cellStyle name="Обычный 8 5 2 5 2 2 5 2" xfId="42793"/>
    <cellStyle name="Обычный 8 5 2 5 2 2 6" xfId="42794"/>
    <cellStyle name="Обычный 8 5 2 5 2 2 7" xfId="42795"/>
    <cellStyle name="Обычный 8 5 2 5 2 3" xfId="42796"/>
    <cellStyle name="Обычный 8 5 2 5 2 3 2" xfId="42797"/>
    <cellStyle name="Обычный 8 5 2 5 2 3 2 2" xfId="42798"/>
    <cellStyle name="Обычный 8 5 2 5 2 3 2 3" xfId="42799"/>
    <cellStyle name="Обычный 8 5 2 5 2 3 3" xfId="42800"/>
    <cellStyle name="Обычный 8 5 2 5 2 3 3 2" xfId="42801"/>
    <cellStyle name="Обычный 8 5 2 5 2 3 3 3" xfId="42802"/>
    <cellStyle name="Обычный 8 5 2 5 2 3 4" xfId="42803"/>
    <cellStyle name="Обычный 8 5 2 5 2 3 4 2" xfId="42804"/>
    <cellStyle name="Обычный 8 5 2 5 2 3 5" xfId="42805"/>
    <cellStyle name="Обычный 8 5 2 5 2 3 6" xfId="42806"/>
    <cellStyle name="Обычный 8 5 2 5 2 4" xfId="42807"/>
    <cellStyle name="Обычный 8 5 2 5 2 4 2" xfId="42808"/>
    <cellStyle name="Обычный 8 5 2 5 2 4 3" xfId="42809"/>
    <cellStyle name="Обычный 8 5 2 5 2 5" xfId="42810"/>
    <cellStyle name="Обычный 8 5 2 5 2 5 2" xfId="42811"/>
    <cellStyle name="Обычный 8 5 2 5 2 5 3" xfId="42812"/>
    <cellStyle name="Обычный 8 5 2 5 2 6" xfId="42813"/>
    <cellStyle name="Обычный 8 5 2 5 2 6 2" xfId="42814"/>
    <cellStyle name="Обычный 8 5 2 5 2 7" xfId="42815"/>
    <cellStyle name="Обычный 8 5 2 5 2 8" xfId="42816"/>
    <cellStyle name="Обычный 8 5 2 5 3" xfId="42817"/>
    <cellStyle name="Обычный 8 5 2 5 3 2" xfId="42818"/>
    <cellStyle name="Обычный 8 5 2 5 3 2 2" xfId="42819"/>
    <cellStyle name="Обычный 8 5 2 5 3 2 2 2" xfId="42820"/>
    <cellStyle name="Обычный 8 5 2 5 3 2 2 3" xfId="42821"/>
    <cellStyle name="Обычный 8 5 2 5 3 2 3" xfId="42822"/>
    <cellStyle name="Обычный 8 5 2 5 3 2 3 2" xfId="42823"/>
    <cellStyle name="Обычный 8 5 2 5 3 2 3 3" xfId="42824"/>
    <cellStyle name="Обычный 8 5 2 5 3 2 4" xfId="42825"/>
    <cellStyle name="Обычный 8 5 2 5 3 2 4 2" xfId="42826"/>
    <cellStyle name="Обычный 8 5 2 5 3 2 5" xfId="42827"/>
    <cellStyle name="Обычный 8 5 2 5 3 2 6" xfId="42828"/>
    <cellStyle name="Обычный 8 5 2 5 3 3" xfId="42829"/>
    <cellStyle name="Обычный 8 5 2 5 3 3 2" xfId="42830"/>
    <cellStyle name="Обычный 8 5 2 5 3 3 3" xfId="42831"/>
    <cellStyle name="Обычный 8 5 2 5 3 4" xfId="42832"/>
    <cellStyle name="Обычный 8 5 2 5 3 4 2" xfId="42833"/>
    <cellStyle name="Обычный 8 5 2 5 3 4 3" xfId="42834"/>
    <cellStyle name="Обычный 8 5 2 5 3 5" xfId="42835"/>
    <cellStyle name="Обычный 8 5 2 5 3 5 2" xfId="42836"/>
    <cellStyle name="Обычный 8 5 2 5 3 6" xfId="42837"/>
    <cellStyle name="Обычный 8 5 2 5 3 7" xfId="42838"/>
    <cellStyle name="Обычный 8 5 2 5 4" xfId="42839"/>
    <cellStyle name="Обычный 8 5 2 5 4 2" xfId="42840"/>
    <cellStyle name="Обычный 8 5 2 5 4 2 2" xfId="42841"/>
    <cellStyle name="Обычный 8 5 2 5 4 2 3" xfId="42842"/>
    <cellStyle name="Обычный 8 5 2 5 4 3" xfId="42843"/>
    <cellStyle name="Обычный 8 5 2 5 4 3 2" xfId="42844"/>
    <cellStyle name="Обычный 8 5 2 5 4 3 3" xfId="42845"/>
    <cellStyle name="Обычный 8 5 2 5 4 4" xfId="42846"/>
    <cellStyle name="Обычный 8 5 2 5 4 4 2" xfId="42847"/>
    <cellStyle name="Обычный 8 5 2 5 4 5" xfId="42848"/>
    <cellStyle name="Обычный 8 5 2 5 4 6" xfId="42849"/>
    <cellStyle name="Обычный 8 5 2 5 5" xfId="42850"/>
    <cellStyle name="Обычный 8 5 2 5 5 2" xfId="42851"/>
    <cellStyle name="Обычный 8 5 2 5 5 3" xfId="42852"/>
    <cellStyle name="Обычный 8 5 2 5 6" xfId="42853"/>
    <cellStyle name="Обычный 8 5 2 5 6 2" xfId="42854"/>
    <cellStyle name="Обычный 8 5 2 5 6 3" xfId="42855"/>
    <cellStyle name="Обычный 8 5 2 5 7" xfId="42856"/>
    <cellStyle name="Обычный 8 5 2 5 7 2" xfId="42857"/>
    <cellStyle name="Обычный 8 5 2 5 8" xfId="42858"/>
    <cellStyle name="Обычный 8 5 2 5 9" xfId="42859"/>
    <cellStyle name="Обычный 8 5 2 6" xfId="42860"/>
    <cellStyle name="Обычный 8 5 2 6 2" xfId="42861"/>
    <cellStyle name="Обычный 8 5 2 6 2 2" xfId="42862"/>
    <cellStyle name="Обычный 8 5 2 6 2 2 2" xfId="42863"/>
    <cellStyle name="Обычный 8 5 2 6 2 2 2 2" xfId="42864"/>
    <cellStyle name="Обычный 8 5 2 6 2 2 2 3" xfId="42865"/>
    <cellStyle name="Обычный 8 5 2 6 2 2 3" xfId="42866"/>
    <cellStyle name="Обычный 8 5 2 6 2 2 3 2" xfId="42867"/>
    <cellStyle name="Обычный 8 5 2 6 2 2 3 3" xfId="42868"/>
    <cellStyle name="Обычный 8 5 2 6 2 2 4" xfId="42869"/>
    <cellStyle name="Обычный 8 5 2 6 2 2 4 2" xfId="42870"/>
    <cellStyle name="Обычный 8 5 2 6 2 2 5" xfId="42871"/>
    <cellStyle name="Обычный 8 5 2 6 2 2 6" xfId="42872"/>
    <cellStyle name="Обычный 8 5 2 6 2 3" xfId="42873"/>
    <cellStyle name="Обычный 8 5 2 6 2 3 2" xfId="42874"/>
    <cellStyle name="Обычный 8 5 2 6 2 3 3" xfId="42875"/>
    <cellStyle name="Обычный 8 5 2 6 2 4" xfId="42876"/>
    <cellStyle name="Обычный 8 5 2 6 2 4 2" xfId="42877"/>
    <cellStyle name="Обычный 8 5 2 6 2 4 3" xfId="42878"/>
    <cellStyle name="Обычный 8 5 2 6 2 5" xfId="42879"/>
    <cellStyle name="Обычный 8 5 2 6 2 5 2" xfId="42880"/>
    <cellStyle name="Обычный 8 5 2 6 2 6" xfId="42881"/>
    <cellStyle name="Обычный 8 5 2 6 2 7" xfId="42882"/>
    <cellStyle name="Обычный 8 5 2 6 3" xfId="42883"/>
    <cellStyle name="Обычный 8 5 2 6 3 2" xfId="42884"/>
    <cellStyle name="Обычный 8 5 2 6 3 2 2" xfId="42885"/>
    <cellStyle name="Обычный 8 5 2 6 3 2 3" xfId="42886"/>
    <cellStyle name="Обычный 8 5 2 6 3 3" xfId="42887"/>
    <cellStyle name="Обычный 8 5 2 6 3 3 2" xfId="42888"/>
    <cellStyle name="Обычный 8 5 2 6 3 3 3" xfId="42889"/>
    <cellStyle name="Обычный 8 5 2 6 3 4" xfId="42890"/>
    <cellStyle name="Обычный 8 5 2 6 3 4 2" xfId="42891"/>
    <cellStyle name="Обычный 8 5 2 6 3 5" xfId="42892"/>
    <cellStyle name="Обычный 8 5 2 6 3 6" xfId="42893"/>
    <cellStyle name="Обычный 8 5 2 6 4" xfId="42894"/>
    <cellStyle name="Обычный 8 5 2 6 4 2" xfId="42895"/>
    <cellStyle name="Обычный 8 5 2 6 4 3" xfId="42896"/>
    <cellStyle name="Обычный 8 5 2 6 5" xfId="42897"/>
    <cellStyle name="Обычный 8 5 2 6 5 2" xfId="42898"/>
    <cellStyle name="Обычный 8 5 2 6 5 3" xfId="42899"/>
    <cellStyle name="Обычный 8 5 2 6 6" xfId="42900"/>
    <cellStyle name="Обычный 8 5 2 6 6 2" xfId="42901"/>
    <cellStyle name="Обычный 8 5 2 6 7" xfId="42902"/>
    <cellStyle name="Обычный 8 5 2 6 8" xfId="42903"/>
    <cellStyle name="Обычный 8 5 2 7" xfId="42904"/>
    <cellStyle name="Обычный 8 5 2 7 2" xfId="42905"/>
    <cellStyle name="Обычный 8 5 2 7 2 2" xfId="42906"/>
    <cellStyle name="Обычный 8 5 2 7 2 2 2" xfId="42907"/>
    <cellStyle name="Обычный 8 5 2 7 2 2 3" xfId="42908"/>
    <cellStyle name="Обычный 8 5 2 7 2 3" xfId="42909"/>
    <cellStyle name="Обычный 8 5 2 7 2 3 2" xfId="42910"/>
    <cellStyle name="Обычный 8 5 2 7 2 3 3" xfId="42911"/>
    <cellStyle name="Обычный 8 5 2 7 2 4" xfId="42912"/>
    <cellStyle name="Обычный 8 5 2 7 2 4 2" xfId="42913"/>
    <cellStyle name="Обычный 8 5 2 7 2 5" xfId="42914"/>
    <cellStyle name="Обычный 8 5 2 7 2 6" xfId="42915"/>
    <cellStyle name="Обычный 8 5 2 7 3" xfId="42916"/>
    <cellStyle name="Обычный 8 5 2 7 3 2" xfId="42917"/>
    <cellStyle name="Обычный 8 5 2 7 3 3" xfId="42918"/>
    <cellStyle name="Обычный 8 5 2 7 4" xfId="42919"/>
    <cellStyle name="Обычный 8 5 2 7 4 2" xfId="42920"/>
    <cellStyle name="Обычный 8 5 2 7 4 3" xfId="42921"/>
    <cellStyle name="Обычный 8 5 2 7 5" xfId="42922"/>
    <cellStyle name="Обычный 8 5 2 7 5 2" xfId="42923"/>
    <cellStyle name="Обычный 8 5 2 7 6" xfId="42924"/>
    <cellStyle name="Обычный 8 5 2 7 7" xfId="42925"/>
    <cellStyle name="Обычный 8 5 2 8" xfId="42926"/>
    <cellStyle name="Обычный 8 5 2 8 2" xfId="42927"/>
    <cellStyle name="Обычный 8 5 2 8 2 2" xfId="42928"/>
    <cellStyle name="Обычный 8 5 2 8 2 3" xfId="42929"/>
    <cellStyle name="Обычный 8 5 2 8 3" xfId="42930"/>
    <cellStyle name="Обычный 8 5 2 8 3 2" xfId="42931"/>
    <cellStyle name="Обычный 8 5 2 8 3 3" xfId="42932"/>
    <cellStyle name="Обычный 8 5 2 8 4" xfId="42933"/>
    <cellStyle name="Обычный 8 5 2 8 4 2" xfId="42934"/>
    <cellStyle name="Обычный 8 5 2 8 5" xfId="42935"/>
    <cellStyle name="Обычный 8 5 2 8 6" xfId="42936"/>
    <cellStyle name="Обычный 8 5 2 9" xfId="42937"/>
    <cellStyle name="Обычный 8 5 2 9 2" xfId="42938"/>
    <cellStyle name="Обычный 8 5 2 9 3" xfId="42939"/>
    <cellStyle name="Обычный 8 5 3" xfId="42940"/>
    <cellStyle name="Обычный 8 5 3 10" xfId="42941"/>
    <cellStyle name="Обычный 8 5 3 2" xfId="42942"/>
    <cellStyle name="Обычный 8 5 3 2 2" xfId="42943"/>
    <cellStyle name="Обычный 8 5 3 2 2 2" xfId="42944"/>
    <cellStyle name="Обычный 8 5 3 2 2 2 2" xfId="42945"/>
    <cellStyle name="Обычный 8 5 3 2 2 2 2 2" xfId="42946"/>
    <cellStyle name="Обычный 8 5 3 2 2 2 2 2 2" xfId="42947"/>
    <cellStyle name="Обычный 8 5 3 2 2 2 2 2 3" xfId="42948"/>
    <cellStyle name="Обычный 8 5 3 2 2 2 2 3" xfId="42949"/>
    <cellStyle name="Обычный 8 5 3 2 2 2 2 3 2" xfId="42950"/>
    <cellStyle name="Обычный 8 5 3 2 2 2 2 3 3" xfId="42951"/>
    <cellStyle name="Обычный 8 5 3 2 2 2 2 4" xfId="42952"/>
    <cellStyle name="Обычный 8 5 3 2 2 2 2 4 2" xfId="42953"/>
    <cellStyle name="Обычный 8 5 3 2 2 2 2 5" xfId="42954"/>
    <cellStyle name="Обычный 8 5 3 2 2 2 2 6" xfId="42955"/>
    <cellStyle name="Обычный 8 5 3 2 2 2 3" xfId="42956"/>
    <cellStyle name="Обычный 8 5 3 2 2 2 3 2" xfId="42957"/>
    <cellStyle name="Обычный 8 5 3 2 2 2 3 3" xfId="42958"/>
    <cellStyle name="Обычный 8 5 3 2 2 2 4" xfId="42959"/>
    <cellStyle name="Обычный 8 5 3 2 2 2 4 2" xfId="42960"/>
    <cellStyle name="Обычный 8 5 3 2 2 2 4 3" xfId="42961"/>
    <cellStyle name="Обычный 8 5 3 2 2 2 5" xfId="42962"/>
    <cellStyle name="Обычный 8 5 3 2 2 2 5 2" xfId="42963"/>
    <cellStyle name="Обычный 8 5 3 2 2 2 6" xfId="42964"/>
    <cellStyle name="Обычный 8 5 3 2 2 2 7" xfId="42965"/>
    <cellStyle name="Обычный 8 5 3 2 2 3" xfId="42966"/>
    <cellStyle name="Обычный 8 5 3 2 2 3 2" xfId="42967"/>
    <cellStyle name="Обычный 8 5 3 2 2 3 2 2" xfId="42968"/>
    <cellStyle name="Обычный 8 5 3 2 2 3 2 3" xfId="42969"/>
    <cellStyle name="Обычный 8 5 3 2 2 3 3" xfId="42970"/>
    <cellStyle name="Обычный 8 5 3 2 2 3 3 2" xfId="42971"/>
    <cellStyle name="Обычный 8 5 3 2 2 3 3 3" xfId="42972"/>
    <cellStyle name="Обычный 8 5 3 2 2 3 4" xfId="42973"/>
    <cellStyle name="Обычный 8 5 3 2 2 3 4 2" xfId="42974"/>
    <cellStyle name="Обычный 8 5 3 2 2 3 5" xfId="42975"/>
    <cellStyle name="Обычный 8 5 3 2 2 3 6" xfId="42976"/>
    <cellStyle name="Обычный 8 5 3 2 2 4" xfId="42977"/>
    <cellStyle name="Обычный 8 5 3 2 2 4 2" xfId="42978"/>
    <cellStyle name="Обычный 8 5 3 2 2 4 3" xfId="42979"/>
    <cellStyle name="Обычный 8 5 3 2 2 5" xfId="42980"/>
    <cellStyle name="Обычный 8 5 3 2 2 5 2" xfId="42981"/>
    <cellStyle name="Обычный 8 5 3 2 2 5 3" xfId="42982"/>
    <cellStyle name="Обычный 8 5 3 2 2 6" xfId="42983"/>
    <cellStyle name="Обычный 8 5 3 2 2 6 2" xfId="42984"/>
    <cellStyle name="Обычный 8 5 3 2 2 7" xfId="42985"/>
    <cellStyle name="Обычный 8 5 3 2 2 8" xfId="42986"/>
    <cellStyle name="Обычный 8 5 3 2 3" xfId="42987"/>
    <cellStyle name="Обычный 8 5 3 2 3 2" xfId="42988"/>
    <cellStyle name="Обычный 8 5 3 2 3 2 2" xfId="42989"/>
    <cellStyle name="Обычный 8 5 3 2 3 2 2 2" xfId="42990"/>
    <cellStyle name="Обычный 8 5 3 2 3 2 2 3" xfId="42991"/>
    <cellStyle name="Обычный 8 5 3 2 3 2 3" xfId="42992"/>
    <cellStyle name="Обычный 8 5 3 2 3 2 3 2" xfId="42993"/>
    <cellStyle name="Обычный 8 5 3 2 3 2 3 3" xfId="42994"/>
    <cellStyle name="Обычный 8 5 3 2 3 2 4" xfId="42995"/>
    <cellStyle name="Обычный 8 5 3 2 3 2 4 2" xfId="42996"/>
    <cellStyle name="Обычный 8 5 3 2 3 2 5" xfId="42997"/>
    <cellStyle name="Обычный 8 5 3 2 3 2 6" xfId="42998"/>
    <cellStyle name="Обычный 8 5 3 2 3 3" xfId="42999"/>
    <cellStyle name="Обычный 8 5 3 2 3 3 2" xfId="43000"/>
    <cellStyle name="Обычный 8 5 3 2 3 3 3" xfId="43001"/>
    <cellStyle name="Обычный 8 5 3 2 3 4" xfId="43002"/>
    <cellStyle name="Обычный 8 5 3 2 3 4 2" xfId="43003"/>
    <cellStyle name="Обычный 8 5 3 2 3 4 3" xfId="43004"/>
    <cellStyle name="Обычный 8 5 3 2 3 5" xfId="43005"/>
    <cellStyle name="Обычный 8 5 3 2 3 5 2" xfId="43006"/>
    <cellStyle name="Обычный 8 5 3 2 3 6" xfId="43007"/>
    <cellStyle name="Обычный 8 5 3 2 3 7" xfId="43008"/>
    <cellStyle name="Обычный 8 5 3 2 4" xfId="43009"/>
    <cellStyle name="Обычный 8 5 3 2 4 2" xfId="43010"/>
    <cellStyle name="Обычный 8 5 3 2 4 2 2" xfId="43011"/>
    <cellStyle name="Обычный 8 5 3 2 4 2 3" xfId="43012"/>
    <cellStyle name="Обычный 8 5 3 2 4 3" xfId="43013"/>
    <cellStyle name="Обычный 8 5 3 2 4 3 2" xfId="43014"/>
    <cellStyle name="Обычный 8 5 3 2 4 3 3" xfId="43015"/>
    <cellStyle name="Обычный 8 5 3 2 4 4" xfId="43016"/>
    <cellStyle name="Обычный 8 5 3 2 4 4 2" xfId="43017"/>
    <cellStyle name="Обычный 8 5 3 2 4 5" xfId="43018"/>
    <cellStyle name="Обычный 8 5 3 2 4 6" xfId="43019"/>
    <cellStyle name="Обычный 8 5 3 2 5" xfId="43020"/>
    <cellStyle name="Обычный 8 5 3 2 5 2" xfId="43021"/>
    <cellStyle name="Обычный 8 5 3 2 5 3" xfId="43022"/>
    <cellStyle name="Обычный 8 5 3 2 6" xfId="43023"/>
    <cellStyle name="Обычный 8 5 3 2 6 2" xfId="43024"/>
    <cellStyle name="Обычный 8 5 3 2 6 3" xfId="43025"/>
    <cellStyle name="Обычный 8 5 3 2 7" xfId="43026"/>
    <cellStyle name="Обычный 8 5 3 2 7 2" xfId="43027"/>
    <cellStyle name="Обычный 8 5 3 2 8" xfId="43028"/>
    <cellStyle name="Обычный 8 5 3 2 9" xfId="43029"/>
    <cellStyle name="Обычный 8 5 3 3" xfId="43030"/>
    <cellStyle name="Обычный 8 5 3 3 2" xfId="43031"/>
    <cellStyle name="Обычный 8 5 3 3 2 2" xfId="43032"/>
    <cellStyle name="Обычный 8 5 3 3 2 2 2" xfId="43033"/>
    <cellStyle name="Обычный 8 5 3 3 2 2 2 2" xfId="43034"/>
    <cellStyle name="Обычный 8 5 3 3 2 2 2 3" xfId="43035"/>
    <cellStyle name="Обычный 8 5 3 3 2 2 3" xfId="43036"/>
    <cellStyle name="Обычный 8 5 3 3 2 2 3 2" xfId="43037"/>
    <cellStyle name="Обычный 8 5 3 3 2 2 3 3" xfId="43038"/>
    <cellStyle name="Обычный 8 5 3 3 2 2 4" xfId="43039"/>
    <cellStyle name="Обычный 8 5 3 3 2 2 4 2" xfId="43040"/>
    <cellStyle name="Обычный 8 5 3 3 2 2 5" xfId="43041"/>
    <cellStyle name="Обычный 8 5 3 3 2 2 6" xfId="43042"/>
    <cellStyle name="Обычный 8 5 3 3 2 3" xfId="43043"/>
    <cellStyle name="Обычный 8 5 3 3 2 3 2" xfId="43044"/>
    <cellStyle name="Обычный 8 5 3 3 2 3 3" xfId="43045"/>
    <cellStyle name="Обычный 8 5 3 3 2 4" xfId="43046"/>
    <cellStyle name="Обычный 8 5 3 3 2 4 2" xfId="43047"/>
    <cellStyle name="Обычный 8 5 3 3 2 4 3" xfId="43048"/>
    <cellStyle name="Обычный 8 5 3 3 2 5" xfId="43049"/>
    <cellStyle name="Обычный 8 5 3 3 2 5 2" xfId="43050"/>
    <cellStyle name="Обычный 8 5 3 3 2 6" xfId="43051"/>
    <cellStyle name="Обычный 8 5 3 3 2 7" xfId="43052"/>
    <cellStyle name="Обычный 8 5 3 3 3" xfId="43053"/>
    <cellStyle name="Обычный 8 5 3 3 3 2" xfId="43054"/>
    <cellStyle name="Обычный 8 5 3 3 3 2 2" xfId="43055"/>
    <cellStyle name="Обычный 8 5 3 3 3 2 3" xfId="43056"/>
    <cellStyle name="Обычный 8 5 3 3 3 3" xfId="43057"/>
    <cellStyle name="Обычный 8 5 3 3 3 3 2" xfId="43058"/>
    <cellStyle name="Обычный 8 5 3 3 3 3 3" xfId="43059"/>
    <cellStyle name="Обычный 8 5 3 3 3 4" xfId="43060"/>
    <cellStyle name="Обычный 8 5 3 3 3 4 2" xfId="43061"/>
    <cellStyle name="Обычный 8 5 3 3 3 5" xfId="43062"/>
    <cellStyle name="Обычный 8 5 3 3 3 6" xfId="43063"/>
    <cellStyle name="Обычный 8 5 3 3 4" xfId="43064"/>
    <cellStyle name="Обычный 8 5 3 3 4 2" xfId="43065"/>
    <cellStyle name="Обычный 8 5 3 3 4 3" xfId="43066"/>
    <cellStyle name="Обычный 8 5 3 3 5" xfId="43067"/>
    <cellStyle name="Обычный 8 5 3 3 5 2" xfId="43068"/>
    <cellStyle name="Обычный 8 5 3 3 5 3" xfId="43069"/>
    <cellStyle name="Обычный 8 5 3 3 6" xfId="43070"/>
    <cellStyle name="Обычный 8 5 3 3 6 2" xfId="43071"/>
    <cellStyle name="Обычный 8 5 3 3 7" xfId="43072"/>
    <cellStyle name="Обычный 8 5 3 3 8" xfId="43073"/>
    <cellStyle name="Обычный 8 5 3 4" xfId="43074"/>
    <cellStyle name="Обычный 8 5 3 4 2" xfId="43075"/>
    <cellStyle name="Обычный 8 5 3 4 2 2" xfId="43076"/>
    <cellStyle name="Обычный 8 5 3 4 2 2 2" xfId="43077"/>
    <cellStyle name="Обычный 8 5 3 4 2 2 3" xfId="43078"/>
    <cellStyle name="Обычный 8 5 3 4 2 3" xfId="43079"/>
    <cellStyle name="Обычный 8 5 3 4 2 3 2" xfId="43080"/>
    <cellStyle name="Обычный 8 5 3 4 2 3 3" xfId="43081"/>
    <cellStyle name="Обычный 8 5 3 4 2 4" xfId="43082"/>
    <cellStyle name="Обычный 8 5 3 4 2 4 2" xfId="43083"/>
    <cellStyle name="Обычный 8 5 3 4 2 5" xfId="43084"/>
    <cellStyle name="Обычный 8 5 3 4 2 6" xfId="43085"/>
    <cellStyle name="Обычный 8 5 3 4 3" xfId="43086"/>
    <cellStyle name="Обычный 8 5 3 4 3 2" xfId="43087"/>
    <cellStyle name="Обычный 8 5 3 4 3 3" xfId="43088"/>
    <cellStyle name="Обычный 8 5 3 4 4" xfId="43089"/>
    <cellStyle name="Обычный 8 5 3 4 4 2" xfId="43090"/>
    <cellStyle name="Обычный 8 5 3 4 4 3" xfId="43091"/>
    <cellStyle name="Обычный 8 5 3 4 5" xfId="43092"/>
    <cellStyle name="Обычный 8 5 3 4 5 2" xfId="43093"/>
    <cellStyle name="Обычный 8 5 3 4 6" xfId="43094"/>
    <cellStyle name="Обычный 8 5 3 4 7" xfId="43095"/>
    <cellStyle name="Обычный 8 5 3 5" xfId="43096"/>
    <cellStyle name="Обычный 8 5 3 5 2" xfId="43097"/>
    <cellStyle name="Обычный 8 5 3 5 2 2" xfId="43098"/>
    <cellStyle name="Обычный 8 5 3 5 2 3" xfId="43099"/>
    <cellStyle name="Обычный 8 5 3 5 3" xfId="43100"/>
    <cellStyle name="Обычный 8 5 3 5 3 2" xfId="43101"/>
    <cellStyle name="Обычный 8 5 3 5 3 3" xfId="43102"/>
    <cellStyle name="Обычный 8 5 3 5 4" xfId="43103"/>
    <cellStyle name="Обычный 8 5 3 5 4 2" xfId="43104"/>
    <cellStyle name="Обычный 8 5 3 5 5" xfId="43105"/>
    <cellStyle name="Обычный 8 5 3 5 6" xfId="43106"/>
    <cellStyle name="Обычный 8 5 3 6" xfId="43107"/>
    <cellStyle name="Обычный 8 5 3 6 2" xfId="43108"/>
    <cellStyle name="Обычный 8 5 3 6 3" xfId="43109"/>
    <cellStyle name="Обычный 8 5 3 7" xfId="43110"/>
    <cellStyle name="Обычный 8 5 3 7 2" xfId="43111"/>
    <cellStyle name="Обычный 8 5 3 7 3" xfId="43112"/>
    <cellStyle name="Обычный 8 5 3 8" xfId="43113"/>
    <cellStyle name="Обычный 8 5 3 8 2" xfId="43114"/>
    <cellStyle name="Обычный 8 5 3 9" xfId="43115"/>
    <cellStyle name="Обычный 8 5 4" xfId="43116"/>
    <cellStyle name="Обычный 8 5 4 10" xfId="43117"/>
    <cellStyle name="Обычный 8 5 4 2" xfId="43118"/>
    <cellStyle name="Обычный 8 5 4 2 2" xfId="43119"/>
    <cellStyle name="Обычный 8 5 4 2 2 2" xfId="43120"/>
    <cellStyle name="Обычный 8 5 4 2 2 2 2" xfId="43121"/>
    <cellStyle name="Обычный 8 5 4 2 2 2 2 2" xfId="43122"/>
    <cellStyle name="Обычный 8 5 4 2 2 2 2 2 2" xfId="43123"/>
    <cellStyle name="Обычный 8 5 4 2 2 2 2 2 3" xfId="43124"/>
    <cellStyle name="Обычный 8 5 4 2 2 2 2 3" xfId="43125"/>
    <cellStyle name="Обычный 8 5 4 2 2 2 2 3 2" xfId="43126"/>
    <cellStyle name="Обычный 8 5 4 2 2 2 2 3 3" xfId="43127"/>
    <cellStyle name="Обычный 8 5 4 2 2 2 2 4" xfId="43128"/>
    <cellStyle name="Обычный 8 5 4 2 2 2 2 4 2" xfId="43129"/>
    <cellStyle name="Обычный 8 5 4 2 2 2 2 5" xfId="43130"/>
    <cellStyle name="Обычный 8 5 4 2 2 2 2 6" xfId="43131"/>
    <cellStyle name="Обычный 8 5 4 2 2 2 3" xfId="43132"/>
    <cellStyle name="Обычный 8 5 4 2 2 2 3 2" xfId="43133"/>
    <cellStyle name="Обычный 8 5 4 2 2 2 3 3" xfId="43134"/>
    <cellStyle name="Обычный 8 5 4 2 2 2 4" xfId="43135"/>
    <cellStyle name="Обычный 8 5 4 2 2 2 4 2" xfId="43136"/>
    <cellStyle name="Обычный 8 5 4 2 2 2 4 3" xfId="43137"/>
    <cellStyle name="Обычный 8 5 4 2 2 2 5" xfId="43138"/>
    <cellStyle name="Обычный 8 5 4 2 2 2 5 2" xfId="43139"/>
    <cellStyle name="Обычный 8 5 4 2 2 2 6" xfId="43140"/>
    <cellStyle name="Обычный 8 5 4 2 2 2 7" xfId="43141"/>
    <cellStyle name="Обычный 8 5 4 2 2 3" xfId="43142"/>
    <cellStyle name="Обычный 8 5 4 2 2 3 2" xfId="43143"/>
    <cellStyle name="Обычный 8 5 4 2 2 3 2 2" xfId="43144"/>
    <cellStyle name="Обычный 8 5 4 2 2 3 2 3" xfId="43145"/>
    <cellStyle name="Обычный 8 5 4 2 2 3 3" xfId="43146"/>
    <cellStyle name="Обычный 8 5 4 2 2 3 3 2" xfId="43147"/>
    <cellStyle name="Обычный 8 5 4 2 2 3 3 3" xfId="43148"/>
    <cellStyle name="Обычный 8 5 4 2 2 3 4" xfId="43149"/>
    <cellStyle name="Обычный 8 5 4 2 2 3 4 2" xfId="43150"/>
    <cellStyle name="Обычный 8 5 4 2 2 3 5" xfId="43151"/>
    <cellStyle name="Обычный 8 5 4 2 2 3 6" xfId="43152"/>
    <cellStyle name="Обычный 8 5 4 2 2 4" xfId="43153"/>
    <cellStyle name="Обычный 8 5 4 2 2 4 2" xfId="43154"/>
    <cellStyle name="Обычный 8 5 4 2 2 4 3" xfId="43155"/>
    <cellStyle name="Обычный 8 5 4 2 2 5" xfId="43156"/>
    <cellStyle name="Обычный 8 5 4 2 2 5 2" xfId="43157"/>
    <cellStyle name="Обычный 8 5 4 2 2 5 3" xfId="43158"/>
    <cellStyle name="Обычный 8 5 4 2 2 6" xfId="43159"/>
    <cellStyle name="Обычный 8 5 4 2 2 6 2" xfId="43160"/>
    <cellStyle name="Обычный 8 5 4 2 2 7" xfId="43161"/>
    <cellStyle name="Обычный 8 5 4 2 2 8" xfId="43162"/>
    <cellStyle name="Обычный 8 5 4 2 3" xfId="43163"/>
    <cellStyle name="Обычный 8 5 4 2 3 2" xfId="43164"/>
    <cellStyle name="Обычный 8 5 4 2 3 2 2" xfId="43165"/>
    <cellStyle name="Обычный 8 5 4 2 3 2 2 2" xfId="43166"/>
    <cellStyle name="Обычный 8 5 4 2 3 2 2 3" xfId="43167"/>
    <cellStyle name="Обычный 8 5 4 2 3 2 3" xfId="43168"/>
    <cellStyle name="Обычный 8 5 4 2 3 2 3 2" xfId="43169"/>
    <cellStyle name="Обычный 8 5 4 2 3 2 3 3" xfId="43170"/>
    <cellStyle name="Обычный 8 5 4 2 3 2 4" xfId="43171"/>
    <cellStyle name="Обычный 8 5 4 2 3 2 4 2" xfId="43172"/>
    <cellStyle name="Обычный 8 5 4 2 3 2 5" xfId="43173"/>
    <cellStyle name="Обычный 8 5 4 2 3 2 6" xfId="43174"/>
    <cellStyle name="Обычный 8 5 4 2 3 3" xfId="43175"/>
    <cellStyle name="Обычный 8 5 4 2 3 3 2" xfId="43176"/>
    <cellStyle name="Обычный 8 5 4 2 3 3 3" xfId="43177"/>
    <cellStyle name="Обычный 8 5 4 2 3 4" xfId="43178"/>
    <cellStyle name="Обычный 8 5 4 2 3 4 2" xfId="43179"/>
    <cellStyle name="Обычный 8 5 4 2 3 4 3" xfId="43180"/>
    <cellStyle name="Обычный 8 5 4 2 3 5" xfId="43181"/>
    <cellStyle name="Обычный 8 5 4 2 3 5 2" xfId="43182"/>
    <cellStyle name="Обычный 8 5 4 2 3 6" xfId="43183"/>
    <cellStyle name="Обычный 8 5 4 2 3 7" xfId="43184"/>
    <cellStyle name="Обычный 8 5 4 2 4" xfId="43185"/>
    <cellStyle name="Обычный 8 5 4 2 4 2" xfId="43186"/>
    <cellStyle name="Обычный 8 5 4 2 4 2 2" xfId="43187"/>
    <cellStyle name="Обычный 8 5 4 2 4 2 3" xfId="43188"/>
    <cellStyle name="Обычный 8 5 4 2 4 3" xfId="43189"/>
    <cellStyle name="Обычный 8 5 4 2 4 3 2" xfId="43190"/>
    <cellStyle name="Обычный 8 5 4 2 4 3 3" xfId="43191"/>
    <cellStyle name="Обычный 8 5 4 2 4 4" xfId="43192"/>
    <cellStyle name="Обычный 8 5 4 2 4 4 2" xfId="43193"/>
    <cellStyle name="Обычный 8 5 4 2 4 5" xfId="43194"/>
    <cellStyle name="Обычный 8 5 4 2 4 6" xfId="43195"/>
    <cellStyle name="Обычный 8 5 4 2 5" xfId="43196"/>
    <cellStyle name="Обычный 8 5 4 2 5 2" xfId="43197"/>
    <cellStyle name="Обычный 8 5 4 2 5 3" xfId="43198"/>
    <cellStyle name="Обычный 8 5 4 2 6" xfId="43199"/>
    <cellStyle name="Обычный 8 5 4 2 6 2" xfId="43200"/>
    <cellStyle name="Обычный 8 5 4 2 6 3" xfId="43201"/>
    <cellStyle name="Обычный 8 5 4 2 7" xfId="43202"/>
    <cellStyle name="Обычный 8 5 4 2 7 2" xfId="43203"/>
    <cellStyle name="Обычный 8 5 4 2 8" xfId="43204"/>
    <cellStyle name="Обычный 8 5 4 2 9" xfId="43205"/>
    <cellStyle name="Обычный 8 5 4 3" xfId="43206"/>
    <cellStyle name="Обычный 8 5 4 3 2" xfId="43207"/>
    <cellStyle name="Обычный 8 5 4 3 2 2" xfId="43208"/>
    <cellStyle name="Обычный 8 5 4 3 2 2 2" xfId="43209"/>
    <cellStyle name="Обычный 8 5 4 3 2 2 2 2" xfId="43210"/>
    <cellStyle name="Обычный 8 5 4 3 2 2 2 3" xfId="43211"/>
    <cellStyle name="Обычный 8 5 4 3 2 2 3" xfId="43212"/>
    <cellStyle name="Обычный 8 5 4 3 2 2 3 2" xfId="43213"/>
    <cellStyle name="Обычный 8 5 4 3 2 2 3 3" xfId="43214"/>
    <cellStyle name="Обычный 8 5 4 3 2 2 4" xfId="43215"/>
    <cellStyle name="Обычный 8 5 4 3 2 2 4 2" xfId="43216"/>
    <cellStyle name="Обычный 8 5 4 3 2 2 5" xfId="43217"/>
    <cellStyle name="Обычный 8 5 4 3 2 2 6" xfId="43218"/>
    <cellStyle name="Обычный 8 5 4 3 2 3" xfId="43219"/>
    <cellStyle name="Обычный 8 5 4 3 2 3 2" xfId="43220"/>
    <cellStyle name="Обычный 8 5 4 3 2 3 3" xfId="43221"/>
    <cellStyle name="Обычный 8 5 4 3 2 4" xfId="43222"/>
    <cellStyle name="Обычный 8 5 4 3 2 4 2" xfId="43223"/>
    <cellStyle name="Обычный 8 5 4 3 2 4 3" xfId="43224"/>
    <cellStyle name="Обычный 8 5 4 3 2 5" xfId="43225"/>
    <cellStyle name="Обычный 8 5 4 3 2 5 2" xfId="43226"/>
    <cellStyle name="Обычный 8 5 4 3 2 6" xfId="43227"/>
    <cellStyle name="Обычный 8 5 4 3 2 7" xfId="43228"/>
    <cellStyle name="Обычный 8 5 4 3 3" xfId="43229"/>
    <cellStyle name="Обычный 8 5 4 3 3 2" xfId="43230"/>
    <cellStyle name="Обычный 8 5 4 3 3 2 2" xfId="43231"/>
    <cellStyle name="Обычный 8 5 4 3 3 2 3" xfId="43232"/>
    <cellStyle name="Обычный 8 5 4 3 3 3" xfId="43233"/>
    <cellStyle name="Обычный 8 5 4 3 3 3 2" xfId="43234"/>
    <cellStyle name="Обычный 8 5 4 3 3 3 3" xfId="43235"/>
    <cellStyle name="Обычный 8 5 4 3 3 4" xfId="43236"/>
    <cellStyle name="Обычный 8 5 4 3 3 4 2" xfId="43237"/>
    <cellStyle name="Обычный 8 5 4 3 3 5" xfId="43238"/>
    <cellStyle name="Обычный 8 5 4 3 3 6" xfId="43239"/>
    <cellStyle name="Обычный 8 5 4 3 4" xfId="43240"/>
    <cellStyle name="Обычный 8 5 4 3 4 2" xfId="43241"/>
    <cellStyle name="Обычный 8 5 4 3 4 3" xfId="43242"/>
    <cellStyle name="Обычный 8 5 4 3 5" xfId="43243"/>
    <cellStyle name="Обычный 8 5 4 3 5 2" xfId="43244"/>
    <cellStyle name="Обычный 8 5 4 3 5 3" xfId="43245"/>
    <cellStyle name="Обычный 8 5 4 3 6" xfId="43246"/>
    <cellStyle name="Обычный 8 5 4 3 6 2" xfId="43247"/>
    <cellStyle name="Обычный 8 5 4 3 7" xfId="43248"/>
    <cellStyle name="Обычный 8 5 4 3 8" xfId="43249"/>
    <cellStyle name="Обычный 8 5 4 4" xfId="43250"/>
    <cellStyle name="Обычный 8 5 4 4 2" xfId="43251"/>
    <cellStyle name="Обычный 8 5 4 4 2 2" xfId="43252"/>
    <cellStyle name="Обычный 8 5 4 4 2 2 2" xfId="43253"/>
    <cellStyle name="Обычный 8 5 4 4 2 2 3" xfId="43254"/>
    <cellStyle name="Обычный 8 5 4 4 2 3" xfId="43255"/>
    <cellStyle name="Обычный 8 5 4 4 2 3 2" xfId="43256"/>
    <cellStyle name="Обычный 8 5 4 4 2 3 3" xfId="43257"/>
    <cellStyle name="Обычный 8 5 4 4 2 4" xfId="43258"/>
    <cellStyle name="Обычный 8 5 4 4 2 4 2" xfId="43259"/>
    <cellStyle name="Обычный 8 5 4 4 2 5" xfId="43260"/>
    <cellStyle name="Обычный 8 5 4 4 2 6" xfId="43261"/>
    <cellStyle name="Обычный 8 5 4 4 3" xfId="43262"/>
    <cellStyle name="Обычный 8 5 4 4 3 2" xfId="43263"/>
    <cellStyle name="Обычный 8 5 4 4 3 3" xfId="43264"/>
    <cellStyle name="Обычный 8 5 4 4 4" xfId="43265"/>
    <cellStyle name="Обычный 8 5 4 4 4 2" xfId="43266"/>
    <cellStyle name="Обычный 8 5 4 4 4 3" xfId="43267"/>
    <cellStyle name="Обычный 8 5 4 4 5" xfId="43268"/>
    <cellStyle name="Обычный 8 5 4 4 5 2" xfId="43269"/>
    <cellStyle name="Обычный 8 5 4 4 6" xfId="43270"/>
    <cellStyle name="Обычный 8 5 4 4 7" xfId="43271"/>
    <cellStyle name="Обычный 8 5 4 5" xfId="43272"/>
    <cellStyle name="Обычный 8 5 4 5 2" xfId="43273"/>
    <cellStyle name="Обычный 8 5 4 5 2 2" xfId="43274"/>
    <cellStyle name="Обычный 8 5 4 5 2 3" xfId="43275"/>
    <cellStyle name="Обычный 8 5 4 5 3" xfId="43276"/>
    <cellStyle name="Обычный 8 5 4 5 3 2" xfId="43277"/>
    <cellStyle name="Обычный 8 5 4 5 3 3" xfId="43278"/>
    <cellStyle name="Обычный 8 5 4 5 4" xfId="43279"/>
    <cellStyle name="Обычный 8 5 4 5 4 2" xfId="43280"/>
    <cellStyle name="Обычный 8 5 4 5 5" xfId="43281"/>
    <cellStyle name="Обычный 8 5 4 5 6" xfId="43282"/>
    <cellStyle name="Обычный 8 5 4 6" xfId="43283"/>
    <cellStyle name="Обычный 8 5 4 6 2" xfId="43284"/>
    <cellStyle name="Обычный 8 5 4 6 3" xfId="43285"/>
    <cellStyle name="Обычный 8 5 4 7" xfId="43286"/>
    <cellStyle name="Обычный 8 5 4 7 2" xfId="43287"/>
    <cellStyle name="Обычный 8 5 4 7 3" xfId="43288"/>
    <cellStyle name="Обычный 8 5 4 8" xfId="43289"/>
    <cellStyle name="Обычный 8 5 4 8 2" xfId="43290"/>
    <cellStyle name="Обычный 8 5 4 9" xfId="43291"/>
    <cellStyle name="Обычный 8 5 5" xfId="43292"/>
    <cellStyle name="Обычный 8 5 5 10" xfId="43293"/>
    <cellStyle name="Обычный 8 5 5 2" xfId="43294"/>
    <cellStyle name="Обычный 8 5 5 2 2" xfId="43295"/>
    <cellStyle name="Обычный 8 5 5 2 2 2" xfId="43296"/>
    <cellStyle name="Обычный 8 5 5 2 2 2 2" xfId="43297"/>
    <cellStyle name="Обычный 8 5 5 2 2 2 2 2" xfId="43298"/>
    <cellStyle name="Обычный 8 5 5 2 2 2 2 2 2" xfId="43299"/>
    <cellStyle name="Обычный 8 5 5 2 2 2 2 2 3" xfId="43300"/>
    <cellStyle name="Обычный 8 5 5 2 2 2 2 3" xfId="43301"/>
    <cellStyle name="Обычный 8 5 5 2 2 2 2 3 2" xfId="43302"/>
    <cellStyle name="Обычный 8 5 5 2 2 2 2 3 3" xfId="43303"/>
    <cellStyle name="Обычный 8 5 5 2 2 2 2 4" xfId="43304"/>
    <cellStyle name="Обычный 8 5 5 2 2 2 2 4 2" xfId="43305"/>
    <cellStyle name="Обычный 8 5 5 2 2 2 2 5" xfId="43306"/>
    <cellStyle name="Обычный 8 5 5 2 2 2 2 6" xfId="43307"/>
    <cellStyle name="Обычный 8 5 5 2 2 2 3" xfId="43308"/>
    <cellStyle name="Обычный 8 5 5 2 2 2 3 2" xfId="43309"/>
    <cellStyle name="Обычный 8 5 5 2 2 2 3 3" xfId="43310"/>
    <cellStyle name="Обычный 8 5 5 2 2 2 4" xfId="43311"/>
    <cellStyle name="Обычный 8 5 5 2 2 2 4 2" xfId="43312"/>
    <cellStyle name="Обычный 8 5 5 2 2 2 4 3" xfId="43313"/>
    <cellStyle name="Обычный 8 5 5 2 2 2 5" xfId="43314"/>
    <cellStyle name="Обычный 8 5 5 2 2 2 5 2" xfId="43315"/>
    <cellStyle name="Обычный 8 5 5 2 2 2 6" xfId="43316"/>
    <cellStyle name="Обычный 8 5 5 2 2 2 7" xfId="43317"/>
    <cellStyle name="Обычный 8 5 5 2 2 3" xfId="43318"/>
    <cellStyle name="Обычный 8 5 5 2 2 3 2" xfId="43319"/>
    <cellStyle name="Обычный 8 5 5 2 2 3 2 2" xfId="43320"/>
    <cellStyle name="Обычный 8 5 5 2 2 3 2 3" xfId="43321"/>
    <cellStyle name="Обычный 8 5 5 2 2 3 3" xfId="43322"/>
    <cellStyle name="Обычный 8 5 5 2 2 3 3 2" xfId="43323"/>
    <cellStyle name="Обычный 8 5 5 2 2 3 3 3" xfId="43324"/>
    <cellStyle name="Обычный 8 5 5 2 2 3 4" xfId="43325"/>
    <cellStyle name="Обычный 8 5 5 2 2 3 4 2" xfId="43326"/>
    <cellStyle name="Обычный 8 5 5 2 2 3 5" xfId="43327"/>
    <cellStyle name="Обычный 8 5 5 2 2 3 6" xfId="43328"/>
    <cellStyle name="Обычный 8 5 5 2 2 4" xfId="43329"/>
    <cellStyle name="Обычный 8 5 5 2 2 4 2" xfId="43330"/>
    <cellStyle name="Обычный 8 5 5 2 2 4 3" xfId="43331"/>
    <cellStyle name="Обычный 8 5 5 2 2 5" xfId="43332"/>
    <cellStyle name="Обычный 8 5 5 2 2 5 2" xfId="43333"/>
    <cellStyle name="Обычный 8 5 5 2 2 5 3" xfId="43334"/>
    <cellStyle name="Обычный 8 5 5 2 2 6" xfId="43335"/>
    <cellStyle name="Обычный 8 5 5 2 2 6 2" xfId="43336"/>
    <cellStyle name="Обычный 8 5 5 2 2 7" xfId="43337"/>
    <cellStyle name="Обычный 8 5 5 2 2 8" xfId="43338"/>
    <cellStyle name="Обычный 8 5 5 2 3" xfId="43339"/>
    <cellStyle name="Обычный 8 5 5 2 3 2" xfId="43340"/>
    <cellStyle name="Обычный 8 5 5 2 3 2 2" xfId="43341"/>
    <cellStyle name="Обычный 8 5 5 2 3 2 2 2" xfId="43342"/>
    <cellStyle name="Обычный 8 5 5 2 3 2 2 3" xfId="43343"/>
    <cellStyle name="Обычный 8 5 5 2 3 2 3" xfId="43344"/>
    <cellStyle name="Обычный 8 5 5 2 3 2 3 2" xfId="43345"/>
    <cellStyle name="Обычный 8 5 5 2 3 2 3 3" xfId="43346"/>
    <cellStyle name="Обычный 8 5 5 2 3 2 4" xfId="43347"/>
    <cellStyle name="Обычный 8 5 5 2 3 2 4 2" xfId="43348"/>
    <cellStyle name="Обычный 8 5 5 2 3 2 5" xfId="43349"/>
    <cellStyle name="Обычный 8 5 5 2 3 2 6" xfId="43350"/>
    <cellStyle name="Обычный 8 5 5 2 3 3" xfId="43351"/>
    <cellStyle name="Обычный 8 5 5 2 3 3 2" xfId="43352"/>
    <cellStyle name="Обычный 8 5 5 2 3 3 3" xfId="43353"/>
    <cellStyle name="Обычный 8 5 5 2 3 4" xfId="43354"/>
    <cellStyle name="Обычный 8 5 5 2 3 4 2" xfId="43355"/>
    <cellStyle name="Обычный 8 5 5 2 3 4 3" xfId="43356"/>
    <cellStyle name="Обычный 8 5 5 2 3 5" xfId="43357"/>
    <cellStyle name="Обычный 8 5 5 2 3 5 2" xfId="43358"/>
    <cellStyle name="Обычный 8 5 5 2 3 6" xfId="43359"/>
    <cellStyle name="Обычный 8 5 5 2 3 7" xfId="43360"/>
    <cellStyle name="Обычный 8 5 5 2 4" xfId="43361"/>
    <cellStyle name="Обычный 8 5 5 2 4 2" xfId="43362"/>
    <cellStyle name="Обычный 8 5 5 2 4 2 2" xfId="43363"/>
    <cellStyle name="Обычный 8 5 5 2 4 2 3" xfId="43364"/>
    <cellStyle name="Обычный 8 5 5 2 4 3" xfId="43365"/>
    <cellStyle name="Обычный 8 5 5 2 4 3 2" xfId="43366"/>
    <cellStyle name="Обычный 8 5 5 2 4 3 3" xfId="43367"/>
    <cellStyle name="Обычный 8 5 5 2 4 4" xfId="43368"/>
    <cellStyle name="Обычный 8 5 5 2 4 4 2" xfId="43369"/>
    <cellStyle name="Обычный 8 5 5 2 4 5" xfId="43370"/>
    <cellStyle name="Обычный 8 5 5 2 4 6" xfId="43371"/>
    <cellStyle name="Обычный 8 5 5 2 5" xfId="43372"/>
    <cellStyle name="Обычный 8 5 5 2 5 2" xfId="43373"/>
    <cellStyle name="Обычный 8 5 5 2 5 3" xfId="43374"/>
    <cellStyle name="Обычный 8 5 5 2 6" xfId="43375"/>
    <cellStyle name="Обычный 8 5 5 2 6 2" xfId="43376"/>
    <cellStyle name="Обычный 8 5 5 2 6 3" xfId="43377"/>
    <cellStyle name="Обычный 8 5 5 2 7" xfId="43378"/>
    <cellStyle name="Обычный 8 5 5 2 7 2" xfId="43379"/>
    <cellStyle name="Обычный 8 5 5 2 8" xfId="43380"/>
    <cellStyle name="Обычный 8 5 5 2 9" xfId="43381"/>
    <cellStyle name="Обычный 8 5 5 3" xfId="43382"/>
    <cellStyle name="Обычный 8 5 5 3 2" xfId="43383"/>
    <cellStyle name="Обычный 8 5 5 3 2 2" xfId="43384"/>
    <cellStyle name="Обычный 8 5 5 3 2 2 2" xfId="43385"/>
    <cellStyle name="Обычный 8 5 5 3 2 2 2 2" xfId="43386"/>
    <cellStyle name="Обычный 8 5 5 3 2 2 2 3" xfId="43387"/>
    <cellStyle name="Обычный 8 5 5 3 2 2 3" xfId="43388"/>
    <cellStyle name="Обычный 8 5 5 3 2 2 3 2" xfId="43389"/>
    <cellStyle name="Обычный 8 5 5 3 2 2 3 3" xfId="43390"/>
    <cellStyle name="Обычный 8 5 5 3 2 2 4" xfId="43391"/>
    <cellStyle name="Обычный 8 5 5 3 2 2 4 2" xfId="43392"/>
    <cellStyle name="Обычный 8 5 5 3 2 2 5" xfId="43393"/>
    <cellStyle name="Обычный 8 5 5 3 2 2 6" xfId="43394"/>
    <cellStyle name="Обычный 8 5 5 3 2 3" xfId="43395"/>
    <cellStyle name="Обычный 8 5 5 3 2 3 2" xfId="43396"/>
    <cellStyle name="Обычный 8 5 5 3 2 3 3" xfId="43397"/>
    <cellStyle name="Обычный 8 5 5 3 2 4" xfId="43398"/>
    <cellStyle name="Обычный 8 5 5 3 2 4 2" xfId="43399"/>
    <cellStyle name="Обычный 8 5 5 3 2 4 3" xfId="43400"/>
    <cellStyle name="Обычный 8 5 5 3 2 5" xfId="43401"/>
    <cellStyle name="Обычный 8 5 5 3 2 5 2" xfId="43402"/>
    <cellStyle name="Обычный 8 5 5 3 2 6" xfId="43403"/>
    <cellStyle name="Обычный 8 5 5 3 2 7" xfId="43404"/>
    <cellStyle name="Обычный 8 5 5 3 3" xfId="43405"/>
    <cellStyle name="Обычный 8 5 5 3 3 2" xfId="43406"/>
    <cellStyle name="Обычный 8 5 5 3 3 2 2" xfId="43407"/>
    <cellStyle name="Обычный 8 5 5 3 3 2 3" xfId="43408"/>
    <cellStyle name="Обычный 8 5 5 3 3 3" xfId="43409"/>
    <cellStyle name="Обычный 8 5 5 3 3 3 2" xfId="43410"/>
    <cellStyle name="Обычный 8 5 5 3 3 3 3" xfId="43411"/>
    <cellStyle name="Обычный 8 5 5 3 3 4" xfId="43412"/>
    <cellStyle name="Обычный 8 5 5 3 3 4 2" xfId="43413"/>
    <cellStyle name="Обычный 8 5 5 3 3 5" xfId="43414"/>
    <cellStyle name="Обычный 8 5 5 3 3 6" xfId="43415"/>
    <cellStyle name="Обычный 8 5 5 3 4" xfId="43416"/>
    <cellStyle name="Обычный 8 5 5 3 4 2" xfId="43417"/>
    <cellStyle name="Обычный 8 5 5 3 4 3" xfId="43418"/>
    <cellStyle name="Обычный 8 5 5 3 5" xfId="43419"/>
    <cellStyle name="Обычный 8 5 5 3 5 2" xfId="43420"/>
    <cellStyle name="Обычный 8 5 5 3 5 3" xfId="43421"/>
    <cellStyle name="Обычный 8 5 5 3 6" xfId="43422"/>
    <cellStyle name="Обычный 8 5 5 3 6 2" xfId="43423"/>
    <cellStyle name="Обычный 8 5 5 3 7" xfId="43424"/>
    <cellStyle name="Обычный 8 5 5 3 8" xfId="43425"/>
    <cellStyle name="Обычный 8 5 5 4" xfId="43426"/>
    <cellStyle name="Обычный 8 5 5 4 2" xfId="43427"/>
    <cellStyle name="Обычный 8 5 5 4 2 2" xfId="43428"/>
    <cellStyle name="Обычный 8 5 5 4 2 2 2" xfId="43429"/>
    <cellStyle name="Обычный 8 5 5 4 2 2 3" xfId="43430"/>
    <cellStyle name="Обычный 8 5 5 4 2 3" xfId="43431"/>
    <cellStyle name="Обычный 8 5 5 4 2 3 2" xfId="43432"/>
    <cellStyle name="Обычный 8 5 5 4 2 3 3" xfId="43433"/>
    <cellStyle name="Обычный 8 5 5 4 2 4" xfId="43434"/>
    <cellStyle name="Обычный 8 5 5 4 2 4 2" xfId="43435"/>
    <cellStyle name="Обычный 8 5 5 4 2 5" xfId="43436"/>
    <cellStyle name="Обычный 8 5 5 4 2 6" xfId="43437"/>
    <cellStyle name="Обычный 8 5 5 4 3" xfId="43438"/>
    <cellStyle name="Обычный 8 5 5 4 3 2" xfId="43439"/>
    <cellStyle name="Обычный 8 5 5 4 3 3" xfId="43440"/>
    <cellStyle name="Обычный 8 5 5 4 4" xfId="43441"/>
    <cellStyle name="Обычный 8 5 5 4 4 2" xfId="43442"/>
    <cellStyle name="Обычный 8 5 5 4 4 3" xfId="43443"/>
    <cellStyle name="Обычный 8 5 5 4 5" xfId="43444"/>
    <cellStyle name="Обычный 8 5 5 4 5 2" xfId="43445"/>
    <cellStyle name="Обычный 8 5 5 4 6" xfId="43446"/>
    <cellStyle name="Обычный 8 5 5 4 7" xfId="43447"/>
    <cellStyle name="Обычный 8 5 5 5" xfId="43448"/>
    <cellStyle name="Обычный 8 5 5 5 2" xfId="43449"/>
    <cellStyle name="Обычный 8 5 5 5 2 2" xfId="43450"/>
    <cellStyle name="Обычный 8 5 5 5 2 3" xfId="43451"/>
    <cellStyle name="Обычный 8 5 5 5 3" xfId="43452"/>
    <cellStyle name="Обычный 8 5 5 5 3 2" xfId="43453"/>
    <cellStyle name="Обычный 8 5 5 5 3 3" xfId="43454"/>
    <cellStyle name="Обычный 8 5 5 5 4" xfId="43455"/>
    <cellStyle name="Обычный 8 5 5 5 4 2" xfId="43456"/>
    <cellStyle name="Обычный 8 5 5 5 5" xfId="43457"/>
    <cellStyle name="Обычный 8 5 5 5 6" xfId="43458"/>
    <cellStyle name="Обычный 8 5 5 6" xfId="43459"/>
    <cellStyle name="Обычный 8 5 5 6 2" xfId="43460"/>
    <cellStyle name="Обычный 8 5 5 6 3" xfId="43461"/>
    <cellStyle name="Обычный 8 5 5 7" xfId="43462"/>
    <cellStyle name="Обычный 8 5 5 7 2" xfId="43463"/>
    <cellStyle name="Обычный 8 5 5 7 3" xfId="43464"/>
    <cellStyle name="Обычный 8 5 5 8" xfId="43465"/>
    <cellStyle name="Обычный 8 5 5 8 2" xfId="43466"/>
    <cellStyle name="Обычный 8 5 5 9" xfId="43467"/>
    <cellStyle name="Обычный 8 5 6" xfId="43468"/>
    <cellStyle name="Обычный 8 5 6 2" xfId="43469"/>
    <cellStyle name="Обычный 8 5 6 2 2" xfId="43470"/>
    <cellStyle name="Обычный 8 5 6 2 2 2" xfId="43471"/>
    <cellStyle name="Обычный 8 5 6 2 2 2 2" xfId="43472"/>
    <cellStyle name="Обычный 8 5 6 2 2 2 2 2" xfId="43473"/>
    <cellStyle name="Обычный 8 5 6 2 2 2 2 3" xfId="43474"/>
    <cellStyle name="Обычный 8 5 6 2 2 2 3" xfId="43475"/>
    <cellStyle name="Обычный 8 5 6 2 2 2 3 2" xfId="43476"/>
    <cellStyle name="Обычный 8 5 6 2 2 2 3 3" xfId="43477"/>
    <cellStyle name="Обычный 8 5 6 2 2 2 4" xfId="43478"/>
    <cellStyle name="Обычный 8 5 6 2 2 2 4 2" xfId="43479"/>
    <cellStyle name="Обычный 8 5 6 2 2 2 5" xfId="43480"/>
    <cellStyle name="Обычный 8 5 6 2 2 2 6" xfId="43481"/>
    <cellStyle name="Обычный 8 5 6 2 2 3" xfId="43482"/>
    <cellStyle name="Обычный 8 5 6 2 2 3 2" xfId="43483"/>
    <cellStyle name="Обычный 8 5 6 2 2 3 3" xfId="43484"/>
    <cellStyle name="Обычный 8 5 6 2 2 4" xfId="43485"/>
    <cellStyle name="Обычный 8 5 6 2 2 4 2" xfId="43486"/>
    <cellStyle name="Обычный 8 5 6 2 2 4 3" xfId="43487"/>
    <cellStyle name="Обычный 8 5 6 2 2 5" xfId="43488"/>
    <cellStyle name="Обычный 8 5 6 2 2 5 2" xfId="43489"/>
    <cellStyle name="Обычный 8 5 6 2 2 6" xfId="43490"/>
    <cellStyle name="Обычный 8 5 6 2 2 7" xfId="43491"/>
    <cellStyle name="Обычный 8 5 6 2 3" xfId="43492"/>
    <cellStyle name="Обычный 8 5 6 2 3 2" xfId="43493"/>
    <cellStyle name="Обычный 8 5 6 2 3 2 2" xfId="43494"/>
    <cellStyle name="Обычный 8 5 6 2 3 2 3" xfId="43495"/>
    <cellStyle name="Обычный 8 5 6 2 3 3" xfId="43496"/>
    <cellStyle name="Обычный 8 5 6 2 3 3 2" xfId="43497"/>
    <cellStyle name="Обычный 8 5 6 2 3 3 3" xfId="43498"/>
    <cellStyle name="Обычный 8 5 6 2 3 4" xfId="43499"/>
    <cellStyle name="Обычный 8 5 6 2 3 4 2" xfId="43500"/>
    <cellStyle name="Обычный 8 5 6 2 3 5" xfId="43501"/>
    <cellStyle name="Обычный 8 5 6 2 3 6" xfId="43502"/>
    <cellStyle name="Обычный 8 5 6 2 4" xfId="43503"/>
    <cellStyle name="Обычный 8 5 6 2 4 2" xfId="43504"/>
    <cellStyle name="Обычный 8 5 6 2 4 3" xfId="43505"/>
    <cellStyle name="Обычный 8 5 6 2 5" xfId="43506"/>
    <cellStyle name="Обычный 8 5 6 2 5 2" xfId="43507"/>
    <cellStyle name="Обычный 8 5 6 2 5 3" xfId="43508"/>
    <cellStyle name="Обычный 8 5 6 2 6" xfId="43509"/>
    <cellStyle name="Обычный 8 5 6 2 6 2" xfId="43510"/>
    <cellStyle name="Обычный 8 5 6 2 7" xfId="43511"/>
    <cellStyle name="Обычный 8 5 6 2 8" xfId="43512"/>
    <cellStyle name="Обычный 8 5 6 3" xfId="43513"/>
    <cellStyle name="Обычный 8 5 6 3 2" xfId="43514"/>
    <cellStyle name="Обычный 8 5 6 3 2 2" xfId="43515"/>
    <cellStyle name="Обычный 8 5 6 3 2 2 2" xfId="43516"/>
    <cellStyle name="Обычный 8 5 6 3 2 2 3" xfId="43517"/>
    <cellStyle name="Обычный 8 5 6 3 2 3" xfId="43518"/>
    <cellStyle name="Обычный 8 5 6 3 2 3 2" xfId="43519"/>
    <cellStyle name="Обычный 8 5 6 3 2 3 3" xfId="43520"/>
    <cellStyle name="Обычный 8 5 6 3 2 4" xfId="43521"/>
    <cellStyle name="Обычный 8 5 6 3 2 4 2" xfId="43522"/>
    <cellStyle name="Обычный 8 5 6 3 2 5" xfId="43523"/>
    <cellStyle name="Обычный 8 5 6 3 2 6" xfId="43524"/>
    <cellStyle name="Обычный 8 5 6 3 3" xfId="43525"/>
    <cellStyle name="Обычный 8 5 6 3 3 2" xfId="43526"/>
    <cellStyle name="Обычный 8 5 6 3 3 3" xfId="43527"/>
    <cellStyle name="Обычный 8 5 6 3 4" xfId="43528"/>
    <cellStyle name="Обычный 8 5 6 3 4 2" xfId="43529"/>
    <cellStyle name="Обычный 8 5 6 3 4 3" xfId="43530"/>
    <cellStyle name="Обычный 8 5 6 3 5" xfId="43531"/>
    <cellStyle name="Обычный 8 5 6 3 5 2" xfId="43532"/>
    <cellStyle name="Обычный 8 5 6 3 6" xfId="43533"/>
    <cellStyle name="Обычный 8 5 6 3 7" xfId="43534"/>
    <cellStyle name="Обычный 8 5 6 4" xfId="43535"/>
    <cellStyle name="Обычный 8 5 6 4 2" xfId="43536"/>
    <cellStyle name="Обычный 8 5 6 4 2 2" xfId="43537"/>
    <cellStyle name="Обычный 8 5 6 4 2 3" xfId="43538"/>
    <cellStyle name="Обычный 8 5 6 4 3" xfId="43539"/>
    <cellStyle name="Обычный 8 5 6 4 3 2" xfId="43540"/>
    <cellStyle name="Обычный 8 5 6 4 3 3" xfId="43541"/>
    <cellStyle name="Обычный 8 5 6 4 4" xfId="43542"/>
    <cellStyle name="Обычный 8 5 6 4 4 2" xfId="43543"/>
    <cellStyle name="Обычный 8 5 6 4 5" xfId="43544"/>
    <cellStyle name="Обычный 8 5 6 4 6" xfId="43545"/>
    <cellStyle name="Обычный 8 5 6 5" xfId="43546"/>
    <cellStyle name="Обычный 8 5 6 5 2" xfId="43547"/>
    <cellStyle name="Обычный 8 5 6 5 3" xfId="43548"/>
    <cellStyle name="Обычный 8 5 6 6" xfId="43549"/>
    <cellStyle name="Обычный 8 5 6 6 2" xfId="43550"/>
    <cellStyle name="Обычный 8 5 6 6 3" xfId="43551"/>
    <cellStyle name="Обычный 8 5 6 7" xfId="43552"/>
    <cellStyle name="Обычный 8 5 6 7 2" xfId="43553"/>
    <cellStyle name="Обычный 8 5 6 8" xfId="43554"/>
    <cellStyle name="Обычный 8 5 6 9" xfId="43555"/>
    <cellStyle name="Обычный 8 5 7" xfId="43556"/>
    <cellStyle name="Обычный 8 5 7 2" xfId="43557"/>
    <cellStyle name="Обычный 8 5 7 2 2" xfId="43558"/>
    <cellStyle name="Обычный 8 5 7 2 2 2" xfId="43559"/>
    <cellStyle name="Обычный 8 5 7 2 2 2 2" xfId="43560"/>
    <cellStyle name="Обычный 8 5 7 2 2 2 3" xfId="43561"/>
    <cellStyle name="Обычный 8 5 7 2 2 3" xfId="43562"/>
    <cellStyle name="Обычный 8 5 7 2 2 3 2" xfId="43563"/>
    <cellStyle name="Обычный 8 5 7 2 2 3 3" xfId="43564"/>
    <cellStyle name="Обычный 8 5 7 2 2 4" xfId="43565"/>
    <cellStyle name="Обычный 8 5 7 2 2 4 2" xfId="43566"/>
    <cellStyle name="Обычный 8 5 7 2 2 5" xfId="43567"/>
    <cellStyle name="Обычный 8 5 7 2 2 6" xfId="43568"/>
    <cellStyle name="Обычный 8 5 7 2 3" xfId="43569"/>
    <cellStyle name="Обычный 8 5 7 2 3 2" xfId="43570"/>
    <cellStyle name="Обычный 8 5 7 2 3 3" xfId="43571"/>
    <cellStyle name="Обычный 8 5 7 2 4" xfId="43572"/>
    <cellStyle name="Обычный 8 5 7 2 4 2" xfId="43573"/>
    <cellStyle name="Обычный 8 5 7 2 4 3" xfId="43574"/>
    <cellStyle name="Обычный 8 5 7 2 5" xfId="43575"/>
    <cellStyle name="Обычный 8 5 7 2 5 2" xfId="43576"/>
    <cellStyle name="Обычный 8 5 7 2 6" xfId="43577"/>
    <cellStyle name="Обычный 8 5 7 2 7" xfId="43578"/>
    <cellStyle name="Обычный 8 5 7 3" xfId="43579"/>
    <cellStyle name="Обычный 8 5 7 3 2" xfId="43580"/>
    <cellStyle name="Обычный 8 5 7 3 2 2" xfId="43581"/>
    <cellStyle name="Обычный 8 5 7 3 2 3" xfId="43582"/>
    <cellStyle name="Обычный 8 5 7 3 3" xfId="43583"/>
    <cellStyle name="Обычный 8 5 7 3 3 2" xfId="43584"/>
    <cellStyle name="Обычный 8 5 7 3 3 3" xfId="43585"/>
    <cellStyle name="Обычный 8 5 7 3 4" xfId="43586"/>
    <cellStyle name="Обычный 8 5 7 3 4 2" xfId="43587"/>
    <cellStyle name="Обычный 8 5 7 3 5" xfId="43588"/>
    <cellStyle name="Обычный 8 5 7 3 6" xfId="43589"/>
    <cellStyle name="Обычный 8 5 7 4" xfId="43590"/>
    <cellStyle name="Обычный 8 5 7 4 2" xfId="43591"/>
    <cellStyle name="Обычный 8 5 7 4 3" xfId="43592"/>
    <cellStyle name="Обычный 8 5 7 5" xfId="43593"/>
    <cellStyle name="Обычный 8 5 7 5 2" xfId="43594"/>
    <cellStyle name="Обычный 8 5 7 5 3" xfId="43595"/>
    <cellStyle name="Обычный 8 5 7 6" xfId="43596"/>
    <cellStyle name="Обычный 8 5 7 6 2" xfId="43597"/>
    <cellStyle name="Обычный 8 5 7 7" xfId="43598"/>
    <cellStyle name="Обычный 8 5 7 8" xfId="43599"/>
    <cellStyle name="Обычный 8 5 8" xfId="43600"/>
    <cellStyle name="Обычный 8 5 8 2" xfId="43601"/>
    <cellStyle name="Обычный 8 5 8 2 2" xfId="43602"/>
    <cellStyle name="Обычный 8 5 8 2 2 2" xfId="43603"/>
    <cellStyle name="Обычный 8 5 8 2 2 3" xfId="43604"/>
    <cellStyle name="Обычный 8 5 8 2 3" xfId="43605"/>
    <cellStyle name="Обычный 8 5 8 2 3 2" xfId="43606"/>
    <cellStyle name="Обычный 8 5 8 2 3 3" xfId="43607"/>
    <cellStyle name="Обычный 8 5 8 2 4" xfId="43608"/>
    <cellStyle name="Обычный 8 5 8 2 4 2" xfId="43609"/>
    <cellStyle name="Обычный 8 5 8 2 5" xfId="43610"/>
    <cellStyle name="Обычный 8 5 8 2 6" xfId="43611"/>
    <cellStyle name="Обычный 8 5 8 3" xfId="43612"/>
    <cellStyle name="Обычный 8 5 8 3 2" xfId="43613"/>
    <cellStyle name="Обычный 8 5 8 3 3" xfId="43614"/>
    <cellStyle name="Обычный 8 5 8 4" xfId="43615"/>
    <cellStyle name="Обычный 8 5 8 4 2" xfId="43616"/>
    <cellStyle name="Обычный 8 5 8 4 3" xfId="43617"/>
    <cellStyle name="Обычный 8 5 8 5" xfId="43618"/>
    <cellStyle name="Обычный 8 5 8 5 2" xfId="43619"/>
    <cellStyle name="Обычный 8 5 8 6" xfId="43620"/>
    <cellStyle name="Обычный 8 5 8 7" xfId="43621"/>
    <cellStyle name="Обычный 8 5 9" xfId="43622"/>
    <cellStyle name="Обычный 8 5 9 2" xfId="43623"/>
    <cellStyle name="Обычный 8 5 9 2 2" xfId="43624"/>
    <cellStyle name="Обычный 8 5 9 2 3" xfId="43625"/>
    <cellStyle name="Обычный 8 5 9 3" xfId="43626"/>
    <cellStyle name="Обычный 8 5 9 3 2" xfId="43627"/>
    <cellStyle name="Обычный 8 5 9 3 3" xfId="43628"/>
    <cellStyle name="Обычный 8 5 9 4" xfId="43629"/>
    <cellStyle name="Обычный 8 5 9 4 2" xfId="43630"/>
    <cellStyle name="Обычный 8 5 9 5" xfId="43631"/>
    <cellStyle name="Обычный 8 5 9 6" xfId="43632"/>
    <cellStyle name="Обычный 8 6" xfId="43633"/>
    <cellStyle name="Обычный 8 6 10" xfId="43634"/>
    <cellStyle name="Обычный 8 6 10 2" xfId="43635"/>
    <cellStyle name="Обычный 8 6 10 3" xfId="43636"/>
    <cellStyle name="Обычный 8 6 11" xfId="43637"/>
    <cellStyle name="Обычный 8 6 11 2" xfId="43638"/>
    <cellStyle name="Обычный 8 6 11 3" xfId="43639"/>
    <cellStyle name="Обычный 8 6 12" xfId="43640"/>
    <cellStyle name="Обычный 8 6 12 2" xfId="43641"/>
    <cellStyle name="Обычный 8 6 13" xfId="43642"/>
    <cellStyle name="Обычный 8 6 14" xfId="43643"/>
    <cellStyle name="Обычный 8 6 2" xfId="43644"/>
    <cellStyle name="Обычный 8 6 2 10" xfId="43645"/>
    <cellStyle name="Обычный 8 6 2 10 2" xfId="43646"/>
    <cellStyle name="Обычный 8 6 2 10 3" xfId="43647"/>
    <cellStyle name="Обычный 8 6 2 11" xfId="43648"/>
    <cellStyle name="Обычный 8 6 2 11 2" xfId="43649"/>
    <cellStyle name="Обычный 8 6 2 12" xfId="43650"/>
    <cellStyle name="Обычный 8 6 2 13" xfId="43651"/>
    <cellStyle name="Обычный 8 6 2 2" xfId="43652"/>
    <cellStyle name="Обычный 8 6 2 2 10" xfId="43653"/>
    <cellStyle name="Обычный 8 6 2 2 2" xfId="43654"/>
    <cellStyle name="Обычный 8 6 2 2 2 2" xfId="43655"/>
    <cellStyle name="Обычный 8 6 2 2 2 2 2" xfId="43656"/>
    <cellStyle name="Обычный 8 6 2 2 2 2 2 2" xfId="43657"/>
    <cellStyle name="Обычный 8 6 2 2 2 2 2 2 2" xfId="43658"/>
    <cellStyle name="Обычный 8 6 2 2 2 2 2 2 2 2" xfId="43659"/>
    <cellStyle name="Обычный 8 6 2 2 2 2 2 2 2 3" xfId="43660"/>
    <cellStyle name="Обычный 8 6 2 2 2 2 2 2 3" xfId="43661"/>
    <cellStyle name="Обычный 8 6 2 2 2 2 2 2 3 2" xfId="43662"/>
    <cellStyle name="Обычный 8 6 2 2 2 2 2 2 3 3" xfId="43663"/>
    <cellStyle name="Обычный 8 6 2 2 2 2 2 2 4" xfId="43664"/>
    <cellStyle name="Обычный 8 6 2 2 2 2 2 2 4 2" xfId="43665"/>
    <cellStyle name="Обычный 8 6 2 2 2 2 2 2 5" xfId="43666"/>
    <cellStyle name="Обычный 8 6 2 2 2 2 2 2 6" xfId="43667"/>
    <cellStyle name="Обычный 8 6 2 2 2 2 2 3" xfId="43668"/>
    <cellStyle name="Обычный 8 6 2 2 2 2 2 3 2" xfId="43669"/>
    <cellStyle name="Обычный 8 6 2 2 2 2 2 3 3" xfId="43670"/>
    <cellStyle name="Обычный 8 6 2 2 2 2 2 4" xfId="43671"/>
    <cellStyle name="Обычный 8 6 2 2 2 2 2 4 2" xfId="43672"/>
    <cellStyle name="Обычный 8 6 2 2 2 2 2 4 3" xfId="43673"/>
    <cellStyle name="Обычный 8 6 2 2 2 2 2 5" xfId="43674"/>
    <cellStyle name="Обычный 8 6 2 2 2 2 2 5 2" xfId="43675"/>
    <cellStyle name="Обычный 8 6 2 2 2 2 2 6" xfId="43676"/>
    <cellStyle name="Обычный 8 6 2 2 2 2 2 7" xfId="43677"/>
    <cellStyle name="Обычный 8 6 2 2 2 2 3" xfId="43678"/>
    <cellStyle name="Обычный 8 6 2 2 2 2 3 2" xfId="43679"/>
    <cellStyle name="Обычный 8 6 2 2 2 2 3 2 2" xfId="43680"/>
    <cellStyle name="Обычный 8 6 2 2 2 2 3 2 3" xfId="43681"/>
    <cellStyle name="Обычный 8 6 2 2 2 2 3 3" xfId="43682"/>
    <cellStyle name="Обычный 8 6 2 2 2 2 3 3 2" xfId="43683"/>
    <cellStyle name="Обычный 8 6 2 2 2 2 3 3 3" xfId="43684"/>
    <cellStyle name="Обычный 8 6 2 2 2 2 3 4" xfId="43685"/>
    <cellStyle name="Обычный 8 6 2 2 2 2 3 4 2" xfId="43686"/>
    <cellStyle name="Обычный 8 6 2 2 2 2 3 5" xfId="43687"/>
    <cellStyle name="Обычный 8 6 2 2 2 2 3 6" xfId="43688"/>
    <cellStyle name="Обычный 8 6 2 2 2 2 4" xfId="43689"/>
    <cellStyle name="Обычный 8 6 2 2 2 2 4 2" xfId="43690"/>
    <cellStyle name="Обычный 8 6 2 2 2 2 4 3" xfId="43691"/>
    <cellStyle name="Обычный 8 6 2 2 2 2 5" xfId="43692"/>
    <cellStyle name="Обычный 8 6 2 2 2 2 5 2" xfId="43693"/>
    <cellStyle name="Обычный 8 6 2 2 2 2 5 3" xfId="43694"/>
    <cellStyle name="Обычный 8 6 2 2 2 2 6" xfId="43695"/>
    <cellStyle name="Обычный 8 6 2 2 2 2 6 2" xfId="43696"/>
    <cellStyle name="Обычный 8 6 2 2 2 2 7" xfId="43697"/>
    <cellStyle name="Обычный 8 6 2 2 2 2 8" xfId="43698"/>
    <cellStyle name="Обычный 8 6 2 2 2 3" xfId="43699"/>
    <cellStyle name="Обычный 8 6 2 2 2 3 2" xfId="43700"/>
    <cellStyle name="Обычный 8 6 2 2 2 3 2 2" xfId="43701"/>
    <cellStyle name="Обычный 8 6 2 2 2 3 2 2 2" xfId="43702"/>
    <cellStyle name="Обычный 8 6 2 2 2 3 2 2 3" xfId="43703"/>
    <cellStyle name="Обычный 8 6 2 2 2 3 2 3" xfId="43704"/>
    <cellStyle name="Обычный 8 6 2 2 2 3 2 3 2" xfId="43705"/>
    <cellStyle name="Обычный 8 6 2 2 2 3 2 3 3" xfId="43706"/>
    <cellStyle name="Обычный 8 6 2 2 2 3 2 4" xfId="43707"/>
    <cellStyle name="Обычный 8 6 2 2 2 3 2 4 2" xfId="43708"/>
    <cellStyle name="Обычный 8 6 2 2 2 3 2 5" xfId="43709"/>
    <cellStyle name="Обычный 8 6 2 2 2 3 2 6" xfId="43710"/>
    <cellStyle name="Обычный 8 6 2 2 2 3 3" xfId="43711"/>
    <cellStyle name="Обычный 8 6 2 2 2 3 3 2" xfId="43712"/>
    <cellStyle name="Обычный 8 6 2 2 2 3 3 3" xfId="43713"/>
    <cellStyle name="Обычный 8 6 2 2 2 3 4" xfId="43714"/>
    <cellStyle name="Обычный 8 6 2 2 2 3 4 2" xfId="43715"/>
    <cellStyle name="Обычный 8 6 2 2 2 3 4 3" xfId="43716"/>
    <cellStyle name="Обычный 8 6 2 2 2 3 5" xfId="43717"/>
    <cellStyle name="Обычный 8 6 2 2 2 3 5 2" xfId="43718"/>
    <cellStyle name="Обычный 8 6 2 2 2 3 6" xfId="43719"/>
    <cellStyle name="Обычный 8 6 2 2 2 3 7" xfId="43720"/>
    <cellStyle name="Обычный 8 6 2 2 2 4" xfId="43721"/>
    <cellStyle name="Обычный 8 6 2 2 2 4 2" xfId="43722"/>
    <cellStyle name="Обычный 8 6 2 2 2 4 2 2" xfId="43723"/>
    <cellStyle name="Обычный 8 6 2 2 2 4 2 3" xfId="43724"/>
    <cellStyle name="Обычный 8 6 2 2 2 4 3" xfId="43725"/>
    <cellStyle name="Обычный 8 6 2 2 2 4 3 2" xfId="43726"/>
    <cellStyle name="Обычный 8 6 2 2 2 4 3 3" xfId="43727"/>
    <cellStyle name="Обычный 8 6 2 2 2 4 4" xfId="43728"/>
    <cellStyle name="Обычный 8 6 2 2 2 4 4 2" xfId="43729"/>
    <cellStyle name="Обычный 8 6 2 2 2 4 5" xfId="43730"/>
    <cellStyle name="Обычный 8 6 2 2 2 4 6" xfId="43731"/>
    <cellStyle name="Обычный 8 6 2 2 2 5" xfId="43732"/>
    <cellStyle name="Обычный 8 6 2 2 2 5 2" xfId="43733"/>
    <cellStyle name="Обычный 8 6 2 2 2 5 3" xfId="43734"/>
    <cellStyle name="Обычный 8 6 2 2 2 6" xfId="43735"/>
    <cellStyle name="Обычный 8 6 2 2 2 6 2" xfId="43736"/>
    <cellStyle name="Обычный 8 6 2 2 2 6 3" xfId="43737"/>
    <cellStyle name="Обычный 8 6 2 2 2 7" xfId="43738"/>
    <cellStyle name="Обычный 8 6 2 2 2 7 2" xfId="43739"/>
    <cellStyle name="Обычный 8 6 2 2 2 8" xfId="43740"/>
    <cellStyle name="Обычный 8 6 2 2 2 9" xfId="43741"/>
    <cellStyle name="Обычный 8 6 2 2 3" xfId="43742"/>
    <cellStyle name="Обычный 8 6 2 2 3 2" xfId="43743"/>
    <cellStyle name="Обычный 8 6 2 2 3 2 2" xfId="43744"/>
    <cellStyle name="Обычный 8 6 2 2 3 2 2 2" xfId="43745"/>
    <cellStyle name="Обычный 8 6 2 2 3 2 2 2 2" xfId="43746"/>
    <cellStyle name="Обычный 8 6 2 2 3 2 2 2 3" xfId="43747"/>
    <cellStyle name="Обычный 8 6 2 2 3 2 2 3" xfId="43748"/>
    <cellStyle name="Обычный 8 6 2 2 3 2 2 3 2" xfId="43749"/>
    <cellStyle name="Обычный 8 6 2 2 3 2 2 3 3" xfId="43750"/>
    <cellStyle name="Обычный 8 6 2 2 3 2 2 4" xfId="43751"/>
    <cellStyle name="Обычный 8 6 2 2 3 2 2 4 2" xfId="43752"/>
    <cellStyle name="Обычный 8 6 2 2 3 2 2 5" xfId="43753"/>
    <cellStyle name="Обычный 8 6 2 2 3 2 2 6" xfId="43754"/>
    <cellStyle name="Обычный 8 6 2 2 3 2 3" xfId="43755"/>
    <cellStyle name="Обычный 8 6 2 2 3 2 3 2" xfId="43756"/>
    <cellStyle name="Обычный 8 6 2 2 3 2 3 3" xfId="43757"/>
    <cellStyle name="Обычный 8 6 2 2 3 2 4" xfId="43758"/>
    <cellStyle name="Обычный 8 6 2 2 3 2 4 2" xfId="43759"/>
    <cellStyle name="Обычный 8 6 2 2 3 2 4 3" xfId="43760"/>
    <cellStyle name="Обычный 8 6 2 2 3 2 5" xfId="43761"/>
    <cellStyle name="Обычный 8 6 2 2 3 2 5 2" xfId="43762"/>
    <cellStyle name="Обычный 8 6 2 2 3 2 6" xfId="43763"/>
    <cellStyle name="Обычный 8 6 2 2 3 2 7" xfId="43764"/>
    <cellStyle name="Обычный 8 6 2 2 3 3" xfId="43765"/>
    <cellStyle name="Обычный 8 6 2 2 3 3 2" xfId="43766"/>
    <cellStyle name="Обычный 8 6 2 2 3 3 2 2" xfId="43767"/>
    <cellStyle name="Обычный 8 6 2 2 3 3 2 3" xfId="43768"/>
    <cellStyle name="Обычный 8 6 2 2 3 3 3" xfId="43769"/>
    <cellStyle name="Обычный 8 6 2 2 3 3 3 2" xfId="43770"/>
    <cellStyle name="Обычный 8 6 2 2 3 3 3 3" xfId="43771"/>
    <cellStyle name="Обычный 8 6 2 2 3 3 4" xfId="43772"/>
    <cellStyle name="Обычный 8 6 2 2 3 3 4 2" xfId="43773"/>
    <cellStyle name="Обычный 8 6 2 2 3 3 5" xfId="43774"/>
    <cellStyle name="Обычный 8 6 2 2 3 3 6" xfId="43775"/>
    <cellStyle name="Обычный 8 6 2 2 3 4" xfId="43776"/>
    <cellStyle name="Обычный 8 6 2 2 3 4 2" xfId="43777"/>
    <cellStyle name="Обычный 8 6 2 2 3 4 3" xfId="43778"/>
    <cellStyle name="Обычный 8 6 2 2 3 5" xfId="43779"/>
    <cellStyle name="Обычный 8 6 2 2 3 5 2" xfId="43780"/>
    <cellStyle name="Обычный 8 6 2 2 3 5 3" xfId="43781"/>
    <cellStyle name="Обычный 8 6 2 2 3 6" xfId="43782"/>
    <cellStyle name="Обычный 8 6 2 2 3 6 2" xfId="43783"/>
    <cellStyle name="Обычный 8 6 2 2 3 7" xfId="43784"/>
    <cellStyle name="Обычный 8 6 2 2 3 8" xfId="43785"/>
    <cellStyle name="Обычный 8 6 2 2 4" xfId="43786"/>
    <cellStyle name="Обычный 8 6 2 2 4 2" xfId="43787"/>
    <cellStyle name="Обычный 8 6 2 2 4 2 2" xfId="43788"/>
    <cellStyle name="Обычный 8 6 2 2 4 2 2 2" xfId="43789"/>
    <cellStyle name="Обычный 8 6 2 2 4 2 2 3" xfId="43790"/>
    <cellStyle name="Обычный 8 6 2 2 4 2 3" xfId="43791"/>
    <cellStyle name="Обычный 8 6 2 2 4 2 3 2" xfId="43792"/>
    <cellStyle name="Обычный 8 6 2 2 4 2 3 3" xfId="43793"/>
    <cellStyle name="Обычный 8 6 2 2 4 2 4" xfId="43794"/>
    <cellStyle name="Обычный 8 6 2 2 4 2 4 2" xfId="43795"/>
    <cellStyle name="Обычный 8 6 2 2 4 2 5" xfId="43796"/>
    <cellStyle name="Обычный 8 6 2 2 4 2 6" xfId="43797"/>
    <cellStyle name="Обычный 8 6 2 2 4 3" xfId="43798"/>
    <cellStyle name="Обычный 8 6 2 2 4 3 2" xfId="43799"/>
    <cellStyle name="Обычный 8 6 2 2 4 3 3" xfId="43800"/>
    <cellStyle name="Обычный 8 6 2 2 4 4" xfId="43801"/>
    <cellStyle name="Обычный 8 6 2 2 4 4 2" xfId="43802"/>
    <cellStyle name="Обычный 8 6 2 2 4 4 3" xfId="43803"/>
    <cellStyle name="Обычный 8 6 2 2 4 5" xfId="43804"/>
    <cellStyle name="Обычный 8 6 2 2 4 5 2" xfId="43805"/>
    <cellStyle name="Обычный 8 6 2 2 4 6" xfId="43806"/>
    <cellStyle name="Обычный 8 6 2 2 4 7" xfId="43807"/>
    <cellStyle name="Обычный 8 6 2 2 5" xfId="43808"/>
    <cellStyle name="Обычный 8 6 2 2 5 2" xfId="43809"/>
    <cellStyle name="Обычный 8 6 2 2 5 2 2" xfId="43810"/>
    <cellStyle name="Обычный 8 6 2 2 5 2 3" xfId="43811"/>
    <cellStyle name="Обычный 8 6 2 2 5 3" xfId="43812"/>
    <cellStyle name="Обычный 8 6 2 2 5 3 2" xfId="43813"/>
    <cellStyle name="Обычный 8 6 2 2 5 3 3" xfId="43814"/>
    <cellStyle name="Обычный 8 6 2 2 5 4" xfId="43815"/>
    <cellStyle name="Обычный 8 6 2 2 5 4 2" xfId="43816"/>
    <cellStyle name="Обычный 8 6 2 2 5 5" xfId="43817"/>
    <cellStyle name="Обычный 8 6 2 2 5 6" xfId="43818"/>
    <cellStyle name="Обычный 8 6 2 2 6" xfId="43819"/>
    <cellStyle name="Обычный 8 6 2 2 6 2" xfId="43820"/>
    <cellStyle name="Обычный 8 6 2 2 6 3" xfId="43821"/>
    <cellStyle name="Обычный 8 6 2 2 7" xfId="43822"/>
    <cellStyle name="Обычный 8 6 2 2 7 2" xfId="43823"/>
    <cellStyle name="Обычный 8 6 2 2 7 3" xfId="43824"/>
    <cellStyle name="Обычный 8 6 2 2 8" xfId="43825"/>
    <cellStyle name="Обычный 8 6 2 2 8 2" xfId="43826"/>
    <cellStyle name="Обычный 8 6 2 2 9" xfId="43827"/>
    <cellStyle name="Обычный 8 6 2 3" xfId="43828"/>
    <cellStyle name="Обычный 8 6 2 3 10" xfId="43829"/>
    <cellStyle name="Обычный 8 6 2 3 2" xfId="43830"/>
    <cellStyle name="Обычный 8 6 2 3 2 2" xfId="43831"/>
    <cellStyle name="Обычный 8 6 2 3 2 2 2" xfId="43832"/>
    <cellStyle name="Обычный 8 6 2 3 2 2 2 2" xfId="43833"/>
    <cellStyle name="Обычный 8 6 2 3 2 2 2 2 2" xfId="43834"/>
    <cellStyle name="Обычный 8 6 2 3 2 2 2 2 2 2" xfId="43835"/>
    <cellStyle name="Обычный 8 6 2 3 2 2 2 2 2 3" xfId="43836"/>
    <cellStyle name="Обычный 8 6 2 3 2 2 2 2 3" xfId="43837"/>
    <cellStyle name="Обычный 8 6 2 3 2 2 2 2 3 2" xfId="43838"/>
    <cellStyle name="Обычный 8 6 2 3 2 2 2 2 3 3" xfId="43839"/>
    <cellStyle name="Обычный 8 6 2 3 2 2 2 2 4" xfId="43840"/>
    <cellStyle name="Обычный 8 6 2 3 2 2 2 2 4 2" xfId="43841"/>
    <cellStyle name="Обычный 8 6 2 3 2 2 2 2 5" xfId="43842"/>
    <cellStyle name="Обычный 8 6 2 3 2 2 2 2 6" xfId="43843"/>
    <cellStyle name="Обычный 8 6 2 3 2 2 2 3" xfId="43844"/>
    <cellStyle name="Обычный 8 6 2 3 2 2 2 3 2" xfId="43845"/>
    <cellStyle name="Обычный 8 6 2 3 2 2 2 3 3" xfId="43846"/>
    <cellStyle name="Обычный 8 6 2 3 2 2 2 4" xfId="43847"/>
    <cellStyle name="Обычный 8 6 2 3 2 2 2 4 2" xfId="43848"/>
    <cellStyle name="Обычный 8 6 2 3 2 2 2 4 3" xfId="43849"/>
    <cellStyle name="Обычный 8 6 2 3 2 2 2 5" xfId="43850"/>
    <cellStyle name="Обычный 8 6 2 3 2 2 2 5 2" xfId="43851"/>
    <cellStyle name="Обычный 8 6 2 3 2 2 2 6" xfId="43852"/>
    <cellStyle name="Обычный 8 6 2 3 2 2 2 7" xfId="43853"/>
    <cellStyle name="Обычный 8 6 2 3 2 2 3" xfId="43854"/>
    <cellStyle name="Обычный 8 6 2 3 2 2 3 2" xfId="43855"/>
    <cellStyle name="Обычный 8 6 2 3 2 2 3 2 2" xfId="43856"/>
    <cellStyle name="Обычный 8 6 2 3 2 2 3 2 3" xfId="43857"/>
    <cellStyle name="Обычный 8 6 2 3 2 2 3 3" xfId="43858"/>
    <cellStyle name="Обычный 8 6 2 3 2 2 3 3 2" xfId="43859"/>
    <cellStyle name="Обычный 8 6 2 3 2 2 3 3 3" xfId="43860"/>
    <cellStyle name="Обычный 8 6 2 3 2 2 3 4" xfId="43861"/>
    <cellStyle name="Обычный 8 6 2 3 2 2 3 4 2" xfId="43862"/>
    <cellStyle name="Обычный 8 6 2 3 2 2 3 5" xfId="43863"/>
    <cellStyle name="Обычный 8 6 2 3 2 2 3 6" xfId="43864"/>
    <cellStyle name="Обычный 8 6 2 3 2 2 4" xfId="43865"/>
    <cellStyle name="Обычный 8 6 2 3 2 2 4 2" xfId="43866"/>
    <cellStyle name="Обычный 8 6 2 3 2 2 4 3" xfId="43867"/>
    <cellStyle name="Обычный 8 6 2 3 2 2 5" xfId="43868"/>
    <cellStyle name="Обычный 8 6 2 3 2 2 5 2" xfId="43869"/>
    <cellStyle name="Обычный 8 6 2 3 2 2 5 3" xfId="43870"/>
    <cellStyle name="Обычный 8 6 2 3 2 2 6" xfId="43871"/>
    <cellStyle name="Обычный 8 6 2 3 2 2 6 2" xfId="43872"/>
    <cellStyle name="Обычный 8 6 2 3 2 2 7" xfId="43873"/>
    <cellStyle name="Обычный 8 6 2 3 2 2 8" xfId="43874"/>
    <cellStyle name="Обычный 8 6 2 3 2 3" xfId="43875"/>
    <cellStyle name="Обычный 8 6 2 3 2 3 2" xfId="43876"/>
    <cellStyle name="Обычный 8 6 2 3 2 3 2 2" xfId="43877"/>
    <cellStyle name="Обычный 8 6 2 3 2 3 2 2 2" xfId="43878"/>
    <cellStyle name="Обычный 8 6 2 3 2 3 2 2 3" xfId="43879"/>
    <cellStyle name="Обычный 8 6 2 3 2 3 2 3" xfId="43880"/>
    <cellStyle name="Обычный 8 6 2 3 2 3 2 3 2" xfId="43881"/>
    <cellStyle name="Обычный 8 6 2 3 2 3 2 3 3" xfId="43882"/>
    <cellStyle name="Обычный 8 6 2 3 2 3 2 4" xfId="43883"/>
    <cellStyle name="Обычный 8 6 2 3 2 3 2 4 2" xfId="43884"/>
    <cellStyle name="Обычный 8 6 2 3 2 3 2 5" xfId="43885"/>
    <cellStyle name="Обычный 8 6 2 3 2 3 2 6" xfId="43886"/>
    <cellStyle name="Обычный 8 6 2 3 2 3 3" xfId="43887"/>
    <cellStyle name="Обычный 8 6 2 3 2 3 3 2" xfId="43888"/>
    <cellStyle name="Обычный 8 6 2 3 2 3 3 3" xfId="43889"/>
    <cellStyle name="Обычный 8 6 2 3 2 3 4" xfId="43890"/>
    <cellStyle name="Обычный 8 6 2 3 2 3 4 2" xfId="43891"/>
    <cellStyle name="Обычный 8 6 2 3 2 3 4 3" xfId="43892"/>
    <cellStyle name="Обычный 8 6 2 3 2 3 5" xfId="43893"/>
    <cellStyle name="Обычный 8 6 2 3 2 3 5 2" xfId="43894"/>
    <cellStyle name="Обычный 8 6 2 3 2 3 6" xfId="43895"/>
    <cellStyle name="Обычный 8 6 2 3 2 3 7" xfId="43896"/>
    <cellStyle name="Обычный 8 6 2 3 2 4" xfId="43897"/>
    <cellStyle name="Обычный 8 6 2 3 2 4 2" xfId="43898"/>
    <cellStyle name="Обычный 8 6 2 3 2 4 2 2" xfId="43899"/>
    <cellStyle name="Обычный 8 6 2 3 2 4 2 3" xfId="43900"/>
    <cellStyle name="Обычный 8 6 2 3 2 4 3" xfId="43901"/>
    <cellStyle name="Обычный 8 6 2 3 2 4 3 2" xfId="43902"/>
    <cellStyle name="Обычный 8 6 2 3 2 4 3 3" xfId="43903"/>
    <cellStyle name="Обычный 8 6 2 3 2 4 4" xfId="43904"/>
    <cellStyle name="Обычный 8 6 2 3 2 4 4 2" xfId="43905"/>
    <cellStyle name="Обычный 8 6 2 3 2 4 5" xfId="43906"/>
    <cellStyle name="Обычный 8 6 2 3 2 4 6" xfId="43907"/>
    <cellStyle name="Обычный 8 6 2 3 2 5" xfId="43908"/>
    <cellStyle name="Обычный 8 6 2 3 2 5 2" xfId="43909"/>
    <cellStyle name="Обычный 8 6 2 3 2 5 3" xfId="43910"/>
    <cellStyle name="Обычный 8 6 2 3 2 6" xfId="43911"/>
    <cellStyle name="Обычный 8 6 2 3 2 6 2" xfId="43912"/>
    <cellStyle name="Обычный 8 6 2 3 2 6 3" xfId="43913"/>
    <cellStyle name="Обычный 8 6 2 3 2 7" xfId="43914"/>
    <cellStyle name="Обычный 8 6 2 3 2 7 2" xfId="43915"/>
    <cellStyle name="Обычный 8 6 2 3 2 8" xfId="43916"/>
    <cellStyle name="Обычный 8 6 2 3 2 9" xfId="43917"/>
    <cellStyle name="Обычный 8 6 2 3 3" xfId="43918"/>
    <cellStyle name="Обычный 8 6 2 3 3 2" xfId="43919"/>
    <cellStyle name="Обычный 8 6 2 3 3 2 2" xfId="43920"/>
    <cellStyle name="Обычный 8 6 2 3 3 2 2 2" xfId="43921"/>
    <cellStyle name="Обычный 8 6 2 3 3 2 2 2 2" xfId="43922"/>
    <cellStyle name="Обычный 8 6 2 3 3 2 2 2 3" xfId="43923"/>
    <cellStyle name="Обычный 8 6 2 3 3 2 2 3" xfId="43924"/>
    <cellStyle name="Обычный 8 6 2 3 3 2 2 3 2" xfId="43925"/>
    <cellStyle name="Обычный 8 6 2 3 3 2 2 3 3" xfId="43926"/>
    <cellStyle name="Обычный 8 6 2 3 3 2 2 4" xfId="43927"/>
    <cellStyle name="Обычный 8 6 2 3 3 2 2 4 2" xfId="43928"/>
    <cellStyle name="Обычный 8 6 2 3 3 2 2 5" xfId="43929"/>
    <cellStyle name="Обычный 8 6 2 3 3 2 2 6" xfId="43930"/>
    <cellStyle name="Обычный 8 6 2 3 3 2 3" xfId="43931"/>
    <cellStyle name="Обычный 8 6 2 3 3 2 3 2" xfId="43932"/>
    <cellStyle name="Обычный 8 6 2 3 3 2 3 3" xfId="43933"/>
    <cellStyle name="Обычный 8 6 2 3 3 2 4" xfId="43934"/>
    <cellStyle name="Обычный 8 6 2 3 3 2 4 2" xfId="43935"/>
    <cellStyle name="Обычный 8 6 2 3 3 2 4 3" xfId="43936"/>
    <cellStyle name="Обычный 8 6 2 3 3 2 5" xfId="43937"/>
    <cellStyle name="Обычный 8 6 2 3 3 2 5 2" xfId="43938"/>
    <cellStyle name="Обычный 8 6 2 3 3 2 6" xfId="43939"/>
    <cellStyle name="Обычный 8 6 2 3 3 2 7" xfId="43940"/>
    <cellStyle name="Обычный 8 6 2 3 3 3" xfId="43941"/>
    <cellStyle name="Обычный 8 6 2 3 3 3 2" xfId="43942"/>
    <cellStyle name="Обычный 8 6 2 3 3 3 2 2" xfId="43943"/>
    <cellStyle name="Обычный 8 6 2 3 3 3 2 3" xfId="43944"/>
    <cellStyle name="Обычный 8 6 2 3 3 3 3" xfId="43945"/>
    <cellStyle name="Обычный 8 6 2 3 3 3 3 2" xfId="43946"/>
    <cellStyle name="Обычный 8 6 2 3 3 3 3 3" xfId="43947"/>
    <cellStyle name="Обычный 8 6 2 3 3 3 4" xfId="43948"/>
    <cellStyle name="Обычный 8 6 2 3 3 3 4 2" xfId="43949"/>
    <cellStyle name="Обычный 8 6 2 3 3 3 5" xfId="43950"/>
    <cellStyle name="Обычный 8 6 2 3 3 3 6" xfId="43951"/>
    <cellStyle name="Обычный 8 6 2 3 3 4" xfId="43952"/>
    <cellStyle name="Обычный 8 6 2 3 3 4 2" xfId="43953"/>
    <cellStyle name="Обычный 8 6 2 3 3 4 3" xfId="43954"/>
    <cellStyle name="Обычный 8 6 2 3 3 5" xfId="43955"/>
    <cellStyle name="Обычный 8 6 2 3 3 5 2" xfId="43956"/>
    <cellStyle name="Обычный 8 6 2 3 3 5 3" xfId="43957"/>
    <cellStyle name="Обычный 8 6 2 3 3 6" xfId="43958"/>
    <cellStyle name="Обычный 8 6 2 3 3 6 2" xfId="43959"/>
    <cellStyle name="Обычный 8 6 2 3 3 7" xfId="43960"/>
    <cellStyle name="Обычный 8 6 2 3 3 8" xfId="43961"/>
    <cellStyle name="Обычный 8 6 2 3 4" xfId="43962"/>
    <cellStyle name="Обычный 8 6 2 3 4 2" xfId="43963"/>
    <cellStyle name="Обычный 8 6 2 3 4 2 2" xfId="43964"/>
    <cellStyle name="Обычный 8 6 2 3 4 2 2 2" xfId="43965"/>
    <cellStyle name="Обычный 8 6 2 3 4 2 2 3" xfId="43966"/>
    <cellStyle name="Обычный 8 6 2 3 4 2 3" xfId="43967"/>
    <cellStyle name="Обычный 8 6 2 3 4 2 3 2" xfId="43968"/>
    <cellStyle name="Обычный 8 6 2 3 4 2 3 3" xfId="43969"/>
    <cellStyle name="Обычный 8 6 2 3 4 2 4" xfId="43970"/>
    <cellStyle name="Обычный 8 6 2 3 4 2 4 2" xfId="43971"/>
    <cellStyle name="Обычный 8 6 2 3 4 2 5" xfId="43972"/>
    <cellStyle name="Обычный 8 6 2 3 4 2 6" xfId="43973"/>
    <cellStyle name="Обычный 8 6 2 3 4 3" xfId="43974"/>
    <cellStyle name="Обычный 8 6 2 3 4 3 2" xfId="43975"/>
    <cellStyle name="Обычный 8 6 2 3 4 3 3" xfId="43976"/>
    <cellStyle name="Обычный 8 6 2 3 4 4" xfId="43977"/>
    <cellStyle name="Обычный 8 6 2 3 4 4 2" xfId="43978"/>
    <cellStyle name="Обычный 8 6 2 3 4 4 3" xfId="43979"/>
    <cellStyle name="Обычный 8 6 2 3 4 5" xfId="43980"/>
    <cellStyle name="Обычный 8 6 2 3 4 5 2" xfId="43981"/>
    <cellStyle name="Обычный 8 6 2 3 4 6" xfId="43982"/>
    <cellStyle name="Обычный 8 6 2 3 4 7" xfId="43983"/>
    <cellStyle name="Обычный 8 6 2 3 5" xfId="43984"/>
    <cellStyle name="Обычный 8 6 2 3 5 2" xfId="43985"/>
    <cellStyle name="Обычный 8 6 2 3 5 2 2" xfId="43986"/>
    <cellStyle name="Обычный 8 6 2 3 5 2 3" xfId="43987"/>
    <cellStyle name="Обычный 8 6 2 3 5 3" xfId="43988"/>
    <cellStyle name="Обычный 8 6 2 3 5 3 2" xfId="43989"/>
    <cellStyle name="Обычный 8 6 2 3 5 3 3" xfId="43990"/>
    <cellStyle name="Обычный 8 6 2 3 5 4" xfId="43991"/>
    <cellStyle name="Обычный 8 6 2 3 5 4 2" xfId="43992"/>
    <cellStyle name="Обычный 8 6 2 3 5 5" xfId="43993"/>
    <cellStyle name="Обычный 8 6 2 3 5 6" xfId="43994"/>
    <cellStyle name="Обычный 8 6 2 3 6" xfId="43995"/>
    <cellStyle name="Обычный 8 6 2 3 6 2" xfId="43996"/>
    <cellStyle name="Обычный 8 6 2 3 6 3" xfId="43997"/>
    <cellStyle name="Обычный 8 6 2 3 7" xfId="43998"/>
    <cellStyle name="Обычный 8 6 2 3 7 2" xfId="43999"/>
    <cellStyle name="Обычный 8 6 2 3 7 3" xfId="44000"/>
    <cellStyle name="Обычный 8 6 2 3 8" xfId="44001"/>
    <cellStyle name="Обычный 8 6 2 3 8 2" xfId="44002"/>
    <cellStyle name="Обычный 8 6 2 3 9" xfId="44003"/>
    <cellStyle name="Обычный 8 6 2 4" xfId="44004"/>
    <cellStyle name="Обычный 8 6 2 4 10" xfId="44005"/>
    <cellStyle name="Обычный 8 6 2 4 2" xfId="44006"/>
    <cellStyle name="Обычный 8 6 2 4 2 2" xfId="44007"/>
    <cellStyle name="Обычный 8 6 2 4 2 2 2" xfId="44008"/>
    <cellStyle name="Обычный 8 6 2 4 2 2 2 2" xfId="44009"/>
    <cellStyle name="Обычный 8 6 2 4 2 2 2 2 2" xfId="44010"/>
    <cellStyle name="Обычный 8 6 2 4 2 2 2 2 2 2" xfId="44011"/>
    <cellStyle name="Обычный 8 6 2 4 2 2 2 2 2 3" xfId="44012"/>
    <cellStyle name="Обычный 8 6 2 4 2 2 2 2 3" xfId="44013"/>
    <cellStyle name="Обычный 8 6 2 4 2 2 2 2 3 2" xfId="44014"/>
    <cellStyle name="Обычный 8 6 2 4 2 2 2 2 3 3" xfId="44015"/>
    <cellStyle name="Обычный 8 6 2 4 2 2 2 2 4" xfId="44016"/>
    <cellStyle name="Обычный 8 6 2 4 2 2 2 2 4 2" xfId="44017"/>
    <cellStyle name="Обычный 8 6 2 4 2 2 2 2 5" xfId="44018"/>
    <cellStyle name="Обычный 8 6 2 4 2 2 2 2 6" xfId="44019"/>
    <cellStyle name="Обычный 8 6 2 4 2 2 2 3" xfId="44020"/>
    <cellStyle name="Обычный 8 6 2 4 2 2 2 3 2" xfId="44021"/>
    <cellStyle name="Обычный 8 6 2 4 2 2 2 3 3" xfId="44022"/>
    <cellStyle name="Обычный 8 6 2 4 2 2 2 4" xfId="44023"/>
    <cellStyle name="Обычный 8 6 2 4 2 2 2 4 2" xfId="44024"/>
    <cellStyle name="Обычный 8 6 2 4 2 2 2 4 3" xfId="44025"/>
    <cellStyle name="Обычный 8 6 2 4 2 2 2 5" xfId="44026"/>
    <cellStyle name="Обычный 8 6 2 4 2 2 2 5 2" xfId="44027"/>
    <cellStyle name="Обычный 8 6 2 4 2 2 2 6" xfId="44028"/>
    <cellStyle name="Обычный 8 6 2 4 2 2 2 7" xfId="44029"/>
    <cellStyle name="Обычный 8 6 2 4 2 2 3" xfId="44030"/>
    <cellStyle name="Обычный 8 6 2 4 2 2 3 2" xfId="44031"/>
    <cellStyle name="Обычный 8 6 2 4 2 2 3 2 2" xfId="44032"/>
    <cellStyle name="Обычный 8 6 2 4 2 2 3 2 3" xfId="44033"/>
    <cellStyle name="Обычный 8 6 2 4 2 2 3 3" xfId="44034"/>
    <cellStyle name="Обычный 8 6 2 4 2 2 3 3 2" xfId="44035"/>
    <cellStyle name="Обычный 8 6 2 4 2 2 3 3 3" xfId="44036"/>
    <cellStyle name="Обычный 8 6 2 4 2 2 3 4" xfId="44037"/>
    <cellStyle name="Обычный 8 6 2 4 2 2 3 4 2" xfId="44038"/>
    <cellStyle name="Обычный 8 6 2 4 2 2 3 5" xfId="44039"/>
    <cellStyle name="Обычный 8 6 2 4 2 2 3 6" xfId="44040"/>
    <cellStyle name="Обычный 8 6 2 4 2 2 4" xfId="44041"/>
    <cellStyle name="Обычный 8 6 2 4 2 2 4 2" xfId="44042"/>
    <cellStyle name="Обычный 8 6 2 4 2 2 4 3" xfId="44043"/>
    <cellStyle name="Обычный 8 6 2 4 2 2 5" xfId="44044"/>
    <cellStyle name="Обычный 8 6 2 4 2 2 5 2" xfId="44045"/>
    <cellStyle name="Обычный 8 6 2 4 2 2 5 3" xfId="44046"/>
    <cellStyle name="Обычный 8 6 2 4 2 2 6" xfId="44047"/>
    <cellStyle name="Обычный 8 6 2 4 2 2 6 2" xfId="44048"/>
    <cellStyle name="Обычный 8 6 2 4 2 2 7" xfId="44049"/>
    <cellStyle name="Обычный 8 6 2 4 2 2 8" xfId="44050"/>
    <cellStyle name="Обычный 8 6 2 4 2 3" xfId="44051"/>
    <cellStyle name="Обычный 8 6 2 4 2 3 2" xfId="44052"/>
    <cellStyle name="Обычный 8 6 2 4 2 3 2 2" xfId="44053"/>
    <cellStyle name="Обычный 8 6 2 4 2 3 2 2 2" xfId="44054"/>
    <cellStyle name="Обычный 8 6 2 4 2 3 2 2 3" xfId="44055"/>
    <cellStyle name="Обычный 8 6 2 4 2 3 2 3" xfId="44056"/>
    <cellStyle name="Обычный 8 6 2 4 2 3 2 3 2" xfId="44057"/>
    <cellStyle name="Обычный 8 6 2 4 2 3 2 3 3" xfId="44058"/>
    <cellStyle name="Обычный 8 6 2 4 2 3 2 4" xfId="44059"/>
    <cellStyle name="Обычный 8 6 2 4 2 3 2 4 2" xfId="44060"/>
    <cellStyle name="Обычный 8 6 2 4 2 3 2 5" xfId="44061"/>
    <cellStyle name="Обычный 8 6 2 4 2 3 2 6" xfId="44062"/>
    <cellStyle name="Обычный 8 6 2 4 2 3 3" xfId="44063"/>
    <cellStyle name="Обычный 8 6 2 4 2 3 3 2" xfId="44064"/>
    <cellStyle name="Обычный 8 6 2 4 2 3 3 3" xfId="44065"/>
    <cellStyle name="Обычный 8 6 2 4 2 3 4" xfId="44066"/>
    <cellStyle name="Обычный 8 6 2 4 2 3 4 2" xfId="44067"/>
    <cellStyle name="Обычный 8 6 2 4 2 3 4 3" xfId="44068"/>
    <cellStyle name="Обычный 8 6 2 4 2 3 5" xfId="44069"/>
    <cellStyle name="Обычный 8 6 2 4 2 3 5 2" xfId="44070"/>
    <cellStyle name="Обычный 8 6 2 4 2 3 6" xfId="44071"/>
    <cellStyle name="Обычный 8 6 2 4 2 3 7" xfId="44072"/>
    <cellStyle name="Обычный 8 6 2 4 2 4" xfId="44073"/>
    <cellStyle name="Обычный 8 6 2 4 2 4 2" xfId="44074"/>
    <cellStyle name="Обычный 8 6 2 4 2 4 2 2" xfId="44075"/>
    <cellStyle name="Обычный 8 6 2 4 2 4 2 3" xfId="44076"/>
    <cellStyle name="Обычный 8 6 2 4 2 4 3" xfId="44077"/>
    <cellStyle name="Обычный 8 6 2 4 2 4 3 2" xfId="44078"/>
    <cellStyle name="Обычный 8 6 2 4 2 4 3 3" xfId="44079"/>
    <cellStyle name="Обычный 8 6 2 4 2 4 4" xfId="44080"/>
    <cellStyle name="Обычный 8 6 2 4 2 4 4 2" xfId="44081"/>
    <cellStyle name="Обычный 8 6 2 4 2 4 5" xfId="44082"/>
    <cellStyle name="Обычный 8 6 2 4 2 4 6" xfId="44083"/>
    <cellStyle name="Обычный 8 6 2 4 2 5" xfId="44084"/>
    <cellStyle name="Обычный 8 6 2 4 2 5 2" xfId="44085"/>
    <cellStyle name="Обычный 8 6 2 4 2 5 3" xfId="44086"/>
    <cellStyle name="Обычный 8 6 2 4 2 6" xfId="44087"/>
    <cellStyle name="Обычный 8 6 2 4 2 6 2" xfId="44088"/>
    <cellStyle name="Обычный 8 6 2 4 2 6 3" xfId="44089"/>
    <cellStyle name="Обычный 8 6 2 4 2 7" xfId="44090"/>
    <cellStyle name="Обычный 8 6 2 4 2 7 2" xfId="44091"/>
    <cellStyle name="Обычный 8 6 2 4 2 8" xfId="44092"/>
    <cellStyle name="Обычный 8 6 2 4 2 9" xfId="44093"/>
    <cellStyle name="Обычный 8 6 2 4 3" xfId="44094"/>
    <cellStyle name="Обычный 8 6 2 4 3 2" xfId="44095"/>
    <cellStyle name="Обычный 8 6 2 4 3 2 2" xfId="44096"/>
    <cellStyle name="Обычный 8 6 2 4 3 2 2 2" xfId="44097"/>
    <cellStyle name="Обычный 8 6 2 4 3 2 2 2 2" xfId="44098"/>
    <cellStyle name="Обычный 8 6 2 4 3 2 2 2 3" xfId="44099"/>
    <cellStyle name="Обычный 8 6 2 4 3 2 2 3" xfId="44100"/>
    <cellStyle name="Обычный 8 6 2 4 3 2 2 3 2" xfId="44101"/>
    <cellStyle name="Обычный 8 6 2 4 3 2 2 3 3" xfId="44102"/>
    <cellStyle name="Обычный 8 6 2 4 3 2 2 4" xfId="44103"/>
    <cellStyle name="Обычный 8 6 2 4 3 2 2 4 2" xfId="44104"/>
    <cellStyle name="Обычный 8 6 2 4 3 2 2 5" xfId="44105"/>
    <cellStyle name="Обычный 8 6 2 4 3 2 2 6" xfId="44106"/>
    <cellStyle name="Обычный 8 6 2 4 3 2 3" xfId="44107"/>
    <cellStyle name="Обычный 8 6 2 4 3 2 3 2" xfId="44108"/>
    <cellStyle name="Обычный 8 6 2 4 3 2 3 3" xfId="44109"/>
    <cellStyle name="Обычный 8 6 2 4 3 2 4" xfId="44110"/>
    <cellStyle name="Обычный 8 6 2 4 3 2 4 2" xfId="44111"/>
    <cellStyle name="Обычный 8 6 2 4 3 2 4 3" xfId="44112"/>
    <cellStyle name="Обычный 8 6 2 4 3 2 5" xfId="44113"/>
    <cellStyle name="Обычный 8 6 2 4 3 2 5 2" xfId="44114"/>
    <cellStyle name="Обычный 8 6 2 4 3 2 6" xfId="44115"/>
    <cellStyle name="Обычный 8 6 2 4 3 2 7" xfId="44116"/>
    <cellStyle name="Обычный 8 6 2 4 3 3" xfId="44117"/>
    <cellStyle name="Обычный 8 6 2 4 3 3 2" xfId="44118"/>
    <cellStyle name="Обычный 8 6 2 4 3 3 2 2" xfId="44119"/>
    <cellStyle name="Обычный 8 6 2 4 3 3 2 3" xfId="44120"/>
    <cellStyle name="Обычный 8 6 2 4 3 3 3" xfId="44121"/>
    <cellStyle name="Обычный 8 6 2 4 3 3 3 2" xfId="44122"/>
    <cellStyle name="Обычный 8 6 2 4 3 3 3 3" xfId="44123"/>
    <cellStyle name="Обычный 8 6 2 4 3 3 4" xfId="44124"/>
    <cellStyle name="Обычный 8 6 2 4 3 3 4 2" xfId="44125"/>
    <cellStyle name="Обычный 8 6 2 4 3 3 5" xfId="44126"/>
    <cellStyle name="Обычный 8 6 2 4 3 3 6" xfId="44127"/>
    <cellStyle name="Обычный 8 6 2 4 3 4" xfId="44128"/>
    <cellStyle name="Обычный 8 6 2 4 3 4 2" xfId="44129"/>
    <cellStyle name="Обычный 8 6 2 4 3 4 3" xfId="44130"/>
    <cellStyle name="Обычный 8 6 2 4 3 5" xfId="44131"/>
    <cellStyle name="Обычный 8 6 2 4 3 5 2" xfId="44132"/>
    <cellStyle name="Обычный 8 6 2 4 3 5 3" xfId="44133"/>
    <cellStyle name="Обычный 8 6 2 4 3 6" xfId="44134"/>
    <cellStyle name="Обычный 8 6 2 4 3 6 2" xfId="44135"/>
    <cellStyle name="Обычный 8 6 2 4 3 7" xfId="44136"/>
    <cellStyle name="Обычный 8 6 2 4 3 8" xfId="44137"/>
    <cellStyle name="Обычный 8 6 2 4 4" xfId="44138"/>
    <cellStyle name="Обычный 8 6 2 4 4 2" xfId="44139"/>
    <cellStyle name="Обычный 8 6 2 4 4 2 2" xfId="44140"/>
    <cellStyle name="Обычный 8 6 2 4 4 2 2 2" xfId="44141"/>
    <cellStyle name="Обычный 8 6 2 4 4 2 2 3" xfId="44142"/>
    <cellStyle name="Обычный 8 6 2 4 4 2 3" xfId="44143"/>
    <cellStyle name="Обычный 8 6 2 4 4 2 3 2" xfId="44144"/>
    <cellStyle name="Обычный 8 6 2 4 4 2 3 3" xfId="44145"/>
    <cellStyle name="Обычный 8 6 2 4 4 2 4" xfId="44146"/>
    <cellStyle name="Обычный 8 6 2 4 4 2 4 2" xfId="44147"/>
    <cellStyle name="Обычный 8 6 2 4 4 2 5" xfId="44148"/>
    <cellStyle name="Обычный 8 6 2 4 4 2 6" xfId="44149"/>
    <cellStyle name="Обычный 8 6 2 4 4 3" xfId="44150"/>
    <cellStyle name="Обычный 8 6 2 4 4 3 2" xfId="44151"/>
    <cellStyle name="Обычный 8 6 2 4 4 3 3" xfId="44152"/>
    <cellStyle name="Обычный 8 6 2 4 4 4" xfId="44153"/>
    <cellStyle name="Обычный 8 6 2 4 4 4 2" xfId="44154"/>
    <cellStyle name="Обычный 8 6 2 4 4 4 3" xfId="44155"/>
    <cellStyle name="Обычный 8 6 2 4 4 5" xfId="44156"/>
    <cellStyle name="Обычный 8 6 2 4 4 5 2" xfId="44157"/>
    <cellStyle name="Обычный 8 6 2 4 4 6" xfId="44158"/>
    <cellStyle name="Обычный 8 6 2 4 4 7" xfId="44159"/>
    <cellStyle name="Обычный 8 6 2 4 5" xfId="44160"/>
    <cellStyle name="Обычный 8 6 2 4 5 2" xfId="44161"/>
    <cellStyle name="Обычный 8 6 2 4 5 2 2" xfId="44162"/>
    <cellStyle name="Обычный 8 6 2 4 5 2 3" xfId="44163"/>
    <cellStyle name="Обычный 8 6 2 4 5 3" xfId="44164"/>
    <cellStyle name="Обычный 8 6 2 4 5 3 2" xfId="44165"/>
    <cellStyle name="Обычный 8 6 2 4 5 3 3" xfId="44166"/>
    <cellStyle name="Обычный 8 6 2 4 5 4" xfId="44167"/>
    <cellStyle name="Обычный 8 6 2 4 5 4 2" xfId="44168"/>
    <cellStyle name="Обычный 8 6 2 4 5 5" xfId="44169"/>
    <cellStyle name="Обычный 8 6 2 4 5 6" xfId="44170"/>
    <cellStyle name="Обычный 8 6 2 4 6" xfId="44171"/>
    <cellStyle name="Обычный 8 6 2 4 6 2" xfId="44172"/>
    <cellStyle name="Обычный 8 6 2 4 6 3" xfId="44173"/>
    <cellStyle name="Обычный 8 6 2 4 7" xfId="44174"/>
    <cellStyle name="Обычный 8 6 2 4 7 2" xfId="44175"/>
    <cellStyle name="Обычный 8 6 2 4 7 3" xfId="44176"/>
    <cellStyle name="Обычный 8 6 2 4 8" xfId="44177"/>
    <cellStyle name="Обычный 8 6 2 4 8 2" xfId="44178"/>
    <cellStyle name="Обычный 8 6 2 4 9" xfId="44179"/>
    <cellStyle name="Обычный 8 6 2 5" xfId="44180"/>
    <cellStyle name="Обычный 8 6 2 5 2" xfId="44181"/>
    <cellStyle name="Обычный 8 6 2 5 2 2" xfId="44182"/>
    <cellStyle name="Обычный 8 6 2 5 2 2 2" xfId="44183"/>
    <cellStyle name="Обычный 8 6 2 5 2 2 2 2" xfId="44184"/>
    <cellStyle name="Обычный 8 6 2 5 2 2 2 2 2" xfId="44185"/>
    <cellStyle name="Обычный 8 6 2 5 2 2 2 2 3" xfId="44186"/>
    <cellStyle name="Обычный 8 6 2 5 2 2 2 3" xfId="44187"/>
    <cellStyle name="Обычный 8 6 2 5 2 2 2 3 2" xfId="44188"/>
    <cellStyle name="Обычный 8 6 2 5 2 2 2 3 3" xfId="44189"/>
    <cellStyle name="Обычный 8 6 2 5 2 2 2 4" xfId="44190"/>
    <cellStyle name="Обычный 8 6 2 5 2 2 2 4 2" xfId="44191"/>
    <cellStyle name="Обычный 8 6 2 5 2 2 2 5" xfId="44192"/>
    <cellStyle name="Обычный 8 6 2 5 2 2 2 6" xfId="44193"/>
    <cellStyle name="Обычный 8 6 2 5 2 2 3" xfId="44194"/>
    <cellStyle name="Обычный 8 6 2 5 2 2 3 2" xfId="44195"/>
    <cellStyle name="Обычный 8 6 2 5 2 2 3 3" xfId="44196"/>
    <cellStyle name="Обычный 8 6 2 5 2 2 4" xfId="44197"/>
    <cellStyle name="Обычный 8 6 2 5 2 2 4 2" xfId="44198"/>
    <cellStyle name="Обычный 8 6 2 5 2 2 4 3" xfId="44199"/>
    <cellStyle name="Обычный 8 6 2 5 2 2 5" xfId="44200"/>
    <cellStyle name="Обычный 8 6 2 5 2 2 5 2" xfId="44201"/>
    <cellStyle name="Обычный 8 6 2 5 2 2 6" xfId="44202"/>
    <cellStyle name="Обычный 8 6 2 5 2 2 7" xfId="44203"/>
    <cellStyle name="Обычный 8 6 2 5 2 3" xfId="44204"/>
    <cellStyle name="Обычный 8 6 2 5 2 3 2" xfId="44205"/>
    <cellStyle name="Обычный 8 6 2 5 2 3 2 2" xfId="44206"/>
    <cellStyle name="Обычный 8 6 2 5 2 3 2 3" xfId="44207"/>
    <cellStyle name="Обычный 8 6 2 5 2 3 3" xfId="44208"/>
    <cellStyle name="Обычный 8 6 2 5 2 3 3 2" xfId="44209"/>
    <cellStyle name="Обычный 8 6 2 5 2 3 3 3" xfId="44210"/>
    <cellStyle name="Обычный 8 6 2 5 2 3 4" xfId="44211"/>
    <cellStyle name="Обычный 8 6 2 5 2 3 4 2" xfId="44212"/>
    <cellStyle name="Обычный 8 6 2 5 2 3 5" xfId="44213"/>
    <cellStyle name="Обычный 8 6 2 5 2 3 6" xfId="44214"/>
    <cellStyle name="Обычный 8 6 2 5 2 4" xfId="44215"/>
    <cellStyle name="Обычный 8 6 2 5 2 4 2" xfId="44216"/>
    <cellStyle name="Обычный 8 6 2 5 2 4 3" xfId="44217"/>
    <cellStyle name="Обычный 8 6 2 5 2 5" xfId="44218"/>
    <cellStyle name="Обычный 8 6 2 5 2 5 2" xfId="44219"/>
    <cellStyle name="Обычный 8 6 2 5 2 5 3" xfId="44220"/>
    <cellStyle name="Обычный 8 6 2 5 2 6" xfId="44221"/>
    <cellStyle name="Обычный 8 6 2 5 2 6 2" xfId="44222"/>
    <cellStyle name="Обычный 8 6 2 5 2 7" xfId="44223"/>
    <cellStyle name="Обычный 8 6 2 5 2 8" xfId="44224"/>
    <cellStyle name="Обычный 8 6 2 5 3" xfId="44225"/>
    <cellStyle name="Обычный 8 6 2 5 3 2" xfId="44226"/>
    <cellStyle name="Обычный 8 6 2 5 3 2 2" xfId="44227"/>
    <cellStyle name="Обычный 8 6 2 5 3 2 2 2" xfId="44228"/>
    <cellStyle name="Обычный 8 6 2 5 3 2 2 3" xfId="44229"/>
    <cellStyle name="Обычный 8 6 2 5 3 2 3" xfId="44230"/>
    <cellStyle name="Обычный 8 6 2 5 3 2 3 2" xfId="44231"/>
    <cellStyle name="Обычный 8 6 2 5 3 2 3 3" xfId="44232"/>
    <cellStyle name="Обычный 8 6 2 5 3 2 4" xfId="44233"/>
    <cellStyle name="Обычный 8 6 2 5 3 2 4 2" xfId="44234"/>
    <cellStyle name="Обычный 8 6 2 5 3 2 5" xfId="44235"/>
    <cellStyle name="Обычный 8 6 2 5 3 2 6" xfId="44236"/>
    <cellStyle name="Обычный 8 6 2 5 3 3" xfId="44237"/>
    <cellStyle name="Обычный 8 6 2 5 3 3 2" xfId="44238"/>
    <cellStyle name="Обычный 8 6 2 5 3 3 3" xfId="44239"/>
    <cellStyle name="Обычный 8 6 2 5 3 4" xfId="44240"/>
    <cellStyle name="Обычный 8 6 2 5 3 4 2" xfId="44241"/>
    <cellStyle name="Обычный 8 6 2 5 3 4 3" xfId="44242"/>
    <cellStyle name="Обычный 8 6 2 5 3 5" xfId="44243"/>
    <cellStyle name="Обычный 8 6 2 5 3 5 2" xfId="44244"/>
    <cellStyle name="Обычный 8 6 2 5 3 6" xfId="44245"/>
    <cellStyle name="Обычный 8 6 2 5 3 7" xfId="44246"/>
    <cellStyle name="Обычный 8 6 2 5 4" xfId="44247"/>
    <cellStyle name="Обычный 8 6 2 5 4 2" xfId="44248"/>
    <cellStyle name="Обычный 8 6 2 5 4 2 2" xfId="44249"/>
    <cellStyle name="Обычный 8 6 2 5 4 2 3" xfId="44250"/>
    <cellStyle name="Обычный 8 6 2 5 4 3" xfId="44251"/>
    <cellStyle name="Обычный 8 6 2 5 4 3 2" xfId="44252"/>
    <cellStyle name="Обычный 8 6 2 5 4 3 3" xfId="44253"/>
    <cellStyle name="Обычный 8 6 2 5 4 4" xfId="44254"/>
    <cellStyle name="Обычный 8 6 2 5 4 4 2" xfId="44255"/>
    <cellStyle name="Обычный 8 6 2 5 4 5" xfId="44256"/>
    <cellStyle name="Обычный 8 6 2 5 4 6" xfId="44257"/>
    <cellStyle name="Обычный 8 6 2 5 5" xfId="44258"/>
    <cellStyle name="Обычный 8 6 2 5 5 2" xfId="44259"/>
    <cellStyle name="Обычный 8 6 2 5 5 3" xfId="44260"/>
    <cellStyle name="Обычный 8 6 2 5 6" xfId="44261"/>
    <cellStyle name="Обычный 8 6 2 5 6 2" xfId="44262"/>
    <cellStyle name="Обычный 8 6 2 5 6 3" xfId="44263"/>
    <cellStyle name="Обычный 8 6 2 5 7" xfId="44264"/>
    <cellStyle name="Обычный 8 6 2 5 7 2" xfId="44265"/>
    <cellStyle name="Обычный 8 6 2 5 8" xfId="44266"/>
    <cellStyle name="Обычный 8 6 2 5 9" xfId="44267"/>
    <cellStyle name="Обычный 8 6 2 6" xfId="44268"/>
    <cellStyle name="Обычный 8 6 2 6 2" xfId="44269"/>
    <cellStyle name="Обычный 8 6 2 6 2 2" xfId="44270"/>
    <cellStyle name="Обычный 8 6 2 6 2 2 2" xfId="44271"/>
    <cellStyle name="Обычный 8 6 2 6 2 2 2 2" xfId="44272"/>
    <cellStyle name="Обычный 8 6 2 6 2 2 2 3" xfId="44273"/>
    <cellStyle name="Обычный 8 6 2 6 2 2 3" xfId="44274"/>
    <cellStyle name="Обычный 8 6 2 6 2 2 3 2" xfId="44275"/>
    <cellStyle name="Обычный 8 6 2 6 2 2 3 3" xfId="44276"/>
    <cellStyle name="Обычный 8 6 2 6 2 2 4" xfId="44277"/>
    <cellStyle name="Обычный 8 6 2 6 2 2 4 2" xfId="44278"/>
    <cellStyle name="Обычный 8 6 2 6 2 2 5" xfId="44279"/>
    <cellStyle name="Обычный 8 6 2 6 2 2 6" xfId="44280"/>
    <cellStyle name="Обычный 8 6 2 6 2 3" xfId="44281"/>
    <cellStyle name="Обычный 8 6 2 6 2 3 2" xfId="44282"/>
    <cellStyle name="Обычный 8 6 2 6 2 3 3" xfId="44283"/>
    <cellStyle name="Обычный 8 6 2 6 2 4" xfId="44284"/>
    <cellStyle name="Обычный 8 6 2 6 2 4 2" xfId="44285"/>
    <cellStyle name="Обычный 8 6 2 6 2 4 3" xfId="44286"/>
    <cellStyle name="Обычный 8 6 2 6 2 5" xfId="44287"/>
    <cellStyle name="Обычный 8 6 2 6 2 5 2" xfId="44288"/>
    <cellStyle name="Обычный 8 6 2 6 2 6" xfId="44289"/>
    <cellStyle name="Обычный 8 6 2 6 2 7" xfId="44290"/>
    <cellStyle name="Обычный 8 6 2 6 3" xfId="44291"/>
    <cellStyle name="Обычный 8 6 2 6 3 2" xfId="44292"/>
    <cellStyle name="Обычный 8 6 2 6 3 2 2" xfId="44293"/>
    <cellStyle name="Обычный 8 6 2 6 3 2 3" xfId="44294"/>
    <cellStyle name="Обычный 8 6 2 6 3 3" xfId="44295"/>
    <cellStyle name="Обычный 8 6 2 6 3 3 2" xfId="44296"/>
    <cellStyle name="Обычный 8 6 2 6 3 3 3" xfId="44297"/>
    <cellStyle name="Обычный 8 6 2 6 3 4" xfId="44298"/>
    <cellStyle name="Обычный 8 6 2 6 3 4 2" xfId="44299"/>
    <cellStyle name="Обычный 8 6 2 6 3 5" xfId="44300"/>
    <cellStyle name="Обычный 8 6 2 6 3 6" xfId="44301"/>
    <cellStyle name="Обычный 8 6 2 6 4" xfId="44302"/>
    <cellStyle name="Обычный 8 6 2 6 4 2" xfId="44303"/>
    <cellStyle name="Обычный 8 6 2 6 4 3" xfId="44304"/>
    <cellStyle name="Обычный 8 6 2 6 5" xfId="44305"/>
    <cellStyle name="Обычный 8 6 2 6 5 2" xfId="44306"/>
    <cellStyle name="Обычный 8 6 2 6 5 3" xfId="44307"/>
    <cellStyle name="Обычный 8 6 2 6 6" xfId="44308"/>
    <cellStyle name="Обычный 8 6 2 6 6 2" xfId="44309"/>
    <cellStyle name="Обычный 8 6 2 6 7" xfId="44310"/>
    <cellStyle name="Обычный 8 6 2 6 8" xfId="44311"/>
    <cellStyle name="Обычный 8 6 2 7" xfId="44312"/>
    <cellStyle name="Обычный 8 6 2 7 2" xfId="44313"/>
    <cellStyle name="Обычный 8 6 2 7 2 2" xfId="44314"/>
    <cellStyle name="Обычный 8 6 2 7 2 2 2" xfId="44315"/>
    <cellStyle name="Обычный 8 6 2 7 2 2 3" xfId="44316"/>
    <cellStyle name="Обычный 8 6 2 7 2 3" xfId="44317"/>
    <cellStyle name="Обычный 8 6 2 7 2 3 2" xfId="44318"/>
    <cellStyle name="Обычный 8 6 2 7 2 3 3" xfId="44319"/>
    <cellStyle name="Обычный 8 6 2 7 2 4" xfId="44320"/>
    <cellStyle name="Обычный 8 6 2 7 2 4 2" xfId="44321"/>
    <cellStyle name="Обычный 8 6 2 7 2 5" xfId="44322"/>
    <cellStyle name="Обычный 8 6 2 7 2 6" xfId="44323"/>
    <cellStyle name="Обычный 8 6 2 7 3" xfId="44324"/>
    <cellStyle name="Обычный 8 6 2 7 3 2" xfId="44325"/>
    <cellStyle name="Обычный 8 6 2 7 3 3" xfId="44326"/>
    <cellStyle name="Обычный 8 6 2 7 4" xfId="44327"/>
    <cellStyle name="Обычный 8 6 2 7 4 2" xfId="44328"/>
    <cellStyle name="Обычный 8 6 2 7 4 3" xfId="44329"/>
    <cellStyle name="Обычный 8 6 2 7 5" xfId="44330"/>
    <cellStyle name="Обычный 8 6 2 7 5 2" xfId="44331"/>
    <cellStyle name="Обычный 8 6 2 7 6" xfId="44332"/>
    <cellStyle name="Обычный 8 6 2 7 7" xfId="44333"/>
    <cellStyle name="Обычный 8 6 2 8" xfId="44334"/>
    <cellStyle name="Обычный 8 6 2 8 2" xfId="44335"/>
    <cellStyle name="Обычный 8 6 2 8 2 2" xfId="44336"/>
    <cellStyle name="Обычный 8 6 2 8 2 3" xfId="44337"/>
    <cellStyle name="Обычный 8 6 2 8 3" xfId="44338"/>
    <cellStyle name="Обычный 8 6 2 8 3 2" xfId="44339"/>
    <cellStyle name="Обычный 8 6 2 8 3 3" xfId="44340"/>
    <cellStyle name="Обычный 8 6 2 8 4" xfId="44341"/>
    <cellStyle name="Обычный 8 6 2 8 4 2" xfId="44342"/>
    <cellStyle name="Обычный 8 6 2 8 5" xfId="44343"/>
    <cellStyle name="Обычный 8 6 2 8 6" xfId="44344"/>
    <cellStyle name="Обычный 8 6 2 9" xfId="44345"/>
    <cellStyle name="Обычный 8 6 2 9 2" xfId="44346"/>
    <cellStyle name="Обычный 8 6 2 9 3" xfId="44347"/>
    <cellStyle name="Обычный 8 6 3" xfId="44348"/>
    <cellStyle name="Обычный 8 6 3 10" xfId="44349"/>
    <cellStyle name="Обычный 8 6 3 2" xfId="44350"/>
    <cellStyle name="Обычный 8 6 3 2 2" xfId="44351"/>
    <cellStyle name="Обычный 8 6 3 2 2 2" xfId="44352"/>
    <cellStyle name="Обычный 8 6 3 2 2 2 2" xfId="44353"/>
    <cellStyle name="Обычный 8 6 3 2 2 2 2 2" xfId="44354"/>
    <cellStyle name="Обычный 8 6 3 2 2 2 2 2 2" xfId="44355"/>
    <cellStyle name="Обычный 8 6 3 2 2 2 2 2 3" xfId="44356"/>
    <cellStyle name="Обычный 8 6 3 2 2 2 2 3" xfId="44357"/>
    <cellStyle name="Обычный 8 6 3 2 2 2 2 3 2" xfId="44358"/>
    <cellStyle name="Обычный 8 6 3 2 2 2 2 3 3" xfId="44359"/>
    <cellStyle name="Обычный 8 6 3 2 2 2 2 4" xfId="44360"/>
    <cellStyle name="Обычный 8 6 3 2 2 2 2 4 2" xfId="44361"/>
    <cellStyle name="Обычный 8 6 3 2 2 2 2 5" xfId="44362"/>
    <cellStyle name="Обычный 8 6 3 2 2 2 2 6" xfId="44363"/>
    <cellStyle name="Обычный 8 6 3 2 2 2 3" xfId="44364"/>
    <cellStyle name="Обычный 8 6 3 2 2 2 3 2" xfId="44365"/>
    <cellStyle name="Обычный 8 6 3 2 2 2 3 3" xfId="44366"/>
    <cellStyle name="Обычный 8 6 3 2 2 2 4" xfId="44367"/>
    <cellStyle name="Обычный 8 6 3 2 2 2 4 2" xfId="44368"/>
    <cellStyle name="Обычный 8 6 3 2 2 2 4 3" xfId="44369"/>
    <cellStyle name="Обычный 8 6 3 2 2 2 5" xfId="44370"/>
    <cellStyle name="Обычный 8 6 3 2 2 2 5 2" xfId="44371"/>
    <cellStyle name="Обычный 8 6 3 2 2 2 6" xfId="44372"/>
    <cellStyle name="Обычный 8 6 3 2 2 2 7" xfId="44373"/>
    <cellStyle name="Обычный 8 6 3 2 2 3" xfId="44374"/>
    <cellStyle name="Обычный 8 6 3 2 2 3 2" xfId="44375"/>
    <cellStyle name="Обычный 8 6 3 2 2 3 2 2" xfId="44376"/>
    <cellStyle name="Обычный 8 6 3 2 2 3 2 3" xfId="44377"/>
    <cellStyle name="Обычный 8 6 3 2 2 3 3" xfId="44378"/>
    <cellStyle name="Обычный 8 6 3 2 2 3 3 2" xfId="44379"/>
    <cellStyle name="Обычный 8 6 3 2 2 3 3 3" xfId="44380"/>
    <cellStyle name="Обычный 8 6 3 2 2 3 4" xfId="44381"/>
    <cellStyle name="Обычный 8 6 3 2 2 3 4 2" xfId="44382"/>
    <cellStyle name="Обычный 8 6 3 2 2 3 5" xfId="44383"/>
    <cellStyle name="Обычный 8 6 3 2 2 3 6" xfId="44384"/>
    <cellStyle name="Обычный 8 6 3 2 2 4" xfId="44385"/>
    <cellStyle name="Обычный 8 6 3 2 2 4 2" xfId="44386"/>
    <cellStyle name="Обычный 8 6 3 2 2 4 3" xfId="44387"/>
    <cellStyle name="Обычный 8 6 3 2 2 5" xfId="44388"/>
    <cellStyle name="Обычный 8 6 3 2 2 5 2" xfId="44389"/>
    <cellStyle name="Обычный 8 6 3 2 2 5 3" xfId="44390"/>
    <cellStyle name="Обычный 8 6 3 2 2 6" xfId="44391"/>
    <cellStyle name="Обычный 8 6 3 2 2 6 2" xfId="44392"/>
    <cellStyle name="Обычный 8 6 3 2 2 7" xfId="44393"/>
    <cellStyle name="Обычный 8 6 3 2 2 8" xfId="44394"/>
    <cellStyle name="Обычный 8 6 3 2 3" xfId="44395"/>
    <cellStyle name="Обычный 8 6 3 2 3 2" xfId="44396"/>
    <cellStyle name="Обычный 8 6 3 2 3 2 2" xfId="44397"/>
    <cellStyle name="Обычный 8 6 3 2 3 2 2 2" xfId="44398"/>
    <cellStyle name="Обычный 8 6 3 2 3 2 2 3" xfId="44399"/>
    <cellStyle name="Обычный 8 6 3 2 3 2 3" xfId="44400"/>
    <cellStyle name="Обычный 8 6 3 2 3 2 3 2" xfId="44401"/>
    <cellStyle name="Обычный 8 6 3 2 3 2 3 3" xfId="44402"/>
    <cellStyle name="Обычный 8 6 3 2 3 2 4" xfId="44403"/>
    <cellStyle name="Обычный 8 6 3 2 3 2 4 2" xfId="44404"/>
    <cellStyle name="Обычный 8 6 3 2 3 2 5" xfId="44405"/>
    <cellStyle name="Обычный 8 6 3 2 3 2 6" xfId="44406"/>
    <cellStyle name="Обычный 8 6 3 2 3 3" xfId="44407"/>
    <cellStyle name="Обычный 8 6 3 2 3 3 2" xfId="44408"/>
    <cellStyle name="Обычный 8 6 3 2 3 3 3" xfId="44409"/>
    <cellStyle name="Обычный 8 6 3 2 3 4" xfId="44410"/>
    <cellStyle name="Обычный 8 6 3 2 3 4 2" xfId="44411"/>
    <cellStyle name="Обычный 8 6 3 2 3 4 3" xfId="44412"/>
    <cellStyle name="Обычный 8 6 3 2 3 5" xfId="44413"/>
    <cellStyle name="Обычный 8 6 3 2 3 5 2" xfId="44414"/>
    <cellStyle name="Обычный 8 6 3 2 3 6" xfId="44415"/>
    <cellStyle name="Обычный 8 6 3 2 3 7" xfId="44416"/>
    <cellStyle name="Обычный 8 6 3 2 4" xfId="44417"/>
    <cellStyle name="Обычный 8 6 3 2 4 2" xfId="44418"/>
    <cellStyle name="Обычный 8 6 3 2 4 2 2" xfId="44419"/>
    <cellStyle name="Обычный 8 6 3 2 4 2 3" xfId="44420"/>
    <cellStyle name="Обычный 8 6 3 2 4 3" xfId="44421"/>
    <cellStyle name="Обычный 8 6 3 2 4 3 2" xfId="44422"/>
    <cellStyle name="Обычный 8 6 3 2 4 3 3" xfId="44423"/>
    <cellStyle name="Обычный 8 6 3 2 4 4" xfId="44424"/>
    <cellStyle name="Обычный 8 6 3 2 4 4 2" xfId="44425"/>
    <cellStyle name="Обычный 8 6 3 2 4 5" xfId="44426"/>
    <cellStyle name="Обычный 8 6 3 2 4 6" xfId="44427"/>
    <cellStyle name="Обычный 8 6 3 2 5" xfId="44428"/>
    <cellStyle name="Обычный 8 6 3 2 5 2" xfId="44429"/>
    <cellStyle name="Обычный 8 6 3 2 5 3" xfId="44430"/>
    <cellStyle name="Обычный 8 6 3 2 6" xfId="44431"/>
    <cellStyle name="Обычный 8 6 3 2 6 2" xfId="44432"/>
    <cellStyle name="Обычный 8 6 3 2 6 3" xfId="44433"/>
    <cellStyle name="Обычный 8 6 3 2 7" xfId="44434"/>
    <cellStyle name="Обычный 8 6 3 2 7 2" xfId="44435"/>
    <cellStyle name="Обычный 8 6 3 2 8" xfId="44436"/>
    <cellStyle name="Обычный 8 6 3 2 9" xfId="44437"/>
    <cellStyle name="Обычный 8 6 3 3" xfId="44438"/>
    <cellStyle name="Обычный 8 6 3 3 2" xfId="44439"/>
    <cellStyle name="Обычный 8 6 3 3 2 2" xfId="44440"/>
    <cellStyle name="Обычный 8 6 3 3 2 2 2" xfId="44441"/>
    <cellStyle name="Обычный 8 6 3 3 2 2 2 2" xfId="44442"/>
    <cellStyle name="Обычный 8 6 3 3 2 2 2 3" xfId="44443"/>
    <cellStyle name="Обычный 8 6 3 3 2 2 3" xfId="44444"/>
    <cellStyle name="Обычный 8 6 3 3 2 2 3 2" xfId="44445"/>
    <cellStyle name="Обычный 8 6 3 3 2 2 3 3" xfId="44446"/>
    <cellStyle name="Обычный 8 6 3 3 2 2 4" xfId="44447"/>
    <cellStyle name="Обычный 8 6 3 3 2 2 4 2" xfId="44448"/>
    <cellStyle name="Обычный 8 6 3 3 2 2 5" xfId="44449"/>
    <cellStyle name="Обычный 8 6 3 3 2 2 6" xfId="44450"/>
    <cellStyle name="Обычный 8 6 3 3 2 3" xfId="44451"/>
    <cellStyle name="Обычный 8 6 3 3 2 3 2" xfId="44452"/>
    <cellStyle name="Обычный 8 6 3 3 2 3 3" xfId="44453"/>
    <cellStyle name="Обычный 8 6 3 3 2 4" xfId="44454"/>
    <cellStyle name="Обычный 8 6 3 3 2 4 2" xfId="44455"/>
    <cellStyle name="Обычный 8 6 3 3 2 4 3" xfId="44456"/>
    <cellStyle name="Обычный 8 6 3 3 2 5" xfId="44457"/>
    <cellStyle name="Обычный 8 6 3 3 2 5 2" xfId="44458"/>
    <cellStyle name="Обычный 8 6 3 3 2 6" xfId="44459"/>
    <cellStyle name="Обычный 8 6 3 3 2 7" xfId="44460"/>
    <cellStyle name="Обычный 8 6 3 3 3" xfId="44461"/>
    <cellStyle name="Обычный 8 6 3 3 3 2" xfId="44462"/>
    <cellStyle name="Обычный 8 6 3 3 3 2 2" xfId="44463"/>
    <cellStyle name="Обычный 8 6 3 3 3 2 3" xfId="44464"/>
    <cellStyle name="Обычный 8 6 3 3 3 3" xfId="44465"/>
    <cellStyle name="Обычный 8 6 3 3 3 3 2" xfId="44466"/>
    <cellStyle name="Обычный 8 6 3 3 3 3 3" xfId="44467"/>
    <cellStyle name="Обычный 8 6 3 3 3 4" xfId="44468"/>
    <cellStyle name="Обычный 8 6 3 3 3 4 2" xfId="44469"/>
    <cellStyle name="Обычный 8 6 3 3 3 5" xfId="44470"/>
    <cellStyle name="Обычный 8 6 3 3 3 6" xfId="44471"/>
    <cellStyle name="Обычный 8 6 3 3 4" xfId="44472"/>
    <cellStyle name="Обычный 8 6 3 3 4 2" xfId="44473"/>
    <cellStyle name="Обычный 8 6 3 3 4 3" xfId="44474"/>
    <cellStyle name="Обычный 8 6 3 3 5" xfId="44475"/>
    <cellStyle name="Обычный 8 6 3 3 5 2" xfId="44476"/>
    <cellStyle name="Обычный 8 6 3 3 5 3" xfId="44477"/>
    <cellStyle name="Обычный 8 6 3 3 6" xfId="44478"/>
    <cellStyle name="Обычный 8 6 3 3 6 2" xfId="44479"/>
    <cellStyle name="Обычный 8 6 3 3 7" xfId="44480"/>
    <cellStyle name="Обычный 8 6 3 3 8" xfId="44481"/>
    <cellStyle name="Обычный 8 6 3 4" xfId="44482"/>
    <cellStyle name="Обычный 8 6 3 4 2" xfId="44483"/>
    <cellStyle name="Обычный 8 6 3 4 2 2" xfId="44484"/>
    <cellStyle name="Обычный 8 6 3 4 2 2 2" xfId="44485"/>
    <cellStyle name="Обычный 8 6 3 4 2 2 3" xfId="44486"/>
    <cellStyle name="Обычный 8 6 3 4 2 3" xfId="44487"/>
    <cellStyle name="Обычный 8 6 3 4 2 3 2" xfId="44488"/>
    <cellStyle name="Обычный 8 6 3 4 2 3 3" xfId="44489"/>
    <cellStyle name="Обычный 8 6 3 4 2 4" xfId="44490"/>
    <cellStyle name="Обычный 8 6 3 4 2 4 2" xfId="44491"/>
    <cellStyle name="Обычный 8 6 3 4 2 5" xfId="44492"/>
    <cellStyle name="Обычный 8 6 3 4 2 6" xfId="44493"/>
    <cellStyle name="Обычный 8 6 3 4 3" xfId="44494"/>
    <cellStyle name="Обычный 8 6 3 4 3 2" xfId="44495"/>
    <cellStyle name="Обычный 8 6 3 4 3 3" xfId="44496"/>
    <cellStyle name="Обычный 8 6 3 4 4" xfId="44497"/>
    <cellStyle name="Обычный 8 6 3 4 4 2" xfId="44498"/>
    <cellStyle name="Обычный 8 6 3 4 4 3" xfId="44499"/>
    <cellStyle name="Обычный 8 6 3 4 5" xfId="44500"/>
    <cellStyle name="Обычный 8 6 3 4 5 2" xfId="44501"/>
    <cellStyle name="Обычный 8 6 3 4 6" xfId="44502"/>
    <cellStyle name="Обычный 8 6 3 4 7" xfId="44503"/>
    <cellStyle name="Обычный 8 6 3 5" xfId="44504"/>
    <cellStyle name="Обычный 8 6 3 5 2" xfId="44505"/>
    <cellStyle name="Обычный 8 6 3 5 2 2" xfId="44506"/>
    <cellStyle name="Обычный 8 6 3 5 2 3" xfId="44507"/>
    <cellStyle name="Обычный 8 6 3 5 3" xfId="44508"/>
    <cellStyle name="Обычный 8 6 3 5 3 2" xfId="44509"/>
    <cellStyle name="Обычный 8 6 3 5 3 3" xfId="44510"/>
    <cellStyle name="Обычный 8 6 3 5 4" xfId="44511"/>
    <cellStyle name="Обычный 8 6 3 5 4 2" xfId="44512"/>
    <cellStyle name="Обычный 8 6 3 5 5" xfId="44513"/>
    <cellStyle name="Обычный 8 6 3 5 6" xfId="44514"/>
    <cellStyle name="Обычный 8 6 3 6" xfId="44515"/>
    <cellStyle name="Обычный 8 6 3 6 2" xfId="44516"/>
    <cellStyle name="Обычный 8 6 3 6 3" xfId="44517"/>
    <cellStyle name="Обычный 8 6 3 7" xfId="44518"/>
    <cellStyle name="Обычный 8 6 3 7 2" xfId="44519"/>
    <cellStyle name="Обычный 8 6 3 7 3" xfId="44520"/>
    <cellStyle name="Обычный 8 6 3 8" xfId="44521"/>
    <cellStyle name="Обычный 8 6 3 8 2" xfId="44522"/>
    <cellStyle name="Обычный 8 6 3 9" xfId="44523"/>
    <cellStyle name="Обычный 8 6 4" xfId="44524"/>
    <cellStyle name="Обычный 8 6 4 10" xfId="44525"/>
    <cellStyle name="Обычный 8 6 4 2" xfId="44526"/>
    <cellStyle name="Обычный 8 6 4 2 2" xfId="44527"/>
    <cellStyle name="Обычный 8 6 4 2 2 2" xfId="44528"/>
    <cellStyle name="Обычный 8 6 4 2 2 2 2" xfId="44529"/>
    <cellStyle name="Обычный 8 6 4 2 2 2 2 2" xfId="44530"/>
    <cellStyle name="Обычный 8 6 4 2 2 2 2 2 2" xfId="44531"/>
    <cellStyle name="Обычный 8 6 4 2 2 2 2 2 3" xfId="44532"/>
    <cellStyle name="Обычный 8 6 4 2 2 2 2 3" xfId="44533"/>
    <cellStyle name="Обычный 8 6 4 2 2 2 2 3 2" xfId="44534"/>
    <cellStyle name="Обычный 8 6 4 2 2 2 2 3 3" xfId="44535"/>
    <cellStyle name="Обычный 8 6 4 2 2 2 2 4" xfId="44536"/>
    <cellStyle name="Обычный 8 6 4 2 2 2 2 4 2" xfId="44537"/>
    <cellStyle name="Обычный 8 6 4 2 2 2 2 5" xfId="44538"/>
    <cellStyle name="Обычный 8 6 4 2 2 2 2 6" xfId="44539"/>
    <cellStyle name="Обычный 8 6 4 2 2 2 3" xfId="44540"/>
    <cellStyle name="Обычный 8 6 4 2 2 2 3 2" xfId="44541"/>
    <cellStyle name="Обычный 8 6 4 2 2 2 3 3" xfId="44542"/>
    <cellStyle name="Обычный 8 6 4 2 2 2 4" xfId="44543"/>
    <cellStyle name="Обычный 8 6 4 2 2 2 4 2" xfId="44544"/>
    <cellStyle name="Обычный 8 6 4 2 2 2 4 3" xfId="44545"/>
    <cellStyle name="Обычный 8 6 4 2 2 2 5" xfId="44546"/>
    <cellStyle name="Обычный 8 6 4 2 2 2 5 2" xfId="44547"/>
    <cellStyle name="Обычный 8 6 4 2 2 2 6" xfId="44548"/>
    <cellStyle name="Обычный 8 6 4 2 2 2 7" xfId="44549"/>
    <cellStyle name="Обычный 8 6 4 2 2 3" xfId="44550"/>
    <cellStyle name="Обычный 8 6 4 2 2 3 2" xfId="44551"/>
    <cellStyle name="Обычный 8 6 4 2 2 3 2 2" xfId="44552"/>
    <cellStyle name="Обычный 8 6 4 2 2 3 2 3" xfId="44553"/>
    <cellStyle name="Обычный 8 6 4 2 2 3 3" xfId="44554"/>
    <cellStyle name="Обычный 8 6 4 2 2 3 3 2" xfId="44555"/>
    <cellStyle name="Обычный 8 6 4 2 2 3 3 3" xfId="44556"/>
    <cellStyle name="Обычный 8 6 4 2 2 3 4" xfId="44557"/>
    <cellStyle name="Обычный 8 6 4 2 2 3 4 2" xfId="44558"/>
    <cellStyle name="Обычный 8 6 4 2 2 3 5" xfId="44559"/>
    <cellStyle name="Обычный 8 6 4 2 2 3 6" xfId="44560"/>
    <cellStyle name="Обычный 8 6 4 2 2 4" xfId="44561"/>
    <cellStyle name="Обычный 8 6 4 2 2 4 2" xfId="44562"/>
    <cellStyle name="Обычный 8 6 4 2 2 4 3" xfId="44563"/>
    <cellStyle name="Обычный 8 6 4 2 2 5" xfId="44564"/>
    <cellStyle name="Обычный 8 6 4 2 2 5 2" xfId="44565"/>
    <cellStyle name="Обычный 8 6 4 2 2 5 3" xfId="44566"/>
    <cellStyle name="Обычный 8 6 4 2 2 6" xfId="44567"/>
    <cellStyle name="Обычный 8 6 4 2 2 6 2" xfId="44568"/>
    <cellStyle name="Обычный 8 6 4 2 2 7" xfId="44569"/>
    <cellStyle name="Обычный 8 6 4 2 2 8" xfId="44570"/>
    <cellStyle name="Обычный 8 6 4 2 3" xfId="44571"/>
    <cellStyle name="Обычный 8 6 4 2 3 2" xfId="44572"/>
    <cellStyle name="Обычный 8 6 4 2 3 2 2" xfId="44573"/>
    <cellStyle name="Обычный 8 6 4 2 3 2 2 2" xfId="44574"/>
    <cellStyle name="Обычный 8 6 4 2 3 2 2 3" xfId="44575"/>
    <cellStyle name="Обычный 8 6 4 2 3 2 3" xfId="44576"/>
    <cellStyle name="Обычный 8 6 4 2 3 2 3 2" xfId="44577"/>
    <cellStyle name="Обычный 8 6 4 2 3 2 3 3" xfId="44578"/>
    <cellStyle name="Обычный 8 6 4 2 3 2 4" xfId="44579"/>
    <cellStyle name="Обычный 8 6 4 2 3 2 4 2" xfId="44580"/>
    <cellStyle name="Обычный 8 6 4 2 3 2 5" xfId="44581"/>
    <cellStyle name="Обычный 8 6 4 2 3 2 6" xfId="44582"/>
    <cellStyle name="Обычный 8 6 4 2 3 3" xfId="44583"/>
    <cellStyle name="Обычный 8 6 4 2 3 3 2" xfId="44584"/>
    <cellStyle name="Обычный 8 6 4 2 3 3 3" xfId="44585"/>
    <cellStyle name="Обычный 8 6 4 2 3 4" xfId="44586"/>
    <cellStyle name="Обычный 8 6 4 2 3 4 2" xfId="44587"/>
    <cellStyle name="Обычный 8 6 4 2 3 4 3" xfId="44588"/>
    <cellStyle name="Обычный 8 6 4 2 3 5" xfId="44589"/>
    <cellStyle name="Обычный 8 6 4 2 3 5 2" xfId="44590"/>
    <cellStyle name="Обычный 8 6 4 2 3 6" xfId="44591"/>
    <cellStyle name="Обычный 8 6 4 2 3 7" xfId="44592"/>
    <cellStyle name="Обычный 8 6 4 2 4" xfId="44593"/>
    <cellStyle name="Обычный 8 6 4 2 4 2" xfId="44594"/>
    <cellStyle name="Обычный 8 6 4 2 4 2 2" xfId="44595"/>
    <cellStyle name="Обычный 8 6 4 2 4 2 3" xfId="44596"/>
    <cellStyle name="Обычный 8 6 4 2 4 3" xfId="44597"/>
    <cellStyle name="Обычный 8 6 4 2 4 3 2" xfId="44598"/>
    <cellStyle name="Обычный 8 6 4 2 4 3 3" xfId="44599"/>
    <cellStyle name="Обычный 8 6 4 2 4 4" xfId="44600"/>
    <cellStyle name="Обычный 8 6 4 2 4 4 2" xfId="44601"/>
    <cellStyle name="Обычный 8 6 4 2 4 5" xfId="44602"/>
    <cellStyle name="Обычный 8 6 4 2 4 6" xfId="44603"/>
    <cellStyle name="Обычный 8 6 4 2 5" xfId="44604"/>
    <cellStyle name="Обычный 8 6 4 2 5 2" xfId="44605"/>
    <cellStyle name="Обычный 8 6 4 2 5 3" xfId="44606"/>
    <cellStyle name="Обычный 8 6 4 2 6" xfId="44607"/>
    <cellStyle name="Обычный 8 6 4 2 6 2" xfId="44608"/>
    <cellStyle name="Обычный 8 6 4 2 6 3" xfId="44609"/>
    <cellStyle name="Обычный 8 6 4 2 7" xfId="44610"/>
    <cellStyle name="Обычный 8 6 4 2 7 2" xfId="44611"/>
    <cellStyle name="Обычный 8 6 4 2 8" xfId="44612"/>
    <cellStyle name="Обычный 8 6 4 2 9" xfId="44613"/>
    <cellStyle name="Обычный 8 6 4 3" xfId="44614"/>
    <cellStyle name="Обычный 8 6 4 3 2" xfId="44615"/>
    <cellStyle name="Обычный 8 6 4 3 2 2" xfId="44616"/>
    <cellStyle name="Обычный 8 6 4 3 2 2 2" xfId="44617"/>
    <cellStyle name="Обычный 8 6 4 3 2 2 2 2" xfId="44618"/>
    <cellStyle name="Обычный 8 6 4 3 2 2 2 3" xfId="44619"/>
    <cellStyle name="Обычный 8 6 4 3 2 2 3" xfId="44620"/>
    <cellStyle name="Обычный 8 6 4 3 2 2 3 2" xfId="44621"/>
    <cellStyle name="Обычный 8 6 4 3 2 2 3 3" xfId="44622"/>
    <cellStyle name="Обычный 8 6 4 3 2 2 4" xfId="44623"/>
    <cellStyle name="Обычный 8 6 4 3 2 2 4 2" xfId="44624"/>
    <cellStyle name="Обычный 8 6 4 3 2 2 5" xfId="44625"/>
    <cellStyle name="Обычный 8 6 4 3 2 2 6" xfId="44626"/>
    <cellStyle name="Обычный 8 6 4 3 2 3" xfId="44627"/>
    <cellStyle name="Обычный 8 6 4 3 2 3 2" xfId="44628"/>
    <cellStyle name="Обычный 8 6 4 3 2 3 3" xfId="44629"/>
    <cellStyle name="Обычный 8 6 4 3 2 4" xfId="44630"/>
    <cellStyle name="Обычный 8 6 4 3 2 4 2" xfId="44631"/>
    <cellStyle name="Обычный 8 6 4 3 2 4 3" xfId="44632"/>
    <cellStyle name="Обычный 8 6 4 3 2 5" xfId="44633"/>
    <cellStyle name="Обычный 8 6 4 3 2 5 2" xfId="44634"/>
    <cellStyle name="Обычный 8 6 4 3 2 6" xfId="44635"/>
    <cellStyle name="Обычный 8 6 4 3 2 7" xfId="44636"/>
    <cellStyle name="Обычный 8 6 4 3 3" xfId="44637"/>
    <cellStyle name="Обычный 8 6 4 3 3 2" xfId="44638"/>
    <cellStyle name="Обычный 8 6 4 3 3 2 2" xfId="44639"/>
    <cellStyle name="Обычный 8 6 4 3 3 2 3" xfId="44640"/>
    <cellStyle name="Обычный 8 6 4 3 3 3" xfId="44641"/>
    <cellStyle name="Обычный 8 6 4 3 3 3 2" xfId="44642"/>
    <cellStyle name="Обычный 8 6 4 3 3 3 3" xfId="44643"/>
    <cellStyle name="Обычный 8 6 4 3 3 4" xfId="44644"/>
    <cellStyle name="Обычный 8 6 4 3 3 4 2" xfId="44645"/>
    <cellStyle name="Обычный 8 6 4 3 3 5" xfId="44646"/>
    <cellStyle name="Обычный 8 6 4 3 3 6" xfId="44647"/>
    <cellStyle name="Обычный 8 6 4 3 4" xfId="44648"/>
    <cellStyle name="Обычный 8 6 4 3 4 2" xfId="44649"/>
    <cellStyle name="Обычный 8 6 4 3 4 3" xfId="44650"/>
    <cellStyle name="Обычный 8 6 4 3 5" xfId="44651"/>
    <cellStyle name="Обычный 8 6 4 3 5 2" xfId="44652"/>
    <cellStyle name="Обычный 8 6 4 3 5 3" xfId="44653"/>
    <cellStyle name="Обычный 8 6 4 3 6" xfId="44654"/>
    <cellStyle name="Обычный 8 6 4 3 6 2" xfId="44655"/>
    <cellStyle name="Обычный 8 6 4 3 7" xfId="44656"/>
    <cellStyle name="Обычный 8 6 4 3 8" xfId="44657"/>
    <cellStyle name="Обычный 8 6 4 4" xfId="44658"/>
    <cellStyle name="Обычный 8 6 4 4 2" xfId="44659"/>
    <cellStyle name="Обычный 8 6 4 4 2 2" xfId="44660"/>
    <cellStyle name="Обычный 8 6 4 4 2 2 2" xfId="44661"/>
    <cellStyle name="Обычный 8 6 4 4 2 2 3" xfId="44662"/>
    <cellStyle name="Обычный 8 6 4 4 2 3" xfId="44663"/>
    <cellStyle name="Обычный 8 6 4 4 2 3 2" xfId="44664"/>
    <cellStyle name="Обычный 8 6 4 4 2 3 3" xfId="44665"/>
    <cellStyle name="Обычный 8 6 4 4 2 4" xfId="44666"/>
    <cellStyle name="Обычный 8 6 4 4 2 4 2" xfId="44667"/>
    <cellStyle name="Обычный 8 6 4 4 2 5" xfId="44668"/>
    <cellStyle name="Обычный 8 6 4 4 2 6" xfId="44669"/>
    <cellStyle name="Обычный 8 6 4 4 3" xfId="44670"/>
    <cellStyle name="Обычный 8 6 4 4 3 2" xfId="44671"/>
    <cellStyle name="Обычный 8 6 4 4 3 3" xfId="44672"/>
    <cellStyle name="Обычный 8 6 4 4 4" xfId="44673"/>
    <cellStyle name="Обычный 8 6 4 4 4 2" xfId="44674"/>
    <cellStyle name="Обычный 8 6 4 4 4 3" xfId="44675"/>
    <cellStyle name="Обычный 8 6 4 4 5" xfId="44676"/>
    <cellStyle name="Обычный 8 6 4 4 5 2" xfId="44677"/>
    <cellStyle name="Обычный 8 6 4 4 6" xfId="44678"/>
    <cellStyle name="Обычный 8 6 4 4 7" xfId="44679"/>
    <cellStyle name="Обычный 8 6 4 5" xfId="44680"/>
    <cellStyle name="Обычный 8 6 4 5 2" xfId="44681"/>
    <cellStyle name="Обычный 8 6 4 5 2 2" xfId="44682"/>
    <cellStyle name="Обычный 8 6 4 5 2 3" xfId="44683"/>
    <cellStyle name="Обычный 8 6 4 5 3" xfId="44684"/>
    <cellStyle name="Обычный 8 6 4 5 3 2" xfId="44685"/>
    <cellStyle name="Обычный 8 6 4 5 3 3" xfId="44686"/>
    <cellStyle name="Обычный 8 6 4 5 4" xfId="44687"/>
    <cellStyle name="Обычный 8 6 4 5 4 2" xfId="44688"/>
    <cellStyle name="Обычный 8 6 4 5 5" xfId="44689"/>
    <cellStyle name="Обычный 8 6 4 5 6" xfId="44690"/>
    <cellStyle name="Обычный 8 6 4 6" xfId="44691"/>
    <cellStyle name="Обычный 8 6 4 6 2" xfId="44692"/>
    <cellStyle name="Обычный 8 6 4 6 3" xfId="44693"/>
    <cellStyle name="Обычный 8 6 4 7" xfId="44694"/>
    <cellStyle name="Обычный 8 6 4 7 2" xfId="44695"/>
    <cellStyle name="Обычный 8 6 4 7 3" xfId="44696"/>
    <cellStyle name="Обычный 8 6 4 8" xfId="44697"/>
    <cellStyle name="Обычный 8 6 4 8 2" xfId="44698"/>
    <cellStyle name="Обычный 8 6 4 9" xfId="44699"/>
    <cellStyle name="Обычный 8 6 5" xfId="44700"/>
    <cellStyle name="Обычный 8 6 5 10" xfId="44701"/>
    <cellStyle name="Обычный 8 6 5 2" xfId="44702"/>
    <cellStyle name="Обычный 8 6 5 2 2" xfId="44703"/>
    <cellStyle name="Обычный 8 6 5 2 2 2" xfId="44704"/>
    <cellStyle name="Обычный 8 6 5 2 2 2 2" xfId="44705"/>
    <cellStyle name="Обычный 8 6 5 2 2 2 2 2" xfId="44706"/>
    <cellStyle name="Обычный 8 6 5 2 2 2 2 2 2" xfId="44707"/>
    <cellStyle name="Обычный 8 6 5 2 2 2 2 2 3" xfId="44708"/>
    <cellStyle name="Обычный 8 6 5 2 2 2 2 3" xfId="44709"/>
    <cellStyle name="Обычный 8 6 5 2 2 2 2 3 2" xfId="44710"/>
    <cellStyle name="Обычный 8 6 5 2 2 2 2 3 3" xfId="44711"/>
    <cellStyle name="Обычный 8 6 5 2 2 2 2 4" xfId="44712"/>
    <cellStyle name="Обычный 8 6 5 2 2 2 2 4 2" xfId="44713"/>
    <cellStyle name="Обычный 8 6 5 2 2 2 2 5" xfId="44714"/>
    <cellStyle name="Обычный 8 6 5 2 2 2 2 6" xfId="44715"/>
    <cellStyle name="Обычный 8 6 5 2 2 2 3" xfId="44716"/>
    <cellStyle name="Обычный 8 6 5 2 2 2 3 2" xfId="44717"/>
    <cellStyle name="Обычный 8 6 5 2 2 2 3 3" xfId="44718"/>
    <cellStyle name="Обычный 8 6 5 2 2 2 4" xfId="44719"/>
    <cellStyle name="Обычный 8 6 5 2 2 2 4 2" xfId="44720"/>
    <cellStyle name="Обычный 8 6 5 2 2 2 4 3" xfId="44721"/>
    <cellStyle name="Обычный 8 6 5 2 2 2 5" xfId="44722"/>
    <cellStyle name="Обычный 8 6 5 2 2 2 5 2" xfId="44723"/>
    <cellStyle name="Обычный 8 6 5 2 2 2 6" xfId="44724"/>
    <cellStyle name="Обычный 8 6 5 2 2 2 7" xfId="44725"/>
    <cellStyle name="Обычный 8 6 5 2 2 3" xfId="44726"/>
    <cellStyle name="Обычный 8 6 5 2 2 3 2" xfId="44727"/>
    <cellStyle name="Обычный 8 6 5 2 2 3 2 2" xfId="44728"/>
    <cellStyle name="Обычный 8 6 5 2 2 3 2 3" xfId="44729"/>
    <cellStyle name="Обычный 8 6 5 2 2 3 3" xfId="44730"/>
    <cellStyle name="Обычный 8 6 5 2 2 3 3 2" xfId="44731"/>
    <cellStyle name="Обычный 8 6 5 2 2 3 3 3" xfId="44732"/>
    <cellStyle name="Обычный 8 6 5 2 2 3 4" xfId="44733"/>
    <cellStyle name="Обычный 8 6 5 2 2 3 4 2" xfId="44734"/>
    <cellStyle name="Обычный 8 6 5 2 2 3 5" xfId="44735"/>
    <cellStyle name="Обычный 8 6 5 2 2 3 6" xfId="44736"/>
    <cellStyle name="Обычный 8 6 5 2 2 4" xfId="44737"/>
    <cellStyle name="Обычный 8 6 5 2 2 4 2" xfId="44738"/>
    <cellStyle name="Обычный 8 6 5 2 2 4 3" xfId="44739"/>
    <cellStyle name="Обычный 8 6 5 2 2 5" xfId="44740"/>
    <cellStyle name="Обычный 8 6 5 2 2 5 2" xfId="44741"/>
    <cellStyle name="Обычный 8 6 5 2 2 5 3" xfId="44742"/>
    <cellStyle name="Обычный 8 6 5 2 2 6" xfId="44743"/>
    <cellStyle name="Обычный 8 6 5 2 2 6 2" xfId="44744"/>
    <cellStyle name="Обычный 8 6 5 2 2 7" xfId="44745"/>
    <cellStyle name="Обычный 8 6 5 2 2 8" xfId="44746"/>
    <cellStyle name="Обычный 8 6 5 2 3" xfId="44747"/>
    <cellStyle name="Обычный 8 6 5 2 3 2" xfId="44748"/>
    <cellStyle name="Обычный 8 6 5 2 3 2 2" xfId="44749"/>
    <cellStyle name="Обычный 8 6 5 2 3 2 2 2" xfId="44750"/>
    <cellStyle name="Обычный 8 6 5 2 3 2 2 3" xfId="44751"/>
    <cellStyle name="Обычный 8 6 5 2 3 2 3" xfId="44752"/>
    <cellStyle name="Обычный 8 6 5 2 3 2 3 2" xfId="44753"/>
    <cellStyle name="Обычный 8 6 5 2 3 2 3 3" xfId="44754"/>
    <cellStyle name="Обычный 8 6 5 2 3 2 4" xfId="44755"/>
    <cellStyle name="Обычный 8 6 5 2 3 2 4 2" xfId="44756"/>
    <cellStyle name="Обычный 8 6 5 2 3 2 5" xfId="44757"/>
    <cellStyle name="Обычный 8 6 5 2 3 2 6" xfId="44758"/>
    <cellStyle name="Обычный 8 6 5 2 3 3" xfId="44759"/>
    <cellStyle name="Обычный 8 6 5 2 3 3 2" xfId="44760"/>
    <cellStyle name="Обычный 8 6 5 2 3 3 3" xfId="44761"/>
    <cellStyle name="Обычный 8 6 5 2 3 4" xfId="44762"/>
    <cellStyle name="Обычный 8 6 5 2 3 4 2" xfId="44763"/>
    <cellStyle name="Обычный 8 6 5 2 3 4 3" xfId="44764"/>
    <cellStyle name="Обычный 8 6 5 2 3 5" xfId="44765"/>
    <cellStyle name="Обычный 8 6 5 2 3 5 2" xfId="44766"/>
    <cellStyle name="Обычный 8 6 5 2 3 6" xfId="44767"/>
    <cellStyle name="Обычный 8 6 5 2 3 7" xfId="44768"/>
    <cellStyle name="Обычный 8 6 5 2 4" xfId="44769"/>
    <cellStyle name="Обычный 8 6 5 2 4 2" xfId="44770"/>
    <cellStyle name="Обычный 8 6 5 2 4 2 2" xfId="44771"/>
    <cellStyle name="Обычный 8 6 5 2 4 2 3" xfId="44772"/>
    <cellStyle name="Обычный 8 6 5 2 4 3" xfId="44773"/>
    <cellStyle name="Обычный 8 6 5 2 4 3 2" xfId="44774"/>
    <cellStyle name="Обычный 8 6 5 2 4 3 3" xfId="44775"/>
    <cellStyle name="Обычный 8 6 5 2 4 4" xfId="44776"/>
    <cellStyle name="Обычный 8 6 5 2 4 4 2" xfId="44777"/>
    <cellStyle name="Обычный 8 6 5 2 4 5" xfId="44778"/>
    <cellStyle name="Обычный 8 6 5 2 4 6" xfId="44779"/>
    <cellStyle name="Обычный 8 6 5 2 5" xfId="44780"/>
    <cellStyle name="Обычный 8 6 5 2 5 2" xfId="44781"/>
    <cellStyle name="Обычный 8 6 5 2 5 3" xfId="44782"/>
    <cellStyle name="Обычный 8 6 5 2 6" xfId="44783"/>
    <cellStyle name="Обычный 8 6 5 2 6 2" xfId="44784"/>
    <cellStyle name="Обычный 8 6 5 2 6 3" xfId="44785"/>
    <cellStyle name="Обычный 8 6 5 2 7" xfId="44786"/>
    <cellStyle name="Обычный 8 6 5 2 7 2" xfId="44787"/>
    <cellStyle name="Обычный 8 6 5 2 8" xfId="44788"/>
    <cellStyle name="Обычный 8 6 5 2 9" xfId="44789"/>
    <cellStyle name="Обычный 8 6 5 3" xfId="44790"/>
    <cellStyle name="Обычный 8 6 5 3 2" xfId="44791"/>
    <cellStyle name="Обычный 8 6 5 3 2 2" xfId="44792"/>
    <cellStyle name="Обычный 8 6 5 3 2 2 2" xfId="44793"/>
    <cellStyle name="Обычный 8 6 5 3 2 2 2 2" xfId="44794"/>
    <cellStyle name="Обычный 8 6 5 3 2 2 2 3" xfId="44795"/>
    <cellStyle name="Обычный 8 6 5 3 2 2 3" xfId="44796"/>
    <cellStyle name="Обычный 8 6 5 3 2 2 3 2" xfId="44797"/>
    <cellStyle name="Обычный 8 6 5 3 2 2 3 3" xfId="44798"/>
    <cellStyle name="Обычный 8 6 5 3 2 2 4" xfId="44799"/>
    <cellStyle name="Обычный 8 6 5 3 2 2 4 2" xfId="44800"/>
    <cellStyle name="Обычный 8 6 5 3 2 2 5" xfId="44801"/>
    <cellStyle name="Обычный 8 6 5 3 2 2 6" xfId="44802"/>
    <cellStyle name="Обычный 8 6 5 3 2 3" xfId="44803"/>
    <cellStyle name="Обычный 8 6 5 3 2 3 2" xfId="44804"/>
    <cellStyle name="Обычный 8 6 5 3 2 3 3" xfId="44805"/>
    <cellStyle name="Обычный 8 6 5 3 2 4" xfId="44806"/>
    <cellStyle name="Обычный 8 6 5 3 2 4 2" xfId="44807"/>
    <cellStyle name="Обычный 8 6 5 3 2 4 3" xfId="44808"/>
    <cellStyle name="Обычный 8 6 5 3 2 5" xfId="44809"/>
    <cellStyle name="Обычный 8 6 5 3 2 5 2" xfId="44810"/>
    <cellStyle name="Обычный 8 6 5 3 2 6" xfId="44811"/>
    <cellStyle name="Обычный 8 6 5 3 2 7" xfId="44812"/>
    <cellStyle name="Обычный 8 6 5 3 3" xfId="44813"/>
    <cellStyle name="Обычный 8 6 5 3 3 2" xfId="44814"/>
    <cellStyle name="Обычный 8 6 5 3 3 2 2" xfId="44815"/>
    <cellStyle name="Обычный 8 6 5 3 3 2 3" xfId="44816"/>
    <cellStyle name="Обычный 8 6 5 3 3 3" xfId="44817"/>
    <cellStyle name="Обычный 8 6 5 3 3 3 2" xfId="44818"/>
    <cellStyle name="Обычный 8 6 5 3 3 3 3" xfId="44819"/>
    <cellStyle name="Обычный 8 6 5 3 3 4" xfId="44820"/>
    <cellStyle name="Обычный 8 6 5 3 3 4 2" xfId="44821"/>
    <cellStyle name="Обычный 8 6 5 3 3 5" xfId="44822"/>
    <cellStyle name="Обычный 8 6 5 3 3 6" xfId="44823"/>
    <cellStyle name="Обычный 8 6 5 3 4" xfId="44824"/>
    <cellStyle name="Обычный 8 6 5 3 4 2" xfId="44825"/>
    <cellStyle name="Обычный 8 6 5 3 4 3" xfId="44826"/>
    <cellStyle name="Обычный 8 6 5 3 5" xfId="44827"/>
    <cellStyle name="Обычный 8 6 5 3 5 2" xfId="44828"/>
    <cellStyle name="Обычный 8 6 5 3 5 3" xfId="44829"/>
    <cellStyle name="Обычный 8 6 5 3 6" xfId="44830"/>
    <cellStyle name="Обычный 8 6 5 3 6 2" xfId="44831"/>
    <cellStyle name="Обычный 8 6 5 3 7" xfId="44832"/>
    <cellStyle name="Обычный 8 6 5 3 8" xfId="44833"/>
    <cellStyle name="Обычный 8 6 5 4" xfId="44834"/>
    <cellStyle name="Обычный 8 6 5 4 2" xfId="44835"/>
    <cellStyle name="Обычный 8 6 5 4 2 2" xfId="44836"/>
    <cellStyle name="Обычный 8 6 5 4 2 2 2" xfId="44837"/>
    <cellStyle name="Обычный 8 6 5 4 2 2 3" xfId="44838"/>
    <cellStyle name="Обычный 8 6 5 4 2 3" xfId="44839"/>
    <cellStyle name="Обычный 8 6 5 4 2 3 2" xfId="44840"/>
    <cellStyle name="Обычный 8 6 5 4 2 3 3" xfId="44841"/>
    <cellStyle name="Обычный 8 6 5 4 2 4" xfId="44842"/>
    <cellStyle name="Обычный 8 6 5 4 2 4 2" xfId="44843"/>
    <cellStyle name="Обычный 8 6 5 4 2 5" xfId="44844"/>
    <cellStyle name="Обычный 8 6 5 4 2 6" xfId="44845"/>
    <cellStyle name="Обычный 8 6 5 4 3" xfId="44846"/>
    <cellStyle name="Обычный 8 6 5 4 3 2" xfId="44847"/>
    <cellStyle name="Обычный 8 6 5 4 3 3" xfId="44848"/>
    <cellStyle name="Обычный 8 6 5 4 4" xfId="44849"/>
    <cellStyle name="Обычный 8 6 5 4 4 2" xfId="44850"/>
    <cellStyle name="Обычный 8 6 5 4 4 3" xfId="44851"/>
    <cellStyle name="Обычный 8 6 5 4 5" xfId="44852"/>
    <cellStyle name="Обычный 8 6 5 4 5 2" xfId="44853"/>
    <cellStyle name="Обычный 8 6 5 4 6" xfId="44854"/>
    <cellStyle name="Обычный 8 6 5 4 7" xfId="44855"/>
    <cellStyle name="Обычный 8 6 5 5" xfId="44856"/>
    <cellStyle name="Обычный 8 6 5 5 2" xfId="44857"/>
    <cellStyle name="Обычный 8 6 5 5 2 2" xfId="44858"/>
    <cellStyle name="Обычный 8 6 5 5 2 3" xfId="44859"/>
    <cellStyle name="Обычный 8 6 5 5 3" xfId="44860"/>
    <cellStyle name="Обычный 8 6 5 5 3 2" xfId="44861"/>
    <cellStyle name="Обычный 8 6 5 5 3 3" xfId="44862"/>
    <cellStyle name="Обычный 8 6 5 5 4" xfId="44863"/>
    <cellStyle name="Обычный 8 6 5 5 4 2" xfId="44864"/>
    <cellStyle name="Обычный 8 6 5 5 5" xfId="44865"/>
    <cellStyle name="Обычный 8 6 5 5 6" xfId="44866"/>
    <cellStyle name="Обычный 8 6 5 6" xfId="44867"/>
    <cellStyle name="Обычный 8 6 5 6 2" xfId="44868"/>
    <cellStyle name="Обычный 8 6 5 6 3" xfId="44869"/>
    <cellStyle name="Обычный 8 6 5 7" xfId="44870"/>
    <cellStyle name="Обычный 8 6 5 7 2" xfId="44871"/>
    <cellStyle name="Обычный 8 6 5 7 3" xfId="44872"/>
    <cellStyle name="Обычный 8 6 5 8" xfId="44873"/>
    <cellStyle name="Обычный 8 6 5 8 2" xfId="44874"/>
    <cellStyle name="Обычный 8 6 5 9" xfId="44875"/>
    <cellStyle name="Обычный 8 6 6" xfId="44876"/>
    <cellStyle name="Обычный 8 6 6 2" xfId="44877"/>
    <cellStyle name="Обычный 8 6 6 2 2" xfId="44878"/>
    <cellStyle name="Обычный 8 6 6 2 2 2" xfId="44879"/>
    <cellStyle name="Обычный 8 6 6 2 2 2 2" xfId="44880"/>
    <cellStyle name="Обычный 8 6 6 2 2 2 2 2" xfId="44881"/>
    <cellStyle name="Обычный 8 6 6 2 2 2 2 3" xfId="44882"/>
    <cellStyle name="Обычный 8 6 6 2 2 2 3" xfId="44883"/>
    <cellStyle name="Обычный 8 6 6 2 2 2 3 2" xfId="44884"/>
    <cellStyle name="Обычный 8 6 6 2 2 2 3 3" xfId="44885"/>
    <cellStyle name="Обычный 8 6 6 2 2 2 4" xfId="44886"/>
    <cellStyle name="Обычный 8 6 6 2 2 2 4 2" xfId="44887"/>
    <cellStyle name="Обычный 8 6 6 2 2 2 5" xfId="44888"/>
    <cellStyle name="Обычный 8 6 6 2 2 2 6" xfId="44889"/>
    <cellStyle name="Обычный 8 6 6 2 2 3" xfId="44890"/>
    <cellStyle name="Обычный 8 6 6 2 2 3 2" xfId="44891"/>
    <cellStyle name="Обычный 8 6 6 2 2 3 3" xfId="44892"/>
    <cellStyle name="Обычный 8 6 6 2 2 4" xfId="44893"/>
    <cellStyle name="Обычный 8 6 6 2 2 4 2" xfId="44894"/>
    <cellStyle name="Обычный 8 6 6 2 2 4 3" xfId="44895"/>
    <cellStyle name="Обычный 8 6 6 2 2 5" xfId="44896"/>
    <cellStyle name="Обычный 8 6 6 2 2 5 2" xfId="44897"/>
    <cellStyle name="Обычный 8 6 6 2 2 6" xfId="44898"/>
    <cellStyle name="Обычный 8 6 6 2 2 7" xfId="44899"/>
    <cellStyle name="Обычный 8 6 6 2 3" xfId="44900"/>
    <cellStyle name="Обычный 8 6 6 2 3 2" xfId="44901"/>
    <cellStyle name="Обычный 8 6 6 2 3 2 2" xfId="44902"/>
    <cellStyle name="Обычный 8 6 6 2 3 2 3" xfId="44903"/>
    <cellStyle name="Обычный 8 6 6 2 3 3" xfId="44904"/>
    <cellStyle name="Обычный 8 6 6 2 3 3 2" xfId="44905"/>
    <cellStyle name="Обычный 8 6 6 2 3 3 3" xfId="44906"/>
    <cellStyle name="Обычный 8 6 6 2 3 4" xfId="44907"/>
    <cellStyle name="Обычный 8 6 6 2 3 4 2" xfId="44908"/>
    <cellStyle name="Обычный 8 6 6 2 3 5" xfId="44909"/>
    <cellStyle name="Обычный 8 6 6 2 3 6" xfId="44910"/>
    <cellStyle name="Обычный 8 6 6 2 4" xfId="44911"/>
    <cellStyle name="Обычный 8 6 6 2 4 2" xfId="44912"/>
    <cellStyle name="Обычный 8 6 6 2 4 3" xfId="44913"/>
    <cellStyle name="Обычный 8 6 6 2 5" xfId="44914"/>
    <cellStyle name="Обычный 8 6 6 2 5 2" xfId="44915"/>
    <cellStyle name="Обычный 8 6 6 2 5 3" xfId="44916"/>
    <cellStyle name="Обычный 8 6 6 2 6" xfId="44917"/>
    <cellStyle name="Обычный 8 6 6 2 6 2" xfId="44918"/>
    <cellStyle name="Обычный 8 6 6 2 7" xfId="44919"/>
    <cellStyle name="Обычный 8 6 6 2 8" xfId="44920"/>
    <cellStyle name="Обычный 8 6 6 3" xfId="44921"/>
    <cellStyle name="Обычный 8 6 6 3 2" xfId="44922"/>
    <cellStyle name="Обычный 8 6 6 3 2 2" xfId="44923"/>
    <cellStyle name="Обычный 8 6 6 3 2 2 2" xfId="44924"/>
    <cellStyle name="Обычный 8 6 6 3 2 2 3" xfId="44925"/>
    <cellStyle name="Обычный 8 6 6 3 2 3" xfId="44926"/>
    <cellStyle name="Обычный 8 6 6 3 2 3 2" xfId="44927"/>
    <cellStyle name="Обычный 8 6 6 3 2 3 3" xfId="44928"/>
    <cellStyle name="Обычный 8 6 6 3 2 4" xfId="44929"/>
    <cellStyle name="Обычный 8 6 6 3 2 4 2" xfId="44930"/>
    <cellStyle name="Обычный 8 6 6 3 2 5" xfId="44931"/>
    <cellStyle name="Обычный 8 6 6 3 2 6" xfId="44932"/>
    <cellStyle name="Обычный 8 6 6 3 3" xfId="44933"/>
    <cellStyle name="Обычный 8 6 6 3 3 2" xfId="44934"/>
    <cellStyle name="Обычный 8 6 6 3 3 3" xfId="44935"/>
    <cellStyle name="Обычный 8 6 6 3 4" xfId="44936"/>
    <cellStyle name="Обычный 8 6 6 3 4 2" xfId="44937"/>
    <cellStyle name="Обычный 8 6 6 3 4 3" xfId="44938"/>
    <cellStyle name="Обычный 8 6 6 3 5" xfId="44939"/>
    <cellStyle name="Обычный 8 6 6 3 5 2" xfId="44940"/>
    <cellStyle name="Обычный 8 6 6 3 6" xfId="44941"/>
    <cellStyle name="Обычный 8 6 6 3 7" xfId="44942"/>
    <cellStyle name="Обычный 8 6 6 4" xfId="44943"/>
    <cellStyle name="Обычный 8 6 6 4 2" xfId="44944"/>
    <cellStyle name="Обычный 8 6 6 4 2 2" xfId="44945"/>
    <cellStyle name="Обычный 8 6 6 4 2 3" xfId="44946"/>
    <cellStyle name="Обычный 8 6 6 4 3" xfId="44947"/>
    <cellStyle name="Обычный 8 6 6 4 3 2" xfId="44948"/>
    <cellStyle name="Обычный 8 6 6 4 3 3" xfId="44949"/>
    <cellStyle name="Обычный 8 6 6 4 4" xfId="44950"/>
    <cellStyle name="Обычный 8 6 6 4 4 2" xfId="44951"/>
    <cellStyle name="Обычный 8 6 6 4 5" xfId="44952"/>
    <cellStyle name="Обычный 8 6 6 4 6" xfId="44953"/>
    <cellStyle name="Обычный 8 6 6 5" xfId="44954"/>
    <cellStyle name="Обычный 8 6 6 5 2" xfId="44955"/>
    <cellStyle name="Обычный 8 6 6 5 3" xfId="44956"/>
    <cellStyle name="Обычный 8 6 6 6" xfId="44957"/>
    <cellStyle name="Обычный 8 6 6 6 2" xfId="44958"/>
    <cellStyle name="Обычный 8 6 6 6 3" xfId="44959"/>
    <cellStyle name="Обычный 8 6 6 7" xfId="44960"/>
    <cellStyle name="Обычный 8 6 6 7 2" xfId="44961"/>
    <cellStyle name="Обычный 8 6 6 8" xfId="44962"/>
    <cellStyle name="Обычный 8 6 6 9" xfId="44963"/>
    <cellStyle name="Обычный 8 6 7" xfId="44964"/>
    <cellStyle name="Обычный 8 6 7 2" xfId="44965"/>
    <cellStyle name="Обычный 8 6 7 2 2" xfId="44966"/>
    <cellStyle name="Обычный 8 6 7 2 2 2" xfId="44967"/>
    <cellStyle name="Обычный 8 6 7 2 2 2 2" xfId="44968"/>
    <cellStyle name="Обычный 8 6 7 2 2 2 3" xfId="44969"/>
    <cellStyle name="Обычный 8 6 7 2 2 3" xfId="44970"/>
    <cellStyle name="Обычный 8 6 7 2 2 3 2" xfId="44971"/>
    <cellStyle name="Обычный 8 6 7 2 2 3 3" xfId="44972"/>
    <cellStyle name="Обычный 8 6 7 2 2 4" xfId="44973"/>
    <cellStyle name="Обычный 8 6 7 2 2 4 2" xfId="44974"/>
    <cellStyle name="Обычный 8 6 7 2 2 5" xfId="44975"/>
    <cellStyle name="Обычный 8 6 7 2 2 6" xfId="44976"/>
    <cellStyle name="Обычный 8 6 7 2 3" xfId="44977"/>
    <cellStyle name="Обычный 8 6 7 2 3 2" xfId="44978"/>
    <cellStyle name="Обычный 8 6 7 2 3 3" xfId="44979"/>
    <cellStyle name="Обычный 8 6 7 2 4" xfId="44980"/>
    <cellStyle name="Обычный 8 6 7 2 4 2" xfId="44981"/>
    <cellStyle name="Обычный 8 6 7 2 4 3" xfId="44982"/>
    <cellStyle name="Обычный 8 6 7 2 5" xfId="44983"/>
    <cellStyle name="Обычный 8 6 7 2 5 2" xfId="44984"/>
    <cellStyle name="Обычный 8 6 7 2 6" xfId="44985"/>
    <cellStyle name="Обычный 8 6 7 2 7" xfId="44986"/>
    <cellStyle name="Обычный 8 6 7 3" xfId="44987"/>
    <cellStyle name="Обычный 8 6 7 3 2" xfId="44988"/>
    <cellStyle name="Обычный 8 6 7 3 2 2" xfId="44989"/>
    <cellStyle name="Обычный 8 6 7 3 2 3" xfId="44990"/>
    <cellStyle name="Обычный 8 6 7 3 3" xfId="44991"/>
    <cellStyle name="Обычный 8 6 7 3 3 2" xfId="44992"/>
    <cellStyle name="Обычный 8 6 7 3 3 3" xfId="44993"/>
    <cellStyle name="Обычный 8 6 7 3 4" xfId="44994"/>
    <cellStyle name="Обычный 8 6 7 3 4 2" xfId="44995"/>
    <cellStyle name="Обычный 8 6 7 3 5" xfId="44996"/>
    <cellStyle name="Обычный 8 6 7 3 6" xfId="44997"/>
    <cellStyle name="Обычный 8 6 7 4" xfId="44998"/>
    <cellStyle name="Обычный 8 6 7 4 2" xfId="44999"/>
    <cellStyle name="Обычный 8 6 7 4 3" xfId="45000"/>
    <cellStyle name="Обычный 8 6 7 5" xfId="45001"/>
    <cellStyle name="Обычный 8 6 7 5 2" xfId="45002"/>
    <cellStyle name="Обычный 8 6 7 5 3" xfId="45003"/>
    <cellStyle name="Обычный 8 6 7 6" xfId="45004"/>
    <cellStyle name="Обычный 8 6 7 6 2" xfId="45005"/>
    <cellStyle name="Обычный 8 6 7 7" xfId="45006"/>
    <cellStyle name="Обычный 8 6 7 8" xfId="45007"/>
    <cellStyle name="Обычный 8 6 8" xfId="45008"/>
    <cellStyle name="Обычный 8 6 8 2" xfId="45009"/>
    <cellStyle name="Обычный 8 6 8 2 2" xfId="45010"/>
    <cellStyle name="Обычный 8 6 8 2 2 2" xfId="45011"/>
    <cellStyle name="Обычный 8 6 8 2 2 3" xfId="45012"/>
    <cellStyle name="Обычный 8 6 8 2 3" xfId="45013"/>
    <cellStyle name="Обычный 8 6 8 2 3 2" xfId="45014"/>
    <cellStyle name="Обычный 8 6 8 2 3 3" xfId="45015"/>
    <cellStyle name="Обычный 8 6 8 2 4" xfId="45016"/>
    <cellStyle name="Обычный 8 6 8 2 4 2" xfId="45017"/>
    <cellStyle name="Обычный 8 6 8 2 5" xfId="45018"/>
    <cellStyle name="Обычный 8 6 8 2 6" xfId="45019"/>
    <cellStyle name="Обычный 8 6 8 3" xfId="45020"/>
    <cellStyle name="Обычный 8 6 8 3 2" xfId="45021"/>
    <cellStyle name="Обычный 8 6 8 3 3" xfId="45022"/>
    <cellStyle name="Обычный 8 6 8 4" xfId="45023"/>
    <cellStyle name="Обычный 8 6 8 4 2" xfId="45024"/>
    <cellStyle name="Обычный 8 6 8 4 3" xfId="45025"/>
    <cellStyle name="Обычный 8 6 8 5" xfId="45026"/>
    <cellStyle name="Обычный 8 6 8 5 2" xfId="45027"/>
    <cellStyle name="Обычный 8 6 8 6" xfId="45028"/>
    <cellStyle name="Обычный 8 6 8 7" xfId="45029"/>
    <cellStyle name="Обычный 8 6 9" xfId="45030"/>
    <cellStyle name="Обычный 8 6 9 2" xfId="45031"/>
    <cellStyle name="Обычный 8 6 9 2 2" xfId="45032"/>
    <cellStyle name="Обычный 8 6 9 2 3" xfId="45033"/>
    <cellStyle name="Обычный 8 6 9 3" xfId="45034"/>
    <cellStyle name="Обычный 8 6 9 3 2" xfId="45035"/>
    <cellStyle name="Обычный 8 6 9 3 3" xfId="45036"/>
    <cellStyle name="Обычный 8 6 9 4" xfId="45037"/>
    <cellStyle name="Обычный 8 6 9 4 2" xfId="45038"/>
    <cellStyle name="Обычный 8 6 9 5" xfId="45039"/>
    <cellStyle name="Обычный 8 6 9 6" xfId="45040"/>
    <cellStyle name="Обычный 8 7" xfId="45041"/>
    <cellStyle name="Обычный 8 7 10" xfId="45042"/>
    <cellStyle name="Обычный 8 7 10 2" xfId="45043"/>
    <cellStyle name="Обычный 8 7 10 3" xfId="45044"/>
    <cellStyle name="Обычный 8 7 11" xfId="45045"/>
    <cellStyle name="Обычный 8 7 11 2" xfId="45046"/>
    <cellStyle name="Обычный 8 7 11 3" xfId="45047"/>
    <cellStyle name="Обычный 8 7 12" xfId="45048"/>
    <cellStyle name="Обычный 8 7 12 2" xfId="45049"/>
    <cellStyle name="Обычный 8 7 13" xfId="45050"/>
    <cellStyle name="Обычный 8 7 14" xfId="45051"/>
    <cellStyle name="Обычный 8 7 2" xfId="45052"/>
    <cellStyle name="Обычный 8 7 2 10" xfId="45053"/>
    <cellStyle name="Обычный 8 7 2 10 2" xfId="45054"/>
    <cellStyle name="Обычный 8 7 2 10 3" xfId="45055"/>
    <cellStyle name="Обычный 8 7 2 11" xfId="45056"/>
    <cellStyle name="Обычный 8 7 2 11 2" xfId="45057"/>
    <cellStyle name="Обычный 8 7 2 12" xfId="45058"/>
    <cellStyle name="Обычный 8 7 2 13" xfId="45059"/>
    <cellStyle name="Обычный 8 7 2 2" xfId="45060"/>
    <cellStyle name="Обычный 8 7 2 2 10" xfId="45061"/>
    <cellStyle name="Обычный 8 7 2 2 2" xfId="45062"/>
    <cellStyle name="Обычный 8 7 2 2 2 2" xfId="45063"/>
    <cellStyle name="Обычный 8 7 2 2 2 2 2" xfId="45064"/>
    <cellStyle name="Обычный 8 7 2 2 2 2 2 2" xfId="45065"/>
    <cellStyle name="Обычный 8 7 2 2 2 2 2 2 2" xfId="45066"/>
    <cellStyle name="Обычный 8 7 2 2 2 2 2 2 2 2" xfId="45067"/>
    <cellStyle name="Обычный 8 7 2 2 2 2 2 2 2 3" xfId="45068"/>
    <cellStyle name="Обычный 8 7 2 2 2 2 2 2 3" xfId="45069"/>
    <cellStyle name="Обычный 8 7 2 2 2 2 2 2 3 2" xfId="45070"/>
    <cellStyle name="Обычный 8 7 2 2 2 2 2 2 3 3" xfId="45071"/>
    <cellStyle name="Обычный 8 7 2 2 2 2 2 2 4" xfId="45072"/>
    <cellStyle name="Обычный 8 7 2 2 2 2 2 2 4 2" xfId="45073"/>
    <cellStyle name="Обычный 8 7 2 2 2 2 2 2 5" xfId="45074"/>
    <cellStyle name="Обычный 8 7 2 2 2 2 2 2 6" xfId="45075"/>
    <cellStyle name="Обычный 8 7 2 2 2 2 2 3" xfId="45076"/>
    <cellStyle name="Обычный 8 7 2 2 2 2 2 3 2" xfId="45077"/>
    <cellStyle name="Обычный 8 7 2 2 2 2 2 3 3" xfId="45078"/>
    <cellStyle name="Обычный 8 7 2 2 2 2 2 4" xfId="45079"/>
    <cellStyle name="Обычный 8 7 2 2 2 2 2 4 2" xfId="45080"/>
    <cellStyle name="Обычный 8 7 2 2 2 2 2 4 3" xfId="45081"/>
    <cellStyle name="Обычный 8 7 2 2 2 2 2 5" xfId="45082"/>
    <cellStyle name="Обычный 8 7 2 2 2 2 2 5 2" xfId="45083"/>
    <cellStyle name="Обычный 8 7 2 2 2 2 2 6" xfId="45084"/>
    <cellStyle name="Обычный 8 7 2 2 2 2 2 7" xfId="45085"/>
    <cellStyle name="Обычный 8 7 2 2 2 2 3" xfId="45086"/>
    <cellStyle name="Обычный 8 7 2 2 2 2 3 2" xfId="45087"/>
    <cellStyle name="Обычный 8 7 2 2 2 2 3 2 2" xfId="45088"/>
    <cellStyle name="Обычный 8 7 2 2 2 2 3 2 3" xfId="45089"/>
    <cellStyle name="Обычный 8 7 2 2 2 2 3 3" xfId="45090"/>
    <cellStyle name="Обычный 8 7 2 2 2 2 3 3 2" xfId="45091"/>
    <cellStyle name="Обычный 8 7 2 2 2 2 3 3 3" xfId="45092"/>
    <cellStyle name="Обычный 8 7 2 2 2 2 3 4" xfId="45093"/>
    <cellStyle name="Обычный 8 7 2 2 2 2 3 4 2" xfId="45094"/>
    <cellStyle name="Обычный 8 7 2 2 2 2 3 5" xfId="45095"/>
    <cellStyle name="Обычный 8 7 2 2 2 2 3 6" xfId="45096"/>
    <cellStyle name="Обычный 8 7 2 2 2 2 4" xfId="45097"/>
    <cellStyle name="Обычный 8 7 2 2 2 2 4 2" xfId="45098"/>
    <cellStyle name="Обычный 8 7 2 2 2 2 4 3" xfId="45099"/>
    <cellStyle name="Обычный 8 7 2 2 2 2 5" xfId="45100"/>
    <cellStyle name="Обычный 8 7 2 2 2 2 5 2" xfId="45101"/>
    <cellStyle name="Обычный 8 7 2 2 2 2 5 3" xfId="45102"/>
    <cellStyle name="Обычный 8 7 2 2 2 2 6" xfId="45103"/>
    <cellStyle name="Обычный 8 7 2 2 2 2 6 2" xfId="45104"/>
    <cellStyle name="Обычный 8 7 2 2 2 2 7" xfId="45105"/>
    <cellStyle name="Обычный 8 7 2 2 2 2 8" xfId="45106"/>
    <cellStyle name="Обычный 8 7 2 2 2 3" xfId="45107"/>
    <cellStyle name="Обычный 8 7 2 2 2 3 2" xfId="45108"/>
    <cellStyle name="Обычный 8 7 2 2 2 3 2 2" xfId="45109"/>
    <cellStyle name="Обычный 8 7 2 2 2 3 2 2 2" xfId="45110"/>
    <cellStyle name="Обычный 8 7 2 2 2 3 2 2 3" xfId="45111"/>
    <cellStyle name="Обычный 8 7 2 2 2 3 2 3" xfId="45112"/>
    <cellStyle name="Обычный 8 7 2 2 2 3 2 3 2" xfId="45113"/>
    <cellStyle name="Обычный 8 7 2 2 2 3 2 3 3" xfId="45114"/>
    <cellStyle name="Обычный 8 7 2 2 2 3 2 4" xfId="45115"/>
    <cellStyle name="Обычный 8 7 2 2 2 3 2 4 2" xfId="45116"/>
    <cellStyle name="Обычный 8 7 2 2 2 3 2 5" xfId="45117"/>
    <cellStyle name="Обычный 8 7 2 2 2 3 2 6" xfId="45118"/>
    <cellStyle name="Обычный 8 7 2 2 2 3 3" xfId="45119"/>
    <cellStyle name="Обычный 8 7 2 2 2 3 3 2" xfId="45120"/>
    <cellStyle name="Обычный 8 7 2 2 2 3 3 3" xfId="45121"/>
    <cellStyle name="Обычный 8 7 2 2 2 3 4" xfId="45122"/>
    <cellStyle name="Обычный 8 7 2 2 2 3 4 2" xfId="45123"/>
    <cellStyle name="Обычный 8 7 2 2 2 3 4 3" xfId="45124"/>
    <cellStyle name="Обычный 8 7 2 2 2 3 5" xfId="45125"/>
    <cellStyle name="Обычный 8 7 2 2 2 3 5 2" xfId="45126"/>
    <cellStyle name="Обычный 8 7 2 2 2 3 6" xfId="45127"/>
    <cellStyle name="Обычный 8 7 2 2 2 3 7" xfId="45128"/>
    <cellStyle name="Обычный 8 7 2 2 2 4" xfId="45129"/>
    <cellStyle name="Обычный 8 7 2 2 2 4 2" xfId="45130"/>
    <cellStyle name="Обычный 8 7 2 2 2 4 2 2" xfId="45131"/>
    <cellStyle name="Обычный 8 7 2 2 2 4 2 3" xfId="45132"/>
    <cellStyle name="Обычный 8 7 2 2 2 4 3" xfId="45133"/>
    <cellStyle name="Обычный 8 7 2 2 2 4 3 2" xfId="45134"/>
    <cellStyle name="Обычный 8 7 2 2 2 4 3 3" xfId="45135"/>
    <cellStyle name="Обычный 8 7 2 2 2 4 4" xfId="45136"/>
    <cellStyle name="Обычный 8 7 2 2 2 4 4 2" xfId="45137"/>
    <cellStyle name="Обычный 8 7 2 2 2 4 5" xfId="45138"/>
    <cellStyle name="Обычный 8 7 2 2 2 4 6" xfId="45139"/>
    <cellStyle name="Обычный 8 7 2 2 2 5" xfId="45140"/>
    <cellStyle name="Обычный 8 7 2 2 2 5 2" xfId="45141"/>
    <cellStyle name="Обычный 8 7 2 2 2 5 3" xfId="45142"/>
    <cellStyle name="Обычный 8 7 2 2 2 6" xfId="45143"/>
    <cellStyle name="Обычный 8 7 2 2 2 6 2" xfId="45144"/>
    <cellStyle name="Обычный 8 7 2 2 2 6 3" xfId="45145"/>
    <cellStyle name="Обычный 8 7 2 2 2 7" xfId="45146"/>
    <cellStyle name="Обычный 8 7 2 2 2 7 2" xfId="45147"/>
    <cellStyle name="Обычный 8 7 2 2 2 8" xfId="45148"/>
    <cellStyle name="Обычный 8 7 2 2 2 9" xfId="45149"/>
    <cellStyle name="Обычный 8 7 2 2 3" xfId="45150"/>
    <cellStyle name="Обычный 8 7 2 2 3 2" xfId="45151"/>
    <cellStyle name="Обычный 8 7 2 2 3 2 2" xfId="45152"/>
    <cellStyle name="Обычный 8 7 2 2 3 2 2 2" xfId="45153"/>
    <cellStyle name="Обычный 8 7 2 2 3 2 2 2 2" xfId="45154"/>
    <cellStyle name="Обычный 8 7 2 2 3 2 2 2 3" xfId="45155"/>
    <cellStyle name="Обычный 8 7 2 2 3 2 2 3" xfId="45156"/>
    <cellStyle name="Обычный 8 7 2 2 3 2 2 3 2" xfId="45157"/>
    <cellStyle name="Обычный 8 7 2 2 3 2 2 3 3" xfId="45158"/>
    <cellStyle name="Обычный 8 7 2 2 3 2 2 4" xfId="45159"/>
    <cellStyle name="Обычный 8 7 2 2 3 2 2 4 2" xfId="45160"/>
    <cellStyle name="Обычный 8 7 2 2 3 2 2 5" xfId="45161"/>
    <cellStyle name="Обычный 8 7 2 2 3 2 2 6" xfId="45162"/>
    <cellStyle name="Обычный 8 7 2 2 3 2 3" xfId="45163"/>
    <cellStyle name="Обычный 8 7 2 2 3 2 3 2" xfId="45164"/>
    <cellStyle name="Обычный 8 7 2 2 3 2 3 3" xfId="45165"/>
    <cellStyle name="Обычный 8 7 2 2 3 2 4" xfId="45166"/>
    <cellStyle name="Обычный 8 7 2 2 3 2 4 2" xfId="45167"/>
    <cellStyle name="Обычный 8 7 2 2 3 2 4 3" xfId="45168"/>
    <cellStyle name="Обычный 8 7 2 2 3 2 5" xfId="45169"/>
    <cellStyle name="Обычный 8 7 2 2 3 2 5 2" xfId="45170"/>
    <cellStyle name="Обычный 8 7 2 2 3 2 6" xfId="45171"/>
    <cellStyle name="Обычный 8 7 2 2 3 2 7" xfId="45172"/>
    <cellStyle name="Обычный 8 7 2 2 3 3" xfId="45173"/>
    <cellStyle name="Обычный 8 7 2 2 3 3 2" xfId="45174"/>
    <cellStyle name="Обычный 8 7 2 2 3 3 2 2" xfId="45175"/>
    <cellStyle name="Обычный 8 7 2 2 3 3 2 3" xfId="45176"/>
    <cellStyle name="Обычный 8 7 2 2 3 3 3" xfId="45177"/>
    <cellStyle name="Обычный 8 7 2 2 3 3 3 2" xfId="45178"/>
    <cellStyle name="Обычный 8 7 2 2 3 3 3 3" xfId="45179"/>
    <cellStyle name="Обычный 8 7 2 2 3 3 4" xfId="45180"/>
    <cellStyle name="Обычный 8 7 2 2 3 3 4 2" xfId="45181"/>
    <cellStyle name="Обычный 8 7 2 2 3 3 5" xfId="45182"/>
    <cellStyle name="Обычный 8 7 2 2 3 3 6" xfId="45183"/>
    <cellStyle name="Обычный 8 7 2 2 3 4" xfId="45184"/>
    <cellStyle name="Обычный 8 7 2 2 3 4 2" xfId="45185"/>
    <cellStyle name="Обычный 8 7 2 2 3 4 3" xfId="45186"/>
    <cellStyle name="Обычный 8 7 2 2 3 5" xfId="45187"/>
    <cellStyle name="Обычный 8 7 2 2 3 5 2" xfId="45188"/>
    <cellStyle name="Обычный 8 7 2 2 3 5 3" xfId="45189"/>
    <cellStyle name="Обычный 8 7 2 2 3 6" xfId="45190"/>
    <cellStyle name="Обычный 8 7 2 2 3 6 2" xfId="45191"/>
    <cellStyle name="Обычный 8 7 2 2 3 7" xfId="45192"/>
    <cellStyle name="Обычный 8 7 2 2 3 8" xfId="45193"/>
    <cellStyle name="Обычный 8 7 2 2 4" xfId="45194"/>
    <cellStyle name="Обычный 8 7 2 2 4 2" xfId="45195"/>
    <cellStyle name="Обычный 8 7 2 2 4 2 2" xfId="45196"/>
    <cellStyle name="Обычный 8 7 2 2 4 2 2 2" xfId="45197"/>
    <cellStyle name="Обычный 8 7 2 2 4 2 2 3" xfId="45198"/>
    <cellStyle name="Обычный 8 7 2 2 4 2 3" xfId="45199"/>
    <cellStyle name="Обычный 8 7 2 2 4 2 3 2" xfId="45200"/>
    <cellStyle name="Обычный 8 7 2 2 4 2 3 3" xfId="45201"/>
    <cellStyle name="Обычный 8 7 2 2 4 2 4" xfId="45202"/>
    <cellStyle name="Обычный 8 7 2 2 4 2 4 2" xfId="45203"/>
    <cellStyle name="Обычный 8 7 2 2 4 2 5" xfId="45204"/>
    <cellStyle name="Обычный 8 7 2 2 4 2 6" xfId="45205"/>
    <cellStyle name="Обычный 8 7 2 2 4 3" xfId="45206"/>
    <cellStyle name="Обычный 8 7 2 2 4 3 2" xfId="45207"/>
    <cellStyle name="Обычный 8 7 2 2 4 3 3" xfId="45208"/>
    <cellStyle name="Обычный 8 7 2 2 4 4" xfId="45209"/>
    <cellStyle name="Обычный 8 7 2 2 4 4 2" xfId="45210"/>
    <cellStyle name="Обычный 8 7 2 2 4 4 3" xfId="45211"/>
    <cellStyle name="Обычный 8 7 2 2 4 5" xfId="45212"/>
    <cellStyle name="Обычный 8 7 2 2 4 5 2" xfId="45213"/>
    <cellStyle name="Обычный 8 7 2 2 4 6" xfId="45214"/>
    <cellStyle name="Обычный 8 7 2 2 4 7" xfId="45215"/>
    <cellStyle name="Обычный 8 7 2 2 5" xfId="45216"/>
    <cellStyle name="Обычный 8 7 2 2 5 2" xfId="45217"/>
    <cellStyle name="Обычный 8 7 2 2 5 2 2" xfId="45218"/>
    <cellStyle name="Обычный 8 7 2 2 5 2 3" xfId="45219"/>
    <cellStyle name="Обычный 8 7 2 2 5 3" xfId="45220"/>
    <cellStyle name="Обычный 8 7 2 2 5 3 2" xfId="45221"/>
    <cellStyle name="Обычный 8 7 2 2 5 3 3" xfId="45222"/>
    <cellStyle name="Обычный 8 7 2 2 5 4" xfId="45223"/>
    <cellStyle name="Обычный 8 7 2 2 5 4 2" xfId="45224"/>
    <cellStyle name="Обычный 8 7 2 2 5 5" xfId="45225"/>
    <cellStyle name="Обычный 8 7 2 2 5 6" xfId="45226"/>
    <cellStyle name="Обычный 8 7 2 2 6" xfId="45227"/>
    <cellStyle name="Обычный 8 7 2 2 6 2" xfId="45228"/>
    <cellStyle name="Обычный 8 7 2 2 6 3" xfId="45229"/>
    <cellStyle name="Обычный 8 7 2 2 7" xfId="45230"/>
    <cellStyle name="Обычный 8 7 2 2 7 2" xfId="45231"/>
    <cellStyle name="Обычный 8 7 2 2 7 3" xfId="45232"/>
    <cellStyle name="Обычный 8 7 2 2 8" xfId="45233"/>
    <cellStyle name="Обычный 8 7 2 2 8 2" xfId="45234"/>
    <cellStyle name="Обычный 8 7 2 2 9" xfId="45235"/>
    <cellStyle name="Обычный 8 7 2 3" xfId="45236"/>
    <cellStyle name="Обычный 8 7 2 3 10" xfId="45237"/>
    <cellStyle name="Обычный 8 7 2 3 2" xfId="45238"/>
    <cellStyle name="Обычный 8 7 2 3 2 2" xfId="45239"/>
    <cellStyle name="Обычный 8 7 2 3 2 2 2" xfId="45240"/>
    <cellStyle name="Обычный 8 7 2 3 2 2 2 2" xfId="45241"/>
    <cellStyle name="Обычный 8 7 2 3 2 2 2 2 2" xfId="45242"/>
    <cellStyle name="Обычный 8 7 2 3 2 2 2 2 2 2" xfId="45243"/>
    <cellStyle name="Обычный 8 7 2 3 2 2 2 2 2 3" xfId="45244"/>
    <cellStyle name="Обычный 8 7 2 3 2 2 2 2 3" xfId="45245"/>
    <cellStyle name="Обычный 8 7 2 3 2 2 2 2 3 2" xfId="45246"/>
    <cellStyle name="Обычный 8 7 2 3 2 2 2 2 3 3" xfId="45247"/>
    <cellStyle name="Обычный 8 7 2 3 2 2 2 2 4" xfId="45248"/>
    <cellStyle name="Обычный 8 7 2 3 2 2 2 2 4 2" xfId="45249"/>
    <cellStyle name="Обычный 8 7 2 3 2 2 2 2 5" xfId="45250"/>
    <cellStyle name="Обычный 8 7 2 3 2 2 2 2 6" xfId="45251"/>
    <cellStyle name="Обычный 8 7 2 3 2 2 2 3" xfId="45252"/>
    <cellStyle name="Обычный 8 7 2 3 2 2 2 3 2" xfId="45253"/>
    <cellStyle name="Обычный 8 7 2 3 2 2 2 3 3" xfId="45254"/>
    <cellStyle name="Обычный 8 7 2 3 2 2 2 4" xfId="45255"/>
    <cellStyle name="Обычный 8 7 2 3 2 2 2 4 2" xfId="45256"/>
    <cellStyle name="Обычный 8 7 2 3 2 2 2 4 3" xfId="45257"/>
    <cellStyle name="Обычный 8 7 2 3 2 2 2 5" xfId="45258"/>
    <cellStyle name="Обычный 8 7 2 3 2 2 2 5 2" xfId="45259"/>
    <cellStyle name="Обычный 8 7 2 3 2 2 2 6" xfId="45260"/>
    <cellStyle name="Обычный 8 7 2 3 2 2 2 7" xfId="45261"/>
    <cellStyle name="Обычный 8 7 2 3 2 2 3" xfId="45262"/>
    <cellStyle name="Обычный 8 7 2 3 2 2 3 2" xfId="45263"/>
    <cellStyle name="Обычный 8 7 2 3 2 2 3 2 2" xfId="45264"/>
    <cellStyle name="Обычный 8 7 2 3 2 2 3 2 3" xfId="45265"/>
    <cellStyle name="Обычный 8 7 2 3 2 2 3 3" xfId="45266"/>
    <cellStyle name="Обычный 8 7 2 3 2 2 3 3 2" xfId="45267"/>
    <cellStyle name="Обычный 8 7 2 3 2 2 3 3 3" xfId="45268"/>
    <cellStyle name="Обычный 8 7 2 3 2 2 3 4" xfId="45269"/>
    <cellStyle name="Обычный 8 7 2 3 2 2 3 4 2" xfId="45270"/>
    <cellStyle name="Обычный 8 7 2 3 2 2 3 5" xfId="45271"/>
    <cellStyle name="Обычный 8 7 2 3 2 2 3 6" xfId="45272"/>
    <cellStyle name="Обычный 8 7 2 3 2 2 4" xfId="45273"/>
    <cellStyle name="Обычный 8 7 2 3 2 2 4 2" xfId="45274"/>
    <cellStyle name="Обычный 8 7 2 3 2 2 4 3" xfId="45275"/>
    <cellStyle name="Обычный 8 7 2 3 2 2 5" xfId="45276"/>
    <cellStyle name="Обычный 8 7 2 3 2 2 5 2" xfId="45277"/>
    <cellStyle name="Обычный 8 7 2 3 2 2 5 3" xfId="45278"/>
    <cellStyle name="Обычный 8 7 2 3 2 2 6" xfId="45279"/>
    <cellStyle name="Обычный 8 7 2 3 2 2 6 2" xfId="45280"/>
    <cellStyle name="Обычный 8 7 2 3 2 2 7" xfId="45281"/>
    <cellStyle name="Обычный 8 7 2 3 2 2 8" xfId="45282"/>
    <cellStyle name="Обычный 8 7 2 3 2 3" xfId="45283"/>
    <cellStyle name="Обычный 8 7 2 3 2 3 2" xfId="45284"/>
    <cellStyle name="Обычный 8 7 2 3 2 3 2 2" xfId="45285"/>
    <cellStyle name="Обычный 8 7 2 3 2 3 2 2 2" xfId="45286"/>
    <cellStyle name="Обычный 8 7 2 3 2 3 2 2 3" xfId="45287"/>
    <cellStyle name="Обычный 8 7 2 3 2 3 2 3" xfId="45288"/>
    <cellStyle name="Обычный 8 7 2 3 2 3 2 3 2" xfId="45289"/>
    <cellStyle name="Обычный 8 7 2 3 2 3 2 3 3" xfId="45290"/>
    <cellStyle name="Обычный 8 7 2 3 2 3 2 4" xfId="45291"/>
    <cellStyle name="Обычный 8 7 2 3 2 3 2 4 2" xfId="45292"/>
    <cellStyle name="Обычный 8 7 2 3 2 3 2 5" xfId="45293"/>
    <cellStyle name="Обычный 8 7 2 3 2 3 2 6" xfId="45294"/>
    <cellStyle name="Обычный 8 7 2 3 2 3 3" xfId="45295"/>
    <cellStyle name="Обычный 8 7 2 3 2 3 3 2" xfId="45296"/>
    <cellStyle name="Обычный 8 7 2 3 2 3 3 3" xfId="45297"/>
    <cellStyle name="Обычный 8 7 2 3 2 3 4" xfId="45298"/>
    <cellStyle name="Обычный 8 7 2 3 2 3 4 2" xfId="45299"/>
    <cellStyle name="Обычный 8 7 2 3 2 3 4 3" xfId="45300"/>
    <cellStyle name="Обычный 8 7 2 3 2 3 5" xfId="45301"/>
    <cellStyle name="Обычный 8 7 2 3 2 3 5 2" xfId="45302"/>
    <cellStyle name="Обычный 8 7 2 3 2 3 6" xfId="45303"/>
    <cellStyle name="Обычный 8 7 2 3 2 3 7" xfId="45304"/>
    <cellStyle name="Обычный 8 7 2 3 2 4" xfId="45305"/>
    <cellStyle name="Обычный 8 7 2 3 2 4 2" xfId="45306"/>
    <cellStyle name="Обычный 8 7 2 3 2 4 2 2" xfId="45307"/>
    <cellStyle name="Обычный 8 7 2 3 2 4 2 3" xfId="45308"/>
    <cellStyle name="Обычный 8 7 2 3 2 4 3" xfId="45309"/>
    <cellStyle name="Обычный 8 7 2 3 2 4 3 2" xfId="45310"/>
    <cellStyle name="Обычный 8 7 2 3 2 4 3 3" xfId="45311"/>
    <cellStyle name="Обычный 8 7 2 3 2 4 4" xfId="45312"/>
    <cellStyle name="Обычный 8 7 2 3 2 4 4 2" xfId="45313"/>
    <cellStyle name="Обычный 8 7 2 3 2 4 5" xfId="45314"/>
    <cellStyle name="Обычный 8 7 2 3 2 4 6" xfId="45315"/>
    <cellStyle name="Обычный 8 7 2 3 2 5" xfId="45316"/>
    <cellStyle name="Обычный 8 7 2 3 2 5 2" xfId="45317"/>
    <cellStyle name="Обычный 8 7 2 3 2 5 3" xfId="45318"/>
    <cellStyle name="Обычный 8 7 2 3 2 6" xfId="45319"/>
    <cellStyle name="Обычный 8 7 2 3 2 6 2" xfId="45320"/>
    <cellStyle name="Обычный 8 7 2 3 2 6 3" xfId="45321"/>
    <cellStyle name="Обычный 8 7 2 3 2 7" xfId="45322"/>
    <cellStyle name="Обычный 8 7 2 3 2 7 2" xfId="45323"/>
    <cellStyle name="Обычный 8 7 2 3 2 8" xfId="45324"/>
    <cellStyle name="Обычный 8 7 2 3 2 9" xfId="45325"/>
    <cellStyle name="Обычный 8 7 2 3 3" xfId="45326"/>
    <cellStyle name="Обычный 8 7 2 3 3 2" xfId="45327"/>
    <cellStyle name="Обычный 8 7 2 3 3 2 2" xfId="45328"/>
    <cellStyle name="Обычный 8 7 2 3 3 2 2 2" xfId="45329"/>
    <cellStyle name="Обычный 8 7 2 3 3 2 2 2 2" xfId="45330"/>
    <cellStyle name="Обычный 8 7 2 3 3 2 2 2 3" xfId="45331"/>
    <cellStyle name="Обычный 8 7 2 3 3 2 2 3" xfId="45332"/>
    <cellStyle name="Обычный 8 7 2 3 3 2 2 3 2" xfId="45333"/>
    <cellStyle name="Обычный 8 7 2 3 3 2 2 3 3" xfId="45334"/>
    <cellStyle name="Обычный 8 7 2 3 3 2 2 4" xfId="45335"/>
    <cellStyle name="Обычный 8 7 2 3 3 2 2 4 2" xfId="45336"/>
    <cellStyle name="Обычный 8 7 2 3 3 2 2 5" xfId="45337"/>
    <cellStyle name="Обычный 8 7 2 3 3 2 2 6" xfId="45338"/>
    <cellStyle name="Обычный 8 7 2 3 3 2 3" xfId="45339"/>
    <cellStyle name="Обычный 8 7 2 3 3 2 3 2" xfId="45340"/>
    <cellStyle name="Обычный 8 7 2 3 3 2 3 3" xfId="45341"/>
    <cellStyle name="Обычный 8 7 2 3 3 2 4" xfId="45342"/>
    <cellStyle name="Обычный 8 7 2 3 3 2 4 2" xfId="45343"/>
    <cellStyle name="Обычный 8 7 2 3 3 2 4 3" xfId="45344"/>
    <cellStyle name="Обычный 8 7 2 3 3 2 5" xfId="45345"/>
    <cellStyle name="Обычный 8 7 2 3 3 2 5 2" xfId="45346"/>
    <cellStyle name="Обычный 8 7 2 3 3 2 6" xfId="45347"/>
    <cellStyle name="Обычный 8 7 2 3 3 2 7" xfId="45348"/>
    <cellStyle name="Обычный 8 7 2 3 3 3" xfId="45349"/>
    <cellStyle name="Обычный 8 7 2 3 3 3 2" xfId="45350"/>
    <cellStyle name="Обычный 8 7 2 3 3 3 2 2" xfId="45351"/>
    <cellStyle name="Обычный 8 7 2 3 3 3 2 3" xfId="45352"/>
    <cellStyle name="Обычный 8 7 2 3 3 3 3" xfId="45353"/>
    <cellStyle name="Обычный 8 7 2 3 3 3 3 2" xfId="45354"/>
    <cellStyle name="Обычный 8 7 2 3 3 3 3 3" xfId="45355"/>
    <cellStyle name="Обычный 8 7 2 3 3 3 4" xfId="45356"/>
    <cellStyle name="Обычный 8 7 2 3 3 3 4 2" xfId="45357"/>
    <cellStyle name="Обычный 8 7 2 3 3 3 5" xfId="45358"/>
    <cellStyle name="Обычный 8 7 2 3 3 3 6" xfId="45359"/>
    <cellStyle name="Обычный 8 7 2 3 3 4" xfId="45360"/>
    <cellStyle name="Обычный 8 7 2 3 3 4 2" xfId="45361"/>
    <cellStyle name="Обычный 8 7 2 3 3 4 3" xfId="45362"/>
    <cellStyle name="Обычный 8 7 2 3 3 5" xfId="45363"/>
    <cellStyle name="Обычный 8 7 2 3 3 5 2" xfId="45364"/>
    <cellStyle name="Обычный 8 7 2 3 3 5 3" xfId="45365"/>
    <cellStyle name="Обычный 8 7 2 3 3 6" xfId="45366"/>
    <cellStyle name="Обычный 8 7 2 3 3 6 2" xfId="45367"/>
    <cellStyle name="Обычный 8 7 2 3 3 7" xfId="45368"/>
    <cellStyle name="Обычный 8 7 2 3 3 8" xfId="45369"/>
    <cellStyle name="Обычный 8 7 2 3 4" xfId="45370"/>
    <cellStyle name="Обычный 8 7 2 3 4 2" xfId="45371"/>
    <cellStyle name="Обычный 8 7 2 3 4 2 2" xfId="45372"/>
    <cellStyle name="Обычный 8 7 2 3 4 2 2 2" xfId="45373"/>
    <cellStyle name="Обычный 8 7 2 3 4 2 2 3" xfId="45374"/>
    <cellStyle name="Обычный 8 7 2 3 4 2 3" xfId="45375"/>
    <cellStyle name="Обычный 8 7 2 3 4 2 3 2" xfId="45376"/>
    <cellStyle name="Обычный 8 7 2 3 4 2 3 3" xfId="45377"/>
    <cellStyle name="Обычный 8 7 2 3 4 2 4" xfId="45378"/>
    <cellStyle name="Обычный 8 7 2 3 4 2 4 2" xfId="45379"/>
    <cellStyle name="Обычный 8 7 2 3 4 2 5" xfId="45380"/>
    <cellStyle name="Обычный 8 7 2 3 4 2 6" xfId="45381"/>
    <cellStyle name="Обычный 8 7 2 3 4 3" xfId="45382"/>
    <cellStyle name="Обычный 8 7 2 3 4 3 2" xfId="45383"/>
    <cellStyle name="Обычный 8 7 2 3 4 3 3" xfId="45384"/>
    <cellStyle name="Обычный 8 7 2 3 4 4" xfId="45385"/>
    <cellStyle name="Обычный 8 7 2 3 4 4 2" xfId="45386"/>
    <cellStyle name="Обычный 8 7 2 3 4 4 3" xfId="45387"/>
    <cellStyle name="Обычный 8 7 2 3 4 5" xfId="45388"/>
    <cellStyle name="Обычный 8 7 2 3 4 5 2" xfId="45389"/>
    <cellStyle name="Обычный 8 7 2 3 4 6" xfId="45390"/>
    <cellStyle name="Обычный 8 7 2 3 4 7" xfId="45391"/>
    <cellStyle name="Обычный 8 7 2 3 5" xfId="45392"/>
    <cellStyle name="Обычный 8 7 2 3 5 2" xfId="45393"/>
    <cellStyle name="Обычный 8 7 2 3 5 2 2" xfId="45394"/>
    <cellStyle name="Обычный 8 7 2 3 5 2 3" xfId="45395"/>
    <cellStyle name="Обычный 8 7 2 3 5 3" xfId="45396"/>
    <cellStyle name="Обычный 8 7 2 3 5 3 2" xfId="45397"/>
    <cellStyle name="Обычный 8 7 2 3 5 3 3" xfId="45398"/>
    <cellStyle name="Обычный 8 7 2 3 5 4" xfId="45399"/>
    <cellStyle name="Обычный 8 7 2 3 5 4 2" xfId="45400"/>
    <cellStyle name="Обычный 8 7 2 3 5 5" xfId="45401"/>
    <cellStyle name="Обычный 8 7 2 3 5 6" xfId="45402"/>
    <cellStyle name="Обычный 8 7 2 3 6" xfId="45403"/>
    <cellStyle name="Обычный 8 7 2 3 6 2" xfId="45404"/>
    <cellStyle name="Обычный 8 7 2 3 6 3" xfId="45405"/>
    <cellStyle name="Обычный 8 7 2 3 7" xfId="45406"/>
    <cellStyle name="Обычный 8 7 2 3 7 2" xfId="45407"/>
    <cellStyle name="Обычный 8 7 2 3 7 3" xfId="45408"/>
    <cellStyle name="Обычный 8 7 2 3 8" xfId="45409"/>
    <cellStyle name="Обычный 8 7 2 3 8 2" xfId="45410"/>
    <cellStyle name="Обычный 8 7 2 3 9" xfId="45411"/>
    <cellStyle name="Обычный 8 7 2 4" xfId="45412"/>
    <cellStyle name="Обычный 8 7 2 4 10" xfId="45413"/>
    <cellStyle name="Обычный 8 7 2 4 2" xfId="45414"/>
    <cellStyle name="Обычный 8 7 2 4 2 2" xfId="45415"/>
    <cellStyle name="Обычный 8 7 2 4 2 2 2" xfId="45416"/>
    <cellStyle name="Обычный 8 7 2 4 2 2 2 2" xfId="45417"/>
    <cellStyle name="Обычный 8 7 2 4 2 2 2 2 2" xfId="45418"/>
    <cellStyle name="Обычный 8 7 2 4 2 2 2 2 2 2" xfId="45419"/>
    <cellStyle name="Обычный 8 7 2 4 2 2 2 2 2 3" xfId="45420"/>
    <cellStyle name="Обычный 8 7 2 4 2 2 2 2 3" xfId="45421"/>
    <cellStyle name="Обычный 8 7 2 4 2 2 2 2 3 2" xfId="45422"/>
    <cellStyle name="Обычный 8 7 2 4 2 2 2 2 3 3" xfId="45423"/>
    <cellStyle name="Обычный 8 7 2 4 2 2 2 2 4" xfId="45424"/>
    <cellStyle name="Обычный 8 7 2 4 2 2 2 2 4 2" xfId="45425"/>
    <cellStyle name="Обычный 8 7 2 4 2 2 2 2 5" xfId="45426"/>
    <cellStyle name="Обычный 8 7 2 4 2 2 2 2 6" xfId="45427"/>
    <cellStyle name="Обычный 8 7 2 4 2 2 2 3" xfId="45428"/>
    <cellStyle name="Обычный 8 7 2 4 2 2 2 3 2" xfId="45429"/>
    <cellStyle name="Обычный 8 7 2 4 2 2 2 3 3" xfId="45430"/>
    <cellStyle name="Обычный 8 7 2 4 2 2 2 4" xfId="45431"/>
    <cellStyle name="Обычный 8 7 2 4 2 2 2 4 2" xfId="45432"/>
    <cellStyle name="Обычный 8 7 2 4 2 2 2 4 3" xfId="45433"/>
    <cellStyle name="Обычный 8 7 2 4 2 2 2 5" xfId="45434"/>
    <cellStyle name="Обычный 8 7 2 4 2 2 2 5 2" xfId="45435"/>
    <cellStyle name="Обычный 8 7 2 4 2 2 2 6" xfId="45436"/>
    <cellStyle name="Обычный 8 7 2 4 2 2 2 7" xfId="45437"/>
    <cellStyle name="Обычный 8 7 2 4 2 2 3" xfId="45438"/>
    <cellStyle name="Обычный 8 7 2 4 2 2 3 2" xfId="45439"/>
    <cellStyle name="Обычный 8 7 2 4 2 2 3 2 2" xfId="45440"/>
    <cellStyle name="Обычный 8 7 2 4 2 2 3 2 3" xfId="45441"/>
    <cellStyle name="Обычный 8 7 2 4 2 2 3 3" xfId="45442"/>
    <cellStyle name="Обычный 8 7 2 4 2 2 3 3 2" xfId="45443"/>
    <cellStyle name="Обычный 8 7 2 4 2 2 3 3 3" xfId="45444"/>
    <cellStyle name="Обычный 8 7 2 4 2 2 3 4" xfId="45445"/>
    <cellStyle name="Обычный 8 7 2 4 2 2 3 4 2" xfId="45446"/>
    <cellStyle name="Обычный 8 7 2 4 2 2 3 5" xfId="45447"/>
    <cellStyle name="Обычный 8 7 2 4 2 2 3 6" xfId="45448"/>
    <cellStyle name="Обычный 8 7 2 4 2 2 4" xfId="45449"/>
    <cellStyle name="Обычный 8 7 2 4 2 2 4 2" xfId="45450"/>
    <cellStyle name="Обычный 8 7 2 4 2 2 4 3" xfId="45451"/>
    <cellStyle name="Обычный 8 7 2 4 2 2 5" xfId="45452"/>
    <cellStyle name="Обычный 8 7 2 4 2 2 5 2" xfId="45453"/>
    <cellStyle name="Обычный 8 7 2 4 2 2 5 3" xfId="45454"/>
    <cellStyle name="Обычный 8 7 2 4 2 2 6" xfId="45455"/>
    <cellStyle name="Обычный 8 7 2 4 2 2 6 2" xfId="45456"/>
    <cellStyle name="Обычный 8 7 2 4 2 2 7" xfId="45457"/>
    <cellStyle name="Обычный 8 7 2 4 2 2 8" xfId="45458"/>
    <cellStyle name="Обычный 8 7 2 4 2 3" xfId="45459"/>
    <cellStyle name="Обычный 8 7 2 4 2 3 2" xfId="45460"/>
    <cellStyle name="Обычный 8 7 2 4 2 3 2 2" xfId="45461"/>
    <cellStyle name="Обычный 8 7 2 4 2 3 2 2 2" xfId="45462"/>
    <cellStyle name="Обычный 8 7 2 4 2 3 2 2 3" xfId="45463"/>
    <cellStyle name="Обычный 8 7 2 4 2 3 2 3" xfId="45464"/>
    <cellStyle name="Обычный 8 7 2 4 2 3 2 3 2" xfId="45465"/>
    <cellStyle name="Обычный 8 7 2 4 2 3 2 3 3" xfId="45466"/>
    <cellStyle name="Обычный 8 7 2 4 2 3 2 4" xfId="45467"/>
    <cellStyle name="Обычный 8 7 2 4 2 3 2 4 2" xfId="45468"/>
    <cellStyle name="Обычный 8 7 2 4 2 3 2 5" xfId="45469"/>
    <cellStyle name="Обычный 8 7 2 4 2 3 2 6" xfId="45470"/>
    <cellStyle name="Обычный 8 7 2 4 2 3 3" xfId="45471"/>
    <cellStyle name="Обычный 8 7 2 4 2 3 3 2" xfId="45472"/>
    <cellStyle name="Обычный 8 7 2 4 2 3 3 3" xfId="45473"/>
    <cellStyle name="Обычный 8 7 2 4 2 3 4" xfId="45474"/>
    <cellStyle name="Обычный 8 7 2 4 2 3 4 2" xfId="45475"/>
    <cellStyle name="Обычный 8 7 2 4 2 3 4 3" xfId="45476"/>
    <cellStyle name="Обычный 8 7 2 4 2 3 5" xfId="45477"/>
    <cellStyle name="Обычный 8 7 2 4 2 3 5 2" xfId="45478"/>
    <cellStyle name="Обычный 8 7 2 4 2 3 6" xfId="45479"/>
    <cellStyle name="Обычный 8 7 2 4 2 3 7" xfId="45480"/>
    <cellStyle name="Обычный 8 7 2 4 2 4" xfId="45481"/>
    <cellStyle name="Обычный 8 7 2 4 2 4 2" xfId="45482"/>
    <cellStyle name="Обычный 8 7 2 4 2 4 2 2" xfId="45483"/>
    <cellStyle name="Обычный 8 7 2 4 2 4 2 3" xfId="45484"/>
    <cellStyle name="Обычный 8 7 2 4 2 4 3" xfId="45485"/>
    <cellStyle name="Обычный 8 7 2 4 2 4 3 2" xfId="45486"/>
    <cellStyle name="Обычный 8 7 2 4 2 4 3 3" xfId="45487"/>
    <cellStyle name="Обычный 8 7 2 4 2 4 4" xfId="45488"/>
    <cellStyle name="Обычный 8 7 2 4 2 4 4 2" xfId="45489"/>
    <cellStyle name="Обычный 8 7 2 4 2 4 5" xfId="45490"/>
    <cellStyle name="Обычный 8 7 2 4 2 4 6" xfId="45491"/>
    <cellStyle name="Обычный 8 7 2 4 2 5" xfId="45492"/>
    <cellStyle name="Обычный 8 7 2 4 2 5 2" xfId="45493"/>
    <cellStyle name="Обычный 8 7 2 4 2 5 3" xfId="45494"/>
    <cellStyle name="Обычный 8 7 2 4 2 6" xfId="45495"/>
    <cellStyle name="Обычный 8 7 2 4 2 6 2" xfId="45496"/>
    <cellStyle name="Обычный 8 7 2 4 2 6 3" xfId="45497"/>
    <cellStyle name="Обычный 8 7 2 4 2 7" xfId="45498"/>
    <cellStyle name="Обычный 8 7 2 4 2 7 2" xfId="45499"/>
    <cellStyle name="Обычный 8 7 2 4 2 8" xfId="45500"/>
    <cellStyle name="Обычный 8 7 2 4 2 9" xfId="45501"/>
    <cellStyle name="Обычный 8 7 2 4 3" xfId="45502"/>
    <cellStyle name="Обычный 8 7 2 4 3 2" xfId="45503"/>
    <cellStyle name="Обычный 8 7 2 4 3 2 2" xfId="45504"/>
    <cellStyle name="Обычный 8 7 2 4 3 2 2 2" xfId="45505"/>
    <cellStyle name="Обычный 8 7 2 4 3 2 2 2 2" xfId="45506"/>
    <cellStyle name="Обычный 8 7 2 4 3 2 2 2 3" xfId="45507"/>
    <cellStyle name="Обычный 8 7 2 4 3 2 2 3" xfId="45508"/>
    <cellStyle name="Обычный 8 7 2 4 3 2 2 3 2" xfId="45509"/>
    <cellStyle name="Обычный 8 7 2 4 3 2 2 3 3" xfId="45510"/>
    <cellStyle name="Обычный 8 7 2 4 3 2 2 4" xfId="45511"/>
    <cellStyle name="Обычный 8 7 2 4 3 2 2 4 2" xfId="45512"/>
    <cellStyle name="Обычный 8 7 2 4 3 2 2 5" xfId="45513"/>
    <cellStyle name="Обычный 8 7 2 4 3 2 2 6" xfId="45514"/>
    <cellStyle name="Обычный 8 7 2 4 3 2 3" xfId="45515"/>
    <cellStyle name="Обычный 8 7 2 4 3 2 3 2" xfId="45516"/>
    <cellStyle name="Обычный 8 7 2 4 3 2 3 3" xfId="45517"/>
    <cellStyle name="Обычный 8 7 2 4 3 2 4" xfId="45518"/>
    <cellStyle name="Обычный 8 7 2 4 3 2 4 2" xfId="45519"/>
    <cellStyle name="Обычный 8 7 2 4 3 2 4 3" xfId="45520"/>
    <cellStyle name="Обычный 8 7 2 4 3 2 5" xfId="45521"/>
    <cellStyle name="Обычный 8 7 2 4 3 2 5 2" xfId="45522"/>
    <cellStyle name="Обычный 8 7 2 4 3 2 6" xfId="45523"/>
    <cellStyle name="Обычный 8 7 2 4 3 2 7" xfId="45524"/>
    <cellStyle name="Обычный 8 7 2 4 3 3" xfId="45525"/>
    <cellStyle name="Обычный 8 7 2 4 3 3 2" xfId="45526"/>
    <cellStyle name="Обычный 8 7 2 4 3 3 2 2" xfId="45527"/>
    <cellStyle name="Обычный 8 7 2 4 3 3 2 3" xfId="45528"/>
    <cellStyle name="Обычный 8 7 2 4 3 3 3" xfId="45529"/>
    <cellStyle name="Обычный 8 7 2 4 3 3 3 2" xfId="45530"/>
    <cellStyle name="Обычный 8 7 2 4 3 3 3 3" xfId="45531"/>
    <cellStyle name="Обычный 8 7 2 4 3 3 4" xfId="45532"/>
    <cellStyle name="Обычный 8 7 2 4 3 3 4 2" xfId="45533"/>
    <cellStyle name="Обычный 8 7 2 4 3 3 5" xfId="45534"/>
    <cellStyle name="Обычный 8 7 2 4 3 3 6" xfId="45535"/>
    <cellStyle name="Обычный 8 7 2 4 3 4" xfId="45536"/>
    <cellStyle name="Обычный 8 7 2 4 3 4 2" xfId="45537"/>
    <cellStyle name="Обычный 8 7 2 4 3 4 3" xfId="45538"/>
    <cellStyle name="Обычный 8 7 2 4 3 5" xfId="45539"/>
    <cellStyle name="Обычный 8 7 2 4 3 5 2" xfId="45540"/>
    <cellStyle name="Обычный 8 7 2 4 3 5 3" xfId="45541"/>
    <cellStyle name="Обычный 8 7 2 4 3 6" xfId="45542"/>
    <cellStyle name="Обычный 8 7 2 4 3 6 2" xfId="45543"/>
    <cellStyle name="Обычный 8 7 2 4 3 7" xfId="45544"/>
    <cellStyle name="Обычный 8 7 2 4 3 8" xfId="45545"/>
    <cellStyle name="Обычный 8 7 2 4 4" xfId="45546"/>
    <cellStyle name="Обычный 8 7 2 4 4 2" xfId="45547"/>
    <cellStyle name="Обычный 8 7 2 4 4 2 2" xfId="45548"/>
    <cellStyle name="Обычный 8 7 2 4 4 2 2 2" xfId="45549"/>
    <cellStyle name="Обычный 8 7 2 4 4 2 2 3" xfId="45550"/>
    <cellStyle name="Обычный 8 7 2 4 4 2 3" xfId="45551"/>
    <cellStyle name="Обычный 8 7 2 4 4 2 3 2" xfId="45552"/>
    <cellStyle name="Обычный 8 7 2 4 4 2 3 3" xfId="45553"/>
    <cellStyle name="Обычный 8 7 2 4 4 2 4" xfId="45554"/>
    <cellStyle name="Обычный 8 7 2 4 4 2 4 2" xfId="45555"/>
    <cellStyle name="Обычный 8 7 2 4 4 2 5" xfId="45556"/>
    <cellStyle name="Обычный 8 7 2 4 4 2 6" xfId="45557"/>
    <cellStyle name="Обычный 8 7 2 4 4 3" xfId="45558"/>
    <cellStyle name="Обычный 8 7 2 4 4 3 2" xfId="45559"/>
    <cellStyle name="Обычный 8 7 2 4 4 3 3" xfId="45560"/>
    <cellStyle name="Обычный 8 7 2 4 4 4" xfId="45561"/>
    <cellStyle name="Обычный 8 7 2 4 4 4 2" xfId="45562"/>
    <cellStyle name="Обычный 8 7 2 4 4 4 3" xfId="45563"/>
    <cellStyle name="Обычный 8 7 2 4 4 5" xfId="45564"/>
    <cellStyle name="Обычный 8 7 2 4 4 5 2" xfId="45565"/>
    <cellStyle name="Обычный 8 7 2 4 4 6" xfId="45566"/>
    <cellStyle name="Обычный 8 7 2 4 4 7" xfId="45567"/>
    <cellStyle name="Обычный 8 7 2 4 5" xfId="45568"/>
    <cellStyle name="Обычный 8 7 2 4 5 2" xfId="45569"/>
    <cellStyle name="Обычный 8 7 2 4 5 2 2" xfId="45570"/>
    <cellStyle name="Обычный 8 7 2 4 5 2 3" xfId="45571"/>
    <cellStyle name="Обычный 8 7 2 4 5 3" xfId="45572"/>
    <cellStyle name="Обычный 8 7 2 4 5 3 2" xfId="45573"/>
    <cellStyle name="Обычный 8 7 2 4 5 3 3" xfId="45574"/>
    <cellStyle name="Обычный 8 7 2 4 5 4" xfId="45575"/>
    <cellStyle name="Обычный 8 7 2 4 5 4 2" xfId="45576"/>
    <cellStyle name="Обычный 8 7 2 4 5 5" xfId="45577"/>
    <cellStyle name="Обычный 8 7 2 4 5 6" xfId="45578"/>
    <cellStyle name="Обычный 8 7 2 4 6" xfId="45579"/>
    <cellStyle name="Обычный 8 7 2 4 6 2" xfId="45580"/>
    <cellStyle name="Обычный 8 7 2 4 6 3" xfId="45581"/>
    <cellStyle name="Обычный 8 7 2 4 7" xfId="45582"/>
    <cellStyle name="Обычный 8 7 2 4 7 2" xfId="45583"/>
    <cellStyle name="Обычный 8 7 2 4 7 3" xfId="45584"/>
    <cellStyle name="Обычный 8 7 2 4 8" xfId="45585"/>
    <cellStyle name="Обычный 8 7 2 4 8 2" xfId="45586"/>
    <cellStyle name="Обычный 8 7 2 4 9" xfId="45587"/>
    <cellStyle name="Обычный 8 7 2 5" xfId="45588"/>
    <cellStyle name="Обычный 8 7 2 5 2" xfId="45589"/>
    <cellStyle name="Обычный 8 7 2 5 2 2" xfId="45590"/>
    <cellStyle name="Обычный 8 7 2 5 2 2 2" xfId="45591"/>
    <cellStyle name="Обычный 8 7 2 5 2 2 2 2" xfId="45592"/>
    <cellStyle name="Обычный 8 7 2 5 2 2 2 2 2" xfId="45593"/>
    <cellStyle name="Обычный 8 7 2 5 2 2 2 2 3" xfId="45594"/>
    <cellStyle name="Обычный 8 7 2 5 2 2 2 3" xfId="45595"/>
    <cellStyle name="Обычный 8 7 2 5 2 2 2 3 2" xfId="45596"/>
    <cellStyle name="Обычный 8 7 2 5 2 2 2 3 3" xfId="45597"/>
    <cellStyle name="Обычный 8 7 2 5 2 2 2 4" xfId="45598"/>
    <cellStyle name="Обычный 8 7 2 5 2 2 2 4 2" xfId="45599"/>
    <cellStyle name="Обычный 8 7 2 5 2 2 2 5" xfId="45600"/>
    <cellStyle name="Обычный 8 7 2 5 2 2 2 6" xfId="45601"/>
    <cellStyle name="Обычный 8 7 2 5 2 2 3" xfId="45602"/>
    <cellStyle name="Обычный 8 7 2 5 2 2 3 2" xfId="45603"/>
    <cellStyle name="Обычный 8 7 2 5 2 2 3 3" xfId="45604"/>
    <cellStyle name="Обычный 8 7 2 5 2 2 4" xfId="45605"/>
    <cellStyle name="Обычный 8 7 2 5 2 2 4 2" xfId="45606"/>
    <cellStyle name="Обычный 8 7 2 5 2 2 4 3" xfId="45607"/>
    <cellStyle name="Обычный 8 7 2 5 2 2 5" xfId="45608"/>
    <cellStyle name="Обычный 8 7 2 5 2 2 5 2" xfId="45609"/>
    <cellStyle name="Обычный 8 7 2 5 2 2 6" xfId="45610"/>
    <cellStyle name="Обычный 8 7 2 5 2 2 7" xfId="45611"/>
    <cellStyle name="Обычный 8 7 2 5 2 3" xfId="45612"/>
    <cellStyle name="Обычный 8 7 2 5 2 3 2" xfId="45613"/>
    <cellStyle name="Обычный 8 7 2 5 2 3 2 2" xfId="45614"/>
    <cellStyle name="Обычный 8 7 2 5 2 3 2 3" xfId="45615"/>
    <cellStyle name="Обычный 8 7 2 5 2 3 3" xfId="45616"/>
    <cellStyle name="Обычный 8 7 2 5 2 3 3 2" xfId="45617"/>
    <cellStyle name="Обычный 8 7 2 5 2 3 3 3" xfId="45618"/>
    <cellStyle name="Обычный 8 7 2 5 2 3 4" xfId="45619"/>
    <cellStyle name="Обычный 8 7 2 5 2 3 4 2" xfId="45620"/>
    <cellStyle name="Обычный 8 7 2 5 2 3 5" xfId="45621"/>
    <cellStyle name="Обычный 8 7 2 5 2 3 6" xfId="45622"/>
    <cellStyle name="Обычный 8 7 2 5 2 4" xfId="45623"/>
    <cellStyle name="Обычный 8 7 2 5 2 4 2" xfId="45624"/>
    <cellStyle name="Обычный 8 7 2 5 2 4 3" xfId="45625"/>
    <cellStyle name="Обычный 8 7 2 5 2 5" xfId="45626"/>
    <cellStyle name="Обычный 8 7 2 5 2 5 2" xfId="45627"/>
    <cellStyle name="Обычный 8 7 2 5 2 5 3" xfId="45628"/>
    <cellStyle name="Обычный 8 7 2 5 2 6" xfId="45629"/>
    <cellStyle name="Обычный 8 7 2 5 2 6 2" xfId="45630"/>
    <cellStyle name="Обычный 8 7 2 5 2 7" xfId="45631"/>
    <cellStyle name="Обычный 8 7 2 5 2 8" xfId="45632"/>
    <cellStyle name="Обычный 8 7 2 5 3" xfId="45633"/>
    <cellStyle name="Обычный 8 7 2 5 3 2" xfId="45634"/>
    <cellStyle name="Обычный 8 7 2 5 3 2 2" xfId="45635"/>
    <cellStyle name="Обычный 8 7 2 5 3 2 2 2" xfId="45636"/>
    <cellStyle name="Обычный 8 7 2 5 3 2 2 3" xfId="45637"/>
    <cellStyle name="Обычный 8 7 2 5 3 2 3" xfId="45638"/>
    <cellStyle name="Обычный 8 7 2 5 3 2 3 2" xfId="45639"/>
    <cellStyle name="Обычный 8 7 2 5 3 2 3 3" xfId="45640"/>
    <cellStyle name="Обычный 8 7 2 5 3 2 4" xfId="45641"/>
    <cellStyle name="Обычный 8 7 2 5 3 2 4 2" xfId="45642"/>
    <cellStyle name="Обычный 8 7 2 5 3 2 5" xfId="45643"/>
    <cellStyle name="Обычный 8 7 2 5 3 2 6" xfId="45644"/>
    <cellStyle name="Обычный 8 7 2 5 3 3" xfId="45645"/>
    <cellStyle name="Обычный 8 7 2 5 3 3 2" xfId="45646"/>
    <cellStyle name="Обычный 8 7 2 5 3 3 3" xfId="45647"/>
    <cellStyle name="Обычный 8 7 2 5 3 4" xfId="45648"/>
    <cellStyle name="Обычный 8 7 2 5 3 4 2" xfId="45649"/>
    <cellStyle name="Обычный 8 7 2 5 3 4 3" xfId="45650"/>
    <cellStyle name="Обычный 8 7 2 5 3 5" xfId="45651"/>
    <cellStyle name="Обычный 8 7 2 5 3 5 2" xfId="45652"/>
    <cellStyle name="Обычный 8 7 2 5 3 6" xfId="45653"/>
    <cellStyle name="Обычный 8 7 2 5 3 7" xfId="45654"/>
    <cellStyle name="Обычный 8 7 2 5 4" xfId="45655"/>
    <cellStyle name="Обычный 8 7 2 5 4 2" xfId="45656"/>
    <cellStyle name="Обычный 8 7 2 5 4 2 2" xfId="45657"/>
    <cellStyle name="Обычный 8 7 2 5 4 2 3" xfId="45658"/>
    <cellStyle name="Обычный 8 7 2 5 4 3" xfId="45659"/>
    <cellStyle name="Обычный 8 7 2 5 4 3 2" xfId="45660"/>
    <cellStyle name="Обычный 8 7 2 5 4 3 3" xfId="45661"/>
    <cellStyle name="Обычный 8 7 2 5 4 4" xfId="45662"/>
    <cellStyle name="Обычный 8 7 2 5 4 4 2" xfId="45663"/>
    <cellStyle name="Обычный 8 7 2 5 4 5" xfId="45664"/>
    <cellStyle name="Обычный 8 7 2 5 4 6" xfId="45665"/>
    <cellStyle name="Обычный 8 7 2 5 5" xfId="45666"/>
    <cellStyle name="Обычный 8 7 2 5 5 2" xfId="45667"/>
    <cellStyle name="Обычный 8 7 2 5 5 3" xfId="45668"/>
    <cellStyle name="Обычный 8 7 2 5 6" xfId="45669"/>
    <cellStyle name="Обычный 8 7 2 5 6 2" xfId="45670"/>
    <cellStyle name="Обычный 8 7 2 5 6 3" xfId="45671"/>
    <cellStyle name="Обычный 8 7 2 5 7" xfId="45672"/>
    <cellStyle name="Обычный 8 7 2 5 7 2" xfId="45673"/>
    <cellStyle name="Обычный 8 7 2 5 8" xfId="45674"/>
    <cellStyle name="Обычный 8 7 2 5 9" xfId="45675"/>
    <cellStyle name="Обычный 8 7 2 6" xfId="45676"/>
    <cellStyle name="Обычный 8 7 2 6 2" xfId="45677"/>
    <cellStyle name="Обычный 8 7 2 6 2 2" xfId="45678"/>
    <cellStyle name="Обычный 8 7 2 6 2 2 2" xfId="45679"/>
    <cellStyle name="Обычный 8 7 2 6 2 2 2 2" xfId="45680"/>
    <cellStyle name="Обычный 8 7 2 6 2 2 2 3" xfId="45681"/>
    <cellStyle name="Обычный 8 7 2 6 2 2 3" xfId="45682"/>
    <cellStyle name="Обычный 8 7 2 6 2 2 3 2" xfId="45683"/>
    <cellStyle name="Обычный 8 7 2 6 2 2 3 3" xfId="45684"/>
    <cellStyle name="Обычный 8 7 2 6 2 2 4" xfId="45685"/>
    <cellStyle name="Обычный 8 7 2 6 2 2 4 2" xfId="45686"/>
    <cellStyle name="Обычный 8 7 2 6 2 2 5" xfId="45687"/>
    <cellStyle name="Обычный 8 7 2 6 2 2 6" xfId="45688"/>
    <cellStyle name="Обычный 8 7 2 6 2 3" xfId="45689"/>
    <cellStyle name="Обычный 8 7 2 6 2 3 2" xfId="45690"/>
    <cellStyle name="Обычный 8 7 2 6 2 3 3" xfId="45691"/>
    <cellStyle name="Обычный 8 7 2 6 2 4" xfId="45692"/>
    <cellStyle name="Обычный 8 7 2 6 2 4 2" xfId="45693"/>
    <cellStyle name="Обычный 8 7 2 6 2 4 3" xfId="45694"/>
    <cellStyle name="Обычный 8 7 2 6 2 5" xfId="45695"/>
    <cellStyle name="Обычный 8 7 2 6 2 5 2" xfId="45696"/>
    <cellStyle name="Обычный 8 7 2 6 2 6" xfId="45697"/>
    <cellStyle name="Обычный 8 7 2 6 2 7" xfId="45698"/>
    <cellStyle name="Обычный 8 7 2 6 3" xfId="45699"/>
    <cellStyle name="Обычный 8 7 2 6 3 2" xfId="45700"/>
    <cellStyle name="Обычный 8 7 2 6 3 2 2" xfId="45701"/>
    <cellStyle name="Обычный 8 7 2 6 3 2 3" xfId="45702"/>
    <cellStyle name="Обычный 8 7 2 6 3 3" xfId="45703"/>
    <cellStyle name="Обычный 8 7 2 6 3 3 2" xfId="45704"/>
    <cellStyle name="Обычный 8 7 2 6 3 3 3" xfId="45705"/>
    <cellStyle name="Обычный 8 7 2 6 3 4" xfId="45706"/>
    <cellStyle name="Обычный 8 7 2 6 3 4 2" xfId="45707"/>
    <cellStyle name="Обычный 8 7 2 6 3 5" xfId="45708"/>
    <cellStyle name="Обычный 8 7 2 6 3 6" xfId="45709"/>
    <cellStyle name="Обычный 8 7 2 6 4" xfId="45710"/>
    <cellStyle name="Обычный 8 7 2 6 4 2" xfId="45711"/>
    <cellStyle name="Обычный 8 7 2 6 4 3" xfId="45712"/>
    <cellStyle name="Обычный 8 7 2 6 5" xfId="45713"/>
    <cellStyle name="Обычный 8 7 2 6 5 2" xfId="45714"/>
    <cellStyle name="Обычный 8 7 2 6 5 3" xfId="45715"/>
    <cellStyle name="Обычный 8 7 2 6 6" xfId="45716"/>
    <cellStyle name="Обычный 8 7 2 6 6 2" xfId="45717"/>
    <cellStyle name="Обычный 8 7 2 6 7" xfId="45718"/>
    <cellStyle name="Обычный 8 7 2 6 8" xfId="45719"/>
    <cellStyle name="Обычный 8 7 2 7" xfId="45720"/>
    <cellStyle name="Обычный 8 7 2 7 2" xfId="45721"/>
    <cellStyle name="Обычный 8 7 2 7 2 2" xfId="45722"/>
    <cellStyle name="Обычный 8 7 2 7 2 2 2" xfId="45723"/>
    <cellStyle name="Обычный 8 7 2 7 2 2 3" xfId="45724"/>
    <cellStyle name="Обычный 8 7 2 7 2 3" xfId="45725"/>
    <cellStyle name="Обычный 8 7 2 7 2 3 2" xfId="45726"/>
    <cellStyle name="Обычный 8 7 2 7 2 3 3" xfId="45727"/>
    <cellStyle name="Обычный 8 7 2 7 2 4" xfId="45728"/>
    <cellStyle name="Обычный 8 7 2 7 2 4 2" xfId="45729"/>
    <cellStyle name="Обычный 8 7 2 7 2 5" xfId="45730"/>
    <cellStyle name="Обычный 8 7 2 7 2 6" xfId="45731"/>
    <cellStyle name="Обычный 8 7 2 7 3" xfId="45732"/>
    <cellStyle name="Обычный 8 7 2 7 3 2" xfId="45733"/>
    <cellStyle name="Обычный 8 7 2 7 3 3" xfId="45734"/>
    <cellStyle name="Обычный 8 7 2 7 4" xfId="45735"/>
    <cellStyle name="Обычный 8 7 2 7 4 2" xfId="45736"/>
    <cellStyle name="Обычный 8 7 2 7 4 3" xfId="45737"/>
    <cellStyle name="Обычный 8 7 2 7 5" xfId="45738"/>
    <cellStyle name="Обычный 8 7 2 7 5 2" xfId="45739"/>
    <cellStyle name="Обычный 8 7 2 7 6" xfId="45740"/>
    <cellStyle name="Обычный 8 7 2 7 7" xfId="45741"/>
    <cellStyle name="Обычный 8 7 2 8" xfId="45742"/>
    <cellStyle name="Обычный 8 7 2 8 2" xfId="45743"/>
    <cellStyle name="Обычный 8 7 2 8 2 2" xfId="45744"/>
    <cellStyle name="Обычный 8 7 2 8 2 3" xfId="45745"/>
    <cellStyle name="Обычный 8 7 2 8 3" xfId="45746"/>
    <cellStyle name="Обычный 8 7 2 8 3 2" xfId="45747"/>
    <cellStyle name="Обычный 8 7 2 8 3 3" xfId="45748"/>
    <cellStyle name="Обычный 8 7 2 8 4" xfId="45749"/>
    <cellStyle name="Обычный 8 7 2 8 4 2" xfId="45750"/>
    <cellStyle name="Обычный 8 7 2 8 5" xfId="45751"/>
    <cellStyle name="Обычный 8 7 2 8 6" xfId="45752"/>
    <cellStyle name="Обычный 8 7 2 9" xfId="45753"/>
    <cellStyle name="Обычный 8 7 2 9 2" xfId="45754"/>
    <cellStyle name="Обычный 8 7 2 9 3" xfId="45755"/>
    <cellStyle name="Обычный 8 7 3" xfId="45756"/>
    <cellStyle name="Обычный 8 7 3 10" xfId="45757"/>
    <cellStyle name="Обычный 8 7 3 2" xfId="45758"/>
    <cellStyle name="Обычный 8 7 3 2 2" xfId="45759"/>
    <cellStyle name="Обычный 8 7 3 2 2 2" xfId="45760"/>
    <cellStyle name="Обычный 8 7 3 2 2 2 2" xfId="45761"/>
    <cellStyle name="Обычный 8 7 3 2 2 2 2 2" xfId="45762"/>
    <cellStyle name="Обычный 8 7 3 2 2 2 2 2 2" xfId="45763"/>
    <cellStyle name="Обычный 8 7 3 2 2 2 2 2 3" xfId="45764"/>
    <cellStyle name="Обычный 8 7 3 2 2 2 2 3" xfId="45765"/>
    <cellStyle name="Обычный 8 7 3 2 2 2 2 3 2" xfId="45766"/>
    <cellStyle name="Обычный 8 7 3 2 2 2 2 3 3" xfId="45767"/>
    <cellStyle name="Обычный 8 7 3 2 2 2 2 4" xfId="45768"/>
    <cellStyle name="Обычный 8 7 3 2 2 2 2 4 2" xfId="45769"/>
    <cellStyle name="Обычный 8 7 3 2 2 2 2 5" xfId="45770"/>
    <cellStyle name="Обычный 8 7 3 2 2 2 2 6" xfId="45771"/>
    <cellStyle name="Обычный 8 7 3 2 2 2 3" xfId="45772"/>
    <cellStyle name="Обычный 8 7 3 2 2 2 3 2" xfId="45773"/>
    <cellStyle name="Обычный 8 7 3 2 2 2 3 3" xfId="45774"/>
    <cellStyle name="Обычный 8 7 3 2 2 2 4" xfId="45775"/>
    <cellStyle name="Обычный 8 7 3 2 2 2 4 2" xfId="45776"/>
    <cellStyle name="Обычный 8 7 3 2 2 2 4 3" xfId="45777"/>
    <cellStyle name="Обычный 8 7 3 2 2 2 5" xfId="45778"/>
    <cellStyle name="Обычный 8 7 3 2 2 2 5 2" xfId="45779"/>
    <cellStyle name="Обычный 8 7 3 2 2 2 6" xfId="45780"/>
    <cellStyle name="Обычный 8 7 3 2 2 2 7" xfId="45781"/>
    <cellStyle name="Обычный 8 7 3 2 2 3" xfId="45782"/>
    <cellStyle name="Обычный 8 7 3 2 2 3 2" xfId="45783"/>
    <cellStyle name="Обычный 8 7 3 2 2 3 2 2" xfId="45784"/>
    <cellStyle name="Обычный 8 7 3 2 2 3 2 3" xfId="45785"/>
    <cellStyle name="Обычный 8 7 3 2 2 3 3" xfId="45786"/>
    <cellStyle name="Обычный 8 7 3 2 2 3 3 2" xfId="45787"/>
    <cellStyle name="Обычный 8 7 3 2 2 3 3 3" xfId="45788"/>
    <cellStyle name="Обычный 8 7 3 2 2 3 4" xfId="45789"/>
    <cellStyle name="Обычный 8 7 3 2 2 3 4 2" xfId="45790"/>
    <cellStyle name="Обычный 8 7 3 2 2 3 5" xfId="45791"/>
    <cellStyle name="Обычный 8 7 3 2 2 3 6" xfId="45792"/>
    <cellStyle name="Обычный 8 7 3 2 2 4" xfId="45793"/>
    <cellStyle name="Обычный 8 7 3 2 2 4 2" xfId="45794"/>
    <cellStyle name="Обычный 8 7 3 2 2 4 3" xfId="45795"/>
    <cellStyle name="Обычный 8 7 3 2 2 5" xfId="45796"/>
    <cellStyle name="Обычный 8 7 3 2 2 5 2" xfId="45797"/>
    <cellStyle name="Обычный 8 7 3 2 2 5 3" xfId="45798"/>
    <cellStyle name="Обычный 8 7 3 2 2 6" xfId="45799"/>
    <cellStyle name="Обычный 8 7 3 2 2 6 2" xfId="45800"/>
    <cellStyle name="Обычный 8 7 3 2 2 7" xfId="45801"/>
    <cellStyle name="Обычный 8 7 3 2 2 8" xfId="45802"/>
    <cellStyle name="Обычный 8 7 3 2 3" xfId="45803"/>
    <cellStyle name="Обычный 8 7 3 2 3 2" xfId="45804"/>
    <cellStyle name="Обычный 8 7 3 2 3 2 2" xfId="45805"/>
    <cellStyle name="Обычный 8 7 3 2 3 2 2 2" xfId="45806"/>
    <cellStyle name="Обычный 8 7 3 2 3 2 2 3" xfId="45807"/>
    <cellStyle name="Обычный 8 7 3 2 3 2 3" xfId="45808"/>
    <cellStyle name="Обычный 8 7 3 2 3 2 3 2" xfId="45809"/>
    <cellStyle name="Обычный 8 7 3 2 3 2 3 3" xfId="45810"/>
    <cellStyle name="Обычный 8 7 3 2 3 2 4" xfId="45811"/>
    <cellStyle name="Обычный 8 7 3 2 3 2 4 2" xfId="45812"/>
    <cellStyle name="Обычный 8 7 3 2 3 2 5" xfId="45813"/>
    <cellStyle name="Обычный 8 7 3 2 3 2 6" xfId="45814"/>
    <cellStyle name="Обычный 8 7 3 2 3 3" xfId="45815"/>
    <cellStyle name="Обычный 8 7 3 2 3 3 2" xfId="45816"/>
    <cellStyle name="Обычный 8 7 3 2 3 3 3" xfId="45817"/>
    <cellStyle name="Обычный 8 7 3 2 3 4" xfId="45818"/>
    <cellStyle name="Обычный 8 7 3 2 3 4 2" xfId="45819"/>
    <cellStyle name="Обычный 8 7 3 2 3 4 3" xfId="45820"/>
    <cellStyle name="Обычный 8 7 3 2 3 5" xfId="45821"/>
    <cellStyle name="Обычный 8 7 3 2 3 5 2" xfId="45822"/>
    <cellStyle name="Обычный 8 7 3 2 3 6" xfId="45823"/>
    <cellStyle name="Обычный 8 7 3 2 3 7" xfId="45824"/>
    <cellStyle name="Обычный 8 7 3 2 4" xfId="45825"/>
    <cellStyle name="Обычный 8 7 3 2 4 2" xfId="45826"/>
    <cellStyle name="Обычный 8 7 3 2 4 2 2" xfId="45827"/>
    <cellStyle name="Обычный 8 7 3 2 4 2 3" xfId="45828"/>
    <cellStyle name="Обычный 8 7 3 2 4 3" xfId="45829"/>
    <cellStyle name="Обычный 8 7 3 2 4 3 2" xfId="45830"/>
    <cellStyle name="Обычный 8 7 3 2 4 3 3" xfId="45831"/>
    <cellStyle name="Обычный 8 7 3 2 4 4" xfId="45832"/>
    <cellStyle name="Обычный 8 7 3 2 4 4 2" xfId="45833"/>
    <cellStyle name="Обычный 8 7 3 2 4 5" xfId="45834"/>
    <cellStyle name="Обычный 8 7 3 2 4 6" xfId="45835"/>
    <cellStyle name="Обычный 8 7 3 2 5" xfId="45836"/>
    <cellStyle name="Обычный 8 7 3 2 5 2" xfId="45837"/>
    <cellStyle name="Обычный 8 7 3 2 5 3" xfId="45838"/>
    <cellStyle name="Обычный 8 7 3 2 6" xfId="45839"/>
    <cellStyle name="Обычный 8 7 3 2 6 2" xfId="45840"/>
    <cellStyle name="Обычный 8 7 3 2 6 3" xfId="45841"/>
    <cellStyle name="Обычный 8 7 3 2 7" xfId="45842"/>
    <cellStyle name="Обычный 8 7 3 2 7 2" xfId="45843"/>
    <cellStyle name="Обычный 8 7 3 2 8" xfId="45844"/>
    <cellStyle name="Обычный 8 7 3 2 9" xfId="45845"/>
    <cellStyle name="Обычный 8 7 3 3" xfId="45846"/>
    <cellStyle name="Обычный 8 7 3 3 2" xfId="45847"/>
    <cellStyle name="Обычный 8 7 3 3 2 2" xfId="45848"/>
    <cellStyle name="Обычный 8 7 3 3 2 2 2" xfId="45849"/>
    <cellStyle name="Обычный 8 7 3 3 2 2 2 2" xfId="45850"/>
    <cellStyle name="Обычный 8 7 3 3 2 2 2 3" xfId="45851"/>
    <cellStyle name="Обычный 8 7 3 3 2 2 3" xfId="45852"/>
    <cellStyle name="Обычный 8 7 3 3 2 2 3 2" xfId="45853"/>
    <cellStyle name="Обычный 8 7 3 3 2 2 3 3" xfId="45854"/>
    <cellStyle name="Обычный 8 7 3 3 2 2 4" xfId="45855"/>
    <cellStyle name="Обычный 8 7 3 3 2 2 4 2" xfId="45856"/>
    <cellStyle name="Обычный 8 7 3 3 2 2 5" xfId="45857"/>
    <cellStyle name="Обычный 8 7 3 3 2 2 6" xfId="45858"/>
    <cellStyle name="Обычный 8 7 3 3 2 3" xfId="45859"/>
    <cellStyle name="Обычный 8 7 3 3 2 3 2" xfId="45860"/>
    <cellStyle name="Обычный 8 7 3 3 2 3 3" xfId="45861"/>
    <cellStyle name="Обычный 8 7 3 3 2 4" xfId="45862"/>
    <cellStyle name="Обычный 8 7 3 3 2 4 2" xfId="45863"/>
    <cellStyle name="Обычный 8 7 3 3 2 4 3" xfId="45864"/>
    <cellStyle name="Обычный 8 7 3 3 2 5" xfId="45865"/>
    <cellStyle name="Обычный 8 7 3 3 2 5 2" xfId="45866"/>
    <cellStyle name="Обычный 8 7 3 3 2 6" xfId="45867"/>
    <cellStyle name="Обычный 8 7 3 3 2 7" xfId="45868"/>
    <cellStyle name="Обычный 8 7 3 3 3" xfId="45869"/>
    <cellStyle name="Обычный 8 7 3 3 3 2" xfId="45870"/>
    <cellStyle name="Обычный 8 7 3 3 3 2 2" xfId="45871"/>
    <cellStyle name="Обычный 8 7 3 3 3 2 3" xfId="45872"/>
    <cellStyle name="Обычный 8 7 3 3 3 3" xfId="45873"/>
    <cellStyle name="Обычный 8 7 3 3 3 3 2" xfId="45874"/>
    <cellStyle name="Обычный 8 7 3 3 3 3 3" xfId="45875"/>
    <cellStyle name="Обычный 8 7 3 3 3 4" xfId="45876"/>
    <cellStyle name="Обычный 8 7 3 3 3 4 2" xfId="45877"/>
    <cellStyle name="Обычный 8 7 3 3 3 5" xfId="45878"/>
    <cellStyle name="Обычный 8 7 3 3 3 6" xfId="45879"/>
    <cellStyle name="Обычный 8 7 3 3 4" xfId="45880"/>
    <cellStyle name="Обычный 8 7 3 3 4 2" xfId="45881"/>
    <cellStyle name="Обычный 8 7 3 3 4 3" xfId="45882"/>
    <cellStyle name="Обычный 8 7 3 3 5" xfId="45883"/>
    <cellStyle name="Обычный 8 7 3 3 5 2" xfId="45884"/>
    <cellStyle name="Обычный 8 7 3 3 5 3" xfId="45885"/>
    <cellStyle name="Обычный 8 7 3 3 6" xfId="45886"/>
    <cellStyle name="Обычный 8 7 3 3 6 2" xfId="45887"/>
    <cellStyle name="Обычный 8 7 3 3 7" xfId="45888"/>
    <cellStyle name="Обычный 8 7 3 3 8" xfId="45889"/>
    <cellStyle name="Обычный 8 7 3 4" xfId="45890"/>
    <cellStyle name="Обычный 8 7 3 4 2" xfId="45891"/>
    <cellStyle name="Обычный 8 7 3 4 2 2" xfId="45892"/>
    <cellStyle name="Обычный 8 7 3 4 2 2 2" xfId="45893"/>
    <cellStyle name="Обычный 8 7 3 4 2 2 3" xfId="45894"/>
    <cellStyle name="Обычный 8 7 3 4 2 3" xfId="45895"/>
    <cellStyle name="Обычный 8 7 3 4 2 3 2" xfId="45896"/>
    <cellStyle name="Обычный 8 7 3 4 2 3 3" xfId="45897"/>
    <cellStyle name="Обычный 8 7 3 4 2 4" xfId="45898"/>
    <cellStyle name="Обычный 8 7 3 4 2 4 2" xfId="45899"/>
    <cellStyle name="Обычный 8 7 3 4 2 5" xfId="45900"/>
    <cellStyle name="Обычный 8 7 3 4 2 6" xfId="45901"/>
    <cellStyle name="Обычный 8 7 3 4 3" xfId="45902"/>
    <cellStyle name="Обычный 8 7 3 4 3 2" xfId="45903"/>
    <cellStyle name="Обычный 8 7 3 4 3 3" xfId="45904"/>
    <cellStyle name="Обычный 8 7 3 4 4" xfId="45905"/>
    <cellStyle name="Обычный 8 7 3 4 4 2" xfId="45906"/>
    <cellStyle name="Обычный 8 7 3 4 4 3" xfId="45907"/>
    <cellStyle name="Обычный 8 7 3 4 5" xfId="45908"/>
    <cellStyle name="Обычный 8 7 3 4 5 2" xfId="45909"/>
    <cellStyle name="Обычный 8 7 3 4 6" xfId="45910"/>
    <cellStyle name="Обычный 8 7 3 4 7" xfId="45911"/>
    <cellStyle name="Обычный 8 7 3 5" xfId="45912"/>
    <cellStyle name="Обычный 8 7 3 5 2" xfId="45913"/>
    <cellStyle name="Обычный 8 7 3 5 2 2" xfId="45914"/>
    <cellStyle name="Обычный 8 7 3 5 2 3" xfId="45915"/>
    <cellStyle name="Обычный 8 7 3 5 3" xfId="45916"/>
    <cellStyle name="Обычный 8 7 3 5 3 2" xfId="45917"/>
    <cellStyle name="Обычный 8 7 3 5 3 3" xfId="45918"/>
    <cellStyle name="Обычный 8 7 3 5 4" xfId="45919"/>
    <cellStyle name="Обычный 8 7 3 5 4 2" xfId="45920"/>
    <cellStyle name="Обычный 8 7 3 5 5" xfId="45921"/>
    <cellStyle name="Обычный 8 7 3 5 6" xfId="45922"/>
    <cellStyle name="Обычный 8 7 3 6" xfId="45923"/>
    <cellStyle name="Обычный 8 7 3 6 2" xfId="45924"/>
    <cellStyle name="Обычный 8 7 3 6 3" xfId="45925"/>
    <cellStyle name="Обычный 8 7 3 7" xfId="45926"/>
    <cellStyle name="Обычный 8 7 3 7 2" xfId="45927"/>
    <cellStyle name="Обычный 8 7 3 7 3" xfId="45928"/>
    <cellStyle name="Обычный 8 7 3 8" xfId="45929"/>
    <cellStyle name="Обычный 8 7 3 8 2" xfId="45930"/>
    <cellStyle name="Обычный 8 7 3 9" xfId="45931"/>
    <cellStyle name="Обычный 8 7 4" xfId="45932"/>
    <cellStyle name="Обычный 8 7 4 10" xfId="45933"/>
    <cellStyle name="Обычный 8 7 4 2" xfId="45934"/>
    <cellStyle name="Обычный 8 7 4 2 2" xfId="45935"/>
    <cellStyle name="Обычный 8 7 4 2 2 2" xfId="45936"/>
    <cellStyle name="Обычный 8 7 4 2 2 2 2" xfId="45937"/>
    <cellStyle name="Обычный 8 7 4 2 2 2 2 2" xfId="45938"/>
    <cellStyle name="Обычный 8 7 4 2 2 2 2 2 2" xfId="45939"/>
    <cellStyle name="Обычный 8 7 4 2 2 2 2 2 3" xfId="45940"/>
    <cellStyle name="Обычный 8 7 4 2 2 2 2 3" xfId="45941"/>
    <cellStyle name="Обычный 8 7 4 2 2 2 2 3 2" xfId="45942"/>
    <cellStyle name="Обычный 8 7 4 2 2 2 2 3 3" xfId="45943"/>
    <cellStyle name="Обычный 8 7 4 2 2 2 2 4" xfId="45944"/>
    <cellStyle name="Обычный 8 7 4 2 2 2 2 4 2" xfId="45945"/>
    <cellStyle name="Обычный 8 7 4 2 2 2 2 5" xfId="45946"/>
    <cellStyle name="Обычный 8 7 4 2 2 2 2 6" xfId="45947"/>
    <cellStyle name="Обычный 8 7 4 2 2 2 3" xfId="45948"/>
    <cellStyle name="Обычный 8 7 4 2 2 2 3 2" xfId="45949"/>
    <cellStyle name="Обычный 8 7 4 2 2 2 3 3" xfId="45950"/>
    <cellStyle name="Обычный 8 7 4 2 2 2 4" xfId="45951"/>
    <cellStyle name="Обычный 8 7 4 2 2 2 4 2" xfId="45952"/>
    <cellStyle name="Обычный 8 7 4 2 2 2 4 3" xfId="45953"/>
    <cellStyle name="Обычный 8 7 4 2 2 2 5" xfId="45954"/>
    <cellStyle name="Обычный 8 7 4 2 2 2 5 2" xfId="45955"/>
    <cellStyle name="Обычный 8 7 4 2 2 2 6" xfId="45956"/>
    <cellStyle name="Обычный 8 7 4 2 2 2 7" xfId="45957"/>
    <cellStyle name="Обычный 8 7 4 2 2 3" xfId="45958"/>
    <cellStyle name="Обычный 8 7 4 2 2 3 2" xfId="45959"/>
    <cellStyle name="Обычный 8 7 4 2 2 3 2 2" xfId="45960"/>
    <cellStyle name="Обычный 8 7 4 2 2 3 2 3" xfId="45961"/>
    <cellStyle name="Обычный 8 7 4 2 2 3 3" xfId="45962"/>
    <cellStyle name="Обычный 8 7 4 2 2 3 3 2" xfId="45963"/>
    <cellStyle name="Обычный 8 7 4 2 2 3 3 3" xfId="45964"/>
    <cellStyle name="Обычный 8 7 4 2 2 3 4" xfId="45965"/>
    <cellStyle name="Обычный 8 7 4 2 2 3 4 2" xfId="45966"/>
    <cellStyle name="Обычный 8 7 4 2 2 3 5" xfId="45967"/>
    <cellStyle name="Обычный 8 7 4 2 2 3 6" xfId="45968"/>
    <cellStyle name="Обычный 8 7 4 2 2 4" xfId="45969"/>
    <cellStyle name="Обычный 8 7 4 2 2 4 2" xfId="45970"/>
    <cellStyle name="Обычный 8 7 4 2 2 4 3" xfId="45971"/>
    <cellStyle name="Обычный 8 7 4 2 2 5" xfId="45972"/>
    <cellStyle name="Обычный 8 7 4 2 2 5 2" xfId="45973"/>
    <cellStyle name="Обычный 8 7 4 2 2 5 3" xfId="45974"/>
    <cellStyle name="Обычный 8 7 4 2 2 6" xfId="45975"/>
    <cellStyle name="Обычный 8 7 4 2 2 6 2" xfId="45976"/>
    <cellStyle name="Обычный 8 7 4 2 2 7" xfId="45977"/>
    <cellStyle name="Обычный 8 7 4 2 2 8" xfId="45978"/>
    <cellStyle name="Обычный 8 7 4 2 3" xfId="45979"/>
    <cellStyle name="Обычный 8 7 4 2 3 2" xfId="45980"/>
    <cellStyle name="Обычный 8 7 4 2 3 2 2" xfId="45981"/>
    <cellStyle name="Обычный 8 7 4 2 3 2 2 2" xfId="45982"/>
    <cellStyle name="Обычный 8 7 4 2 3 2 2 3" xfId="45983"/>
    <cellStyle name="Обычный 8 7 4 2 3 2 3" xfId="45984"/>
    <cellStyle name="Обычный 8 7 4 2 3 2 3 2" xfId="45985"/>
    <cellStyle name="Обычный 8 7 4 2 3 2 3 3" xfId="45986"/>
    <cellStyle name="Обычный 8 7 4 2 3 2 4" xfId="45987"/>
    <cellStyle name="Обычный 8 7 4 2 3 2 4 2" xfId="45988"/>
    <cellStyle name="Обычный 8 7 4 2 3 2 5" xfId="45989"/>
    <cellStyle name="Обычный 8 7 4 2 3 2 6" xfId="45990"/>
    <cellStyle name="Обычный 8 7 4 2 3 3" xfId="45991"/>
    <cellStyle name="Обычный 8 7 4 2 3 3 2" xfId="45992"/>
    <cellStyle name="Обычный 8 7 4 2 3 3 3" xfId="45993"/>
    <cellStyle name="Обычный 8 7 4 2 3 4" xfId="45994"/>
    <cellStyle name="Обычный 8 7 4 2 3 4 2" xfId="45995"/>
    <cellStyle name="Обычный 8 7 4 2 3 4 3" xfId="45996"/>
    <cellStyle name="Обычный 8 7 4 2 3 5" xfId="45997"/>
    <cellStyle name="Обычный 8 7 4 2 3 5 2" xfId="45998"/>
    <cellStyle name="Обычный 8 7 4 2 3 6" xfId="45999"/>
    <cellStyle name="Обычный 8 7 4 2 3 7" xfId="46000"/>
    <cellStyle name="Обычный 8 7 4 2 4" xfId="46001"/>
    <cellStyle name="Обычный 8 7 4 2 4 2" xfId="46002"/>
    <cellStyle name="Обычный 8 7 4 2 4 2 2" xfId="46003"/>
    <cellStyle name="Обычный 8 7 4 2 4 2 3" xfId="46004"/>
    <cellStyle name="Обычный 8 7 4 2 4 3" xfId="46005"/>
    <cellStyle name="Обычный 8 7 4 2 4 3 2" xfId="46006"/>
    <cellStyle name="Обычный 8 7 4 2 4 3 3" xfId="46007"/>
    <cellStyle name="Обычный 8 7 4 2 4 4" xfId="46008"/>
    <cellStyle name="Обычный 8 7 4 2 4 4 2" xfId="46009"/>
    <cellStyle name="Обычный 8 7 4 2 4 5" xfId="46010"/>
    <cellStyle name="Обычный 8 7 4 2 4 6" xfId="46011"/>
    <cellStyle name="Обычный 8 7 4 2 5" xfId="46012"/>
    <cellStyle name="Обычный 8 7 4 2 5 2" xfId="46013"/>
    <cellStyle name="Обычный 8 7 4 2 5 3" xfId="46014"/>
    <cellStyle name="Обычный 8 7 4 2 6" xfId="46015"/>
    <cellStyle name="Обычный 8 7 4 2 6 2" xfId="46016"/>
    <cellStyle name="Обычный 8 7 4 2 6 3" xfId="46017"/>
    <cellStyle name="Обычный 8 7 4 2 7" xfId="46018"/>
    <cellStyle name="Обычный 8 7 4 2 7 2" xfId="46019"/>
    <cellStyle name="Обычный 8 7 4 2 8" xfId="46020"/>
    <cellStyle name="Обычный 8 7 4 2 9" xfId="46021"/>
    <cellStyle name="Обычный 8 7 4 3" xfId="46022"/>
    <cellStyle name="Обычный 8 7 4 3 2" xfId="46023"/>
    <cellStyle name="Обычный 8 7 4 3 2 2" xfId="46024"/>
    <cellStyle name="Обычный 8 7 4 3 2 2 2" xfId="46025"/>
    <cellStyle name="Обычный 8 7 4 3 2 2 2 2" xfId="46026"/>
    <cellStyle name="Обычный 8 7 4 3 2 2 2 3" xfId="46027"/>
    <cellStyle name="Обычный 8 7 4 3 2 2 3" xfId="46028"/>
    <cellStyle name="Обычный 8 7 4 3 2 2 3 2" xfId="46029"/>
    <cellStyle name="Обычный 8 7 4 3 2 2 3 3" xfId="46030"/>
    <cellStyle name="Обычный 8 7 4 3 2 2 4" xfId="46031"/>
    <cellStyle name="Обычный 8 7 4 3 2 2 4 2" xfId="46032"/>
    <cellStyle name="Обычный 8 7 4 3 2 2 5" xfId="46033"/>
    <cellStyle name="Обычный 8 7 4 3 2 2 6" xfId="46034"/>
    <cellStyle name="Обычный 8 7 4 3 2 3" xfId="46035"/>
    <cellStyle name="Обычный 8 7 4 3 2 3 2" xfId="46036"/>
    <cellStyle name="Обычный 8 7 4 3 2 3 3" xfId="46037"/>
    <cellStyle name="Обычный 8 7 4 3 2 4" xfId="46038"/>
    <cellStyle name="Обычный 8 7 4 3 2 4 2" xfId="46039"/>
    <cellStyle name="Обычный 8 7 4 3 2 4 3" xfId="46040"/>
    <cellStyle name="Обычный 8 7 4 3 2 5" xfId="46041"/>
    <cellStyle name="Обычный 8 7 4 3 2 5 2" xfId="46042"/>
    <cellStyle name="Обычный 8 7 4 3 2 6" xfId="46043"/>
    <cellStyle name="Обычный 8 7 4 3 2 7" xfId="46044"/>
    <cellStyle name="Обычный 8 7 4 3 3" xfId="46045"/>
    <cellStyle name="Обычный 8 7 4 3 3 2" xfId="46046"/>
    <cellStyle name="Обычный 8 7 4 3 3 2 2" xfId="46047"/>
    <cellStyle name="Обычный 8 7 4 3 3 2 3" xfId="46048"/>
    <cellStyle name="Обычный 8 7 4 3 3 3" xfId="46049"/>
    <cellStyle name="Обычный 8 7 4 3 3 3 2" xfId="46050"/>
    <cellStyle name="Обычный 8 7 4 3 3 3 3" xfId="46051"/>
    <cellStyle name="Обычный 8 7 4 3 3 4" xfId="46052"/>
    <cellStyle name="Обычный 8 7 4 3 3 4 2" xfId="46053"/>
    <cellStyle name="Обычный 8 7 4 3 3 5" xfId="46054"/>
    <cellStyle name="Обычный 8 7 4 3 3 6" xfId="46055"/>
    <cellStyle name="Обычный 8 7 4 3 4" xfId="46056"/>
    <cellStyle name="Обычный 8 7 4 3 4 2" xfId="46057"/>
    <cellStyle name="Обычный 8 7 4 3 4 3" xfId="46058"/>
    <cellStyle name="Обычный 8 7 4 3 5" xfId="46059"/>
    <cellStyle name="Обычный 8 7 4 3 5 2" xfId="46060"/>
    <cellStyle name="Обычный 8 7 4 3 5 3" xfId="46061"/>
    <cellStyle name="Обычный 8 7 4 3 6" xfId="46062"/>
    <cellStyle name="Обычный 8 7 4 3 6 2" xfId="46063"/>
    <cellStyle name="Обычный 8 7 4 3 7" xfId="46064"/>
    <cellStyle name="Обычный 8 7 4 3 8" xfId="46065"/>
    <cellStyle name="Обычный 8 7 4 4" xfId="46066"/>
    <cellStyle name="Обычный 8 7 4 4 2" xfId="46067"/>
    <cellStyle name="Обычный 8 7 4 4 2 2" xfId="46068"/>
    <cellStyle name="Обычный 8 7 4 4 2 2 2" xfId="46069"/>
    <cellStyle name="Обычный 8 7 4 4 2 2 3" xfId="46070"/>
    <cellStyle name="Обычный 8 7 4 4 2 3" xfId="46071"/>
    <cellStyle name="Обычный 8 7 4 4 2 3 2" xfId="46072"/>
    <cellStyle name="Обычный 8 7 4 4 2 3 3" xfId="46073"/>
    <cellStyle name="Обычный 8 7 4 4 2 4" xfId="46074"/>
    <cellStyle name="Обычный 8 7 4 4 2 4 2" xfId="46075"/>
    <cellStyle name="Обычный 8 7 4 4 2 5" xfId="46076"/>
    <cellStyle name="Обычный 8 7 4 4 2 6" xfId="46077"/>
    <cellStyle name="Обычный 8 7 4 4 3" xfId="46078"/>
    <cellStyle name="Обычный 8 7 4 4 3 2" xfId="46079"/>
    <cellStyle name="Обычный 8 7 4 4 3 3" xfId="46080"/>
    <cellStyle name="Обычный 8 7 4 4 4" xfId="46081"/>
    <cellStyle name="Обычный 8 7 4 4 4 2" xfId="46082"/>
    <cellStyle name="Обычный 8 7 4 4 4 3" xfId="46083"/>
    <cellStyle name="Обычный 8 7 4 4 5" xfId="46084"/>
    <cellStyle name="Обычный 8 7 4 4 5 2" xfId="46085"/>
    <cellStyle name="Обычный 8 7 4 4 6" xfId="46086"/>
    <cellStyle name="Обычный 8 7 4 4 7" xfId="46087"/>
    <cellStyle name="Обычный 8 7 4 5" xfId="46088"/>
    <cellStyle name="Обычный 8 7 4 5 2" xfId="46089"/>
    <cellStyle name="Обычный 8 7 4 5 2 2" xfId="46090"/>
    <cellStyle name="Обычный 8 7 4 5 2 3" xfId="46091"/>
    <cellStyle name="Обычный 8 7 4 5 3" xfId="46092"/>
    <cellStyle name="Обычный 8 7 4 5 3 2" xfId="46093"/>
    <cellStyle name="Обычный 8 7 4 5 3 3" xfId="46094"/>
    <cellStyle name="Обычный 8 7 4 5 4" xfId="46095"/>
    <cellStyle name="Обычный 8 7 4 5 4 2" xfId="46096"/>
    <cellStyle name="Обычный 8 7 4 5 5" xfId="46097"/>
    <cellStyle name="Обычный 8 7 4 5 6" xfId="46098"/>
    <cellStyle name="Обычный 8 7 4 6" xfId="46099"/>
    <cellStyle name="Обычный 8 7 4 6 2" xfId="46100"/>
    <cellStyle name="Обычный 8 7 4 6 3" xfId="46101"/>
    <cellStyle name="Обычный 8 7 4 7" xfId="46102"/>
    <cellStyle name="Обычный 8 7 4 7 2" xfId="46103"/>
    <cellStyle name="Обычный 8 7 4 7 3" xfId="46104"/>
    <cellStyle name="Обычный 8 7 4 8" xfId="46105"/>
    <cellStyle name="Обычный 8 7 4 8 2" xfId="46106"/>
    <cellStyle name="Обычный 8 7 4 9" xfId="46107"/>
    <cellStyle name="Обычный 8 7 5" xfId="46108"/>
    <cellStyle name="Обычный 8 7 5 10" xfId="46109"/>
    <cellStyle name="Обычный 8 7 5 2" xfId="46110"/>
    <cellStyle name="Обычный 8 7 5 2 2" xfId="46111"/>
    <cellStyle name="Обычный 8 7 5 2 2 2" xfId="46112"/>
    <cellStyle name="Обычный 8 7 5 2 2 2 2" xfId="46113"/>
    <cellStyle name="Обычный 8 7 5 2 2 2 2 2" xfId="46114"/>
    <cellStyle name="Обычный 8 7 5 2 2 2 2 2 2" xfId="46115"/>
    <cellStyle name="Обычный 8 7 5 2 2 2 2 2 3" xfId="46116"/>
    <cellStyle name="Обычный 8 7 5 2 2 2 2 3" xfId="46117"/>
    <cellStyle name="Обычный 8 7 5 2 2 2 2 3 2" xfId="46118"/>
    <cellStyle name="Обычный 8 7 5 2 2 2 2 3 3" xfId="46119"/>
    <cellStyle name="Обычный 8 7 5 2 2 2 2 4" xfId="46120"/>
    <cellStyle name="Обычный 8 7 5 2 2 2 2 4 2" xfId="46121"/>
    <cellStyle name="Обычный 8 7 5 2 2 2 2 5" xfId="46122"/>
    <cellStyle name="Обычный 8 7 5 2 2 2 2 6" xfId="46123"/>
    <cellStyle name="Обычный 8 7 5 2 2 2 3" xfId="46124"/>
    <cellStyle name="Обычный 8 7 5 2 2 2 3 2" xfId="46125"/>
    <cellStyle name="Обычный 8 7 5 2 2 2 3 3" xfId="46126"/>
    <cellStyle name="Обычный 8 7 5 2 2 2 4" xfId="46127"/>
    <cellStyle name="Обычный 8 7 5 2 2 2 4 2" xfId="46128"/>
    <cellStyle name="Обычный 8 7 5 2 2 2 4 3" xfId="46129"/>
    <cellStyle name="Обычный 8 7 5 2 2 2 5" xfId="46130"/>
    <cellStyle name="Обычный 8 7 5 2 2 2 5 2" xfId="46131"/>
    <cellStyle name="Обычный 8 7 5 2 2 2 6" xfId="46132"/>
    <cellStyle name="Обычный 8 7 5 2 2 2 7" xfId="46133"/>
    <cellStyle name="Обычный 8 7 5 2 2 3" xfId="46134"/>
    <cellStyle name="Обычный 8 7 5 2 2 3 2" xfId="46135"/>
    <cellStyle name="Обычный 8 7 5 2 2 3 2 2" xfId="46136"/>
    <cellStyle name="Обычный 8 7 5 2 2 3 2 3" xfId="46137"/>
    <cellStyle name="Обычный 8 7 5 2 2 3 3" xfId="46138"/>
    <cellStyle name="Обычный 8 7 5 2 2 3 3 2" xfId="46139"/>
    <cellStyle name="Обычный 8 7 5 2 2 3 3 3" xfId="46140"/>
    <cellStyle name="Обычный 8 7 5 2 2 3 4" xfId="46141"/>
    <cellStyle name="Обычный 8 7 5 2 2 3 4 2" xfId="46142"/>
    <cellStyle name="Обычный 8 7 5 2 2 3 5" xfId="46143"/>
    <cellStyle name="Обычный 8 7 5 2 2 3 6" xfId="46144"/>
    <cellStyle name="Обычный 8 7 5 2 2 4" xfId="46145"/>
    <cellStyle name="Обычный 8 7 5 2 2 4 2" xfId="46146"/>
    <cellStyle name="Обычный 8 7 5 2 2 4 3" xfId="46147"/>
    <cellStyle name="Обычный 8 7 5 2 2 5" xfId="46148"/>
    <cellStyle name="Обычный 8 7 5 2 2 5 2" xfId="46149"/>
    <cellStyle name="Обычный 8 7 5 2 2 5 3" xfId="46150"/>
    <cellStyle name="Обычный 8 7 5 2 2 6" xfId="46151"/>
    <cellStyle name="Обычный 8 7 5 2 2 6 2" xfId="46152"/>
    <cellStyle name="Обычный 8 7 5 2 2 7" xfId="46153"/>
    <cellStyle name="Обычный 8 7 5 2 2 8" xfId="46154"/>
    <cellStyle name="Обычный 8 7 5 2 3" xfId="46155"/>
    <cellStyle name="Обычный 8 7 5 2 3 2" xfId="46156"/>
    <cellStyle name="Обычный 8 7 5 2 3 2 2" xfId="46157"/>
    <cellStyle name="Обычный 8 7 5 2 3 2 2 2" xfId="46158"/>
    <cellStyle name="Обычный 8 7 5 2 3 2 2 3" xfId="46159"/>
    <cellStyle name="Обычный 8 7 5 2 3 2 3" xfId="46160"/>
    <cellStyle name="Обычный 8 7 5 2 3 2 3 2" xfId="46161"/>
    <cellStyle name="Обычный 8 7 5 2 3 2 3 3" xfId="46162"/>
    <cellStyle name="Обычный 8 7 5 2 3 2 4" xfId="46163"/>
    <cellStyle name="Обычный 8 7 5 2 3 2 4 2" xfId="46164"/>
    <cellStyle name="Обычный 8 7 5 2 3 2 5" xfId="46165"/>
    <cellStyle name="Обычный 8 7 5 2 3 2 6" xfId="46166"/>
    <cellStyle name="Обычный 8 7 5 2 3 3" xfId="46167"/>
    <cellStyle name="Обычный 8 7 5 2 3 3 2" xfId="46168"/>
    <cellStyle name="Обычный 8 7 5 2 3 3 3" xfId="46169"/>
    <cellStyle name="Обычный 8 7 5 2 3 4" xfId="46170"/>
    <cellStyle name="Обычный 8 7 5 2 3 4 2" xfId="46171"/>
    <cellStyle name="Обычный 8 7 5 2 3 4 3" xfId="46172"/>
    <cellStyle name="Обычный 8 7 5 2 3 5" xfId="46173"/>
    <cellStyle name="Обычный 8 7 5 2 3 5 2" xfId="46174"/>
    <cellStyle name="Обычный 8 7 5 2 3 6" xfId="46175"/>
    <cellStyle name="Обычный 8 7 5 2 3 7" xfId="46176"/>
    <cellStyle name="Обычный 8 7 5 2 4" xfId="46177"/>
    <cellStyle name="Обычный 8 7 5 2 4 2" xfId="46178"/>
    <cellStyle name="Обычный 8 7 5 2 4 2 2" xfId="46179"/>
    <cellStyle name="Обычный 8 7 5 2 4 2 3" xfId="46180"/>
    <cellStyle name="Обычный 8 7 5 2 4 3" xfId="46181"/>
    <cellStyle name="Обычный 8 7 5 2 4 3 2" xfId="46182"/>
    <cellStyle name="Обычный 8 7 5 2 4 3 3" xfId="46183"/>
    <cellStyle name="Обычный 8 7 5 2 4 4" xfId="46184"/>
    <cellStyle name="Обычный 8 7 5 2 4 4 2" xfId="46185"/>
    <cellStyle name="Обычный 8 7 5 2 4 5" xfId="46186"/>
    <cellStyle name="Обычный 8 7 5 2 4 6" xfId="46187"/>
    <cellStyle name="Обычный 8 7 5 2 5" xfId="46188"/>
    <cellStyle name="Обычный 8 7 5 2 5 2" xfId="46189"/>
    <cellStyle name="Обычный 8 7 5 2 5 3" xfId="46190"/>
    <cellStyle name="Обычный 8 7 5 2 6" xfId="46191"/>
    <cellStyle name="Обычный 8 7 5 2 6 2" xfId="46192"/>
    <cellStyle name="Обычный 8 7 5 2 6 3" xfId="46193"/>
    <cellStyle name="Обычный 8 7 5 2 7" xfId="46194"/>
    <cellStyle name="Обычный 8 7 5 2 7 2" xfId="46195"/>
    <cellStyle name="Обычный 8 7 5 2 8" xfId="46196"/>
    <cellStyle name="Обычный 8 7 5 2 9" xfId="46197"/>
    <cellStyle name="Обычный 8 7 5 3" xfId="46198"/>
    <cellStyle name="Обычный 8 7 5 3 2" xfId="46199"/>
    <cellStyle name="Обычный 8 7 5 3 2 2" xfId="46200"/>
    <cellStyle name="Обычный 8 7 5 3 2 2 2" xfId="46201"/>
    <cellStyle name="Обычный 8 7 5 3 2 2 2 2" xfId="46202"/>
    <cellStyle name="Обычный 8 7 5 3 2 2 2 3" xfId="46203"/>
    <cellStyle name="Обычный 8 7 5 3 2 2 3" xfId="46204"/>
    <cellStyle name="Обычный 8 7 5 3 2 2 3 2" xfId="46205"/>
    <cellStyle name="Обычный 8 7 5 3 2 2 3 3" xfId="46206"/>
    <cellStyle name="Обычный 8 7 5 3 2 2 4" xfId="46207"/>
    <cellStyle name="Обычный 8 7 5 3 2 2 4 2" xfId="46208"/>
    <cellStyle name="Обычный 8 7 5 3 2 2 5" xfId="46209"/>
    <cellStyle name="Обычный 8 7 5 3 2 2 6" xfId="46210"/>
    <cellStyle name="Обычный 8 7 5 3 2 3" xfId="46211"/>
    <cellStyle name="Обычный 8 7 5 3 2 3 2" xfId="46212"/>
    <cellStyle name="Обычный 8 7 5 3 2 3 3" xfId="46213"/>
    <cellStyle name="Обычный 8 7 5 3 2 4" xfId="46214"/>
    <cellStyle name="Обычный 8 7 5 3 2 4 2" xfId="46215"/>
    <cellStyle name="Обычный 8 7 5 3 2 4 3" xfId="46216"/>
    <cellStyle name="Обычный 8 7 5 3 2 5" xfId="46217"/>
    <cellStyle name="Обычный 8 7 5 3 2 5 2" xfId="46218"/>
    <cellStyle name="Обычный 8 7 5 3 2 6" xfId="46219"/>
    <cellStyle name="Обычный 8 7 5 3 2 7" xfId="46220"/>
    <cellStyle name="Обычный 8 7 5 3 3" xfId="46221"/>
    <cellStyle name="Обычный 8 7 5 3 3 2" xfId="46222"/>
    <cellStyle name="Обычный 8 7 5 3 3 2 2" xfId="46223"/>
    <cellStyle name="Обычный 8 7 5 3 3 2 3" xfId="46224"/>
    <cellStyle name="Обычный 8 7 5 3 3 3" xfId="46225"/>
    <cellStyle name="Обычный 8 7 5 3 3 3 2" xfId="46226"/>
    <cellStyle name="Обычный 8 7 5 3 3 3 3" xfId="46227"/>
    <cellStyle name="Обычный 8 7 5 3 3 4" xfId="46228"/>
    <cellStyle name="Обычный 8 7 5 3 3 4 2" xfId="46229"/>
    <cellStyle name="Обычный 8 7 5 3 3 5" xfId="46230"/>
    <cellStyle name="Обычный 8 7 5 3 3 6" xfId="46231"/>
    <cellStyle name="Обычный 8 7 5 3 4" xfId="46232"/>
    <cellStyle name="Обычный 8 7 5 3 4 2" xfId="46233"/>
    <cellStyle name="Обычный 8 7 5 3 4 3" xfId="46234"/>
    <cellStyle name="Обычный 8 7 5 3 5" xfId="46235"/>
    <cellStyle name="Обычный 8 7 5 3 5 2" xfId="46236"/>
    <cellStyle name="Обычный 8 7 5 3 5 3" xfId="46237"/>
    <cellStyle name="Обычный 8 7 5 3 6" xfId="46238"/>
    <cellStyle name="Обычный 8 7 5 3 6 2" xfId="46239"/>
    <cellStyle name="Обычный 8 7 5 3 7" xfId="46240"/>
    <cellStyle name="Обычный 8 7 5 3 8" xfId="46241"/>
    <cellStyle name="Обычный 8 7 5 4" xfId="46242"/>
    <cellStyle name="Обычный 8 7 5 4 2" xfId="46243"/>
    <cellStyle name="Обычный 8 7 5 4 2 2" xfId="46244"/>
    <cellStyle name="Обычный 8 7 5 4 2 2 2" xfId="46245"/>
    <cellStyle name="Обычный 8 7 5 4 2 2 3" xfId="46246"/>
    <cellStyle name="Обычный 8 7 5 4 2 3" xfId="46247"/>
    <cellStyle name="Обычный 8 7 5 4 2 3 2" xfId="46248"/>
    <cellStyle name="Обычный 8 7 5 4 2 3 3" xfId="46249"/>
    <cellStyle name="Обычный 8 7 5 4 2 4" xfId="46250"/>
    <cellStyle name="Обычный 8 7 5 4 2 4 2" xfId="46251"/>
    <cellStyle name="Обычный 8 7 5 4 2 5" xfId="46252"/>
    <cellStyle name="Обычный 8 7 5 4 2 6" xfId="46253"/>
    <cellStyle name="Обычный 8 7 5 4 3" xfId="46254"/>
    <cellStyle name="Обычный 8 7 5 4 3 2" xfId="46255"/>
    <cellStyle name="Обычный 8 7 5 4 3 3" xfId="46256"/>
    <cellStyle name="Обычный 8 7 5 4 4" xfId="46257"/>
    <cellStyle name="Обычный 8 7 5 4 4 2" xfId="46258"/>
    <cellStyle name="Обычный 8 7 5 4 4 3" xfId="46259"/>
    <cellStyle name="Обычный 8 7 5 4 5" xfId="46260"/>
    <cellStyle name="Обычный 8 7 5 4 5 2" xfId="46261"/>
    <cellStyle name="Обычный 8 7 5 4 6" xfId="46262"/>
    <cellStyle name="Обычный 8 7 5 4 7" xfId="46263"/>
    <cellStyle name="Обычный 8 7 5 5" xfId="46264"/>
    <cellStyle name="Обычный 8 7 5 5 2" xfId="46265"/>
    <cellStyle name="Обычный 8 7 5 5 2 2" xfId="46266"/>
    <cellStyle name="Обычный 8 7 5 5 2 3" xfId="46267"/>
    <cellStyle name="Обычный 8 7 5 5 3" xfId="46268"/>
    <cellStyle name="Обычный 8 7 5 5 3 2" xfId="46269"/>
    <cellStyle name="Обычный 8 7 5 5 3 3" xfId="46270"/>
    <cellStyle name="Обычный 8 7 5 5 4" xfId="46271"/>
    <cellStyle name="Обычный 8 7 5 5 4 2" xfId="46272"/>
    <cellStyle name="Обычный 8 7 5 5 5" xfId="46273"/>
    <cellStyle name="Обычный 8 7 5 5 6" xfId="46274"/>
    <cellStyle name="Обычный 8 7 5 6" xfId="46275"/>
    <cellStyle name="Обычный 8 7 5 6 2" xfId="46276"/>
    <cellStyle name="Обычный 8 7 5 6 3" xfId="46277"/>
    <cellStyle name="Обычный 8 7 5 7" xfId="46278"/>
    <cellStyle name="Обычный 8 7 5 7 2" xfId="46279"/>
    <cellStyle name="Обычный 8 7 5 7 3" xfId="46280"/>
    <cellStyle name="Обычный 8 7 5 8" xfId="46281"/>
    <cellStyle name="Обычный 8 7 5 8 2" xfId="46282"/>
    <cellStyle name="Обычный 8 7 5 9" xfId="46283"/>
    <cellStyle name="Обычный 8 7 6" xfId="46284"/>
    <cellStyle name="Обычный 8 7 6 2" xfId="46285"/>
    <cellStyle name="Обычный 8 7 6 2 2" xfId="46286"/>
    <cellStyle name="Обычный 8 7 6 2 2 2" xfId="46287"/>
    <cellStyle name="Обычный 8 7 6 2 2 2 2" xfId="46288"/>
    <cellStyle name="Обычный 8 7 6 2 2 2 2 2" xfId="46289"/>
    <cellStyle name="Обычный 8 7 6 2 2 2 2 3" xfId="46290"/>
    <cellStyle name="Обычный 8 7 6 2 2 2 3" xfId="46291"/>
    <cellStyle name="Обычный 8 7 6 2 2 2 3 2" xfId="46292"/>
    <cellStyle name="Обычный 8 7 6 2 2 2 3 3" xfId="46293"/>
    <cellStyle name="Обычный 8 7 6 2 2 2 4" xfId="46294"/>
    <cellStyle name="Обычный 8 7 6 2 2 2 4 2" xfId="46295"/>
    <cellStyle name="Обычный 8 7 6 2 2 2 5" xfId="46296"/>
    <cellStyle name="Обычный 8 7 6 2 2 2 6" xfId="46297"/>
    <cellStyle name="Обычный 8 7 6 2 2 3" xfId="46298"/>
    <cellStyle name="Обычный 8 7 6 2 2 3 2" xfId="46299"/>
    <cellStyle name="Обычный 8 7 6 2 2 3 3" xfId="46300"/>
    <cellStyle name="Обычный 8 7 6 2 2 4" xfId="46301"/>
    <cellStyle name="Обычный 8 7 6 2 2 4 2" xfId="46302"/>
    <cellStyle name="Обычный 8 7 6 2 2 4 3" xfId="46303"/>
    <cellStyle name="Обычный 8 7 6 2 2 5" xfId="46304"/>
    <cellStyle name="Обычный 8 7 6 2 2 5 2" xfId="46305"/>
    <cellStyle name="Обычный 8 7 6 2 2 6" xfId="46306"/>
    <cellStyle name="Обычный 8 7 6 2 2 7" xfId="46307"/>
    <cellStyle name="Обычный 8 7 6 2 3" xfId="46308"/>
    <cellStyle name="Обычный 8 7 6 2 3 2" xfId="46309"/>
    <cellStyle name="Обычный 8 7 6 2 3 2 2" xfId="46310"/>
    <cellStyle name="Обычный 8 7 6 2 3 2 3" xfId="46311"/>
    <cellStyle name="Обычный 8 7 6 2 3 3" xfId="46312"/>
    <cellStyle name="Обычный 8 7 6 2 3 3 2" xfId="46313"/>
    <cellStyle name="Обычный 8 7 6 2 3 3 3" xfId="46314"/>
    <cellStyle name="Обычный 8 7 6 2 3 4" xfId="46315"/>
    <cellStyle name="Обычный 8 7 6 2 3 4 2" xfId="46316"/>
    <cellStyle name="Обычный 8 7 6 2 3 5" xfId="46317"/>
    <cellStyle name="Обычный 8 7 6 2 3 6" xfId="46318"/>
    <cellStyle name="Обычный 8 7 6 2 4" xfId="46319"/>
    <cellStyle name="Обычный 8 7 6 2 4 2" xfId="46320"/>
    <cellStyle name="Обычный 8 7 6 2 4 3" xfId="46321"/>
    <cellStyle name="Обычный 8 7 6 2 5" xfId="46322"/>
    <cellStyle name="Обычный 8 7 6 2 5 2" xfId="46323"/>
    <cellStyle name="Обычный 8 7 6 2 5 3" xfId="46324"/>
    <cellStyle name="Обычный 8 7 6 2 6" xfId="46325"/>
    <cellStyle name="Обычный 8 7 6 2 6 2" xfId="46326"/>
    <cellStyle name="Обычный 8 7 6 2 7" xfId="46327"/>
    <cellStyle name="Обычный 8 7 6 2 8" xfId="46328"/>
    <cellStyle name="Обычный 8 7 6 3" xfId="46329"/>
    <cellStyle name="Обычный 8 7 6 3 2" xfId="46330"/>
    <cellStyle name="Обычный 8 7 6 3 2 2" xfId="46331"/>
    <cellStyle name="Обычный 8 7 6 3 2 2 2" xfId="46332"/>
    <cellStyle name="Обычный 8 7 6 3 2 2 3" xfId="46333"/>
    <cellStyle name="Обычный 8 7 6 3 2 3" xfId="46334"/>
    <cellStyle name="Обычный 8 7 6 3 2 3 2" xfId="46335"/>
    <cellStyle name="Обычный 8 7 6 3 2 3 3" xfId="46336"/>
    <cellStyle name="Обычный 8 7 6 3 2 4" xfId="46337"/>
    <cellStyle name="Обычный 8 7 6 3 2 4 2" xfId="46338"/>
    <cellStyle name="Обычный 8 7 6 3 2 5" xfId="46339"/>
    <cellStyle name="Обычный 8 7 6 3 2 6" xfId="46340"/>
    <cellStyle name="Обычный 8 7 6 3 3" xfId="46341"/>
    <cellStyle name="Обычный 8 7 6 3 3 2" xfId="46342"/>
    <cellStyle name="Обычный 8 7 6 3 3 3" xfId="46343"/>
    <cellStyle name="Обычный 8 7 6 3 4" xfId="46344"/>
    <cellStyle name="Обычный 8 7 6 3 4 2" xfId="46345"/>
    <cellStyle name="Обычный 8 7 6 3 4 3" xfId="46346"/>
    <cellStyle name="Обычный 8 7 6 3 5" xfId="46347"/>
    <cellStyle name="Обычный 8 7 6 3 5 2" xfId="46348"/>
    <cellStyle name="Обычный 8 7 6 3 6" xfId="46349"/>
    <cellStyle name="Обычный 8 7 6 3 7" xfId="46350"/>
    <cellStyle name="Обычный 8 7 6 4" xfId="46351"/>
    <cellStyle name="Обычный 8 7 6 4 2" xfId="46352"/>
    <cellStyle name="Обычный 8 7 6 4 2 2" xfId="46353"/>
    <cellStyle name="Обычный 8 7 6 4 2 3" xfId="46354"/>
    <cellStyle name="Обычный 8 7 6 4 3" xfId="46355"/>
    <cellStyle name="Обычный 8 7 6 4 3 2" xfId="46356"/>
    <cellStyle name="Обычный 8 7 6 4 3 3" xfId="46357"/>
    <cellStyle name="Обычный 8 7 6 4 4" xfId="46358"/>
    <cellStyle name="Обычный 8 7 6 4 4 2" xfId="46359"/>
    <cellStyle name="Обычный 8 7 6 4 5" xfId="46360"/>
    <cellStyle name="Обычный 8 7 6 4 6" xfId="46361"/>
    <cellStyle name="Обычный 8 7 6 5" xfId="46362"/>
    <cellStyle name="Обычный 8 7 6 5 2" xfId="46363"/>
    <cellStyle name="Обычный 8 7 6 5 3" xfId="46364"/>
    <cellStyle name="Обычный 8 7 6 6" xfId="46365"/>
    <cellStyle name="Обычный 8 7 6 6 2" xfId="46366"/>
    <cellStyle name="Обычный 8 7 6 6 3" xfId="46367"/>
    <cellStyle name="Обычный 8 7 6 7" xfId="46368"/>
    <cellStyle name="Обычный 8 7 6 7 2" xfId="46369"/>
    <cellStyle name="Обычный 8 7 6 8" xfId="46370"/>
    <cellStyle name="Обычный 8 7 6 9" xfId="46371"/>
    <cellStyle name="Обычный 8 7 7" xfId="46372"/>
    <cellStyle name="Обычный 8 7 7 2" xfId="46373"/>
    <cellStyle name="Обычный 8 7 7 2 2" xfId="46374"/>
    <cellStyle name="Обычный 8 7 7 2 2 2" xfId="46375"/>
    <cellStyle name="Обычный 8 7 7 2 2 2 2" xfId="46376"/>
    <cellStyle name="Обычный 8 7 7 2 2 2 3" xfId="46377"/>
    <cellStyle name="Обычный 8 7 7 2 2 3" xfId="46378"/>
    <cellStyle name="Обычный 8 7 7 2 2 3 2" xfId="46379"/>
    <cellStyle name="Обычный 8 7 7 2 2 3 3" xfId="46380"/>
    <cellStyle name="Обычный 8 7 7 2 2 4" xfId="46381"/>
    <cellStyle name="Обычный 8 7 7 2 2 4 2" xfId="46382"/>
    <cellStyle name="Обычный 8 7 7 2 2 5" xfId="46383"/>
    <cellStyle name="Обычный 8 7 7 2 2 6" xfId="46384"/>
    <cellStyle name="Обычный 8 7 7 2 3" xfId="46385"/>
    <cellStyle name="Обычный 8 7 7 2 3 2" xfId="46386"/>
    <cellStyle name="Обычный 8 7 7 2 3 3" xfId="46387"/>
    <cellStyle name="Обычный 8 7 7 2 4" xfId="46388"/>
    <cellStyle name="Обычный 8 7 7 2 4 2" xfId="46389"/>
    <cellStyle name="Обычный 8 7 7 2 4 3" xfId="46390"/>
    <cellStyle name="Обычный 8 7 7 2 5" xfId="46391"/>
    <cellStyle name="Обычный 8 7 7 2 5 2" xfId="46392"/>
    <cellStyle name="Обычный 8 7 7 2 6" xfId="46393"/>
    <cellStyle name="Обычный 8 7 7 2 7" xfId="46394"/>
    <cellStyle name="Обычный 8 7 7 3" xfId="46395"/>
    <cellStyle name="Обычный 8 7 7 3 2" xfId="46396"/>
    <cellStyle name="Обычный 8 7 7 3 2 2" xfId="46397"/>
    <cellStyle name="Обычный 8 7 7 3 2 3" xfId="46398"/>
    <cellStyle name="Обычный 8 7 7 3 3" xfId="46399"/>
    <cellStyle name="Обычный 8 7 7 3 3 2" xfId="46400"/>
    <cellStyle name="Обычный 8 7 7 3 3 3" xfId="46401"/>
    <cellStyle name="Обычный 8 7 7 3 4" xfId="46402"/>
    <cellStyle name="Обычный 8 7 7 3 4 2" xfId="46403"/>
    <cellStyle name="Обычный 8 7 7 3 5" xfId="46404"/>
    <cellStyle name="Обычный 8 7 7 3 6" xfId="46405"/>
    <cellStyle name="Обычный 8 7 7 4" xfId="46406"/>
    <cellStyle name="Обычный 8 7 7 4 2" xfId="46407"/>
    <cellStyle name="Обычный 8 7 7 4 3" xfId="46408"/>
    <cellStyle name="Обычный 8 7 7 5" xfId="46409"/>
    <cellStyle name="Обычный 8 7 7 5 2" xfId="46410"/>
    <cellStyle name="Обычный 8 7 7 5 3" xfId="46411"/>
    <cellStyle name="Обычный 8 7 7 6" xfId="46412"/>
    <cellStyle name="Обычный 8 7 7 6 2" xfId="46413"/>
    <cellStyle name="Обычный 8 7 7 7" xfId="46414"/>
    <cellStyle name="Обычный 8 7 7 8" xfId="46415"/>
    <cellStyle name="Обычный 8 7 8" xfId="46416"/>
    <cellStyle name="Обычный 8 7 8 2" xfId="46417"/>
    <cellStyle name="Обычный 8 7 8 2 2" xfId="46418"/>
    <cellStyle name="Обычный 8 7 8 2 2 2" xfId="46419"/>
    <cellStyle name="Обычный 8 7 8 2 2 3" xfId="46420"/>
    <cellStyle name="Обычный 8 7 8 2 3" xfId="46421"/>
    <cellStyle name="Обычный 8 7 8 2 3 2" xfId="46422"/>
    <cellStyle name="Обычный 8 7 8 2 3 3" xfId="46423"/>
    <cellStyle name="Обычный 8 7 8 2 4" xfId="46424"/>
    <cellStyle name="Обычный 8 7 8 2 4 2" xfId="46425"/>
    <cellStyle name="Обычный 8 7 8 2 5" xfId="46426"/>
    <cellStyle name="Обычный 8 7 8 2 6" xfId="46427"/>
    <cellStyle name="Обычный 8 7 8 3" xfId="46428"/>
    <cellStyle name="Обычный 8 7 8 3 2" xfId="46429"/>
    <cellStyle name="Обычный 8 7 8 3 3" xfId="46430"/>
    <cellStyle name="Обычный 8 7 8 4" xfId="46431"/>
    <cellStyle name="Обычный 8 7 8 4 2" xfId="46432"/>
    <cellStyle name="Обычный 8 7 8 4 3" xfId="46433"/>
    <cellStyle name="Обычный 8 7 8 5" xfId="46434"/>
    <cellStyle name="Обычный 8 7 8 5 2" xfId="46435"/>
    <cellStyle name="Обычный 8 7 8 6" xfId="46436"/>
    <cellStyle name="Обычный 8 7 8 7" xfId="46437"/>
    <cellStyle name="Обычный 8 7 9" xfId="46438"/>
    <cellStyle name="Обычный 8 7 9 2" xfId="46439"/>
    <cellStyle name="Обычный 8 7 9 2 2" xfId="46440"/>
    <cellStyle name="Обычный 8 7 9 2 3" xfId="46441"/>
    <cellStyle name="Обычный 8 7 9 3" xfId="46442"/>
    <cellStyle name="Обычный 8 7 9 3 2" xfId="46443"/>
    <cellStyle name="Обычный 8 7 9 3 3" xfId="46444"/>
    <cellStyle name="Обычный 8 7 9 4" xfId="46445"/>
    <cellStyle name="Обычный 8 7 9 4 2" xfId="46446"/>
    <cellStyle name="Обычный 8 7 9 5" xfId="46447"/>
    <cellStyle name="Обычный 8 7 9 6" xfId="46448"/>
    <cellStyle name="Обычный 8 8" xfId="46449"/>
    <cellStyle name="Обычный 8 8 10" xfId="46450"/>
    <cellStyle name="Обычный 8 8 10 2" xfId="46451"/>
    <cellStyle name="Обычный 8 8 10 3" xfId="46452"/>
    <cellStyle name="Обычный 8 8 11" xfId="46453"/>
    <cellStyle name="Обычный 8 8 11 2" xfId="46454"/>
    <cellStyle name="Обычный 8 8 11 3" xfId="46455"/>
    <cellStyle name="Обычный 8 8 12" xfId="46456"/>
    <cellStyle name="Обычный 8 8 12 2" xfId="46457"/>
    <cellStyle name="Обычный 8 8 13" xfId="46458"/>
    <cellStyle name="Обычный 8 8 14" xfId="46459"/>
    <cellStyle name="Обычный 8 8 2" xfId="46460"/>
    <cellStyle name="Обычный 8 8 2 10" xfId="46461"/>
    <cellStyle name="Обычный 8 8 2 10 2" xfId="46462"/>
    <cellStyle name="Обычный 8 8 2 10 3" xfId="46463"/>
    <cellStyle name="Обычный 8 8 2 11" xfId="46464"/>
    <cellStyle name="Обычный 8 8 2 11 2" xfId="46465"/>
    <cellStyle name="Обычный 8 8 2 12" xfId="46466"/>
    <cellStyle name="Обычный 8 8 2 13" xfId="46467"/>
    <cellStyle name="Обычный 8 8 2 2" xfId="46468"/>
    <cellStyle name="Обычный 8 8 2 2 10" xfId="46469"/>
    <cellStyle name="Обычный 8 8 2 2 2" xfId="46470"/>
    <cellStyle name="Обычный 8 8 2 2 2 2" xfId="46471"/>
    <cellStyle name="Обычный 8 8 2 2 2 2 2" xfId="46472"/>
    <cellStyle name="Обычный 8 8 2 2 2 2 2 2" xfId="46473"/>
    <cellStyle name="Обычный 8 8 2 2 2 2 2 2 2" xfId="46474"/>
    <cellStyle name="Обычный 8 8 2 2 2 2 2 2 2 2" xfId="46475"/>
    <cellStyle name="Обычный 8 8 2 2 2 2 2 2 2 3" xfId="46476"/>
    <cellStyle name="Обычный 8 8 2 2 2 2 2 2 3" xfId="46477"/>
    <cellStyle name="Обычный 8 8 2 2 2 2 2 2 3 2" xfId="46478"/>
    <cellStyle name="Обычный 8 8 2 2 2 2 2 2 3 3" xfId="46479"/>
    <cellStyle name="Обычный 8 8 2 2 2 2 2 2 4" xfId="46480"/>
    <cellStyle name="Обычный 8 8 2 2 2 2 2 2 4 2" xfId="46481"/>
    <cellStyle name="Обычный 8 8 2 2 2 2 2 2 5" xfId="46482"/>
    <cellStyle name="Обычный 8 8 2 2 2 2 2 2 6" xfId="46483"/>
    <cellStyle name="Обычный 8 8 2 2 2 2 2 3" xfId="46484"/>
    <cellStyle name="Обычный 8 8 2 2 2 2 2 3 2" xfId="46485"/>
    <cellStyle name="Обычный 8 8 2 2 2 2 2 3 3" xfId="46486"/>
    <cellStyle name="Обычный 8 8 2 2 2 2 2 4" xfId="46487"/>
    <cellStyle name="Обычный 8 8 2 2 2 2 2 4 2" xfId="46488"/>
    <cellStyle name="Обычный 8 8 2 2 2 2 2 4 3" xfId="46489"/>
    <cellStyle name="Обычный 8 8 2 2 2 2 2 5" xfId="46490"/>
    <cellStyle name="Обычный 8 8 2 2 2 2 2 5 2" xfId="46491"/>
    <cellStyle name="Обычный 8 8 2 2 2 2 2 6" xfId="46492"/>
    <cellStyle name="Обычный 8 8 2 2 2 2 2 7" xfId="46493"/>
    <cellStyle name="Обычный 8 8 2 2 2 2 3" xfId="46494"/>
    <cellStyle name="Обычный 8 8 2 2 2 2 3 2" xfId="46495"/>
    <cellStyle name="Обычный 8 8 2 2 2 2 3 2 2" xfId="46496"/>
    <cellStyle name="Обычный 8 8 2 2 2 2 3 2 3" xfId="46497"/>
    <cellStyle name="Обычный 8 8 2 2 2 2 3 3" xfId="46498"/>
    <cellStyle name="Обычный 8 8 2 2 2 2 3 3 2" xfId="46499"/>
    <cellStyle name="Обычный 8 8 2 2 2 2 3 3 3" xfId="46500"/>
    <cellStyle name="Обычный 8 8 2 2 2 2 3 4" xfId="46501"/>
    <cellStyle name="Обычный 8 8 2 2 2 2 3 4 2" xfId="46502"/>
    <cellStyle name="Обычный 8 8 2 2 2 2 3 5" xfId="46503"/>
    <cellStyle name="Обычный 8 8 2 2 2 2 3 6" xfId="46504"/>
    <cellStyle name="Обычный 8 8 2 2 2 2 4" xfId="46505"/>
    <cellStyle name="Обычный 8 8 2 2 2 2 4 2" xfId="46506"/>
    <cellStyle name="Обычный 8 8 2 2 2 2 4 3" xfId="46507"/>
    <cellStyle name="Обычный 8 8 2 2 2 2 5" xfId="46508"/>
    <cellStyle name="Обычный 8 8 2 2 2 2 5 2" xfId="46509"/>
    <cellStyle name="Обычный 8 8 2 2 2 2 5 3" xfId="46510"/>
    <cellStyle name="Обычный 8 8 2 2 2 2 6" xfId="46511"/>
    <cellStyle name="Обычный 8 8 2 2 2 2 6 2" xfId="46512"/>
    <cellStyle name="Обычный 8 8 2 2 2 2 7" xfId="46513"/>
    <cellStyle name="Обычный 8 8 2 2 2 2 8" xfId="46514"/>
    <cellStyle name="Обычный 8 8 2 2 2 3" xfId="46515"/>
    <cellStyle name="Обычный 8 8 2 2 2 3 2" xfId="46516"/>
    <cellStyle name="Обычный 8 8 2 2 2 3 2 2" xfId="46517"/>
    <cellStyle name="Обычный 8 8 2 2 2 3 2 2 2" xfId="46518"/>
    <cellStyle name="Обычный 8 8 2 2 2 3 2 2 3" xfId="46519"/>
    <cellStyle name="Обычный 8 8 2 2 2 3 2 3" xfId="46520"/>
    <cellStyle name="Обычный 8 8 2 2 2 3 2 3 2" xfId="46521"/>
    <cellStyle name="Обычный 8 8 2 2 2 3 2 3 3" xfId="46522"/>
    <cellStyle name="Обычный 8 8 2 2 2 3 2 4" xfId="46523"/>
    <cellStyle name="Обычный 8 8 2 2 2 3 2 4 2" xfId="46524"/>
    <cellStyle name="Обычный 8 8 2 2 2 3 2 5" xfId="46525"/>
    <cellStyle name="Обычный 8 8 2 2 2 3 2 6" xfId="46526"/>
    <cellStyle name="Обычный 8 8 2 2 2 3 3" xfId="46527"/>
    <cellStyle name="Обычный 8 8 2 2 2 3 3 2" xfId="46528"/>
    <cellStyle name="Обычный 8 8 2 2 2 3 3 3" xfId="46529"/>
    <cellStyle name="Обычный 8 8 2 2 2 3 4" xfId="46530"/>
    <cellStyle name="Обычный 8 8 2 2 2 3 4 2" xfId="46531"/>
    <cellStyle name="Обычный 8 8 2 2 2 3 4 3" xfId="46532"/>
    <cellStyle name="Обычный 8 8 2 2 2 3 5" xfId="46533"/>
    <cellStyle name="Обычный 8 8 2 2 2 3 5 2" xfId="46534"/>
    <cellStyle name="Обычный 8 8 2 2 2 3 6" xfId="46535"/>
    <cellStyle name="Обычный 8 8 2 2 2 3 7" xfId="46536"/>
    <cellStyle name="Обычный 8 8 2 2 2 4" xfId="46537"/>
    <cellStyle name="Обычный 8 8 2 2 2 4 2" xfId="46538"/>
    <cellStyle name="Обычный 8 8 2 2 2 4 2 2" xfId="46539"/>
    <cellStyle name="Обычный 8 8 2 2 2 4 2 3" xfId="46540"/>
    <cellStyle name="Обычный 8 8 2 2 2 4 3" xfId="46541"/>
    <cellStyle name="Обычный 8 8 2 2 2 4 3 2" xfId="46542"/>
    <cellStyle name="Обычный 8 8 2 2 2 4 3 3" xfId="46543"/>
    <cellStyle name="Обычный 8 8 2 2 2 4 4" xfId="46544"/>
    <cellStyle name="Обычный 8 8 2 2 2 4 4 2" xfId="46545"/>
    <cellStyle name="Обычный 8 8 2 2 2 4 5" xfId="46546"/>
    <cellStyle name="Обычный 8 8 2 2 2 4 6" xfId="46547"/>
    <cellStyle name="Обычный 8 8 2 2 2 5" xfId="46548"/>
    <cellStyle name="Обычный 8 8 2 2 2 5 2" xfId="46549"/>
    <cellStyle name="Обычный 8 8 2 2 2 5 3" xfId="46550"/>
    <cellStyle name="Обычный 8 8 2 2 2 6" xfId="46551"/>
    <cellStyle name="Обычный 8 8 2 2 2 6 2" xfId="46552"/>
    <cellStyle name="Обычный 8 8 2 2 2 6 3" xfId="46553"/>
    <cellStyle name="Обычный 8 8 2 2 2 7" xfId="46554"/>
    <cellStyle name="Обычный 8 8 2 2 2 7 2" xfId="46555"/>
    <cellStyle name="Обычный 8 8 2 2 2 8" xfId="46556"/>
    <cellStyle name="Обычный 8 8 2 2 2 9" xfId="46557"/>
    <cellStyle name="Обычный 8 8 2 2 3" xfId="46558"/>
    <cellStyle name="Обычный 8 8 2 2 3 2" xfId="46559"/>
    <cellStyle name="Обычный 8 8 2 2 3 2 2" xfId="46560"/>
    <cellStyle name="Обычный 8 8 2 2 3 2 2 2" xfId="46561"/>
    <cellStyle name="Обычный 8 8 2 2 3 2 2 2 2" xfId="46562"/>
    <cellStyle name="Обычный 8 8 2 2 3 2 2 2 3" xfId="46563"/>
    <cellStyle name="Обычный 8 8 2 2 3 2 2 3" xfId="46564"/>
    <cellStyle name="Обычный 8 8 2 2 3 2 2 3 2" xfId="46565"/>
    <cellStyle name="Обычный 8 8 2 2 3 2 2 3 3" xfId="46566"/>
    <cellStyle name="Обычный 8 8 2 2 3 2 2 4" xfId="46567"/>
    <cellStyle name="Обычный 8 8 2 2 3 2 2 4 2" xfId="46568"/>
    <cellStyle name="Обычный 8 8 2 2 3 2 2 5" xfId="46569"/>
    <cellStyle name="Обычный 8 8 2 2 3 2 2 6" xfId="46570"/>
    <cellStyle name="Обычный 8 8 2 2 3 2 3" xfId="46571"/>
    <cellStyle name="Обычный 8 8 2 2 3 2 3 2" xfId="46572"/>
    <cellStyle name="Обычный 8 8 2 2 3 2 3 3" xfId="46573"/>
    <cellStyle name="Обычный 8 8 2 2 3 2 4" xfId="46574"/>
    <cellStyle name="Обычный 8 8 2 2 3 2 4 2" xfId="46575"/>
    <cellStyle name="Обычный 8 8 2 2 3 2 4 3" xfId="46576"/>
    <cellStyle name="Обычный 8 8 2 2 3 2 5" xfId="46577"/>
    <cellStyle name="Обычный 8 8 2 2 3 2 5 2" xfId="46578"/>
    <cellStyle name="Обычный 8 8 2 2 3 2 6" xfId="46579"/>
    <cellStyle name="Обычный 8 8 2 2 3 2 7" xfId="46580"/>
    <cellStyle name="Обычный 8 8 2 2 3 3" xfId="46581"/>
    <cellStyle name="Обычный 8 8 2 2 3 3 2" xfId="46582"/>
    <cellStyle name="Обычный 8 8 2 2 3 3 2 2" xfId="46583"/>
    <cellStyle name="Обычный 8 8 2 2 3 3 2 3" xfId="46584"/>
    <cellStyle name="Обычный 8 8 2 2 3 3 3" xfId="46585"/>
    <cellStyle name="Обычный 8 8 2 2 3 3 3 2" xfId="46586"/>
    <cellStyle name="Обычный 8 8 2 2 3 3 3 3" xfId="46587"/>
    <cellStyle name="Обычный 8 8 2 2 3 3 4" xfId="46588"/>
    <cellStyle name="Обычный 8 8 2 2 3 3 4 2" xfId="46589"/>
    <cellStyle name="Обычный 8 8 2 2 3 3 5" xfId="46590"/>
    <cellStyle name="Обычный 8 8 2 2 3 3 6" xfId="46591"/>
    <cellStyle name="Обычный 8 8 2 2 3 4" xfId="46592"/>
    <cellStyle name="Обычный 8 8 2 2 3 4 2" xfId="46593"/>
    <cellStyle name="Обычный 8 8 2 2 3 4 3" xfId="46594"/>
    <cellStyle name="Обычный 8 8 2 2 3 5" xfId="46595"/>
    <cellStyle name="Обычный 8 8 2 2 3 5 2" xfId="46596"/>
    <cellStyle name="Обычный 8 8 2 2 3 5 3" xfId="46597"/>
    <cellStyle name="Обычный 8 8 2 2 3 6" xfId="46598"/>
    <cellStyle name="Обычный 8 8 2 2 3 6 2" xfId="46599"/>
    <cellStyle name="Обычный 8 8 2 2 3 7" xfId="46600"/>
    <cellStyle name="Обычный 8 8 2 2 3 8" xfId="46601"/>
    <cellStyle name="Обычный 8 8 2 2 4" xfId="46602"/>
    <cellStyle name="Обычный 8 8 2 2 4 2" xfId="46603"/>
    <cellStyle name="Обычный 8 8 2 2 4 2 2" xfId="46604"/>
    <cellStyle name="Обычный 8 8 2 2 4 2 2 2" xfId="46605"/>
    <cellStyle name="Обычный 8 8 2 2 4 2 2 3" xfId="46606"/>
    <cellStyle name="Обычный 8 8 2 2 4 2 3" xfId="46607"/>
    <cellStyle name="Обычный 8 8 2 2 4 2 3 2" xfId="46608"/>
    <cellStyle name="Обычный 8 8 2 2 4 2 3 3" xfId="46609"/>
    <cellStyle name="Обычный 8 8 2 2 4 2 4" xfId="46610"/>
    <cellStyle name="Обычный 8 8 2 2 4 2 4 2" xfId="46611"/>
    <cellStyle name="Обычный 8 8 2 2 4 2 5" xfId="46612"/>
    <cellStyle name="Обычный 8 8 2 2 4 2 6" xfId="46613"/>
    <cellStyle name="Обычный 8 8 2 2 4 3" xfId="46614"/>
    <cellStyle name="Обычный 8 8 2 2 4 3 2" xfId="46615"/>
    <cellStyle name="Обычный 8 8 2 2 4 3 3" xfId="46616"/>
    <cellStyle name="Обычный 8 8 2 2 4 4" xfId="46617"/>
    <cellStyle name="Обычный 8 8 2 2 4 4 2" xfId="46618"/>
    <cellStyle name="Обычный 8 8 2 2 4 4 3" xfId="46619"/>
    <cellStyle name="Обычный 8 8 2 2 4 5" xfId="46620"/>
    <cellStyle name="Обычный 8 8 2 2 4 5 2" xfId="46621"/>
    <cellStyle name="Обычный 8 8 2 2 4 6" xfId="46622"/>
    <cellStyle name="Обычный 8 8 2 2 4 7" xfId="46623"/>
    <cellStyle name="Обычный 8 8 2 2 5" xfId="46624"/>
    <cellStyle name="Обычный 8 8 2 2 5 2" xfId="46625"/>
    <cellStyle name="Обычный 8 8 2 2 5 2 2" xfId="46626"/>
    <cellStyle name="Обычный 8 8 2 2 5 2 3" xfId="46627"/>
    <cellStyle name="Обычный 8 8 2 2 5 3" xfId="46628"/>
    <cellStyle name="Обычный 8 8 2 2 5 3 2" xfId="46629"/>
    <cellStyle name="Обычный 8 8 2 2 5 3 3" xfId="46630"/>
    <cellStyle name="Обычный 8 8 2 2 5 4" xfId="46631"/>
    <cellStyle name="Обычный 8 8 2 2 5 4 2" xfId="46632"/>
    <cellStyle name="Обычный 8 8 2 2 5 5" xfId="46633"/>
    <cellStyle name="Обычный 8 8 2 2 5 6" xfId="46634"/>
    <cellStyle name="Обычный 8 8 2 2 6" xfId="46635"/>
    <cellStyle name="Обычный 8 8 2 2 6 2" xfId="46636"/>
    <cellStyle name="Обычный 8 8 2 2 6 3" xfId="46637"/>
    <cellStyle name="Обычный 8 8 2 2 7" xfId="46638"/>
    <cellStyle name="Обычный 8 8 2 2 7 2" xfId="46639"/>
    <cellStyle name="Обычный 8 8 2 2 7 3" xfId="46640"/>
    <cellStyle name="Обычный 8 8 2 2 8" xfId="46641"/>
    <cellStyle name="Обычный 8 8 2 2 8 2" xfId="46642"/>
    <cellStyle name="Обычный 8 8 2 2 9" xfId="46643"/>
    <cellStyle name="Обычный 8 8 2 3" xfId="46644"/>
    <cellStyle name="Обычный 8 8 2 3 10" xfId="46645"/>
    <cellStyle name="Обычный 8 8 2 3 2" xfId="46646"/>
    <cellStyle name="Обычный 8 8 2 3 2 2" xfId="46647"/>
    <cellStyle name="Обычный 8 8 2 3 2 2 2" xfId="46648"/>
    <cellStyle name="Обычный 8 8 2 3 2 2 2 2" xfId="46649"/>
    <cellStyle name="Обычный 8 8 2 3 2 2 2 2 2" xfId="46650"/>
    <cellStyle name="Обычный 8 8 2 3 2 2 2 2 2 2" xfId="46651"/>
    <cellStyle name="Обычный 8 8 2 3 2 2 2 2 2 3" xfId="46652"/>
    <cellStyle name="Обычный 8 8 2 3 2 2 2 2 3" xfId="46653"/>
    <cellStyle name="Обычный 8 8 2 3 2 2 2 2 3 2" xfId="46654"/>
    <cellStyle name="Обычный 8 8 2 3 2 2 2 2 3 3" xfId="46655"/>
    <cellStyle name="Обычный 8 8 2 3 2 2 2 2 4" xfId="46656"/>
    <cellStyle name="Обычный 8 8 2 3 2 2 2 2 4 2" xfId="46657"/>
    <cellStyle name="Обычный 8 8 2 3 2 2 2 2 5" xfId="46658"/>
    <cellStyle name="Обычный 8 8 2 3 2 2 2 2 6" xfId="46659"/>
    <cellStyle name="Обычный 8 8 2 3 2 2 2 3" xfId="46660"/>
    <cellStyle name="Обычный 8 8 2 3 2 2 2 3 2" xfId="46661"/>
    <cellStyle name="Обычный 8 8 2 3 2 2 2 3 3" xfId="46662"/>
    <cellStyle name="Обычный 8 8 2 3 2 2 2 4" xfId="46663"/>
    <cellStyle name="Обычный 8 8 2 3 2 2 2 4 2" xfId="46664"/>
    <cellStyle name="Обычный 8 8 2 3 2 2 2 4 3" xfId="46665"/>
    <cellStyle name="Обычный 8 8 2 3 2 2 2 5" xfId="46666"/>
    <cellStyle name="Обычный 8 8 2 3 2 2 2 5 2" xfId="46667"/>
    <cellStyle name="Обычный 8 8 2 3 2 2 2 6" xfId="46668"/>
    <cellStyle name="Обычный 8 8 2 3 2 2 2 7" xfId="46669"/>
    <cellStyle name="Обычный 8 8 2 3 2 2 3" xfId="46670"/>
    <cellStyle name="Обычный 8 8 2 3 2 2 3 2" xfId="46671"/>
    <cellStyle name="Обычный 8 8 2 3 2 2 3 2 2" xfId="46672"/>
    <cellStyle name="Обычный 8 8 2 3 2 2 3 2 3" xfId="46673"/>
    <cellStyle name="Обычный 8 8 2 3 2 2 3 3" xfId="46674"/>
    <cellStyle name="Обычный 8 8 2 3 2 2 3 3 2" xfId="46675"/>
    <cellStyle name="Обычный 8 8 2 3 2 2 3 3 3" xfId="46676"/>
    <cellStyle name="Обычный 8 8 2 3 2 2 3 4" xfId="46677"/>
    <cellStyle name="Обычный 8 8 2 3 2 2 3 4 2" xfId="46678"/>
    <cellStyle name="Обычный 8 8 2 3 2 2 3 5" xfId="46679"/>
    <cellStyle name="Обычный 8 8 2 3 2 2 3 6" xfId="46680"/>
    <cellStyle name="Обычный 8 8 2 3 2 2 4" xfId="46681"/>
    <cellStyle name="Обычный 8 8 2 3 2 2 4 2" xfId="46682"/>
    <cellStyle name="Обычный 8 8 2 3 2 2 4 3" xfId="46683"/>
    <cellStyle name="Обычный 8 8 2 3 2 2 5" xfId="46684"/>
    <cellStyle name="Обычный 8 8 2 3 2 2 5 2" xfId="46685"/>
    <cellStyle name="Обычный 8 8 2 3 2 2 5 3" xfId="46686"/>
    <cellStyle name="Обычный 8 8 2 3 2 2 6" xfId="46687"/>
    <cellStyle name="Обычный 8 8 2 3 2 2 6 2" xfId="46688"/>
    <cellStyle name="Обычный 8 8 2 3 2 2 7" xfId="46689"/>
    <cellStyle name="Обычный 8 8 2 3 2 2 8" xfId="46690"/>
    <cellStyle name="Обычный 8 8 2 3 2 3" xfId="46691"/>
    <cellStyle name="Обычный 8 8 2 3 2 3 2" xfId="46692"/>
    <cellStyle name="Обычный 8 8 2 3 2 3 2 2" xfId="46693"/>
    <cellStyle name="Обычный 8 8 2 3 2 3 2 2 2" xfId="46694"/>
    <cellStyle name="Обычный 8 8 2 3 2 3 2 2 3" xfId="46695"/>
    <cellStyle name="Обычный 8 8 2 3 2 3 2 3" xfId="46696"/>
    <cellStyle name="Обычный 8 8 2 3 2 3 2 3 2" xfId="46697"/>
    <cellStyle name="Обычный 8 8 2 3 2 3 2 3 3" xfId="46698"/>
    <cellStyle name="Обычный 8 8 2 3 2 3 2 4" xfId="46699"/>
    <cellStyle name="Обычный 8 8 2 3 2 3 2 4 2" xfId="46700"/>
    <cellStyle name="Обычный 8 8 2 3 2 3 2 5" xfId="46701"/>
    <cellStyle name="Обычный 8 8 2 3 2 3 2 6" xfId="46702"/>
    <cellStyle name="Обычный 8 8 2 3 2 3 3" xfId="46703"/>
    <cellStyle name="Обычный 8 8 2 3 2 3 3 2" xfId="46704"/>
    <cellStyle name="Обычный 8 8 2 3 2 3 3 3" xfId="46705"/>
    <cellStyle name="Обычный 8 8 2 3 2 3 4" xfId="46706"/>
    <cellStyle name="Обычный 8 8 2 3 2 3 4 2" xfId="46707"/>
    <cellStyle name="Обычный 8 8 2 3 2 3 4 3" xfId="46708"/>
    <cellStyle name="Обычный 8 8 2 3 2 3 5" xfId="46709"/>
    <cellStyle name="Обычный 8 8 2 3 2 3 5 2" xfId="46710"/>
    <cellStyle name="Обычный 8 8 2 3 2 3 6" xfId="46711"/>
    <cellStyle name="Обычный 8 8 2 3 2 3 7" xfId="46712"/>
    <cellStyle name="Обычный 8 8 2 3 2 4" xfId="46713"/>
    <cellStyle name="Обычный 8 8 2 3 2 4 2" xfId="46714"/>
    <cellStyle name="Обычный 8 8 2 3 2 4 2 2" xfId="46715"/>
    <cellStyle name="Обычный 8 8 2 3 2 4 2 3" xfId="46716"/>
    <cellStyle name="Обычный 8 8 2 3 2 4 3" xfId="46717"/>
    <cellStyle name="Обычный 8 8 2 3 2 4 3 2" xfId="46718"/>
    <cellStyle name="Обычный 8 8 2 3 2 4 3 3" xfId="46719"/>
    <cellStyle name="Обычный 8 8 2 3 2 4 4" xfId="46720"/>
    <cellStyle name="Обычный 8 8 2 3 2 4 4 2" xfId="46721"/>
    <cellStyle name="Обычный 8 8 2 3 2 4 5" xfId="46722"/>
    <cellStyle name="Обычный 8 8 2 3 2 4 6" xfId="46723"/>
    <cellStyle name="Обычный 8 8 2 3 2 5" xfId="46724"/>
    <cellStyle name="Обычный 8 8 2 3 2 5 2" xfId="46725"/>
    <cellStyle name="Обычный 8 8 2 3 2 5 3" xfId="46726"/>
    <cellStyle name="Обычный 8 8 2 3 2 6" xfId="46727"/>
    <cellStyle name="Обычный 8 8 2 3 2 6 2" xfId="46728"/>
    <cellStyle name="Обычный 8 8 2 3 2 6 3" xfId="46729"/>
    <cellStyle name="Обычный 8 8 2 3 2 7" xfId="46730"/>
    <cellStyle name="Обычный 8 8 2 3 2 7 2" xfId="46731"/>
    <cellStyle name="Обычный 8 8 2 3 2 8" xfId="46732"/>
    <cellStyle name="Обычный 8 8 2 3 2 9" xfId="46733"/>
    <cellStyle name="Обычный 8 8 2 3 3" xfId="46734"/>
    <cellStyle name="Обычный 8 8 2 3 3 2" xfId="46735"/>
    <cellStyle name="Обычный 8 8 2 3 3 2 2" xfId="46736"/>
    <cellStyle name="Обычный 8 8 2 3 3 2 2 2" xfId="46737"/>
    <cellStyle name="Обычный 8 8 2 3 3 2 2 2 2" xfId="46738"/>
    <cellStyle name="Обычный 8 8 2 3 3 2 2 2 3" xfId="46739"/>
    <cellStyle name="Обычный 8 8 2 3 3 2 2 3" xfId="46740"/>
    <cellStyle name="Обычный 8 8 2 3 3 2 2 3 2" xfId="46741"/>
    <cellStyle name="Обычный 8 8 2 3 3 2 2 3 3" xfId="46742"/>
    <cellStyle name="Обычный 8 8 2 3 3 2 2 4" xfId="46743"/>
    <cellStyle name="Обычный 8 8 2 3 3 2 2 4 2" xfId="46744"/>
    <cellStyle name="Обычный 8 8 2 3 3 2 2 5" xfId="46745"/>
    <cellStyle name="Обычный 8 8 2 3 3 2 2 6" xfId="46746"/>
    <cellStyle name="Обычный 8 8 2 3 3 2 3" xfId="46747"/>
    <cellStyle name="Обычный 8 8 2 3 3 2 3 2" xfId="46748"/>
    <cellStyle name="Обычный 8 8 2 3 3 2 3 3" xfId="46749"/>
    <cellStyle name="Обычный 8 8 2 3 3 2 4" xfId="46750"/>
    <cellStyle name="Обычный 8 8 2 3 3 2 4 2" xfId="46751"/>
    <cellStyle name="Обычный 8 8 2 3 3 2 4 3" xfId="46752"/>
    <cellStyle name="Обычный 8 8 2 3 3 2 5" xfId="46753"/>
    <cellStyle name="Обычный 8 8 2 3 3 2 5 2" xfId="46754"/>
    <cellStyle name="Обычный 8 8 2 3 3 2 6" xfId="46755"/>
    <cellStyle name="Обычный 8 8 2 3 3 2 7" xfId="46756"/>
    <cellStyle name="Обычный 8 8 2 3 3 3" xfId="46757"/>
    <cellStyle name="Обычный 8 8 2 3 3 3 2" xfId="46758"/>
    <cellStyle name="Обычный 8 8 2 3 3 3 2 2" xfId="46759"/>
    <cellStyle name="Обычный 8 8 2 3 3 3 2 3" xfId="46760"/>
    <cellStyle name="Обычный 8 8 2 3 3 3 3" xfId="46761"/>
    <cellStyle name="Обычный 8 8 2 3 3 3 3 2" xfId="46762"/>
    <cellStyle name="Обычный 8 8 2 3 3 3 3 3" xfId="46763"/>
    <cellStyle name="Обычный 8 8 2 3 3 3 4" xfId="46764"/>
    <cellStyle name="Обычный 8 8 2 3 3 3 4 2" xfId="46765"/>
    <cellStyle name="Обычный 8 8 2 3 3 3 5" xfId="46766"/>
    <cellStyle name="Обычный 8 8 2 3 3 3 6" xfId="46767"/>
    <cellStyle name="Обычный 8 8 2 3 3 4" xfId="46768"/>
    <cellStyle name="Обычный 8 8 2 3 3 4 2" xfId="46769"/>
    <cellStyle name="Обычный 8 8 2 3 3 4 3" xfId="46770"/>
    <cellStyle name="Обычный 8 8 2 3 3 5" xfId="46771"/>
    <cellStyle name="Обычный 8 8 2 3 3 5 2" xfId="46772"/>
    <cellStyle name="Обычный 8 8 2 3 3 5 3" xfId="46773"/>
    <cellStyle name="Обычный 8 8 2 3 3 6" xfId="46774"/>
    <cellStyle name="Обычный 8 8 2 3 3 6 2" xfId="46775"/>
    <cellStyle name="Обычный 8 8 2 3 3 7" xfId="46776"/>
    <cellStyle name="Обычный 8 8 2 3 3 8" xfId="46777"/>
    <cellStyle name="Обычный 8 8 2 3 4" xfId="46778"/>
    <cellStyle name="Обычный 8 8 2 3 4 2" xfId="46779"/>
    <cellStyle name="Обычный 8 8 2 3 4 2 2" xfId="46780"/>
    <cellStyle name="Обычный 8 8 2 3 4 2 2 2" xfId="46781"/>
    <cellStyle name="Обычный 8 8 2 3 4 2 2 3" xfId="46782"/>
    <cellStyle name="Обычный 8 8 2 3 4 2 3" xfId="46783"/>
    <cellStyle name="Обычный 8 8 2 3 4 2 3 2" xfId="46784"/>
    <cellStyle name="Обычный 8 8 2 3 4 2 3 3" xfId="46785"/>
    <cellStyle name="Обычный 8 8 2 3 4 2 4" xfId="46786"/>
    <cellStyle name="Обычный 8 8 2 3 4 2 4 2" xfId="46787"/>
    <cellStyle name="Обычный 8 8 2 3 4 2 5" xfId="46788"/>
    <cellStyle name="Обычный 8 8 2 3 4 2 6" xfId="46789"/>
    <cellStyle name="Обычный 8 8 2 3 4 3" xfId="46790"/>
    <cellStyle name="Обычный 8 8 2 3 4 3 2" xfId="46791"/>
    <cellStyle name="Обычный 8 8 2 3 4 3 3" xfId="46792"/>
    <cellStyle name="Обычный 8 8 2 3 4 4" xfId="46793"/>
    <cellStyle name="Обычный 8 8 2 3 4 4 2" xfId="46794"/>
    <cellStyle name="Обычный 8 8 2 3 4 4 3" xfId="46795"/>
    <cellStyle name="Обычный 8 8 2 3 4 5" xfId="46796"/>
    <cellStyle name="Обычный 8 8 2 3 4 5 2" xfId="46797"/>
    <cellStyle name="Обычный 8 8 2 3 4 6" xfId="46798"/>
    <cellStyle name="Обычный 8 8 2 3 4 7" xfId="46799"/>
    <cellStyle name="Обычный 8 8 2 3 5" xfId="46800"/>
    <cellStyle name="Обычный 8 8 2 3 5 2" xfId="46801"/>
    <cellStyle name="Обычный 8 8 2 3 5 2 2" xfId="46802"/>
    <cellStyle name="Обычный 8 8 2 3 5 2 3" xfId="46803"/>
    <cellStyle name="Обычный 8 8 2 3 5 3" xfId="46804"/>
    <cellStyle name="Обычный 8 8 2 3 5 3 2" xfId="46805"/>
    <cellStyle name="Обычный 8 8 2 3 5 3 3" xfId="46806"/>
    <cellStyle name="Обычный 8 8 2 3 5 4" xfId="46807"/>
    <cellStyle name="Обычный 8 8 2 3 5 4 2" xfId="46808"/>
    <cellStyle name="Обычный 8 8 2 3 5 5" xfId="46809"/>
    <cellStyle name="Обычный 8 8 2 3 5 6" xfId="46810"/>
    <cellStyle name="Обычный 8 8 2 3 6" xfId="46811"/>
    <cellStyle name="Обычный 8 8 2 3 6 2" xfId="46812"/>
    <cellStyle name="Обычный 8 8 2 3 6 3" xfId="46813"/>
    <cellStyle name="Обычный 8 8 2 3 7" xfId="46814"/>
    <cellStyle name="Обычный 8 8 2 3 7 2" xfId="46815"/>
    <cellStyle name="Обычный 8 8 2 3 7 3" xfId="46816"/>
    <cellStyle name="Обычный 8 8 2 3 8" xfId="46817"/>
    <cellStyle name="Обычный 8 8 2 3 8 2" xfId="46818"/>
    <cellStyle name="Обычный 8 8 2 3 9" xfId="46819"/>
    <cellStyle name="Обычный 8 8 2 4" xfId="46820"/>
    <cellStyle name="Обычный 8 8 2 4 10" xfId="46821"/>
    <cellStyle name="Обычный 8 8 2 4 2" xfId="46822"/>
    <cellStyle name="Обычный 8 8 2 4 2 2" xfId="46823"/>
    <cellStyle name="Обычный 8 8 2 4 2 2 2" xfId="46824"/>
    <cellStyle name="Обычный 8 8 2 4 2 2 2 2" xfId="46825"/>
    <cellStyle name="Обычный 8 8 2 4 2 2 2 2 2" xfId="46826"/>
    <cellStyle name="Обычный 8 8 2 4 2 2 2 2 2 2" xfId="46827"/>
    <cellStyle name="Обычный 8 8 2 4 2 2 2 2 2 3" xfId="46828"/>
    <cellStyle name="Обычный 8 8 2 4 2 2 2 2 3" xfId="46829"/>
    <cellStyle name="Обычный 8 8 2 4 2 2 2 2 3 2" xfId="46830"/>
    <cellStyle name="Обычный 8 8 2 4 2 2 2 2 3 3" xfId="46831"/>
    <cellStyle name="Обычный 8 8 2 4 2 2 2 2 4" xfId="46832"/>
    <cellStyle name="Обычный 8 8 2 4 2 2 2 2 4 2" xfId="46833"/>
    <cellStyle name="Обычный 8 8 2 4 2 2 2 2 5" xfId="46834"/>
    <cellStyle name="Обычный 8 8 2 4 2 2 2 2 6" xfId="46835"/>
    <cellStyle name="Обычный 8 8 2 4 2 2 2 3" xfId="46836"/>
    <cellStyle name="Обычный 8 8 2 4 2 2 2 3 2" xfId="46837"/>
    <cellStyle name="Обычный 8 8 2 4 2 2 2 3 3" xfId="46838"/>
    <cellStyle name="Обычный 8 8 2 4 2 2 2 4" xfId="46839"/>
    <cellStyle name="Обычный 8 8 2 4 2 2 2 4 2" xfId="46840"/>
    <cellStyle name="Обычный 8 8 2 4 2 2 2 4 3" xfId="46841"/>
    <cellStyle name="Обычный 8 8 2 4 2 2 2 5" xfId="46842"/>
    <cellStyle name="Обычный 8 8 2 4 2 2 2 5 2" xfId="46843"/>
    <cellStyle name="Обычный 8 8 2 4 2 2 2 6" xfId="46844"/>
    <cellStyle name="Обычный 8 8 2 4 2 2 2 7" xfId="46845"/>
    <cellStyle name="Обычный 8 8 2 4 2 2 3" xfId="46846"/>
    <cellStyle name="Обычный 8 8 2 4 2 2 3 2" xfId="46847"/>
    <cellStyle name="Обычный 8 8 2 4 2 2 3 2 2" xfId="46848"/>
    <cellStyle name="Обычный 8 8 2 4 2 2 3 2 3" xfId="46849"/>
    <cellStyle name="Обычный 8 8 2 4 2 2 3 3" xfId="46850"/>
    <cellStyle name="Обычный 8 8 2 4 2 2 3 3 2" xfId="46851"/>
    <cellStyle name="Обычный 8 8 2 4 2 2 3 3 3" xfId="46852"/>
    <cellStyle name="Обычный 8 8 2 4 2 2 3 4" xfId="46853"/>
    <cellStyle name="Обычный 8 8 2 4 2 2 3 4 2" xfId="46854"/>
    <cellStyle name="Обычный 8 8 2 4 2 2 3 5" xfId="46855"/>
    <cellStyle name="Обычный 8 8 2 4 2 2 3 6" xfId="46856"/>
    <cellStyle name="Обычный 8 8 2 4 2 2 4" xfId="46857"/>
    <cellStyle name="Обычный 8 8 2 4 2 2 4 2" xfId="46858"/>
    <cellStyle name="Обычный 8 8 2 4 2 2 4 3" xfId="46859"/>
    <cellStyle name="Обычный 8 8 2 4 2 2 5" xfId="46860"/>
    <cellStyle name="Обычный 8 8 2 4 2 2 5 2" xfId="46861"/>
    <cellStyle name="Обычный 8 8 2 4 2 2 5 3" xfId="46862"/>
    <cellStyle name="Обычный 8 8 2 4 2 2 6" xfId="46863"/>
    <cellStyle name="Обычный 8 8 2 4 2 2 6 2" xfId="46864"/>
    <cellStyle name="Обычный 8 8 2 4 2 2 7" xfId="46865"/>
    <cellStyle name="Обычный 8 8 2 4 2 2 8" xfId="46866"/>
    <cellStyle name="Обычный 8 8 2 4 2 3" xfId="46867"/>
    <cellStyle name="Обычный 8 8 2 4 2 3 2" xfId="46868"/>
    <cellStyle name="Обычный 8 8 2 4 2 3 2 2" xfId="46869"/>
    <cellStyle name="Обычный 8 8 2 4 2 3 2 2 2" xfId="46870"/>
    <cellStyle name="Обычный 8 8 2 4 2 3 2 2 3" xfId="46871"/>
    <cellStyle name="Обычный 8 8 2 4 2 3 2 3" xfId="46872"/>
    <cellStyle name="Обычный 8 8 2 4 2 3 2 3 2" xfId="46873"/>
    <cellStyle name="Обычный 8 8 2 4 2 3 2 3 3" xfId="46874"/>
    <cellStyle name="Обычный 8 8 2 4 2 3 2 4" xfId="46875"/>
    <cellStyle name="Обычный 8 8 2 4 2 3 2 4 2" xfId="46876"/>
    <cellStyle name="Обычный 8 8 2 4 2 3 2 5" xfId="46877"/>
    <cellStyle name="Обычный 8 8 2 4 2 3 2 6" xfId="46878"/>
    <cellStyle name="Обычный 8 8 2 4 2 3 3" xfId="46879"/>
    <cellStyle name="Обычный 8 8 2 4 2 3 3 2" xfId="46880"/>
    <cellStyle name="Обычный 8 8 2 4 2 3 3 3" xfId="46881"/>
    <cellStyle name="Обычный 8 8 2 4 2 3 4" xfId="46882"/>
    <cellStyle name="Обычный 8 8 2 4 2 3 4 2" xfId="46883"/>
    <cellStyle name="Обычный 8 8 2 4 2 3 4 3" xfId="46884"/>
    <cellStyle name="Обычный 8 8 2 4 2 3 5" xfId="46885"/>
    <cellStyle name="Обычный 8 8 2 4 2 3 5 2" xfId="46886"/>
    <cellStyle name="Обычный 8 8 2 4 2 3 6" xfId="46887"/>
    <cellStyle name="Обычный 8 8 2 4 2 3 7" xfId="46888"/>
    <cellStyle name="Обычный 8 8 2 4 2 4" xfId="46889"/>
    <cellStyle name="Обычный 8 8 2 4 2 4 2" xfId="46890"/>
    <cellStyle name="Обычный 8 8 2 4 2 4 2 2" xfId="46891"/>
    <cellStyle name="Обычный 8 8 2 4 2 4 2 3" xfId="46892"/>
    <cellStyle name="Обычный 8 8 2 4 2 4 3" xfId="46893"/>
    <cellStyle name="Обычный 8 8 2 4 2 4 3 2" xfId="46894"/>
    <cellStyle name="Обычный 8 8 2 4 2 4 3 3" xfId="46895"/>
    <cellStyle name="Обычный 8 8 2 4 2 4 4" xfId="46896"/>
    <cellStyle name="Обычный 8 8 2 4 2 4 4 2" xfId="46897"/>
    <cellStyle name="Обычный 8 8 2 4 2 4 5" xfId="46898"/>
    <cellStyle name="Обычный 8 8 2 4 2 4 6" xfId="46899"/>
    <cellStyle name="Обычный 8 8 2 4 2 5" xfId="46900"/>
    <cellStyle name="Обычный 8 8 2 4 2 5 2" xfId="46901"/>
    <cellStyle name="Обычный 8 8 2 4 2 5 3" xfId="46902"/>
    <cellStyle name="Обычный 8 8 2 4 2 6" xfId="46903"/>
    <cellStyle name="Обычный 8 8 2 4 2 6 2" xfId="46904"/>
    <cellStyle name="Обычный 8 8 2 4 2 6 3" xfId="46905"/>
    <cellStyle name="Обычный 8 8 2 4 2 7" xfId="46906"/>
    <cellStyle name="Обычный 8 8 2 4 2 7 2" xfId="46907"/>
    <cellStyle name="Обычный 8 8 2 4 2 8" xfId="46908"/>
    <cellStyle name="Обычный 8 8 2 4 2 9" xfId="46909"/>
    <cellStyle name="Обычный 8 8 2 4 3" xfId="46910"/>
    <cellStyle name="Обычный 8 8 2 4 3 2" xfId="46911"/>
    <cellStyle name="Обычный 8 8 2 4 3 2 2" xfId="46912"/>
    <cellStyle name="Обычный 8 8 2 4 3 2 2 2" xfId="46913"/>
    <cellStyle name="Обычный 8 8 2 4 3 2 2 2 2" xfId="46914"/>
    <cellStyle name="Обычный 8 8 2 4 3 2 2 2 3" xfId="46915"/>
    <cellStyle name="Обычный 8 8 2 4 3 2 2 3" xfId="46916"/>
    <cellStyle name="Обычный 8 8 2 4 3 2 2 3 2" xfId="46917"/>
    <cellStyle name="Обычный 8 8 2 4 3 2 2 3 3" xfId="46918"/>
    <cellStyle name="Обычный 8 8 2 4 3 2 2 4" xfId="46919"/>
    <cellStyle name="Обычный 8 8 2 4 3 2 2 4 2" xfId="46920"/>
    <cellStyle name="Обычный 8 8 2 4 3 2 2 5" xfId="46921"/>
    <cellStyle name="Обычный 8 8 2 4 3 2 2 6" xfId="46922"/>
    <cellStyle name="Обычный 8 8 2 4 3 2 3" xfId="46923"/>
    <cellStyle name="Обычный 8 8 2 4 3 2 3 2" xfId="46924"/>
    <cellStyle name="Обычный 8 8 2 4 3 2 3 3" xfId="46925"/>
    <cellStyle name="Обычный 8 8 2 4 3 2 4" xfId="46926"/>
    <cellStyle name="Обычный 8 8 2 4 3 2 4 2" xfId="46927"/>
    <cellStyle name="Обычный 8 8 2 4 3 2 4 3" xfId="46928"/>
    <cellStyle name="Обычный 8 8 2 4 3 2 5" xfId="46929"/>
    <cellStyle name="Обычный 8 8 2 4 3 2 5 2" xfId="46930"/>
    <cellStyle name="Обычный 8 8 2 4 3 2 6" xfId="46931"/>
    <cellStyle name="Обычный 8 8 2 4 3 2 7" xfId="46932"/>
    <cellStyle name="Обычный 8 8 2 4 3 3" xfId="46933"/>
    <cellStyle name="Обычный 8 8 2 4 3 3 2" xfId="46934"/>
    <cellStyle name="Обычный 8 8 2 4 3 3 2 2" xfId="46935"/>
    <cellStyle name="Обычный 8 8 2 4 3 3 2 3" xfId="46936"/>
    <cellStyle name="Обычный 8 8 2 4 3 3 3" xfId="46937"/>
    <cellStyle name="Обычный 8 8 2 4 3 3 3 2" xfId="46938"/>
    <cellStyle name="Обычный 8 8 2 4 3 3 3 3" xfId="46939"/>
    <cellStyle name="Обычный 8 8 2 4 3 3 4" xfId="46940"/>
    <cellStyle name="Обычный 8 8 2 4 3 3 4 2" xfId="46941"/>
    <cellStyle name="Обычный 8 8 2 4 3 3 5" xfId="46942"/>
    <cellStyle name="Обычный 8 8 2 4 3 3 6" xfId="46943"/>
    <cellStyle name="Обычный 8 8 2 4 3 4" xfId="46944"/>
    <cellStyle name="Обычный 8 8 2 4 3 4 2" xfId="46945"/>
    <cellStyle name="Обычный 8 8 2 4 3 4 3" xfId="46946"/>
    <cellStyle name="Обычный 8 8 2 4 3 5" xfId="46947"/>
    <cellStyle name="Обычный 8 8 2 4 3 5 2" xfId="46948"/>
    <cellStyle name="Обычный 8 8 2 4 3 5 3" xfId="46949"/>
    <cellStyle name="Обычный 8 8 2 4 3 6" xfId="46950"/>
    <cellStyle name="Обычный 8 8 2 4 3 6 2" xfId="46951"/>
    <cellStyle name="Обычный 8 8 2 4 3 7" xfId="46952"/>
    <cellStyle name="Обычный 8 8 2 4 3 8" xfId="46953"/>
    <cellStyle name="Обычный 8 8 2 4 4" xfId="46954"/>
    <cellStyle name="Обычный 8 8 2 4 4 2" xfId="46955"/>
    <cellStyle name="Обычный 8 8 2 4 4 2 2" xfId="46956"/>
    <cellStyle name="Обычный 8 8 2 4 4 2 2 2" xfId="46957"/>
    <cellStyle name="Обычный 8 8 2 4 4 2 2 3" xfId="46958"/>
    <cellStyle name="Обычный 8 8 2 4 4 2 3" xfId="46959"/>
    <cellStyle name="Обычный 8 8 2 4 4 2 3 2" xfId="46960"/>
    <cellStyle name="Обычный 8 8 2 4 4 2 3 3" xfId="46961"/>
    <cellStyle name="Обычный 8 8 2 4 4 2 4" xfId="46962"/>
    <cellStyle name="Обычный 8 8 2 4 4 2 4 2" xfId="46963"/>
    <cellStyle name="Обычный 8 8 2 4 4 2 5" xfId="46964"/>
    <cellStyle name="Обычный 8 8 2 4 4 2 6" xfId="46965"/>
    <cellStyle name="Обычный 8 8 2 4 4 3" xfId="46966"/>
    <cellStyle name="Обычный 8 8 2 4 4 3 2" xfId="46967"/>
    <cellStyle name="Обычный 8 8 2 4 4 3 3" xfId="46968"/>
    <cellStyle name="Обычный 8 8 2 4 4 4" xfId="46969"/>
    <cellStyle name="Обычный 8 8 2 4 4 4 2" xfId="46970"/>
    <cellStyle name="Обычный 8 8 2 4 4 4 3" xfId="46971"/>
    <cellStyle name="Обычный 8 8 2 4 4 5" xfId="46972"/>
    <cellStyle name="Обычный 8 8 2 4 4 5 2" xfId="46973"/>
    <cellStyle name="Обычный 8 8 2 4 4 6" xfId="46974"/>
    <cellStyle name="Обычный 8 8 2 4 4 7" xfId="46975"/>
    <cellStyle name="Обычный 8 8 2 4 5" xfId="46976"/>
    <cellStyle name="Обычный 8 8 2 4 5 2" xfId="46977"/>
    <cellStyle name="Обычный 8 8 2 4 5 2 2" xfId="46978"/>
    <cellStyle name="Обычный 8 8 2 4 5 2 3" xfId="46979"/>
    <cellStyle name="Обычный 8 8 2 4 5 3" xfId="46980"/>
    <cellStyle name="Обычный 8 8 2 4 5 3 2" xfId="46981"/>
    <cellStyle name="Обычный 8 8 2 4 5 3 3" xfId="46982"/>
    <cellStyle name="Обычный 8 8 2 4 5 4" xfId="46983"/>
    <cellStyle name="Обычный 8 8 2 4 5 4 2" xfId="46984"/>
    <cellStyle name="Обычный 8 8 2 4 5 5" xfId="46985"/>
    <cellStyle name="Обычный 8 8 2 4 5 6" xfId="46986"/>
    <cellStyle name="Обычный 8 8 2 4 6" xfId="46987"/>
    <cellStyle name="Обычный 8 8 2 4 6 2" xfId="46988"/>
    <cellStyle name="Обычный 8 8 2 4 6 3" xfId="46989"/>
    <cellStyle name="Обычный 8 8 2 4 7" xfId="46990"/>
    <cellStyle name="Обычный 8 8 2 4 7 2" xfId="46991"/>
    <cellStyle name="Обычный 8 8 2 4 7 3" xfId="46992"/>
    <cellStyle name="Обычный 8 8 2 4 8" xfId="46993"/>
    <cellStyle name="Обычный 8 8 2 4 8 2" xfId="46994"/>
    <cellStyle name="Обычный 8 8 2 4 9" xfId="46995"/>
    <cellStyle name="Обычный 8 8 2 5" xfId="46996"/>
    <cellStyle name="Обычный 8 8 2 5 2" xfId="46997"/>
    <cellStyle name="Обычный 8 8 2 5 2 2" xfId="46998"/>
    <cellStyle name="Обычный 8 8 2 5 2 2 2" xfId="46999"/>
    <cellStyle name="Обычный 8 8 2 5 2 2 2 2" xfId="47000"/>
    <cellStyle name="Обычный 8 8 2 5 2 2 2 2 2" xfId="47001"/>
    <cellStyle name="Обычный 8 8 2 5 2 2 2 2 3" xfId="47002"/>
    <cellStyle name="Обычный 8 8 2 5 2 2 2 3" xfId="47003"/>
    <cellStyle name="Обычный 8 8 2 5 2 2 2 3 2" xfId="47004"/>
    <cellStyle name="Обычный 8 8 2 5 2 2 2 3 3" xfId="47005"/>
    <cellStyle name="Обычный 8 8 2 5 2 2 2 4" xfId="47006"/>
    <cellStyle name="Обычный 8 8 2 5 2 2 2 4 2" xfId="47007"/>
    <cellStyle name="Обычный 8 8 2 5 2 2 2 5" xfId="47008"/>
    <cellStyle name="Обычный 8 8 2 5 2 2 2 6" xfId="47009"/>
    <cellStyle name="Обычный 8 8 2 5 2 2 3" xfId="47010"/>
    <cellStyle name="Обычный 8 8 2 5 2 2 3 2" xfId="47011"/>
    <cellStyle name="Обычный 8 8 2 5 2 2 3 3" xfId="47012"/>
    <cellStyle name="Обычный 8 8 2 5 2 2 4" xfId="47013"/>
    <cellStyle name="Обычный 8 8 2 5 2 2 4 2" xfId="47014"/>
    <cellStyle name="Обычный 8 8 2 5 2 2 4 3" xfId="47015"/>
    <cellStyle name="Обычный 8 8 2 5 2 2 5" xfId="47016"/>
    <cellStyle name="Обычный 8 8 2 5 2 2 5 2" xfId="47017"/>
    <cellStyle name="Обычный 8 8 2 5 2 2 6" xfId="47018"/>
    <cellStyle name="Обычный 8 8 2 5 2 2 7" xfId="47019"/>
    <cellStyle name="Обычный 8 8 2 5 2 3" xfId="47020"/>
    <cellStyle name="Обычный 8 8 2 5 2 3 2" xfId="47021"/>
    <cellStyle name="Обычный 8 8 2 5 2 3 2 2" xfId="47022"/>
    <cellStyle name="Обычный 8 8 2 5 2 3 2 3" xfId="47023"/>
    <cellStyle name="Обычный 8 8 2 5 2 3 3" xfId="47024"/>
    <cellStyle name="Обычный 8 8 2 5 2 3 3 2" xfId="47025"/>
    <cellStyle name="Обычный 8 8 2 5 2 3 3 3" xfId="47026"/>
    <cellStyle name="Обычный 8 8 2 5 2 3 4" xfId="47027"/>
    <cellStyle name="Обычный 8 8 2 5 2 3 4 2" xfId="47028"/>
    <cellStyle name="Обычный 8 8 2 5 2 3 5" xfId="47029"/>
    <cellStyle name="Обычный 8 8 2 5 2 3 6" xfId="47030"/>
    <cellStyle name="Обычный 8 8 2 5 2 4" xfId="47031"/>
    <cellStyle name="Обычный 8 8 2 5 2 4 2" xfId="47032"/>
    <cellStyle name="Обычный 8 8 2 5 2 4 3" xfId="47033"/>
    <cellStyle name="Обычный 8 8 2 5 2 5" xfId="47034"/>
    <cellStyle name="Обычный 8 8 2 5 2 5 2" xfId="47035"/>
    <cellStyle name="Обычный 8 8 2 5 2 5 3" xfId="47036"/>
    <cellStyle name="Обычный 8 8 2 5 2 6" xfId="47037"/>
    <cellStyle name="Обычный 8 8 2 5 2 6 2" xfId="47038"/>
    <cellStyle name="Обычный 8 8 2 5 2 7" xfId="47039"/>
    <cellStyle name="Обычный 8 8 2 5 2 8" xfId="47040"/>
    <cellStyle name="Обычный 8 8 2 5 3" xfId="47041"/>
    <cellStyle name="Обычный 8 8 2 5 3 2" xfId="47042"/>
    <cellStyle name="Обычный 8 8 2 5 3 2 2" xfId="47043"/>
    <cellStyle name="Обычный 8 8 2 5 3 2 2 2" xfId="47044"/>
    <cellStyle name="Обычный 8 8 2 5 3 2 2 3" xfId="47045"/>
    <cellStyle name="Обычный 8 8 2 5 3 2 3" xfId="47046"/>
    <cellStyle name="Обычный 8 8 2 5 3 2 3 2" xfId="47047"/>
    <cellStyle name="Обычный 8 8 2 5 3 2 3 3" xfId="47048"/>
    <cellStyle name="Обычный 8 8 2 5 3 2 4" xfId="47049"/>
    <cellStyle name="Обычный 8 8 2 5 3 2 4 2" xfId="47050"/>
    <cellStyle name="Обычный 8 8 2 5 3 2 5" xfId="47051"/>
    <cellStyle name="Обычный 8 8 2 5 3 2 6" xfId="47052"/>
    <cellStyle name="Обычный 8 8 2 5 3 3" xfId="47053"/>
    <cellStyle name="Обычный 8 8 2 5 3 3 2" xfId="47054"/>
    <cellStyle name="Обычный 8 8 2 5 3 3 3" xfId="47055"/>
    <cellStyle name="Обычный 8 8 2 5 3 4" xfId="47056"/>
    <cellStyle name="Обычный 8 8 2 5 3 4 2" xfId="47057"/>
    <cellStyle name="Обычный 8 8 2 5 3 4 3" xfId="47058"/>
    <cellStyle name="Обычный 8 8 2 5 3 5" xfId="47059"/>
    <cellStyle name="Обычный 8 8 2 5 3 5 2" xfId="47060"/>
    <cellStyle name="Обычный 8 8 2 5 3 6" xfId="47061"/>
    <cellStyle name="Обычный 8 8 2 5 3 7" xfId="47062"/>
    <cellStyle name="Обычный 8 8 2 5 4" xfId="47063"/>
    <cellStyle name="Обычный 8 8 2 5 4 2" xfId="47064"/>
    <cellStyle name="Обычный 8 8 2 5 4 2 2" xfId="47065"/>
    <cellStyle name="Обычный 8 8 2 5 4 2 3" xfId="47066"/>
    <cellStyle name="Обычный 8 8 2 5 4 3" xfId="47067"/>
    <cellStyle name="Обычный 8 8 2 5 4 3 2" xfId="47068"/>
    <cellStyle name="Обычный 8 8 2 5 4 3 3" xfId="47069"/>
    <cellStyle name="Обычный 8 8 2 5 4 4" xfId="47070"/>
    <cellStyle name="Обычный 8 8 2 5 4 4 2" xfId="47071"/>
    <cellStyle name="Обычный 8 8 2 5 4 5" xfId="47072"/>
    <cellStyle name="Обычный 8 8 2 5 4 6" xfId="47073"/>
    <cellStyle name="Обычный 8 8 2 5 5" xfId="47074"/>
    <cellStyle name="Обычный 8 8 2 5 5 2" xfId="47075"/>
    <cellStyle name="Обычный 8 8 2 5 5 3" xfId="47076"/>
    <cellStyle name="Обычный 8 8 2 5 6" xfId="47077"/>
    <cellStyle name="Обычный 8 8 2 5 6 2" xfId="47078"/>
    <cellStyle name="Обычный 8 8 2 5 6 3" xfId="47079"/>
    <cellStyle name="Обычный 8 8 2 5 7" xfId="47080"/>
    <cellStyle name="Обычный 8 8 2 5 7 2" xfId="47081"/>
    <cellStyle name="Обычный 8 8 2 5 8" xfId="47082"/>
    <cellStyle name="Обычный 8 8 2 5 9" xfId="47083"/>
    <cellStyle name="Обычный 8 8 2 6" xfId="47084"/>
    <cellStyle name="Обычный 8 8 2 6 2" xfId="47085"/>
    <cellStyle name="Обычный 8 8 2 6 2 2" xfId="47086"/>
    <cellStyle name="Обычный 8 8 2 6 2 2 2" xfId="47087"/>
    <cellStyle name="Обычный 8 8 2 6 2 2 2 2" xfId="47088"/>
    <cellStyle name="Обычный 8 8 2 6 2 2 2 3" xfId="47089"/>
    <cellStyle name="Обычный 8 8 2 6 2 2 3" xfId="47090"/>
    <cellStyle name="Обычный 8 8 2 6 2 2 3 2" xfId="47091"/>
    <cellStyle name="Обычный 8 8 2 6 2 2 3 3" xfId="47092"/>
    <cellStyle name="Обычный 8 8 2 6 2 2 4" xfId="47093"/>
    <cellStyle name="Обычный 8 8 2 6 2 2 4 2" xfId="47094"/>
    <cellStyle name="Обычный 8 8 2 6 2 2 5" xfId="47095"/>
    <cellStyle name="Обычный 8 8 2 6 2 2 6" xfId="47096"/>
    <cellStyle name="Обычный 8 8 2 6 2 3" xfId="47097"/>
    <cellStyle name="Обычный 8 8 2 6 2 3 2" xfId="47098"/>
    <cellStyle name="Обычный 8 8 2 6 2 3 3" xfId="47099"/>
    <cellStyle name="Обычный 8 8 2 6 2 4" xfId="47100"/>
    <cellStyle name="Обычный 8 8 2 6 2 4 2" xfId="47101"/>
    <cellStyle name="Обычный 8 8 2 6 2 4 3" xfId="47102"/>
    <cellStyle name="Обычный 8 8 2 6 2 5" xfId="47103"/>
    <cellStyle name="Обычный 8 8 2 6 2 5 2" xfId="47104"/>
    <cellStyle name="Обычный 8 8 2 6 2 6" xfId="47105"/>
    <cellStyle name="Обычный 8 8 2 6 2 7" xfId="47106"/>
    <cellStyle name="Обычный 8 8 2 6 3" xfId="47107"/>
    <cellStyle name="Обычный 8 8 2 6 3 2" xfId="47108"/>
    <cellStyle name="Обычный 8 8 2 6 3 2 2" xfId="47109"/>
    <cellStyle name="Обычный 8 8 2 6 3 2 3" xfId="47110"/>
    <cellStyle name="Обычный 8 8 2 6 3 3" xfId="47111"/>
    <cellStyle name="Обычный 8 8 2 6 3 3 2" xfId="47112"/>
    <cellStyle name="Обычный 8 8 2 6 3 3 3" xfId="47113"/>
    <cellStyle name="Обычный 8 8 2 6 3 4" xfId="47114"/>
    <cellStyle name="Обычный 8 8 2 6 3 4 2" xfId="47115"/>
    <cellStyle name="Обычный 8 8 2 6 3 5" xfId="47116"/>
    <cellStyle name="Обычный 8 8 2 6 3 6" xfId="47117"/>
    <cellStyle name="Обычный 8 8 2 6 4" xfId="47118"/>
    <cellStyle name="Обычный 8 8 2 6 4 2" xfId="47119"/>
    <cellStyle name="Обычный 8 8 2 6 4 3" xfId="47120"/>
    <cellStyle name="Обычный 8 8 2 6 5" xfId="47121"/>
    <cellStyle name="Обычный 8 8 2 6 5 2" xfId="47122"/>
    <cellStyle name="Обычный 8 8 2 6 5 3" xfId="47123"/>
    <cellStyle name="Обычный 8 8 2 6 6" xfId="47124"/>
    <cellStyle name="Обычный 8 8 2 6 6 2" xfId="47125"/>
    <cellStyle name="Обычный 8 8 2 6 7" xfId="47126"/>
    <cellStyle name="Обычный 8 8 2 6 8" xfId="47127"/>
    <cellStyle name="Обычный 8 8 2 7" xfId="47128"/>
    <cellStyle name="Обычный 8 8 2 7 2" xfId="47129"/>
    <cellStyle name="Обычный 8 8 2 7 2 2" xfId="47130"/>
    <cellStyle name="Обычный 8 8 2 7 2 2 2" xfId="47131"/>
    <cellStyle name="Обычный 8 8 2 7 2 2 3" xfId="47132"/>
    <cellStyle name="Обычный 8 8 2 7 2 3" xfId="47133"/>
    <cellStyle name="Обычный 8 8 2 7 2 3 2" xfId="47134"/>
    <cellStyle name="Обычный 8 8 2 7 2 3 3" xfId="47135"/>
    <cellStyle name="Обычный 8 8 2 7 2 4" xfId="47136"/>
    <cellStyle name="Обычный 8 8 2 7 2 4 2" xfId="47137"/>
    <cellStyle name="Обычный 8 8 2 7 2 5" xfId="47138"/>
    <cellStyle name="Обычный 8 8 2 7 2 6" xfId="47139"/>
    <cellStyle name="Обычный 8 8 2 7 3" xfId="47140"/>
    <cellStyle name="Обычный 8 8 2 7 3 2" xfId="47141"/>
    <cellStyle name="Обычный 8 8 2 7 3 3" xfId="47142"/>
    <cellStyle name="Обычный 8 8 2 7 4" xfId="47143"/>
    <cellStyle name="Обычный 8 8 2 7 4 2" xfId="47144"/>
    <cellStyle name="Обычный 8 8 2 7 4 3" xfId="47145"/>
    <cellStyle name="Обычный 8 8 2 7 5" xfId="47146"/>
    <cellStyle name="Обычный 8 8 2 7 5 2" xfId="47147"/>
    <cellStyle name="Обычный 8 8 2 7 6" xfId="47148"/>
    <cellStyle name="Обычный 8 8 2 7 7" xfId="47149"/>
    <cellStyle name="Обычный 8 8 2 8" xfId="47150"/>
    <cellStyle name="Обычный 8 8 2 8 2" xfId="47151"/>
    <cellStyle name="Обычный 8 8 2 8 2 2" xfId="47152"/>
    <cellStyle name="Обычный 8 8 2 8 2 3" xfId="47153"/>
    <cellStyle name="Обычный 8 8 2 8 3" xfId="47154"/>
    <cellStyle name="Обычный 8 8 2 8 3 2" xfId="47155"/>
    <cellStyle name="Обычный 8 8 2 8 3 3" xfId="47156"/>
    <cellStyle name="Обычный 8 8 2 8 4" xfId="47157"/>
    <cellStyle name="Обычный 8 8 2 8 4 2" xfId="47158"/>
    <cellStyle name="Обычный 8 8 2 8 5" xfId="47159"/>
    <cellStyle name="Обычный 8 8 2 8 6" xfId="47160"/>
    <cellStyle name="Обычный 8 8 2 9" xfId="47161"/>
    <cellStyle name="Обычный 8 8 2 9 2" xfId="47162"/>
    <cellStyle name="Обычный 8 8 2 9 3" xfId="47163"/>
    <cellStyle name="Обычный 8 8 3" xfId="47164"/>
    <cellStyle name="Обычный 8 8 3 10" xfId="47165"/>
    <cellStyle name="Обычный 8 8 3 2" xfId="47166"/>
    <cellStyle name="Обычный 8 8 3 2 2" xfId="47167"/>
    <cellStyle name="Обычный 8 8 3 2 2 2" xfId="47168"/>
    <cellStyle name="Обычный 8 8 3 2 2 2 2" xfId="47169"/>
    <cellStyle name="Обычный 8 8 3 2 2 2 2 2" xfId="47170"/>
    <cellStyle name="Обычный 8 8 3 2 2 2 2 2 2" xfId="47171"/>
    <cellStyle name="Обычный 8 8 3 2 2 2 2 2 3" xfId="47172"/>
    <cellStyle name="Обычный 8 8 3 2 2 2 2 3" xfId="47173"/>
    <cellStyle name="Обычный 8 8 3 2 2 2 2 3 2" xfId="47174"/>
    <cellStyle name="Обычный 8 8 3 2 2 2 2 3 3" xfId="47175"/>
    <cellStyle name="Обычный 8 8 3 2 2 2 2 4" xfId="47176"/>
    <cellStyle name="Обычный 8 8 3 2 2 2 2 4 2" xfId="47177"/>
    <cellStyle name="Обычный 8 8 3 2 2 2 2 5" xfId="47178"/>
    <cellStyle name="Обычный 8 8 3 2 2 2 2 6" xfId="47179"/>
    <cellStyle name="Обычный 8 8 3 2 2 2 3" xfId="47180"/>
    <cellStyle name="Обычный 8 8 3 2 2 2 3 2" xfId="47181"/>
    <cellStyle name="Обычный 8 8 3 2 2 2 3 3" xfId="47182"/>
    <cellStyle name="Обычный 8 8 3 2 2 2 4" xfId="47183"/>
    <cellStyle name="Обычный 8 8 3 2 2 2 4 2" xfId="47184"/>
    <cellStyle name="Обычный 8 8 3 2 2 2 4 3" xfId="47185"/>
    <cellStyle name="Обычный 8 8 3 2 2 2 5" xfId="47186"/>
    <cellStyle name="Обычный 8 8 3 2 2 2 5 2" xfId="47187"/>
    <cellStyle name="Обычный 8 8 3 2 2 2 6" xfId="47188"/>
    <cellStyle name="Обычный 8 8 3 2 2 2 7" xfId="47189"/>
    <cellStyle name="Обычный 8 8 3 2 2 3" xfId="47190"/>
    <cellStyle name="Обычный 8 8 3 2 2 3 2" xfId="47191"/>
    <cellStyle name="Обычный 8 8 3 2 2 3 2 2" xfId="47192"/>
    <cellStyle name="Обычный 8 8 3 2 2 3 2 3" xfId="47193"/>
    <cellStyle name="Обычный 8 8 3 2 2 3 3" xfId="47194"/>
    <cellStyle name="Обычный 8 8 3 2 2 3 3 2" xfId="47195"/>
    <cellStyle name="Обычный 8 8 3 2 2 3 3 3" xfId="47196"/>
    <cellStyle name="Обычный 8 8 3 2 2 3 4" xfId="47197"/>
    <cellStyle name="Обычный 8 8 3 2 2 3 4 2" xfId="47198"/>
    <cellStyle name="Обычный 8 8 3 2 2 3 5" xfId="47199"/>
    <cellStyle name="Обычный 8 8 3 2 2 3 6" xfId="47200"/>
    <cellStyle name="Обычный 8 8 3 2 2 4" xfId="47201"/>
    <cellStyle name="Обычный 8 8 3 2 2 4 2" xfId="47202"/>
    <cellStyle name="Обычный 8 8 3 2 2 4 3" xfId="47203"/>
    <cellStyle name="Обычный 8 8 3 2 2 5" xfId="47204"/>
    <cellStyle name="Обычный 8 8 3 2 2 5 2" xfId="47205"/>
    <cellStyle name="Обычный 8 8 3 2 2 5 3" xfId="47206"/>
    <cellStyle name="Обычный 8 8 3 2 2 6" xfId="47207"/>
    <cellStyle name="Обычный 8 8 3 2 2 6 2" xfId="47208"/>
    <cellStyle name="Обычный 8 8 3 2 2 7" xfId="47209"/>
    <cellStyle name="Обычный 8 8 3 2 2 8" xfId="47210"/>
    <cellStyle name="Обычный 8 8 3 2 3" xfId="47211"/>
    <cellStyle name="Обычный 8 8 3 2 3 2" xfId="47212"/>
    <cellStyle name="Обычный 8 8 3 2 3 2 2" xfId="47213"/>
    <cellStyle name="Обычный 8 8 3 2 3 2 2 2" xfId="47214"/>
    <cellStyle name="Обычный 8 8 3 2 3 2 2 3" xfId="47215"/>
    <cellStyle name="Обычный 8 8 3 2 3 2 3" xfId="47216"/>
    <cellStyle name="Обычный 8 8 3 2 3 2 3 2" xfId="47217"/>
    <cellStyle name="Обычный 8 8 3 2 3 2 3 3" xfId="47218"/>
    <cellStyle name="Обычный 8 8 3 2 3 2 4" xfId="47219"/>
    <cellStyle name="Обычный 8 8 3 2 3 2 4 2" xfId="47220"/>
    <cellStyle name="Обычный 8 8 3 2 3 2 5" xfId="47221"/>
    <cellStyle name="Обычный 8 8 3 2 3 2 6" xfId="47222"/>
    <cellStyle name="Обычный 8 8 3 2 3 3" xfId="47223"/>
    <cellStyle name="Обычный 8 8 3 2 3 3 2" xfId="47224"/>
    <cellStyle name="Обычный 8 8 3 2 3 3 3" xfId="47225"/>
    <cellStyle name="Обычный 8 8 3 2 3 4" xfId="47226"/>
    <cellStyle name="Обычный 8 8 3 2 3 4 2" xfId="47227"/>
    <cellStyle name="Обычный 8 8 3 2 3 4 3" xfId="47228"/>
    <cellStyle name="Обычный 8 8 3 2 3 5" xfId="47229"/>
    <cellStyle name="Обычный 8 8 3 2 3 5 2" xfId="47230"/>
    <cellStyle name="Обычный 8 8 3 2 3 6" xfId="47231"/>
    <cellStyle name="Обычный 8 8 3 2 3 7" xfId="47232"/>
    <cellStyle name="Обычный 8 8 3 2 4" xfId="47233"/>
    <cellStyle name="Обычный 8 8 3 2 4 2" xfId="47234"/>
    <cellStyle name="Обычный 8 8 3 2 4 2 2" xfId="47235"/>
    <cellStyle name="Обычный 8 8 3 2 4 2 3" xfId="47236"/>
    <cellStyle name="Обычный 8 8 3 2 4 3" xfId="47237"/>
    <cellStyle name="Обычный 8 8 3 2 4 3 2" xfId="47238"/>
    <cellStyle name="Обычный 8 8 3 2 4 3 3" xfId="47239"/>
    <cellStyle name="Обычный 8 8 3 2 4 4" xfId="47240"/>
    <cellStyle name="Обычный 8 8 3 2 4 4 2" xfId="47241"/>
    <cellStyle name="Обычный 8 8 3 2 4 5" xfId="47242"/>
    <cellStyle name="Обычный 8 8 3 2 4 6" xfId="47243"/>
    <cellStyle name="Обычный 8 8 3 2 5" xfId="47244"/>
    <cellStyle name="Обычный 8 8 3 2 5 2" xfId="47245"/>
    <cellStyle name="Обычный 8 8 3 2 5 3" xfId="47246"/>
    <cellStyle name="Обычный 8 8 3 2 6" xfId="47247"/>
    <cellStyle name="Обычный 8 8 3 2 6 2" xfId="47248"/>
    <cellStyle name="Обычный 8 8 3 2 6 3" xfId="47249"/>
    <cellStyle name="Обычный 8 8 3 2 7" xfId="47250"/>
    <cellStyle name="Обычный 8 8 3 2 7 2" xfId="47251"/>
    <cellStyle name="Обычный 8 8 3 2 8" xfId="47252"/>
    <cellStyle name="Обычный 8 8 3 2 9" xfId="47253"/>
    <cellStyle name="Обычный 8 8 3 3" xfId="47254"/>
    <cellStyle name="Обычный 8 8 3 3 2" xfId="47255"/>
    <cellStyle name="Обычный 8 8 3 3 2 2" xfId="47256"/>
    <cellStyle name="Обычный 8 8 3 3 2 2 2" xfId="47257"/>
    <cellStyle name="Обычный 8 8 3 3 2 2 2 2" xfId="47258"/>
    <cellStyle name="Обычный 8 8 3 3 2 2 2 3" xfId="47259"/>
    <cellStyle name="Обычный 8 8 3 3 2 2 3" xfId="47260"/>
    <cellStyle name="Обычный 8 8 3 3 2 2 3 2" xfId="47261"/>
    <cellStyle name="Обычный 8 8 3 3 2 2 3 3" xfId="47262"/>
    <cellStyle name="Обычный 8 8 3 3 2 2 4" xfId="47263"/>
    <cellStyle name="Обычный 8 8 3 3 2 2 4 2" xfId="47264"/>
    <cellStyle name="Обычный 8 8 3 3 2 2 5" xfId="47265"/>
    <cellStyle name="Обычный 8 8 3 3 2 2 6" xfId="47266"/>
    <cellStyle name="Обычный 8 8 3 3 2 3" xfId="47267"/>
    <cellStyle name="Обычный 8 8 3 3 2 3 2" xfId="47268"/>
    <cellStyle name="Обычный 8 8 3 3 2 3 3" xfId="47269"/>
    <cellStyle name="Обычный 8 8 3 3 2 4" xfId="47270"/>
    <cellStyle name="Обычный 8 8 3 3 2 4 2" xfId="47271"/>
    <cellStyle name="Обычный 8 8 3 3 2 4 3" xfId="47272"/>
    <cellStyle name="Обычный 8 8 3 3 2 5" xfId="47273"/>
    <cellStyle name="Обычный 8 8 3 3 2 5 2" xfId="47274"/>
    <cellStyle name="Обычный 8 8 3 3 2 6" xfId="47275"/>
    <cellStyle name="Обычный 8 8 3 3 2 7" xfId="47276"/>
    <cellStyle name="Обычный 8 8 3 3 3" xfId="47277"/>
    <cellStyle name="Обычный 8 8 3 3 3 2" xfId="47278"/>
    <cellStyle name="Обычный 8 8 3 3 3 2 2" xfId="47279"/>
    <cellStyle name="Обычный 8 8 3 3 3 2 3" xfId="47280"/>
    <cellStyle name="Обычный 8 8 3 3 3 3" xfId="47281"/>
    <cellStyle name="Обычный 8 8 3 3 3 3 2" xfId="47282"/>
    <cellStyle name="Обычный 8 8 3 3 3 3 3" xfId="47283"/>
    <cellStyle name="Обычный 8 8 3 3 3 4" xfId="47284"/>
    <cellStyle name="Обычный 8 8 3 3 3 4 2" xfId="47285"/>
    <cellStyle name="Обычный 8 8 3 3 3 5" xfId="47286"/>
    <cellStyle name="Обычный 8 8 3 3 3 6" xfId="47287"/>
    <cellStyle name="Обычный 8 8 3 3 4" xfId="47288"/>
    <cellStyle name="Обычный 8 8 3 3 4 2" xfId="47289"/>
    <cellStyle name="Обычный 8 8 3 3 4 3" xfId="47290"/>
    <cellStyle name="Обычный 8 8 3 3 5" xfId="47291"/>
    <cellStyle name="Обычный 8 8 3 3 5 2" xfId="47292"/>
    <cellStyle name="Обычный 8 8 3 3 5 3" xfId="47293"/>
    <cellStyle name="Обычный 8 8 3 3 6" xfId="47294"/>
    <cellStyle name="Обычный 8 8 3 3 6 2" xfId="47295"/>
    <cellStyle name="Обычный 8 8 3 3 7" xfId="47296"/>
    <cellStyle name="Обычный 8 8 3 3 8" xfId="47297"/>
    <cellStyle name="Обычный 8 8 3 4" xfId="47298"/>
    <cellStyle name="Обычный 8 8 3 4 2" xfId="47299"/>
    <cellStyle name="Обычный 8 8 3 4 2 2" xfId="47300"/>
    <cellStyle name="Обычный 8 8 3 4 2 2 2" xfId="47301"/>
    <cellStyle name="Обычный 8 8 3 4 2 2 3" xfId="47302"/>
    <cellStyle name="Обычный 8 8 3 4 2 3" xfId="47303"/>
    <cellStyle name="Обычный 8 8 3 4 2 3 2" xfId="47304"/>
    <cellStyle name="Обычный 8 8 3 4 2 3 3" xfId="47305"/>
    <cellStyle name="Обычный 8 8 3 4 2 4" xfId="47306"/>
    <cellStyle name="Обычный 8 8 3 4 2 4 2" xfId="47307"/>
    <cellStyle name="Обычный 8 8 3 4 2 5" xfId="47308"/>
    <cellStyle name="Обычный 8 8 3 4 2 6" xfId="47309"/>
    <cellStyle name="Обычный 8 8 3 4 3" xfId="47310"/>
    <cellStyle name="Обычный 8 8 3 4 3 2" xfId="47311"/>
    <cellStyle name="Обычный 8 8 3 4 3 3" xfId="47312"/>
    <cellStyle name="Обычный 8 8 3 4 4" xfId="47313"/>
    <cellStyle name="Обычный 8 8 3 4 4 2" xfId="47314"/>
    <cellStyle name="Обычный 8 8 3 4 4 3" xfId="47315"/>
    <cellStyle name="Обычный 8 8 3 4 5" xfId="47316"/>
    <cellStyle name="Обычный 8 8 3 4 5 2" xfId="47317"/>
    <cellStyle name="Обычный 8 8 3 4 6" xfId="47318"/>
    <cellStyle name="Обычный 8 8 3 4 7" xfId="47319"/>
    <cellStyle name="Обычный 8 8 3 5" xfId="47320"/>
    <cellStyle name="Обычный 8 8 3 5 2" xfId="47321"/>
    <cellStyle name="Обычный 8 8 3 5 2 2" xfId="47322"/>
    <cellStyle name="Обычный 8 8 3 5 2 3" xfId="47323"/>
    <cellStyle name="Обычный 8 8 3 5 3" xfId="47324"/>
    <cellStyle name="Обычный 8 8 3 5 3 2" xfId="47325"/>
    <cellStyle name="Обычный 8 8 3 5 3 3" xfId="47326"/>
    <cellStyle name="Обычный 8 8 3 5 4" xfId="47327"/>
    <cellStyle name="Обычный 8 8 3 5 4 2" xfId="47328"/>
    <cellStyle name="Обычный 8 8 3 5 5" xfId="47329"/>
    <cellStyle name="Обычный 8 8 3 5 6" xfId="47330"/>
    <cellStyle name="Обычный 8 8 3 6" xfId="47331"/>
    <cellStyle name="Обычный 8 8 3 6 2" xfId="47332"/>
    <cellStyle name="Обычный 8 8 3 6 3" xfId="47333"/>
    <cellStyle name="Обычный 8 8 3 7" xfId="47334"/>
    <cellStyle name="Обычный 8 8 3 7 2" xfId="47335"/>
    <cellStyle name="Обычный 8 8 3 7 3" xfId="47336"/>
    <cellStyle name="Обычный 8 8 3 8" xfId="47337"/>
    <cellStyle name="Обычный 8 8 3 8 2" xfId="47338"/>
    <cellStyle name="Обычный 8 8 3 9" xfId="47339"/>
    <cellStyle name="Обычный 8 8 4" xfId="47340"/>
    <cellStyle name="Обычный 8 8 4 10" xfId="47341"/>
    <cellStyle name="Обычный 8 8 4 2" xfId="47342"/>
    <cellStyle name="Обычный 8 8 4 2 2" xfId="47343"/>
    <cellStyle name="Обычный 8 8 4 2 2 2" xfId="47344"/>
    <cellStyle name="Обычный 8 8 4 2 2 2 2" xfId="47345"/>
    <cellStyle name="Обычный 8 8 4 2 2 2 2 2" xfId="47346"/>
    <cellStyle name="Обычный 8 8 4 2 2 2 2 2 2" xfId="47347"/>
    <cellStyle name="Обычный 8 8 4 2 2 2 2 2 3" xfId="47348"/>
    <cellStyle name="Обычный 8 8 4 2 2 2 2 3" xfId="47349"/>
    <cellStyle name="Обычный 8 8 4 2 2 2 2 3 2" xfId="47350"/>
    <cellStyle name="Обычный 8 8 4 2 2 2 2 3 3" xfId="47351"/>
    <cellStyle name="Обычный 8 8 4 2 2 2 2 4" xfId="47352"/>
    <cellStyle name="Обычный 8 8 4 2 2 2 2 4 2" xfId="47353"/>
    <cellStyle name="Обычный 8 8 4 2 2 2 2 5" xfId="47354"/>
    <cellStyle name="Обычный 8 8 4 2 2 2 2 6" xfId="47355"/>
    <cellStyle name="Обычный 8 8 4 2 2 2 3" xfId="47356"/>
    <cellStyle name="Обычный 8 8 4 2 2 2 3 2" xfId="47357"/>
    <cellStyle name="Обычный 8 8 4 2 2 2 3 3" xfId="47358"/>
    <cellStyle name="Обычный 8 8 4 2 2 2 4" xfId="47359"/>
    <cellStyle name="Обычный 8 8 4 2 2 2 4 2" xfId="47360"/>
    <cellStyle name="Обычный 8 8 4 2 2 2 4 3" xfId="47361"/>
    <cellStyle name="Обычный 8 8 4 2 2 2 5" xfId="47362"/>
    <cellStyle name="Обычный 8 8 4 2 2 2 5 2" xfId="47363"/>
    <cellStyle name="Обычный 8 8 4 2 2 2 6" xfId="47364"/>
    <cellStyle name="Обычный 8 8 4 2 2 2 7" xfId="47365"/>
    <cellStyle name="Обычный 8 8 4 2 2 3" xfId="47366"/>
    <cellStyle name="Обычный 8 8 4 2 2 3 2" xfId="47367"/>
    <cellStyle name="Обычный 8 8 4 2 2 3 2 2" xfId="47368"/>
    <cellStyle name="Обычный 8 8 4 2 2 3 2 3" xfId="47369"/>
    <cellStyle name="Обычный 8 8 4 2 2 3 3" xfId="47370"/>
    <cellStyle name="Обычный 8 8 4 2 2 3 3 2" xfId="47371"/>
    <cellStyle name="Обычный 8 8 4 2 2 3 3 3" xfId="47372"/>
    <cellStyle name="Обычный 8 8 4 2 2 3 4" xfId="47373"/>
    <cellStyle name="Обычный 8 8 4 2 2 3 4 2" xfId="47374"/>
    <cellStyle name="Обычный 8 8 4 2 2 3 5" xfId="47375"/>
    <cellStyle name="Обычный 8 8 4 2 2 3 6" xfId="47376"/>
    <cellStyle name="Обычный 8 8 4 2 2 4" xfId="47377"/>
    <cellStyle name="Обычный 8 8 4 2 2 4 2" xfId="47378"/>
    <cellStyle name="Обычный 8 8 4 2 2 4 3" xfId="47379"/>
    <cellStyle name="Обычный 8 8 4 2 2 5" xfId="47380"/>
    <cellStyle name="Обычный 8 8 4 2 2 5 2" xfId="47381"/>
    <cellStyle name="Обычный 8 8 4 2 2 5 3" xfId="47382"/>
    <cellStyle name="Обычный 8 8 4 2 2 6" xfId="47383"/>
    <cellStyle name="Обычный 8 8 4 2 2 6 2" xfId="47384"/>
    <cellStyle name="Обычный 8 8 4 2 2 7" xfId="47385"/>
    <cellStyle name="Обычный 8 8 4 2 2 8" xfId="47386"/>
    <cellStyle name="Обычный 8 8 4 2 3" xfId="47387"/>
    <cellStyle name="Обычный 8 8 4 2 3 2" xfId="47388"/>
    <cellStyle name="Обычный 8 8 4 2 3 2 2" xfId="47389"/>
    <cellStyle name="Обычный 8 8 4 2 3 2 2 2" xfId="47390"/>
    <cellStyle name="Обычный 8 8 4 2 3 2 2 3" xfId="47391"/>
    <cellStyle name="Обычный 8 8 4 2 3 2 3" xfId="47392"/>
    <cellStyle name="Обычный 8 8 4 2 3 2 3 2" xfId="47393"/>
    <cellStyle name="Обычный 8 8 4 2 3 2 3 3" xfId="47394"/>
    <cellStyle name="Обычный 8 8 4 2 3 2 4" xfId="47395"/>
    <cellStyle name="Обычный 8 8 4 2 3 2 4 2" xfId="47396"/>
    <cellStyle name="Обычный 8 8 4 2 3 2 5" xfId="47397"/>
    <cellStyle name="Обычный 8 8 4 2 3 2 6" xfId="47398"/>
    <cellStyle name="Обычный 8 8 4 2 3 3" xfId="47399"/>
    <cellStyle name="Обычный 8 8 4 2 3 3 2" xfId="47400"/>
    <cellStyle name="Обычный 8 8 4 2 3 3 3" xfId="47401"/>
    <cellStyle name="Обычный 8 8 4 2 3 4" xfId="47402"/>
    <cellStyle name="Обычный 8 8 4 2 3 4 2" xfId="47403"/>
    <cellStyle name="Обычный 8 8 4 2 3 4 3" xfId="47404"/>
    <cellStyle name="Обычный 8 8 4 2 3 5" xfId="47405"/>
    <cellStyle name="Обычный 8 8 4 2 3 5 2" xfId="47406"/>
    <cellStyle name="Обычный 8 8 4 2 3 6" xfId="47407"/>
    <cellStyle name="Обычный 8 8 4 2 3 7" xfId="47408"/>
    <cellStyle name="Обычный 8 8 4 2 4" xfId="47409"/>
    <cellStyle name="Обычный 8 8 4 2 4 2" xfId="47410"/>
    <cellStyle name="Обычный 8 8 4 2 4 2 2" xfId="47411"/>
    <cellStyle name="Обычный 8 8 4 2 4 2 3" xfId="47412"/>
    <cellStyle name="Обычный 8 8 4 2 4 3" xfId="47413"/>
    <cellStyle name="Обычный 8 8 4 2 4 3 2" xfId="47414"/>
    <cellStyle name="Обычный 8 8 4 2 4 3 3" xfId="47415"/>
    <cellStyle name="Обычный 8 8 4 2 4 4" xfId="47416"/>
    <cellStyle name="Обычный 8 8 4 2 4 4 2" xfId="47417"/>
    <cellStyle name="Обычный 8 8 4 2 4 5" xfId="47418"/>
    <cellStyle name="Обычный 8 8 4 2 4 6" xfId="47419"/>
    <cellStyle name="Обычный 8 8 4 2 5" xfId="47420"/>
    <cellStyle name="Обычный 8 8 4 2 5 2" xfId="47421"/>
    <cellStyle name="Обычный 8 8 4 2 5 3" xfId="47422"/>
    <cellStyle name="Обычный 8 8 4 2 6" xfId="47423"/>
    <cellStyle name="Обычный 8 8 4 2 6 2" xfId="47424"/>
    <cellStyle name="Обычный 8 8 4 2 6 3" xfId="47425"/>
    <cellStyle name="Обычный 8 8 4 2 7" xfId="47426"/>
    <cellStyle name="Обычный 8 8 4 2 7 2" xfId="47427"/>
    <cellStyle name="Обычный 8 8 4 2 8" xfId="47428"/>
    <cellStyle name="Обычный 8 8 4 2 9" xfId="47429"/>
    <cellStyle name="Обычный 8 8 4 3" xfId="47430"/>
    <cellStyle name="Обычный 8 8 4 3 2" xfId="47431"/>
    <cellStyle name="Обычный 8 8 4 3 2 2" xfId="47432"/>
    <cellStyle name="Обычный 8 8 4 3 2 2 2" xfId="47433"/>
    <cellStyle name="Обычный 8 8 4 3 2 2 2 2" xfId="47434"/>
    <cellStyle name="Обычный 8 8 4 3 2 2 2 3" xfId="47435"/>
    <cellStyle name="Обычный 8 8 4 3 2 2 3" xfId="47436"/>
    <cellStyle name="Обычный 8 8 4 3 2 2 3 2" xfId="47437"/>
    <cellStyle name="Обычный 8 8 4 3 2 2 3 3" xfId="47438"/>
    <cellStyle name="Обычный 8 8 4 3 2 2 4" xfId="47439"/>
    <cellStyle name="Обычный 8 8 4 3 2 2 4 2" xfId="47440"/>
    <cellStyle name="Обычный 8 8 4 3 2 2 5" xfId="47441"/>
    <cellStyle name="Обычный 8 8 4 3 2 2 6" xfId="47442"/>
    <cellStyle name="Обычный 8 8 4 3 2 3" xfId="47443"/>
    <cellStyle name="Обычный 8 8 4 3 2 3 2" xfId="47444"/>
    <cellStyle name="Обычный 8 8 4 3 2 3 3" xfId="47445"/>
    <cellStyle name="Обычный 8 8 4 3 2 4" xfId="47446"/>
    <cellStyle name="Обычный 8 8 4 3 2 4 2" xfId="47447"/>
    <cellStyle name="Обычный 8 8 4 3 2 4 3" xfId="47448"/>
    <cellStyle name="Обычный 8 8 4 3 2 5" xfId="47449"/>
    <cellStyle name="Обычный 8 8 4 3 2 5 2" xfId="47450"/>
    <cellStyle name="Обычный 8 8 4 3 2 6" xfId="47451"/>
    <cellStyle name="Обычный 8 8 4 3 2 7" xfId="47452"/>
    <cellStyle name="Обычный 8 8 4 3 3" xfId="47453"/>
    <cellStyle name="Обычный 8 8 4 3 3 2" xfId="47454"/>
    <cellStyle name="Обычный 8 8 4 3 3 2 2" xfId="47455"/>
    <cellStyle name="Обычный 8 8 4 3 3 2 3" xfId="47456"/>
    <cellStyle name="Обычный 8 8 4 3 3 3" xfId="47457"/>
    <cellStyle name="Обычный 8 8 4 3 3 3 2" xfId="47458"/>
    <cellStyle name="Обычный 8 8 4 3 3 3 3" xfId="47459"/>
    <cellStyle name="Обычный 8 8 4 3 3 4" xfId="47460"/>
    <cellStyle name="Обычный 8 8 4 3 3 4 2" xfId="47461"/>
    <cellStyle name="Обычный 8 8 4 3 3 5" xfId="47462"/>
    <cellStyle name="Обычный 8 8 4 3 3 6" xfId="47463"/>
    <cellStyle name="Обычный 8 8 4 3 4" xfId="47464"/>
    <cellStyle name="Обычный 8 8 4 3 4 2" xfId="47465"/>
    <cellStyle name="Обычный 8 8 4 3 4 3" xfId="47466"/>
    <cellStyle name="Обычный 8 8 4 3 5" xfId="47467"/>
    <cellStyle name="Обычный 8 8 4 3 5 2" xfId="47468"/>
    <cellStyle name="Обычный 8 8 4 3 5 3" xfId="47469"/>
    <cellStyle name="Обычный 8 8 4 3 6" xfId="47470"/>
    <cellStyle name="Обычный 8 8 4 3 6 2" xfId="47471"/>
    <cellStyle name="Обычный 8 8 4 3 7" xfId="47472"/>
    <cellStyle name="Обычный 8 8 4 3 8" xfId="47473"/>
    <cellStyle name="Обычный 8 8 4 4" xfId="47474"/>
    <cellStyle name="Обычный 8 8 4 4 2" xfId="47475"/>
    <cellStyle name="Обычный 8 8 4 4 2 2" xfId="47476"/>
    <cellStyle name="Обычный 8 8 4 4 2 2 2" xfId="47477"/>
    <cellStyle name="Обычный 8 8 4 4 2 2 3" xfId="47478"/>
    <cellStyle name="Обычный 8 8 4 4 2 3" xfId="47479"/>
    <cellStyle name="Обычный 8 8 4 4 2 3 2" xfId="47480"/>
    <cellStyle name="Обычный 8 8 4 4 2 3 3" xfId="47481"/>
    <cellStyle name="Обычный 8 8 4 4 2 4" xfId="47482"/>
    <cellStyle name="Обычный 8 8 4 4 2 4 2" xfId="47483"/>
    <cellStyle name="Обычный 8 8 4 4 2 5" xfId="47484"/>
    <cellStyle name="Обычный 8 8 4 4 2 6" xfId="47485"/>
    <cellStyle name="Обычный 8 8 4 4 3" xfId="47486"/>
    <cellStyle name="Обычный 8 8 4 4 3 2" xfId="47487"/>
    <cellStyle name="Обычный 8 8 4 4 3 3" xfId="47488"/>
    <cellStyle name="Обычный 8 8 4 4 4" xfId="47489"/>
    <cellStyle name="Обычный 8 8 4 4 4 2" xfId="47490"/>
    <cellStyle name="Обычный 8 8 4 4 4 3" xfId="47491"/>
    <cellStyle name="Обычный 8 8 4 4 5" xfId="47492"/>
    <cellStyle name="Обычный 8 8 4 4 5 2" xfId="47493"/>
    <cellStyle name="Обычный 8 8 4 4 6" xfId="47494"/>
    <cellStyle name="Обычный 8 8 4 4 7" xfId="47495"/>
    <cellStyle name="Обычный 8 8 4 5" xfId="47496"/>
    <cellStyle name="Обычный 8 8 4 5 2" xfId="47497"/>
    <cellStyle name="Обычный 8 8 4 5 2 2" xfId="47498"/>
    <cellStyle name="Обычный 8 8 4 5 2 3" xfId="47499"/>
    <cellStyle name="Обычный 8 8 4 5 3" xfId="47500"/>
    <cellStyle name="Обычный 8 8 4 5 3 2" xfId="47501"/>
    <cellStyle name="Обычный 8 8 4 5 3 3" xfId="47502"/>
    <cellStyle name="Обычный 8 8 4 5 4" xfId="47503"/>
    <cellStyle name="Обычный 8 8 4 5 4 2" xfId="47504"/>
    <cellStyle name="Обычный 8 8 4 5 5" xfId="47505"/>
    <cellStyle name="Обычный 8 8 4 5 6" xfId="47506"/>
    <cellStyle name="Обычный 8 8 4 6" xfId="47507"/>
    <cellStyle name="Обычный 8 8 4 6 2" xfId="47508"/>
    <cellStyle name="Обычный 8 8 4 6 3" xfId="47509"/>
    <cellStyle name="Обычный 8 8 4 7" xfId="47510"/>
    <cellStyle name="Обычный 8 8 4 7 2" xfId="47511"/>
    <cellStyle name="Обычный 8 8 4 7 3" xfId="47512"/>
    <cellStyle name="Обычный 8 8 4 8" xfId="47513"/>
    <cellStyle name="Обычный 8 8 4 8 2" xfId="47514"/>
    <cellStyle name="Обычный 8 8 4 9" xfId="47515"/>
    <cellStyle name="Обычный 8 8 5" xfId="47516"/>
    <cellStyle name="Обычный 8 8 5 10" xfId="47517"/>
    <cellStyle name="Обычный 8 8 5 2" xfId="47518"/>
    <cellStyle name="Обычный 8 8 5 2 2" xfId="47519"/>
    <cellStyle name="Обычный 8 8 5 2 2 2" xfId="47520"/>
    <cellStyle name="Обычный 8 8 5 2 2 2 2" xfId="47521"/>
    <cellStyle name="Обычный 8 8 5 2 2 2 2 2" xfId="47522"/>
    <cellStyle name="Обычный 8 8 5 2 2 2 2 2 2" xfId="47523"/>
    <cellStyle name="Обычный 8 8 5 2 2 2 2 2 3" xfId="47524"/>
    <cellStyle name="Обычный 8 8 5 2 2 2 2 3" xfId="47525"/>
    <cellStyle name="Обычный 8 8 5 2 2 2 2 3 2" xfId="47526"/>
    <cellStyle name="Обычный 8 8 5 2 2 2 2 3 3" xfId="47527"/>
    <cellStyle name="Обычный 8 8 5 2 2 2 2 4" xfId="47528"/>
    <cellStyle name="Обычный 8 8 5 2 2 2 2 4 2" xfId="47529"/>
    <cellStyle name="Обычный 8 8 5 2 2 2 2 5" xfId="47530"/>
    <cellStyle name="Обычный 8 8 5 2 2 2 2 6" xfId="47531"/>
    <cellStyle name="Обычный 8 8 5 2 2 2 3" xfId="47532"/>
    <cellStyle name="Обычный 8 8 5 2 2 2 3 2" xfId="47533"/>
    <cellStyle name="Обычный 8 8 5 2 2 2 3 3" xfId="47534"/>
    <cellStyle name="Обычный 8 8 5 2 2 2 4" xfId="47535"/>
    <cellStyle name="Обычный 8 8 5 2 2 2 4 2" xfId="47536"/>
    <cellStyle name="Обычный 8 8 5 2 2 2 4 3" xfId="47537"/>
    <cellStyle name="Обычный 8 8 5 2 2 2 5" xfId="47538"/>
    <cellStyle name="Обычный 8 8 5 2 2 2 5 2" xfId="47539"/>
    <cellStyle name="Обычный 8 8 5 2 2 2 6" xfId="47540"/>
    <cellStyle name="Обычный 8 8 5 2 2 2 7" xfId="47541"/>
    <cellStyle name="Обычный 8 8 5 2 2 3" xfId="47542"/>
    <cellStyle name="Обычный 8 8 5 2 2 3 2" xfId="47543"/>
    <cellStyle name="Обычный 8 8 5 2 2 3 2 2" xfId="47544"/>
    <cellStyle name="Обычный 8 8 5 2 2 3 2 3" xfId="47545"/>
    <cellStyle name="Обычный 8 8 5 2 2 3 3" xfId="47546"/>
    <cellStyle name="Обычный 8 8 5 2 2 3 3 2" xfId="47547"/>
    <cellStyle name="Обычный 8 8 5 2 2 3 3 3" xfId="47548"/>
    <cellStyle name="Обычный 8 8 5 2 2 3 4" xfId="47549"/>
    <cellStyle name="Обычный 8 8 5 2 2 3 4 2" xfId="47550"/>
    <cellStyle name="Обычный 8 8 5 2 2 3 5" xfId="47551"/>
    <cellStyle name="Обычный 8 8 5 2 2 3 6" xfId="47552"/>
    <cellStyle name="Обычный 8 8 5 2 2 4" xfId="47553"/>
    <cellStyle name="Обычный 8 8 5 2 2 4 2" xfId="47554"/>
    <cellStyle name="Обычный 8 8 5 2 2 4 3" xfId="47555"/>
    <cellStyle name="Обычный 8 8 5 2 2 5" xfId="47556"/>
    <cellStyle name="Обычный 8 8 5 2 2 5 2" xfId="47557"/>
    <cellStyle name="Обычный 8 8 5 2 2 5 3" xfId="47558"/>
    <cellStyle name="Обычный 8 8 5 2 2 6" xfId="47559"/>
    <cellStyle name="Обычный 8 8 5 2 2 6 2" xfId="47560"/>
    <cellStyle name="Обычный 8 8 5 2 2 7" xfId="47561"/>
    <cellStyle name="Обычный 8 8 5 2 2 8" xfId="47562"/>
    <cellStyle name="Обычный 8 8 5 2 3" xfId="47563"/>
    <cellStyle name="Обычный 8 8 5 2 3 2" xfId="47564"/>
    <cellStyle name="Обычный 8 8 5 2 3 2 2" xfId="47565"/>
    <cellStyle name="Обычный 8 8 5 2 3 2 2 2" xfId="47566"/>
    <cellStyle name="Обычный 8 8 5 2 3 2 2 3" xfId="47567"/>
    <cellStyle name="Обычный 8 8 5 2 3 2 3" xfId="47568"/>
    <cellStyle name="Обычный 8 8 5 2 3 2 3 2" xfId="47569"/>
    <cellStyle name="Обычный 8 8 5 2 3 2 3 3" xfId="47570"/>
    <cellStyle name="Обычный 8 8 5 2 3 2 4" xfId="47571"/>
    <cellStyle name="Обычный 8 8 5 2 3 2 4 2" xfId="47572"/>
    <cellStyle name="Обычный 8 8 5 2 3 2 5" xfId="47573"/>
    <cellStyle name="Обычный 8 8 5 2 3 2 6" xfId="47574"/>
    <cellStyle name="Обычный 8 8 5 2 3 3" xfId="47575"/>
    <cellStyle name="Обычный 8 8 5 2 3 3 2" xfId="47576"/>
    <cellStyle name="Обычный 8 8 5 2 3 3 3" xfId="47577"/>
    <cellStyle name="Обычный 8 8 5 2 3 4" xfId="47578"/>
    <cellStyle name="Обычный 8 8 5 2 3 4 2" xfId="47579"/>
    <cellStyle name="Обычный 8 8 5 2 3 4 3" xfId="47580"/>
    <cellStyle name="Обычный 8 8 5 2 3 5" xfId="47581"/>
    <cellStyle name="Обычный 8 8 5 2 3 5 2" xfId="47582"/>
    <cellStyle name="Обычный 8 8 5 2 3 6" xfId="47583"/>
    <cellStyle name="Обычный 8 8 5 2 3 7" xfId="47584"/>
    <cellStyle name="Обычный 8 8 5 2 4" xfId="47585"/>
    <cellStyle name="Обычный 8 8 5 2 4 2" xfId="47586"/>
    <cellStyle name="Обычный 8 8 5 2 4 2 2" xfId="47587"/>
    <cellStyle name="Обычный 8 8 5 2 4 2 3" xfId="47588"/>
    <cellStyle name="Обычный 8 8 5 2 4 3" xfId="47589"/>
    <cellStyle name="Обычный 8 8 5 2 4 3 2" xfId="47590"/>
    <cellStyle name="Обычный 8 8 5 2 4 3 3" xfId="47591"/>
    <cellStyle name="Обычный 8 8 5 2 4 4" xfId="47592"/>
    <cellStyle name="Обычный 8 8 5 2 4 4 2" xfId="47593"/>
    <cellStyle name="Обычный 8 8 5 2 4 5" xfId="47594"/>
    <cellStyle name="Обычный 8 8 5 2 4 6" xfId="47595"/>
    <cellStyle name="Обычный 8 8 5 2 5" xfId="47596"/>
    <cellStyle name="Обычный 8 8 5 2 5 2" xfId="47597"/>
    <cellStyle name="Обычный 8 8 5 2 5 3" xfId="47598"/>
    <cellStyle name="Обычный 8 8 5 2 6" xfId="47599"/>
    <cellStyle name="Обычный 8 8 5 2 6 2" xfId="47600"/>
    <cellStyle name="Обычный 8 8 5 2 6 3" xfId="47601"/>
    <cellStyle name="Обычный 8 8 5 2 7" xfId="47602"/>
    <cellStyle name="Обычный 8 8 5 2 7 2" xfId="47603"/>
    <cellStyle name="Обычный 8 8 5 2 8" xfId="47604"/>
    <cellStyle name="Обычный 8 8 5 2 9" xfId="47605"/>
    <cellStyle name="Обычный 8 8 5 3" xfId="47606"/>
    <cellStyle name="Обычный 8 8 5 3 2" xfId="47607"/>
    <cellStyle name="Обычный 8 8 5 3 2 2" xfId="47608"/>
    <cellStyle name="Обычный 8 8 5 3 2 2 2" xfId="47609"/>
    <cellStyle name="Обычный 8 8 5 3 2 2 2 2" xfId="47610"/>
    <cellStyle name="Обычный 8 8 5 3 2 2 2 3" xfId="47611"/>
    <cellStyle name="Обычный 8 8 5 3 2 2 3" xfId="47612"/>
    <cellStyle name="Обычный 8 8 5 3 2 2 3 2" xfId="47613"/>
    <cellStyle name="Обычный 8 8 5 3 2 2 3 3" xfId="47614"/>
    <cellStyle name="Обычный 8 8 5 3 2 2 4" xfId="47615"/>
    <cellStyle name="Обычный 8 8 5 3 2 2 4 2" xfId="47616"/>
    <cellStyle name="Обычный 8 8 5 3 2 2 5" xfId="47617"/>
    <cellStyle name="Обычный 8 8 5 3 2 2 6" xfId="47618"/>
    <cellStyle name="Обычный 8 8 5 3 2 3" xfId="47619"/>
    <cellStyle name="Обычный 8 8 5 3 2 3 2" xfId="47620"/>
    <cellStyle name="Обычный 8 8 5 3 2 3 3" xfId="47621"/>
    <cellStyle name="Обычный 8 8 5 3 2 4" xfId="47622"/>
    <cellStyle name="Обычный 8 8 5 3 2 4 2" xfId="47623"/>
    <cellStyle name="Обычный 8 8 5 3 2 4 3" xfId="47624"/>
    <cellStyle name="Обычный 8 8 5 3 2 5" xfId="47625"/>
    <cellStyle name="Обычный 8 8 5 3 2 5 2" xfId="47626"/>
    <cellStyle name="Обычный 8 8 5 3 2 6" xfId="47627"/>
    <cellStyle name="Обычный 8 8 5 3 2 7" xfId="47628"/>
    <cellStyle name="Обычный 8 8 5 3 3" xfId="47629"/>
    <cellStyle name="Обычный 8 8 5 3 3 2" xfId="47630"/>
    <cellStyle name="Обычный 8 8 5 3 3 2 2" xfId="47631"/>
    <cellStyle name="Обычный 8 8 5 3 3 2 3" xfId="47632"/>
    <cellStyle name="Обычный 8 8 5 3 3 3" xfId="47633"/>
    <cellStyle name="Обычный 8 8 5 3 3 3 2" xfId="47634"/>
    <cellStyle name="Обычный 8 8 5 3 3 3 3" xfId="47635"/>
    <cellStyle name="Обычный 8 8 5 3 3 4" xfId="47636"/>
    <cellStyle name="Обычный 8 8 5 3 3 4 2" xfId="47637"/>
    <cellStyle name="Обычный 8 8 5 3 3 5" xfId="47638"/>
    <cellStyle name="Обычный 8 8 5 3 3 6" xfId="47639"/>
    <cellStyle name="Обычный 8 8 5 3 4" xfId="47640"/>
    <cellStyle name="Обычный 8 8 5 3 4 2" xfId="47641"/>
    <cellStyle name="Обычный 8 8 5 3 4 3" xfId="47642"/>
    <cellStyle name="Обычный 8 8 5 3 5" xfId="47643"/>
    <cellStyle name="Обычный 8 8 5 3 5 2" xfId="47644"/>
    <cellStyle name="Обычный 8 8 5 3 5 3" xfId="47645"/>
    <cellStyle name="Обычный 8 8 5 3 6" xfId="47646"/>
    <cellStyle name="Обычный 8 8 5 3 6 2" xfId="47647"/>
    <cellStyle name="Обычный 8 8 5 3 7" xfId="47648"/>
    <cellStyle name="Обычный 8 8 5 3 8" xfId="47649"/>
    <cellStyle name="Обычный 8 8 5 4" xfId="47650"/>
    <cellStyle name="Обычный 8 8 5 4 2" xfId="47651"/>
    <cellStyle name="Обычный 8 8 5 4 2 2" xfId="47652"/>
    <cellStyle name="Обычный 8 8 5 4 2 2 2" xfId="47653"/>
    <cellStyle name="Обычный 8 8 5 4 2 2 3" xfId="47654"/>
    <cellStyle name="Обычный 8 8 5 4 2 3" xfId="47655"/>
    <cellStyle name="Обычный 8 8 5 4 2 3 2" xfId="47656"/>
    <cellStyle name="Обычный 8 8 5 4 2 3 3" xfId="47657"/>
    <cellStyle name="Обычный 8 8 5 4 2 4" xfId="47658"/>
    <cellStyle name="Обычный 8 8 5 4 2 4 2" xfId="47659"/>
    <cellStyle name="Обычный 8 8 5 4 2 5" xfId="47660"/>
    <cellStyle name="Обычный 8 8 5 4 2 6" xfId="47661"/>
    <cellStyle name="Обычный 8 8 5 4 3" xfId="47662"/>
    <cellStyle name="Обычный 8 8 5 4 3 2" xfId="47663"/>
    <cellStyle name="Обычный 8 8 5 4 3 3" xfId="47664"/>
    <cellStyle name="Обычный 8 8 5 4 4" xfId="47665"/>
    <cellStyle name="Обычный 8 8 5 4 4 2" xfId="47666"/>
    <cellStyle name="Обычный 8 8 5 4 4 3" xfId="47667"/>
    <cellStyle name="Обычный 8 8 5 4 5" xfId="47668"/>
    <cellStyle name="Обычный 8 8 5 4 5 2" xfId="47669"/>
    <cellStyle name="Обычный 8 8 5 4 6" xfId="47670"/>
    <cellStyle name="Обычный 8 8 5 4 7" xfId="47671"/>
    <cellStyle name="Обычный 8 8 5 5" xfId="47672"/>
    <cellStyle name="Обычный 8 8 5 5 2" xfId="47673"/>
    <cellStyle name="Обычный 8 8 5 5 2 2" xfId="47674"/>
    <cellStyle name="Обычный 8 8 5 5 2 3" xfId="47675"/>
    <cellStyle name="Обычный 8 8 5 5 3" xfId="47676"/>
    <cellStyle name="Обычный 8 8 5 5 3 2" xfId="47677"/>
    <cellStyle name="Обычный 8 8 5 5 3 3" xfId="47678"/>
    <cellStyle name="Обычный 8 8 5 5 4" xfId="47679"/>
    <cellStyle name="Обычный 8 8 5 5 4 2" xfId="47680"/>
    <cellStyle name="Обычный 8 8 5 5 5" xfId="47681"/>
    <cellStyle name="Обычный 8 8 5 5 6" xfId="47682"/>
    <cellStyle name="Обычный 8 8 5 6" xfId="47683"/>
    <cellStyle name="Обычный 8 8 5 6 2" xfId="47684"/>
    <cellStyle name="Обычный 8 8 5 6 3" xfId="47685"/>
    <cellStyle name="Обычный 8 8 5 7" xfId="47686"/>
    <cellStyle name="Обычный 8 8 5 7 2" xfId="47687"/>
    <cellStyle name="Обычный 8 8 5 7 3" xfId="47688"/>
    <cellStyle name="Обычный 8 8 5 8" xfId="47689"/>
    <cellStyle name="Обычный 8 8 5 8 2" xfId="47690"/>
    <cellStyle name="Обычный 8 8 5 9" xfId="47691"/>
    <cellStyle name="Обычный 8 8 6" xfId="47692"/>
    <cellStyle name="Обычный 8 8 6 2" xfId="47693"/>
    <cellStyle name="Обычный 8 8 6 2 2" xfId="47694"/>
    <cellStyle name="Обычный 8 8 6 2 2 2" xfId="47695"/>
    <cellStyle name="Обычный 8 8 6 2 2 2 2" xfId="47696"/>
    <cellStyle name="Обычный 8 8 6 2 2 2 2 2" xfId="47697"/>
    <cellStyle name="Обычный 8 8 6 2 2 2 2 3" xfId="47698"/>
    <cellStyle name="Обычный 8 8 6 2 2 2 3" xfId="47699"/>
    <cellStyle name="Обычный 8 8 6 2 2 2 3 2" xfId="47700"/>
    <cellStyle name="Обычный 8 8 6 2 2 2 3 3" xfId="47701"/>
    <cellStyle name="Обычный 8 8 6 2 2 2 4" xfId="47702"/>
    <cellStyle name="Обычный 8 8 6 2 2 2 4 2" xfId="47703"/>
    <cellStyle name="Обычный 8 8 6 2 2 2 5" xfId="47704"/>
    <cellStyle name="Обычный 8 8 6 2 2 2 6" xfId="47705"/>
    <cellStyle name="Обычный 8 8 6 2 2 3" xfId="47706"/>
    <cellStyle name="Обычный 8 8 6 2 2 3 2" xfId="47707"/>
    <cellStyle name="Обычный 8 8 6 2 2 3 3" xfId="47708"/>
    <cellStyle name="Обычный 8 8 6 2 2 4" xfId="47709"/>
    <cellStyle name="Обычный 8 8 6 2 2 4 2" xfId="47710"/>
    <cellStyle name="Обычный 8 8 6 2 2 4 3" xfId="47711"/>
    <cellStyle name="Обычный 8 8 6 2 2 5" xfId="47712"/>
    <cellStyle name="Обычный 8 8 6 2 2 5 2" xfId="47713"/>
    <cellStyle name="Обычный 8 8 6 2 2 6" xfId="47714"/>
    <cellStyle name="Обычный 8 8 6 2 2 7" xfId="47715"/>
    <cellStyle name="Обычный 8 8 6 2 3" xfId="47716"/>
    <cellStyle name="Обычный 8 8 6 2 3 2" xfId="47717"/>
    <cellStyle name="Обычный 8 8 6 2 3 2 2" xfId="47718"/>
    <cellStyle name="Обычный 8 8 6 2 3 2 3" xfId="47719"/>
    <cellStyle name="Обычный 8 8 6 2 3 3" xfId="47720"/>
    <cellStyle name="Обычный 8 8 6 2 3 3 2" xfId="47721"/>
    <cellStyle name="Обычный 8 8 6 2 3 3 3" xfId="47722"/>
    <cellStyle name="Обычный 8 8 6 2 3 4" xfId="47723"/>
    <cellStyle name="Обычный 8 8 6 2 3 4 2" xfId="47724"/>
    <cellStyle name="Обычный 8 8 6 2 3 5" xfId="47725"/>
    <cellStyle name="Обычный 8 8 6 2 3 6" xfId="47726"/>
    <cellStyle name="Обычный 8 8 6 2 4" xfId="47727"/>
    <cellStyle name="Обычный 8 8 6 2 4 2" xfId="47728"/>
    <cellStyle name="Обычный 8 8 6 2 4 3" xfId="47729"/>
    <cellStyle name="Обычный 8 8 6 2 5" xfId="47730"/>
    <cellStyle name="Обычный 8 8 6 2 5 2" xfId="47731"/>
    <cellStyle name="Обычный 8 8 6 2 5 3" xfId="47732"/>
    <cellStyle name="Обычный 8 8 6 2 6" xfId="47733"/>
    <cellStyle name="Обычный 8 8 6 2 6 2" xfId="47734"/>
    <cellStyle name="Обычный 8 8 6 2 7" xfId="47735"/>
    <cellStyle name="Обычный 8 8 6 2 8" xfId="47736"/>
    <cellStyle name="Обычный 8 8 6 3" xfId="47737"/>
    <cellStyle name="Обычный 8 8 6 3 2" xfId="47738"/>
    <cellStyle name="Обычный 8 8 6 3 2 2" xfId="47739"/>
    <cellStyle name="Обычный 8 8 6 3 2 2 2" xfId="47740"/>
    <cellStyle name="Обычный 8 8 6 3 2 2 3" xfId="47741"/>
    <cellStyle name="Обычный 8 8 6 3 2 3" xfId="47742"/>
    <cellStyle name="Обычный 8 8 6 3 2 3 2" xfId="47743"/>
    <cellStyle name="Обычный 8 8 6 3 2 3 3" xfId="47744"/>
    <cellStyle name="Обычный 8 8 6 3 2 4" xfId="47745"/>
    <cellStyle name="Обычный 8 8 6 3 2 4 2" xfId="47746"/>
    <cellStyle name="Обычный 8 8 6 3 2 5" xfId="47747"/>
    <cellStyle name="Обычный 8 8 6 3 2 6" xfId="47748"/>
    <cellStyle name="Обычный 8 8 6 3 3" xfId="47749"/>
    <cellStyle name="Обычный 8 8 6 3 3 2" xfId="47750"/>
    <cellStyle name="Обычный 8 8 6 3 3 3" xfId="47751"/>
    <cellStyle name="Обычный 8 8 6 3 4" xfId="47752"/>
    <cellStyle name="Обычный 8 8 6 3 4 2" xfId="47753"/>
    <cellStyle name="Обычный 8 8 6 3 4 3" xfId="47754"/>
    <cellStyle name="Обычный 8 8 6 3 5" xfId="47755"/>
    <cellStyle name="Обычный 8 8 6 3 5 2" xfId="47756"/>
    <cellStyle name="Обычный 8 8 6 3 6" xfId="47757"/>
    <cellStyle name="Обычный 8 8 6 3 7" xfId="47758"/>
    <cellStyle name="Обычный 8 8 6 4" xfId="47759"/>
    <cellStyle name="Обычный 8 8 6 4 2" xfId="47760"/>
    <cellStyle name="Обычный 8 8 6 4 2 2" xfId="47761"/>
    <cellStyle name="Обычный 8 8 6 4 2 3" xfId="47762"/>
    <cellStyle name="Обычный 8 8 6 4 3" xfId="47763"/>
    <cellStyle name="Обычный 8 8 6 4 3 2" xfId="47764"/>
    <cellStyle name="Обычный 8 8 6 4 3 3" xfId="47765"/>
    <cellStyle name="Обычный 8 8 6 4 4" xfId="47766"/>
    <cellStyle name="Обычный 8 8 6 4 4 2" xfId="47767"/>
    <cellStyle name="Обычный 8 8 6 4 5" xfId="47768"/>
    <cellStyle name="Обычный 8 8 6 4 6" xfId="47769"/>
    <cellStyle name="Обычный 8 8 6 5" xfId="47770"/>
    <cellStyle name="Обычный 8 8 6 5 2" xfId="47771"/>
    <cellStyle name="Обычный 8 8 6 5 3" xfId="47772"/>
    <cellStyle name="Обычный 8 8 6 6" xfId="47773"/>
    <cellStyle name="Обычный 8 8 6 6 2" xfId="47774"/>
    <cellStyle name="Обычный 8 8 6 6 3" xfId="47775"/>
    <cellStyle name="Обычный 8 8 6 7" xfId="47776"/>
    <cellStyle name="Обычный 8 8 6 7 2" xfId="47777"/>
    <cellStyle name="Обычный 8 8 6 8" xfId="47778"/>
    <cellStyle name="Обычный 8 8 6 9" xfId="47779"/>
    <cellStyle name="Обычный 8 8 7" xfId="47780"/>
    <cellStyle name="Обычный 8 8 7 2" xfId="47781"/>
    <cellStyle name="Обычный 8 8 7 2 2" xfId="47782"/>
    <cellStyle name="Обычный 8 8 7 2 2 2" xfId="47783"/>
    <cellStyle name="Обычный 8 8 7 2 2 2 2" xfId="47784"/>
    <cellStyle name="Обычный 8 8 7 2 2 2 3" xfId="47785"/>
    <cellStyle name="Обычный 8 8 7 2 2 3" xfId="47786"/>
    <cellStyle name="Обычный 8 8 7 2 2 3 2" xfId="47787"/>
    <cellStyle name="Обычный 8 8 7 2 2 3 3" xfId="47788"/>
    <cellStyle name="Обычный 8 8 7 2 2 4" xfId="47789"/>
    <cellStyle name="Обычный 8 8 7 2 2 4 2" xfId="47790"/>
    <cellStyle name="Обычный 8 8 7 2 2 5" xfId="47791"/>
    <cellStyle name="Обычный 8 8 7 2 2 6" xfId="47792"/>
    <cellStyle name="Обычный 8 8 7 2 3" xfId="47793"/>
    <cellStyle name="Обычный 8 8 7 2 3 2" xfId="47794"/>
    <cellStyle name="Обычный 8 8 7 2 3 3" xfId="47795"/>
    <cellStyle name="Обычный 8 8 7 2 4" xfId="47796"/>
    <cellStyle name="Обычный 8 8 7 2 4 2" xfId="47797"/>
    <cellStyle name="Обычный 8 8 7 2 4 3" xfId="47798"/>
    <cellStyle name="Обычный 8 8 7 2 5" xfId="47799"/>
    <cellStyle name="Обычный 8 8 7 2 5 2" xfId="47800"/>
    <cellStyle name="Обычный 8 8 7 2 6" xfId="47801"/>
    <cellStyle name="Обычный 8 8 7 2 7" xfId="47802"/>
    <cellStyle name="Обычный 8 8 7 3" xfId="47803"/>
    <cellStyle name="Обычный 8 8 7 3 2" xfId="47804"/>
    <cellStyle name="Обычный 8 8 7 3 2 2" xfId="47805"/>
    <cellStyle name="Обычный 8 8 7 3 2 3" xfId="47806"/>
    <cellStyle name="Обычный 8 8 7 3 3" xfId="47807"/>
    <cellStyle name="Обычный 8 8 7 3 3 2" xfId="47808"/>
    <cellStyle name="Обычный 8 8 7 3 3 3" xfId="47809"/>
    <cellStyle name="Обычный 8 8 7 3 4" xfId="47810"/>
    <cellStyle name="Обычный 8 8 7 3 4 2" xfId="47811"/>
    <cellStyle name="Обычный 8 8 7 3 5" xfId="47812"/>
    <cellStyle name="Обычный 8 8 7 3 6" xfId="47813"/>
    <cellStyle name="Обычный 8 8 7 4" xfId="47814"/>
    <cellStyle name="Обычный 8 8 7 4 2" xfId="47815"/>
    <cellStyle name="Обычный 8 8 7 4 3" xfId="47816"/>
    <cellStyle name="Обычный 8 8 7 5" xfId="47817"/>
    <cellStyle name="Обычный 8 8 7 5 2" xfId="47818"/>
    <cellStyle name="Обычный 8 8 7 5 3" xfId="47819"/>
    <cellStyle name="Обычный 8 8 7 6" xfId="47820"/>
    <cellStyle name="Обычный 8 8 7 6 2" xfId="47821"/>
    <cellStyle name="Обычный 8 8 7 7" xfId="47822"/>
    <cellStyle name="Обычный 8 8 7 8" xfId="47823"/>
    <cellStyle name="Обычный 8 8 8" xfId="47824"/>
    <cellStyle name="Обычный 8 8 8 2" xfId="47825"/>
    <cellStyle name="Обычный 8 8 8 2 2" xfId="47826"/>
    <cellStyle name="Обычный 8 8 8 2 2 2" xfId="47827"/>
    <cellStyle name="Обычный 8 8 8 2 2 3" xfId="47828"/>
    <cellStyle name="Обычный 8 8 8 2 3" xfId="47829"/>
    <cellStyle name="Обычный 8 8 8 2 3 2" xfId="47830"/>
    <cellStyle name="Обычный 8 8 8 2 3 3" xfId="47831"/>
    <cellStyle name="Обычный 8 8 8 2 4" xfId="47832"/>
    <cellStyle name="Обычный 8 8 8 2 4 2" xfId="47833"/>
    <cellStyle name="Обычный 8 8 8 2 5" xfId="47834"/>
    <cellStyle name="Обычный 8 8 8 2 6" xfId="47835"/>
    <cellStyle name="Обычный 8 8 8 3" xfId="47836"/>
    <cellStyle name="Обычный 8 8 8 3 2" xfId="47837"/>
    <cellStyle name="Обычный 8 8 8 3 3" xfId="47838"/>
    <cellStyle name="Обычный 8 8 8 4" xfId="47839"/>
    <cellStyle name="Обычный 8 8 8 4 2" xfId="47840"/>
    <cellStyle name="Обычный 8 8 8 4 3" xfId="47841"/>
    <cellStyle name="Обычный 8 8 8 5" xfId="47842"/>
    <cellStyle name="Обычный 8 8 8 5 2" xfId="47843"/>
    <cellStyle name="Обычный 8 8 8 6" xfId="47844"/>
    <cellStyle name="Обычный 8 8 8 7" xfId="47845"/>
    <cellStyle name="Обычный 8 8 9" xfId="47846"/>
    <cellStyle name="Обычный 8 8 9 2" xfId="47847"/>
    <cellStyle name="Обычный 8 8 9 2 2" xfId="47848"/>
    <cellStyle name="Обычный 8 8 9 2 3" xfId="47849"/>
    <cellStyle name="Обычный 8 8 9 3" xfId="47850"/>
    <cellStyle name="Обычный 8 8 9 3 2" xfId="47851"/>
    <cellStyle name="Обычный 8 8 9 3 3" xfId="47852"/>
    <cellStyle name="Обычный 8 8 9 4" xfId="47853"/>
    <cellStyle name="Обычный 8 8 9 4 2" xfId="47854"/>
    <cellStyle name="Обычный 8 8 9 5" xfId="47855"/>
    <cellStyle name="Обычный 8 8 9 6" xfId="47856"/>
    <cellStyle name="Обычный 8 9" xfId="47857"/>
    <cellStyle name="Обычный 8 9 10" xfId="47858"/>
    <cellStyle name="Обычный 8 9 10 2" xfId="47859"/>
    <cellStyle name="Обычный 8 9 10 3" xfId="47860"/>
    <cellStyle name="Обычный 8 9 11" xfId="47861"/>
    <cellStyle name="Обычный 8 9 11 2" xfId="47862"/>
    <cellStyle name="Обычный 8 9 12" xfId="47863"/>
    <cellStyle name="Обычный 8 9 13" xfId="47864"/>
    <cellStyle name="Обычный 8 9 2" xfId="47865"/>
    <cellStyle name="Обычный 8 9 2 10" xfId="47866"/>
    <cellStyle name="Обычный 8 9 2 2" xfId="47867"/>
    <cellStyle name="Обычный 8 9 2 2 2" xfId="47868"/>
    <cellStyle name="Обычный 8 9 2 2 2 2" xfId="47869"/>
    <cellStyle name="Обычный 8 9 2 2 2 2 2" xfId="47870"/>
    <cellStyle name="Обычный 8 9 2 2 2 2 2 2" xfId="47871"/>
    <cellStyle name="Обычный 8 9 2 2 2 2 2 2 2" xfId="47872"/>
    <cellStyle name="Обычный 8 9 2 2 2 2 2 2 3" xfId="47873"/>
    <cellStyle name="Обычный 8 9 2 2 2 2 2 3" xfId="47874"/>
    <cellStyle name="Обычный 8 9 2 2 2 2 2 3 2" xfId="47875"/>
    <cellStyle name="Обычный 8 9 2 2 2 2 2 3 3" xfId="47876"/>
    <cellStyle name="Обычный 8 9 2 2 2 2 2 4" xfId="47877"/>
    <cellStyle name="Обычный 8 9 2 2 2 2 2 4 2" xfId="47878"/>
    <cellStyle name="Обычный 8 9 2 2 2 2 2 5" xfId="47879"/>
    <cellStyle name="Обычный 8 9 2 2 2 2 2 6" xfId="47880"/>
    <cellStyle name="Обычный 8 9 2 2 2 2 3" xfId="47881"/>
    <cellStyle name="Обычный 8 9 2 2 2 2 3 2" xfId="47882"/>
    <cellStyle name="Обычный 8 9 2 2 2 2 3 3" xfId="47883"/>
    <cellStyle name="Обычный 8 9 2 2 2 2 4" xfId="47884"/>
    <cellStyle name="Обычный 8 9 2 2 2 2 4 2" xfId="47885"/>
    <cellStyle name="Обычный 8 9 2 2 2 2 4 3" xfId="47886"/>
    <cellStyle name="Обычный 8 9 2 2 2 2 5" xfId="47887"/>
    <cellStyle name="Обычный 8 9 2 2 2 2 5 2" xfId="47888"/>
    <cellStyle name="Обычный 8 9 2 2 2 2 6" xfId="47889"/>
    <cellStyle name="Обычный 8 9 2 2 2 2 7" xfId="47890"/>
    <cellStyle name="Обычный 8 9 2 2 2 3" xfId="47891"/>
    <cellStyle name="Обычный 8 9 2 2 2 3 2" xfId="47892"/>
    <cellStyle name="Обычный 8 9 2 2 2 3 2 2" xfId="47893"/>
    <cellStyle name="Обычный 8 9 2 2 2 3 2 3" xfId="47894"/>
    <cellStyle name="Обычный 8 9 2 2 2 3 3" xfId="47895"/>
    <cellStyle name="Обычный 8 9 2 2 2 3 3 2" xfId="47896"/>
    <cellStyle name="Обычный 8 9 2 2 2 3 3 3" xfId="47897"/>
    <cellStyle name="Обычный 8 9 2 2 2 3 4" xfId="47898"/>
    <cellStyle name="Обычный 8 9 2 2 2 3 4 2" xfId="47899"/>
    <cellStyle name="Обычный 8 9 2 2 2 3 5" xfId="47900"/>
    <cellStyle name="Обычный 8 9 2 2 2 3 6" xfId="47901"/>
    <cellStyle name="Обычный 8 9 2 2 2 4" xfId="47902"/>
    <cellStyle name="Обычный 8 9 2 2 2 4 2" xfId="47903"/>
    <cellStyle name="Обычный 8 9 2 2 2 4 3" xfId="47904"/>
    <cellStyle name="Обычный 8 9 2 2 2 5" xfId="47905"/>
    <cellStyle name="Обычный 8 9 2 2 2 5 2" xfId="47906"/>
    <cellStyle name="Обычный 8 9 2 2 2 5 3" xfId="47907"/>
    <cellStyle name="Обычный 8 9 2 2 2 6" xfId="47908"/>
    <cellStyle name="Обычный 8 9 2 2 2 6 2" xfId="47909"/>
    <cellStyle name="Обычный 8 9 2 2 2 7" xfId="47910"/>
    <cellStyle name="Обычный 8 9 2 2 2 8" xfId="47911"/>
    <cellStyle name="Обычный 8 9 2 2 3" xfId="47912"/>
    <cellStyle name="Обычный 8 9 2 2 3 2" xfId="47913"/>
    <cellStyle name="Обычный 8 9 2 2 3 2 2" xfId="47914"/>
    <cellStyle name="Обычный 8 9 2 2 3 2 2 2" xfId="47915"/>
    <cellStyle name="Обычный 8 9 2 2 3 2 2 3" xfId="47916"/>
    <cellStyle name="Обычный 8 9 2 2 3 2 3" xfId="47917"/>
    <cellStyle name="Обычный 8 9 2 2 3 2 3 2" xfId="47918"/>
    <cellStyle name="Обычный 8 9 2 2 3 2 3 3" xfId="47919"/>
    <cellStyle name="Обычный 8 9 2 2 3 2 4" xfId="47920"/>
    <cellStyle name="Обычный 8 9 2 2 3 2 4 2" xfId="47921"/>
    <cellStyle name="Обычный 8 9 2 2 3 2 5" xfId="47922"/>
    <cellStyle name="Обычный 8 9 2 2 3 2 6" xfId="47923"/>
    <cellStyle name="Обычный 8 9 2 2 3 3" xfId="47924"/>
    <cellStyle name="Обычный 8 9 2 2 3 3 2" xfId="47925"/>
    <cellStyle name="Обычный 8 9 2 2 3 3 3" xfId="47926"/>
    <cellStyle name="Обычный 8 9 2 2 3 4" xfId="47927"/>
    <cellStyle name="Обычный 8 9 2 2 3 4 2" xfId="47928"/>
    <cellStyle name="Обычный 8 9 2 2 3 4 3" xfId="47929"/>
    <cellStyle name="Обычный 8 9 2 2 3 5" xfId="47930"/>
    <cellStyle name="Обычный 8 9 2 2 3 5 2" xfId="47931"/>
    <cellStyle name="Обычный 8 9 2 2 3 6" xfId="47932"/>
    <cellStyle name="Обычный 8 9 2 2 3 7" xfId="47933"/>
    <cellStyle name="Обычный 8 9 2 2 4" xfId="47934"/>
    <cellStyle name="Обычный 8 9 2 2 4 2" xfId="47935"/>
    <cellStyle name="Обычный 8 9 2 2 4 2 2" xfId="47936"/>
    <cellStyle name="Обычный 8 9 2 2 4 2 3" xfId="47937"/>
    <cellStyle name="Обычный 8 9 2 2 4 3" xfId="47938"/>
    <cellStyle name="Обычный 8 9 2 2 4 3 2" xfId="47939"/>
    <cellStyle name="Обычный 8 9 2 2 4 3 3" xfId="47940"/>
    <cellStyle name="Обычный 8 9 2 2 4 4" xfId="47941"/>
    <cellStyle name="Обычный 8 9 2 2 4 4 2" xfId="47942"/>
    <cellStyle name="Обычный 8 9 2 2 4 5" xfId="47943"/>
    <cellStyle name="Обычный 8 9 2 2 4 6" xfId="47944"/>
    <cellStyle name="Обычный 8 9 2 2 5" xfId="47945"/>
    <cellStyle name="Обычный 8 9 2 2 5 2" xfId="47946"/>
    <cellStyle name="Обычный 8 9 2 2 5 3" xfId="47947"/>
    <cellStyle name="Обычный 8 9 2 2 6" xfId="47948"/>
    <cellStyle name="Обычный 8 9 2 2 6 2" xfId="47949"/>
    <cellStyle name="Обычный 8 9 2 2 6 3" xfId="47950"/>
    <cellStyle name="Обычный 8 9 2 2 7" xfId="47951"/>
    <cellStyle name="Обычный 8 9 2 2 7 2" xfId="47952"/>
    <cellStyle name="Обычный 8 9 2 2 8" xfId="47953"/>
    <cellStyle name="Обычный 8 9 2 2 9" xfId="47954"/>
    <cellStyle name="Обычный 8 9 2 3" xfId="47955"/>
    <cellStyle name="Обычный 8 9 2 3 2" xfId="47956"/>
    <cellStyle name="Обычный 8 9 2 3 2 2" xfId="47957"/>
    <cellStyle name="Обычный 8 9 2 3 2 2 2" xfId="47958"/>
    <cellStyle name="Обычный 8 9 2 3 2 2 2 2" xfId="47959"/>
    <cellStyle name="Обычный 8 9 2 3 2 2 2 3" xfId="47960"/>
    <cellStyle name="Обычный 8 9 2 3 2 2 3" xfId="47961"/>
    <cellStyle name="Обычный 8 9 2 3 2 2 3 2" xfId="47962"/>
    <cellStyle name="Обычный 8 9 2 3 2 2 3 3" xfId="47963"/>
    <cellStyle name="Обычный 8 9 2 3 2 2 4" xfId="47964"/>
    <cellStyle name="Обычный 8 9 2 3 2 2 4 2" xfId="47965"/>
    <cellStyle name="Обычный 8 9 2 3 2 2 5" xfId="47966"/>
    <cellStyle name="Обычный 8 9 2 3 2 2 6" xfId="47967"/>
    <cellStyle name="Обычный 8 9 2 3 2 3" xfId="47968"/>
    <cellStyle name="Обычный 8 9 2 3 2 3 2" xfId="47969"/>
    <cellStyle name="Обычный 8 9 2 3 2 3 3" xfId="47970"/>
    <cellStyle name="Обычный 8 9 2 3 2 4" xfId="47971"/>
    <cellStyle name="Обычный 8 9 2 3 2 4 2" xfId="47972"/>
    <cellStyle name="Обычный 8 9 2 3 2 4 3" xfId="47973"/>
    <cellStyle name="Обычный 8 9 2 3 2 5" xfId="47974"/>
    <cellStyle name="Обычный 8 9 2 3 2 5 2" xfId="47975"/>
    <cellStyle name="Обычный 8 9 2 3 2 6" xfId="47976"/>
    <cellStyle name="Обычный 8 9 2 3 2 7" xfId="47977"/>
    <cellStyle name="Обычный 8 9 2 3 3" xfId="47978"/>
    <cellStyle name="Обычный 8 9 2 3 3 2" xfId="47979"/>
    <cellStyle name="Обычный 8 9 2 3 3 2 2" xfId="47980"/>
    <cellStyle name="Обычный 8 9 2 3 3 2 3" xfId="47981"/>
    <cellStyle name="Обычный 8 9 2 3 3 3" xfId="47982"/>
    <cellStyle name="Обычный 8 9 2 3 3 3 2" xfId="47983"/>
    <cellStyle name="Обычный 8 9 2 3 3 3 3" xfId="47984"/>
    <cellStyle name="Обычный 8 9 2 3 3 4" xfId="47985"/>
    <cellStyle name="Обычный 8 9 2 3 3 4 2" xfId="47986"/>
    <cellStyle name="Обычный 8 9 2 3 3 5" xfId="47987"/>
    <cellStyle name="Обычный 8 9 2 3 3 6" xfId="47988"/>
    <cellStyle name="Обычный 8 9 2 3 4" xfId="47989"/>
    <cellStyle name="Обычный 8 9 2 3 4 2" xfId="47990"/>
    <cellStyle name="Обычный 8 9 2 3 4 3" xfId="47991"/>
    <cellStyle name="Обычный 8 9 2 3 5" xfId="47992"/>
    <cellStyle name="Обычный 8 9 2 3 5 2" xfId="47993"/>
    <cellStyle name="Обычный 8 9 2 3 5 3" xfId="47994"/>
    <cellStyle name="Обычный 8 9 2 3 6" xfId="47995"/>
    <cellStyle name="Обычный 8 9 2 3 6 2" xfId="47996"/>
    <cellStyle name="Обычный 8 9 2 3 7" xfId="47997"/>
    <cellStyle name="Обычный 8 9 2 3 8" xfId="47998"/>
    <cellStyle name="Обычный 8 9 2 4" xfId="47999"/>
    <cellStyle name="Обычный 8 9 2 4 2" xfId="48000"/>
    <cellStyle name="Обычный 8 9 2 4 2 2" xfId="48001"/>
    <cellStyle name="Обычный 8 9 2 4 2 2 2" xfId="48002"/>
    <cellStyle name="Обычный 8 9 2 4 2 2 3" xfId="48003"/>
    <cellStyle name="Обычный 8 9 2 4 2 3" xfId="48004"/>
    <cellStyle name="Обычный 8 9 2 4 2 3 2" xfId="48005"/>
    <cellStyle name="Обычный 8 9 2 4 2 3 3" xfId="48006"/>
    <cellStyle name="Обычный 8 9 2 4 2 4" xfId="48007"/>
    <cellStyle name="Обычный 8 9 2 4 2 4 2" xfId="48008"/>
    <cellStyle name="Обычный 8 9 2 4 2 5" xfId="48009"/>
    <cellStyle name="Обычный 8 9 2 4 2 6" xfId="48010"/>
    <cellStyle name="Обычный 8 9 2 4 3" xfId="48011"/>
    <cellStyle name="Обычный 8 9 2 4 3 2" xfId="48012"/>
    <cellStyle name="Обычный 8 9 2 4 3 3" xfId="48013"/>
    <cellStyle name="Обычный 8 9 2 4 4" xfId="48014"/>
    <cellStyle name="Обычный 8 9 2 4 4 2" xfId="48015"/>
    <cellStyle name="Обычный 8 9 2 4 4 3" xfId="48016"/>
    <cellStyle name="Обычный 8 9 2 4 5" xfId="48017"/>
    <cellStyle name="Обычный 8 9 2 4 5 2" xfId="48018"/>
    <cellStyle name="Обычный 8 9 2 4 6" xfId="48019"/>
    <cellStyle name="Обычный 8 9 2 4 7" xfId="48020"/>
    <cellStyle name="Обычный 8 9 2 5" xfId="48021"/>
    <cellStyle name="Обычный 8 9 2 5 2" xfId="48022"/>
    <cellStyle name="Обычный 8 9 2 5 2 2" xfId="48023"/>
    <cellStyle name="Обычный 8 9 2 5 2 3" xfId="48024"/>
    <cellStyle name="Обычный 8 9 2 5 3" xfId="48025"/>
    <cellStyle name="Обычный 8 9 2 5 3 2" xfId="48026"/>
    <cellStyle name="Обычный 8 9 2 5 3 3" xfId="48027"/>
    <cellStyle name="Обычный 8 9 2 5 4" xfId="48028"/>
    <cellStyle name="Обычный 8 9 2 5 4 2" xfId="48029"/>
    <cellStyle name="Обычный 8 9 2 5 5" xfId="48030"/>
    <cellStyle name="Обычный 8 9 2 5 6" xfId="48031"/>
    <cellStyle name="Обычный 8 9 2 6" xfId="48032"/>
    <cellStyle name="Обычный 8 9 2 6 2" xfId="48033"/>
    <cellStyle name="Обычный 8 9 2 6 3" xfId="48034"/>
    <cellStyle name="Обычный 8 9 2 7" xfId="48035"/>
    <cellStyle name="Обычный 8 9 2 7 2" xfId="48036"/>
    <cellStyle name="Обычный 8 9 2 7 3" xfId="48037"/>
    <cellStyle name="Обычный 8 9 2 8" xfId="48038"/>
    <cellStyle name="Обычный 8 9 2 8 2" xfId="48039"/>
    <cellStyle name="Обычный 8 9 2 9" xfId="48040"/>
    <cellStyle name="Обычный 8 9 3" xfId="48041"/>
    <cellStyle name="Обычный 8 9 3 10" xfId="48042"/>
    <cellStyle name="Обычный 8 9 3 2" xfId="48043"/>
    <cellStyle name="Обычный 8 9 3 2 2" xfId="48044"/>
    <cellStyle name="Обычный 8 9 3 2 2 2" xfId="48045"/>
    <cellStyle name="Обычный 8 9 3 2 2 2 2" xfId="48046"/>
    <cellStyle name="Обычный 8 9 3 2 2 2 2 2" xfId="48047"/>
    <cellStyle name="Обычный 8 9 3 2 2 2 2 2 2" xfId="48048"/>
    <cellStyle name="Обычный 8 9 3 2 2 2 2 2 3" xfId="48049"/>
    <cellStyle name="Обычный 8 9 3 2 2 2 2 3" xfId="48050"/>
    <cellStyle name="Обычный 8 9 3 2 2 2 2 3 2" xfId="48051"/>
    <cellStyle name="Обычный 8 9 3 2 2 2 2 3 3" xfId="48052"/>
    <cellStyle name="Обычный 8 9 3 2 2 2 2 4" xfId="48053"/>
    <cellStyle name="Обычный 8 9 3 2 2 2 2 4 2" xfId="48054"/>
    <cellStyle name="Обычный 8 9 3 2 2 2 2 5" xfId="48055"/>
    <cellStyle name="Обычный 8 9 3 2 2 2 2 6" xfId="48056"/>
    <cellStyle name="Обычный 8 9 3 2 2 2 3" xfId="48057"/>
    <cellStyle name="Обычный 8 9 3 2 2 2 3 2" xfId="48058"/>
    <cellStyle name="Обычный 8 9 3 2 2 2 3 3" xfId="48059"/>
    <cellStyle name="Обычный 8 9 3 2 2 2 4" xfId="48060"/>
    <cellStyle name="Обычный 8 9 3 2 2 2 4 2" xfId="48061"/>
    <cellStyle name="Обычный 8 9 3 2 2 2 4 3" xfId="48062"/>
    <cellStyle name="Обычный 8 9 3 2 2 2 5" xfId="48063"/>
    <cellStyle name="Обычный 8 9 3 2 2 2 5 2" xfId="48064"/>
    <cellStyle name="Обычный 8 9 3 2 2 2 6" xfId="48065"/>
    <cellStyle name="Обычный 8 9 3 2 2 2 7" xfId="48066"/>
    <cellStyle name="Обычный 8 9 3 2 2 3" xfId="48067"/>
    <cellStyle name="Обычный 8 9 3 2 2 3 2" xfId="48068"/>
    <cellStyle name="Обычный 8 9 3 2 2 3 2 2" xfId="48069"/>
    <cellStyle name="Обычный 8 9 3 2 2 3 2 3" xfId="48070"/>
    <cellStyle name="Обычный 8 9 3 2 2 3 3" xfId="48071"/>
    <cellStyle name="Обычный 8 9 3 2 2 3 3 2" xfId="48072"/>
    <cellStyle name="Обычный 8 9 3 2 2 3 3 3" xfId="48073"/>
    <cellStyle name="Обычный 8 9 3 2 2 3 4" xfId="48074"/>
    <cellStyle name="Обычный 8 9 3 2 2 3 4 2" xfId="48075"/>
    <cellStyle name="Обычный 8 9 3 2 2 3 5" xfId="48076"/>
    <cellStyle name="Обычный 8 9 3 2 2 3 6" xfId="48077"/>
    <cellStyle name="Обычный 8 9 3 2 2 4" xfId="48078"/>
    <cellStyle name="Обычный 8 9 3 2 2 4 2" xfId="48079"/>
    <cellStyle name="Обычный 8 9 3 2 2 4 3" xfId="48080"/>
    <cellStyle name="Обычный 8 9 3 2 2 5" xfId="48081"/>
    <cellStyle name="Обычный 8 9 3 2 2 5 2" xfId="48082"/>
    <cellStyle name="Обычный 8 9 3 2 2 5 3" xfId="48083"/>
    <cellStyle name="Обычный 8 9 3 2 2 6" xfId="48084"/>
    <cellStyle name="Обычный 8 9 3 2 2 6 2" xfId="48085"/>
    <cellStyle name="Обычный 8 9 3 2 2 7" xfId="48086"/>
    <cellStyle name="Обычный 8 9 3 2 2 8" xfId="48087"/>
    <cellStyle name="Обычный 8 9 3 2 3" xfId="48088"/>
    <cellStyle name="Обычный 8 9 3 2 3 2" xfId="48089"/>
    <cellStyle name="Обычный 8 9 3 2 3 2 2" xfId="48090"/>
    <cellStyle name="Обычный 8 9 3 2 3 2 2 2" xfId="48091"/>
    <cellStyle name="Обычный 8 9 3 2 3 2 2 3" xfId="48092"/>
    <cellStyle name="Обычный 8 9 3 2 3 2 3" xfId="48093"/>
    <cellStyle name="Обычный 8 9 3 2 3 2 3 2" xfId="48094"/>
    <cellStyle name="Обычный 8 9 3 2 3 2 3 3" xfId="48095"/>
    <cellStyle name="Обычный 8 9 3 2 3 2 4" xfId="48096"/>
    <cellStyle name="Обычный 8 9 3 2 3 2 4 2" xfId="48097"/>
    <cellStyle name="Обычный 8 9 3 2 3 2 5" xfId="48098"/>
    <cellStyle name="Обычный 8 9 3 2 3 2 6" xfId="48099"/>
    <cellStyle name="Обычный 8 9 3 2 3 3" xfId="48100"/>
    <cellStyle name="Обычный 8 9 3 2 3 3 2" xfId="48101"/>
    <cellStyle name="Обычный 8 9 3 2 3 3 3" xfId="48102"/>
    <cellStyle name="Обычный 8 9 3 2 3 4" xfId="48103"/>
    <cellStyle name="Обычный 8 9 3 2 3 4 2" xfId="48104"/>
    <cellStyle name="Обычный 8 9 3 2 3 4 3" xfId="48105"/>
    <cellStyle name="Обычный 8 9 3 2 3 5" xfId="48106"/>
    <cellStyle name="Обычный 8 9 3 2 3 5 2" xfId="48107"/>
    <cellStyle name="Обычный 8 9 3 2 3 6" xfId="48108"/>
    <cellStyle name="Обычный 8 9 3 2 3 7" xfId="48109"/>
    <cellStyle name="Обычный 8 9 3 2 4" xfId="48110"/>
    <cellStyle name="Обычный 8 9 3 2 4 2" xfId="48111"/>
    <cellStyle name="Обычный 8 9 3 2 4 2 2" xfId="48112"/>
    <cellStyle name="Обычный 8 9 3 2 4 2 3" xfId="48113"/>
    <cellStyle name="Обычный 8 9 3 2 4 3" xfId="48114"/>
    <cellStyle name="Обычный 8 9 3 2 4 3 2" xfId="48115"/>
    <cellStyle name="Обычный 8 9 3 2 4 3 3" xfId="48116"/>
    <cellStyle name="Обычный 8 9 3 2 4 4" xfId="48117"/>
    <cellStyle name="Обычный 8 9 3 2 4 4 2" xfId="48118"/>
    <cellStyle name="Обычный 8 9 3 2 4 5" xfId="48119"/>
    <cellStyle name="Обычный 8 9 3 2 4 6" xfId="48120"/>
    <cellStyle name="Обычный 8 9 3 2 5" xfId="48121"/>
    <cellStyle name="Обычный 8 9 3 2 5 2" xfId="48122"/>
    <cellStyle name="Обычный 8 9 3 2 5 3" xfId="48123"/>
    <cellStyle name="Обычный 8 9 3 2 6" xfId="48124"/>
    <cellStyle name="Обычный 8 9 3 2 6 2" xfId="48125"/>
    <cellStyle name="Обычный 8 9 3 2 6 3" xfId="48126"/>
    <cellStyle name="Обычный 8 9 3 2 7" xfId="48127"/>
    <cellStyle name="Обычный 8 9 3 2 7 2" xfId="48128"/>
    <cellStyle name="Обычный 8 9 3 2 8" xfId="48129"/>
    <cellStyle name="Обычный 8 9 3 2 9" xfId="48130"/>
    <cellStyle name="Обычный 8 9 3 3" xfId="48131"/>
    <cellStyle name="Обычный 8 9 3 3 2" xfId="48132"/>
    <cellStyle name="Обычный 8 9 3 3 2 2" xfId="48133"/>
    <cellStyle name="Обычный 8 9 3 3 2 2 2" xfId="48134"/>
    <cellStyle name="Обычный 8 9 3 3 2 2 2 2" xfId="48135"/>
    <cellStyle name="Обычный 8 9 3 3 2 2 2 3" xfId="48136"/>
    <cellStyle name="Обычный 8 9 3 3 2 2 3" xfId="48137"/>
    <cellStyle name="Обычный 8 9 3 3 2 2 3 2" xfId="48138"/>
    <cellStyle name="Обычный 8 9 3 3 2 2 3 3" xfId="48139"/>
    <cellStyle name="Обычный 8 9 3 3 2 2 4" xfId="48140"/>
    <cellStyle name="Обычный 8 9 3 3 2 2 4 2" xfId="48141"/>
    <cellStyle name="Обычный 8 9 3 3 2 2 5" xfId="48142"/>
    <cellStyle name="Обычный 8 9 3 3 2 2 6" xfId="48143"/>
    <cellStyle name="Обычный 8 9 3 3 2 3" xfId="48144"/>
    <cellStyle name="Обычный 8 9 3 3 2 3 2" xfId="48145"/>
    <cellStyle name="Обычный 8 9 3 3 2 3 3" xfId="48146"/>
    <cellStyle name="Обычный 8 9 3 3 2 4" xfId="48147"/>
    <cellStyle name="Обычный 8 9 3 3 2 4 2" xfId="48148"/>
    <cellStyle name="Обычный 8 9 3 3 2 4 3" xfId="48149"/>
    <cellStyle name="Обычный 8 9 3 3 2 5" xfId="48150"/>
    <cellStyle name="Обычный 8 9 3 3 2 5 2" xfId="48151"/>
    <cellStyle name="Обычный 8 9 3 3 2 6" xfId="48152"/>
    <cellStyle name="Обычный 8 9 3 3 2 7" xfId="48153"/>
    <cellStyle name="Обычный 8 9 3 3 3" xfId="48154"/>
    <cellStyle name="Обычный 8 9 3 3 3 2" xfId="48155"/>
    <cellStyle name="Обычный 8 9 3 3 3 2 2" xfId="48156"/>
    <cellStyle name="Обычный 8 9 3 3 3 2 3" xfId="48157"/>
    <cellStyle name="Обычный 8 9 3 3 3 3" xfId="48158"/>
    <cellStyle name="Обычный 8 9 3 3 3 3 2" xfId="48159"/>
    <cellStyle name="Обычный 8 9 3 3 3 3 3" xfId="48160"/>
    <cellStyle name="Обычный 8 9 3 3 3 4" xfId="48161"/>
    <cellStyle name="Обычный 8 9 3 3 3 4 2" xfId="48162"/>
    <cellStyle name="Обычный 8 9 3 3 3 5" xfId="48163"/>
    <cellStyle name="Обычный 8 9 3 3 3 6" xfId="48164"/>
    <cellStyle name="Обычный 8 9 3 3 4" xfId="48165"/>
    <cellStyle name="Обычный 8 9 3 3 4 2" xfId="48166"/>
    <cellStyle name="Обычный 8 9 3 3 4 3" xfId="48167"/>
    <cellStyle name="Обычный 8 9 3 3 5" xfId="48168"/>
    <cellStyle name="Обычный 8 9 3 3 5 2" xfId="48169"/>
    <cellStyle name="Обычный 8 9 3 3 5 3" xfId="48170"/>
    <cellStyle name="Обычный 8 9 3 3 6" xfId="48171"/>
    <cellStyle name="Обычный 8 9 3 3 6 2" xfId="48172"/>
    <cellStyle name="Обычный 8 9 3 3 7" xfId="48173"/>
    <cellStyle name="Обычный 8 9 3 3 8" xfId="48174"/>
    <cellStyle name="Обычный 8 9 3 4" xfId="48175"/>
    <cellStyle name="Обычный 8 9 3 4 2" xfId="48176"/>
    <cellStyle name="Обычный 8 9 3 4 2 2" xfId="48177"/>
    <cellStyle name="Обычный 8 9 3 4 2 2 2" xfId="48178"/>
    <cellStyle name="Обычный 8 9 3 4 2 2 3" xfId="48179"/>
    <cellStyle name="Обычный 8 9 3 4 2 3" xfId="48180"/>
    <cellStyle name="Обычный 8 9 3 4 2 3 2" xfId="48181"/>
    <cellStyle name="Обычный 8 9 3 4 2 3 3" xfId="48182"/>
    <cellStyle name="Обычный 8 9 3 4 2 4" xfId="48183"/>
    <cellStyle name="Обычный 8 9 3 4 2 4 2" xfId="48184"/>
    <cellStyle name="Обычный 8 9 3 4 2 5" xfId="48185"/>
    <cellStyle name="Обычный 8 9 3 4 2 6" xfId="48186"/>
    <cellStyle name="Обычный 8 9 3 4 3" xfId="48187"/>
    <cellStyle name="Обычный 8 9 3 4 3 2" xfId="48188"/>
    <cellStyle name="Обычный 8 9 3 4 3 3" xfId="48189"/>
    <cellStyle name="Обычный 8 9 3 4 4" xfId="48190"/>
    <cellStyle name="Обычный 8 9 3 4 4 2" xfId="48191"/>
    <cellStyle name="Обычный 8 9 3 4 4 3" xfId="48192"/>
    <cellStyle name="Обычный 8 9 3 4 5" xfId="48193"/>
    <cellStyle name="Обычный 8 9 3 4 5 2" xfId="48194"/>
    <cellStyle name="Обычный 8 9 3 4 6" xfId="48195"/>
    <cellStyle name="Обычный 8 9 3 4 7" xfId="48196"/>
    <cellStyle name="Обычный 8 9 3 5" xfId="48197"/>
    <cellStyle name="Обычный 8 9 3 5 2" xfId="48198"/>
    <cellStyle name="Обычный 8 9 3 5 2 2" xfId="48199"/>
    <cellStyle name="Обычный 8 9 3 5 2 3" xfId="48200"/>
    <cellStyle name="Обычный 8 9 3 5 3" xfId="48201"/>
    <cellStyle name="Обычный 8 9 3 5 3 2" xfId="48202"/>
    <cellStyle name="Обычный 8 9 3 5 3 3" xfId="48203"/>
    <cellStyle name="Обычный 8 9 3 5 4" xfId="48204"/>
    <cellStyle name="Обычный 8 9 3 5 4 2" xfId="48205"/>
    <cellStyle name="Обычный 8 9 3 5 5" xfId="48206"/>
    <cellStyle name="Обычный 8 9 3 5 6" xfId="48207"/>
    <cellStyle name="Обычный 8 9 3 6" xfId="48208"/>
    <cellStyle name="Обычный 8 9 3 6 2" xfId="48209"/>
    <cellStyle name="Обычный 8 9 3 6 3" xfId="48210"/>
    <cellStyle name="Обычный 8 9 3 7" xfId="48211"/>
    <cellStyle name="Обычный 8 9 3 7 2" xfId="48212"/>
    <cellStyle name="Обычный 8 9 3 7 3" xfId="48213"/>
    <cellStyle name="Обычный 8 9 3 8" xfId="48214"/>
    <cellStyle name="Обычный 8 9 3 8 2" xfId="48215"/>
    <cellStyle name="Обычный 8 9 3 9" xfId="48216"/>
    <cellStyle name="Обычный 8 9 4" xfId="48217"/>
    <cellStyle name="Обычный 8 9 4 10" xfId="48218"/>
    <cellStyle name="Обычный 8 9 4 2" xfId="48219"/>
    <cellStyle name="Обычный 8 9 4 2 2" xfId="48220"/>
    <cellStyle name="Обычный 8 9 4 2 2 2" xfId="48221"/>
    <cellStyle name="Обычный 8 9 4 2 2 2 2" xfId="48222"/>
    <cellStyle name="Обычный 8 9 4 2 2 2 2 2" xfId="48223"/>
    <cellStyle name="Обычный 8 9 4 2 2 2 2 2 2" xfId="48224"/>
    <cellStyle name="Обычный 8 9 4 2 2 2 2 2 3" xfId="48225"/>
    <cellStyle name="Обычный 8 9 4 2 2 2 2 3" xfId="48226"/>
    <cellStyle name="Обычный 8 9 4 2 2 2 2 3 2" xfId="48227"/>
    <cellStyle name="Обычный 8 9 4 2 2 2 2 3 3" xfId="48228"/>
    <cellStyle name="Обычный 8 9 4 2 2 2 2 4" xfId="48229"/>
    <cellStyle name="Обычный 8 9 4 2 2 2 2 4 2" xfId="48230"/>
    <cellStyle name="Обычный 8 9 4 2 2 2 2 5" xfId="48231"/>
    <cellStyle name="Обычный 8 9 4 2 2 2 2 6" xfId="48232"/>
    <cellStyle name="Обычный 8 9 4 2 2 2 3" xfId="48233"/>
    <cellStyle name="Обычный 8 9 4 2 2 2 3 2" xfId="48234"/>
    <cellStyle name="Обычный 8 9 4 2 2 2 3 3" xfId="48235"/>
    <cellStyle name="Обычный 8 9 4 2 2 2 4" xfId="48236"/>
    <cellStyle name="Обычный 8 9 4 2 2 2 4 2" xfId="48237"/>
    <cellStyle name="Обычный 8 9 4 2 2 2 4 3" xfId="48238"/>
    <cellStyle name="Обычный 8 9 4 2 2 2 5" xfId="48239"/>
    <cellStyle name="Обычный 8 9 4 2 2 2 5 2" xfId="48240"/>
    <cellStyle name="Обычный 8 9 4 2 2 2 6" xfId="48241"/>
    <cellStyle name="Обычный 8 9 4 2 2 2 7" xfId="48242"/>
    <cellStyle name="Обычный 8 9 4 2 2 3" xfId="48243"/>
    <cellStyle name="Обычный 8 9 4 2 2 3 2" xfId="48244"/>
    <cellStyle name="Обычный 8 9 4 2 2 3 2 2" xfId="48245"/>
    <cellStyle name="Обычный 8 9 4 2 2 3 2 3" xfId="48246"/>
    <cellStyle name="Обычный 8 9 4 2 2 3 3" xfId="48247"/>
    <cellStyle name="Обычный 8 9 4 2 2 3 3 2" xfId="48248"/>
    <cellStyle name="Обычный 8 9 4 2 2 3 3 3" xfId="48249"/>
    <cellStyle name="Обычный 8 9 4 2 2 3 4" xfId="48250"/>
    <cellStyle name="Обычный 8 9 4 2 2 3 4 2" xfId="48251"/>
    <cellStyle name="Обычный 8 9 4 2 2 3 5" xfId="48252"/>
    <cellStyle name="Обычный 8 9 4 2 2 3 6" xfId="48253"/>
    <cellStyle name="Обычный 8 9 4 2 2 4" xfId="48254"/>
    <cellStyle name="Обычный 8 9 4 2 2 4 2" xfId="48255"/>
    <cellStyle name="Обычный 8 9 4 2 2 4 3" xfId="48256"/>
    <cellStyle name="Обычный 8 9 4 2 2 5" xfId="48257"/>
    <cellStyle name="Обычный 8 9 4 2 2 5 2" xfId="48258"/>
    <cellStyle name="Обычный 8 9 4 2 2 5 3" xfId="48259"/>
    <cellStyle name="Обычный 8 9 4 2 2 6" xfId="48260"/>
    <cellStyle name="Обычный 8 9 4 2 2 6 2" xfId="48261"/>
    <cellStyle name="Обычный 8 9 4 2 2 7" xfId="48262"/>
    <cellStyle name="Обычный 8 9 4 2 2 8" xfId="48263"/>
    <cellStyle name="Обычный 8 9 4 2 3" xfId="48264"/>
    <cellStyle name="Обычный 8 9 4 2 3 2" xfId="48265"/>
    <cellStyle name="Обычный 8 9 4 2 3 2 2" xfId="48266"/>
    <cellStyle name="Обычный 8 9 4 2 3 2 2 2" xfId="48267"/>
    <cellStyle name="Обычный 8 9 4 2 3 2 2 3" xfId="48268"/>
    <cellStyle name="Обычный 8 9 4 2 3 2 3" xfId="48269"/>
    <cellStyle name="Обычный 8 9 4 2 3 2 3 2" xfId="48270"/>
    <cellStyle name="Обычный 8 9 4 2 3 2 3 3" xfId="48271"/>
    <cellStyle name="Обычный 8 9 4 2 3 2 4" xfId="48272"/>
    <cellStyle name="Обычный 8 9 4 2 3 2 4 2" xfId="48273"/>
    <cellStyle name="Обычный 8 9 4 2 3 2 5" xfId="48274"/>
    <cellStyle name="Обычный 8 9 4 2 3 2 6" xfId="48275"/>
    <cellStyle name="Обычный 8 9 4 2 3 3" xfId="48276"/>
    <cellStyle name="Обычный 8 9 4 2 3 3 2" xfId="48277"/>
    <cellStyle name="Обычный 8 9 4 2 3 3 3" xfId="48278"/>
    <cellStyle name="Обычный 8 9 4 2 3 4" xfId="48279"/>
    <cellStyle name="Обычный 8 9 4 2 3 4 2" xfId="48280"/>
    <cellStyle name="Обычный 8 9 4 2 3 4 3" xfId="48281"/>
    <cellStyle name="Обычный 8 9 4 2 3 5" xfId="48282"/>
    <cellStyle name="Обычный 8 9 4 2 3 5 2" xfId="48283"/>
    <cellStyle name="Обычный 8 9 4 2 3 6" xfId="48284"/>
    <cellStyle name="Обычный 8 9 4 2 3 7" xfId="48285"/>
    <cellStyle name="Обычный 8 9 4 2 4" xfId="48286"/>
    <cellStyle name="Обычный 8 9 4 2 4 2" xfId="48287"/>
    <cellStyle name="Обычный 8 9 4 2 4 2 2" xfId="48288"/>
    <cellStyle name="Обычный 8 9 4 2 4 2 3" xfId="48289"/>
    <cellStyle name="Обычный 8 9 4 2 4 3" xfId="48290"/>
    <cellStyle name="Обычный 8 9 4 2 4 3 2" xfId="48291"/>
    <cellStyle name="Обычный 8 9 4 2 4 3 3" xfId="48292"/>
    <cellStyle name="Обычный 8 9 4 2 4 4" xfId="48293"/>
    <cellStyle name="Обычный 8 9 4 2 4 4 2" xfId="48294"/>
    <cellStyle name="Обычный 8 9 4 2 4 5" xfId="48295"/>
    <cellStyle name="Обычный 8 9 4 2 4 6" xfId="48296"/>
    <cellStyle name="Обычный 8 9 4 2 5" xfId="48297"/>
    <cellStyle name="Обычный 8 9 4 2 5 2" xfId="48298"/>
    <cellStyle name="Обычный 8 9 4 2 5 3" xfId="48299"/>
    <cellStyle name="Обычный 8 9 4 2 6" xfId="48300"/>
    <cellStyle name="Обычный 8 9 4 2 6 2" xfId="48301"/>
    <cellStyle name="Обычный 8 9 4 2 6 3" xfId="48302"/>
    <cellStyle name="Обычный 8 9 4 2 7" xfId="48303"/>
    <cellStyle name="Обычный 8 9 4 2 7 2" xfId="48304"/>
    <cellStyle name="Обычный 8 9 4 2 8" xfId="48305"/>
    <cellStyle name="Обычный 8 9 4 2 9" xfId="48306"/>
    <cellStyle name="Обычный 8 9 4 3" xfId="48307"/>
    <cellStyle name="Обычный 8 9 4 3 2" xfId="48308"/>
    <cellStyle name="Обычный 8 9 4 3 2 2" xfId="48309"/>
    <cellStyle name="Обычный 8 9 4 3 2 2 2" xfId="48310"/>
    <cellStyle name="Обычный 8 9 4 3 2 2 2 2" xfId="48311"/>
    <cellStyle name="Обычный 8 9 4 3 2 2 2 3" xfId="48312"/>
    <cellStyle name="Обычный 8 9 4 3 2 2 3" xfId="48313"/>
    <cellStyle name="Обычный 8 9 4 3 2 2 3 2" xfId="48314"/>
    <cellStyle name="Обычный 8 9 4 3 2 2 3 3" xfId="48315"/>
    <cellStyle name="Обычный 8 9 4 3 2 2 4" xfId="48316"/>
    <cellStyle name="Обычный 8 9 4 3 2 2 4 2" xfId="48317"/>
    <cellStyle name="Обычный 8 9 4 3 2 2 5" xfId="48318"/>
    <cellStyle name="Обычный 8 9 4 3 2 2 6" xfId="48319"/>
    <cellStyle name="Обычный 8 9 4 3 2 3" xfId="48320"/>
    <cellStyle name="Обычный 8 9 4 3 2 3 2" xfId="48321"/>
    <cellStyle name="Обычный 8 9 4 3 2 3 3" xfId="48322"/>
    <cellStyle name="Обычный 8 9 4 3 2 4" xfId="48323"/>
    <cellStyle name="Обычный 8 9 4 3 2 4 2" xfId="48324"/>
    <cellStyle name="Обычный 8 9 4 3 2 4 3" xfId="48325"/>
    <cellStyle name="Обычный 8 9 4 3 2 5" xfId="48326"/>
    <cellStyle name="Обычный 8 9 4 3 2 5 2" xfId="48327"/>
    <cellStyle name="Обычный 8 9 4 3 2 6" xfId="48328"/>
    <cellStyle name="Обычный 8 9 4 3 2 7" xfId="48329"/>
    <cellStyle name="Обычный 8 9 4 3 3" xfId="48330"/>
    <cellStyle name="Обычный 8 9 4 3 3 2" xfId="48331"/>
    <cellStyle name="Обычный 8 9 4 3 3 2 2" xfId="48332"/>
    <cellStyle name="Обычный 8 9 4 3 3 2 3" xfId="48333"/>
    <cellStyle name="Обычный 8 9 4 3 3 3" xfId="48334"/>
    <cellStyle name="Обычный 8 9 4 3 3 3 2" xfId="48335"/>
    <cellStyle name="Обычный 8 9 4 3 3 3 3" xfId="48336"/>
    <cellStyle name="Обычный 8 9 4 3 3 4" xfId="48337"/>
    <cellStyle name="Обычный 8 9 4 3 3 4 2" xfId="48338"/>
    <cellStyle name="Обычный 8 9 4 3 3 5" xfId="48339"/>
    <cellStyle name="Обычный 8 9 4 3 3 6" xfId="48340"/>
    <cellStyle name="Обычный 8 9 4 3 4" xfId="48341"/>
    <cellStyle name="Обычный 8 9 4 3 4 2" xfId="48342"/>
    <cellStyle name="Обычный 8 9 4 3 4 3" xfId="48343"/>
    <cellStyle name="Обычный 8 9 4 3 5" xfId="48344"/>
    <cellStyle name="Обычный 8 9 4 3 5 2" xfId="48345"/>
    <cellStyle name="Обычный 8 9 4 3 5 3" xfId="48346"/>
    <cellStyle name="Обычный 8 9 4 3 6" xfId="48347"/>
    <cellStyle name="Обычный 8 9 4 3 6 2" xfId="48348"/>
    <cellStyle name="Обычный 8 9 4 3 7" xfId="48349"/>
    <cellStyle name="Обычный 8 9 4 3 8" xfId="48350"/>
    <cellStyle name="Обычный 8 9 4 4" xfId="48351"/>
    <cellStyle name="Обычный 8 9 4 4 2" xfId="48352"/>
    <cellStyle name="Обычный 8 9 4 4 2 2" xfId="48353"/>
    <cellStyle name="Обычный 8 9 4 4 2 2 2" xfId="48354"/>
    <cellStyle name="Обычный 8 9 4 4 2 2 3" xfId="48355"/>
    <cellStyle name="Обычный 8 9 4 4 2 3" xfId="48356"/>
    <cellStyle name="Обычный 8 9 4 4 2 3 2" xfId="48357"/>
    <cellStyle name="Обычный 8 9 4 4 2 3 3" xfId="48358"/>
    <cellStyle name="Обычный 8 9 4 4 2 4" xfId="48359"/>
    <cellStyle name="Обычный 8 9 4 4 2 4 2" xfId="48360"/>
    <cellStyle name="Обычный 8 9 4 4 2 5" xfId="48361"/>
    <cellStyle name="Обычный 8 9 4 4 2 6" xfId="48362"/>
    <cellStyle name="Обычный 8 9 4 4 3" xfId="48363"/>
    <cellStyle name="Обычный 8 9 4 4 3 2" xfId="48364"/>
    <cellStyle name="Обычный 8 9 4 4 3 3" xfId="48365"/>
    <cellStyle name="Обычный 8 9 4 4 4" xfId="48366"/>
    <cellStyle name="Обычный 8 9 4 4 4 2" xfId="48367"/>
    <cellStyle name="Обычный 8 9 4 4 4 3" xfId="48368"/>
    <cellStyle name="Обычный 8 9 4 4 5" xfId="48369"/>
    <cellStyle name="Обычный 8 9 4 4 5 2" xfId="48370"/>
    <cellStyle name="Обычный 8 9 4 4 6" xfId="48371"/>
    <cellStyle name="Обычный 8 9 4 4 7" xfId="48372"/>
    <cellStyle name="Обычный 8 9 4 5" xfId="48373"/>
    <cellStyle name="Обычный 8 9 4 5 2" xfId="48374"/>
    <cellStyle name="Обычный 8 9 4 5 2 2" xfId="48375"/>
    <cellStyle name="Обычный 8 9 4 5 2 3" xfId="48376"/>
    <cellStyle name="Обычный 8 9 4 5 3" xfId="48377"/>
    <cellStyle name="Обычный 8 9 4 5 3 2" xfId="48378"/>
    <cellStyle name="Обычный 8 9 4 5 3 3" xfId="48379"/>
    <cellStyle name="Обычный 8 9 4 5 4" xfId="48380"/>
    <cellStyle name="Обычный 8 9 4 5 4 2" xfId="48381"/>
    <cellStyle name="Обычный 8 9 4 5 5" xfId="48382"/>
    <cellStyle name="Обычный 8 9 4 5 6" xfId="48383"/>
    <cellStyle name="Обычный 8 9 4 6" xfId="48384"/>
    <cellStyle name="Обычный 8 9 4 6 2" xfId="48385"/>
    <cellStyle name="Обычный 8 9 4 6 3" xfId="48386"/>
    <cellStyle name="Обычный 8 9 4 7" xfId="48387"/>
    <cellStyle name="Обычный 8 9 4 7 2" xfId="48388"/>
    <cellStyle name="Обычный 8 9 4 7 3" xfId="48389"/>
    <cellStyle name="Обычный 8 9 4 8" xfId="48390"/>
    <cellStyle name="Обычный 8 9 4 8 2" xfId="48391"/>
    <cellStyle name="Обычный 8 9 4 9" xfId="48392"/>
    <cellStyle name="Обычный 8 9 5" xfId="48393"/>
    <cellStyle name="Обычный 8 9 5 2" xfId="48394"/>
    <cellStyle name="Обычный 8 9 5 2 2" xfId="48395"/>
    <cellStyle name="Обычный 8 9 5 2 2 2" xfId="48396"/>
    <cellStyle name="Обычный 8 9 5 2 2 2 2" xfId="48397"/>
    <cellStyle name="Обычный 8 9 5 2 2 2 2 2" xfId="48398"/>
    <cellStyle name="Обычный 8 9 5 2 2 2 2 3" xfId="48399"/>
    <cellStyle name="Обычный 8 9 5 2 2 2 3" xfId="48400"/>
    <cellStyle name="Обычный 8 9 5 2 2 2 3 2" xfId="48401"/>
    <cellStyle name="Обычный 8 9 5 2 2 2 3 3" xfId="48402"/>
    <cellStyle name="Обычный 8 9 5 2 2 2 4" xfId="48403"/>
    <cellStyle name="Обычный 8 9 5 2 2 2 4 2" xfId="48404"/>
    <cellStyle name="Обычный 8 9 5 2 2 2 5" xfId="48405"/>
    <cellStyle name="Обычный 8 9 5 2 2 2 6" xfId="48406"/>
    <cellStyle name="Обычный 8 9 5 2 2 3" xfId="48407"/>
    <cellStyle name="Обычный 8 9 5 2 2 3 2" xfId="48408"/>
    <cellStyle name="Обычный 8 9 5 2 2 3 3" xfId="48409"/>
    <cellStyle name="Обычный 8 9 5 2 2 4" xfId="48410"/>
    <cellStyle name="Обычный 8 9 5 2 2 4 2" xfId="48411"/>
    <cellStyle name="Обычный 8 9 5 2 2 4 3" xfId="48412"/>
    <cellStyle name="Обычный 8 9 5 2 2 5" xfId="48413"/>
    <cellStyle name="Обычный 8 9 5 2 2 5 2" xfId="48414"/>
    <cellStyle name="Обычный 8 9 5 2 2 6" xfId="48415"/>
    <cellStyle name="Обычный 8 9 5 2 2 7" xfId="48416"/>
    <cellStyle name="Обычный 8 9 5 2 3" xfId="48417"/>
    <cellStyle name="Обычный 8 9 5 2 3 2" xfId="48418"/>
    <cellStyle name="Обычный 8 9 5 2 3 2 2" xfId="48419"/>
    <cellStyle name="Обычный 8 9 5 2 3 2 3" xfId="48420"/>
    <cellStyle name="Обычный 8 9 5 2 3 3" xfId="48421"/>
    <cellStyle name="Обычный 8 9 5 2 3 3 2" xfId="48422"/>
    <cellStyle name="Обычный 8 9 5 2 3 3 3" xfId="48423"/>
    <cellStyle name="Обычный 8 9 5 2 3 4" xfId="48424"/>
    <cellStyle name="Обычный 8 9 5 2 3 4 2" xfId="48425"/>
    <cellStyle name="Обычный 8 9 5 2 3 5" xfId="48426"/>
    <cellStyle name="Обычный 8 9 5 2 3 6" xfId="48427"/>
    <cellStyle name="Обычный 8 9 5 2 4" xfId="48428"/>
    <cellStyle name="Обычный 8 9 5 2 4 2" xfId="48429"/>
    <cellStyle name="Обычный 8 9 5 2 4 3" xfId="48430"/>
    <cellStyle name="Обычный 8 9 5 2 5" xfId="48431"/>
    <cellStyle name="Обычный 8 9 5 2 5 2" xfId="48432"/>
    <cellStyle name="Обычный 8 9 5 2 5 3" xfId="48433"/>
    <cellStyle name="Обычный 8 9 5 2 6" xfId="48434"/>
    <cellStyle name="Обычный 8 9 5 2 6 2" xfId="48435"/>
    <cellStyle name="Обычный 8 9 5 2 7" xfId="48436"/>
    <cellStyle name="Обычный 8 9 5 2 8" xfId="48437"/>
    <cellStyle name="Обычный 8 9 5 3" xfId="48438"/>
    <cellStyle name="Обычный 8 9 5 3 2" xfId="48439"/>
    <cellStyle name="Обычный 8 9 5 3 2 2" xfId="48440"/>
    <cellStyle name="Обычный 8 9 5 3 2 2 2" xfId="48441"/>
    <cellStyle name="Обычный 8 9 5 3 2 2 3" xfId="48442"/>
    <cellStyle name="Обычный 8 9 5 3 2 3" xfId="48443"/>
    <cellStyle name="Обычный 8 9 5 3 2 3 2" xfId="48444"/>
    <cellStyle name="Обычный 8 9 5 3 2 3 3" xfId="48445"/>
    <cellStyle name="Обычный 8 9 5 3 2 4" xfId="48446"/>
    <cellStyle name="Обычный 8 9 5 3 2 4 2" xfId="48447"/>
    <cellStyle name="Обычный 8 9 5 3 2 5" xfId="48448"/>
    <cellStyle name="Обычный 8 9 5 3 2 6" xfId="48449"/>
    <cellStyle name="Обычный 8 9 5 3 3" xfId="48450"/>
    <cellStyle name="Обычный 8 9 5 3 3 2" xfId="48451"/>
    <cellStyle name="Обычный 8 9 5 3 3 3" xfId="48452"/>
    <cellStyle name="Обычный 8 9 5 3 4" xfId="48453"/>
    <cellStyle name="Обычный 8 9 5 3 4 2" xfId="48454"/>
    <cellStyle name="Обычный 8 9 5 3 4 3" xfId="48455"/>
    <cellStyle name="Обычный 8 9 5 3 5" xfId="48456"/>
    <cellStyle name="Обычный 8 9 5 3 5 2" xfId="48457"/>
    <cellStyle name="Обычный 8 9 5 3 6" xfId="48458"/>
    <cellStyle name="Обычный 8 9 5 3 7" xfId="48459"/>
    <cellStyle name="Обычный 8 9 5 4" xfId="48460"/>
    <cellStyle name="Обычный 8 9 5 4 2" xfId="48461"/>
    <cellStyle name="Обычный 8 9 5 4 2 2" xfId="48462"/>
    <cellStyle name="Обычный 8 9 5 4 2 3" xfId="48463"/>
    <cellStyle name="Обычный 8 9 5 4 3" xfId="48464"/>
    <cellStyle name="Обычный 8 9 5 4 3 2" xfId="48465"/>
    <cellStyle name="Обычный 8 9 5 4 3 3" xfId="48466"/>
    <cellStyle name="Обычный 8 9 5 4 4" xfId="48467"/>
    <cellStyle name="Обычный 8 9 5 4 4 2" xfId="48468"/>
    <cellStyle name="Обычный 8 9 5 4 5" xfId="48469"/>
    <cellStyle name="Обычный 8 9 5 4 6" xfId="48470"/>
    <cellStyle name="Обычный 8 9 5 5" xfId="48471"/>
    <cellStyle name="Обычный 8 9 5 5 2" xfId="48472"/>
    <cellStyle name="Обычный 8 9 5 5 3" xfId="48473"/>
    <cellStyle name="Обычный 8 9 5 6" xfId="48474"/>
    <cellStyle name="Обычный 8 9 5 6 2" xfId="48475"/>
    <cellStyle name="Обычный 8 9 5 6 3" xfId="48476"/>
    <cellStyle name="Обычный 8 9 5 7" xfId="48477"/>
    <cellStyle name="Обычный 8 9 5 7 2" xfId="48478"/>
    <cellStyle name="Обычный 8 9 5 8" xfId="48479"/>
    <cellStyle name="Обычный 8 9 5 9" xfId="48480"/>
    <cellStyle name="Обычный 8 9 6" xfId="48481"/>
    <cellStyle name="Обычный 8 9 6 2" xfId="48482"/>
    <cellStyle name="Обычный 8 9 6 2 2" xfId="48483"/>
    <cellStyle name="Обычный 8 9 6 2 2 2" xfId="48484"/>
    <cellStyle name="Обычный 8 9 6 2 2 2 2" xfId="48485"/>
    <cellStyle name="Обычный 8 9 6 2 2 2 3" xfId="48486"/>
    <cellStyle name="Обычный 8 9 6 2 2 3" xfId="48487"/>
    <cellStyle name="Обычный 8 9 6 2 2 3 2" xfId="48488"/>
    <cellStyle name="Обычный 8 9 6 2 2 3 3" xfId="48489"/>
    <cellStyle name="Обычный 8 9 6 2 2 4" xfId="48490"/>
    <cellStyle name="Обычный 8 9 6 2 2 4 2" xfId="48491"/>
    <cellStyle name="Обычный 8 9 6 2 2 5" xfId="48492"/>
    <cellStyle name="Обычный 8 9 6 2 2 6" xfId="48493"/>
    <cellStyle name="Обычный 8 9 6 2 3" xfId="48494"/>
    <cellStyle name="Обычный 8 9 6 2 3 2" xfId="48495"/>
    <cellStyle name="Обычный 8 9 6 2 3 3" xfId="48496"/>
    <cellStyle name="Обычный 8 9 6 2 4" xfId="48497"/>
    <cellStyle name="Обычный 8 9 6 2 4 2" xfId="48498"/>
    <cellStyle name="Обычный 8 9 6 2 4 3" xfId="48499"/>
    <cellStyle name="Обычный 8 9 6 2 5" xfId="48500"/>
    <cellStyle name="Обычный 8 9 6 2 5 2" xfId="48501"/>
    <cellStyle name="Обычный 8 9 6 2 6" xfId="48502"/>
    <cellStyle name="Обычный 8 9 6 2 7" xfId="48503"/>
    <cellStyle name="Обычный 8 9 6 3" xfId="48504"/>
    <cellStyle name="Обычный 8 9 6 3 2" xfId="48505"/>
    <cellStyle name="Обычный 8 9 6 3 2 2" xfId="48506"/>
    <cellStyle name="Обычный 8 9 6 3 2 3" xfId="48507"/>
    <cellStyle name="Обычный 8 9 6 3 3" xfId="48508"/>
    <cellStyle name="Обычный 8 9 6 3 3 2" xfId="48509"/>
    <cellStyle name="Обычный 8 9 6 3 3 3" xfId="48510"/>
    <cellStyle name="Обычный 8 9 6 3 4" xfId="48511"/>
    <cellStyle name="Обычный 8 9 6 3 4 2" xfId="48512"/>
    <cellStyle name="Обычный 8 9 6 3 5" xfId="48513"/>
    <cellStyle name="Обычный 8 9 6 3 6" xfId="48514"/>
    <cellStyle name="Обычный 8 9 6 4" xfId="48515"/>
    <cellStyle name="Обычный 8 9 6 4 2" xfId="48516"/>
    <cellStyle name="Обычный 8 9 6 4 3" xfId="48517"/>
    <cellStyle name="Обычный 8 9 6 5" xfId="48518"/>
    <cellStyle name="Обычный 8 9 6 5 2" xfId="48519"/>
    <cellStyle name="Обычный 8 9 6 5 3" xfId="48520"/>
    <cellStyle name="Обычный 8 9 6 6" xfId="48521"/>
    <cellStyle name="Обычный 8 9 6 6 2" xfId="48522"/>
    <cellStyle name="Обычный 8 9 6 7" xfId="48523"/>
    <cellStyle name="Обычный 8 9 6 8" xfId="48524"/>
    <cellStyle name="Обычный 8 9 7" xfId="48525"/>
    <cellStyle name="Обычный 8 9 7 2" xfId="48526"/>
    <cellStyle name="Обычный 8 9 7 2 2" xfId="48527"/>
    <cellStyle name="Обычный 8 9 7 2 2 2" xfId="48528"/>
    <cellStyle name="Обычный 8 9 7 2 2 3" xfId="48529"/>
    <cellStyle name="Обычный 8 9 7 2 3" xfId="48530"/>
    <cellStyle name="Обычный 8 9 7 2 3 2" xfId="48531"/>
    <cellStyle name="Обычный 8 9 7 2 3 3" xfId="48532"/>
    <cellStyle name="Обычный 8 9 7 2 4" xfId="48533"/>
    <cellStyle name="Обычный 8 9 7 2 4 2" xfId="48534"/>
    <cellStyle name="Обычный 8 9 7 2 5" xfId="48535"/>
    <cellStyle name="Обычный 8 9 7 2 6" xfId="48536"/>
    <cellStyle name="Обычный 8 9 7 3" xfId="48537"/>
    <cellStyle name="Обычный 8 9 7 3 2" xfId="48538"/>
    <cellStyle name="Обычный 8 9 7 3 3" xfId="48539"/>
    <cellStyle name="Обычный 8 9 7 4" xfId="48540"/>
    <cellStyle name="Обычный 8 9 7 4 2" xfId="48541"/>
    <cellStyle name="Обычный 8 9 7 4 3" xfId="48542"/>
    <cellStyle name="Обычный 8 9 7 5" xfId="48543"/>
    <cellStyle name="Обычный 8 9 7 5 2" xfId="48544"/>
    <cellStyle name="Обычный 8 9 7 6" xfId="48545"/>
    <cellStyle name="Обычный 8 9 7 7" xfId="48546"/>
    <cellStyle name="Обычный 8 9 8" xfId="48547"/>
    <cellStyle name="Обычный 8 9 8 2" xfId="48548"/>
    <cellStyle name="Обычный 8 9 8 2 2" xfId="48549"/>
    <cellStyle name="Обычный 8 9 8 2 3" xfId="48550"/>
    <cellStyle name="Обычный 8 9 8 3" xfId="48551"/>
    <cellStyle name="Обычный 8 9 8 3 2" xfId="48552"/>
    <cellStyle name="Обычный 8 9 8 3 3" xfId="48553"/>
    <cellStyle name="Обычный 8 9 8 4" xfId="48554"/>
    <cellStyle name="Обычный 8 9 8 4 2" xfId="48555"/>
    <cellStyle name="Обычный 8 9 8 5" xfId="48556"/>
    <cellStyle name="Обычный 8 9 8 6" xfId="48557"/>
    <cellStyle name="Обычный 8 9 9" xfId="48558"/>
    <cellStyle name="Обычный 8 9 9 2" xfId="48559"/>
    <cellStyle name="Обычный 8 9 9 3" xfId="48560"/>
    <cellStyle name="Обычный 9" xfId="48561"/>
    <cellStyle name="Обычный 9 10" xfId="48562"/>
    <cellStyle name="Обычный 9 10 10" xfId="48563"/>
    <cellStyle name="Обычный 9 10 2" xfId="48564"/>
    <cellStyle name="Обычный 9 10 2 2" xfId="48565"/>
    <cellStyle name="Обычный 9 10 2 2 2" xfId="48566"/>
    <cellStyle name="Обычный 9 10 2 2 2 2" xfId="48567"/>
    <cellStyle name="Обычный 9 10 2 2 2 2 2" xfId="48568"/>
    <cellStyle name="Обычный 9 10 2 2 2 2 2 2" xfId="48569"/>
    <cellStyle name="Обычный 9 10 2 2 2 2 2 3" xfId="48570"/>
    <cellStyle name="Обычный 9 10 2 2 2 2 3" xfId="48571"/>
    <cellStyle name="Обычный 9 10 2 2 2 2 3 2" xfId="48572"/>
    <cellStyle name="Обычный 9 10 2 2 2 2 3 3" xfId="48573"/>
    <cellStyle name="Обычный 9 10 2 2 2 2 4" xfId="48574"/>
    <cellStyle name="Обычный 9 10 2 2 2 2 4 2" xfId="48575"/>
    <cellStyle name="Обычный 9 10 2 2 2 2 5" xfId="48576"/>
    <cellStyle name="Обычный 9 10 2 2 2 2 6" xfId="48577"/>
    <cellStyle name="Обычный 9 10 2 2 2 3" xfId="48578"/>
    <cellStyle name="Обычный 9 10 2 2 2 3 2" xfId="48579"/>
    <cellStyle name="Обычный 9 10 2 2 2 3 3" xfId="48580"/>
    <cellStyle name="Обычный 9 10 2 2 2 4" xfId="48581"/>
    <cellStyle name="Обычный 9 10 2 2 2 4 2" xfId="48582"/>
    <cellStyle name="Обычный 9 10 2 2 2 4 3" xfId="48583"/>
    <cellStyle name="Обычный 9 10 2 2 2 5" xfId="48584"/>
    <cellStyle name="Обычный 9 10 2 2 2 5 2" xfId="48585"/>
    <cellStyle name="Обычный 9 10 2 2 2 6" xfId="48586"/>
    <cellStyle name="Обычный 9 10 2 2 2 7" xfId="48587"/>
    <cellStyle name="Обычный 9 10 2 2 3" xfId="48588"/>
    <cellStyle name="Обычный 9 10 2 2 3 2" xfId="48589"/>
    <cellStyle name="Обычный 9 10 2 2 3 2 2" xfId="48590"/>
    <cellStyle name="Обычный 9 10 2 2 3 2 3" xfId="48591"/>
    <cellStyle name="Обычный 9 10 2 2 3 3" xfId="48592"/>
    <cellStyle name="Обычный 9 10 2 2 3 3 2" xfId="48593"/>
    <cellStyle name="Обычный 9 10 2 2 3 3 3" xfId="48594"/>
    <cellStyle name="Обычный 9 10 2 2 3 4" xfId="48595"/>
    <cellStyle name="Обычный 9 10 2 2 3 4 2" xfId="48596"/>
    <cellStyle name="Обычный 9 10 2 2 3 5" xfId="48597"/>
    <cellStyle name="Обычный 9 10 2 2 3 6" xfId="48598"/>
    <cellStyle name="Обычный 9 10 2 2 4" xfId="48599"/>
    <cellStyle name="Обычный 9 10 2 2 4 2" xfId="48600"/>
    <cellStyle name="Обычный 9 10 2 2 4 3" xfId="48601"/>
    <cellStyle name="Обычный 9 10 2 2 5" xfId="48602"/>
    <cellStyle name="Обычный 9 10 2 2 5 2" xfId="48603"/>
    <cellStyle name="Обычный 9 10 2 2 5 3" xfId="48604"/>
    <cellStyle name="Обычный 9 10 2 2 6" xfId="48605"/>
    <cellStyle name="Обычный 9 10 2 2 6 2" xfId="48606"/>
    <cellStyle name="Обычный 9 10 2 2 7" xfId="48607"/>
    <cellStyle name="Обычный 9 10 2 2 8" xfId="48608"/>
    <cellStyle name="Обычный 9 10 2 3" xfId="48609"/>
    <cellStyle name="Обычный 9 10 2 3 2" xfId="48610"/>
    <cellStyle name="Обычный 9 10 2 3 2 2" xfId="48611"/>
    <cellStyle name="Обычный 9 10 2 3 2 2 2" xfId="48612"/>
    <cellStyle name="Обычный 9 10 2 3 2 2 3" xfId="48613"/>
    <cellStyle name="Обычный 9 10 2 3 2 3" xfId="48614"/>
    <cellStyle name="Обычный 9 10 2 3 2 3 2" xfId="48615"/>
    <cellStyle name="Обычный 9 10 2 3 2 3 3" xfId="48616"/>
    <cellStyle name="Обычный 9 10 2 3 2 4" xfId="48617"/>
    <cellStyle name="Обычный 9 10 2 3 2 4 2" xfId="48618"/>
    <cellStyle name="Обычный 9 10 2 3 2 5" xfId="48619"/>
    <cellStyle name="Обычный 9 10 2 3 2 6" xfId="48620"/>
    <cellStyle name="Обычный 9 10 2 3 3" xfId="48621"/>
    <cellStyle name="Обычный 9 10 2 3 3 2" xfId="48622"/>
    <cellStyle name="Обычный 9 10 2 3 3 3" xfId="48623"/>
    <cellStyle name="Обычный 9 10 2 3 4" xfId="48624"/>
    <cellStyle name="Обычный 9 10 2 3 4 2" xfId="48625"/>
    <cellStyle name="Обычный 9 10 2 3 4 3" xfId="48626"/>
    <cellStyle name="Обычный 9 10 2 3 5" xfId="48627"/>
    <cellStyle name="Обычный 9 10 2 3 5 2" xfId="48628"/>
    <cellStyle name="Обычный 9 10 2 3 6" xfId="48629"/>
    <cellStyle name="Обычный 9 10 2 3 7" xfId="48630"/>
    <cellStyle name="Обычный 9 10 2 4" xfId="48631"/>
    <cellStyle name="Обычный 9 10 2 4 2" xfId="48632"/>
    <cellStyle name="Обычный 9 10 2 4 2 2" xfId="48633"/>
    <cellStyle name="Обычный 9 10 2 4 2 3" xfId="48634"/>
    <cellStyle name="Обычный 9 10 2 4 3" xfId="48635"/>
    <cellStyle name="Обычный 9 10 2 4 3 2" xfId="48636"/>
    <cellStyle name="Обычный 9 10 2 4 3 3" xfId="48637"/>
    <cellStyle name="Обычный 9 10 2 4 4" xfId="48638"/>
    <cellStyle name="Обычный 9 10 2 4 4 2" xfId="48639"/>
    <cellStyle name="Обычный 9 10 2 4 5" xfId="48640"/>
    <cellStyle name="Обычный 9 10 2 4 6" xfId="48641"/>
    <cellStyle name="Обычный 9 10 2 5" xfId="48642"/>
    <cellStyle name="Обычный 9 10 2 5 2" xfId="48643"/>
    <cellStyle name="Обычный 9 10 2 5 3" xfId="48644"/>
    <cellStyle name="Обычный 9 10 2 6" xfId="48645"/>
    <cellStyle name="Обычный 9 10 2 6 2" xfId="48646"/>
    <cellStyle name="Обычный 9 10 2 6 3" xfId="48647"/>
    <cellStyle name="Обычный 9 10 2 7" xfId="48648"/>
    <cellStyle name="Обычный 9 10 2 7 2" xfId="48649"/>
    <cellStyle name="Обычный 9 10 2 8" xfId="48650"/>
    <cellStyle name="Обычный 9 10 2 9" xfId="48651"/>
    <cellStyle name="Обычный 9 10 3" xfId="48652"/>
    <cellStyle name="Обычный 9 10 3 2" xfId="48653"/>
    <cellStyle name="Обычный 9 10 3 2 2" xfId="48654"/>
    <cellStyle name="Обычный 9 10 3 2 2 2" xfId="48655"/>
    <cellStyle name="Обычный 9 10 3 2 2 2 2" xfId="48656"/>
    <cellStyle name="Обычный 9 10 3 2 2 2 3" xfId="48657"/>
    <cellStyle name="Обычный 9 10 3 2 2 3" xfId="48658"/>
    <cellStyle name="Обычный 9 10 3 2 2 3 2" xfId="48659"/>
    <cellStyle name="Обычный 9 10 3 2 2 3 3" xfId="48660"/>
    <cellStyle name="Обычный 9 10 3 2 2 4" xfId="48661"/>
    <cellStyle name="Обычный 9 10 3 2 2 4 2" xfId="48662"/>
    <cellStyle name="Обычный 9 10 3 2 2 5" xfId="48663"/>
    <cellStyle name="Обычный 9 10 3 2 2 6" xfId="48664"/>
    <cellStyle name="Обычный 9 10 3 2 3" xfId="48665"/>
    <cellStyle name="Обычный 9 10 3 2 3 2" xfId="48666"/>
    <cellStyle name="Обычный 9 10 3 2 3 3" xfId="48667"/>
    <cellStyle name="Обычный 9 10 3 2 4" xfId="48668"/>
    <cellStyle name="Обычный 9 10 3 2 4 2" xfId="48669"/>
    <cellStyle name="Обычный 9 10 3 2 4 3" xfId="48670"/>
    <cellStyle name="Обычный 9 10 3 2 5" xfId="48671"/>
    <cellStyle name="Обычный 9 10 3 2 5 2" xfId="48672"/>
    <cellStyle name="Обычный 9 10 3 2 6" xfId="48673"/>
    <cellStyle name="Обычный 9 10 3 2 7" xfId="48674"/>
    <cellStyle name="Обычный 9 10 3 3" xfId="48675"/>
    <cellStyle name="Обычный 9 10 3 3 2" xfId="48676"/>
    <cellStyle name="Обычный 9 10 3 3 2 2" xfId="48677"/>
    <cellStyle name="Обычный 9 10 3 3 2 3" xfId="48678"/>
    <cellStyle name="Обычный 9 10 3 3 3" xfId="48679"/>
    <cellStyle name="Обычный 9 10 3 3 3 2" xfId="48680"/>
    <cellStyle name="Обычный 9 10 3 3 3 3" xfId="48681"/>
    <cellStyle name="Обычный 9 10 3 3 4" xfId="48682"/>
    <cellStyle name="Обычный 9 10 3 3 4 2" xfId="48683"/>
    <cellStyle name="Обычный 9 10 3 3 5" xfId="48684"/>
    <cellStyle name="Обычный 9 10 3 3 6" xfId="48685"/>
    <cellStyle name="Обычный 9 10 3 4" xfId="48686"/>
    <cellStyle name="Обычный 9 10 3 4 2" xfId="48687"/>
    <cellStyle name="Обычный 9 10 3 4 3" xfId="48688"/>
    <cellStyle name="Обычный 9 10 3 5" xfId="48689"/>
    <cellStyle name="Обычный 9 10 3 5 2" xfId="48690"/>
    <cellStyle name="Обычный 9 10 3 5 3" xfId="48691"/>
    <cellStyle name="Обычный 9 10 3 6" xfId="48692"/>
    <cellStyle name="Обычный 9 10 3 6 2" xfId="48693"/>
    <cellStyle name="Обычный 9 10 3 7" xfId="48694"/>
    <cellStyle name="Обычный 9 10 3 8" xfId="48695"/>
    <cellStyle name="Обычный 9 10 4" xfId="48696"/>
    <cellStyle name="Обычный 9 10 4 2" xfId="48697"/>
    <cellStyle name="Обычный 9 10 4 2 2" xfId="48698"/>
    <cellStyle name="Обычный 9 10 4 2 2 2" xfId="48699"/>
    <cellStyle name="Обычный 9 10 4 2 2 3" xfId="48700"/>
    <cellStyle name="Обычный 9 10 4 2 3" xfId="48701"/>
    <cellStyle name="Обычный 9 10 4 2 3 2" xfId="48702"/>
    <cellStyle name="Обычный 9 10 4 2 3 3" xfId="48703"/>
    <cellStyle name="Обычный 9 10 4 2 4" xfId="48704"/>
    <cellStyle name="Обычный 9 10 4 2 4 2" xfId="48705"/>
    <cellStyle name="Обычный 9 10 4 2 5" xfId="48706"/>
    <cellStyle name="Обычный 9 10 4 2 6" xfId="48707"/>
    <cellStyle name="Обычный 9 10 4 3" xfId="48708"/>
    <cellStyle name="Обычный 9 10 4 3 2" xfId="48709"/>
    <cellStyle name="Обычный 9 10 4 3 3" xfId="48710"/>
    <cellStyle name="Обычный 9 10 4 4" xfId="48711"/>
    <cellStyle name="Обычный 9 10 4 4 2" xfId="48712"/>
    <cellStyle name="Обычный 9 10 4 4 3" xfId="48713"/>
    <cellStyle name="Обычный 9 10 4 5" xfId="48714"/>
    <cellStyle name="Обычный 9 10 4 5 2" xfId="48715"/>
    <cellStyle name="Обычный 9 10 4 6" xfId="48716"/>
    <cellStyle name="Обычный 9 10 4 7" xfId="48717"/>
    <cellStyle name="Обычный 9 10 5" xfId="48718"/>
    <cellStyle name="Обычный 9 10 5 2" xfId="48719"/>
    <cellStyle name="Обычный 9 10 5 2 2" xfId="48720"/>
    <cellStyle name="Обычный 9 10 5 2 3" xfId="48721"/>
    <cellStyle name="Обычный 9 10 5 3" xfId="48722"/>
    <cellStyle name="Обычный 9 10 5 3 2" xfId="48723"/>
    <cellStyle name="Обычный 9 10 5 3 3" xfId="48724"/>
    <cellStyle name="Обычный 9 10 5 4" xfId="48725"/>
    <cellStyle name="Обычный 9 10 5 4 2" xfId="48726"/>
    <cellStyle name="Обычный 9 10 5 5" xfId="48727"/>
    <cellStyle name="Обычный 9 10 5 6" xfId="48728"/>
    <cellStyle name="Обычный 9 10 6" xfId="48729"/>
    <cellStyle name="Обычный 9 10 6 2" xfId="48730"/>
    <cellStyle name="Обычный 9 10 6 3" xfId="48731"/>
    <cellStyle name="Обычный 9 10 7" xfId="48732"/>
    <cellStyle name="Обычный 9 10 7 2" xfId="48733"/>
    <cellStyle name="Обычный 9 10 7 3" xfId="48734"/>
    <cellStyle name="Обычный 9 10 8" xfId="48735"/>
    <cellStyle name="Обычный 9 10 8 2" xfId="48736"/>
    <cellStyle name="Обычный 9 10 9" xfId="48737"/>
    <cellStyle name="Обычный 9 11" xfId="48738"/>
    <cellStyle name="Обычный 9 11 10" xfId="48739"/>
    <cellStyle name="Обычный 9 11 2" xfId="48740"/>
    <cellStyle name="Обычный 9 11 2 2" xfId="48741"/>
    <cellStyle name="Обычный 9 11 2 2 2" xfId="48742"/>
    <cellStyle name="Обычный 9 11 2 2 2 2" xfId="48743"/>
    <cellStyle name="Обычный 9 11 2 2 2 2 2" xfId="48744"/>
    <cellStyle name="Обычный 9 11 2 2 2 2 2 2" xfId="48745"/>
    <cellStyle name="Обычный 9 11 2 2 2 2 2 3" xfId="48746"/>
    <cellStyle name="Обычный 9 11 2 2 2 2 3" xfId="48747"/>
    <cellStyle name="Обычный 9 11 2 2 2 2 3 2" xfId="48748"/>
    <cellStyle name="Обычный 9 11 2 2 2 2 3 3" xfId="48749"/>
    <cellStyle name="Обычный 9 11 2 2 2 2 4" xfId="48750"/>
    <cellStyle name="Обычный 9 11 2 2 2 2 4 2" xfId="48751"/>
    <cellStyle name="Обычный 9 11 2 2 2 2 5" xfId="48752"/>
    <cellStyle name="Обычный 9 11 2 2 2 2 6" xfId="48753"/>
    <cellStyle name="Обычный 9 11 2 2 2 3" xfId="48754"/>
    <cellStyle name="Обычный 9 11 2 2 2 3 2" xfId="48755"/>
    <cellStyle name="Обычный 9 11 2 2 2 3 3" xfId="48756"/>
    <cellStyle name="Обычный 9 11 2 2 2 4" xfId="48757"/>
    <cellStyle name="Обычный 9 11 2 2 2 4 2" xfId="48758"/>
    <cellStyle name="Обычный 9 11 2 2 2 4 3" xfId="48759"/>
    <cellStyle name="Обычный 9 11 2 2 2 5" xfId="48760"/>
    <cellStyle name="Обычный 9 11 2 2 2 5 2" xfId="48761"/>
    <cellStyle name="Обычный 9 11 2 2 2 6" xfId="48762"/>
    <cellStyle name="Обычный 9 11 2 2 2 7" xfId="48763"/>
    <cellStyle name="Обычный 9 11 2 2 3" xfId="48764"/>
    <cellStyle name="Обычный 9 11 2 2 3 2" xfId="48765"/>
    <cellStyle name="Обычный 9 11 2 2 3 2 2" xfId="48766"/>
    <cellStyle name="Обычный 9 11 2 2 3 2 3" xfId="48767"/>
    <cellStyle name="Обычный 9 11 2 2 3 3" xfId="48768"/>
    <cellStyle name="Обычный 9 11 2 2 3 3 2" xfId="48769"/>
    <cellStyle name="Обычный 9 11 2 2 3 3 3" xfId="48770"/>
    <cellStyle name="Обычный 9 11 2 2 3 4" xfId="48771"/>
    <cellStyle name="Обычный 9 11 2 2 3 4 2" xfId="48772"/>
    <cellStyle name="Обычный 9 11 2 2 3 5" xfId="48773"/>
    <cellStyle name="Обычный 9 11 2 2 3 6" xfId="48774"/>
    <cellStyle name="Обычный 9 11 2 2 4" xfId="48775"/>
    <cellStyle name="Обычный 9 11 2 2 4 2" xfId="48776"/>
    <cellStyle name="Обычный 9 11 2 2 4 3" xfId="48777"/>
    <cellStyle name="Обычный 9 11 2 2 5" xfId="48778"/>
    <cellStyle name="Обычный 9 11 2 2 5 2" xfId="48779"/>
    <cellStyle name="Обычный 9 11 2 2 5 3" xfId="48780"/>
    <cellStyle name="Обычный 9 11 2 2 6" xfId="48781"/>
    <cellStyle name="Обычный 9 11 2 2 6 2" xfId="48782"/>
    <cellStyle name="Обычный 9 11 2 2 7" xfId="48783"/>
    <cellStyle name="Обычный 9 11 2 2 8" xfId="48784"/>
    <cellStyle name="Обычный 9 11 2 3" xfId="48785"/>
    <cellStyle name="Обычный 9 11 2 3 2" xfId="48786"/>
    <cellStyle name="Обычный 9 11 2 3 2 2" xfId="48787"/>
    <cellStyle name="Обычный 9 11 2 3 2 2 2" xfId="48788"/>
    <cellStyle name="Обычный 9 11 2 3 2 2 3" xfId="48789"/>
    <cellStyle name="Обычный 9 11 2 3 2 3" xfId="48790"/>
    <cellStyle name="Обычный 9 11 2 3 2 3 2" xfId="48791"/>
    <cellStyle name="Обычный 9 11 2 3 2 3 3" xfId="48792"/>
    <cellStyle name="Обычный 9 11 2 3 2 4" xfId="48793"/>
    <cellStyle name="Обычный 9 11 2 3 2 4 2" xfId="48794"/>
    <cellStyle name="Обычный 9 11 2 3 2 5" xfId="48795"/>
    <cellStyle name="Обычный 9 11 2 3 2 6" xfId="48796"/>
    <cellStyle name="Обычный 9 11 2 3 3" xfId="48797"/>
    <cellStyle name="Обычный 9 11 2 3 3 2" xfId="48798"/>
    <cellStyle name="Обычный 9 11 2 3 3 3" xfId="48799"/>
    <cellStyle name="Обычный 9 11 2 3 4" xfId="48800"/>
    <cellStyle name="Обычный 9 11 2 3 4 2" xfId="48801"/>
    <cellStyle name="Обычный 9 11 2 3 4 3" xfId="48802"/>
    <cellStyle name="Обычный 9 11 2 3 5" xfId="48803"/>
    <cellStyle name="Обычный 9 11 2 3 5 2" xfId="48804"/>
    <cellStyle name="Обычный 9 11 2 3 6" xfId="48805"/>
    <cellStyle name="Обычный 9 11 2 3 7" xfId="48806"/>
    <cellStyle name="Обычный 9 11 2 4" xfId="48807"/>
    <cellStyle name="Обычный 9 11 2 4 2" xfId="48808"/>
    <cellStyle name="Обычный 9 11 2 4 2 2" xfId="48809"/>
    <cellStyle name="Обычный 9 11 2 4 2 3" xfId="48810"/>
    <cellStyle name="Обычный 9 11 2 4 3" xfId="48811"/>
    <cellStyle name="Обычный 9 11 2 4 3 2" xfId="48812"/>
    <cellStyle name="Обычный 9 11 2 4 3 3" xfId="48813"/>
    <cellStyle name="Обычный 9 11 2 4 4" xfId="48814"/>
    <cellStyle name="Обычный 9 11 2 4 4 2" xfId="48815"/>
    <cellStyle name="Обычный 9 11 2 4 5" xfId="48816"/>
    <cellStyle name="Обычный 9 11 2 4 6" xfId="48817"/>
    <cellStyle name="Обычный 9 11 2 5" xfId="48818"/>
    <cellStyle name="Обычный 9 11 2 5 2" xfId="48819"/>
    <cellStyle name="Обычный 9 11 2 5 3" xfId="48820"/>
    <cellStyle name="Обычный 9 11 2 6" xfId="48821"/>
    <cellStyle name="Обычный 9 11 2 6 2" xfId="48822"/>
    <cellStyle name="Обычный 9 11 2 6 3" xfId="48823"/>
    <cellStyle name="Обычный 9 11 2 7" xfId="48824"/>
    <cellStyle name="Обычный 9 11 2 7 2" xfId="48825"/>
    <cellStyle name="Обычный 9 11 2 8" xfId="48826"/>
    <cellStyle name="Обычный 9 11 2 9" xfId="48827"/>
    <cellStyle name="Обычный 9 11 3" xfId="48828"/>
    <cellStyle name="Обычный 9 11 3 2" xfId="48829"/>
    <cellStyle name="Обычный 9 11 3 2 2" xfId="48830"/>
    <cellStyle name="Обычный 9 11 3 2 2 2" xfId="48831"/>
    <cellStyle name="Обычный 9 11 3 2 2 2 2" xfId="48832"/>
    <cellStyle name="Обычный 9 11 3 2 2 2 3" xfId="48833"/>
    <cellStyle name="Обычный 9 11 3 2 2 3" xfId="48834"/>
    <cellStyle name="Обычный 9 11 3 2 2 3 2" xfId="48835"/>
    <cellStyle name="Обычный 9 11 3 2 2 3 3" xfId="48836"/>
    <cellStyle name="Обычный 9 11 3 2 2 4" xfId="48837"/>
    <cellStyle name="Обычный 9 11 3 2 2 4 2" xfId="48838"/>
    <cellStyle name="Обычный 9 11 3 2 2 5" xfId="48839"/>
    <cellStyle name="Обычный 9 11 3 2 2 6" xfId="48840"/>
    <cellStyle name="Обычный 9 11 3 2 3" xfId="48841"/>
    <cellStyle name="Обычный 9 11 3 2 3 2" xfId="48842"/>
    <cellStyle name="Обычный 9 11 3 2 3 3" xfId="48843"/>
    <cellStyle name="Обычный 9 11 3 2 4" xfId="48844"/>
    <cellStyle name="Обычный 9 11 3 2 4 2" xfId="48845"/>
    <cellStyle name="Обычный 9 11 3 2 4 3" xfId="48846"/>
    <cellStyle name="Обычный 9 11 3 2 5" xfId="48847"/>
    <cellStyle name="Обычный 9 11 3 2 5 2" xfId="48848"/>
    <cellStyle name="Обычный 9 11 3 2 6" xfId="48849"/>
    <cellStyle name="Обычный 9 11 3 2 7" xfId="48850"/>
    <cellStyle name="Обычный 9 11 3 3" xfId="48851"/>
    <cellStyle name="Обычный 9 11 3 3 2" xfId="48852"/>
    <cellStyle name="Обычный 9 11 3 3 2 2" xfId="48853"/>
    <cellStyle name="Обычный 9 11 3 3 2 3" xfId="48854"/>
    <cellStyle name="Обычный 9 11 3 3 3" xfId="48855"/>
    <cellStyle name="Обычный 9 11 3 3 3 2" xfId="48856"/>
    <cellStyle name="Обычный 9 11 3 3 3 3" xfId="48857"/>
    <cellStyle name="Обычный 9 11 3 3 4" xfId="48858"/>
    <cellStyle name="Обычный 9 11 3 3 4 2" xfId="48859"/>
    <cellStyle name="Обычный 9 11 3 3 5" xfId="48860"/>
    <cellStyle name="Обычный 9 11 3 3 6" xfId="48861"/>
    <cellStyle name="Обычный 9 11 3 4" xfId="48862"/>
    <cellStyle name="Обычный 9 11 3 4 2" xfId="48863"/>
    <cellStyle name="Обычный 9 11 3 4 3" xfId="48864"/>
    <cellStyle name="Обычный 9 11 3 5" xfId="48865"/>
    <cellStyle name="Обычный 9 11 3 5 2" xfId="48866"/>
    <cellStyle name="Обычный 9 11 3 5 3" xfId="48867"/>
    <cellStyle name="Обычный 9 11 3 6" xfId="48868"/>
    <cellStyle name="Обычный 9 11 3 6 2" xfId="48869"/>
    <cellStyle name="Обычный 9 11 3 7" xfId="48870"/>
    <cellStyle name="Обычный 9 11 3 8" xfId="48871"/>
    <cellStyle name="Обычный 9 11 4" xfId="48872"/>
    <cellStyle name="Обычный 9 11 4 2" xfId="48873"/>
    <cellStyle name="Обычный 9 11 4 2 2" xfId="48874"/>
    <cellStyle name="Обычный 9 11 4 2 2 2" xfId="48875"/>
    <cellStyle name="Обычный 9 11 4 2 2 3" xfId="48876"/>
    <cellStyle name="Обычный 9 11 4 2 3" xfId="48877"/>
    <cellStyle name="Обычный 9 11 4 2 3 2" xfId="48878"/>
    <cellStyle name="Обычный 9 11 4 2 3 3" xfId="48879"/>
    <cellStyle name="Обычный 9 11 4 2 4" xfId="48880"/>
    <cellStyle name="Обычный 9 11 4 2 4 2" xfId="48881"/>
    <cellStyle name="Обычный 9 11 4 2 5" xfId="48882"/>
    <cellStyle name="Обычный 9 11 4 2 6" xfId="48883"/>
    <cellStyle name="Обычный 9 11 4 3" xfId="48884"/>
    <cellStyle name="Обычный 9 11 4 3 2" xfId="48885"/>
    <cellStyle name="Обычный 9 11 4 3 3" xfId="48886"/>
    <cellStyle name="Обычный 9 11 4 4" xfId="48887"/>
    <cellStyle name="Обычный 9 11 4 4 2" xfId="48888"/>
    <cellStyle name="Обычный 9 11 4 4 3" xfId="48889"/>
    <cellStyle name="Обычный 9 11 4 5" xfId="48890"/>
    <cellStyle name="Обычный 9 11 4 5 2" xfId="48891"/>
    <cellStyle name="Обычный 9 11 4 6" xfId="48892"/>
    <cellStyle name="Обычный 9 11 4 7" xfId="48893"/>
    <cellStyle name="Обычный 9 11 5" xfId="48894"/>
    <cellStyle name="Обычный 9 11 5 2" xfId="48895"/>
    <cellStyle name="Обычный 9 11 5 2 2" xfId="48896"/>
    <cellStyle name="Обычный 9 11 5 2 3" xfId="48897"/>
    <cellStyle name="Обычный 9 11 5 3" xfId="48898"/>
    <cellStyle name="Обычный 9 11 5 3 2" xfId="48899"/>
    <cellStyle name="Обычный 9 11 5 3 3" xfId="48900"/>
    <cellStyle name="Обычный 9 11 5 4" xfId="48901"/>
    <cellStyle name="Обычный 9 11 5 4 2" xfId="48902"/>
    <cellStyle name="Обычный 9 11 5 5" xfId="48903"/>
    <cellStyle name="Обычный 9 11 5 6" xfId="48904"/>
    <cellStyle name="Обычный 9 11 6" xfId="48905"/>
    <cellStyle name="Обычный 9 11 6 2" xfId="48906"/>
    <cellStyle name="Обычный 9 11 6 3" xfId="48907"/>
    <cellStyle name="Обычный 9 11 7" xfId="48908"/>
    <cellStyle name="Обычный 9 11 7 2" xfId="48909"/>
    <cellStyle name="Обычный 9 11 7 3" xfId="48910"/>
    <cellStyle name="Обычный 9 11 8" xfId="48911"/>
    <cellStyle name="Обычный 9 11 8 2" xfId="48912"/>
    <cellStyle name="Обычный 9 11 9" xfId="48913"/>
    <cellStyle name="Обычный 9 12" xfId="48914"/>
    <cellStyle name="Обычный 9 12 10" xfId="48915"/>
    <cellStyle name="Обычный 9 12 2" xfId="48916"/>
    <cellStyle name="Обычный 9 12 2 2" xfId="48917"/>
    <cellStyle name="Обычный 9 12 2 2 2" xfId="48918"/>
    <cellStyle name="Обычный 9 12 2 2 2 2" xfId="48919"/>
    <cellStyle name="Обычный 9 12 2 2 2 2 2" xfId="48920"/>
    <cellStyle name="Обычный 9 12 2 2 2 2 2 2" xfId="48921"/>
    <cellStyle name="Обычный 9 12 2 2 2 2 2 3" xfId="48922"/>
    <cellStyle name="Обычный 9 12 2 2 2 2 3" xfId="48923"/>
    <cellStyle name="Обычный 9 12 2 2 2 2 3 2" xfId="48924"/>
    <cellStyle name="Обычный 9 12 2 2 2 2 3 3" xfId="48925"/>
    <cellStyle name="Обычный 9 12 2 2 2 2 4" xfId="48926"/>
    <cellStyle name="Обычный 9 12 2 2 2 2 4 2" xfId="48927"/>
    <cellStyle name="Обычный 9 12 2 2 2 2 5" xfId="48928"/>
    <cellStyle name="Обычный 9 12 2 2 2 2 6" xfId="48929"/>
    <cellStyle name="Обычный 9 12 2 2 2 3" xfId="48930"/>
    <cellStyle name="Обычный 9 12 2 2 2 3 2" xfId="48931"/>
    <cellStyle name="Обычный 9 12 2 2 2 3 3" xfId="48932"/>
    <cellStyle name="Обычный 9 12 2 2 2 4" xfId="48933"/>
    <cellStyle name="Обычный 9 12 2 2 2 4 2" xfId="48934"/>
    <cellStyle name="Обычный 9 12 2 2 2 4 3" xfId="48935"/>
    <cellStyle name="Обычный 9 12 2 2 2 5" xfId="48936"/>
    <cellStyle name="Обычный 9 12 2 2 2 5 2" xfId="48937"/>
    <cellStyle name="Обычный 9 12 2 2 2 6" xfId="48938"/>
    <cellStyle name="Обычный 9 12 2 2 2 7" xfId="48939"/>
    <cellStyle name="Обычный 9 12 2 2 3" xfId="48940"/>
    <cellStyle name="Обычный 9 12 2 2 3 2" xfId="48941"/>
    <cellStyle name="Обычный 9 12 2 2 3 2 2" xfId="48942"/>
    <cellStyle name="Обычный 9 12 2 2 3 2 3" xfId="48943"/>
    <cellStyle name="Обычный 9 12 2 2 3 3" xfId="48944"/>
    <cellStyle name="Обычный 9 12 2 2 3 3 2" xfId="48945"/>
    <cellStyle name="Обычный 9 12 2 2 3 3 3" xfId="48946"/>
    <cellStyle name="Обычный 9 12 2 2 3 4" xfId="48947"/>
    <cellStyle name="Обычный 9 12 2 2 3 4 2" xfId="48948"/>
    <cellStyle name="Обычный 9 12 2 2 3 5" xfId="48949"/>
    <cellStyle name="Обычный 9 12 2 2 3 6" xfId="48950"/>
    <cellStyle name="Обычный 9 12 2 2 4" xfId="48951"/>
    <cellStyle name="Обычный 9 12 2 2 4 2" xfId="48952"/>
    <cellStyle name="Обычный 9 12 2 2 4 3" xfId="48953"/>
    <cellStyle name="Обычный 9 12 2 2 5" xfId="48954"/>
    <cellStyle name="Обычный 9 12 2 2 5 2" xfId="48955"/>
    <cellStyle name="Обычный 9 12 2 2 5 3" xfId="48956"/>
    <cellStyle name="Обычный 9 12 2 2 6" xfId="48957"/>
    <cellStyle name="Обычный 9 12 2 2 6 2" xfId="48958"/>
    <cellStyle name="Обычный 9 12 2 2 7" xfId="48959"/>
    <cellStyle name="Обычный 9 12 2 2 8" xfId="48960"/>
    <cellStyle name="Обычный 9 12 2 3" xfId="48961"/>
    <cellStyle name="Обычный 9 12 2 3 2" xfId="48962"/>
    <cellStyle name="Обычный 9 12 2 3 2 2" xfId="48963"/>
    <cellStyle name="Обычный 9 12 2 3 2 2 2" xfId="48964"/>
    <cellStyle name="Обычный 9 12 2 3 2 2 3" xfId="48965"/>
    <cellStyle name="Обычный 9 12 2 3 2 3" xfId="48966"/>
    <cellStyle name="Обычный 9 12 2 3 2 3 2" xfId="48967"/>
    <cellStyle name="Обычный 9 12 2 3 2 3 3" xfId="48968"/>
    <cellStyle name="Обычный 9 12 2 3 2 4" xfId="48969"/>
    <cellStyle name="Обычный 9 12 2 3 2 4 2" xfId="48970"/>
    <cellStyle name="Обычный 9 12 2 3 2 5" xfId="48971"/>
    <cellStyle name="Обычный 9 12 2 3 2 6" xfId="48972"/>
    <cellStyle name="Обычный 9 12 2 3 3" xfId="48973"/>
    <cellStyle name="Обычный 9 12 2 3 3 2" xfId="48974"/>
    <cellStyle name="Обычный 9 12 2 3 3 3" xfId="48975"/>
    <cellStyle name="Обычный 9 12 2 3 4" xfId="48976"/>
    <cellStyle name="Обычный 9 12 2 3 4 2" xfId="48977"/>
    <cellStyle name="Обычный 9 12 2 3 4 3" xfId="48978"/>
    <cellStyle name="Обычный 9 12 2 3 5" xfId="48979"/>
    <cellStyle name="Обычный 9 12 2 3 5 2" xfId="48980"/>
    <cellStyle name="Обычный 9 12 2 3 6" xfId="48981"/>
    <cellStyle name="Обычный 9 12 2 3 7" xfId="48982"/>
    <cellStyle name="Обычный 9 12 2 4" xfId="48983"/>
    <cellStyle name="Обычный 9 12 2 4 2" xfId="48984"/>
    <cellStyle name="Обычный 9 12 2 4 2 2" xfId="48985"/>
    <cellStyle name="Обычный 9 12 2 4 2 3" xfId="48986"/>
    <cellStyle name="Обычный 9 12 2 4 3" xfId="48987"/>
    <cellStyle name="Обычный 9 12 2 4 3 2" xfId="48988"/>
    <cellStyle name="Обычный 9 12 2 4 3 3" xfId="48989"/>
    <cellStyle name="Обычный 9 12 2 4 4" xfId="48990"/>
    <cellStyle name="Обычный 9 12 2 4 4 2" xfId="48991"/>
    <cellStyle name="Обычный 9 12 2 4 5" xfId="48992"/>
    <cellStyle name="Обычный 9 12 2 4 6" xfId="48993"/>
    <cellStyle name="Обычный 9 12 2 5" xfId="48994"/>
    <cellStyle name="Обычный 9 12 2 5 2" xfId="48995"/>
    <cellStyle name="Обычный 9 12 2 5 3" xfId="48996"/>
    <cellStyle name="Обычный 9 12 2 6" xfId="48997"/>
    <cellStyle name="Обычный 9 12 2 6 2" xfId="48998"/>
    <cellStyle name="Обычный 9 12 2 6 3" xfId="48999"/>
    <cellStyle name="Обычный 9 12 2 7" xfId="49000"/>
    <cellStyle name="Обычный 9 12 2 7 2" xfId="49001"/>
    <cellStyle name="Обычный 9 12 2 8" xfId="49002"/>
    <cellStyle name="Обычный 9 12 2 9" xfId="49003"/>
    <cellStyle name="Обычный 9 12 3" xfId="49004"/>
    <cellStyle name="Обычный 9 12 3 2" xfId="49005"/>
    <cellStyle name="Обычный 9 12 3 2 2" xfId="49006"/>
    <cellStyle name="Обычный 9 12 3 2 2 2" xfId="49007"/>
    <cellStyle name="Обычный 9 12 3 2 2 2 2" xfId="49008"/>
    <cellStyle name="Обычный 9 12 3 2 2 2 3" xfId="49009"/>
    <cellStyle name="Обычный 9 12 3 2 2 3" xfId="49010"/>
    <cellStyle name="Обычный 9 12 3 2 2 3 2" xfId="49011"/>
    <cellStyle name="Обычный 9 12 3 2 2 3 3" xfId="49012"/>
    <cellStyle name="Обычный 9 12 3 2 2 4" xfId="49013"/>
    <cellStyle name="Обычный 9 12 3 2 2 4 2" xfId="49014"/>
    <cellStyle name="Обычный 9 12 3 2 2 5" xfId="49015"/>
    <cellStyle name="Обычный 9 12 3 2 2 6" xfId="49016"/>
    <cellStyle name="Обычный 9 12 3 2 3" xfId="49017"/>
    <cellStyle name="Обычный 9 12 3 2 3 2" xfId="49018"/>
    <cellStyle name="Обычный 9 12 3 2 3 3" xfId="49019"/>
    <cellStyle name="Обычный 9 12 3 2 4" xfId="49020"/>
    <cellStyle name="Обычный 9 12 3 2 4 2" xfId="49021"/>
    <cellStyle name="Обычный 9 12 3 2 4 3" xfId="49022"/>
    <cellStyle name="Обычный 9 12 3 2 5" xfId="49023"/>
    <cellStyle name="Обычный 9 12 3 2 5 2" xfId="49024"/>
    <cellStyle name="Обычный 9 12 3 2 6" xfId="49025"/>
    <cellStyle name="Обычный 9 12 3 2 7" xfId="49026"/>
    <cellStyle name="Обычный 9 12 3 3" xfId="49027"/>
    <cellStyle name="Обычный 9 12 3 3 2" xfId="49028"/>
    <cellStyle name="Обычный 9 12 3 3 2 2" xfId="49029"/>
    <cellStyle name="Обычный 9 12 3 3 2 3" xfId="49030"/>
    <cellStyle name="Обычный 9 12 3 3 3" xfId="49031"/>
    <cellStyle name="Обычный 9 12 3 3 3 2" xfId="49032"/>
    <cellStyle name="Обычный 9 12 3 3 3 3" xfId="49033"/>
    <cellStyle name="Обычный 9 12 3 3 4" xfId="49034"/>
    <cellStyle name="Обычный 9 12 3 3 4 2" xfId="49035"/>
    <cellStyle name="Обычный 9 12 3 3 5" xfId="49036"/>
    <cellStyle name="Обычный 9 12 3 3 6" xfId="49037"/>
    <cellStyle name="Обычный 9 12 3 4" xfId="49038"/>
    <cellStyle name="Обычный 9 12 3 4 2" xfId="49039"/>
    <cellStyle name="Обычный 9 12 3 4 3" xfId="49040"/>
    <cellStyle name="Обычный 9 12 3 5" xfId="49041"/>
    <cellStyle name="Обычный 9 12 3 5 2" xfId="49042"/>
    <cellStyle name="Обычный 9 12 3 5 3" xfId="49043"/>
    <cellStyle name="Обычный 9 12 3 6" xfId="49044"/>
    <cellStyle name="Обычный 9 12 3 6 2" xfId="49045"/>
    <cellStyle name="Обычный 9 12 3 7" xfId="49046"/>
    <cellStyle name="Обычный 9 12 3 8" xfId="49047"/>
    <cellStyle name="Обычный 9 12 4" xfId="49048"/>
    <cellStyle name="Обычный 9 12 4 2" xfId="49049"/>
    <cellStyle name="Обычный 9 12 4 2 2" xfId="49050"/>
    <cellStyle name="Обычный 9 12 4 2 2 2" xfId="49051"/>
    <cellStyle name="Обычный 9 12 4 2 2 3" xfId="49052"/>
    <cellStyle name="Обычный 9 12 4 2 3" xfId="49053"/>
    <cellStyle name="Обычный 9 12 4 2 3 2" xfId="49054"/>
    <cellStyle name="Обычный 9 12 4 2 3 3" xfId="49055"/>
    <cellStyle name="Обычный 9 12 4 2 4" xfId="49056"/>
    <cellStyle name="Обычный 9 12 4 2 4 2" xfId="49057"/>
    <cellStyle name="Обычный 9 12 4 2 5" xfId="49058"/>
    <cellStyle name="Обычный 9 12 4 2 6" xfId="49059"/>
    <cellStyle name="Обычный 9 12 4 3" xfId="49060"/>
    <cellStyle name="Обычный 9 12 4 3 2" xfId="49061"/>
    <cellStyle name="Обычный 9 12 4 3 3" xfId="49062"/>
    <cellStyle name="Обычный 9 12 4 4" xfId="49063"/>
    <cellStyle name="Обычный 9 12 4 4 2" xfId="49064"/>
    <cellStyle name="Обычный 9 12 4 4 3" xfId="49065"/>
    <cellStyle name="Обычный 9 12 4 5" xfId="49066"/>
    <cellStyle name="Обычный 9 12 4 5 2" xfId="49067"/>
    <cellStyle name="Обычный 9 12 4 6" xfId="49068"/>
    <cellStyle name="Обычный 9 12 4 7" xfId="49069"/>
    <cellStyle name="Обычный 9 12 5" xfId="49070"/>
    <cellStyle name="Обычный 9 12 5 2" xfId="49071"/>
    <cellStyle name="Обычный 9 12 5 2 2" xfId="49072"/>
    <cellStyle name="Обычный 9 12 5 2 3" xfId="49073"/>
    <cellStyle name="Обычный 9 12 5 3" xfId="49074"/>
    <cellStyle name="Обычный 9 12 5 3 2" xfId="49075"/>
    <cellStyle name="Обычный 9 12 5 3 3" xfId="49076"/>
    <cellStyle name="Обычный 9 12 5 4" xfId="49077"/>
    <cellStyle name="Обычный 9 12 5 4 2" xfId="49078"/>
    <cellStyle name="Обычный 9 12 5 5" xfId="49079"/>
    <cellStyle name="Обычный 9 12 5 6" xfId="49080"/>
    <cellStyle name="Обычный 9 12 6" xfId="49081"/>
    <cellStyle name="Обычный 9 12 6 2" xfId="49082"/>
    <cellStyle name="Обычный 9 12 6 3" xfId="49083"/>
    <cellStyle name="Обычный 9 12 7" xfId="49084"/>
    <cellStyle name="Обычный 9 12 7 2" xfId="49085"/>
    <cellStyle name="Обычный 9 12 7 3" xfId="49086"/>
    <cellStyle name="Обычный 9 12 8" xfId="49087"/>
    <cellStyle name="Обычный 9 12 8 2" xfId="49088"/>
    <cellStyle name="Обычный 9 12 9" xfId="49089"/>
    <cellStyle name="Обычный 9 13" xfId="49090"/>
    <cellStyle name="Обычный 9 13 2" xfId="49091"/>
    <cellStyle name="Обычный 9 13 2 2" xfId="49092"/>
    <cellStyle name="Обычный 9 13 2 2 2" xfId="49093"/>
    <cellStyle name="Обычный 9 13 2 2 2 2" xfId="49094"/>
    <cellStyle name="Обычный 9 13 2 2 2 2 2" xfId="49095"/>
    <cellStyle name="Обычный 9 13 2 2 2 2 3" xfId="49096"/>
    <cellStyle name="Обычный 9 13 2 2 2 3" xfId="49097"/>
    <cellStyle name="Обычный 9 13 2 2 2 3 2" xfId="49098"/>
    <cellStyle name="Обычный 9 13 2 2 2 3 3" xfId="49099"/>
    <cellStyle name="Обычный 9 13 2 2 2 4" xfId="49100"/>
    <cellStyle name="Обычный 9 13 2 2 2 4 2" xfId="49101"/>
    <cellStyle name="Обычный 9 13 2 2 2 5" xfId="49102"/>
    <cellStyle name="Обычный 9 13 2 2 2 6" xfId="49103"/>
    <cellStyle name="Обычный 9 13 2 2 3" xfId="49104"/>
    <cellStyle name="Обычный 9 13 2 2 3 2" xfId="49105"/>
    <cellStyle name="Обычный 9 13 2 2 3 3" xfId="49106"/>
    <cellStyle name="Обычный 9 13 2 2 4" xfId="49107"/>
    <cellStyle name="Обычный 9 13 2 2 4 2" xfId="49108"/>
    <cellStyle name="Обычный 9 13 2 2 4 3" xfId="49109"/>
    <cellStyle name="Обычный 9 13 2 2 5" xfId="49110"/>
    <cellStyle name="Обычный 9 13 2 2 5 2" xfId="49111"/>
    <cellStyle name="Обычный 9 13 2 2 6" xfId="49112"/>
    <cellStyle name="Обычный 9 13 2 2 7" xfId="49113"/>
    <cellStyle name="Обычный 9 13 2 3" xfId="49114"/>
    <cellStyle name="Обычный 9 13 2 3 2" xfId="49115"/>
    <cellStyle name="Обычный 9 13 2 3 2 2" xfId="49116"/>
    <cellStyle name="Обычный 9 13 2 3 2 3" xfId="49117"/>
    <cellStyle name="Обычный 9 13 2 3 3" xfId="49118"/>
    <cellStyle name="Обычный 9 13 2 3 3 2" xfId="49119"/>
    <cellStyle name="Обычный 9 13 2 3 3 3" xfId="49120"/>
    <cellStyle name="Обычный 9 13 2 3 4" xfId="49121"/>
    <cellStyle name="Обычный 9 13 2 3 4 2" xfId="49122"/>
    <cellStyle name="Обычный 9 13 2 3 5" xfId="49123"/>
    <cellStyle name="Обычный 9 13 2 3 6" xfId="49124"/>
    <cellStyle name="Обычный 9 13 2 4" xfId="49125"/>
    <cellStyle name="Обычный 9 13 2 4 2" xfId="49126"/>
    <cellStyle name="Обычный 9 13 2 4 3" xfId="49127"/>
    <cellStyle name="Обычный 9 13 2 5" xfId="49128"/>
    <cellStyle name="Обычный 9 13 2 5 2" xfId="49129"/>
    <cellStyle name="Обычный 9 13 2 5 3" xfId="49130"/>
    <cellStyle name="Обычный 9 13 2 6" xfId="49131"/>
    <cellStyle name="Обычный 9 13 2 6 2" xfId="49132"/>
    <cellStyle name="Обычный 9 13 2 7" xfId="49133"/>
    <cellStyle name="Обычный 9 13 2 8" xfId="49134"/>
    <cellStyle name="Обычный 9 13 3" xfId="49135"/>
    <cellStyle name="Обычный 9 13 3 2" xfId="49136"/>
    <cellStyle name="Обычный 9 13 3 2 2" xfId="49137"/>
    <cellStyle name="Обычный 9 13 3 2 2 2" xfId="49138"/>
    <cellStyle name="Обычный 9 13 3 2 2 3" xfId="49139"/>
    <cellStyle name="Обычный 9 13 3 2 3" xfId="49140"/>
    <cellStyle name="Обычный 9 13 3 2 3 2" xfId="49141"/>
    <cellStyle name="Обычный 9 13 3 2 3 3" xfId="49142"/>
    <cellStyle name="Обычный 9 13 3 2 4" xfId="49143"/>
    <cellStyle name="Обычный 9 13 3 2 4 2" xfId="49144"/>
    <cellStyle name="Обычный 9 13 3 2 5" xfId="49145"/>
    <cellStyle name="Обычный 9 13 3 2 6" xfId="49146"/>
    <cellStyle name="Обычный 9 13 3 3" xfId="49147"/>
    <cellStyle name="Обычный 9 13 3 3 2" xfId="49148"/>
    <cellStyle name="Обычный 9 13 3 3 3" xfId="49149"/>
    <cellStyle name="Обычный 9 13 3 4" xfId="49150"/>
    <cellStyle name="Обычный 9 13 3 4 2" xfId="49151"/>
    <cellStyle name="Обычный 9 13 3 4 3" xfId="49152"/>
    <cellStyle name="Обычный 9 13 3 5" xfId="49153"/>
    <cellStyle name="Обычный 9 13 3 5 2" xfId="49154"/>
    <cellStyle name="Обычный 9 13 3 6" xfId="49155"/>
    <cellStyle name="Обычный 9 13 3 7" xfId="49156"/>
    <cellStyle name="Обычный 9 13 4" xfId="49157"/>
    <cellStyle name="Обычный 9 13 4 2" xfId="49158"/>
    <cellStyle name="Обычный 9 13 4 2 2" xfId="49159"/>
    <cellStyle name="Обычный 9 13 4 2 3" xfId="49160"/>
    <cellStyle name="Обычный 9 13 4 3" xfId="49161"/>
    <cellStyle name="Обычный 9 13 4 3 2" xfId="49162"/>
    <cellStyle name="Обычный 9 13 4 3 3" xfId="49163"/>
    <cellStyle name="Обычный 9 13 4 4" xfId="49164"/>
    <cellStyle name="Обычный 9 13 4 4 2" xfId="49165"/>
    <cellStyle name="Обычный 9 13 4 5" xfId="49166"/>
    <cellStyle name="Обычный 9 13 4 6" xfId="49167"/>
    <cellStyle name="Обычный 9 13 5" xfId="49168"/>
    <cellStyle name="Обычный 9 13 5 2" xfId="49169"/>
    <cellStyle name="Обычный 9 13 5 3" xfId="49170"/>
    <cellStyle name="Обычный 9 13 6" xfId="49171"/>
    <cellStyle name="Обычный 9 13 6 2" xfId="49172"/>
    <cellStyle name="Обычный 9 13 6 3" xfId="49173"/>
    <cellStyle name="Обычный 9 13 7" xfId="49174"/>
    <cellStyle name="Обычный 9 13 7 2" xfId="49175"/>
    <cellStyle name="Обычный 9 13 8" xfId="49176"/>
    <cellStyle name="Обычный 9 13 9" xfId="49177"/>
    <cellStyle name="Обычный 9 14" xfId="49178"/>
    <cellStyle name="Обычный 9 14 2" xfId="49179"/>
    <cellStyle name="Обычный 9 14 2 2" xfId="49180"/>
    <cellStyle name="Обычный 9 14 2 2 2" xfId="49181"/>
    <cellStyle name="Обычный 9 14 2 2 2 2" xfId="49182"/>
    <cellStyle name="Обычный 9 14 2 2 2 3" xfId="49183"/>
    <cellStyle name="Обычный 9 14 2 2 3" xfId="49184"/>
    <cellStyle name="Обычный 9 14 2 2 3 2" xfId="49185"/>
    <cellStyle name="Обычный 9 14 2 2 3 3" xfId="49186"/>
    <cellStyle name="Обычный 9 14 2 2 4" xfId="49187"/>
    <cellStyle name="Обычный 9 14 2 2 4 2" xfId="49188"/>
    <cellStyle name="Обычный 9 14 2 2 5" xfId="49189"/>
    <cellStyle name="Обычный 9 14 2 2 6" xfId="49190"/>
    <cellStyle name="Обычный 9 14 2 3" xfId="49191"/>
    <cellStyle name="Обычный 9 14 2 3 2" xfId="49192"/>
    <cellStyle name="Обычный 9 14 2 3 3" xfId="49193"/>
    <cellStyle name="Обычный 9 14 2 4" xfId="49194"/>
    <cellStyle name="Обычный 9 14 2 4 2" xfId="49195"/>
    <cellStyle name="Обычный 9 14 2 4 3" xfId="49196"/>
    <cellStyle name="Обычный 9 14 2 5" xfId="49197"/>
    <cellStyle name="Обычный 9 14 2 5 2" xfId="49198"/>
    <cellStyle name="Обычный 9 14 2 6" xfId="49199"/>
    <cellStyle name="Обычный 9 14 2 7" xfId="49200"/>
    <cellStyle name="Обычный 9 14 3" xfId="49201"/>
    <cellStyle name="Обычный 9 14 3 2" xfId="49202"/>
    <cellStyle name="Обычный 9 14 3 2 2" xfId="49203"/>
    <cellStyle name="Обычный 9 14 3 2 3" xfId="49204"/>
    <cellStyle name="Обычный 9 14 3 3" xfId="49205"/>
    <cellStyle name="Обычный 9 14 3 3 2" xfId="49206"/>
    <cellStyle name="Обычный 9 14 3 3 3" xfId="49207"/>
    <cellStyle name="Обычный 9 14 3 4" xfId="49208"/>
    <cellStyle name="Обычный 9 14 3 4 2" xfId="49209"/>
    <cellStyle name="Обычный 9 14 3 5" xfId="49210"/>
    <cellStyle name="Обычный 9 14 3 6" xfId="49211"/>
    <cellStyle name="Обычный 9 14 4" xfId="49212"/>
    <cellStyle name="Обычный 9 14 4 2" xfId="49213"/>
    <cellStyle name="Обычный 9 14 4 3" xfId="49214"/>
    <cellStyle name="Обычный 9 14 5" xfId="49215"/>
    <cellStyle name="Обычный 9 14 5 2" xfId="49216"/>
    <cellStyle name="Обычный 9 14 5 3" xfId="49217"/>
    <cellStyle name="Обычный 9 14 6" xfId="49218"/>
    <cellStyle name="Обычный 9 14 6 2" xfId="49219"/>
    <cellStyle name="Обычный 9 14 7" xfId="49220"/>
    <cellStyle name="Обычный 9 14 8" xfId="49221"/>
    <cellStyle name="Обычный 9 15" xfId="49222"/>
    <cellStyle name="Обычный 9 15 2" xfId="49223"/>
    <cellStyle name="Обычный 9 15 2 2" xfId="49224"/>
    <cellStyle name="Обычный 9 15 2 2 2" xfId="49225"/>
    <cellStyle name="Обычный 9 15 2 2 3" xfId="49226"/>
    <cellStyle name="Обычный 9 15 2 3" xfId="49227"/>
    <cellStyle name="Обычный 9 15 2 3 2" xfId="49228"/>
    <cellStyle name="Обычный 9 15 2 3 3" xfId="49229"/>
    <cellStyle name="Обычный 9 15 2 4" xfId="49230"/>
    <cellStyle name="Обычный 9 15 2 4 2" xfId="49231"/>
    <cellStyle name="Обычный 9 15 2 5" xfId="49232"/>
    <cellStyle name="Обычный 9 15 2 6" xfId="49233"/>
    <cellStyle name="Обычный 9 15 3" xfId="49234"/>
    <cellStyle name="Обычный 9 15 3 2" xfId="49235"/>
    <cellStyle name="Обычный 9 15 3 3" xfId="49236"/>
    <cellStyle name="Обычный 9 15 4" xfId="49237"/>
    <cellStyle name="Обычный 9 15 4 2" xfId="49238"/>
    <cellStyle name="Обычный 9 15 4 3" xfId="49239"/>
    <cellStyle name="Обычный 9 15 5" xfId="49240"/>
    <cellStyle name="Обычный 9 15 5 2" xfId="49241"/>
    <cellStyle name="Обычный 9 15 6" xfId="49242"/>
    <cellStyle name="Обычный 9 15 7" xfId="49243"/>
    <cellStyle name="Обычный 9 16" xfId="49244"/>
    <cellStyle name="Обычный 9 16 2" xfId="49245"/>
    <cellStyle name="Обычный 9 16 2 2" xfId="49246"/>
    <cellStyle name="Обычный 9 16 2 3" xfId="49247"/>
    <cellStyle name="Обычный 9 16 3" xfId="49248"/>
    <cellStyle name="Обычный 9 16 3 2" xfId="49249"/>
    <cellStyle name="Обычный 9 16 3 3" xfId="49250"/>
    <cellStyle name="Обычный 9 16 4" xfId="49251"/>
    <cellStyle name="Обычный 9 16 4 2" xfId="49252"/>
    <cellStyle name="Обычный 9 16 5" xfId="49253"/>
    <cellStyle name="Обычный 9 16 6" xfId="49254"/>
    <cellStyle name="Обычный 9 17" xfId="49255"/>
    <cellStyle name="Обычный 9 17 2" xfId="49256"/>
    <cellStyle name="Обычный 9 17 3" xfId="49257"/>
    <cellStyle name="Обычный 9 18" xfId="49258"/>
    <cellStyle name="Обычный 9 18 2" xfId="49259"/>
    <cellStyle name="Обычный 9 18 3" xfId="49260"/>
    <cellStyle name="Обычный 9 19" xfId="49261"/>
    <cellStyle name="Обычный 9 19 2" xfId="49262"/>
    <cellStyle name="Обычный 9 2" xfId="49263"/>
    <cellStyle name="Обычный 9 2 10" xfId="49264"/>
    <cellStyle name="Обычный 9 2 10 2" xfId="49265"/>
    <cellStyle name="Обычный 9 2 10 3" xfId="49266"/>
    <cellStyle name="Обычный 9 2 11" xfId="49267"/>
    <cellStyle name="Обычный 9 2 11 2" xfId="49268"/>
    <cellStyle name="Обычный 9 2 11 3" xfId="49269"/>
    <cellStyle name="Обычный 9 2 12" xfId="49270"/>
    <cellStyle name="Обычный 9 2 12 2" xfId="49271"/>
    <cellStyle name="Обычный 9 2 13" xfId="49272"/>
    <cellStyle name="Обычный 9 2 14" xfId="49273"/>
    <cellStyle name="Обычный 9 2 2" xfId="49274"/>
    <cellStyle name="Обычный 9 2 2 10" xfId="49275"/>
    <cellStyle name="Обычный 9 2 2 10 2" xfId="49276"/>
    <cellStyle name="Обычный 9 2 2 10 3" xfId="49277"/>
    <cellStyle name="Обычный 9 2 2 11" xfId="49278"/>
    <cellStyle name="Обычный 9 2 2 11 2" xfId="49279"/>
    <cellStyle name="Обычный 9 2 2 12" xfId="49280"/>
    <cellStyle name="Обычный 9 2 2 13" xfId="49281"/>
    <cellStyle name="Обычный 9 2 2 2" xfId="49282"/>
    <cellStyle name="Обычный 9 2 2 2 10" xfId="49283"/>
    <cellStyle name="Обычный 9 2 2 2 2" xfId="49284"/>
    <cellStyle name="Обычный 9 2 2 2 2 2" xfId="49285"/>
    <cellStyle name="Обычный 9 2 2 2 2 2 2" xfId="49286"/>
    <cellStyle name="Обычный 9 2 2 2 2 2 2 2" xfId="49287"/>
    <cellStyle name="Обычный 9 2 2 2 2 2 2 2 2" xfId="49288"/>
    <cellStyle name="Обычный 9 2 2 2 2 2 2 2 2 2" xfId="49289"/>
    <cellStyle name="Обычный 9 2 2 2 2 2 2 2 2 3" xfId="49290"/>
    <cellStyle name="Обычный 9 2 2 2 2 2 2 2 3" xfId="49291"/>
    <cellStyle name="Обычный 9 2 2 2 2 2 2 2 3 2" xfId="49292"/>
    <cellStyle name="Обычный 9 2 2 2 2 2 2 2 3 3" xfId="49293"/>
    <cellStyle name="Обычный 9 2 2 2 2 2 2 2 4" xfId="49294"/>
    <cellStyle name="Обычный 9 2 2 2 2 2 2 2 4 2" xfId="49295"/>
    <cellStyle name="Обычный 9 2 2 2 2 2 2 2 5" xfId="49296"/>
    <cellStyle name="Обычный 9 2 2 2 2 2 2 2 6" xfId="49297"/>
    <cellStyle name="Обычный 9 2 2 2 2 2 2 3" xfId="49298"/>
    <cellStyle name="Обычный 9 2 2 2 2 2 2 3 2" xfId="49299"/>
    <cellStyle name="Обычный 9 2 2 2 2 2 2 3 3" xfId="49300"/>
    <cellStyle name="Обычный 9 2 2 2 2 2 2 4" xfId="49301"/>
    <cellStyle name="Обычный 9 2 2 2 2 2 2 4 2" xfId="49302"/>
    <cellStyle name="Обычный 9 2 2 2 2 2 2 4 3" xfId="49303"/>
    <cellStyle name="Обычный 9 2 2 2 2 2 2 5" xfId="49304"/>
    <cellStyle name="Обычный 9 2 2 2 2 2 2 5 2" xfId="49305"/>
    <cellStyle name="Обычный 9 2 2 2 2 2 2 6" xfId="49306"/>
    <cellStyle name="Обычный 9 2 2 2 2 2 2 7" xfId="49307"/>
    <cellStyle name="Обычный 9 2 2 2 2 2 3" xfId="49308"/>
    <cellStyle name="Обычный 9 2 2 2 2 2 3 2" xfId="49309"/>
    <cellStyle name="Обычный 9 2 2 2 2 2 3 2 2" xfId="49310"/>
    <cellStyle name="Обычный 9 2 2 2 2 2 3 2 3" xfId="49311"/>
    <cellStyle name="Обычный 9 2 2 2 2 2 3 3" xfId="49312"/>
    <cellStyle name="Обычный 9 2 2 2 2 2 3 3 2" xfId="49313"/>
    <cellStyle name="Обычный 9 2 2 2 2 2 3 3 3" xfId="49314"/>
    <cellStyle name="Обычный 9 2 2 2 2 2 3 4" xfId="49315"/>
    <cellStyle name="Обычный 9 2 2 2 2 2 3 4 2" xfId="49316"/>
    <cellStyle name="Обычный 9 2 2 2 2 2 3 5" xfId="49317"/>
    <cellStyle name="Обычный 9 2 2 2 2 2 3 6" xfId="49318"/>
    <cellStyle name="Обычный 9 2 2 2 2 2 4" xfId="49319"/>
    <cellStyle name="Обычный 9 2 2 2 2 2 4 2" xfId="49320"/>
    <cellStyle name="Обычный 9 2 2 2 2 2 4 3" xfId="49321"/>
    <cellStyle name="Обычный 9 2 2 2 2 2 5" xfId="49322"/>
    <cellStyle name="Обычный 9 2 2 2 2 2 5 2" xfId="49323"/>
    <cellStyle name="Обычный 9 2 2 2 2 2 5 3" xfId="49324"/>
    <cellStyle name="Обычный 9 2 2 2 2 2 6" xfId="49325"/>
    <cellStyle name="Обычный 9 2 2 2 2 2 6 2" xfId="49326"/>
    <cellStyle name="Обычный 9 2 2 2 2 2 7" xfId="49327"/>
    <cellStyle name="Обычный 9 2 2 2 2 2 8" xfId="49328"/>
    <cellStyle name="Обычный 9 2 2 2 2 3" xfId="49329"/>
    <cellStyle name="Обычный 9 2 2 2 2 3 2" xfId="49330"/>
    <cellStyle name="Обычный 9 2 2 2 2 3 2 2" xfId="49331"/>
    <cellStyle name="Обычный 9 2 2 2 2 3 2 2 2" xfId="49332"/>
    <cellStyle name="Обычный 9 2 2 2 2 3 2 2 3" xfId="49333"/>
    <cellStyle name="Обычный 9 2 2 2 2 3 2 3" xfId="49334"/>
    <cellStyle name="Обычный 9 2 2 2 2 3 2 3 2" xfId="49335"/>
    <cellStyle name="Обычный 9 2 2 2 2 3 2 3 3" xfId="49336"/>
    <cellStyle name="Обычный 9 2 2 2 2 3 2 4" xfId="49337"/>
    <cellStyle name="Обычный 9 2 2 2 2 3 2 4 2" xfId="49338"/>
    <cellStyle name="Обычный 9 2 2 2 2 3 2 5" xfId="49339"/>
    <cellStyle name="Обычный 9 2 2 2 2 3 2 6" xfId="49340"/>
    <cellStyle name="Обычный 9 2 2 2 2 3 3" xfId="49341"/>
    <cellStyle name="Обычный 9 2 2 2 2 3 3 2" xfId="49342"/>
    <cellStyle name="Обычный 9 2 2 2 2 3 3 3" xfId="49343"/>
    <cellStyle name="Обычный 9 2 2 2 2 3 4" xfId="49344"/>
    <cellStyle name="Обычный 9 2 2 2 2 3 4 2" xfId="49345"/>
    <cellStyle name="Обычный 9 2 2 2 2 3 4 3" xfId="49346"/>
    <cellStyle name="Обычный 9 2 2 2 2 3 5" xfId="49347"/>
    <cellStyle name="Обычный 9 2 2 2 2 3 5 2" xfId="49348"/>
    <cellStyle name="Обычный 9 2 2 2 2 3 6" xfId="49349"/>
    <cellStyle name="Обычный 9 2 2 2 2 3 7" xfId="49350"/>
    <cellStyle name="Обычный 9 2 2 2 2 4" xfId="49351"/>
    <cellStyle name="Обычный 9 2 2 2 2 4 2" xfId="49352"/>
    <cellStyle name="Обычный 9 2 2 2 2 4 2 2" xfId="49353"/>
    <cellStyle name="Обычный 9 2 2 2 2 4 2 3" xfId="49354"/>
    <cellStyle name="Обычный 9 2 2 2 2 4 3" xfId="49355"/>
    <cellStyle name="Обычный 9 2 2 2 2 4 3 2" xfId="49356"/>
    <cellStyle name="Обычный 9 2 2 2 2 4 3 3" xfId="49357"/>
    <cellStyle name="Обычный 9 2 2 2 2 4 4" xfId="49358"/>
    <cellStyle name="Обычный 9 2 2 2 2 4 4 2" xfId="49359"/>
    <cellStyle name="Обычный 9 2 2 2 2 4 5" xfId="49360"/>
    <cellStyle name="Обычный 9 2 2 2 2 4 6" xfId="49361"/>
    <cellStyle name="Обычный 9 2 2 2 2 5" xfId="49362"/>
    <cellStyle name="Обычный 9 2 2 2 2 5 2" xfId="49363"/>
    <cellStyle name="Обычный 9 2 2 2 2 5 3" xfId="49364"/>
    <cellStyle name="Обычный 9 2 2 2 2 6" xfId="49365"/>
    <cellStyle name="Обычный 9 2 2 2 2 6 2" xfId="49366"/>
    <cellStyle name="Обычный 9 2 2 2 2 6 3" xfId="49367"/>
    <cellStyle name="Обычный 9 2 2 2 2 7" xfId="49368"/>
    <cellStyle name="Обычный 9 2 2 2 2 7 2" xfId="49369"/>
    <cellStyle name="Обычный 9 2 2 2 2 8" xfId="49370"/>
    <cellStyle name="Обычный 9 2 2 2 2 9" xfId="49371"/>
    <cellStyle name="Обычный 9 2 2 2 3" xfId="49372"/>
    <cellStyle name="Обычный 9 2 2 2 3 2" xfId="49373"/>
    <cellStyle name="Обычный 9 2 2 2 3 2 2" xfId="49374"/>
    <cellStyle name="Обычный 9 2 2 2 3 2 2 2" xfId="49375"/>
    <cellStyle name="Обычный 9 2 2 2 3 2 2 2 2" xfId="49376"/>
    <cellStyle name="Обычный 9 2 2 2 3 2 2 2 3" xfId="49377"/>
    <cellStyle name="Обычный 9 2 2 2 3 2 2 3" xfId="49378"/>
    <cellStyle name="Обычный 9 2 2 2 3 2 2 3 2" xfId="49379"/>
    <cellStyle name="Обычный 9 2 2 2 3 2 2 3 3" xfId="49380"/>
    <cellStyle name="Обычный 9 2 2 2 3 2 2 4" xfId="49381"/>
    <cellStyle name="Обычный 9 2 2 2 3 2 2 4 2" xfId="49382"/>
    <cellStyle name="Обычный 9 2 2 2 3 2 2 5" xfId="49383"/>
    <cellStyle name="Обычный 9 2 2 2 3 2 2 6" xfId="49384"/>
    <cellStyle name="Обычный 9 2 2 2 3 2 3" xfId="49385"/>
    <cellStyle name="Обычный 9 2 2 2 3 2 3 2" xfId="49386"/>
    <cellStyle name="Обычный 9 2 2 2 3 2 3 3" xfId="49387"/>
    <cellStyle name="Обычный 9 2 2 2 3 2 4" xfId="49388"/>
    <cellStyle name="Обычный 9 2 2 2 3 2 4 2" xfId="49389"/>
    <cellStyle name="Обычный 9 2 2 2 3 2 4 3" xfId="49390"/>
    <cellStyle name="Обычный 9 2 2 2 3 2 5" xfId="49391"/>
    <cellStyle name="Обычный 9 2 2 2 3 2 5 2" xfId="49392"/>
    <cellStyle name="Обычный 9 2 2 2 3 2 6" xfId="49393"/>
    <cellStyle name="Обычный 9 2 2 2 3 2 7" xfId="49394"/>
    <cellStyle name="Обычный 9 2 2 2 3 3" xfId="49395"/>
    <cellStyle name="Обычный 9 2 2 2 3 3 2" xfId="49396"/>
    <cellStyle name="Обычный 9 2 2 2 3 3 2 2" xfId="49397"/>
    <cellStyle name="Обычный 9 2 2 2 3 3 2 3" xfId="49398"/>
    <cellStyle name="Обычный 9 2 2 2 3 3 3" xfId="49399"/>
    <cellStyle name="Обычный 9 2 2 2 3 3 3 2" xfId="49400"/>
    <cellStyle name="Обычный 9 2 2 2 3 3 3 3" xfId="49401"/>
    <cellStyle name="Обычный 9 2 2 2 3 3 4" xfId="49402"/>
    <cellStyle name="Обычный 9 2 2 2 3 3 4 2" xfId="49403"/>
    <cellStyle name="Обычный 9 2 2 2 3 3 5" xfId="49404"/>
    <cellStyle name="Обычный 9 2 2 2 3 3 6" xfId="49405"/>
    <cellStyle name="Обычный 9 2 2 2 3 4" xfId="49406"/>
    <cellStyle name="Обычный 9 2 2 2 3 4 2" xfId="49407"/>
    <cellStyle name="Обычный 9 2 2 2 3 4 3" xfId="49408"/>
    <cellStyle name="Обычный 9 2 2 2 3 5" xfId="49409"/>
    <cellStyle name="Обычный 9 2 2 2 3 5 2" xfId="49410"/>
    <cellStyle name="Обычный 9 2 2 2 3 5 3" xfId="49411"/>
    <cellStyle name="Обычный 9 2 2 2 3 6" xfId="49412"/>
    <cellStyle name="Обычный 9 2 2 2 3 6 2" xfId="49413"/>
    <cellStyle name="Обычный 9 2 2 2 3 7" xfId="49414"/>
    <cellStyle name="Обычный 9 2 2 2 3 8" xfId="49415"/>
    <cellStyle name="Обычный 9 2 2 2 4" xfId="49416"/>
    <cellStyle name="Обычный 9 2 2 2 4 2" xfId="49417"/>
    <cellStyle name="Обычный 9 2 2 2 4 2 2" xfId="49418"/>
    <cellStyle name="Обычный 9 2 2 2 4 2 2 2" xfId="49419"/>
    <cellStyle name="Обычный 9 2 2 2 4 2 2 3" xfId="49420"/>
    <cellStyle name="Обычный 9 2 2 2 4 2 3" xfId="49421"/>
    <cellStyle name="Обычный 9 2 2 2 4 2 3 2" xfId="49422"/>
    <cellStyle name="Обычный 9 2 2 2 4 2 3 3" xfId="49423"/>
    <cellStyle name="Обычный 9 2 2 2 4 2 4" xfId="49424"/>
    <cellStyle name="Обычный 9 2 2 2 4 2 4 2" xfId="49425"/>
    <cellStyle name="Обычный 9 2 2 2 4 2 5" xfId="49426"/>
    <cellStyle name="Обычный 9 2 2 2 4 2 6" xfId="49427"/>
    <cellStyle name="Обычный 9 2 2 2 4 3" xfId="49428"/>
    <cellStyle name="Обычный 9 2 2 2 4 3 2" xfId="49429"/>
    <cellStyle name="Обычный 9 2 2 2 4 3 3" xfId="49430"/>
    <cellStyle name="Обычный 9 2 2 2 4 4" xfId="49431"/>
    <cellStyle name="Обычный 9 2 2 2 4 4 2" xfId="49432"/>
    <cellStyle name="Обычный 9 2 2 2 4 4 3" xfId="49433"/>
    <cellStyle name="Обычный 9 2 2 2 4 5" xfId="49434"/>
    <cellStyle name="Обычный 9 2 2 2 4 5 2" xfId="49435"/>
    <cellStyle name="Обычный 9 2 2 2 4 6" xfId="49436"/>
    <cellStyle name="Обычный 9 2 2 2 4 7" xfId="49437"/>
    <cellStyle name="Обычный 9 2 2 2 5" xfId="49438"/>
    <cellStyle name="Обычный 9 2 2 2 5 2" xfId="49439"/>
    <cellStyle name="Обычный 9 2 2 2 5 2 2" xfId="49440"/>
    <cellStyle name="Обычный 9 2 2 2 5 2 3" xfId="49441"/>
    <cellStyle name="Обычный 9 2 2 2 5 3" xfId="49442"/>
    <cellStyle name="Обычный 9 2 2 2 5 3 2" xfId="49443"/>
    <cellStyle name="Обычный 9 2 2 2 5 3 3" xfId="49444"/>
    <cellStyle name="Обычный 9 2 2 2 5 4" xfId="49445"/>
    <cellStyle name="Обычный 9 2 2 2 5 4 2" xfId="49446"/>
    <cellStyle name="Обычный 9 2 2 2 5 5" xfId="49447"/>
    <cellStyle name="Обычный 9 2 2 2 5 6" xfId="49448"/>
    <cellStyle name="Обычный 9 2 2 2 6" xfId="49449"/>
    <cellStyle name="Обычный 9 2 2 2 6 2" xfId="49450"/>
    <cellStyle name="Обычный 9 2 2 2 6 3" xfId="49451"/>
    <cellStyle name="Обычный 9 2 2 2 7" xfId="49452"/>
    <cellStyle name="Обычный 9 2 2 2 7 2" xfId="49453"/>
    <cellStyle name="Обычный 9 2 2 2 7 3" xfId="49454"/>
    <cellStyle name="Обычный 9 2 2 2 8" xfId="49455"/>
    <cellStyle name="Обычный 9 2 2 2 8 2" xfId="49456"/>
    <cellStyle name="Обычный 9 2 2 2 9" xfId="49457"/>
    <cellStyle name="Обычный 9 2 2 3" xfId="49458"/>
    <cellStyle name="Обычный 9 2 2 3 10" xfId="49459"/>
    <cellStyle name="Обычный 9 2 2 3 2" xfId="49460"/>
    <cellStyle name="Обычный 9 2 2 3 2 2" xfId="49461"/>
    <cellStyle name="Обычный 9 2 2 3 2 2 2" xfId="49462"/>
    <cellStyle name="Обычный 9 2 2 3 2 2 2 2" xfId="49463"/>
    <cellStyle name="Обычный 9 2 2 3 2 2 2 2 2" xfId="49464"/>
    <cellStyle name="Обычный 9 2 2 3 2 2 2 2 2 2" xfId="49465"/>
    <cellStyle name="Обычный 9 2 2 3 2 2 2 2 2 3" xfId="49466"/>
    <cellStyle name="Обычный 9 2 2 3 2 2 2 2 3" xfId="49467"/>
    <cellStyle name="Обычный 9 2 2 3 2 2 2 2 3 2" xfId="49468"/>
    <cellStyle name="Обычный 9 2 2 3 2 2 2 2 3 3" xfId="49469"/>
    <cellStyle name="Обычный 9 2 2 3 2 2 2 2 4" xfId="49470"/>
    <cellStyle name="Обычный 9 2 2 3 2 2 2 2 4 2" xfId="49471"/>
    <cellStyle name="Обычный 9 2 2 3 2 2 2 2 5" xfId="49472"/>
    <cellStyle name="Обычный 9 2 2 3 2 2 2 2 6" xfId="49473"/>
    <cellStyle name="Обычный 9 2 2 3 2 2 2 3" xfId="49474"/>
    <cellStyle name="Обычный 9 2 2 3 2 2 2 3 2" xfId="49475"/>
    <cellStyle name="Обычный 9 2 2 3 2 2 2 3 3" xfId="49476"/>
    <cellStyle name="Обычный 9 2 2 3 2 2 2 4" xfId="49477"/>
    <cellStyle name="Обычный 9 2 2 3 2 2 2 4 2" xfId="49478"/>
    <cellStyle name="Обычный 9 2 2 3 2 2 2 4 3" xfId="49479"/>
    <cellStyle name="Обычный 9 2 2 3 2 2 2 5" xfId="49480"/>
    <cellStyle name="Обычный 9 2 2 3 2 2 2 5 2" xfId="49481"/>
    <cellStyle name="Обычный 9 2 2 3 2 2 2 6" xfId="49482"/>
    <cellStyle name="Обычный 9 2 2 3 2 2 2 7" xfId="49483"/>
    <cellStyle name="Обычный 9 2 2 3 2 2 3" xfId="49484"/>
    <cellStyle name="Обычный 9 2 2 3 2 2 3 2" xfId="49485"/>
    <cellStyle name="Обычный 9 2 2 3 2 2 3 2 2" xfId="49486"/>
    <cellStyle name="Обычный 9 2 2 3 2 2 3 2 3" xfId="49487"/>
    <cellStyle name="Обычный 9 2 2 3 2 2 3 3" xfId="49488"/>
    <cellStyle name="Обычный 9 2 2 3 2 2 3 3 2" xfId="49489"/>
    <cellStyle name="Обычный 9 2 2 3 2 2 3 3 3" xfId="49490"/>
    <cellStyle name="Обычный 9 2 2 3 2 2 3 4" xfId="49491"/>
    <cellStyle name="Обычный 9 2 2 3 2 2 3 4 2" xfId="49492"/>
    <cellStyle name="Обычный 9 2 2 3 2 2 3 5" xfId="49493"/>
    <cellStyle name="Обычный 9 2 2 3 2 2 3 6" xfId="49494"/>
    <cellStyle name="Обычный 9 2 2 3 2 2 4" xfId="49495"/>
    <cellStyle name="Обычный 9 2 2 3 2 2 4 2" xfId="49496"/>
    <cellStyle name="Обычный 9 2 2 3 2 2 4 3" xfId="49497"/>
    <cellStyle name="Обычный 9 2 2 3 2 2 5" xfId="49498"/>
    <cellStyle name="Обычный 9 2 2 3 2 2 5 2" xfId="49499"/>
    <cellStyle name="Обычный 9 2 2 3 2 2 5 3" xfId="49500"/>
    <cellStyle name="Обычный 9 2 2 3 2 2 6" xfId="49501"/>
    <cellStyle name="Обычный 9 2 2 3 2 2 6 2" xfId="49502"/>
    <cellStyle name="Обычный 9 2 2 3 2 2 7" xfId="49503"/>
    <cellStyle name="Обычный 9 2 2 3 2 2 8" xfId="49504"/>
    <cellStyle name="Обычный 9 2 2 3 2 3" xfId="49505"/>
    <cellStyle name="Обычный 9 2 2 3 2 3 2" xfId="49506"/>
    <cellStyle name="Обычный 9 2 2 3 2 3 2 2" xfId="49507"/>
    <cellStyle name="Обычный 9 2 2 3 2 3 2 2 2" xfId="49508"/>
    <cellStyle name="Обычный 9 2 2 3 2 3 2 2 3" xfId="49509"/>
    <cellStyle name="Обычный 9 2 2 3 2 3 2 3" xfId="49510"/>
    <cellStyle name="Обычный 9 2 2 3 2 3 2 3 2" xfId="49511"/>
    <cellStyle name="Обычный 9 2 2 3 2 3 2 3 3" xfId="49512"/>
    <cellStyle name="Обычный 9 2 2 3 2 3 2 4" xfId="49513"/>
    <cellStyle name="Обычный 9 2 2 3 2 3 2 4 2" xfId="49514"/>
    <cellStyle name="Обычный 9 2 2 3 2 3 2 5" xfId="49515"/>
    <cellStyle name="Обычный 9 2 2 3 2 3 2 6" xfId="49516"/>
    <cellStyle name="Обычный 9 2 2 3 2 3 3" xfId="49517"/>
    <cellStyle name="Обычный 9 2 2 3 2 3 3 2" xfId="49518"/>
    <cellStyle name="Обычный 9 2 2 3 2 3 3 3" xfId="49519"/>
    <cellStyle name="Обычный 9 2 2 3 2 3 4" xfId="49520"/>
    <cellStyle name="Обычный 9 2 2 3 2 3 4 2" xfId="49521"/>
    <cellStyle name="Обычный 9 2 2 3 2 3 4 3" xfId="49522"/>
    <cellStyle name="Обычный 9 2 2 3 2 3 5" xfId="49523"/>
    <cellStyle name="Обычный 9 2 2 3 2 3 5 2" xfId="49524"/>
    <cellStyle name="Обычный 9 2 2 3 2 3 6" xfId="49525"/>
    <cellStyle name="Обычный 9 2 2 3 2 3 7" xfId="49526"/>
    <cellStyle name="Обычный 9 2 2 3 2 4" xfId="49527"/>
    <cellStyle name="Обычный 9 2 2 3 2 4 2" xfId="49528"/>
    <cellStyle name="Обычный 9 2 2 3 2 4 2 2" xfId="49529"/>
    <cellStyle name="Обычный 9 2 2 3 2 4 2 3" xfId="49530"/>
    <cellStyle name="Обычный 9 2 2 3 2 4 3" xfId="49531"/>
    <cellStyle name="Обычный 9 2 2 3 2 4 3 2" xfId="49532"/>
    <cellStyle name="Обычный 9 2 2 3 2 4 3 3" xfId="49533"/>
    <cellStyle name="Обычный 9 2 2 3 2 4 4" xfId="49534"/>
    <cellStyle name="Обычный 9 2 2 3 2 4 4 2" xfId="49535"/>
    <cellStyle name="Обычный 9 2 2 3 2 4 5" xfId="49536"/>
    <cellStyle name="Обычный 9 2 2 3 2 4 6" xfId="49537"/>
    <cellStyle name="Обычный 9 2 2 3 2 5" xfId="49538"/>
    <cellStyle name="Обычный 9 2 2 3 2 5 2" xfId="49539"/>
    <cellStyle name="Обычный 9 2 2 3 2 5 3" xfId="49540"/>
    <cellStyle name="Обычный 9 2 2 3 2 6" xfId="49541"/>
    <cellStyle name="Обычный 9 2 2 3 2 6 2" xfId="49542"/>
    <cellStyle name="Обычный 9 2 2 3 2 6 3" xfId="49543"/>
    <cellStyle name="Обычный 9 2 2 3 2 7" xfId="49544"/>
    <cellStyle name="Обычный 9 2 2 3 2 7 2" xfId="49545"/>
    <cellStyle name="Обычный 9 2 2 3 2 8" xfId="49546"/>
    <cellStyle name="Обычный 9 2 2 3 2 9" xfId="49547"/>
    <cellStyle name="Обычный 9 2 2 3 3" xfId="49548"/>
    <cellStyle name="Обычный 9 2 2 3 3 2" xfId="49549"/>
    <cellStyle name="Обычный 9 2 2 3 3 2 2" xfId="49550"/>
    <cellStyle name="Обычный 9 2 2 3 3 2 2 2" xfId="49551"/>
    <cellStyle name="Обычный 9 2 2 3 3 2 2 2 2" xfId="49552"/>
    <cellStyle name="Обычный 9 2 2 3 3 2 2 2 3" xfId="49553"/>
    <cellStyle name="Обычный 9 2 2 3 3 2 2 3" xfId="49554"/>
    <cellStyle name="Обычный 9 2 2 3 3 2 2 3 2" xfId="49555"/>
    <cellStyle name="Обычный 9 2 2 3 3 2 2 3 3" xfId="49556"/>
    <cellStyle name="Обычный 9 2 2 3 3 2 2 4" xfId="49557"/>
    <cellStyle name="Обычный 9 2 2 3 3 2 2 4 2" xfId="49558"/>
    <cellStyle name="Обычный 9 2 2 3 3 2 2 5" xfId="49559"/>
    <cellStyle name="Обычный 9 2 2 3 3 2 2 6" xfId="49560"/>
    <cellStyle name="Обычный 9 2 2 3 3 2 3" xfId="49561"/>
    <cellStyle name="Обычный 9 2 2 3 3 2 3 2" xfId="49562"/>
    <cellStyle name="Обычный 9 2 2 3 3 2 3 3" xfId="49563"/>
    <cellStyle name="Обычный 9 2 2 3 3 2 4" xfId="49564"/>
    <cellStyle name="Обычный 9 2 2 3 3 2 4 2" xfId="49565"/>
    <cellStyle name="Обычный 9 2 2 3 3 2 4 3" xfId="49566"/>
    <cellStyle name="Обычный 9 2 2 3 3 2 5" xfId="49567"/>
    <cellStyle name="Обычный 9 2 2 3 3 2 5 2" xfId="49568"/>
    <cellStyle name="Обычный 9 2 2 3 3 2 6" xfId="49569"/>
    <cellStyle name="Обычный 9 2 2 3 3 2 7" xfId="49570"/>
    <cellStyle name="Обычный 9 2 2 3 3 3" xfId="49571"/>
    <cellStyle name="Обычный 9 2 2 3 3 3 2" xfId="49572"/>
    <cellStyle name="Обычный 9 2 2 3 3 3 2 2" xfId="49573"/>
    <cellStyle name="Обычный 9 2 2 3 3 3 2 3" xfId="49574"/>
    <cellStyle name="Обычный 9 2 2 3 3 3 3" xfId="49575"/>
    <cellStyle name="Обычный 9 2 2 3 3 3 3 2" xfId="49576"/>
    <cellStyle name="Обычный 9 2 2 3 3 3 3 3" xfId="49577"/>
    <cellStyle name="Обычный 9 2 2 3 3 3 4" xfId="49578"/>
    <cellStyle name="Обычный 9 2 2 3 3 3 4 2" xfId="49579"/>
    <cellStyle name="Обычный 9 2 2 3 3 3 5" xfId="49580"/>
    <cellStyle name="Обычный 9 2 2 3 3 3 6" xfId="49581"/>
    <cellStyle name="Обычный 9 2 2 3 3 4" xfId="49582"/>
    <cellStyle name="Обычный 9 2 2 3 3 4 2" xfId="49583"/>
    <cellStyle name="Обычный 9 2 2 3 3 4 3" xfId="49584"/>
    <cellStyle name="Обычный 9 2 2 3 3 5" xfId="49585"/>
    <cellStyle name="Обычный 9 2 2 3 3 5 2" xfId="49586"/>
    <cellStyle name="Обычный 9 2 2 3 3 5 3" xfId="49587"/>
    <cellStyle name="Обычный 9 2 2 3 3 6" xfId="49588"/>
    <cellStyle name="Обычный 9 2 2 3 3 6 2" xfId="49589"/>
    <cellStyle name="Обычный 9 2 2 3 3 7" xfId="49590"/>
    <cellStyle name="Обычный 9 2 2 3 3 8" xfId="49591"/>
    <cellStyle name="Обычный 9 2 2 3 4" xfId="49592"/>
    <cellStyle name="Обычный 9 2 2 3 4 2" xfId="49593"/>
    <cellStyle name="Обычный 9 2 2 3 4 2 2" xfId="49594"/>
    <cellStyle name="Обычный 9 2 2 3 4 2 2 2" xfId="49595"/>
    <cellStyle name="Обычный 9 2 2 3 4 2 2 3" xfId="49596"/>
    <cellStyle name="Обычный 9 2 2 3 4 2 3" xfId="49597"/>
    <cellStyle name="Обычный 9 2 2 3 4 2 3 2" xfId="49598"/>
    <cellStyle name="Обычный 9 2 2 3 4 2 3 3" xfId="49599"/>
    <cellStyle name="Обычный 9 2 2 3 4 2 4" xfId="49600"/>
    <cellStyle name="Обычный 9 2 2 3 4 2 4 2" xfId="49601"/>
    <cellStyle name="Обычный 9 2 2 3 4 2 5" xfId="49602"/>
    <cellStyle name="Обычный 9 2 2 3 4 2 6" xfId="49603"/>
    <cellStyle name="Обычный 9 2 2 3 4 3" xfId="49604"/>
    <cellStyle name="Обычный 9 2 2 3 4 3 2" xfId="49605"/>
    <cellStyle name="Обычный 9 2 2 3 4 3 3" xfId="49606"/>
    <cellStyle name="Обычный 9 2 2 3 4 4" xfId="49607"/>
    <cellStyle name="Обычный 9 2 2 3 4 4 2" xfId="49608"/>
    <cellStyle name="Обычный 9 2 2 3 4 4 3" xfId="49609"/>
    <cellStyle name="Обычный 9 2 2 3 4 5" xfId="49610"/>
    <cellStyle name="Обычный 9 2 2 3 4 5 2" xfId="49611"/>
    <cellStyle name="Обычный 9 2 2 3 4 6" xfId="49612"/>
    <cellStyle name="Обычный 9 2 2 3 4 7" xfId="49613"/>
    <cellStyle name="Обычный 9 2 2 3 5" xfId="49614"/>
    <cellStyle name="Обычный 9 2 2 3 5 2" xfId="49615"/>
    <cellStyle name="Обычный 9 2 2 3 5 2 2" xfId="49616"/>
    <cellStyle name="Обычный 9 2 2 3 5 2 3" xfId="49617"/>
    <cellStyle name="Обычный 9 2 2 3 5 3" xfId="49618"/>
    <cellStyle name="Обычный 9 2 2 3 5 3 2" xfId="49619"/>
    <cellStyle name="Обычный 9 2 2 3 5 3 3" xfId="49620"/>
    <cellStyle name="Обычный 9 2 2 3 5 4" xfId="49621"/>
    <cellStyle name="Обычный 9 2 2 3 5 4 2" xfId="49622"/>
    <cellStyle name="Обычный 9 2 2 3 5 5" xfId="49623"/>
    <cellStyle name="Обычный 9 2 2 3 5 6" xfId="49624"/>
    <cellStyle name="Обычный 9 2 2 3 6" xfId="49625"/>
    <cellStyle name="Обычный 9 2 2 3 6 2" xfId="49626"/>
    <cellStyle name="Обычный 9 2 2 3 6 3" xfId="49627"/>
    <cellStyle name="Обычный 9 2 2 3 7" xfId="49628"/>
    <cellStyle name="Обычный 9 2 2 3 7 2" xfId="49629"/>
    <cellStyle name="Обычный 9 2 2 3 7 3" xfId="49630"/>
    <cellStyle name="Обычный 9 2 2 3 8" xfId="49631"/>
    <cellStyle name="Обычный 9 2 2 3 8 2" xfId="49632"/>
    <cellStyle name="Обычный 9 2 2 3 9" xfId="49633"/>
    <cellStyle name="Обычный 9 2 2 4" xfId="49634"/>
    <cellStyle name="Обычный 9 2 2 4 10" xfId="49635"/>
    <cellStyle name="Обычный 9 2 2 4 2" xfId="49636"/>
    <cellStyle name="Обычный 9 2 2 4 2 2" xfId="49637"/>
    <cellStyle name="Обычный 9 2 2 4 2 2 2" xfId="49638"/>
    <cellStyle name="Обычный 9 2 2 4 2 2 2 2" xfId="49639"/>
    <cellStyle name="Обычный 9 2 2 4 2 2 2 2 2" xfId="49640"/>
    <cellStyle name="Обычный 9 2 2 4 2 2 2 2 2 2" xfId="49641"/>
    <cellStyle name="Обычный 9 2 2 4 2 2 2 2 2 3" xfId="49642"/>
    <cellStyle name="Обычный 9 2 2 4 2 2 2 2 3" xfId="49643"/>
    <cellStyle name="Обычный 9 2 2 4 2 2 2 2 3 2" xfId="49644"/>
    <cellStyle name="Обычный 9 2 2 4 2 2 2 2 3 3" xfId="49645"/>
    <cellStyle name="Обычный 9 2 2 4 2 2 2 2 4" xfId="49646"/>
    <cellStyle name="Обычный 9 2 2 4 2 2 2 2 4 2" xfId="49647"/>
    <cellStyle name="Обычный 9 2 2 4 2 2 2 2 5" xfId="49648"/>
    <cellStyle name="Обычный 9 2 2 4 2 2 2 2 6" xfId="49649"/>
    <cellStyle name="Обычный 9 2 2 4 2 2 2 3" xfId="49650"/>
    <cellStyle name="Обычный 9 2 2 4 2 2 2 3 2" xfId="49651"/>
    <cellStyle name="Обычный 9 2 2 4 2 2 2 3 3" xfId="49652"/>
    <cellStyle name="Обычный 9 2 2 4 2 2 2 4" xfId="49653"/>
    <cellStyle name="Обычный 9 2 2 4 2 2 2 4 2" xfId="49654"/>
    <cellStyle name="Обычный 9 2 2 4 2 2 2 4 3" xfId="49655"/>
    <cellStyle name="Обычный 9 2 2 4 2 2 2 5" xfId="49656"/>
    <cellStyle name="Обычный 9 2 2 4 2 2 2 5 2" xfId="49657"/>
    <cellStyle name="Обычный 9 2 2 4 2 2 2 6" xfId="49658"/>
    <cellStyle name="Обычный 9 2 2 4 2 2 2 7" xfId="49659"/>
    <cellStyle name="Обычный 9 2 2 4 2 2 3" xfId="49660"/>
    <cellStyle name="Обычный 9 2 2 4 2 2 3 2" xfId="49661"/>
    <cellStyle name="Обычный 9 2 2 4 2 2 3 2 2" xfId="49662"/>
    <cellStyle name="Обычный 9 2 2 4 2 2 3 2 3" xfId="49663"/>
    <cellStyle name="Обычный 9 2 2 4 2 2 3 3" xfId="49664"/>
    <cellStyle name="Обычный 9 2 2 4 2 2 3 3 2" xfId="49665"/>
    <cellStyle name="Обычный 9 2 2 4 2 2 3 3 3" xfId="49666"/>
    <cellStyle name="Обычный 9 2 2 4 2 2 3 4" xfId="49667"/>
    <cellStyle name="Обычный 9 2 2 4 2 2 3 4 2" xfId="49668"/>
    <cellStyle name="Обычный 9 2 2 4 2 2 3 5" xfId="49669"/>
    <cellStyle name="Обычный 9 2 2 4 2 2 3 6" xfId="49670"/>
    <cellStyle name="Обычный 9 2 2 4 2 2 4" xfId="49671"/>
    <cellStyle name="Обычный 9 2 2 4 2 2 4 2" xfId="49672"/>
    <cellStyle name="Обычный 9 2 2 4 2 2 4 3" xfId="49673"/>
    <cellStyle name="Обычный 9 2 2 4 2 2 5" xfId="49674"/>
    <cellStyle name="Обычный 9 2 2 4 2 2 5 2" xfId="49675"/>
    <cellStyle name="Обычный 9 2 2 4 2 2 5 3" xfId="49676"/>
    <cellStyle name="Обычный 9 2 2 4 2 2 6" xfId="49677"/>
    <cellStyle name="Обычный 9 2 2 4 2 2 6 2" xfId="49678"/>
    <cellStyle name="Обычный 9 2 2 4 2 2 7" xfId="49679"/>
    <cellStyle name="Обычный 9 2 2 4 2 2 8" xfId="49680"/>
    <cellStyle name="Обычный 9 2 2 4 2 3" xfId="49681"/>
    <cellStyle name="Обычный 9 2 2 4 2 3 2" xfId="49682"/>
    <cellStyle name="Обычный 9 2 2 4 2 3 2 2" xfId="49683"/>
    <cellStyle name="Обычный 9 2 2 4 2 3 2 2 2" xfId="49684"/>
    <cellStyle name="Обычный 9 2 2 4 2 3 2 2 3" xfId="49685"/>
    <cellStyle name="Обычный 9 2 2 4 2 3 2 3" xfId="49686"/>
    <cellStyle name="Обычный 9 2 2 4 2 3 2 3 2" xfId="49687"/>
    <cellStyle name="Обычный 9 2 2 4 2 3 2 3 3" xfId="49688"/>
    <cellStyle name="Обычный 9 2 2 4 2 3 2 4" xfId="49689"/>
    <cellStyle name="Обычный 9 2 2 4 2 3 2 4 2" xfId="49690"/>
    <cellStyle name="Обычный 9 2 2 4 2 3 2 5" xfId="49691"/>
    <cellStyle name="Обычный 9 2 2 4 2 3 2 6" xfId="49692"/>
    <cellStyle name="Обычный 9 2 2 4 2 3 3" xfId="49693"/>
    <cellStyle name="Обычный 9 2 2 4 2 3 3 2" xfId="49694"/>
    <cellStyle name="Обычный 9 2 2 4 2 3 3 3" xfId="49695"/>
    <cellStyle name="Обычный 9 2 2 4 2 3 4" xfId="49696"/>
    <cellStyle name="Обычный 9 2 2 4 2 3 4 2" xfId="49697"/>
    <cellStyle name="Обычный 9 2 2 4 2 3 4 3" xfId="49698"/>
    <cellStyle name="Обычный 9 2 2 4 2 3 5" xfId="49699"/>
    <cellStyle name="Обычный 9 2 2 4 2 3 5 2" xfId="49700"/>
    <cellStyle name="Обычный 9 2 2 4 2 3 6" xfId="49701"/>
    <cellStyle name="Обычный 9 2 2 4 2 3 7" xfId="49702"/>
    <cellStyle name="Обычный 9 2 2 4 2 4" xfId="49703"/>
    <cellStyle name="Обычный 9 2 2 4 2 4 2" xfId="49704"/>
    <cellStyle name="Обычный 9 2 2 4 2 4 2 2" xfId="49705"/>
    <cellStyle name="Обычный 9 2 2 4 2 4 2 3" xfId="49706"/>
    <cellStyle name="Обычный 9 2 2 4 2 4 3" xfId="49707"/>
    <cellStyle name="Обычный 9 2 2 4 2 4 3 2" xfId="49708"/>
    <cellStyle name="Обычный 9 2 2 4 2 4 3 3" xfId="49709"/>
    <cellStyle name="Обычный 9 2 2 4 2 4 4" xfId="49710"/>
    <cellStyle name="Обычный 9 2 2 4 2 4 4 2" xfId="49711"/>
    <cellStyle name="Обычный 9 2 2 4 2 4 5" xfId="49712"/>
    <cellStyle name="Обычный 9 2 2 4 2 4 6" xfId="49713"/>
    <cellStyle name="Обычный 9 2 2 4 2 5" xfId="49714"/>
    <cellStyle name="Обычный 9 2 2 4 2 5 2" xfId="49715"/>
    <cellStyle name="Обычный 9 2 2 4 2 5 3" xfId="49716"/>
    <cellStyle name="Обычный 9 2 2 4 2 6" xfId="49717"/>
    <cellStyle name="Обычный 9 2 2 4 2 6 2" xfId="49718"/>
    <cellStyle name="Обычный 9 2 2 4 2 6 3" xfId="49719"/>
    <cellStyle name="Обычный 9 2 2 4 2 7" xfId="49720"/>
    <cellStyle name="Обычный 9 2 2 4 2 7 2" xfId="49721"/>
    <cellStyle name="Обычный 9 2 2 4 2 8" xfId="49722"/>
    <cellStyle name="Обычный 9 2 2 4 2 9" xfId="49723"/>
    <cellStyle name="Обычный 9 2 2 4 3" xfId="49724"/>
    <cellStyle name="Обычный 9 2 2 4 3 2" xfId="49725"/>
    <cellStyle name="Обычный 9 2 2 4 3 2 2" xfId="49726"/>
    <cellStyle name="Обычный 9 2 2 4 3 2 2 2" xfId="49727"/>
    <cellStyle name="Обычный 9 2 2 4 3 2 2 2 2" xfId="49728"/>
    <cellStyle name="Обычный 9 2 2 4 3 2 2 2 3" xfId="49729"/>
    <cellStyle name="Обычный 9 2 2 4 3 2 2 3" xfId="49730"/>
    <cellStyle name="Обычный 9 2 2 4 3 2 2 3 2" xfId="49731"/>
    <cellStyle name="Обычный 9 2 2 4 3 2 2 3 3" xfId="49732"/>
    <cellStyle name="Обычный 9 2 2 4 3 2 2 4" xfId="49733"/>
    <cellStyle name="Обычный 9 2 2 4 3 2 2 4 2" xfId="49734"/>
    <cellStyle name="Обычный 9 2 2 4 3 2 2 5" xfId="49735"/>
    <cellStyle name="Обычный 9 2 2 4 3 2 2 6" xfId="49736"/>
    <cellStyle name="Обычный 9 2 2 4 3 2 3" xfId="49737"/>
    <cellStyle name="Обычный 9 2 2 4 3 2 3 2" xfId="49738"/>
    <cellStyle name="Обычный 9 2 2 4 3 2 3 3" xfId="49739"/>
    <cellStyle name="Обычный 9 2 2 4 3 2 4" xfId="49740"/>
    <cellStyle name="Обычный 9 2 2 4 3 2 4 2" xfId="49741"/>
    <cellStyle name="Обычный 9 2 2 4 3 2 4 3" xfId="49742"/>
    <cellStyle name="Обычный 9 2 2 4 3 2 5" xfId="49743"/>
    <cellStyle name="Обычный 9 2 2 4 3 2 5 2" xfId="49744"/>
    <cellStyle name="Обычный 9 2 2 4 3 2 6" xfId="49745"/>
    <cellStyle name="Обычный 9 2 2 4 3 2 7" xfId="49746"/>
    <cellStyle name="Обычный 9 2 2 4 3 3" xfId="49747"/>
    <cellStyle name="Обычный 9 2 2 4 3 3 2" xfId="49748"/>
    <cellStyle name="Обычный 9 2 2 4 3 3 2 2" xfId="49749"/>
    <cellStyle name="Обычный 9 2 2 4 3 3 2 3" xfId="49750"/>
    <cellStyle name="Обычный 9 2 2 4 3 3 3" xfId="49751"/>
    <cellStyle name="Обычный 9 2 2 4 3 3 3 2" xfId="49752"/>
    <cellStyle name="Обычный 9 2 2 4 3 3 3 3" xfId="49753"/>
    <cellStyle name="Обычный 9 2 2 4 3 3 4" xfId="49754"/>
    <cellStyle name="Обычный 9 2 2 4 3 3 4 2" xfId="49755"/>
    <cellStyle name="Обычный 9 2 2 4 3 3 5" xfId="49756"/>
    <cellStyle name="Обычный 9 2 2 4 3 3 6" xfId="49757"/>
    <cellStyle name="Обычный 9 2 2 4 3 4" xfId="49758"/>
    <cellStyle name="Обычный 9 2 2 4 3 4 2" xfId="49759"/>
    <cellStyle name="Обычный 9 2 2 4 3 4 3" xfId="49760"/>
    <cellStyle name="Обычный 9 2 2 4 3 5" xfId="49761"/>
    <cellStyle name="Обычный 9 2 2 4 3 5 2" xfId="49762"/>
    <cellStyle name="Обычный 9 2 2 4 3 5 3" xfId="49763"/>
    <cellStyle name="Обычный 9 2 2 4 3 6" xfId="49764"/>
    <cellStyle name="Обычный 9 2 2 4 3 6 2" xfId="49765"/>
    <cellStyle name="Обычный 9 2 2 4 3 7" xfId="49766"/>
    <cellStyle name="Обычный 9 2 2 4 3 8" xfId="49767"/>
    <cellStyle name="Обычный 9 2 2 4 4" xfId="49768"/>
    <cellStyle name="Обычный 9 2 2 4 4 2" xfId="49769"/>
    <cellStyle name="Обычный 9 2 2 4 4 2 2" xfId="49770"/>
    <cellStyle name="Обычный 9 2 2 4 4 2 2 2" xfId="49771"/>
    <cellStyle name="Обычный 9 2 2 4 4 2 2 3" xfId="49772"/>
    <cellStyle name="Обычный 9 2 2 4 4 2 3" xfId="49773"/>
    <cellStyle name="Обычный 9 2 2 4 4 2 3 2" xfId="49774"/>
    <cellStyle name="Обычный 9 2 2 4 4 2 3 3" xfId="49775"/>
    <cellStyle name="Обычный 9 2 2 4 4 2 4" xfId="49776"/>
    <cellStyle name="Обычный 9 2 2 4 4 2 4 2" xfId="49777"/>
    <cellStyle name="Обычный 9 2 2 4 4 2 5" xfId="49778"/>
    <cellStyle name="Обычный 9 2 2 4 4 2 6" xfId="49779"/>
    <cellStyle name="Обычный 9 2 2 4 4 3" xfId="49780"/>
    <cellStyle name="Обычный 9 2 2 4 4 3 2" xfId="49781"/>
    <cellStyle name="Обычный 9 2 2 4 4 3 3" xfId="49782"/>
    <cellStyle name="Обычный 9 2 2 4 4 4" xfId="49783"/>
    <cellStyle name="Обычный 9 2 2 4 4 4 2" xfId="49784"/>
    <cellStyle name="Обычный 9 2 2 4 4 4 3" xfId="49785"/>
    <cellStyle name="Обычный 9 2 2 4 4 5" xfId="49786"/>
    <cellStyle name="Обычный 9 2 2 4 4 5 2" xfId="49787"/>
    <cellStyle name="Обычный 9 2 2 4 4 6" xfId="49788"/>
    <cellStyle name="Обычный 9 2 2 4 4 7" xfId="49789"/>
    <cellStyle name="Обычный 9 2 2 4 5" xfId="49790"/>
    <cellStyle name="Обычный 9 2 2 4 5 2" xfId="49791"/>
    <cellStyle name="Обычный 9 2 2 4 5 2 2" xfId="49792"/>
    <cellStyle name="Обычный 9 2 2 4 5 2 3" xfId="49793"/>
    <cellStyle name="Обычный 9 2 2 4 5 3" xfId="49794"/>
    <cellStyle name="Обычный 9 2 2 4 5 3 2" xfId="49795"/>
    <cellStyle name="Обычный 9 2 2 4 5 3 3" xfId="49796"/>
    <cellStyle name="Обычный 9 2 2 4 5 4" xfId="49797"/>
    <cellStyle name="Обычный 9 2 2 4 5 4 2" xfId="49798"/>
    <cellStyle name="Обычный 9 2 2 4 5 5" xfId="49799"/>
    <cellStyle name="Обычный 9 2 2 4 5 6" xfId="49800"/>
    <cellStyle name="Обычный 9 2 2 4 6" xfId="49801"/>
    <cellStyle name="Обычный 9 2 2 4 6 2" xfId="49802"/>
    <cellStyle name="Обычный 9 2 2 4 6 3" xfId="49803"/>
    <cellStyle name="Обычный 9 2 2 4 7" xfId="49804"/>
    <cellStyle name="Обычный 9 2 2 4 7 2" xfId="49805"/>
    <cellStyle name="Обычный 9 2 2 4 7 3" xfId="49806"/>
    <cellStyle name="Обычный 9 2 2 4 8" xfId="49807"/>
    <cellStyle name="Обычный 9 2 2 4 8 2" xfId="49808"/>
    <cellStyle name="Обычный 9 2 2 4 9" xfId="49809"/>
    <cellStyle name="Обычный 9 2 2 5" xfId="49810"/>
    <cellStyle name="Обычный 9 2 2 5 2" xfId="49811"/>
    <cellStyle name="Обычный 9 2 2 5 2 2" xfId="49812"/>
    <cellStyle name="Обычный 9 2 2 5 2 2 2" xfId="49813"/>
    <cellStyle name="Обычный 9 2 2 5 2 2 2 2" xfId="49814"/>
    <cellStyle name="Обычный 9 2 2 5 2 2 2 2 2" xfId="49815"/>
    <cellStyle name="Обычный 9 2 2 5 2 2 2 2 3" xfId="49816"/>
    <cellStyle name="Обычный 9 2 2 5 2 2 2 3" xfId="49817"/>
    <cellStyle name="Обычный 9 2 2 5 2 2 2 3 2" xfId="49818"/>
    <cellStyle name="Обычный 9 2 2 5 2 2 2 3 3" xfId="49819"/>
    <cellStyle name="Обычный 9 2 2 5 2 2 2 4" xfId="49820"/>
    <cellStyle name="Обычный 9 2 2 5 2 2 2 4 2" xfId="49821"/>
    <cellStyle name="Обычный 9 2 2 5 2 2 2 5" xfId="49822"/>
    <cellStyle name="Обычный 9 2 2 5 2 2 2 6" xfId="49823"/>
    <cellStyle name="Обычный 9 2 2 5 2 2 3" xfId="49824"/>
    <cellStyle name="Обычный 9 2 2 5 2 2 3 2" xfId="49825"/>
    <cellStyle name="Обычный 9 2 2 5 2 2 3 3" xfId="49826"/>
    <cellStyle name="Обычный 9 2 2 5 2 2 4" xfId="49827"/>
    <cellStyle name="Обычный 9 2 2 5 2 2 4 2" xfId="49828"/>
    <cellStyle name="Обычный 9 2 2 5 2 2 4 3" xfId="49829"/>
    <cellStyle name="Обычный 9 2 2 5 2 2 5" xfId="49830"/>
    <cellStyle name="Обычный 9 2 2 5 2 2 5 2" xfId="49831"/>
    <cellStyle name="Обычный 9 2 2 5 2 2 6" xfId="49832"/>
    <cellStyle name="Обычный 9 2 2 5 2 2 7" xfId="49833"/>
    <cellStyle name="Обычный 9 2 2 5 2 3" xfId="49834"/>
    <cellStyle name="Обычный 9 2 2 5 2 3 2" xfId="49835"/>
    <cellStyle name="Обычный 9 2 2 5 2 3 2 2" xfId="49836"/>
    <cellStyle name="Обычный 9 2 2 5 2 3 2 3" xfId="49837"/>
    <cellStyle name="Обычный 9 2 2 5 2 3 3" xfId="49838"/>
    <cellStyle name="Обычный 9 2 2 5 2 3 3 2" xfId="49839"/>
    <cellStyle name="Обычный 9 2 2 5 2 3 3 3" xfId="49840"/>
    <cellStyle name="Обычный 9 2 2 5 2 3 4" xfId="49841"/>
    <cellStyle name="Обычный 9 2 2 5 2 3 4 2" xfId="49842"/>
    <cellStyle name="Обычный 9 2 2 5 2 3 5" xfId="49843"/>
    <cellStyle name="Обычный 9 2 2 5 2 3 6" xfId="49844"/>
    <cellStyle name="Обычный 9 2 2 5 2 4" xfId="49845"/>
    <cellStyle name="Обычный 9 2 2 5 2 4 2" xfId="49846"/>
    <cellStyle name="Обычный 9 2 2 5 2 4 3" xfId="49847"/>
    <cellStyle name="Обычный 9 2 2 5 2 5" xfId="49848"/>
    <cellStyle name="Обычный 9 2 2 5 2 5 2" xfId="49849"/>
    <cellStyle name="Обычный 9 2 2 5 2 5 3" xfId="49850"/>
    <cellStyle name="Обычный 9 2 2 5 2 6" xfId="49851"/>
    <cellStyle name="Обычный 9 2 2 5 2 6 2" xfId="49852"/>
    <cellStyle name="Обычный 9 2 2 5 2 7" xfId="49853"/>
    <cellStyle name="Обычный 9 2 2 5 2 8" xfId="49854"/>
    <cellStyle name="Обычный 9 2 2 5 3" xfId="49855"/>
    <cellStyle name="Обычный 9 2 2 5 3 2" xfId="49856"/>
    <cellStyle name="Обычный 9 2 2 5 3 2 2" xfId="49857"/>
    <cellStyle name="Обычный 9 2 2 5 3 2 2 2" xfId="49858"/>
    <cellStyle name="Обычный 9 2 2 5 3 2 2 3" xfId="49859"/>
    <cellStyle name="Обычный 9 2 2 5 3 2 3" xfId="49860"/>
    <cellStyle name="Обычный 9 2 2 5 3 2 3 2" xfId="49861"/>
    <cellStyle name="Обычный 9 2 2 5 3 2 3 3" xfId="49862"/>
    <cellStyle name="Обычный 9 2 2 5 3 2 4" xfId="49863"/>
    <cellStyle name="Обычный 9 2 2 5 3 2 4 2" xfId="49864"/>
    <cellStyle name="Обычный 9 2 2 5 3 2 5" xfId="49865"/>
    <cellStyle name="Обычный 9 2 2 5 3 2 6" xfId="49866"/>
    <cellStyle name="Обычный 9 2 2 5 3 3" xfId="49867"/>
    <cellStyle name="Обычный 9 2 2 5 3 3 2" xfId="49868"/>
    <cellStyle name="Обычный 9 2 2 5 3 3 3" xfId="49869"/>
    <cellStyle name="Обычный 9 2 2 5 3 4" xfId="49870"/>
    <cellStyle name="Обычный 9 2 2 5 3 4 2" xfId="49871"/>
    <cellStyle name="Обычный 9 2 2 5 3 4 3" xfId="49872"/>
    <cellStyle name="Обычный 9 2 2 5 3 5" xfId="49873"/>
    <cellStyle name="Обычный 9 2 2 5 3 5 2" xfId="49874"/>
    <cellStyle name="Обычный 9 2 2 5 3 6" xfId="49875"/>
    <cellStyle name="Обычный 9 2 2 5 3 7" xfId="49876"/>
    <cellStyle name="Обычный 9 2 2 5 4" xfId="49877"/>
    <cellStyle name="Обычный 9 2 2 5 4 2" xfId="49878"/>
    <cellStyle name="Обычный 9 2 2 5 4 2 2" xfId="49879"/>
    <cellStyle name="Обычный 9 2 2 5 4 2 3" xfId="49880"/>
    <cellStyle name="Обычный 9 2 2 5 4 3" xfId="49881"/>
    <cellStyle name="Обычный 9 2 2 5 4 3 2" xfId="49882"/>
    <cellStyle name="Обычный 9 2 2 5 4 3 3" xfId="49883"/>
    <cellStyle name="Обычный 9 2 2 5 4 4" xfId="49884"/>
    <cellStyle name="Обычный 9 2 2 5 4 4 2" xfId="49885"/>
    <cellStyle name="Обычный 9 2 2 5 4 5" xfId="49886"/>
    <cellStyle name="Обычный 9 2 2 5 4 6" xfId="49887"/>
    <cellStyle name="Обычный 9 2 2 5 5" xfId="49888"/>
    <cellStyle name="Обычный 9 2 2 5 5 2" xfId="49889"/>
    <cellStyle name="Обычный 9 2 2 5 5 3" xfId="49890"/>
    <cellStyle name="Обычный 9 2 2 5 6" xfId="49891"/>
    <cellStyle name="Обычный 9 2 2 5 6 2" xfId="49892"/>
    <cellStyle name="Обычный 9 2 2 5 6 3" xfId="49893"/>
    <cellStyle name="Обычный 9 2 2 5 7" xfId="49894"/>
    <cellStyle name="Обычный 9 2 2 5 7 2" xfId="49895"/>
    <cellStyle name="Обычный 9 2 2 5 8" xfId="49896"/>
    <cellStyle name="Обычный 9 2 2 5 9" xfId="49897"/>
    <cellStyle name="Обычный 9 2 2 6" xfId="49898"/>
    <cellStyle name="Обычный 9 2 2 6 2" xfId="49899"/>
    <cellStyle name="Обычный 9 2 2 6 2 2" xfId="49900"/>
    <cellStyle name="Обычный 9 2 2 6 2 2 2" xfId="49901"/>
    <cellStyle name="Обычный 9 2 2 6 2 2 2 2" xfId="49902"/>
    <cellStyle name="Обычный 9 2 2 6 2 2 2 3" xfId="49903"/>
    <cellStyle name="Обычный 9 2 2 6 2 2 3" xfId="49904"/>
    <cellStyle name="Обычный 9 2 2 6 2 2 3 2" xfId="49905"/>
    <cellStyle name="Обычный 9 2 2 6 2 2 3 3" xfId="49906"/>
    <cellStyle name="Обычный 9 2 2 6 2 2 4" xfId="49907"/>
    <cellStyle name="Обычный 9 2 2 6 2 2 4 2" xfId="49908"/>
    <cellStyle name="Обычный 9 2 2 6 2 2 5" xfId="49909"/>
    <cellStyle name="Обычный 9 2 2 6 2 2 6" xfId="49910"/>
    <cellStyle name="Обычный 9 2 2 6 2 3" xfId="49911"/>
    <cellStyle name="Обычный 9 2 2 6 2 3 2" xfId="49912"/>
    <cellStyle name="Обычный 9 2 2 6 2 3 3" xfId="49913"/>
    <cellStyle name="Обычный 9 2 2 6 2 4" xfId="49914"/>
    <cellStyle name="Обычный 9 2 2 6 2 4 2" xfId="49915"/>
    <cellStyle name="Обычный 9 2 2 6 2 4 3" xfId="49916"/>
    <cellStyle name="Обычный 9 2 2 6 2 5" xfId="49917"/>
    <cellStyle name="Обычный 9 2 2 6 2 5 2" xfId="49918"/>
    <cellStyle name="Обычный 9 2 2 6 2 6" xfId="49919"/>
    <cellStyle name="Обычный 9 2 2 6 2 7" xfId="49920"/>
    <cellStyle name="Обычный 9 2 2 6 3" xfId="49921"/>
    <cellStyle name="Обычный 9 2 2 6 3 2" xfId="49922"/>
    <cellStyle name="Обычный 9 2 2 6 3 2 2" xfId="49923"/>
    <cellStyle name="Обычный 9 2 2 6 3 2 3" xfId="49924"/>
    <cellStyle name="Обычный 9 2 2 6 3 3" xfId="49925"/>
    <cellStyle name="Обычный 9 2 2 6 3 3 2" xfId="49926"/>
    <cellStyle name="Обычный 9 2 2 6 3 3 3" xfId="49927"/>
    <cellStyle name="Обычный 9 2 2 6 3 4" xfId="49928"/>
    <cellStyle name="Обычный 9 2 2 6 3 4 2" xfId="49929"/>
    <cellStyle name="Обычный 9 2 2 6 3 5" xfId="49930"/>
    <cellStyle name="Обычный 9 2 2 6 3 6" xfId="49931"/>
    <cellStyle name="Обычный 9 2 2 6 4" xfId="49932"/>
    <cellStyle name="Обычный 9 2 2 6 4 2" xfId="49933"/>
    <cellStyle name="Обычный 9 2 2 6 4 3" xfId="49934"/>
    <cellStyle name="Обычный 9 2 2 6 5" xfId="49935"/>
    <cellStyle name="Обычный 9 2 2 6 5 2" xfId="49936"/>
    <cellStyle name="Обычный 9 2 2 6 5 3" xfId="49937"/>
    <cellStyle name="Обычный 9 2 2 6 6" xfId="49938"/>
    <cellStyle name="Обычный 9 2 2 6 6 2" xfId="49939"/>
    <cellStyle name="Обычный 9 2 2 6 7" xfId="49940"/>
    <cellStyle name="Обычный 9 2 2 6 8" xfId="49941"/>
    <cellStyle name="Обычный 9 2 2 7" xfId="49942"/>
    <cellStyle name="Обычный 9 2 2 7 2" xfId="49943"/>
    <cellStyle name="Обычный 9 2 2 7 2 2" xfId="49944"/>
    <cellStyle name="Обычный 9 2 2 7 2 2 2" xfId="49945"/>
    <cellStyle name="Обычный 9 2 2 7 2 2 3" xfId="49946"/>
    <cellStyle name="Обычный 9 2 2 7 2 3" xfId="49947"/>
    <cellStyle name="Обычный 9 2 2 7 2 3 2" xfId="49948"/>
    <cellStyle name="Обычный 9 2 2 7 2 3 3" xfId="49949"/>
    <cellStyle name="Обычный 9 2 2 7 2 4" xfId="49950"/>
    <cellStyle name="Обычный 9 2 2 7 2 4 2" xfId="49951"/>
    <cellStyle name="Обычный 9 2 2 7 2 5" xfId="49952"/>
    <cellStyle name="Обычный 9 2 2 7 2 6" xfId="49953"/>
    <cellStyle name="Обычный 9 2 2 7 3" xfId="49954"/>
    <cellStyle name="Обычный 9 2 2 7 3 2" xfId="49955"/>
    <cellStyle name="Обычный 9 2 2 7 3 3" xfId="49956"/>
    <cellStyle name="Обычный 9 2 2 7 4" xfId="49957"/>
    <cellStyle name="Обычный 9 2 2 7 4 2" xfId="49958"/>
    <cellStyle name="Обычный 9 2 2 7 4 3" xfId="49959"/>
    <cellStyle name="Обычный 9 2 2 7 5" xfId="49960"/>
    <cellStyle name="Обычный 9 2 2 7 5 2" xfId="49961"/>
    <cellStyle name="Обычный 9 2 2 7 6" xfId="49962"/>
    <cellStyle name="Обычный 9 2 2 7 7" xfId="49963"/>
    <cellStyle name="Обычный 9 2 2 8" xfId="49964"/>
    <cellStyle name="Обычный 9 2 2 8 2" xfId="49965"/>
    <cellStyle name="Обычный 9 2 2 8 2 2" xfId="49966"/>
    <cellStyle name="Обычный 9 2 2 8 2 3" xfId="49967"/>
    <cellStyle name="Обычный 9 2 2 8 3" xfId="49968"/>
    <cellStyle name="Обычный 9 2 2 8 3 2" xfId="49969"/>
    <cellStyle name="Обычный 9 2 2 8 3 3" xfId="49970"/>
    <cellStyle name="Обычный 9 2 2 8 4" xfId="49971"/>
    <cellStyle name="Обычный 9 2 2 8 4 2" xfId="49972"/>
    <cellStyle name="Обычный 9 2 2 8 5" xfId="49973"/>
    <cellStyle name="Обычный 9 2 2 8 6" xfId="49974"/>
    <cellStyle name="Обычный 9 2 2 9" xfId="49975"/>
    <cellStyle name="Обычный 9 2 2 9 2" xfId="49976"/>
    <cellStyle name="Обычный 9 2 2 9 3" xfId="49977"/>
    <cellStyle name="Обычный 9 2 3" xfId="49978"/>
    <cellStyle name="Обычный 9 2 3 10" xfId="49979"/>
    <cellStyle name="Обычный 9 2 3 2" xfId="49980"/>
    <cellStyle name="Обычный 9 2 3 2 2" xfId="49981"/>
    <cellStyle name="Обычный 9 2 3 2 2 2" xfId="49982"/>
    <cellStyle name="Обычный 9 2 3 2 2 2 2" xfId="49983"/>
    <cellStyle name="Обычный 9 2 3 2 2 2 2 2" xfId="49984"/>
    <cellStyle name="Обычный 9 2 3 2 2 2 2 2 2" xfId="49985"/>
    <cellStyle name="Обычный 9 2 3 2 2 2 2 2 3" xfId="49986"/>
    <cellStyle name="Обычный 9 2 3 2 2 2 2 3" xfId="49987"/>
    <cellStyle name="Обычный 9 2 3 2 2 2 2 3 2" xfId="49988"/>
    <cellStyle name="Обычный 9 2 3 2 2 2 2 3 3" xfId="49989"/>
    <cellStyle name="Обычный 9 2 3 2 2 2 2 4" xfId="49990"/>
    <cellStyle name="Обычный 9 2 3 2 2 2 2 4 2" xfId="49991"/>
    <cellStyle name="Обычный 9 2 3 2 2 2 2 5" xfId="49992"/>
    <cellStyle name="Обычный 9 2 3 2 2 2 2 6" xfId="49993"/>
    <cellStyle name="Обычный 9 2 3 2 2 2 3" xfId="49994"/>
    <cellStyle name="Обычный 9 2 3 2 2 2 3 2" xfId="49995"/>
    <cellStyle name="Обычный 9 2 3 2 2 2 3 3" xfId="49996"/>
    <cellStyle name="Обычный 9 2 3 2 2 2 4" xfId="49997"/>
    <cellStyle name="Обычный 9 2 3 2 2 2 4 2" xfId="49998"/>
    <cellStyle name="Обычный 9 2 3 2 2 2 4 3" xfId="49999"/>
    <cellStyle name="Обычный 9 2 3 2 2 2 5" xfId="50000"/>
    <cellStyle name="Обычный 9 2 3 2 2 2 5 2" xfId="50001"/>
    <cellStyle name="Обычный 9 2 3 2 2 2 6" xfId="50002"/>
    <cellStyle name="Обычный 9 2 3 2 2 2 7" xfId="50003"/>
    <cellStyle name="Обычный 9 2 3 2 2 3" xfId="50004"/>
    <cellStyle name="Обычный 9 2 3 2 2 3 2" xfId="50005"/>
    <cellStyle name="Обычный 9 2 3 2 2 3 2 2" xfId="50006"/>
    <cellStyle name="Обычный 9 2 3 2 2 3 2 3" xfId="50007"/>
    <cellStyle name="Обычный 9 2 3 2 2 3 3" xfId="50008"/>
    <cellStyle name="Обычный 9 2 3 2 2 3 3 2" xfId="50009"/>
    <cellStyle name="Обычный 9 2 3 2 2 3 3 3" xfId="50010"/>
    <cellStyle name="Обычный 9 2 3 2 2 3 4" xfId="50011"/>
    <cellStyle name="Обычный 9 2 3 2 2 3 4 2" xfId="50012"/>
    <cellStyle name="Обычный 9 2 3 2 2 3 5" xfId="50013"/>
    <cellStyle name="Обычный 9 2 3 2 2 3 6" xfId="50014"/>
    <cellStyle name="Обычный 9 2 3 2 2 4" xfId="50015"/>
    <cellStyle name="Обычный 9 2 3 2 2 4 2" xfId="50016"/>
    <cellStyle name="Обычный 9 2 3 2 2 4 3" xfId="50017"/>
    <cellStyle name="Обычный 9 2 3 2 2 5" xfId="50018"/>
    <cellStyle name="Обычный 9 2 3 2 2 5 2" xfId="50019"/>
    <cellStyle name="Обычный 9 2 3 2 2 5 3" xfId="50020"/>
    <cellStyle name="Обычный 9 2 3 2 2 6" xfId="50021"/>
    <cellStyle name="Обычный 9 2 3 2 2 6 2" xfId="50022"/>
    <cellStyle name="Обычный 9 2 3 2 2 7" xfId="50023"/>
    <cellStyle name="Обычный 9 2 3 2 2 8" xfId="50024"/>
    <cellStyle name="Обычный 9 2 3 2 3" xfId="50025"/>
    <cellStyle name="Обычный 9 2 3 2 3 2" xfId="50026"/>
    <cellStyle name="Обычный 9 2 3 2 3 2 2" xfId="50027"/>
    <cellStyle name="Обычный 9 2 3 2 3 2 2 2" xfId="50028"/>
    <cellStyle name="Обычный 9 2 3 2 3 2 2 3" xfId="50029"/>
    <cellStyle name="Обычный 9 2 3 2 3 2 3" xfId="50030"/>
    <cellStyle name="Обычный 9 2 3 2 3 2 3 2" xfId="50031"/>
    <cellStyle name="Обычный 9 2 3 2 3 2 3 3" xfId="50032"/>
    <cellStyle name="Обычный 9 2 3 2 3 2 4" xfId="50033"/>
    <cellStyle name="Обычный 9 2 3 2 3 2 4 2" xfId="50034"/>
    <cellStyle name="Обычный 9 2 3 2 3 2 5" xfId="50035"/>
    <cellStyle name="Обычный 9 2 3 2 3 2 6" xfId="50036"/>
    <cellStyle name="Обычный 9 2 3 2 3 3" xfId="50037"/>
    <cellStyle name="Обычный 9 2 3 2 3 3 2" xfId="50038"/>
    <cellStyle name="Обычный 9 2 3 2 3 3 3" xfId="50039"/>
    <cellStyle name="Обычный 9 2 3 2 3 4" xfId="50040"/>
    <cellStyle name="Обычный 9 2 3 2 3 4 2" xfId="50041"/>
    <cellStyle name="Обычный 9 2 3 2 3 4 3" xfId="50042"/>
    <cellStyle name="Обычный 9 2 3 2 3 5" xfId="50043"/>
    <cellStyle name="Обычный 9 2 3 2 3 5 2" xfId="50044"/>
    <cellStyle name="Обычный 9 2 3 2 3 6" xfId="50045"/>
    <cellStyle name="Обычный 9 2 3 2 3 7" xfId="50046"/>
    <cellStyle name="Обычный 9 2 3 2 4" xfId="50047"/>
    <cellStyle name="Обычный 9 2 3 2 4 2" xfId="50048"/>
    <cellStyle name="Обычный 9 2 3 2 4 2 2" xfId="50049"/>
    <cellStyle name="Обычный 9 2 3 2 4 2 3" xfId="50050"/>
    <cellStyle name="Обычный 9 2 3 2 4 3" xfId="50051"/>
    <cellStyle name="Обычный 9 2 3 2 4 3 2" xfId="50052"/>
    <cellStyle name="Обычный 9 2 3 2 4 3 3" xfId="50053"/>
    <cellStyle name="Обычный 9 2 3 2 4 4" xfId="50054"/>
    <cellStyle name="Обычный 9 2 3 2 4 4 2" xfId="50055"/>
    <cellStyle name="Обычный 9 2 3 2 4 5" xfId="50056"/>
    <cellStyle name="Обычный 9 2 3 2 4 6" xfId="50057"/>
    <cellStyle name="Обычный 9 2 3 2 5" xfId="50058"/>
    <cellStyle name="Обычный 9 2 3 2 5 2" xfId="50059"/>
    <cellStyle name="Обычный 9 2 3 2 5 3" xfId="50060"/>
    <cellStyle name="Обычный 9 2 3 2 6" xfId="50061"/>
    <cellStyle name="Обычный 9 2 3 2 6 2" xfId="50062"/>
    <cellStyle name="Обычный 9 2 3 2 6 3" xfId="50063"/>
    <cellStyle name="Обычный 9 2 3 2 7" xfId="50064"/>
    <cellStyle name="Обычный 9 2 3 2 7 2" xfId="50065"/>
    <cellStyle name="Обычный 9 2 3 2 8" xfId="50066"/>
    <cellStyle name="Обычный 9 2 3 2 9" xfId="50067"/>
    <cellStyle name="Обычный 9 2 3 3" xfId="50068"/>
    <cellStyle name="Обычный 9 2 3 3 2" xfId="50069"/>
    <cellStyle name="Обычный 9 2 3 3 2 2" xfId="50070"/>
    <cellStyle name="Обычный 9 2 3 3 2 2 2" xfId="50071"/>
    <cellStyle name="Обычный 9 2 3 3 2 2 2 2" xfId="50072"/>
    <cellStyle name="Обычный 9 2 3 3 2 2 2 3" xfId="50073"/>
    <cellStyle name="Обычный 9 2 3 3 2 2 3" xfId="50074"/>
    <cellStyle name="Обычный 9 2 3 3 2 2 3 2" xfId="50075"/>
    <cellStyle name="Обычный 9 2 3 3 2 2 3 3" xfId="50076"/>
    <cellStyle name="Обычный 9 2 3 3 2 2 4" xfId="50077"/>
    <cellStyle name="Обычный 9 2 3 3 2 2 4 2" xfId="50078"/>
    <cellStyle name="Обычный 9 2 3 3 2 2 5" xfId="50079"/>
    <cellStyle name="Обычный 9 2 3 3 2 2 6" xfId="50080"/>
    <cellStyle name="Обычный 9 2 3 3 2 3" xfId="50081"/>
    <cellStyle name="Обычный 9 2 3 3 2 3 2" xfId="50082"/>
    <cellStyle name="Обычный 9 2 3 3 2 3 3" xfId="50083"/>
    <cellStyle name="Обычный 9 2 3 3 2 4" xfId="50084"/>
    <cellStyle name="Обычный 9 2 3 3 2 4 2" xfId="50085"/>
    <cellStyle name="Обычный 9 2 3 3 2 4 3" xfId="50086"/>
    <cellStyle name="Обычный 9 2 3 3 2 5" xfId="50087"/>
    <cellStyle name="Обычный 9 2 3 3 2 5 2" xfId="50088"/>
    <cellStyle name="Обычный 9 2 3 3 2 6" xfId="50089"/>
    <cellStyle name="Обычный 9 2 3 3 2 7" xfId="50090"/>
    <cellStyle name="Обычный 9 2 3 3 3" xfId="50091"/>
    <cellStyle name="Обычный 9 2 3 3 3 2" xfId="50092"/>
    <cellStyle name="Обычный 9 2 3 3 3 2 2" xfId="50093"/>
    <cellStyle name="Обычный 9 2 3 3 3 2 3" xfId="50094"/>
    <cellStyle name="Обычный 9 2 3 3 3 3" xfId="50095"/>
    <cellStyle name="Обычный 9 2 3 3 3 3 2" xfId="50096"/>
    <cellStyle name="Обычный 9 2 3 3 3 3 3" xfId="50097"/>
    <cellStyle name="Обычный 9 2 3 3 3 4" xfId="50098"/>
    <cellStyle name="Обычный 9 2 3 3 3 4 2" xfId="50099"/>
    <cellStyle name="Обычный 9 2 3 3 3 5" xfId="50100"/>
    <cellStyle name="Обычный 9 2 3 3 3 6" xfId="50101"/>
    <cellStyle name="Обычный 9 2 3 3 4" xfId="50102"/>
    <cellStyle name="Обычный 9 2 3 3 4 2" xfId="50103"/>
    <cellStyle name="Обычный 9 2 3 3 4 3" xfId="50104"/>
    <cellStyle name="Обычный 9 2 3 3 5" xfId="50105"/>
    <cellStyle name="Обычный 9 2 3 3 5 2" xfId="50106"/>
    <cellStyle name="Обычный 9 2 3 3 5 3" xfId="50107"/>
    <cellStyle name="Обычный 9 2 3 3 6" xfId="50108"/>
    <cellStyle name="Обычный 9 2 3 3 6 2" xfId="50109"/>
    <cellStyle name="Обычный 9 2 3 3 7" xfId="50110"/>
    <cellStyle name="Обычный 9 2 3 3 8" xfId="50111"/>
    <cellStyle name="Обычный 9 2 3 4" xfId="50112"/>
    <cellStyle name="Обычный 9 2 3 4 2" xfId="50113"/>
    <cellStyle name="Обычный 9 2 3 4 2 2" xfId="50114"/>
    <cellStyle name="Обычный 9 2 3 4 2 2 2" xfId="50115"/>
    <cellStyle name="Обычный 9 2 3 4 2 2 3" xfId="50116"/>
    <cellStyle name="Обычный 9 2 3 4 2 3" xfId="50117"/>
    <cellStyle name="Обычный 9 2 3 4 2 3 2" xfId="50118"/>
    <cellStyle name="Обычный 9 2 3 4 2 3 3" xfId="50119"/>
    <cellStyle name="Обычный 9 2 3 4 2 4" xfId="50120"/>
    <cellStyle name="Обычный 9 2 3 4 2 4 2" xfId="50121"/>
    <cellStyle name="Обычный 9 2 3 4 2 5" xfId="50122"/>
    <cellStyle name="Обычный 9 2 3 4 2 6" xfId="50123"/>
    <cellStyle name="Обычный 9 2 3 4 3" xfId="50124"/>
    <cellStyle name="Обычный 9 2 3 4 3 2" xfId="50125"/>
    <cellStyle name="Обычный 9 2 3 4 3 3" xfId="50126"/>
    <cellStyle name="Обычный 9 2 3 4 4" xfId="50127"/>
    <cellStyle name="Обычный 9 2 3 4 4 2" xfId="50128"/>
    <cellStyle name="Обычный 9 2 3 4 4 3" xfId="50129"/>
    <cellStyle name="Обычный 9 2 3 4 5" xfId="50130"/>
    <cellStyle name="Обычный 9 2 3 4 5 2" xfId="50131"/>
    <cellStyle name="Обычный 9 2 3 4 6" xfId="50132"/>
    <cellStyle name="Обычный 9 2 3 4 7" xfId="50133"/>
    <cellStyle name="Обычный 9 2 3 5" xfId="50134"/>
    <cellStyle name="Обычный 9 2 3 5 2" xfId="50135"/>
    <cellStyle name="Обычный 9 2 3 5 2 2" xfId="50136"/>
    <cellStyle name="Обычный 9 2 3 5 2 3" xfId="50137"/>
    <cellStyle name="Обычный 9 2 3 5 3" xfId="50138"/>
    <cellStyle name="Обычный 9 2 3 5 3 2" xfId="50139"/>
    <cellStyle name="Обычный 9 2 3 5 3 3" xfId="50140"/>
    <cellStyle name="Обычный 9 2 3 5 4" xfId="50141"/>
    <cellStyle name="Обычный 9 2 3 5 4 2" xfId="50142"/>
    <cellStyle name="Обычный 9 2 3 5 5" xfId="50143"/>
    <cellStyle name="Обычный 9 2 3 5 6" xfId="50144"/>
    <cellStyle name="Обычный 9 2 3 6" xfId="50145"/>
    <cellStyle name="Обычный 9 2 3 6 2" xfId="50146"/>
    <cellStyle name="Обычный 9 2 3 6 3" xfId="50147"/>
    <cellStyle name="Обычный 9 2 3 7" xfId="50148"/>
    <cellStyle name="Обычный 9 2 3 7 2" xfId="50149"/>
    <cellStyle name="Обычный 9 2 3 7 3" xfId="50150"/>
    <cellStyle name="Обычный 9 2 3 8" xfId="50151"/>
    <cellStyle name="Обычный 9 2 3 8 2" xfId="50152"/>
    <cellStyle name="Обычный 9 2 3 9" xfId="50153"/>
    <cellStyle name="Обычный 9 2 4" xfId="50154"/>
    <cellStyle name="Обычный 9 2 4 10" xfId="50155"/>
    <cellStyle name="Обычный 9 2 4 2" xfId="50156"/>
    <cellStyle name="Обычный 9 2 4 2 2" xfId="50157"/>
    <cellStyle name="Обычный 9 2 4 2 2 2" xfId="50158"/>
    <cellStyle name="Обычный 9 2 4 2 2 2 2" xfId="50159"/>
    <cellStyle name="Обычный 9 2 4 2 2 2 2 2" xfId="50160"/>
    <cellStyle name="Обычный 9 2 4 2 2 2 2 2 2" xfId="50161"/>
    <cellStyle name="Обычный 9 2 4 2 2 2 2 2 3" xfId="50162"/>
    <cellStyle name="Обычный 9 2 4 2 2 2 2 3" xfId="50163"/>
    <cellStyle name="Обычный 9 2 4 2 2 2 2 3 2" xfId="50164"/>
    <cellStyle name="Обычный 9 2 4 2 2 2 2 3 3" xfId="50165"/>
    <cellStyle name="Обычный 9 2 4 2 2 2 2 4" xfId="50166"/>
    <cellStyle name="Обычный 9 2 4 2 2 2 2 4 2" xfId="50167"/>
    <cellStyle name="Обычный 9 2 4 2 2 2 2 5" xfId="50168"/>
    <cellStyle name="Обычный 9 2 4 2 2 2 2 6" xfId="50169"/>
    <cellStyle name="Обычный 9 2 4 2 2 2 3" xfId="50170"/>
    <cellStyle name="Обычный 9 2 4 2 2 2 3 2" xfId="50171"/>
    <cellStyle name="Обычный 9 2 4 2 2 2 3 3" xfId="50172"/>
    <cellStyle name="Обычный 9 2 4 2 2 2 4" xfId="50173"/>
    <cellStyle name="Обычный 9 2 4 2 2 2 4 2" xfId="50174"/>
    <cellStyle name="Обычный 9 2 4 2 2 2 4 3" xfId="50175"/>
    <cellStyle name="Обычный 9 2 4 2 2 2 5" xfId="50176"/>
    <cellStyle name="Обычный 9 2 4 2 2 2 5 2" xfId="50177"/>
    <cellStyle name="Обычный 9 2 4 2 2 2 6" xfId="50178"/>
    <cellStyle name="Обычный 9 2 4 2 2 2 7" xfId="50179"/>
    <cellStyle name="Обычный 9 2 4 2 2 3" xfId="50180"/>
    <cellStyle name="Обычный 9 2 4 2 2 3 2" xfId="50181"/>
    <cellStyle name="Обычный 9 2 4 2 2 3 2 2" xfId="50182"/>
    <cellStyle name="Обычный 9 2 4 2 2 3 2 3" xfId="50183"/>
    <cellStyle name="Обычный 9 2 4 2 2 3 3" xfId="50184"/>
    <cellStyle name="Обычный 9 2 4 2 2 3 3 2" xfId="50185"/>
    <cellStyle name="Обычный 9 2 4 2 2 3 3 3" xfId="50186"/>
    <cellStyle name="Обычный 9 2 4 2 2 3 4" xfId="50187"/>
    <cellStyle name="Обычный 9 2 4 2 2 3 4 2" xfId="50188"/>
    <cellStyle name="Обычный 9 2 4 2 2 3 5" xfId="50189"/>
    <cellStyle name="Обычный 9 2 4 2 2 3 6" xfId="50190"/>
    <cellStyle name="Обычный 9 2 4 2 2 4" xfId="50191"/>
    <cellStyle name="Обычный 9 2 4 2 2 4 2" xfId="50192"/>
    <cellStyle name="Обычный 9 2 4 2 2 4 3" xfId="50193"/>
    <cellStyle name="Обычный 9 2 4 2 2 5" xfId="50194"/>
    <cellStyle name="Обычный 9 2 4 2 2 5 2" xfId="50195"/>
    <cellStyle name="Обычный 9 2 4 2 2 5 3" xfId="50196"/>
    <cellStyle name="Обычный 9 2 4 2 2 6" xfId="50197"/>
    <cellStyle name="Обычный 9 2 4 2 2 6 2" xfId="50198"/>
    <cellStyle name="Обычный 9 2 4 2 2 7" xfId="50199"/>
    <cellStyle name="Обычный 9 2 4 2 2 8" xfId="50200"/>
    <cellStyle name="Обычный 9 2 4 2 3" xfId="50201"/>
    <cellStyle name="Обычный 9 2 4 2 3 2" xfId="50202"/>
    <cellStyle name="Обычный 9 2 4 2 3 2 2" xfId="50203"/>
    <cellStyle name="Обычный 9 2 4 2 3 2 2 2" xfId="50204"/>
    <cellStyle name="Обычный 9 2 4 2 3 2 2 3" xfId="50205"/>
    <cellStyle name="Обычный 9 2 4 2 3 2 3" xfId="50206"/>
    <cellStyle name="Обычный 9 2 4 2 3 2 3 2" xfId="50207"/>
    <cellStyle name="Обычный 9 2 4 2 3 2 3 3" xfId="50208"/>
    <cellStyle name="Обычный 9 2 4 2 3 2 4" xfId="50209"/>
    <cellStyle name="Обычный 9 2 4 2 3 2 4 2" xfId="50210"/>
    <cellStyle name="Обычный 9 2 4 2 3 2 5" xfId="50211"/>
    <cellStyle name="Обычный 9 2 4 2 3 2 6" xfId="50212"/>
    <cellStyle name="Обычный 9 2 4 2 3 3" xfId="50213"/>
    <cellStyle name="Обычный 9 2 4 2 3 3 2" xfId="50214"/>
    <cellStyle name="Обычный 9 2 4 2 3 3 3" xfId="50215"/>
    <cellStyle name="Обычный 9 2 4 2 3 4" xfId="50216"/>
    <cellStyle name="Обычный 9 2 4 2 3 4 2" xfId="50217"/>
    <cellStyle name="Обычный 9 2 4 2 3 4 3" xfId="50218"/>
    <cellStyle name="Обычный 9 2 4 2 3 5" xfId="50219"/>
    <cellStyle name="Обычный 9 2 4 2 3 5 2" xfId="50220"/>
    <cellStyle name="Обычный 9 2 4 2 3 6" xfId="50221"/>
    <cellStyle name="Обычный 9 2 4 2 3 7" xfId="50222"/>
    <cellStyle name="Обычный 9 2 4 2 4" xfId="50223"/>
    <cellStyle name="Обычный 9 2 4 2 4 2" xfId="50224"/>
    <cellStyle name="Обычный 9 2 4 2 4 2 2" xfId="50225"/>
    <cellStyle name="Обычный 9 2 4 2 4 2 3" xfId="50226"/>
    <cellStyle name="Обычный 9 2 4 2 4 3" xfId="50227"/>
    <cellStyle name="Обычный 9 2 4 2 4 3 2" xfId="50228"/>
    <cellStyle name="Обычный 9 2 4 2 4 3 3" xfId="50229"/>
    <cellStyle name="Обычный 9 2 4 2 4 4" xfId="50230"/>
    <cellStyle name="Обычный 9 2 4 2 4 4 2" xfId="50231"/>
    <cellStyle name="Обычный 9 2 4 2 4 5" xfId="50232"/>
    <cellStyle name="Обычный 9 2 4 2 4 6" xfId="50233"/>
    <cellStyle name="Обычный 9 2 4 2 5" xfId="50234"/>
    <cellStyle name="Обычный 9 2 4 2 5 2" xfId="50235"/>
    <cellStyle name="Обычный 9 2 4 2 5 3" xfId="50236"/>
    <cellStyle name="Обычный 9 2 4 2 6" xfId="50237"/>
    <cellStyle name="Обычный 9 2 4 2 6 2" xfId="50238"/>
    <cellStyle name="Обычный 9 2 4 2 6 3" xfId="50239"/>
    <cellStyle name="Обычный 9 2 4 2 7" xfId="50240"/>
    <cellStyle name="Обычный 9 2 4 2 7 2" xfId="50241"/>
    <cellStyle name="Обычный 9 2 4 2 8" xfId="50242"/>
    <cellStyle name="Обычный 9 2 4 2 9" xfId="50243"/>
    <cellStyle name="Обычный 9 2 4 3" xfId="50244"/>
    <cellStyle name="Обычный 9 2 4 3 2" xfId="50245"/>
    <cellStyle name="Обычный 9 2 4 3 2 2" xfId="50246"/>
    <cellStyle name="Обычный 9 2 4 3 2 2 2" xfId="50247"/>
    <cellStyle name="Обычный 9 2 4 3 2 2 2 2" xfId="50248"/>
    <cellStyle name="Обычный 9 2 4 3 2 2 2 3" xfId="50249"/>
    <cellStyle name="Обычный 9 2 4 3 2 2 3" xfId="50250"/>
    <cellStyle name="Обычный 9 2 4 3 2 2 3 2" xfId="50251"/>
    <cellStyle name="Обычный 9 2 4 3 2 2 3 3" xfId="50252"/>
    <cellStyle name="Обычный 9 2 4 3 2 2 4" xfId="50253"/>
    <cellStyle name="Обычный 9 2 4 3 2 2 4 2" xfId="50254"/>
    <cellStyle name="Обычный 9 2 4 3 2 2 5" xfId="50255"/>
    <cellStyle name="Обычный 9 2 4 3 2 2 6" xfId="50256"/>
    <cellStyle name="Обычный 9 2 4 3 2 3" xfId="50257"/>
    <cellStyle name="Обычный 9 2 4 3 2 3 2" xfId="50258"/>
    <cellStyle name="Обычный 9 2 4 3 2 3 3" xfId="50259"/>
    <cellStyle name="Обычный 9 2 4 3 2 4" xfId="50260"/>
    <cellStyle name="Обычный 9 2 4 3 2 4 2" xfId="50261"/>
    <cellStyle name="Обычный 9 2 4 3 2 4 3" xfId="50262"/>
    <cellStyle name="Обычный 9 2 4 3 2 5" xfId="50263"/>
    <cellStyle name="Обычный 9 2 4 3 2 5 2" xfId="50264"/>
    <cellStyle name="Обычный 9 2 4 3 2 6" xfId="50265"/>
    <cellStyle name="Обычный 9 2 4 3 2 7" xfId="50266"/>
    <cellStyle name="Обычный 9 2 4 3 3" xfId="50267"/>
    <cellStyle name="Обычный 9 2 4 3 3 2" xfId="50268"/>
    <cellStyle name="Обычный 9 2 4 3 3 2 2" xfId="50269"/>
    <cellStyle name="Обычный 9 2 4 3 3 2 3" xfId="50270"/>
    <cellStyle name="Обычный 9 2 4 3 3 3" xfId="50271"/>
    <cellStyle name="Обычный 9 2 4 3 3 3 2" xfId="50272"/>
    <cellStyle name="Обычный 9 2 4 3 3 3 3" xfId="50273"/>
    <cellStyle name="Обычный 9 2 4 3 3 4" xfId="50274"/>
    <cellStyle name="Обычный 9 2 4 3 3 4 2" xfId="50275"/>
    <cellStyle name="Обычный 9 2 4 3 3 5" xfId="50276"/>
    <cellStyle name="Обычный 9 2 4 3 3 6" xfId="50277"/>
    <cellStyle name="Обычный 9 2 4 3 4" xfId="50278"/>
    <cellStyle name="Обычный 9 2 4 3 4 2" xfId="50279"/>
    <cellStyle name="Обычный 9 2 4 3 4 3" xfId="50280"/>
    <cellStyle name="Обычный 9 2 4 3 5" xfId="50281"/>
    <cellStyle name="Обычный 9 2 4 3 5 2" xfId="50282"/>
    <cellStyle name="Обычный 9 2 4 3 5 3" xfId="50283"/>
    <cellStyle name="Обычный 9 2 4 3 6" xfId="50284"/>
    <cellStyle name="Обычный 9 2 4 3 6 2" xfId="50285"/>
    <cellStyle name="Обычный 9 2 4 3 7" xfId="50286"/>
    <cellStyle name="Обычный 9 2 4 3 8" xfId="50287"/>
    <cellStyle name="Обычный 9 2 4 4" xfId="50288"/>
    <cellStyle name="Обычный 9 2 4 4 2" xfId="50289"/>
    <cellStyle name="Обычный 9 2 4 4 2 2" xfId="50290"/>
    <cellStyle name="Обычный 9 2 4 4 2 2 2" xfId="50291"/>
    <cellStyle name="Обычный 9 2 4 4 2 2 3" xfId="50292"/>
    <cellStyle name="Обычный 9 2 4 4 2 3" xfId="50293"/>
    <cellStyle name="Обычный 9 2 4 4 2 3 2" xfId="50294"/>
    <cellStyle name="Обычный 9 2 4 4 2 3 3" xfId="50295"/>
    <cellStyle name="Обычный 9 2 4 4 2 4" xfId="50296"/>
    <cellStyle name="Обычный 9 2 4 4 2 4 2" xfId="50297"/>
    <cellStyle name="Обычный 9 2 4 4 2 5" xfId="50298"/>
    <cellStyle name="Обычный 9 2 4 4 2 6" xfId="50299"/>
    <cellStyle name="Обычный 9 2 4 4 3" xfId="50300"/>
    <cellStyle name="Обычный 9 2 4 4 3 2" xfId="50301"/>
    <cellStyle name="Обычный 9 2 4 4 3 3" xfId="50302"/>
    <cellStyle name="Обычный 9 2 4 4 4" xfId="50303"/>
    <cellStyle name="Обычный 9 2 4 4 4 2" xfId="50304"/>
    <cellStyle name="Обычный 9 2 4 4 4 3" xfId="50305"/>
    <cellStyle name="Обычный 9 2 4 4 5" xfId="50306"/>
    <cellStyle name="Обычный 9 2 4 4 5 2" xfId="50307"/>
    <cellStyle name="Обычный 9 2 4 4 6" xfId="50308"/>
    <cellStyle name="Обычный 9 2 4 4 7" xfId="50309"/>
    <cellStyle name="Обычный 9 2 4 5" xfId="50310"/>
    <cellStyle name="Обычный 9 2 4 5 2" xfId="50311"/>
    <cellStyle name="Обычный 9 2 4 5 2 2" xfId="50312"/>
    <cellStyle name="Обычный 9 2 4 5 2 3" xfId="50313"/>
    <cellStyle name="Обычный 9 2 4 5 3" xfId="50314"/>
    <cellStyle name="Обычный 9 2 4 5 3 2" xfId="50315"/>
    <cellStyle name="Обычный 9 2 4 5 3 3" xfId="50316"/>
    <cellStyle name="Обычный 9 2 4 5 4" xfId="50317"/>
    <cellStyle name="Обычный 9 2 4 5 4 2" xfId="50318"/>
    <cellStyle name="Обычный 9 2 4 5 5" xfId="50319"/>
    <cellStyle name="Обычный 9 2 4 5 6" xfId="50320"/>
    <cellStyle name="Обычный 9 2 4 6" xfId="50321"/>
    <cellStyle name="Обычный 9 2 4 6 2" xfId="50322"/>
    <cellStyle name="Обычный 9 2 4 6 3" xfId="50323"/>
    <cellStyle name="Обычный 9 2 4 7" xfId="50324"/>
    <cellStyle name="Обычный 9 2 4 7 2" xfId="50325"/>
    <cellStyle name="Обычный 9 2 4 7 3" xfId="50326"/>
    <cellStyle name="Обычный 9 2 4 8" xfId="50327"/>
    <cellStyle name="Обычный 9 2 4 8 2" xfId="50328"/>
    <cellStyle name="Обычный 9 2 4 9" xfId="50329"/>
    <cellStyle name="Обычный 9 2 5" xfId="50330"/>
    <cellStyle name="Обычный 9 2 5 10" xfId="50331"/>
    <cellStyle name="Обычный 9 2 5 2" xfId="50332"/>
    <cellStyle name="Обычный 9 2 5 2 2" xfId="50333"/>
    <cellStyle name="Обычный 9 2 5 2 2 2" xfId="50334"/>
    <cellStyle name="Обычный 9 2 5 2 2 2 2" xfId="50335"/>
    <cellStyle name="Обычный 9 2 5 2 2 2 2 2" xfId="50336"/>
    <cellStyle name="Обычный 9 2 5 2 2 2 2 2 2" xfId="50337"/>
    <cellStyle name="Обычный 9 2 5 2 2 2 2 2 3" xfId="50338"/>
    <cellStyle name="Обычный 9 2 5 2 2 2 2 3" xfId="50339"/>
    <cellStyle name="Обычный 9 2 5 2 2 2 2 3 2" xfId="50340"/>
    <cellStyle name="Обычный 9 2 5 2 2 2 2 3 3" xfId="50341"/>
    <cellStyle name="Обычный 9 2 5 2 2 2 2 4" xfId="50342"/>
    <cellStyle name="Обычный 9 2 5 2 2 2 2 4 2" xfId="50343"/>
    <cellStyle name="Обычный 9 2 5 2 2 2 2 5" xfId="50344"/>
    <cellStyle name="Обычный 9 2 5 2 2 2 2 6" xfId="50345"/>
    <cellStyle name="Обычный 9 2 5 2 2 2 3" xfId="50346"/>
    <cellStyle name="Обычный 9 2 5 2 2 2 3 2" xfId="50347"/>
    <cellStyle name="Обычный 9 2 5 2 2 2 3 3" xfId="50348"/>
    <cellStyle name="Обычный 9 2 5 2 2 2 4" xfId="50349"/>
    <cellStyle name="Обычный 9 2 5 2 2 2 4 2" xfId="50350"/>
    <cellStyle name="Обычный 9 2 5 2 2 2 4 3" xfId="50351"/>
    <cellStyle name="Обычный 9 2 5 2 2 2 5" xfId="50352"/>
    <cellStyle name="Обычный 9 2 5 2 2 2 5 2" xfId="50353"/>
    <cellStyle name="Обычный 9 2 5 2 2 2 6" xfId="50354"/>
    <cellStyle name="Обычный 9 2 5 2 2 2 7" xfId="50355"/>
    <cellStyle name="Обычный 9 2 5 2 2 3" xfId="50356"/>
    <cellStyle name="Обычный 9 2 5 2 2 3 2" xfId="50357"/>
    <cellStyle name="Обычный 9 2 5 2 2 3 2 2" xfId="50358"/>
    <cellStyle name="Обычный 9 2 5 2 2 3 2 3" xfId="50359"/>
    <cellStyle name="Обычный 9 2 5 2 2 3 3" xfId="50360"/>
    <cellStyle name="Обычный 9 2 5 2 2 3 3 2" xfId="50361"/>
    <cellStyle name="Обычный 9 2 5 2 2 3 3 3" xfId="50362"/>
    <cellStyle name="Обычный 9 2 5 2 2 3 4" xfId="50363"/>
    <cellStyle name="Обычный 9 2 5 2 2 3 4 2" xfId="50364"/>
    <cellStyle name="Обычный 9 2 5 2 2 3 5" xfId="50365"/>
    <cellStyle name="Обычный 9 2 5 2 2 3 6" xfId="50366"/>
    <cellStyle name="Обычный 9 2 5 2 2 4" xfId="50367"/>
    <cellStyle name="Обычный 9 2 5 2 2 4 2" xfId="50368"/>
    <cellStyle name="Обычный 9 2 5 2 2 4 3" xfId="50369"/>
    <cellStyle name="Обычный 9 2 5 2 2 5" xfId="50370"/>
    <cellStyle name="Обычный 9 2 5 2 2 5 2" xfId="50371"/>
    <cellStyle name="Обычный 9 2 5 2 2 5 3" xfId="50372"/>
    <cellStyle name="Обычный 9 2 5 2 2 6" xfId="50373"/>
    <cellStyle name="Обычный 9 2 5 2 2 6 2" xfId="50374"/>
    <cellStyle name="Обычный 9 2 5 2 2 7" xfId="50375"/>
    <cellStyle name="Обычный 9 2 5 2 2 8" xfId="50376"/>
    <cellStyle name="Обычный 9 2 5 2 3" xfId="50377"/>
    <cellStyle name="Обычный 9 2 5 2 3 2" xfId="50378"/>
    <cellStyle name="Обычный 9 2 5 2 3 2 2" xfId="50379"/>
    <cellStyle name="Обычный 9 2 5 2 3 2 2 2" xfId="50380"/>
    <cellStyle name="Обычный 9 2 5 2 3 2 2 3" xfId="50381"/>
    <cellStyle name="Обычный 9 2 5 2 3 2 3" xfId="50382"/>
    <cellStyle name="Обычный 9 2 5 2 3 2 3 2" xfId="50383"/>
    <cellStyle name="Обычный 9 2 5 2 3 2 3 3" xfId="50384"/>
    <cellStyle name="Обычный 9 2 5 2 3 2 4" xfId="50385"/>
    <cellStyle name="Обычный 9 2 5 2 3 2 4 2" xfId="50386"/>
    <cellStyle name="Обычный 9 2 5 2 3 2 5" xfId="50387"/>
    <cellStyle name="Обычный 9 2 5 2 3 2 6" xfId="50388"/>
    <cellStyle name="Обычный 9 2 5 2 3 3" xfId="50389"/>
    <cellStyle name="Обычный 9 2 5 2 3 3 2" xfId="50390"/>
    <cellStyle name="Обычный 9 2 5 2 3 3 3" xfId="50391"/>
    <cellStyle name="Обычный 9 2 5 2 3 4" xfId="50392"/>
    <cellStyle name="Обычный 9 2 5 2 3 4 2" xfId="50393"/>
    <cellStyle name="Обычный 9 2 5 2 3 4 3" xfId="50394"/>
    <cellStyle name="Обычный 9 2 5 2 3 5" xfId="50395"/>
    <cellStyle name="Обычный 9 2 5 2 3 5 2" xfId="50396"/>
    <cellStyle name="Обычный 9 2 5 2 3 6" xfId="50397"/>
    <cellStyle name="Обычный 9 2 5 2 3 7" xfId="50398"/>
    <cellStyle name="Обычный 9 2 5 2 4" xfId="50399"/>
    <cellStyle name="Обычный 9 2 5 2 4 2" xfId="50400"/>
    <cellStyle name="Обычный 9 2 5 2 4 2 2" xfId="50401"/>
    <cellStyle name="Обычный 9 2 5 2 4 2 3" xfId="50402"/>
    <cellStyle name="Обычный 9 2 5 2 4 3" xfId="50403"/>
    <cellStyle name="Обычный 9 2 5 2 4 3 2" xfId="50404"/>
    <cellStyle name="Обычный 9 2 5 2 4 3 3" xfId="50405"/>
    <cellStyle name="Обычный 9 2 5 2 4 4" xfId="50406"/>
    <cellStyle name="Обычный 9 2 5 2 4 4 2" xfId="50407"/>
    <cellStyle name="Обычный 9 2 5 2 4 5" xfId="50408"/>
    <cellStyle name="Обычный 9 2 5 2 4 6" xfId="50409"/>
    <cellStyle name="Обычный 9 2 5 2 5" xfId="50410"/>
    <cellStyle name="Обычный 9 2 5 2 5 2" xfId="50411"/>
    <cellStyle name="Обычный 9 2 5 2 5 3" xfId="50412"/>
    <cellStyle name="Обычный 9 2 5 2 6" xfId="50413"/>
    <cellStyle name="Обычный 9 2 5 2 6 2" xfId="50414"/>
    <cellStyle name="Обычный 9 2 5 2 6 3" xfId="50415"/>
    <cellStyle name="Обычный 9 2 5 2 7" xfId="50416"/>
    <cellStyle name="Обычный 9 2 5 2 7 2" xfId="50417"/>
    <cellStyle name="Обычный 9 2 5 2 8" xfId="50418"/>
    <cellStyle name="Обычный 9 2 5 2 9" xfId="50419"/>
    <cellStyle name="Обычный 9 2 5 3" xfId="50420"/>
    <cellStyle name="Обычный 9 2 5 3 2" xfId="50421"/>
    <cellStyle name="Обычный 9 2 5 3 2 2" xfId="50422"/>
    <cellStyle name="Обычный 9 2 5 3 2 2 2" xfId="50423"/>
    <cellStyle name="Обычный 9 2 5 3 2 2 2 2" xfId="50424"/>
    <cellStyle name="Обычный 9 2 5 3 2 2 2 3" xfId="50425"/>
    <cellStyle name="Обычный 9 2 5 3 2 2 3" xfId="50426"/>
    <cellStyle name="Обычный 9 2 5 3 2 2 3 2" xfId="50427"/>
    <cellStyle name="Обычный 9 2 5 3 2 2 3 3" xfId="50428"/>
    <cellStyle name="Обычный 9 2 5 3 2 2 4" xfId="50429"/>
    <cellStyle name="Обычный 9 2 5 3 2 2 4 2" xfId="50430"/>
    <cellStyle name="Обычный 9 2 5 3 2 2 5" xfId="50431"/>
    <cellStyle name="Обычный 9 2 5 3 2 2 6" xfId="50432"/>
    <cellStyle name="Обычный 9 2 5 3 2 3" xfId="50433"/>
    <cellStyle name="Обычный 9 2 5 3 2 3 2" xfId="50434"/>
    <cellStyle name="Обычный 9 2 5 3 2 3 3" xfId="50435"/>
    <cellStyle name="Обычный 9 2 5 3 2 4" xfId="50436"/>
    <cellStyle name="Обычный 9 2 5 3 2 4 2" xfId="50437"/>
    <cellStyle name="Обычный 9 2 5 3 2 4 3" xfId="50438"/>
    <cellStyle name="Обычный 9 2 5 3 2 5" xfId="50439"/>
    <cellStyle name="Обычный 9 2 5 3 2 5 2" xfId="50440"/>
    <cellStyle name="Обычный 9 2 5 3 2 6" xfId="50441"/>
    <cellStyle name="Обычный 9 2 5 3 2 7" xfId="50442"/>
    <cellStyle name="Обычный 9 2 5 3 3" xfId="50443"/>
    <cellStyle name="Обычный 9 2 5 3 3 2" xfId="50444"/>
    <cellStyle name="Обычный 9 2 5 3 3 2 2" xfId="50445"/>
    <cellStyle name="Обычный 9 2 5 3 3 2 3" xfId="50446"/>
    <cellStyle name="Обычный 9 2 5 3 3 3" xfId="50447"/>
    <cellStyle name="Обычный 9 2 5 3 3 3 2" xfId="50448"/>
    <cellStyle name="Обычный 9 2 5 3 3 3 3" xfId="50449"/>
    <cellStyle name="Обычный 9 2 5 3 3 4" xfId="50450"/>
    <cellStyle name="Обычный 9 2 5 3 3 4 2" xfId="50451"/>
    <cellStyle name="Обычный 9 2 5 3 3 5" xfId="50452"/>
    <cellStyle name="Обычный 9 2 5 3 3 6" xfId="50453"/>
    <cellStyle name="Обычный 9 2 5 3 4" xfId="50454"/>
    <cellStyle name="Обычный 9 2 5 3 4 2" xfId="50455"/>
    <cellStyle name="Обычный 9 2 5 3 4 3" xfId="50456"/>
    <cellStyle name="Обычный 9 2 5 3 5" xfId="50457"/>
    <cellStyle name="Обычный 9 2 5 3 5 2" xfId="50458"/>
    <cellStyle name="Обычный 9 2 5 3 5 3" xfId="50459"/>
    <cellStyle name="Обычный 9 2 5 3 6" xfId="50460"/>
    <cellStyle name="Обычный 9 2 5 3 6 2" xfId="50461"/>
    <cellStyle name="Обычный 9 2 5 3 7" xfId="50462"/>
    <cellStyle name="Обычный 9 2 5 3 8" xfId="50463"/>
    <cellStyle name="Обычный 9 2 5 4" xfId="50464"/>
    <cellStyle name="Обычный 9 2 5 4 2" xfId="50465"/>
    <cellStyle name="Обычный 9 2 5 4 2 2" xfId="50466"/>
    <cellStyle name="Обычный 9 2 5 4 2 2 2" xfId="50467"/>
    <cellStyle name="Обычный 9 2 5 4 2 2 3" xfId="50468"/>
    <cellStyle name="Обычный 9 2 5 4 2 3" xfId="50469"/>
    <cellStyle name="Обычный 9 2 5 4 2 3 2" xfId="50470"/>
    <cellStyle name="Обычный 9 2 5 4 2 3 3" xfId="50471"/>
    <cellStyle name="Обычный 9 2 5 4 2 4" xfId="50472"/>
    <cellStyle name="Обычный 9 2 5 4 2 4 2" xfId="50473"/>
    <cellStyle name="Обычный 9 2 5 4 2 5" xfId="50474"/>
    <cellStyle name="Обычный 9 2 5 4 2 6" xfId="50475"/>
    <cellStyle name="Обычный 9 2 5 4 3" xfId="50476"/>
    <cellStyle name="Обычный 9 2 5 4 3 2" xfId="50477"/>
    <cellStyle name="Обычный 9 2 5 4 3 3" xfId="50478"/>
    <cellStyle name="Обычный 9 2 5 4 4" xfId="50479"/>
    <cellStyle name="Обычный 9 2 5 4 4 2" xfId="50480"/>
    <cellStyle name="Обычный 9 2 5 4 4 3" xfId="50481"/>
    <cellStyle name="Обычный 9 2 5 4 5" xfId="50482"/>
    <cellStyle name="Обычный 9 2 5 4 5 2" xfId="50483"/>
    <cellStyle name="Обычный 9 2 5 4 6" xfId="50484"/>
    <cellStyle name="Обычный 9 2 5 4 7" xfId="50485"/>
    <cellStyle name="Обычный 9 2 5 5" xfId="50486"/>
    <cellStyle name="Обычный 9 2 5 5 2" xfId="50487"/>
    <cellStyle name="Обычный 9 2 5 5 2 2" xfId="50488"/>
    <cellStyle name="Обычный 9 2 5 5 2 3" xfId="50489"/>
    <cellStyle name="Обычный 9 2 5 5 3" xfId="50490"/>
    <cellStyle name="Обычный 9 2 5 5 3 2" xfId="50491"/>
    <cellStyle name="Обычный 9 2 5 5 3 3" xfId="50492"/>
    <cellStyle name="Обычный 9 2 5 5 4" xfId="50493"/>
    <cellStyle name="Обычный 9 2 5 5 4 2" xfId="50494"/>
    <cellStyle name="Обычный 9 2 5 5 5" xfId="50495"/>
    <cellStyle name="Обычный 9 2 5 5 6" xfId="50496"/>
    <cellStyle name="Обычный 9 2 5 6" xfId="50497"/>
    <cellStyle name="Обычный 9 2 5 6 2" xfId="50498"/>
    <cellStyle name="Обычный 9 2 5 6 3" xfId="50499"/>
    <cellStyle name="Обычный 9 2 5 7" xfId="50500"/>
    <cellStyle name="Обычный 9 2 5 7 2" xfId="50501"/>
    <cellStyle name="Обычный 9 2 5 7 3" xfId="50502"/>
    <cellStyle name="Обычный 9 2 5 8" xfId="50503"/>
    <cellStyle name="Обычный 9 2 5 8 2" xfId="50504"/>
    <cellStyle name="Обычный 9 2 5 9" xfId="50505"/>
    <cellStyle name="Обычный 9 2 6" xfId="50506"/>
    <cellStyle name="Обычный 9 2 6 2" xfId="50507"/>
    <cellStyle name="Обычный 9 2 6 2 2" xfId="50508"/>
    <cellStyle name="Обычный 9 2 6 2 2 2" xfId="50509"/>
    <cellStyle name="Обычный 9 2 6 2 2 2 2" xfId="50510"/>
    <cellStyle name="Обычный 9 2 6 2 2 2 2 2" xfId="50511"/>
    <cellStyle name="Обычный 9 2 6 2 2 2 2 3" xfId="50512"/>
    <cellStyle name="Обычный 9 2 6 2 2 2 3" xfId="50513"/>
    <cellStyle name="Обычный 9 2 6 2 2 2 3 2" xfId="50514"/>
    <cellStyle name="Обычный 9 2 6 2 2 2 3 3" xfId="50515"/>
    <cellStyle name="Обычный 9 2 6 2 2 2 4" xfId="50516"/>
    <cellStyle name="Обычный 9 2 6 2 2 2 4 2" xfId="50517"/>
    <cellStyle name="Обычный 9 2 6 2 2 2 5" xfId="50518"/>
    <cellStyle name="Обычный 9 2 6 2 2 2 6" xfId="50519"/>
    <cellStyle name="Обычный 9 2 6 2 2 3" xfId="50520"/>
    <cellStyle name="Обычный 9 2 6 2 2 3 2" xfId="50521"/>
    <cellStyle name="Обычный 9 2 6 2 2 3 3" xfId="50522"/>
    <cellStyle name="Обычный 9 2 6 2 2 4" xfId="50523"/>
    <cellStyle name="Обычный 9 2 6 2 2 4 2" xfId="50524"/>
    <cellStyle name="Обычный 9 2 6 2 2 4 3" xfId="50525"/>
    <cellStyle name="Обычный 9 2 6 2 2 5" xfId="50526"/>
    <cellStyle name="Обычный 9 2 6 2 2 5 2" xfId="50527"/>
    <cellStyle name="Обычный 9 2 6 2 2 6" xfId="50528"/>
    <cellStyle name="Обычный 9 2 6 2 2 7" xfId="50529"/>
    <cellStyle name="Обычный 9 2 6 2 3" xfId="50530"/>
    <cellStyle name="Обычный 9 2 6 2 3 2" xfId="50531"/>
    <cellStyle name="Обычный 9 2 6 2 3 2 2" xfId="50532"/>
    <cellStyle name="Обычный 9 2 6 2 3 2 3" xfId="50533"/>
    <cellStyle name="Обычный 9 2 6 2 3 3" xfId="50534"/>
    <cellStyle name="Обычный 9 2 6 2 3 3 2" xfId="50535"/>
    <cellStyle name="Обычный 9 2 6 2 3 3 3" xfId="50536"/>
    <cellStyle name="Обычный 9 2 6 2 3 4" xfId="50537"/>
    <cellStyle name="Обычный 9 2 6 2 3 4 2" xfId="50538"/>
    <cellStyle name="Обычный 9 2 6 2 3 5" xfId="50539"/>
    <cellStyle name="Обычный 9 2 6 2 3 6" xfId="50540"/>
    <cellStyle name="Обычный 9 2 6 2 4" xfId="50541"/>
    <cellStyle name="Обычный 9 2 6 2 4 2" xfId="50542"/>
    <cellStyle name="Обычный 9 2 6 2 4 3" xfId="50543"/>
    <cellStyle name="Обычный 9 2 6 2 5" xfId="50544"/>
    <cellStyle name="Обычный 9 2 6 2 5 2" xfId="50545"/>
    <cellStyle name="Обычный 9 2 6 2 5 3" xfId="50546"/>
    <cellStyle name="Обычный 9 2 6 2 6" xfId="50547"/>
    <cellStyle name="Обычный 9 2 6 2 6 2" xfId="50548"/>
    <cellStyle name="Обычный 9 2 6 2 7" xfId="50549"/>
    <cellStyle name="Обычный 9 2 6 2 8" xfId="50550"/>
    <cellStyle name="Обычный 9 2 6 3" xfId="50551"/>
    <cellStyle name="Обычный 9 2 6 3 2" xfId="50552"/>
    <cellStyle name="Обычный 9 2 6 3 2 2" xfId="50553"/>
    <cellStyle name="Обычный 9 2 6 3 2 2 2" xfId="50554"/>
    <cellStyle name="Обычный 9 2 6 3 2 2 3" xfId="50555"/>
    <cellStyle name="Обычный 9 2 6 3 2 3" xfId="50556"/>
    <cellStyle name="Обычный 9 2 6 3 2 3 2" xfId="50557"/>
    <cellStyle name="Обычный 9 2 6 3 2 3 3" xfId="50558"/>
    <cellStyle name="Обычный 9 2 6 3 2 4" xfId="50559"/>
    <cellStyle name="Обычный 9 2 6 3 2 4 2" xfId="50560"/>
    <cellStyle name="Обычный 9 2 6 3 2 5" xfId="50561"/>
    <cellStyle name="Обычный 9 2 6 3 2 6" xfId="50562"/>
    <cellStyle name="Обычный 9 2 6 3 3" xfId="50563"/>
    <cellStyle name="Обычный 9 2 6 3 3 2" xfId="50564"/>
    <cellStyle name="Обычный 9 2 6 3 3 3" xfId="50565"/>
    <cellStyle name="Обычный 9 2 6 3 4" xfId="50566"/>
    <cellStyle name="Обычный 9 2 6 3 4 2" xfId="50567"/>
    <cellStyle name="Обычный 9 2 6 3 4 3" xfId="50568"/>
    <cellStyle name="Обычный 9 2 6 3 5" xfId="50569"/>
    <cellStyle name="Обычный 9 2 6 3 5 2" xfId="50570"/>
    <cellStyle name="Обычный 9 2 6 3 6" xfId="50571"/>
    <cellStyle name="Обычный 9 2 6 3 7" xfId="50572"/>
    <cellStyle name="Обычный 9 2 6 4" xfId="50573"/>
    <cellStyle name="Обычный 9 2 6 4 2" xfId="50574"/>
    <cellStyle name="Обычный 9 2 6 4 2 2" xfId="50575"/>
    <cellStyle name="Обычный 9 2 6 4 2 3" xfId="50576"/>
    <cellStyle name="Обычный 9 2 6 4 3" xfId="50577"/>
    <cellStyle name="Обычный 9 2 6 4 3 2" xfId="50578"/>
    <cellStyle name="Обычный 9 2 6 4 3 3" xfId="50579"/>
    <cellStyle name="Обычный 9 2 6 4 4" xfId="50580"/>
    <cellStyle name="Обычный 9 2 6 4 4 2" xfId="50581"/>
    <cellStyle name="Обычный 9 2 6 4 5" xfId="50582"/>
    <cellStyle name="Обычный 9 2 6 4 6" xfId="50583"/>
    <cellStyle name="Обычный 9 2 6 5" xfId="50584"/>
    <cellStyle name="Обычный 9 2 6 5 2" xfId="50585"/>
    <cellStyle name="Обычный 9 2 6 5 3" xfId="50586"/>
    <cellStyle name="Обычный 9 2 6 6" xfId="50587"/>
    <cellStyle name="Обычный 9 2 6 6 2" xfId="50588"/>
    <cellStyle name="Обычный 9 2 6 6 3" xfId="50589"/>
    <cellStyle name="Обычный 9 2 6 7" xfId="50590"/>
    <cellStyle name="Обычный 9 2 6 7 2" xfId="50591"/>
    <cellStyle name="Обычный 9 2 6 8" xfId="50592"/>
    <cellStyle name="Обычный 9 2 6 9" xfId="50593"/>
    <cellStyle name="Обычный 9 2 7" xfId="50594"/>
    <cellStyle name="Обычный 9 2 7 2" xfId="50595"/>
    <cellStyle name="Обычный 9 2 7 2 2" xfId="50596"/>
    <cellStyle name="Обычный 9 2 7 2 2 2" xfId="50597"/>
    <cellStyle name="Обычный 9 2 7 2 2 2 2" xfId="50598"/>
    <cellStyle name="Обычный 9 2 7 2 2 2 3" xfId="50599"/>
    <cellStyle name="Обычный 9 2 7 2 2 3" xfId="50600"/>
    <cellStyle name="Обычный 9 2 7 2 2 3 2" xfId="50601"/>
    <cellStyle name="Обычный 9 2 7 2 2 3 3" xfId="50602"/>
    <cellStyle name="Обычный 9 2 7 2 2 4" xfId="50603"/>
    <cellStyle name="Обычный 9 2 7 2 2 4 2" xfId="50604"/>
    <cellStyle name="Обычный 9 2 7 2 2 5" xfId="50605"/>
    <cellStyle name="Обычный 9 2 7 2 2 6" xfId="50606"/>
    <cellStyle name="Обычный 9 2 7 2 3" xfId="50607"/>
    <cellStyle name="Обычный 9 2 7 2 3 2" xfId="50608"/>
    <cellStyle name="Обычный 9 2 7 2 3 3" xfId="50609"/>
    <cellStyle name="Обычный 9 2 7 2 4" xfId="50610"/>
    <cellStyle name="Обычный 9 2 7 2 4 2" xfId="50611"/>
    <cellStyle name="Обычный 9 2 7 2 4 3" xfId="50612"/>
    <cellStyle name="Обычный 9 2 7 2 5" xfId="50613"/>
    <cellStyle name="Обычный 9 2 7 2 5 2" xfId="50614"/>
    <cellStyle name="Обычный 9 2 7 2 6" xfId="50615"/>
    <cellStyle name="Обычный 9 2 7 2 7" xfId="50616"/>
    <cellStyle name="Обычный 9 2 7 3" xfId="50617"/>
    <cellStyle name="Обычный 9 2 7 3 2" xfId="50618"/>
    <cellStyle name="Обычный 9 2 7 3 2 2" xfId="50619"/>
    <cellStyle name="Обычный 9 2 7 3 2 3" xfId="50620"/>
    <cellStyle name="Обычный 9 2 7 3 3" xfId="50621"/>
    <cellStyle name="Обычный 9 2 7 3 3 2" xfId="50622"/>
    <cellStyle name="Обычный 9 2 7 3 3 3" xfId="50623"/>
    <cellStyle name="Обычный 9 2 7 3 4" xfId="50624"/>
    <cellStyle name="Обычный 9 2 7 3 4 2" xfId="50625"/>
    <cellStyle name="Обычный 9 2 7 3 5" xfId="50626"/>
    <cellStyle name="Обычный 9 2 7 3 6" xfId="50627"/>
    <cellStyle name="Обычный 9 2 7 4" xfId="50628"/>
    <cellStyle name="Обычный 9 2 7 4 2" xfId="50629"/>
    <cellStyle name="Обычный 9 2 7 4 3" xfId="50630"/>
    <cellStyle name="Обычный 9 2 7 5" xfId="50631"/>
    <cellStyle name="Обычный 9 2 7 5 2" xfId="50632"/>
    <cellStyle name="Обычный 9 2 7 5 3" xfId="50633"/>
    <cellStyle name="Обычный 9 2 7 6" xfId="50634"/>
    <cellStyle name="Обычный 9 2 7 6 2" xfId="50635"/>
    <cellStyle name="Обычный 9 2 7 7" xfId="50636"/>
    <cellStyle name="Обычный 9 2 7 8" xfId="50637"/>
    <cellStyle name="Обычный 9 2 8" xfId="50638"/>
    <cellStyle name="Обычный 9 2 8 2" xfId="50639"/>
    <cellStyle name="Обычный 9 2 8 2 2" xfId="50640"/>
    <cellStyle name="Обычный 9 2 8 2 2 2" xfId="50641"/>
    <cellStyle name="Обычный 9 2 8 2 2 3" xfId="50642"/>
    <cellStyle name="Обычный 9 2 8 2 3" xfId="50643"/>
    <cellStyle name="Обычный 9 2 8 2 3 2" xfId="50644"/>
    <cellStyle name="Обычный 9 2 8 2 3 3" xfId="50645"/>
    <cellStyle name="Обычный 9 2 8 2 4" xfId="50646"/>
    <cellStyle name="Обычный 9 2 8 2 4 2" xfId="50647"/>
    <cellStyle name="Обычный 9 2 8 2 5" xfId="50648"/>
    <cellStyle name="Обычный 9 2 8 2 6" xfId="50649"/>
    <cellStyle name="Обычный 9 2 8 3" xfId="50650"/>
    <cellStyle name="Обычный 9 2 8 3 2" xfId="50651"/>
    <cellStyle name="Обычный 9 2 8 3 3" xfId="50652"/>
    <cellStyle name="Обычный 9 2 8 4" xfId="50653"/>
    <cellStyle name="Обычный 9 2 8 4 2" xfId="50654"/>
    <cellStyle name="Обычный 9 2 8 4 3" xfId="50655"/>
    <cellStyle name="Обычный 9 2 8 5" xfId="50656"/>
    <cellStyle name="Обычный 9 2 8 5 2" xfId="50657"/>
    <cellStyle name="Обычный 9 2 8 6" xfId="50658"/>
    <cellStyle name="Обычный 9 2 8 7" xfId="50659"/>
    <cellStyle name="Обычный 9 2 9" xfId="50660"/>
    <cellStyle name="Обычный 9 2 9 2" xfId="50661"/>
    <cellStyle name="Обычный 9 2 9 2 2" xfId="50662"/>
    <cellStyle name="Обычный 9 2 9 2 3" xfId="50663"/>
    <cellStyle name="Обычный 9 2 9 3" xfId="50664"/>
    <cellStyle name="Обычный 9 2 9 3 2" xfId="50665"/>
    <cellStyle name="Обычный 9 2 9 3 3" xfId="50666"/>
    <cellStyle name="Обычный 9 2 9 4" xfId="50667"/>
    <cellStyle name="Обычный 9 2 9 4 2" xfId="50668"/>
    <cellStyle name="Обычный 9 2 9 5" xfId="50669"/>
    <cellStyle name="Обычный 9 2 9 6" xfId="50670"/>
    <cellStyle name="Обычный 9 20" xfId="50671"/>
    <cellStyle name="Обычный 9 21" xfId="50672"/>
    <cellStyle name="Обычный 9 3" xfId="50673"/>
    <cellStyle name="Обычный 9 3 10" xfId="50674"/>
    <cellStyle name="Обычный 9 3 10 2" xfId="50675"/>
    <cellStyle name="Обычный 9 3 10 3" xfId="50676"/>
    <cellStyle name="Обычный 9 3 11" xfId="50677"/>
    <cellStyle name="Обычный 9 3 11 2" xfId="50678"/>
    <cellStyle name="Обычный 9 3 11 3" xfId="50679"/>
    <cellStyle name="Обычный 9 3 12" xfId="50680"/>
    <cellStyle name="Обычный 9 3 12 2" xfId="50681"/>
    <cellStyle name="Обычный 9 3 13" xfId="50682"/>
    <cellStyle name="Обычный 9 3 14" xfId="50683"/>
    <cellStyle name="Обычный 9 3 2" xfId="50684"/>
    <cellStyle name="Обычный 9 3 2 10" xfId="50685"/>
    <cellStyle name="Обычный 9 3 2 10 2" xfId="50686"/>
    <cellStyle name="Обычный 9 3 2 10 3" xfId="50687"/>
    <cellStyle name="Обычный 9 3 2 11" xfId="50688"/>
    <cellStyle name="Обычный 9 3 2 11 2" xfId="50689"/>
    <cellStyle name="Обычный 9 3 2 12" xfId="50690"/>
    <cellStyle name="Обычный 9 3 2 13" xfId="50691"/>
    <cellStyle name="Обычный 9 3 2 2" xfId="50692"/>
    <cellStyle name="Обычный 9 3 2 2 10" xfId="50693"/>
    <cellStyle name="Обычный 9 3 2 2 2" xfId="50694"/>
    <cellStyle name="Обычный 9 3 2 2 2 2" xfId="50695"/>
    <cellStyle name="Обычный 9 3 2 2 2 2 2" xfId="50696"/>
    <cellStyle name="Обычный 9 3 2 2 2 2 2 2" xfId="50697"/>
    <cellStyle name="Обычный 9 3 2 2 2 2 2 2 2" xfId="50698"/>
    <cellStyle name="Обычный 9 3 2 2 2 2 2 2 2 2" xfId="50699"/>
    <cellStyle name="Обычный 9 3 2 2 2 2 2 2 2 3" xfId="50700"/>
    <cellStyle name="Обычный 9 3 2 2 2 2 2 2 3" xfId="50701"/>
    <cellStyle name="Обычный 9 3 2 2 2 2 2 2 3 2" xfId="50702"/>
    <cellStyle name="Обычный 9 3 2 2 2 2 2 2 3 3" xfId="50703"/>
    <cellStyle name="Обычный 9 3 2 2 2 2 2 2 4" xfId="50704"/>
    <cellStyle name="Обычный 9 3 2 2 2 2 2 2 4 2" xfId="50705"/>
    <cellStyle name="Обычный 9 3 2 2 2 2 2 2 5" xfId="50706"/>
    <cellStyle name="Обычный 9 3 2 2 2 2 2 2 6" xfId="50707"/>
    <cellStyle name="Обычный 9 3 2 2 2 2 2 3" xfId="50708"/>
    <cellStyle name="Обычный 9 3 2 2 2 2 2 3 2" xfId="50709"/>
    <cellStyle name="Обычный 9 3 2 2 2 2 2 3 3" xfId="50710"/>
    <cellStyle name="Обычный 9 3 2 2 2 2 2 4" xfId="50711"/>
    <cellStyle name="Обычный 9 3 2 2 2 2 2 4 2" xfId="50712"/>
    <cellStyle name="Обычный 9 3 2 2 2 2 2 4 3" xfId="50713"/>
    <cellStyle name="Обычный 9 3 2 2 2 2 2 5" xfId="50714"/>
    <cellStyle name="Обычный 9 3 2 2 2 2 2 5 2" xfId="50715"/>
    <cellStyle name="Обычный 9 3 2 2 2 2 2 6" xfId="50716"/>
    <cellStyle name="Обычный 9 3 2 2 2 2 2 7" xfId="50717"/>
    <cellStyle name="Обычный 9 3 2 2 2 2 3" xfId="50718"/>
    <cellStyle name="Обычный 9 3 2 2 2 2 3 2" xfId="50719"/>
    <cellStyle name="Обычный 9 3 2 2 2 2 3 2 2" xfId="50720"/>
    <cellStyle name="Обычный 9 3 2 2 2 2 3 2 3" xfId="50721"/>
    <cellStyle name="Обычный 9 3 2 2 2 2 3 3" xfId="50722"/>
    <cellStyle name="Обычный 9 3 2 2 2 2 3 3 2" xfId="50723"/>
    <cellStyle name="Обычный 9 3 2 2 2 2 3 3 3" xfId="50724"/>
    <cellStyle name="Обычный 9 3 2 2 2 2 3 4" xfId="50725"/>
    <cellStyle name="Обычный 9 3 2 2 2 2 3 4 2" xfId="50726"/>
    <cellStyle name="Обычный 9 3 2 2 2 2 3 5" xfId="50727"/>
    <cellStyle name="Обычный 9 3 2 2 2 2 3 6" xfId="50728"/>
    <cellStyle name="Обычный 9 3 2 2 2 2 4" xfId="50729"/>
    <cellStyle name="Обычный 9 3 2 2 2 2 4 2" xfId="50730"/>
    <cellStyle name="Обычный 9 3 2 2 2 2 4 3" xfId="50731"/>
    <cellStyle name="Обычный 9 3 2 2 2 2 5" xfId="50732"/>
    <cellStyle name="Обычный 9 3 2 2 2 2 5 2" xfId="50733"/>
    <cellStyle name="Обычный 9 3 2 2 2 2 5 3" xfId="50734"/>
    <cellStyle name="Обычный 9 3 2 2 2 2 6" xfId="50735"/>
    <cellStyle name="Обычный 9 3 2 2 2 2 6 2" xfId="50736"/>
    <cellStyle name="Обычный 9 3 2 2 2 2 7" xfId="50737"/>
    <cellStyle name="Обычный 9 3 2 2 2 2 8" xfId="50738"/>
    <cellStyle name="Обычный 9 3 2 2 2 3" xfId="50739"/>
    <cellStyle name="Обычный 9 3 2 2 2 3 2" xfId="50740"/>
    <cellStyle name="Обычный 9 3 2 2 2 3 2 2" xfId="50741"/>
    <cellStyle name="Обычный 9 3 2 2 2 3 2 2 2" xfId="50742"/>
    <cellStyle name="Обычный 9 3 2 2 2 3 2 2 3" xfId="50743"/>
    <cellStyle name="Обычный 9 3 2 2 2 3 2 3" xfId="50744"/>
    <cellStyle name="Обычный 9 3 2 2 2 3 2 3 2" xfId="50745"/>
    <cellStyle name="Обычный 9 3 2 2 2 3 2 3 3" xfId="50746"/>
    <cellStyle name="Обычный 9 3 2 2 2 3 2 4" xfId="50747"/>
    <cellStyle name="Обычный 9 3 2 2 2 3 2 4 2" xfId="50748"/>
    <cellStyle name="Обычный 9 3 2 2 2 3 2 5" xfId="50749"/>
    <cellStyle name="Обычный 9 3 2 2 2 3 2 6" xfId="50750"/>
    <cellStyle name="Обычный 9 3 2 2 2 3 3" xfId="50751"/>
    <cellStyle name="Обычный 9 3 2 2 2 3 3 2" xfId="50752"/>
    <cellStyle name="Обычный 9 3 2 2 2 3 3 3" xfId="50753"/>
    <cellStyle name="Обычный 9 3 2 2 2 3 4" xfId="50754"/>
    <cellStyle name="Обычный 9 3 2 2 2 3 4 2" xfId="50755"/>
    <cellStyle name="Обычный 9 3 2 2 2 3 4 3" xfId="50756"/>
    <cellStyle name="Обычный 9 3 2 2 2 3 5" xfId="50757"/>
    <cellStyle name="Обычный 9 3 2 2 2 3 5 2" xfId="50758"/>
    <cellStyle name="Обычный 9 3 2 2 2 3 6" xfId="50759"/>
    <cellStyle name="Обычный 9 3 2 2 2 3 7" xfId="50760"/>
    <cellStyle name="Обычный 9 3 2 2 2 4" xfId="50761"/>
    <cellStyle name="Обычный 9 3 2 2 2 4 2" xfId="50762"/>
    <cellStyle name="Обычный 9 3 2 2 2 4 2 2" xfId="50763"/>
    <cellStyle name="Обычный 9 3 2 2 2 4 2 3" xfId="50764"/>
    <cellStyle name="Обычный 9 3 2 2 2 4 3" xfId="50765"/>
    <cellStyle name="Обычный 9 3 2 2 2 4 3 2" xfId="50766"/>
    <cellStyle name="Обычный 9 3 2 2 2 4 3 3" xfId="50767"/>
    <cellStyle name="Обычный 9 3 2 2 2 4 4" xfId="50768"/>
    <cellStyle name="Обычный 9 3 2 2 2 4 4 2" xfId="50769"/>
    <cellStyle name="Обычный 9 3 2 2 2 4 5" xfId="50770"/>
    <cellStyle name="Обычный 9 3 2 2 2 4 6" xfId="50771"/>
    <cellStyle name="Обычный 9 3 2 2 2 5" xfId="50772"/>
    <cellStyle name="Обычный 9 3 2 2 2 5 2" xfId="50773"/>
    <cellStyle name="Обычный 9 3 2 2 2 5 3" xfId="50774"/>
    <cellStyle name="Обычный 9 3 2 2 2 6" xfId="50775"/>
    <cellStyle name="Обычный 9 3 2 2 2 6 2" xfId="50776"/>
    <cellStyle name="Обычный 9 3 2 2 2 6 3" xfId="50777"/>
    <cellStyle name="Обычный 9 3 2 2 2 7" xfId="50778"/>
    <cellStyle name="Обычный 9 3 2 2 2 7 2" xfId="50779"/>
    <cellStyle name="Обычный 9 3 2 2 2 8" xfId="50780"/>
    <cellStyle name="Обычный 9 3 2 2 2 9" xfId="50781"/>
    <cellStyle name="Обычный 9 3 2 2 3" xfId="50782"/>
    <cellStyle name="Обычный 9 3 2 2 3 2" xfId="50783"/>
    <cellStyle name="Обычный 9 3 2 2 3 2 2" xfId="50784"/>
    <cellStyle name="Обычный 9 3 2 2 3 2 2 2" xfId="50785"/>
    <cellStyle name="Обычный 9 3 2 2 3 2 2 2 2" xfId="50786"/>
    <cellStyle name="Обычный 9 3 2 2 3 2 2 2 3" xfId="50787"/>
    <cellStyle name="Обычный 9 3 2 2 3 2 2 3" xfId="50788"/>
    <cellStyle name="Обычный 9 3 2 2 3 2 2 3 2" xfId="50789"/>
    <cellStyle name="Обычный 9 3 2 2 3 2 2 3 3" xfId="50790"/>
    <cellStyle name="Обычный 9 3 2 2 3 2 2 4" xfId="50791"/>
    <cellStyle name="Обычный 9 3 2 2 3 2 2 4 2" xfId="50792"/>
    <cellStyle name="Обычный 9 3 2 2 3 2 2 5" xfId="50793"/>
    <cellStyle name="Обычный 9 3 2 2 3 2 2 6" xfId="50794"/>
    <cellStyle name="Обычный 9 3 2 2 3 2 3" xfId="50795"/>
    <cellStyle name="Обычный 9 3 2 2 3 2 3 2" xfId="50796"/>
    <cellStyle name="Обычный 9 3 2 2 3 2 3 3" xfId="50797"/>
    <cellStyle name="Обычный 9 3 2 2 3 2 4" xfId="50798"/>
    <cellStyle name="Обычный 9 3 2 2 3 2 4 2" xfId="50799"/>
    <cellStyle name="Обычный 9 3 2 2 3 2 4 3" xfId="50800"/>
    <cellStyle name="Обычный 9 3 2 2 3 2 5" xfId="50801"/>
    <cellStyle name="Обычный 9 3 2 2 3 2 5 2" xfId="50802"/>
    <cellStyle name="Обычный 9 3 2 2 3 2 6" xfId="50803"/>
    <cellStyle name="Обычный 9 3 2 2 3 2 7" xfId="50804"/>
    <cellStyle name="Обычный 9 3 2 2 3 3" xfId="50805"/>
    <cellStyle name="Обычный 9 3 2 2 3 3 2" xfId="50806"/>
    <cellStyle name="Обычный 9 3 2 2 3 3 2 2" xfId="50807"/>
    <cellStyle name="Обычный 9 3 2 2 3 3 2 3" xfId="50808"/>
    <cellStyle name="Обычный 9 3 2 2 3 3 3" xfId="50809"/>
    <cellStyle name="Обычный 9 3 2 2 3 3 3 2" xfId="50810"/>
    <cellStyle name="Обычный 9 3 2 2 3 3 3 3" xfId="50811"/>
    <cellStyle name="Обычный 9 3 2 2 3 3 4" xfId="50812"/>
    <cellStyle name="Обычный 9 3 2 2 3 3 4 2" xfId="50813"/>
    <cellStyle name="Обычный 9 3 2 2 3 3 5" xfId="50814"/>
    <cellStyle name="Обычный 9 3 2 2 3 3 6" xfId="50815"/>
    <cellStyle name="Обычный 9 3 2 2 3 4" xfId="50816"/>
    <cellStyle name="Обычный 9 3 2 2 3 4 2" xfId="50817"/>
    <cellStyle name="Обычный 9 3 2 2 3 4 3" xfId="50818"/>
    <cellStyle name="Обычный 9 3 2 2 3 5" xfId="50819"/>
    <cellStyle name="Обычный 9 3 2 2 3 5 2" xfId="50820"/>
    <cellStyle name="Обычный 9 3 2 2 3 5 3" xfId="50821"/>
    <cellStyle name="Обычный 9 3 2 2 3 6" xfId="50822"/>
    <cellStyle name="Обычный 9 3 2 2 3 6 2" xfId="50823"/>
    <cellStyle name="Обычный 9 3 2 2 3 7" xfId="50824"/>
    <cellStyle name="Обычный 9 3 2 2 3 8" xfId="50825"/>
    <cellStyle name="Обычный 9 3 2 2 4" xfId="50826"/>
    <cellStyle name="Обычный 9 3 2 2 4 2" xfId="50827"/>
    <cellStyle name="Обычный 9 3 2 2 4 2 2" xfId="50828"/>
    <cellStyle name="Обычный 9 3 2 2 4 2 2 2" xfId="50829"/>
    <cellStyle name="Обычный 9 3 2 2 4 2 2 3" xfId="50830"/>
    <cellStyle name="Обычный 9 3 2 2 4 2 3" xfId="50831"/>
    <cellStyle name="Обычный 9 3 2 2 4 2 3 2" xfId="50832"/>
    <cellStyle name="Обычный 9 3 2 2 4 2 3 3" xfId="50833"/>
    <cellStyle name="Обычный 9 3 2 2 4 2 4" xfId="50834"/>
    <cellStyle name="Обычный 9 3 2 2 4 2 4 2" xfId="50835"/>
    <cellStyle name="Обычный 9 3 2 2 4 2 5" xfId="50836"/>
    <cellStyle name="Обычный 9 3 2 2 4 2 6" xfId="50837"/>
    <cellStyle name="Обычный 9 3 2 2 4 3" xfId="50838"/>
    <cellStyle name="Обычный 9 3 2 2 4 3 2" xfId="50839"/>
    <cellStyle name="Обычный 9 3 2 2 4 3 3" xfId="50840"/>
    <cellStyle name="Обычный 9 3 2 2 4 4" xfId="50841"/>
    <cellStyle name="Обычный 9 3 2 2 4 4 2" xfId="50842"/>
    <cellStyle name="Обычный 9 3 2 2 4 4 3" xfId="50843"/>
    <cellStyle name="Обычный 9 3 2 2 4 5" xfId="50844"/>
    <cellStyle name="Обычный 9 3 2 2 4 5 2" xfId="50845"/>
    <cellStyle name="Обычный 9 3 2 2 4 6" xfId="50846"/>
    <cellStyle name="Обычный 9 3 2 2 4 7" xfId="50847"/>
    <cellStyle name="Обычный 9 3 2 2 5" xfId="50848"/>
    <cellStyle name="Обычный 9 3 2 2 5 2" xfId="50849"/>
    <cellStyle name="Обычный 9 3 2 2 5 2 2" xfId="50850"/>
    <cellStyle name="Обычный 9 3 2 2 5 2 3" xfId="50851"/>
    <cellStyle name="Обычный 9 3 2 2 5 3" xfId="50852"/>
    <cellStyle name="Обычный 9 3 2 2 5 3 2" xfId="50853"/>
    <cellStyle name="Обычный 9 3 2 2 5 3 3" xfId="50854"/>
    <cellStyle name="Обычный 9 3 2 2 5 4" xfId="50855"/>
    <cellStyle name="Обычный 9 3 2 2 5 4 2" xfId="50856"/>
    <cellStyle name="Обычный 9 3 2 2 5 5" xfId="50857"/>
    <cellStyle name="Обычный 9 3 2 2 5 6" xfId="50858"/>
    <cellStyle name="Обычный 9 3 2 2 6" xfId="50859"/>
    <cellStyle name="Обычный 9 3 2 2 6 2" xfId="50860"/>
    <cellStyle name="Обычный 9 3 2 2 6 3" xfId="50861"/>
    <cellStyle name="Обычный 9 3 2 2 7" xfId="50862"/>
    <cellStyle name="Обычный 9 3 2 2 7 2" xfId="50863"/>
    <cellStyle name="Обычный 9 3 2 2 7 3" xfId="50864"/>
    <cellStyle name="Обычный 9 3 2 2 8" xfId="50865"/>
    <cellStyle name="Обычный 9 3 2 2 8 2" xfId="50866"/>
    <cellStyle name="Обычный 9 3 2 2 9" xfId="50867"/>
    <cellStyle name="Обычный 9 3 2 3" xfId="50868"/>
    <cellStyle name="Обычный 9 3 2 3 10" xfId="50869"/>
    <cellStyle name="Обычный 9 3 2 3 2" xfId="50870"/>
    <cellStyle name="Обычный 9 3 2 3 2 2" xfId="50871"/>
    <cellStyle name="Обычный 9 3 2 3 2 2 2" xfId="50872"/>
    <cellStyle name="Обычный 9 3 2 3 2 2 2 2" xfId="50873"/>
    <cellStyle name="Обычный 9 3 2 3 2 2 2 2 2" xfId="50874"/>
    <cellStyle name="Обычный 9 3 2 3 2 2 2 2 2 2" xfId="50875"/>
    <cellStyle name="Обычный 9 3 2 3 2 2 2 2 2 3" xfId="50876"/>
    <cellStyle name="Обычный 9 3 2 3 2 2 2 2 3" xfId="50877"/>
    <cellStyle name="Обычный 9 3 2 3 2 2 2 2 3 2" xfId="50878"/>
    <cellStyle name="Обычный 9 3 2 3 2 2 2 2 3 3" xfId="50879"/>
    <cellStyle name="Обычный 9 3 2 3 2 2 2 2 4" xfId="50880"/>
    <cellStyle name="Обычный 9 3 2 3 2 2 2 2 4 2" xfId="50881"/>
    <cellStyle name="Обычный 9 3 2 3 2 2 2 2 5" xfId="50882"/>
    <cellStyle name="Обычный 9 3 2 3 2 2 2 2 6" xfId="50883"/>
    <cellStyle name="Обычный 9 3 2 3 2 2 2 3" xfId="50884"/>
    <cellStyle name="Обычный 9 3 2 3 2 2 2 3 2" xfId="50885"/>
    <cellStyle name="Обычный 9 3 2 3 2 2 2 3 3" xfId="50886"/>
    <cellStyle name="Обычный 9 3 2 3 2 2 2 4" xfId="50887"/>
    <cellStyle name="Обычный 9 3 2 3 2 2 2 4 2" xfId="50888"/>
    <cellStyle name="Обычный 9 3 2 3 2 2 2 4 3" xfId="50889"/>
    <cellStyle name="Обычный 9 3 2 3 2 2 2 5" xfId="50890"/>
    <cellStyle name="Обычный 9 3 2 3 2 2 2 5 2" xfId="50891"/>
    <cellStyle name="Обычный 9 3 2 3 2 2 2 6" xfId="50892"/>
    <cellStyle name="Обычный 9 3 2 3 2 2 2 7" xfId="50893"/>
    <cellStyle name="Обычный 9 3 2 3 2 2 3" xfId="50894"/>
    <cellStyle name="Обычный 9 3 2 3 2 2 3 2" xfId="50895"/>
    <cellStyle name="Обычный 9 3 2 3 2 2 3 2 2" xfId="50896"/>
    <cellStyle name="Обычный 9 3 2 3 2 2 3 2 3" xfId="50897"/>
    <cellStyle name="Обычный 9 3 2 3 2 2 3 3" xfId="50898"/>
    <cellStyle name="Обычный 9 3 2 3 2 2 3 3 2" xfId="50899"/>
    <cellStyle name="Обычный 9 3 2 3 2 2 3 3 3" xfId="50900"/>
    <cellStyle name="Обычный 9 3 2 3 2 2 3 4" xfId="50901"/>
    <cellStyle name="Обычный 9 3 2 3 2 2 3 4 2" xfId="50902"/>
    <cellStyle name="Обычный 9 3 2 3 2 2 3 5" xfId="50903"/>
    <cellStyle name="Обычный 9 3 2 3 2 2 3 6" xfId="50904"/>
    <cellStyle name="Обычный 9 3 2 3 2 2 4" xfId="50905"/>
    <cellStyle name="Обычный 9 3 2 3 2 2 4 2" xfId="50906"/>
    <cellStyle name="Обычный 9 3 2 3 2 2 4 3" xfId="50907"/>
    <cellStyle name="Обычный 9 3 2 3 2 2 5" xfId="50908"/>
    <cellStyle name="Обычный 9 3 2 3 2 2 5 2" xfId="50909"/>
    <cellStyle name="Обычный 9 3 2 3 2 2 5 3" xfId="50910"/>
    <cellStyle name="Обычный 9 3 2 3 2 2 6" xfId="50911"/>
    <cellStyle name="Обычный 9 3 2 3 2 2 6 2" xfId="50912"/>
    <cellStyle name="Обычный 9 3 2 3 2 2 7" xfId="50913"/>
    <cellStyle name="Обычный 9 3 2 3 2 2 8" xfId="50914"/>
    <cellStyle name="Обычный 9 3 2 3 2 3" xfId="50915"/>
    <cellStyle name="Обычный 9 3 2 3 2 3 2" xfId="50916"/>
    <cellStyle name="Обычный 9 3 2 3 2 3 2 2" xfId="50917"/>
    <cellStyle name="Обычный 9 3 2 3 2 3 2 2 2" xfId="50918"/>
    <cellStyle name="Обычный 9 3 2 3 2 3 2 2 3" xfId="50919"/>
    <cellStyle name="Обычный 9 3 2 3 2 3 2 3" xfId="50920"/>
    <cellStyle name="Обычный 9 3 2 3 2 3 2 3 2" xfId="50921"/>
    <cellStyle name="Обычный 9 3 2 3 2 3 2 3 3" xfId="50922"/>
    <cellStyle name="Обычный 9 3 2 3 2 3 2 4" xfId="50923"/>
    <cellStyle name="Обычный 9 3 2 3 2 3 2 4 2" xfId="50924"/>
    <cellStyle name="Обычный 9 3 2 3 2 3 2 5" xfId="50925"/>
    <cellStyle name="Обычный 9 3 2 3 2 3 2 6" xfId="50926"/>
    <cellStyle name="Обычный 9 3 2 3 2 3 3" xfId="50927"/>
    <cellStyle name="Обычный 9 3 2 3 2 3 3 2" xfId="50928"/>
    <cellStyle name="Обычный 9 3 2 3 2 3 3 3" xfId="50929"/>
    <cellStyle name="Обычный 9 3 2 3 2 3 4" xfId="50930"/>
    <cellStyle name="Обычный 9 3 2 3 2 3 4 2" xfId="50931"/>
    <cellStyle name="Обычный 9 3 2 3 2 3 4 3" xfId="50932"/>
    <cellStyle name="Обычный 9 3 2 3 2 3 5" xfId="50933"/>
    <cellStyle name="Обычный 9 3 2 3 2 3 5 2" xfId="50934"/>
    <cellStyle name="Обычный 9 3 2 3 2 3 6" xfId="50935"/>
    <cellStyle name="Обычный 9 3 2 3 2 3 7" xfId="50936"/>
    <cellStyle name="Обычный 9 3 2 3 2 4" xfId="50937"/>
    <cellStyle name="Обычный 9 3 2 3 2 4 2" xfId="50938"/>
    <cellStyle name="Обычный 9 3 2 3 2 4 2 2" xfId="50939"/>
    <cellStyle name="Обычный 9 3 2 3 2 4 2 3" xfId="50940"/>
    <cellStyle name="Обычный 9 3 2 3 2 4 3" xfId="50941"/>
    <cellStyle name="Обычный 9 3 2 3 2 4 3 2" xfId="50942"/>
    <cellStyle name="Обычный 9 3 2 3 2 4 3 3" xfId="50943"/>
    <cellStyle name="Обычный 9 3 2 3 2 4 4" xfId="50944"/>
    <cellStyle name="Обычный 9 3 2 3 2 4 4 2" xfId="50945"/>
    <cellStyle name="Обычный 9 3 2 3 2 4 5" xfId="50946"/>
    <cellStyle name="Обычный 9 3 2 3 2 4 6" xfId="50947"/>
    <cellStyle name="Обычный 9 3 2 3 2 5" xfId="50948"/>
    <cellStyle name="Обычный 9 3 2 3 2 5 2" xfId="50949"/>
    <cellStyle name="Обычный 9 3 2 3 2 5 3" xfId="50950"/>
    <cellStyle name="Обычный 9 3 2 3 2 6" xfId="50951"/>
    <cellStyle name="Обычный 9 3 2 3 2 6 2" xfId="50952"/>
    <cellStyle name="Обычный 9 3 2 3 2 6 3" xfId="50953"/>
    <cellStyle name="Обычный 9 3 2 3 2 7" xfId="50954"/>
    <cellStyle name="Обычный 9 3 2 3 2 7 2" xfId="50955"/>
    <cellStyle name="Обычный 9 3 2 3 2 8" xfId="50956"/>
    <cellStyle name="Обычный 9 3 2 3 2 9" xfId="50957"/>
    <cellStyle name="Обычный 9 3 2 3 3" xfId="50958"/>
    <cellStyle name="Обычный 9 3 2 3 3 2" xfId="50959"/>
    <cellStyle name="Обычный 9 3 2 3 3 2 2" xfId="50960"/>
    <cellStyle name="Обычный 9 3 2 3 3 2 2 2" xfId="50961"/>
    <cellStyle name="Обычный 9 3 2 3 3 2 2 2 2" xfId="50962"/>
    <cellStyle name="Обычный 9 3 2 3 3 2 2 2 3" xfId="50963"/>
    <cellStyle name="Обычный 9 3 2 3 3 2 2 3" xfId="50964"/>
    <cellStyle name="Обычный 9 3 2 3 3 2 2 3 2" xfId="50965"/>
    <cellStyle name="Обычный 9 3 2 3 3 2 2 3 3" xfId="50966"/>
    <cellStyle name="Обычный 9 3 2 3 3 2 2 4" xfId="50967"/>
    <cellStyle name="Обычный 9 3 2 3 3 2 2 4 2" xfId="50968"/>
    <cellStyle name="Обычный 9 3 2 3 3 2 2 5" xfId="50969"/>
    <cellStyle name="Обычный 9 3 2 3 3 2 2 6" xfId="50970"/>
    <cellStyle name="Обычный 9 3 2 3 3 2 3" xfId="50971"/>
    <cellStyle name="Обычный 9 3 2 3 3 2 3 2" xfId="50972"/>
    <cellStyle name="Обычный 9 3 2 3 3 2 3 3" xfId="50973"/>
    <cellStyle name="Обычный 9 3 2 3 3 2 4" xfId="50974"/>
    <cellStyle name="Обычный 9 3 2 3 3 2 4 2" xfId="50975"/>
    <cellStyle name="Обычный 9 3 2 3 3 2 4 3" xfId="50976"/>
    <cellStyle name="Обычный 9 3 2 3 3 2 5" xfId="50977"/>
    <cellStyle name="Обычный 9 3 2 3 3 2 5 2" xfId="50978"/>
    <cellStyle name="Обычный 9 3 2 3 3 2 6" xfId="50979"/>
    <cellStyle name="Обычный 9 3 2 3 3 2 7" xfId="50980"/>
    <cellStyle name="Обычный 9 3 2 3 3 3" xfId="50981"/>
    <cellStyle name="Обычный 9 3 2 3 3 3 2" xfId="50982"/>
    <cellStyle name="Обычный 9 3 2 3 3 3 2 2" xfId="50983"/>
    <cellStyle name="Обычный 9 3 2 3 3 3 2 3" xfId="50984"/>
    <cellStyle name="Обычный 9 3 2 3 3 3 3" xfId="50985"/>
    <cellStyle name="Обычный 9 3 2 3 3 3 3 2" xfId="50986"/>
    <cellStyle name="Обычный 9 3 2 3 3 3 3 3" xfId="50987"/>
    <cellStyle name="Обычный 9 3 2 3 3 3 4" xfId="50988"/>
    <cellStyle name="Обычный 9 3 2 3 3 3 4 2" xfId="50989"/>
    <cellStyle name="Обычный 9 3 2 3 3 3 5" xfId="50990"/>
    <cellStyle name="Обычный 9 3 2 3 3 3 6" xfId="50991"/>
    <cellStyle name="Обычный 9 3 2 3 3 4" xfId="50992"/>
    <cellStyle name="Обычный 9 3 2 3 3 4 2" xfId="50993"/>
    <cellStyle name="Обычный 9 3 2 3 3 4 3" xfId="50994"/>
    <cellStyle name="Обычный 9 3 2 3 3 5" xfId="50995"/>
    <cellStyle name="Обычный 9 3 2 3 3 5 2" xfId="50996"/>
    <cellStyle name="Обычный 9 3 2 3 3 5 3" xfId="50997"/>
    <cellStyle name="Обычный 9 3 2 3 3 6" xfId="50998"/>
    <cellStyle name="Обычный 9 3 2 3 3 6 2" xfId="50999"/>
    <cellStyle name="Обычный 9 3 2 3 3 7" xfId="51000"/>
    <cellStyle name="Обычный 9 3 2 3 3 8" xfId="51001"/>
    <cellStyle name="Обычный 9 3 2 3 4" xfId="51002"/>
    <cellStyle name="Обычный 9 3 2 3 4 2" xfId="51003"/>
    <cellStyle name="Обычный 9 3 2 3 4 2 2" xfId="51004"/>
    <cellStyle name="Обычный 9 3 2 3 4 2 2 2" xfId="51005"/>
    <cellStyle name="Обычный 9 3 2 3 4 2 2 3" xfId="51006"/>
    <cellStyle name="Обычный 9 3 2 3 4 2 3" xfId="51007"/>
    <cellStyle name="Обычный 9 3 2 3 4 2 3 2" xfId="51008"/>
    <cellStyle name="Обычный 9 3 2 3 4 2 3 3" xfId="51009"/>
    <cellStyle name="Обычный 9 3 2 3 4 2 4" xfId="51010"/>
    <cellStyle name="Обычный 9 3 2 3 4 2 4 2" xfId="51011"/>
    <cellStyle name="Обычный 9 3 2 3 4 2 5" xfId="51012"/>
    <cellStyle name="Обычный 9 3 2 3 4 2 6" xfId="51013"/>
    <cellStyle name="Обычный 9 3 2 3 4 3" xfId="51014"/>
    <cellStyle name="Обычный 9 3 2 3 4 3 2" xfId="51015"/>
    <cellStyle name="Обычный 9 3 2 3 4 3 3" xfId="51016"/>
    <cellStyle name="Обычный 9 3 2 3 4 4" xfId="51017"/>
    <cellStyle name="Обычный 9 3 2 3 4 4 2" xfId="51018"/>
    <cellStyle name="Обычный 9 3 2 3 4 4 3" xfId="51019"/>
    <cellStyle name="Обычный 9 3 2 3 4 5" xfId="51020"/>
    <cellStyle name="Обычный 9 3 2 3 4 5 2" xfId="51021"/>
    <cellStyle name="Обычный 9 3 2 3 4 6" xfId="51022"/>
    <cellStyle name="Обычный 9 3 2 3 4 7" xfId="51023"/>
    <cellStyle name="Обычный 9 3 2 3 5" xfId="51024"/>
    <cellStyle name="Обычный 9 3 2 3 5 2" xfId="51025"/>
    <cellStyle name="Обычный 9 3 2 3 5 2 2" xfId="51026"/>
    <cellStyle name="Обычный 9 3 2 3 5 2 3" xfId="51027"/>
    <cellStyle name="Обычный 9 3 2 3 5 3" xfId="51028"/>
    <cellStyle name="Обычный 9 3 2 3 5 3 2" xfId="51029"/>
    <cellStyle name="Обычный 9 3 2 3 5 3 3" xfId="51030"/>
    <cellStyle name="Обычный 9 3 2 3 5 4" xfId="51031"/>
    <cellStyle name="Обычный 9 3 2 3 5 4 2" xfId="51032"/>
    <cellStyle name="Обычный 9 3 2 3 5 5" xfId="51033"/>
    <cellStyle name="Обычный 9 3 2 3 5 6" xfId="51034"/>
    <cellStyle name="Обычный 9 3 2 3 6" xfId="51035"/>
    <cellStyle name="Обычный 9 3 2 3 6 2" xfId="51036"/>
    <cellStyle name="Обычный 9 3 2 3 6 3" xfId="51037"/>
    <cellStyle name="Обычный 9 3 2 3 7" xfId="51038"/>
    <cellStyle name="Обычный 9 3 2 3 7 2" xfId="51039"/>
    <cellStyle name="Обычный 9 3 2 3 7 3" xfId="51040"/>
    <cellStyle name="Обычный 9 3 2 3 8" xfId="51041"/>
    <cellStyle name="Обычный 9 3 2 3 8 2" xfId="51042"/>
    <cellStyle name="Обычный 9 3 2 3 9" xfId="51043"/>
    <cellStyle name="Обычный 9 3 2 4" xfId="51044"/>
    <cellStyle name="Обычный 9 3 2 4 10" xfId="51045"/>
    <cellStyle name="Обычный 9 3 2 4 2" xfId="51046"/>
    <cellStyle name="Обычный 9 3 2 4 2 2" xfId="51047"/>
    <cellStyle name="Обычный 9 3 2 4 2 2 2" xfId="51048"/>
    <cellStyle name="Обычный 9 3 2 4 2 2 2 2" xfId="51049"/>
    <cellStyle name="Обычный 9 3 2 4 2 2 2 2 2" xfId="51050"/>
    <cellStyle name="Обычный 9 3 2 4 2 2 2 2 2 2" xfId="51051"/>
    <cellStyle name="Обычный 9 3 2 4 2 2 2 2 2 3" xfId="51052"/>
    <cellStyle name="Обычный 9 3 2 4 2 2 2 2 3" xfId="51053"/>
    <cellStyle name="Обычный 9 3 2 4 2 2 2 2 3 2" xfId="51054"/>
    <cellStyle name="Обычный 9 3 2 4 2 2 2 2 3 3" xfId="51055"/>
    <cellStyle name="Обычный 9 3 2 4 2 2 2 2 4" xfId="51056"/>
    <cellStyle name="Обычный 9 3 2 4 2 2 2 2 4 2" xfId="51057"/>
    <cellStyle name="Обычный 9 3 2 4 2 2 2 2 5" xfId="51058"/>
    <cellStyle name="Обычный 9 3 2 4 2 2 2 2 6" xfId="51059"/>
    <cellStyle name="Обычный 9 3 2 4 2 2 2 3" xfId="51060"/>
    <cellStyle name="Обычный 9 3 2 4 2 2 2 3 2" xfId="51061"/>
    <cellStyle name="Обычный 9 3 2 4 2 2 2 3 3" xfId="51062"/>
    <cellStyle name="Обычный 9 3 2 4 2 2 2 4" xfId="51063"/>
    <cellStyle name="Обычный 9 3 2 4 2 2 2 4 2" xfId="51064"/>
    <cellStyle name="Обычный 9 3 2 4 2 2 2 4 3" xfId="51065"/>
    <cellStyle name="Обычный 9 3 2 4 2 2 2 5" xfId="51066"/>
    <cellStyle name="Обычный 9 3 2 4 2 2 2 5 2" xfId="51067"/>
    <cellStyle name="Обычный 9 3 2 4 2 2 2 6" xfId="51068"/>
    <cellStyle name="Обычный 9 3 2 4 2 2 2 7" xfId="51069"/>
    <cellStyle name="Обычный 9 3 2 4 2 2 3" xfId="51070"/>
    <cellStyle name="Обычный 9 3 2 4 2 2 3 2" xfId="51071"/>
    <cellStyle name="Обычный 9 3 2 4 2 2 3 2 2" xfId="51072"/>
    <cellStyle name="Обычный 9 3 2 4 2 2 3 2 3" xfId="51073"/>
    <cellStyle name="Обычный 9 3 2 4 2 2 3 3" xfId="51074"/>
    <cellStyle name="Обычный 9 3 2 4 2 2 3 3 2" xfId="51075"/>
    <cellStyle name="Обычный 9 3 2 4 2 2 3 3 3" xfId="51076"/>
    <cellStyle name="Обычный 9 3 2 4 2 2 3 4" xfId="51077"/>
    <cellStyle name="Обычный 9 3 2 4 2 2 3 4 2" xfId="51078"/>
    <cellStyle name="Обычный 9 3 2 4 2 2 3 5" xfId="51079"/>
    <cellStyle name="Обычный 9 3 2 4 2 2 3 6" xfId="51080"/>
    <cellStyle name="Обычный 9 3 2 4 2 2 4" xfId="51081"/>
    <cellStyle name="Обычный 9 3 2 4 2 2 4 2" xfId="51082"/>
    <cellStyle name="Обычный 9 3 2 4 2 2 4 3" xfId="51083"/>
    <cellStyle name="Обычный 9 3 2 4 2 2 5" xfId="51084"/>
    <cellStyle name="Обычный 9 3 2 4 2 2 5 2" xfId="51085"/>
    <cellStyle name="Обычный 9 3 2 4 2 2 5 3" xfId="51086"/>
    <cellStyle name="Обычный 9 3 2 4 2 2 6" xfId="51087"/>
    <cellStyle name="Обычный 9 3 2 4 2 2 6 2" xfId="51088"/>
    <cellStyle name="Обычный 9 3 2 4 2 2 7" xfId="51089"/>
    <cellStyle name="Обычный 9 3 2 4 2 2 8" xfId="51090"/>
    <cellStyle name="Обычный 9 3 2 4 2 3" xfId="51091"/>
    <cellStyle name="Обычный 9 3 2 4 2 3 2" xfId="51092"/>
    <cellStyle name="Обычный 9 3 2 4 2 3 2 2" xfId="51093"/>
    <cellStyle name="Обычный 9 3 2 4 2 3 2 2 2" xfId="51094"/>
    <cellStyle name="Обычный 9 3 2 4 2 3 2 2 3" xfId="51095"/>
    <cellStyle name="Обычный 9 3 2 4 2 3 2 3" xfId="51096"/>
    <cellStyle name="Обычный 9 3 2 4 2 3 2 3 2" xfId="51097"/>
    <cellStyle name="Обычный 9 3 2 4 2 3 2 3 3" xfId="51098"/>
    <cellStyle name="Обычный 9 3 2 4 2 3 2 4" xfId="51099"/>
    <cellStyle name="Обычный 9 3 2 4 2 3 2 4 2" xfId="51100"/>
    <cellStyle name="Обычный 9 3 2 4 2 3 2 5" xfId="51101"/>
    <cellStyle name="Обычный 9 3 2 4 2 3 2 6" xfId="51102"/>
    <cellStyle name="Обычный 9 3 2 4 2 3 3" xfId="51103"/>
    <cellStyle name="Обычный 9 3 2 4 2 3 3 2" xfId="51104"/>
    <cellStyle name="Обычный 9 3 2 4 2 3 3 3" xfId="51105"/>
    <cellStyle name="Обычный 9 3 2 4 2 3 4" xfId="51106"/>
    <cellStyle name="Обычный 9 3 2 4 2 3 4 2" xfId="51107"/>
    <cellStyle name="Обычный 9 3 2 4 2 3 4 3" xfId="51108"/>
    <cellStyle name="Обычный 9 3 2 4 2 3 5" xfId="51109"/>
    <cellStyle name="Обычный 9 3 2 4 2 3 5 2" xfId="51110"/>
    <cellStyle name="Обычный 9 3 2 4 2 3 6" xfId="51111"/>
    <cellStyle name="Обычный 9 3 2 4 2 3 7" xfId="51112"/>
    <cellStyle name="Обычный 9 3 2 4 2 4" xfId="51113"/>
    <cellStyle name="Обычный 9 3 2 4 2 4 2" xfId="51114"/>
    <cellStyle name="Обычный 9 3 2 4 2 4 2 2" xfId="51115"/>
    <cellStyle name="Обычный 9 3 2 4 2 4 2 3" xfId="51116"/>
    <cellStyle name="Обычный 9 3 2 4 2 4 3" xfId="51117"/>
    <cellStyle name="Обычный 9 3 2 4 2 4 3 2" xfId="51118"/>
    <cellStyle name="Обычный 9 3 2 4 2 4 3 3" xfId="51119"/>
    <cellStyle name="Обычный 9 3 2 4 2 4 4" xfId="51120"/>
    <cellStyle name="Обычный 9 3 2 4 2 4 4 2" xfId="51121"/>
    <cellStyle name="Обычный 9 3 2 4 2 4 5" xfId="51122"/>
    <cellStyle name="Обычный 9 3 2 4 2 4 6" xfId="51123"/>
    <cellStyle name="Обычный 9 3 2 4 2 5" xfId="51124"/>
    <cellStyle name="Обычный 9 3 2 4 2 5 2" xfId="51125"/>
    <cellStyle name="Обычный 9 3 2 4 2 5 3" xfId="51126"/>
    <cellStyle name="Обычный 9 3 2 4 2 6" xfId="51127"/>
    <cellStyle name="Обычный 9 3 2 4 2 6 2" xfId="51128"/>
    <cellStyle name="Обычный 9 3 2 4 2 6 3" xfId="51129"/>
    <cellStyle name="Обычный 9 3 2 4 2 7" xfId="51130"/>
    <cellStyle name="Обычный 9 3 2 4 2 7 2" xfId="51131"/>
    <cellStyle name="Обычный 9 3 2 4 2 8" xfId="51132"/>
    <cellStyle name="Обычный 9 3 2 4 2 9" xfId="51133"/>
    <cellStyle name="Обычный 9 3 2 4 3" xfId="51134"/>
    <cellStyle name="Обычный 9 3 2 4 3 2" xfId="51135"/>
    <cellStyle name="Обычный 9 3 2 4 3 2 2" xfId="51136"/>
    <cellStyle name="Обычный 9 3 2 4 3 2 2 2" xfId="51137"/>
    <cellStyle name="Обычный 9 3 2 4 3 2 2 2 2" xfId="51138"/>
    <cellStyle name="Обычный 9 3 2 4 3 2 2 2 3" xfId="51139"/>
    <cellStyle name="Обычный 9 3 2 4 3 2 2 3" xfId="51140"/>
    <cellStyle name="Обычный 9 3 2 4 3 2 2 3 2" xfId="51141"/>
    <cellStyle name="Обычный 9 3 2 4 3 2 2 3 3" xfId="51142"/>
    <cellStyle name="Обычный 9 3 2 4 3 2 2 4" xfId="51143"/>
    <cellStyle name="Обычный 9 3 2 4 3 2 2 4 2" xfId="51144"/>
    <cellStyle name="Обычный 9 3 2 4 3 2 2 5" xfId="51145"/>
    <cellStyle name="Обычный 9 3 2 4 3 2 2 6" xfId="51146"/>
    <cellStyle name="Обычный 9 3 2 4 3 2 3" xfId="51147"/>
    <cellStyle name="Обычный 9 3 2 4 3 2 3 2" xfId="51148"/>
    <cellStyle name="Обычный 9 3 2 4 3 2 3 3" xfId="51149"/>
    <cellStyle name="Обычный 9 3 2 4 3 2 4" xfId="51150"/>
    <cellStyle name="Обычный 9 3 2 4 3 2 4 2" xfId="51151"/>
    <cellStyle name="Обычный 9 3 2 4 3 2 4 3" xfId="51152"/>
    <cellStyle name="Обычный 9 3 2 4 3 2 5" xfId="51153"/>
    <cellStyle name="Обычный 9 3 2 4 3 2 5 2" xfId="51154"/>
    <cellStyle name="Обычный 9 3 2 4 3 2 6" xfId="51155"/>
    <cellStyle name="Обычный 9 3 2 4 3 2 7" xfId="51156"/>
    <cellStyle name="Обычный 9 3 2 4 3 3" xfId="51157"/>
    <cellStyle name="Обычный 9 3 2 4 3 3 2" xfId="51158"/>
    <cellStyle name="Обычный 9 3 2 4 3 3 2 2" xfId="51159"/>
    <cellStyle name="Обычный 9 3 2 4 3 3 2 3" xfId="51160"/>
    <cellStyle name="Обычный 9 3 2 4 3 3 3" xfId="51161"/>
    <cellStyle name="Обычный 9 3 2 4 3 3 3 2" xfId="51162"/>
    <cellStyle name="Обычный 9 3 2 4 3 3 3 3" xfId="51163"/>
    <cellStyle name="Обычный 9 3 2 4 3 3 4" xfId="51164"/>
    <cellStyle name="Обычный 9 3 2 4 3 3 4 2" xfId="51165"/>
    <cellStyle name="Обычный 9 3 2 4 3 3 5" xfId="51166"/>
    <cellStyle name="Обычный 9 3 2 4 3 3 6" xfId="51167"/>
    <cellStyle name="Обычный 9 3 2 4 3 4" xfId="51168"/>
    <cellStyle name="Обычный 9 3 2 4 3 4 2" xfId="51169"/>
    <cellStyle name="Обычный 9 3 2 4 3 4 3" xfId="51170"/>
    <cellStyle name="Обычный 9 3 2 4 3 5" xfId="51171"/>
    <cellStyle name="Обычный 9 3 2 4 3 5 2" xfId="51172"/>
    <cellStyle name="Обычный 9 3 2 4 3 5 3" xfId="51173"/>
    <cellStyle name="Обычный 9 3 2 4 3 6" xfId="51174"/>
    <cellStyle name="Обычный 9 3 2 4 3 6 2" xfId="51175"/>
    <cellStyle name="Обычный 9 3 2 4 3 7" xfId="51176"/>
    <cellStyle name="Обычный 9 3 2 4 3 8" xfId="51177"/>
    <cellStyle name="Обычный 9 3 2 4 4" xfId="51178"/>
    <cellStyle name="Обычный 9 3 2 4 4 2" xfId="51179"/>
    <cellStyle name="Обычный 9 3 2 4 4 2 2" xfId="51180"/>
    <cellStyle name="Обычный 9 3 2 4 4 2 2 2" xfId="51181"/>
    <cellStyle name="Обычный 9 3 2 4 4 2 2 3" xfId="51182"/>
    <cellStyle name="Обычный 9 3 2 4 4 2 3" xfId="51183"/>
    <cellStyle name="Обычный 9 3 2 4 4 2 3 2" xfId="51184"/>
    <cellStyle name="Обычный 9 3 2 4 4 2 3 3" xfId="51185"/>
    <cellStyle name="Обычный 9 3 2 4 4 2 4" xfId="51186"/>
    <cellStyle name="Обычный 9 3 2 4 4 2 4 2" xfId="51187"/>
    <cellStyle name="Обычный 9 3 2 4 4 2 5" xfId="51188"/>
    <cellStyle name="Обычный 9 3 2 4 4 2 6" xfId="51189"/>
    <cellStyle name="Обычный 9 3 2 4 4 3" xfId="51190"/>
    <cellStyle name="Обычный 9 3 2 4 4 3 2" xfId="51191"/>
    <cellStyle name="Обычный 9 3 2 4 4 3 3" xfId="51192"/>
    <cellStyle name="Обычный 9 3 2 4 4 4" xfId="51193"/>
    <cellStyle name="Обычный 9 3 2 4 4 4 2" xfId="51194"/>
    <cellStyle name="Обычный 9 3 2 4 4 4 3" xfId="51195"/>
    <cellStyle name="Обычный 9 3 2 4 4 5" xfId="51196"/>
    <cellStyle name="Обычный 9 3 2 4 4 5 2" xfId="51197"/>
    <cellStyle name="Обычный 9 3 2 4 4 6" xfId="51198"/>
    <cellStyle name="Обычный 9 3 2 4 4 7" xfId="51199"/>
    <cellStyle name="Обычный 9 3 2 4 5" xfId="51200"/>
    <cellStyle name="Обычный 9 3 2 4 5 2" xfId="51201"/>
    <cellStyle name="Обычный 9 3 2 4 5 2 2" xfId="51202"/>
    <cellStyle name="Обычный 9 3 2 4 5 2 3" xfId="51203"/>
    <cellStyle name="Обычный 9 3 2 4 5 3" xfId="51204"/>
    <cellStyle name="Обычный 9 3 2 4 5 3 2" xfId="51205"/>
    <cellStyle name="Обычный 9 3 2 4 5 3 3" xfId="51206"/>
    <cellStyle name="Обычный 9 3 2 4 5 4" xfId="51207"/>
    <cellStyle name="Обычный 9 3 2 4 5 4 2" xfId="51208"/>
    <cellStyle name="Обычный 9 3 2 4 5 5" xfId="51209"/>
    <cellStyle name="Обычный 9 3 2 4 5 6" xfId="51210"/>
    <cellStyle name="Обычный 9 3 2 4 6" xfId="51211"/>
    <cellStyle name="Обычный 9 3 2 4 6 2" xfId="51212"/>
    <cellStyle name="Обычный 9 3 2 4 6 3" xfId="51213"/>
    <cellStyle name="Обычный 9 3 2 4 7" xfId="51214"/>
    <cellStyle name="Обычный 9 3 2 4 7 2" xfId="51215"/>
    <cellStyle name="Обычный 9 3 2 4 7 3" xfId="51216"/>
    <cellStyle name="Обычный 9 3 2 4 8" xfId="51217"/>
    <cellStyle name="Обычный 9 3 2 4 8 2" xfId="51218"/>
    <cellStyle name="Обычный 9 3 2 4 9" xfId="51219"/>
    <cellStyle name="Обычный 9 3 2 5" xfId="51220"/>
    <cellStyle name="Обычный 9 3 2 5 2" xfId="51221"/>
    <cellStyle name="Обычный 9 3 2 5 2 2" xfId="51222"/>
    <cellStyle name="Обычный 9 3 2 5 2 2 2" xfId="51223"/>
    <cellStyle name="Обычный 9 3 2 5 2 2 2 2" xfId="51224"/>
    <cellStyle name="Обычный 9 3 2 5 2 2 2 2 2" xfId="51225"/>
    <cellStyle name="Обычный 9 3 2 5 2 2 2 2 3" xfId="51226"/>
    <cellStyle name="Обычный 9 3 2 5 2 2 2 3" xfId="51227"/>
    <cellStyle name="Обычный 9 3 2 5 2 2 2 3 2" xfId="51228"/>
    <cellStyle name="Обычный 9 3 2 5 2 2 2 3 3" xfId="51229"/>
    <cellStyle name="Обычный 9 3 2 5 2 2 2 4" xfId="51230"/>
    <cellStyle name="Обычный 9 3 2 5 2 2 2 4 2" xfId="51231"/>
    <cellStyle name="Обычный 9 3 2 5 2 2 2 5" xfId="51232"/>
    <cellStyle name="Обычный 9 3 2 5 2 2 2 6" xfId="51233"/>
    <cellStyle name="Обычный 9 3 2 5 2 2 3" xfId="51234"/>
    <cellStyle name="Обычный 9 3 2 5 2 2 3 2" xfId="51235"/>
    <cellStyle name="Обычный 9 3 2 5 2 2 3 3" xfId="51236"/>
    <cellStyle name="Обычный 9 3 2 5 2 2 4" xfId="51237"/>
    <cellStyle name="Обычный 9 3 2 5 2 2 4 2" xfId="51238"/>
    <cellStyle name="Обычный 9 3 2 5 2 2 4 3" xfId="51239"/>
    <cellStyle name="Обычный 9 3 2 5 2 2 5" xfId="51240"/>
    <cellStyle name="Обычный 9 3 2 5 2 2 5 2" xfId="51241"/>
    <cellStyle name="Обычный 9 3 2 5 2 2 6" xfId="51242"/>
    <cellStyle name="Обычный 9 3 2 5 2 2 7" xfId="51243"/>
    <cellStyle name="Обычный 9 3 2 5 2 3" xfId="51244"/>
    <cellStyle name="Обычный 9 3 2 5 2 3 2" xfId="51245"/>
    <cellStyle name="Обычный 9 3 2 5 2 3 2 2" xfId="51246"/>
    <cellStyle name="Обычный 9 3 2 5 2 3 2 3" xfId="51247"/>
    <cellStyle name="Обычный 9 3 2 5 2 3 3" xfId="51248"/>
    <cellStyle name="Обычный 9 3 2 5 2 3 3 2" xfId="51249"/>
    <cellStyle name="Обычный 9 3 2 5 2 3 3 3" xfId="51250"/>
    <cellStyle name="Обычный 9 3 2 5 2 3 4" xfId="51251"/>
    <cellStyle name="Обычный 9 3 2 5 2 3 4 2" xfId="51252"/>
    <cellStyle name="Обычный 9 3 2 5 2 3 5" xfId="51253"/>
    <cellStyle name="Обычный 9 3 2 5 2 3 6" xfId="51254"/>
    <cellStyle name="Обычный 9 3 2 5 2 4" xfId="51255"/>
    <cellStyle name="Обычный 9 3 2 5 2 4 2" xfId="51256"/>
    <cellStyle name="Обычный 9 3 2 5 2 4 3" xfId="51257"/>
    <cellStyle name="Обычный 9 3 2 5 2 5" xfId="51258"/>
    <cellStyle name="Обычный 9 3 2 5 2 5 2" xfId="51259"/>
    <cellStyle name="Обычный 9 3 2 5 2 5 3" xfId="51260"/>
    <cellStyle name="Обычный 9 3 2 5 2 6" xfId="51261"/>
    <cellStyle name="Обычный 9 3 2 5 2 6 2" xfId="51262"/>
    <cellStyle name="Обычный 9 3 2 5 2 7" xfId="51263"/>
    <cellStyle name="Обычный 9 3 2 5 2 8" xfId="51264"/>
    <cellStyle name="Обычный 9 3 2 5 3" xfId="51265"/>
    <cellStyle name="Обычный 9 3 2 5 3 2" xfId="51266"/>
    <cellStyle name="Обычный 9 3 2 5 3 2 2" xfId="51267"/>
    <cellStyle name="Обычный 9 3 2 5 3 2 2 2" xfId="51268"/>
    <cellStyle name="Обычный 9 3 2 5 3 2 2 3" xfId="51269"/>
    <cellStyle name="Обычный 9 3 2 5 3 2 3" xfId="51270"/>
    <cellStyle name="Обычный 9 3 2 5 3 2 3 2" xfId="51271"/>
    <cellStyle name="Обычный 9 3 2 5 3 2 3 3" xfId="51272"/>
    <cellStyle name="Обычный 9 3 2 5 3 2 4" xfId="51273"/>
    <cellStyle name="Обычный 9 3 2 5 3 2 4 2" xfId="51274"/>
    <cellStyle name="Обычный 9 3 2 5 3 2 5" xfId="51275"/>
    <cellStyle name="Обычный 9 3 2 5 3 2 6" xfId="51276"/>
    <cellStyle name="Обычный 9 3 2 5 3 3" xfId="51277"/>
    <cellStyle name="Обычный 9 3 2 5 3 3 2" xfId="51278"/>
    <cellStyle name="Обычный 9 3 2 5 3 3 3" xfId="51279"/>
    <cellStyle name="Обычный 9 3 2 5 3 4" xfId="51280"/>
    <cellStyle name="Обычный 9 3 2 5 3 4 2" xfId="51281"/>
    <cellStyle name="Обычный 9 3 2 5 3 4 3" xfId="51282"/>
    <cellStyle name="Обычный 9 3 2 5 3 5" xfId="51283"/>
    <cellStyle name="Обычный 9 3 2 5 3 5 2" xfId="51284"/>
    <cellStyle name="Обычный 9 3 2 5 3 6" xfId="51285"/>
    <cellStyle name="Обычный 9 3 2 5 3 7" xfId="51286"/>
    <cellStyle name="Обычный 9 3 2 5 4" xfId="51287"/>
    <cellStyle name="Обычный 9 3 2 5 4 2" xfId="51288"/>
    <cellStyle name="Обычный 9 3 2 5 4 2 2" xfId="51289"/>
    <cellStyle name="Обычный 9 3 2 5 4 2 3" xfId="51290"/>
    <cellStyle name="Обычный 9 3 2 5 4 3" xfId="51291"/>
    <cellStyle name="Обычный 9 3 2 5 4 3 2" xfId="51292"/>
    <cellStyle name="Обычный 9 3 2 5 4 3 3" xfId="51293"/>
    <cellStyle name="Обычный 9 3 2 5 4 4" xfId="51294"/>
    <cellStyle name="Обычный 9 3 2 5 4 4 2" xfId="51295"/>
    <cellStyle name="Обычный 9 3 2 5 4 5" xfId="51296"/>
    <cellStyle name="Обычный 9 3 2 5 4 6" xfId="51297"/>
    <cellStyle name="Обычный 9 3 2 5 5" xfId="51298"/>
    <cellStyle name="Обычный 9 3 2 5 5 2" xfId="51299"/>
    <cellStyle name="Обычный 9 3 2 5 5 3" xfId="51300"/>
    <cellStyle name="Обычный 9 3 2 5 6" xfId="51301"/>
    <cellStyle name="Обычный 9 3 2 5 6 2" xfId="51302"/>
    <cellStyle name="Обычный 9 3 2 5 6 3" xfId="51303"/>
    <cellStyle name="Обычный 9 3 2 5 7" xfId="51304"/>
    <cellStyle name="Обычный 9 3 2 5 7 2" xfId="51305"/>
    <cellStyle name="Обычный 9 3 2 5 8" xfId="51306"/>
    <cellStyle name="Обычный 9 3 2 5 9" xfId="51307"/>
    <cellStyle name="Обычный 9 3 2 6" xfId="51308"/>
    <cellStyle name="Обычный 9 3 2 6 2" xfId="51309"/>
    <cellStyle name="Обычный 9 3 2 6 2 2" xfId="51310"/>
    <cellStyle name="Обычный 9 3 2 6 2 2 2" xfId="51311"/>
    <cellStyle name="Обычный 9 3 2 6 2 2 2 2" xfId="51312"/>
    <cellStyle name="Обычный 9 3 2 6 2 2 2 3" xfId="51313"/>
    <cellStyle name="Обычный 9 3 2 6 2 2 3" xfId="51314"/>
    <cellStyle name="Обычный 9 3 2 6 2 2 3 2" xfId="51315"/>
    <cellStyle name="Обычный 9 3 2 6 2 2 3 3" xfId="51316"/>
    <cellStyle name="Обычный 9 3 2 6 2 2 4" xfId="51317"/>
    <cellStyle name="Обычный 9 3 2 6 2 2 4 2" xfId="51318"/>
    <cellStyle name="Обычный 9 3 2 6 2 2 5" xfId="51319"/>
    <cellStyle name="Обычный 9 3 2 6 2 2 6" xfId="51320"/>
    <cellStyle name="Обычный 9 3 2 6 2 3" xfId="51321"/>
    <cellStyle name="Обычный 9 3 2 6 2 3 2" xfId="51322"/>
    <cellStyle name="Обычный 9 3 2 6 2 3 3" xfId="51323"/>
    <cellStyle name="Обычный 9 3 2 6 2 4" xfId="51324"/>
    <cellStyle name="Обычный 9 3 2 6 2 4 2" xfId="51325"/>
    <cellStyle name="Обычный 9 3 2 6 2 4 3" xfId="51326"/>
    <cellStyle name="Обычный 9 3 2 6 2 5" xfId="51327"/>
    <cellStyle name="Обычный 9 3 2 6 2 5 2" xfId="51328"/>
    <cellStyle name="Обычный 9 3 2 6 2 6" xfId="51329"/>
    <cellStyle name="Обычный 9 3 2 6 2 7" xfId="51330"/>
    <cellStyle name="Обычный 9 3 2 6 3" xfId="51331"/>
    <cellStyle name="Обычный 9 3 2 6 3 2" xfId="51332"/>
    <cellStyle name="Обычный 9 3 2 6 3 2 2" xfId="51333"/>
    <cellStyle name="Обычный 9 3 2 6 3 2 3" xfId="51334"/>
    <cellStyle name="Обычный 9 3 2 6 3 3" xfId="51335"/>
    <cellStyle name="Обычный 9 3 2 6 3 3 2" xfId="51336"/>
    <cellStyle name="Обычный 9 3 2 6 3 3 3" xfId="51337"/>
    <cellStyle name="Обычный 9 3 2 6 3 4" xfId="51338"/>
    <cellStyle name="Обычный 9 3 2 6 3 4 2" xfId="51339"/>
    <cellStyle name="Обычный 9 3 2 6 3 5" xfId="51340"/>
    <cellStyle name="Обычный 9 3 2 6 3 6" xfId="51341"/>
    <cellStyle name="Обычный 9 3 2 6 4" xfId="51342"/>
    <cellStyle name="Обычный 9 3 2 6 4 2" xfId="51343"/>
    <cellStyle name="Обычный 9 3 2 6 4 3" xfId="51344"/>
    <cellStyle name="Обычный 9 3 2 6 5" xfId="51345"/>
    <cellStyle name="Обычный 9 3 2 6 5 2" xfId="51346"/>
    <cellStyle name="Обычный 9 3 2 6 5 3" xfId="51347"/>
    <cellStyle name="Обычный 9 3 2 6 6" xfId="51348"/>
    <cellStyle name="Обычный 9 3 2 6 6 2" xfId="51349"/>
    <cellStyle name="Обычный 9 3 2 6 7" xfId="51350"/>
    <cellStyle name="Обычный 9 3 2 6 8" xfId="51351"/>
    <cellStyle name="Обычный 9 3 2 7" xfId="51352"/>
    <cellStyle name="Обычный 9 3 2 7 2" xfId="51353"/>
    <cellStyle name="Обычный 9 3 2 7 2 2" xfId="51354"/>
    <cellStyle name="Обычный 9 3 2 7 2 2 2" xfId="51355"/>
    <cellStyle name="Обычный 9 3 2 7 2 2 3" xfId="51356"/>
    <cellStyle name="Обычный 9 3 2 7 2 3" xfId="51357"/>
    <cellStyle name="Обычный 9 3 2 7 2 3 2" xfId="51358"/>
    <cellStyle name="Обычный 9 3 2 7 2 3 3" xfId="51359"/>
    <cellStyle name="Обычный 9 3 2 7 2 4" xfId="51360"/>
    <cellStyle name="Обычный 9 3 2 7 2 4 2" xfId="51361"/>
    <cellStyle name="Обычный 9 3 2 7 2 5" xfId="51362"/>
    <cellStyle name="Обычный 9 3 2 7 2 6" xfId="51363"/>
    <cellStyle name="Обычный 9 3 2 7 3" xfId="51364"/>
    <cellStyle name="Обычный 9 3 2 7 3 2" xfId="51365"/>
    <cellStyle name="Обычный 9 3 2 7 3 3" xfId="51366"/>
    <cellStyle name="Обычный 9 3 2 7 4" xfId="51367"/>
    <cellStyle name="Обычный 9 3 2 7 4 2" xfId="51368"/>
    <cellStyle name="Обычный 9 3 2 7 4 3" xfId="51369"/>
    <cellStyle name="Обычный 9 3 2 7 5" xfId="51370"/>
    <cellStyle name="Обычный 9 3 2 7 5 2" xfId="51371"/>
    <cellStyle name="Обычный 9 3 2 7 6" xfId="51372"/>
    <cellStyle name="Обычный 9 3 2 7 7" xfId="51373"/>
    <cellStyle name="Обычный 9 3 2 8" xfId="51374"/>
    <cellStyle name="Обычный 9 3 2 8 2" xfId="51375"/>
    <cellStyle name="Обычный 9 3 2 8 2 2" xfId="51376"/>
    <cellStyle name="Обычный 9 3 2 8 2 3" xfId="51377"/>
    <cellStyle name="Обычный 9 3 2 8 3" xfId="51378"/>
    <cellStyle name="Обычный 9 3 2 8 3 2" xfId="51379"/>
    <cellStyle name="Обычный 9 3 2 8 3 3" xfId="51380"/>
    <cellStyle name="Обычный 9 3 2 8 4" xfId="51381"/>
    <cellStyle name="Обычный 9 3 2 8 4 2" xfId="51382"/>
    <cellStyle name="Обычный 9 3 2 8 5" xfId="51383"/>
    <cellStyle name="Обычный 9 3 2 8 6" xfId="51384"/>
    <cellStyle name="Обычный 9 3 2 9" xfId="51385"/>
    <cellStyle name="Обычный 9 3 2 9 2" xfId="51386"/>
    <cellStyle name="Обычный 9 3 2 9 3" xfId="51387"/>
    <cellStyle name="Обычный 9 3 3" xfId="51388"/>
    <cellStyle name="Обычный 9 3 3 10" xfId="51389"/>
    <cellStyle name="Обычный 9 3 3 2" xfId="51390"/>
    <cellStyle name="Обычный 9 3 3 2 2" xfId="51391"/>
    <cellStyle name="Обычный 9 3 3 2 2 2" xfId="51392"/>
    <cellStyle name="Обычный 9 3 3 2 2 2 2" xfId="51393"/>
    <cellStyle name="Обычный 9 3 3 2 2 2 2 2" xfId="51394"/>
    <cellStyle name="Обычный 9 3 3 2 2 2 2 2 2" xfId="51395"/>
    <cellStyle name="Обычный 9 3 3 2 2 2 2 2 3" xfId="51396"/>
    <cellStyle name="Обычный 9 3 3 2 2 2 2 3" xfId="51397"/>
    <cellStyle name="Обычный 9 3 3 2 2 2 2 3 2" xfId="51398"/>
    <cellStyle name="Обычный 9 3 3 2 2 2 2 3 3" xfId="51399"/>
    <cellStyle name="Обычный 9 3 3 2 2 2 2 4" xfId="51400"/>
    <cellStyle name="Обычный 9 3 3 2 2 2 2 4 2" xfId="51401"/>
    <cellStyle name="Обычный 9 3 3 2 2 2 2 5" xfId="51402"/>
    <cellStyle name="Обычный 9 3 3 2 2 2 2 6" xfId="51403"/>
    <cellStyle name="Обычный 9 3 3 2 2 2 3" xfId="51404"/>
    <cellStyle name="Обычный 9 3 3 2 2 2 3 2" xfId="51405"/>
    <cellStyle name="Обычный 9 3 3 2 2 2 3 3" xfId="51406"/>
    <cellStyle name="Обычный 9 3 3 2 2 2 4" xfId="51407"/>
    <cellStyle name="Обычный 9 3 3 2 2 2 4 2" xfId="51408"/>
    <cellStyle name="Обычный 9 3 3 2 2 2 4 3" xfId="51409"/>
    <cellStyle name="Обычный 9 3 3 2 2 2 5" xfId="51410"/>
    <cellStyle name="Обычный 9 3 3 2 2 2 5 2" xfId="51411"/>
    <cellStyle name="Обычный 9 3 3 2 2 2 6" xfId="51412"/>
    <cellStyle name="Обычный 9 3 3 2 2 2 7" xfId="51413"/>
    <cellStyle name="Обычный 9 3 3 2 2 3" xfId="51414"/>
    <cellStyle name="Обычный 9 3 3 2 2 3 2" xfId="51415"/>
    <cellStyle name="Обычный 9 3 3 2 2 3 2 2" xfId="51416"/>
    <cellStyle name="Обычный 9 3 3 2 2 3 2 3" xfId="51417"/>
    <cellStyle name="Обычный 9 3 3 2 2 3 3" xfId="51418"/>
    <cellStyle name="Обычный 9 3 3 2 2 3 3 2" xfId="51419"/>
    <cellStyle name="Обычный 9 3 3 2 2 3 3 3" xfId="51420"/>
    <cellStyle name="Обычный 9 3 3 2 2 3 4" xfId="51421"/>
    <cellStyle name="Обычный 9 3 3 2 2 3 4 2" xfId="51422"/>
    <cellStyle name="Обычный 9 3 3 2 2 3 5" xfId="51423"/>
    <cellStyle name="Обычный 9 3 3 2 2 3 6" xfId="51424"/>
    <cellStyle name="Обычный 9 3 3 2 2 4" xfId="51425"/>
    <cellStyle name="Обычный 9 3 3 2 2 4 2" xfId="51426"/>
    <cellStyle name="Обычный 9 3 3 2 2 4 3" xfId="51427"/>
    <cellStyle name="Обычный 9 3 3 2 2 5" xfId="51428"/>
    <cellStyle name="Обычный 9 3 3 2 2 5 2" xfId="51429"/>
    <cellStyle name="Обычный 9 3 3 2 2 5 3" xfId="51430"/>
    <cellStyle name="Обычный 9 3 3 2 2 6" xfId="51431"/>
    <cellStyle name="Обычный 9 3 3 2 2 6 2" xfId="51432"/>
    <cellStyle name="Обычный 9 3 3 2 2 7" xfId="51433"/>
    <cellStyle name="Обычный 9 3 3 2 2 8" xfId="51434"/>
    <cellStyle name="Обычный 9 3 3 2 3" xfId="51435"/>
    <cellStyle name="Обычный 9 3 3 2 3 2" xfId="51436"/>
    <cellStyle name="Обычный 9 3 3 2 3 2 2" xfId="51437"/>
    <cellStyle name="Обычный 9 3 3 2 3 2 2 2" xfId="51438"/>
    <cellStyle name="Обычный 9 3 3 2 3 2 2 3" xfId="51439"/>
    <cellStyle name="Обычный 9 3 3 2 3 2 3" xfId="51440"/>
    <cellStyle name="Обычный 9 3 3 2 3 2 3 2" xfId="51441"/>
    <cellStyle name="Обычный 9 3 3 2 3 2 3 3" xfId="51442"/>
    <cellStyle name="Обычный 9 3 3 2 3 2 4" xfId="51443"/>
    <cellStyle name="Обычный 9 3 3 2 3 2 4 2" xfId="51444"/>
    <cellStyle name="Обычный 9 3 3 2 3 2 5" xfId="51445"/>
    <cellStyle name="Обычный 9 3 3 2 3 2 6" xfId="51446"/>
    <cellStyle name="Обычный 9 3 3 2 3 3" xfId="51447"/>
    <cellStyle name="Обычный 9 3 3 2 3 3 2" xfId="51448"/>
    <cellStyle name="Обычный 9 3 3 2 3 3 3" xfId="51449"/>
    <cellStyle name="Обычный 9 3 3 2 3 4" xfId="51450"/>
    <cellStyle name="Обычный 9 3 3 2 3 4 2" xfId="51451"/>
    <cellStyle name="Обычный 9 3 3 2 3 4 3" xfId="51452"/>
    <cellStyle name="Обычный 9 3 3 2 3 5" xfId="51453"/>
    <cellStyle name="Обычный 9 3 3 2 3 5 2" xfId="51454"/>
    <cellStyle name="Обычный 9 3 3 2 3 6" xfId="51455"/>
    <cellStyle name="Обычный 9 3 3 2 3 7" xfId="51456"/>
    <cellStyle name="Обычный 9 3 3 2 4" xfId="51457"/>
    <cellStyle name="Обычный 9 3 3 2 4 2" xfId="51458"/>
    <cellStyle name="Обычный 9 3 3 2 4 2 2" xfId="51459"/>
    <cellStyle name="Обычный 9 3 3 2 4 2 3" xfId="51460"/>
    <cellStyle name="Обычный 9 3 3 2 4 3" xfId="51461"/>
    <cellStyle name="Обычный 9 3 3 2 4 3 2" xfId="51462"/>
    <cellStyle name="Обычный 9 3 3 2 4 3 3" xfId="51463"/>
    <cellStyle name="Обычный 9 3 3 2 4 4" xfId="51464"/>
    <cellStyle name="Обычный 9 3 3 2 4 4 2" xfId="51465"/>
    <cellStyle name="Обычный 9 3 3 2 4 5" xfId="51466"/>
    <cellStyle name="Обычный 9 3 3 2 4 6" xfId="51467"/>
    <cellStyle name="Обычный 9 3 3 2 5" xfId="51468"/>
    <cellStyle name="Обычный 9 3 3 2 5 2" xfId="51469"/>
    <cellStyle name="Обычный 9 3 3 2 5 3" xfId="51470"/>
    <cellStyle name="Обычный 9 3 3 2 6" xfId="51471"/>
    <cellStyle name="Обычный 9 3 3 2 6 2" xfId="51472"/>
    <cellStyle name="Обычный 9 3 3 2 6 3" xfId="51473"/>
    <cellStyle name="Обычный 9 3 3 2 7" xfId="51474"/>
    <cellStyle name="Обычный 9 3 3 2 7 2" xfId="51475"/>
    <cellStyle name="Обычный 9 3 3 2 8" xfId="51476"/>
    <cellStyle name="Обычный 9 3 3 2 9" xfId="51477"/>
    <cellStyle name="Обычный 9 3 3 3" xfId="51478"/>
    <cellStyle name="Обычный 9 3 3 3 2" xfId="51479"/>
    <cellStyle name="Обычный 9 3 3 3 2 2" xfId="51480"/>
    <cellStyle name="Обычный 9 3 3 3 2 2 2" xfId="51481"/>
    <cellStyle name="Обычный 9 3 3 3 2 2 2 2" xfId="51482"/>
    <cellStyle name="Обычный 9 3 3 3 2 2 2 3" xfId="51483"/>
    <cellStyle name="Обычный 9 3 3 3 2 2 3" xfId="51484"/>
    <cellStyle name="Обычный 9 3 3 3 2 2 3 2" xfId="51485"/>
    <cellStyle name="Обычный 9 3 3 3 2 2 3 3" xfId="51486"/>
    <cellStyle name="Обычный 9 3 3 3 2 2 4" xfId="51487"/>
    <cellStyle name="Обычный 9 3 3 3 2 2 4 2" xfId="51488"/>
    <cellStyle name="Обычный 9 3 3 3 2 2 5" xfId="51489"/>
    <cellStyle name="Обычный 9 3 3 3 2 2 6" xfId="51490"/>
    <cellStyle name="Обычный 9 3 3 3 2 3" xfId="51491"/>
    <cellStyle name="Обычный 9 3 3 3 2 3 2" xfId="51492"/>
    <cellStyle name="Обычный 9 3 3 3 2 3 3" xfId="51493"/>
    <cellStyle name="Обычный 9 3 3 3 2 4" xfId="51494"/>
    <cellStyle name="Обычный 9 3 3 3 2 4 2" xfId="51495"/>
    <cellStyle name="Обычный 9 3 3 3 2 4 3" xfId="51496"/>
    <cellStyle name="Обычный 9 3 3 3 2 5" xfId="51497"/>
    <cellStyle name="Обычный 9 3 3 3 2 5 2" xfId="51498"/>
    <cellStyle name="Обычный 9 3 3 3 2 6" xfId="51499"/>
    <cellStyle name="Обычный 9 3 3 3 2 7" xfId="51500"/>
    <cellStyle name="Обычный 9 3 3 3 3" xfId="51501"/>
    <cellStyle name="Обычный 9 3 3 3 3 2" xfId="51502"/>
    <cellStyle name="Обычный 9 3 3 3 3 2 2" xfId="51503"/>
    <cellStyle name="Обычный 9 3 3 3 3 2 3" xfId="51504"/>
    <cellStyle name="Обычный 9 3 3 3 3 3" xfId="51505"/>
    <cellStyle name="Обычный 9 3 3 3 3 3 2" xfId="51506"/>
    <cellStyle name="Обычный 9 3 3 3 3 3 3" xfId="51507"/>
    <cellStyle name="Обычный 9 3 3 3 3 4" xfId="51508"/>
    <cellStyle name="Обычный 9 3 3 3 3 4 2" xfId="51509"/>
    <cellStyle name="Обычный 9 3 3 3 3 5" xfId="51510"/>
    <cellStyle name="Обычный 9 3 3 3 3 6" xfId="51511"/>
    <cellStyle name="Обычный 9 3 3 3 4" xfId="51512"/>
    <cellStyle name="Обычный 9 3 3 3 4 2" xfId="51513"/>
    <cellStyle name="Обычный 9 3 3 3 4 3" xfId="51514"/>
    <cellStyle name="Обычный 9 3 3 3 5" xfId="51515"/>
    <cellStyle name="Обычный 9 3 3 3 5 2" xfId="51516"/>
    <cellStyle name="Обычный 9 3 3 3 5 3" xfId="51517"/>
    <cellStyle name="Обычный 9 3 3 3 6" xfId="51518"/>
    <cellStyle name="Обычный 9 3 3 3 6 2" xfId="51519"/>
    <cellStyle name="Обычный 9 3 3 3 7" xfId="51520"/>
    <cellStyle name="Обычный 9 3 3 3 8" xfId="51521"/>
    <cellStyle name="Обычный 9 3 3 4" xfId="51522"/>
    <cellStyle name="Обычный 9 3 3 4 2" xfId="51523"/>
    <cellStyle name="Обычный 9 3 3 4 2 2" xfId="51524"/>
    <cellStyle name="Обычный 9 3 3 4 2 2 2" xfId="51525"/>
    <cellStyle name="Обычный 9 3 3 4 2 2 3" xfId="51526"/>
    <cellStyle name="Обычный 9 3 3 4 2 3" xfId="51527"/>
    <cellStyle name="Обычный 9 3 3 4 2 3 2" xfId="51528"/>
    <cellStyle name="Обычный 9 3 3 4 2 3 3" xfId="51529"/>
    <cellStyle name="Обычный 9 3 3 4 2 4" xfId="51530"/>
    <cellStyle name="Обычный 9 3 3 4 2 4 2" xfId="51531"/>
    <cellStyle name="Обычный 9 3 3 4 2 5" xfId="51532"/>
    <cellStyle name="Обычный 9 3 3 4 2 6" xfId="51533"/>
    <cellStyle name="Обычный 9 3 3 4 3" xfId="51534"/>
    <cellStyle name="Обычный 9 3 3 4 3 2" xfId="51535"/>
    <cellStyle name="Обычный 9 3 3 4 3 3" xfId="51536"/>
    <cellStyle name="Обычный 9 3 3 4 4" xfId="51537"/>
    <cellStyle name="Обычный 9 3 3 4 4 2" xfId="51538"/>
    <cellStyle name="Обычный 9 3 3 4 4 3" xfId="51539"/>
    <cellStyle name="Обычный 9 3 3 4 5" xfId="51540"/>
    <cellStyle name="Обычный 9 3 3 4 5 2" xfId="51541"/>
    <cellStyle name="Обычный 9 3 3 4 6" xfId="51542"/>
    <cellStyle name="Обычный 9 3 3 4 7" xfId="51543"/>
    <cellStyle name="Обычный 9 3 3 5" xfId="51544"/>
    <cellStyle name="Обычный 9 3 3 5 2" xfId="51545"/>
    <cellStyle name="Обычный 9 3 3 5 2 2" xfId="51546"/>
    <cellStyle name="Обычный 9 3 3 5 2 3" xfId="51547"/>
    <cellStyle name="Обычный 9 3 3 5 3" xfId="51548"/>
    <cellStyle name="Обычный 9 3 3 5 3 2" xfId="51549"/>
    <cellStyle name="Обычный 9 3 3 5 3 3" xfId="51550"/>
    <cellStyle name="Обычный 9 3 3 5 4" xfId="51551"/>
    <cellStyle name="Обычный 9 3 3 5 4 2" xfId="51552"/>
    <cellStyle name="Обычный 9 3 3 5 5" xfId="51553"/>
    <cellStyle name="Обычный 9 3 3 5 6" xfId="51554"/>
    <cellStyle name="Обычный 9 3 3 6" xfId="51555"/>
    <cellStyle name="Обычный 9 3 3 6 2" xfId="51556"/>
    <cellStyle name="Обычный 9 3 3 6 3" xfId="51557"/>
    <cellStyle name="Обычный 9 3 3 7" xfId="51558"/>
    <cellStyle name="Обычный 9 3 3 7 2" xfId="51559"/>
    <cellStyle name="Обычный 9 3 3 7 3" xfId="51560"/>
    <cellStyle name="Обычный 9 3 3 8" xfId="51561"/>
    <cellStyle name="Обычный 9 3 3 8 2" xfId="51562"/>
    <cellStyle name="Обычный 9 3 3 9" xfId="51563"/>
    <cellStyle name="Обычный 9 3 4" xfId="51564"/>
    <cellStyle name="Обычный 9 3 4 10" xfId="51565"/>
    <cellStyle name="Обычный 9 3 4 2" xfId="51566"/>
    <cellStyle name="Обычный 9 3 4 2 2" xfId="51567"/>
    <cellStyle name="Обычный 9 3 4 2 2 2" xfId="51568"/>
    <cellStyle name="Обычный 9 3 4 2 2 2 2" xfId="51569"/>
    <cellStyle name="Обычный 9 3 4 2 2 2 2 2" xfId="51570"/>
    <cellStyle name="Обычный 9 3 4 2 2 2 2 2 2" xfId="51571"/>
    <cellStyle name="Обычный 9 3 4 2 2 2 2 2 3" xfId="51572"/>
    <cellStyle name="Обычный 9 3 4 2 2 2 2 3" xfId="51573"/>
    <cellStyle name="Обычный 9 3 4 2 2 2 2 3 2" xfId="51574"/>
    <cellStyle name="Обычный 9 3 4 2 2 2 2 3 3" xfId="51575"/>
    <cellStyle name="Обычный 9 3 4 2 2 2 2 4" xfId="51576"/>
    <cellStyle name="Обычный 9 3 4 2 2 2 2 4 2" xfId="51577"/>
    <cellStyle name="Обычный 9 3 4 2 2 2 2 5" xfId="51578"/>
    <cellStyle name="Обычный 9 3 4 2 2 2 2 6" xfId="51579"/>
    <cellStyle name="Обычный 9 3 4 2 2 2 3" xfId="51580"/>
    <cellStyle name="Обычный 9 3 4 2 2 2 3 2" xfId="51581"/>
    <cellStyle name="Обычный 9 3 4 2 2 2 3 3" xfId="51582"/>
    <cellStyle name="Обычный 9 3 4 2 2 2 4" xfId="51583"/>
    <cellStyle name="Обычный 9 3 4 2 2 2 4 2" xfId="51584"/>
    <cellStyle name="Обычный 9 3 4 2 2 2 4 3" xfId="51585"/>
    <cellStyle name="Обычный 9 3 4 2 2 2 5" xfId="51586"/>
    <cellStyle name="Обычный 9 3 4 2 2 2 5 2" xfId="51587"/>
    <cellStyle name="Обычный 9 3 4 2 2 2 6" xfId="51588"/>
    <cellStyle name="Обычный 9 3 4 2 2 2 7" xfId="51589"/>
    <cellStyle name="Обычный 9 3 4 2 2 3" xfId="51590"/>
    <cellStyle name="Обычный 9 3 4 2 2 3 2" xfId="51591"/>
    <cellStyle name="Обычный 9 3 4 2 2 3 2 2" xfId="51592"/>
    <cellStyle name="Обычный 9 3 4 2 2 3 2 3" xfId="51593"/>
    <cellStyle name="Обычный 9 3 4 2 2 3 3" xfId="51594"/>
    <cellStyle name="Обычный 9 3 4 2 2 3 3 2" xfId="51595"/>
    <cellStyle name="Обычный 9 3 4 2 2 3 3 3" xfId="51596"/>
    <cellStyle name="Обычный 9 3 4 2 2 3 4" xfId="51597"/>
    <cellStyle name="Обычный 9 3 4 2 2 3 4 2" xfId="51598"/>
    <cellStyle name="Обычный 9 3 4 2 2 3 5" xfId="51599"/>
    <cellStyle name="Обычный 9 3 4 2 2 3 6" xfId="51600"/>
    <cellStyle name="Обычный 9 3 4 2 2 4" xfId="51601"/>
    <cellStyle name="Обычный 9 3 4 2 2 4 2" xfId="51602"/>
    <cellStyle name="Обычный 9 3 4 2 2 4 3" xfId="51603"/>
    <cellStyle name="Обычный 9 3 4 2 2 5" xfId="51604"/>
    <cellStyle name="Обычный 9 3 4 2 2 5 2" xfId="51605"/>
    <cellStyle name="Обычный 9 3 4 2 2 5 3" xfId="51606"/>
    <cellStyle name="Обычный 9 3 4 2 2 6" xfId="51607"/>
    <cellStyle name="Обычный 9 3 4 2 2 6 2" xfId="51608"/>
    <cellStyle name="Обычный 9 3 4 2 2 7" xfId="51609"/>
    <cellStyle name="Обычный 9 3 4 2 2 8" xfId="51610"/>
    <cellStyle name="Обычный 9 3 4 2 3" xfId="51611"/>
    <cellStyle name="Обычный 9 3 4 2 3 2" xfId="51612"/>
    <cellStyle name="Обычный 9 3 4 2 3 2 2" xfId="51613"/>
    <cellStyle name="Обычный 9 3 4 2 3 2 2 2" xfId="51614"/>
    <cellStyle name="Обычный 9 3 4 2 3 2 2 3" xfId="51615"/>
    <cellStyle name="Обычный 9 3 4 2 3 2 3" xfId="51616"/>
    <cellStyle name="Обычный 9 3 4 2 3 2 3 2" xfId="51617"/>
    <cellStyle name="Обычный 9 3 4 2 3 2 3 3" xfId="51618"/>
    <cellStyle name="Обычный 9 3 4 2 3 2 4" xfId="51619"/>
    <cellStyle name="Обычный 9 3 4 2 3 2 4 2" xfId="51620"/>
    <cellStyle name="Обычный 9 3 4 2 3 2 5" xfId="51621"/>
    <cellStyle name="Обычный 9 3 4 2 3 2 6" xfId="51622"/>
    <cellStyle name="Обычный 9 3 4 2 3 3" xfId="51623"/>
    <cellStyle name="Обычный 9 3 4 2 3 3 2" xfId="51624"/>
    <cellStyle name="Обычный 9 3 4 2 3 3 3" xfId="51625"/>
    <cellStyle name="Обычный 9 3 4 2 3 4" xfId="51626"/>
    <cellStyle name="Обычный 9 3 4 2 3 4 2" xfId="51627"/>
    <cellStyle name="Обычный 9 3 4 2 3 4 3" xfId="51628"/>
    <cellStyle name="Обычный 9 3 4 2 3 5" xfId="51629"/>
    <cellStyle name="Обычный 9 3 4 2 3 5 2" xfId="51630"/>
    <cellStyle name="Обычный 9 3 4 2 3 6" xfId="51631"/>
    <cellStyle name="Обычный 9 3 4 2 3 7" xfId="51632"/>
    <cellStyle name="Обычный 9 3 4 2 4" xfId="51633"/>
    <cellStyle name="Обычный 9 3 4 2 4 2" xfId="51634"/>
    <cellStyle name="Обычный 9 3 4 2 4 2 2" xfId="51635"/>
    <cellStyle name="Обычный 9 3 4 2 4 2 3" xfId="51636"/>
    <cellStyle name="Обычный 9 3 4 2 4 3" xfId="51637"/>
    <cellStyle name="Обычный 9 3 4 2 4 3 2" xfId="51638"/>
    <cellStyle name="Обычный 9 3 4 2 4 3 3" xfId="51639"/>
    <cellStyle name="Обычный 9 3 4 2 4 4" xfId="51640"/>
    <cellStyle name="Обычный 9 3 4 2 4 4 2" xfId="51641"/>
    <cellStyle name="Обычный 9 3 4 2 4 5" xfId="51642"/>
    <cellStyle name="Обычный 9 3 4 2 4 6" xfId="51643"/>
    <cellStyle name="Обычный 9 3 4 2 5" xfId="51644"/>
    <cellStyle name="Обычный 9 3 4 2 5 2" xfId="51645"/>
    <cellStyle name="Обычный 9 3 4 2 5 3" xfId="51646"/>
    <cellStyle name="Обычный 9 3 4 2 6" xfId="51647"/>
    <cellStyle name="Обычный 9 3 4 2 6 2" xfId="51648"/>
    <cellStyle name="Обычный 9 3 4 2 6 3" xfId="51649"/>
    <cellStyle name="Обычный 9 3 4 2 7" xfId="51650"/>
    <cellStyle name="Обычный 9 3 4 2 7 2" xfId="51651"/>
    <cellStyle name="Обычный 9 3 4 2 8" xfId="51652"/>
    <cellStyle name="Обычный 9 3 4 2 9" xfId="51653"/>
    <cellStyle name="Обычный 9 3 4 3" xfId="51654"/>
    <cellStyle name="Обычный 9 3 4 3 2" xfId="51655"/>
    <cellStyle name="Обычный 9 3 4 3 2 2" xfId="51656"/>
    <cellStyle name="Обычный 9 3 4 3 2 2 2" xfId="51657"/>
    <cellStyle name="Обычный 9 3 4 3 2 2 2 2" xfId="51658"/>
    <cellStyle name="Обычный 9 3 4 3 2 2 2 3" xfId="51659"/>
    <cellStyle name="Обычный 9 3 4 3 2 2 3" xfId="51660"/>
    <cellStyle name="Обычный 9 3 4 3 2 2 3 2" xfId="51661"/>
    <cellStyle name="Обычный 9 3 4 3 2 2 3 3" xfId="51662"/>
    <cellStyle name="Обычный 9 3 4 3 2 2 4" xfId="51663"/>
    <cellStyle name="Обычный 9 3 4 3 2 2 4 2" xfId="51664"/>
    <cellStyle name="Обычный 9 3 4 3 2 2 5" xfId="51665"/>
    <cellStyle name="Обычный 9 3 4 3 2 2 6" xfId="51666"/>
    <cellStyle name="Обычный 9 3 4 3 2 3" xfId="51667"/>
    <cellStyle name="Обычный 9 3 4 3 2 3 2" xfId="51668"/>
    <cellStyle name="Обычный 9 3 4 3 2 3 3" xfId="51669"/>
    <cellStyle name="Обычный 9 3 4 3 2 4" xfId="51670"/>
    <cellStyle name="Обычный 9 3 4 3 2 4 2" xfId="51671"/>
    <cellStyle name="Обычный 9 3 4 3 2 4 3" xfId="51672"/>
    <cellStyle name="Обычный 9 3 4 3 2 5" xfId="51673"/>
    <cellStyle name="Обычный 9 3 4 3 2 5 2" xfId="51674"/>
    <cellStyle name="Обычный 9 3 4 3 2 6" xfId="51675"/>
    <cellStyle name="Обычный 9 3 4 3 2 7" xfId="51676"/>
    <cellStyle name="Обычный 9 3 4 3 3" xfId="51677"/>
    <cellStyle name="Обычный 9 3 4 3 3 2" xfId="51678"/>
    <cellStyle name="Обычный 9 3 4 3 3 2 2" xfId="51679"/>
    <cellStyle name="Обычный 9 3 4 3 3 2 3" xfId="51680"/>
    <cellStyle name="Обычный 9 3 4 3 3 3" xfId="51681"/>
    <cellStyle name="Обычный 9 3 4 3 3 3 2" xfId="51682"/>
    <cellStyle name="Обычный 9 3 4 3 3 3 3" xfId="51683"/>
    <cellStyle name="Обычный 9 3 4 3 3 4" xfId="51684"/>
    <cellStyle name="Обычный 9 3 4 3 3 4 2" xfId="51685"/>
    <cellStyle name="Обычный 9 3 4 3 3 5" xfId="51686"/>
    <cellStyle name="Обычный 9 3 4 3 3 6" xfId="51687"/>
    <cellStyle name="Обычный 9 3 4 3 4" xfId="51688"/>
    <cellStyle name="Обычный 9 3 4 3 4 2" xfId="51689"/>
    <cellStyle name="Обычный 9 3 4 3 4 3" xfId="51690"/>
    <cellStyle name="Обычный 9 3 4 3 5" xfId="51691"/>
    <cellStyle name="Обычный 9 3 4 3 5 2" xfId="51692"/>
    <cellStyle name="Обычный 9 3 4 3 5 3" xfId="51693"/>
    <cellStyle name="Обычный 9 3 4 3 6" xfId="51694"/>
    <cellStyle name="Обычный 9 3 4 3 6 2" xfId="51695"/>
    <cellStyle name="Обычный 9 3 4 3 7" xfId="51696"/>
    <cellStyle name="Обычный 9 3 4 3 8" xfId="51697"/>
    <cellStyle name="Обычный 9 3 4 4" xfId="51698"/>
    <cellStyle name="Обычный 9 3 4 4 2" xfId="51699"/>
    <cellStyle name="Обычный 9 3 4 4 2 2" xfId="51700"/>
    <cellStyle name="Обычный 9 3 4 4 2 2 2" xfId="51701"/>
    <cellStyle name="Обычный 9 3 4 4 2 2 3" xfId="51702"/>
    <cellStyle name="Обычный 9 3 4 4 2 3" xfId="51703"/>
    <cellStyle name="Обычный 9 3 4 4 2 3 2" xfId="51704"/>
    <cellStyle name="Обычный 9 3 4 4 2 3 3" xfId="51705"/>
    <cellStyle name="Обычный 9 3 4 4 2 4" xfId="51706"/>
    <cellStyle name="Обычный 9 3 4 4 2 4 2" xfId="51707"/>
    <cellStyle name="Обычный 9 3 4 4 2 5" xfId="51708"/>
    <cellStyle name="Обычный 9 3 4 4 2 6" xfId="51709"/>
    <cellStyle name="Обычный 9 3 4 4 3" xfId="51710"/>
    <cellStyle name="Обычный 9 3 4 4 3 2" xfId="51711"/>
    <cellStyle name="Обычный 9 3 4 4 3 3" xfId="51712"/>
    <cellStyle name="Обычный 9 3 4 4 4" xfId="51713"/>
    <cellStyle name="Обычный 9 3 4 4 4 2" xfId="51714"/>
    <cellStyle name="Обычный 9 3 4 4 4 3" xfId="51715"/>
    <cellStyle name="Обычный 9 3 4 4 5" xfId="51716"/>
    <cellStyle name="Обычный 9 3 4 4 5 2" xfId="51717"/>
    <cellStyle name="Обычный 9 3 4 4 6" xfId="51718"/>
    <cellStyle name="Обычный 9 3 4 4 7" xfId="51719"/>
    <cellStyle name="Обычный 9 3 4 5" xfId="51720"/>
    <cellStyle name="Обычный 9 3 4 5 2" xfId="51721"/>
    <cellStyle name="Обычный 9 3 4 5 2 2" xfId="51722"/>
    <cellStyle name="Обычный 9 3 4 5 2 3" xfId="51723"/>
    <cellStyle name="Обычный 9 3 4 5 3" xfId="51724"/>
    <cellStyle name="Обычный 9 3 4 5 3 2" xfId="51725"/>
    <cellStyle name="Обычный 9 3 4 5 3 3" xfId="51726"/>
    <cellStyle name="Обычный 9 3 4 5 4" xfId="51727"/>
    <cellStyle name="Обычный 9 3 4 5 4 2" xfId="51728"/>
    <cellStyle name="Обычный 9 3 4 5 5" xfId="51729"/>
    <cellStyle name="Обычный 9 3 4 5 6" xfId="51730"/>
    <cellStyle name="Обычный 9 3 4 6" xfId="51731"/>
    <cellStyle name="Обычный 9 3 4 6 2" xfId="51732"/>
    <cellStyle name="Обычный 9 3 4 6 3" xfId="51733"/>
    <cellStyle name="Обычный 9 3 4 7" xfId="51734"/>
    <cellStyle name="Обычный 9 3 4 7 2" xfId="51735"/>
    <cellStyle name="Обычный 9 3 4 7 3" xfId="51736"/>
    <cellStyle name="Обычный 9 3 4 8" xfId="51737"/>
    <cellStyle name="Обычный 9 3 4 8 2" xfId="51738"/>
    <cellStyle name="Обычный 9 3 4 9" xfId="51739"/>
    <cellStyle name="Обычный 9 3 5" xfId="51740"/>
    <cellStyle name="Обычный 9 3 5 10" xfId="51741"/>
    <cellStyle name="Обычный 9 3 5 2" xfId="51742"/>
    <cellStyle name="Обычный 9 3 5 2 2" xfId="51743"/>
    <cellStyle name="Обычный 9 3 5 2 2 2" xfId="51744"/>
    <cellStyle name="Обычный 9 3 5 2 2 2 2" xfId="51745"/>
    <cellStyle name="Обычный 9 3 5 2 2 2 2 2" xfId="51746"/>
    <cellStyle name="Обычный 9 3 5 2 2 2 2 2 2" xfId="51747"/>
    <cellStyle name="Обычный 9 3 5 2 2 2 2 2 3" xfId="51748"/>
    <cellStyle name="Обычный 9 3 5 2 2 2 2 3" xfId="51749"/>
    <cellStyle name="Обычный 9 3 5 2 2 2 2 3 2" xfId="51750"/>
    <cellStyle name="Обычный 9 3 5 2 2 2 2 3 3" xfId="51751"/>
    <cellStyle name="Обычный 9 3 5 2 2 2 2 4" xfId="51752"/>
    <cellStyle name="Обычный 9 3 5 2 2 2 2 4 2" xfId="51753"/>
    <cellStyle name="Обычный 9 3 5 2 2 2 2 5" xfId="51754"/>
    <cellStyle name="Обычный 9 3 5 2 2 2 2 6" xfId="51755"/>
    <cellStyle name="Обычный 9 3 5 2 2 2 3" xfId="51756"/>
    <cellStyle name="Обычный 9 3 5 2 2 2 3 2" xfId="51757"/>
    <cellStyle name="Обычный 9 3 5 2 2 2 3 3" xfId="51758"/>
    <cellStyle name="Обычный 9 3 5 2 2 2 4" xfId="51759"/>
    <cellStyle name="Обычный 9 3 5 2 2 2 4 2" xfId="51760"/>
    <cellStyle name="Обычный 9 3 5 2 2 2 4 3" xfId="51761"/>
    <cellStyle name="Обычный 9 3 5 2 2 2 5" xfId="51762"/>
    <cellStyle name="Обычный 9 3 5 2 2 2 5 2" xfId="51763"/>
    <cellStyle name="Обычный 9 3 5 2 2 2 6" xfId="51764"/>
    <cellStyle name="Обычный 9 3 5 2 2 2 7" xfId="51765"/>
    <cellStyle name="Обычный 9 3 5 2 2 3" xfId="51766"/>
    <cellStyle name="Обычный 9 3 5 2 2 3 2" xfId="51767"/>
    <cellStyle name="Обычный 9 3 5 2 2 3 2 2" xfId="51768"/>
    <cellStyle name="Обычный 9 3 5 2 2 3 2 3" xfId="51769"/>
    <cellStyle name="Обычный 9 3 5 2 2 3 3" xfId="51770"/>
    <cellStyle name="Обычный 9 3 5 2 2 3 3 2" xfId="51771"/>
    <cellStyle name="Обычный 9 3 5 2 2 3 3 3" xfId="51772"/>
    <cellStyle name="Обычный 9 3 5 2 2 3 4" xfId="51773"/>
    <cellStyle name="Обычный 9 3 5 2 2 3 4 2" xfId="51774"/>
    <cellStyle name="Обычный 9 3 5 2 2 3 5" xfId="51775"/>
    <cellStyle name="Обычный 9 3 5 2 2 3 6" xfId="51776"/>
    <cellStyle name="Обычный 9 3 5 2 2 4" xfId="51777"/>
    <cellStyle name="Обычный 9 3 5 2 2 4 2" xfId="51778"/>
    <cellStyle name="Обычный 9 3 5 2 2 4 3" xfId="51779"/>
    <cellStyle name="Обычный 9 3 5 2 2 5" xfId="51780"/>
    <cellStyle name="Обычный 9 3 5 2 2 5 2" xfId="51781"/>
    <cellStyle name="Обычный 9 3 5 2 2 5 3" xfId="51782"/>
    <cellStyle name="Обычный 9 3 5 2 2 6" xfId="51783"/>
    <cellStyle name="Обычный 9 3 5 2 2 6 2" xfId="51784"/>
    <cellStyle name="Обычный 9 3 5 2 2 7" xfId="51785"/>
    <cellStyle name="Обычный 9 3 5 2 2 8" xfId="51786"/>
    <cellStyle name="Обычный 9 3 5 2 3" xfId="51787"/>
    <cellStyle name="Обычный 9 3 5 2 3 2" xfId="51788"/>
    <cellStyle name="Обычный 9 3 5 2 3 2 2" xfId="51789"/>
    <cellStyle name="Обычный 9 3 5 2 3 2 2 2" xfId="51790"/>
    <cellStyle name="Обычный 9 3 5 2 3 2 2 3" xfId="51791"/>
    <cellStyle name="Обычный 9 3 5 2 3 2 3" xfId="51792"/>
    <cellStyle name="Обычный 9 3 5 2 3 2 3 2" xfId="51793"/>
    <cellStyle name="Обычный 9 3 5 2 3 2 3 3" xfId="51794"/>
    <cellStyle name="Обычный 9 3 5 2 3 2 4" xfId="51795"/>
    <cellStyle name="Обычный 9 3 5 2 3 2 4 2" xfId="51796"/>
    <cellStyle name="Обычный 9 3 5 2 3 2 5" xfId="51797"/>
    <cellStyle name="Обычный 9 3 5 2 3 2 6" xfId="51798"/>
    <cellStyle name="Обычный 9 3 5 2 3 3" xfId="51799"/>
    <cellStyle name="Обычный 9 3 5 2 3 3 2" xfId="51800"/>
    <cellStyle name="Обычный 9 3 5 2 3 3 3" xfId="51801"/>
    <cellStyle name="Обычный 9 3 5 2 3 4" xfId="51802"/>
    <cellStyle name="Обычный 9 3 5 2 3 4 2" xfId="51803"/>
    <cellStyle name="Обычный 9 3 5 2 3 4 3" xfId="51804"/>
    <cellStyle name="Обычный 9 3 5 2 3 5" xfId="51805"/>
    <cellStyle name="Обычный 9 3 5 2 3 5 2" xfId="51806"/>
    <cellStyle name="Обычный 9 3 5 2 3 6" xfId="51807"/>
    <cellStyle name="Обычный 9 3 5 2 3 7" xfId="51808"/>
    <cellStyle name="Обычный 9 3 5 2 4" xfId="51809"/>
    <cellStyle name="Обычный 9 3 5 2 4 2" xfId="51810"/>
    <cellStyle name="Обычный 9 3 5 2 4 2 2" xfId="51811"/>
    <cellStyle name="Обычный 9 3 5 2 4 2 3" xfId="51812"/>
    <cellStyle name="Обычный 9 3 5 2 4 3" xfId="51813"/>
    <cellStyle name="Обычный 9 3 5 2 4 3 2" xfId="51814"/>
    <cellStyle name="Обычный 9 3 5 2 4 3 3" xfId="51815"/>
    <cellStyle name="Обычный 9 3 5 2 4 4" xfId="51816"/>
    <cellStyle name="Обычный 9 3 5 2 4 4 2" xfId="51817"/>
    <cellStyle name="Обычный 9 3 5 2 4 5" xfId="51818"/>
    <cellStyle name="Обычный 9 3 5 2 4 6" xfId="51819"/>
    <cellStyle name="Обычный 9 3 5 2 5" xfId="51820"/>
    <cellStyle name="Обычный 9 3 5 2 5 2" xfId="51821"/>
    <cellStyle name="Обычный 9 3 5 2 5 3" xfId="51822"/>
    <cellStyle name="Обычный 9 3 5 2 6" xfId="51823"/>
    <cellStyle name="Обычный 9 3 5 2 6 2" xfId="51824"/>
    <cellStyle name="Обычный 9 3 5 2 6 3" xfId="51825"/>
    <cellStyle name="Обычный 9 3 5 2 7" xfId="51826"/>
    <cellStyle name="Обычный 9 3 5 2 7 2" xfId="51827"/>
    <cellStyle name="Обычный 9 3 5 2 8" xfId="51828"/>
    <cellStyle name="Обычный 9 3 5 2 9" xfId="51829"/>
    <cellStyle name="Обычный 9 3 5 3" xfId="51830"/>
    <cellStyle name="Обычный 9 3 5 3 2" xfId="51831"/>
    <cellStyle name="Обычный 9 3 5 3 2 2" xfId="51832"/>
    <cellStyle name="Обычный 9 3 5 3 2 2 2" xfId="51833"/>
    <cellStyle name="Обычный 9 3 5 3 2 2 2 2" xfId="51834"/>
    <cellStyle name="Обычный 9 3 5 3 2 2 2 3" xfId="51835"/>
    <cellStyle name="Обычный 9 3 5 3 2 2 3" xfId="51836"/>
    <cellStyle name="Обычный 9 3 5 3 2 2 3 2" xfId="51837"/>
    <cellStyle name="Обычный 9 3 5 3 2 2 3 3" xfId="51838"/>
    <cellStyle name="Обычный 9 3 5 3 2 2 4" xfId="51839"/>
    <cellStyle name="Обычный 9 3 5 3 2 2 4 2" xfId="51840"/>
    <cellStyle name="Обычный 9 3 5 3 2 2 5" xfId="51841"/>
    <cellStyle name="Обычный 9 3 5 3 2 2 6" xfId="51842"/>
    <cellStyle name="Обычный 9 3 5 3 2 3" xfId="51843"/>
    <cellStyle name="Обычный 9 3 5 3 2 3 2" xfId="51844"/>
    <cellStyle name="Обычный 9 3 5 3 2 3 3" xfId="51845"/>
    <cellStyle name="Обычный 9 3 5 3 2 4" xfId="51846"/>
    <cellStyle name="Обычный 9 3 5 3 2 4 2" xfId="51847"/>
    <cellStyle name="Обычный 9 3 5 3 2 4 3" xfId="51848"/>
    <cellStyle name="Обычный 9 3 5 3 2 5" xfId="51849"/>
    <cellStyle name="Обычный 9 3 5 3 2 5 2" xfId="51850"/>
    <cellStyle name="Обычный 9 3 5 3 2 6" xfId="51851"/>
    <cellStyle name="Обычный 9 3 5 3 2 7" xfId="51852"/>
    <cellStyle name="Обычный 9 3 5 3 3" xfId="51853"/>
    <cellStyle name="Обычный 9 3 5 3 3 2" xfId="51854"/>
    <cellStyle name="Обычный 9 3 5 3 3 2 2" xfId="51855"/>
    <cellStyle name="Обычный 9 3 5 3 3 2 3" xfId="51856"/>
    <cellStyle name="Обычный 9 3 5 3 3 3" xfId="51857"/>
    <cellStyle name="Обычный 9 3 5 3 3 3 2" xfId="51858"/>
    <cellStyle name="Обычный 9 3 5 3 3 3 3" xfId="51859"/>
    <cellStyle name="Обычный 9 3 5 3 3 4" xfId="51860"/>
    <cellStyle name="Обычный 9 3 5 3 3 4 2" xfId="51861"/>
    <cellStyle name="Обычный 9 3 5 3 3 5" xfId="51862"/>
    <cellStyle name="Обычный 9 3 5 3 3 6" xfId="51863"/>
    <cellStyle name="Обычный 9 3 5 3 4" xfId="51864"/>
    <cellStyle name="Обычный 9 3 5 3 4 2" xfId="51865"/>
    <cellStyle name="Обычный 9 3 5 3 4 3" xfId="51866"/>
    <cellStyle name="Обычный 9 3 5 3 5" xfId="51867"/>
    <cellStyle name="Обычный 9 3 5 3 5 2" xfId="51868"/>
    <cellStyle name="Обычный 9 3 5 3 5 3" xfId="51869"/>
    <cellStyle name="Обычный 9 3 5 3 6" xfId="51870"/>
    <cellStyle name="Обычный 9 3 5 3 6 2" xfId="51871"/>
    <cellStyle name="Обычный 9 3 5 3 7" xfId="51872"/>
    <cellStyle name="Обычный 9 3 5 3 8" xfId="51873"/>
    <cellStyle name="Обычный 9 3 5 4" xfId="51874"/>
    <cellStyle name="Обычный 9 3 5 4 2" xfId="51875"/>
    <cellStyle name="Обычный 9 3 5 4 2 2" xfId="51876"/>
    <cellStyle name="Обычный 9 3 5 4 2 2 2" xfId="51877"/>
    <cellStyle name="Обычный 9 3 5 4 2 2 3" xfId="51878"/>
    <cellStyle name="Обычный 9 3 5 4 2 3" xfId="51879"/>
    <cellStyle name="Обычный 9 3 5 4 2 3 2" xfId="51880"/>
    <cellStyle name="Обычный 9 3 5 4 2 3 3" xfId="51881"/>
    <cellStyle name="Обычный 9 3 5 4 2 4" xfId="51882"/>
    <cellStyle name="Обычный 9 3 5 4 2 4 2" xfId="51883"/>
    <cellStyle name="Обычный 9 3 5 4 2 5" xfId="51884"/>
    <cellStyle name="Обычный 9 3 5 4 2 6" xfId="51885"/>
    <cellStyle name="Обычный 9 3 5 4 3" xfId="51886"/>
    <cellStyle name="Обычный 9 3 5 4 3 2" xfId="51887"/>
    <cellStyle name="Обычный 9 3 5 4 3 3" xfId="51888"/>
    <cellStyle name="Обычный 9 3 5 4 4" xfId="51889"/>
    <cellStyle name="Обычный 9 3 5 4 4 2" xfId="51890"/>
    <cellStyle name="Обычный 9 3 5 4 4 3" xfId="51891"/>
    <cellStyle name="Обычный 9 3 5 4 5" xfId="51892"/>
    <cellStyle name="Обычный 9 3 5 4 5 2" xfId="51893"/>
    <cellStyle name="Обычный 9 3 5 4 6" xfId="51894"/>
    <cellStyle name="Обычный 9 3 5 4 7" xfId="51895"/>
    <cellStyle name="Обычный 9 3 5 5" xfId="51896"/>
    <cellStyle name="Обычный 9 3 5 5 2" xfId="51897"/>
    <cellStyle name="Обычный 9 3 5 5 2 2" xfId="51898"/>
    <cellStyle name="Обычный 9 3 5 5 2 3" xfId="51899"/>
    <cellStyle name="Обычный 9 3 5 5 3" xfId="51900"/>
    <cellStyle name="Обычный 9 3 5 5 3 2" xfId="51901"/>
    <cellStyle name="Обычный 9 3 5 5 3 3" xfId="51902"/>
    <cellStyle name="Обычный 9 3 5 5 4" xfId="51903"/>
    <cellStyle name="Обычный 9 3 5 5 4 2" xfId="51904"/>
    <cellStyle name="Обычный 9 3 5 5 5" xfId="51905"/>
    <cellStyle name="Обычный 9 3 5 5 6" xfId="51906"/>
    <cellStyle name="Обычный 9 3 5 6" xfId="51907"/>
    <cellStyle name="Обычный 9 3 5 6 2" xfId="51908"/>
    <cellStyle name="Обычный 9 3 5 6 3" xfId="51909"/>
    <cellStyle name="Обычный 9 3 5 7" xfId="51910"/>
    <cellStyle name="Обычный 9 3 5 7 2" xfId="51911"/>
    <cellStyle name="Обычный 9 3 5 7 3" xfId="51912"/>
    <cellStyle name="Обычный 9 3 5 8" xfId="51913"/>
    <cellStyle name="Обычный 9 3 5 8 2" xfId="51914"/>
    <cellStyle name="Обычный 9 3 5 9" xfId="51915"/>
    <cellStyle name="Обычный 9 3 6" xfId="51916"/>
    <cellStyle name="Обычный 9 3 6 2" xfId="51917"/>
    <cellStyle name="Обычный 9 3 6 2 2" xfId="51918"/>
    <cellStyle name="Обычный 9 3 6 2 2 2" xfId="51919"/>
    <cellStyle name="Обычный 9 3 6 2 2 2 2" xfId="51920"/>
    <cellStyle name="Обычный 9 3 6 2 2 2 2 2" xfId="51921"/>
    <cellStyle name="Обычный 9 3 6 2 2 2 2 3" xfId="51922"/>
    <cellStyle name="Обычный 9 3 6 2 2 2 3" xfId="51923"/>
    <cellStyle name="Обычный 9 3 6 2 2 2 3 2" xfId="51924"/>
    <cellStyle name="Обычный 9 3 6 2 2 2 3 3" xfId="51925"/>
    <cellStyle name="Обычный 9 3 6 2 2 2 4" xfId="51926"/>
    <cellStyle name="Обычный 9 3 6 2 2 2 4 2" xfId="51927"/>
    <cellStyle name="Обычный 9 3 6 2 2 2 5" xfId="51928"/>
    <cellStyle name="Обычный 9 3 6 2 2 2 6" xfId="51929"/>
    <cellStyle name="Обычный 9 3 6 2 2 3" xfId="51930"/>
    <cellStyle name="Обычный 9 3 6 2 2 3 2" xfId="51931"/>
    <cellStyle name="Обычный 9 3 6 2 2 3 3" xfId="51932"/>
    <cellStyle name="Обычный 9 3 6 2 2 4" xfId="51933"/>
    <cellStyle name="Обычный 9 3 6 2 2 4 2" xfId="51934"/>
    <cellStyle name="Обычный 9 3 6 2 2 4 3" xfId="51935"/>
    <cellStyle name="Обычный 9 3 6 2 2 5" xfId="51936"/>
    <cellStyle name="Обычный 9 3 6 2 2 5 2" xfId="51937"/>
    <cellStyle name="Обычный 9 3 6 2 2 6" xfId="51938"/>
    <cellStyle name="Обычный 9 3 6 2 2 7" xfId="51939"/>
    <cellStyle name="Обычный 9 3 6 2 3" xfId="51940"/>
    <cellStyle name="Обычный 9 3 6 2 3 2" xfId="51941"/>
    <cellStyle name="Обычный 9 3 6 2 3 2 2" xfId="51942"/>
    <cellStyle name="Обычный 9 3 6 2 3 2 3" xfId="51943"/>
    <cellStyle name="Обычный 9 3 6 2 3 3" xfId="51944"/>
    <cellStyle name="Обычный 9 3 6 2 3 3 2" xfId="51945"/>
    <cellStyle name="Обычный 9 3 6 2 3 3 3" xfId="51946"/>
    <cellStyle name="Обычный 9 3 6 2 3 4" xfId="51947"/>
    <cellStyle name="Обычный 9 3 6 2 3 4 2" xfId="51948"/>
    <cellStyle name="Обычный 9 3 6 2 3 5" xfId="51949"/>
    <cellStyle name="Обычный 9 3 6 2 3 6" xfId="51950"/>
    <cellStyle name="Обычный 9 3 6 2 4" xfId="51951"/>
    <cellStyle name="Обычный 9 3 6 2 4 2" xfId="51952"/>
    <cellStyle name="Обычный 9 3 6 2 4 3" xfId="51953"/>
    <cellStyle name="Обычный 9 3 6 2 5" xfId="51954"/>
    <cellStyle name="Обычный 9 3 6 2 5 2" xfId="51955"/>
    <cellStyle name="Обычный 9 3 6 2 5 3" xfId="51956"/>
    <cellStyle name="Обычный 9 3 6 2 6" xfId="51957"/>
    <cellStyle name="Обычный 9 3 6 2 6 2" xfId="51958"/>
    <cellStyle name="Обычный 9 3 6 2 7" xfId="51959"/>
    <cellStyle name="Обычный 9 3 6 2 8" xfId="51960"/>
    <cellStyle name="Обычный 9 3 6 3" xfId="51961"/>
    <cellStyle name="Обычный 9 3 6 3 2" xfId="51962"/>
    <cellStyle name="Обычный 9 3 6 3 2 2" xfId="51963"/>
    <cellStyle name="Обычный 9 3 6 3 2 2 2" xfId="51964"/>
    <cellStyle name="Обычный 9 3 6 3 2 2 3" xfId="51965"/>
    <cellStyle name="Обычный 9 3 6 3 2 3" xfId="51966"/>
    <cellStyle name="Обычный 9 3 6 3 2 3 2" xfId="51967"/>
    <cellStyle name="Обычный 9 3 6 3 2 3 3" xfId="51968"/>
    <cellStyle name="Обычный 9 3 6 3 2 4" xfId="51969"/>
    <cellStyle name="Обычный 9 3 6 3 2 4 2" xfId="51970"/>
    <cellStyle name="Обычный 9 3 6 3 2 5" xfId="51971"/>
    <cellStyle name="Обычный 9 3 6 3 2 6" xfId="51972"/>
    <cellStyle name="Обычный 9 3 6 3 3" xfId="51973"/>
    <cellStyle name="Обычный 9 3 6 3 3 2" xfId="51974"/>
    <cellStyle name="Обычный 9 3 6 3 3 3" xfId="51975"/>
    <cellStyle name="Обычный 9 3 6 3 4" xfId="51976"/>
    <cellStyle name="Обычный 9 3 6 3 4 2" xfId="51977"/>
    <cellStyle name="Обычный 9 3 6 3 4 3" xfId="51978"/>
    <cellStyle name="Обычный 9 3 6 3 5" xfId="51979"/>
    <cellStyle name="Обычный 9 3 6 3 5 2" xfId="51980"/>
    <cellStyle name="Обычный 9 3 6 3 6" xfId="51981"/>
    <cellStyle name="Обычный 9 3 6 3 7" xfId="51982"/>
    <cellStyle name="Обычный 9 3 6 4" xfId="51983"/>
    <cellStyle name="Обычный 9 3 6 4 2" xfId="51984"/>
    <cellStyle name="Обычный 9 3 6 4 2 2" xfId="51985"/>
    <cellStyle name="Обычный 9 3 6 4 2 3" xfId="51986"/>
    <cellStyle name="Обычный 9 3 6 4 3" xfId="51987"/>
    <cellStyle name="Обычный 9 3 6 4 3 2" xfId="51988"/>
    <cellStyle name="Обычный 9 3 6 4 3 3" xfId="51989"/>
    <cellStyle name="Обычный 9 3 6 4 4" xfId="51990"/>
    <cellStyle name="Обычный 9 3 6 4 4 2" xfId="51991"/>
    <cellStyle name="Обычный 9 3 6 4 5" xfId="51992"/>
    <cellStyle name="Обычный 9 3 6 4 6" xfId="51993"/>
    <cellStyle name="Обычный 9 3 6 5" xfId="51994"/>
    <cellStyle name="Обычный 9 3 6 5 2" xfId="51995"/>
    <cellStyle name="Обычный 9 3 6 5 3" xfId="51996"/>
    <cellStyle name="Обычный 9 3 6 6" xfId="51997"/>
    <cellStyle name="Обычный 9 3 6 6 2" xfId="51998"/>
    <cellStyle name="Обычный 9 3 6 6 3" xfId="51999"/>
    <cellStyle name="Обычный 9 3 6 7" xfId="52000"/>
    <cellStyle name="Обычный 9 3 6 7 2" xfId="52001"/>
    <cellStyle name="Обычный 9 3 6 8" xfId="52002"/>
    <cellStyle name="Обычный 9 3 6 9" xfId="52003"/>
    <cellStyle name="Обычный 9 3 7" xfId="52004"/>
    <cellStyle name="Обычный 9 3 7 2" xfId="52005"/>
    <cellStyle name="Обычный 9 3 7 2 2" xfId="52006"/>
    <cellStyle name="Обычный 9 3 7 2 2 2" xfId="52007"/>
    <cellStyle name="Обычный 9 3 7 2 2 2 2" xfId="52008"/>
    <cellStyle name="Обычный 9 3 7 2 2 2 3" xfId="52009"/>
    <cellStyle name="Обычный 9 3 7 2 2 3" xfId="52010"/>
    <cellStyle name="Обычный 9 3 7 2 2 3 2" xfId="52011"/>
    <cellStyle name="Обычный 9 3 7 2 2 3 3" xfId="52012"/>
    <cellStyle name="Обычный 9 3 7 2 2 4" xfId="52013"/>
    <cellStyle name="Обычный 9 3 7 2 2 4 2" xfId="52014"/>
    <cellStyle name="Обычный 9 3 7 2 2 5" xfId="52015"/>
    <cellStyle name="Обычный 9 3 7 2 2 6" xfId="52016"/>
    <cellStyle name="Обычный 9 3 7 2 3" xfId="52017"/>
    <cellStyle name="Обычный 9 3 7 2 3 2" xfId="52018"/>
    <cellStyle name="Обычный 9 3 7 2 3 3" xfId="52019"/>
    <cellStyle name="Обычный 9 3 7 2 4" xfId="52020"/>
    <cellStyle name="Обычный 9 3 7 2 4 2" xfId="52021"/>
    <cellStyle name="Обычный 9 3 7 2 4 3" xfId="52022"/>
    <cellStyle name="Обычный 9 3 7 2 5" xfId="52023"/>
    <cellStyle name="Обычный 9 3 7 2 5 2" xfId="52024"/>
    <cellStyle name="Обычный 9 3 7 2 6" xfId="52025"/>
    <cellStyle name="Обычный 9 3 7 2 7" xfId="52026"/>
    <cellStyle name="Обычный 9 3 7 3" xfId="52027"/>
    <cellStyle name="Обычный 9 3 7 3 2" xfId="52028"/>
    <cellStyle name="Обычный 9 3 7 3 2 2" xfId="52029"/>
    <cellStyle name="Обычный 9 3 7 3 2 3" xfId="52030"/>
    <cellStyle name="Обычный 9 3 7 3 3" xfId="52031"/>
    <cellStyle name="Обычный 9 3 7 3 3 2" xfId="52032"/>
    <cellStyle name="Обычный 9 3 7 3 3 3" xfId="52033"/>
    <cellStyle name="Обычный 9 3 7 3 4" xfId="52034"/>
    <cellStyle name="Обычный 9 3 7 3 4 2" xfId="52035"/>
    <cellStyle name="Обычный 9 3 7 3 5" xfId="52036"/>
    <cellStyle name="Обычный 9 3 7 3 6" xfId="52037"/>
    <cellStyle name="Обычный 9 3 7 4" xfId="52038"/>
    <cellStyle name="Обычный 9 3 7 4 2" xfId="52039"/>
    <cellStyle name="Обычный 9 3 7 4 3" xfId="52040"/>
    <cellStyle name="Обычный 9 3 7 5" xfId="52041"/>
    <cellStyle name="Обычный 9 3 7 5 2" xfId="52042"/>
    <cellStyle name="Обычный 9 3 7 5 3" xfId="52043"/>
    <cellStyle name="Обычный 9 3 7 6" xfId="52044"/>
    <cellStyle name="Обычный 9 3 7 6 2" xfId="52045"/>
    <cellStyle name="Обычный 9 3 7 7" xfId="52046"/>
    <cellStyle name="Обычный 9 3 7 8" xfId="52047"/>
    <cellStyle name="Обычный 9 3 8" xfId="52048"/>
    <cellStyle name="Обычный 9 3 8 2" xfId="52049"/>
    <cellStyle name="Обычный 9 3 8 2 2" xfId="52050"/>
    <cellStyle name="Обычный 9 3 8 2 2 2" xfId="52051"/>
    <cellStyle name="Обычный 9 3 8 2 2 3" xfId="52052"/>
    <cellStyle name="Обычный 9 3 8 2 3" xfId="52053"/>
    <cellStyle name="Обычный 9 3 8 2 3 2" xfId="52054"/>
    <cellStyle name="Обычный 9 3 8 2 3 3" xfId="52055"/>
    <cellStyle name="Обычный 9 3 8 2 4" xfId="52056"/>
    <cellStyle name="Обычный 9 3 8 2 4 2" xfId="52057"/>
    <cellStyle name="Обычный 9 3 8 2 5" xfId="52058"/>
    <cellStyle name="Обычный 9 3 8 2 6" xfId="52059"/>
    <cellStyle name="Обычный 9 3 8 3" xfId="52060"/>
    <cellStyle name="Обычный 9 3 8 3 2" xfId="52061"/>
    <cellStyle name="Обычный 9 3 8 3 3" xfId="52062"/>
    <cellStyle name="Обычный 9 3 8 4" xfId="52063"/>
    <cellStyle name="Обычный 9 3 8 4 2" xfId="52064"/>
    <cellStyle name="Обычный 9 3 8 4 3" xfId="52065"/>
    <cellStyle name="Обычный 9 3 8 5" xfId="52066"/>
    <cellStyle name="Обычный 9 3 8 5 2" xfId="52067"/>
    <cellStyle name="Обычный 9 3 8 6" xfId="52068"/>
    <cellStyle name="Обычный 9 3 8 7" xfId="52069"/>
    <cellStyle name="Обычный 9 3 9" xfId="52070"/>
    <cellStyle name="Обычный 9 3 9 2" xfId="52071"/>
    <cellStyle name="Обычный 9 3 9 2 2" xfId="52072"/>
    <cellStyle name="Обычный 9 3 9 2 3" xfId="52073"/>
    <cellStyle name="Обычный 9 3 9 3" xfId="52074"/>
    <cellStyle name="Обычный 9 3 9 3 2" xfId="52075"/>
    <cellStyle name="Обычный 9 3 9 3 3" xfId="52076"/>
    <cellStyle name="Обычный 9 3 9 4" xfId="52077"/>
    <cellStyle name="Обычный 9 3 9 4 2" xfId="52078"/>
    <cellStyle name="Обычный 9 3 9 5" xfId="52079"/>
    <cellStyle name="Обычный 9 3 9 6" xfId="52080"/>
    <cellStyle name="Обычный 9 4" xfId="52081"/>
    <cellStyle name="Обычный 9 4 10" xfId="52082"/>
    <cellStyle name="Обычный 9 4 10 2" xfId="52083"/>
    <cellStyle name="Обычный 9 4 10 3" xfId="52084"/>
    <cellStyle name="Обычный 9 4 11" xfId="52085"/>
    <cellStyle name="Обычный 9 4 11 2" xfId="52086"/>
    <cellStyle name="Обычный 9 4 11 3" xfId="52087"/>
    <cellStyle name="Обычный 9 4 12" xfId="52088"/>
    <cellStyle name="Обычный 9 4 12 2" xfId="52089"/>
    <cellStyle name="Обычный 9 4 13" xfId="52090"/>
    <cellStyle name="Обычный 9 4 14" xfId="52091"/>
    <cellStyle name="Обычный 9 4 2" xfId="52092"/>
    <cellStyle name="Обычный 9 4 2 10" xfId="52093"/>
    <cellStyle name="Обычный 9 4 2 10 2" xfId="52094"/>
    <cellStyle name="Обычный 9 4 2 10 3" xfId="52095"/>
    <cellStyle name="Обычный 9 4 2 11" xfId="52096"/>
    <cellStyle name="Обычный 9 4 2 11 2" xfId="52097"/>
    <cellStyle name="Обычный 9 4 2 12" xfId="52098"/>
    <cellStyle name="Обычный 9 4 2 13" xfId="52099"/>
    <cellStyle name="Обычный 9 4 2 2" xfId="52100"/>
    <cellStyle name="Обычный 9 4 2 2 10" xfId="52101"/>
    <cellStyle name="Обычный 9 4 2 2 2" xfId="52102"/>
    <cellStyle name="Обычный 9 4 2 2 2 2" xfId="52103"/>
    <cellStyle name="Обычный 9 4 2 2 2 2 2" xfId="52104"/>
    <cellStyle name="Обычный 9 4 2 2 2 2 2 2" xfId="52105"/>
    <cellStyle name="Обычный 9 4 2 2 2 2 2 2 2" xfId="52106"/>
    <cellStyle name="Обычный 9 4 2 2 2 2 2 2 2 2" xfId="52107"/>
    <cellStyle name="Обычный 9 4 2 2 2 2 2 2 2 3" xfId="52108"/>
    <cellStyle name="Обычный 9 4 2 2 2 2 2 2 3" xfId="52109"/>
    <cellStyle name="Обычный 9 4 2 2 2 2 2 2 3 2" xfId="52110"/>
    <cellStyle name="Обычный 9 4 2 2 2 2 2 2 3 3" xfId="52111"/>
    <cellStyle name="Обычный 9 4 2 2 2 2 2 2 4" xfId="52112"/>
    <cellStyle name="Обычный 9 4 2 2 2 2 2 2 4 2" xfId="52113"/>
    <cellStyle name="Обычный 9 4 2 2 2 2 2 2 5" xfId="52114"/>
    <cellStyle name="Обычный 9 4 2 2 2 2 2 2 6" xfId="52115"/>
    <cellStyle name="Обычный 9 4 2 2 2 2 2 3" xfId="52116"/>
    <cellStyle name="Обычный 9 4 2 2 2 2 2 3 2" xfId="52117"/>
    <cellStyle name="Обычный 9 4 2 2 2 2 2 3 3" xfId="52118"/>
    <cellStyle name="Обычный 9 4 2 2 2 2 2 4" xfId="52119"/>
    <cellStyle name="Обычный 9 4 2 2 2 2 2 4 2" xfId="52120"/>
    <cellStyle name="Обычный 9 4 2 2 2 2 2 4 3" xfId="52121"/>
    <cellStyle name="Обычный 9 4 2 2 2 2 2 5" xfId="52122"/>
    <cellStyle name="Обычный 9 4 2 2 2 2 2 5 2" xfId="52123"/>
    <cellStyle name="Обычный 9 4 2 2 2 2 2 6" xfId="52124"/>
    <cellStyle name="Обычный 9 4 2 2 2 2 2 7" xfId="52125"/>
    <cellStyle name="Обычный 9 4 2 2 2 2 3" xfId="52126"/>
    <cellStyle name="Обычный 9 4 2 2 2 2 3 2" xfId="52127"/>
    <cellStyle name="Обычный 9 4 2 2 2 2 3 2 2" xfId="52128"/>
    <cellStyle name="Обычный 9 4 2 2 2 2 3 2 3" xfId="52129"/>
    <cellStyle name="Обычный 9 4 2 2 2 2 3 3" xfId="52130"/>
    <cellStyle name="Обычный 9 4 2 2 2 2 3 3 2" xfId="52131"/>
    <cellStyle name="Обычный 9 4 2 2 2 2 3 3 3" xfId="52132"/>
    <cellStyle name="Обычный 9 4 2 2 2 2 3 4" xfId="52133"/>
    <cellStyle name="Обычный 9 4 2 2 2 2 3 4 2" xfId="52134"/>
    <cellStyle name="Обычный 9 4 2 2 2 2 3 5" xfId="52135"/>
    <cellStyle name="Обычный 9 4 2 2 2 2 3 6" xfId="52136"/>
    <cellStyle name="Обычный 9 4 2 2 2 2 4" xfId="52137"/>
    <cellStyle name="Обычный 9 4 2 2 2 2 4 2" xfId="52138"/>
    <cellStyle name="Обычный 9 4 2 2 2 2 4 3" xfId="52139"/>
    <cellStyle name="Обычный 9 4 2 2 2 2 5" xfId="52140"/>
    <cellStyle name="Обычный 9 4 2 2 2 2 5 2" xfId="52141"/>
    <cellStyle name="Обычный 9 4 2 2 2 2 5 3" xfId="52142"/>
    <cellStyle name="Обычный 9 4 2 2 2 2 6" xfId="52143"/>
    <cellStyle name="Обычный 9 4 2 2 2 2 6 2" xfId="52144"/>
    <cellStyle name="Обычный 9 4 2 2 2 2 7" xfId="52145"/>
    <cellStyle name="Обычный 9 4 2 2 2 2 8" xfId="52146"/>
    <cellStyle name="Обычный 9 4 2 2 2 3" xfId="52147"/>
    <cellStyle name="Обычный 9 4 2 2 2 3 2" xfId="52148"/>
    <cellStyle name="Обычный 9 4 2 2 2 3 2 2" xfId="52149"/>
    <cellStyle name="Обычный 9 4 2 2 2 3 2 2 2" xfId="52150"/>
    <cellStyle name="Обычный 9 4 2 2 2 3 2 2 3" xfId="52151"/>
    <cellStyle name="Обычный 9 4 2 2 2 3 2 3" xfId="52152"/>
    <cellStyle name="Обычный 9 4 2 2 2 3 2 3 2" xfId="52153"/>
    <cellStyle name="Обычный 9 4 2 2 2 3 2 3 3" xfId="52154"/>
    <cellStyle name="Обычный 9 4 2 2 2 3 2 4" xfId="52155"/>
    <cellStyle name="Обычный 9 4 2 2 2 3 2 4 2" xfId="52156"/>
    <cellStyle name="Обычный 9 4 2 2 2 3 2 5" xfId="52157"/>
    <cellStyle name="Обычный 9 4 2 2 2 3 2 6" xfId="52158"/>
    <cellStyle name="Обычный 9 4 2 2 2 3 3" xfId="52159"/>
    <cellStyle name="Обычный 9 4 2 2 2 3 3 2" xfId="52160"/>
    <cellStyle name="Обычный 9 4 2 2 2 3 3 3" xfId="52161"/>
    <cellStyle name="Обычный 9 4 2 2 2 3 4" xfId="52162"/>
    <cellStyle name="Обычный 9 4 2 2 2 3 4 2" xfId="52163"/>
    <cellStyle name="Обычный 9 4 2 2 2 3 4 3" xfId="52164"/>
    <cellStyle name="Обычный 9 4 2 2 2 3 5" xfId="52165"/>
    <cellStyle name="Обычный 9 4 2 2 2 3 5 2" xfId="52166"/>
    <cellStyle name="Обычный 9 4 2 2 2 3 6" xfId="52167"/>
    <cellStyle name="Обычный 9 4 2 2 2 3 7" xfId="52168"/>
    <cellStyle name="Обычный 9 4 2 2 2 4" xfId="52169"/>
    <cellStyle name="Обычный 9 4 2 2 2 4 2" xfId="52170"/>
    <cellStyle name="Обычный 9 4 2 2 2 4 2 2" xfId="52171"/>
    <cellStyle name="Обычный 9 4 2 2 2 4 2 3" xfId="52172"/>
    <cellStyle name="Обычный 9 4 2 2 2 4 3" xfId="52173"/>
    <cellStyle name="Обычный 9 4 2 2 2 4 3 2" xfId="52174"/>
    <cellStyle name="Обычный 9 4 2 2 2 4 3 3" xfId="52175"/>
    <cellStyle name="Обычный 9 4 2 2 2 4 4" xfId="52176"/>
    <cellStyle name="Обычный 9 4 2 2 2 4 4 2" xfId="52177"/>
    <cellStyle name="Обычный 9 4 2 2 2 4 5" xfId="52178"/>
    <cellStyle name="Обычный 9 4 2 2 2 4 6" xfId="52179"/>
    <cellStyle name="Обычный 9 4 2 2 2 5" xfId="52180"/>
    <cellStyle name="Обычный 9 4 2 2 2 5 2" xfId="52181"/>
    <cellStyle name="Обычный 9 4 2 2 2 5 3" xfId="52182"/>
    <cellStyle name="Обычный 9 4 2 2 2 6" xfId="52183"/>
    <cellStyle name="Обычный 9 4 2 2 2 6 2" xfId="52184"/>
    <cellStyle name="Обычный 9 4 2 2 2 6 3" xfId="52185"/>
    <cellStyle name="Обычный 9 4 2 2 2 7" xfId="52186"/>
    <cellStyle name="Обычный 9 4 2 2 2 7 2" xfId="52187"/>
    <cellStyle name="Обычный 9 4 2 2 2 8" xfId="52188"/>
    <cellStyle name="Обычный 9 4 2 2 2 9" xfId="52189"/>
    <cellStyle name="Обычный 9 4 2 2 3" xfId="52190"/>
    <cellStyle name="Обычный 9 4 2 2 3 2" xfId="52191"/>
    <cellStyle name="Обычный 9 4 2 2 3 2 2" xfId="52192"/>
    <cellStyle name="Обычный 9 4 2 2 3 2 2 2" xfId="52193"/>
    <cellStyle name="Обычный 9 4 2 2 3 2 2 2 2" xfId="52194"/>
    <cellStyle name="Обычный 9 4 2 2 3 2 2 2 3" xfId="52195"/>
    <cellStyle name="Обычный 9 4 2 2 3 2 2 3" xfId="52196"/>
    <cellStyle name="Обычный 9 4 2 2 3 2 2 3 2" xfId="52197"/>
    <cellStyle name="Обычный 9 4 2 2 3 2 2 3 3" xfId="52198"/>
    <cellStyle name="Обычный 9 4 2 2 3 2 2 4" xfId="52199"/>
    <cellStyle name="Обычный 9 4 2 2 3 2 2 4 2" xfId="52200"/>
    <cellStyle name="Обычный 9 4 2 2 3 2 2 5" xfId="52201"/>
    <cellStyle name="Обычный 9 4 2 2 3 2 2 6" xfId="52202"/>
    <cellStyle name="Обычный 9 4 2 2 3 2 3" xfId="52203"/>
    <cellStyle name="Обычный 9 4 2 2 3 2 3 2" xfId="52204"/>
    <cellStyle name="Обычный 9 4 2 2 3 2 3 3" xfId="52205"/>
    <cellStyle name="Обычный 9 4 2 2 3 2 4" xfId="52206"/>
    <cellStyle name="Обычный 9 4 2 2 3 2 4 2" xfId="52207"/>
    <cellStyle name="Обычный 9 4 2 2 3 2 4 3" xfId="52208"/>
    <cellStyle name="Обычный 9 4 2 2 3 2 5" xfId="52209"/>
    <cellStyle name="Обычный 9 4 2 2 3 2 5 2" xfId="52210"/>
    <cellStyle name="Обычный 9 4 2 2 3 2 6" xfId="52211"/>
    <cellStyle name="Обычный 9 4 2 2 3 2 7" xfId="52212"/>
    <cellStyle name="Обычный 9 4 2 2 3 3" xfId="52213"/>
    <cellStyle name="Обычный 9 4 2 2 3 3 2" xfId="52214"/>
    <cellStyle name="Обычный 9 4 2 2 3 3 2 2" xfId="52215"/>
    <cellStyle name="Обычный 9 4 2 2 3 3 2 3" xfId="52216"/>
    <cellStyle name="Обычный 9 4 2 2 3 3 3" xfId="52217"/>
    <cellStyle name="Обычный 9 4 2 2 3 3 3 2" xfId="52218"/>
    <cellStyle name="Обычный 9 4 2 2 3 3 3 3" xfId="52219"/>
    <cellStyle name="Обычный 9 4 2 2 3 3 4" xfId="52220"/>
    <cellStyle name="Обычный 9 4 2 2 3 3 4 2" xfId="52221"/>
    <cellStyle name="Обычный 9 4 2 2 3 3 5" xfId="52222"/>
    <cellStyle name="Обычный 9 4 2 2 3 3 6" xfId="52223"/>
    <cellStyle name="Обычный 9 4 2 2 3 4" xfId="52224"/>
    <cellStyle name="Обычный 9 4 2 2 3 4 2" xfId="52225"/>
    <cellStyle name="Обычный 9 4 2 2 3 4 3" xfId="52226"/>
    <cellStyle name="Обычный 9 4 2 2 3 5" xfId="52227"/>
    <cellStyle name="Обычный 9 4 2 2 3 5 2" xfId="52228"/>
    <cellStyle name="Обычный 9 4 2 2 3 5 3" xfId="52229"/>
    <cellStyle name="Обычный 9 4 2 2 3 6" xfId="52230"/>
    <cellStyle name="Обычный 9 4 2 2 3 6 2" xfId="52231"/>
    <cellStyle name="Обычный 9 4 2 2 3 7" xfId="52232"/>
    <cellStyle name="Обычный 9 4 2 2 3 8" xfId="52233"/>
    <cellStyle name="Обычный 9 4 2 2 4" xfId="52234"/>
    <cellStyle name="Обычный 9 4 2 2 4 2" xfId="52235"/>
    <cellStyle name="Обычный 9 4 2 2 4 2 2" xfId="52236"/>
    <cellStyle name="Обычный 9 4 2 2 4 2 2 2" xfId="52237"/>
    <cellStyle name="Обычный 9 4 2 2 4 2 2 3" xfId="52238"/>
    <cellStyle name="Обычный 9 4 2 2 4 2 3" xfId="52239"/>
    <cellStyle name="Обычный 9 4 2 2 4 2 3 2" xfId="52240"/>
    <cellStyle name="Обычный 9 4 2 2 4 2 3 3" xfId="52241"/>
    <cellStyle name="Обычный 9 4 2 2 4 2 4" xfId="52242"/>
    <cellStyle name="Обычный 9 4 2 2 4 2 4 2" xfId="52243"/>
    <cellStyle name="Обычный 9 4 2 2 4 2 5" xfId="52244"/>
    <cellStyle name="Обычный 9 4 2 2 4 2 6" xfId="52245"/>
    <cellStyle name="Обычный 9 4 2 2 4 3" xfId="52246"/>
    <cellStyle name="Обычный 9 4 2 2 4 3 2" xfId="52247"/>
    <cellStyle name="Обычный 9 4 2 2 4 3 3" xfId="52248"/>
    <cellStyle name="Обычный 9 4 2 2 4 4" xfId="52249"/>
    <cellStyle name="Обычный 9 4 2 2 4 4 2" xfId="52250"/>
    <cellStyle name="Обычный 9 4 2 2 4 4 3" xfId="52251"/>
    <cellStyle name="Обычный 9 4 2 2 4 5" xfId="52252"/>
    <cellStyle name="Обычный 9 4 2 2 4 5 2" xfId="52253"/>
    <cellStyle name="Обычный 9 4 2 2 4 6" xfId="52254"/>
    <cellStyle name="Обычный 9 4 2 2 4 7" xfId="52255"/>
    <cellStyle name="Обычный 9 4 2 2 5" xfId="52256"/>
    <cellStyle name="Обычный 9 4 2 2 5 2" xfId="52257"/>
    <cellStyle name="Обычный 9 4 2 2 5 2 2" xfId="52258"/>
    <cellStyle name="Обычный 9 4 2 2 5 2 3" xfId="52259"/>
    <cellStyle name="Обычный 9 4 2 2 5 3" xfId="52260"/>
    <cellStyle name="Обычный 9 4 2 2 5 3 2" xfId="52261"/>
    <cellStyle name="Обычный 9 4 2 2 5 3 3" xfId="52262"/>
    <cellStyle name="Обычный 9 4 2 2 5 4" xfId="52263"/>
    <cellStyle name="Обычный 9 4 2 2 5 4 2" xfId="52264"/>
    <cellStyle name="Обычный 9 4 2 2 5 5" xfId="52265"/>
    <cellStyle name="Обычный 9 4 2 2 5 6" xfId="52266"/>
    <cellStyle name="Обычный 9 4 2 2 6" xfId="52267"/>
    <cellStyle name="Обычный 9 4 2 2 6 2" xfId="52268"/>
    <cellStyle name="Обычный 9 4 2 2 6 3" xfId="52269"/>
    <cellStyle name="Обычный 9 4 2 2 7" xfId="52270"/>
    <cellStyle name="Обычный 9 4 2 2 7 2" xfId="52271"/>
    <cellStyle name="Обычный 9 4 2 2 7 3" xfId="52272"/>
    <cellStyle name="Обычный 9 4 2 2 8" xfId="52273"/>
    <cellStyle name="Обычный 9 4 2 2 8 2" xfId="52274"/>
    <cellStyle name="Обычный 9 4 2 2 9" xfId="52275"/>
    <cellStyle name="Обычный 9 4 2 3" xfId="52276"/>
    <cellStyle name="Обычный 9 4 2 3 10" xfId="52277"/>
    <cellStyle name="Обычный 9 4 2 3 2" xfId="52278"/>
    <cellStyle name="Обычный 9 4 2 3 2 2" xfId="52279"/>
    <cellStyle name="Обычный 9 4 2 3 2 2 2" xfId="52280"/>
    <cellStyle name="Обычный 9 4 2 3 2 2 2 2" xfId="52281"/>
    <cellStyle name="Обычный 9 4 2 3 2 2 2 2 2" xfId="52282"/>
    <cellStyle name="Обычный 9 4 2 3 2 2 2 2 2 2" xfId="52283"/>
    <cellStyle name="Обычный 9 4 2 3 2 2 2 2 2 3" xfId="52284"/>
    <cellStyle name="Обычный 9 4 2 3 2 2 2 2 3" xfId="52285"/>
    <cellStyle name="Обычный 9 4 2 3 2 2 2 2 3 2" xfId="52286"/>
    <cellStyle name="Обычный 9 4 2 3 2 2 2 2 3 3" xfId="52287"/>
    <cellStyle name="Обычный 9 4 2 3 2 2 2 2 4" xfId="52288"/>
    <cellStyle name="Обычный 9 4 2 3 2 2 2 2 4 2" xfId="52289"/>
    <cellStyle name="Обычный 9 4 2 3 2 2 2 2 5" xfId="52290"/>
    <cellStyle name="Обычный 9 4 2 3 2 2 2 2 6" xfId="52291"/>
    <cellStyle name="Обычный 9 4 2 3 2 2 2 3" xfId="52292"/>
    <cellStyle name="Обычный 9 4 2 3 2 2 2 3 2" xfId="52293"/>
    <cellStyle name="Обычный 9 4 2 3 2 2 2 3 3" xfId="52294"/>
    <cellStyle name="Обычный 9 4 2 3 2 2 2 4" xfId="52295"/>
    <cellStyle name="Обычный 9 4 2 3 2 2 2 4 2" xfId="52296"/>
    <cellStyle name="Обычный 9 4 2 3 2 2 2 4 3" xfId="52297"/>
    <cellStyle name="Обычный 9 4 2 3 2 2 2 5" xfId="52298"/>
    <cellStyle name="Обычный 9 4 2 3 2 2 2 5 2" xfId="52299"/>
    <cellStyle name="Обычный 9 4 2 3 2 2 2 6" xfId="52300"/>
    <cellStyle name="Обычный 9 4 2 3 2 2 2 7" xfId="52301"/>
    <cellStyle name="Обычный 9 4 2 3 2 2 3" xfId="52302"/>
    <cellStyle name="Обычный 9 4 2 3 2 2 3 2" xfId="52303"/>
    <cellStyle name="Обычный 9 4 2 3 2 2 3 2 2" xfId="52304"/>
    <cellStyle name="Обычный 9 4 2 3 2 2 3 2 3" xfId="52305"/>
    <cellStyle name="Обычный 9 4 2 3 2 2 3 3" xfId="52306"/>
    <cellStyle name="Обычный 9 4 2 3 2 2 3 3 2" xfId="52307"/>
    <cellStyle name="Обычный 9 4 2 3 2 2 3 3 3" xfId="52308"/>
    <cellStyle name="Обычный 9 4 2 3 2 2 3 4" xfId="52309"/>
    <cellStyle name="Обычный 9 4 2 3 2 2 3 4 2" xfId="52310"/>
    <cellStyle name="Обычный 9 4 2 3 2 2 3 5" xfId="52311"/>
    <cellStyle name="Обычный 9 4 2 3 2 2 3 6" xfId="52312"/>
    <cellStyle name="Обычный 9 4 2 3 2 2 4" xfId="52313"/>
    <cellStyle name="Обычный 9 4 2 3 2 2 4 2" xfId="52314"/>
    <cellStyle name="Обычный 9 4 2 3 2 2 4 3" xfId="52315"/>
    <cellStyle name="Обычный 9 4 2 3 2 2 5" xfId="52316"/>
    <cellStyle name="Обычный 9 4 2 3 2 2 5 2" xfId="52317"/>
    <cellStyle name="Обычный 9 4 2 3 2 2 5 3" xfId="52318"/>
    <cellStyle name="Обычный 9 4 2 3 2 2 6" xfId="52319"/>
    <cellStyle name="Обычный 9 4 2 3 2 2 6 2" xfId="52320"/>
    <cellStyle name="Обычный 9 4 2 3 2 2 7" xfId="52321"/>
    <cellStyle name="Обычный 9 4 2 3 2 2 8" xfId="52322"/>
    <cellStyle name="Обычный 9 4 2 3 2 3" xfId="52323"/>
    <cellStyle name="Обычный 9 4 2 3 2 3 2" xfId="52324"/>
    <cellStyle name="Обычный 9 4 2 3 2 3 2 2" xfId="52325"/>
    <cellStyle name="Обычный 9 4 2 3 2 3 2 2 2" xfId="52326"/>
    <cellStyle name="Обычный 9 4 2 3 2 3 2 2 3" xfId="52327"/>
    <cellStyle name="Обычный 9 4 2 3 2 3 2 3" xfId="52328"/>
    <cellStyle name="Обычный 9 4 2 3 2 3 2 3 2" xfId="52329"/>
    <cellStyle name="Обычный 9 4 2 3 2 3 2 3 3" xfId="52330"/>
    <cellStyle name="Обычный 9 4 2 3 2 3 2 4" xfId="52331"/>
    <cellStyle name="Обычный 9 4 2 3 2 3 2 4 2" xfId="52332"/>
    <cellStyle name="Обычный 9 4 2 3 2 3 2 5" xfId="52333"/>
    <cellStyle name="Обычный 9 4 2 3 2 3 2 6" xfId="52334"/>
    <cellStyle name="Обычный 9 4 2 3 2 3 3" xfId="52335"/>
    <cellStyle name="Обычный 9 4 2 3 2 3 3 2" xfId="52336"/>
    <cellStyle name="Обычный 9 4 2 3 2 3 3 3" xfId="52337"/>
    <cellStyle name="Обычный 9 4 2 3 2 3 4" xfId="52338"/>
    <cellStyle name="Обычный 9 4 2 3 2 3 4 2" xfId="52339"/>
    <cellStyle name="Обычный 9 4 2 3 2 3 4 3" xfId="52340"/>
    <cellStyle name="Обычный 9 4 2 3 2 3 5" xfId="52341"/>
    <cellStyle name="Обычный 9 4 2 3 2 3 5 2" xfId="52342"/>
    <cellStyle name="Обычный 9 4 2 3 2 3 6" xfId="52343"/>
    <cellStyle name="Обычный 9 4 2 3 2 3 7" xfId="52344"/>
    <cellStyle name="Обычный 9 4 2 3 2 4" xfId="52345"/>
    <cellStyle name="Обычный 9 4 2 3 2 4 2" xfId="52346"/>
    <cellStyle name="Обычный 9 4 2 3 2 4 2 2" xfId="52347"/>
    <cellStyle name="Обычный 9 4 2 3 2 4 2 3" xfId="52348"/>
    <cellStyle name="Обычный 9 4 2 3 2 4 3" xfId="52349"/>
    <cellStyle name="Обычный 9 4 2 3 2 4 3 2" xfId="52350"/>
    <cellStyle name="Обычный 9 4 2 3 2 4 3 3" xfId="52351"/>
    <cellStyle name="Обычный 9 4 2 3 2 4 4" xfId="52352"/>
    <cellStyle name="Обычный 9 4 2 3 2 4 4 2" xfId="52353"/>
    <cellStyle name="Обычный 9 4 2 3 2 4 5" xfId="52354"/>
    <cellStyle name="Обычный 9 4 2 3 2 4 6" xfId="52355"/>
    <cellStyle name="Обычный 9 4 2 3 2 5" xfId="52356"/>
    <cellStyle name="Обычный 9 4 2 3 2 5 2" xfId="52357"/>
    <cellStyle name="Обычный 9 4 2 3 2 5 3" xfId="52358"/>
    <cellStyle name="Обычный 9 4 2 3 2 6" xfId="52359"/>
    <cellStyle name="Обычный 9 4 2 3 2 6 2" xfId="52360"/>
    <cellStyle name="Обычный 9 4 2 3 2 6 3" xfId="52361"/>
    <cellStyle name="Обычный 9 4 2 3 2 7" xfId="52362"/>
    <cellStyle name="Обычный 9 4 2 3 2 7 2" xfId="52363"/>
    <cellStyle name="Обычный 9 4 2 3 2 8" xfId="52364"/>
    <cellStyle name="Обычный 9 4 2 3 2 9" xfId="52365"/>
    <cellStyle name="Обычный 9 4 2 3 3" xfId="52366"/>
    <cellStyle name="Обычный 9 4 2 3 3 2" xfId="52367"/>
    <cellStyle name="Обычный 9 4 2 3 3 2 2" xfId="52368"/>
    <cellStyle name="Обычный 9 4 2 3 3 2 2 2" xfId="52369"/>
    <cellStyle name="Обычный 9 4 2 3 3 2 2 2 2" xfId="52370"/>
    <cellStyle name="Обычный 9 4 2 3 3 2 2 2 3" xfId="52371"/>
    <cellStyle name="Обычный 9 4 2 3 3 2 2 3" xfId="52372"/>
    <cellStyle name="Обычный 9 4 2 3 3 2 2 3 2" xfId="52373"/>
    <cellStyle name="Обычный 9 4 2 3 3 2 2 3 3" xfId="52374"/>
    <cellStyle name="Обычный 9 4 2 3 3 2 2 4" xfId="52375"/>
    <cellStyle name="Обычный 9 4 2 3 3 2 2 4 2" xfId="52376"/>
    <cellStyle name="Обычный 9 4 2 3 3 2 2 5" xfId="52377"/>
    <cellStyle name="Обычный 9 4 2 3 3 2 2 6" xfId="52378"/>
    <cellStyle name="Обычный 9 4 2 3 3 2 3" xfId="52379"/>
    <cellStyle name="Обычный 9 4 2 3 3 2 3 2" xfId="52380"/>
    <cellStyle name="Обычный 9 4 2 3 3 2 3 3" xfId="52381"/>
    <cellStyle name="Обычный 9 4 2 3 3 2 4" xfId="52382"/>
    <cellStyle name="Обычный 9 4 2 3 3 2 4 2" xfId="52383"/>
    <cellStyle name="Обычный 9 4 2 3 3 2 4 3" xfId="52384"/>
    <cellStyle name="Обычный 9 4 2 3 3 2 5" xfId="52385"/>
    <cellStyle name="Обычный 9 4 2 3 3 2 5 2" xfId="52386"/>
    <cellStyle name="Обычный 9 4 2 3 3 2 6" xfId="52387"/>
    <cellStyle name="Обычный 9 4 2 3 3 2 7" xfId="52388"/>
    <cellStyle name="Обычный 9 4 2 3 3 3" xfId="52389"/>
    <cellStyle name="Обычный 9 4 2 3 3 3 2" xfId="52390"/>
    <cellStyle name="Обычный 9 4 2 3 3 3 2 2" xfId="52391"/>
    <cellStyle name="Обычный 9 4 2 3 3 3 2 3" xfId="52392"/>
    <cellStyle name="Обычный 9 4 2 3 3 3 3" xfId="52393"/>
    <cellStyle name="Обычный 9 4 2 3 3 3 3 2" xfId="52394"/>
    <cellStyle name="Обычный 9 4 2 3 3 3 3 3" xfId="52395"/>
    <cellStyle name="Обычный 9 4 2 3 3 3 4" xfId="52396"/>
    <cellStyle name="Обычный 9 4 2 3 3 3 4 2" xfId="52397"/>
    <cellStyle name="Обычный 9 4 2 3 3 3 5" xfId="52398"/>
    <cellStyle name="Обычный 9 4 2 3 3 3 6" xfId="52399"/>
    <cellStyle name="Обычный 9 4 2 3 3 4" xfId="52400"/>
    <cellStyle name="Обычный 9 4 2 3 3 4 2" xfId="52401"/>
    <cellStyle name="Обычный 9 4 2 3 3 4 3" xfId="52402"/>
    <cellStyle name="Обычный 9 4 2 3 3 5" xfId="52403"/>
    <cellStyle name="Обычный 9 4 2 3 3 5 2" xfId="52404"/>
    <cellStyle name="Обычный 9 4 2 3 3 5 3" xfId="52405"/>
    <cellStyle name="Обычный 9 4 2 3 3 6" xfId="52406"/>
    <cellStyle name="Обычный 9 4 2 3 3 6 2" xfId="52407"/>
    <cellStyle name="Обычный 9 4 2 3 3 7" xfId="52408"/>
    <cellStyle name="Обычный 9 4 2 3 3 8" xfId="52409"/>
    <cellStyle name="Обычный 9 4 2 3 4" xfId="52410"/>
    <cellStyle name="Обычный 9 4 2 3 4 2" xfId="52411"/>
    <cellStyle name="Обычный 9 4 2 3 4 2 2" xfId="52412"/>
    <cellStyle name="Обычный 9 4 2 3 4 2 2 2" xfId="52413"/>
    <cellStyle name="Обычный 9 4 2 3 4 2 2 3" xfId="52414"/>
    <cellStyle name="Обычный 9 4 2 3 4 2 3" xfId="52415"/>
    <cellStyle name="Обычный 9 4 2 3 4 2 3 2" xfId="52416"/>
    <cellStyle name="Обычный 9 4 2 3 4 2 3 3" xfId="52417"/>
    <cellStyle name="Обычный 9 4 2 3 4 2 4" xfId="52418"/>
    <cellStyle name="Обычный 9 4 2 3 4 2 4 2" xfId="52419"/>
    <cellStyle name="Обычный 9 4 2 3 4 2 5" xfId="52420"/>
    <cellStyle name="Обычный 9 4 2 3 4 2 6" xfId="52421"/>
    <cellStyle name="Обычный 9 4 2 3 4 3" xfId="52422"/>
    <cellStyle name="Обычный 9 4 2 3 4 3 2" xfId="52423"/>
    <cellStyle name="Обычный 9 4 2 3 4 3 3" xfId="52424"/>
    <cellStyle name="Обычный 9 4 2 3 4 4" xfId="52425"/>
    <cellStyle name="Обычный 9 4 2 3 4 4 2" xfId="52426"/>
    <cellStyle name="Обычный 9 4 2 3 4 4 3" xfId="52427"/>
    <cellStyle name="Обычный 9 4 2 3 4 5" xfId="52428"/>
    <cellStyle name="Обычный 9 4 2 3 4 5 2" xfId="52429"/>
    <cellStyle name="Обычный 9 4 2 3 4 6" xfId="52430"/>
    <cellStyle name="Обычный 9 4 2 3 4 7" xfId="52431"/>
    <cellStyle name="Обычный 9 4 2 3 5" xfId="52432"/>
    <cellStyle name="Обычный 9 4 2 3 5 2" xfId="52433"/>
    <cellStyle name="Обычный 9 4 2 3 5 2 2" xfId="52434"/>
    <cellStyle name="Обычный 9 4 2 3 5 2 3" xfId="52435"/>
    <cellStyle name="Обычный 9 4 2 3 5 3" xfId="52436"/>
    <cellStyle name="Обычный 9 4 2 3 5 3 2" xfId="52437"/>
    <cellStyle name="Обычный 9 4 2 3 5 3 3" xfId="52438"/>
    <cellStyle name="Обычный 9 4 2 3 5 4" xfId="52439"/>
    <cellStyle name="Обычный 9 4 2 3 5 4 2" xfId="52440"/>
    <cellStyle name="Обычный 9 4 2 3 5 5" xfId="52441"/>
    <cellStyle name="Обычный 9 4 2 3 5 6" xfId="52442"/>
    <cellStyle name="Обычный 9 4 2 3 6" xfId="52443"/>
    <cellStyle name="Обычный 9 4 2 3 6 2" xfId="52444"/>
    <cellStyle name="Обычный 9 4 2 3 6 3" xfId="52445"/>
    <cellStyle name="Обычный 9 4 2 3 7" xfId="52446"/>
    <cellStyle name="Обычный 9 4 2 3 7 2" xfId="52447"/>
    <cellStyle name="Обычный 9 4 2 3 7 3" xfId="52448"/>
    <cellStyle name="Обычный 9 4 2 3 8" xfId="52449"/>
    <cellStyle name="Обычный 9 4 2 3 8 2" xfId="52450"/>
    <cellStyle name="Обычный 9 4 2 3 9" xfId="52451"/>
    <cellStyle name="Обычный 9 4 2 4" xfId="52452"/>
    <cellStyle name="Обычный 9 4 2 4 10" xfId="52453"/>
    <cellStyle name="Обычный 9 4 2 4 2" xfId="52454"/>
    <cellStyle name="Обычный 9 4 2 4 2 2" xfId="52455"/>
    <cellStyle name="Обычный 9 4 2 4 2 2 2" xfId="52456"/>
    <cellStyle name="Обычный 9 4 2 4 2 2 2 2" xfId="52457"/>
    <cellStyle name="Обычный 9 4 2 4 2 2 2 2 2" xfId="52458"/>
    <cellStyle name="Обычный 9 4 2 4 2 2 2 2 2 2" xfId="52459"/>
    <cellStyle name="Обычный 9 4 2 4 2 2 2 2 2 3" xfId="52460"/>
    <cellStyle name="Обычный 9 4 2 4 2 2 2 2 3" xfId="52461"/>
    <cellStyle name="Обычный 9 4 2 4 2 2 2 2 3 2" xfId="52462"/>
    <cellStyle name="Обычный 9 4 2 4 2 2 2 2 3 3" xfId="52463"/>
    <cellStyle name="Обычный 9 4 2 4 2 2 2 2 4" xfId="52464"/>
    <cellStyle name="Обычный 9 4 2 4 2 2 2 2 4 2" xfId="52465"/>
    <cellStyle name="Обычный 9 4 2 4 2 2 2 2 5" xfId="52466"/>
    <cellStyle name="Обычный 9 4 2 4 2 2 2 2 6" xfId="52467"/>
    <cellStyle name="Обычный 9 4 2 4 2 2 2 3" xfId="52468"/>
    <cellStyle name="Обычный 9 4 2 4 2 2 2 3 2" xfId="52469"/>
    <cellStyle name="Обычный 9 4 2 4 2 2 2 3 3" xfId="52470"/>
    <cellStyle name="Обычный 9 4 2 4 2 2 2 4" xfId="52471"/>
    <cellStyle name="Обычный 9 4 2 4 2 2 2 4 2" xfId="52472"/>
    <cellStyle name="Обычный 9 4 2 4 2 2 2 4 3" xfId="52473"/>
    <cellStyle name="Обычный 9 4 2 4 2 2 2 5" xfId="52474"/>
    <cellStyle name="Обычный 9 4 2 4 2 2 2 5 2" xfId="52475"/>
    <cellStyle name="Обычный 9 4 2 4 2 2 2 6" xfId="52476"/>
    <cellStyle name="Обычный 9 4 2 4 2 2 2 7" xfId="52477"/>
    <cellStyle name="Обычный 9 4 2 4 2 2 3" xfId="52478"/>
    <cellStyle name="Обычный 9 4 2 4 2 2 3 2" xfId="52479"/>
    <cellStyle name="Обычный 9 4 2 4 2 2 3 2 2" xfId="52480"/>
    <cellStyle name="Обычный 9 4 2 4 2 2 3 2 3" xfId="52481"/>
    <cellStyle name="Обычный 9 4 2 4 2 2 3 3" xfId="52482"/>
    <cellStyle name="Обычный 9 4 2 4 2 2 3 3 2" xfId="52483"/>
    <cellStyle name="Обычный 9 4 2 4 2 2 3 3 3" xfId="52484"/>
    <cellStyle name="Обычный 9 4 2 4 2 2 3 4" xfId="52485"/>
    <cellStyle name="Обычный 9 4 2 4 2 2 3 4 2" xfId="52486"/>
    <cellStyle name="Обычный 9 4 2 4 2 2 3 5" xfId="52487"/>
    <cellStyle name="Обычный 9 4 2 4 2 2 3 6" xfId="52488"/>
    <cellStyle name="Обычный 9 4 2 4 2 2 4" xfId="52489"/>
    <cellStyle name="Обычный 9 4 2 4 2 2 4 2" xfId="52490"/>
    <cellStyle name="Обычный 9 4 2 4 2 2 4 3" xfId="52491"/>
    <cellStyle name="Обычный 9 4 2 4 2 2 5" xfId="52492"/>
    <cellStyle name="Обычный 9 4 2 4 2 2 5 2" xfId="52493"/>
    <cellStyle name="Обычный 9 4 2 4 2 2 5 3" xfId="52494"/>
    <cellStyle name="Обычный 9 4 2 4 2 2 6" xfId="52495"/>
    <cellStyle name="Обычный 9 4 2 4 2 2 6 2" xfId="52496"/>
    <cellStyle name="Обычный 9 4 2 4 2 2 7" xfId="52497"/>
    <cellStyle name="Обычный 9 4 2 4 2 2 8" xfId="52498"/>
    <cellStyle name="Обычный 9 4 2 4 2 3" xfId="52499"/>
    <cellStyle name="Обычный 9 4 2 4 2 3 2" xfId="52500"/>
    <cellStyle name="Обычный 9 4 2 4 2 3 2 2" xfId="52501"/>
    <cellStyle name="Обычный 9 4 2 4 2 3 2 2 2" xfId="52502"/>
    <cellStyle name="Обычный 9 4 2 4 2 3 2 2 3" xfId="52503"/>
    <cellStyle name="Обычный 9 4 2 4 2 3 2 3" xfId="52504"/>
    <cellStyle name="Обычный 9 4 2 4 2 3 2 3 2" xfId="52505"/>
    <cellStyle name="Обычный 9 4 2 4 2 3 2 3 3" xfId="52506"/>
    <cellStyle name="Обычный 9 4 2 4 2 3 2 4" xfId="52507"/>
    <cellStyle name="Обычный 9 4 2 4 2 3 2 4 2" xfId="52508"/>
    <cellStyle name="Обычный 9 4 2 4 2 3 2 5" xfId="52509"/>
    <cellStyle name="Обычный 9 4 2 4 2 3 2 6" xfId="52510"/>
    <cellStyle name="Обычный 9 4 2 4 2 3 3" xfId="52511"/>
    <cellStyle name="Обычный 9 4 2 4 2 3 3 2" xfId="52512"/>
    <cellStyle name="Обычный 9 4 2 4 2 3 3 3" xfId="52513"/>
    <cellStyle name="Обычный 9 4 2 4 2 3 4" xfId="52514"/>
    <cellStyle name="Обычный 9 4 2 4 2 3 4 2" xfId="52515"/>
    <cellStyle name="Обычный 9 4 2 4 2 3 4 3" xfId="52516"/>
    <cellStyle name="Обычный 9 4 2 4 2 3 5" xfId="52517"/>
    <cellStyle name="Обычный 9 4 2 4 2 3 5 2" xfId="52518"/>
    <cellStyle name="Обычный 9 4 2 4 2 3 6" xfId="52519"/>
    <cellStyle name="Обычный 9 4 2 4 2 3 7" xfId="52520"/>
    <cellStyle name="Обычный 9 4 2 4 2 4" xfId="52521"/>
    <cellStyle name="Обычный 9 4 2 4 2 4 2" xfId="52522"/>
    <cellStyle name="Обычный 9 4 2 4 2 4 2 2" xfId="52523"/>
    <cellStyle name="Обычный 9 4 2 4 2 4 2 3" xfId="52524"/>
    <cellStyle name="Обычный 9 4 2 4 2 4 3" xfId="52525"/>
    <cellStyle name="Обычный 9 4 2 4 2 4 3 2" xfId="52526"/>
    <cellStyle name="Обычный 9 4 2 4 2 4 3 3" xfId="52527"/>
    <cellStyle name="Обычный 9 4 2 4 2 4 4" xfId="52528"/>
    <cellStyle name="Обычный 9 4 2 4 2 4 4 2" xfId="52529"/>
    <cellStyle name="Обычный 9 4 2 4 2 4 5" xfId="52530"/>
    <cellStyle name="Обычный 9 4 2 4 2 4 6" xfId="52531"/>
    <cellStyle name="Обычный 9 4 2 4 2 5" xfId="52532"/>
    <cellStyle name="Обычный 9 4 2 4 2 5 2" xfId="52533"/>
    <cellStyle name="Обычный 9 4 2 4 2 5 3" xfId="52534"/>
    <cellStyle name="Обычный 9 4 2 4 2 6" xfId="52535"/>
    <cellStyle name="Обычный 9 4 2 4 2 6 2" xfId="52536"/>
    <cellStyle name="Обычный 9 4 2 4 2 6 3" xfId="52537"/>
    <cellStyle name="Обычный 9 4 2 4 2 7" xfId="52538"/>
    <cellStyle name="Обычный 9 4 2 4 2 7 2" xfId="52539"/>
    <cellStyle name="Обычный 9 4 2 4 2 8" xfId="52540"/>
    <cellStyle name="Обычный 9 4 2 4 2 9" xfId="52541"/>
    <cellStyle name="Обычный 9 4 2 4 3" xfId="52542"/>
    <cellStyle name="Обычный 9 4 2 4 3 2" xfId="52543"/>
    <cellStyle name="Обычный 9 4 2 4 3 2 2" xfId="52544"/>
    <cellStyle name="Обычный 9 4 2 4 3 2 2 2" xfId="52545"/>
    <cellStyle name="Обычный 9 4 2 4 3 2 2 2 2" xfId="52546"/>
    <cellStyle name="Обычный 9 4 2 4 3 2 2 2 3" xfId="52547"/>
    <cellStyle name="Обычный 9 4 2 4 3 2 2 3" xfId="52548"/>
    <cellStyle name="Обычный 9 4 2 4 3 2 2 3 2" xfId="52549"/>
    <cellStyle name="Обычный 9 4 2 4 3 2 2 3 3" xfId="52550"/>
    <cellStyle name="Обычный 9 4 2 4 3 2 2 4" xfId="52551"/>
    <cellStyle name="Обычный 9 4 2 4 3 2 2 4 2" xfId="52552"/>
    <cellStyle name="Обычный 9 4 2 4 3 2 2 5" xfId="52553"/>
    <cellStyle name="Обычный 9 4 2 4 3 2 2 6" xfId="52554"/>
    <cellStyle name="Обычный 9 4 2 4 3 2 3" xfId="52555"/>
    <cellStyle name="Обычный 9 4 2 4 3 2 3 2" xfId="52556"/>
    <cellStyle name="Обычный 9 4 2 4 3 2 3 3" xfId="52557"/>
    <cellStyle name="Обычный 9 4 2 4 3 2 4" xfId="52558"/>
    <cellStyle name="Обычный 9 4 2 4 3 2 4 2" xfId="52559"/>
    <cellStyle name="Обычный 9 4 2 4 3 2 4 3" xfId="52560"/>
    <cellStyle name="Обычный 9 4 2 4 3 2 5" xfId="52561"/>
    <cellStyle name="Обычный 9 4 2 4 3 2 5 2" xfId="52562"/>
    <cellStyle name="Обычный 9 4 2 4 3 2 6" xfId="52563"/>
    <cellStyle name="Обычный 9 4 2 4 3 2 7" xfId="52564"/>
    <cellStyle name="Обычный 9 4 2 4 3 3" xfId="52565"/>
    <cellStyle name="Обычный 9 4 2 4 3 3 2" xfId="52566"/>
    <cellStyle name="Обычный 9 4 2 4 3 3 2 2" xfId="52567"/>
    <cellStyle name="Обычный 9 4 2 4 3 3 2 3" xfId="52568"/>
    <cellStyle name="Обычный 9 4 2 4 3 3 3" xfId="52569"/>
    <cellStyle name="Обычный 9 4 2 4 3 3 3 2" xfId="52570"/>
    <cellStyle name="Обычный 9 4 2 4 3 3 3 3" xfId="52571"/>
    <cellStyle name="Обычный 9 4 2 4 3 3 4" xfId="52572"/>
    <cellStyle name="Обычный 9 4 2 4 3 3 4 2" xfId="52573"/>
    <cellStyle name="Обычный 9 4 2 4 3 3 5" xfId="52574"/>
    <cellStyle name="Обычный 9 4 2 4 3 3 6" xfId="52575"/>
    <cellStyle name="Обычный 9 4 2 4 3 4" xfId="52576"/>
    <cellStyle name="Обычный 9 4 2 4 3 4 2" xfId="52577"/>
    <cellStyle name="Обычный 9 4 2 4 3 4 3" xfId="52578"/>
    <cellStyle name="Обычный 9 4 2 4 3 5" xfId="52579"/>
    <cellStyle name="Обычный 9 4 2 4 3 5 2" xfId="52580"/>
    <cellStyle name="Обычный 9 4 2 4 3 5 3" xfId="52581"/>
    <cellStyle name="Обычный 9 4 2 4 3 6" xfId="52582"/>
    <cellStyle name="Обычный 9 4 2 4 3 6 2" xfId="52583"/>
    <cellStyle name="Обычный 9 4 2 4 3 7" xfId="52584"/>
    <cellStyle name="Обычный 9 4 2 4 3 8" xfId="52585"/>
    <cellStyle name="Обычный 9 4 2 4 4" xfId="52586"/>
    <cellStyle name="Обычный 9 4 2 4 4 2" xfId="52587"/>
    <cellStyle name="Обычный 9 4 2 4 4 2 2" xfId="52588"/>
    <cellStyle name="Обычный 9 4 2 4 4 2 2 2" xfId="52589"/>
    <cellStyle name="Обычный 9 4 2 4 4 2 2 3" xfId="52590"/>
    <cellStyle name="Обычный 9 4 2 4 4 2 3" xfId="52591"/>
    <cellStyle name="Обычный 9 4 2 4 4 2 3 2" xfId="52592"/>
    <cellStyle name="Обычный 9 4 2 4 4 2 3 3" xfId="52593"/>
    <cellStyle name="Обычный 9 4 2 4 4 2 4" xfId="52594"/>
    <cellStyle name="Обычный 9 4 2 4 4 2 4 2" xfId="52595"/>
    <cellStyle name="Обычный 9 4 2 4 4 2 5" xfId="52596"/>
    <cellStyle name="Обычный 9 4 2 4 4 2 6" xfId="52597"/>
    <cellStyle name="Обычный 9 4 2 4 4 3" xfId="52598"/>
    <cellStyle name="Обычный 9 4 2 4 4 3 2" xfId="52599"/>
    <cellStyle name="Обычный 9 4 2 4 4 3 3" xfId="52600"/>
    <cellStyle name="Обычный 9 4 2 4 4 4" xfId="52601"/>
    <cellStyle name="Обычный 9 4 2 4 4 4 2" xfId="52602"/>
    <cellStyle name="Обычный 9 4 2 4 4 4 3" xfId="52603"/>
    <cellStyle name="Обычный 9 4 2 4 4 5" xfId="52604"/>
    <cellStyle name="Обычный 9 4 2 4 4 5 2" xfId="52605"/>
    <cellStyle name="Обычный 9 4 2 4 4 6" xfId="52606"/>
    <cellStyle name="Обычный 9 4 2 4 4 7" xfId="52607"/>
    <cellStyle name="Обычный 9 4 2 4 5" xfId="52608"/>
    <cellStyle name="Обычный 9 4 2 4 5 2" xfId="52609"/>
    <cellStyle name="Обычный 9 4 2 4 5 2 2" xfId="52610"/>
    <cellStyle name="Обычный 9 4 2 4 5 2 3" xfId="52611"/>
    <cellStyle name="Обычный 9 4 2 4 5 3" xfId="52612"/>
    <cellStyle name="Обычный 9 4 2 4 5 3 2" xfId="52613"/>
    <cellStyle name="Обычный 9 4 2 4 5 3 3" xfId="52614"/>
    <cellStyle name="Обычный 9 4 2 4 5 4" xfId="52615"/>
    <cellStyle name="Обычный 9 4 2 4 5 4 2" xfId="52616"/>
    <cellStyle name="Обычный 9 4 2 4 5 5" xfId="52617"/>
    <cellStyle name="Обычный 9 4 2 4 5 6" xfId="52618"/>
    <cellStyle name="Обычный 9 4 2 4 6" xfId="52619"/>
    <cellStyle name="Обычный 9 4 2 4 6 2" xfId="52620"/>
    <cellStyle name="Обычный 9 4 2 4 6 3" xfId="52621"/>
    <cellStyle name="Обычный 9 4 2 4 7" xfId="52622"/>
    <cellStyle name="Обычный 9 4 2 4 7 2" xfId="52623"/>
    <cellStyle name="Обычный 9 4 2 4 7 3" xfId="52624"/>
    <cellStyle name="Обычный 9 4 2 4 8" xfId="52625"/>
    <cellStyle name="Обычный 9 4 2 4 8 2" xfId="52626"/>
    <cellStyle name="Обычный 9 4 2 4 9" xfId="52627"/>
    <cellStyle name="Обычный 9 4 2 5" xfId="52628"/>
    <cellStyle name="Обычный 9 4 2 5 2" xfId="52629"/>
    <cellStyle name="Обычный 9 4 2 5 2 2" xfId="52630"/>
    <cellStyle name="Обычный 9 4 2 5 2 2 2" xfId="52631"/>
    <cellStyle name="Обычный 9 4 2 5 2 2 2 2" xfId="52632"/>
    <cellStyle name="Обычный 9 4 2 5 2 2 2 2 2" xfId="52633"/>
    <cellStyle name="Обычный 9 4 2 5 2 2 2 2 3" xfId="52634"/>
    <cellStyle name="Обычный 9 4 2 5 2 2 2 3" xfId="52635"/>
    <cellStyle name="Обычный 9 4 2 5 2 2 2 3 2" xfId="52636"/>
    <cellStyle name="Обычный 9 4 2 5 2 2 2 3 3" xfId="52637"/>
    <cellStyle name="Обычный 9 4 2 5 2 2 2 4" xfId="52638"/>
    <cellStyle name="Обычный 9 4 2 5 2 2 2 4 2" xfId="52639"/>
    <cellStyle name="Обычный 9 4 2 5 2 2 2 5" xfId="52640"/>
    <cellStyle name="Обычный 9 4 2 5 2 2 2 6" xfId="52641"/>
    <cellStyle name="Обычный 9 4 2 5 2 2 3" xfId="52642"/>
    <cellStyle name="Обычный 9 4 2 5 2 2 3 2" xfId="52643"/>
    <cellStyle name="Обычный 9 4 2 5 2 2 3 3" xfId="52644"/>
    <cellStyle name="Обычный 9 4 2 5 2 2 4" xfId="52645"/>
    <cellStyle name="Обычный 9 4 2 5 2 2 4 2" xfId="52646"/>
    <cellStyle name="Обычный 9 4 2 5 2 2 4 3" xfId="52647"/>
    <cellStyle name="Обычный 9 4 2 5 2 2 5" xfId="52648"/>
    <cellStyle name="Обычный 9 4 2 5 2 2 5 2" xfId="52649"/>
    <cellStyle name="Обычный 9 4 2 5 2 2 6" xfId="52650"/>
    <cellStyle name="Обычный 9 4 2 5 2 2 7" xfId="52651"/>
    <cellStyle name="Обычный 9 4 2 5 2 3" xfId="52652"/>
    <cellStyle name="Обычный 9 4 2 5 2 3 2" xfId="52653"/>
    <cellStyle name="Обычный 9 4 2 5 2 3 2 2" xfId="52654"/>
    <cellStyle name="Обычный 9 4 2 5 2 3 2 3" xfId="52655"/>
    <cellStyle name="Обычный 9 4 2 5 2 3 3" xfId="52656"/>
    <cellStyle name="Обычный 9 4 2 5 2 3 3 2" xfId="52657"/>
    <cellStyle name="Обычный 9 4 2 5 2 3 3 3" xfId="52658"/>
    <cellStyle name="Обычный 9 4 2 5 2 3 4" xfId="52659"/>
    <cellStyle name="Обычный 9 4 2 5 2 3 4 2" xfId="52660"/>
    <cellStyle name="Обычный 9 4 2 5 2 3 5" xfId="52661"/>
    <cellStyle name="Обычный 9 4 2 5 2 3 6" xfId="52662"/>
    <cellStyle name="Обычный 9 4 2 5 2 4" xfId="52663"/>
    <cellStyle name="Обычный 9 4 2 5 2 4 2" xfId="52664"/>
    <cellStyle name="Обычный 9 4 2 5 2 4 3" xfId="52665"/>
    <cellStyle name="Обычный 9 4 2 5 2 5" xfId="52666"/>
    <cellStyle name="Обычный 9 4 2 5 2 5 2" xfId="52667"/>
    <cellStyle name="Обычный 9 4 2 5 2 5 3" xfId="52668"/>
    <cellStyle name="Обычный 9 4 2 5 2 6" xfId="52669"/>
    <cellStyle name="Обычный 9 4 2 5 2 6 2" xfId="52670"/>
    <cellStyle name="Обычный 9 4 2 5 2 7" xfId="52671"/>
    <cellStyle name="Обычный 9 4 2 5 2 8" xfId="52672"/>
    <cellStyle name="Обычный 9 4 2 5 3" xfId="52673"/>
    <cellStyle name="Обычный 9 4 2 5 3 2" xfId="52674"/>
    <cellStyle name="Обычный 9 4 2 5 3 2 2" xfId="52675"/>
    <cellStyle name="Обычный 9 4 2 5 3 2 2 2" xfId="52676"/>
    <cellStyle name="Обычный 9 4 2 5 3 2 2 3" xfId="52677"/>
    <cellStyle name="Обычный 9 4 2 5 3 2 3" xfId="52678"/>
    <cellStyle name="Обычный 9 4 2 5 3 2 3 2" xfId="52679"/>
    <cellStyle name="Обычный 9 4 2 5 3 2 3 3" xfId="52680"/>
    <cellStyle name="Обычный 9 4 2 5 3 2 4" xfId="52681"/>
    <cellStyle name="Обычный 9 4 2 5 3 2 4 2" xfId="52682"/>
    <cellStyle name="Обычный 9 4 2 5 3 2 5" xfId="52683"/>
    <cellStyle name="Обычный 9 4 2 5 3 2 6" xfId="52684"/>
    <cellStyle name="Обычный 9 4 2 5 3 3" xfId="52685"/>
    <cellStyle name="Обычный 9 4 2 5 3 3 2" xfId="52686"/>
    <cellStyle name="Обычный 9 4 2 5 3 3 3" xfId="52687"/>
    <cellStyle name="Обычный 9 4 2 5 3 4" xfId="52688"/>
    <cellStyle name="Обычный 9 4 2 5 3 4 2" xfId="52689"/>
    <cellStyle name="Обычный 9 4 2 5 3 4 3" xfId="52690"/>
    <cellStyle name="Обычный 9 4 2 5 3 5" xfId="52691"/>
    <cellStyle name="Обычный 9 4 2 5 3 5 2" xfId="52692"/>
    <cellStyle name="Обычный 9 4 2 5 3 6" xfId="52693"/>
    <cellStyle name="Обычный 9 4 2 5 3 7" xfId="52694"/>
    <cellStyle name="Обычный 9 4 2 5 4" xfId="52695"/>
    <cellStyle name="Обычный 9 4 2 5 4 2" xfId="52696"/>
    <cellStyle name="Обычный 9 4 2 5 4 2 2" xfId="52697"/>
    <cellStyle name="Обычный 9 4 2 5 4 2 3" xfId="52698"/>
    <cellStyle name="Обычный 9 4 2 5 4 3" xfId="52699"/>
    <cellStyle name="Обычный 9 4 2 5 4 3 2" xfId="52700"/>
    <cellStyle name="Обычный 9 4 2 5 4 3 3" xfId="52701"/>
    <cellStyle name="Обычный 9 4 2 5 4 4" xfId="52702"/>
    <cellStyle name="Обычный 9 4 2 5 4 4 2" xfId="52703"/>
    <cellStyle name="Обычный 9 4 2 5 4 5" xfId="52704"/>
    <cellStyle name="Обычный 9 4 2 5 4 6" xfId="52705"/>
    <cellStyle name="Обычный 9 4 2 5 5" xfId="52706"/>
    <cellStyle name="Обычный 9 4 2 5 5 2" xfId="52707"/>
    <cellStyle name="Обычный 9 4 2 5 5 3" xfId="52708"/>
    <cellStyle name="Обычный 9 4 2 5 6" xfId="52709"/>
    <cellStyle name="Обычный 9 4 2 5 6 2" xfId="52710"/>
    <cellStyle name="Обычный 9 4 2 5 6 3" xfId="52711"/>
    <cellStyle name="Обычный 9 4 2 5 7" xfId="52712"/>
    <cellStyle name="Обычный 9 4 2 5 7 2" xfId="52713"/>
    <cellStyle name="Обычный 9 4 2 5 8" xfId="52714"/>
    <cellStyle name="Обычный 9 4 2 5 9" xfId="52715"/>
    <cellStyle name="Обычный 9 4 2 6" xfId="52716"/>
    <cellStyle name="Обычный 9 4 2 6 2" xfId="52717"/>
    <cellStyle name="Обычный 9 4 2 6 2 2" xfId="52718"/>
    <cellStyle name="Обычный 9 4 2 6 2 2 2" xfId="52719"/>
    <cellStyle name="Обычный 9 4 2 6 2 2 2 2" xfId="52720"/>
    <cellStyle name="Обычный 9 4 2 6 2 2 2 3" xfId="52721"/>
    <cellStyle name="Обычный 9 4 2 6 2 2 3" xfId="52722"/>
    <cellStyle name="Обычный 9 4 2 6 2 2 3 2" xfId="52723"/>
    <cellStyle name="Обычный 9 4 2 6 2 2 3 3" xfId="52724"/>
    <cellStyle name="Обычный 9 4 2 6 2 2 4" xfId="52725"/>
    <cellStyle name="Обычный 9 4 2 6 2 2 4 2" xfId="52726"/>
    <cellStyle name="Обычный 9 4 2 6 2 2 5" xfId="52727"/>
    <cellStyle name="Обычный 9 4 2 6 2 2 6" xfId="52728"/>
    <cellStyle name="Обычный 9 4 2 6 2 3" xfId="52729"/>
    <cellStyle name="Обычный 9 4 2 6 2 3 2" xfId="52730"/>
    <cellStyle name="Обычный 9 4 2 6 2 3 3" xfId="52731"/>
    <cellStyle name="Обычный 9 4 2 6 2 4" xfId="52732"/>
    <cellStyle name="Обычный 9 4 2 6 2 4 2" xfId="52733"/>
    <cellStyle name="Обычный 9 4 2 6 2 4 3" xfId="52734"/>
    <cellStyle name="Обычный 9 4 2 6 2 5" xfId="52735"/>
    <cellStyle name="Обычный 9 4 2 6 2 5 2" xfId="52736"/>
    <cellStyle name="Обычный 9 4 2 6 2 6" xfId="52737"/>
    <cellStyle name="Обычный 9 4 2 6 2 7" xfId="52738"/>
    <cellStyle name="Обычный 9 4 2 6 3" xfId="52739"/>
    <cellStyle name="Обычный 9 4 2 6 3 2" xfId="52740"/>
    <cellStyle name="Обычный 9 4 2 6 3 2 2" xfId="52741"/>
    <cellStyle name="Обычный 9 4 2 6 3 2 3" xfId="52742"/>
    <cellStyle name="Обычный 9 4 2 6 3 3" xfId="52743"/>
    <cellStyle name="Обычный 9 4 2 6 3 3 2" xfId="52744"/>
    <cellStyle name="Обычный 9 4 2 6 3 3 3" xfId="52745"/>
    <cellStyle name="Обычный 9 4 2 6 3 4" xfId="52746"/>
    <cellStyle name="Обычный 9 4 2 6 3 4 2" xfId="52747"/>
    <cellStyle name="Обычный 9 4 2 6 3 5" xfId="52748"/>
    <cellStyle name="Обычный 9 4 2 6 3 6" xfId="52749"/>
    <cellStyle name="Обычный 9 4 2 6 4" xfId="52750"/>
    <cellStyle name="Обычный 9 4 2 6 4 2" xfId="52751"/>
    <cellStyle name="Обычный 9 4 2 6 4 3" xfId="52752"/>
    <cellStyle name="Обычный 9 4 2 6 5" xfId="52753"/>
    <cellStyle name="Обычный 9 4 2 6 5 2" xfId="52754"/>
    <cellStyle name="Обычный 9 4 2 6 5 3" xfId="52755"/>
    <cellStyle name="Обычный 9 4 2 6 6" xfId="52756"/>
    <cellStyle name="Обычный 9 4 2 6 6 2" xfId="52757"/>
    <cellStyle name="Обычный 9 4 2 6 7" xfId="52758"/>
    <cellStyle name="Обычный 9 4 2 6 8" xfId="52759"/>
    <cellStyle name="Обычный 9 4 2 7" xfId="52760"/>
    <cellStyle name="Обычный 9 4 2 7 2" xfId="52761"/>
    <cellStyle name="Обычный 9 4 2 7 2 2" xfId="52762"/>
    <cellStyle name="Обычный 9 4 2 7 2 2 2" xfId="52763"/>
    <cellStyle name="Обычный 9 4 2 7 2 2 3" xfId="52764"/>
    <cellStyle name="Обычный 9 4 2 7 2 3" xfId="52765"/>
    <cellStyle name="Обычный 9 4 2 7 2 3 2" xfId="52766"/>
    <cellStyle name="Обычный 9 4 2 7 2 3 3" xfId="52767"/>
    <cellStyle name="Обычный 9 4 2 7 2 4" xfId="52768"/>
    <cellStyle name="Обычный 9 4 2 7 2 4 2" xfId="52769"/>
    <cellStyle name="Обычный 9 4 2 7 2 5" xfId="52770"/>
    <cellStyle name="Обычный 9 4 2 7 2 6" xfId="52771"/>
    <cellStyle name="Обычный 9 4 2 7 3" xfId="52772"/>
    <cellStyle name="Обычный 9 4 2 7 3 2" xfId="52773"/>
    <cellStyle name="Обычный 9 4 2 7 3 3" xfId="52774"/>
    <cellStyle name="Обычный 9 4 2 7 4" xfId="52775"/>
    <cellStyle name="Обычный 9 4 2 7 4 2" xfId="52776"/>
    <cellStyle name="Обычный 9 4 2 7 4 3" xfId="52777"/>
    <cellStyle name="Обычный 9 4 2 7 5" xfId="52778"/>
    <cellStyle name="Обычный 9 4 2 7 5 2" xfId="52779"/>
    <cellStyle name="Обычный 9 4 2 7 6" xfId="52780"/>
    <cellStyle name="Обычный 9 4 2 7 7" xfId="52781"/>
    <cellStyle name="Обычный 9 4 2 8" xfId="52782"/>
    <cellStyle name="Обычный 9 4 2 8 2" xfId="52783"/>
    <cellStyle name="Обычный 9 4 2 8 2 2" xfId="52784"/>
    <cellStyle name="Обычный 9 4 2 8 2 3" xfId="52785"/>
    <cellStyle name="Обычный 9 4 2 8 3" xfId="52786"/>
    <cellStyle name="Обычный 9 4 2 8 3 2" xfId="52787"/>
    <cellStyle name="Обычный 9 4 2 8 3 3" xfId="52788"/>
    <cellStyle name="Обычный 9 4 2 8 4" xfId="52789"/>
    <cellStyle name="Обычный 9 4 2 8 4 2" xfId="52790"/>
    <cellStyle name="Обычный 9 4 2 8 5" xfId="52791"/>
    <cellStyle name="Обычный 9 4 2 8 6" xfId="52792"/>
    <cellStyle name="Обычный 9 4 2 9" xfId="52793"/>
    <cellStyle name="Обычный 9 4 2 9 2" xfId="52794"/>
    <cellStyle name="Обычный 9 4 2 9 3" xfId="52795"/>
    <cellStyle name="Обычный 9 4 3" xfId="52796"/>
    <cellStyle name="Обычный 9 4 3 10" xfId="52797"/>
    <cellStyle name="Обычный 9 4 3 2" xfId="52798"/>
    <cellStyle name="Обычный 9 4 3 2 2" xfId="52799"/>
    <cellStyle name="Обычный 9 4 3 2 2 2" xfId="52800"/>
    <cellStyle name="Обычный 9 4 3 2 2 2 2" xfId="52801"/>
    <cellStyle name="Обычный 9 4 3 2 2 2 2 2" xfId="52802"/>
    <cellStyle name="Обычный 9 4 3 2 2 2 2 2 2" xfId="52803"/>
    <cellStyle name="Обычный 9 4 3 2 2 2 2 2 3" xfId="52804"/>
    <cellStyle name="Обычный 9 4 3 2 2 2 2 3" xfId="52805"/>
    <cellStyle name="Обычный 9 4 3 2 2 2 2 3 2" xfId="52806"/>
    <cellStyle name="Обычный 9 4 3 2 2 2 2 3 3" xfId="52807"/>
    <cellStyle name="Обычный 9 4 3 2 2 2 2 4" xfId="52808"/>
    <cellStyle name="Обычный 9 4 3 2 2 2 2 4 2" xfId="52809"/>
    <cellStyle name="Обычный 9 4 3 2 2 2 2 5" xfId="52810"/>
    <cellStyle name="Обычный 9 4 3 2 2 2 2 6" xfId="52811"/>
    <cellStyle name="Обычный 9 4 3 2 2 2 3" xfId="52812"/>
    <cellStyle name="Обычный 9 4 3 2 2 2 3 2" xfId="52813"/>
    <cellStyle name="Обычный 9 4 3 2 2 2 3 3" xfId="52814"/>
    <cellStyle name="Обычный 9 4 3 2 2 2 4" xfId="52815"/>
    <cellStyle name="Обычный 9 4 3 2 2 2 4 2" xfId="52816"/>
    <cellStyle name="Обычный 9 4 3 2 2 2 4 3" xfId="52817"/>
    <cellStyle name="Обычный 9 4 3 2 2 2 5" xfId="52818"/>
    <cellStyle name="Обычный 9 4 3 2 2 2 5 2" xfId="52819"/>
    <cellStyle name="Обычный 9 4 3 2 2 2 6" xfId="52820"/>
    <cellStyle name="Обычный 9 4 3 2 2 2 7" xfId="52821"/>
    <cellStyle name="Обычный 9 4 3 2 2 3" xfId="52822"/>
    <cellStyle name="Обычный 9 4 3 2 2 3 2" xfId="52823"/>
    <cellStyle name="Обычный 9 4 3 2 2 3 2 2" xfId="52824"/>
    <cellStyle name="Обычный 9 4 3 2 2 3 2 3" xfId="52825"/>
    <cellStyle name="Обычный 9 4 3 2 2 3 3" xfId="52826"/>
    <cellStyle name="Обычный 9 4 3 2 2 3 3 2" xfId="52827"/>
    <cellStyle name="Обычный 9 4 3 2 2 3 3 3" xfId="52828"/>
    <cellStyle name="Обычный 9 4 3 2 2 3 4" xfId="52829"/>
    <cellStyle name="Обычный 9 4 3 2 2 3 4 2" xfId="52830"/>
    <cellStyle name="Обычный 9 4 3 2 2 3 5" xfId="52831"/>
    <cellStyle name="Обычный 9 4 3 2 2 3 6" xfId="52832"/>
    <cellStyle name="Обычный 9 4 3 2 2 4" xfId="52833"/>
    <cellStyle name="Обычный 9 4 3 2 2 4 2" xfId="52834"/>
    <cellStyle name="Обычный 9 4 3 2 2 4 3" xfId="52835"/>
    <cellStyle name="Обычный 9 4 3 2 2 5" xfId="52836"/>
    <cellStyle name="Обычный 9 4 3 2 2 5 2" xfId="52837"/>
    <cellStyle name="Обычный 9 4 3 2 2 5 3" xfId="52838"/>
    <cellStyle name="Обычный 9 4 3 2 2 6" xfId="52839"/>
    <cellStyle name="Обычный 9 4 3 2 2 6 2" xfId="52840"/>
    <cellStyle name="Обычный 9 4 3 2 2 7" xfId="52841"/>
    <cellStyle name="Обычный 9 4 3 2 2 8" xfId="52842"/>
    <cellStyle name="Обычный 9 4 3 2 3" xfId="52843"/>
    <cellStyle name="Обычный 9 4 3 2 3 2" xfId="52844"/>
    <cellStyle name="Обычный 9 4 3 2 3 2 2" xfId="52845"/>
    <cellStyle name="Обычный 9 4 3 2 3 2 2 2" xfId="52846"/>
    <cellStyle name="Обычный 9 4 3 2 3 2 2 3" xfId="52847"/>
    <cellStyle name="Обычный 9 4 3 2 3 2 3" xfId="52848"/>
    <cellStyle name="Обычный 9 4 3 2 3 2 3 2" xfId="52849"/>
    <cellStyle name="Обычный 9 4 3 2 3 2 3 3" xfId="52850"/>
    <cellStyle name="Обычный 9 4 3 2 3 2 4" xfId="52851"/>
    <cellStyle name="Обычный 9 4 3 2 3 2 4 2" xfId="52852"/>
    <cellStyle name="Обычный 9 4 3 2 3 2 5" xfId="52853"/>
    <cellStyle name="Обычный 9 4 3 2 3 2 6" xfId="52854"/>
    <cellStyle name="Обычный 9 4 3 2 3 3" xfId="52855"/>
    <cellStyle name="Обычный 9 4 3 2 3 3 2" xfId="52856"/>
    <cellStyle name="Обычный 9 4 3 2 3 3 3" xfId="52857"/>
    <cellStyle name="Обычный 9 4 3 2 3 4" xfId="52858"/>
    <cellStyle name="Обычный 9 4 3 2 3 4 2" xfId="52859"/>
    <cellStyle name="Обычный 9 4 3 2 3 4 3" xfId="52860"/>
    <cellStyle name="Обычный 9 4 3 2 3 5" xfId="52861"/>
    <cellStyle name="Обычный 9 4 3 2 3 5 2" xfId="52862"/>
    <cellStyle name="Обычный 9 4 3 2 3 6" xfId="52863"/>
    <cellStyle name="Обычный 9 4 3 2 3 7" xfId="52864"/>
    <cellStyle name="Обычный 9 4 3 2 4" xfId="52865"/>
    <cellStyle name="Обычный 9 4 3 2 4 2" xfId="52866"/>
    <cellStyle name="Обычный 9 4 3 2 4 2 2" xfId="52867"/>
    <cellStyle name="Обычный 9 4 3 2 4 2 3" xfId="52868"/>
    <cellStyle name="Обычный 9 4 3 2 4 3" xfId="52869"/>
    <cellStyle name="Обычный 9 4 3 2 4 3 2" xfId="52870"/>
    <cellStyle name="Обычный 9 4 3 2 4 3 3" xfId="52871"/>
    <cellStyle name="Обычный 9 4 3 2 4 4" xfId="52872"/>
    <cellStyle name="Обычный 9 4 3 2 4 4 2" xfId="52873"/>
    <cellStyle name="Обычный 9 4 3 2 4 5" xfId="52874"/>
    <cellStyle name="Обычный 9 4 3 2 4 6" xfId="52875"/>
    <cellStyle name="Обычный 9 4 3 2 5" xfId="52876"/>
    <cellStyle name="Обычный 9 4 3 2 5 2" xfId="52877"/>
    <cellStyle name="Обычный 9 4 3 2 5 3" xfId="52878"/>
    <cellStyle name="Обычный 9 4 3 2 6" xfId="52879"/>
    <cellStyle name="Обычный 9 4 3 2 6 2" xfId="52880"/>
    <cellStyle name="Обычный 9 4 3 2 6 3" xfId="52881"/>
    <cellStyle name="Обычный 9 4 3 2 7" xfId="52882"/>
    <cellStyle name="Обычный 9 4 3 2 7 2" xfId="52883"/>
    <cellStyle name="Обычный 9 4 3 2 8" xfId="52884"/>
    <cellStyle name="Обычный 9 4 3 2 9" xfId="52885"/>
    <cellStyle name="Обычный 9 4 3 3" xfId="52886"/>
    <cellStyle name="Обычный 9 4 3 3 2" xfId="52887"/>
    <cellStyle name="Обычный 9 4 3 3 2 2" xfId="52888"/>
    <cellStyle name="Обычный 9 4 3 3 2 2 2" xfId="52889"/>
    <cellStyle name="Обычный 9 4 3 3 2 2 2 2" xfId="52890"/>
    <cellStyle name="Обычный 9 4 3 3 2 2 2 3" xfId="52891"/>
    <cellStyle name="Обычный 9 4 3 3 2 2 3" xfId="52892"/>
    <cellStyle name="Обычный 9 4 3 3 2 2 3 2" xfId="52893"/>
    <cellStyle name="Обычный 9 4 3 3 2 2 3 3" xfId="52894"/>
    <cellStyle name="Обычный 9 4 3 3 2 2 4" xfId="52895"/>
    <cellStyle name="Обычный 9 4 3 3 2 2 4 2" xfId="52896"/>
    <cellStyle name="Обычный 9 4 3 3 2 2 5" xfId="52897"/>
    <cellStyle name="Обычный 9 4 3 3 2 2 6" xfId="52898"/>
    <cellStyle name="Обычный 9 4 3 3 2 3" xfId="52899"/>
    <cellStyle name="Обычный 9 4 3 3 2 3 2" xfId="52900"/>
    <cellStyle name="Обычный 9 4 3 3 2 3 3" xfId="52901"/>
    <cellStyle name="Обычный 9 4 3 3 2 4" xfId="52902"/>
    <cellStyle name="Обычный 9 4 3 3 2 4 2" xfId="52903"/>
    <cellStyle name="Обычный 9 4 3 3 2 4 3" xfId="52904"/>
    <cellStyle name="Обычный 9 4 3 3 2 5" xfId="52905"/>
    <cellStyle name="Обычный 9 4 3 3 2 5 2" xfId="52906"/>
    <cellStyle name="Обычный 9 4 3 3 2 6" xfId="52907"/>
    <cellStyle name="Обычный 9 4 3 3 2 7" xfId="52908"/>
    <cellStyle name="Обычный 9 4 3 3 3" xfId="52909"/>
    <cellStyle name="Обычный 9 4 3 3 3 2" xfId="52910"/>
    <cellStyle name="Обычный 9 4 3 3 3 2 2" xfId="52911"/>
    <cellStyle name="Обычный 9 4 3 3 3 2 3" xfId="52912"/>
    <cellStyle name="Обычный 9 4 3 3 3 3" xfId="52913"/>
    <cellStyle name="Обычный 9 4 3 3 3 3 2" xfId="52914"/>
    <cellStyle name="Обычный 9 4 3 3 3 3 3" xfId="52915"/>
    <cellStyle name="Обычный 9 4 3 3 3 4" xfId="52916"/>
    <cellStyle name="Обычный 9 4 3 3 3 4 2" xfId="52917"/>
    <cellStyle name="Обычный 9 4 3 3 3 5" xfId="52918"/>
    <cellStyle name="Обычный 9 4 3 3 3 6" xfId="52919"/>
    <cellStyle name="Обычный 9 4 3 3 4" xfId="52920"/>
    <cellStyle name="Обычный 9 4 3 3 4 2" xfId="52921"/>
    <cellStyle name="Обычный 9 4 3 3 4 3" xfId="52922"/>
    <cellStyle name="Обычный 9 4 3 3 5" xfId="52923"/>
    <cellStyle name="Обычный 9 4 3 3 5 2" xfId="52924"/>
    <cellStyle name="Обычный 9 4 3 3 5 3" xfId="52925"/>
    <cellStyle name="Обычный 9 4 3 3 6" xfId="52926"/>
    <cellStyle name="Обычный 9 4 3 3 6 2" xfId="52927"/>
    <cellStyle name="Обычный 9 4 3 3 7" xfId="52928"/>
    <cellStyle name="Обычный 9 4 3 3 8" xfId="52929"/>
    <cellStyle name="Обычный 9 4 3 4" xfId="52930"/>
    <cellStyle name="Обычный 9 4 3 4 2" xfId="52931"/>
    <cellStyle name="Обычный 9 4 3 4 2 2" xfId="52932"/>
    <cellStyle name="Обычный 9 4 3 4 2 2 2" xfId="52933"/>
    <cellStyle name="Обычный 9 4 3 4 2 2 3" xfId="52934"/>
    <cellStyle name="Обычный 9 4 3 4 2 3" xfId="52935"/>
    <cellStyle name="Обычный 9 4 3 4 2 3 2" xfId="52936"/>
    <cellStyle name="Обычный 9 4 3 4 2 3 3" xfId="52937"/>
    <cellStyle name="Обычный 9 4 3 4 2 4" xfId="52938"/>
    <cellStyle name="Обычный 9 4 3 4 2 4 2" xfId="52939"/>
    <cellStyle name="Обычный 9 4 3 4 2 5" xfId="52940"/>
    <cellStyle name="Обычный 9 4 3 4 2 6" xfId="52941"/>
    <cellStyle name="Обычный 9 4 3 4 3" xfId="52942"/>
    <cellStyle name="Обычный 9 4 3 4 3 2" xfId="52943"/>
    <cellStyle name="Обычный 9 4 3 4 3 3" xfId="52944"/>
    <cellStyle name="Обычный 9 4 3 4 4" xfId="52945"/>
    <cellStyle name="Обычный 9 4 3 4 4 2" xfId="52946"/>
    <cellStyle name="Обычный 9 4 3 4 4 3" xfId="52947"/>
    <cellStyle name="Обычный 9 4 3 4 5" xfId="52948"/>
    <cellStyle name="Обычный 9 4 3 4 5 2" xfId="52949"/>
    <cellStyle name="Обычный 9 4 3 4 6" xfId="52950"/>
    <cellStyle name="Обычный 9 4 3 4 7" xfId="52951"/>
    <cellStyle name="Обычный 9 4 3 5" xfId="52952"/>
    <cellStyle name="Обычный 9 4 3 5 2" xfId="52953"/>
    <cellStyle name="Обычный 9 4 3 5 2 2" xfId="52954"/>
    <cellStyle name="Обычный 9 4 3 5 2 3" xfId="52955"/>
    <cellStyle name="Обычный 9 4 3 5 3" xfId="52956"/>
    <cellStyle name="Обычный 9 4 3 5 3 2" xfId="52957"/>
    <cellStyle name="Обычный 9 4 3 5 3 3" xfId="52958"/>
    <cellStyle name="Обычный 9 4 3 5 4" xfId="52959"/>
    <cellStyle name="Обычный 9 4 3 5 4 2" xfId="52960"/>
    <cellStyle name="Обычный 9 4 3 5 5" xfId="52961"/>
    <cellStyle name="Обычный 9 4 3 5 6" xfId="52962"/>
    <cellStyle name="Обычный 9 4 3 6" xfId="52963"/>
    <cellStyle name="Обычный 9 4 3 6 2" xfId="52964"/>
    <cellStyle name="Обычный 9 4 3 6 3" xfId="52965"/>
    <cellStyle name="Обычный 9 4 3 7" xfId="52966"/>
    <cellStyle name="Обычный 9 4 3 7 2" xfId="52967"/>
    <cellStyle name="Обычный 9 4 3 7 3" xfId="52968"/>
    <cellStyle name="Обычный 9 4 3 8" xfId="52969"/>
    <cellStyle name="Обычный 9 4 3 8 2" xfId="52970"/>
    <cellStyle name="Обычный 9 4 3 9" xfId="52971"/>
    <cellStyle name="Обычный 9 4 4" xfId="52972"/>
    <cellStyle name="Обычный 9 4 4 10" xfId="52973"/>
    <cellStyle name="Обычный 9 4 4 2" xfId="52974"/>
    <cellStyle name="Обычный 9 4 4 2 2" xfId="52975"/>
    <cellStyle name="Обычный 9 4 4 2 2 2" xfId="52976"/>
    <cellStyle name="Обычный 9 4 4 2 2 2 2" xfId="52977"/>
    <cellStyle name="Обычный 9 4 4 2 2 2 2 2" xfId="52978"/>
    <cellStyle name="Обычный 9 4 4 2 2 2 2 2 2" xfId="52979"/>
    <cellStyle name="Обычный 9 4 4 2 2 2 2 2 3" xfId="52980"/>
    <cellStyle name="Обычный 9 4 4 2 2 2 2 3" xfId="52981"/>
    <cellStyle name="Обычный 9 4 4 2 2 2 2 3 2" xfId="52982"/>
    <cellStyle name="Обычный 9 4 4 2 2 2 2 3 3" xfId="52983"/>
    <cellStyle name="Обычный 9 4 4 2 2 2 2 4" xfId="52984"/>
    <cellStyle name="Обычный 9 4 4 2 2 2 2 4 2" xfId="52985"/>
    <cellStyle name="Обычный 9 4 4 2 2 2 2 5" xfId="52986"/>
    <cellStyle name="Обычный 9 4 4 2 2 2 2 6" xfId="52987"/>
    <cellStyle name="Обычный 9 4 4 2 2 2 3" xfId="52988"/>
    <cellStyle name="Обычный 9 4 4 2 2 2 3 2" xfId="52989"/>
    <cellStyle name="Обычный 9 4 4 2 2 2 3 3" xfId="52990"/>
    <cellStyle name="Обычный 9 4 4 2 2 2 4" xfId="52991"/>
    <cellStyle name="Обычный 9 4 4 2 2 2 4 2" xfId="52992"/>
    <cellStyle name="Обычный 9 4 4 2 2 2 4 3" xfId="52993"/>
    <cellStyle name="Обычный 9 4 4 2 2 2 5" xfId="52994"/>
    <cellStyle name="Обычный 9 4 4 2 2 2 5 2" xfId="52995"/>
    <cellStyle name="Обычный 9 4 4 2 2 2 6" xfId="52996"/>
    <cellStyle name="Обычный 9 4 4 2 2 2 7" xfId="52997"/>
    <cellStyle name="Обычный 9 4 4 2 2 3" xfId="52998"/>
    <cellStyle name="Обычный 9 4 4 2 2 3 2" xfId="52999"/>
    <cellStyle name="Обычный 9 4 4 2 2 3 2 2" xfId="53000"/>
    <cellStyle name="Обычный 9 4 4 2 2 3 2 3" xfId="53001"/>
    <cellStyle name="Обычный 9 4 4 2 2 3 3" xfId="53002"/>
    <cellStyle name="Обычный 9 4 4 2 2 3 3 2" xfId="53003"/>
    <cellStyle name="Обычный 9 4 4 2 2 3 3 3" xfId="53004"/>
    <cellStyle name="Обычный 9 4 4 2 2 3 4" xfId="53005"/>
    <cellStyle name="Обычный 9 4 4 2 2 3 4 2" xfId="53006"/>
    <cellStyle name="Обычный 9 4 4 2 2 3 5" xfId="53007"/>
    <cellStyle name="Обычный 9 4 4 2 2 3 6" xfId="53008"/>
    <cellStyle name="Обычный 9 4 4 2 2 4" xfId="53009"/>
    <cellStyle name="Обычный 9 4 4 2 2 4 2" xfId="53010"/>
    <cellStyle name="Обычный 9 4 4 2 2 4 3" xfId="53011"/>
    <cellStyle name="Обычный 9 4 4 2 2 5" xfId="53012"/>
    <cellStyle name="Обычный 9 4 4 2 2 5 2" xfId="53013"/>
    <cellStyle name="Обычный 9 4 4 2 2 5 3" xfId="53014"/>
    <cellStyle name="Обычный 9 4 4 2 2 6" xfId="53015"/>
    <cellStyle name="Обычный 9 4 4 2 2 6 2" xfId="53016"/>
    <cellStyle name="Обычный 9 4 4 2 2 7" xfId="53017"/>
    <cellStyle name="Обычный 9 4 4 2 2 8" xfId="53018"/>
    <cellStyle name="Обычный 9 4 4 2 3" xfId="53019"/>
    <cellStyle name="Обычный 9 4 4 2 3 2" xfId="53020"/>
    <cellStyle name="Обычный 9 4 4 2 3 2 2" xfId="53021"/>
    <cellStyle name="Обычный 9 4 4 2 3 2 2 2" xfId="53022"/>
    <cellStyle name="Обычный 9 4 4 2 3 2 2 3" xfId="53023"/>
    <cellStyle name="Обычный 9 4 4 2 3 2 3" xfId="53024"/>
    <cellStyle name="Обычный 9 4 4 2 3 2 3 2" xfId="53025"/>
    <cellStyle name="Обычный 9 4 4 2 3 2 3 3" xfId="53026"/>
    <cellStyle name="Обычный 9 4 4 2 3 2 4" xfId="53027"/>
    <cellStyle name="Обычный 9 4 4 2 3 2 4 2" xfId="53028"/>
    <cellStyle name="Обычный 9 4 4 2 3 2 5" xfId="53029"/>
    <cellStyle name="Обычный 9 4 4 2 3 2 6" xfId="53030"/>
    <cellStyle name="Обычный 9 4 4 2 3 3" xfId="53031"/>
    <cellStyle name="Обычный 9 4 4 2 3 3 2" xfId="53032"/>
    <cellStyle name="Обычный 9 4 4 2 3 3 3" xfId="53033"/>
    <cellStyle name="Обычный 9 4 4 2 3 4" xfId="53034"/>
    <cellStyle name="Обычный 9 4 4 2 3 4 2" xfId="53035"/>
    <cellStyle name="Обычный 9 4 4 2 3 4 3" xfId="53036"/>
    <cellStyle name="Обычный 9 4 4 2 3 5" xfId="53037"/>
    <cellStyle name="Обычный 9 4 4 2 3 5 2" xfId="53038"/>
    <cellStyle name="Обычный 9 4 4 2 3 6" xfId="53039"/>
    <cellStyle name="Обычный 9 4 4 2 3 7" xfId="53040"/>
    <cellStyle name="Обычный 9 4 4 2 4" xfId="53041"/>
    <cellStyle name="Обычный 9 4 4 2 4 2" xfId="53042"/>
    <cellStyle name="Обычный 9 4 4 2 4 2 2" xfId="53043"/>
    <cellStyle name="Обычный 9 4 4 2 4 2 3" xfId="53044"/>
    <cellStyle name="Обычный 9 4 4 2 4 3" xfId="53045"/>
    <cellStyle name="Обычный 9 4 4 2 4 3 2" xfId="53046"/>
    <cellStyle name="Обычный 9 4 4 2 4 3 3" xfId="53047"/>
    <cellStyle name="Обычный 9 4 4 2 4 4" xfId="53048"/>
    <cellStyle name="Обычный 9 4 4 2 4 4 2" xfId="53049"/>
    <cellStyle name="Обычный 9 4 4 2 4 5" xfId="53050"/>
    <cellStyle name="Обычный 9 4 4 2 4 6" xfId="53051"/>
    <cellStyle name="Обычный 9 4 4 2 5" xfId="53052"/>
    <cellStyle name="Обычный 9 4 4 2 5 2" xfId="53053"/>
    <cellStyle name="Обычный 9 4 4 2 5 3" xfId="53054"/>
    <cellStyle name="Обычный 9 4 4 2 6" xfId="53055"/>
    <cellStyle name="Обычный 9 4 4 2 6 2" xfId="53056"/>
    <cellStyle name="Обычный 9 4 4 2 6 3" xfId="53057"/>
    <cellStyle name="Обычный 9 4 4 2 7" xfId="53058"/>
    <cellStyle name="Обычный 9 4 4 2 7 2" xfId="53059"/>
    <cellStyle name="Обычный 9 4 4 2 8" xfId="53060"/>
    <cellStyle name="Обычный 9 4 4 2 9" xfId="53061"/>
    <cellStyle name="Обычный 9 4 4 3" xfId="53062"/>
    <cellStyle name="Обычный 9 4 4 3 2" xfId="53063"/>
    <cellStyle name="Обычный 9 4 4 3 2 2" xfId="53064"/>
    <cellStyle name="Обычный 9 4 4 3 2 2 2" xfId="53065"/>
    <cellStyle name="Обычный 9 4 4 3 2 2 2 2" xfId="53066"/>
    <cellStyle name="Обычный 9 4 4 3 2 2 2 3" xfId="53067"/>
    <cellStyle name="Обычный 9 4 4 3 2 2 3" xfId="53068"/>
    <cellStyle name="Обычный 9 4 4 3 2 2 3 2" xfId="53069"/>
    <cellStyle name="Обычный 9 4 4 3 2 2 3 3" xfId="53070"/>
    <cellStyle name="Обычный 9 4 4 3 2 2 4" xfId="53071"/>
    <cellStyle name="Обычный 9 4 4 3 2 2 4 2" xfId="53072"/>
    <cellStyle name="Обычный 9 4 4 3 2 2 5" xfId="53073"/>
    <cellStyle name="Обычный 9 4 4 3 2 2 6" xfId="53074"/>
    <cellStyle name="Обычный 9 4 4 3 2 3" xfId="53075"/>
    <cellStyle name="Обычный 9 4 4 3 2 3 2" xfId="53076"/>
    <cellStyle name="Обычный 9 4 4 3 2 3 3" xfId="53077"/>
    <cellStyle name="Обычный 9 4 4 3 2 4" xfId="53078"/>
    <cellStyle name="Обычный 9 4 4 3 2 4 2" xfId="53079"/>
    <cellStyle name="Обычный 9 4 4 3 2 4 3" xfId="53080"/>
    <cellStyle name="Обычный 9 4 4 3 2 5" xfId="53081"/>
    <cellStyle name="Обычный 9 4 4 3 2 5 2" xfId="53082"/>
    <cellStyle name="Обычный 9 4 4 3 2 6" xfId="53083"/>
    <cellStyle name="Обычный 9 4 4 3 2 7" xfId="53084"/>
    <cellStyle name="Обычный 9 4 4 3 3" xfId="53085"/>
    <cellStyle name="Обычный 9 4 4 3 3 2" xfId="53086"/>
    <cellStyle name="Обычный 9 4 4 3 3 2 2" xfId="53087"/>
    <cellStyle name="Обычный 9 4 4 3 3 2 3" xfId="53088"/>
    <cellStyle name="Обычный 9 4 4 3 3 3" xfId="53089"/>
    <cellStyle name="Обычный 9 4 4 3 3 3 2" xfId="53090"/>
    <cellStyle name="Обычный 9 4 4 3 3 3 3" xfId="53091"/>
    <cellStyle name="Обычный 9 4 4 3 3 4" xfId="53092"/>
    <cellStyle name="Обычный 9 4 4 3 3 4 2" xfId="53093"/>
    <cellStyle name="Обычный 9 4 4 3 3 5" xfId="53094"/>
    <cellStyle name="Обычный 9 4 4 3 3 6" xfId="53095"/>
    <cellStyle name="Обычный 9 4 4 3 4" xfId="53096"/>
    <cellStyle name="Обычный 9 4 4 3 4 2" xfId="53097"/>
    <cellStyle name="Обычный 9 4 4 3 4 3" xfId="53098"/>
    <cellStyle name="Обычный 9 4 4 3 5" xfId="53099"/>
    <cellStyle name="Обычный 9 4 4 3 5 2" xfId="53100"/>
    <cellStyle name="Обычный 9 4 4 3 5 3" xfId="53101"/>
    <cellStyle name="Обычный 9 4 4 3 6" xfId="53102"/>
    <cellStyle name="Обычный 9 4 4 3 6 2" xfId="53103"/>
    <cellStyle name="Обычный 9 4 4 3 7" xfId="53104"/>
    <cellStyle name="Обычный 9 4 4 3 8" xfId="53105"/>
    <cellStyle name="Обычный 9 4 4 4" xfId="53106"/>
    <cellStyle name="Обычный 9 4 4 4 2" xfId="53107"/>
    <cellStyle name="Обычный 9 4 4 4 2 2" xfId="53108"/>
    <cellStyle name="Обычный 9 4 4 4 2 2 2" xfId="53109"/>
    <cellStyle name="Обычный 9 4 4 4 2 2 3" xfId="53110"/>
    <cellStyle name="Обычный 9 4 4 4 2 3" xfId="53111"/>
    <cellStyle name="Обычный 9 4 4 4 2 3 2" xfId="53112"/>
    <cellStyle name="Обычный 9 4 4 4 2 3 3" xfId="53113"/>
    <cellStyle name="Обычный 9 4 4 4 2 4" xfId="53114"/>
    <cellStyle name="Обычный 9 4 4 4 2 4 2" xfId="53115"/>
    <cellStyle name="Обычный 9 4 4 4 2 5" xfId="53116"/>
    <cellStyle name="Обычный 9 4 4 4 2 6" xfId="53117"/>
    <cellStyle name="Обычный 9 4 4 4 3" xfId="53118"/>
    <cellStyle name="Обычный 9 4 4 4 3 2" xfId="53119"/>
    <cellStyle name="Обычный 9 4 4 4 3 3" xfId="53120"/>
    <cellStyle name="Обычный 9 4 4 4 4" xfId="53121"/>
    <cellStyle name="Обычный 9 4 4 4 4 2" xfId="53122"/>
    <cellStyle name="Обычный 9 4 4 4 4 3" xfId="53123"/>
    <cellStyle name="Обычный 9 4 4 4 5" xfId="53124"/>
    <cellStyle name="Обычный 9 4 4 4 5 2" xfId="53125"/>
    <cellStyle name="Обычный 9 4 4 4 6" xfId="53126"/>
    <cellStyle name="Обычный 9 4 4 4 7" xfId="53127"/>
    <cellStyle name="Обычный 9 4 4 5" xfId="53128"/>
    <cellStyle name="Обычный 9 4 4 5 2" xfId="53129"/>
    <cellStyle name="Обычный 9 4 4 5 2 2" xfId="53130"/>
    <cellStyle name="Обычный 9 4 4 5 2 3" xfId="53131"/>
    <cellStyle name="Обычный 9 4 4 5 3" xfId="53132"/>
    <cellStyle name="Обычный 9 4 4 5 3 2" xfId="53133"/>
    <cellStyle name="Обычный 9 4 4 5 3 3" xfId="53134"/>
    <cellStyle name="Обычный 9 4 4 5 4" xfId="53135"/>
    <cellStyle name="Обычный 9 4 4 5 4 2" xfId="53136"/>
    <cellStyle name="Обычный 9 4 4 5 5" xfId="53137"/>
    <cellStyle name="Обычный 9 4 4 5 6" xfId="53138"/>
    <cellStyle name="Обычный 9 4 4 6" xfId="53139"/>
    <cellStyle name="Обычный 9 4 4 6 2" xfId="53140"/>
    <cellStyle name="Обычный 9 4 4 6 3" xfId="53141"/>
    <cellStyle name="Обычный 9 4 4 7" xfId="53142"/>
    <cellStyle name="Обычный 9 4 4 7 2" xfId="53143"/>
    <cellStyle name="Обычный 9 4 4 7 3" xfId="53144"/>
    <cellStyle name="Обычный 9 4 4 8" xfId="53145"/>
    <cellStyle name="Обычный 9 4 4 8 2" xfId="53146"/>
    <cellStyle name="Обычный 9 4 4 9" xfId="53147"/>
    <cellStyle name="Обычный 9 4 5" xfId="53148"/>
    <cellStyle name="Обычный 9 4 5 10" xfId="53149"/>
    <cellStyle name="Обычный 9 4 5 2" xfId="53150"/>
    <cellStyle name="Обычный 9 4 5 2 2" xfId="53151"/>
    <cellStyle name="Обычный 9 4 5 2 2 2" xfId="53152"/>
    <cellStyle name="Обычный 9 4 5 2 2 2 2" xfId="53153"/>
    <cellStyle name="Обычный 9 4 5 2 2 2 2 2" xfId="53154"/>
    <cellStyle name="Обычный 9 4 5 2 2 2 2 2 2" xfId="53155"/>
    <cellStyle name="Обычный 9 4 5 2 2 2 2 2 3" xfId="53156"/>
    <cellStyle name="Обычный 9 4 5 2 2 2 2 3" xfId="53157"/>
    <cellStyle name="Обычный 9 4 5 2 2 2 2 3 2" xfId="53158"/>
    <cellStyle name="Обычный 9 4 5 2 2 2 2 3 3" xfId="53159"/>
    <cellStyle name="Обычный 9 4 5 2 2 2 2 4" xfId="53160"/>
    <cellStyle name="Обычный 9 4 5 2 2 2 2 4 2" xfId="53161"/>
    <cellStyle name="Обычный 9 4 5 2 2 2 2 5" xfId="53162"/>
    <cellStyle name="Обычный 9 4 5 2 2 2 2 6" xfId="53163"/>
    <cellStyle name="Обычный 9 4 5 2 2 2 3" xfId="53164"/>
    <cellStyle name="Обычный 9 4 5 2 2 2 3 2" xfId="53165"/>
    <cellStyle name="Обычный 9 4 5 2 2 2 3 3" xfId="53166"/>
    <cellStyle name="Обычный 9 4 5 2 2 2 4" xfId="53167"/>
    <cellStyle name="Обычный 9 4 5 2 2 2 4 2" xfId="53168"/>
    <cellStyle name="Обычный 9 4 5 2 2 2 4 3" xfId="53169"/>
    <cellStyle name="Обычный 9 4 5 2 2 2 5" xfId="53170"/>
    <cellStyle name="Обычный 9 4 5 2 2 2 5 2" xfId="53171"/>
    <cellStyle name="Обычный 9 4 5 2 2 2 6" xfId="53172"/>
    <cellStyle name="Обычный 9 4 5 2 2 2 7" xfId="53173"/>
    <cellStyle name="Обычный 9 4 5 2 2 3" xfId="53174"/>
    <cellStyle name="Обычный 9 4 5 2 2 3 2" xfId="53175"/>
    <cellStyle name="Обычный 9 4 5 2 2 3 2 2" xfId="53176"/>
    <cellStyle name="Обычный 9 4 5 2 2 3 2 3" xfId="53177"/>
    <cellStyle name="Обычный 9 4 5 2 2 3 3" xfId="53178"/>
    <cellStyle name="Обычный 9 4 5 2 2 3 3 2" xfId="53179"/>
    <cellStyle name="Обычный 9 4 5 2 2 3 3 3" xfId="53180"/>
    <cellStyle name="Обычный 9 4 5 2 2 3 4" xfId="53181"/>
    <cellStyle name="Обычный 9 4 5 2 2 3 4 2" xfId="53182"/>
    <cellStyle name="Обычный 9 4 5 2 2 3 5" xfId="53183"/>
    <cellStyle name="Обычный 9 4 5 2 2 3 6" xfId="53184"/>
    <cellStyle name="Обычный 9 4 5 2 2 4" xfId="53185"/>
    <cellStyle name="Обычный 9 4 5 2 2 4 2" xfId="53186"/>
    <cellStyle name="Обычный 9 4 5 2 2 4 3" xfId="53187"/>
    <cellStyle name="Обычный 9 4 5 2 2 5" xfId="53188"/>
    <cellStyle name="Обычный 9 4 5 2 2 5 2" xfId="53189"/>
    <cellStyle name="Обычный 9 4 5 2 2 5 3" xfId="53190"/>
    <cellStyle name="Обычный 9 4 5 2 2 6" xfId="53191"/>
    <cellStyle name="Обычный 9 4 5 2 2 6 2" xfId="53192"/>
    <cellStyle name="Обычный 9 4 5 2 2 7" xfId="53193"/>
    <cellStyle name="Обычный 9 4 5 2 2 8" xfId="53194"/>
    <cellStyle name="Обычный 9 4 5 2 3" xfId="53195"/>
    <cellStyle name="Обычный 9 4 5 2 3 2" xfId="53196"/>
    <cellStyle name="Обычный 9 4 5 2 3 2 2" xfId="53197"/>
    <cellStyle name="Обычный 9 4 5 2 3 2 2 2" xfId="53198"/>
    <cellStyle name="Обычный 9 4 5 2 3 2 2 3" xfId="53199"/>
    <cellStyle name="Обычный 9 4 5 2 3 2 3" xfId="53200"/>
    <cellStyle name="Обычный 9 4 5 2 3 2 3 2" xfId="53201"/>
    <cellStyle name="Обычный 9 4 5 2 3 2 3 3" xfId="53202"/>
    <cellStyle name="Обычный 9 4 5 2 3 2 4" xfId="53203"/>
    <cellStyle name="Обычный 9 4 5 2 3 2 4 2" xfId="53204"/>
    <cellStyle name="Обычный 9 4 5 2 3 2 5" xfId="53205"/>
    <cellStyle name="Обычный 9 4 5 2 3 2 6" xfId="53206"/>
    <cellStyle name="Обычный 9 4 5 2 3 3" xfId="53207"/>
    <cellStyle name="Обычный 9 4 5 2 3 3 2" xfId="53208"/>
    <cellStyle name="Обычный 9 4 5 2 3 3 3" xfId="53209"/>
    <cellStyle name="Обычный 9 4 5 2 3 4" xfId="53210"/>
    <cellStyle name="Обычный 9 4 5 2 3 4 2" xfId="53211"/>
    <cellStyle name="Обычный 9 4 5 2 3 4 3" xfId="53212"/>
    <cellStyle name="Обычный 9 4 5 2 3 5" xfId="53213"/>
    <cellStyle name="Обычный 9 4 5 2 3 5 2" xfId="53214"/>
    <cellStyle name="Обычный 9 4 5 2 3 6" xfId="53215"/>
    <cellStyle name="Обычный 9 4 5 2 3 7" xfId="53216"/>
    <cellStyle name="Обычный 9 4 5 2 4" xfId="53217"/>
    <cellStyle name="Обычный 9 4 5 2 4 2" xfId="53218"/>
    <cellStyle name="Обычный 9 4 5 2 4 2 2" xfId="53219"/>
    <cellStyle name="Обычный 9 4 5 2 4 2 3" xfId="53220"/>
    <cellStyle name="Обычный 9 4 5 2 4 3" xfId="53221"/>
    <cellStyle name="Обычный 9 4 5 2 4 3 2" xfId="53222"/>
    <cellStyle name="Обычный 9 4 5 2 4 3 3" xfId="53223"/>
    <cellStyle name="Обычный 9 4 5 2 4 4" xfId="53224"/>
    <cellStyle name="Обычный 9 4 5 2 4 4 2" xfId="53225"/>
    <cellStyle name="Обычный 9 4 5 2 4 5" xfId="53226"/>
    <cellStyle name="Обычный 9 4 5 2 4 6" xfId="53227"/>
    <cellStyle name="Обычный 9 4 5 2 5" xfId="53228"/>
    <cellStyle name="Обычный 9 4 5 2 5 2" xfId="53229"/>
    <cellStyle name="Обычный 9 4 5 2 5 3" xfId="53230"/>
    <cellStyle name="Обычный 9 4 5 2 6" xfId="53231"/>
    <cellStyle name="Обычный 9 4 5 2 6 2" xfId="53232"/>
    <cellStyle name="Обычный 9 4 5 2 6 3" xfId="53233"/>
    <cellStyle name="Обычный 9 4 5 2 7" xfId="53234"/>
    <cellStyle name="Обычный 9 4 5 2 7 2" xfId="53235"/>
    <cellStyle name="Обычный 9 4 5 2 8" xfId="53236"/>
    <cellStyle name="Обычный 9 4 5 2 9" xfId="53237"/>
    <cellStyle name="Обычный 9 4 5 3" xfId="53238"/>
    <cellStyle name="Обычный 9 4 5 3 2" xfId="53239"/>
    <cellStyle name="Обычный 9 4 5 3 2 2" xfId="53240"/>
    <cellStyle name="Обычный 9 4 5 3 2 2 2" xfId="53241"/>
    <cellStyle name="Обычный 9 4 5 3 2 2 2 2" xfId="53242"/>
    <cellStyle name="Обычный 9 4 5 3 2 2 2 3" xfId="53243"/>
    <cellStyle name="Обычный 9 4 5 3 2 2 3" xfId="53244"/>
    <cellStyle name="Обычный 9 4 5 3 2 2 3 2" xfId="53245"/>
    <cellStyle name="Обычный 9 4 5 3 2 2 3 3" xfId="53246"/>
    <cellStyle name="Обычный 9 4 5 3 2 2 4" xfId="53247"/>
    <cellStyle name="Обычный 9 4 5 3 2 2 4 2" xfId="53248"/>
    <cellStyle name="Обычный 9 4 5 3 2 2 5" xfId="53249"/>
    <cellStyle name="Обычный 9 4 5 3 2 2 6" xfId="53250"/>
    <cellStyle name="Обычный 9 4 5 3 2 3" xfId="53251"/>
    <cellStyle name="Обычный 9 4 5 3 2 3 2" xfId="53252"/>
    <cellStyle name="Обычный 9 4 5 3 2 3 3" xfId="53253"/>
    <cellStyle name="Обычный 9 4 5 3 2 4" xfId="53254"/>
    <cellStyle name="Обычный 9 4 5 3 2 4 2" xfId="53255"/>
    <cellStyle name="Обычный 9 4 5 3 2 4 3" xfId="53256"/>
    <cellStyle name="Обычный 9 4 5 3 2 5" xfId="53257"/>
    <cellStyle name="Обычный 9 4 5 3 2 5 2" xfId="53258"/>
    <cellStyle name="Обычный 9 4 5 3 2 6" xfId="53259"/>
    <cellStyle name="Обычный 9 4 5 3 2 7" xfId="53260"/>
    <cellStyle name="Обычный 9 4 5 3 3" xfId="53261"/>
    <cellStyle name="Обычный 9 4 5 3 3 2" xfId="53262"/>
    <cellStyle name="Обычный 9 4 5 3 3 2 2" xfId="53263"/>
    <cellStyle name="Обычный 9 4 5 3 3 2 3" xfId="53264"/>
    <cellStyle name="Обычный 9 4 5 3 3 3" xfId="53265"/>
    <cellStyle name="Обычный 9 4 5 3 3 3 2" xfId="53266"/>
    <cellStyle name="Обычный 9 4 5 3 3 3 3" xfId="53267"/>
    <cellStyle name="Обычный 9 4 5 3 3 4" xfId="53268"/>
    <cellStyle name="Обычный 9 4 5 3 3 4 2" xfId="53269"/>
    <cellStyle name="Обычный 9 4 5 3 3 5" xfId="53270"/>
    <cellStyle name="Обычный 9 4 5 3 3 6" xfId="53271"/>
    <cellStyle name="Обычный 9 4 5 3 4" xfId="53272"/>
    <cellStyle name="Обычный 9 4 5 3 4 2" xfId="53273"/>
    <cellStyle name="Обычный 9 4 5 3 4 3" xfId="53274"/>
    <cellStyle name="Обычный 9 4 5 3 5" xfId="53275"/>
    <cellStyle name="Обычный 9 4 5 3 5 2" xfId="53276"/>
    <cellStyle name="Обычный 9 4 5 3 5 3" xfId="53277"/>
    <cellStyle name="Обычный 9 4 5 3 6" xfId="53278"/>
    <cellStyle name="Обычный 9 4 5 3 6 2" xfId="53279"/>
    <cellStyle name="Обычный 9 4 5 3 7" xfId="53280"/>
    <cellStyle name="Обычный 9 4 5 3 8" xfId="53281"/>
    <cellStyle name="Обычный 9 4 5 4" xfId="53282"/>
    <cellStyle name="Обычный 9 4 5 4 2" xfId="53283"/>
    <cellStyle name="Обычный 9 4 5 4 2 2" xfId="53284"/>
    <cellStyle name="Обычный 9 4 5 4 2 2 2" xfId="53285"/>
    <cellStyle name="Обычный 9 4 5 4 2 2 3" xfId="53286"/>
    <cellStyle name="Обычный 9 4 5 4 2 3" xfId="53287"/>
    <cellStyle name="Обычный 9 4 5 4 2 3 2" xfId="53288"/>
    <cellStyle name="Обычный 9 4 5 4 2 3 3" xfId="53289"/>
    <cellStyle name="Обычный 9 4 5 4 2 4" xfId="53290"/>
    <cellStyle name="Обычный 9 4 5 4 2 4 2" xfId="53291"/>
    <cellStyle name="Обычный 9 4 5 4 2 5" xfId="53292"/>
    <cellStyle name="Обычный 9 4 5 4 2 6" xfId="53293"/>
    <cellStyle name="Обычный 9 4 5 4 3" xfId="53294"/>
    <cellStyle name="Обычный 9 4 5 4 3 2" xfId="53295"/>
    <cellStyle name="Обычный 9 4 5 4 3 3" xfId="53296"/>
    <cellStyle name="Обычный 9 4 5 4 4" xfId="53297"/>
    <cellStyle name="Обычный 9 4 5 4 4 2" xfId="53298"/>
    <cellStyle name="Обычный 9 4 5 4 4 3" xfId="53299"/>
    <cellStyle name="Обычный 9 4 5 4 5" xfId="53300"/>
    <cellStyle name="Обычный 9 4 5 4 5 2" xfId="53301"/>
    <cellStyle name="Обычный 9 4 5 4 6" xfId="53302"/>
    <cellStyle name="Обычный 9 4 5 4 7" xfId="53303"/>
    <cellStyle name="Обычный 9 4 5 5" xfId="53304"/>
    <cellStyle name="Обычный 9 4 5 5 2" xfId="53305"/>
    <cellStyle name="Обычный 9 4 5 5 2 2" xfId="53306"/>
    <cellStyle name="Обычный 9 4 5 5 2 3" xfId="53307"/>
    <cellStyle name="Обычный 9 4 5 5 3" xfId="53308"/>
    <cellStyle name="Обычный 9 4 5 5 3 2" xfId="53309"/>
    <cellStyle name="Обычный 9 4 5 5 3 3" xfId="53310"/>
    <cellStyle name="Обычный 9 4 5 5 4" xfId="53311"/>
    <cellStyle name="Обычный 9 4 5 5 4 2" xfId="53312"/>
    <cellStyle name="Обычный 9 4 5 5 5" xfId="53313"/>
    <cellStyle name="Обычный 9 4 5 5 6" xfId="53314"/>
    <cellStyle name="Обычный 9 4 5 6" xfId="53315"/>
    <cellStyle name="Обычный 9 4 5 6 2" xfId="53316"/>
    <cellStyle name="Обычный 9 4 5 6 3" xfId="53317"/>
    <cellStyle name="Обычный 9 4 5 7" xfId="53318"/>
    <cellStyle name="Обычный 9 4 5 7 2" xfId="53319"/>
    <cellStyle name="Обычный 9 4 5 7 3" xfId="53320"/>
    <cellStyle name="Обычный 9 4 5 8" xfId="53321"/>
    <cellStyle name="Обычный 9 4 5 8 2" xfId="53322"/>
    <cellStyle name="Обычный 9 4 5 9" xfId="53323"/>
    <cellStyle name="Обычный 9 4 6" xfId="53324"/>
    <cellStyle name="Обычный 9 4 6 2" xfId="53325"/>
    <cellStyle name="Обычный 9 4 6 2 2" xfId="53326"/>
    <cellStyle name="Обычный 9 4 6 2 2 2" xfId="53327"/>
    <cellStyle name="Обычный 9 4 6 2 2 2 2" xfId="53328"/>
    <cellStyle name="Обычный 9 4 6 2 2 2 2 2" xfId="53329"/>
    <cellStyle name="Обычный 9 4 6 2 2 2 2 3" xfId="53330"/>
    <cellStyle name="Обычный 9 4 6 2 2 2 3" xfId="53331"/>
    <cellStyle name="Обычный 9 4 6 2 2 2 3 2" xfId="53332"/>
    <cellStyle name="Обычный 9 4 6 2 2 2 3 3" xfId="53333"/>
    <cellStyle name="Обычный 9 4 6 2 2 2 4" xfId="53334"/>
    <cellStyle name="Обычный 9 4 6 2 2 2 4 2" xfId="53335"/>
    <cellStyle name="Обычный 9 4 6 2 2 2 5" xfId="53336"/>
    <cellStyle name="Обычный 9 4 6 2 2 2 6" xfId="53337"/>
    <cellStyle name="Обычный 9 4 6 2 2 3" xfId="53338"/>
    <cellStyle name="Обычный 9 4 6 2 2 3 2" xfId="53339"/>
    <cellStyle name="Обычный 9 4 6 2 2 3 3" xfId="53340"/>
    <cellStyle name="Обычный 9 4 6 2 2 4" xfId="53341"/>
    <cellStyle name="Обычный 9 4 6 2 2 4 2" xfId="53342"/>
    <cellStyle name="Обычный 9 4 6 2 2 4 3" xfId="53343"/>
    <cellStyle name="Обычный 9 4 6 2 2 5" xfId="53344"/>
    <cellStyle name="Обычный 9 4 6 2 2 5 2" xfId="53345"/>
    <cellStyle name="Обычный 9 4 6 2 2 6" xfId="53346"/>
    <cellStyle name="Обычный 9 4 6 2 2 7" xfId="53347"/>
    <cellStyle name="Обычный 9 4 6 2 3" xfId="53348"/>
    <cellStyle name="Обычный 9 4 6 2 3 2" xfId="53349"/>
    <cellStyle name="Обычный 9 4 6 2 3 2 2" xfId="53350"/>
    <cellStyle name="Обычный 9 4 6 2 3 2 3" xfId="53351"/>
    <cellStyle name="Обычный 9 4 6 2 3 3" xfId="53352"/>
    <cellStyle name="Обычный 9 4 6 2 3 3 2" xfId="53353"/>
    <cellStyle name="Обычный 9 4 6 2 3 3 3" xfId="53354"/>
    <cellStyle name="Обычный 9 4 6 2 3 4" xfId="53355"/>
    <cellStyle name="Обычный 9 4 6 2 3 4 2" xfId="53356"/>
    <cellStyle name="Обычный 9 4 6 2 3 5" xfId="53357"/>
    <cellStyle name="Обычный 9 4 6 2 3 6" xfId="53358"/>
    <cellStyle name="Обычный 9 4 6 2 4" xfId="53359"/>
    <cellStyle name="Обычный 9 4 6 2 4 2" xfId="53360"/>
    <cellStyle name="Обычный 9 4 6 2 4 3" xfId="53361"/>
    <cellStyle name="Обычный 9 4 6 2 5" xfId="53362"/>
    <cellStyle name="Обычный 9 4 6 2 5 2" xfId="53363"/>
    <cellStyle name="Обычный 9 4 6 2 5 3" xfId="53364"/>
    <cellStyle name="Обычный 9 4 6 2 6" xfId="53365"/>
    <cellStyle name="Обычный 9 4 6 2 6 2" xfId="53366"/>
    <cellStyle name="Обычный 9 4 6 2 7" xfId="53367"/>
    <cellStyle name="Обычный 9 4 6 2 8" xfId="53368"/>
    <cellStyle name="Обычный 9 4 6 3" xfId="53369"/>
    <cellStyle name="Обычный 9 4 6 3 2" xfId="53370"/>
    <cellStyle name="Обычный 9 4 6 3 2 2" xfId="53371"/>
    <cellStyle name="Обычный 9 4 6 3 2 2 2" xfId="53372"/>
    <cellStyle name="Обычный 9 4 6 3 2 2 3" xfId="53373"/>
    <cellStyle name="Обычный 9 4 6 3 2 3" xfId="53374"/>
    <cellStyle name="Обычный 9 4 6 3 2 3 2" xfId="53375"/>
    <cellStyle name="Обычный 9 4 6 3 2 3 3" xfId="53376"/>
    <cellStyle name="Обычный 9 4 6 3 2 4" xfId="53377"/>
    <cellStyle name="Обычный 9 4 6 3 2 4 2" xfId="53378"/>
    <cellStyle name="Обычный 9 4 6 3 2 5" xfId="53379"/>
    <cellStyle name="Обычный 9 4 6 3 2 6" xfId="53380"/>
    <cellStyle name="Обычный 9 4 6 3 3" xfId="53381"/>
    <cellStyle name="Обычный 9 4 6 3 3 2" xfId="53382"/>
    <cellStyle name="Обычный 9 4 6 3 3 3" xfId="53383"/>
    <cellStyle name="Обычный 9 4 6 3 4" xfId="53384"/>
    <cellStyle name="Обычный 9 4 6 3 4 2" xfId="53385"/>
    <cellStyle name="Обычный 9 4 6 3 4 3" xfId="53386"/>
    <cellStyle name="Обычный 9 4 6 3 5" xfId="53387"/>
    <cellStyle name="Обычный 9 4 6 3 5 2" xfId="53388"/>
    <cellStyle name="Обычный 9 4 6 3 6" xfId="53389"/>
    <cellStyle name="Обычный 9 4 6 3 7" xfId="53390"/>
    <cellStyle name="Обычный 9 4 6 4" xfId="53391"/>
    <cellStyle name="Обычный 9 4 6 4 2" xfId="53392"/>
    <cellStyle name="Обычный 9 4 6 4 2 2" xfId="53393"/>
    <cellStyle name="Обычный 9 4 6 4 2 3" xfId="53394"/>
    <cellStyle name="Обычный 9 4 6 4 3" xfId="53395"/>
    <cellStyle name="Обычный 9 4 6 4 3 2" xfId="53396"/>
    <cellStyle name="Обычный 9 4 6 4 3 3" xfId="53397"/>
    <cellStyle name="Обычный 9 4 6 4 4" xfId="53398"/>
    <cellStyle name="Обычный 9 4 6 4 4 2" xfId="53399"/>
    <cellStyle name="Обычный 9 4 6 4 5" xfId="53400"/>
    <cellStyle name="Обычный 9 4 6 4 6" xfId="53401"/>
    <cellStyle name="Обычный 9 4 6 5" xfId="53402"/>
    <cellStyle name="Обычный 9 4 6 5 2" xfId="53403"/>
    <cellStyle name="Обычный 9 4 6 5 3" xfId="53404"/>
    <cellStyle name="Обычный 9 4 6 6" xfId="53405"/>
    <cellStyle name="Обычный 9 4 6 6 2" xfId="53406"/>
    <cellStyle name="Обычный 9 4 6 6 3" xfId="53407"/>
    <cellStyle name="Обычный 9 4 6 7" xfId="53408"/>
    <cellStyle name="Обычный 9 4 6 7 2" xfId="53409"/>
    <cellStyle name="Обычный 9 4 6 8" xfId="53410"/>
    <cellStyle name="Обычный 9 4 6 9" xfId="53411"/>
    <cellStyle name="Обычный 9 4 7" xfId="53412"/>
    <cellStyle name="Обычный 9 4 7 2" xfId="53413"/>
    <cellStyle name="Обычный 9 4 7 2 2" xfId="53414"/>
    <cellStyle name="Обычный 9 4 7 2 2 2" xfId="53415"/>
    <cellStyle name="Обычный 9 4 7 2 2 2 2" xfId="53416"/>
    <cellStyle name="Обычный 9 4 7 2 2 2 3" xfId="53417"/>
    <cellStyle name="Обычный 9 4 7 2 2 3" xfId="53418"/>
    <cellStyle name="Обычный 9 4 7 2 2 3 2" xfId="53419"/>
    <cellStyle name="Обычный 9 4 7 2 2 3 3" xfId="53420"/>
    <cellStyle name="Обычный 9 4 7 2 2 4" xfId="53421"/>
    <cellStyle name="Обычный 9 4 7 2 2 4 2" xfId="53422"/>
    <cellStyle name="Обычный 9 4 7 2 2 5" xfId="53423"/>
    <cellStyle name="Обычный 9 4 7 2 2 6" xfId="53424"/>
    <cellStyle name="Обычный 9 4 7 2 3" xfId="53425"/>
    <cellStyle name="Обычный 9 4 7 2 3 2" xfId="53426"/>
    <cellStyle name="Обычный 9 4 7 2 3 3" xfId="53427"/>
    <cellStyle name="Обычный 9 4 7 2 4" xfId="53428"/>
    <cellStyle name="Обычный 9 4 7 2 4 2" xfId="53429"/>
    <cellStyle name="Обычный 9 4 7 2 4 3" xfId="53430"/>
    <cellStyle name="Обычный 9 4 7 2 5" xfId="53431"/>
    <cellStyle name="Обычный 9 4 7 2 5 2" xfId="53432"/>
    <cellStyle name="Обычный 9 4 7 2 6" xfId="53433"/>
    <cellStyle name="Обычный 9 4 7 2 7" xfId="53434"/>
    <cellStyle name="Обычный 9 4 7 3" xfId="53435"/>
    <cellStyle name="Обычный 9 4 7 3 2" xfId="53436"/>
    <cellStyle name="Обычный 9 4 7 3 2 2" xfId="53437"/>
    <cellStyle name="Обычный 9 4 7 3 2 3" xfId="53438"/>
    <cellStyle name="Обычный 9 4 7 3 3" xfId="53439"/>
    <cellStyle name="Обычный 9 4 7 3 3 2" xfId="53440"/>
    <cellStyle name="Обычный 9 4 7 3 3 3" xfId="53441"/>
    <cellStyle name="Обычный 9 4 7 3 4" xfId="53442"/>
    <cellStyle name="Обычный 9 4 7 3 4 2" xfId="53443"/>
    <cellStyle name="Обычный 9 4 7 3 5" xfId="53444"/>
    <cellStyle name="Обычный 9 4 7 3 6" xfId="53445"/>
    <cellStyle name="Обычный 9 4 7 4" xfId="53446"/>
    <cellStyle name="Обычный 9 4 7 4 2" xfId="53447"/>
    <cellStyle name="Обычный 9 4 7 4 3" xfId="53448"/>
    <cellStyle name="Обычный 9 4 7 5" xfId="53449"/>
    <cellStyle name="Обычный 9 4 7 5 2" xfId="53450"/>
    <cellStyle name="Обычный 9 4 7 5 3" xfId="53451"/>
    <cellStyle name="Обычный 9 4 7 6" xfId="53452"/>
    <cellStyle name="Обычный 9 4 7 6 2" xfId="53453"/>
    <cellStyle name="Обычный 9 4 7 7" xfId="53454"/>
    <cellStyle name="Обычный 9 4 7 8" xfId="53455"/>
    <cellStyle name="Обычный 9 4 8" xfId="53456"/>
    <cellStyle name="Обычный 9 4 8 2" xfId="53457"/>
    <cellStyle name="Обычный 9 4 8 2 2" xfId="53458"/>
    <cellStyle name="Обычный 9 4 8 2 2 2" xfId="53459"/>
    <cellStyle name="Обычный 9 4 8 2 2 3" xfId="53460"/>
    <cellStyle name="Обычный 9 4 8 2 3" xfId="53461"/>
    <cellStyle name="Обычный 9 4 8 2 3 2" xfId="53462"/>
    <cellStyle name="Обычный 9 4 8 2 3 3" xfId="53463"/>
    <cellStyle name="Обычный 9 4 8 2 4" xfId="53464"/>
    <cellStyle name="Обычный 9 4 8 2 4 2" xfId="53465"/>
    <cellStyle name="Обычный 9 4 8 2 5" xfId="53466"/>
    <cellStyle name="Обычный 9 4 8 2 6" xfId="53467"/>
    <cellStyle name="Обычный 9 4 8 3" xfId="53468"/>
    <cellStyle name="Обычный 9 4 8 3 2" xfId="53469"/>
    <cellStyle name="Обычный 9 4 8 3 3" xfId="53470"/>
    <cellStyle name="Обычный 9 4 8 4" xfId="53471"/>
    <cellStyle name="Обычный 9 4 8 4 2" xfId="53472"/>
    <cellStyle name="Обычный 9 4 8 4 3" xfId="53473"/>
    <cellStyle name="Обычный 9 4 8 5" xfId="53474"/>
    <cellStyle name="Обычный 9 4 8 5 2" xfId="53475"/>
    <cellStyle name="Обычный 9 4 8 6" xfId="53476"/>
    <cellStyle name="Обычный 9 4 8 7" xfId="53477"/>
    <cellStyle name="Обычный 9 4 9" xfId="53478"/>
    <cellStyle name="Обычный 9 4 9 2" xfId="53479"/>
    <cellStyle name="Обычный 9 4 9 2 2" xfId="53480"/>
    <cellStyle name="Обычный 9 4 9 2 3" xfId="53481"/>
    <cellStyle name="Обычный 9 4 9 3" xfId="53482"/>
    <cellStyle name="Обычный 9 4 9 3 2" xfId="53483"/>
    <cellStyle name="Обычный 9 4 9 3 3" xfId="53484"/>
    <cellStyle name="Обычный 9 4 9 4" xfId="53485"/>
    <cellStyle name="Обычный 9 4 9 4 2" xfId="53486"/>
    <cellStyle name="Обычный 9 4 9 5" xfId="53487"/>
    <cellStyle name="Обычный 9 4 9 6" xfId="53488"/>
    <cellStyle name="Обычный 9 5" xfId="53489"/>
    <cellStyle name="Обычный 9 5 10" xfId="53490"/>
    <cellStyle name="Обычный 9 5 10 2" xfId="53491"/>
    <cellStyle name="Обычный 9 5 10 3" xfId="53492"/>
    <cellStyle name="Обычный 9 5 11" xfId="53493"/>
    <cellStyle name="Обычный 9 5 11 2" xfId="53494"/>
    <cellStyle name="Обычный 9 5 11 3" xfId="53495"/>
    <cellStyle name="Обычный 9 5 12" xfId="53496"/>
    <cellStyle name="Обычный 9 5 12 2" xfId="53497"/>
    <cellStyle name="Обычный 9 5 13" xfId="53498"/>
    <cellStyle name="Обычный 9 5 14" xfId="53499"/>
    <cellStyle name="Обычный 9 5 2" xfId="53500"/>
    <cellStyle name="Обычный 9 5 2 10" xfId="53501"/>
    <cellStyle name="Обычный 9 5 2 10 2" xfId="53502"/>
    <cellStyle name="Обычный 9 5 2 10 3" xfId="53503"/>
    <cellStyle name="Обычный 9 5 2 11" xfId="53504"/>
    <cellStyle name="Обычный 9 5 2 11 2" xfId="53505"/>
    <cellStyle name="Обычный 9 5 2 12" xfId="53506"/>
    <cellStyle name="Обычный 9 5 2 13" xfId="53507"/>
    <cellStyle name="Обычный 9 5 2 2" xfId="53508"/>
    <cellStyle name="Обычный 9 5 2 2 10" xfId="53509"/>
    <cellStyle name="Обычный 9 5 2 2 2" xfId="53510"/>
    <cellStyle name="Обычный 9 5 2 2 2 2" xfId="53511"/>
    <cellStyle name="Обычный 9 5 2 2 2 2 2" xfId="53512"/>
    <cellStyle name="Обычный 9 5 2 2 2 2 2 2" xfId="53513"/>
    <cellStyle name="Обычный 9 5 2 2 2 2 2 2 2" xfId="53514"/>
    <cellStyle name="Обычный 9 5 2 2 2 2 2 2 2 2" xfId="53515"/>
    <cellStyle name="Обычный 9 5 2 2 2 2 2 2 2 3" xfId="53516"/>
    <cellStyle name="Обычный 9 5 2 2 2 2 2 2 3" xfId="53517"/>
    <cellStyle name="Обычный 9 5 2 2 2 2 2 2 3 2" xfId="53518"/>
    <cellStyle name="Обычный 9 5 2 2 2 2 2 2 3 3" xfId="53519"/>
    <cellStyle name="Обычный 9 5 2 2 2 2 2 2 4" xfId="53520"/>
    <cellStyle name="Обычный 9 5 2 2 2 2 2 2 4 2" xfId="53521"/>
    <cellStyle name="Обычный 9 5 2 2 2 2 2 2 5" xfId="53522"/>
    <cellStyle name="Обычный 9 5 2 2 2 2 2 2 6" xfId="53523"/>
    <cellStyle name="Обычный 9 5 2 2 2 2 2 3" xfId="53524"/>
    <cellStyle name="Обычный 9 5 2 2 2 2 2 3 2" xfId="53525"/>
    <cellStyle name="Обычный 9 5 2 2 2 2 2 3 3" xfId="53526"/>
    <cellStyle name="Обычный 9 5 2 2 2 2 2 4" xfId="53527"/>
    <cellStyle name="Обычный 9 5 2 2 2 2 2 4 2" xfId="53528"/>
    <cellStyle name="Обычный 9 5 2 2 2 2 2 4 3" xfId="53529"/>
    <cellStyle name="Обычный 9 5 2 2 2 2 2 5" xfId="53530"/>
    <cellStyle name="Обычный 9 5 2 2 2 2 2 5 2" xfId="53531"/>
    <cellStyle name="Обычный 9 5 2 2 2 2 2 6" xfId="53532"/>
    <cellStyle name="Обычный 9 5 2 2 2 2 2 7" xfId="53533"/>
    <cellStyle name="Обычный 9 5 2 2 2 2 3" xfId="53534"/>
    <cellStyle name="Обычный 9 5 2 2 2 2 3 2" xfId="53535"/>
    <cellStyle name="Обычный 9 5 2 2 2 2 3 2 2" xfId="53536"/>
    <cellStyle name="Обычный 9 5 2 2 2 2 3 2 3" xfId="53537"/>
    <cellStyle name="Обычный 9 5 2 2 2 2 3 3" xfId="53538"/>
    <cellStyle name="Обычный 9 5 2 2 2 2 3 3 2" xfId="53539"/>
    <cellStyle name="Обычный 9 5 2 2 2 2 3 3 3" xfId="53540"/>
    <cellStyle name="Обычный 9 5 2 2 2 2 3 4" xfId="53541"/>
    <cellStyle name="Обычный 9 5 2 2 2 2 3 4 2" xfId="53542"/>
    <cellStyle name="Обычный 9 5 2 2 2 2 3 5" xfId="53543"/>
    <cellStyle name="Обычный 9 5 2 2 2 2 3 6" xfId="53544"/>
    <cellStyle name="Обычный 9 5 2 2 2 2 4" xfId="53545"/>
    <cellStyle name="Обычный 9 5 2 2 2 2 4 2" xfId="53546"/>
    <cellStyle name="Обычный 9 5 2 2 2 2 4 3" xfId="53547"/>
    <cellStyle name="Обычный 9 5 2 2 2 2 5" xfId="53548"/>
    <cellStyle name="Обычный 9 5 2 2 2 2 5 2" xfId="53549"/>
    <cellStyle name="Обычный 9 5 2 2 2 2 5 3" xfId="53550"/>
    <cellStyle name="Обычный 9 5 2 2 2 2 6" xfId="53551"/>
    <cellStyle name="Обычный 9 5 2 2 2 2 6 2" xfId="53552"/>
    <cellStyle name="Обычный 9 5 2 2 2 2 7" xfId="53553"/>
    <cellStyle name="Обычный 9 5 2 2 2 2 8" xfId="53554"/>
    <cellStyle name="Обычный 9 5 2 2 2 3" xfId="53555"/>
    <cellStyle name="Обычный 9 5 2 2 2 3 2" xfId="53556"/>
    <cellStyle name="Обычный 9 5 2 2 2 3 2 2" xfId="53557"/>
    <cellStyle name="Обычный 9 5 2 2 2 3 2 2 2" xfId="53558"/>
    <cellStyle name="Обычный 9 5 2 2 2 3 2 2 3" xfId="53559"/>
    <cellStyle name="Обычный 9 5 2 2 2 3 2 3" xfId="53560"/>
    <cellStyle name="Обычный 9 5 2 2 2 3 2 3 2" xfId="53561"/>
    <cellStyle name="Обычный 9 5 2 2 2 3 2 3 3" xfId="53562"/>
    <cellStyle name="Обычный 9 5 2 2 2 3 2 4" xfId="53563"/>
    <cellStyle name="Обычный 9 5 2 2 2 3 2 4 2" xfId="53564"/>
    <cellStyle name="Обычный 9 5 2 2 2 3 2 5" xfId="53565"/>
    <cellStyle name="Обычный 9 5 2 2 2 3 2 6" xfId="53566"/>
    <cellStyle name="Обычный 9 5 2 2 2 3 3" xfId="53567"/>
    <cellStyle name="Обычный 9 5 2 2 2 3 3 2" xfId="53568"/>
    <cellStyle name="Обычный 9 5 2 2 2 3 3 3" xfId="53569"/>
    <cellStyle name="Обычный 9 5 2 2 2 3 4" xfId="53570"/>
    <cellStyle name="Обычный 9 5 2 2 2 3 4 2" xfId="53571"/>
    <cellStyle name="Обычный 9 5 2 2 2 3 4 3" xfId="53572"/>
    <cellStyle name="Обычный 9 5 2 2 2 3 5" xfId="53573"/>
    <cellStyle name="Обычный 9 5 2 2 2 3 5 2" xfId="53574"/>
    <cellStyle name="Обычный 9 5 2 2 2 3 6" xfId="53575"/>
    <cellStyle name="Обычный 9 5 2 2 2 3 7" xfId="53576"/>
    <cellStyle name="Обычный 9 5 2 2 2 4" xfId="53577"/>
    <cellStyle name="Обычный 9 5 2 2 2 4 2" xfId="53578"/>
    <cellStyle name="Обычный 9 5 2 2 2 4 2 2" xfId="53579"/>
    <cellStyle name="Обычный 9 5 2 2 2 4 2 3" xfId="53580"/>
    <cellStyle name="Обычный 9 5 2 2 2 4 3" xfId="53581"/>
    <cellStyle name="Обычный 9 5 2 2 2 4 3 2" xfId="53582"/>
    <cellStyle name="Обычный 9 5 2 2 2 4 3 3" xfId="53583"/>
    <cellStyle name="Обычный 9 5 2 2 2 4 4" xfId="53584"/>
    <cellStyle name="Обычный 9 5 2 2 2 4 4 2" xfId="53585"/>
    <cellStyle name="Обычный 9 5 2 2 2 4 5" xfId="53586"/>
    <cellStyle name="Обычный 9 5 2 2 2 4 6" xfId="53587"/>
    <cellStyle name="Обычный 9 5 2 2 2 5" xfId="53588"/>
    <cellStyle name="Обычный 9 5 2 2 2 5 2" xfId="53589"/>
    <cellStyle name="Обычный 9 5 2 2 2 5 3" xfId="53590"/>
    <cellStyle name="Обычный 9 5 2 2 2 6" xfId="53591"/>
    <cellStyle name="Обычный 9 5 2 2 2 6 2" xfId="53592"/>
    <cellStyle name="Обычный 9 5 2 2 2 6 3" xfId="53593"/>
    <cellStyle name="Обычный 9 5 2 2 2 7" xfId="53594"/>
    <cellStyle name="Обычный 9 5 2 2 2 7 2" xfId="53595"/>
    <cellStyle name="Обычный 9 5 2 2 2 8" xfId="53596"/>
    <cellStyle name="Обычный 9 5 2 2 2 9" xfId="53597"/>
    <cellStyle name="Обычный 9 5 2 2 3" xfId="53598"/>
    <cellStyle name="Обычный 9 5 2 2 3 2" xfId="53599"/>
    <cellStyle name="Обычный 9 5 2 2 3 2 2" xfId="53600"/>
    <cellStyle name="Обычный 9 5 2 2 3 2 2 2" xfId="53601"/>
    <cellStyle name="Обычный 9 5 2 2 3 2 2 2 2" xfId="53602"/>
    <cellStyle name="Обычный 9 5 2 2 3 2 2 2 3" xfId="53603"/>
    <cellStyle name="Обычный 9 5 2 2 3 2 2 3" xfId="53604"/>
    <cellStyle name="Обычный 9 5 2 2 3 2 2 3 2" xfId="53605"/>
    <cellStyle name="Обычный 9 5 2 2 3 2 2 3 3" xfId="53606"/>
    <cellStyle name="Обычный 9 5 2 2 3 2 2 4" xfId="53607"/>
    <cellStyle name="Обычный 9 5 2 2 3 2 2 4 2" xfId="53608"/>
    <cellStyle name="Обычный 9 5 2 2 3 2 2 5" xfId="53609"/>
    <cellStyle name="Обычный 9 5 2 2 3 2 2 6" xfId="53610"/>
    <cellStyle name="Обычный 9 5 2 2 3 2 3" xfId="53611"/>
    <cellStyle name="Обычный 9 5 2 2 3 2 3 2" xfId="53612"/>
    <cellStyle name="Обычный 9 5 2 2 3 2 3 3" xfId="53613"/>
    <cellStyle name="Обычный 9 5 2 2 3 2 4" xfId="53614"/>
    <cellStyle name="Обычный 9 5 2 2 3 2 4 2" xfId="53615"/>
    <cellStyle name="Обычный 9 5 2 2 3 2 4 3" xfId="53616"/>
    <cellStyle name="Обычный 9 5 2 2 3 2 5" xfId="53617"/>
    <cellStyle name="Обычный 9 5 2 2 3 2 5 2" xfId="53618"/>
    <cellStyle name="Обычный 9 5 2 2 3 2 6" xfId="53619"/>
    <cellStyle name="Обычный 9 5 2 2 3 2 7" xfId="53620"/>
    <cellStyle name="Обычный 9 5 2 2 3 3" xfId="53621"/>
    <cellStyle name="Обычный 9 5 2 2 3 3 2" xfId="53622"/>
    <cellStyle name="Обычный 9 5 2 2 3 3 2 2" xfId="53623"/>
    <cellStyle name="Обычный 9 5 2 2 3 3 2 3" xfId="53624"/>
    <cellStyle name="Обычный 9 5 2 2 3 3 3" xfId="53625"/>
    <cellStyle name="Обычный 9 5 2 2 3 3 3 2" xfId="53626"/>
    <cellStyle name="Обычный 9 5 2 2 3 3 3 3" xfId="53627"/>
    <cellStyle name="Обычный 9 5 2 2 3 3 4" xfId="53628"/>
    <cellStyle name="Обычный 9 5 2 2 3 3 4 2" xfId="53629"/>
    <cellStyle name="Обычный 9 5 2 2 3 3 5" xfId="53630"/>
    <cellStyle name="Обычный 9 5 2 2 3 3 6" xfId="53631"/>
    <cellStyle name="Обычный 9 5 2 2 3 4" xfId="53632"/>
    <cellStyle name="Обычный 9 5 2 2 3 4 2" xfId="53633"/>
    <cellStyle name="Обычный 9 5 2 2 3 4 3" xfId="53634"/>
    <cellStyle name="Обычный 9 5 2 2 3 5" xfId="53635"/>
    <cellStyle name="Обычный 9 5 2 2 3 5 2" xfId="53636"/>
    <cellStyle name="Обычный 9 5 2 2 3 5 3" xfId="53637"/>
    <cellStyle name="Обычный 9 5 2 2 3 6" xfId="53638"/>
    <cellStyle name="Обычный 9 5 2 2 3 6 2" xfId="53639"/>
    <cellStyle name="Обычный 9 5 2 2 3 7" xfId="53640"/>
    <cellStyle name="Обычный 9 5 2 2 3 8" xfId="53641"/>
    <cellStyle name="Обычный 9 5 2 2 4" xfId="53642"/>
    <cellStyle name="Обычный 9 5 2 2 4 2" xfId="53643"/>
    <cellStyle name="Обычный 9 5 2 2 4 2 2" xfId="53644"/>
    <cellStyle name="Обычный 9 5 2 2 4 2 2 2" xfId="53645"/>
    <cellStyle name="Обычный 9 5 2 2 4 2 2 3" xfId="53646"/>
    <cellStyle name="Обычный 9 5 2 2 4 2 3" xfId="53647"/>
    <cellStyle name="Обычный 9 5 2 2 4 2 3 2" xfId="53648"/>
    <cellStyle name="Обычный 9 5 2 2 4 2 3 3" xfId="53649"/>
    <cellStyle name="Обычный 9 5 2 2 4 2 4" xfId="53650"/>
    <cellStyle name="Обычный 9 5 2 2 4 2 4 2" xfId="53651"/>
    <cellStyle name="Обычный 9 5 2 2 4 2 5" xfId="53652"/>
    <cellStyle name="Обычный 9 5 2 2 4 2 6" xfId="53653"/>
    <cellStyle name="Обычный 9 5 2 2 4 3" xfId="53654"/>
    <cellStyle name="Обычный 9 5 2 2 4 3 2" xfId="53655"/>
    <cellStyle name="Обычный 9 5 2 2 4 3 3" xfId="53656"/>
    <cellStyle name="Обычный 9 5 2 2 4 4" xfId="53657"/>
    <cellStyle name="Обычный 9 5 2 2 4 4 2" xfId="53658"/>
    <cellStyle name="Обычный 9 5 2 2 4 4 3" xfId="53659"/>
    <cellStyle name="Обычный 9 5 2 2 4 5" xfId="53660"/>
    <cellStyle name="Обычный 9 5 2 2 4 5 2" xfId="53661"/>
    <cellStyle name="Обычный 9 5 2 2 4 6" xfId="53662"/>
    <cellStyle name="Обычный 9 5 2 2 4 7" xfId="53663"/>
    <cellStyle name="Обычный 9 5 2 2 5" xfId="53664"/>
    <cellStyle name="Обычный 9 5 2 2 5 2" xfId="53665"/>
    <cellStyle name="Обычный 9 5 2 2 5 2 2" xfId="53666"/>
    <cellStyle name="Обычный 9 5 2 2 5 2 3" xfId="53667"/>
    <cellStyle name="Обычный 9 5 2 2 5 3" xfId="53668"/>
    <cellStyle name="Обычный 9 5 2 2 5 3 2" xfId="53669"/>
    <cellStyle name="Обычный 9 5 2 2 5 3 3" xfId="53670"/>
    <cellStyle name="Обычный 9 5 2 2 5 4" xfId="53671"/>
    <cellStyle name="Обычный 9 5 2 2 5 4 2" xfId="53672"/>
    <cellStyle name="Обычный 9 5 2 2 5 5" xfId="53673"/>
    <cellStyle name="Обычный 9 5 2 2 5 6" xfId="53674"/>
    <cellStyle name="Обычный 9 5 2 2 6" xfId="53675"/>
    <cellStyle name="Обычный 9 5 2 2 6 2" xfId="53676"/>
    <cellStyle name="Обычный 9 5 2 2 6 3" xfId="53677"/>
    <cellStyle name="Обычный 9 5 2 2 7" xfId="53678"/>
    <cellStyle name="Обычный 9 5 2 2 7 2" xfId="53679"/>
    <cellStyle name="Обычный 9 5 2 2 7 3" xfId="53680"/>
    <cellStyle name="Обычный 9 5 2 2 8" xfId="53681"/>
    <cellStyle name="Обычный 9 5 2 2 8 2" xfId="53682"/>
    <cellStyle name="Обычный 9 5 2 2 9" xfId="53683"/>
    <cellStyle name="Обычный 9 5 2 3" xfId="53684"/>
    <cellStyle name="Обычный 9 5 2 3 10" xfId="53685"/>
    <cellStyle name="Обычный 9 5 2 3 2" xfId="53686"/>
    <cellStyle name="Обычный 9 5 2 3 2 2" xfId="53687"/>
    <cellStyle name="Обычный 9 5 2 3 2 2 2" xfId="53688"/>
    <cellStyle name="Обычный 9 5 2 3 2 2 2 2" xfId="53689"/>
    <cellStyle name="Обычный 9 5 2 3 2 2 2 2 2" xfId="53690"/>
    <cellStyle name="Обычный 9 5 2 3 2 2 2 2 2 2" xfId="53691"/>
    <cellStyle name="Обычный 9 5 2 3 2 2 2 2 2 3" xfId="53692"/>
    <cellStyle name="Обычный 9 5 2 3 2 2 2 2 3" xfId="53693"/>
    <cellStyle name="Обычный 9 5 2 3 2 2 2 2 3 2" xfId="53694"/>
    <cellStyle name="Обычный 9 5 2 3 2 2 2 2 3 3" xfId="53695"/>
    <cellStyle name="Обычный 9 5 2 3 2 2 2 2 4" xfId="53696"/>
    <cellStyle name="Обычный 9 5 2 3 2 2 2 2 4 2" xfId="53697"/>
    <cellStyle name="Обычный 9 5 2 3 2 2 2 2 5" xfId="53698"/>
    <cellStyle name="Обычный 9 5 2 3 2 2 2 2 6" xfId="53699"/>
    <cellStyle name="Обычный 9 5 2 3 2 2 2 3" xfId="53700"/>
    <cellStyle name="Обычный 9 5 2 3 2 2 2 3 2" xfId="53701"/>
    <cellStyle name="Обычный 9 5 2 3 2 2 2 3 3" xfId="53702"/>
    <cellStyle name="Обычный 9 5 2 3 2 2 2 4" xfId="53703"/>
    <cellStyle name="Обычный 9 5 2 3 2 2 2 4 2" xfId="53704"/>
    <cellStyle name="Обычный 9 5 2 3 2 2 2 4 3" xfId="53705"/>
    <cellStyle name="Обычный 9 5 2 3 2 2 2 5" xfId="53706"/>
    <cellStyle name="Обычный 9 5 2 3 2 2 2 5 2" xfId="53707"/>
    <cellStyle name="Обычный 9 5 2 3 2 2 2 6" xfId="53708"/>
    <cellStyle name="Обычный 9 5 2 3 2 2 2 7" xfId="53709"/>
    <cellStyle name="Обычный 9 5 2 3 2 2 3" xfId="53710"/>
    <cellStyle name="Обычный 9 5 2 3 2 2 3 2" xfId="53711"/>
    <cellStyle name="Обычный 9 5 2 3 2 2 3 2 2" xfId="53712"/>
    <cellStyle name="Обычный 9 5 2 3 2 2 3 2 3" xfId="53713"/>
    <cellStyle name="Обычный 9 5 2 3 2 2 3 3" xfId="53714"/>
    <cellStyle name="Обычный 9 5 2 3 2 2 3 3 2" xfId="53715"/>
    <cellStyle name="Обычный 9 5 2 3 2 2 3 3 3" xfId="53716"/>
    <cellStyle name="Обычный 9 5 2 3 2 2 3 4" xfId="53717"/>
    <cellStyle name="Обычный 9 5 2 3 2 2 3 4 2" xfId="53718"/>
    <cellStyle name="Обычный 9 5 2 3 2 2 3 5" xfId="53719"/>
    <cellStyle name="Обычный 9 5 2 3 2 2 3 6" xfId="53720"/>
    <cellStyle name="Обычный 9 5 2 3 2 2 4" xfId="53721"/>
    <cellStyle name="Обычный 9 5 2 3 2 2 4 2" xfId="53722"/>
    <cellStyle name="Обычный 9 5 2 3 2 2 4 3" xfId="53723"/>
    <cellStyle name="Обычный 9 5 2 3 2 2 5" xfId="53724"/>
    <cellStyle name="Обычный 9 5 2 3 2 2 5 2" xfId="53725"/>
    <cellStyle name="Обычный 9 5 2 3 2 2 5 3" xfId="53726"/>
    <cellStyle name="Обычный 9 5 2 3 2 2 6" xfId="53727"/>
    <cellStyle name="Обычный 9 5 2 3 2 2 6 2" xfId="53728"/>
    <cellStyle name="Обычный 9 5 2 3 2 2 7" xfId="53729"/>
    <cellStyle name="Обычный 9 5 2 3 2 2 8" xfId="53730"/>
    <cellStyle name="Обычный 9 5 2 3 2 3" xfId="53731"/>
    <cellStyle name="Обычный 9 5 2 3 2 3 2" xfId="53732"/>
    <cellStyle name="Обычный 9 5 2 3 2 3 2 2" xfId="53733"/>
    <cellStyle name="Обычный 9 5 2 3 2 3 2 2 2" xfId="53734"/>
    <cellStyle name="Обычный 9 5 2 3 2 3 2 2 3" xfId="53735"/>
    <cellStyle name="Обычный 9 5 2 3 2 3 2 3" xfId="53736"/>
    <cellStyle name="Обычный 9 5 2 3 2 3 2 3 2" xfId="53737"/>
    <cellStyle name="Обычный 9 5 2 3 2 3 2 3 3" xfId="53738"/>
    <cellStyle name="Обычный 9 5 2 3 2 3 2 4" xfId="53739"/>
    <cellStyle name="Обычный 9 5 2 3 2 3 2 4 2" xfId="53740"/>
    <cellStyle name="Обычный 9 5 2 3 2 3 2 5" xfId="53741"/>
    <cellStyle name="Обычный 9 5 2 3 2 3 2 6" xfId="53742"/>
    <cellStyle name="Обычный 9 5 2 3 2 3 3" xfId="53743"/>
    <cellStyle name="Обычный 9 5 2 3 2 3 3 2" xfId="53744"/>
    <cellStyle name="Обычный 9 5 2 3 2 3 3 3" xfId="53745"/>
    <cellStyle name="Обычный 9 5 2 3 2 3 4" xfId="53746"/>
    <cellStyle name="Обычный 9 5 2 3 2 3 4 2" xfId="53747"/>
    <cellStyle name="Обычный 9 5 2 3 2 3 4 3" xfId="53748"/>
    <cellStyle name="Обычный 9 5 2 3 2 3 5" xfId="53749"/>
    <cellStyle name="Обычный 9 5 2 3 2 3 5 2" xfId="53750"/>
    <cellStyle name="Обычный 9 5 2 3 2 3 6" xfId="53751"/>
    <cellStyle name="Обычный 9 5 2 3 2 3 7" xfId="53752"/>
    <cellStyle name="Обычный 9 5 2 3 2 4" xfId="53753"/>
    <cellStyle name="Обычный 9 5 2 3 2 4 2" xfId="53754"/>
    <cellStyle name="Обычный 9 5 2 3 2 4 2 2" xfId="53755"/>
    <cellStyle name="Обычный 9 5 2 3 2 4 2 3" xfId="53756"/>
    <cellStyle name="Обычный 9 5 2 3 2 4 3" xfId="53757"/>
    <cellStyle name="Обычный 9 5 2 3 2 4 3 2" xfId="53758"/>
    <cellStyle name="Обычный 9 5 2 3 2 4 3 3" xfId="53759"/>
    <cellStyle name="Обычный 9 5 2 3 2 4 4" xfId="53760"/>
    <cellStyle name="Обычный 9 5 2 3 2 4 4 2" xfId="53761"/>
    <cellStyle name="Обычный 9 5 2 3 2 4 5" xfId="53762"/>
    <cellStyle name="Обычный 9 5 2 3 2 4 6" xfId="53763"/>
    <cellStyle name="Обычный 9 5 2 3 2 5" xfId="53764"/>
    <cellStyle name="Обычный 9 5 2 3 2 5 2" xfId="53765"/>
    <cellStyle name="Обычный 9 5 2 3 2 5 3" xfId="53766"/>
    <cellStyle name="Обычный 9 5 2 3 2 6" xfId="53767"/>
    <cellStyle name="Обычный 9 5 2 3 2 6 2" xfId="53768"/>
    <cellStyle name="Обычный 9 5 2 3 2 6 3" xfId="53769"/>
    <cellStyle name="Обычный 9 5 2 3 2 7" xfId="53770"/>
    <cellStyle name="Обычный 9 5 2 3 2 7 2" xfId="53771"/>
    <cellStyle name="Обычный 9 5 2 3 2 8" xfId="53772"/>
    <cellStyle name="Обычный 9 5 2 3 2 9" xfId="53773"/>
    <cellStyle name="Обычный 9 5 2 3 3" xfId="53774"/>
    <cellStyle name="Обычный 9 5 2 3 3 2" xfId="53775"/>
    <cellStyle name="Обычный 9 5 2 3 3 2 2" xfId="53776"/>
    <cellStyle name="Обычный 9 5 2 3 3 2 2 2" xfId="53777"/>
    <cellStyle name="Обычный 9 5 2 3 3 2 2 2 2" xfId="53778"/>
    <cellStyle name="Обычный 9 5 2 3 3 2 2 2 3" xfId="53779"/>
    <cellStyle name="Обычный 9 5 2 3 3 2 2 3" xfId="53780"/>
    <cellStyle name="Обычный 9 5 2 3 3 2 2 3 2" xfId="53781"/>
    <cellStyle name="Обычный 9 5 2 3 3 2 2 3 3" xfId="53782"/>
    <cellStyle name="Обычный 9 5 2 3 3 2 2 4" xfId="53783"/>
    <cellStyle name="Обычный 9 5 2 3 3 2 2 4 2" xfId="53784"/>
    <cellStyle name="Обычный 9 5 2 3 3 2 2 5" xfId="53785"/>
    <cellStyle name="Обычный 9 5 2 3 3 2 2 6" xfId="53786"/>
    <cellStyle name="Обычный 9 5 2 3 3 2 3" xfId="53787"/>
    <cellStyle name="Обычный 9 5 2 3 3 2 3 2" xfId="53788"/>
    <cellStyle name="Обычный 9 5 2 3 3 2 3 3" xfId="53789"/>
    <cellStyle name="Обычный 9 5 2 3 3 2 4" xfId="53790"/>
    <cellStyle name="Обычный 9 5 2 3 3 2 4 2" xfId="53791"/>
    <cellStyle name="Обычный 9 5 2 3 3 2 4 3" xfId="53792"/>
    <cellStyle name="Обычный 9 5 2 3 3 2 5" xfId="53793"/>
    <cellStyle name="Обычный 9 5 2 3 3 2 5 2" xfId="53794"/>
    <cellStyle name="Обычный 9 5 2 3 3 2 6" xfId="53795"/>
    <cellStyle name="Обычный 9 5 2 3 3 2 7" xfId="53796"/>
    <cellStyle name="Обычный 9 5 2 3 3 3" xfId="53797"/>
    <cellStyle name="Обычный 9 5 2 3 3 3 2" xfId="53798"/>
    <cellStyle name="Обычный 9 5 2 3 3 3 2 2" xfId="53799"/>
    <cellStyle name="Обычный 9 5 2 3 3 3 2 3" xfId="53800"/>
    <cellStyle name="Обычный 9 5 2 3 3 3 3" xfId="53801"/>
    <cellStyle name="Обычный 9 5 2 3 3 3 3 2" xfId="53802"/>
    <cellStyle name="Обычный 9 5 2 3 3 3 3 3" xfId="53803"/>
    <cellStyle name="Обычный 9 5 2 3 3 3 4" xfId="53804"/>
    <cellStyle name="Обычный 9 5 2 3 3 3 4 2" xfId="53805"/>
    <cellStyle name="Обычный 9 5 2 3 3 3 5" xfId="53806"/>
    <cellStyle name="Обычный 9 5 2 3 3 3 6" xfId="53807"/>
    <cellStyle name="Обычный 9 5 2 3 3 4" xfId="53808"/>
    <cellStyle name="Обычный 9 5 2 3 3 4 2" xfId="53809"/>
    <cellStyle name="Обычный 9 5 2 3 3 4 3" xfId="53810"/>
    <cellStyle name="Обычный 9 5 2 3 3 5" xfId="53811"/>
    <cellStyle name="Обычный 9 5 2 3 3 5 2" xfId="53812"/>
    <cellStyle name="Обычный 9 5 2 3 3 5 3" xfId="53813"/>
    <cellStyle name="Обычный 9 5 2 3 3 6" xfId="53814"/>
    <cellStyle name="Обычный 9 5 2 3 3 6 2" xfId="53815"/>
    <cellStyle name="Обычный 9 5 2 3 3 7" xfId="53816"/>
    <cellStyle name="Обычный 9 5 2 3 3 8" xfId="53817"/>
    <cellStyle name="Обычный 9 5 2 3 4" xfId="53818"/>
    <cellStyle name="Обычный 9 5 2 3 4 2" xfId="53819"/>
    <cellStyle name="Обычный 9 5 2 3 4 2 2" xfId="53820"/>
    <cellStyle name="Обычный 9 5 2 3 4 2 2 2" xfId="53821"/>
    <cellStyle name="Обычный 9 5 2 3 4 2 2 3" xfId="53822"/>
    <cellStyle name="Обычный 9 5 2 3 4 2 3" xfId="53823"/>
    <cellStyle name="Обычный 9 5 2 3 4 2 3 2" xfId="53824"/>
    <cellStyle name="Обычный 9 5 2 3 4 2 3 3" xfId="53825"/>
    <cellStyle name="Обычный 9 5 2 3 4 2 4" xfId="53826"/>
    <cellStyle name="Обычный 9 5 2 3 4 2 4 2" xfId="53827"/>
    <cellStyle name="Обычный 9 5 2 3 4 2 5" xfId="53828"/>
    <cellStyle name="Обычный 9 5 2 3 4 2 6" xfId="53829"/>
    <cellStyle name="Обычный 9 5 2 3 4 3" xfId="53830"/>
    <cellStyle name="Обычный 9 5 2 3 4 3 2" xfId="53831"/>
    <cellStyle name="Обычный 9 5 2 3 4 3 3" xfId="53832"/>
    <cellStyle name="Обычный 9 5 2 3 4 4" xfId="53833"/>
    <cellStyle name="Обычный 9 5 2 3 4 4 2" xfId="53834"/>
    <cellStyle name="Обычный 9 5 2 3 4 4 3" xfId="53835"/>
    <cellStyle name="Обычный 9 5 2 3 4 5" xfId="53836"/>
    <cellStyle name="Обычный 9 5 2 3 4 5 2" xfId="53837"/>
    <cellStyle name="Обычный 9 5 2 3 4 6" xfId="53838"/>
    <cellStyle name="Обычный 9 5 2 3 4 7" xfId="53839"/>
    <cellStyle name="Обычный 9 5 2 3 5" xfId="53840"/>
    <cellStyle name="Обычный 9 5 2 3 5 2" xfId="53841"/>
    <cellStyle name="Обычный 9 5 2 3 5 2 2" xfId="53842"/>
    <cellStyle name="Обычный 9 5 2 3 5 2 3" xfId="53843"/>
    <cellStyle name="Обычный 9 5 2 3 5 3" xfId="53844"/>
    <cellStyle name="Обычный 9 5 2 3 5 3 2" xfId="53845"/>
    <cellStyle name="Обычный 9 5 2 3 5 3 3" xfId="53846"/>
    <cellStyle name="Обычный 9 5 2 3 5 4" xfId="53847"/>
    <cellStyle name="Обычный 9 5 2 3 5 4 2" xfId="53848"/>
    <cellStyle name="Обычный 9 5 2 3 5 5" xfId="53849"/>
    <cellStyle name="Обычный 9 5 2 3 5 6" xfId="53850"/>
    <cellStyle name="Обычный 9 5 2 3 6" xfId="53851"/>
    <cellStyle name="Обычный 9 5 2 3 6 2" xfId="53852"/>
    <cellStyle name="Обычный 9 5 2 3 6 3" xfId="53853"/>
    <cellStyle name="Обычный 9 5 2 3 7" xfId="53854"/>
    <cellStyle name="Обычный 9 5 2 3 7 2" xfId="53855"/>
    <cellStyle name="Обычный 9 5 2 3 7 3" xfId="53856"/>
    <cellStyle name="Обычный 9 5 2 3 8" xfId="53857"/>
    <cellStyle name="Обычный 9 5 2 3 8 2" xfId="53858"/>
    <cellStyle name="Обычный 9 5 2 3 9" xfId="53859"/>
    <cellStyle name="Обычный 9 5 2 4" xfId="53860"/>
    <cellStyle name="Обычный 9 5 2 4 10" xfId="53861"/>
    <cellStyle name="Обычный 9 5 2 4 2" xfId="53862"/>
    <cellStyle name="Обычный 9 5 2 4 2 2" xfId="53863"/>
    <cellStyle name="Обычный 9 5 2 4 2 2 2" xfId="53864"/>
    <cellStyle name="Обычный 9 5 2 4 2 2 2 2" xfId="53865"/>
    <cellStyle name="Обычный 9 5 2 4 2 2 2 2 2" xfId="53866"/>
    <cellStyle name="Обычный 9 5 2 4 2 2 2 2 2 2" xfId="53867"/>
    <cellStyle name="Обычный 9 5 2 4 2 2 2 2 2 3" xfId="53868"/>
    <cellStyle name="Обычный 9 5 2 4 2 2 2 2 3" xfId="53869"/>
    <cellStyle name="Обычный 9 5 2 4 2 2 2 2 3 2" xfId="53870"/>
    <cellStyle name="Обычный 9 5 2 4 2 2 2 2 3 3" xfId="53871"/>
    <cellStyle name="Обычный 9 5 2 4 2 2 2 2 4" xfId="53872"/>
    <cellStyle name="Обычный 9 5 2 4 2 2 2 2 4 2" xfId="53873"/>
    <cellStyle name="Обычный 9 5 2 4 2 2 2 2 5" xfId="53874"/>
    <cellStyle name="Обычный 9 5 2 4 2 2 2 2 6" xfId="53875"/>
    <cellStyle name="Обычный 9 5 2 4 2 2 2 3" xfId="53876"/>
    <cellStyle name="Обычный 9 5 2 4 2 2 2 3 2" xfId="53877"/>
    <cellStyle name="Обычный 9 5 2 4 2 2 2 3 3" xfId="53878"/>
    <cellStyle name="Обычный 9 5 2 4 2 2 2 4" xfId="53879"/>
    <cellStyle name="Обычный 9 5 2 4 2 2 2 4 2" xfId="53880"/>
    <cellStyle name="Обычный 9 5 2 4 2 2 2 4 3" xfId="53881"/>
    <cellStyle name="Обычный 9 5 2 4 2 2 2 5" xfId="53882"/>
    <cellStyle name="Обычный 9 5 2 4 2 2 2 5 2" xfId="53883"/>
    <cellStyle name="Обычный 9 5 2 4 2 2 2 6" xfId="53884"/>
    <cellStyle name="Обычный 9 5 2 4 2 2 2 7" xfId="53885"/>
    <cellStyle name="Обычный 9 5 2 4 2 2 3" xfId="53886"/>
    <cellStyle name="Обычный 9 5 2 4 2 2 3 2" xfId="53887"/>
    <cellStyle name="Обычный 9 5 2 4 2 2 3 2 2" xfId="53888"/>
    <cellStyle name="Обычный 9 5 2 4 2 2 3 2 3" xfId="53889"/>
    <cellStyle name="Обычный 9 5 2 4 2 2 3 3" xfId="53890"/>
    <cellStyle name="Обычный 9 5 2 4 2 2 3 3 2" xfId="53891"/>
    <cellStyle name="Обычный 9 5 2 4 2 2 3 3 3" xfId="53892"/>
    <cellStyle name="Обычный 9 5 2 4 2 2 3 4" xfId="53893"/>
    <cellStyle name="Обычный 9 5 2 4 2 2 3 4 2" xfId="53894"/>
    <cellStyle name="Обычный 9 5 2 4 2 2 3 5" xfId="53895"/>
    <cellStyle name="Обычный 9 5 2 4 2 2 3 6" xfId="53896"/>
    <cellStyle name="Обычный 9 5 2 4 2 2 4" xfId="53897"/>
    <cellStyle name="Обычный 9 5 2 4 2 2 4 2" xfId="53898"/>
    <cellStyle name="Обычный 9 5 2 4 2 2 4 3" xfId="53899"/>
    <cellStyle name="Обычный 9 5 2 4 2 2 5" xfId="53900"/>
    <cellStyle name="Обычный 9 5 2 4 2 2 5 2" xfId="53901"/>
    <cellStyle name="Обычный 9 5 2 4 2 2 5 3" xfId="53902"/>
    <cellStyle name="Обычный 9 5 2 4 2 2 6" xfId="53903"/>
    <cellStyle name="Обычный 9 5 2 4 2 2 6 2" xfId="53904"/>
    <cellStyle name="Обычный 9 5 2 4 2 2 7" xfId="53905"/>
    <cellStyle name="Обычный 9 5 2 4 2 2 8" xfId="53906"/>
    <cellStyle name="Обычный 9 5 2 4 2 3" xfId="53907"/>
    <cellStyle name="Обычный 9 5 2 4 2 3 2" xfId="53908"/>
    <cellStyle name="Обычный 9 5 2 4 2 3 2 2" xfId="53909"/>
    <cellStyle name="Обычный 9 5 2 4 2 3 2 2 2" xfId="53910"/>
    <cellStyle name="Обычный 9 5 2 4 2 3 2 2 3" xfId="53911"/>
    <cellStyle name="Обычный 9 5 2 4 2 3 2 3" xfId="53912"/>
    <cellStyle name="Обычный 9 5 2 4 2 3 2 3 2" xfId="53913"/>
    <cellStyle name="Обычный 9 5 2 4 2 3 2 3 3" xfId="53914"/>
    <cellStyle name="Обычный 9 5 2 4 2 3 2 4" xfId="53915"/>
    <cellStyle name="Обычный 9 5 2 4 2 3 2 4 2" xfId="53916"/>
    <cellStyle name="Обычный 9 5 2 4 2 3 2 5" xfId="53917"/>
    <cellStyle name="Обычный 9 5 2 4 2 3 2 6" xfId="53918"/>
    <cellStyle name="Обычный 9 5 2 4 2 3 3" xfId="53919"/>
    <cellStyle name="Обычный 9 5 2 4 2 3 3 2" xfId="53920"/>
    <cellStyle name="Обычный 9 5 2 4 2 3 3 3" xfId="53921"/>
    <cellStyle name="Обычный 9 5 2 4 2 3 4" xfId="53922"/>
    <cellStyle name="Обычный 9 5 2 4 2 3 4 2" xfId="53923"/>
    <cellStyle name="Обычный 9 5 2 4 2 3 4 3" xfId="53924"/>
    <cellStyle name="Обычный 9 5 2 4 2 3 5" xfId="53925"/>
    <cellStyle name="Обычный 9 5 2 4 2 3 5 2" xfId="53926"/>
    <cellStyle name="Обычный 9 5 2 4 2 3 6" xfId="53927"/>
    <cellStyle name="Обычный 9 5 2 4 2 3 7" xfId="53928"/>
    <cellStyle name="Обычный 9 5 2 4 2 4" xfId="53929"/>
    <cellStyle name="Обычный 9 5 2 4 2 4 2" xfId="53930"/>
    <cellStyle name="Обычный 9 5 2 4 2 4 2 2" xfId="53931"/>
    <cellStyle name="Обычный 9 5 2 4 2 4 2 3" xfId="53932"/>
    <cellStyle name="Обычный 9 5 2 4 2 4 3" xfId="53933"/>
    <cellStyle name="Обычный 9 5 2 4 2 4 3 2" xfId="53934"/>
    <cellStyle name="Обычный 9 5 2 4 2 4 3 3" xfId="53935"/>
    <cellStyle name="Обычный 9 5 2 4 2 4 4" xfId="53936"/>
    <cellStyle name="Обычный 9 5 2 4 2 4 4 2" xfId="53937"/>
    <cellStyle name="Обычный 9 5 2 4 2 4 5" xfId="53938"/>
    <cellStyle name="Обычный 9 5 2 4 2 4 6" xfId="53939"/>
    <cellStyle name="Обычный 9 5 2 4 2 5" xfId="53940"/>
    <cellStyle name="Обычный 9 5 2 4 2 5 2" xfId="53941"/>
    <cellStyle name="Обычный 9 5 2 4 2 5 3" xfId="53942"/>
    <cellStyle name="Обычный 9 5 2 4 2 6" xfId="53943"/>
    <cellStyle name="Обычный 9 5 2 4 2 6 2" xfId="53944"/>
    <cellStyle name="Обычный 9 5 2 4 2 6 3" xfId="53945"/>
    <cellStyle name="Обычный 9 5 2 4 2 7" xfId="53946"/>
    <cellStyle name="Обычный 9 5 2 4 2 7 2" xfId="53947"/>
    <cellStyle name="Обычный 9 5 2 4 2 8" xfId="53948"/>
    <cellStyle name="Обычный 9 5 2 4 2 9" xfId="53949"/>
    <cellStyle name="Обычный 9 5 2 4 3" xfId="53950"/>
    <cellStyle name="Обычный 9 5 2 4 3 2" xfId="53951"/>
    <cellStyle name="Обычный 9 5 2 4 3 2 2" xfId="53952"/>
    <cellStyle name="Обычный 9 5 2 4 3 2 2 2" xfId="53953"/>
    <cellStyle name="Обычный 9 5 2 4 3 2 2 2 2" xfId="53954"/>
    <cellStyle name="Обычный 9 5 2 4 3 2 2 2 3" xfId="53955"/>
    <cellStyle name="Обычный 9 5 2 4 3 2 2 3" xfId="53956"/>
    <cellStyle name="Обычный 9 5 2 4 3 2 2 3 2" xfId="53957"/>
    <cellStyle name="Обычный 9 5 2 4 3 2 2 3 3" xfId="53958"/>
    <cellStyle name="Обычный 9 5 2 4 3 2 2 4" xfId="53959"/>
    <cellStyle name="Обычный 9 5 2 4 3 2 2 4 2" xfId="53960"/>
    <cellStyle name="Обычный 9 5 2 4 3 2 2 5" xfId="53961"/>
    <cellStyle name="Обычный 9 5 2 4 3 2 2 6" xfId="53962"/>
    <cellStyle name="Обычный 9 5 2 4 3 2 3" xfId="53963"/>
    <cellStyle name="Обычный 9 5 2 4 3 2 3 2" xfId="53964"/>
    <cellStyle name="Обычный 9 5 2 4 3 2 3 3" xfId="53965"/>
    <cellStyle name="Обычный 9 5 2 4 3 2 4" xfId="53966"/>
    <cellStyle name="Обычный 9 5 2 4 3 2 4 2" xfId="53967"/>
    <cellStyle name="Обычный 9 5 2 4 3 2 4 3" xfId="53968"/>
    <cellStyle name="Обычный 9 5 2 4 3 2 5" xfId="53969"/>
    <cellStyle name="Обычный 9 5 2 4 3 2 5 2" xfId="53970"/>
    <cellStyle name="Обычный 9 5 2 4 3 2 6" xfId="53971"/>
    <cellStyle name="Обычный 9 5 2 4 3 2 7" xfId="53972"/>
    <cellStyle name="Обычный 9 5 2 4 3 3" xfId="53973"/>
    <cellStyle name="Обычный 9 5 2 4 3 3 2" xfId="53974"/>
    <cellStyle name="Обычный 9 5 2 4 3 3 2 2" xfId="53975"/>
    <cellStyle name="Обычный 9 5 2 4 3 3 2 3" xfId="53976"/>
    <cellStyle name="Обычный 9 5 2 4 3 3 3" xfId="53977"/>
    <cellStyle name="Обычный 9 5 2 4 3 3 3 2" xfId="53978"/>
    <cellStyle name="Обычный 9 5 2 4 3 3 3 3" xfId="53979"/>
    <cellStyle name="Обычный 9 5 2 4 3 3 4" xfId="53980"/>
    <cellStyle name="Обычный 9 5 2 4 3 3 4 2" xfId="53981"/>
    <cellStyle name="Обычный 9 5 2 4 3 3 5" xfId="53982"/>
    <cellStyle name="Обычный 9 5 2 4 3 3 6" xfId="53983"/>
    <cellStyle name="Обычный 9 5 2 4 3 4" xfId="53984"/>
    <cellStyle name="Обычный 9 5 2 4 3 4 2" xfId="53985"/>
    <cellStyle name="Обычный 9 5 2 4 3 4 3" xfId="53986"/>
    <cellStyle name="Обычный 9 5 2 4 3 5" xfId="53987"/>
    <cellStyle name="Обычный 9 5 2 4 3 5 2" xfId="53988"/>
    <cellStyle name="Обычный 9 5 2 4 3 5 3" xfId="53989"/>
    <cellStyle name="Обычный 9 5 2 4 3 6" xfId="53990"/>
    <cellStyle name="Обычный 9 5 2 4 3 6 2" xfId="53991"/>
    <cellStyle name="Обычный 9 5 2 4 3 7" xfId="53992"/>
    <cellStyle name="Обычный 9 5 2 4 3 8" xfId="53993"/>
    <cellStyle name="Обычный 9 5 2 4 4" xfId="53994"/>
    <cellStyle name="Обычный 9 5 2 4 4 2" xfId="53995"/>
    <cellStyle name="Обычный 9 5 2 4 4 2 2" xfId="53996"/>
    <cellStyle name="Обычный 9 5 2 4 4 2 2 2" xfId="53997"/>
    <cellStyle name="Обычный 9 5 2 4 4 2 2 3" xfId="53998"/>
    <cellStyle name="Обычный 9 5 2 4 4 2 3" xfId="53999"/>
    <cellStyle name="Обычный 9 5 2 4 4 2 3 2" xfId="54000"/>
    <cellStyle name="Обычный 9 5 2 4 4 2 3 3" xfId="54001"/>
    <cellStyle name="Обычный 9 5 2 4 4 2 4" xfId="54002"/>
    <cellStyle name="Обычный 9 5 2 4 4 2 4 2" xfId="54003"/>
    <cellStyle name="Обычный 9 5 2 4 4 2 5" xfId="54004"/>
    <cellStyle name="Обычный 9 5 2 4 4 2 6" xfId="54005"/>
    <cellStyle name="Обычный 9 5 2 4 4 3" xfId="54006"/>
    <cellStyle name="Обычный 9 5 2 4 4 3 2" xfId="54007"/>
    <cellStyle name="Обычный 9 5 2 4 4 3 3" xfId="54008"/>
    <cellStyle name="Обычный 9 5 2 4 4 4" xfId="54009"/>
    <cellStyle name="Обычный 9 5 2 4 4 4 2" xfId="54010"/>
    <cellStyle name="Обычный 9 5 2 4 4 4 3" xfId="54011"/>
    <cellStyle name="Обычный 9 5 2 4 4 5" xfId="54012"/>
    <cellStyle name="Обычный 9 5 2 4 4 5 2" xfId="54013"/>
    <cellStyle name="Обычный 9 5 2 4 4 6" xfId="54014"/>
    <cellStyle name="Обычный 9 5 2 4 4 7" xfId="54015"/>
    <cellStyle name="Обычный 9 5 2 4 5" xfId="54016"/>
    <cellStyle name="Обычный 9 5 2 4 5 2" xfId="54017"/>
    <cellStyle name="Обычный 9 5 2 4 5 2 2" xfId="54018"/>
    <cellStyle name="Обычный 9 5 2 4 5 2 3" xfId="54019"/>
    <cellStyle name="Обычный 9 5 2 4 5 3" xfId="54020"/>
    <cellStyle name="Обычный 9 5 2 4 5 3 2" xfId="54021"/>
    <cellStyle name="Обычный 9 5 2 4 5 3 3" xfId="54022"/>
    <cellStyle name="Обычный 9 5 2 4 5 4" xfId="54023"/>
    <cellStyle name="Обычный 9 5 2 4 5 4 2" xfId="54024"/>
    <cellStyle name="Обычный 9 5 2 4 5 5" xfId="54025"/>
    <cellStyle name="Обычный 9 5 2 4 5 6" xfId="54026"/>
    <cellStyle name="Обычный 9 5 2 4 6" xfId="54027"/>
    <cellStyle name="Обычный 9 5 2 4 6 2" xfId="54028"/>
    <cellStyle name="Обычный 9 5 2 4 6 3" xfId="54029"/>
    <cellStyle name="Обычный 9 5 2 4 7" xfId="54030"/>
    <cellStyle name="Обычный 9 5 2 4 7 2" xfId="54031"/>
    <cellStyle name="Обычный 9 5 2 4 7 3" xfId="54032"/>
    <cellStyle name="Обычный 9 5 2 4 8" xfId="54033"/>
    <cellStyle name="Обычный 9 5 2 4 8 2" xfId="54034"/>
    <cellStyle name="Обычный 9 5 2 4 9" xfId="54035"/>
    <cellStyle name="Обычный 9 5 2 5" xfId="54036"/>
    <cellStyle name="Обычный 9 5 2 5 2" xfId="54037"/>
    <cellStyle name="Обычный 9 5 2 5 2 2" xfId="54038"/>
    <cellStyle name="Обычный 9 5 2 5 2 2 2" xfId="54039"/>
    <cellStyle name="Обычный 9 5 2 5 2 2 2 2" xfId="54040"/>
    <cellStyle name="Обычный 9 5 2 5 2 2 2 2 2" xfId="54041"/>
    <cellStyle name="Обычный 9 5 2 5 2 2 2 2 3" xfId="54042"/>
    <cellStyle name="Обычный 9 5 2 5 2 2 2 3" xfId="54043"/>
    <cellStyle name="Обычный 9 5 2 5 2 2 2 3 2" xfId="54044"/>
    <cellStyle name="Обычный 9 5 2 5 2 2 2 3 3" xfId="54045"/>
    <cellStyle name="Обычный 9 5 2 5 2 2 2 4" xfId="54046"/>
    <cellStyle name="Обычный 9 5 2 5 2 2 2 4 2" xfId="54047"/>
    <cellStyle name="Обычный 9 5 2 5 2 2 2 5" xfId="54048"/>
    <cellStyle name="Обычный 9 5 2 5 2 2 2 6" xfId="54049"/>
    <cellStyle name="Обычный 9 5 2 5 2 2 3" xfId="54050"/>
    <cellStyle name="Обычный 9 5 2 5 2 2 3 2" xfId="54051"/>
    <cellStyle name="Обычный 9 5 2 5 2 2 3 3" xfId="54052"/>
    <cellStyle name="Обычный 9 5 2 5 2 2 4" xfId="54053"/>
    <cellStyle name="Обычный 9 5 2 5 2 2 4 2" xfId="54054"/>
    <cellStyle name="Обычный 9 5 2 5 2 2 4 3" xfId="54055"/>
    <cellStyle name="Обычный 9 5 2 5 2 2 5" xfId="54056"/>
    <cellStyle name="Обычный 9 5 2 5 2 2 5 2" xfId="54057"/>
    <cellStyle name="Обычный 9 5 2 5 2 2 6" xfId="54058"/>
    <cellStyle name="Обычный 9 5 2 5 2 2 7" xfId="54059"/>
    <cellStyle name="Обычный 9 5 2 5 2 3" xfId="54060"/>
    <cellStyle name="Обычный 9 5 2 5 2 3 2" xfId="54061"/>
    <cellStyle name="Обычный 9 5 2 5 2 3 2 2" xfId="54062"/>
    <cellStyle name="Обычный 9 5 2 5 2 3 2 3" xfId="54063"/>
    <cellStyle name="Обычный 9 5 2 5 2 3 3" xfId="54064"/>
    <cellStyle name="Обычный 9 5 2 5 2 3 3 2" xfId="54065"/>
    <cellStyle name="Обычный 9 5 2 5 2 3 3 3" xfId="54066"/>
    <cellStyle name="Обычный 9 5 2 5 2 3 4" xfId="54067"/>
    <cellStyle name="Обычный 9 5 2 5 2 3 4 2" xfId="54068"/>
    <cellStyle name="Обычный 9 5 2 5 2 3 5" xfId="54069"/>
    <cellStyle name="Обычный 9 5 2 5 2 3 6" xfId="54070"/>
    <cellStyle name="Обычный 9 5 2 5 2 4" xfId="54071"/>
    <cellStyle name="Обычный 9 5 2 5 2 4 2" xfId="54072"/>
    <cellStyle name="Обычный 9 5 2 5 2 4 3" xfId="54073"/>
    <cellStyle name="Обычный 9 5 2 5 2 5" xfId="54074"/>
    <cellStyle name="Обычный 9 5 2 5 2 5 2" xfId="54075"/>
    <cellStyle name="Обычный 9 5 2 5 2 5 3" xfId="54076"/>
    <cellStyle name="Обычный 9 5 2 5 2 6" xfId="54077"/>
    <cellStyle name="Обычный 9 5 2 5 2 6 2" xfId="54078"/>
    <cellStyle name="Обычный 9 5 2 5 2 7" xfId="54079"/>
    <cellStyle name="Обычный 9 5 2 5 2 8" xfId="54080"/>
    <cellStyle name="Обычный 9 5 2 5 3" xfId="54081"/>
    <cellStyle name="Обычный 9 5 2 5 3 2" xfId="54082"/>
    <cellStyle name="Обычный 9 5 2 5 3 2 2" xfId="54083"/>
    <cellStyle name="Обычный 9 5 2 5 3 2 2 2" xfId="54084"/>
    <cellStyle name="Обычный 9 5 2 5 3 2 2 3" xfId="54085"/>
    <cellStyle name="Обычный 9 5 2 5 3 2 3" xfId="54086"/>
    <cellStyle name="Обычный 9 5 2 5 3 2 3 2" xfId="54087"/>
    <cellStyle name="Обычный 9 5 2 5 3 2 3 3" xfId="54088"/>
    <cellStyle name="Обычный 9 5 2 5 3 2 4" xfId="54089"/>
    <cellStyle name="Обычный 9 5 2 5 3 2 4 2" xfId="54090"/>
    <cellStyle name="Обычный 9 5 2 5 3 2 5" xfId="54091"/>
    <cellStyle name="Обычный 9 5 2 5 3 2 6" xfId="54092"/>
    <cellStyle name="Обычный 9 5 2 5 3 3" xfId="54093"/>
    <cellStyle name="Обычный 9 5 2 5 3 3 2" xfId="54094"/>
    <cellStyle name="Обычный 9 5 2 5 3 3 3" xfId="54095"/>
    <cellStyle name="Обычный 9 5 2 5 3 4" xfId="54096"/>
    <cellStyle name="Обычный 9 5 2 5 3 4 2" xfId="54097"/>
    <cellStyle name="Обычный 9 5 2 5 3 4 3" xfId="54098"/>
    <cellStyle name="Обычный 9 5 2 5 3 5" xfId="54099"/>
    <cellStyle name="Обычный 9 5 2 5 3 5 2" xfId="54100"/>
    <cellStyle name="Обычный 9 5 2 5 3 6" xfId="54101"/>
    <cellStyle name="Обычный 9 5 2 5 3 7" xfId="54102"/>
    <cellStyle name="Обычный 9 5 2 5 4" xfId="54103"/>
    <cellStyle name="Обычный 9 5 2 5 4 2" xfId="54104"/>
    <cellStyle name="Обычный 9 5 2 5 4 2 2" xfId="54105"/>
    <cellStyle name="Обычный 9 5 2 5 4 2 3" xfId="54106"/>
    <cellStyle name="Обычный 9 5 2 5 4 3" xfId="54107"/>
    <cellStyle name="Обычный 9 5 2 5 4 3 2" xfId="54108"/>
    <cellStyle name="Обычный 9 5 2 5 4 3 3" xfId="54109"/>
    <cellStyle name="Обычный 9 5 2 5 4 4" xfId="54110"/>
    <cellStyle name="Обычный 9 5 2 5 4 4 2" xfId="54111"/>
    <cellStyle name="Обычный 9 5 2 5 4 5" xfId="54112"/>
    <cellStyle name="Обычный 9 5 2 5 4 6" xfId="54113"/>
    <cellStyle name="Обычный 9 5 2 5 5" xfId="54114"/>
    <cellStyle name="Обычный 9 5 2 5 5 2" xfId="54115"/>
    <cellStyle name="Обычный 9 5 2 5 5 3" xfId="54116"/>
    <cellStyle name="Обычный 9 5 2 5 6" xfId="54117"/>
    <cellStyle name="Обычный 9 5 2 5 6 2" xfId="54118"/>
    <cellStyle name="Обычный 9 5 2 5 6 3" xfId="54119"/>
    <cellStyle name="Обычный 9 5 2 5 7" xfId="54120"/>
    <cellStyle name="Обычный 9 5 2 5 7 2" xfId="54121"/>
    <cellStyle name="Обычный 9 5 2 5 8" xfId="54122"/>
    <cellStyle name="Обычный 9 5 2 5 9" xfId="54123"/>
    <cellStyle name="Обычный 9 5 2 6" xfId="54124"/>
    <cellStyle name="Обычный 9 5 2 6 2" xfId="54125"/>
    <cellStyle name="Обычный 9 5 2 6 2 2" xfId="54126"/>
    <cellStyle name="Обычный 9 5 2 6 2 2 2" xfId="54127"/>
    <cellStyle name="Обычный 9 5 2 6 2 2 2 2" xfId="54128"/>
    <cellStyle name="Обычный 9 5 2 6 2 2 2 3" xfId="54129"/>
    <cellStyle name="Обычный 9 5 2 6 2 2 3" xfId="54130"/>
    <cellStyle name="Обычный 9 5 2 6 2 2 3 2" xfId="54131"/>
    <cellStyle name="Обычный 9 5 2 6 2 2 3 3" xfId="54132"/>
    <cellStyle name="Обычный 9 5 2 6 2 2 4" xfId="54133"/>
    <cellStyle name="Обычный 9 5 2 6 2 2 4 2" xfId="54134"/>
    <cellStyle name="Обычный 9 5 2 6 2 2 5" xfId="54135"/>
    <cellStyle name="Обычный 9 5 2 6 2 2 6" xfId="54136"/>
    <cellStyle name="Обычный 9 5 2 6 2 3" xfId="54137"/>
    <cellStyle name="Обычный 9 5 2 6 2 3 2" xfId="54138"/>
    <cellStyle name="Обычный 9 5 2 6 2 3 3" xfId="54139"/>
    <cellStyle name="Обычный 9 5 2 6 2 4" xfId="54140"/>
    <cellStyle name="Обычный 9 5 2 6 2 4 2" xfId="54141"/>
    <cellStyle name="Обычный 9 5 2 6 2 4 3" xfId="54142"/>
    <cellStyle name="Обычный 9 5 2 6 2 5" xfId="54143"/>
    <cellStyle name="Обычный 9 5 2 6 2 5 2" xfId="54144"/>
    <cellStyle name="Обычный 9 5 2 6 2 6" xfId="54145"/>
    <cellStyle name="Обычный 9 5 2 6 2 7" xfId="54146"/>
    <cellStyle name="Обычный 9 5 2 6 3" xfId="54147"/>
    <cellStyle name="Обычный 9 5 2 6 3 2" xfId="54148"/>
    <cellStyle name="Обычный 9 5 2 6 3 2 2" xfId="54149"/>
    <cellStyle name="Обычный 9 5 2 6 3 2 3" xfId="54150"/>
    <cellStyle name="Обычный 9 5 2 6 3 3" xfId="54151"/>
    <cellStyle name="Обычный 9 5 2 6 3 3 2" xfId="54152"/>
    <cellStyle name="Обычный 9 5 2 6 3 3 3" xfId="54153"/>
    <cellStyle name="Обычный 9 5 2 6 3 4" xfId="54154"/>
    <cellStyle name="Обычный 9 5 2 6 3 4 2" xfId="54155"/>
    <cellStyle name="Обычный 9 5 2 6 3 5" xfId="54156"/>
    <cellStyle name="Обычный 9 5 2 6 3 6" xfId="54157"/>
    <cellStyle name="Обычный 9 5 2 6 4" xfId="54158"/>
    <cellStyle name="Обычный 9 5 2 6 4 2" xfId="54159"/>
    <cellStyle name="Обычный 9 5 2 6 4 3" xfId="54160"/>
    <cellStyle name="Обычный 9 5 2 6 5" xfId="54161"/>
    <cellStyle name="Обычный 9 5 2 6 5 2" xfId="54162"/>
    <cellStyle name="Обычный 9 5 2 6 5 3" xfId="54163"/>
    <cellStyle name="Обычный 9 5 2 6 6" xfId="54164"/>
    <cellStyle name="Обычный 9 5 2 6 6 2" xfId="54165"/>
    <cellStyle name="Обычный 9 5 2 6 7" xfId="54166"/>
    <cellStyle name="Обычный 9 5 2 6 8" xfId="54167"/>
    <cellStyle name="Обычный 9 5 2 7" xfId="54168"/>
    <cellStyle name="Обычный 9 5 2 7 2" xfId="54169"/>
    <cellStyle name="Обычный 9 5 2 7 2 2" xfId="54170"/>
    <cellStyle name="Обычный 9 5 2 7 2 2 2" xfId="54171"/>
    <cellStyle name="Обычный 9 5 2 7 2 2 3" xfId="54172"/>
    <cellStyle name="Обычный 9 5 2 7 2 3" xfId="54173"/>
    <cellStyle name="Обычный 9 5 2 7 2 3 2" xfId="54174"/>
    <cellStyle name="Обычный 9 5 2 7 2 3 3" xfId="54175"/>
    <cellStyle name="Обычный 9 5 2 7 2 4" xfId="54176"/>
    <cellStyle name="Обычный 9 5 2 7 2 4 2" xfId="54177"/>
    <cellStyle name="Обычный 9 5 2 7 2 5" xfId="54178"/>
    <cellStyle name="Обычный 9 5 2 7 2 6" xfId="54179"/>
    <cellStyle name="Обычный 9 5 2 7 3" xfId="54180"/>
    <cellStyle name="Обычный 9 5 2 7 3 2" xfId="54181"/>
    <cellStyle name="Обычный 9 5 2 7 3 3" xfId="54182"/>
    <cellStyle name="Обычный 9 5 2 7 4" xfId="54183"/>
    <cellStyle name="Обычный 9 5 2 7 4 2" xfId="54184"/>
    <cellStyle name="Обычный 9 5 2 7 4 3" xfId="54185"/>
    <cellStyle name="Обычный 9 5 2 7 5" xfId="54186"/>
    <cellStyle name="Обычный 9 5 2 7 5 2" xfId="54187"/>
    <cellStyle name="Обычный 9 5 2 7 6" xfId="54188"/>
    <cellStyle name="Обычный 9 5 2 7 7" xfId="54189"/>
    <cellStyle name="Обычный 9 5 2 8" xfId="54190"/>
    <cellStyle name="Обычный 9 5 2 8 2" xfId="54191"/>
    <cellStyle name="Обычный 9 5 2 8 2 2" xfId="54192"/>
    <cellStyle name="Обычный 9 5 2 8 2 3" xfId="54193"/>
    <cellStyle name="Обычный 9 5 2 8 3" xfId="54194"/>
    <cellStyle name="Обычный 9 5 2 8 3 2" xfId="54195"/>
    <cellStyle name="Обычный 9 5 2 8 3 3" xfId="54196"/>
    <cellStyle name="Обычный 9 5 2 8 4" xfId="54197"/>
    <cellStyle name="Обычный 9 5 2 8 4 2" xfId="54198"/>
    <cellStyle name="Обычный 9 5 2 8 5" xfId="54199"/>
    <cellStyle name="Обычный 9 5 2 8 6" xfId="54200"/>
    <cellStyle name="Обычный 9 5 2 9" xfId="54201"/>
    <cellStyle name="Обычный 9 5 2 9 2" xfId="54202"/>
    <cellStyle name="Обычный 9 5 2 9 3" xfId="54203"/>
    <cellStyle name="Обычный 9 5 3" xfId="54204"/>
    <cellStyle name="Обычный 9 5 3 10" xfId="54205"/>
    <cellStyle name="Обычный 9 5 3 2" xfId="54206"/>
    <cellStyle name="Обычный 9 5 3 2 2" xfId="54207"/>
    <cellStyle name="Обычный 9 5 3 2 2 2" xfId="54208"/>
    <cellStyle name="Обычный 9 5 3 2 2 2 2" xfId="54209"/>
    <cellStyle name="Обычный 9 5 3 2 2 2 2 2" xfId="54210"/>
    <cellStyle name="Обычный 9 5 3 2 2 2 2 2 2" xfId="54211"/>
    <cellStyle name="Обычный 9 5 3 2 2 2 2 2 3" xfId="54212"/>
    <cellStyle name="Обычный 9 5 3 2 2 2 2 3" xfId="54213"/>
    <cellStyle name="Обычный 9 5 3 2 2 2 2 3 2" xfId="54214"/>
    <cellStyle name="Обычный 9 5 3 2 2 2 2 3 3" xfId="54215"/>
    <cellStyle name="Обычный 9 5 3 2 2 2 2 4" xfId="54216"/>
    <cellStyle name="Обычный 9 5 3 2 2 2 2 4 2" xfId="54217"/>
    <cellStyle name="Обычный 9 5 3 2 2 2 2 5" xfId="54218"/>
    <cellStyle name="Обычный 9 5 3 2 2 2 2 6" xfId="54219"/>
    <cellStyle name="Обычный 9 5 3 2 2 2 3" xfId="54220"/>
    <cellStyle name="Обычный 9 5 3 2 2 2 3 2" xfId="54221"/>
    <cellStyle name="Обычный 9 5 3 2 2 2 3 3" xfId="54222"/>
    <cellStyle name="Обычный 9 5 3 2 2 2 4" xfId="54223"/>
    <cellStyle name="Обычный 9 5 3 2 2 2 4 2" xfId="54224"/>
    <cellStyle name="Обычный 9 5 3 2 2 2 4 3" xfId="54225"/>
    <cellStyle name="Обычный 9 5 3 2 2 2 5" xfId="54226"/>
    <cellStyle name="Обычный 9 5 3 2 2 2 5 2" xfId="54227"/>
    <cellStyle name="Обычный 9 5 3 2 2 2 6" xfId="54228"/>
    <cellStyle name="Обычный 9 5 3 2 2 2 7" xfId="54229"/>
    <cellStyle name="Обычный 9 5 3 2 2 3" xfId="54230"/>
    <cellStyle name="Обычный 9 5 3 2 2 3 2" xfId="54231"/>
    <cellStyle name="Обычный 9 5 3 2 2 3 2 2" xfId="54232"/>
    <cellStyle name="Обычный 9 5 3 2 2 3 2 3" xfId="54233"/>
    <cellStyle name="Обычный 9 5 3 2 2 3 3" xfId="54234"/>
    <cellStyle name="Обычный 9 5 3 2 2 3 3 2" xfId="54235"/>
    <cellStyle name="Обычный 9 5 3 2 2 3 3 3" xfId="54236"/>
    <cellStyle name="Обычный 9 5 3 2 2 3 4" xfId="54237"/>
    <cellStyle name="Обычный 9 5 3 2 2 3 4 2" xfId="54238"/>
    <cellStyle name="Обычный 9 5 3 2 2 3 5" xfId="54239"/>
    <cellStyle name="Обычный 9 5 3 2 2 3 6" xfId="54240"/>
    <cellStyle name="Обычный 9 5 3 2 2 4" xfId="54241"/>
    <cellStyle name="Обычный 9 5 3 2 2 4 2" xfId="54242"/>
    <cellStyle name="Обычный 9 5 3 2 2 4 3" xfId="54243"/>
    <cellStyle name="Обычный 9 5 3 2 2 5" xfId="54244"/>
    <cellStyle name="Обычный 9 5 3 2 2 5 2" xfId="54245"/>
    <cellStyle name="Обычный 9 5 3 2 2 5 3" xfId="54246"/>
    <cellStyle name="Обычный 9 5 3 2 2 6" xfId="54247"/>
    <cellStyle name="Обычный 9 5 3 2 2 6 2" xfId="54248"/>
    <cellStyle name="Обычный 9 5 3 2 2 7" xfId="54249"/>
    <cellStyle name="Обычный 9 5 3 2 2 8" xfId="54250"/>
    <cellStyle name="Обычный 9 5 3 2 3" xfId="54251"/>
    <cellStyle name="Обычный 9 5 3 2 3 2" xfId="54252"/>
    <cellStyle name="Обычный 9 5 3 2 3 2 2" xfId="54253"/>
    <cellStyle name="Обычный 9 5 3 2 3 2 2 2" xfId="54254"/>
    <cellStyle name="Обычный 9 5 3 2 3 2 2 3" xfId="54255"/>
    <cellStyle name="Обычный 9 5 3 2 3 2 3" xfId="54256"/>
    <cellStyle name="Обычный 9 5 3 2 3 2 3 2" xfId="54257"/>
    <cellStyle name="Обычный 9 5 3 2 3 2 3 3" xfId="54258"/>
    <cellStyle name="Обычный 9 5 3 2 3 2 4" xfId="54259"/>
    <cellStyle name="Обычный 9 5 3 2 3 2 4 2" xfId="54260"/>
    <cellStyle name="Обычный 9 5 3 2 3 2 5" xfId="54261"/>
    <cellStyle name="Обычный 9 5 3 2 3 2 6" xfId="54262"/>
    <cellStyle name="Обычный 9 5 3 2 3 3" xfId="54263"/>
    <cellStyle name="Обычный 9 5 3 2 3 3 2" xfId="54264"/>
    <cellStyle name="Обычный 9 5 3 2 3 3 3" xfId="54265"/>
    <cellStyle name="Обычный 9 5 3 2 3 4" xfId="54266"/>
    <cellStyle name="Обычный 9 5 3 2 3 4 2" xfId="54267"/>
    <cellStyle name="Обычный 9 5 3 2 3 4 3" xfId="54268"/>
    <cellStyle name="Обычный 9 5 3 2 3 5" xfId="54269"/>
    <cellStyle name="Обычный 9 5 3 2 3 5 2" xfId="54270"/>
    <cellStyle name="Обычный 9 5 3 2 3 6" xfId="54271"/>
    <cellStyle name="Обычный 9 5 3 2 3 7" xfId="54272"/>
    <cellStyle name="Обычный 9 5 3 2 4" xfId="54273"/>
    <cellStyle name="Обычный 9 5 3 2 4 2" xfId="54274"/>
    <cellStyle name="Обычный 9 5 3 2 4 2 2" xfId="54275"/>
    <cellStyle name="Обычный 9 5 3 2 4 2 3" xfId="54276"/>
    <cellStyle name="Обычный 9 5 3 2 4 3" xfId="54277"/>
    <cellStyle name="Обычный 9 5 3 2 4 3 2" xfId="54278"/>
    <cellStyle name="Обычный 9 5 3 2 4 3 3" xfId="54279"/>
    <cellStyle name="Обычный 9 5 3 2 4 4" xfId="54280"/>
    <cellStyle name="Обычный 9 5 3 2 4 4 2" xfId="54281"/>
    <cellStyle name="Обычный 9 5 3 2 4 5" xfId="54282"/>
    <cellStyle name="Обычный 9 5 3 2 4 6" xfId="54283"/>
    <cellStyle name="Обычный 9 5 3 2 5" xfId="54284"/>
    <cellStyle name="Обычный 9 5 3 2 5 2" xfId="54285"/>
    <cellStyle name="Обычный 9 5 3 2 5 3" xfId="54286"/>
    <cellStyle name="Обычный 9 5 3 2 6" xfId="54287"/>
    <cellStyle name="Обычный 9 5 3 2 6 2" xfId="54288"/>
    <cellStyle name="Обычный 9 5 3 2 6 3" xfId="54289"/>
    <cellStyle name="Обычный 9 5 3 2 7" xfId="54290"/>
    <cellStyle name="Обычный 9 5 3 2 7 2" xfId="54291"/>
    <cellStyle name="Обычный 9 5 3 2 8" xfId="54292"/>
    <cellStyle name="Обычный 9 5 3 2 9" xfId="54293"/>
    <cellStyle name="Обычный 9 5 3 3" xfId="54294"/>
    <cellStyle name="Обычный 9 5 3 3 2" xfId="54295"/>
    <cellStyle name="Обычный 9 5 3 3 2 2" xfId="54296"/>
    <cellStyle name="Обычный 9 5 3 3 2 2 2" xfId="54297"/>
    <cellStyle name="Обычный 9 5 3 3 2 2 2 2" xfId="54298"/>
    <cellStyle name="Обычный 9 5 3 3 2 2 2 3" xfId="54299"/>
    <cellStyle name="Обычный 9 5 3 3 2 2 3" xfId="54300"/>
    <cellStyle name="Обычный 9 5 3 3 2 2 3 2" xfId="54301"/>
    <cellStyle name="Обычный 9 5 3 3 2 2 3 3" xfId="54302"/>
    <cellStyle name="Обычный 9 5 3 3 2 2 4" xfId="54303"/>
    <cellStyle name="Обычный 9 5 3 3 2 2 4 2" xfId="54304"/>
    <cellStyle name="Обычный 9 5 3 3 2 2 5" xfId="54305"/>
    <cellStyle name="Обычный 9 5 3 3 2 2 6" xfId="54306"/>
    <cellStyle name="Обычный 9 5 3 3 2 3" xfId="54307"/>
    <cellStyle name="Обычный 9 5 3 3 2 3 2" xfId="54308"/>
    <cellStyle name="Обычный 9 5 3 3 2 3 3" xfId="54309"/>
    <cellStyle name="Обычный 9 5 3 3 2 4" xfId="54310"/>
    <cellStyle name="Обычный 9 5 3 3 2 4 2" xfId="54311"/>
    <cellStyle name="Обычный 9 5 3 3 2 4 3" xfId="54312"/>
    <cellStyle name="Обычный 9 5 3 3 2 5" xfId="54313"/>
    <cellStyle name="Обычный 9 5 3 3 2 5 2" xfId="54314"/>
    <cellStyle name="Обычный 9 5 3 3 2 6" xfId="54315"/>
    <cellStyle name="Обычный 9 5 3 3 2 7" xfId="54316"/>
    <cellStyle name="Обычный 9 5 3 3 3" xfId="54317"/>
    <cellStyle name="Обычный 9 5 3 3 3 2" xfId="54318"/>
    <cellStyle name="Обычный 9 5 3 3 3 2 2" xfId="54319"/>
    <cellStyle name="Обычный 9 5 3 3 3 2 3" xfId="54320"/>
    <cellStyle name="Обычный 9 5 3 3 3 3" xfId="54321"/>
    <cellStyle name="Обычный 9 5 3 3 3 3 2" xfId="54322"/>
    <cellStyle name="Обычный 9 5 3 3 3 3 3" xfId="54323"/>
    <cellStyle name="Обычный 9 5 3 3 3 4" xfId="54324"/>
    <cellStyle name="Обычный 9 5 3 3 3 4 2" xfId="54325"/>
    <cellStyle name="Обычный 9 5 3 3 3 5" xfId="54326"/>
    <cellStyle name="Обычный 9 5 3 3 3 6" xfId="54327"/>
    <cellStyle name="Обычный 9 5 3 3 4" xfId="54328"/>
    <cellStyle name="Обычный 9 5 3 3 4 2" xfId="54329"/>
    <cellStyle name="Обычный 9 5 3 3 4 3" xfId="54330"/>
    <cellStyle name="Обычный 9 5 3 3 5" xfId="54331"/>
    <cellStyle name="Обычный 9 5 3 3 5 2" xfId="54332"/>
    <cellStyle name="Обычный 9 5 3 3 5 3" xfId="54333"/>
    <cellStyle name="Обычный 9 5 3 3 6" xfId="54334"/>
    <cellStyle name="Обычный 9 5 3 3 6 2" xfId="54335"/>
    <cellStyle name="Обычный 9 5 3 3 7" xfId="54336"/>
    <cellStyle name="Обычный 9 5 3 3 8" xfId="54337"/>
    <cellStyle name="Обычный 9 5 3 4" xfId="54338"/>
    <cellStyle name="Обычный 9 5 3 4 2" xfId="54339"/>
    <cellStyle name="Обычный 9 5 3 4 2 2" xfId="54340"/>
    <cellStyle name="Обычный 9 5 3 4 2 2 2" xfId="54341"/>
    <cellStyle name="Обычный 9 5 3 4 2 2 3" xfId="54342"/>
    <cellStyle name="Обычный 9 5 3 4 2 3" xfId="54343"/>
    <cellStyle name="Обычный 9 5 3 4 2 3 2" xfId="54344"/>
    <cellStyle name="Обычный 9 5 3 4 2 3 3" xfId="54345"/>
    <cellStyle name="Обычный 9 5 3 4 2 4" xfId="54346"/>
    <cellStyle name="Обычный 9 5 3 4 2 4 2" xfId="54347"/>
    <cellStyle name="Обычный 9 5 3 4 2 5" xfId="54348"/>
    <cellStyle name="Обычный 9 5 3 4 2 6" xfId="54349"/>
    <cellStyle name="Обычный 9 5 3 4 3" xfId="54350"/>
    <cellStyle name="Обычный 9 5 3 4 3 2" xfId="54351"/>
    <cellStyle name="Обычный 9 5 3 4 3 3" xfId="54352"/>
    <cellStyle name="Обычный 9 5 3 4 4" xfId="54353"/>
    <cellStyle name="Обычный 9 5 3 4 4 2" xfId="54354"/>
    <cellStyle name="Обычный 9 5 3 4 4 3" xfId="54355"/>
    <cellStyle name="Обычный 9 5 3 4 5" xfId="54356"/>
    <cellStyle name="Обычный 9 5 3 4 5 2" xfId="54357"/>
    <cellStyle name="Обычный 9 5 3 4 6" xfId="54358"/>
    <cellStyle name="Обычный 9 5 3 4 7" xfId="54359"/>
    <cellStyle name="Обычный 9 5 3 5" xfId="54360"/>
    <cellStyle name="Обычный 9 5 3 5 2" xfId="54361"/>
    <cellStyle name="Обычный 9 5 3 5 2 2" xfId="54362"/>
    <cellStyle name="Обычный 9 5 3 5 2 3" xfId="54363"/>
    <cellStyle name="Обычный 9 5 3 5 3" xfId="54364"/>
    <cellStyle name="Обычный 9 5 3 5 3 2" xfId="54365"/>
    <cellStyle name="Обычный 9 5 3 5 3 3" xfId="54366"/>
    <cellStyle name="Обычный 9 5 3 5 4" xfId="54367"/>
    <cellStyle name="Обычный 9 5 3 5 4 2" xfId="54368"/>
    <cellStyle name="Обычный 9 5 3 5 5" xfId="54369"/>
    <cellStyle name="Обычный 9 5 3 5 6" xfId="54370"/>
    <cellStyle name="Обычный 9 5 3 6" xfId="54371"/>
    <cellStyle name="Обычный 9 5 3 6 2" xfId="54372"/>
    <cellStyle name="Обычный 9 5 3 6 3" xfId="54373"/>
    <cellStyle name="Обычный 9 5 3 7" xfId="54374"/>
    <cellStyle name="Обычный 9 5 3 7 2" xfId="54375"/>
    <cellStyle name="Обычный 9 5 3 7 3" xfId="54376"/>
    <cellStyle name="Обычный 9 5 3 8" xfId="54377"/>
    <cellStyle name="Обычный 9 5 3 8 2" xfId="54378"/>
    <cellStyle name="Обычный 9 5 3 9" xfId="54379"/>
    <cellStyle name="Обычный 9 5 4" xfId="54380"/>
    <cellStyle name="Обычный 9 5 4 10" xfId="54381"/>
    <cellStyle name="Обычный 9 5 4 2" xfId="54382"/>
    <cellStyle name="Обычный 9 5 4 2 2" xfId="54383"/>
    <cellStyle name="Обычный 9 5 4 2 2 2" xfId="54384"/>
    <cellStyle name="Обычный 9 5 4 2 2 2 2" xfId="54385"/>
    <cellStyle name="Обычный 9 5 4 2 2 2 2 2" xfId="54386"/>
    <cellStyle name="Обычный 9 5 4 2 2 2 2 2 2" xfId="54387"/>
    <cellStyle name="Обычный 9 5 4 2 2 2 2 2 3" xfId="54388"/>
    <cellStyle name="Обычный 9 5 4 2 2 2 2 3" xfId="54389"/>
    <cellStyle name="Обычный 9 5 4 2 2 2 2 3 2" xfId="54390"/>
    <cellStyle name="Обычный 9 5 4 2 2 2 2 3 3" xfId="54391"/>
    <cellStyle name="Обычный 9 5 4 2 2 2 2 4" xfId="54392"/>
    <cellStyle name="Обычный 9 5 4 2 2 2 2 4 2" xfId="54393"/>
    <cellStyle name="Обычный 9 5 4 2 2 2 2 5" xfId="54394"/>
    <cellStyle name="Обычный 9 5 4 2 2 2 2 6" xfId="54395"/>
    <cellStyle name="Обычный 9 5 4 2 2 2 3" xfId="54396"/>
    <cellStyle name="Обычный 9 5 4 2 2 2 3 2" xfId="54397"/>
    <cellStyle name="Обычный 9 5 4 2 2 2 3 3" xfId="54398"/>
    <cellStyle name="Обычный 9 5 4 2 2 2 4" xfId="54399"/>
    <cellStyle name="Обычный 9 5 4 2 2 2 4 2" xfId="54400"/>
    <cellStyle name="Обычный 9 5 4 2 2 2 4 3" xfId="54401"/>
    <cellStyle name="Обычный 9 5 4 2 2 2 5" xfId="54402"/>
    <cellStyle name="Обычный 9 5 4 2 2 2 5 2" xfId="54403"/>
    <cellStyle name="Обычный 9 5 4 2 2 2 6" xfId="54404"/>
    <cellStyle name="Обычный 9 5 4 2 2 2 7" xfId="54405"/>
    <cellStyle name="Обычный 9 5 4 2 2 3" xfId="54406"/>
    <cellStyle name="Обычный 9 5 4 2 2 3 2" xfId="54407"/>
    <cellStyle name="Обычный 9 5 4 2 2 3 2 2" xfId="54408"/>
    <cellStyle name="Обычный 9 5 4 2 2 3 2 3" xfId="54409"/>
    <cellStyle name="Обычный 9 5 4 2 2 3 3" xfId="54410"/>
    <cellStyle name="Обычный 9 5 4 2 2 3 3 2" xfId="54411"/>
    <cellStyle name="Обычный 9 5 4 2 2 3 3 3" xfId="54412"/>
    <cellStyle name="Обычный 9 5 4 2 2 3 4" xfId="54413"/>
    <cellStyle name="Обычный 9 5 4 2 2 3 4 2" xfId="54414"/>
    <cellStyle name="Обычный 9 5 4 2 2 3 5" xfId="54415"/>
    <cellStyle name="Обычный 9 5 4 2 2 3 6" xfId="54416"/>
    <cellStyle name="Обычный 9 5 4 2 2 4" xfId="54417"/>
    <cellStyle name="Обычный 9 5 4 2 2 4 2" xfId="54418"/>
    <cellStyle name="Обычный 9 5 4 2 2 4 3" xfId="54419"/>
    <cellStyle name="Обычный 9 5 4 2 2 5" xfId="54420"/>
    <cellStyle name="Обычный 9 5 4 2 2 5 2" xfId="54421"/>
    <cellStyle name="Обычный 9 5 4 2 2 5 3" xfId="54422"/>
    <cellStyle name="Обычный 9 5 4 2 2 6" xfId="54423"/>
    <cellStyle name="Обычный 9 5 4 2 2 6 2" xfId="54424"/>
    <cellStyle name="Обычный 9 5 4 2 2 7" xfId="54425"/>
    <cellStyle name="Обычный 9 5 4 2 2 8" xfId="54426"/>
    <cellStyle name="Обычный 9 5 4 2 3" xfId="54427"/>
    <cellStyle name="Обычный 9 5 4 2 3 2" xfId="54428"/>
    <cellStyle name="Обычный 9 5 4 2 3 2 2" xfId="54429"/>
    <cellStyle name="Обычный 9 5 4 2 3 2 2 2" xfId="54430"/>
    <cellStyle name="Обычный 9 5 4 2 3 2 2 3" xfId="54431"/>
    <cellStyle name="Обычный 9 5 4 2 3 2 3" xfId="54432"/>
    <cellStyle name="Обычный 9 5 4 2 3 2 3 2" xfId="54433"/>
    <cellStyle name="Обычный 9 5 4 2 3 2 3 3" xfId="54434"/>
    <cellStyle name="Обычный 9 5 4 2 3 2 4" xfId="54435"/>
    <cellStyle name="Обычный 9 5 4 2 3 2 4 2" xfId="54436"/>
    <cellStyle name="Обычный 9 5 4 2 3 2 5" xfId="54437"/>
    <cellStyle name="Обычный 9 5 4 2 3 2 6" xfId="54438"/>
    <cellStyle name="Обычный 9 5 4 2 3 3" xfId="54439"/>
    <cellStyle name="Обычный 9 5 4 2 3 3 2" xfId="54440"/>
    <cellStyle name="Обычный 9 5 4 2 3 3 3" xfId="54441"/>
    <cellStyle name="Обычный 9 5 4 2 3 4" xfId="54442"/>
    <cellStyle name="Обычный 9 5 4 2 3 4 2" xfId="54443"/>
    <cellStyle name="Обычный 9 5 4 2 3 4 3" xfId="54444"/>
    <cellStyle name="Обычный 9 5 4 2 3 5" xfId="54445"/>
    <cellStyle name="Обычный 9 5 4 2 3 5 2" xfId="54446"/>
    <cellStyle name="Обычный 9 5 4 2 3 6" xfId="54447"/>
    <cellStyle name="Обычный 9 5 4 2 3 7" xfId="54448"/>
    <cellStyle name="Обычный 9 5 4 2 4" xfId="54449"/>
    <cellStyle name="Обычный 9 5 4 2 4 2" xfId="54450"/>
    <cellStyle name="Обычный 9 5 4 2 4 2 2" xfId="54451"/>
    <cellStyle name="Обычный 9 5 4 2 4 2 3" xfId="54452"/>
    <cellStyle name="Обычный 9 5 4 2 4 3" xfId="54453"/>
    <cellStyle name="Обычный 9 5 4 2 4 3 2" xfId="54454"/>
    <cellStyle name="Обычный 9 5 4 2 4 3 3" xfId="54455"/>
    <cellStyle name="Обычный 9 5 4 2 4 4" xfId="54456"/>
    <cellStyle name="Обычный 9 5 4 2 4 4 2" xfId="54457"/>
    <cellStyle name="Обычный 9 5 4 2 4 5" xfId="54458"/>
    <cellStyle name="Обычный 9 5 4 2 4 6" xfId="54459"/>
    <cellStyle name="Обычный 9 5 4 2 5" xfId="54460"/>
    <cellStyle name="Обычный 9 5 4 2 5 2" xfId="54461"/>
    <cellStyle name="Обычный 9 5 4 2 5 3" xfId="54462"/>
    <cellStyle name="Обычный 9 5 4 2 6" xfId="54463"/>
    <cellStyle name="Обычный 9 5 4 2 6 2" xfId="54464"/>
    <cellStyle name="Обычный 9 5 4 2 6 3" xfId="54465"/>
    <cellStyle name="Обычный 9 5 4 2 7" xfId="54466"/>
    <cellStyle name="Обычный 9 5 4 2 7 2" xfId="54467"/>
    <cellStyle name="Обычный 9 5 4 2 8" xfId="54468"/>
    <cellStyle name="Обычный 9 5 4 2 9" xfId="54469"/>
    <cellStyle name="Обычный 9 5 4 3" xfId="54470"/>
    <cellStyle name="Обычный 9 5 4 3 2" xfId="54471"/>
    <cellStyle name="Обычный 9 5 4 3 2 2" xfId="54472"/>
    <cellStyle name="Обычный 9 5 4 3 2 2 2" xfId="54473"/>
    <cellStyle name="Обычный 9 5 4 3 2 2 2 2" xfId="54474"/>
    <cellStyle name="Обычный 9 5 4 3 2 2 2 3" xfId="54475"/>
    <cellStyle name="Обычный 9 5 4 3 2 2 3" xfId="54476"/>
    <cellStyle name="Обычный 9 5 4 3 2 2 3 2" xfId="54477"/>
    <cellStyle name="Обычный 9 5 4 3 2 2 3 3" xfId="54478"/>
    <cellStyle name="Обычный 9 5 4 3 2 2 4" xfId="54479"/>
    <cellStyle name="Обычный 9 5 4 3 2 2 4 2" xfId="54480"/>
    <cellStyle name="Обычный 9 5 4 3 2 2 5" xfId="54481"/>
    <cellStyle name="Обычный 9 5 4 3 2 2 6" xfId="54482"/>
    <cellStyle name="Обычный 9 5 4 3 2 3" xfId="54483"/>
    <cellStyle name="Обычный 9 5 4 3 2 3 2" xfId="54484"/>
    <cellStyle name="Обычный 9 5 4 3 2 3 3" xfId="54485"/>
    <cellStyle name="Обычный 9 5 4 3 2 4" xfId="54486"/>
    <cellStyle name="Обычный 9 5 4 3 2 4 2" xfId="54487"/>
    <cellStyle name="Обычный 9 5 4 3 2 4 3" xfId="54488"/>
    <cellStyle name="Обычный 9 5 4 3 2 5" xfId="54489"/>
    <cellStyle name="Обычный 9 5 4 3 2 5 2" xfId="54490"/>
    <cellStyle name="Обычный 9 5 4 3 2 6" xfId="54491"/>
    <cellStyle name="Обычный 9 5 4 3 2 7" xfId="54492"/>
    <cellStyle name="Обычный 9 5 4 3 3" xfId="54493"/>
    <cellStyle name="Обычный 9 5 4 3 3 2" xfId="54494"/>
    <cellStyle name="Обычный 9 5 4 3 3 2 2" xfId="54495"/>
    <cellStyle name="Обычный 9 5 4 3 3 2 3" xfId="54496"/>
    <cellStyle name="Обычный 9 5 4 3 3 3" xfId="54497"/>
    <cellStyle name="Обычный 9 5 4 3 3 3 2" xfId="54498"/>
    <cellStyle name="Обычный 9 5 4 3 3 3 3" xfId="54499"/>
    <cellStyle name="Обычный 9 5 4 3 3 4" xfId="54500"/>
    <cellStyle name="Обычный 9 5 4 3 3 4 2" xfId="54501"/>
    <cellStyle name="Обычный 9 5 4 3 3 5" xfId="54502"/>
    <cellStyle name="Обычный 9 5 4 3 3 6" xfId="54503"/>
    <cellStyle name="Обычный 9 5 4 3 4" xfId="54504"/>
    <cellStyle name="Обычный 9 5 4 3 4 2" xfId="54505"/>
    <cellStyle name="Обычный 9 5 4 3 4 3" xfId="54506"/>
    <cellStyle name="Обычный 9 5 4 3 5" xfId="54507"/>
    <cellStyle name="Обычный 9 5 4 3 5 2" xfId="54508"/>
    <cellStyle name="Обычный 9 5 4 3 5 3" xfId="54509"/>
    <cellStyle name="Обычный 9 5 4 3 6" xfId="54510"/>
    <cellStyle name="Обычный 9 5 4 3 6 2" xfId="54511"/>
    <cellStyle name="Обычный 9 5 4 3 7" xfId="54512"/>
    <cellStyle name="Обычный 9 5 4 3 8" xfId="54513"/>
    <cellStyle name="Обычный 9 5 4 4" xfId="54514"/>
    <cellStyle name="Обычный 9 5 4 4 2" xfId="54515"/>
    <cellStyle name="Обычный 9 5 4 4 2 2" xfId="54516"/>
    <cellStyle name="Обычный 9 5 4 4 2 2 2" xfId="54517"/>
    <cellStyle name="Обычный 9 5 4 4 2 2 3" xfId="54518"/>
    <cellStyle name="Обычный 9 5 4 4 2 3" xfId="54519"/>
    <cellStyle name="Обычный 9 5 4 4 2 3 2" xfId="54520"/>
    <cellStyle name="Обычный 9 5 4 4 2 3 3" xfId="54521"/>
    <cellStyle name="Обычный 9 5 4 4 2 4" xfId="54522"/>
    <cellStyle name="Обычный 9 5 4 4 2 4 2" xfId="54523"/>
    <cellStyle name="Обычный 9 5 4 4 2 5" xfId="54524"/>
    <cellStyle name="Обычный 9 5 4 4 2 6" xfId="54525"/>
    <cellStyle name="Обычный 9 5 4 4 3" xfId="54526"/>
    <cellStyle name="Обычный 9 5 4 4 3 2" xfId="54527"/>
    <cellStyle name="Обычный 9 5 4 4 3 3" xfId="54528"/>
    <cellStyle name="Обычный 9 5 4 4 4" xfId="54529"/>
    <cellStyle name="Обычный 9 5 4 4 4 2" xfId="54530"/>
    <cellStyle name="Обычный 9 5 4 4 4 3" xfId="54531"/>
    <cellStyle name="Обычный 9 5 4 4 5" xfId="54532"/>
    <cellStyle name="Обычный 9 5 4 4 5 2" xfId="54533"/>
    <cellStyle name="Обычный 9 5 4 4 6" xfId="54534"/>
    <cellStyle name="Обычный 9 5 4 4 7" xfId="54535"/>
    <cellStyle name="Обычный 9 5 4 5" xfId="54536"/>
    <cellStyle name="Обычный 9 5 4 5 2" xfId="54537"/>
    <cellStyle name="Обычный 9 5 4 5 2 2" xfId="54538"/>
    <cellStyle name="Обычный 9 5 4 5 2 3" xfId="54539"/>
    <cellStyle name="Обычный 9 5 4 5 3" xfId="54540"/>
    <cellStyle name="Обычный 9 5 4 5 3 2" xfId="54541"/>
    <cellStyle name="Обычный 9 5 4 5 3 3" xfId="54542"/>
    <cellStyle name="Обычный 9 5 4 5 4" xfId="54543"/>
    <cellStyle name="Обычный 9 5 4 5 4 2" xfId="54544"/>
    <cellStyle name="Обычный 9 5 4 5 5" xfId="54545"/>
    <cellStyle name="Обычный 9 5 4 5 6" xfId="54546"/>
    <cellStyle name="Обычный 9 5 4 6" xfId="54547"/>
    <cellStyle name="Обычный 9 5 4 6 2" xfId="54548"/>
    <cellStyle name="Обычный 9 5 4 6 3" xfId="54549"/>
    <cellStyle name="Обычный 9 5 4 7" xfId="54550"/>
    <cellStyle name="Обычный 9 5 4 7 2" xfId="54551"/>
    <cellStyle name="Обычный 9 5 4 7 3" xfId="54552"/>
    <cellStyle name="Обычный 9 5 4 8" xfId="54553"/>
    <cellStyle name="Обычный 9 5 4 8 2" xfId="54554"/>
    <cellStyle name="Обычный 9 5 4 9" xfId="54555"/>
    <cellStyle name="Обычный 9 5 5" xfId="54556"/>
    <cellStyle name="Обычный 9 5 5 10" xfId="54557"/>
    <cellStyle name="Обычный 9 5 5 2" xfId="54558"/>
    <cellStyle name="Обычный 9 5 5 2 2" xfId="54559"/>
    <cellStyle name="Обычный 9 5 5 2 2 2" xfId="54560"/>
    <cellStyle name="Обычный 9 5 5 2 2 2 2" xfId="54561"/>
    <cellStyle name="Обычный 9 5 5 2 2 2 2 2" xfId="54562"/>
    <cellStyle name="Обычный 9 5 5 2 2 2 2 2 2" xfId="54563"/>
    <cellStyle name="Обычный 9 5 5 2 2 2 2 2 3" xfId="54564"/>
    <cellStyle name="Обычный 9 5 5 2 2 2 2 3" xfId="54565"/>
    <cellStyle name="Обычный 9 5 5 2 2 2 2 3 2" xfId="54566"/>
    <cellStyle name="Обычный 9 5 5 2 2 2 2 3 3" xfId="54567"/>
    <cellStyle name="Обычный 9 5 5 2 2 2 2 4" xfId="54568"/>
    <cellStyle name="Обычный 9 5 5 2 2 2 2 4 2" xfId="54569"/>
    <cellStyle name="Обычный 9 5 5 2 2 2 2 5" xfId="54570"/>
    <cellStyle name="Обычный 9 5 5 2 2 2 2 6" xfId="54571"/>
    <cellStyle name="Обычный 9 5 5 2 2 2 3" xfId="54572"/>
    <cellStyle name="Обычный 9 5 5 2 2 2 3 2" xfId="54573"/>
    <cellStyle name="Обычный 9 5 5 2 2 2 3 3" xfId="54574"/>
    <cellStyle name="Обычный 9 5 5 2 2 2 4" xfId="54575"/>
    <cellStyle name="Обычный 9 5 5 2 2 2 4 2" xfId="54576"/>
    <cellStyle name="Обычный 9 5 5 2 2 2 4 3" xfId="54577"/>
    <cellStyle name="Обычный 9 5 5 2 2 2 5" xfId="54578"/>
    <cellStyle name="Обычный 9 5 5 2 2 2 5 2" xfId="54579"/>
    <cellStyle name="Обычный 9 5 5 2 2 2 6" xfId="54580"/>
    <cellStyle name="Обычный 9 5 5 2 2 2 7" xfId="54581"/>
    <cellStyle name="Обычный 9 5 5 2 2 3" xfId="54582"/>
    <cellStyle name="Обычный 9 5 5 2 2 3 2" xfId="54583"/>
    <cellStyle name="Обычный 9 5 5 2 2 3 2 2" xfId="54584"/>
    <cellStyle name="Обычный 9 5 5 2 2 3 2 3" xfId="54585"/>
    <cellStyle name="Обычный 9 5 5 2 2 3 3" xfId="54586"/>
    <cellStyle name="Обычный 9 5 5 2 2 3 3 2" xfId="54587"/>
    <cellStyle name="Обычный 9 5 5 2 2 3 3 3" xfId="54588"/>
    <cellStyle name="Обычный 9 5 5 2 2 3 4" xfId="54589"/>
    <cellStyle name="Обычный 9 5 5 2 2 3 4 2" xfId="54590"/>
    <cellStyle name="Обычный 9 5 5 2 2 3 5" xfId="54591"/>
    <cellStyle name="Обычный 9 5 5 2 2 3 6" xfId="54592"/>
    <cellStyle name="Обычный 9 5 5 2 2 4" xfId="54593"/>
    <cellStyle name="Обычный 9 5 5 2 2 4 2" xfId="54594"/>
    <cellStyle name="Обычный 9 5 5 2 2 4 3" xfId="54595"/>
    <cellStyle name="Обычный 9 5 5 2 2 5" xfId="54596"/>
    <cellStyle name="Обычный 9 5 5 2 2 5 2" xfId="54597"/>
    <cellStyle name="Обычный 9 5 5 2 2 5 3" xfId="54598"/>
    <cellStyle name="Обычный 9 5 5 2 2 6" xfId="54599"/>
    <cellStyle name="Обычный 9 5 5 2 2 6 2" xfId="54600"/>
    <cellStyle name="Обычный 9 5 5 2 2 7" xfId="54601"/>
    <cellStyle name="Обычный 9 5 5 2 2 8" xfId="54602"/>
    <cellStyle name="Обычный 9 5 5 2 3" xfId="54603"/>
    <cellStyle name="Обычный 9 5 5 2 3 2" xfId="54604"/>
    <cellStyle name="Обычный 9 5 5 2 3 2 2" xfId="54605"/>
    <cellStyle name="Обычный 9 5 5 2 3 2 2 2" xfId="54606"/>
    <cellStyle name="Обычный 9 5 5 2 3 2 2 3" xfId="54607"/>
    <cellStyle name="Обычный 9 5 5 2 3 2 3" xfId="54608"/>
    <cellStyle name="Обычный 9 5 5 2 3 2 3 2" xfId="54609"/>
    <cellStyle name="Обычный 9 5 5 2 3 2 3 3" xfId="54610"/>
    <cellStyle name="Обычный 9 5 5 2 3 2 4" xfId="54611"/>
    <cellStyle name="Обычный 9 5 5 2 3 2 4 2" xfId="54612"/>
    <cellStyle name="Обычный 9 5 5 2 3 2 5" xfId="54613"/>
    <cellStyle name="Обычный 9 5 5 2 3 2 6" xfId="54614"/>
    <cellStyle name="Обычный 9 5 5 2 3 3" xfId="54615"/>
    <cellStyle name="Обычный 9 5 5 2 3 3 2" xfId="54616"/>
    <cellStyle name="Обычный 9 5 5 2 3 3 3" xfId="54617"/>
    <cellStyle name="Обычный 9 5 5 2 3 4" xfId="54618"/>
    <cellStyle name="Обычный 9 5 5 2 3 4 2" xfId="54619"/>
    <cellStyle name="Обычный 9 5 5 2 3 4 3" xfId="54620"/>
    <cellStyle name="Обычный 9 5 5 2 3 5" xfId="54621"/>
    <cellStyle name="Обычный 9 5 5 2 3 5 2" xfId="54622"/>
    <cellStyle name="Обычный 9 5 5 2 3 6" xfId="54623"/>
    <cellStyle name="Обычный 9 5 5 2 3 7" xfId="54624"/>
    <cellStyle name="Обычный 9 5 5 2 4" xfId="54625"/>
    <cellStyle name="Обычный 9 5 5 2 4 2" xfId="54626"/>
    <cellStyle name="Обычный 9 5 5 2 4 2 2" xfId="54627"/>
    <cellStyle name="Обычный 9 5 5 2 4 2 3" xfId="54628"/>
    <cellStyle name="Обычный 9 5 5 2 4 3" xfId="54629"/>
    <cellStyle name="Обычный 9 5 5 2 4 3 2" xfId="54630"/>
    <cellStyle name="Обычный 9 5 5 2 4 3 3" xfId="54631"/>
    <cellStyle name="Обычный 9 5 5 2 4 4" xfId="54632"/>
    <cellStyle name="Обычный 9 5 5 2 4 4 2" xfId="54633"/>
    <cellStyle name="Обычный 9 5 5 2 4 5" xfId="54634"/>
    <cellStyle name="Обычный 9 5 5 2 4 6" xfId="54635"/>
    <cellStyle name="Обычный 9 5 5 2 5" xfId="54636"/>
    <cellStyle name="Обычный 9 5 5 2 5 2" xfId="54637"/>
    <cellStyle name="Обычный 9 5 5 2 5 3" xfId="54638"/>
    <cellStyle name="Обычный 9 5 5 2 6" xfId="54639"/>
    <cellStyle name="Обычный 9 5 5 2 6 2" xfId="54640"/>
    <cellStyle name="Обычный 9 5 5 2 6 3" xfId="54641"/>
    <cellStyle name="Обычный 9 5 5 2 7" xfId="54642"/>
    <cellStyle name="Обычный 9 5 5 2 7 2" xfId="54643"/>
    <cellStyle name="Обычный 9 5 5 2 8" xfId="54644"/>
    <cellStyle name="Обычный 9 5 5 2 9" xfId="54645"/>
    <cellStyle name="Обычный 9 5 5 3" xfId="54646"/>
    <cellStyle name="Обычный 9 5 5 3 2" xfId="54647"/>
    <cellStyle name="Обычный 9 5 5 3 2 2" xfId="54648"/>
    <cellStyle name="Обычный 9 5 5 3 2 2 2" xfId="54649"/>
    <cellStyle name="Обычный 9 5 5 3 2 2 2 2" xfId="54650"/>
    <cellStyle name="Обычный 9 5 5 3 2 2 2 3" xfId="54651"/>
    <cellStyle name="Обычный 9 5 5 3 2 2 3" xfId="54652"/>
    <cellStyle name="Обычный 9 5 5 3 2 2 3 2" xfId="54653"/>
    <cellStyle name="Обычный 9 5 5 3 2 2 3 3" xfId="54654"/>
    <cellStyle name="Обычный 9 5 5 3 2 2 4" xfId="54655"/>
    <cellStyle name="Обычный 9 5 5 3 2 2 4 2" xfId="54656"/>
    <cellStyle name="Обычный 9 5 5 3 2 2 5" xfId="54657"/>
    <cellStyle name="Обычный 9 5 5 3 2 2 6" xfId="54658"/>
    <cellStyle name="Обычный 9 5 5 3 2 3" xfId="54659"/>
    <cellStyle name="Обычный 9 5 5 3 2 3 2" xfId="54660"/>
    <cellStyle name="Обычный 9 5 5 3 2 3 3" xfId="54661"/>
    <cellStyle name="Обычный 9 5 5 3 2 4" xfId="54662"/>
    <cellStyle name="Обычный 9 5 5 3 2 4 2" xfId="54663"/>
    <cellStyle name="Обычный 9 5 5 3 2 4 3" xfId="54664"/>
    <cellStyle name="Обычный 9 5 5 3 2 5" xfId="54665"/>
    <cellStyle name="Обычный 9 5 5 3 2 5 2" xfId="54666"/>
    <cellStyle name="Обычный 9 5 5 3 2 6" xfId="54667"/>
    <cellStyle name="Обычный 9 5 5 3 2 7" xfId="54668"/>
    <cellStyle name="Обычный 9 5 5 3 3" xfId="54669"/>
    <cellStyle name="Обычный 9 5 5 3 3 2" xfId="54670"/>
    <cellStyle name="Обычный 9 5 5 3 3 2 2" xfId="54671"/>
    <cellStyle name="Обычный 9 5 5 3 3 2 3" xfId="54672"/>
    <cellStyle name="Обычный 9 5 5 3 3 3" xfId="54673"/>
    <cellStyle name="Обычный 9 5 5 3 3 3 2" xfId="54674"/>
    <cellStyle name="Обычный 9 5 5 3 3 3 3" xfId="54675"/>
    <cellStyle name="Обычный 9 5 5 3 3 4" xfId="54676"/>
    <cellStyle name="Обычный 9 5 5 3 3 4 2" xfId="54677"/>
    <cellStyle name="Обычный 9 5 5 3 3 5" xfId="54678"/>
    <cellStyle name="Обычный 9 5 5 3 3 6" xfId="54679"/>
    <cellStyle name="Обычный 9 5 5 3 4" xfId="54680"/>
    <cellStyle name="Обычный 9 5 5 3 4 2" xfId="54681"/>
    <cellStyle name="Обычный 9 5 5 3 4 3" xfId="54682"/>
    <cellStyle name="Обычный 9 5 5 3 5" xfId="54683"/>
    <cellStyle name="Обычный 9 5 5 3 5 2" xfId="54684"/>
    <cellStyle name="Обычный 9 5 5 3 5 3" xfId="54685"/>
    <cellStyle name="Обычный 9 5 5 3 6" xfId="54686"/>
    <cellStyle name="Обычный 9 5 5 3 6 2" xfId="54687"/>
    <cellStyle name="Обычный 9 5 5 3 7" xfId="54688"/>
    <cellStyle name="Обычный 9 5 5 3 8" xfId="54689"/>
    <cellStyle name="Обычный 9 5 5 4" xfId="54690"/>
    <cellStyle name="Обычный 9 5 5 4 2" xfId="54691"/>
    <cellStyle name="Обычный 9 5 5 4 2 2" xfId="54692"/>
    <cellStyle name="Обычный 9 5 5 4 2 2 2" xfId="54693"/>
    <cellStyle name="Обычный 9 5 5 4 2 2 3" xfId="54694"/>
    <cellStyle name="Обычный 9 5 5 4 2 3" xfId="54695"/>
    <cellStyle name="Обычный 9 5 5 4 2 3 2" xfId="54696"/>
    <cellStyle name="Обычный 9 5 5 4 2 3 3" xfId="54697"/>
    <cellStyle name="Обычный 9 5 5 4 2 4" xfId="54698"/>
    <cellStyle name="Обычный 9 5 5 4 2 4 2" xfId="54699"/>
    <cellStyle name="Обычный 9 5 5 4 2 5" xfId="54700"/>
    <cellStyle name="Обычный 9 5 5 4 2 6" xfId="54701"/>
    <cellStyle name="Обычный 9 5 5 4 3" xfId="54702"/>
    <cellStyle name="Обычный 9 5 5 4 3 2" xfId="54703"/>
    <cellStyle name="Обычный 9 5 5 4 3 3" xfId="54704"/>
    <cellStyle name="Обычный 9 5 5 4 4" xfId="54705"/>
    <cellStyle name="Обычный 9 5 5 4 4 2" xfId="54706"/>
    <cellStyle name="Обычный 9 5 5 4 4 3" xfId="54707"/>
    <cellStyle name="Обычный 9 5 5 4 5" xfId="54708"/>
    <cellStyle name="Обычный 9 5 5 4 5 2" xfId="54709"/>
    <cellStyle name="Обычный 9 5 5 4 6" xfId="54710"/>
    <cellStyle name="Обычный 9 5 5 4 7" xfId="54711"/>
    <cellStyle name="Обычный 9 5 5 5" xfId="54712"/>
    <cellStyle name="Обычный 9 5 5 5 2" xfId="54713"/>
    <cellStyle name="Обычный 9 5 5 5 2 2" xfId="54714"/>
    <cellStyle name="Обычный 9 5 5 5 2 3" xfId="54715"/>
    <cellStyle name="Обычный 9 5 5 5 3" xfId="54716"/>
    <cellStyle name="Обычный 9 5 5 5 3 2" xfId="54717"/>
    <cellStyle name="Обычный 9 5 5 5 3 3" xfId="54718"/>
    <cellStyle name="Обычный 9 5 5 5 4" xfId="54719"/>
    <cellStyle name="Обычный 9 5 5 5 4 2" xfId="54720"/>
    <cellStyle name="Обычный 9 5 5 5 5" xfId="54721"/>
    <cellStyle name="Обычный 9 5 5 5 6" xfId="54722"/>
    <cellStyle name="Обычный 9 5 5 6" xfId="54723"/>
    <cellStyle name="Обычный 9 5 5 6 2" xfId="54724"/>
    <cellStyle name="Обычный 9 5 5 6 3" xfId="54725"/>
    <cellStyle name="Обычный 9 5 5 7" xfId="54726"/>
    <cellStyle name="Обычный 9 5 5 7 2" xfId="54727"/>
    <cellStyle name="Обычный 9 5 5 7 3" xfId="54728"/>
    <cellStyle name="Обычный 9 5 5 8" xfId="54729"/>
    <cellStyle name="Обычный 9 5 5 8 2" xfId="54730"/>
    <cellStyle name="Обычный 9 5 5 9" xfId="54731"/>
    <cellStyle name="Обычный 9 5 6" xfId="54732"/>
    <cellStyle name="Обычный 9 5 6 2" xfId="54733"/>
    <cellStyle name="Обычный 9 5 6 2 2" xfId="54734"/>
    <cellStyle name="Обычный 9 5 6 2 2 2" xfId="54735"/>
    <cellStyle name="Обычный 9 5 6 2 2 2 2" xfId="54736"/>
    <cellStyle name="Обычный 9 5 6 2 2 2 2 2" xfId="54737"/>
    <cellStyle name="Обычный 9 5 6 2 2 2 2 3" xfId="54738"/>
    <cellStyle name="Обычный 9 5 6 2 2 2 3" xfId="54739"/>
    <cellStyle name="Обычный 9 5 6 2 2 2 3 2" xfId="54740"/>
    <cellStyle name="Обычный 9 5 6 2 2 2 3 3" xfId="54741"/>
    <cellStyle name="Обычный 9 5 6 2 2 2 4" xfId="54742"/>
    <cellStyle name="Обычный 9 5 6 2 2 2 4 2" xfId="54743"/>
    <cellStyle name="Обычный 9 5 6 2 2 2 5" xfId="54744"/>
    <cellStyle name="Обычный 9 5 6 2 2 2 6" xfId="54745"/>
    <cellStyle name="Обычный 9 5 6 2 2 3" xfId="54746"/>
    <cellStyle name="Обычный 9 5 6 2 2 3 2" xfId="54747"/>
    <cellStyle name="Обычный 9 5 6 2 2 3 3" xfId="54748"/>
    <cellStyle name="Обычный 9 5 6 2 2 4" xfId="54749"/>
    <cellStyle name="Обычный 9 5 6 2 2 4 2" xfId="54750"/>
    <cellStyle name="Обычный 9 5 6 2 2 4 3" xfId="54751"/>
    <cellStyle name="Обычный 9 5 6 2 2 5" xfId="54752"/>
    <cellStyle name="Обычный 9 5 6 2 2 5 2" xfId="54753"/>
    <cellStyle name="Обычный 9 5 6 2 2 6" xfId="54754"/>
    <cellStyle name="Обычный 9 5 6 2 2 7" xfId="54755"/>
    <cellStyle name="Обычный 9 5 6 2 3" xfId="54756"/>
    <cellStyle name="Обычный 9 5 6 2 3 2" xfId="54757"/>
    <cellStyle name="Обычный 9 5 6 2 3 2 2" xfId="54758"/>
    <cellStyle name="Обычный 9 5 6 2 3 2 3" xfId="54759"/>
    <cellStyle name="Обычный 9 5 6 2 3 3" xfId="54760"/>
    <cellStyle name="Обычный 9 5 6 2 3 3 2" xfId="54761"/>
    <cellStyle name="Обычный 9 5 6 2 3 3 3" xfId="54762"/>
    <cellStyle name="Обычный 9 5 6 2 3 4" xfId="54763"/>
    <cellStyle name="Обычный 9 5 6 2 3 4 2" xfId="54764"/>
    <cellStyle name="Обычный 9 5 6 2 3 5" xfId="54765"/>
    <cellStyle name="Обычный 9 5 6 2 3 6" xfId="54766"/>
    <cellStyle name="Обычный 9 5 6 2 4" xfId="54767"/>
    <cellStyle name="Обычный 9 5 6 2 4 2" xfId="54768"/>
    <cellStyle name="Обычный 9 5 6 2 4 3" xfId="54769"/>
    <cellStyle name="Обычный 9 5 6 2 5" xfId="54770"/>
    <cellStyle name="Обычный 9 5 6 2 5 2" xfId="54771"/>
    <cellStyle name="Обычный 9 5 6 2 5 3" xfId="54772"/>
    <cellStyle name="Обычный 9 5 6 2 6" xfId="54773"/>
    <cellStyle name="Обычный 9 5 6 2 6 2" xfId="54774"/>
    <cellStyle name="Обычный 9 5 6 2 7" xfId="54775"/>
    <cellStyle name="Обычный 9 5 6 2 8" xfId="54776"/>
    <cellStyle name="Обычный 9 5 6 3" xfId="54777"/>
    <cellStyle name="Обычный 9 5 6 3 2" xfId="54778"/>
    <cellStyle name="Обычный 9 5 6 3 2 2" xfId="54779"/>
    <cellStyle name="Обычный 9 5 6 3 2 2 2" xfId="54780"/>
    <cellStyle name="Обычный 9 5 6 3 2 2 3" xfId="54781"/>
    <cellStyle name="Обычный 9 5 6 3 2 3" xfId="54782"/>
    <cellStyle name="Обычный 9 5 6 3 2 3 2" xfId="54783"/>
    <cellStyle name="Обычный 9 5 6 3 2 3 3" xfId="54784"/>
    <cellStyle name="Обычный 9 5 6 3 2 4" xfId="54785"/>
    <cellStyle name="Обычный 9 5 6 3 2 4 2" xfId="54786"/>
    <cellStyle name="Обычный 9 5 6 3 2 5" xfId="54787"/>
    <cellStyle name="Обычный 9 5 6 3 2 6" xfId="54788"/>
    <cellStyle name="Обычный 9 5 6 3 3" xfId="54789"/>
    <cellStyle name="Обычный 9 5 6 3 3 2" xfId="54790"/>
    <cellStyle name="Обычный 9 5 6 3 3 3" xfId="54791"/>
    <cellStyle name="Обычный 9 5 6 3 4" xfId="54792"/>
    <cellStyle name="Обычный 9 5 6 3 4 2" xfId="54793"/>
    <cellStyle name="Обычный 9 5 6 3 4 3" xfId="54794"/>
    <cellStyle name="Обычный 9 5 6 3 5" xfId="54795"/>
    <cellStyle name="Обычный 9 5 6 3 5 2" xfId="54796"/>
    <cellStyle name="Обычный 9 5 6 3 6" xfId="54797"/>
    <cellStyle name="Обычный 9 5 6 3 7" xfId="54798"/>
    <cellStyle name="Обычный 9 5 6 4" xfId="54799"/>
    <cellStyle name="Обычный 9 5 6 4 2" xfId="54800"/>
    <cellStyle name="Обычный 9 5 6 4 2 2" xfId="54801"/>
    <cellStyle name="Обычный 9 5 6 4 2 3" xfId="54802"/>
    <cellStyle name="Обычный 9 5 6 4 3" xfId="54803"/>
    <cellStyle name="Обычный 9 5 6 4 3 2" xfId="54804"/>
    <cellStyle name="Обычный 9 5 6 4 3 3" xfId="54805"/>
    <cellStyle name="Обычный 9 5 6 4 4" xfId="54806"/>
    <cellStyle name="Обычный 9 5 6 4 4 2" xfId="54807"/>
    <cellStyle name="Обычный 9 5 6 4 5" xfId="54808"/>
    <cellStyle name="Обычный 9 5 6 4 6" xfId="54809"/>
    <cellStyle name="Обычный 9 5 6 5" xfId="54810"/>
    <cellStyle name="Обычный 9 5 6 5 2" xfId="54811"/>
    <cellStyle name="Обычный 9 5 6 5 3" xfId="54812"/>
    <cellStyle name="Обычный 9 5 6 6" xfId="54813"/>
    <cellStyle name="Обычный 9 5 6 6 2" xfId="54814"/>
    <cellStyle name="Обычный 9 5 6 6 3" xfId="54815"/>
    <cellStyle name="Обычный 9 5 6 7" xfId="54816"/>
    <cellStyle name="Обычный 9 5 6 7 2" xfId="54817"/>
    <cellStyle name="Обычный 9 5 6 8" xfId="54818"/>
    <cellStyle name="Обычный 9 5 6 9" xfId="54819"/>
    <cellStyle name="Обычный 9 5 7" xfId="54820"/>
    <cellStyle name="Обычный 9 5 7 2" xfId="54821"/>
    <cellStyle name="Обычный 9 5 7 2 2" xfId="54822"/>
    <cellStyle name="Обычный 9 5 7 2 2 2" xfId="54823"/>
    <cellStyle name="Обычный 9 5 7 2 2 2 2" xfId="54824"/>
    <cellStyle name="Обычный 9 5 7 2 2 2 3" xfId="54825"/>
    <cellStyle name="Обычный 9 5 7 2 2 3" xfId="54826"/>
    <cellStyle name="Обычный 9 5 7 2 2 3 2" xfId="54827"/>
    <cellStyle name="Обычный 9 5 7 2 2 3 3" xfId="54828"/>
    <cellStyle name="Обычный 9 5 7 2 2 4" xfId="54829"/>
    <cellStyle name="Обычный 9 5 7 2 2 4 2" xfId="54830"/>
    <cellStyle name="Обычный 9 5 7 2 2 5" xfId="54831"/>
    <cellStyle name="Обычный 9 5 7 2 2 6" xfId="54832"/>
    <cellStyle name="Обычный 9 5 7 2 3" xfId="54833"/>
    <cellStyle name="Обычный 9 5 7 2 3 2" xfId="54834"/>
    <cellStyle name="Обычный 9 5 7 2 3 3" xfId="54835"/>
    <cellStyle name="Обычный 9 5 7 2 4" xfId="54836"/>
    <cellStyle name="Обычный 9 5 7 2 4 2" xfId="54837"/>
    <cellStyle name="Обычный 9 5 7 2 4 3" xfId="54838"/>
    <cellStyle name="Обычный 9 5 7 2 5" xfId="54839"/>
    <cellStyle name="Обычный 9 5 7 2 5 2" xfId="54840"/>
    <cellStyle name="Обычный 9 5 7 2 6" xfId="54841"/>
    <cellStyle name="Обычный 9 5 7 2 7" xfId="54842"/>
    <cellStyle name="Обычный 9 5 7 3" xfId="54843"/>
    <cellStyle name="Обычный 9 5 7 3 2" xfId="54844"/>
    <cellStyle name="Обычный 9 5 7 3 2 2" xfId="54845"/>
    <cellStyle name="Обычный 9 5 7 3 2 3" xfId="54846"/>
    <cellStyle name="Обычный 9 5 7 3 3" xfId="54847"/>
    <cellStyle name="Обычный 9 5 7 3 3 2" xfId="54848"/>
    <cellStyle name="Обычный 9 5 7 3 3 3" xfId="54849"/>
    <cellStyle name="Обычный 9 5 7 3 4" xfId="54850"/>
    <cellStyle name="Обычный 9 5 7 3 4 2" xfId="54851"/>
    <cellStyle name="Обычный 9 5 7 3 5" xfId="54852"/>
    <cellStyle name="Обычный 9 5 7 3 6" xfId="54853"/>
    <cellStyle name="Обычный 9 5 7 4" xfId="54854"/>
    <cellStyle name="Обычный 9 5 7 4 2" xfId="54855"/>
    <cellStyle name="Обычный 9 5 7 4 3" xfId="54856"/>
    <cellStyle name="Обычный 9 5 7 5" xfId="54857"/>
    <cellStyle name="Обычный 9 5 7 5 2" xfId="54858"/>
    <cellStyle name="Обычный 9 5 7 5 3" xfId="54859"/>
    <cellStyle name="Обычный 9 5 7 6" xfId="54860"/>
    <cellStyle name="Обычный 9 5 7 6 2" xfId="54861"/>
    <cellStyle name="Обычный 9 5 7 7" xfId="54862"/>
    <cellStyle name="Обычный 9 5 7 8" xfId="54863"/>
    <cellStyle name="Обычный 9 5 8" xfId="54864"/>
    <cellStyle name="Обычный 9 5 8 2" xfId="54865"/>
    <cellStyle name="Обычный 9 5 8 2 2" xfId="54866"/>
    <cellStyle name="Обычный 9 5 8 2 2 2" xfId="54867"/>
    <cellStyle name="Обычный 9 5 8 2 2 3" xfId="54868"/>
    <cellStyle name="Обычный 9 5 8 2 3" xfId="54869"/>
    <cellStyle name="Обычный 9 5 8 2 3 2" xfId="54870"/>
    <cellStyle name="Обычный 9 5 8 2 3 3" xfId="54871"/>
    <cellStyle name="Обычный 9 5 8 2 4" xfId="54872"/>
    <cellStyle name="Обычный 9 5 8 2 4 2" xfId="54873"/>
    <cellStyle name="Обычный 9 5 8 2 5" xfId="54874"/>
    <cellStyle name="Обычный 9 5 8 2 6" xfId="54875"/>
    <cellStyle name="Обычный 9 5 8 3" xfId="54876"/>
    <cellStyle name="Обычный 9 5 8 3 2" xfId="54877"/>
    <cellStyle name="Обычный 9 5 8 3 3" xfId="54878"/>
    <cellStyle name="Обычный 9 5 8 4" xfId="54879"/>
    <cellStyle name="Обычный 9 5 8 4 2" xfId="54880"/>
    <cellStyle name="Обычный 9 5 8 4 3" xfId="54881"/>
    <cellStyle name="Обычный 9 5 8 5" xfId="54882"/>
    <cellStyle name="Обычный 9 5 8 5 2" xfId="54883"/>
    <cellStyle name="Обычный 9 5 8 6" xfId="54884"/>
    <cellStyle name="Обычный 9 5 8 7" xfId="54885"/>
    <cellStyle name="Обычный 9 5 9" xfId="54886"/>
    <cellStyle name="Обычный 9 5 9 2" xfId="54887"/>
    <cellStyle name="Обычный 9 5 9 2 2" xfId="54888"/>
    <cellStyle name="Обычный 9 5 9 2 3" xfId="54889"/>
    <cellStyle name="Обычный 9 5 9 3" xfId="54890"/>
    <cellStyle name="Обычный 9 5 9 3 2" xfId="54891"/>
    <cellStyle name="Обычный 9 5 9 3 3" xfId="54892"/>
    <cellStyle name="Обычный 9 5 9 4" xfId="54893"/>
    <cellStyle name="Обычный 9 5 9 4 2" xfId="54894"/>
    <cellStyle name="Обычный 9 5 9 5" xfId="54895"/>
    <cellStyle name="Обычный 9 5 9 6" xfId="54896"/>
    <cellStyle name="Обычный 9 6" xfId="54897"/>
    <cellStyle name="Обычный 9 6 10" xfId="54898"/>
    <cellStyle name="Обычный 9 6 10 2" xfId="54899"/>
    <cellStyle name="Обычный 9 6 10 3" xfId="54900"/>
    <cellStyle name="Обычный 9 6 11" xfId="54901"/>
    <cellStyle name="Обычный 9 6 11 2" xfId="54902"/>
    <cellStyle name="Обычный 9 6 11 3" xfId="54903"/>
    <cellStyle name="Обычный 9 6 12" xfId="54904"/>
    <cellStyle name="Обычный 9 6 12 2" xfId="54905"/>
    <cellStyle name="Обычный 9 6 13" xfId="54906"/>
    <cellStyle name="Обычный 9 6 14" xfId="54907"/>
    <cellStyle name="Обычный 9 6 2" xfId="54908"/>
    <cellStyle name="Обычный 9 6 2 10" xfId="54909"/>
    <cellStyle name="Обычный 9 6 2 10 2" xfId="54910"/>
    <cellStyle name="Обычный 9 6 2 10 3" xfId="54911"/>
    <cellStyle name="Обычный 9 6 2 11" xfId="54912"/>
    <cellStyle name="Обычный 9 6 2 11 2" xfId="54913"/>
    <cellStyle name="Обычный 9 6 2 12" xfId="54914"/>
    <cellStyle name="Обычный 9 6 2 13" xfId="54915"/>
    <cellStyle name="Обычный 9 6 2 2" xfId="54916"/>
    <cellStyle name="Обычный 9 6 2 2 10" xfId="54917"/>
    <cellStyle name="Обычный 9 6 2 2 2" xfId="54918"/>
    <cellStyle name="Обычный 9 6 2 2 2 2" xfId="54919"/>
    <cellStyle name="Обычный 9 6 2 2 2 2 2" xfId="54920"/>
    <cellStyle name="Обычный 9 6 2 2 2 2 2 2" xfId="54921"/>
    <cellStyle name="Обычный 9 6 2 2 2 2 2 2 2" xfId="54922"/>
    <cellStyle name="Обычный 9 6 2 2 2 2 2 2 2 2" xfId="54923"/>
    <cellStyle name="Обычный 9 6 2 2 2 2 2 2 2 3" xfId="54924"/>
    <cellStyle name="Обычный 9 6 2 2 2 2 2 2 3" xfId="54925"/>
    <cellStyle name="Обычный 9 6 2 2 2 2 2 2 3 2" xfId="54926"/>
    <cellStyle name="Обычный 9 6 2 2 2 2 2 2 3 3" xfId="54927"/>
    <cellStyle name="Обычный 9 6 2 2 2 2 2 2 4" xfId="54928"/>
    <cellStyle name="Обычный 9 6 2 2 2 2 2 2 4 2" xfId="54929"/>
    <cellStyle name="Обычный 9 6 2 2 2 2 2 2 5" xfId="54930"/>
    <cellStyle name="Обычный 9 6 2 2 2 2 2 2 6" xfId="54931"/>
    <cellStyle name="Обычный 9 6 2 2 2 2 2 3" xfId="54932"/>
    <cellStyle name="Обычный 9 6 2 2 2 2 2 3 2" xfId="54933"/>
    <cellStyle name="Обычный 9 6 2 2 2 2 2 3 3" xfId="54934"/>
    <cellStyle name="Обычный 9 6 2 2 2 2 2 4" xfId="54935"/>
    <cellStyle name="Обычный 9 6 2 2 2 2 2 4 2" xfId="54936"/>
    <cellStyle name="Обычный 9 6 2 2 2 2 2 4 3" xfId="54937"/>
    <cellStyle name="Обычный 9 6 2 2 2 2 2 5" xfId="54938"/>
    <cellStyle name="Обычный 9 6 2 2 2 2 2 5 2" xfId="54939"/>
    <cellStyle name="Обычный 9 6 2 2 2 2 2 6" xfId="54940"/>
    <cellStyle name="Обычный 9 6 2 2 2 2 2 7" xfId="54941"/>
    <cellStyle name="Обычный 9 6 2 2 2 2 3" xfId="54942"/>
    <cellStyle name="Обычный 9 6 2 2 2 2 3 2" xfId="54943"/>
    <cellStyle name="Обычный 9 6 2 2 2 2 3 2 2" xfId="54944"/>
    <cellStyle name="Обычный 9 6 2 2 2 2 3 2 3" xfId="54945"/>
    <cellStyle name="Обычный 9 6 2 2 2 2 3 3" xfId="54946"/>
    <cellStyle name="Обычный 9 6 2 2 2 2 3 3 2" xfId="54947"/>
    <cellStyle name="Обычный 9 6 2 2 2 2 3 3 3" xfId="54948"/>
    <cellStyle name="Обычный 9 6 2 2 2 2 3 4" xfId="54949"/>
    <cellStyle name="Обычный 9 6 2 2 2 2 3 4 2" xfId="54950"/>
    <cellStyle name="Обычный 9 6 2 2 2 2 3 5" xfId="54951"/>
    <cellStyle name="Обычный 9 6 2 2 2 2 3 6" xfId="54952"/>
    <cellStyle name="Обычный 9 6 2 2 2 2 4" xfId="54953"/>
    <cellStyle name="Обычный 9 6 2 2 2 2 4 2" xfId="54954"/>
    <cellStyle name="Обычный 9 6 2 2 2 2 4 3" xfId="54955"/>
    <cellStyle name="Обычный 9 6 2 2 2 2 5" xfId="54956"/>
    <cellStyle name="Обычный 9 6 2 2 2 2 5 2" xfId="54957"/>
    <cellStyle name="Обычный 9 6 2 2 2 2 5 3" xfId="54958"/>
    <cellStyle name="Обычный 9 6 2 2 2 2 6" xfId="54959"/>
    <cellStyle name="Обычный 9 6 2 2 2 2 6 2" xfId="54960"/>
    <cellStyle name="Обычный 9 6 2 2 2 2 7" xfId="54961"/>
    <cellStyle name="Обычный 9 6 2 2 2 2 8" xfId="54962"/>
    <cellStyle name="Обычный 9 6 2 2 2 3" xfId="54963"/>
    <cellStyle name="Обычный 9 6 2 2 2 3 2" xfId="54964"/>
    <cellStyle name="Обычный 9 6 2 2 2 3 2 2" xfId="54965"/>
    <cellStyle name="Обычный 9 6 2 2 2 3 2 2 2" xfId="54966"/>
    <cellStyle name="Обычный 9 6 2 2 2 3 2 2 3" xfId="54967"/>
    <cellStyle name="Обычный 9 6 2 2 2 3 2 3" xfId="54968"/>
    <cellStyle name="Обычный 9 6 2 2 2 3 2 3 2" xfId="54969"/>
    <cellStyle name="Обычный 9 6 2 2 2 3 2 3 3" xfId="54970"/>
    <cellStyle name="Обычный 9 6 2 2 2 3 2 4" xfId="54971"/>
    <cellStyle name="Обычный 9 6 2 2 2 3 2 4 2" xfId="54972"/>
    <cellStyle name="Обычный 9 6 2 2 2 3 2 5" xfId="54973"/>
    <cellStyle name="Обычный 9 6 2 2 2 3 2 6" xfId="54974"/>
    <cellStyle name="Обычный 9 6 2 2 2 3 3" xfId="54975"/>
    <cellStyle name="Обычный 9 6 2 2 2 3 3 2" xfId="54976"/>
    <cellStyle name="Обычный 9 6 2 2 2 3 3 3" xfId="54977"/>
    <cellStyle name="Обычный 9 6 2 2 2 3 4" xfId="54978"/>
    <cellStyle name="Обычный 9 6 2 2 2 3 4 2" xfId="54979"/>
    <cellStyle name="Обычный 9 6 2 2 2 3 4 3" xfId="54980"/>
    <cellStyle name="Обычный 9 6 2 2 2 3 5" xfId="54981"/>
    <cellStyle name="Обычный 9 6 2 2 2 3 5 2" xfId="54982"/>
    <cellStyle name="Обычный 9 6 2 2 2 3 6" xfId="54983"/>
    <cellStyle name="Обычный 9 6 2 2 2 3 7" xfId="54984"/>
    <cellStyle name="Обычный 9 6 2 2 2 4" xfId="54985"/>
    <cellStyle name="Обычный 9 6 2 2 2 4 2" xfId="54986"/>
    <cellStyle name="Обычный 9 6 2 2 2 4 2 2" xfId="54987"/>
    <cellStyle name="Обычный 9 6 2 2 2 4 2 3" xfId="54988"/>
    <cellStyle name="Обычный 9 6 2 2 2 4 3" xfId="54989"/>
    <cellStyle name="Обычный 9 6 2 2 2 4 3 2" xfId="54990"/>
    <cellStyle name="Обычный 9 6 2 2 2 4 3 3" xfId="54991"/>
    <cellStyle name="Обычный 9 6 2 2 2 4 4" xfId="54992"/>
    <cellStyle name="Обычный 9 6 2 2 2 4 4 2" xfId="54993"/>
    <cellStyle name="Обычный 9 6 2 2 2 4 5" xfId="54994"/>
    <cellStyle name="Обычный 9 6 2 2 2 4 6" xfId="54995"/>
    <cellStyle name="Обычный 9 6 2 2 2 5" xfId="54996"/>
    <cellStyle name="Обычный 9 6 2 2 2 5 2" xfId="54997"/>
    <cellStyle name="Обычный 9 6 2 2 2 5 3" xfId="54998"/>
    <cellStyle name="Обычный 9 6 2 2 2 6" xfId="54999"/>
    <cellStyle name="Обычный 9 6 2 2 2 6 2" xfId="55000"/>
    <cellStyle name="Обычный 9 6 2 2 2 6 3" xfId="55001"/>
    <cellStyle name="Обычный 9 6 2 2 2 7" xfId="55002"/>
    <cellStyle name="Обычный 9 6 2 2 2 7 2" xfId="55003"/>
    <cellStyle name="Обычный 9 6 2 2 2 8" xfId="55004"/>
    <cellStyle name="Обычный 9 6 2 2 2 9" xfId="55005"/>
    <cellStyle name="Обычный 9 6 2 2 3" xfId="55006"/>
    <cellStyle name="Обычный 9 6 2 2 3 2" xfId="55007"/>
    <cellStyle name="Обычный 9 6 2 2 3 2 2" xfId="55008"/>
    <cellStyle name="Обычный 9 6 2 2 3 2 2 2" xfId="55009"/>
    <cellStyle name="Обычный 9 6 2 2 3 2 2 2 2" xfId="55010"/>
    <cellStyle name="Обычный 9 6 2 2 3 2 2 2 3" xfId="55011"/>
    <cellStyle name="Обычный 9 6 2 2 3 2 2 3" xfId="55012"/>
    <cellStyle name="Обычный 9 6 2 2 3 2 2 3 2" xfId="55013"/>
    <cellStyle name="Обычный 9 6 2 2 3 2 2 3 3" xfId="55014"/>
    <cellStyle name="Обычный 9 6 2 2 3 2 2 4" xfId="55015"/>
    <cellStyle name="Обычный 9 6 2 2 3 2 2 4 2" xfId="55016"/>
    <cellStyle name="Обычный 9 6 2 2 3 2 2 5" xfId="55017"/>
    <cellStyle name="Обычный 9 6 2 2 3 2 2 6" xfId="55018"/>
    <cellStyle name="Обычный 9 6 2 2 3 2 3" xfId="55019"/>
    <cellStyle name="Обычный 9 6 2 2 3 2 3 2" xfId="55020"/>
    <cellStyle name="Обычный 9 6 2 2 3 2 3 3" xfId="55021"/>
    <cellStyle name="Обычный 9 6 2 2 3 2 4" xfId="55022"/>
    <cellStyle name="Обычный 9 6 2 2 3 2 4 2" xfId="55023"/>
    <cellStyle name="Обычный 9 6 2 2 3 2 4 3" xfId="55024"/>
    <cellStyle name="Обычный 9 6 2 2 3 2 5" xfId="55025"/>
    <cellStyle name="Обычный 9 6 2 2 3 2 5 2" xfId="55026"/>
    <cellStyle name="Обычный 9 6 2 2 3 2 6" xfId="55027"/>
    <cellStyle name="Обычный 9 6 2 2 3 2 7" xfId="55028"/>
    <cellStyle name="Обычный 9 6 2 2 3 3" xfId="55029"/>
    <cellStyle name="Обычный 9 6 2 2 3 3 2" xfId="55030"/>
    <cellStyle name="Обычный 9 6 2 2 3 3 2 2" xfId="55031"/>
    <cellStyle name="Обычный 9 6 2 2 3 3 2 3" xfId="55032"/>
    <cellStyle name="Обычный 9 6 2 2 3 3 3" xfId="55033"/>
    <cellStyle name="Обычный 9 6 2 2 3 3 3 2" xfId="55034"/>
    <cellStyle name="Обычный 9 6 2 2 3 3 3 3" xfId="55035"/>
    <cellStyle name="Обычный 9 6 2 2 3 3 4" xfId="55036"/>
    <cellStyle name="Обычный 9 6 2 2 3 3 4 2" xfId="55037"/>
    <cellStyle name="Обычный 9 6 2 2 3 3 5" xfId="55038"/>
    <cellStyle name="Обычный 9 6 2 2 3 3 6" xfId="55039"/>
    <cellStyle name="Обычный 9 6 2 2 3 4" xfId="55040"/>
    <cellStyle name="Обычный 9 6 2 2 3 4 2" xfId="55041"/>
    <cellStyle name="Обычный 9 6 2 2 3 4 3" xfId="55042"/>
    <cellStyle name="Обычный 9 6 2 2 3 5" xfId="55043"/>
    <cellStyle name="Обычный 9 6 2 2 3 5 2" xfId="55044"/>
    <cellStyle name="Обычный 9 6 2 2 3 5 3" xfId="55045"/>
    <cellStyle name="Обычный 9 6 2 2 3 6" xfId="55046"/>
    <cellStyle name="Обычный 9 6 2 2 3 6 2" xfId="55047"/>
    <cellStyle name="Обычный 9 6 2 2 3 7" xfId="55048"/>
    <cellStyle name="Обычный 9 6 2 2 3 8" xfId="55049"/>
    <cellStyle name="Обычный 9 6 2 2 4" xfId="55050"/>
    <cellStyle name="Обычный 9 6 2 2 4 2" xfId="55051"/>
    <cellStyle name="Обычный 9 6 2 2 4 2 2" xfId="55052"/>
    <cellStyle name="Обычный 9 6 2 2 4 2 2 2" xfId="55053"/>
    <cellStyle name="Обычный 9 6 2 2 4 2 2 3" xfId="55054"/>
    <cellStyle name="Обычный 9 6 2 2 4 2 3" xfId="55055"/>
    <cellStyle name="Обычный 9 6 2 2 4 2 3 2" xfId="55056"/>
    <cellStyle name="Обычный 9 6 2 2 4 2 3 3" xfId="55057"/>
    <cellStyle name="Обычный 9 6 2 2 4 2 4" xfId="55058"/>
    <cellStyle name="Обычный 9 6 2 2 4 2 4 2" xfId="55059"/>
    <cellStyle name="Обычный 9 6 2 2 4 2 5" xfId="55060"/>
    <cellStyle name="Обычный 9 6 2 2 4 2 6" xfId="55061"/>
    <cellStyle name="Обычный 9 6 2 2 4 3" xfId="55062"/>
    <cellStyle name="Обычный 9 6 2 2 4 3 2" xfId="55063"/>
    <cellStyle name="Обычный 9 6 2 2 4 3 3" xfId="55064"/>
    <cellStyle name="Обычный 9 6 2 2 4 4" xfId="55065"/>
    <cellStyle name="Обычный 9 6 2 2 4 4 2" xfId="55066"/>
    <cellStyle name="Обычный 9 6 2 2 4 4 3" xfId="55067"/>
    <cellStyle name="Обычный 9 6 2 2 4 5" xfId="55068"/>
    <cellStyle name="Обычный 9 6 2 2 4 5 2" xfId="55069"/>
    <cellStyle name="Обычный 9 6 2 2 4 6" xfId="55070"/>
    <cellStyle name="Обычный 9 6 2 2 4 7" xfId="55071"/>
    <cellStyle name="Обычный 9 6 2 2 5" xfId="55072"/>
    <cellStyle name="Обычный 9 6 2 2 5 2" xfId="55073"/>
    <cellStyle name="Обычный 9 6 2 2 5 2 2" xfId="55074"/>
    <cellStyle name="Обычный 9 6 2 2 5 2 3" xfId="55075"/>
    <cellStyle name="Обычный 9 6 2 2 5 3" xfId="55076"/>
    <cellStyle name="Обычный 9 6 2 2 5 3 2" xfId="55077"/>
    <cellStyle name="Обычный 9 6 2 2 5 3 3" xfId="55078"/>
    <cellStyle name="Обычный 9 6 2 2 5 4" xfId="55079"/>
    <cellStyle name="Обычный 9 6 2 2 5 4 2" xfId="55080"/>
    <cellStyle name="Обычный 9 6 2 2 5 5" xfId="55081"/>
    <cellStyle name="Обычный 9 6 2 2 5 6" xfId="55082"/>
    <cellStyle name="Обычный 9 6 2 2 6" xfId="55083"/>
    <cellStyle name="Обычный 9 6 2 2 6 2" xfId="55084"/>
    <cellStyle name="Обычный 9 6 2 2 6 3" xfId="55085"/>
    <cellStyle name="Обычный 9 6 2 2 7" xfId="55086"/>
    <cellStyle name="Обычный 9 6 2 2 7 2" xfId="55087"/>
    <cellStyle name="Обычный 9 6 2 2 7 3" xfId="55088"/>
    <cellStyle name="Обычный 9 6 2 2 8" xfId="55089"/>
    <cellStyle name="Обычный 9 6 2 2 8 2" xfId="55090"/>
    <cellStyle name="Обычный 9 6 2 2 9" xfId="55091"/>
    <cellStyle name="Обычный 9 6 2 3" xfId="55092"/>
    <cellStyle name="Обычный 9 6 2 3 10" xfId="55093"/>
    <cellStyle name="Обычный 9 6 2 3 2" xfId="55094"/>
    <cellStyle name="Обычный 9 6 2 3 2 2" xfId="55095"/>
    <cellStyle name="Обычный 9 6 2 3 2 2 2" xfId="55096"/>
    <cellStyle name="Обычный 9 6 2 3 2 2 2 2" xfId="55097"/>
    <cellStyle name="Обычный 9 6 2 3 2 2 2 2 2" xfId="55098"/>
    <cellStyle name="Обычный 9 6 2 3 2 2 2 2 2 2" xfId="55099"/>
    <cellStyle name="Обычный 9 6 2 3 2 2 2 2 2 3" xfId="55100"/>
    <cellStyle name="Обычный 9 6 2 3 2 2 2 2 3" xfId="55101"/>
    <cellStyle name="Обычный 9 6 2 3 2 2 2 2 3 2" xfId="55102"/>
    <cellStyle name="Обычный 9 6 2 3 2 2 2 2 3 3" xfId="55103"/>
    <cellStyle name="Обычный 9 6 2 3 2 2 2 2 4" xfId="55104"/>
    <cellStyle name="Обычный 9 6 2 3 2 2 2 2 4 2" xfId="55105"/>
    <cellStyle name="Обычный 9 6 2 3 2 2 2 2 5" xfId="55106"/>
    <cellStyle name="Обычный 9 6 2 3 2 2 2 2 6" xfId="55107"/>
    <cellStyle name="Обычный 9 6 2 3 2 2 2 3" xfId="55108"/>
    <cellStyle name="Обычный 9 6 2 3 2 2 2 3 2" xfId="55109"/>
    <cellStyle name="Обычный 9 6 2 3 2 2 2 3 3" xfId="55110"/>
    <cellStyle name="Обычный 9 6 2 3 2 2 2 4" xfId="55111"/>
    <cellStyle name="Обычный 9 6 2 3 2 2 2 4 2" xfId="55112"/>
    <cellStyle name="Обычный 9 6 2 3 2 2 2 4 3" xfId="55113"/>
    <cellStyle name="Обычный 9 6 2 3 2 2 2 5" xfId="55114"/>
    <cellStyle name="Обычный 9 6 2 3 2 2 2 5 2" xfId="55115"/>
    <cellStyle name="Обычный 9 6 2 3 2 2 2 6" xfId="55116"/>
    <cellStyle name="Обычный 9 6 2 3 2 2 2 7" xfId="55117"/>
    <cellStyle name="Обычный 9 6 2 3 2 2 3" xfId="55118"/>
    <cellStyle name="Обычный 9 6 2 3 2 2 3 2" xfId="55119"/>
    <cellStyle name="Обычный 9 6 2 3 2 2 3 2 2" xfId="55120"/>
    <cellStyle name="Обычный 9 6 2 3 2 2 3 2 3" xfId="55121"/>
    <cellStyle name="Обычный 9 6 2 3 2 2 3 3" xfId="55122"/>
    <cellStyle name="Обычный 9 6 2 3 2 2 3 3 2" xfId="55123"/>
    <cellStyle name="Обычный 9 6 2 3 2 2 3 3 3" xfId="55124"/>
    <cellStyle name="Обычный 9 6 2 3 2 2 3 4" xfId="55125"/>
    <cellStyle name="Обычный 9 6 2 3 2 2 3 4 2" xfId="55126"/>
    <cellStyle name="Обычный 9 6 2 3 2 2 3 5" xfId="55127"/>
    <cellStyle name="Обычный 9 6 2 3 2 2 3 6" xfId="55128"/>
    <cellStyle name="Обычный 9 6 2 3 2 2 4" xfId="55129"/>
    <cellStyle name="Обычный 9 6 2 3 2 2 4 2" xfId="55130"/>
    <cellStyle name="Обычный 9 6 2 3 2 2 4 3" xfId="55131"/>
    <cellStyle name="Обычный 9 6 2 3 2 2 5" xfId="55132"/>
    <cellStyle name="Обычный 9 6 2 3 2 2 5 2" xfId="55133"/>
    <cellStyle name="Обычный 9 6 2 3 2 2 5 3" xfId="55134"/>
    <cellStyle name="Обычный 9 6 2 3 2 2 6" xfId="55135"/>
    <cellStyle name="Обычный 9 6 2 3 2 2 6 2" xfId="55136"/>
    <cellStyle name="Обычный 9 6 2 3 2 2 7" xfId="55137"/>
    <cellStyle name="Обычный 9 6 2 3 2 2 8" xfId="55138"/>
    <cellStyle name="Обычный 9 6 2 3 2 3" xfId="55139"/>
    <cellStyle name="Обычный 9 6 2 3 2 3 2" xfId="55140"/>
    <cellStyle name="Обычный 9 6 2 3 2 3 2 2" xfId="55141"/>
    <cellStyle name="Обычный 9 6 2 3 2 3 2 2 2" xfId="55142"/>
    <cellStyle name="Обычный 9 6 2 3 2 3 2 2 3" xfId="55143"/>
    <cellStyle name="Обычный 9 6 2 3 2 3 2 3" xfId="55144"/>
    <cellStyle name="Обычный 9 6 2 3 2 3 2 3 2" xfId="55145"/>
    <cellStyle name="Обычный 9 6 2 3 2 3 2 3 3" xfId="55146"/>
    <cellStyle name="Обычный 9 6 2 3 2 3 2 4" xfId="55147"/>
    <cellStyle name="Обычный 9 6 2 3 2 3 2 4 2" xfId="55148"/>
    <cellStyle name="Обычный 9 6 2 3 2 3 2 5" xfId="55149"/>
    <cellStyle name="Обычный 9 6 2 3 2 3 2 6" xfId="55150"/>
    <cellStyle name="Обычный 9 6 2 3 2 3 3" xfId="55151"/>
    <cellStyle name="Обычный 9 6 2 3 2 3 3 2" xfId="55152"/>
    <cellStyle name="Обычный 9 6 2 3 2 3 3 3" xfId="55153"/>
    <cellStyle name="Обычный 9 6 2 3 2 3 4" xfId="55154"/>
    <cellStyle name="Обычный 9 6 2 3 2 3 4 2" xfId="55155"/>
    <cellStyle name="Обычный 9 6 2 3 2 3 4 3" xfId="55156"/>
    <cellStyle name="Обычный 9 6 2 3 2 3 5" xfId="55157"/>
    <cellStyle name="Обычный 9 6 2 3 2 3 5 2" xfId="55158"/>
    <cellStyle name="Обычный 9 6 2 3 2 3 6" xfId="55159"/>
    <cellStyle name="Обычный 9 6 2 3 2 3 7" xfId="55160"/>
    <cellStyle name="Обычный 9 6 2 3 2 4" xfId="55161"/>
    <cellStyle name="Обычный 9 6 2 3 2 4 2" xfId="55162"/>
    <cellStyle name="Обычный 9 6 2 3 2 4 2 2" xfId="55163"/>
    <cellStyle name="Обычный 9 6 2 3 2 4 2 3" xfId="55164"/>
    <cellStyle name="Обычный 9 6 2 3 2 4 3" xfId="55165"/>
    <cellStyle name="Обычный 9 6 2 3 2 4 3 2" xfId="55166"/>
    <cellStyle name="Обычный 9 6 2 3 2 4 3 3" xfId="55167"/>
    <cellStyle name="Обычный 9 6 2 3 2 4 4" xfId="55168"/>
    <cellStyle name="Обычный 9 6 2 3 2 4 4 2" xfId="55169"/>
    <cellStyle name="Обычный 9 6 2 3 2 4 5" xfId="55170"/>
    <cellStyle name="Обычный 9 6 2 3 2 4 6" xfId="55171"/>
    <cellStyle name="Обычный 9 6 2 3 2 5" xfId="55172"/>
    <cellStyle name="Обычный 9 6 2 3 2 5 2" xfId="55173"/>
    <cellStyle name="Обычный 9 6 2 3 2 5 3" xfId="55174"/>
    <cellStyle name="Обычный 9 6 2 3 2 6" xfId="55175"/>
    <cellStyle name="Обычный 9 6 2 3 2 6 2" xfId="55176"/>
    <cellStyle name="Обычный 9 6 2 3 2 6 3" xfId="55177"/>
    <cellStyle name="Обычный 9 6 2 3 2 7" xfId="55178"/>
    <cellStyle name="Обычный 9 6 2 3 2 7 2" xfId="55179"/>
    <cellStyle name="Обычный 9 6 2 3 2 8" xfId="55180"/>
    <cellStyle name="Обычный 9 6 2 3 2 9" xfId="55181"/>
    <cellStyle name="Обычный 9 6 2 3 3" xfId="55182"/>
    <cellStyle name="Обычный 9 6 2 3 3 2" xfId="55183"/>
    <cellStyle name="Обычный 9 6 2 3 3 2 2" xfId="55184"/>
    <cellStyle name="Обычный 9 6 2 3 3 2 2 2" xfId="55185"/>
    <cellStyle name="Обычный 9 6 2 3 3 2 2 2 2" xfId="55186"/>
    <cellStyle name="Обычный 9 6 2 3 3 2 2 2 3" xfId="55187"/>
    <cellStyle name="Обычный 9 6 2 3 3 2 2 3" xfId="55188"/>
    <cellStyle name="Обычный 9 6 2 3 3 2 2 3 2" xfId="55189"/>
    <cellStyle name="Обычный 9 6 2 3 3 2 2 3 3" xfId="55190"/>
    <cellStyle name="Обычный 9 6 2 3 3 2 2 4" xfId="55191"/>
    <cellStyle name="Обычный 9 6 2 3 3 2 2 4 2" xfId="55192"/>
    <cellStyle name="Обычный 9 6 2 3 3 2 2 5" xfId="55193"/>
    <cellStyle name="Обычный 9 6 2 3 3 2 2 6" xfId="55194"/>
    <cellStyle name="Обычный 9 6 2 3 3 2 3" xfId="55195"/>
    <cellStyle name="Обычный 9 6 2 3 3 2 3 2" xfId="55196"/>
    <cellStyle name="Обычный 9 6 2 3 3 2 3 3" xfId="55197"/>
    <cellStyle name="Обычный 9 6 2 3 3 2 4" xfId="55198"/>
    <cellStyle name="Обычный 9 6 2 3 3 2 4 2" xfId="55199"/>
    <cellStyle name="Обычный 9 6 2 3 3 2 4 3" xfId="55200"/>
    <cellStyle name="Обычный 9 6 2 3 3 2 5" xfId="55201"/>
    <cellStyle name="Обычный 9 6 2 3 3 2 5 2" xfId="55202"/>
    <cellStyle name="Обычный 9 6 2 3 3 2 6" xfId="55203"/>
    <cellStyle name="Обычный 9 6 2 3 3 2 7" xfId="55204"/>
    <cellStyle name="Обычный 9 6 2 3 3 3" xfId="55205"/>
    <cellStyle name="Обычный 9 6 2 3 3 3 2" xfId="55206"/>
    <cellStyle name="Обычный 9 6 2 3 3 3 2 2" xfId="55207"/>
    <cellStyle name="Обычный 9 6 2 3 3 3 2 3" xfId="55208"/>
    <cellStyle name="Обычный 9 6 2 3 3 3 3" xfId="55209"/>
    <cellStyle name="Обычный 9 6 2 3 3 3 3 2" xfId="55210"/>
    <cellStyle name="Обычный 9 6 2 3 3 3 3 3" xfId="55211"/>
    <cellStyle name="Обычный 9 6 2 3 3 3 4" xfId="55212"/>
    <cellStyle name="Обычный 9 6 2 3 3 3 4 2" xfId="55213"/>
    <cellStyle name="Обычный 9 6 2 3 3 3 5" xfId="55214"/>
    <cellStyle name="Обычный 9 6 2 3 3 3 6" xfId="55215"/>
    <cellStyle name="Обычный 9 6 2 3 3 4" xfId="55216"/>
    <cellStyle name="Обычный 9 6 2 3 3 4 2" xfId="55217"/>
    <cellStyle name="Обычный 9 6 2 3 3 4 3" xfId="55218"/>
    <cellStyle name="Обычный 9 6 2 3 3 5" xfId="55219"/>
    <cellStyle name="Обычный 9 6 2 3 3 5 2" xfId="55220"/>
    <cellStyle name="Обычный 9 6 2 3 3 5 3" xfId="55221"/>
    <cellStyle name="Обычный 9 6 2 3 3 6" xfId="55222"/>
    <cellStyle name="Обычный 9 6 2 3 3 6 2" xfId="55223"/>
    <cellStyle name="Обычный 9 6 2 3 3 7" xfId="55224"/>
    <cellStyle name="Обычный 9 6 2 3 3 8" xfId="55225"/>
    <cellStyle name="Обычный 9 6 2 3 4" xfId="55226"/>
    <cellStyle name="Обычный 9 6 2 3 4 2" xfId="55227"/>
    <cellStyle name="Обычный 9 6 2 3 4 2 2" xfId="55228"/>
    <cellStyle name="Обычный 9 6 2 3 4 2 2 2" xfId="55229"/>
    <cellStyle name="Обычный 9 6 2 3 4 2 2 3" xfId="55230"/>
    <cellStyle name="Обычный 9 6 2 3 4 2 3" xfId="55231"/>
    <cellStyle name="Обычный 9 6 2 3 4 2 3 2" xfId="55232"/>
    <cellStyle name="Обычный 9 6 2 3 4 2 3 3" xfId="55233"/>
    <cellStyle name="Обычный 9 6 2 3 4 2 4" xfId="55234"/>
    <cellStyle name="Обычный 9 6 2 3 4 2 4 2" xfId="55235"/>
    <cellStyle name="Обычный 9 6 2 3 4 2 5" xfId="55236"/>
    <cellStyle name="Обычный 9 6 2 3 4 2 6" xfId="55237"/>
    <cellStyle name="Обычный 9 6 2 3 4 3" xfId="55238"/>
    <cellStyle name="Обычный 9 6 2 3 4 3 2" xfId="55239"/>
    <cellStyle name="Обычный 9 6 2 3 4 3 3" xfId="55240"/>
    <cellStyle name="Обычный 9 6 2 3 4 4" xfId="55241"/>
    <cellStyle name="Обычный 9 6 2 3 4 4 2" xfId="55242"/>
    <cellStyle name="Обычный 9 6 2 3 4 4 3" xfId="55243"/>
    <cellStyle name="Обычный 9 6 2 3 4 5" xfId="55244"/>
    <cellStyle name="Обычный 9 6 2 3 4 5 2" xfId="55245"/>
    <cellStyle name="Обычный 9 6 2 3 4 6" xfId="55246"/>
    <cellStyle name="Обычный 9 6 2 3 4 7" xfId="55247"/>
    <cellStyle name="Обычный 9 6 2 3 5" xfId="55248"/>
    <cellStyle name="Обычный 9 6 2 3 5 2" xfId="55249"/>
    <cellStyle name="Обычный 9 6 2 3 5 2 2" xfId="55250"/>
    <cellStyle name="Обычный 9 6 2 3 5 2 3" xfId="55251"/>
    <cellStyle name="Обычный 9 6 2 3 5 3" xfId="55252"/>
    <cellStyle name="Обычный 9 6 2 3 5 3 2" xfId="55253"/>
    <cellStyle name="Обычный 9 6 2 3 5 3 3" xfId="55254"/>
    <cellStyle name="Обычный 9 6 2 3 5 4" xfId="55255"/>
    <cellStyle name="Обычный 9 6 2 3 5 4 2" xfId="55256"/>
    <cellStyle name="Обычный 9 6 2 3 5 5" xfId="55257"/>
    <cellStyle name="Обычный 9 6 2 3 5 6" xfId="55258"/>
    <cellStyle name="Обычный 9 6 2 3 6" xfId="55259"/>
    <cellStyle name="Обычный 9 6 2 3 6 2" xfId="55260"/>
    <cellStyle name="Обычный 9 6 2 3 6 3" xfId="55261"/>
    <cellStyle name="Обычный 9 6 2 3 7" xfId="55262"/>
    <cellStyle name="Обычный 9 6 2 3 7 2" xfId="55263"/>
    <cellStyle name="Обычный 9 6 2 3 7 3" xfId="55264"/>
    <cellStyle name="Обычный 9 6 2 3 8" xfId="55265"/>
    <cellStyle name="Обычный 9 6 2 3 8 2" xfId="55266"/>
    <cellStyle name="Обычный 9 6 2 3 9" xfId="55267"/>
    <cellStyle name="Обычный 9 6 2 4" xfId="55268"/>
    <cellStyle name="Обычный 9 6 2 4 10" xfId="55269"/>
    <cellStyle name="Обычный 9 6 2 4 2" xfId="55270"/>
    <cellStyle name="Обычный 9 6 2 4 2 2" xfId="55271"/>
    <cellStyle name="Обычный 9 6 2 4 2 2 2" xfId="55272"/>
    <cellStyle name="Обычный 9 6 2 4 2 2 2 2" xfId="55273"/>
    <cellStyle name="Обычный 9 6 2 4 2 2 2 2 2" xfId="55274"/>
    <cellStyle name="Обычный 9 6 2 4 2 2 2 2 2 2" xfId="55275"/>
    <cellStyle name="Обычный 9 6 2 4 2 2 2 2 2 3" xfId="55276"/>
    <cellStyle name="Обычный 9 6 2 4 2 2 2 2 3" xfId="55277"/>
    <cellStyle name="Обычный 9 6 2 4 2 2 2 2 3 2" xfId="55278"/>
    <cellStyle name="Обычный 9 6 2 4 2 2 2 2 3 3" xfId="55279"/>
    <cellStyle name="Обычный 9 6 2 4 2 2 2 2 4" xfId="55280"/>
    <cellStyle name="Обычный 9 6 2 4 2 2 2 2 4 2" xfId="55281"/>
    <cellStyle name="Обычный 9 6 2 4 2 2 2 2 5" xfId="55282"/>
    <cellStyle name="Обычный 9 6 2 4 2 2 2 2 6" xfId="55283"/>
    <cellStyle name="Обычный 9 6 2 4 2 2 2 3" xfId="55284"/>
    <cellStyle name="Обычный 9 6 2 4 2 2 2 3 2" xfId="55285"/>
    <cellStyle name="Обычный 9 6 2 4 2 2 2 3 3" xfId="55286"/>
    <cellStyle name="Обычный 9 6 2 4 2 2 2 4" xfId="55287"/>
    <cellStyle name="Обычный 9 6 2 4 2 2 2 4 2" xfId="55288"/>
    <cellStyle name="Обычный 9 6 2 4 2 2 2 4 3" xfId="55289"/>
    <cellStyle name="Обычный 9 6 2 4 2 2 2 5" xfId="55290"/>
    <cellStyle name="Обычный 9 6 2 4 2 2 2 5 2" xfId="55291"/>
    <cellStyle name="Обычный 9 6 2 4 2 2 2 6" xfId="55292"/>
    <cellStyle name="Обычный 9 6 2 4 2 2 2 7" xfId="55293"/>
    <cellStyle name="Обычный 9 6 2 4 2 2 3" xfId="55294"/>
    <cellStyle name="Обычный 9 6 2 4 2 2 3 2" xfId="55295"/>
    <cellStyle name="Обычный 9 6 2 4 2 2 3 2 2" xfId="55296"/>
    <cellStyle name="Обычный 9 6 2 4 2 2 3 2 3" xfId="55297"/>
    <cellStyle name="Обычный 9 6 2 4 2 2 3 3" xfId="55298"/>
    <cellStyle name="Обычный 9 6 2 4 2 2 3 3 2" xfId="55299"/>
    <cellStyle name="Обычный 9 6 2 4 2 2 3 3 3" xfId="55300"/>
    <cellStyle name="Обычный 9 6 2 4 2 2 3 4" xfId="55301"/>
    <cellStyle name="Обычный 9 6 2 4 2 2 3 4 2" xfId="55302"/>
    <cellStyle name="Обычный 9 6 2 4 2 2 3 5" xfId="55303"/>
    <cellStyle name="Обычный 9 6 2 4 2 2 3 6" xfId="55304"/>
    <cellStyle name="Обычный 9 6 2 4 2 2 4" xfId="55305"/>
    <cellStyle name="Обычный 9 6 2 4 2 2 4 2" xfId="55306"/>
    <cellStyle name="Обычный 9 6 2 4 2 2 4 3" xfId="55307"/>
    <cellStyle name="Обычный 9 6 2 4 2 2 5" xfId="55308"/>
    <cellStyle name="Обычный 9 6 2 4 2 2 5 2" xfId="55309"/>
    <cellStyle name="Обычный 9 6 2 4 2 2 5 3" xfId="55310"/>
    <cellStyle name="Обычный 9 6 2 4 2 2 6" xfId="55311"/>
    <cellStyle name="Обычный 9 6 2 4 2 2 6 2" xfId="55312"/>
    <cellStyle name="Обычный 9 6 2 4 2 2 7" xfId="55313"/>
    <cellStyle name="Обычный 9 6 2 4 2 2 8" xfId="55314"/>
    <cellStyle name="Обычный 9 6 2 4 2 3" xfId="55315"/>
    <cellStyle name="Обычный 9 6 2 4 2 3 2" xfId="55316"/>
    <cellStyle name="Обычный 9 6 2 4 2 3 2 2" xfId="55317"/>
    <cellStyle name="Обычный 9 6 2 4 2 3 2 2 2" xfId="55318"/>
    <cellStyle name="Обычный 9 6 2 4 2 3 2 2 3" xfId="55319"/>
    <cellStyle name="Обычный 9 6 2 4 2 3 2 3" xfId="55320"/>
    <cellStyle name="Обычный 9 6 2 4 2 3 2 3 2" xfId="55321"/>
    <cellStyle name="Обычный 9 6 2 4 2 3 2 3 3" xfId="55322"/>
    <cellStyle name="Обычный 9 6 2 4 2 3 2 4" xfId="55323"/>
    <cellStyle name="Обычный 9 6 2 4 2 3 2 4 2" xfId="55324"/>
    <cellStyle name="Обычный 9 6 2 4 2 3 2 5" xfId="55325"/>
    <cellStyle name="Обычный 9 6 2 4 2 3 2 6" xfId="55326"/>
    <cellStyle name="Обычный 9 6 2 4 2 3 3" xfId="55327"/>
    <cellStyle name="Обычный 9 6 2 4 2 3 3 2" xfId="55328"/>
    <cellStyle name="Обычный 9 6 2 4 2 3 3 3" xfId="55329"/>
    <cellStyle name="Обычный 9 6 2 4 2 3 4" xfId="55330"/>
    <cellStyle name="Обычный 9 6 2 4 2 3 4 2" xfId="55331"/>
    <cellStyle name="Обычный 9 6 2 4 2 3 4 3" xfId="55332"/>
    <cellStyle name="Обычный 9 6 2 4 2 3 5" xfId="55333"/>
    <cellStyle name="Обычный 9 6 2 4 2 3 5 2" xfId="55334"/>
    <cellStyle name="Обычный 9 6 2 4 2 3 6" xfId="55335"/>
    <cellStyle name="Обычный 9 6 2 4 2 3 7" xfId="55336"/>
    <cellStyle name="Обычный 9 6 2 4 2 4" xfId="55337"/>
    <cellStyle name="Обычный 9 6 2 4 2 4 2" xfId="55338"/>
    <cellStyle name="Обычный 9 6 2 4 2 4 2 2" xfId="55339"/>
    <cellStyle name="Обычный 9 6 2 4 2 4 2 3" xfId="55340"/>
    <cellStyle name="Обычный 9 6 2 4 2 4 3" xfId="55341"/>
    <cellStyle name="Обычный 9 6 2 4 2 4 3 2" xfId="55342"/>
    <cellStyle name="Обычный 9 6 2 4 2 4 3 3" xfId="55343"/>
    <cellStyle name="Обычный 9 6 2 4 2 4 4" xfId="55344"/>
    <cellStyle name="Обычный 9 6 2 4 2 4 4 2" xfId="55345"/>
    <cellStyle name="Обычный 9 6 2 4 2 4 5" xfId="55346"/>
    <cellStyle name="Обычный 9 6 2 4 2 4 6" xfId="55347"/>
    <cellStyle name="Обычный 9 6 2 4 2 5" xfId="55348"/>
    <cellStyle name="Обычный 9 6 2 4 2 5 2" xfId="55349"/>
    <cellStyle name="Обычный 9 6 2 4 2 5 3" xfId="55350"/>
    <cellStyle name="Обычный 9 6 2 4 2 6" xfId="55351"/>
    <cellStyle name="Обычный 9 6 2 4 2 6 2" xfId="55352"/>
    <cellStyle name="Обычный 9 6 2 4 2 6 3" xfId="55353"/>
    <cellStyle name="Обычный 9 6 2 4 2 7" xfId="55354"/>
    <cellStyle name="Обычный 9 6 2 4 2 7 2" xfId="55355"/>
    <cellStyle name="Обычный 9 6 2 4 2 8" xfId="55356"/>
    <cellStyle name="Обычный 9 6 2 4 2 9" xfId="55357"/>
    <cellStyle name="Обычный 9 6 2 4 3" xfId="55358"/>
    <cellStyle name="Обычный 9 6 2 4 3 2" xfId="55359"/>
    <cellStyle name="Обычный 9 6 2 4 3 2 2" xfId="55360"/>
    <cellStyle name="Обычный 9 6 2 4 3 2 2 2" xfId="55361"/>
    <cellStyle name="Обычный 9 6 2 4 3 2 2 2 2" xfId="55362"/>
    <cellStyle name="Обычный 9 6 2 4 3 2 2 2 3" xfId="55363"/>
    <cellStyle name="Обычный 9 6 2 4 3 2 2 3" xfId="55364"/>
    <cellStyle name="Обычный 9 6 2 4 3 2 2 3 2" xfId="55365"/>
    <cellStyle name="Обычный 9 6 2 4 3 2 2 3 3" xfId="55366"/>
    <cellStyle name="Обычный 9 6 2 4 3 2 2 4" xfId="55367"/>
    <cellStyle name="Обычный 9 6 2 4 3 2 2 4 2" xfId="55368"/>
    <cellStyle name="Обычный 9 6 2 4 3 2 2 5" xfId="55369"/>
    <cellStyle name="Обычный 9 6 2 4 3 2 2 6" xfId="55370"/>
    <cellStyle name="Обычный 9 6 2 4 3 2 3" xfId="55371"/>
    <cellStyle name="Обычный 9 6 2 4 3 2 3 2" xfId="55372"/>
    <cellStyle name="Обычный 9 6 2 4 3 2 3 3" xfId="55373"/>
    <cellStyle name="Обычный 9 6 2 4 3 2 4" xfId="55374"/>
    <cellStyle name="Обычный 9 6 2 4 3 2 4 2" xfId="55375"/>
    <cellStyle name="Обычный 9 6 2 4 3 2 4 3" xfId="55376"/>
    <cellStyle name="Обычный 9 6 2 4 3 2 5" xfId="55377"/>
    <cellStyle name="Обычный 9 6 2 4 3 2 5 2" xfId="55378"/>
    <cellStyle name="Обычный 9 6 2 4 3 2 6" xfId="55379"/>
    <cellStyle name="Обычный 9 6 2 4 3 2 7" xfId="55380"/>
    <cellStyle name="Обычный 9 6 2 4 3 3" xfId="55381"/>
    <cellStyle name="Обычный 9 6 2 4 3 3 2" xfId="55382"/>
    <cellStyle name="Обычный 9 6 2 4 3 3 2 2" xfId="55383"/>
    <cellStyle name="Обычный 9 6 2 4 3 3 2 3" xfId="55384"/>
    <cellStyle name="Обычный 9 6 2 4 3 3 3" xfId="55385"/>
    <cellStyle name="Обычный 9 6 2 4 3 3 3 2" xfId="55386"/>
    <cellStyle name="Обычный 9 6 2 4 3 3 3 3" xfId="55387"/>
    <cellStyle name="Обычный 9 6 2 4 3 3 4" xfId="55388"/>
    <cellStyle name="Обычный 9 6 2 4 3 3 4 2" xfId="55389"/>
    <cellStyle name="Обычный 9 6 2 4 3 3 5" xfId="55390"/>
    <cellStyle name="Обычный 9 6 2 4 3 3 6" xfId="55391"/>
    <cellStyle name="Обычный 9 6 2 4 3 4" xfId="55392"/>
    <cellStyle name="Обычный 9 6 2 4 3 4 2" xfId="55393"/>
    <cellStyle name="Обычный 9 6 2 4 3 4 3" xfId="55394"/>
    <cellStyle name="Обычный 9 6 2 4 3 5" xfId="55395"/>
    <cellStyle name="Обычный 9 6 2 4 3 5 2" xfId="55396"/>
    <cellStyle name="Обычный 9 6 2 4 3 5 3" xfId="55397"/>
    <cellStyle name="Обычный 9 6 2 4 3 6" xfId="55398"/>
    <cellStyle name="Обычный 9 6 2 4 3 6 2" xfId="55399"/>
    <cellStyle name="Обычный 9 6 2 4 3 7" xfId="55400"/>
    <cellStyle name="Обычный 9 6 2 4 3 8" xfId="55401"/>
    <cellStyle name="Обычный 9 6 2 4 4" xfId="55402"/>
    <cellStyle name="Обычный 9 6 2 4 4 2" xfId="55403"/>
    <cellStyle name="Обычный 9 6 2 4 4 2 2" xfId="55404"/>
    <cellStyle name="Обычный 9 6 2 4 4 2 2 2" xfId="55405"/>
    <cellStyle name="Обычный 9 6 2 4 4 2 2 3" xfId="55406"/>
    <cellStyle name="Обычный 9 6 2 4 4 2 3" xfId="55407"/>
    <cellStyle name="Обычный 9 6 2 4 4 2 3 2" xfId="55408"/>
    <cellStyle name="Обычный 9 6 2 4 4 2 3 3" xfId="55409"/>
    <cellStyle name="Обычный 9 6 2 4 4 2 4" xfId="55410"/>
    <cellStyle name="Обычный 9 6 2 4 4 2 4 2" xfId="55411"/>
    <cellStyle name="Обычный 9 6 2 4 4 2 5" xfId="55412"/>
    <cellStyle name="Обычный 9 6 2 4 4 2 6" xfId="55413"/>
    <cellStyle name="Обычный 9 6 2 4 4 3" xfId="55414"/>
    <cellStyle name="Обычный 9 6 2 4 4 3 2" xfId="55415"/>
    <cellStyle name="Обычный 9 6 2 4 4 3 3" xfId="55416"/>
    <cellStyle name="Обычный 9 6 2 4 4 4" xfId="55417"/>
    <cellStyle name="Обычный 9 6 2 4 4 4 2" xfId="55418"/>
    <cellStyle name="Обычный 9 6 2 4 4 4 3" xfId="55419"/>
    <cellStyle name="Обычный 9 6 2 4 4 5" xfId="55420"/>
    <cellStyle name="Обычный 9 6 2 4 4 5 2" xfId="55421"/>
    <cellStyle name="Обычный 9 6 2 4 4 6" xfId="55422"/>
    <cellStyle name="Обычный 9 6 2 4 4 7" xfId="55423"/>
    <cellStyle name="Обычный 9 6 2 4 5" xfId="55424"/>
    <cellStyle name="Обычный 9 6 2 4 5 2" xfId="55425"/>
    <cellStyle name="Обычный 9 6 2 4 5 2 2" xfId="55426"/>
    <cellStyle name="Обычный 9 6 2 4 5 2 3" xfId="55427"/>
    <cellStyle name="Обычный 9 6 2 4 5 3" xfId="55428"/>
    <cellStyle name="Обычный 9 6 2 4 5 3 2" xfId="55429"/>
    <cellStyle name="Обычный 9 6 2 4 5 3 3" xfId="55430"/>
    <cellStyle name="Обычный 9 6 2 4 5 4" xfId="55431"/>
    <cellStyle name="Обычный 9 6 2 4 5 4 2" xfId="55432"/>
    <cellStyle name="Обычный 9 6 2 4 5 5" xfId="55433"/>
    <cellStyle name="Обычный 9 6 2 4 5 6" xfId="55434"/>
    <cellStyle name="Обычный 9 6 2 4 6" xfId="55435"/>
    <cellStyle name="Обычный 9 6 2 4 6 2" xfId="55436"/>
    <cellStyle name="Обычный 9 6 2 4 6 3" xfId="55437"/>
    <cellStyle name="Обычный 9 6 2 4 7" xfId="55438"/>
    <cellStyle name="Обычный 9 6 2 4 7 2" xfId="55439"/>
    <cellStyle name="Обычный 9 6 2 4 7 3" xfId="55440"/>
    <cellStyle name="Обычный 9 6 2 4 8" xfId="55441"/>
    <cellStyle name="Обычный 9 6 2 4 8 2" xfId="55442"/>
    <cellStyle name="Обычный 9 6 2 4 9" xfId="55443"/>
    <cellStyle name="Обычный 9 6 2 5" xfId="55444"/>
    <cellStyle name="Обычный 9 6 2 5 2" xfId="55445"/>
    <cellStyle name="Обычный 9 6 2 5 2 2" xfId="55446"/>
    <cellStyle name="Обычный 9 6 2 5 2 2 2" xfId="55447"/>
    <cellStyle name="Обычный 9 6 2 5 2 2 2 2" xfId="55448"/>
    <cellStyle name="Обычный 9 6 2 5 2 2 2 2 2" xfId="55449"/>
    <cellStyle name="Обычный 9 6 2 5 2 2 2 2 3" xfId="55450"/>
    <cellStyle name="Обычный 9 6 2 5 2 2 2 3" xfId="55451"/>
    <cellStyle name="Обычный 9 6 2 5 2 2 2 3 2" xfId="55452"/>
    <cellStyle name="Обычный 9 6 2 5 2 2 2 3 3" xfId="55453"/>
    <cellStyle name="Обычный 9 6 2 5 2 2 2 4" xfId="55454"/>
    <cellStyle name="Обычный 9 6 2 5 2 2 2 4 2" xfId="55455"/>
    <cellStyle name="Обычный 9 6 2 5 2 2 2 5" xfId="55456"/>
    <cellStyle name="Обычный 9 6 2 5 2 2 2 6" xfId="55457"/>
    <cellStyle name="Обычный 9 6 2 5 2 2 3" xfId="55458"/>
    <cellStyle name="Обычный 9 6 2 5 2 2 3 2" xfId="55459"/>
    <cellStyle name="Обычный 9 6 2 5 2 2 3 3" xfId="55460"/>
    <cellStyle name="Обычный 9 6 2 5 2 2 4" xfId="55461"/>
    <cellStyle name="Обычный 9 6 2 5 2 2 4 2" xfId="55462"/>
    <cellStyle name="Обычный 9 6 2 5 2 2 4 3" xfId="55463"/>
    <cellStyle name="Обычный 9 6 2 5 2 2 5" xfId="55464"/>
    <cellStyle name="Обычный 9 6 2 5 2 2 5 2" xfId="55465"/>
    <cellStyle name="Обычный 9 6 2 5 2 2 6" xfId="55466"/>
    <cellStyle name="Обычный 9 6 2 5 2 2 7" xfId="55467"/>
    <cellStyle name="Обычный 9 6 2 5 2 3" xfId="55468"/>
    <cellStyle name="Обычный 9 6 2 5 2 3 2" xfId="55469"/>
    <cellStyle name="Обычный 9 6 2 5 2 3 2 2" xfId="55470"/>
    <cellStyle name="Обычный 9 6 2 5 2 3 2 3" xfId="55471"/>
    <cellStyle name="Обычный 9 6 2 5 2 3 3" xfId="55472"/>
    <cellStyle name="Обычный 9 6 2 5 2 3 3 2" xfId="55473"/>
    <cellStyle name="Обычный 9 6 2 5 2 3 3 3" xfId="55474"/>
    <cellStyle name="Обычный 9 6 2 5 2 3 4" xfId="55475"/>
    <cellStyle name="Обычный 9 6 2 5 2 3 4 2" xfId="55476"/>
    <cellStyle name="Обычный 9 6 2 5 2 3 5" xfId="55477"/>
    <cellStyle name="Обычный 9 6 2 5 2 3 6" xfId="55478"/>
    <cellStyle name="Обычный 9 6 2 5 2 4" xfId="55479"/>
    <cellStyle name="Обычный 9 6 2 5 2 4 2" xfId="55480"/>
    <cellStyle name="Обычный 9 6 2 5 2 4 3" xfId="55481"/>
    <cellStyle name="Обычный 9 6 2 5 2 5" xfId="55482"/>
    <cellStyle name="Обычный 9 6 2 5 2 5 2" xfId="55483"/>
    <cellStyle name="Обычный 9 6 2 5 2 5 3" xfId="55484"/>
    <cellStyle name="Обычный 9 6 2 5 2 6" xfId="55485"/>
    <cellStyle name="Обычный 9 6 2 5 2 6 2" xfId="55486"/>
    <cellStyle name="Обычный 9 6 2 5 2 7" xfId="55487"/>
    <cellStyle name="Обычный 9 6 2 5 2 8" xfId="55488"/>
    <cellStyle name="Обычный 9 6 2 5 3" xfId="55489"/>
    <cellStyle name="Обычный 9 6 2 5 3 2" xfId="55490"/>
    <cellStyle name="Обычный 9 6 2 5 3 2 2" xfId="55491"/>
    <cellStyle name="Обычный 9 6 2 5 3 2 2 2" xfId="55492"/>
    <cellStyle name="Обычный 9 6 2 5 3 2 2 3" xfId="55493"/>
    <cellStyle name="Обычный 9 6 2 5 3 2 3" xfId="55494"/>
    <cellStyle name="Обычный 9 6 2 5 3 2 3 2" xfId="55495"/>
    <cellStyle name="Обычный 9 6 2 5 3 2 3 3" xfId="55496"/>
    <cellStyle name="Обычный 9 6 2 5 3 2 4" xfId="55497"/>
    <cellStyle name="Обычный 9 6 2 5 3 2 4 2" xfId="55498"/>
    <cellStyle name="Обычный 9 6 2 5 3 2 5" xfId="55499"/>
    <cellStyle name="Обычный 9 6 2 5 3 2 6" xfId="55500"/>
    <cellStyle name="Обычный 9 6 2 5 3 3" xfId="55501"/>
    <cellStyle name="Обычный 9 6 2 5 3 3 2" xfId="55502"/>
    <cellStyle name="Обычный 9 6 2 5 3 3 3" xfId="55503"/>
    <cellStyle name="Обычный 9 6 2 5 3 4" xfId="55504"/>
    <cellStyle name="Обычный 9 6 2 5 3 4 2" xfId="55505"/>
    <cellStyle name="Обычный 9 6 2 5 3 4 3" xfId="55506"/>
    <cellStyle name="Обычный 9 6 2 5 3 5" xfId="55507"/>
    <cellStyle name="Обычный 9 6 2 5 3 5 2" xfId="55508"/>
    <cellStyle name="Обычный 9 6 2 5 3 6" xfId="55509"/>
    <cellStyle name="Обычный 9 6 2 5 3 7" xfId="55510"/>
    <cellStyle name="Обычный 9 6 2 5 4" xfId="55511"/>
    <cellStyle name="Обычный 9 6 2 5 4 2" xfId="55512"/>
    <cellStyle name="Обычный 9 6 2 5 4 2 2" xfId="55513"/>
    <cellStyle name="Обычный 9 6 2 5 4 2 3" xfId="55514"/>
    <cellStyle name="Обычный 9 6 2 5 4 3" xfId="55515"/>
    <cellStyle name="Обычный 9 6 2 5 4 3 2" xfId="55516"/>
    <cellStyle name="Обычный 9 6 2 5 4 3 3" xfId="55517"/>
    <cellStyle name="Обычный 9 6 2 5 4 4" xfId="55518"/>
    <cellStyle name="Обычный 9 6 2 5 4 4 2" xfId="55519"/>
    <cellStyle name="Обычный 9 6 2 5 4 5" xfId="55520"/>
    <cellStyle name="Обычный 9 6 2 5 4 6" xfId="55521"/>
    <cellStyle name="Обычный 9 6 2 5 5" xfId="55522"/>
    <cellStyle name="Обычный 9 6 2 5 5 2" xfId="55523"/>
    <cellStyle name="Обычный 9 6 2 5 5 3" xfId="55524"/>
    <cellStyle name="Обычный 9 6 2 5 6" xfId="55525"/>
    <cellStyle name="Обычный 9 6 2 5 6 2" xfId="55526"/>
    <cellStyle name="Обычный 9 6 2 5 6 3" xfId="55527"/>
    <cellStyle name="Обычный 9 6 2 5 7" xfId="55528"/>
    <cellStyle name="Обычный 9 6 2 5 7 2" xfId="55529"/>
    <cellStyle name="Обычный 9 6 2 5 8" xfId="55530"/>
    <cellStyle name="Обычный 9 6 2 5 9" xfId="55531"/>
    <cellStyle name="Обычный 9 6 2 6" xfId="55532"/>
    <cellStyle name="Обычный 9 6 2 6 2" xfId="55533"/>
    <cellStyle name="Обычный 9 6 2 6 2 2" xfId="55534"/>
    <cellStyle name="Обычный 9 6 2 6 2 2 2" xfId="55535"/>
    <cellStyle name="Обычный 9 6 2 6 2 2 2 2" xfId="55536"/>
    <cellStyle name="Обычный 9 6 2 6 2 2 2 3" xfId="55537"/>
    <cellStyle name="Обычный 9 6 2 6 2 2 3" xfId="55538"/>
    <cellStyle name="Обычный 9 6 2 6 2 2 3 2" xfId="55539"/>
    <cellStyle name="Обычный 9 6 2 6 2 2 3 3" xfId="55540"/>
    <cellStyle name="Обычный 9 6 2 6 2 2 4" xfId="55541"/>
    <cellStyle name="Обычный 9 6 2 6 2 2 4 2" xfId="55542"/>
    <cellStyle name="Обычный 9 6 2 6 2 2 5" xfId="55543"/>
    <cellStyle name="Обычный 9 6 2 6 2 2 6" xfId="55544"/>
    <cellStyle name="Обычный 9 6 2 6 2 3" xfId="55545"/>
    <cellStyle name="Обычный 9 6 2 6 2 3 2" xfId="55546"/>
    <cellStyle name="Обычный 9 6 2 6 2 3 3" xfId="55547"/>
    <cellStyle name="Обычный 9 6 2 6 2 4" xfId="55548"/>
    <cellStyle name="Обычный 9 6 2 6 2 4 2" xfId="55549"/>
    <cellStyle name="Обычный 9 6 2 6 2 4 3" xfId="55550"/>
    <cellStyle name="Обычный 9 6 2 6 2 5" xfId="55551"/>
    <cellStyle name="Обычный 9 6 2 6 2 5 2" xfId="55552"/>
    <cellStyle name="Обычный 9 6 2 6 2 6" xfId="55553"/>
    <cellStyle name="Обычный 9 6 2 6 2 7" xfId="55554"/>
    <cellStyle name="Обычный 9 6 2 6 3" xfId="55555"/>
    <cellStyle name="Обычный 9 6 2 6 3 2" xfId="55556"/>
    <cellStyle name="Обычный 9 6 2 6 3 2 2" xfId="55557"/>
    <cellStyle name="Обычный 9 6 2 6 3 2 3" xfId="55558"/>
    <cellStyle name="Обычный 9 6 2 6 3 3" xfId="55559"/>
    <cellStyle name="Обычный 9 6 2 6 3 3 2" xfId="55560"/>
    <cellStyle name="Обычный 9 6 2 6 3 3 3" xfId="55561"/>
    <cellStyle name="Обычный 9 6 2 6 3 4" xfId="55562"/>
    <cellStyle name="Обычный 9 6 2 6 3 4 2" xfId="55563"/>
    <cellStyle name="Обычный 9 6 2 6 3 5" xfId="55564"/>
    <cellStyle name="Обычный 9 6 2 6 3 6" xfId="55565"/>
    <cellStyle name="Обычный 9 6 2 6 4" xfId="55566"/>
    <cellStyle name="Обычный 9 6 2 6 4 2" xfId="55567"/>
    <cellStyle name="Обычный 9 6 2 6 4 3" xfId="55568"/>
    <cellStyle name="Обычный 9 6 2 6 5" xfId="55569"/>
    <cellStyle name="Обычный 9 6 2 6 5 2" xfId="55570"/>
    <cellStyle name="Обычный 9 6 2 6 5 3" xfId="55571"/>
    <cellStyle name="Обычный 9 6 2 6 6" xfId="55572"/>
    <cellStyle name="Обычный 9 6 2 6 6 2" xfId="55573"/>
    <cellStyle name="Обычный 9 6 2 6 7" xfId="55574"/>
    <cellStyle name="Обычный 9 6 2 6 8" xfId="55575"/>
    <cellStyle name="Обычный 9 6 2 7" xfId="55576"/>
    <cellStyle name="Обычный 9 6 2 7 2" xfId="55577"/>
    <cellStyle name="Обычный 9 6 2 7 2 2" xfId="55578"/>
    <cellStyle name="Обычный 9 6 2 7 2 2 2" xfId="55579"/>
    <cellStyle name="Обычный 9 6 2 7 2 2 3" xfId="55580"/>
    <cellStyle name="Обычный 9 6 2 7 2 3" xfId="55581"/>
    <cellStyle name="Обычный 9 6 2 7 2 3 2" xfId="55582"/>
    <cellStyle name="Обычный 9 6 2 7 2 3 3" xfId="55583"/>
    <cellStyle name="Обычный 9 6 2 7 2 4" xfId="55584"/>
    <cellStyle name="Обычный 9 6 2 7 2 4 2" xfId="55585"/>
    <cellStyle name="Обычный 9 6 2 7 2 5" xfId="55586"/>
    <cellStyle name="Обычный 9 6 2 7 2 6" xfId="55587"/>
    <cellStyle name="Обычный 9 6 2 7 3" xfId="55588"/>
    <cellStyle name="Обычный 9 6 2 7 3 2" xfId="55589"/>
    <cellStyle name="Обычный 9 6 2 7 3 3" xfId="55590"/>
    <cellStyle name="Обычный 9 6 2 7 4" xfId="55591"/>
    <cellStyle name="Обычный 9 6 2 7 4 2" xfId="55592"/>
    <cellStyle name="Обычный 9 6 2 7 4 3" xfId="55593"/>
    <cellStyle name="Обычный 9 6 2 7 5" xfId="55594"/>
    <cellStyle name="Обычный 9 6 2 7 5 2" xfId="55595"/>
    <cellStyle name="Обычный 9 6 2 7 6" xfId="55596"/>
    <cellStyle name="Обычный 9 6 2 7 7" xfId="55597"/>
    <cellStyle name="Обычный 9 6 2 8" xfId="55598"/>
    <cellStyle name="Обычный 9 6 2 8 2" xfId="55599"/>
    <cellStyle name="Обычный 9 6 2 8 2 2" xfId="55600"/>
    <cellStyle name="Обычный 9 6 2 8 2 3" xfId="55601"/>
    <cellStyle name="Обычный 9 6 2 8 3" xfId="55602"/>
    <cellStyle name="Обычный 9 6 2 8 3 2" xfId="55603"/>
    <cellStyle name="Обычный 9 6 2 8 3 3" xfId="55604"/>
    <cellStyle name="Обычный 9 6 2 8 4" xfId="55605"/>
    <cellStyle name="Обычный 9 6 2 8 4 2" xfId="55606"/>
    <cellStyle name="Обычный 9 6 2 8 5" xfId="55607"/>
    <cellStyle name="Обычный 9 6 2 8 6" xfId="55608"/>
    <cellStyle name="Обычный 9 6 2 9" xfId="55609"/>
    <cellStyle name="Обычный 9 6 2 9 2" xfId="55610"/>
    <cellStyle name="Обычный 9 6 2 9 3" xfId="55611"/>
    <cellStyle name="Обычный 9 6 3" xfId="55612"/>
    <cellStyle name="Обычный 9 6 3 10" xfId="55613"/>
    <cellStyle name="Обычный 9 6 3 2" xfId="55614"/>
    <cellStyle name="Обычный 9 6 3 2 2" xfId="55615"/>
    <cellStyle name="Обычный 9 6 3 2 2 2" xfId="55616"/>
    <cellStyle name="Обычный 9 6 3 2 2 2 2" xfId="55617"/>
    <cellStyle name="Обычный 9 6 3 2 2 2 2 2" xfId="55618"/>
    <cellStyle name="Обычный 9 6 3 2 2 2 2 2 2" xfId="55619"/>
    <cellStyle name="Обычный 9 6 3 2 2 2 2 2 3" xfId="55620"/>
    <cellStyle name="Обычный 9 6 3 2 2 2 2 3" xfId="55621"/>
    <cellStyle name="Обычный 9 6 3 2 2 2 2 3 2" xfId="55622"/>
    <cellStyle name="Обычный 9 6 3 2 2 2 2 3 3" xfId="55623"/>
    <cellStyle name="Обычный 9 6 3 2 2 2 2 4" xfId="55624"/>
    <cellStyle name="Обычный 9 6 3 2 2 2 2 4 2" xfId="55625"/>
    <cellStyle name="Обычный 9 6 3 2 2 2 2 5" xfId="55626"/>
    <cellStyle name="Обычный 9 6 3 2 2 2 2 6" xfId="55627"/>
    <cellStyle name="Обычный 9 6 3 2 2 2 3" xfId="55628"/>
    <cellStyle name="Обычный 9 6 3 2 2 2 3 2" xfId="55629"/>
    <cellStyle name="Обычный 9 6 3 2 2 2 3 3" xfId="55630"/>
    <cellStyle name="Обычный 9 6 3 2 2 2 4" xfId="55631"/>
    <cellStyle name="Обычный 9 6 3 2 2 2 4 2" xfId="55632"/>
    <cellStyle name="Обычный 9 6 3 2 2 2 4 3" xfId="55633"/>
    <cellStyle name="Обычный 9 6 3 2 2 2 5" xfId="55634"/>
    <cellStyle name="Обычный 9 6 3 2 2 2 5 2" xfId="55635"/>
    <cellStyle name="Обычный 9 6 3 2 2 2 6" xfId="55636"/>
    <cellStyle name="Обычный 9 6 3 2 2 2 7" xfId="55637"/>
    <cellStyle name="Обычный 9 6 3 2 2 3" xfId="55638"/>
    <cellStyle name="Обычный 9 6 3 2 2 3 2" xfId="55639"/>
    <cellStyle name="Обычный 9 6 3 2 2 3 2 2" xfId="55640"/>
    <cellStyle name="Обычный 9 6 3 2 2 3 2 3" xfId="55641"/>
    <cellStyle name="Обычный 9 6 3 2 2 3 3" xfId="55642"/>
    <cellStyle name="Обычный 9 6 3 2 2 3 3 2" xfId="55643"/>
    <cellStyle name="Обычный 9 6 3 2 2 3 3 3" xfId="55644"/>
    <cellStyle name="Обычный 9 6 3 2 2 3 4" xfId="55645"/>
    <cellStyle name="Обычный 9 6 3 2 2 3 4 2" xfId="55646"/>
    <cellStyle name="Обычный 9 6 3 2 2 3 5" xfId="55647"/>
    <cellStyle name="Обычный 9 6 3 2 2 3 6" xfId="55648"/>
    <cellStyle name="Обычный 9 6 3 2 2 4" xfId="55649"/>
    <cellStyle name="Обычный 9 6 3 2 2 4 2" xfId="55650"/>
    <cellStyle name="Обычный 9 6 3 2 2 4 3" xfId="55651"/>
    <cellStyle name="Обычный 9 6 3 2 2 5" xfId="55652"/>
    <cellStyle name="Обычный 9 6 3 2 2 5 2" xfId="55653"/>
    <cellStyle name="Обычный 9 6 3 2 2 5 3" xfId="55654"/>
    <cellStyle name="Обычный 9 6 3 2 2 6" xfId="55655"/>
    <cellStyle name="Обычный 9 6 3 2 2 6 2" xfId="55656"/>
    <cellStyle name="Обычный 9 6 3 2 2 7" xfId="55657"/>
    <cellStyle name="Обычный 9 6 3 2 2 8" xfId="55658"/>
    <cellStyle name="Обычный 9 6 3 2 3" xfId="55659"/>
    <cellStyle name="Обычный 9 6 3 2 3 2" xfId="55660"/>
    <cellStyle name="Обычный 9 6 3 2 3 2 2" xfId="55661"/>
    <cellStyle name="Обычный 9 6 3 2 3 2 2 2" xfId="55662"/>
    <cellStyle name="Обычный 9 6 3 2 3 2 2 3" xfId="55663"/>
    <cellStyle name="Обычный 9 6 3 2 3 2 3" xfId="55664"/>
    <cellStyle name="Обычный 9 6 3 2 3 2 3 2" xfId="55665"/>
    <cellStyle name="Обычный 9 6 3 2 3 2 3 3" xfId="55666"/>
    <cellStyle name="Обычный 9 6 3 2 3 2 4" xfId="55667"/>
    <cellStyle name="Обычный 9 6 3 2 3 2 4 2" xfId="55668"/>
    <cellStyle name="Обычный 9 6 3 2 3 2 5" xfId="55669"/>
    <cellStyle name="Обычный 9 6 3 2 3 2 6" xfId="55670"/>
    <cellStyle name="Обычный 9 6 3 2 3 3" xfId="55671"/>
    <cellStyle name="Обычный 9 6 3 2 3 3 2" xfId="55672"/>
    <cellStyle name="Обычный 9 6 3 2 3 3 3" xfId="55673"/>
    <cellStyle name="Обычный 9 6 3 2 3 4" xfId="55674"/>
    <cellStyle name="Обычный 9 6 3 2 3 4 2" xfId="55675"/>
    <cellStyle name="Обычный 9 6 3 2 3 4 3" xfId="55676"/>
    <cellStyle name="Обычный 9 6 3 2 3 5" xfId="55677"/>
    <cellStyle name="Обычный 9 6 3 2 3 5 2" xfId="55678"/>
    <cellStyle name="Обычный 9 6 3 2 3 6" xfId="55679"/>
    <cellStyle name="Обычный 9 6 3 2 3 7" xfId="55680"/>
    <cellStyle name="Обычный 9 6 3 2 4" xfId="55681"/>
    <cellStyle name="Обычный 9 6 3 2 4 2" xfId="55682"/>
    <cellStyle name="Обычный 9 6 3 2 4 2 2" xfId="55683"/>
    <cellStyle name="Обычный 9 6 3 2 4 2 3" xfId="55684"/>
    <cellStyle name="Обычный 9 6 3 2 4 3" xfId="55685"/>
    <cellStyle name="Обычный 9 6 3 2 4 3 2" xfId="55686"/>
    <cellStyle name="Обычный 9 6 3 2 4 3 3" xfId="55687"/>
    <cellStyle name="Обычный 9 6 3 2 4 4" xfId="55688"/>
    <cellStyle name="Обычный 9 6 3 2 4 4 2" xfId="55689"/>
    <cellStyle name="Обычный 9 6 3 2 4 5" xfId="55690"/>
    <cellStyle name="Обычный 9 6 3 2 4 6" xfId="55691"/>
    <cellStyle name="Обычный 9 6 3 2 5" xfId="55692"/>
    <cellStyle name="Обычный 9 6 3 2 5 2" xfId="55693"/>
    <cellStyle name="Обычный 9 6 3 2 5 3" xfId="55694"/>
    <cellStyle name="Обычный 9 6 3 2 6" xfId="55695"/>
    <cellStyle name="Обычный 9 6 3 2 6 2" xfId="55696"/>
    <cellStyle name="Обычный 9 6 3 2 6 3" xfId="55697"/>
    <cellStyle name="Обычный 9 6 3 2 7" xfId="55698"/>
    <cellStyle name="Обычный 9 6 3 2 7 2" xfId="55699"/>
    <cellStyle name="Обычный 9 6 3 2 8" xfId="55700"/>
    <cellStyle name="Обычный 9 6 3 2 9" xfId="55701"/>
    <cellStyle name="Обычный 9 6 3 3" xfId="55702"/>
    <cellStyle name="Обычный 9 6 3 3 2" xfId="55703"/>
    <cellStyle name="Обычный 9 6 3 3 2 2" xfId="55704"/>
    <cellStyle name="Обычный 9 6 3 3 2 2 2" xfId="55705"/>
    <cellStyle name="Обычный 9 6 3 3 2 2 2 2" xfId="55706"/>
    <cellStyle name="Обычный 9 6 3 3 2 2 2 3" xfId="55707"/>
    <cellStyle name="Обычный 9 6 3 3 2 2 3" xfId="55708"/>
    <cellStyle name="Обычный 9 6 3 3 2 2 3 2" xfId="55709"/>
    <cellStyle name="Обычный 9 6 3 3 2 2 3 3" xfId="55710"/>
    <cellStyle name="Обычный 9 6 3 3 2 2 4" xfId="55711"/>
    <cellStyle name="Обычный 9 6 3 3 2 2 4 2" xfId="55712"/>
    <cellStyle name="Обычный 9 6 3 3 2 2 5" xfId="55713"/>
    <cellStyle name="Обычный 9 6 3 3 2 2 6" xfId="55714"/>
    <cellStyle name="Обычный 9 6 3 3 2 3" xfId="55715"/>
    <cellStyle name="Обычный 9 6 3 3 2 3 2" xfId="55716"/>
    <cellStyle name="Обычный 9 6 3 3 2 3 3" xfId="55717"/>
    <cellStyle name="Обычный 9 6 3 3 2 4" xfId="55718"/>
    <cellStyle name="Обычный 9 6 3 3 2 4 2" xfId="55719"/>
    <cellStyle name="Обычный 9 6 3 3 2 4 3" xfId="55720"/>
    <cellStyle name="Обычный 9 6 3 3 2 5" xfId="55721"/>
    <cellStyle name="Обычный 9 6 3 3 2 5 2" xfId="55722"/>
    <cellStyle name="Обычный 9 6 3 3 2 6" xfId="55723"/>
    <cellStyle name="Обычный 9 6 3 3 2 7" xfId="55724"/>
    <cellStyle name="Обычный 9 6 3 3 3" xfId="55725"/>
    <cellStyle name="Обычный 9 6 3 3 3 2" xfId="55726"/>
    <cellStyle name="Обычный 9 6 3 3 3 2 2" xfId="55727"/>
    <cellStyle name="Обычный 9 6 3 3 3 2 3" xfId="55728"/>
    <cellStyle name="Обычный 9 6 3 3 3 3" xfId="55729"/>
    <cellStyle name="Обычный 9 6 3 3 3 3 2" xfId="55730"/>
    <cellStyle name="Обычный 9 6 3 3 3 3 3" xfId="55731"/>
    <cellStyle name="Обычный 9 6 3 3 3 4" xfId="55732"/>
    <cellStyle name="Обычный 9 6 3 3 3 4 2" xfId="55733"/>
    <cellStyle name="Обычный 9 6 3 3 3 5" xfId="55734"/>
    <cellStyle name="Обычный 9 6 3 3 3 6" xfId="55735"/>
    <cellStyle name="Обычный 9 6 3 3 4" xfId="55736"/>
    <cellStyle name="Обычный 9 6 3 3 4 2" xfId="55737"/>
    <cellStyle name="Обычный 9 6 3 3 4 3" xfId="55738"/>
    <cellStyle name="Обычный 9 6 3 3 5" xfId="55739"/>
    <cellStyle name="Обычный 9 6 3 3 5 2" xfId="55740"/>
    <cellStyle name="Обычный 9 6 3 3 5 3" xfId="55741"/>
    <cellStyle name="Обычный 9 6 3 3 6" xfId="55742"/>
    <cellStyle name="Обычный 9 6 3 3 6 2" xfId="55743"/>
    <cellStyle name="Обычный 9 6 3 3 7" xfId="55744"/>
    <cellStyle name="Обычный 9 6 3 3 8" xfId="55745"/>
    <cellStyle name="Обычный 9 6 3 4" xfId="55746"/>
    <cellStyle name="Обычный 9 6 3 4 2" xfId="55747"/>
    <cellStyle name="Обычный 9 6 3 4 2 2" xfId="55748"/>
    <cellStyle name="Обычный 9 6 3 4 2 2 2" xfId="55749"/>
    <cellStyle name="Обычный 9 6 3 4 2 2 3" xfId="55750"/>
    <cellStyle name="Обычный 9 6 3 4 2 3" xfId="55751"/>
    <cellStyle name="Обычный 9 6 3 4 2 3 2" xfId="55752"/>
    <cellStyle name="Обычный 9 6 3 4 2 3 3" xfId="55753"/>
    <cellStyle name="Обычный 9 6 3 4 2 4" xfId="55754"/>
    <cellStyle name="Обычный 9 6 3 4 2 4 2" xfId="55755"/>
    <cellStyle name="Обычный 9 6 3 4 2 5" xfId="55756"/>
    <cellStyle name="Обычный 9 6 3 4 2 6" xfId="55757"/>
    <cellStyle name="Обычный 9 6 3 4 3" xfId="55758"/>
    <cellStyle name="Обычный 9 6 3 4 3 2" xfId="55759"/>
    <cellStyle name="Обычный 9 6 3 4 3 3" xfId="55760"/>
    <cellStyle name="Обычный 9 6 3 4 4" xfId="55761"/>
    <cellStyle name="Обычный 9 6 3 4 4 2" xfId="55762"/>
    <cellStyle name="Обычный 9 6 3 4 4 3" xfId="55763"/>
    <cellStyle name="Обычный 9 6 3 4 5" xfId="55764"/>
    <cellStyle name="Обычный 9 6 3 4 5 2" xfId="55765"/>
    <cellStyle name="Обычный 9 6 3 4 6" xfId="55766"/>
    <cellStyle name="Обычный 9 6 3 4 7" xfId="55767"/>
    <cellStyle name="Обычный 9 6 3 5" xfId="55768"/>
    <cellStyle name="Обычный 9 6 3 5 2" xfId="55769"/>
    <cellStyle name="Обычный 9 6 3 5 2 2" xfId="55770"/>
    <cellStyle name="Обычный 9 6 3 5 2 3" xfId="55771"/>
    <cellStyle name="Обычный 9 6 3 5 3" xfId="55772"/>
    <cellStyle name="Обычный 9 6 3 5 3 2" xfId="55773"/>
    <cellStyle name="Обычный 9 6 3 5 3 3" xfId="55774"/>
    <cellStyle name="Обычный 9 6 3 5 4" xfId="55775"/>
    <cellStyle name="Обычный 9 6 3 5 4 2" xfId="55776"/>
    <cellStyle name="Обычный 9 6 3 5 5" xfId="55777"/>
    <cellStyle name="Обычный 9 6 3 5 6" xfId="55778"/>
    <cellStyle name="Обычный 9 6 3 6" xfId="55779"/>
    <cellStyle name="Обычный 9 6 3 6 2" xfId="55780"/>
    <cellStyle name="Обычный 9 6 3 6 3" xfId="55781"/>
    <cellStyle name="Обычный 9 6 3 7" xfId="55782"/>
    <cellStyle name="Обычный 9 6 3 7 2" xfId="55783"/>
    <cellStyle name="Обычный 9 6 3 7 3" xfId="55784"/>
    <cellStyle name="Обычный 9 6 3 8" xfId="55785"/>
    <cellStyle name="Обычный 9 6 3 8 2" xfId="55786"/>
    <cellStyle name="Обычный 9 6 3 9" xfId="55787"/>
    <cellStyle name="Обычный 9 6 4" xfId="55788"/>
    <cellStyle name="Обычный 9 6 4 10" xfId="55789"/>
    <cellStyle name="Обычный 9 6 4 2" xfId="55790"/>
    <cellStyle name="Обычный 9 6 4 2 2" xfId="55791"/>
    <cellStyle name="Обычный 9 6 4 2 2 2" xfId="55792"/>
    <cellStyle name="Обычный 9 6 4 2 2 2 2" xfId="55793"/>
    <cellStyle name="Обычный 9 6 4 2 2 2 2 2" xfId="55794"/>
    <cellStyle name="Обычный 9 6 4 2 2 2 2 2 2" xfId="55795"/>
    <cellStyle name="Обычный 9 6 4 2 2 2 2 2 3" xfId="55796"/>
    <cellStyle name="Обычный 9 6 4 2 2 2 2 3" xfId="55797"/>
    <cellStyle name="Обычный 9 6 4 2 2 2 2 3 2" xfId="55798"/>
    <cellStyle name="Обычный 9 6 4 2 2 2 2 3 3" xfId="55799"/>
    <cellStyle name="Обычный 9 6 4 2 2 2 2 4" xfId="55800"/>
    <cellStyle name="Обычный 9 6 4 2 2 2 2 4 2" xfId="55801"/>
    <cellStyle name="Обычный 9 6 4 2 2 2 2 5" xfId="55802"/>
    <cellStyle name="Обычный 9 6 4 2 2 2 2 6" xfId="55803"/>
    <cellStyle name="Обычный 9 6 4 2 2 2 3" xfId="55804"/>
    <cellStyle name="Обычный 9 6 4 2 2 2 3 2" xfId="55805"/>
    <cellStyle name="Обычный 9 6 4 2 2 2 3 3" xfId="55806"/>
    <cellStyle name="Обычный 9 6 4 2 2 2 4" xfId="55807"/>
    <cellStyle name="Обычный 9 6 4 2 2 2 4 2" xfId="55808"/>
    <cellStyle name="Обычный 9 6 4 2 2 2 4 3" xfId="55809"/>
    <cellStyle name="Обычный 9 6 4 2 2 2 5" xfId="55810"/>
    <cellStyle name="Обычный 9 6 4 2 2 2 5 2" xfId="55811"/>
    <cellStyle name="Обычный 9 6 4 2 2 2 6" xfId="55812"/>
    <cellStyle name="Обычный 9 6 4 2 2 2 7" xfId="55813"/>
    <cellStyle name="Обычный 9 6 4 2 2 3" xfId="55814"/>
    <cellStyle name="Обычный 9 6 4 2 2 3 2" xfId="55815"/>
    <cellStyle name="Обычный 9 6 4 2 2 3 2 2" xfId="55816"/>
    <cellStyle name="Обычный 9 6 4 2 2 3 2 3" xfId="55817"/>
    <cellStyle name="Обычный 9 6 4 2 2 3 3" xfId="55818"/>
    <cellStyle name="Обычный 9 6 4 2 2 3 3 2" xfId="55819"/>
    <cellStyle name="Обычный 9 6 4 2 2 3 3 3" xfId="55820"/>
    <cellStyle name="Обычный 9 6 4 2 2 3 4" xfId="55821"/>
    <cellStyle name="Обычный 9 6 4 2 2 3 4 2" xfId="55822"/>
    <cellStyle name="Обычный 9 6 4 2 2 3 5" xfId="55823"/>
    <cellStyle name="Обычный 9 6 4 2 2 3 6" xfId="55824"/>
    <cellStyle name="Обычный 9 6 4 2 2 4" xfId="55825"/>
    <cellStyle name="Обычный 9 6 4 2 2 4 2" xfId="55826"/>
    <cellStyle name="Обычный 9 6 4 2 2 4 3" xfId="55827"/>
    <cellStyle name="Обычный 9 6 4 2 2 5" xfId="55828"/>
    <cellStyle name="Обычный 9 6 4 2 2 5 2" xfId="55829"/>
    <cellStyle name="Обычный 9 6 4 2 2 5 3" xfId="55830"/>
    <cellStyle name="Обычный 9 6 4 2 2 6" xfId="55831"/>
    <cellStyle name="Обычный 9 6 4 2 2 6 2" xfId="55832"/>
    <cellStyle name="Обычный 9 6 4 2 2 7" xfId="55833"/>
    <cellStyle name="Обычный 9 6 4 2 2 8" xfId="55834"/>
    <cellStyle name="Обычный 9 6 4 2 3" xfId="55835"/>
    <cellStyle name="Обычный 9 6 4 2 3 2" xfId="55836"/>
    <cellStyle name="Обычный 9 6 4 2 3 2 2" xfId="55837"/>
    <cellStyle name="Обычный 9 6 4 2 3 2 2 2" xfId="55838"/>
    <cellStyle name="Обычный 9 6 4 2 3 2 2 3" xfId="55839"/>
    <cellStyle name="Обычный 9 6 4 2 3 2 3" xfId="55840"/>
    <cellStyle name="Обычный 9 6 4 2 3 2 3 2" xfId="55841"/>
    <cellStyle name="Обычный 9 6 4 2 3 2 3 3" xfId="55842"/>
    <cellStyle name="Обычный 9 6 4 2 3 2 4" xfId="55843"/>
    <cellStyle name="Обычный 9 6 4 2 3 2 4 2" xfId="55844"/>
    <cellStyle name="Обычный 9 6 4 2 3 2 5" xfId="55845"/>
    <cellStyle name="Обычный 9 6 4 2 3 2 6" xfId="55846"/>
    <cellStyle name="Обычный 9 6 4 2 3 3" xfId="55847"/>
    <cellStyle name="Обычный 9 6 4 2 3 3 2" xfId="55848"/>
    <cellStyle name="Обычный 9 6 4 2 3 3 3" xfId="55849"/>
    <cellStyle name="Обычный 9 6 4 2 3 4" xfId="55850"/>
    <cellStyle name="Обычный 9 6 4 2 3 4 2" xfId="55851"/>
    <cellStyle name="Обычный 9 6 4 2 3 4 3" xfId="55852"/>
    <cellStyle name="Обычный 9 6 4 2 3 5" xfId="55853"/>
    <cellStyle name="Обычный 9 6 4 2 3 5 2" xfId="55854"/>
    <cellStyle name="Обычный 9 6 4 2 3 6" xfId="55855"/>
    <cellStyle name="Обычный 9 6 4 2 3 7" xfId="55856"/>
    <cellStyle name="Обычный 9 6 4 2 4" xfId="55857"/>
    <cellStyle name="Обычный 9 6 4 2 4 2" xfId="55858"/>
    <cellStyle name="Обычный 9 6 4 2 4 2 2" xfId="55859"/>
    <cellStyle name="Обычный 9 6 4 2 4 2 3" xfId="55860"/>
    <cellStyle name="Обычный 9 6 4 2 4 3" xfId="55861"/>
    <cellStyle name="Обычный 9 6 4 2 4 3 2" xfId="55862"/>
    <cellStyle name="Обычный 9 6 4 2 4 3 3" xfId="55863"/>
    <cellStyle name="Обычный 9 6 4 2 4 4" xfId="55864"/>
    <cellStyle name="Обычный 9 6 4 2 4 4 2" xfId="55865"/>
    <cellStyle name="Обычный 9 6 4 2 4 5" xfId="55866"/>
    <cellStyle name="Обычный 9 6 4 2 4 6" xfId="55867"/>
    <cellStyle name="Обычный 9 6 4 2 5" xfId="55868"/>
    <cellStyle name="Обычный 9 6 4 2 5 2" xfId="55869"/>
    <cellStyle name="Обычный 9 6 4 2 5 3" xfId="55870"/>
    <cellStyle name="Обычный 9 6 4 2 6" xfId="55871"/>
    <cellStyle name="Обычный 9 6 4 2 6 2" xfId="55872"/>
    <cellStyle name="Обычный 9 6 4 2 6 3" xfId="55873"/>
    <cellStyle name="Обычный 9 6 4 2 7" xfId="55874"/>
    <cellStyle name="Обычный 9 6 4 2 7 2" xfId="55875"/>
    <cellStyle name="Обычный 9 6 4 2 8" xfId="55876"/>
    <cellStyle name="Обычный 9 6 4 2 9" xfId="55877"/>
    <cellStyle name="Обычный 9 6 4 3" xfId="55878"/>
    <cellStyle name="Обычный 9 6 4 3 2" xfId="55879"/>
    <cellStyle name="Обычный 9 6 4 3 2 2" xfId="55880"/>
    <cellStyle name="Обычный 9 6 4 3 2 2 2" xfId="55881"/>
    <cellStyle name="Обычный 9 6 4 3 2 2 2 2" xfId="55882"/>
    <cellStyle name="Обычный 9 6 4 3 2 2 2 3" xfId="55883"/>
    <cellStyle name="Обычный 9 6 4 3 2 2 3" xfId="55884"/>
    <cellStyle name="Обычный 9 6 4 3 2 2 3 2" xfId="55885"/>
    <cellStyle name="Обычный 9 6 4 3 2 2 3 3" xfId="55886"/>
    <cellStyle name="Обычный 9 6 4 3 2 2 4" xfId="55887"/>
    <cellStyle name="Обычный 9 6 4 3 2 2 4 2" xfId="55888"/>
    <cellStyle name="Обычный 9 6 4 3 2 2 5" xfId="55889"/>
    <cellStyle name="Обычный 9 6 4 3 2 2 6" xfId="55890"/>
    <cellStyle name="Обычный 9 6 4 3 2 3" xfId="55891"/>
    <cellStyle name="Обычный 9 6 4 3 2 3 2" xfId="55892"/>
    <cellStyle name="Обычный 9 6 4 3 2 3 3" xfId="55893"/>
    <cellStyle name="Обычный 9 6 4 3 2 4" xfId="55894"/>
    <cellStyle name="Обычный 9 6 4 3 2 4 2" xfId="55895"/>
    <cellStyle name="Обычный 9 6 4 3 2 4 3" xfId="55896"/>
    <cellStyle name="Обычный 9 6 4 3 2 5" xfId="55897"/>
    <cellStyle name="Обычный 9 6 4 3 2 5 2" xfId="55898"/>
    <cellStyle name="Обычный 9 6 4 3 2 6" xfId="55899"/>
    <cellStyle name="Обычный 9 6 4 3 2 7" xfId="55900"/>
    <cellStyle name="Обычный 9 6 4 3 3" xfId="55901"/>
    <cellStyle name="Обычный 9 6 4 3 3 2" xfId="55902"/>
    <cellStyle name="Обычный 9 6 4 3 3 2 2" xfId="55903"/>
    <cellStyle name="Обычный 9 6 4 3 3 2 3" xfId="55904"/>
    <cellStyle name="Обычный 9 6 4 3 3 3" xfId="55905"/>
    <cellStyle name="Обычный 9 6 4 3 3 3 2" xfId="55906"/>
    <cellStyle name="Обычный 9 6 4 3 3 3 3" xfId="55907"/>
    <cellStyle name="Обычный 9 6 4 3 3 4" xfId="55908"/>
    <cellStyle name="Обычный 9 6 4 3 3 4 2" xfId="55909"/>
    <cellStyle name="Обычный 9 6 4 3 3 5" xfId="55910"/>
    <cellStyle name="Обычный 9 6 4 3 3 6" xfId="55911"/>
    <cellStyle name="Обычный 9 6 4 3 4" xfId="55912"/>
    <cellStyle name="Обычный 9 6 4 3 4 2" xfId="55913"/>
    <cellStyle name="Обычный 9 6 4 3 4 3" xfId="55914"/>
    <cellStyle name="Обычный 9 6 4 3 5" xfId="55915"/>
    <cellStyle name="Обычный 9 6 4 3 5 2" xfId="55916"/>
    <cellStyle name="Обычный 9 6 4 3 5 3" xfId="55917"/>
    <cellStyle name="Обычный 9 6 4 3 6" xfId="55918"/>
    <cellStyle name="Обычный 9 6 4 3 6 2" xfId="55919"/>
    <cellStyle name="Обычный 9 6 4 3 7" xfId="55920"/>
    <cellStyle name="Обычный 9 6 4 3 8" xfId="55921"/>
    <cellStyle name="Обычный 9 6 4 4" xfId="55922"/>
    <cellStyle name="Обычный 9 6 4 4 2" xfId="55923"/>
    <cellStyle name="Обычный 9 6 4 4 2 2" xfId="55924"/>
    <cellStyle name="Обычный 9 6 4 4 2 2 2" xfId="55925"/>
    <cellStyle name="Обычный 9 6 4 4 2 2 3" xfId="55926"/>
    <cellStyle name="Обычный 9 6 4 4 2 3" xfId="55927"/>
    <cellStyle name="Обычный 9 6 4 4 2 3 2" xfId="55928"/>
    <cellStyle name="Обычный 9 6 4 4 2 3 3" xfId="55929"/>
    <cellStyle name="Обычный 9 6 4 4 2 4" xfId="55930"/>
    <cellStyle name="Обычный 9 6 4 4 2 4 2" xfId="55931"/>
    <cellStyle name="Обычный 9 6 4 4 2 5" xfId="55932"/>
    <cellStyle name="Обычный 9 6 4 4 2 6" xfId="55933"/>
    <cellStyle name="Обычный 9 6 4 4 3" xfId="55934"/>
    <cellStyle name="Обычный 9 6 4 4 3 2" xfId="55935"/>
    <cellStyle name="Обычный 9 6 4 4 3 3" xfId="55936"/>
    <cellStyle name="Обычный 9 6 4 4 4" xfId="55937"/>
    <cellStyle name="Обычный 9 6 4 4 4 2" xfId="55938"/>
    <cellStyle name="Обычный 9 6 4 4 4 3" xfId="55939"/>
    <cellStyle name="Обычный 9 6 4 4 5" xfId="55940"/>
    <cellStyle name="Обычный 9 6 4 4 5 2" xfId="55941"/>
    <cellStyle name="Обычный 9 6 4 4 6" xfId="55942"/>
    <cellStyle name="Обычный 9 6 4 4 7" xfId="55943"/>
    <cellStyle name="Обычный 9 6 4 5" xfId="55944"/>
    <cellStyle name="Обычный 9 6 4 5 2" xfId="55945"/>
    <cellStyle name="Обычный 9 6 4 5 2 2" xfId="55946"/>
    <cellStyle name="Обычный 9 6 4 5 2 3" xfId="55947"/>
    <cellStyle name="Обычный 9 6 4 5 3" xfId="55948"/>
    <cellStyle name="Обычный 9 6 4 5 3 2" xfId="55949"/>
    <cellStyle name="Обычный 9 6 4 5 3 3" xfId="55950"/>
    <cellStyle name="Обычный 9 6 4 5 4" xfId="55951"/>
    <cellStyle name="Обычный 9 6 4 5 4 2" xfId="55952"/>
    <cellStyle name="Обычный 9 6 4 5 5" xfId="55953"/>
    <cellStyle name="Обычный 9 6 4 5 6" xfId="55954"/>
    <cellStyle name="Обычный 9 6 4 6" xfId="55955"/>
    <cellStyle name="Обычный 9 6 4 6 2" xfId="55956"/>
    <cellStyle name="Обычный 9 6 4 6 3" xfId="55957"/>
    <cellStyle name="Обычный 9 6 4 7" xfId="55958"/>
    <cellStyle name="Обычный 9 6 4 7 2" xfId="55959"/>
    <cellStyle name="Обычный 9 6 4 7 3" xfId="55960"/>
    <cellStyle name="Обычный 9 6 4 8" xfId="55961"/>
    <cellStyle name="Обычный 9 6 4 8 2" xfId="55962"/>
    <cellStyle name="Обычный 9 6 4 9" xfId="55963"/>
    <cellStyle name="Обычный 9 6 5" xfId="55964"/>
    <cellStyle name="Обычный 9 6 5 10" xfId="55965"/>
    <cellStyle name="Обычный 9 6 5 2" xfId="55966"/>
    <cellStyle name="Обычный 9 6 5 2 2" xfId="55967"/>
    <cellStyle name="Обычный 9 6 5 2 2 2" xfId="55968"/>
    <cellStyle name="Обычный 9 6 5 2 2 2 2" xfId="55969"/>
    <cellStyle name="Обычный 9 6 5 2 2 2 2 2" xfId="55970"/>
    <cellStyle name="Обычный 9 6 5 2 2 2 2 2 2" xfId="55971"/>
    <cellStyle name="Обычный 9 6 5 2 2 2 2 2 3" xfId="55972"/>
    <cellStyle name="Обычный 9 6 5 2 2 2 2 3" xfId="55973"/>
    <cellStyle name="Обычный 9 6 5 2 2 2 2 3 2" xfId="55974"/>
    <cellStyle name="Обычный 9 6 5 2 2 2 2 3 3" xfId="55975"/>
    <cellStyle name="Обычный 9 6 5 2 2 2 2 4" xfId="55976"/>
    <cellStyle name="Обычный 9 6 5 2 2 2 2 4 2" xfId="55977"/>
    <cellStyle name="Обычный 9 6 5 2 2 2 2 5" xfId="55978"/>
    <cellStyle name="Обычный 9 6 5 2 2 2 2 6" xfId="55979"/>
    <cellStyle name="Обычный 9 6 5 2 2 2 3" xfId="55980"/>
    <cellStyle name="Обычный 9 6 5 2 2 2 3 2" xfId="55981"/>
    <cellStyle name="Обычный 9 6 5 2 2 2 3 3" xfId="55982"/>
    <cellStyle name="Обычный 9 6 5 2 2 2 4" xfId="55983"/>
    <cellStyle name="Обычный 9 6 5 2 2 2 4 2" xfId="55984"/>
    <cellStyle name="Обычный 9 6 5 2 2 2 4 3" xfId="55985"/>
    <cellStyle name="Обычный 9 6 5 2 2 2 5" xfId="55986"/>
    <cellStyle name="Обычный 9 6 5 2 2 2 5 2" xfId="55987"/>
    <cellStyle name="Обычный 9 6 5 2 2 2 6" xfId="55988"/>
    <cellStyle name="Обычный 9 6 5 2 2 2 7" xfId="55989"/>
    <cellStyle name="Обычный 9 6 5 2 2 3" xfId="55990"/>
    <cellStyle name="Обычный 9 6 5 2 2 3 2" xfId="55991"/>
    <cellStyle name="Обычный 9 6 5 2 2 3 2 2" xfId="55992"/>
    <cellStyle name="Обычный 9 6 5 2 2 3 2 3" xfId="55993"/>
    <cellStyle name="Обычный 9 6 5 2 2 3 3" xfId="55994"/>
    <cellStyle name="Обычный 9 6 5 2 2 3 3 2" xfId="55995"/>
    <cellStyle name="Обычный 9 6 5 2 2 3 3 3" xfId="55996"/>
    <cellStyle name="Обычный 9 6 5 2 2 3 4" xfId="55997"/>
    <cellStyle name="Обычный 9 6 5 2 2 3 4 2" xfId="55998"/>
    <cellStyle name="Обычный 9 6 5 2 2 3 5" xfId="55999"/>
    <cellStyle name="Обычный 9 6 5 2 2 3 6" xfId="56000"/>
    <cellStyle name="Обычный 9 6 5 2 2 4" xfId="56001"/>
    <cellStyle name="Обычный 9 6 5 2 2 4 2" xfId="56002"/>
    <cellStyle name="Обычный 9 6 5 2 2 4 3" xfId="56003"/>
    <cellStyle name="Обычный 9 6 5 2 2 5" xfId="56004"/>
    <cellStyle name="Обычный 9 6 5 2 2 5 2" xfId="56005"/>
    <cellStyle name="Обычный 9 6 5 2 2 5 3" xfId="56006"/>
    <cellStyle name="Обычный 9 6 5 2 2 6" xfId="56007"/>
    <cellStyle name="Обычный 9 6 5 2 2 6 2" xfId="56008"/>
    <cellStyle name="Обычный 9 6 5 2 2 7" xfId="56009"/>
    <cellStyle name="Обычный 9 6 5 2 2 8" xfId="56010"/>
    <cellStyle name="Обычный 9 6 5 2 3" xfId="56011"/>
    <cellStyle name="Обычный 9 6 5 2 3 2" xfId="56012"/>
    <cellStyle name="Обычный 9 6 5 2 3 2 2" xfId="56013"/>
    <cellStyle name="Обычный 9 6 5 2 3 2 2 2" xfId="56014"/>
    <cellStyle name="Обычный 9 6 5 2 3 2 2 3" xfId="56015"/>
    <cellStyle name="Обычный 9 6 5 2 3 2 3" xfId="56016"/>
    <cellStyle name="Обычный 9 6 5 2 3 2 3 2" xfId="56017"/>
    <cellStyle name="Обычный 9 6 5 2 3 2 3 3" xfId="56018"/>
    <cellStyle name="Обычный 9 6 5 2 3 2 4" xfId="56019"/>
    <cellStyle name="Обычный 9 6 5 2 3 2 4 2" xfId="56020"/>
    <cellStyle name="Обычный 9 6 5 2 3 2 5" xfId="56021"/>
    <cellStyle name="Обычный 9 6 5 2 3 2 6" xfId="56022"/>
    <cellStyle name="Обычный 9 6 5 2 3 3" xfId="56023"/>
    <cellStyle name="Обычный 9 6 5 2 3 3 2" xfId="56024"/>
    <cellStyle name="Обычный 9 6 5 2 3 3 3" xfId="56025"/>
    <cellStyle name="Обычный 9 6 5 2 3 4" xfId="56026"/>
    <cellStyle name="Обычный 9 6 5 2 3 4 2" xfId="56027"/>
    <cellStyle name="Обычный 9 6 5 2 3 4 3" xfId="56028"/>
    <cellStyle name="Обычный 9 6 5 2 3 5" xfId="56029"/>
    <cellStyle name="Обычный 9 6 5 2 3 5 2" xfId="56030"/>
    <cellStyle name="Обычный 9 6 5 2 3 6" xfId="56031"/>
    <cellStyle name="Обычный 9 6 5 2 3 7" xfId="56032"/>
    <cellStyle name="Обычный 9 6 5 2 4" xfId="56033"/>
    <cellStyle name="Обычный 9 6 5 2 4 2" xfId="56034"/>
    <cellStyle name="Обычный 9 6 5 2 4 2 2" xfId="56035"/>
    <cellStyle name="Обычный 9 6 5 2 4 2 3" xfId="56036"/>
    <cellStyle name="Обычный 9 6 5 2 4 3" xfId="56037"/>
    <cellStyle name="Обычный 9 6 5 2 4 3 2" xfId="56038"/>
    <cellStyle name="Обычный 9 6 5 2 4 3 3" xfId="56039"/>
    <cellStyle name="Обычный 9 6 5 2 4 4" xfId="56040"/>
    <cellStyle name="Обычный 9 6 5 2 4 4 2" xfId="56041"/>
    <cellStyle name="Обычный 9 6 5 2 4 5" xfId="56042"/>
    <cellStyle name="Обычный 9 6 5 2 4 6" xfId="56043"/>
    <cellStyle name="Обычный 9 6 5 2 5" xfId="56044"/>
    <cellStyle name="Обычный 9 6 5 2 5 2" xfId="56045"/>
    <cellStyle name="Обычный 9 6 5 2 5 3" xfId="56046"/>
    <cellStyle name="Обычный 9 6 5 2 6" xfId="56047"/>
    <cellStyle name="Обычный 9 6 5 2 6 2" xfId="56048"/>
    <cellStyle name="Обычный 9 6 5 2 6 3" xfId="56049"/>
    <cellStyle name="Обычный 9 6 5 2 7" xfId="56050"/>
    <cellStyle name="Обычный 9 6 5 2 7 2" xfId="56051"/>
    <cellStyle name="Обычный 9 6 5 2 8" xfId="56052"/>
    <cellStyle name="Обычный 9 6 5 2 9" xfId="56053"/>
    <cellStyle name="Обычный 9 6 5 3" xfId="56054"/>
    <cellStyle name="Обычный 9 6 5 3 2" xfId="56055"/>
    <cellStyle name="Обычный 9 6 5 3 2 2" xfId="56056"/>
    <cellStyle name="Обычный 9 6 5 3 2 2 2" xfId="56057"/>
    <cellStyle name="Обычный 9 6 5 3 2 2 2 2" xfId="56058"/>
    <cellStyle name="Обычный 9 6 5 3 2 2 2 3" xfId="56059"/>
    <cellStyle name="Обычный 9 6 5 3 2 2 3" xfId="56060"/>
    <cellStyle name="Обычный 9 6 5 3 2 2 3 2" xfId="56061"/>
    <cellStyle name="Обычный 9 6 5 3 2 2 3 3" xfId="56062"/>
    <cellStyle name="Обычный 9 6 5 3 2 2 4" xfId="56063"/>
    <cellStyle name="Обычный 9 6 5 3 2 2 4 2" xfId="56064"/>
    <cellStyle name="Обычный 9 6 5 3 2 2 5" xfId="56065"/>
    <cellStyle name="Обычный 9 6 5 3 2 2 6" xfId="56066"/>
    <cellStyle name="Обычный 9 6 5 3 2 3" xfId="56067"/>
    <cellStyle name="Обычный 9 6 5 3 2 3 2" xfId="56068"/>
    <cellStyle name="Обычный 9 6 5 3 2 3 3" xfId="56069"/>
    <cellStyle name="Обычный 9 6 5 3 2 4" xfId="56070"/>
    <cellStyle name="Обычный 9 6 5 3 2 4 2" xfId="56071"/>
    <cellStyle name="Обычный 9 6 5 3 2 4 3" xfId="56072"/>
    <cellStyle name="Обычный 9 6 5 3 2 5" xfId="56073"/>
    <cellStyle name="Обычный 9 6 5 3 2 5 2" xfId="56074"/>
    <cellStyle name="Обычный 9 6 5 3 2 6" xfId="56075"/>
    <cellStyle name="Обычный 9 6 5 3 2 7" xfId="56076"/>
    <cellStyle name="Обычный 9 6 5 3 3" xfId="56077"/>
    <cellStyle name="Обычный 9 6 5 3 3 2" xfId="56078"/>
    <cellStyle name="Обычный 9 6 5 3 3 2 2" xfId="56079"/>
    <cellStyle name="Обычный 9 6 5 3 3 2 3" xfId="56080"/>
    <cellStyle name="Обычный 9 6 5 3 3 3" xfId="56081"/>
    <cellStyle name="Обычный 9 6 5 3 3 3 2" xfId="56082"/>
    <cellStyle name="Обычный 9 6 5 3 3 3 3" xfId="56083"/>
    <cellStyle name="Обычный 9 6 5 3 3 4" xfId="56084"/>
    <cellStyle name="Обычный 9 6 5 3 3 4 2" xfId="56085"/>
    <cellStyle name="Обычный 9 6 5 3 3 5" xfId="56086"/>
    <cellStyle name="Обычный 9 6 5 3 3 6" xfId="56087"/>
    <cellStyle name="Обычный 9 6 5 3 4" xfId="56088"/>
    <cellStyle name="Обычный 9 6 5 3 4 2" xfId="56089"/>
    <cellStyle name="Обычный 9 6 5 3 4 3" xfId="56090"/>
    <cellStyle name="Обычный 9 6 5 3 5" xfId="56091"/>
    <cellStyle name="Обычный 9 6 5 3 5 2" xfId="56092"/>
    <cellStyle name="Обычный 9 6 5 3 5 3" xfId="56093"/>
    <cellStyle name="Обычный 9 6 5 3 6" xfId="56094"/>
    <cellStyle name="Обычный 9 6 5 3 6 2" xfId="56095"/>
    <cellStyle name="Обычный 9 6 5 3 7" xfId="56096"/>
    <cellStyle name="Обычный 9 6 5 3 8" xfId="56097"/>
    <cellStyle name="Обычный 9 6 5 4" xfId="56098"/>
    <cellStyle name="Обычный 9 6 5 4 2" xfId="56099"/>
    <cellStyle name="Обычный 9 6 5 4 2 2" xfId="56100"/>
    <cellStyle name="Обычный 9 6 5 4 2 2 2" xfId="56101"/>
    <cellStyle name="Обычный 9 6 5 4 2 2 3" xfId="56102"/>
    <cellStyle name="Обычный 9 6 5 4 2 3" xfId="56103"/>
    <cellStyle name="Обычный 9 6 5 4 2 3 2" xfId="56104"/>
    <cellStyle name="Обычный 9 6 5 4 2 3 3" xfId="56105"/>
    <cellStyle name="Обычный 9 6 5 4 2 4" xfId="56106"/>
    <cellStyle name="Обычный 9 6 5 4 2 4 2" xfId="56107"/>
    <cellStyle name="Обычный 9 6 5 4 2 5" xfId="56108"/>
    <cellStyle name="Обычный 9 6 5 4 2 6" xfId="56109"/>
    <cellStyle name="Обычный 9 6 5 4 3" xfId="56110"/>
    <cellStyle name="Обычный 9 6 5 4 3 2" xfId="56111"/>
    <cellStyle name="Обычный 9 6 5 4 3 3" xfId="56112"/>
    <cellStyle name="Обычный 9 6 5 4 4" xfId="56113"/>
    <cellStyle name="Обычный 9 6 5 4 4 2" xfId="56114"/>
    <cellStyle name="Обычный 9 6 5 4 4 3" xfId="56115"/>
    <cellStyle name="Обычный 9 6 5 4 5" xfId="56116"/>
    <cellStyle name="Обычный 9 6 5 4 5 2" xfId="56117"/>
    <cellStyle name="Обычный 9 6 5 4 6" xfId="56118"/>
    <cellStyle name="Обычный 9 6 5 4 7" xfId="56119"/>
    <cellStyle name="Обычный 9 6 5 5" xfId="56120"/>
    <cellStyle name="Обычный 9 6 5 5 2" xfId="56121"/>
    <cellStyle name="Обычный 9 6 5 5 2 2" xfId="56122"/>
    <cellStyle name="Обычный 9 6 5 5 2 3" xfId="56123"/>
    <cellStyle name="Обычный 9 6 5 5 3" xfId="56124"/>
    <cellStyle name="Обычный 9 6 5 5 3 2" xfId="56125"/>
    <cellStyle name="Обычный 9 6 5 5 3 3" xfId="56126"/>
    <cellStyle name="Обычный 9 6 5 5 4" xfId="56127"/>
    <cellStyle name="Обычный 9 6 5 5 4 2" xfId="56128"/>
    <cellStyle name="Обычный 9 6 5 5 5" xfId="56129"/>
    <cellStyle name="Обычный 9 6 5 5 6" xfId="56130"/>
    <cellStyle name="Обычный 9 6 5 6" xfId="56131"/>
    <cellStyle name="Обычный 9 6 5 6 2" xfId="56132"/>
    <cellStyle name="Обычный 9 6 5 6 3" xfId="56133"/>
    <cellStyle name="Обычный 9 6 5 7" xfId="56134"/>
    <cellStyle name="Обычный 9 6 5 7 2" xfId="56135"/>
    <cellStyle name="Обычный 9 6 5 7 3" xfId="56136"/>
    <cellStyle name="Обычный 9 6 5 8" xfId="56137"/>
    <cellStyle name="Обычный 9 6 5 8 2" xfId="56138"/>
    <cellStyle name="Обычный 9 6 5 9" xfId="56139"/>
    <cellStyle name="Обычный 9 6 6" xfId="56140"/>
    <cellStyle name="Обычный 9 6 6 2" xfId="56141"/>
    <cellStyle name="Обычный 9 6 6 2 2" xfId="56142"/>
    <cellStyle name="Обычный 9 6 6 2 2 2" xfId="56143"/>
    <cellStyle name="Обычный 9 6 6 2 2 2 2" xfId="56144"/>
    <cellStyle name="Обычный 9 6 6 2 2 2 2 2" xfId="56145"/>
    <cellStyle name="Обычный 9 6 6 2 2 2 2 3" xfId="56146"/>
    <cellStyle name="Обычный 9 6 6 2 2 2 3" xfId="56147"/>
    <cellStyle name="Обычный 9 6 6 2 2 2 3 2" xfId="56148"/>
    <cellStyle name="Обычный 9 6 6 2 2 2 3 3" xfId="56149"/>
    <cellStyle name="Обычный 9 6 6 2 2 2 4" xfId="56150"/>
    <cellStyle name="Обычный 9 6 6 2 2 2 4 2" xfId="56151"/>
    <cellStyle name="Обычный 9 6 6 2 2 2 5" xfId="56152"/>
    <cellStyle name="Обычный 9 6 6 2 2 2 6" xfId="56153"/>
    <cellStyle name="Обычный 9 6 6 2 2 3" xfId="56154"/>
    <cellStyle name="Обычный 9 6 6 2 2 3 2" xfId="56155"/>
    <cellStyle name="Обычный 9 6 6 2 2 3 3" xfId="56156"/>
    <cellStyle name="Обычный 9 6 6 2 2 4" xfId="56157"/>
    <cellStyle name="Обычный 9 6 6 2 2 4 2" xfId="56158"/>
    <cellStyle name="Обычный 9 6 6 2 2 4 3" xfId="56159"/>
    <cellStyle name="Обычный 9 6 6 2 2 5" xfId="56160"/>
    <cellStyle name="Обычный 9 6 6 2 2 5 2" xfId="56161"/>
    <cellStyle name="Обычный 9 6 6 2 2 6" xfId="56162"/>
    <cellStyle name="Обычный 9 6 6 2 2 7" xfId="56163"/>
    <cellStyle name="Обычный 9 6 6 2 3" xfId="56164"/>
    <cellStyle name="Обычный 9 6 6 2 3 2" xfId="56165"/>
    <cellStyle name="Обычный 9 6 6 2 3 2 2" xfId="56166"/>
    <cellStyle name="Обычный 9 6 6 2 3 2 3" xfId="56167"/>
    <cellStyle name="Обычный 9 6 6 2 3 3" xfId="56168"/>
    <cellStyle name="Обычный 9 6 6 2 3 3 2" xfId="56169"/>
    <cellStyle name="Обычный 9 6 6 2 3 3 3" xfId="56170"/>
    <cellStyle name="Обычный 9 6 6 2 3 4" xfId="56171"/>
    <cellStyle name="Обычный 9 6 6 2 3 4 2" xfId="56172"/>
    <cellStyle name="Обычный 9 6 6 2 3 5" xfId="56173"/>
    <cellStyle name="Обычный 9 6 6 2 3 6" xfId="56174"/>
    <cellStyle name="Обычный 9 6 6 2 4" xfId="56175"/>
    <cellStyle name="Обычный 9 6 6 2 4 2" xfId="56176"/>
    <cellStyle name="Обычный 9 6 6 2 4 3" xfId="56177"/>
    <cellStyle name="Обычный 9 6 6 2 5" xfId="56178"/>
    <cellStyle name="Обычный 9 6 6 2 5 2" xfId="56179"/>
    <cellStyle name="Обычный 9 6 6 2 5 3" xfId="56180"/>
    <cellStyle name="Обычный 9 6 6 2 6" xfId="56181"/>
    <cellStyle name="Обычный 9 6 6 2 6 2" xfId="56182"/>
    <cellStyle name="Обычный 9 6 6 2 7" xfId="56183"/>
    <cellStyle name="Обычный 9 6 6 2 8" xfId="56184"/>
    <cellStyle name="Обычный 9 6 6 3" xfId="56185"/>
    <cellStyle name="Обычный 9 6 6 3 2" xfId="56186"/>
    <cellStyle name="Обычный 9 6 6 3 2 2" xfId="56187"/>
    <cellStyle name="Обычный 9 6 6 3 2 2 2" xfId="56188"/>
    <cellStyle name="Обычный 9 6 6 3 2 2 3" xfId="56189"/>
    <cellStyle name="Обычный 9 6 6 3 2 3" xfId="56190"/>
    <cellStyle name="Обычный 9 6 6 3 2 3 2" xfId="56191"/>
    <cellStyle name="Обычный 9 6 6 3 2 3 3" xfId="56192"/>
    <cellStyle name="Обычный 9 6 6 3 2 4" xfId="56193"/>
    <cellStyle name="Обычный 9 6 6 3 2 4 2" xfId="56194"/>
    <cellStyle name="Обычный 9 6 6 3 2 5" xfId="56195"/>
    <cellStyle name="Обычный 9 6 6 3 2 6" xfId="56196"/>
    <cellStyle name="Обычный 9 6 6 3 3" xfId="56197"/>
    <cellStyle name="Обычный 9 6 6 3 3 2" xfId="56198"/>
    <cellStyle name="Обычный 9 6 6 3 3 3" xfId="56199"/>
    <cellStyle name="Обычный 9 6 6 3 4" xfId="56200"/>
    <cellStyle name="Обычный 9 6 6 3 4 2" xfId="56201"/>
    <cellStyle name="Обычный 9 6 6 3 4 3" xfId="56202"/>
    <cellStyle name="Обычный 9 6 6 3 5" xfId="56203"/>
    <cellStyle name="Обычный 9 6 6 3 5 2" xfId="56204"/>
    <cellStyle name="Обычный 9 6 6 3 6" xfId="56205"/>
    <cellStyle name="Обычный 9 6 6 3 7" xfId="56206"/>
    <cellStyle name="Обычный 9 6 6 4" xfId="56207"/>
    <cellStyle name="Обычный 9 6 6 4 2" xfId="56208"/>
    <cellStyle name="Обычный 9 6 6 4 2 2" xfId="56209"/>
    <cellStyle name="Обычный 9 6 6 4 2 3" xfId="56210"/>
    <cellStyle name="Обычный 9 6 6 4 3" xfId="56211"/>
    <cellStyle name="Обычный 9 6 6 4 3 2" xfId="56212"/>
    <cellStyle name="Обычный 9 6 6 4 3 3" xfId="56213"/>
    <cellStyle name="Обычный 9 6 6 4 4" xfId="56214"/>
    <cellStyle name="Обычный 9 6 6 4 4 2" xfId="56215"/>
    <cellStyle name="Обычный 9 6 6 4 5" xfId="56216"/>
    <cellStyle name="Обычный 9 6 6 4 6" xfId="56217"/>
    <cellStyle name="Обычный 9 6 6 5" xfId="56218"/>
    <cellStyle name="Обычный 9 6 6 5 2" xfId="56219"/>
    <cellStyle name="Обычный 9 6 6 5 3" xfId="56220"/>
    <cellStyle name="Обычный 9 6 6 6" xfId="56221"/>
    <cellStyle name="Обычный 9 6 6 6 2" xfId="56222"/>
    <cellStyle name="Обычный 9 6 6 6 3" xfId="56223"/>
    <cellStyle name="Обычный 9 6 6 7" xfId="56224"/>
    <cellStyle name="Обычный 9 6 6 7 2" xfId="56225"/>
    <cellStyle name="Обычный 9 6 6 8" xfId="56226"/>
    <cellStyle name="Обычный 9 6 6 9" xfId="56227"/>
    <cellStyle name="Обычный 9 6 7" xfId="56228"/>
    <cellStyle name="Обычный 9 6 7 2" xfId="56229"/>
    <cellStyle name="Обычный 9 6 7 2 2" xfId="56230"/>
    <cellStyle name="Обычный 9 6 7 2 2 2" xfId="56231"/>
    <cellStyle name="Обычный 9 6 7 2 2 2 2" xfId="56232"/>
    <cellStyle name="Обычный 9 6 7 2 2 2 3" xfId="56233"/>
    <cellStyle name="Обычный 9 6 7 2 2 3" xfId="56234"/>
    <cellStyle name="Обычный 9 6 7 2 2 3 2" xfId="56235"/>
    <cellStyle name="Обычный 9 6 7 2 2 3 3" xfId="56236"/>
    <cellStyle name="Обычный 9 6 7 2 2 4" xfId="56237"/>
    <cellStyle name="Обычный 9 6 7 2 2 4 2" xfId="56238"/>
    <cellStyle name="Обычный 9 6 7 2 2 5" xfId="56239"/>
    <cellStyle name="Обычный 9 6 7 2 2 6" xfId="56240"/>
    <cellStyle name="Обычный 9 6 7 2 3" xfId="56241"/>
    <cellStyle name="Обычный 9 6 7 2 3 2" xfId="56242"/>
    <cellStyle name="Обычный 9 6 7 2 3 3" xfId="56243"/>
    <cellStyle name="Обычный 9 6 7 2 4" xfId="56244"/>
    <cellStyle name="Обычный 9 6 7 2 4 2" xfId="56245"/>
    <cellStyle name="Обычный 9 6 7 2 4 3" xfId="56246"/>
    <cellStyle name="Обычный 9 6 7 2 5" xfId="56247"/>
    <cellStyle name="Обычный 9 6 7 2 5 2" xfId="56248"/>
    <cellStyle name="Обычный 9 6 7 2 6" xfId="56249"/>
    <cellStyle name="Обычный 9 6 7 2 7" xfId="56250"/>
    <cellStyle name="Обычный 9 6 7 3" xfId="56251"/>
    <cellStyle name="Обычный 9 6 7 3 2" xfId="56252"/>
    <cellStyle name="Обычный 9 6 7 3 2 2" xfId="56253"/>
    <cellStyle name="Обычный 9 6 7 3 2 3" xfId="56254"/>
    <cellStyle name="Обычный 9 6 7 3 3" xfId="56255"/>
    <cellStyle name="Обычный 9 6 7 3 3 2" xfId="56256"/>
    <cellStyle name="Обычный 9 6 7 3 3 3" xfId="56257"/>
    <cellStyle name="Обычный 9 6 7 3 4" xfId="56258"/>
    <cellStyle name="Обычный 9 6 7 3 4 2" xfId="56259"/>
    <cellStyle name="Обычный 9 6 7 3 5" xfId="56260"/>
    <cellStyle name="Обычный 9 6 7 3 6" xfId="56261"/>
    <cellStyle name="Обычный 9 6 7 4" xfId="56262"/>
    <cellStyle name="Обычный 9 6 7 4 2" xfId="56263"/>
    <cellStyle name="Обычный 9 6 7 4 3" xfId="56264"/>
    <cellStyle name="Обычный 9 6 7 5" xfId="56265"/>
    <cellStyle name="Обычный 9 6 7 5 2" xfId="56266"/>
    <cellStyle name="Обычный 9 6 7 5 3" xfId="56267"/>
    <cellStyle name="Обычный 9 6 7 6" xfId="56268"/>
    <cellStyle name="Обычный 9 6 7 6 2" xfId="56269"/>
    <cellStyle name="Обычный 9 6 7 7" xfId="56270"/>
    <cellStyle name="Обычный 9 6 7 8" xfId="56271"/>
    <cellStyle name="Обычный 9 6 8" xfId="56272"/>
    <cellStyle name="Обычный 9 6 8 2" xfId="56273"/>
    <cellStyle name="Обычный 9 6 8 2 2" xfId="56274"/>
    <cellStyle name="Обычный 9 6 8 2 2 2" xfId="56275"/>
    <cellStyle name="Обычный 9 6 8 2 2 3" xfId="56276"/>
    <cellStyle name="Обычный 9 6 8 2 3" xfId="56277"/>
    <cellStyle name="Обычный 9 6 8 2 3 2" xfId="56278"/>
    <cellStyle name="Обычный 9 6 8 2 3 3" xfId="56279"/>
    <cellStyle name="Обычный 9 6 8 2 4" xfId="56280"/>
    <cellStyle name="Обычный 9 6 8 2 4 2" xfId="56281"/>
    <cellStyle name="Обычный 9 6 8 2 5" xfId="56282"/>
    <cellStyle name="Обычный 9 6 8 2 6" xfId="56283"/>
    <cellStyle name="Обычный 9 6 8 3" xfId="56284"/>
    <cellStyle name="Обычный 9 6 8 3 2" xfId="56285"/>
    <cellStyle name="Обычный 9 6 8 3 3" xfId="56286"/>
    <cellStyle name="Обычный 9 6 8 4" xfId="56287"/>
    <cellStyle name="Обычный 9 6 8 4 2" xfId="56288"/>
    <cellStyle name="Обычный 9 6 8 4 3" xfId="56289"/>
    <cellStyle name="Обычный 9 6 8 5" xfId="56290"/>
    <cellStyle name="Обычный 9 6 8 5 2" xfId="56291"/>
    <cellStyle name="Обычный 9 6 8 6" xfId="56292"/>
    <cellStyle name="Обычный 9 6 8 7" xfId="56293"/>
    <cellStyle name="Обычный 9 6 9" xfId="56294"/>
    <cellStyle name="Обычный 9 6 9 2" xfId="56295"/>
    <cellStyle name="Обычный 9 6 9 2 2" xfId="56296"/>
    <cellStyle name="Обычный 9 6 9 2 3" xfId="56297"/>
    <cellStyle name="Обычный 9 6 9 3" xfId="56298"/>
    <cellStyle name="Обычный 9 6 9 3 2" xfId="56299"/>
    <cellStyle name="Обычный 9 6 9 3 3" xfId="56300"/>
    <cellStyle name="Обычный 9 6 9 4" xfId="56301"/>
    <cellStyle name="Обычный 9 6 9 4 2" xfId="56302"/>
    <cellStyle name="Обычный 9 6 9 5" xfId="56303"/>
    <cellStyle name="Обычный 9 6 9 6" xfId="56304"/>
    <cellStyle name="Обычный 9 7" xfId="56305"/>
    <cellStyle name="Обычный 9 7 10" xfId="56306"/>
    <cellStyle name="Обычный 9 7 10 2" xfId="56307"/>
    <cellStyle name="Обычный 9 7 10 3" xfId="56308"/>
    <cellStyle name="Обычный 9 7 11" xfId="56309"/>
    <cellStyle name="Обычный 9 7 11 2" xfId="56310"/>
    <cellStyle name="Обычный 9 7 11 3" xfId="56311"/>
    <cellStyle name="Обычный 9 7 12" xfId="56312"/>
    <cellStyle name="Обычный 9 7 12 2" xfId="56313"/>
    <cellStyle name="Обычный 9 7 13" xfId="56314"/>
    <cellStyle name="Обычный 9 7 14" xfId="56315"/>
    <cellStyle name="Обычный 9 7 2" xfId="56316"/>
    <cellStyle name="Обычный 9 7 2 10" xfId="56317"/>
    <cellStyle name="Обычный 9 7 2 10 2" xfId="56318"/>
    <cellStyle name="Обычный 9 7 2 10 3" xfId="56319"/>
    <cellStyle name="Обычный 9 7 2 11" xfId="56320"/>
    <cellStyle name="Обычный 9 7 2 11 2" xfId="56321"/>
    <cellStyle name="Обычный 9 7 2 12" xfId="56322"/>
    <cellStyle name="Обычный 9 7 2 13" xfId="56323"/>
    <cellStyle name="Обычный 9 7 2 2" xfId="56324"/>
    <cellStyle name="Обычный 9 7 2 2 10" xfId="56325"/>
    <cellStyle name="Обычный 9 7 2 2 2" xfId="56326"/>
    <cellStyle name="Обычный 9 7 2 2 2 2" xfId="56327"/>
    <cellStyle name="Обычный 9 7 2 2 2 2 2" xfId="56328"/>
    <cellStyle name="Обычный 9 7 2 2 2 2 2 2" xfId="56329"/>
    <cellStyle name="Обычный 9 7 2 2 2 2 2 2 2" xfId="56330"/>
    <cellStyle name="Обычный 9 7 2 2 2 2 2 2 2 2" xfId="56331"/>
    <cellStyle name="Обычный 9 7 2 2 2 2 2 2 2 3" xfId="56332"/>
    <cellStyle name="Обычный 9 7 2 2 2 2 2 2 3" xfId="56333"/>
    <cellStyle name="Обычный 9 7 2 2 2 2 2 2 3 2" xfId="56334"/>
    <cellStyle name="Обычный 9 7 2 2 2 2 2 2 3 3" xfId="56335"/>
    <cellStyle name="Обычный 9 7 2 2 2 2 2 2 4" xfId="56336"/>
    <cellStyle name="Обычный 9 7 2 2 2 2 2 2 4 2" xfId="56337"/>
    <cellStyle name="Обычный 9 7 2 2 2 2 2 2 5" xfId="56338"/>
    <cellStyle name="Обычный 9 7 2 2 2 2 2 2 6" xfId="56339"/>
    <cellStyle name="Обычный 9 7 2 2 2 2 2 3" xfId="56340"/>
    <cellStyle name="Обычный 9 7 2 2 2 2 2 3 2" xfId="56341"/>
    <cellStyle name="Обычный 9 7 2 2 2 2 2 3 3" xfId="56342"/>
    <cellStyle name="Обычный 9 7 2 2 2 2 2 4" xfId="56343"/>
    <cellStyle name="Обычный 9 7 2 2 2 2 2 4 2" xfId="56344"/>
    <cellStyle name="Обычный 9 7 2 2 2 2 2 4 3" xfId="56345"/>
    <cellStyle name="Обычный 9 7 2 2 2 2 2 5" xfId="56346"/>
    <cellStyle name="Обычный 9 7 2 2 2 2 2 5 2" xfId="56347"/>
    <cellStyle name="Обычный 9 7 2 2 2 2 2 6" xfId="56348"/>
    <cellStyle name="Обычный 9 7 2 2 2 2 2 7" xfId="56349"/>
    <cellStyle name="Обычный 9 7 2 2 2 2 3" xfId="56350"/>
    <cellStyle name="Обычный 9 7 2 2 2 2 3 2" xfId="56351"/>
    <cellStyle name="Обычный 9 7 2 2 2 2 3 2 2" xfId="56352"/>
    <cellStyle name="Обычный 9 7 2 2 2 2 3 2 3" xfId="56353"/>
    <cellStyle name="Обычный 9 7 2 2 2 2 3 3" xfId="56354"/>
    <cellStyle name="Обычный 9 7 2 2 2 2 3 3 2" xfId="56355"/>
    <cellStyle name="Обычный 9 7 2 2 2 2 3 3 3" xfId="56356"/>
    <cellStyle name="Обычный 9 7 2 2 2 2 3 4" xfId="56357"/>
    <cellStyle name="Обычный 9 7 2 2 2 2 3 4 2" xfId="56358"/>
    <cellStyle name="Обычный 9 7 2 2 2 2 3 5" xfId="56359"/>
    <cellStyle name="Обычный 9 7 2 2 2 2 3 6" xfId="56360"/>
    <cellStyle name="Обычный 9 7 2 2 2 2 4" xfId="56361"/>
    <cellStyle name="Обычный 9 7 2 2 2 2 4 2" xfId="56362"/>
    <cellStyle name="Обычный 9 7 2 2 2 2 4 3" xfId="56363"/>
    <cellStyle name="Обычный 9 7 2 2 2 2 5" xfId="56364"/>
    <cellStyle name="Обычный 9 7 2 2 2 2 5 2" xfId="56365"/>
    <cellStyle name="Обычный 9 7 2 2 2 2 5 3" xfId="56366"/>
    <cellStyle name="Обычный 9 7 2 2 2 2 6" xfId="56367"/>
    <cellStyle name="Обычный 9 7 2 2 2 2 6 2" xfId="56368"/>
    <cellStyle name="Обычный 9 7 2 2 2 2 7" xfId="56369"/>
    <cellStyle name="Обычный 9 7 2 2 2 2 8" xfId="56370"/>
    <cellStyle name="Обычный 9 7 2 2 2 3" xfId="56371"/>
    <cellStyle name="Обычный 9 7 2 2 2 3 2" xfId="56372"/>
    <cellStyle name="Обычный 9 7 2 2 2 3 2 2" xfId="56373"/>
    <cellStyle name="Обычный 9 7 2 2 2 3 2 2 2" xfId="56374"/>
    <cellStyle name="Обычный 9 7 2 2 2 3 2 2 3" xfId="56375"/>
    <cellStyle name="Обычный 9 7 2 2 2 3 2 3" xfId="56376"/>
    <cellStyle name="Обычный 9 7 2 2 2 3 2 3 2" xfId="56377"/>
    <cellStyle name="Обычный 9 7 2 2 2 3 2 3 3" xfId="56378"/>
    <cellStyle name="Обычный 9 7 2 2 2 3 2 4" xfId="56379"/>
    <cellStyle name="Обычный 9 7 2 2 2 3 2 4 2" xfId="56380"/>
    <cellStyle name="Обычный 9 7 2 2 2 3 2 5" xfId="56381"/>
    <cellStyle name="Обычный 9 7 2 2 2 3 2 6" xfId="56382"/>
    <cellStyle name="Обычный 9 7 2 2 2 3 3" xfId="56383"/>
    <cellStyle name="Обычный 9 7 2 2 2 3 3 2" xfId="56384"/>
    <cellStyle name="Обычный 9 7 2 2 2 3 3 3" xfId="56385"/>
    <cellStyle name="Обычный 9 7 2 2 2 3 4" xfId="56386"/>
    <cellStyle name="Обычный 9 7 2 2 2 3 4 2" xfId="56387"/>
    <cellStyle name="Обычный 9 7 2 2 2 3 4 3" xfId="56388"/>
    <cellStyle name="Обычный 9 7 2 2 2 3 5" xfId="56389"/>
    <cellStyle name="Обычный 9 7 2 2 2 3 5 2" xfId="56390"/>
    <cellStyle name="Обычный 9 7 2 2 2 3 6" xfId="56391"/>
    <cellStyle name="Обычный 9 7 2 2 2 3 7" xfId="56392"/>
    <cellStyle name="Обычный 9 7 2 2 2 4" xfId="56393"/>
    <cellStyle name="Обычный 9 7 2 2 2 4 2" xfId="56394"/>
    <cellStyle name="Обычный 9 7 2 2 2 4 2 2" xfId="56395"/>
    <cellStyle name="Обычный 9 7 2 2 2 4 2 3" xfId="56396"/>
    <cellStyle name="Обычный 9 7 2 2 2 4 3" xfId="56397"/>
    <cellStyle name="Обычный 9 7 2 2 2 4 3 2" xfId="56398"/>
    <cellStyle name="Обычный 9 7 2 2 2 4 3 3" xfId="56399"/>
    <cellStyle name="Обычный 9 7 2 2 2 4 4" xfId="56400"/>
    <cellStyle name="Обычный 9 7 2 2 2 4 4 2" xfId="56401"/>
    <cellStyle name="Обычный 9 7 2 2 2 4 5" xfId="56402"/>
    <cellStyle name="Обычный 9 7 2 2 2 4 6" xfId="56403"/>
    <cellStyle name="Обычный 9 7 2 2 2 5" xfId="56404"/>
    <cellStyle name="Обычный 9 7 2 2 2 5 2" xfId="56405"/>
    <cellStyle name="Обычный 9 7 2 2 2 5 3" xfId="56406"/>
    <cellStyle name="Обычный 9 7 2 2 2 6" xfId="56407"/>
    <cellStyle name="Обычный 9 7 2 2 2 6 2" xfId="56408"/>
    <cellStyle name="Обычный 9 7 2 2 2 6 3" xfId="56409"/>
    <cellStyle name="Обычный 9 7 2 2 2 7" xfId="56410"/>
    <cellStyle name="Обычный 9 7 2 2 2 7 2" xfId="56411"/>
    <cellStyle name="Обычный 9 7 2 2 2 8" xfId="56412"/>
    <cellStyle name="Обычный 9 7 2 2 2 9" xfId="56413"/>
    <cellStyle name="Обычный 9 7 2 2 3" xfId="56414"/>
    <cellStyle name="Обычный 9 7 2 2 3 2" xfId="56415"/>
    <cellStyle name="Обычный 9 7 2 2 3 2 2" xfId="56416"/>
    <cellStyle name="Обычный 9 7 2 2 3 2 2 2" xfId="56417"/>
    <cellStyle name="Обычный 9 7 2 2 3 2 2 2 2" xfId="56418"/>
    <cellStyle name="Обычный 9 7 2 2 3 2 2 2 3" xfId="56419"/>
    <cellStyle name="Обычный 9 7 2 2 3 2 2 3" xfId="56420"/>
    <cellStyle name="Обычный 9 7 2 2 3 2 2 3 2" xfId="56421"/>
    <cellStyle name="Обычный 9 7 2 2 3 2 2 3 3" xfId="56422"/>
    <cellStyle name="Обычный 9 7 2 2 3 2 2 4" xfId="56423"/>
    <cellStyle name="Обычный 9 7 2 2 3 2 2 4 2" xfId="56424"/>
    <cellStyle name="Обычный 9 7 2 2 3 2 2 5" xfId="56425"/>
    <cellStyle name="Обычный 9 7 2 2 3 2 2 6" xfId="56426"/>
    <cellStyle name="Обычный 9 7 2 2 3 2 3" xfId="56427"/>
    <cellStyle name="Обычный 9 7 2 2 3 2 3 2" xfId="56428"/>
    <cellStyle name="Обычный 9 7 2 2 3 2 3 3" xfId="56429"/>
    <cellStyle name="Обычный 9 7 2 2 3 2 4" xfId="56430"/>
    <cellStyle name="Обычный 9 7 2 2 3 2 4 2" xfId="56431"/>
    <cellStyle name="Обычный 9 7 2 2 3 2 4 3" xfId="56432"/>
    <cellStyle name="Обычный 9 7 2 2 3 2 5" xfId="56433"/>
    <cellStyle name="Обычный 9 7 2 2 3 2 5 2" xfId="56434"/>
    <cellStyle name="Обычный 9 7 2 2 3 2 6" xfId="56435"/>
    <cellStyle name="Обычный 9 7 2 2 3 2 7" xfId="56436"/>
    <cellStyle name="Обычный 9 7 2 2 3 3" xfId="56437"/>
    <cellStyle name="Обычный 9 7 2 2 3 3 2" xfId="56438"/>
    <cellStyle name="Обычный 9 7 2 2 3 3 2 2" xfId="56439"/>
    <cellStyle name="Обычный 9 7 2 2 3 3 2 3" xfId="56440"/>
    <cellStyle name="Обычный 9 7 2 2 3 3 3" xfId="56441"/>
    <cellStyle name="Обычный 9 7 2 2 3 3 3 2" xfId="56442"/>
    <cellStyle name="Обычный 9 7 2 2 3 3 3 3" xfId="56443"/>
    <cellStyle name="Обычный 9 7 2 2 3 3 4" xfId="56444"/>
    <cellStyle name="Обычный 9 7 2 2 3 3 4 2" xfId="56445"/>
    <cellStyle name="Обычный 9 7 2 2 3 3 5" xfId="56446"/>
    <cellStyle name="Обычный 9 7 2 2 3 3 6" xfId="56447"/>
    <cellStyle name="Обычный 9 7 2 2 3 4" xfId="56448"/>
    <cellStyle name="Обычный 9 7 2 2 3 4 2" xfId="56449"/>
    <cellStyle name="Обычный 9 7 2 2 3 4 3" xfId="56450"/>
    <cellStyle name="Обычный 9 7 2 2 3 5" xfId="56451"/>
    <cellStyle name="Обычный 9 7 2 2 3 5 2" xfId="56452"/>
    <cellStyle name="Обычный 9 7 2 2 3 5 3" xfId="56453"/>
    <cellStyle name="Обычный 9 7 2 2 3 6" xfId="56454"/>
    <cellStyle name="Обычный 9 7 2 2 3 6 2" xfId="56455"/>
    <cellStyle name="Обычный 9 7 2 2 3 7" xfId="56456"/>
    <cellStyle name="Обычный 9 7 2 2 3 8" xfId="56457"/>
    <cellStyle name="Обычный 9 7 2 2 4" xfId="56458"/>
    <cellStyle name="Обычный 9 7 2 2 4 2" xfId="56459"/>
    <cellStyle name="Обычный 9 7 2 2 4 2 2" xfId="56460"/>
    <cellStyle name="Обычный 9 7 2 2 4 2 2 2" xfId="56461"/>
    <cellStyle name="Обычный 9 7 2 2 4 2 2 3" xfId="56462"/>
    <cellStyle name="Обычный 9 7 2 2 4 2 3" xfId="56463"/>
    <cellStyle name="Обычный 9 7 2 2 4 2 3 2" xfId="56464"/>
    <cellStyle name="Обычный 9 7 2 2 4 2 3 3" xfId="56465"/>
    <cellStyle name="Обычный 9 7 2 2 4 2 4" xfId="56466"/>
    <cellStyle name="Обычный 9 7 2 2 4 2 4 2" xfId="56467"/>
    <cellStyle name="Обычный 9 7 2 2 4 2 5" xfId="56468"/>
    <cellStyle name="Обычный 9 7 2 2 4 2 6" xfId="56469"/>
    <cellStyle name="Обычный 9 7 2 2 4 3" xfId="56470"/>
    <cellStyle name="Обычный 9 7 2 2 4 3 2" xfId="56471"/>
    <cellStyle name="Обычный 9 7 2 2 4 3 3" xfId="56472"/>
    <cellStyle name="Обычный 9 7 2 2 4 4" xfId="56473"/>
    <cellStyle name="Обычный 9 7 2 2 4 4 2" xfId="56474"/>
    <cellStyle name="Обычный 9 7 2 2 4 4 3" xfId="56475"/>
    <cellStyle name="Обычный 9 7 2 2 4 5" xfId="56476"/>
    <cellStyle name="Обычный 9 7 2 2 4 5 2" xfId="56477"/>
    <cellStyle name="Обычный 9 7 2 2 4 6" xfId="56478"/>
    <cellStyle name="Обычный 9 7 2 2 4 7" xfId="56479"/>
    <cellStyle name="Обычный 9 7 2 2 5" xfId="56480"/>
    <cellStyle name="Обычный 9 7 2 2 5 2" xfId="56481"/>
    <cellStyle name="Обычный 9 7 2 2 5 2 2" xfId="56482"/>
    <cellStyle name="Обычный 9 7 2 2 5 2 3" xfId="56483"/>
    <cellStyle name="Обычный 9 7 2 2 5 3" xfId="56484"/>
    <cellStyle name="Обычный 9 7 2 2 5 3 2" xfId="56485"/>
    <cellStyle name="Обычный 9 7 2 2 5 3 3" xfId="56486"/>
    <cellStyle name="Обычный 9 7 2 2 5 4" xfId="56487"/>
    <cellStyle name="Обычный 9 7 2 2 5 4 2" xfId="56488"/>
    <cellStyle name="Обычный 9 7 2 2 5 5" xfId="56489"/>
    <cellStyle name="Обычный 9 7 2 2 5 6" xfId="56490"/>
    <cellStyle name="Обычный 9 7 2 2 6" xfId="56491"/>
    <cellStyle name="Обычный 9 7 2 2 6 2" xfId="56492"/>
    <cellStyle name="Обычный 9 7 2 2 6 3" xfId="56493"/>
    <cellStyle name="Обычный 9 7 2 2 7" xfId="56494"/>
    <cellStyle name="Обычный 9 7 2 2 7 2" xfId="56495"/>
    <cellStyle name="Обычный 9 7 2 2 7 3" xfId="56496"/>
    <cellStyle name="Обычный 9 7 2 2 8" xfId="56497"/>
    <cellStyle name="Обычный 9 7 2 2 8 2" xfId="56498"/>
    <cellStyle name="Обычный 9 7 2 2 9" xfId="56499"/>
    <cellStyle name="Обычный 9 7 2 3" xfId="56500"/>
    <cellStyle name="Обычный 9 7 2 3 10" xfId="56501"/>
    <cellStyle name="Обычный 9 7 2 3 2" xfId="56502"/>
    <cellStyle name="Обычный 9 7 2 3 2 2" xfId="56503"/>
    <cellStyle name="Обычный 9 7 2 3 2 2 2" xfId="56504"/>
    <cellStyle name="Обычный 9 7 2 3 2 2 2 2" xfId="56505"/>
    <cellStyle name="Обычный 9 7 2 3 2 2 2 2 2" xfId="56506"/>
    <cellStyle name="Обычный 9 7 2 3 2 2 2 2 2 2" xfId="56507"/>
    <cellStyle name="Обычный 9 7 2 3 2 2 2 2 2 3" xfId="56508"/>
    <cellStyle name="Обычный 9 7 2 3 2 2 2 2 3" xfId="56509"/>
    <cellStyle name="Обычный 9 7 2 3 2 2 2 2 3 2" xfId="56510"/>
    <cellStyle name="Обычный 9 7 2 3 2 2 2 2 3 3" xfId="56511"/>
    <cellStyle name="Обычный 9 7 2 3 2 2 2 2 4" xfId="56512"/>
    <cellStyle name="Обычный 9 7 2 3 2 2 2 2 4 2" xfId="56513"/>
    <cellStyle name="Обычный 9 7 2 3 2 2 2 2 5" xfId="56514"/>
    <cellStyle name="Обычный 9 7 2 3 2 2 2 2 6" xfId="56515"/>
    <cellStyle name="Обычный 9 7 2 3 2 2 2 3" xfId="56516"/>
    <cellStyle name="Обычный 9 7 2 3 2 2 2 3 2" xfId="56517"/>
    <cellStyle name="Обычный 9 7 2 3 2 2 2 3 3" xfId="56518"/>
    <cellStyle name="Обычный 9 7 2 3 2 2 2 4" xfId="56519"/>
    <cellStyle name="Обычный 9 7 2 3 2 2 2 4 2" xfId="56520"/>
    <cellStyle name="Обычный 9 7 2 3 2 2 2 4 3" xfId="56521"/>
    <cellStyle name="Обычный 9 7 2 3 2 2 2 5" xfId="56522"/>
    <cellStyle name="Обычный 9 7 2 3 2 2 2 5 2" xfId="56523"/>
    <cellStyle name="Обычный 9 7 2 3 2 2 2 6" xfId="56524"/>
    <cellStyle name="Обычный 9 7 2 3 2 2 2 7" xfId="56525"/>
    <cellStyle name="Обычный 9 7 2 3 2 2 3" xfId="56526"/>
    <cellStyle name="Обычный 9 7 2 3 2 2 3 2" xfId="56527"/>
    <cellStyle name="Обычный 9 7 2 3 2 2 3 2 2" xfId="56528"/>
    <cellStyle name="Обычный 9 7 2 3 2 2 3 2 3" xfId="56529"/>
    <cellStyle name="Обычный 9 7 2 3 2 2 3 3" xfId="56530"/>
    <cellStyle name="Обычный 9 7 2 3 2 2 3 3 2" xfId="56531"/>
    <cellStyle name="Обычный 9 7 2 3 2 2 3 3 3" xfId="56532"/>
    <cellStyle name="Обычный 9 7 2 3 2 2 3 4" xfId="56533"/>
    <cellStyle name="Обычный 9 7 2 3 2 2 3 4 2" xfId="56534"/>
    <cellStyle name="Обычный 9 7 2 3 2 2 3 5" xfId="56535"/>
    <cellStyle name="Обычный 9 7 2 3 2 2 3 6" xfId="56536"/>
    <cellStyle name="Обычный 9 7 2 3 2 2 4" xfId="56537"/>
    <cellStyle name="Обычный 9 7 2 3 2 2 4 2" xfId="56538"/>
    <cellStyle name="Обычный 9 7 2 3 2 2 4 3" xfId="56539"/>
    <cellStyle name="Обычный 9 7 2 3 2 2 5" xfId="56540"/>
    <cellStyle name="Обычный 9 7 2 3 2 2 5 2" xfId="56541"/>
    <cellStyle name="Обычный 9 7 2 3 2 2 5 3" xfId="56542"/>
    <cellStyle name="Обычный 9 7 2 3 2 2 6" xfId="56543"/>
    <cellStyle name="Обычный 9 7 2 3 2 2 6 2" xfId="56544"/>
    <cellStyle name="Обычный 9 7 2 3 2 2 7" xfId="56545"/>
    <cellStyle name="Обычный 9 7 2 3 2 2 8" xfId="56546"/>
    <cellStyle name="Обычный 9 7 2 3 2 3" xfId="56547"/>
    <cellStyle name="Обычный 9 7 2 3 2 3 2" xfId="56548"/>
    <cellStyle name="Обычный 9 7 2 3 2 3 2 2" xfId="56549"/>
    <cellStyle name="Обычный 9 7 2 3 2 3 2 2 2" xfId="56550"/>
    <cellStyle name="Обычный 9 7 2 3 2 3 2 2 3" xfId="56551"/>
    <cellStyle name="Обычный 9 7 2 3 2 3 2 3" xfId="56552"/>
    <cellStyle name="Обычный 9 7 2 3 2 3 2 3 2" xfId="56553"/>
    <cellStyle name="Обычный 9 7 2 3 2 3 2 3 3" xfId="56554"/>
    <cellStyle name="Обычный 9 7 2 3 2 3 2 4" xfId="56555"/>
    <cellStyle name="Обычный 9 7 2 3 2 3 2 4 2" xfId="56556"/>
    <cellStyle name="Обычный 9 7 2 3 2 3 2 5" xfId="56557"/>
    <cellStyle name="Обычный 9 7 2 3 2 3 2 6" xfId="56558"/>
    <cellStyle name="Обычный 9 7 2 3 2 3 3" xfId="56559"/>
    <cellStyle name="Обычный 9 7 2 3 2 3 3 2" xfId="56560"/>
    <cellStyle name="Обычный 9 7 2 3 2 3 3 3" xfId="56561"/>
    <cellStyle name="Обычный 9 7 2 3 2 3 4" xfId="56562"/>
    <cellStyle name="Обычный 9 7 2 3 2 3 4 2" xfId="56563"/>
    <cellStyle name="Обычный 9 7 2 3 2 3 4 3" xfId="56564"/>
    <cellStyle name="Обычный 9 7 2 3 2 3 5" xfId="56565"/>
    <cellStyle name="Обычный 9 7 2 3 2 3 5 2" xfId="56566"/>
    <cellStyle name="Обычный 9 7 2 3 2 3 6" xfId="56567"/>
    <cellStyle name="Обычный 9 7 2 3 2 3 7" xfId="56568"/>
    <cellStyle name="Обычный 9 7 2 3 2 4" xfId="56569"/>
    <cellStyle name="Обычный 9 7 2 3 2 4 2" xfId="56570"/>
    <cellStyle name="Обычный 9 7 2 3 2 4 2 2" xfId="56571"/>
    <cellStyle name="Обычный 9 7 2 3 2 4 2 3" xfId="56572"/>
    <cellStyle name="Обычный 9 7 2 3 2 4 3" xfId="56573"/>
    <cellStyle name="Обычный 9 7 2 3 2 4 3 2" xfId="56574"/>
    <cellStyle name="Обычный 9 7 2 3 2 4 3 3" xfId="56575"/>
    <cellStyle name="Обычный 9 7 2 3 2 4 4" xfId="56576"/>
    <cellStyle name="Обычный 9 7 2 3 2 4 4 2" xfId="56577"/>
    <cellStyle name="Обычный 9 7 2 3 2 4 5" xfId="56578"/>
    <cellStyle name="Обычный 9 7 2 3 2 4 6" xfId="56579"/>
    <cellStyle name="Обычный 9 7 2 3 2 5" xfId="56580"/>
    <cellStyle name="Обычный 9 7 2 3 2 5 2" xfId="56581"/>
    <cellStyle name="Обычный 9 7 2 3 2 5 3" xfId="56582"/>
    <cellStyle name="Обычный 9 7 2 3 2 6" xfId="56583"/>
    <cellStyle name="Обычный 9 7 2 3 2 6 2" xfId="56584"/>
    <cellStyle name="Обычный 9 7 2 3 2 6 3" xfId="56585"/>
    <cellStyle name="Обычный 9 7 2 3 2 7" xfId="56586"/>
    <cellStyle name="Обычный 9 7 2 3 2 7 2" xfId="56587"/>
    <cellStyle name="Обычный 9 7 2 3 2 8" xfId="56588"/>
    <cellStyle name="Обычный 9 7 2 3 2 9" xfId="56589"/>
    <cellStyle name="Обычный 9 7 2 3 3" xfId="56590"/>
    <cellStyle name="Обычный 9 7 2 3 3 2" xfId="56591"/>
    <cellStyle name="Обычный 9 7 2 3 3 2 2" xfId="56592"/>
    <cellStyle name="Обычный 9 7 2 3 3 2 2 2" xfId="56593"/>
    <cellStyle name="Обычный 9 7 2 3 3 2 2 2 2" xfId="56594"/>
    <cellStyle name="Обычный 9 7 2 3 3 2 2 2 3" xfId="56595"/>
    <cellStyle name="Обычный 9 7 2 3 3 2 2 3" xfId="56596"/>
    <cellStyle name="Обычный 9 7 2 3 3 2 2 3 2" xfId="56597"/>
    <cellStyle name="Обычный 9 7 2 3 3 2 2 3 3" xfId="56598"/>
    <cellStyle name="Обычный 9 7 2 3 3 2 2 4" xfId="56599"/>
    <cellStyle name="Обычный 9 7 2 3 3 2 2 4 2" xfId="56600"/>
    <cellStyle name="Обычный 9 7 2 3 3 2 2 5" xfId="56601"/>
    <cellStyle name="Обычный 9 7 2 3 3 2 2 6" xfId="56602"/>
    <cellStyle name="Обычный 9 7 2 3 3 2 3" xfId="56603"/>
    <cellStyle name="Обычный 9 7 2 3 3 2 3 2" xfId="56604"/>
    <cellStyle name="Обычный 9 7 2 3 3 2 3 3" xfId="56605"/>
    <cellStyle name="Обычный 9 7 2 3 3 2 4" xfId="56606"/>
    <cellStyle name="Обычный 9 7 2 3 3 2 4 2" xfId="56607"/>
    <cellStyle name="Обычный 9 7 2 3 3 2 4 3" xfId="56608"/>
    <cellStyle name="Обычный 9 7 2 3 3 2 5" xfId="56609"/>
    <cellStyle name="Обычный 9 7 2 3 3 2 5 2" xfId="56610"/>
    <cellStyle name="Обычный 9 7 2 3 3 2 6" xfId="56611"/>
    <cellStyle name="Обычный 9 7 2 3 3 2 7" xfId="56612"/>
    <cellStyle name="Обычный 9 7 2 3 3 3" xfId="56613"/>
    <cellStyle name="Обычный 9 7 2 3 3 3 2" xfId="56614"/>
    <cellStyle name="Обычный 9 7 2 3 3 3 2 2" xfId="56615"/>
    <cellStyle name="Обычный 9 7 2 3 3 3 2 3" xfId="56616"/>
    <cellStyle name="Обычный 9 7 2 3 3 3 3" xfId="56617"/>
    <cellStyle name="Обычный 9 7 2 3 3 3 3 2" xfId="56618"/>
    <cellStyle name="Обычный 9 7 2 3 3 3 3 3" xfId="56619"/>
    <cellStyle name="Обычный 9 7 2 3 3 3 4" xfId="56620"/>
    <cellStyle name="Обычный 9 7 2 3 3 3 4 2" xfId="56621"/>
    <cellStyle name="Обычный 9 7 2 3 3 3 5" xfId="56622"/>
    <cellStyle name="Обычный 9 7 2 3 3 3 6" xfId="56623"/>
    <cellStyle name="Обычный 9 7 2 3 3 4" xfId="56624"/>
    <cellStyle name="Обычный 9 7 2 3 3 4 2" xfId="56625"/>
    <cellStyle name="Обычный 9 7 2 3 3 4 3" xfId="56626"/>
    <cellStyle name="Обычный 9 7 2 3 3 5" xfId="56627"/>
    <cellStyle name="Обычный 9 7 2 3 3 5 2" xfId="56628"/>
    <cellStyle name="Обычный 9 7 2 3 3 5 3" xfId="56629"/>
    <cellStyle name="Обычный 9 7 2 3 3 6" xfId="56630"/>
    <cellStyle name="Обычный 9 7 2 3 3 6 2" xfId="56631"/>
    <cellStyle name="Обычный 9 7 2 3 3 7" xfId="56632"/>
    <cellStyle name="Обычный 9 7 2 3 3 8" xfId="56633"/>
    <cellStyle name="Обычный 9 7 2 3 4" xfId="56634"/>
    <cellStyle name="Обычный 9 7 2 3 4 2" xfId="56635"/>
    <cellStyle name="Обычный 9 7 2 3 4 2 2" xfId="56636"/>
    <cellStyle name="Обычный 9 7 2 3 4 2 2 2" xfId="56637"/>
    <cellStyle name="Обычный 9 7 2 3 4 2 2 3" xfId="56638"/>
    <cellStyle name="Обычный 9 7 2 3 4 2 3" xfId="56639"/>
    <cellStyle name="Обычный 9 7 2 3 4 2 3 2" xfId="56640"/>
    <cellStyle name="Обычный 9 7 2 3 4 2 3 3" xfId="56641"/>
    <cellStyle name="Обычный 9 7 2 3 4 2 4" xfId="56642"/>
    <cellStyle name="Обычный 9 7 2 3 4 2 4 2" xfId="56643"/>
    <cellStyle name="Обычный 9 7 2 3 4 2 5" xfId="56644"/>
    <cellStyle name="Обычный 9 7 2 3 4 2 6" xfId="56645"/>
    <cellStyle name="Обычный 9 7 2 3 4 3" xfId="56646"/>
    <cellStyle name="Обычный 9 7 2 3 4 3 2" xfId="56647"/>
    <cellStyle name="Обычный 9 7 2 3 4 3 3" xfId="56648"/>
    <cellStyle name="Обычный 9 7 2 3 4 4" xfId="56649"/>
    <cellStyle name="Обычный 9 7 2 3 4 4 2" xfId="56650"/>
    <cellStyle name="Обычный 9 7 2 3 4 4 3" xfId="56651"/>
    <cellStyle name="Обычный 9 7 2 3 4 5" xfId="56652"/>
    <cellStyle name="Обычный 9 7 2 3 4 5 2" xfId="56653"/>
    <cellStyle name="Обычный 9 7 2 3 4 6" xfId="56654"/>
    <cellStyle name="Обычный 9 7 2 3 4 7" xfId="56655"/>
    <cellStyle name="Обычный 9 7 2 3 5" xfId="56656"/>
    <cellStyle name="Обычный 9 7 2 3 5 2" xfId="56657"/>
    <cellStyle name="Обычный 9 7 2 3 5 2 2" xfId="56658"/>
    <cellStyle name="Обычный 9 7 2 3 5 2 3" xfId="56659"/>
    <cellStyle name="Обычный 9 7 2 3 5 3" xfId="56660"/>
    <cellStyle name="Обычный 9 7 2 3 5 3 2" xfId="56661"/>
    <cellStyle name="Обычный 9 7 2 3 5 3 3" xfId="56662"/>
    <cellStyle name="Обычный 9 7 2 3 5 4" xfId="56663"/>
    <cellStyle name="Обычный 9 7 2 3 5 4 2" xfId="56664"/>
    <cellStyle name="Обычный 9 7 2 3 5 5" xfId="56665"/>
    <cellStyle name="Обычный 9 7 2 3 5 6" xfId="56666"/>
    <cellStyle name="Обычный 9 7 2 3 6" xfId="56667"/>
    <cellStyle name="Обычный 9 7 2 3 6 2" xfId="56668"/>
    <cellStyle name="Обычный 9 7 2 3 6 3" xfId="56669"/>
    <cellStyle name="Обычный 9 7 2 3 7" xfId="56670"/>
    <cellStyle name="Обычный 9 7 2 3 7 2" xfId="56671"/>
    <cellStyle name="Обычный 9 7 2 3 7 3" xfId="56672"/>
    <cellStyle name="Обычный 9 7 2 3 8" xfId="56673"/>
    <cellStyle name="Обычный 9 7 2 3 8 2" xfId="56674"/>
    <cellStyle name="Обычный 9 7 2 3 9" xfId="56675"/>
    <cellStyle name="Обычный 9 7 2 4" xfId="56676"/>
    <cellStyle name="Обычный 9 7 2 4 10" xfId="56677"/>
    <cellStyle name="Обычный 9 7 2 4 2" xfId="56678"/>
    <cellStyle name="Обычный 9 7 2 4 2 2" xfId="56679"/>
    <cellStyle name="Обычный 9 7 2 4 2 2 2" xfId="56680"/>
    <cellStyle name="Обычный 9 7 2 4 2 2 2 2" xfId="56681"/>
    <cellStyle name="Обычный 9 7 2 4 2 2 2 2 2" xfId="56682"/>
    <cellStyle name="Обычный 9 7 2 4 2 2 2 2 2 2" xfId="56683"/>
    <cellStyle name="Обычный 9 7 2 4 2 2 2 2 2 3" xfId="56684"/>
    <cellStyle name="Обычный 9 7 2 4 2 2 2 2 3" xfId="56685"/>
    <cellStyle name="Обычный 9 7 2 4 2 2 2 2 3 2" xfId="56686"/>
    <cellStyle name="Обычный 9 7 2 4 2 2 2 2 3 3" xfId="56687"/>
    <cellStyle name="Обычный 9 7 2 4 2 2 2 2 4" xfId="56688"/>
    <cellStyle name="Обычный 9 7 2 4 2 2 2 2 4 2" xfId="56689"/>
    <cellStyle name="Обычный 9 7 2 4 2 2 2 2 5" xfId="56690"/>
    <cellStyle name="Обычный 9 7 2 4 2 2 2 2 6" xfId="56691"/>
    <cellStyle name="Обычный 9 7 2 4 2 2 2 3" xfId="56692"/>
    <cellStyle name="Обычный 9 7 2 4 2 2 2 3 2" xfId="56693"/>
    <cellStyle name="Обычный 9 7 2 4 2 2 2 3 3" xfId="56694"/>
    <cellStyle name="Обычный 9 7 2 4 2 2 2 4" xfId="56695"/>
    <cellStyle name="Обычный 9 7 2 4 2 2 2 4 2" xfId="56696"/>
    <cellStyle name="Обычный 9 7 2 4 2 2 2 4 3" xfId="56697"/>
    <cellStyle name="Обычный 9 7 2 4 2 2 2 5" xfId="56698"/>
    <cellStyle name="Обычный 9 7 2 4 2 2 2 5 2" xfId="56699"/>
    <cellStyle name="Обычный 9 7 2 4 2 2 2 6" xfId="56700"/>
    <cellStyle name="Обычный 9 7 2 4 2 2 2 7" xfId="56701"/>
    <cellStyle name="Обычный 9 7 2 4 2 2 3" xfId="56702"/>
    <cellStyle name="Обычный 9 7 2 4 2 2 3 2" xfId="56703"/>
    <cellStyle name="Обычный 9 7 2 4 2 2 3 2 2" xfId="56704"/>
    <cellStyle name="Обычный 9 7 2 4 2 2 3 2 3" xfId="56705"/>
    <cellStyle name="Обычный 9 7 2 4 2 2 3 3" xfId="56706"/>
    <cellStyle name="Обычный 9 7 2 4 2 2 3 3 2" xfId="56707"/>
    <cellStyle name="Обычный 9 7 2 4 2 2 3 3 3" xfId="56708"/>
    <cellStyle name="Обычный 9 7 2 4 2 2 3 4" xfId="56709"/>
    <cellStyle name="Обычный 9 7 2 4 2 2 3 4 2" xfId="56710"/>
    <cellStyle name="Обычный 9 7 2 4 2 2 3 5" xfId="56711"/>
    <cellStyle name="Обычный 9 7 2 4 2 2 3 6" xfId="56712"/>
    <cellStyle name="Обычный 9 7 2 4 2 2 4" xfId="56713"/>
    <cellStyle name="Обычный 9 7 2 4 2 2 4 2" xfId="56714"/>
    <cellStyle name="Обычный 9 7 2 4 2 2 4 3" xfId="56715"/>
    <cellStyle name="Обычный 9 7 2 4 2 2 5" xfId="56716"/>
    <cellStyle name="Обычный 9 7 2 4 2 2 5 2" xfId="56717"/>
    <cellStyle name="Обычный 9 7 2 4 2 2 5 3" xfId="56718"/>
    <cellStyle name="Обычный 9 7 2 4 2 2 6" xfId="56719"/>
    <cellStyle name="Обычный 9 7 2 4 2 2 6 2" xfId="56720"/>
    <cellStyle name="Обычный 9 7 2 4 2 2 7" xfId="56721"/>
    <cellStyle name="Обычный 9 7 2 4 2 2 8" xfId="56722"/>
    <cellStyle name="Обычный 9 7 2 4 2 3" xfId="56723"/>
    <cellStyle name="Обычный 9 7 2 4 2 3 2" xfId="56724"/>
    <cellStyle name="Обычный 9 7 2 4 2 3 2 2" xfId="56725"/>
    <cellStyle name="Обычный 9 7 2 4 2 3 2 2 2" xfId="56726"/>
    <cellStyle name="Обычный 9 7 2 4 2 3 2 2 3" xfId="56727"/>
    <cellStyle name="Обычный 9 7 2 4 2 3 2 3" xfId="56728"/>
    <cellStyle name="Обычный 9 7 2 4 2 3 2 3 2" xfId="56729"/>
    <cellStyle name="Обычный 9 7 2 4 2 3 2 3 3" xfId="56730"/>
    <cellStyle name="Обычный 9 7 2 4 2 3 2 4" xfId="56731"/>
    <cellStyle name="Обычный 9 7 2 4 2 3 2 4 2" xfId="56732"/>
    <cellStyle name="Обычный 9 7 2 4 2 3 2 5" xfId="56733"/>
    <cellStyle name="Обычный 9 7 2 4 2 3 2 6" xfId="56734"/>
    <cellStyle name="Обычный 9 7 2 4 2 3 3" xfId="56735"/>
    <cellStyle name="Обычный 9 7 2 4 2 3 3 2" xfId="56736"/>
    <cellStyle name="Обычный 9 7 2 4 2 3 3 3" xfId="56737"/>
    <cellStyle name="Обычный 9 7 2 4 2 3 4" xfId="56738"/>
    <cellStyle name="Обычный 9 7 2 4 2 3 4 2" xfId="56739"/>
    <cellStyle name="Обычный 9 7 2 4 2 3 4 3" xfId="56740"/>
    <cellStyle name="Обычный 9 7 2 4 2 3 5" xfId="56741"/>
    <cellStyle name="Обычный 9 7 2 4 2 3 5 2" xfId="56742"/>
    <cellStyle name="Обычный 9 7 2 4 2 3 6" xfId="56743"/>
    <cellStyle name="Обычный 9 7 2 4 2 3 7" xfId="56744"/>
    <cellStyle name="Обычный 9 7 2 4 2 4" xfId="56745"/>
    <cellStyle name="Обычный 9 7 2 4 2 4 2" xfId="56746"/>
    <cellStyle name="Обычный 9 7 2 4 2 4 2 2" xfId="56747"/>
    <cellStyle name="Обычный 9 7 2 4 2 4 2 3" xfId="56748"/>
    <cellStyle name="Обычный 9 7 2 4 2 4 3" xfId="56749"/>
    <cellStyle name="Обычный 9 7 2 4 2 4 3 2" xfId="56750"/>
    <cellStyle name="Обычный 9 7 2 4 2 4 3 3" xfId="56751"/>
    <cellStyle name="Обычный 9 7 2 4 2 4 4" xfId="56752"/>
    <cellStyle name="Обычный 9 7 2 4 2 4 4 2" xfId="56753"/>
    <cellStyle name="Обычный 9 7 2 4 2 4 5" xfId="56754"/>
    <cellStyle name="Обычный 9 7 2 4 2 4 6" xfId="56755"/>
    <cellStyle name="Обычный 9 7 2 4 2 5" xfId="56756"/>
    <cellStyle name="Обычный 9 7 2 4 2 5 2" xfId="56757"/>
    <cellStyle name="Обычный 9 7 2 4 2 5 3" xfId="56758"/>
    <cellStyle name="Обычный 9 7 2 4 2 6" xfId="56759"/>
    <cellStyle name="Обычный 9 7 2 4 2 6 2" xfId="56760"/>
    <cellStyle name="Обычный 9 7 2 4 2 6 3" xfId="56761"/>
    <cellStyle name="Обычный 9 7 2 4 2 7" xfId="56762"/>
    <cellStyle name="Обычный 9 7 2 4 2 7 2" xfId="56763"/>
    <cellStyle name="Обычный 9 7 2 4 2 8" xfId="56764"/>
    <cellStyle name="Обычный 9 7 2 4 2 9" xfId="56765"/>
    <cellStyle name="Обычный 9 7 2 4 3" xfId="56766"/>
    <cellStyle name="Обычный 9 7 2 4 3 2" xfId="56767"/>
    <cellStyle name="Обычный 9 7 2 4 3 2 2" xfId="56768"/>
    <cellStyle name="Обычный 9 7 2 4 3 2 2 2" xfId="56769"/>
    <cellStyle name="Обычный 9 7 2 4 3 2 2 2 2" xfId="56770"/>
    <cellStyle name="Обычный 9 7 2 4 3 2 2 2 3" xfId="56771"/>
    <cellStyle name="Обычный 9 7 2 4 3 2 2 3" xfId="56772"/>
    <cellStyle name="Обычный 9 7 2 4 3 2 2 3 2" xfId="56773"/>
    <cellStyle name="Обычный 9 7 2 4 3 2 2 3 3" xfId="56774"/>
    <cellStyle name="Обычный 9 7 2 4 3 2 2 4" xfId="56775"/>
    <cellStyle name="Обычный 9 7 2 4 3 2 2 4 2" xfId="56776"/>
    <cellStyle name="Обычный 9 7 2 4 3 2 2 5" xfId="56777"/>
    <cellStyle name="Обычный 9 7 2 4 3 2 2 6" xfId="56778"/>
    <cellStyle name="Обычный 9 7 2 4 3 2 3" xfId="56779"/>
    <cellStyle name="Обычный 9 7 2 4 3 2 3 2" xfId="56780"/>
    <cellStyle name="Обычный 9 7 2 4 3 2 3 3" xfId="56781"/>
    <cellStyle name="Обычный 9 7 2 4 3 2 4" xfId="56782"/>
    <cellStyle name="Обычный 9 7 2 4 3 2 4 2" xfId="56783"/>
    <cellStyle name="Обычный 9 7 2 4 3 2 4 3" xfId="56784"/>
    <cellStyle name="Обычный 9 7 2 4 3 2 5" xfId="56785"/>
    <cellStyle name="Обычный 9 7 2 4 3 2 5 2" xfId="56786"/>
    <cellStyle name="Обычный 9 7 2 4 3 2 6" xfId="56787"/>
    <cellStyle name="Обычный 9 7 2 4 3 2 7" xfId="56788"/>
    <cellStyle name="Обычный 9 7 2 4 3 3" xfId="56789"/>
    <cellStyle name="Обычный 9 7 2 4 3 3 2" xfId="56790"/>
    <cellStyle name="Обычный 9 7 2 4 3 3 2 2" xfId="56791"/>
    <cellStyle name="Обычный 9 7 2 4 3 3 2 3" xfId="56792"/>
    <cellStyle name="Обычный 9 7 2 4 3 3 3" xfId="56793"/>
    <cellStyle name="Обычный 9 7 2 4 3 3 3 2" xfId="56794"/>
    <cellStyle name="Обычный 9 7 2 4 3 3 3 3" xfId="56795"/>
    <cellStyle name="Обычный 9 7 2 4 3 3 4" xfId="56796"/>
    <cellStyle name="Обычный 9 7 2 4 3 3 4 2" xfId="56797"/>
    <cellStyle name="Обычный 9 7 2 4 3 3 5" xfId="56798"/>
    <cellStyle name="Обычный 9 7 2 4 3 3 6" xfId="56799"/>
    <cellStyle name="Обычный 9 7 2 4 3 4" xfId="56800"/>
    <cellStyle name="Обычный 9 7 2 4 3 4 2" xfId="56801"/>
    <cellStyle name="Обычный 9 7 2 4 3 4 3" xfId="56802"/>
    <cellStyle name="Обычный 9 7 2 4 3 5" xfId="56803"/>
    <cellStyle name="Обычный 9 7 2 4 3 5 2" xfId="56804"/>
    <cellStyle name="Обычный 9 7 2 4 3 5 3" xfId="56805"/>
    <cellStyle name="Обычный 9 7 2 4 3 6" xfId="56806"/>
    <cellStyle name="Обычный 9 7 2 4 3 6 2" xfId="56807"/>
    <cellStyle name="Обычный 9 7 2 4 3 7" xfId="56808"/>
    <cellStyle name="Обычный 9 7 2 4 3 8" xfId="56809"/>
    <cellStyle name="Обычный 9 7 2 4 4" xfId="56810"/>
    <cellStyle name="Обычный 9 7 2 4 4 2" xfId="56811"/>
    <cellStyle name="Обычный 9 7 2 4 4 2 2" xfId="56812"/>
    <cellStyle name="Обычный 9 7 2 4 4 2 2 2" xfId="56813"/>
    <cellStyle name="Обычный 9 7 2 4 4 2 2 3" xfId="56814"/>
    <cellStyle name="Обычный 9 7 2 4 4 2 3" xfId="56815"/>
    <cellStyle name="Обычный 9 7 2 4 4 2 3 2" xfId="56816"/>
    <cellStyle name="Обычный 9 7 2 4 4 2 3 3" xfId="56817"/>
    <cellStyle name="Обычный 9 7 2 4 4 2 4" xfId="56818"/>
    <cellStyle name="Обычный 9 7 2 4 4 2 4 2" xfId="56819"/>
    <cellStyle name="Обычный 9 7 2 4 4 2 5" xfId="56820"/>
    <cellStyle name="Обычный 9 7 2 4 4 2 6" xfId="56821"/>
    <cellStyle name="Обычный 9 7 2 4 4 3" xfId="56822"/>
    <cellStyle name="Обычный 9 7 2 4 4 3 2" xfId="56823"/>
    <cellStyle name="Обычный 9 7 2 4 4 3 3" xfId="56824"/>
    <cellStyle name="Обычный 9 7 2 4 4 4" xfId="56825"/>
    <cellStyle name="Обычный 9 7 2 4 4 4 2" xfId="56826"/>
    <cellStyle name="Обычный 9 7 2 4 4 4 3" xfId="56827"/>
    <cellStyle name="Обычный 9 7 2 4 4 5" xfId="56828"/>
    <cellStyle name="Обычный 9 7 2 4 4 5 2" xfId="56829"/>
    <cellStyle name="Обычный 9 7 2 4 4 6" xfId="56830"/>
    <cellStyle name="Обычный 9 7 2 4 4 7" xfId="56831"/>
    <cellStyle name="Обычный 9 7 2 4 5" xfId="56832"/>
    <cellStyle name="Обычный 9 7 2 4 5 2" xfId="56833"/>
    <cellStyle name="Обычный 9 7 2 4 5 2 2" xfId="56834"/>
    <cellStyle name="Обычный 9 7 2 4 5 2 3" xfId="56835"/>
    <cellStyle name="Обычный 9 7 2 4 5 3" xfId="56836"/>
    <cellStyle name="Обычный 9 7 2 4 5 3 2" xfId="56837"/>
    <cellStyle name="Обычный 9 7 2 4 5 3 3" xfId="56838"/>
    <cellStyle name="Обычный 9 7 2 4 5 4" xfId="56839"/>
    <cellStyle name="Обычный 9 7 2 4 5 4 2" xfId="56840"/>
    <cellStyle name="Обычный 9 7 2 4 5 5" xfId="56841"/>
    <cellStyle name="Обычный 9 7 2 4 5 6" xfId="56842"/>
    <cellStyle name="Обычный 9 7 2 4 6" xfId="56843"/>
    <cellStyle name="Обычный 9 7 2 4 6 2" xfId="56844"/>
    <cellStyle name="Обычный 9 7 2 4 6 3" xfId="56845"/>
    <cellStyle name="Обычный 9 7 2 4 7" xfId="56846"/>
    <cellStyle name="Обычный 9 7 2 4 7 2" xfId="56847"/>
    <cellStyle name="Обычный 9 7 2 4 7 3" xfId="56848"/>
    <cellStyle name="Обычный 9 7 2 4 8" xfId="56849"/>
    <cellStyle name="Обычный 9 7 2 4 8 2" xfId="56850"/>
    <cellStyle name="Обычный 9 7 2 4 9" xfId="56851"/>
    <cellStyle name="Обычный 9 7 2 5" xfId="56852"/>
    <cellStyle name="Обычный 9 7 2 5 2" xfId="56853"/>
    <cellStyle name="Обычный 9 7 2 5 2 2" xfId="56854"/>
    <cellStyle name="Обычный 9 7 2 5 2 2 2" xfId="56855"/>
    <cellStyle name="Обычный 9 7 2 5 2 2 2 2" xfId="56856"/>
    <cellStyle name="Обычный 9 7 2 5 2 2 2 2 2" xfId="56857"/>
    <cellStyle name="Обычный 9 7 2 5 2 2 2 2 3" xfId="56858"/>
    <cellStyle name="Обычный 9 7 2 5 2 2 2 3" xfId="56859"/>
    <cellStyle name="Обычный 9 7 2 5 2 2 2 3 2" xfId="56860"/>
    <cellStyle name="Обычный 9 7 2 5 2 2 2 3 3" xfId="56861"/>
    <cellStyle name="Обычный 9 7 2 5 2 2 2 4" xfId="56862"/>
    <cellStyle name="Обычный 9 7 2 5 2 2 2 4 2" xfId="56863"/>
    <cellStyle name="Обычный 9 7 2 5 2 2 2 5" xfId="56864"/>
    <cellStyle name="Обычный 9 7 2 5 2 2 2 6" xfId="56865"/>
    <cellStyle name="Обычный 9 7 2 5 2 2 3" xfId="56866"/>
    <cellStyle name="Обычный 9 7 2 5 2 2 3 2" xfId="56867"/>
    <cellStyle name="Обычный 9 7 2 5 2 2 3 3" xfId="56868"/>
    <cellStyle name="Обычный 9 7 2 5 2 2 4" xfId="56869"/>
    <cellStyle name="Обычный 9 7 2 5 2 2 4 2" xfId="56870"/>
    <cellStyle name="Обычный 9 7 2 5 2 2 4 3" xfId="56871"/>
    <cellStyle name="Обычный 9 7 2 5 2 2 5" xfId="56872"/>
    <cellStyle name="Обычный 9 7 2 5 2 2 5 2" xfId="56873"/>
    <cellStyle name="Обычный 9 7 2 5 2 2 6" xfId="56874"/>
    <cellStyle name="Обычный 9 7 2 5 2 2 7" xfId="56875"/>
    <cellStyle name="Обычный 9 7 2 5 2 3" xfId="56876"/>
    <cellStyle name="Обычный 9 7 2 5 2 3 2" xfId="56877"/>
    <cellStyle name="Обычный 9 7 2 5 2 3 2 2" xfId="56878"/>
    <cellStyle name="Обычный 9 7 2 5 2 3 2 3" xfId="56879"/>
    <cellStyle name="Обычный 9 7 2 5 2 3 3" xfId="56880"/>
    <cellStyle name="Обычный 9 7 2 5 2 3 3 2" xfId="56881"/>
    <cellStyle name="Обычный 9 7 2 5 2 3 3 3" xfId="56882"/>
    <cellStyle name="Обычный 9 7 2 5 2 3 4" xfId="56883"/>
    <cellStyle name="Обычный 9 7 2 5 2 3 4 2" xfId="56884"/>
    <cellStyle name="Обычный 9 7 2 5 2 3 5" xfId="56885"/>
    <cellStyle name="Обычный 9 7 2 5 2 3 6" xfId="56886"/>
    <cellStyle name="Обычный 9 7 2 5 2 4" xfId="56887"/>
    <cellStyle name="Обычный 9 7 2 5 2 4 2" xfId="56888"/>
    <cellStyle name="Обычный 9 7 2 5 2 4 3" xfId="56889"/>
    <cellStyle name="Обычный 9 7 2 5 2 5" xfId="56890"/>
    <cellStyle name="Обычный 9 7 2 5 2 5 2" xfId="56891"/>
    <cellStyle name="Обычный 9 7 2 5 2 5 3" xfId="56892"/>
    <cellStyle name="Обычный 9 7 2 5 2 6" xfId="56893"/>
    <cellStyle name="Обычный 9 7 2 5 2 6 2" xfId="56894"/>
    <cellStyle name="Обычный 9 7 2 5 2 7" xfId="56895"/>
    <cellStyle name="Обычный 9 7 2 5 2 8" xfId="56896"/>
    <cellStyle name="Обычный 9 7 2 5 3" xfId="56897"/>
    <cellStyle name="Обычный 9 7 2 5 3 2" xfId="56898"/>
    <cellStyle name="Обычный 9 7 2 5 3 2 2" xfId="56899"/>
    <cellStyle name="Обычный 9 7 2 5 3 2 2 2" xfId="56900"/>
    <cellStyle name="Обычный 9 7 2 5 3 2 2 3" xfId="56901"/>
    <cellStyle name="Обычный 9 7 2 5 3 2 3" xfId="56902"/>
    <cellStyle name="Обычный 9 7 2 5 3 2 3 2" xfId="56903"/>
    <cellStyle name="Обычный 9 7 2 5 3 2 3 3" xfId="56904"/>
    <cellStyle name="Обычный 9 7 2 5 3 2 4" xfId="56905"/>
    <cellStyle name="Обычный 9 7 2 5 3 2 4 2" xfId="56906"/>
    <cellStyle name="Обычный 9 7 2 5 3 2 5" xfId="56907"/>
    <cellStyle name="Обычный 9 7 2 5 3 2 6" xfId="56908"/>
    <cellStyle name="Обычный 9 7 2 5 3 3" xfId="56909"/>
    <cellStyle name="Обычный 9 7 2 5 3 3 2" xfId="56910"/>
    <cellStyle name="Обычный 9 7 2 5 3 3 3" xfId="56911"/>
    <cellStyle name="Обычный 9 7 2 5 3 4" xfId="56912"/>
    <cellStyle name="Обычный 9 7 2 5 3 4 2" xfId="56913"/>
    <cellStyle name="Обычный 9 7 2 5 3 4 3" xfId="56914"/>
    <cellStyle name="Обычный 9 7 2 5 3 5" xfId="56915"/>
    <cellStyle name="Обычный 9 7 2 5 3 5 2" xfId="56916"/>
    <cellStyle name="Обычный 9 7 2 5 3 6" xfId="56917"/>
    <cellStyle name="Обычный 9 7 2 5 3 7" xfId="56918"/>
    <cellStyle name="Обычный 9 7 2 5 4" xfId="56919"/>
    <cellStyle name="Обычный 9 7 2 5 4 2" xfId="56920"/>
    <cellStyle name="Обычный 9 7 2 5 4 2 2" xfId="56921"/>
    <cellStyle name="Обычный 9 7 2 5 4 2 3" xfId="56922"/>
    <cellStyle name="Обычный 9 7 2 5 4 3" xfId="56923"/>
    <cellStyle name="Обычный 9 7 2 5 4 3 2" xfId="56924"/>
    <cellStyle name="Обычный 9 7 2 5 4 3 3" xfId="56925"/>
    <cellStyle name="Обычный 9 7 2 5 4 4" xfId="56926"/>
    <cellStyle name="Обычный 9 7 2 5 4 4 2" xfId="56927"/>
    <cellStyle name="Обычный 9 7 2 5 4 5" xfId="56928"/>
    <cellStyle name="Обычный 9 7 2 5 4 6" xfId="56929"/>
    <cellStyle name="Обычный 9 7 2 5 5" xfId="56930"/>
    <cellStyle name="Обычный 9 7 2 5 5 2" xfId="56931"/>
    <cellStyle name="Обычный 9 7 2 5 5 3" xfId="56932"/>
    <cellStyle name="Обычный 9 7 2 5 6" xfId="56933"/>
    <cellStyle name="Обычный 9 7 2 5 6 2" xfId="56934"/>
    <cellStyle name="Обычный 9 7 2 5 6 3" xfId="56935"/>
    <cellStyle name="Обычный 9 7 2 5 7" xfId="56936"/>
    <cellStyle name="Обычный 9 7 2 5 7 2" xfId="56937"/>
    <cellStyle name="Обычный 9 7 2 5 8" xfId="56938"/>
    <cellStyle name="Обычный 9 7 2 5 9" xfId="56939"/>
    <cellStyle name="Обычный 9 7 2 6" xfId="56940"/>
    <cellStyle name="Обычный 9 7 2 6 2" xfId="56941"/>
    <cellStyle name="Обычный 9 7 2 6 2 2" xfId="56942"/>
    <cellStyle name="Обычный 9 7 2 6 2 2 2" xfId="56943"/>
    <cellStyle name="Обычный 9 7 2 6 2 2 2 2" xfId="56944"/>
    <cellStyle name="Обычный 9 7 2 6 2 2 2 3" xfId="56945"/>
    <cellStyle name="Обычный 9 7 2 6 2 2 3" xfId="56946"/>
    <cellStyle name="Обычный 9 7 2 6 2 2 3 2" xfId="56947"/>
    <cellStyle name="Обычный 9 7 2 6 2 2 3 3" xfId="56948"/>
    <cellStyle name="Обычный 9 7 2 6 2 2 4" xfId="56949"/>
    <cellStyle name="Обычный 9 7 2 6 2 2 4 2" xfId="56950"/>
    <cellStyle name="Обычный 9 7 2 6 2 2 5" xfId="56951"/>
    <cellStyle name="Обычный 9 7 2 6 2 2 6" xfId="56952"/>
    <cellStyle name="Обычный 9 7 2 6 2 3" xfId="56953"/>
    <cellStyle name="Обычный 9 7 2 6 2 3 2" xfId="56954"/>
    <cellStyle name="Обычный 9 7 2 6 2 3 3" xfId="56955"/>
    <cellStyle name="Обычный 9 7 2 6 2 4" xfId="56956"/>
    <cellStyle name="Обычный 9 7 2 6 2 4 2" xfId="56957"/>
    <cellStyle name="Обычный 9 7 2 6 2 4 3" xfId="56958"/>
    <cellStyle name="Обычный 9 7 2 6 2 5" xfId="56959"/>
    <cellStyle name="Обычный 9 7 2 6 2 5 2" xfId="56960"/>
    <cellStyle name="Обычный 9 7 2 6 2 6" xfId="56961"/>
    <cellStyle name="Обычный 9 7 2 6 2 7" xfId="56962"/>
    <cellStyle name="Обычный 9 7 2 6 3" xfId="56963"/>
    <cellStyle name="Обычный 9 7 2 6 3 2" xfId="56964"/>
    <cellStyle name="Обычный 9 7 2 6 3 2 2" xfId="56965"/>
    <cellStyle name="Обычный 9 7 2 6 3 2 3" xfId="56966"/>
    <cellStyle name="Обычный 9 7 2 6 3 3" xfId="56967"/>
    <cellStyle name="Обычный 9 7 2 6 3 3 2" xfId="56968"/>
    <cellStyle name="Обычный 9 7 2 6 3 3 3" xfId="56969"/>
    <cellStyle name="Обычный 9 7 2 6 3 4" xfId="56970"/>
    <cellStyle name="Обычный 9 7 2 6 3 4 2" xfId="56971"/>
    <cellStyle name="Обычный 9 7 2 6 3 5" xfId="56972"/>
    <cellStyle name="Обычный 9 7 2 6 3 6" xfId="56973"/>
    <cellStyle name="Обычный 9 7 2 6 4" xfId="56974"/>
    <cellStyle name="Обычный 9 7 2 6 4 2" xfId="56975"/>
    <cellStyle name="Обычный 9 7 2 6 4 3" xfId="56976"/>
    <cellStyle name="Обычный 9 7 2 6 5" xfId="56977"/>
    <cellStyle name="Обычный 9 7 2 6 5 2" xfId="56978"/>
    <cellStyle name="Обычный 9 7 2 6 5 3" xfId="56979"/>
    <cellStyle name="Обычный 9 7 2 6 6" xfId="56980"/>
    <cellStyle name="Обычный 9 7 2 6 6 2" xfId="56981"/>
    <cellStyle name="Обычный 9 7 2 6 7" xfId="56982"/>
    <cellStyle name="Обычный 9 7 2 6 8" xfId="56983"/>
    <cellStyle name="Обычный 9 7 2 7" xfId="56984"/>
    <cellStyle name="Обычный 9 7 2 7 2" xfId="56985"/>
    <cellStyle name="Обычный 9 7 2 7 2 2" xfId="56986"/>
    <cellStyle name="Обычный 9 7 2 7 2 2 2" xfId="56987"/>
    <cellStyle name="Обычный 9 7 2 7 2 2 3" xfId="56988"/>
    <cellStyle name="Обычный 9 7 2 7 2 3" xfId="56989"/>
    <cellStyle name="Обычный 9 7 2 7 2 3 2" xfId="56990"/>
    <cellStyle name="Обычный 9 7 2 7 2 3 3" xfId="56991"/>
    <cellStyle name="Обычный 9 7 2 7 2 4" xfId="56992"/>
    <cellStyle name="Обычный 9 7 2 7 2 4 2" xfId="56993"/>
    <cellStyle name="Обычный 9 7 2 7 2 5" xfId="56994"/>
    <cellStyle name="Обычный 9 7 2 7 2 6" xfId="56995"/>
    <cellStyle name="Обычный 9 7 2 7 3" xfId="56996"/>
    <cellStyle name="Обычный 9 7 2 7 3 2" xfId="56997"/>
    <cellStyle name="Обычный 9 7 2 7 3 3" xfId="56998"/>
    <cellStyle name="Обычный 9 7 2 7 4" xfId="56999"/>
    <cellStyle name="Обычный 9 7 2 7 4 2" xfId="57000"/>
    <cellStyle name="Обычный 9 7 2 7 4 3" xfId="57001"/>
    <cellStyle name="Обычный 9 7 2 7 5" xfId="57002"/>
    <cellStyle name="Обычный 9 7 2 7 5 2" xfId="57003"/>
    <cellStyle name="Обычный 9 7 2 7 6" xfId="57004"/>
    <cellStyle name="Обычный 9 7 2 7 7" xfId="57005"/>
    <cellStyle name="Обычный 9 7 2 8" xfId="57006"/>
    <cellStyle name="Обычный 9 7 2 8 2" xfId="57007"/>
    <cellStyle name="Обычный 9 7 2 8 2 2" xfId="57008"/>
    <cellStyle name="Обычный 9 7 2 8 2 3" xfId="57009"/>
    <cellStyle name="Обычный 9 7 2 8 3" xfId="57010"/>
    <cellStyle name="Обычный 9 7 2 8 3 2" xfId="57011"/>
    <cellStyle name="Обычный 9 7 2 8 3 3" xfId="57012"/>
    <cellStyle name="Обычный 9 7 2 8 4" xfId="57013"/>
    <cellStyle name="Обычный 9 7 2 8 4 2" xfId="57014"/>
    <cellStyle name="Обычный 9 7 2 8 5" xfId="57015"/>
    <cellStyle name="Обычный 9 7 2 8 6" xfId="57016"/>
    <cellStyle name="Обычный 9 7 2 9" xfId="57017"/>
    <cellStyle name="Обычный 9 7 2 9 2" xfId="57018"/>
    <cellStyle name="Обычный 9 7 2 9 3" xfId="57019"/>
    <cellStyle name="Обычный 9 7 3" xfId="57020"/>
    <cellStyle name="Обычный 9 7 3 10" xfId="57021"/>
    <cellStyle name="Обычный 9 7 3 2" xfId="57022"/>
    <cellStyle name="Обычный 9 7 3 2 2" xfId="57023"/>
    <cellStyle name="Обычный 9 7 3 2 2 2" xfId="57024"/>
    <cellStyle name="Обычный 9 7 3 2 2 2 2" xfId="57025"/>
    <cellStyle name="Обычный 9 7 3 2 2 2 2 2" xfId="57026"/>
    <cellStyle name="Обычный 9 7 3 2 2 2 2 2 2" xfId="57027"/>
    <cellStyle name="Обычный 9 7 3 2 2 2 2 2 3" xfId="57028"/>
    <cellStyle name="Обычный 9 7 3 2 2 2 2 3" xfId="57029"/>
    <cellStyle name="Обычный 9 7 3 2 2 2 2 3 2" xfId="57030"/>
    <cellStyle name="Обычный 9 7 3 2 2 2 2 3 3" xfId="57031"/>
    <cellStyle name="Обычный 9 7 3 2 2 2 2 4" xfId="57032"/>
    <cellStyle name="Обычный 9 7 3 2 2 2 2 4 2" xfId="57033"/>
    <cellStyle name="Обычный 9 7 3 2 2 2 2 5" xfId="57034"/>
    <cellStyle name="Обычный 9 7 3 2 2 2 2 6" xfId="57035"/>
    <cellStyle name="Обычный 9 7 3 2 2 2 3" xfId="57036"/>
    <cellStyle name="Обычный 9 7 3 2 2 2 3 2" xfId="57037"/>
    <cellStyle name="Обычный 9 7 3 2 2 2 3 3" xfId="57038"/>
    <cellStyle name="Обычный 9 7 3 2 2 2 4" xfId="57039"/>
    <cellStyle name="Обычный 9 7 3 2 2 2 4 2" xfId="57040"/>
    <cellStyle name="Обычный 9 7 3 2 2 2 4 3" xfId="57041"/>
    <cellStyle name="Обычный 9 7 3 2 2 2 5" xfId="57042"/>
    <cellStyle name="Обычный 9 7 3 2 2 2 5 2" xfId="57043"/>
    <cellStyle name="Обычный 9 7 3 2 2 2 6" xfId="57044"/>
    <cellStyle name="Обычный 9 7 3 2 2 2 7" xfId="57045"/>
    <cellStyle name="Обычный 9 7 3 2 2 3" xfId="57046"/>
    <cellStyle name="Обычный 9 7 3 2 2 3 2" xfId="57047"/>
    <cellStyle name="Обычный 9 7 3 2 2 3 2 2" xfId="57048"/>
    <cellStyle name="Обычный 9 7 3 2 2 3 2 3" xfId="57049"/>
    <cellStyle name="Обычный 9 7 3 2 2 3 3" xfId="57050"/>
    <cellStyle name="Обычный 9 7 3 2 2 3 3 2" xfId="57051"/>
    <cellStyle name="Обычный 9 7 3 2 2 3 3 3" xfId="57052"/>
    <cellStyle name="Обычный 9 7 3 2 2 3 4" xfId="57053"/>
    <cellStyle name="Обычный 9 7 3 2 2 3 4 2" xfId="57054"/>
    <cellStyle name="Обычный 9 7 3 2 2 3 5" xfId="57055"/>
    <cellStyle name="Обычный 9 7 3 2 2 3 6" xfId="57056"/>
    <cellStyle name="Обычный 9 7 3 2 2 4" xfId="57057"/>
    <cellStyle name="Обычный 9 7 3 2 2 4 2" xfId="57058"/>
    <cellStyle name="Обычный 9 7 3 2 2 4 3" xfId="57059"/>
    <cellStyle name="Обычный 9 7 3 2 2 5" xfId="57060"/>
    <cellStyle name="Обычный 9 7 3 2 2 5 2" xfId="57061"/>
    <cellStyle name="Обычный 9 7 3 2 2 5 3" xfId="57062"/>
    <cellStyle name="Обычный 9 7 3 2 2 6" xfId="57063"/>
    <cellStyle name="Обычный 9 7 3 2 2 6 2" xfId="57064"/>
    <cellStyle name="Обычный 9 7 3 2 2 7" xfId="57065"/>
    <cellStyle name="Обычный 9 7 3 2 2 8" xfId="57066"/>
    <cellStyle name="Обычный 9 7 3 2 3" xfId="57067"/>
    <cellStyle name="Обычный 9 7 3 2 3 2" xfId="57068"/>
    <cellStyle name="Обычный 9 7 3 2 3 2 2" xfId="57069"/>
    <cellStyle name="Обычный 9 7 3 2 3 2 2 2" xfId="57070"/>
    <cellStyle name="Обычный 9 7 3 2 3 2 2 3" xfId="57071"/>
    <cellStyle name="Обычный 9 7 3 2 3 2 3" xfId="57072"/>
    <cellStyle name="Обычный 9 7 3 2 3 2 3 2" xfId="57073"/>
    <cellStyle name="Обычный 9 7 3 2 3 2 3 3" xfId="57074"/>
    <cellStyle name="Обычный 9 7 3 2 3 2 4" xfId="57075"/>
    <cellStyle name="Обычный 9 7 3 2 3 2 4 2" xfId="57076"/>
    <cellStyle name="Обычный 9 7 3 2 3 2 5" xfId="57077"/>
    <cellStyle name="Обычный 9 7 3 2 3 2 6" xfId="57078"/>
    <cellStyle name="Обычный 9 7 3 2 3 3" xfId="57079"/>
    <cellStyle name="Обычный 9 7 3 2 3 3 2" xfId="57080"/>
    <cellStyle name="Обычный 9 7 3 2 3 3 3" xfId="57081"/>
    <cellStyle name="Обычный 9 7 3 2 3 4" xfId="57082"/>
    <cellStyle name="Обычный 9 7 3 2 3 4 2" xfId="57083"/>
    <cellStyle name="Обычный 9 7 3 2 3 4 3" xfId="57084"/>
    <cellStyle name="Обычный 9 7 3 2 3 5" xfId="57085"/>
    <cellStyle name="Обычный 9 7 3 2 3 5 2" xfId="57086"/>
    <cellStyle name="Обычный 9 7 3 2 3 6" xfId="57087"/>
    <cellStyle name="Обычный 9 7 3 2 3 7" xfId="57088"/>
    <cellStyle name="Обычный 9 7 3 2 4" xfId="57089"/>
    <cellStyle name="Обычный 9 7 3 2 4 2" xfId="57090"/>
    <cellStyle name="Обычный 9 7 3 2 4 2 2" xfId="57091"/>
    <cellStyle name="Обычный 9 7 3 2 4 2 3" xfId="57092"/>
    <cellStyle name="Обычный 9 7 3 2 4 3" xfId="57093"/>
    <cellStyle name="Обычный 9 7 3 2 4 3 2" xfId="57094"/>
    <cellStyle name="Обычный 9 7 3 2 4 3 3" xfId="57095"/>
    <cellStyle name="Обычный 9 7 3 2 4 4" xfId="57096"/>
    <cellStyle name="Обычный 9 7 3 2 4 4 2" xfId="57097"/>
    <cellStyle name="Обычный 9 7 3 2 4 5" xfId="57098"/>
    <cellStyle name="Обычный 9 7 3 2 4 6" xfId="57099"/>
    <cellStyle name="Обычный 9 7 3 2 5" xfId="57100"/>
    <cellStyle name="Обычный 9 7 3 2 5 2" xfId="57101"/>
    <cellStyle name="Обычный 9 7 3 2 5 3" xfId="57102"/>
    <cellStyle name="Обычный 9 7 3 2 6" xfId="57103"/>
    <cellStyle name="Обычный 9 7 3 2 6 2" xfId="57104"/>
    <cellStyle name="Обычный 9 7 3 2 6 3" xfId="57105"/>
    <cellStyle name="Обычный 9 7 3 2 7" xfId="57106"/>
    <cellStyle name="Обычный 9 7 3 2 7 2" xfId="57107"/>
    <cellStyle name="Обычный 9 7 3 2 8" xfId="57108"/>
    <cellStyle name="Обычный 9 7 3 2 9" xfId="57109"/>
    <cellStyle name="Обычный 9 7 3 3" xfId="57110"/>
    <cellStyle name="Обычный 9 7 3 3 2" xfId="57111"/>
    <cellStyle name="Обычный 9 7 3 3 2 2" xfId="57112"/>
    <cellStyle name="Обычный 9 7 3 3 2 2 2" xfId="57113"/>
    <cellStyle name="Обычный 9 7 3 3 2 2 2 2" xfId="57114"/>
    <cellStyle name="Обычный 9 7 3 3 2 2 2 3" xfId="57115"/>
    <cellStyle name="Обычный 9 7 3 3 2 2 3" xfId="57116"/>
    <cellStyle name="Обычный 9 7 3 3 2 2 3 2" xfId="57117"/>
    <cellStyle name="Обычный 9 7 3 3 2 2 3 3" xfId="57118"/>
    <cellStyle name="Обычный 9 7 3 3 2 2 4" xfId="57119"/>
    <cellStyle name="Обычный 9 7 3 3 2 2 4 2" xfId="57120"/>
    <cellStyle name="Обычный 9 7 3 3 2 2 5" xfId="57121"/>
    <cellStyle name="Обычный 9 7 3 3 2 2 6" xfId="57122"/>
    <cellStyle name="Обычный 9 7 3 3 2 3" xfId="57123"/>
    <cellStyle name="Обычный 9 7 3 3 2 3 2" xfId="57124"/>
    <cellStyle name="Обычный 9 7 3 3 2 3 3" xfId="57125"/>
    <cellStyle name="Обычный 9 7 3 3 2 4" xfId="57126"/>
    <cellStyle name="Обычный 9 7 3 3 2 4 2" xfId="57127"/>
    <cellStyle name="Обычный 9 7 3 3 2 4 3" xfId="57128"/>
    <cellStyle name="Обычный 9 7 3 3 2 5" xfId="57129"/>
    <cellStyle name="Обычный 9 7 3 3 2 5 2" xfId="57130"/>
    <cellStyle name="Обычный 9 7 3 3 2 6" xfId="57131"/>
    <cellStyle name="Обычный 9 7 3 3 2 7" xfId="57132"/>
    <cellStyle name="Обычный 9 7 3 3 3" xfId="57133"/>
    <cellStyle name="Обычный 9 7 3 3 3 2" xfId="57134"/>
    <cellStyle name="Обычный 9 7 3 3 3 2 2" xfId="57135"/>
    <cellStyle name="Обычный 9 7 3 3 3 2 3" xfId="57136"/>
    <cellStyle name="Обычный 9 7 3 3 3 3" xfId="57137"/>
    <cellStyle name="Обычный 9 7 3 3 3 3 2" xfId="57138"/>
    <cellStyle name="Обычный 9 7 3 3 3 3 3" xfId="57139"/>
    <cellStyle name="Обычный 9 7 3 3 3 4" xfId="57140"/>
    <cellStyle name="Обычный 9 7 3 3 3 4 2" xfId="57141"/>
    <cellStyle name="Обычный 9 7 3 3 3 5" xfId="57142"/>
    <cellStyle name="Обычный 9 7 3 3 3 6" xfId="57143"/>
    <cellStyle name="Обычный 9 7 3 3 4" xfId="57144"/>
    <cellStyle name="Обычный 9 7 3 3 4 2" xfId="57145"/>
    <cellStyle name="Обычный 9 7 3 3 4 3" xfId="57146"/>
    <cellStyle name="Обычный 9 7 3 3 5" xfId="57147"/>
    <cellStyle name="Обычный 9 7 3 3 5 2" xfId="57148"/>
    <cellStyle name="Обычный 9 7 3 3 5 3" xfId="57149"/>
    <cellStyle name="Обычный 9 7 3 3 6" xfId="57150"/>
    <cellStyle name="Обычный 9 7 3 3 6 2" xfId="57151"/>
    <cellStyle name="Обычный 9 7 3 3 7" xfId="57152"/>
    <cellStyle name="Обычный 9 7 3 3 8" xfId="57153"/>
    <cellStyle name="Обычный 9 7 3 4" xfId="57154"/>
    <cellStyle name="Обычный 9 7 3 4 2" xfId="57155"/>
    <cellStyle name="Обычный 9 7 3 4 2 2" xfId="57156"/>
    <cellStyle name="Обычный 9 7 3 4 2 2 2" xfId="57157"/>
    <cellStyle name="Обычный 9 7 3 4 2 2 3" xfId="57158"/>
    <cellStyle name="Обычный 9 7 3 4 2 3" xfId="57159"/>
    <cellStyle name="Обычный 9 7 3 4 2 3 2" xfId="57160"/>
    <cellStyle name="Обычный 9 7 3 4 2 3 3" xfId="57161"/>
    <cellStyle name="Обычный 9 7 3 4 2 4" xfId="57162"/>
    <cellStyle name="Обычный 9 7 3 4 2 4 2" xfId="57163"/>
    <cellStyle name="Обычный 9 7 3 4 2 5" xfId="57164"/>
    <cellStyle name="Обычный 9 7 3 4 2 6" xfId="57165"/>
    <cellStyle name="Обычный 9 7 3 4 3" xfId="57166"/>
    <cellStyle name="Обычный 9 7 3 4 3 2" xfId="57167"/>
    <cellStyle name="Обычный 9 7 3 4 3 3" xfId="57168"/>
    <cellStyle name="Обычный 9 7 3 4 4" xfId="57169"/>
    <cellStyle name="Обычный 9 7 3 4 4 2" xfId="57170"/>
    <cellStyle name="Обычный 9 7 3 4 4 3" xfId="57171"/>
    <cellStyle name="Обычный 9 7 3 4 5" xfId="57172"/>
    <cellStyle name="Обычный 9 7 3 4 5 2" xfId="57173"/>
    <cellStyle name="Обычный 9 7 3 4 6" xfId="57174"/>
    <cellStyle name="Обычный 9 7 3 4 7" xfId="57175"/>
    <cellStyle name="Обычный 9 7 3 5" xfId="57176"/>
    <cellStyle name="Обычный 9 7 3 5 2" xfId="57177"/>
    <cellStyle name="Обычный 9 7 3 5 2 2" xfId="57178"/>
    <cellStyle name="Обычный 9 7 3 5 2 3" xfId="57179"/>
    <cellStyle name="Обычный 9 7 3 5 3" xfId="57180"/>
    <cellStyle name="Обычный 9 7 3 5 3 2" xfId="57181"/>
    <cellStyle name="Обычный 9 7 3 5 3 3" xfId="57182"/>
    <cellStyle name="Обычный 9 7 3 5 4" xfId="57183"/>
    <cellStyle name="Обычный 9 7 3 5 4 2" xfId="57184"/>
    <cellStyle name="Обычный 9 7 3 5 5" xfId="57185"/>
    <cellStyle name="Обычный 9 7 3 5 6" xfId="57186"/>
    <cellStyle name="Обычный 9 7 3 6" xfId="57187"/>
    <cellStyle name="Обычный 9 7 3 6 2" xfId="57188"/>
    <cellStyle name="Обычный 9 7 3 6 3" xfId="57189"/>
    <cellStyle name="Обычный 9 7 3 7" xfId="57190"/>
    <cellStyle name="Обычный 9 7 3 7 2" xfId="57191"/>
    <cellStyle name="Обычный 9 7 3 7 3" xfId="57192"/>
    <cellStyle name="Обычный 9 7 3 8" xfId="57193"/>
    <cellStyle name="Обычный 9 7 3 8 2" xfId="57194"/>
    <cellStyle name="Обычный 9 7 3 9" xfId="57195"/>
    <cellStyle name="Обычный 9 7 4" xfId="57196"/>
    <cellStyle name="Обычный 9 7 4 10" xfId="57197"/>
    <cellStyle name="Обычный 9 7 4 2" xfId="57198"/>
    <cellStyle name="Обычный 9 7 4 2 2" xfId="57199"/>
    <cellStyle name="Обычный 9 7 4 2 2 2" xfId="57200"/>
    <cellStyle name="Обычный 9 7 4 2 2 2 2" xfId="57201"/>
    <cellStyle name="Обычный 9 7 4 2 2 2 2 2" xfId="57202"/>
    <cellStyle name="Обычный 9 7 4 2 2 2 2 2 2" xfId="57203"/>
    <cellStyle name="Обычный 9 7 4 2 2 2 2 2 3" xfId="57204"/>
    <cellStyle name="Обычный 9 7 4 2 2 2 2 3" xfId="57205"/>
    <cellStyle name="Обычный 9 7 4 2 2 2 2 3 2" xfId="57206"/>
    <cellStyle name="Обычный 9 7 4 2 2 2 2 3 3" xfId="57207"/>
    <cellStyle name="Обычный 9 7 4 2 2 2 2 4" xfId="57208"/>
    <cellStyle name="Обычный 9 7 4 2 2 2 2 4 2" xfId="57209"/>
    <cellStyle name="Обычный 9 7 4 2 2 2 2 5" xfId="57210"/>
    <cellStyle name="Обычный 9 7 4 2 2 2 2 6" xfId="57211"/>
    <cellStyle name="Обычный 9 7 4 2 2 2 3" xfId="57212"/>
    <cellStyle name="Обычный 9 7 4 2 2 2 3 2" xfId="57213"/>
    <cellStyle name="Обычный 9 7 4 2 2 2 3 3" xfId="57214"/>
    <cellStyle name="Обычный 9 7 4 2 2 2 4" xfId="57215"/>
    <cellStyle name="Обычный 9 7 4 2 2 2 4 2" xfId="57216"/>
    <cellStyle name="Обычный 9 7 4 2 2 2 4 3" xfId="57217"/>
    <cellStyle name="Обычный 9 7 4 2 2 2 5" xfId="57218"/>
    <cellStyle name="Обычный 9 7 4 2 2 2 5 2" xfId="57219"/>
    <cellStyle name="Обычный 9 7 4 2 2 2 6" xfId="57220"/>
    <cellStyle name="Обычный 9 7 4 2 2 2 7" xfId="57221"/>
    <cellStyle name="Обычный 9 7 4 2 2 3" xfId="57222"/>
    <cellStyle name="Обычный 9 7 4 2 2 3 2" xfId="57223"/>
    <cellStyle name="Обычный 9 7 4 2 2 3 2 2" xfId="57224"/>
    <cellStyle name="Обычный 9 7 4 2 2 3 2 3" xfId="57225"/>
    <cellStyle name="Обычный 9 7 4 2 2 3 3" xfId="57226"/>
    <cellStyle name="Обычный 9 7 4 2 2 3 3 2" xfId="57227"/>
    <cellStyle name="Обычный 9 7 4 2 2 3 3 3" xfId="57228"/>
    <cellStyle name="Обычный 9 7 4 2 2 3 4" xfId="57229"/>
    <cellStyle name="Обычный 9 7 4 2 2 3 4 2" xfId="57230"/>
    <cellStyle name="Обычный 9 7 4 2 2 3 5" xfId="57231"/>
    <cellStyle name="Обычный 9 7 4 2 2 3 6" xfId="57232"/>
    <cellStyle name="Обычный 9 7 4 2 2 4" xfId="57233"/>
    <cellStyle name="Обычный 9 7 4 2 2 4 2" xfId="57234"/>
    <cellStyle name="Обычный 9 7 4 2 2 4 3" xfId="57235"/>
    <cellStyle name="Обычный 9 7 4 2 2 5" xfId="57236"/>
    <cellStyle name="Обычный 9 7 4 2 2 5 2" xfId="57237"/>
    <cellStyle name="Обычный 9 7 4 2 2 5 3" xfId="57238"/>
    <cellStyle name="Обычный 9 7 4 2 2 6" xfId="57239"/>
    <cellStyle name="Обычный 9 7 4 2 2 6 2" xfId="57240"/>
    <cellStyle name="Обычный 9 7 4 2 2 7" xfId="57241"/>
    <cellStyle name="Обычный 9 7 4 2 2 8" xfId="57242"/>
    <cellStyle name="Обычный 9 7 4 2 3" xfId="57243"/>
    <cellStyle name="Обычный 9 7 4 2 3 2" xfId="57244"/>
    <cellStyle name="Обычный 9 7 4 2 3 2 2" xfId="57245"/>
    <cellStyle name="Обычный 9 7 4 2 3 2 2 2" xfId="57246"/>
    <cellStyle name="Обычный 9 7 4 2 3 2 2 3" xfId="57247"/>
    <cellStyle name="Обычный 9 7 4 2 3 2 3" xfId="57248"/>
    <cellStyle name="Обычный 9 7 4 2 3 2 3 2" xfId="57249"/>
    <cellStyle name="Обычный 9 7 4 2 3 2 3 3" xfId="57250"/>
    <cellStyle name="Обычный 9 7 4 2 3 2 4" xfId="57251"/>
    <cellStyle name="Обычный 9 7 4 2 3 2 4 2" xfId="57252"/>
    <cellStyle name="Обычный 9 7 4 2 3 2 5" xfId="57253"/>
    <cellStyle name="Обычный 9 7 4 2 3 2 6" xfId="57254"/>
    <cellStyle name="Обычный 9 7 4 2 3 3" xfId="57255"/>
    <cellStyle name="Обычный 9 7 4 2 3 3 2" xfId="57256"/>
    <cellStyle name="Обычный 9 7 4 2 3 3 3" xfId="57257"/>
    <cellStyle name="Обычный 9 7 4 2 3 4" xfId="57258"/>
    <cellStyle name="Обычный 9 7 4 2 3 4 2" xfId="57259"/>
    <cellStyle name="Обычный 9 7 4 2 3 4 3" xfId="57260"/>
    <cellStyle name="Обычный 9 7 4 2 3 5" xfId="57261"/>
    <cellStyle name="Обычный 9 7 4 2 3 5 2" xfId="57262"/>
    <cellStyle name="Обычный 9 7 4 2 3 6" xfId="57263"/>
    <cellStyle name="Обычный 9 7 4 2 3 7" xfId="57264"/>
    <cellStyle name="Обычный 9 7 4 2 4" xfId="57265"/>
    <cellStyle name="Обычный 9 7 4 2 4 2" xfId="57266"/>
    <cellStyle name="Обычный 9 7 4 2 4 2 2" xfId="57267"/>
    <cellStyle name="Обычный 9 7 4 2 4 2 3" xfId="57268"/>
    <cellStyle name="Обычный 9 7 4 2 4 3" xfId="57269"/>
    <cellStyle name="Обычный 9 7 4 2 4 3 2" xfId="57270"/>
    <cellStyle name="Обычный 9 7 4 2 4 3 3" xfId="57271"/>
    <cellStyle name="Обычный 9 7 4 2 4 4" xfId="57272"/>
    <cellStyle name="Обычный 9 7 4 2 4 4 2" xfId="57273"/>
    <cellStyle name="Обычный 9 7 4 2 4 5" xfId="57274"/>
    <cellStyle name="Обычный 9 7 4 2 4 6" xfId="57275"/>
    <cellStyle name="Обычный 9 7 4 2 5" xfId="57276"/>
    <cellStyle name="Обычный 9 7 4 2 5 2" xfId="57277"/>
    <cellStyle name="Обычный 9 7 4 2 5 3" xfId="57278"/>
    <cellStyle name="Обычный 9 7 4 2 6" xfId="57279"/>
    <cellStyle name="Обычный 9 7 4 2 6 2" xfId="57280"/>
    <cellStyle name="Обычный 9 7 4 2 6 3" xfId="57281"/>
    <cellStyle name="Обычный 9 7 4 2 7" xfId="57282"/>
    <cellStyle name="Обычный 9 7 4 2 7 2" xfId="57283"/>
    <cellStyle name="Обычный 9 7 4 2 8" xfId="57284"/>
    <cellStyle name="Обычный 9 7 4 2 9" xfId="57285"/>
    <cellStyle name="Обычный 9 7 4 3" xfId="57286"/>
    <cellStyle name="Обычный 9 7 4 3 2" xfId="57287"/>
    <cellStyle name="Обычный 9 7 4 3 2 2" xfId="57288"/>
    <cellStyle name="Обычный 9 7 4 3 2 2 2" xfId="57289"/>
    <cellStyle name="Обычный 9 7 4 3 2 2 2 2" xfId="57290"/>
    <cellStyle name="Обычный 9 7 4 3 2 2 2 3" xfId="57291"/>
    <cellStyle name="Обычный 9 7 4 3 2 2 3" xfId="57292"/>
    <cellStyle name="Обычный 9 7 4 3 2 2 3 2" xfId="57293"/>
    <cellStyle name="Обычный 9 7 4 3 2 2 3 3" xfId="57294"/>
    <cellStyle name="Обычный 9 7 4 3 2 2 4" xfId="57295"/>
    <cellStyle name="Обычный 9 7 4 3 2 2 4 2" xfId="57296"/>
    <cellStyle name="Обычный 9 7 4 3 2 2 5" xfId="57297"/>
    <cellStyle name="Обычный 9 7 4 3 2 2 6" xfId="57298"/>
    <cellStyle name="Обычный 9 7 4 3 2 3" xfId="57299"/>
    <cellStyle name="Обычный 9 7 4 3 2 3 2" xfId="57300"/>
    <cellStyle name="Обычный 9 7 4 3 2 3 3" xfId="57301"/>
    <cellStyle name="Обычный 9 7 4 3 2 4" xfId="57302"/>
    <cellStyle name="Обычный 9 7 4 3 2 4 2" xfId="57303"/>
    <cellStyle name="Обычный 9 7 4 3 2 4 3" xfId="57304"/>
    <cellStyle name="Обычный 9 7 4 3 2 5" xfId="57305"/>
    <cellStyle name="Обычный 9 7 4 3 2 5 2" xfId="57306"/>
    <cellStyle name="Обычный 9 7 4 3 2 6" xfId="57307"/>
    <cellStyle name="Обычный 9 7 4 3 2 7" xfId="57308"/>
    <cellStyle name="Обычный 9 7 4 3 3" xfId="57309"/>
    <cellStyle name="Обычный 9 7 4 3 3 2" xfId="57310"/>
    <cellStyle name="Обычный 9 7 4 3 3 2 2" xfId="57311"/>
    <cellStyle name="Обычный 9 7 4 3 3 2 3" xfId="57312"/>
    <cellStyle name="Обычный 9 7 4 3 3 3" xfId="57313"/>
    <cellStyle name="Обычный 9 7 4 3 3 3 2" xfId="57314"/>
    <cellStyle name="Обычный 9 7 4 3 3 3 3" xfId="57315"/>
    <cellStyle name="Обычный 9 7 4 3 3 4" xfId="57316"/>
    <cellStyle name="Обычный 9 7 4 3 3 4 2" xfId="57317"/>
    <cellStyle name="Обычный 9 7 4 3 3 5" xfId="57318"/>
    <cellStyle name="Обычный 9 7 4 3 3 6" xfId="57319"/>
    <cellStyle name="Обычный 9 7 4 3 4" xfId="57320"/>
    <cellStyle name="Обычный 9 7 4 3 4 2" xfId="57321"/>
    <cellStyle name="Обычный 9 7 4 3 4 3" xfId="57322"/>
    <cellStyle name="Обычный 9 7 4 3 5" xfId="57323"/>
    <cellStyle name="Обычный 9 7 4 3 5 2" xfId="57324"/>
    <cellStyle name="Обычный 9 7 4 3 5 3" xfId="57325"/>
    <cellStyle name="Обычный 9 7 4 3 6" xfId="57326"/>
    <cellStyle name="Обычный 9 7 4 3 6 2" xfId="57327"/>
    <cellStyle name="Обычный 9 7 4 3 7" xfId="57328"/>
    <cellStyle name="Обычный 9 7 4 3 8" xfId="57329"/>
    <cellStyle name="Обычный 9 7 4 4" xfId="57330"/>
    <cellStyle name="Обычный 9 7 4 4 2" xfId="57331"/>
    <cellStyle name="Обычный 9 7 4 4 2 2" xfId="57332"/>
    <cellStyle name="Обычный 9 7 4 4 2 2 2" xfId="57333"/>
    <cellStyle name="Обычный 9 7 4 4 2 2 3" xfId="57334"/>
    <cellStyle name="Обычный 9 7 4 4 2 3" xfId="57335"/>
    <cellStyle name="Обычный 9 7 4 4 2 3 2" xfId="57336"/>
    <cellStyle name="Обычный 9 7 4 4 2 3 3" xfId="57337"/>
    <cellStyle name="Обычный 9 7 4 4 2 4" xfId="57338"/>
    <cellStyle name="Обычный 9 7 4 4 2 4 2" xfId="57339"/>
    <cellStyle name="Обычный 9 7 4 4 2 5" xfId="57340"/>
    <cellStyle name="Обычный 9 7 4 4 2 6" xfId="57341"/>
    <cellStyle name="Обычный 9 7 4 4 3" xfId="57342"/>
    <cellStyle name="Обычный 9 7 4 4 3 2" xfId="57343"/>
    <cellStyle name="Обычный 9 7 4 4 3 3" xfId="57344"/>
    <cellStyle name="Обычный 9 7 4 4 4" xfId="57345"/>
    <cellStyle name="Обычный 9 7 4 4 4 2" xfId="57346"/>
    <cellStyle name="Обычный 9 7 4 4 4 3" xfId="57347"/>
    <cellStyle name="Обычный 9 7 4 4 5" xfId="57348"/>
    <cellStyle name="Обычный 9 7 4 4 5 2" xfId="57349"/>
    <cellStyle name="Обычный 9 7 4 4 6" xfId="57350"/>
    <cellStyle name="Обычный 9 7 4 4 7" xfId="57351"/>
    <cellStyle name="Обычный 9 7 4 5" xfId="57352"/>
    <cellStyle name="Обычный 9 7 4 5 2" xfId="57353"/>
    <cellStyle name="Обычный 9 7 4 5 2 2" xfId="57354"/>
    <cellStyle name="Обычный 9 7 4 5 2 3" xfId="57355"/>
    <cellStyle name="Обычный 9 7 4 5 3" xfId="57356"/>
    <cellStyle name="Обычный 9 7 4 5 3 2" xfId="57357"/>
    <cellStyle name="Обычный 9 7 4 5 3 3" xfId="57358"/>
    <cellStyle name="Обычный 9 7 4 5 4" xfId="57359"/>
    <cellStyle name="Обычный 9 7 4 5 4 2" xfId="57360"/>
    <cellStyle name="Обычный 9 7 4 5 5" xfId="57361"/>
    <cellStyle name="Обычный 9 7 4 5 6" xfId="57362"/>
    <cellStyle name="Обычный 9 7 4 6" xfId="57363"/>
    <cellStyle name="Обычный 9 7 4 6 2" xfId="57364"/>
    <cellStyle name="Обычный 9 7 4 6 3" xfId="57365"/>
    <cellStyle name="Обычный 9 7 4 7" xfId="57366"/>
    <cellStyle name="Обычный 9 7 4 7 2" xfId="57367"/>
    <cellStyle name="Обычный 9 7 4 7 3" xfId="57368"/>
    <cellStyle name="Обычный 9 7 4 8" xfId="57369"/>
    <cellStyle name="Обычный 9 7 4 8 2" xfId="57370"/>
    <cellStyle name="Обычный 9 7 4 9" xfId="57371"/>
    <cellStyle name="Обычный 9 7 5" xfId="57372"/>
    <cellStyle name="Обычный 9 7 5 10" xfId="57373"/>
    <cellStyle name="Обычный 9 7 5 2" xfId="57374"/>
    <cellStyle name="Обычный 9 7 5 2 2" xfId="57375"/>
    <cellStyle name="Обычный 9 7 5 2 2 2" xfId="57376"/>
    <cellStyle name="Обычный 9 7 5 2 2 2 2" xfId="57377"/>
    <cellStyle name="Обычный 9 7 5 2 2 2 2 2" xfId="57378"/>
    <cellStyle name="Обычный 9 7 5 2 2 2 2 2 2" xfId="57379"/>
    <cellStyle name="Обычный 9 7 5 2 2 2 2 2 3" xfId="57380"/>
    <cellStyle name="Обычный 9 7 5 2 2 2 2 3" xfId="57381"/>
    <cellStyle name="Обычный 9 7 5 2 2 2 2 3 2" xfId="57382"/>
    <cellStyle name="Обычный 9 7 5 2 2 2 2 3 3" xfId="57383"/>
    <cellStyle name="Обычный 9 7 5 2 2 2 2 4" xfId="57384"/>
    <cellStyle name="Обычный 9 7 5 2 2 2 2 4 2" xfId="57385"/>
    <cellStyle name="Обычный 9 7 5 2 2 2 2 5" xfId="57386"/>
    <cellStyle name="Обычный 9 7 5 2 2 2 2 6" xfId="57387"/>
    <cellStyle name="Обычный 9 7 5 2 2 2 3" xfId="57388"/>
    <cellStyle name="Обычный 9 7 5 2 2 2 3 2" xfId="57389"/>
    <cellStyle name="Обычный 9 7 5 2 2 2 3 3" xfId="57390"/>
    <cellStyle name="Обычный 9 7 5 2 2 2 4" xfId="57391"/>
    <cellStyle name="Обычный 9 7 5 2 2 2 4 2" xfId="57392"/>
    <cellStyle name="Обычный 9 7 5 2 2 2 4 3" xfId="57393"/>
    <cellStyle name="Обычный 9 7 5 2 2 2 5" xfId="57394"/>
    <cellStyle name="Обычный 9 7 5 2 2 2 5 2" xfId="57395"/>
    <cellStyle name="Обычный 9 7 5 2 2 2 6" xfId="57396"/>
    <cellStyle name="Обычный 9 7 5 2 2 2 7" xfId="57397"/>
    <cellStyle name="Обычный 9 7 5 2 2 3" xfId="57398"/>
    <cellStyle name="Обычный 9 7 5 2 2 3 2" xfId="57399"/>
    <cellStyle name="Обычный 9 7 5 2 2 3 2 2" xfId="57400"/>
    <cellStyle name="Обычный 9 7 5 2 2 3 2 3" xfId="57401"/>
    <cellStyle name="Обычный 9 7 5 2 2 3 3" xfId="57402"/>
    <cellStyle name="Обычный 9 7 5 2 2 3 3 2" xfId="57403"/>
    <cellStyle name="Обычный 9 7 5 2 2 3 3 3" xfId="57404"/>
    <cellStyle name="Обычный 9 7 5 2 2 3 4" xfId="57405"/>
    <cellStyle name="Обычный 9 7 5 2 2 3 4 2" xfId="57406"/>
    <cellStyle name="Обычный 9 7 5 2 2 3 5" xfId="57407"/>
    <cellStyle name="Обычный 9 7 5 2 2 3 6" xfId="57408"/>
    <cellStyle name="Обычный 9 7 5 2 2 4" xfId="57409"/>
    <cellStyle name="Обычный 9 7 5 2 2 4 2" xfId="57410"/>
    <cellStyle name="Обычный 9 7 5 2 2 4 3" xfId="57411"/>
    <cellStyle name="Обычный 9 7 5 2 2 5" xfId="57412"/>
    <cellStyle name="Обычный 9 7 5 2 2 5 2" xfId="57413"/>
    <cellStyle name="Обычный 9 7 5 2 2 5 3" xfId="57414"/>
    <cellStyle name="Обычный 9 7 5 2 2 6" xfId="57415"/>
    <cellStyle name="Обычный 9 7 5 2 2 6 2" xfId="57416"/>
    <cellStyle name="Обычный 9 7 5 2 2 7" xfId="57417"/>
    <cellStyle name="Обычный 9 7 5 2 2 8" xfId="57418"/>
    <cellStyle name="Обычный 9 7 5 2 3" xfId="57419"/>
    <cellStyle name="Обычный 9 7 5 2 3 2" xfId="57420"/>
    <cellStyle name="Обычный 9 7 5 2 3 2 2" xfId="57421"/>
    <cellStyle name="Обычный 9 7 5 2 3 2 2 2" xfId="57422"/>
    <cellStyle name="Обычный 9 7 5 2 3 2 2 3" xfId="57423"/>
    <cellStyle name="Обычный 9 7 5 2 3 2 3" xfId="57424"/>
    <cellStyle name="Обычный 9 7 5 2 3 2 3 2" xfId="57425"/>
    <cellStyle name="Обычный 9 7 5 2 3 2 3 3" xfId="57426"/>
    <cellStyle name="Обычный 9 7 5 2 3 2 4" xfId="57427"/>
    <cellStyle name="Обычный 9 7 5 2 3 2 4 2" xfId="57428"/>
    <cellStyle name="Обычный 9 7 5 2 3 2 5" xfId="57429"/>
    <cellStyle name="Обычный 9 7 5 2 3 2 6" xfId="57430"/>
    <cellStyle name="Обычный 9 7 5 2 3 3" xfId="57431"/>
    <cellStyle name="Обычный 9 7 5 2 3 3 2" xfId="57432"/>
    <cellStyle name="Обычный 9 7 5 2 3 3 3" xfId="57433"/>
    <cellStyle name="Обычный 9 7 5 2 3 4" xfId="57434"/>
    <cellStyle name="Обычный 9 7 5 2 3 4 2" xfId="57435"/>
    <cellStyle name="Обычный 9 7 5 2 3 4 3" xfId="57436"/>
    <cellStyle name="Обычный 9 7 5 2 3 5" xfId="57437"/>
    <cellStyle name="Обычный 9 7 5 2 3 5 2" xfId="57438"/>
    <cellStyle name="Обычный 9 7 5 2 3 6" xfId="57439"/>
    <cellStyle name="Обычный 9 7 5 2 3 7" xfId="57440"/>
    <cellStyle name="Обычный 9 7 5 2 4" xfId="57441"/>
    <cellStyle name="Обычный 9 7 5 2 4 2" xfId="57442"/>
    <cellStyle name="Обычный 9 7 5 2 4 2 2" xfId="57443"/>
    <cellStyle name="Обычный 9 7 5 2 4 2 3" xfId="57444"/>
    <cellStyle name="Обычный 9 7 5 2 4 3" xfId="57445"/>
    <cellStyle name="Обычный 9 7 5 2 4 3 2" xfId="57446"/>
    <cellStyle name="Обычный 9 7 5 2 4 3 3" xfId="57447"/>
    <cellStyle name="Обычный 9 7 5 2 4 4" xfId="57448"/>
    <cellStyle name="Обычный 9 7 5 2 4 4 2" xfId="57449"/>
    <cellStyle name="Обычный 9 7 5 2 4 5" xfId="57450"/>
    <cellStyle name="Обычный 9 7 5 2 4 6" xfId="57451"/>
    <cellStyle name="Обычный 9 7 5 2 5" xfId="57452"/>
    <cellStyle name="Обычный 9 7 5 2 5 2" xfId="57453"/>
    <cellStyle name="Обычный 9 7 5 2 5 3" xfId="57454"/>
    <cellStyle name="Обычный 9 7 5 2 6" xfId="57455"/>
    <cellStyle name="Обычный 9 7 5 2 6 2" xfId="57456"/>
    <cellStyle name="Обычный 9 7 5 2 6 3" xfId="57457"/>
    <cellStyle name="Обычный 9 7 5 2 7" xfId="57458"/>
    <cellStyle name="Обычный 9 7 5 2 7 2" xfId="57459"/>
    <cellStyle name="Обычный 9 7 5 2 8" xfId="57460"/>
    <cellStyle name="Обычный 9 7 5 2 9" xfId="57461"/>
    <cellStyle name="Обычный 9 7 5 3" xfId="57462"/>
    <cellStyle name="Обычный 9 7 5 3 2" xfId="57463"/>
    <cellStyle name="Обычный 9 7 5 3 2 2" xfId="57464"/>
    <cellStyle name="Обычный 9 7 5 3 2 2 2" xfId="57465"/>
    <cellStyle name="Обычный 9 7 5 3 2 2 2 2" xfId="57466"/>
    <cellStyle name="Обычный 9 7 5 3 2 2 2 3" xfId="57467"/>
    <cellStyle name="Обычный 9 7 5 3 2 2 3" xfId="57468"/>
    <cellStyle name="Обычный 9 7 5 3 2 2 3 2" xfId="57469"/>
    <cellStyle name="Обычный 9 7 5 3 2 2 3 3" xfId="57470"/>
    <cellStyle name="Обычный 9 7 5 3 2 2 4" xfId="57471"/>
    <cellStyle name="Обычный 9 7 5 3 2 2 4 2" xfId="57472"/>
    <cellStyle name="Обычный 9 7 5 3 2 2 5" xfId="57473"/>
    <cellStyle name="Обычный 9 7 5 3 2 2 6" xfId="57474"/>
    <cellStyle name="Обычный 9 7 5 3 2 3" xfId="57475"/>
    <cellStyle name="Обычный 9 7 5 3 2 3 2" xfId="57476"/>
    <cellStyle name="Обычный 9 7 5 3 2 3 3" xfId="57477"/>
    <cellStyle name="Обычный 9 7 5 3 2 4" xfId="57478"/>
    <cellStyle name="Обычный 9 7 5 3 2 4 2" xfId="57479"/>
    <cellStyle name="Обычный 9 7 5 3 2 4 3" xfId="57480"/>
    <cellStyle name="Обычный 9 7 5 3 2 5" xfId="57481"/>
    <cellStyle name="Обычный 9 7 5 3 2 5 2" xfId="57482"/>
    <cellStyle name="Обычный 9 7 5 3 2 6" xfId="57483"/>
    <cellStyle name="Обычный 9 7 5 3 2 7" xfId="57484"/>
    <cellStyle name="Обычный 9 7 5 3 3" xfId="57485"/>
    <cellStyle name="Обычный 9 7 5 3 3 2" xfId="57486"/>
    <cellStyle name="Обычный 9 7 5 3 3 2 2" xfId="57487"/>
    <cellStyle name="Обычный 9 7 5 3 3 2 3" xfId="57488"/>
    <cellStyle name="Обычный 9 7 5 3 3 3" xfId="57489"/>
    <cellStyle name="Обычный 9 7 5 3 3 3 2" xfId="57490"/>
    <cellStyle name="Обычный 9 7 5 3 3 3 3" xfId="57491"/>
    <cellStyle name="Обычный 9 7 5 3 3 4" xfId="57492"/>
    <cellStyle name="Обычный 9 7 5 3 3 4 2" xfId="57493"/>
    <cellStyle name="Обычный 9 7 5 3 3 5" xfId="57494"/>
    <cellStyle name="Обычный 9 7 5 3 3 6" xfId="57495"/>
    <cellStyle name="Обычный 9 7 5 3 4" xfId="57496"/>
    <cellStyle name="Обычный 9 7 5 3 4 2" xfId="57497"/>
    <cellStyle name="Обычный 9 7 5 3 4 3" xfId="57498"/>
    <cellStyle name="Обычный 9 7 5 3 5" xfId="57499"/>
    <cellStyle name="Обычный 9 7 5 3 5 2" xfId="57500"/>
    <cellStyle name="Обычный 9 7 5 3 5 3" xfId="57501"/>
    <cellStyle name="Обычный 9 7 5 3 6" xfId="57502"/>
    <cellStyle name="Обычный 9 7 5 3 6 2" xfId="57503"/>
    <cellStyle name="Обычный 9 7 5 3 7" xfId="57504"/>
    <cellStyle name="Обычный 9 7 5 3 8" xfId="57505"/>
    <cellStyle name="Обычный 9 7 5 4" xfId="57506"/>
    <cellStyle name="Обычный 9 7 5 4 2" xfId="57507"/>
    <cellStyle name="Обычный 9 7 5 4 2 2" xfId="57508"/>
    <cellStyle name="Обычный 9 7 5 4 2 2 2" xfId="57509"/>
    <cellStyle name="Обычный 9 7 5 4 2 2 3" xfId="57510"/>
    <cellStyle name="Обычный 9 7 5 4 2 3" xfId="57511"/>
    <cellStyle name="Обычный 9 7 5 4 2 3 2" xfId="57512"/>
    <cellStyle name="Обычный 9 7 5 4 2 3 3" xfId="57513"/>
    <cellStyle name="Обычный 9 7 5 4 2 4" xfId="57514"/>
    <cellStyle name="Обычный 9 7 5 4 2 4 2" xfId="57515"/>
    <cellStyle name="Обычный 9 7 5 4 2 5" xfId="57516"/>
    <cellStyle name="Обычный 9 7 5 4 2 6" xfId="57517"/>
    <cellStyle name="Обычный 9 7 5 4 3" xfId="57518"/>
    <cellStyle name="Обычный 9 7 5 4 3 2" xfId="57519"/>
    <cellStyle name="Обычный 9 7 5 4 3 3" xfId="57520"/>
    <cellStyle name="Обычный 9 7 5 4 4" xfId="57521"/>
    <cellStyle name="Обычный 9 7 5 4 4 2" xfId="57522"/>
    <cellStyle name="Обычный 9 7 5 4 4 3" xfId="57523"/>
    <cellStyle name="Обычный 9 7 5 4 5" xfId="57524"/>
    <cellStyle name="Обычный 9 7 5 4 5 2" xfId="57525"/>
    <cellStyle name="Обычный 9 7 5 4 6" xfId="57526"/>
    <cellStyle name="Обычный 9 7 5 4 7" xfId="57527"/>
    <cellStyle name="Обычный 9 7 5 5" xfId="57528"/>
    <cellStyle name="Обычный 9 7 5 5 2" xfId="57529"/>
    <cellStyle name="Обычный 9 7 5 5 2 2" xfId="57530"/>
    <cellStyle name="Обычный 9 7 5 5 2 3" xfId="57531"/>
    <cellStyle name="Обычный 9 7 5 5 3" xfId="57532"/>
    <cellStyle name="Обычный 9 7 5 5 3 2" xfId="57533"/>
    <cellStyle name="Обычный 9 7 5 5 3 3" xfId="57534"/>
    <cellStyle name="Обычный 9 7 5 5 4" xfId="57535"/>
    <cellStyle name="Обычный 9 7 5 5 4 2" xfId="57536"/>
    <cellStyle name="Обычный 9 7 5 5 5" xfId="57537"/>
    <cellStyle name="Обычный 9 7 5 5 6" xfId="57538"/>
    <cellStyle name="Обычный 9 7 5 6" xfId="57539"/>
    <cellStyle name="Обычный 9 7 5 6 2" xfId="57540"/>
    <cellStyle name="Обычный 9 7 5 6 3" xfId="57541"/>
    <cellStyle name="Обычный 9 7 5 7" xfId="57542"/>
    <cellStyle name="Обычный 9 7 5 7 2" xfId="57543"/>
    <cellStyle name="Обычный 9 7 5 7 3" xfId="57544"/>
    <cellStyle name="Обычный 9 7 5 8" xfId="57545"/>
    <cellStyle name="Обычный 9 7 5 8 2" xfId="57546"/>
    <cellStyle name="Обычный 9 7 5 9" xfId="57547"/>
    <cellStyle name="Обычный 9 7 6" xfId="57548"/>
    <cellStyle name="Обычный 9 7 6 2" xfId="57549"/>
    <cellStyle name="Обычный 9 7 6 2 2" xfId="57550"/>
    <cellStyle name="Обычный 9 7 6 2 2 2" xfId="57551"/>
    <cellStyle name="Обычный 9 7 6 2 2 2 2" xfId="57552"/>
    <cellStyle name="Обычный 9 7 6 2 2 2 2 2" xfId="57553"/>
    <cellStyle name="Обычный 9 7 6 2 2 2 2 3" xfId="57554"/>
    <cellStyle name="Обычный 9 7 6 2 2 2 3" xfId="57555"/>
    <cellStyle name="Обычный 9 7 6 2 2 2 3 2" xfId="57556"/>
    <cellStyle name="Обычный 9 7 6 2 2 2 3 3" xfId="57557"/>
    <cellStyle name="Обычный 9 7 6 2 2 2 4" xfId="57558"/>
    <cellStyle name="Обычный 9 7 6 2 2 2 4 2" xfId="57559"/>
    <cellStyle name="Обычный 9 7 6 2 2 2 5" xfId="57560"/>
    <cellStyle name="Обычный 9 7 6 2 2 2 6" xfId="57561"/>
    <cellStyle name="Обычный 9 7 6 2 2 3" xfId="57562"/>
    <cellStyle name="Обычный 9 7 6 2 2 3 2" xfId="57563"/>
    <cellStyle name="Обычный 9 7 6 2 2 3 3" xfId="57564"/>
    <cellStyle name="Обычный 9 7 6 2 2 4" xfId="57565"/>
    <cellStyle name="Обычный 9 7 6 2 2 4 2" xfId="57566"/>
    <cellStyle name="Обычный 9 7 6 2 2 4 3" xfId="57567"/>
    <cellStyle name="Обычный 9 7 6 2 2 5" xfId="57568"/>
    <cellStyle name="Обычный 9 7 6 2 2 5 2" xfId="57569"/>
    <cellStyle name="Обычный 9 7 6 2 2 6" xfId="57570"/>
    <cellStyle name="Обычный 9 7 6 2 2 7" xfId="57571"/>
    <cellStyle name="Обычный 9 7 6 2 3" xfId="57572"/>
    <cellStyle name="Обычный 9 7 6 2 3 2" xfId="57573"/>
    <cellStyle name="Обычный 9 7 6 2 3 2 2" xfId="57574"/>
    <cellStyle name="Обычный 9 7 6 2 3 2 3" xfId="57575"/>
    <cellStyle name="Обычный 9 7 6 2 3 3" xfId="57576"/>
    <cellStyle name="Обычный 9 7 6 2 3 3 2" xfId="57577"/>
    <cellStyle name="Обычный 9 7 6 2 3 3 3" xfId="57578"/>
    <cellStyle name="Обычный 9 7 6 2 3 4" xfId="57579"/>
    <cellStyle name="Обычный 9 7 6 2 3 4 2" xfId="57580"/>
    <cellStyle name="Обычный 9 7 6 2 3 5" xfId="57581"/>
    <cellStyle name="Обычный 9 7 6 2 3 6" xfId="57582"/>
    <cellStyle name="Обычный 9 7 6 2 4" xfId="57583"/>
    <cellStyle name="Обычный 9 7 6 2 4 2" xfId="57584"/>
    <cellStyle name="Обычный 9 7 6 2 4 3" xfId="57585"/>
    <cellStyle name="Обычный 9 7 6 2 5" xfId="57586"/>
    <cellStyle name="Обычный 9 7 6 2 5 2" xfId="57587"/>
    <cellStyle name="Обычный 9 7 6 2 5 3" xfId="57588"/>
    <cellStyle name="Обычный 9 7 6 2 6" xfId="57589"/>
    <cellStyle name="Обычный 9 7 6 2 6 2" xfId="57590"/>
    <cellStyle name="Обычный 9 7 6 2 7" xfId="57591"/>
    <cellStyle name="Обычный 9 7 6 2 8" xfId="57592"/>
    <cellStyle name="Обычный 9 7 6 3" xfId="57593"/>
    <cellStyle name="Обычный 9 7 6 3 2" xfId="57594"/>
    <cellStyle name="Обычный 9 7 6 3 2 2" xfId="57595"/>
    <cellStyle name="Обычный 9 7 6 3 2 2 2" xfId="57596"/>
    <cellStyle name="Обычный 9 7 6 3 2 2 3" xfId="57597"/>
    <cellStyle name="Обычный 9 7 6 3 2 3" xfId="57598"/>
    <cellStyle name="Обычный 9 7 6 3 2 3 2" xfId="57599"/>
    <cellStyle name="Обычный 9 7 6 3 2 3 3" xfId="57600"/>
    <cellStyle name="Обычный 9 7 6 3 2 4" xfId="57601"/>
    <cellStyle name="Обычный 9 7 6 3 2 4 2" xfId="57602"/>
    <cellStyle name="Обычный 9 7 6 3 2 5" xfId="57603"/>
    <cellStyle name="Обычный 9 7 6 3 2 6" xfId="57604"/>
    <cellStyle name="Обычный 9 7 6 3 3" xfId="57605"/>
    <cellStyle name="Обычный 9 7 6 3 3 2" xfId="57606"/>
    <cellStyle name="Обычный 9 7 6 3 3 3" xfId="57607"/>
    <cellStyle name="Обычный 9 7 6 3 4" xfId="57608"/>
    <cellStyle name="Обычный 9 7 6 3 4 2" xfId="57609"/>
    <cellStyle name="Обычный 9 7 6 3 4 3" xfId="57610"/>
    <cellStyle name="Обычный 9 7 6 3 5" xfId="57611"/>
    <cellStyle name="Обычный 9 7 6 3 5 2" xfId="57612"/>
    <cellStyle name="Обычный 9 7 6 3 6" xfId="57613"/>
    <cellStyle name="Обычный 9 7 6 3 7" xfId="57614"/>
    <cellStyle name="Обычный 9 7 6 4" xfId="57615"/>
    <cellStyle name="Обычный 9 7 6 4 2" xfId="57616"/>
    <cellStyle name="Обычный 9 7 6 4 2 2" xfId="57617"/>
    <cellStyle name="Обычный 9 7 6 4 2 3" xfId="57618"/>
    <cellStyle name="Обычный 9 7 6 4 3" xfId="57619"/>
    <cellStyle name="Обычный 9 7 6 4 3 2" xfId="57620"/>
    <cellStyle name="Обычный 9 7 6 4 3 3" xfId="57621"/>
    <cellStyle name="Обычный 9 7 6 4 4" xfId="57622"/>
    <cellStyle name="Обычный 9 7 6 4 4 2" xfId="57623"/>
    <cellStyle name="Обычный 9 7 6 4 5" xfId="57624"/>
    <cellStyle name="Обычный 9 7 6 4 6" xfId="57625"/>
    <cellStyle name="Обычный 9 7 6 5" xfId="57626"/>
    <cellStyle name="Обычный 9 7 6 5 2" xfId="57627"/>
    <cellStyle name="Обычный 9 7 6 5 3" xfId="57628"/>
    <cellStyle name="Обычный 9 7 6 6" xfId="57629"/>
    <cellStyle name="Обычный 9 7 6 6 2" xfId="57630"/>
    <cellStyle name="Обычный 9 7 6 6 3" xfId="57631"/>
    <cellStyle name="Обычный 9 7 6 7" xfId="57632"/>
    <cellStyle name="Обычный 9 7 6 7 2" xfId="57633"/>
    <cellStyle name="Обычный 9 7 6 8" xfId="57634"/>
    <cellStyle name="Обычный 9 7 6 9" xfId="57635"/>
    <cellStyle name="Обычный 9 7 7" xfId="57636"/>
    <cellStyle name="Обычный 9 7 7 2" xfId="57637"/>
    <cellStyle name="Обычный 9 7 7 2 2" xfId="57638"/>
    <cellStyle name="Обычный 9 7 7 2 2 2" xfId="57639"/>
    <cellStyle name="Обычный 9 7 7 2 2 2 2" xfId="57640"/>
    <cellStyle name="Обычный 9 7 7 2 2 2 3" xfId="57641"/>
    <cellStyle name="Обычный 9 7 7 2 2 3" xfId="57642"/>
    <cellStyle name="Обычный 9 7 7 2 2 3 2" xfId="57643"/>
    <cellStyle name="Обычный 9 7 7 2 2 3 3" xfId="57644"/>
    <cellStyle name="Обычный 9 7 7 2 2 4" xfId="57645"/>
    <cellStyle name="Обычный 9 7 7 2 2 4 2" xfId="57646"/>
    <cellStyle name="Обычный 9 7 7 2 2 5" xfId="57647"/>
    <cellStyle name="Обычный 9 7 7 2 2 6" xfId="57648"/>
    <cellStyle name="Обычный 9 7 7 2 3" xfId="57649"/>
    <cellStyle name="Обычный 9 7 7 2 3 2" xfId="57650"/>
    <cellStyle name="Обычный 9 7 7 2 3 3" xfId="57651"/>
    <cellStyle name="Обычный 9 7 7 2 4" xfId="57652"/>
    <cellStyle name="Обычный 9 7 7 2 4 2" xfId="57653"/>
    <cellStyle name="Обычный 9 7 7 2 4 3" xfId="57654"/>
    <cellStyle name="Обычный 9 7 7 2 5" xfId="57655"/>
    <cellStyle name="Обычный 9 7 7 2 5 2" xfId="57656"/>
    <cellStyle name="Обычный 9 7 7 2 6" xfId="57657"/>
    <cellStyle name="Обычный 9 7 7 2 7" xfId="57658"/>
    <cellStyle name="Обычный 9 7 7 3" xfId="57659"/>
    <cellStyle name="Обычный 9 7 7 3 2" xfId="57660"/>
    <cellStyle name="Обычный 9 7 7 3 2 2" xfId="57661"/>
    <cellStyle name="Обычный 9 7 7 3 2 3" xfId="57662"/>
    <cellStyle name="Обычный 9 7 7 3 3" xfId="57663"/>
    <cellStyle name="Обычный 9 7 7 3 3 2" xfId="57664"/>
    <cellStyle name="Обычный 9 7 7 3 3 3" xfId="57665"/>
    <cellStyle name="Обычный 9 7 7 3 4" xfId="57666"/>
    <cellStyle name="Обычный 9 7 7 3 4 2" xfId="57667"/>
    <cellStyle name="Обычный 9 7 7 3 5" xfId="57668"/>
    <cellStyle name="Обычный 9 7 7 3 6" xfId="57669"/>
    <cellStyle name="Обычный 9 7 7 4" xfId="57670"/>
    <cellStyle name="Обычный 9 7 7 4 2" xfId="57671"/>
    <cellStyle name="Обычный 9 7 7 4 3" xfId="57672"/>
    <cellStyle name="Обычный 9 7 7 5" xfId="57673"/>
    <cellStyle name="Обычный 9 7 7 5 2" xfId="57674"/>
    <cellStyle name="Обычный 9 7 7 5 3" xfId="57675"/>
    <cellStyle name="Обычный 9 7 7 6" xfId="57676"/>
    <cellStyle name="Обычный 9 7 7 6 2" xfId="57677"/>
    <cellStyle name="Обычный 9 7 7 7" xfId="57678"/>
    <cellStyle name="Обычный 9 7 7 8" xfId="57679"/>
    <cellStyle name="Обычный 9 7 8" xfId="57680"/>
    <cellStyle name="Обычный 9 7 8 2" xfId="57681"/>
    <cellStyle name="Обычный 9 7 8 2 2" xfId="57682"/>
    <cellStyle name="Обычный 9 7 8 2 2 2" xfId="57683"/>
    <cellStyle name="Обычный 9 7 8 2 2 3" xfId="57684"/>
    <cellStyle name="Обычный 9 7 8 2 3" xfId="57685"/>
    <cellStyle name="Обычный 9 7 8 2 3 2" xfId="57686"/>
    <cellStyle name="Обычный 9 7 8 2 3 3" xfId="57687"/>
    <cellStyle name="Обычный 9 7 8 2 4" xfId="57688"/>
    <cellStyle name="Обычный 9 7 8 2 4 2" xfId="57689"/>
    <cellStyle name="Обычный 9 7 8 2 5" xfId="57690"/>
    <cellStyle name="Обычный 9 7 8 2 6" xfId="57691"/>
    <cellStyle name="Обычный 9 7 8 3" xfId="57692"/>
    <cellStyle name="Обычный 9 7 8 3 2" xfId="57693"/>
    <cellStyle name="Обычный 9 7 8 3 3" xfId="57694"/>
    <cellStyle name="Обычный 9 7 8 4" xfId="57695"/>
    <cellStyle name="Обычный 9 7 8 4 2" xfId="57696"/>
    <cellStyle name="Обычный 9 7 8 4 3" xfId="57697"/>
    <cellStyle name="Обычный 9 7 8 5" xfId="57698"/>
    <cellStyle name="Обычный 9 7 8 5 2" xfId="57699"/>
    <cellStyle name="Обычный 9 7 8 6" xfId="57700"/>
    <cellStyle name="Обычный 9 7 8 7" xfId="57701"/>
    <cellStyle name="Обычный 9 7 9" xfId="57702"/>
    <cellStyle name="Обычный 9 7 9 2" xfId="57703"/>
    <cellStyle name="Обычный 9 7 9 2 2" xfId="57704"/>
    <cellStyle name="Обычный 9 7 9 2 3" xfId="57705"/>
    <cellStyle name="Обычный 9 7 9 3" xfId="57706"/>
    <cellStyle name="Обычный 9 7 9 3 2" xfId="57707"/>
    <cellStyle name="Обычный 9 7 9 3 3" xfId="57708"/>
    <cellStyle name="Обычный 9 7 9 4" xfId="57709"/>
    <cellStyle name="Обычный 9 7 9 4 2" xfId="57710"/>
    <cellStyle name="Обычный 9 7 9 5" xfId="57711"/>
    <cellStyle name="Обычный 9 7 9 6" xfId="57712"/>
    <cellStyle name="Обычный 9 8" xfId="57713"/>
    <cellStyle name="Обычный 9 8 10" xfId="57714"/>
    <cellStyle name="Обычный 9 8 10 2" xfId="57715"/>
    <cellStyle name="Обычный 9 8 10 3" xfId="57716"/>
    <cellStyle name="Обычный 9 8 11" xfId="57717"/>
    <cellStyle name="Обычный 9 8 11 2" xfId="57718"/>
    <cellStyle name="Обычный 9 8 11 3" xfId="57719"/>
    <cellStyle name="Обычный 9 8 12" xfId="57720"/>
    <cellStyle name="Обычный 9 8 12 2" xfId="57721"/>
    <cellStyle name="Обычный 9 8 13" xfId="57722"/>
    <cellStyle name="Обычный 9 8 14" xfId="57723"/>
    <cellStyle name="Обычный 9 8 2" xfId="57724"/>
    <cellStyle name="Обычный 9 8 2 10" xfId="57725"/>
    <cellStyle name="Обычный 9 8 2 10 2" xfId="57726"/>
    <cellStyle name="Обычный 9 8 2 10 3" xfId="57727"/>
    <cellStyle name="Обычный 9 8 2 11" xfId="57728"/>
    <cellStyle name="Обычный 9 8 2 11 2" xfId="57729"/>
    <cellStyle name="Обычный 9 8 2 12" xfId="57730"/>
    <cellStyle name="Обычный 9 8 2 13" xfId="57731"/>
    <cellStyle name="Обычный 9 8 2 2" xfId="57732"/>
    <cellStyle name="Обычный 9 8 2 2 10" xfId="57733"/>
    <cellStyle name="Обычный 9 8 2 2 2" xfId="57734"/>
    <cellStyle name="Обычный 9 8 2 2 2 2" xfId="57735"/>
    <cellStyle name="Обычный 9 8 2 2 2 2 2" xfId="57736"/>
    <cellStyle name="Обычный 9 8 2 2 2 2 2 2" xfId="57737"/>
    <cellStyle name="Обычный 9 8 2 2 2 2 2 2 2" xfId="57738"/>
    <cellStyle name="Обычный 9 8 2 2 2 2 2 2 2 2" xfId="57739"/>
    <cellStyle name="Обычный 9 8 2 2 2 2 2 2 2 3" xfId="57740"/>
    <cellStyle name="Обычный 9 8 2 2 2 2 2 2 3" xfId="57741"/>
    <cellStyle name="Обычный 9 8 2 2 2 2 2 2 3 2" xfId="57742"/>
    <cellStyle name="Обычный 9 8 2 2 2 2 2 2 3 3" xfId="57743"/>
    <cellStyle name="Обычный 9 8 2 2 2 2 2 2 4" xfId="57744"/>
    <cellStyle name="Обычный 9 8 2 2 2 2 2 2 4 2" xfId="57745"/>
    <cellStyle name="Обычный 9 8 2 2 2 2 2 2 5" xfId="57746"/>
    <cellStyle name="Обычный 9 8 2 2 2 2 2 2 6" xfId="57747"/>
    <cellStyle name="Обычный 9 8 2 2 2 2 2 3" xfId="57748"/>
    <cellStyle name="Обычный 9 8 2 2 2 2 2 3 2" xfId="57749"/>
    <cellStyle name="Обычный 9 8 2 2 2 2 2 3 3" xfId="57750"/>
    <cellStyle name="Обычный 9 8 2 2 2 2 2 4" xfId="57751"/>
    <cellStyle name="Обычный 9 8 2 2 2 2 2 4 2" xfId="57752"/>
    <cellStyle name="Обычный 9 8 2 2 2 2 2 4 3" xfId="57753"/>
    <cellStyle name="Обычный 9 8 2 2 2 2 2 5" xfId="57754"/>
    <cellStyle name="Обычный 9 8 2 2 2 2 2 5 2" xfId="57755"/>
    <cellStyle name="Обычный 9 8 2 2 2 2 2 6" xfId="57756"/>
    <cellStyle name="Обычный 9 8 2 2 2 2 2 7" xfId="57757"/>
    <cellStyle name="Обычный 9 8 2 2 2 2 3" xfId="57758"/>
    <cellStyle name="Обычный 9 8 2 2 2 2 3 2" xfId="57759"/>
    <cellStyle name="Обычный 9 8 2 2 2 2 3 2 2" xfId="57760"/>
    <cellStyle name="Обычный 9 8 2 2 2 2 3 2 3" xfId="57761"/>
    <cellStyle name="Обычный 9 8 2 2 2 2 3 3" xfId="57762"/>
    <cellStyle name="Обычный 9 8 2 2 2 2 3 3 2" xfId="57763"/>
    <cellStyle name="Обычный 9 8 2 2 2 2 3 3 3" xfId="57764"/>
    <cellStyle name="Обычный 9 8 2 2 2 2 3 4" xfId="57765"/>
    <cellStyle name="Обычный 9 8 2 2 2 2 3 4 2" xfId="57766"/>
    <cellStyle name="Обычный 9 8 2 2 2 2 3 5" xfId="57767"/>
    <cellStyle name="Обычный 9 8 2 2 2 2 3 6" xfId="57768"/>
    <cellStyle name="Обычный 9 8 2 2 2 2 4" xfId="57769"/>
    <cellStyle name="Обычный 9 8 2 2 2 2 4 2" xfId="57770"/>
    <cellStyle name="Обычный 9 8 2 2 2 2 4 3" xfId="57771"/>
    <cellStyle name="Обычный 9 8 2 2 2 2 5" xfId="57772"/>
    <cellStyle name="Обычный 9 8 2 2 2 2 5 2" xfId="57773"/>
    <cellStyle name="Обычный 9 8 2 2 2 2 5 3" xfId="57774"/>
    <cellStyle name="Обычный 9 8 2 2 2 2 6" xfId="57775"/>
    <cellStyle name="Обычный 9 8 2 2 2 2 6 2" xfId="57776"/>
    <cellStyle name="Обычный 9 8 2 2 2 2 7" xfId="57777"/>
    <cellStyle name="Обычный 9 8 2 2 2 2 8" xfId="57778"/>
    <cellStyle name="Обычный 9 8 2 2 2 3" xfId="57779"/>
    <cellStyle name="Обычный 9 8 2 2 2 3 2" xfId="57780"/>
    <cellStyle name="Обычный 9 8 2 2 2 3 2 2" xfId="57781"/>
    <cellStyle name="Обычный 9 8 2 2 2 3 2 2 2" xfId="57782"/>
    <cellStyle name="Обычный 9 8 2 2 2 3 2 2 3" xfId="57783"/>
    <cellStyle name="Обычный 9 8 2 2 2 3 2 3" xfId="57784"/>
    <cellStyle name="Обычный 9 8 2 2 2 3 2 3 2" xfId="57785"/>
    <cellStyle name="Обычный 9 8 2 2 2 3 2 3 3" xfId="57786"/>
    <cellStyle name="Обычный 9 8 2 2 2 3 2 4" xfId="57787"/>
    <cellStyle name="Обычный 9 8 2 2 2 3 2 4 2" xfId="57788"/>
    <cellStyle name="Обычный 9 8 2 2 2 3 2 5" xfId="57789"/>
    <cellStyle name="Обычный 9 8 2 2 2 3 2 6" xfId="57790"/>
    <cellStyle name="Обычный 9 8 2 2 2 3 3" xfId="57791"/>
    <cellStyle name="Обычный 9 8 2 2 2 3 3 2" xfId="57792"/>
    <cellStyle name="Обычный 9 8 2 2 2 3 3 3" xfId="57793"/>
    <cellStyle name="Обычный 9 8 2 2 2 3 4" xfId="57794"/>
    <cellStyle name="Обычный 9 8 2 2 2 3 4 2" xfId="57795"/>
    <cellStyle name="Обычный 9 8 2 2 2 3 4 3" xfId="57796"/>
    <cellStyle name="Обычный 9 8 2 2 2 3 5" xfId="57797"/>
    <cellStyle name="Обычный 9 8 2 2 2 3 5 2" xfId="57798"/>
    <cellStyle name="Обычный 9 8 2 2 2 3 6" xfId="57799"/>
    <cellStyle name="Обычный 9 8 2 2 2 3 7" xfId="57800"/>
    <cellStyle name="Обычный 9 8 2 2 2 4" xfId="57801"/>
    <cellStyle name="Обычный 9 8 2 2 2 4 2" xfId="57802"/>
    <cellStyle name="Обычный 9 8 2 2 2 4 2 2" xfId="57803"/>
    <cellStyle name="Обычный 9 8 2 2 2 4 2 3" xfId="57804"/>
    <cellStyle name="Обычный 9 8 2 2 2 4 3" xfId="57805"/>
    <cellStyle name="Обычный 9 8 2 2 2 4 3 2" xfId="57806"/>
    <cellStyle name="Обычный 9 8 2 2 2 4 3 3" xfId="57807"/>
    <cellStyle name="Обычный 9 8 2 2 2 4 4" xfId="57808"/>
    <cellStyle name="Обычный 9 8 2 2 2 4 4 2" xfId="57809"/>
    <cellStyle name="Обычный 9 8 2 2 2 4 5" xfId="57810"/>
    <cellStyle name="Обычный 9 8 2 2 2 4 6" xfId="57811"/>
    <cellStyle name="Обычный 9 8 2 2 2 5" xfId="57812"/>
    <cellStyle name="Обычный 9 8 2 2 2 5 2" xfId="57813"/>
    <cellStyle name="Обычный 9 8 2 2 2 5 3" xfId="57814"/>
    <cellStyle name="Обычный 9 8 2 2 2 6" xfId="57815"/>
    <cellStyle name="Обычный 9 8 2 2 2 6 2" xfId="57816"/>
    <cellStyle name="Обычный 9 8 2 2 2 6 3" xfId="57817"/>
    <cellStyle name="Обычный 9 8 2 2 2 7" xfId="57818"/>
    <cellStyle name="Обычный 9 8 2 2 2 7 2" xfId="57819"/>
    <cellStyle name="Обычный 9 8 2 2 2 8" xfId="57820"/>
    <cellStyle name="Обычный 9 8 2 2 2 9" xfId="57821"/>
    <cellStyle name="Обычный 9 8 2 2 3" xfId="57822"/>
    <cellStyle name="Обычный 9 8 2 2 3 2" xfId="57823"/>
    <cellStyle name="Обычный 9 8 2 2 3 2 2" xfId="57824"/>
    <cellStyle name="Обычный 9 8 2 2 3 2 2 2" xfId="57825"/>
    <cellStyle name="Обычный 9 8 2 2 3 2 2 2 2" xfId="57826"/>
    <cellStyle name="Обычный 9 8 2 2 3 2 2 2 3" xfId="57827"/>
    <cellStyle name="Обычный 9 8 2 2 3 2 2 3" xfId="57828"/>
    <cellStyle name="Обычный 9 8 2 2 3 2 2 3 2" xfId="57829"/>
    <cellStyle name="Обычный 9 8 2 2 3 2 2 3 3" xfId="57830"/>
    <cellStyle name="Обычный 9 8 2 2 3 2 2 4" xfId="57831"/>
    <cellStyle name="Обычный 9 8 2 2 3 2 2 4 2" xfId="57832"/>
    <cellStyle name="Обычный 9 8 2 2 3 2 2 5" xfId="57833"/>
    <cellStyle name="Обычный 9 8 2 2 3 2 2 6" xfId="57834"/>
    <cellStyle name="Обычный 9 8 2 2 3 2 3" xfId="57835"/>
    <cellStyle name="Обычный 9 8 2 2 3 2 3 2" xfId="57836"/>
    <cellStyle name="Обычный 9 8 2 2 3 2 3 3" xfId="57837"/>
    <cellStyle name="Обычный 9 8 2 2 3 2 4" xfId="57838"/>
    <cellStyle name="Обычный 9 8 2 2 3 2 4 2" xfId="57839"/>
    <cellStyle name="Обычный 9 8 2 2 3 2 4 3" xfId="57840"/>
    <cellStyle name="Обычный 9 8 2 2 3 2 5" xfId="57841"/>
    <cellStyle name="Обычный 9 8 2 2 3 2 5 2" xfId="57842"/>
    <cellStyle name="Обычный 9 8 2 2 3 2 6" xfId="57843"/>
    <cellStyle name="Обычный 9 8 2 2 3 2 7" xfId="57844"/>
    <cellStyle name="Обычный 9 8 2 2 3 3" xfId="57845"/>
    <cellStyle name="Обычный 9 8 2 2 3 3 2" xfId="57846"/>
    <cellStyle name="Обычный 9 8 2 2 3 3 2 2" xfId="57847"/>
    <cellStyle name="Обычный 9 8 2 2 3 3 2 3" xfId="57848"/>
    <cellStyle name="Обычный 9 8 2 2 3 3 3" xfId="57849"/>
    <cellStyle name="Обычный 9 8 2 2 3 3 3 2" xfId="57850"/>
    <cellStyle name="Обычный 9 8 2 2 3 3 3 3" xfId="57851"/>
    <cellStyle name="Обычный 9 8 2 2 3 3 4" xfId="57852"/>
    <cellStyle name="Обычный 9 8 2 2 3 3 4 2" xfId="57853"/>
    <cellStyle name="Обычный 9 8 2 2 3 3 5" xfId="57854"/>
    <cellStyle name="Обычный 9 8 2 2 3 3 6" xfId="57855"/>
    <cellStyle name="Обычный 9 8 2 2 3 4" xfId="57856"/>
    <cellStyle name="Обычный 9 8 2 2 3 4 2" xfId="57857"/>
    <cellStyle name="Обычный 9 8 2 2 3 4 3" xfId="57858"/>
    <cellStyle name="Обычный 9 8 2 2 3 5" xfId="57859"/>
    <cellStyle name="Обычный 9 8 2 2 3 5 2" xfId="57860"/>
    <cellStyle name="Обычный 9 8 2 2 3 5 3" xfId="57861"/>
    <cellStyle name="Обычный 9 8 2 2 3 6" xfId="57862"/>
    <cellStyle name="Обычный 9 8 2 2 3 6 2" xfId="57863"/>
    <cellStyle name="Обычный 9 8 2 2 3 7" xfId="57864"/>
    <cellStyle name="Обычный 9 8 2 2 3 8" xfId="57865"/>
    <cellStyle name="Обычный 9 8 2 2 4" xfId="57866"/>
    <cellStyle name="Обычный 9 8 2 2 4 2" xfId="57867"/>
    <cellStyle name="Обычный 9 8 2 2 4 2 2" xfId="57868"/>
    <cellStyle name="Обычный 9 8 2 2 4 2 2 2" xfId="57869"/>
    <cellStyle name="Обычный 9 8 2 2 4 2 2 3" xfId="57870"/>
    <cellStyle name="Обычный 9 8 2 2 4 2 3" xfId="57871"/>
    <cellStyle name="Обычный 9 8 2 2 4 2 3 2" xfId="57872"/>
    <cellStyle name="Обычный 9 8 2 2 4 2 3 3" xfId="57873"/>
    <cellStyle name="Обычный 9 8 2 2 4 2 4" xfId="57874"/>
    <cellStyle name="Обычный 9 8 2 2 4 2 4 2" xfId="57875"/>
    <cellStyle name="Обычный 9 8 2 2 4 2 5" xfId="57876"/>
    <cellStyle name="Обычный 9 8 2 2 4 2 6" xfId="57877"/>
    <cellStyle name="Обычный 9 8 2 2 4 3" xfId="57878"/>
    <cellStyle name="Обычный 9 8 2 2 4 3 2" xfId="57879"/>
    <cellStyle name="Обычный 9 8 2 2 4 3 3" xfId="57880"/>
    <cellStyle name="Обычный 9 8 2 2 4 4" xfId="57881"/>
    <cellStyle name="Обычный 9 8 2 2 4 4 2" xfId="57882"/>
    <cellStyle name="Обычный 9 8 2 2 4 4 3" xfId="57883"/>
    <cellStyle name="Обычный 9 8 2 2 4 5" xfId="57884"/>
    <cellStyle name="Обычный 9 8 2 2 4 5 2" xfId="57885"/>
    <cellStyle name="Обычный 9 8 2 2 4 6" xfId="57886"/>
    <cellStyle name="Обычный 9 8 2 2 4 7" xfId="57887"/>
    <cellStyle name="Обычный 9 8 2 2 5" xfId="57888"/>
    <cellStyle name="Обычный 9 8 2 2 5 2" xfId="57889"/>
    <cellStyle name="Обычный 9 8 2 2 5 2 2" xfId="57890"/>
    <cellStyle name="Обычный 9 8 2 2 5 2 3" xfId="57891"/>
    <cellStyle name="Обычный 9 8 2 2 5 3" xfId="57892"/>
    <cellStyle name="Обычный 9 8 2 2 5 3 2" xfId="57893"/>
    <cellStyle name="Обычный 9 8 2 2 5 3 3" xfId="57894"/>
    <cellStyle name="Обычный 9 8 2 2 5 4" xfId="57895"/>
    <cellStyle name="Обычный 9 8 2 2 5 4 2" xfId="57896"/>
    <cellStyle name="Обычный 9 8 2 2 5 5" xfId="57897"/>
    <cellStyle name="Обычный 9 8 2 2 5 6" xfId="57898"/>
    <cellStyle name="Обычный 9 8 2 2 6" xfId="57899"/>
    <cellStyle name="Обычный 9 8 2 2 6 2" xfId="57900"/>
    <cellStyle name="Обычный 9 8 2 2 6 3" xfId="57901"/>
    <cellStyle name="Обычный 9 8 2 2 7" xfId="57902"/>
    <cellStyle name="Обычный 9 8 2 2 7 2" xfId="57903"/>
    <cellStyle name="Обычный 9 8 2 2 7 3" xfId="57904"/>
    <cellStyle name="Обычный 9 8 2 2 8" xfId="57905"/>
    <cellStyle name="Обычный 9 8 2 2 8 2" xfId="57906"/>
    <cellStyle name="Обычный 9 8 2 2 9" xfId="57907"/>
    <cellStyle name="Обычный 9 8 2 3" xfId="57908"/>
    <cellStyle name="Обычный 9 8 2 3 10" xfId="57909"/>
    <cellStyle name="Обычный 9 8 2 3 2" xfId="57910"/>
    <cellStyle name="Обычный 9 8 2 3 2 2" xfId="57911"/>
    <cellStyle name="Обычный 9 8 2 3 2 2 2" xfId="57912"/>
    <cellStyle name="Обычный 9 8 2 3 2 2 2 2" xfId="57913"/>
    <cellStyle name="Обычный 9 8 2 3 2 2 2 2 2" xfId="57914"/>
    <cellStyle name="Обычный 9 8 2 3 2 2 2 2 2 2" xfId="57915"/>
    <cellStyle name="Обычный 9 8 2 3 2 2 2 2 2 3" xfId="57916"/>
    <cellStyle name="Обычный 9 8 2 3 2 2 2 2 3" xfId="57917"/>
    <cellStyle name="Обычный 9 8 2 3 2 2 2 2 3 2" xfId="57918"/>
    <cellStyle name="Обычный 9 8 2 3 2 2 2 2 3 3" xfId="57919"/>
    <cellStyle name="Обычный 9 8 2 3 2 2 2 2 4" xfId="57920"/>
    <cellStyle name="Обычный 9 8 2 3 2 2 2 2 4 2" xfId="57921"/>
    <cellStyle name="Обычный 9 8 2 3 2 2 2 2 5" xfId="57922"/>
    <cellStyle name="Обычный 9 8 2 3 2 2 2 2 6" xfId="57923"/>
    <cellStyle name="Обычный 9 8 2 3 2 2 2 3" xfId="57924"/>
    <cellStyle name="Обычный 9 8 2 3 2 2 2 3 2" xfId="57925"/>
    <cellStyle name="Обычный 9 8 2 3 2 2 2 3 3" xfId="57926"/>
    <cellStyle name="Обычный 9 8 2 3 2 2 2 4" xfId="57927"/>
    <cellStyle name="Обычный 9 8 2 3 2 2 2 4 2" xfId="57928"/>
    <cellStyle name="Обычный 9 8 2 3 2 2 2 4 3" xfId="57929"/>
    <cellStyle name="Обычный 9 8 2 3 2 2 2 5" xfId="57930"/>
    <cellStyle name="Обычный 9 8 2 3 2 2 2 5 2" xfId="57931"/>
    <cellStyle name="Обычный 9 8 2 3 2 2 2 6" xfId="57932"/>
    <cellStyle name="Обычный 9 8 2 3 2 2 2 7" xfId="57933"/>
    <cellStyle name="Обычный 9 8 2 3 2 2 3" xfId="57934"/>
    <cellStyle name="Обычный 9 8 2 3 2 2 3 2" xfId="57935"/>
    <cellStyle name="Обычный 9 8 2 3 2 2 3 2 2" xfId="57936"/>
    <cellStyle name="Обычный 9 8 2 3 2 2 3 2 3" xfId="57937"/>
    <cellStyle name="Обычный 9 8 2 3 2 2 3 3" xfId="57938"/>
    <cellStyle name="Обычный 9 8 2 3 2 2 3 3 2" xfId="57939"/>
    <cellStyle name="Обычный 9 8 2 3 2 2 3 3 3" xfId="57940"/>
    <cellStyle name="Обычный 9 8 2 3 2 2 3 4" xfId="57941"/>
    <cellStyle name="Обычный 9 8 2 3 2 2 3 4 2" xfId="57942"/>
    <cellStyle name="Обычный 9 8 2 3 2 2 3 5" xfId="57943"/>
    <cellStyle name="Обычный 9 8 2 3 2 2 3 6" xfId="57944"/>
    <cellStyle name="Обычный 9 8 2 3 2 2 4" xfId="57945"/>
    <cellStyle name="Обычный 9 8 2 3 2 2 4 2" xfId="57946"/>
    <cellStyle name="Обычный 9 8 2 3 2 2 4 3" xfId="57947"/>
    <cellStyle name="Обычный 9 8 2 3 2 2 5" xfId="57948"/>
    <cellStyle name="Обычный 9 8 2 3 2 2 5 2" xfId="57949"/>
    <cellStyle name="Обычный 9 8 2 3 2 2 5 3" xfId="57950"/>
    <cellStyle name="Обычный 9 8 2 3 2 2 6" xfId="57951"/>
    <cellStyle name="Обычный 9 8 2 3 2 2 6 2" xfId="57952"/>
    <cellStyle name="Обычный 9 8 2 3 2 2 7" xfId="57953"/>
    <cellStyle name="Обычный 9 8 2 3 2 2 8" xfId="57954"/>
    <cellStyle name="Обычный 9 8 2 3 2 3" xfId="57955"/>
    <cellStyle name="Обычный 9 8 2 3 2 3 2" xfId="57956"/>
    <cellStyle name="Обычный 9 8 2 3 2 3 2 2" xfId="57957"/>
    <cellStyle name="Обычный 9 8 2 3 2 3 2 2 2" xfId="57958"/>
    <cellStyle name="Обычный 9 8 2 3 2 3 2 2 3" xfId="57959"/>
    <cellStyle name="Обычный 9 8 2 3 2 3 2 3" xfId="57960"/>
    <cellStyle name="Обычный 9 8 2 3 2 3 2 3 2" xfId="57961"/>
    <cellStyle name="Обычный 9 8 2 3 2 3 2 3 3" xfId="57962"/>
    <cellStyle name="Обычный 9 8 2 3 2 3 2 4" xfId="57963"/>
    <cellStyle name="Обычный 9 8 2 3 2 3 2 4 2" xfId="57964"/>
    <cellStyle name="Обычный 9 8 2 3 2 3 2 5" xfId="57965"/>
    <cellStyle name="Обычный 9 8 2 3 2 3 2 6" xfId="57966"/>
    <cellStyle name="Обычный 9 8 2 3 2 3 3" xfId="57967"/>
    <cellStyle name="Обычный 9 8 2 3 2 3 3 2" xfId="57968"/>
    <cellStyle name="Обычный 9 8 2 3 2 3 3 3" xfId="57969"/>
    <cellStyle name="Обычный 9 8 2 3 2 3 4" xfId="57970"/>
    <cellStyle name="Обычный 9 8 2 3 2 3 4 2" xfId="57971"/>
    <cellStyle name="Обычный 9 8 2 3 2 3 4 3" xfId="57972"/>
    <cellStyle name="Обычный 9 8 2 3 2 3 5" xfId="57973"/>
    <cellStyle name="Обычный 9 8 2 3 2 3 5 2" xfId="57974"/>
    <cellStyle name="Обычный 9 8 2 3 2 3 6" xfId="57975"/>
    <cellStyle name="Обычный 9 8 2 3 2 3 7" xfId="57976"/>
    <cellStyle name="Обычный 9 8 2 3 2 4" xfId="57977"/>
    <cellStyle name="Обычный 9 8 2 3 2 4 2" xfId="57978"/>
    <cellStyle name="Обычный 9 8 2 3 2 4 2 2" xfId="57979"/>
    <cellStyle name="Обычный 9 8 2 3 2 4 2 3" xfId="57980"/>
    <cellStyle name="Обычный 9 8 2 3 2 4 3" xfId="57981"/>
    <cellStyle name="Обычный 9 8 2 3 2 4 3 2" xfId="57982"/>
    <cellStyle name="Обычный 9 8 2 3 2 4 3 3" xfId="57983"/>
    <cellStyle name="Обычный 9 8 2 3 2 4 4" xfId="57984"/>
    <cellStyle name="Обычный 9 8 2 3 2 4 4 2" xfId="57985"/>
    <cellStyle name="Обычный 9 8 2 3 2 4 5" xfId="57986"/>
    <cellStyle name="Обычный 9 8 2 3 2 4 6" xfId="57987"/>
    <cellStyle name="Обычный 9 8 2 3 2 5" xfId="57988"/>
    <cellStyle name="Обычный 9 8 2 3 2 5 2" xfId="57989"/>
    <cellStyle name="Обычный 9 8 2 3 2 5 3" xfId="57990"/>
    <cellStyle name="Обычный 9 8 2 3 2 6" xfId="57991"/>
    <cellStyle name="Обычный 9 8 2 3 2 6 2" xfId="57992"/>
    <cellStyle name="Обычный 9 8 2 3 2 6 3" xfId="57993"/>
    <cellStyle name="Обычный 9 8 2 3 2 7" xfId="57994"/>
    <cellStyle name="Обычный 9 8 2 3 2 7 2" xfId="57995"/>
    <cellStyle name="Обычный 9 8 2 3 2 8" xfId="57996"/>
    <cellStyle name="Обычный 9 8 2 3 2 9" xfId="57997"/>
    <cellStyle name="Обычный 9 8 2 3 3" xfId="57998"/>
    <cellStyle name="Обычный 9 8 2 3 3 2" xfId="57999"/>
    <cellStyle name="Обычный 9 8 2 3 3 2 2" xfId="58000"/>
    <cellStyle name="Обычный 9 8 2 3 3 2 2 2" xfId="58001"/>
    <cellStyle name="Обычный 9 8 2 3 3 2 2 2 2" xfId="58002"/>
    <cellStyle name="Обычный 9 8 2 3 3 2 2 2 3" xfId="58003"/>
    <cellStyle name="Обычный 9 8 2 3 3 2 2 3" xfId="58004"/>
    <cellStyle name="Обычный 9 8 2 3 3 2 2 3 2" xfId="58005"/>
    <cellStyle name="Обычный 9 8 2 3 3 2 2 3 3" xfId="58006"/>
    <cellStyle name="Обычный 9 8 2 3 3 2 2 4" xfId="58007"/>
    <cellStyle name="Обычный 9 8 2 3 3 2 2 4 2" xfId="58008"/>
    <cellStyle name="Обычный 9 8 2 3 3 2 2 5" xfId="58009"/>
    <cellStyle name="Обычный 9 8 2 3 3 2 2 6" xfId="58010"/>
    <cellStyle name="Обычный 9 8 2 3 3 2 3" xfId="58011"/>
    <cellStyle name="Обычный 9 8 2 3 3 2 3 2" xfId="58012"/>
    <cellStyle name="Обычный 9 8 2 3 3 2 3 3" xfId="58013"/>
    <cellStyle name="Обычный 9 8 2 3 3 2 4" xfId="58014"/>
    <cellStyle name="Обычный 9 8 2 3 3 2 4 2" xfId="58015"/>
    <cellStyle name="Обычный 9 8 2 3 3 2 4 3" xfId="58016"/>
    <cellStyle name="Обычный 9 8 2 3 3 2 5" xfId="58017"/>
    <cellStyle name="Обычный 9 8 2 3 3 2 5 2" xfId="58018"/>
    <cellStyle name="Обычный 9 8 2 3 3 2 6" xfId="58019"/>
    <cellStyle name="Обычный 9 8 2 3 3 2 7" xfId="58020"/>
    <cellStyle name="Обычный 9 8 2 3 3 3" xfId="58021"/>
    <cellStyle name="Обычный 9 8 2 3 3 3 2" xfId="58022"/>
    <cellStyle name="Обычный 9 8 2 3 3 3 2 2" xfId="58023"/>
    <cellStyle name="Обычный 9 8 2 3 3 3 2 3" xfId="58024"/>
    <cellStyle name="Обычный 9 8 2 3 3 3 3" xfId="58025"/>
    <cellStyle name="Обычный 9 8 2 3 3 3 3 2" xfId="58026"/>
    <cellStyle name="Обычный 9 8 2 3 3 3 3 3" xfId="58027"/>
    <cellStyle name="Обычный 9 8 2 3 3 3 4" xfId="58028"/>
    <cellStyle name="Обычный 9 8 2 3 3 3 4 2" xfId="58029"/>
    <cellStyle name="Обычный 9 8 2 3 3 3 5" xfId="58030"/>
    <cellStyle name="Обычный 9 8 2 3 3 3 6" xfId="58031"/>
    <cellStyle name="Обычный 9 8 2 3 3 4" xfId="58032"/>
    <cellStyle name="Обычный 9 8 2 3 3 4 2" xfId="58033"/>
    <cellStyle name="Обычный 9 8 2 3 3 4 3" xfId="58034"/>
    <cellStyle name="Обычный 9 8 2 3 3 5" xfId="58035"/>
    <cellStyle name="Обычный 9 8 2 3 3 5 2" xfId="58036"/>
    <cellStyle name="Обычный 9 8 2 3 3 5 3" xfId="58037"/>
    <cellStyle name="Обычный 9 8 2 3 3 6" xfId="58038"/>
    <cellStyle name="Обычный 9 8 2 3 3 6 2" xfId="58039"/>
    <cellStyle name="Обычный 9 8 2 3 3 7" xfId="58040"/>
    <cellStyle name="Обычный 9 8 2 3 3 8" xfId="58041"/>
    <cellStyle name="Обычный 9 8 2 3 4" xfId="58042"/>
    <cellStyle name="Обычный 9 8 2 3 4 2" xfId="58043"/>
    <cellStyle name="Обычный 9 8 2 3 4 2 2" xfId="58044"/>
    <cellStyle name="Обычный 9 8 2 3 4 2 2 2" xfId="58045"/>
    <cellStyle name="Обычный 9 8 2 3 4 2 2 3" xfId="58046"/>
    <cellStyle name="Обычный 9 8 2 3 4 2 3" xfId="58047"/>
    <cellStyle name="Обычный 9 8 2 3 4 2 3 2" xfId="58048"/>
    <cellStyle name="Обычный 9 8 2 3 4 2 3 3" xfId="58049"/>
    <cellStyle name="Обычный 9 8 2 3 4 2 4" xfId="58050"/>
    <cellStyle name="Обычный 9 8 2 3 4 2 4 2" xfId="58051"/>
    <cellStyle name="Обычный 9 8 2 3 4 2 5" xfId="58052"/>
    <cellStyle name="Обычный 9 8 2 3 4 2 6" xfId="58053"/>
    <cellStyle name="Обычный 9 8 2 3 4 3" xfId="58054"/>
    <cellStyle name="Обычный 9 8 2 3 4 3 2" xfId="58055"/>
    <cellStyle name="Обычный 9 8 2 3 4 3 3" xfId="58056"/>
    <cellStyle name="Обычный 9 8 2 3 4 4" xfId="58057"/>
    <cellStyle name="Обычный 9 8 2 3 4 4 2" xfId="58058"/>
    <cellStyle name="Обычный 9 8 2 3 4 4 3" xfId="58059"/>
    <cellStyle name="Обычный 9 8 2 3 4 5" xfId="58060"/>
    <cellStyle name="Обычный 9 8 2 3 4 5 2" xfId="58061"/>
    <cellStyle name="Обычный 9 8 2 3 4 6" xfId="58062"/>
    <cellStyle name="Обычный 9 8 2 3 4 7" xfId="58063"/>
    <cellStyle name="Обычный 9 8 2 3 5" xfId="58064"/>
    <cellStyle name="Обычный 9 8 2 3 5 2" xfId="58065"/>
    <cellStyle name="Обычный 9 8 2 3 5 2 2" xfId="58066"/>
    <cellStyle name="Обычный 9 8 2 3 5 2 3" xfId="58067"/>
    <cellStyle name="Обычный 9 8 2 3 5 3" xfId="58068"/>
    <cellStyle name="Обычный 9 8 2 3 5 3 2" xfId="58069"/>
    <cellStyle name="Обычный 9 8 2 3 5 3 3" xfId="58070"/>
    <cellStyle name="Обычный 9 8 2 3 5 4" xfId="58071"/>
    <cellStyle name="Обычный 9 8 2 3 5 4 2" xfId="58072"/>
    <cellStyle name="Обычный 9 8 2 3 5 5" xfId="58073"/>
    <cellStyle name="Обычный 9 8 2 3 5 6" xfId="58074"/>
    <cellStyle name="Обычный 9 8 2 3 6" xfId="58075"/>
    <cellStyle name="Обычный 9 8 2 3 6 2" xfId="58076"/>
    <cellStyle name="Обычный 9 8 2 3 6 3" xfId="58077"/>
    <cellStyle name="Обычный 9 8 2 3 7" xfId="58078"/>
    <cellStyle name="Обычный 9 8 2 3 7 2" xfId="58079"/>
    <cellStyle name="Обычный 9 8 2 3 7 3" xfId="58080"/>
    <cellStyle name="Обычный 9 8 2 3 8" xfId="58081"/>
    <cellStyle name="Обычный 9 8 2 3 8 2" xfId="58082"/>
    <cellStyle name="Обычный 9 8 2 3 9" xfId="58083"/>
    <cellStyle name="Обычный 9 8 2 4" xfId="58084"/>
    <cellStyle name="Обычный 9 8 2 4 10" xfId="58085"/>
    <cellStyle name="Обычный 9 8 2 4 2" xfId="58086"/>
    <cellStyle name="Обычный 9 8 2 4 2 2" xfId="58087"/>
    <cellStyle name="Обычный 9 8 2 4 2 2 2" xfId="58088"/>
    <cellStyle name="Обычный 9 8 2 4 2 2 2 2" xfId="58089"/>
    <cellStyle name="Обычный 9 8 2 4 2 2 2 2 2" xfId="58090"/>
    <cellStyle name="Обычный 9 8 2 4 2 2 2 2 2 2" xfId="58091"/>
    <cellStyle name="Обычный 9 8 2 4 2 2 2 2 2 3" xfId="58092"/>
    <cellStyle name="Обычный 9 8 2 4 2 2 2 2 3" xfId="58093"/>
    <cellStyle name="Обычный 9 8 2 4 2 2 2 2 3 2" xfId="58094"/>
    <cellStyle name="Обычный 9 8 2 4 2 2 2 2 3 3" xfId="58095"/>
    <cellStyle name="Обычный 9 8 2 4 2 2 2 2 4" xfId="58096"/>
    <cellStyle name="Обычный 9 8 2 4 2 2 2 2 4 2" xfId="58097"/>
    <cellStyle name="Обычный 9 8 2 4 2 2 2 2 5" xfId="58098"/>
    <cellStyle name="Обычный 9 8 2 4 2 2 2 2 6" xfId="58099"/>
    <cellStyle name="Обычный 9 8 2 4 2 2 2 3" xfId="58100"/>
    <cellStyle name="Обычный 9 8 2 4 2 2 2 3 2" xfId="58101"/>
    <cellStyle name="Обычный 9 8 2 4 2 2 2 3 3" xfId="58102"/>
    <cellStyle name="Обычный 9 8 2 4 2 2 2 4" xfId="58103"/>
    <cellStyle name="Обычный 9 8 2 4 2 2 2 4 2" xfId="58104"/>
    <cellStyle name="Обычный 9 8 2 4 2 2 2 4 3" xfId="58105"/>
    <cellStyle name="Обычный 9 8 2 4 2 2 2 5" xfId="58106"/>
    <cellStyle name="Обычный 9 8 2 4 2 2 2 5 2" xfId="58107"/>
    <cellStyle name="Обычный 9 8 2 4 2 2 2 6" xfId="58108"/>
    <cellStyle name="Обычный 9 8 2 4 2 2 2 7" xfId="58109"/>
    <cellStyle name="Обычный 9 8 2 4 2 2 3" xfId="58110"/>
    <cellStyle name="Обычный 9 8 2 4 2 2 3 2" xfId="58111"/>
    <cellStyle name="Обычный 9 8 2 4 2 2 3 2 2" xfId="58112"/>
    <cellStyle name="Обычный 9 8 2 4 2 2 3 2 3" xfId="58113"/>
    <cellStyle name="Обычный 9 8 2 4 2 2 3 3" xfId="58114"/>
    <cellStyle name="Обычный 9 8 2 4 2 2 3 3 2" xfId="58115"/>
    <cellStyle name="Обычный 9 8 2 4 2 2 3 3 3" xfId="58116"/>
    <cellStyle name="Обычный 9 8 2 4 2 2 3 4" xfId="58117"/>
    <cellStyle name="Обычный 9 8 2 4 2 2 3 4 2" xfId="58118"/>
    <cellStyle name="Обычный 9 8 2 4 2 2 3 5" xfId="58119"/>
    <cellStyle name="Обычный 9 8 2 4 2 2 3 6" xfId="58120"/>
    <cellStyle name="Обычный 9 8 2 4 2 2 4" xfId="58121"/>
    <cellStyle name="Обычный 9 8 2 4 2 2 4 2" xfId="58122"/>
    <cellStyle name="Обычный 9 8 2 4 2 2 4 3" xfId="58123"/>
    <cellStyle name="Обычный 9 8 2 4 2 2 5" xfId="58124"/>
    <cellStyle name="Обычный 9 8 2 4 2 2 5 2" xfId="58125"/>
    <cellStyle name="Обычный 9 8 2 4 2 2 5 3" xfId="58126"/>
    <cellStyle name="Обычный 9 8 2 4 2 2 6" xfId="58127"/>
    <cellStyle name="Обычный 9 8 2 4 2 2 6 2" xfId="58128"/>
    <cellStyle name="Обычный 9 8 2 4 2 2 7" xfId="58129"/>
    <cellStyle name="Обычный 9 8 2 4 2 2 8" xfId="58130"/>
    <cellStyle name="Обычный 9 8 2 4 2 3" xfId="58131"/>
    <cellStyle name="Обычный 9 8 2 4 2 3 2" xfId="58132"/>
    <cellStyle name="Обычный 9 8 2 4 2 3 2 2" xfId="58133"/>
    <cellStyle name="Обычный 9 8 2 4 2 3 2 2 2" xfId="58134"/>
    <cellStyle name="Обычный 9 8 2 4 2 3 2 2 3" xfId="58135"/>
    <cellStyle name="Обычный 9 8 2 4 2 3 2 3" xfId="58136"/>
    <cellStyle name="Обычный 9 8 2 4 2 3 2 3 2" xfId="58137"/>
    <cellStyle name="Обычный 9 8 2 4 2 3 2 3 3" xfId="58138"/>
    <cellStyle name="Обычный 9 8 2 4 2 3 2 4" xfId="58139"/>
    <cellStyle name="Обычный 9 8 2 4 2 3 2 4 2" xfId="58140"/>
    <cellStyle name="Обычный 9 8 2 4 2 3 2 5" xfId="58141"/>
    <cellStyle name="Обычный 9 8 2 4 2 3 2 6" xfId="58142"/>
    <cellStyle name="Обычный 9 8 2 4 2 3 3" xfId="58143"/>
    <cellStyle name="Обычный 9 8 2 4 2 3 3 2" xfId="58144"/>
    <cellStyle name="Обычный 9 8 2 4 2 3 3 3" xfId="58145"/>
    <cellStyle name="Обычный 9 8 2 4 2 3 4" xfId="58146"/>
    <cellStyle name="Обычный 9 8 2 4 2 3 4 2" xfId="58147"/>
    <cellStyle name="Обычный 9 8 2 4 2 3 4 3" xfId="58148"/>
    <cellStyle name="Обычный 9 8 2 4 2 3 5" xfId="58149"/>
    <cellStyle name="Обычный 9 8 2 4 2 3 5 2" xfId="58150"/>
    <cellStyle name="Обычный 9 8 2 4 2 3 6" xfId="58151"/>
    <cellStyle name="Обычный 9 8 2 4 2 3 7" xfId="58152"/>
    <cellStyle name="Обычный 9 8 2 4 2 4" xfId="58153"/>
    <cellStyle name="Обычный 9 8 2 4 2 4 2" xfId="58154"/>
    <cellStyle name="Обычный 9 8 2 4 2 4 2 2" xfId="58155"/>
    <cellStyle name="Обычный 9 8 2 4 2 4 2 3" xfId="58156"/>
    <cellStyle name="Обычный 9 8 2 4 2 4 3" xfId="58157"/>
    <cellStyle name="Обычный 9 8 2 4 2 4 3 2" xfId="58158"/>
    <cellStyle name="Обычный 9 8 2 4 2 4 3 3" xfId="58159"/>
    <cellStyle name="Обычный 9 8 2 4 2 4 4" xfId="58160"/>
    <cellStyle name="Обычный 9 8 2 4 2 4 4 2" xfId="58161"/>
    <cellStyle name="Обычный 9 8 2 4 2 4 5" xfId="58162"/>
    <cellStyle name="Обычный 9 8 2 4 2 4 6" xfId="58163"/>
    <cellStyle name="Обычный 9 8 2 4 2 5" xfId="58164"/>
    <cellStyle name="Обычный 9 8 2 4 2 5 2" xfId="58165"/>
    <cellStyle name="Обычный 9 8 2 4 2 5 3" xfId="58166"/>
    <cellStyle name="Обычный 9 8 2 4 2 6" xfId="58167"/>
    <cellStyle name="Обычный 9 8 2 4 2 6 2" xfId="58168"/>
    <cellStyle name="Обычный 9 8 2 4 2 6 3" xfId="58169"/>
    <cellStyle name="Обычный 9 8 2 4 2 7" xfId="58170"/>
    <cellStyle name="Обычный 9 8 2 4 2 7 2" xfId="58171"/>
    <cellStyle name="Обычный 9 8 2 4 2 8" xfId="58172"/>
    <cellStyle name="Обычный 9 8 2 4 2 9" xfId="58173"/>
    <cellStyle name="Обычный 9 8 2 4 3" xfId="58174"/>
    <cellStyle name="Обычный 9 8 2 4 3 2" xfId="58175"/>
    <cellStyle name="Обычный 9 8 2 4 3 2 2" xfId="58176"/>
    <cellStyle name="Обычный 9 8 2 4 3 2 2 2" xfId="58177"/>
    <cellStyle name="Обычный 9 8 2 4 3 2 2 2 2" xfId="58178"/>
    <cellStyle name="Обычный 9 8 2 4 3 2 2 2 3" xfId="58179"/>
    <cellStyle name="Обычный 9 8 2 4 3 2 2 3" xfId="58180"/>
    <cellStyle name="Обычный 9 8 2 4 3 2 2 3 2" xfId="58181"/>
    <cellStyle name="Обычный 9 8 2 4 3 2 2 3 3" xfId="58182"/>
    <cellStyle name="Обычный 9 8 2 4 3 2 2 4" xfId="58183"/>
    <cellStyle name="Обычный 9 8 2 4 3 2 2 4 2" xfId="58184"/>
    <cellStyle name="Обычный 9 8 2 4 3 2 2 5" xfId="58185"/>
    <cellStyle name="Обычный 9 8 2 4 3 2 2 6" xfId="58186"/>
    <cellStyle name="Обычный 9 8 2 4 3 2 3" xfId="58187"/>
    <cellStyle name="Обычный 9 8 2 4 3 2 3 2" xfId="58188"/>
    <cellStyle name="Обычный 9 8 2 4 3 2 3 3" xfId="58189"/>
    <cellStyle name="Обычный 9 8 2 4 3 2 4" xfId="58190"/>
    <cellStyle name="Обычный 9 8 2 4 3 2 4 2" xfId="58191"/>
    <cellStyle name="Обычный 9 8 2 4 3 2 4 3" xfId="58192"/>
    <cellStyle name="Обычный 9 8 2 4 3 2 5" xfId="58193"/>
    <cellStyle name="Обычный 9 8 2 4 3 2 5 2" xfId="58194"/>
    <cellStyle name="Обычный 9 8 2 4 3 2 6" xfId="58195"/>
    <cellStyle name="Обычный 9 8 2 4 3 2 7" xfId="58196"/>
    <cellStyle name="Обычный 9 8 2 4 3 3" xfId="58197"/>
    <cellStyle name="Обычный 9 8 2 4 3 3 2" xfId="58198"/>
    <cellStyle name="Обычный 9 8 2 4 3 3 2 2" xfId="58199"/>
    <cellStyle name="Обычный 9 8 2 4 3 3 2 3" xfId="58200"/>
    <cellStyle name="Обычный 9 8 2 4 3 3 3" xfId="58201"/>
    <cellStyle name="Обычный 9 8 2 4 3 3 3 2" xfId="58202"/>
    <cellStyle name="Обычный 9 8 2 4 3 3 3 3" xfId="58203"/>
    <cellStyle name="Обычный 9 8 2 4 3 3 4" xfId="58204"/>
    <cellStyle name="Обычный 9 8 2 4 3 3 4 2" xfId="58205"/>
    <cellStyle name="Обычный 9 8 2 4 3 3 5" xfId="58206"/>
    <cellStyle name="Обычный 9 8 2 4 3 3 6" xfId="58207"/>
    <cellStyle name="Обычный 9 8 2 4 3 4" xfId="58208"/>
    <cellStyle name="Обычный 9 8 2 4 3 4 2" xfId="58209"/>
    <cellStyle name="Обычный 9 8 2 4 3 4 3" xfId="58210"/>
    <cellStyle name="Обычный 9 8 2 4 3 5" xfId="58211"/>
    <cellStyle name="Обычный 9 8 2 4 3 5 2" xfId="58212"/>
    <cellStyle name="Обычный 9 8 2 4 3 5 3" xfId="58213"/>
    <cellStyle name="Обычный 9 8 2 4 3 6" xfId="58214"/>
    <cellStyle name="Обычный 9 8 2 4 3 6 2" xfId="58215"/>
    <cellStyle name="Обычный 9 8 2 4 3 7" xfId="58216"/>
    <cellStyle name="Обычный 9 8 2 4 3 8" xfId="58217"/>
    <cellStyle name="Обычный 9 8 2 4 4" xfId="58218"/>
    <cellStyle name="Обычный 9 8 2 4 4 2" xfId="58219"/>
    <cellStyle name="Обычный 9 8 2 4 4 2 2" xfId="58220"/>
    <cellStyle name="Обычный 9 8 2 4 4 2 2 2" xfId="58221"/>
    <cellStyle name="Обычный 9 8 2 4 4 2 2 3" xfId="58222"/>
    <cellStyle name="Обычный 9 8 2 4 4 2 3" xfId="58223"/>
    <cellStyle name="Обычный 9 8 2 4 4 2 3 2" xfId="58224"/>
    <cellStyle name="Обычный 9 8 2 4 4 2 3 3" xfId="58225"/>
    <cellStyle name="Обычный 9 8 2 4 4 2 4" xfId="58226"/>
    <cellStyle name="Обычный 9 8 2 4 4 2 4 2" xfId="58227"/>
    <cellStyle name="Обычный 9 8 2 4 4 2 5" xfId="58228"/>
    <cellStyle name="Обычный 9 8 2 4 4 2 6" xfId="58229"/>
    <cellStyle name="Обычный 9 8 2 4 4 3" xfId="58230"/>
    <cellStyle name="Обычный 9 8 2 4 4 3 2" xfId="58231"/>
    <cellStyle name="Обычный 9 8 2 4 4 3 3" xfId="58232"/>
    <cellStyle name="Обычный 9 8 2 4 4 4" xfId="58233"/>
    <cellStyle name="Обычный 9 8 2 4 4 4 2" xfId="58234"/>
    <cellStyle name="Обычный 9 8 2 4 4 4 3" xfId="58235"/>
    <cellStyle name="Обычный 9 8 2 4 4 5" xfId="58236"/>
    <cellStyle name="Обычный 9 8 2 4 4 5 2" xfId="58237"/>
    <cellStyle name="Обычный 9 8 2 4 4 6" xfId="58238"/>
    <cellStyle name="Обычный 9 8 2 4 4 7" xfId="58239"/>
    <cellStyle name="Обычный 9 8 2 4 5" xfId="58240"/>
    <cellStyle name="Обычный 9 8 2 4 5 2" xfId="58241"/>
    <cellStyle name="Обычный 9 8 2 4 5 2 2" xfId="58242"/>
    <cellStyle name="Обычный 9 8 2 4 5 2 3" xfId="58243"/>
    <cellStyle name="Обычный 9 8 2 4 5 3" xfId="58244"/>
    <cellStyle name="Обычный 9 8 2 4 5 3 2" xfId="58245"/>
    <cellStyle name="Обычный 9 8 2 4 5 3 3" xfId="58246"/>
    <cellStyle name="Обычный 9 8 2 4 5 4" xfId="58247"/>
    <cellStyle name="Обычный 9 8 2 4 5 4 2" xfId="58248"/>
    <cellStyle name="Обычный 9 8 2 4 5 5" xfId="58249"/>
    <cellStyle name="Обычный 9 8 2 4 5 6" xfId="58250"/>
    <cellStyle name="Обычный 9 8 2 4 6" xfId="58251"/>
    <cellStyle name="Обычный 9 8 2 4 6 2" xfId="58252"/>
    <cellStyle name="Обычный 9 8 2 4 6 3" xfId="58253"/>
    <cellStyle name="Обычный 9 8 2 4 7" xfId="58254"/>
    <cellStyle name="Обычный 9 8 2 4 7 2" xfId="58255"/>
    <cellStyle name="Обычный 9 8 2 4 7 3" xfId="58256"/>
    <cellStyle name="Обычный 9 8 2 4 8" xfId="58257"/>
    <cellStyle name="Обычный 9 8 2 4 8 2" xfId="58258"/>
    <cellStyle name="Обычный 9 8 2 4 9" xfId="58259"/>
    <cellStyle name="Обычный 9 8 2 5" xfId="58260"/>
    <cellStyle name="Обычный 9 8 2 5 2" xfId="58261"/>
    <cellStyle name="Обычный 9 8 2 5 2 2" xfId="58262"/>
    <cellStyle name="Обычный 9 8 2 5 2 2 2" xfId="58263"/>
    <cellStyle name="Обычный 9 8 2 5 2 2 2 2" xfId="58264"/>
    <cellStyle name="Обычный 9 8 2 5 2 2 2 2 2" xfId="58265"/>
    <cellStyle name="Обычный 9 8 2 5 2 2 2 2 3" xfId="58266"/>
    <cellStyle name="Обычный 9 8 2 5 2 2 2 3" xfId="58267"/>
    <cellStyle name="Обычный 9 8 2 5 2 2 2 3 2" xfId="58268"/>
    <cellStyle name="Обычный 9 8 2 5 2 2 2 3 3" xfId="58269"/>
    <cellStyle name="Обычный 9 8 2 5 2 2 2 4" xfId="58270"/>
    <cellStyle name="Обычный 9 8 2 5 2 2 2 4 2" xfId="58271"/>
    <cellStyle name="Обычный 9 8 2 5 2 2 2 5" xfId="58272"/>
    <cellStyle name="Обычный 9 8 2 5 2 2 2 6" xfId="58273"/>
    <cellStyle name="Обычный 9 8 2 5 2 2 3" xfId="58274"/>
    <cellStyle name="Обычный 9 8 2 5 2 2 3 2" xfId="58275"/>
    <cellStyle name="Обычный 9 8 2 5 2 2 3 3" xfId="58276"/>
    <cellStyle name="Обычный 9 8 2 5 2 2 4" xfId="58277"/>
    <cellStyle name="Обычный 9 8 2 5 2 2 4 2" xfId="58278"/>
    <cellStyle name="Обычный 9 8 2 5 2 2 4 3" xfId="58279"/>
    <cellStyle name="Обычный 9 8 2 5 2 2 5" xfId="58280"/>
    <cellStyle name="Обычный 9 8 2 5 2 2 5 2" xfId="58281"/>
    <cellStyle name="Обычный 9 8 2 5 2 2 6" xfId="58282"/>
    <cellStyle name="Обычный 9 8 2 5 2 2 7" xfId="58283"/>
    <cellStyle name="Обычный 9 8 2 5 2 3" xfId="58284"/>
    <cellStyle name="Обычный 9 8 2 5 2 3 2" xfId="58285"/>
    <cellStyle name="Обычный 9 8 2 5 2 3 2 2" xfId="58286"/>
    <cellStyle name="Обычный 9 8 2 5 2 3 2 3" xfId="58287"/>
    <cellStyle name="Обычный 9 8 2 5 2 3 3" xfId="58288"/>
    <cellStyle name="Обычный 9 8 2 5 2 3 3 2" xfId="58289"/>
    <cellStyle name="Обычный 9 8 2 5 2 3 3 3" xfId="58290"/>
    <cellStyle name="Обычный 9 8 2 5 2 3 4" xfId="58291"/>
    <cellStyle name="Обычный 9 8 2 5 2 3 4 2" xfId="58292"/>
    <cellStyle name="Обычный 9 8 2 5 2 3 5" xfId="58293"/>
    <cellStyle name="Обычный 9 8 2 5 2 3 6" xfId="58294"/>
    <cellStyle name="Обычный 9 8 2 5 2 4" xfId="58295"/>
    <cellStyle name="Обычный 9 8 2 5 2 4 2" xfId="58296"/>
    <cellStyle name="Обычный 9 8 2 5 2 4 3" xfId="58297"/>
    <cellStyle name="Обычный 9 8 2 5 2 5" xfId="58298"/>
    <cellStyle name="Обычный 9 8 2 5 2 5 2" xfId="58299"/>
    <cellStyle name="Обычный 9 8 2 5 2 5 3" xfId="58300"/>
    <cellStyle name="Обычный 9 8 2 5 2 6" xfId="58301"/>
    <cellStyle name="Обычный 9 8 2 5 2 6 2" xfId="58302"/>
    <cellStyle name="Обычный 9 8 2 5 2 7" xfId="58303"/>
    <cellStyle name="Обычный 9 8 2 5 2 8" xfId="58304"/>
    <cellStyle name="Обычный 9 8 2 5 3" xfId="58305"/>
    <cellStyle name="Обычный 9 8 2 5 3 2" xfId="58306"/>
    <cellStyle name="Обычный 9 8 2 5 3 2 2" xfId="58307"/>
    <cellStyle name="Обычный 9 8 2 5 3 2 2 2" xfId="58308"/>
    <cellStyle name="Обычный 9 8 2 5 3 2 2 3" xfId="58309"/>
    <cellStyle name="Обычный 9 8 2 5 3 2 3" xfId="58310"/>
    <cellStyle name="Обычный 9 8 2 5 3 2 3 2" xfId="58311"/>
    <cellStyle name="Обычный 9 8 2 5 3 2 3 3" xfId="58312"/>
    <cellStyle name="Обычный 9 8 2 5 3 2 4" xfId="58313"/>
    <cellStyle name="Обычный 9 8 2 5 3 2 4 2" xfId="58314"/>
    <cellStyle name="Обычный 9 8 2 5 3 2 5" xfId="58315"/>
    <cellStyle name="Обычный 9 8 2 5 3 2 6" xfId="58316"/>
    <cellStyle name="Обычный 9 8 2 5 3 3" xfId="58317"/>
    <cellStyle name="Обычный 9 8 2 5 3 3 2" xfId="58318"/>
    <cellStyle name="Обычный 9 8 2 5 3 3 3" xfId="58319"/>
    <cellStyle name="Обычный 9 8 2 5 3 4" xfId="58320"/>
    <cellStyle name="Обычный 9 8 2 5 3 4 2" xfId="58321"/>
    <cellStyle name="Обычный 9 8 2 5 3 4 3" xfId="58322"/>
    <cellStyle name="Обычный 9 8 2 5 3 5" xfId="58323"/>
    <cellStyle name="Обычный 9 8 2 5 3 5 2" xfId="58324"/>
    <cellStyle name="Обычный 9 8 2 5 3 6" xfId="58325"/>
    <cellStyle name="Обычный 9 8 2 5 3 7" xfId="58326"/>
    <cellStyle name="Обычный 9 8 2 5 4" xfId="58327"/>
    <cellStyle name="Обычный 9 8 2 5 4 2" xfId="58328"/>
    <cellStyle name="Обычный 9 8 2 5 4 2 2" xfId="58329"/>
    <cellStyle name="Обычный 9 8 2 5 4 2 3" xfId="58330"/>
    <cellStyle name="Обычный 9 8 2 5 4 3" xfId="58331"/>
    <cellStyle name="Обычный 9 8 2 5 4 3 2" xfId="58332"/>
    <cellStyle name="Обычный 9 8 2 5 4 3 3" xfId="58333"/>
    <cellStyle name="Обычный 9 8 2 5 4 4" xfId="58334"/>
    <cellStyle name="Обычный 9 8 2 5 4 4 2" xfId="58335"/>
    <cellStyle name="Обычный 9 8 2 5 4 5" xfId="58336"/>
    <cellStyle name="Обычный 9 8 2 5 4 6" xfId="58337"/>
    <cellStyle name="Обычный 9 8 2 5 5" xfId="58338"/>
    <cellStyle name="Обычный 9 8 2 5 5 2" xfId="58339"/>
    <cellStyle name="Обычный 9 8 2 5 5 3" xfId="58340"/>
    <cellStyle name="Обычный 9 8 2 5 6" xfId="58341"/>
    <cellStyle name="Обычный 9 8 2 5 6 2" xfId="58342"/>
    <cellStyle name="Обычный 9 8 2 5 6 3" xfId="58343"/>
    <cellStyle name="Обычный 9 8 2 5 7" xfId="58344"/>
    <cellStyle name="Обычный 9 8 2 5 7 2" xfId="58345"/>
    <cellStyle name="Обычный 9 8 2 5 8" xfId="58346"/>
    <cellStyle name="Обычный 9 8 2 5 9" xfId="58347"/>
    <cellStyle name="Обычный 9 8 2 6" xfId="58348"/>
    <cellStyle name="Обычный 9 8 2 6 2" xfId="58349"/>
    <cellStyle name="Обычный 9 8 2 6 2 2" xfId="58350"/>
    <cellStyle name="Обычный 9 8 2 6 2 2 2" xfId="58351"/>
    <cellStyle name="Обычный 9 8 2 6 2 2 2 2" xfId="58352"/>
    <cellStyle name="Обычный 9 8 2 6 2 2 2 3" xfId="58353"/>
    <cellStyle name="Обычный 9 8 2 6 2 2 3" xfId="58354"/>
    <cellStyle name="Обычный 9 8 2 6 2 2 3 2" xfId="58355"/>
    <cellStyle name="Обычный 9 8 2 6 2 2 3 3" xfId="58356"/>
    <cellStyle name="Обычный 9 8 2 6 2 2 4" xfId="58357"/>
    <cellStyle name="Обычный 9 8 2 6 2 2 4 2" xfId="58358"/>
    <cellStyle name="Обычный 9 8 2 6 2 2 5" xfId="58359"/>
    <cellStyle name="Обычный 9 8 2 6 2 2 6" xfId="58360"/>
    <cellStyle name="Обычный 9 8 2 6 2 3" xfId="58361"/>
    <cellStyle name="Обычный 9 8 2 6 2 3 2" xfId="58362"/>
    <cellStyle name="Обычный 9 8 2 6 2 3 3" xfId="58363"/>
    <cellStyle name="Обычный 9 8 2 6 2 4" xfId="58364"/>
    <cellStyle name="Обычный 9 8 2 6 2 4 2" xfId="58365"/>
    <cellStyle name="Обычный 9 8 2 6 2 4 3" xfId="58366"/>
    <cellStyle name="Обычный 9 8 2 6 2 5" xfId="58367"/>
    <cellStyle name="Обычный 9 8 2 6 2 5 2" xfId="58368"/>
    <cellStyle name="Обычный 9 8 2 6 2 6" xfId="58369"/>
    <cellStyle name="Обычный 9 8 2 6 2 7" xfId="58370"/>
    <cellStyle name="Обычный 9 8 2 6 3" xfId="58371"/>
    <cellStyle name="Обычный 9 8 2 6 3 2" xfId="58372"/>
    <cellStyle name="Обычный 9 8 2 6 3 2 2" xfId="58373"/>
    <cellStyle name="Обычный 9 8 2 6 3 2 3" xfId="58374"/>
    <cellStyle name="Обычный 9 8 2 6 3 3" xfId="58375"/>
    <cellStyle name="Обычный 9 8 2 6 3 3 2" xfId="58376"/>
    <cellStyle name="Обычный 9 8 2 6 3 3 3" xfId="58377"/>
    <cellStyle name="Обычный 9 8 2 6 3 4" xfId="58378"/>
    <cellStyle name="Обычный 9 8 2 6 3 4 2" xfId="58379"/>
    <cellStyle name="Обычный 9 8 2 6 3 5" xfId="58380"/>
    <cellStyle name="Обычный 9 8 2 6 3 6" xfId="58381"/>
    <cellStyle name="Обычный 9 8 2 6 4" xfId="58382"/>
    <cellStyle name="Обычный 9 8 2 6 4 2" xfId="58383"/>
    <cellStyle name="Обычный 9 8 2 6 4 3" xfId="58384"/>
    <cellStyle name="Обычный 9 8 2 6 5" xfId="58385"/>
    <cellStyle name="Обычный 9 8 2 6 5 2" xfId="58386"/>
    <cellStyle name="Обычный 9 8 2 6 5 3" xfId="58387"/>
    <cellStyle name="Обычный 9 8 2 6 6" xfId="58388"/>
    <cellStyle name="Обычный 9 8 2 6 6 2" xfId="58389"/>
    <cellStyle name="Обычный 9 8 2 6 7" xfId="58390"/>
    <cellStyle name="Обычный 9 8 2 6 8" xfId="58391"/>
    <cellStyle name="Обычный 9 8 2 7" xfId="58392"/>
    <cellStyle name="Обычный 9 8 2 7 2" xfId="58393"/>
    <cellStyle name="Обычный 9 8 2 7 2 2" xfId="58394"/>
    <cellStyle name="Обычный 9 8 2 7 2 2 2" xfId="58395"/>
    <cellStyle name="Обычный 9 8 2 7 2 2 3" xfId="58396"/>
    <cellStyle name="Обычный 9 8 2 7 2 3" xfId="58397"/>
    <cellStyle name="Обычный 9 8 2 7 2 3 2" xfId="58398"/>
    <cellStyle name="Обычный 9 8 2 7 2 3 3" xfId="58399"/>
    <cellStyle name="Обычный 9 8 2 7 2 4" xfId="58400"/>
    <cellStyle name="Обычный 9 8 2 7 2 4 2" xfId="58401"/>
    <cellStyle name="Обычный 9 8 2 7 2 5" xfId="58402"/>
    <cellStyle name="Обычный 9 8 2 7 2 6" xfId="58403"/>
    <cellStyle name="Обычный 9 8 2 7 3" xfId="58404"/>
    <cellStyle name="Обычный 9 8 2 7 3 2" xfId="58405"/>
    <cellStyle name="Обычный 9 8 2 7 3 3" xfId="58406"/>
    <cellStyle name="Обычный 9 8 2 7 4" xfId="58407"/>
    <cellStyle name="Обычный 9 8 2 7 4 2" xfId="58408"/>
    <cellStyle name="Обычный 9 8 2 7 4 3" xfId="58409"/>
    <cellStyle name="Обычный 9 8 2 7 5" xfId="58410"/>
    <cellStyle name="Обычный 9 8 2 7 5 2" xfId="58411"/>
    <cellStyle name="Обычный 9 8 2 7 6" xfId="58412"/>
    <cellStyle name="Обычный 9 8 2 7 7" xfId="58413"/>
    <cellStyle name="Обычный 9 8 2 8" xfId="58414"/>
    <cellStyle name="Обычный 9 8 2 8 2" xfId="58415"/>
    <cellStyle name="Обычный 9 8 2 8 2 2" xfId="58416"/>
    <cellStyle name="Обычный 9 8 2 8 2 3" xfId="58417"/>
    <cellStyle name="Обычный 9 8 2 8 3" xfId="58418"/>
    <cellStyle name="Обычный 9 8 2 8 3 2" xfId="58419"/>
    <cellStyle name="Обычный 9 8 2 8 3 3" xfId="58420"/>
    <cellStyle name="Обычный 9 8 2 8 4" xfId="58421"/>
    <cellStyle name="Обычный 9 8 2 8 4 2" xfId="58422"/>
    <cellStyle name="Обычный 9 8 2 8 5" xfId="58423"/>
    <cellStyle name="Обычный 9 8 2 8 6" xfId="58424"/>
    <cellStyle name="Обычный 9 8 2 9" xfId="58425"/>
    <cellStyle name="Обычный 9 8 2 9 2" xfId="58426"/>
    <cellStyle name="Обычный 9 8 2 9 3" xfId="58427"/>
    <cellStyle name="Обычный 9 8 3" xfId="58428"/>
    <cellStyle name="Обычный 9 8 3 10" xfId="58429"/>
    <cellStyle name="Обычный 9 8 3 2" xfId="58430"/>
    <cellStyle name="Обычный 9 8 3 2 2" xfId="58431"/>
    <cellStyle name="Обычный 9 8 3 2 2 2" xfId="58432"/>
    <cellStyle name="Обычный 9 8 3 2 2 2 2" xfId="58433"/>
    <cellStyle name="Обычный 9 8 3 2 2 2 2 2" xfId="58434"/>
    <cellStyle name="Обычный 9 8 3 2 2 2 2 2 2" xfId="58435"/>
    <cellStyle name="Обычный 9 8 3 2 2 2 2 2 3" xfId="58436"/>
    <cellStyle name="Обычный 9 8 3 2 2 2 2 3" xfId="58437"/>
    <cellStyle name="Обычный 9 8 3 2 2 2 2 3 2" xfId="58438"/>
    <cellStyle name="Обычный 9 8 3 2 2 2 2 3 3" xfId="58439"/>
    <cellStyle name="Обычный 9 8 3 2 2 2 2 4" xfId="58440"/>
    <cellStyle name="Обычный 9 8 3 2 2 2 2 4 2" xfId="58441"/>
    <cellStyle name="Обычный 9 8 3 2 2 2 2 5" xfId="58442"/>
    <cellStyle name="Обычный 9 8 3 2 2 2 2 6" xfId="58443"/>
    <cellStyle name="Обычный 9 8 3 2 2 2 3" xfId="58444"/>
    <cellStyle name="Обычный 9 8 3 2 2 2 3 2" xfId="58445"/>
    <cellStyle name="Обычный 9 8 3 2 2 2 3 3" xfId="58446"/>
    <cellStyle name="Обычный 9 8 3 2 2 2 4" xfId="58447"/>
    <cellStyle name="Обычный 9 8 3 2 2 2 4 2" xfId="58448"/>
    <cellStyle name="Обычный 9 8 3 2 2 2 4 3" xfId="58449"/>
    <cellStyle name="Обычный 9 8 3 2 2 2 5" xfId="58450"/>
    <cellStyle name="Обычный 9 8 3 2 2 2 5 2" xfId="58451"/>
    <cellStyle name="Обычный 9 8 3 2 2 2 6" xfId="58452"/>
    <cellStyle name="Обычный 9 8 3 2 2 2 7" xfId="58453"/>
    <cellStyle name="Обычный 9 8 3 2 2 3" xfId="58454"/>
    <cellStyle name="Обычный 9 8 3 2 2 3 2" xfId="58455"/>
    <cellStyle name="Обычный 9 8 3 2 2 3 2 2" xfId="58456"/>
    <cellStyle name="Обычный 9 8 3 2 2 3 2 3" xfId="58457"/>
    <cellStyle name="Обычный 9 8 3 2 2 3 3" xfId="58458"/>
    <cellStyle name="Обычный 9 8 3 2 2 3 3 2" xfId="58459"/>
    <cellStyle name="Обычный 9 8 3 2 2 3 3 3" xfId="58460"/>
    <cellStyle name="Обычный 9 8 3 2 2 3 4" xfId="58461"/>
    <cellStyle name="Обычный 9 8 3 2 2 3 4 2" xfId="58462"/>
    <cellStyle name="Обычный 9 8 3 2 2 3 5" xfId="58463"/>
    <cellStyle name="Обычный 9 8 3 2 2 3 6" xfId="58464"/>
    <cellStyle name="Обычный 9 8 3 2 2 4" xfId="58465"/>
    <cellStyle name="Обычный 9 8 3 2 2 4 2" xfId="58466"/>
    <cellStyle name="Обычный 9 8 3 2 2 4 3" xfId="58467"/>
    <cellStyle name="Обычный 9 8 3 2 2 5" xfId="58468"/>
    <cellStyle name="Обычный 9 8 3 2 2 5 2" xfId="58469"/>
    <cellStyle name="Обычный 9 8 3 2 2 5 3" xfId="58470"/>
    <cellStyle name="Обычный 9 8 3 2 2 6" xfId="58471"/>
    <cellStyle name="Обычный 9 8 3 2 2 6 2" xfId="58472"/>
    <cellStyle name="Обычный 9 8 3 2 2 7" xfId="58473"/>
    <cellStyle name="Обычный 9 8 3 2 2 8" xfId="58474"/>
    <cellStyle name="Обычный 9 8 3 2 3" xfId="58475"/>
    <cellStyle name="Обычный 9 8 3 2 3 2" xfId="58476"/>
    <cellStyle name="Обычный 9 8 3 2 3 2 2" xfId="58477"/>
    <cellStyle name="Обычный 9 8 3 2 3 2 2 2" xfId="58478"/>
    <cellStyle name="Обычный 9 8 3 2 3 2 2 3" xfId="58479"/>
    <cellStyle name="Обычный 9 8 3 2 3 2 3" xfId="58480"/>
    <cellStyle name="Обычный 9 8 3 2 3 2 3 2" xfId="58481"/>
    <cellStyle name="Обычный 9 8 3 2 3 2 3 3" xfId="58482"/>
    <cellStyle name="Обычный 9 8 3 2 3 2 4" xfId="58483"/>
    <cellStyle name="Обычный 9 8 3 2 3 2 4 2" xfId="58484"/>
    <cellStyle name="Обычный 9 8 3 2 3 2 5" xfId="58485"/>
    <cellStyle name="Обычный 9 8 3 2 3 2 6" xfId="58486"/>
    <cellStyle name="Обычный 9 8 3 2 3 3" xfId="58487"/>
    <cellStyle name="Обычный 9 8 3 2 3 3 2" xfId="58488"/>
    <cellStyle name="Обычный 9 8 3 2 3 3 3" xfId="58489"/>
    <cellStyle name="Обычный 9 8 3 2 3 4" xfId="58490"/>
    <cellStyle name="Обычный 9 8 3 2 3 4 2" xfId="58491"/>
    <cellStyle name="Обычный 9 8 3 2 3 4 3" xfId="58492"/>
    <cellStyle name="Обычный 9 8 3 2 3 5" xfId="58493"/>
    <cellStyle name="Обычный 9 8 3 2 3 5 2" xfId="58494"/>
    <cellStyle name="Обычный 9 8 3 2 3 6" xfId="58495"/>
    <cellStyle name="Обычный 9 8 3 2 3 7" xfId="58496"/>
    <cellStyle name="Обычный 9 8 3 2 4" xfId="58497"/>
    <cellStyle name="Обычный 9 8 3 2 4 2" xfId="58498"/>
    <cellStyle name="Обычный 9 8 3 2 4 2 2" xfId="58499"/>
    <cellStyle name="Обычный 9 8 3 2 4 2 3" xfId="58500"/>
    <cellStyle name="Обычный 9 8 3 2 4 3" xfId="58501"/>
    <cellStyle name="Обычный 9 8 3 2 4 3 2" xfId="58502"/>
    <cellStyle name="Обычный 9 8 3 2 4 3 3" xfId="58503"/>
    <cellStyle name="Обычный 9 8 3 2 4 4" xfId="58504"/>
    <cellStyle name="Обычный 9 8 3 2 4 4 2" xfId="58505"/>
    <cellStyle name="Обычный 9 8 3 2 4 5" xfId="58506"/>
    <cellStyle name="Обычный 9 8 3 2 4 6" xfId="58507"/>
    <cellStyle name="Обычный 9 8 3 2 5" xfId="58508"/>
    <cellStyle name="Обычный 9 8 3 2 5 2" xfId="58509"/>
    <cellStyle name="Обычный 9 8 3 2 5 3" xfId="58510"/>
    <cellStyle name="Обычный 9 8 3 2 6" xfId="58511"/>
    <cellStyle name="Обычный 9 8 3 2 6 2" xfId="58512"/>
    <cellStyle name="Обычный 9 8 3 2 6 3" xfId="58513"/>
    <cellStyle name="Обычный 9 8 3 2 7" xfId="58514"/>
    <cellStyle name="Обычный 9 8 3 2 7 2" xfId="58515"/>
    <cellStyle name="Обычный 9 8 3 2 8" xfId="58516"/>
    <cellStyle name="Обычный 9 8 3 2 9" xfId="58517"/>
    <cellStyle name="Обычный 9 8 3 3" xfId="58518"/>
    <cellStyle name="Обычный 9 8 3 3 2" xfId="58519"/>
    <cellStyle name="Обычный 9 8 3 3 2 2" xfId="58520"/>
    <cellStyle name="Обычный 9 8 3 3 2 2 2" xfId="58521"/>
    <cellStyle name="Обычный 9 8 3 3 2 2 2 2" xfId="58522"/>
    <cellStyle name="Обычный 9 8 3 3 2 2 2 3" xfId="58523"/>
    <cellStyle name="Обычный 9 8 3 3 2 2 3" xfId="58524"/>
    <cellStyle name="Обычный 9 8 3 3 2 2 3 2" xfId="58525"/>
    <cellStyle name="Обычный 9 8 3 3 2 2 3 3" xfId="58526"/>
    <cellStyle name="Обычный 9 8 3 3 2 2 4" xfId="58527"/>
    <cellStyle name="Обычный 9 8 3 3 2 2 4 2" xfId="58528"/>
    <cellStyle name="Обычный 9 8 3 3 2 2 5" xfId="58529"/>
    <cellStyle name="Обычный 9 8 3 3 2 2 6" xfId="58530"/>
    <cellStyle name="Обычный 9 8 3 3 2 3" xfId="58531"/>
    <cellStyle name="Обычный 9 8 3 3 2 3 2" xfId="58532"/>
    <cellStyle name="Обычный 9 8 3 3 2 3 3" xfId="58533"/>
    <cellStyle name="Обычный 9 8 3 3 2 4" xfId="58534"/>
    <cellStyle name="Обычный 9 8 3 3 2 4 2" xfId="58535"/>
    <cellStyle name="Обычный 9 8 3 3 2 4 3" xfId="58536"/>
    <cellStyle name="Обычный 9 8 3 3 2 5" xfId="58537"/>
    <cellStyle name="Обычный 9 8 3 3 2 5 2" xfId="58538"/>
    <cellStyle name="Обычный 9 8 3 3 2 6" xfId="58539"/>
    <cellStyle name="Обычный 9 8 3 3 2 7" xfId="58540"/>
    <cellStyle name="Обычный 9 8 3 3 3" xfId="58541"/>
    <cellStyle name="Обычный 9 8 3 3 3 2" xfId="58542"/>
    <cellStyle name="Обычный 9 8 3 3 3 2 2" xfId="58543"/>
    <cellStyle name="Обычный 9 8 3 3 3 2 3" xfId="58544"/>
    <cellStyle name="Обычный 9 8 3 3 3 3" xfId="58545"/>
    <cellStyle name="Обычный 9 8 3 3 3 3 2" xfId="58546"/>
    <cellStyle name="Обычный 9 8 3 3 3 3 3" xfId="58547"/>
    <cellStyle name="Обычный 9 8 3 3 3 4" xfId="58548"/>
    <cellStyle name="Обычный 9 8 3 3 3 4 2" xfId="58549"/>
    <cellStyle name="Обычный 9 8 3 3 3 5" xfId="58550"/>
    <cellStyle name="Обычный 9 8 3 3 3 6" xfId="58551"/>
    <cellStyle name="Обычный 9 8 3 3 4" xfId="58552"/>
    <cellStyle name="Обычный 9 8 3 3 4 2" xfId="58553"/>
    <cellStyle name="Обычный 9 8 3 3 4 3" xfId="58554"/>
    <cellStyle name="Обычный 9 8 3 3 5" xfId="58555"/>
    <cellStyle name="Обычный 9 8 3 3 5 2" xfId="58556"/>
    <cellStyle name="Обычный 9 8 3 3 5 3" xfId="58557"/>
    <cellStyle name="Обычный 9 8 3 3 6" xfId="58558"/>
    <cellStyle name="Обычный 9 8 3 3 6 2" xfId="58559"/>
    <cellStyle name="Обычный 9 8 3 3 7" xfId="58560"/>
    <cellStyle name="Обычный 9 8 3 3 8" xfId="58561"/>
    <cellStyle name="Обычный 9 8 3 4" xfId="58562"/>
    <cellStyle name="Обычный 9 8 3 4 2" xfId="58563"/>
    <cellStyle name="Обычный 9 8 3 4 2 2" xfId="58564"/>
    <cellStyle name="Обычный 9 8 3 4 2 2 2" xfId="58565"/>
    <cellStyle name="Обычный 9 8 3 4 2 2 3" xfId="58566"/>
    <cellStyle name="Обычный 9 8 3 4 2 3" xfId="58567"/>
    <cellStyle name="Обычный 9 8 3 4 2 3 2" xfId="58568"/>
    <cellStyle name="Обычный 9 8 3 4 2 3 3" xfId="58569"/>
    <cellStyle name="Обычный 9 8 3 4 2 4" xfId="58570"/>
    <cellStyle name="Обычный 9 8 3 4 2 4 2" xfId="58571"/>
    <cellStyle name="Обычный 9 8 3 4 2 5" xfId="58572"/>
    <cellStyle name="Обычный 9 8 3 4 2 6" xfId="58573"/>
    <cellStyle name="Обычный 9 8 3 4 3" xfId="58574"/>
    <cellStyle name="Обычный 9 8 3 4 3 2" xfId="58575"/>
    <cellStyle name="Обычный 9 8 3 4 3 3" xfId="58576"/>
    <cellStyle name="Обычный 9 8 3 4 4" xfId="58577"/>
    <cellStyle name="Обычный 9 8 3 4 4 2" xfId="58578"/>
    <cellStyle name="Обычный 9 8 3 4 4 3" xfId="58579"/>
    <cellStyle name="Обычный 9 8 3 4 5" xfId="58580"/>
    <cellStyle name="Обычный 9 8 3 4 5 2" xfId="58581"/>
    <cellStyle name="Обычный 9 8 3 4 6" xfId="58582"/>
    <cellStyle name="Обычный 9 8 3 4 7" xfId="58583"/>
    <cellStyle name="Обычный 9 8 3 5" xfId="58584"/>
    <cellStyle name="Обычный 9 8 3 5 2" xfId="58585"/>
    <cellStyle name="Обычный 9 8 3 5 2 2" xfId="58586"/>
    <cellStyle name="Обычный 9 8 3 5 2 3" xfId="58587"/>
    <cellStyle name="Обычный 9 8 3 5 3" xfId="58588"/>
    <cellStyle name="Обычный 9 8 3 5 3 2" xfId="58589"/>
    <cellStyle name="Обычный 9 8 3 5 3 3" xfId="58590"/>
    <cellStyle name="Обычный 9 8 3 5 4" xfId="58591"/>
    <cellStyle name="Обычный 9 8 3 5 4 2" xfId="58592"/>
    <cellStyle name="Обычный 9 8 3 5 5" xfId="58593"/>
    <cellStyle name="Обычный 9 8 3 5 6" xfId="58594"/>
    <cellStyle name="Обычный 9 8 3 6" xfId="58595"/>
    <cellStyle name="Обычный 9 8 3 6 2" xfId="58596"/>
    <cellStyle name="Обычный 9 8 3 6 3" xfId="58597"/>
    <cellStyle name="Обычный 9 8 3 7" xfId="58598"/>
    <cellStyle name="Обычный 9 8 3 7 2" xfId="58599"/>
    <cellStyle name="Обычный 9 8 3 7 3" xfId="58600"/>
    <cellStyle name="Обычный 9 8 3 8" xfId="58601"/>
    <cellStyle name="Обычный 9 8 3 8 2" xfId="58602"/>
    <cellStyle name="Обычный 9 8 3 9" xfId="58603"/>
    <cellStyle name="Обычный 9 8 4" xfId="58604"/>
    <cellStyle name="Обычный 9 8 4 10" xfId="58605"/>
    <cellStyle name="Обычный 9 8 4 2" xfId="58606"/>
    <cellStyle name="Обычный 9 8 4 2 2" xfId="58607"/>
    <cellStyle name="Обычный 9 8 4 2 2 2" xfId="58608"/>
    <cellStyle name="Обычный 9 8 4 2 2 2 2" xfId="58609"/>
    <cellStyle name="Обычный 9 8 4 2 2 2 2 2" xfId="58610"/>
    <cellStyle name="Обычный 9 8 4 2 2 2 2 2 2" xfId="58611"/>
    <cellStyle name="Обычный 9 8 4 2 2 2 2 2 3" xfId="58612"/>
    <cellStyle name="Обычный 9 8 4 2 2 2 2 3" xfId="58613"/>
    <cellStyle name="Обычный 9 8 4 2 2 2 2 3 2" xfId="58614"/>
    <cellStyle name="Обычный 9 8 4 2 2 2 2 3 3" xfId="58615"/>
    <cellStyle name="Обычный 9 8 4 2 2 2 2 4" xfId="58616"/>
    <cellStyle name="Обычный 9 8 4 2 2 2 2 4 2" xfId="58617"/>
    <cellStyle name="Обычный 9 8 4 2 2 2 2 5" xfId="58618"/>
    <cellStyle name="Обычный 9 8 4 2 2 2 2 6" xfId="58619"/>
    <cellStyle name="Обычный 9 8 4 2 2 2 3" xfId="58620"/>
    <cellStyle name="Обычный 9 8 4 2 2 2 3 2" xfId="58621"/>
    <cellStyle name="Обычный 9 8 4 2 2 2 3 3" xfId="58622"/>
    <cellStyle name="Обычный 9 8 4 2 2 2 4" xfId="58623"/>
    <cellStyle name="Обычный 9 8 4 2 2 2 4 2" xfId="58624"/>
    <cellStyle name="Обычный 9 8 4 2 2 2 4 3" xfId="58625"/>
    <cellStyle name="Обычный 9 8 4 2 2 2 5" xfId="58626"/>
    <cellStyle name="Обычный 9 8 4 2 2 2 5 2" xfId="58627"/>
    <cellStyle name="Обычный 9 8 4 2 2 2 6" xfId="58628"/>
    <cellStyle name="Обычный 9 8 4 2 2 2 7" xfId="58629"/>
    <cellStyle name="Обычный 9 8 4 2 2 3" xfId="58630"/>
    <cellStyle name="Обычный 9 8 4 2 2 3 2" xfId="58631"/>
    <cellStyle name="Обычный 9 8 4 2 2 3 2 2" xfId="58632"/>
    <cellStyle name="Обычный 9 8 4 2 2 3 2 3" xfId="58633"/>
    <cellStyle name="Обычный 9 8 4 2 2 3 3" xfId="58634"/>
    <cellStyle name="Обычный 9 8 4 2 2 3 3 2" xfId="58635"/>
    <cellStyle name="Обычный 9 8 4 2 2 3 3 3" xfId="58636"/>
    <cellStyle name="Обычный 9 8 4 2 2 3 4" xfId="58637"/>
    <cellStyle name="Обычный 9 8 4 2 2 3 4 2" xfId="58638"/>
    <cellStyle name="Обычный 9 8 4 2 2 3 5" xfId="58639"/>
    <cellStyle name="Обычный 9 8 4 2 2 3 6" xfId="58640"/>
    <cellStyle name="Обычный 9 8 4 2 2 4" xfId="58641"/>
    <cellStyle name="Обычный 9 8 4 2 2 4 2" xfId="58642"/>
    <cellStyle name="Обычный 9 8 4 2 2 4 3" xfId="58643"/>
    <cellStyle name="Обычный 9 8 4 2 2 5" xfId="58644"/>
    <cellStyle name="Обычный 9 8 4 2 2 5 2" xfId="58645"/>
    <cellStyle name="Обычный 9 8 4 2 2 5 3" xfId="58646"/>
    <cellStyle name="Обычный 9 8 4 2 2 6" xfId="58647"/>
    <cellStyle name="Обычный 9 8 4 2 2 6 2" xfId="58648"/>
    <cellStyle name="Обычный 9 8 4 2 2 7" xfId="58649"/>
    <cellStyle name="Обычный 9 8 4 2 2 8" xfId="58650"/>
    <cellStyle name="Обычный 9 8 4 2 3" xfId="58651"/>
    <cellStyle name="Обычный 9 8 4 2 3 2" xfId="58652"/>
    <cellStyle name="Обычный 9 8 4 2 3 2 2" xfId="58653"/>
    <cellStyle name="Обычный 9 8 4 2 3 2 2 2" xfId="58654"/>
    <cellStyle name="Обычный 9 8 4 2 3 2 2 3" xfId="58655"/>
    <cellStyle name="Обычный 9 8 4 2 3 2 3" xfId="58656"/>
    <cellStyle name="Обычный 9 8 4 2 3 2 3 2" xfId="58657"/>
    <cellStyle name="Обычный 9 8 4 2 3 2 3 3" xfId="58658"/>
    <cellStyle name="Обычный 9 8 4 2 3 2 4" xfId="58659"/>
    <cellStyle name="Обычный 9 8 4 2 3 2 4 2" xfId="58660"/>
    <cellStyle name="Обычный 9 8 4 2 3 2 5" xfId="58661"/>
    <cellStyle name="Обычный 9 8 4 2 3 2 6" xfId="58662"/>
    <cellStyle name="Обычный 9 8 4 2 3 3" xfId="58663"/>
    <cellStyle name="Обычный 9 8 4 2 3 3 2" xfId="58664"/>
    <cellStyle name="Обычный 9 8 4 2 3 3 3" xfId="58665"/>
    <cellStyle name="Обычный 9 8 4 2 3 4" xfId="58666"/>
    <cellStyle name="Обычный 9 8 4 2 3 4 2" xfId="58667"/>
    <cellStyle name="Обычный 9 8 4 2 3 4 3" xfId="58668"/>
    <cellStyle name="Обычный 9 8 4 2 3 5" xfId="58669"/>
    <cellStyle name="Обычный 9 8 4 2 3 5 2" xfId="58670"/>
    <cellStyle name="Обычный 9 8 4 2 3 6" xfId="58671"/>
    <cellStyle name="Обычный 9 8 4 2 3 7" xfId="58672"/>
    <cellStyle name="Обычный 9 8 4 2 4" xfId="58673"/>
    <cellStyle name="Обычный 9 8 4 2 4 2" xfId="58674"/>
    <cellStyle name="Обычный 9 8 4 2 4 2 2" xfId="58675"/>
    <cellStyle name="Обычный 9 8 4 2 4 2 3" xfId="58676"/>
    <cellStyle name="Обычный 9 8 4 2 4 3" xfId="58677"/>
    <cellStyle name="Обычный 9 8 4 2 4 3 2" xfId="58678"/>
    <cellStyle name="Обычный 9 8 4 2 4 3 3" xfId="58679"/>
    <cellStyle name="Обычный 9 8 4 2 4 4" xfId="58680"/>
    <cellStyle name="Обычный 9 8 4 2 4 4 2" xfId="58681"/>
    <cellStyle name="Обычный 9 8 4 2 4 5" xfId="58682"/>
    <cellStyle name="Обычный 9 8 4 2 4 6" xfId="58683"/>
    <cellStyle name="Обычный 9 8 4 2 5" xfId="58684"/>
    <cellStyle name="Обычный 9 8 4 2 5 2" xfId="58685"/>
    <cellStyle name="Обычный 9 8 4 2 5 3" xfId="58686"/>
    <cellStyle name="Обычный 9 8 4 2 6" xfId="58687"/>
    <cellStyle name="Обычный 9 8 4 2 6 2" xfId="58688"/>
    <cellStyle name="Обычный 9 8 4 2 6 3" xfId="58689"/>
    <cellStyle name="Обычный 9 8 4 2 7" xfId="58690"/>
    <cellStyle name="Обычный 9 8 4 2 7 2" xfId="58691"/>
    <cellStyle name="Обычный 9 8 4 2 8" xfId="58692"/>
    <cellStyle name="Обычный 9 8 4 2 9" xfId="58693"/>
    <cellStyle name="Обычный 9 8 4 3" xfId="58694"/>
    <cellStyle name="Обычный 9 8 4 3 2" xfId="58695"/>
    <cellStyle name="Обычный 9 8 4 3 2 2" xfId="58696"/>
    <cellStyle name="Обычный 9 8 4 3 2 2 2" xfId="58697"/>
    <cellStyle name="Обычный 9 8 4 3 2 2 2 2" xfId="58698"/>
    <cellStyle name="Обычный 9 8 4 3 2 2 2 3" xfId="58699"/>
    <cellStyle name="Обычный 9 8 4 3 2 2 3" xfId="58700"/>
    <cellStyle name="Обычный 9 8 4 3 2 2 3 2" xfId="58701"/>
    <cellStyle name="Обычный 9 8 4 3 2 2 3 3" xfId="58702"/>
    <cellStyle name="Обычный 9 8 4 3 2 2 4" xfId="58703"/>
    <cellStyle name="Обычный 9 8 4 3 2 2 4 2" xfId="58704"/>
    <cellStyle name="Обычный 9 8 4 3 2 2 5" xfId="58705"/>
    <cellStyle name="Обычный 9 8 4 3 2 2 6" xfId="58706"/>
    <cellStyle name="Обычный 9 8 4 3 2 3" xfId="58707"/>
    <cellStyle name="Обычный 9 8 4 3 2 3 2" xfId="58708"/>
    <cellStyle name="Обычный 9 8 4 3 2 3 3" xfId="58709"/>
    <cellStyle name="Обычный 9 8 4 3 2 4" xfId="58710"/>
    <cellStyle name="Обычный 9 8 4 3 2 4 2" xfId="58711"/>
    <cellStyle name="Обычный 9 8 4 3 2 4 3" xfId="58712"/>
    <cellStyle name="Обычный 9 8 4 3 2 5" xfId="58713"/>
    <cellStyle name="Обычный 9 8 4 3 2 5 2" xfId="58714"/>
    <cellStyle name="Обычный 9 8 4 3 2 6" xfId="58715"/>
    <cellStyle name="Обычный 9 8 4 3 2 7" xfId="58716"/>
    <cellStyle name="Обычный 9 8 4 3 3" xfId="58717"/>
    <cellStyle name="Обычный 9 8 4 3 3 2" xfId="58718"/>
    <cellStyle name="Обычный 9 8 4 3 3 2 2" xfId="58719"/>
    <cellStyle name="Обычный 9 8 4 3 3 2 3" xfId="58720"/>
    <cellStyle name="Обычный 9 8 4 3 3 3" xfId="58721"/>
    <cellStyle name="Обычный 9 8 4 3 3 3 2" xfId="58722"/>
    <cellStyle name="Обычный 9 8 4 3 3 3 3" xfId="58723"/>
    <cellStyle name="Обычный 9 8 4 3 3 4" xfId="58724"/>
    <cellStyle name="Обычный 9 8 4 3 3 4 2" xfId="58725"/>
    <cellStyle name="Обычный 9 8 4 3 3 5" xfId="58726"/>
    <cellStyle name="Обычный 9 8 4 3 3 6" xfId="58727"/>
    <cellStyle name="Обычный 9 8 4 3 4" xfId="58728"/>
    <cellStyle name="Обычный 9 8 4 3 4 2" xfId="58729"/>
    <cellStyle name="Обычный 9 8 4 3 4 3" xfId="58730"/>
    <cellStyle name="Обычный 9 8 4 3 5" xfId="58731"/>
    <cellStyle name="Обычный 9 8 4 3 5 2" xfId="58732"/>
    <cellStyle name="Обычный 9 8 4 3 5 3" xfId="58733"/>
    <cellStyle name="Обычный 9 8 4 3 6" xfId="58734"/>
    <cellStyle name="Обычный 9 8 4 3 6 2" xfId="58735"/>
    <cellStyle name="Обычный 9 8 4 3 7" xfId="58736"/>
    <cellStyle name="Обычный 9 8 4 3 8" xfId="58737"/>
    <cellStyle name="Обычный 9 8 4 4" xfId="58738"/>
    <cellStyle name="Обычный 9 8 4 4 2" xfId="58739"/>
    <cellStyle name="Обычный 9 8 4 4 2 2" xfId="58740"/>
    <cellStyle name="Обычный 9 8 4 4 2 2 2" xfId="58741"/>
    <cellStyle name="Обычный 9 8 4 4 2 2 3" xfId="58742"/>
    <cellStyle name="Обычный 9 8 4 4 2 3" xfId="58743"/>
    <cellStyle name="Обычный 9 8 4 4 2 3 2" xfId="58744"/>
    <cellStyle name="Обычный 9 8 4 4 2 3 3" xfId="58745"/>
    <cellStyle name="Обычный 9 8 4 4 2 4" xfId="58746"/>
    <cellStyle name="Обычный 9 8 4 4 2 4 2" xfId="58747"/>
    <cellStyle name="Обычный 9 8 4 4 2 5" xfId="58748"/>
    <cellStyle name="Обычный 9 8 4 4 2 6" xfId="58749"/>
    <cellStyle name="Обычный 9 8 4 4 3" xfId="58750"/>
    <cellStyle name="Обычный 9 8 4 4 3 2" xfId="58751"/>
    <cellStyle name="Обычный 9 8 4 4 3 3" xfId="58752"/>
    <cellStyle name="Обычный 9 8 4 4 4" xfId="58753"/>
    <cellStyle name="Обычный 9 8 4 4 4 2" xfId="58754"/>
    <cellStyle name="Обычный 9 8 4 4 4 3" xfId="58755"/>
    <cellStyle name="Обычный 9 8 4 4 5" xfId="58756"/>
    <cellStyle name="Обычный 9 8 4 4 5 2" xfId="58757"/>
    <cellStyle name="Обычный 9 8 4 4 6" xfId="58758"/>
    <cellStyle name="Обычный 9 8 4 4 7" xfId="58759"/>
    <cellStyle name="Обычный 9 8 4 5" xfId="58760"/>
    <cellStyle name="Обычный 9 8 4 5 2" xfId="58761"/>
    <cellStyle name="Обычный 9 8 4 5 2 2" xfId="58762"/>
    <cellStyle name="Обычный 9 8 4 5 2 3" xfId="58763"/>
    <cellStyle name="Обычный 9 8 4 5 3" xfId="58764"/>
    <cellStyle name="Обычный 9 8 4 5 3 2" xfId="58765"/>
    <cellStyle name="Обычный 9 8 4 5 3 3" xfId="58766"/>
    <cellStyle name="Обычный 9 8 4 5 4" xfId="58767"/>
    <cellStyle name="Обычный 9 8 4 5 4 2" xfId="58768"/>
    <cellStyle name="Обычный 9 8 4 5 5" xfId="58769"/>
    <cellStyle name="Обычный 9 8 4 5 6" xfId="58770"/>
    <cellStyle name="Обычный 9 8 4 6" xfId="58771"/>
    <cellStyle name="Обычный 9 8 4 6 2" xfId="58772"/>
    <cellStyle name="Обычный 9 8 4 6 3" xfId="58773"/>
    <cellStyle name="Обычный 9 8 4 7" xfId="58774"/>
    <cellStyle name="Обычный 9 8 4 7 2" xfId="58775"/>
    <cellStyle name="Обычный 9 8 4 7 3" xfId="58776"/>
    <cellStyle name="Обычный 9 8 4 8" xfId="58777"/>
    <cellStyle name="Обычный 9 8 4 8 2" xfId="58778"/>
    <cellStyle name="Обычный 9 8 4 9" xfId="58779"/>
    <cellStyle name="Обычный 9 8 5" xfId="58780"/>
    <cellStyle name="Обычный 9 8 5 10" xfId="58781"/>
    <cellStyle name="Обычный 9 8 5 2" xfId="58782"/>
    <cellStyle name="Обычный 9 8 5 2 2" xfId="58783"/>
    <cellStyle name="Обычный 9 8 5 2 2 2" xfId="58784"/>
    <cellStyle name="Обычный 9 8 5 2 2 2 2" xfId="58785"/>
    <cellStyle name="Обычный 9 8 5 2 2 2 2 2" xfId="58786"/>
    <cellStyle name="Обычный 9 8 5 2 2 2 2 2 2" xfId="58787"/>
    <cellStyle name="Обычный 9 8 5 2 2 2 2 2 3" xfId="58788"/>
    <cellStyle name="Обычный 9 8 5 2 2 2 2 3" xfId="58789"/>
    <cellStyle name="Обычный 9 8 5 2 2 2 2 3 2" xfId="58790"/>
    <cellStyle name="Обычный 9 8 5 2 2 2 2 3 3" xfId="58791"/>
    <cellStyle name="Обычный 9 8 5 2 2 2 2 4" xfId="58792"/>
    <cellStyle name="Обычный 9 8 5 2 2 2 2 4 2" xfId="58793"/>
    <cellStyle name="Обычный 9 8 5 2 2 2 2 5" xfId="58794"/>
    <cellStyle name="Обычный 9 8 5 2 2 2 2 6" xfId="58795"/>
    <cellStyle name="Обычный 9 8 5 2 2 2 3" xfId="58796"/>
    <cellStyle name="Обычный 9 8 5 2 2 2 3 2" xfId="58797"/>
    <cellStyle name="Обычный 9 8 5 2 2 2 3 3" xfId="58798"/>
    <cellStyle name="Обычный 9 8 5 2 2 2 4" xfId="58799"/>
    <cellStyle name="Обычный 9 8 5 2 2 2 4 2" xfId="58800"/>
    <cellStyle name="Обычный 9 8 5 2 2 2 4 3" xfId="58801"/>
    <cellStyle name="Обычный 9 8 5 2 2 2 5" xfId="58802"/>
    <cellStyle name="Обычный 9 8 5 2 2 2 5 2" xfId="58803"/>
    <cellStyle name="Обычный 9 8 5 2 2 2 6" xfId="58804"/>
    <cellStyle name="Обычный 9 8 5 2 2 2 7" xfId="58805"/>
    <cellStyle name="Обычный 9 8 5 2 2 3" xfId="58806"/>
    <cellStyle name="Обычный 9 8 5 2 2 3 2" xfId="58807"/>
    <cellStyle name="Обычный 9 8 5 2 2 3 2 2" xfId="58808"/>
    <cellStyle name="Обычный 9 8 5 2 2 3 2 3" xfId="58809"/>
    <cellStyle name="Обычный 9 8 5 2 2 3 3" xfId="58810"/>
    <cellStyle name="Обычный 9 8 5 2 2 3 3 2" xfId="58811"/>
    <cellStyle name="Обычный 9 8 5 2 2 3 3 3" xfId="58812"/>
    <cellStyle name="Обычный 9 8 5 2 2 3 4" xfId="58813"/>
    <cellStyle name="Обычный 9 8 5 2 2 3 4 2" xfId="58814"/>
    <cellStyle name="Обычный 9 8 5 2 2 3 5" xfId="58815"/>
    <cellStyle name="Обычный 9 8 5 2 2 3 6" xfId="58816"/>
    <cellStyle name="Обычный 9 8 5 2 2 4" xfId="58817"/>
    <cellStyle name="Обычный 9 8 5 2 2 4 2" xfId="58818"/>
    <cellStyle name="Обычный 9 8 5 2 2 4 3" xfId="58819"/>
    <cellStyle name="Обычный 9 8 5 2 2 5" xfId="58820"/>
    <cellStyle name="Обычный 9 8 5 2 2 5 2" xfId="58821"/>
    <cellStyle name="Обычный 9 8 5 2 2 5 3" xfId="58822"/>
    <cellStyle name="Обычный 9 8 5 2 2 6" xfId="58823"/>
    <cellStyle name="Обычный 9 8 5 2 2 6 2" xfId="58824"/>
    <cellStyle name="Обычный 9 8 5 2 2 7" xfId="58825"/>
    <cellStyle name="Обычный 9 8 5 2 2 8" xfId="58826"/>
    <cellStyle name="Обычный 9 8 5 2 3" xfId="58827"/>
    <cellStyle name="Обычный 9 8 5 2 3 2" xfId="58828"/>
    <cellStyle name="Обычный 9 8 5 2 3 2 2" xfId="58829"/>
    <cellStyle name="Обычный 9 8 5 2 3 2 2 2" xfId="58830"/>
    <cellStyle name="Обычный 9 8 5 2 3 2 2 3" xfId="58831"/>
    <cellStyle name="Обычный 9 8 5 2 3 2 3" xfId="58832"/>
    <cellStyle name="Обычный 9 8 5 2 3 2 3 2" xfId="58833"/>
    <cellStyle name="Обычный 9 8 5 2 3 2 3 3" xfId="58834"/>
    <cellStyle name="Обычный 9 8 5 2 3 2 4" xfId="58835"/>
    <cellStyle name="Обычный 9 8 5 2 3 2 4 2" xfId="58836"/>
    <cellStyle name="Обычный 9 8 5 2 3 2 5" xfId="58837"/>
    <cellStyle name="Обычный 9 8 5 2 3 2 6" xfId="58838"/>
    <cellStyle name="Обычный 9 8 5 2 3 3" xfId="58839"/>
    <cellStyle name="Обычный 9 8 5 2 3 3 2" xfId="58840"/>
    <cellStyle name="Обычный 9 8 5 2 3 3 3" xfId="58841"/>
    <cellStyle name="Обычный 9 8 5 2 3 4" xfId="58842"/>
    <cellStyle name="Обычный 9 8 5 2 3 4 2" xfId="58843"/>
    <cellStyle name="Обычный 9 8 5 2 3 4 3" xfId="58844"/>
    <cellStyle name="Обычный 9 8 5 2 3 5" xfId="58845"/>
    <cellStyle name="Обычный 9 8 5 2 3 5 2" xfId="58846"/>
    <cellStyle name="Обычный 9 8 5 2 3 6" xfId="58847"/>
    <cellStyle name="Обычный 9 8 5 2 3 7" xfId="58848"/>
    <cellStyle name="Обычный 9 8 5 2 4" xfId="58849"/>
    <cellStyle name="Обычный 9 8 5 2 4 2" xfId="58850"/>
    <cellStyle name="Обычный 9 8 5 2 4 2 2" xfId="58851"/>
    <cellStyle name="Обычный 9 8 5 2 4 2 3" xfId="58852"/>
    <cellStyle name="Обычный 9 8 5 2 4 3" xfId="58853"/>
    <cellStyle name="Обычный 9 8 5 2 4 3 2" xfId="58854"/>
    <cellStyle name="Обычный 9 8 5 2 4 3 3" xfId="58855"/>
    <cellStyle name="Обычный 9 8 5 2 4 4" xfId="58856"/>
    <cellStyle name="Обычный 9 8 5 2 4 4 2" xfId="58857"/>
    <cellStyle name="Обычный 9 8 5 2 4 5" xfId="58858"/>
    <cellStyle name="Обычный 9 8 5 2 4 6" xfId="58859"/>
    <cellStyle name="Обычный 9 8 5 2 5" xfId="58860"/>
    <cellStyle name="Обычный 9 8 5 2 5 2" xfId="58861"/>
    <cellStyle name="Обычный 9 8 5 2 5 3" xfId="58862"/>
    <cellStyle name="Обычный 9 8 5 2 6" xfId="58863"/>
    <cellStyle name="Обычный 9 8 5 2 6 2" xfId="58864"/>
    <cellStyle name="Обычный 9 8 5 2 6 3" xfId="58865"/>
    <cellStyle name="Обычный 9 8 5 2 7" xfId="58866"/>
    <cellStyle name="Обычный 9 8 5 2 7 2" xfId="58867"/>
    <cellStyle name="Обычный 9 8 5 2 8" xfId="58868"/>
    <cellStyle name="Обычный 9 8 5 2 9" xfId="58869"/>
    <cellStyle name="Обычный 9 8 5 3" xfId="58870"/>
    <cellStyle name="Обычный 9 8 5 3 2" xfId="58871"/>
    <cellStyle name="Обычный 9 8 5 3 2 2" xfId="58872"/>
    <cellStyle name="Обычный 9 8 5 3 2 2 2" xfId="58873"/>
    <cellStyle name="Обычный 9 8 5 3 2 2 2 2" xfId="58874"/>
    <cellStyle name="Обычный 9 8 5 3 2 2 2 3" xfId="58875"/>
    <cellStyle name="Обычный 9 8 5 3 2 2 3" xfId="58876"/>
    <cellStyle name="Обычный 9 8 5 3 2 2 3 2" xfId="58877"/>
    <cellStyle name="Обычный 9 8 5 3 2 2 3 3" xfId="58878"/>
    <cellStyle name="Обычный 9 8 5 3 2 2 4" xfId="58879"/>
    <cellStyle name="Обычный 9 8 5 3 2 2 4 2" xfId="58880"/>
    <cellStyle name="Обычный 9 8 5 3 2 2 5" xfId="58881"/>
    <cellStyle name="Обычный 9 8 5 3 2 2 6" xfId="58882"/>
    <cellStyle name="Обычный 9 8 5 3 2 3" xfId="58883"/>
    <cellStyle name="Обычный 9 8 5 3 2 3 2" xfId="58884"/>
    <cellStyle name="Обычный 9 8 5 3 2 3 3" xfId="58885"/>
    <cellStyle name="Обычный 9 8 5 3 2 4" xfId="58886"/>
    <cellStyle name="Обычный 9 8 5 3 2 4 2" xfId="58887"/>
    <cellStyle name="Обычный 9 8 5 3 2 4 3" xfId="58888"/>
    <cellStyle name="Обычный 9 8 5 3 2 5" xfId="58889"/>
    <cellStyle name="Обычный 9 8 5 3 2 5 2" xfId="58890"/>
    <cellStyle name="Обычный 9 8 5 3 2 6" xfId="58891"/>
    <cellStyle name="Обычный 9 8 5 3 2 7" xfId="58892"/>
    <cellStyle name="Обычный 9 8 5 3 3" xfId="58893"/>
    <cellStyle name="Обычный 9 8 5 3 3 2" xfId="58894"/>
    <cellStyle name="Обычный 9 8 5 3 3 2 2" xfId="58895"/>
    <cellStyle name="Обычный 9 8 5 3 3 2 3" xfId="58896"/>
    <cellStyle name="Обычный 9 8 5 3 3 3" xfId="58897"/>
    <cellStyle name="Обычный 9 8 5 3 3 3 2" xfId="58898"/>
    <cellStyle name="Обычный 9 8 5 3 3 3 3" xfId="58899"/>
    <cellStyle name="Обычный 9 8 5 3 3 4" xfId="58900"/>
    <cellStyle name="Обычный 9 8 5 3 3 4 2" xfId="58901"/>
    <cellStyle name="Обычный 9 8 5 3 3 5" xfId="58902"/>
    <cellStyle name="Обычный 9 8 5 3 3 6" xfId="58903"/>
    <cellStyle name="Обычный 9 8 5 3 4" xfId="58904"/>
    <cellStyle name="Обычный 9 8 5 3 4 2" xfId="58905"/>
    <cellStyle name="Обычный 9 8 5 3 4 3" xfId="58906"/>
    <cellStyle name="Обычный 9 8 5 3 5" xfId="58907"/>
    <cellStyle name="Обычный 9 8 5 3 5 2" xfId="58908"/>
    <cellStyle name="Обычный 9 8 5 3 5 3" xfId="58909"/>
    <cellStyle name="Обычный 9 8 5 3 6" xfId="58910"/>
    <cellStyle name="Обычный 9 8 5 3 6 2" xfId="58911"/>
    <cellStyle name="Обычный 9 8 5 3 7" xfId="58912"/>
    <cellStyle name="Обычный 9 8 5 3 8" xfId="58913"/>
    <cellStyle name="Обычный 9 8 5 4" xfId="58914"/>
    <cellStyle name="Обычный 9 8 5 4 2" xfId="58915"/>
    <cellStyle name="Обычный 9 8 5 4 2 2" xfId="58916"/>
    <cellStyle name="Обычный 9 8 5 4 2 2 2" xfId="58917"/>
    <cellStyle name="Обычный 9 8 5 4 2 2 3" xfId="58918"/>
    <cellStyle name="Обычный 9 8 5 4 2 3" xfId="58919"/>
    <cellStyle name="Обычный 9 8 5 4 2 3 2" xfId="58920"/>
    <cellStyle name="Обычный 9 8 5 4 2 3 3" xfId="58921"/>
    <cellStyle name="Обычный 9 8 5 4 2 4" xfId="58922"/>
    <cellStyle name="Обычный 9 8 5 4 2 4 2" xfId="58923"/>
    <cellStyle name="Обычный 9 8 5 4 2 5" xfId="58924"/>
    <cellStyle name="Обычный 9 8 5 4 2 6" xfId="58925"/>
    <cellStyle name="Обычный 9 8 5 4 3" xfId="58926"/>
    <cellStyle name="Обычный 9 8 5 4 3 2" xfId="58927"/>
    <cellStyle name="Обычный 9 8 5 4 3 3" xfId="58928"/>
    <cellStyle name="Обычный 9 8 5 4 4" xfId="58929"/>
    <cellStyle name="Обычный 9 8 5 4 4 2" xfId="58930"/>
    <cellStyle name="Обычный 9 8 5 4 4 3" xfId="58931"/>
    <cellStyle name="Обычный 9 8 5 4 5" xfId="58932"/>
    <cellStyle name="Обычный 9 8 5 4 5 2" xfId="58933"/>
    <cellStyle name="Обычный 9 8 5 4 6" xfId="58934"/>
    <cellStyle name="Обычный 9 8 5 4 7" xfId="58935"/>
    <cellStyle name="Обычный 9 8 5 5" xfId="58936"/>
    <cellStyle name="Обычный 9 8 5 5 2" xfId="58937"/>
    <cellStyle name="Обычный 9 8 5 5 2 2" xfId="58938"/>
    <cellStyle name="Обычный 9 8 5 5 2 3" xfId="58939"/>
    <cellStyle name="Обычный 9 8 5 5 3" xfId="58940"/>
    <cellStyle name="Обычный 9 8 5 5 3 2" xfId="58941"/>
    <cellStyle name="Обычный 9 8 5 5 3 3" xfId="58942"/>
    <cellStyle name="Обычный 9 8 5 5 4" xfId="58943"/>
    <cellStyle name="Обычный 9 8 5 5 4 2" xfId="58944"/>
    <cellStyle name="Обычный 9 8 5 5 5" xfId="58945"/>
    <cellStyle name="Обычный 9 8 5 5 6" xfId="58946"/>
    <cellStyle name="Обычный 9 8 5 6" xfId="58947"/>
    <cellStyle name="Обычный 9 8 5 6 2" xfId="58948"/>
    <cellStyle name="Обычный 9 8 5 6 3" xfId="58949"/>
    <cellStyle name="Обычный 9 8 5 7" xfId="58950"/>
    <cellStyle name="Обычный 9 8 5 7 2" xfId="58951"/>
    <cellStyle name="Обычный 9 8 5 7 3" xfId="58952"/>
    <cellStyle name="Обычный 9 8 5 8" xfId="58953"/>
    <cellStyle name="Обычный 9 8 5 8 2" xfId="58954"/>
    <cellStyle name="Обычный 9 8 5 9" xfId="58955"/>
    <cellStyle name="Обычный 9 8 6" xfId="58956"/>
    <cellStyle name="Обычный 9 8 6 2" xfId="58957"/>
    <cellStyle name="Обычный 9 8 6 2 2" xfId="58958"/>
    <cellStyle name="Обычный 9 8 6 2 2 2" xfId="58959"/>
    <cellStyle name="Обычный 9 8 6 2 2 2 2" xfId="58960"/>
    <cellStyle name="Обычный 9 8 6 2 2 2 2 2" xfId="58961"/>
    <cellStyle name="Обычный 9 8 6 2 2 2 2 3" xfId="58962"/>
    <cellStyle name="Обычный 9 8 6 2 2 2 3" xfId="58963"/>
    <cellStyle name="Обычный 9 8 6 2 2 2 3 2" xfId="58964"/>
    <cellStyle name="Обычный 9 8 6 2 2 2 3 3" xfId="58965"/>
    <cellStyle name="Обычный 9 8 6 2 2 2 4" xfId="58966"/>
    <cellStyle name="Обычный 9 8 6 2 2 2 4 2" xfId="58967"/>
    <cellStyle name="Обычный 9 8 6 2 2 2 5" xfId="58968"/>
    <cellStyle name="Обычный 9 8 6 2 2 2 6" xfId="58969"/>
    <cellStyle name="Обычный 9 8 6 2 2 3" xfId="58970"/>
    <cellStyle name="Обычный 9 8 6 2 2 3 2" xfId="58971"/>
    <cellStyle name="Обычный 9 8 6 2 2 3 3" xfId="58972"/>
    <cellStyle name="Обычный 9 8 6 2 2 4" xfId="58973"/>
    <cellStyle name="Обычный 9 8 6 2 2 4 2" xfId="58974"/>
    <cellStyle name="Обычный 9 8 6 2 2 4 3" xfId="58975"/>
    <cellStyle name="Обычный 9 8 6 2 2 5" xfId="58976"/>
    <cellStyle name="Обычный 9 8 6 2 2 5 2" xfId="58977"/>
    <cellStyle name="Обычный 9 8 6 2 2 6" xfId="58978"/>
    <cellStyle name="Обычный 9 8 6 2 2 7" xfId="58979"/>
    <cellStyle name="Обычный 9 8 6 2 3" xfId="58980"/>
    <cellStyle name="Обычный 9 8 6 2 3 2" xfId="58981"/>
    <cellStyle name="Обычный 9 8 6 2 3 2 2" xfId="58982"/>
    <cellStyle name="Обычный 9 8 6 2 3 2 3" xfId="58983"/>
    <cellStyle name="Обычный 9 8 6 2 3 3" xfId="58984"/>
    <cellStyle name="Обычный 9 8 6 2 3 3 2" xfId="58985"/>
    <cellStyle name="Обычный 9 8 6 2 3 3 3" xfId="58986"/>
    <cellStyle name="Обычный 9 8 6 2 3 4" xfId="58987"/>
    <cellStyle name="Обычный 9 8 6 2 3 4 2" xfId="58988"/>
    <cellStyle name="Обычный 9 8 6 2 3 5" xfId="58989"/>
    <cellStyle name="Обычный 9 8 6 2 3 6" xfId="58990"/>
    <cellStyle name="Обычный 9 8 6 2 4" xfId="58991"/>
    <cellStyle name="Обычный 9 8 6 2 4 2" xfId="58992"/>
    <cellStyle name="Обычный 9 8 6 2 4 3" xfId="58993"/>
    <cellStyle name="Обычный 9 8 6 2 5" xfId="58994"/>
    <cellStyle name="Обычный 9 8 6 2 5 2" xfId="58995"/>
    <cellStyle name="Обычный 9 8 6 2 5 3" xfId="58996"/>
    <cellStyle name="Обычный 9 8 6 2 6" xfId="58997"/>
    <cellStyle name="Обычный 9 8 6 2 6 2" xfId="58998"/>
    <cellStyle name="Обычный 9 8 6 2 7" xfId="58999"/>
    <cellStyle name="Обычный 9 8 6 2 8" xfId="59000"/>
    <cellStyle name="Обычный 9 8 6 3" xfId="59001"/>
    <cellStyle name="Обычный 9 8 6 3 2" xfId="59002"/>
    <cellStyle name="Обычный 9 8 6 3 2 2" xfId="59003"/>
    <cellStyle name="Обычный 9 8 6 3 2 2 2" xfId="59004"/>
    <cellStyle name="Обычный 9 8 6 3 2 2 3" xfId="59005"/>
    <cellStyle name="Обычный 9 8 6 3 2 3" xfId="59006"/>
    <cellStyle name="Обычный 9 8 6 3 2 3 2" xfId="59007"/>
    <cellStyle name="Обычный 9 8 6 3 2 3 3" xfId="59008"/>
    <cellStyle name="Обычный 9 8 6 3 2 4" xfId="59009"/>
    <cellStyle name="Обычный 9 8 6 3 2 4 2" xfId="59010"/>
    <cellStyle name="Обычный 9 8 6 3 2 5" xfId="59011"/>
    <cellStyle name="Обычный 9 8 6 3 2 6" xfId="59012"/>
    <cellStyle name="Обычный 9 8 6 3 3" xfId="59013"/>
    <cellStyle name="Обычный 9 8 6 3 3 2" xfId="59014"/>
    <cellStyle name="Обычный 9 8 6 3 3 3" xfId="59015"/>
    <cellStyle name="Обычный 9 8 6 3 4" xfId="59016"/>
    <cellStyle name="Обычный 9 8 6 3 4 2" xfId="59017"/>
    <cellStyle name="Обычный 9 8 6 3 4 3" xfId="59018"/>
    <cellStyle name="Обычный 9 8 6 3 5" xfId="59019"/>
    <cellStyle name="Обычный 9 8 6 3 5 2" xfId="59020"/>
    <cellStyle name="Обычный 9 8 6 3 6" xfId="59021"/>
    <cellStyle name="Обычный 9 8 6 3 7" xfId="59022"/>
    <cellStyle name="Обычный 9 8 6 4" xfId="59023"/>
    <cellStyle name="Обычный 9 8 6 4 2" xfId="59024"/>
    <cellStyle name="Обычный 9 8 6 4 2 2" xfId="59025"/>
    <cellStyle name="Обычный 9 8 6 4 2 3" xfId="59026"/>
    <cellStyle name="Обычный 9 8 6 4 3" xfId="59027"/>
    <cellStyle name="Обычный 9 8 6 4 3 2" xfId="59028"/>
    <cellStyle name="Обычный 9 8 6 4 3 3" xfId="59029"/>
    <cellStyle name="Обычный 9 8 6 4 4" xfId="59030"/>
    <cellStyle name="Обычный 9 8 6 4 4 2" xfId="59031"/>
    <cellStyle name="Обычный 9 8 6 4 5" xfId="59032"/>
    <cellStyle name="Обычный 9 8 6 4 6" xfId="59033"/>
    <cellStyle name="Обычный 9 8 6 5" xfId="59034"/>
    <cellStyle name="Обычный 9 8 6 5 2" xfId="59035"/>
    <cellStyle name="Обычный 9 8 6 5 3" xfId="59036"/>
    <cellStyle name="Обычный 9 8 6 6" xfId="59037"/>
    <cellStyle name="Обычный 9 8 6 6 2" xfId="59038"/>
    <cellStyle name="Обычный 9 8 6 6 3" xfId="59039"/>
    <cellStyle name="Обычный 9 8 6 7" xfId="59040"/>
    <cellStyle name="Обычный 9 8 6 7 2" xfId="59041"/>
    <cellStyle name="Обычный 9 8 6 8" xfId="59042"/>
    <cellStyle name="Обычный 9 8 6 9" xfId="59043"/>
    <cellStyle name="Обычный 9 8 7" xfId="59044"/>
    <cellStyle name="Обычный 9 8 7 2" xfId="59045"/>
    <cellStyle name="Обычный 9 8 7 2 2" xfId="59046"/>
    <cellStyle name="Обычный 9 8 7 2 2 2" xfId="59047"/>
    <cellStyle name="Обычный 9 8 7 2 2 2 2" xfId="59048"/>
    <cellStyle name="Обычный 9 8 7 2 2 2 3" xfId="59049"/>
    <cellStyle name="Обычный 9 8 7 2 2 3" xfId="59050"/>
    <cellStyle name="Обычный 9 8 7 2 2 3 2" xfId="59051"/>
    <cellStyle name="Обычный 9 8 7 2 2 3 3" xfId="59052"/>
    <cellStyle name="Обычный 9 8 7 2 2 4" xfId="59053"/>
    <cellStyle name="Обычный 9 8 7 2 2 4 2" xfId="59054"/>
    <cellStyle name="Обычный 9 8 7 2 2 5" xfId="59055"/>
    <cellStyle name="Обычный 9 8 7 2 2 6" xfId="59056"/>
    <cellStyle name="Обычный 9 8 7 2 3" xfId="59057"/>
    <cellStyle name="Обычный 9 8 7 2 3 2" xfId="59058"/>
    <cellStyle name="Обычный 9 8 7 2 3 3" xfId="59059"/>
    <cellStyle name="Обычный 9 8 7 2 4" xfId="59060"/>
    <cellStyle name="Обычный 9 8 7 2 4 2" xfId="59061"/>
    <cellStyle name="Обычный 9 8 7 2 4 3" xfId="59062"/>
    <cellStyle name="Обычный 9 8 7 2 5" xfId="59063"/>
    <cellStyle name="Обычный 9 8 7 2 5 2" xfId="59064"/>
    <cellStyle name="Обычный 9 8 7 2 6" xfId="59065"/>
    <cellStyle name="Обычный 9 8 7 2 7" xfId="59066"/>
    <cellStyle name="Обычный 9 8 7 3" xfId="59067"/>
    <cellStyle name="Обычный 9 8 7 3 2" xfId="59068"/>
    <cellStyle name="Обычный 9 8 7 3 2 2" xfId="59069"/>
    <cellStyle name="Обычный 9 8 7 3 2 3" xfId="59070"/>
    <cellStyle name="Обычный 9 8 7 3 3" xfId="59071"/>
    <cellStyle name="Обычный 9 8 7 3 3 2" xfId="59072"/>
    <cellStyle name="Обычный 9 8 7 3 3 3" xfId="59073"/>
    <cellStyle name="Обычный 9 8 7 3 4" xfId="59074"/>
    <cellStyle name="Обычный 9 8 7 3 4 2" xfId="59075"/>
    <cellStyle name="Обычный 9 8 7 3 5" xfId="59076"/>
    <cellStyle name="Обычный 9 8 7 3 6" xfId="59077"/>
    <cellStyle name="Обычный 9 8 7 4" xfId="59078"/>
    <cellStyle name="Обычный 9 8 7 4 2" xfId="59079"/>
    <cellStyle name="Обычный 9 8 7 4 3" xfId="59080"/>
    <cellStyle name="Обычный 9 8 7 5" xfId="59081"/>
    <cellStyle name="Обычный 9 8 7 5 2" xfId="59082"/>
    <cellStyle name="Обычный 9 8 7 5 3" xfId="59083"/>
    <cellStyle name="Обычный 9 8 7 6" xfId="59084"/>
    <cellStyle name="Обычный 9 8 7 6 2" xfId="59085"/>
    <cellStyle name="Обычный 9 8 7 7" xfId="59086"/>
    <cellStyle name="Обычный 9 8 7 8" xfId="59087"/>
    <cellStyle name="Обычный 9 8 8" xfId="59088"/>
    <cellStyle name="Обычный 9 8 8 2" xfId="59089"/>
    <cellStyle name="Обычный 9 8 8 2 2" xfId="59090"/>
    <cellStyle name="Обычный 9 8 8 2 2 2" xfId="59091"/>
    <cellStyle name="Обычный 9 8 8 2 2 3" xfId="59092"/>
    <cellStyle name="Обычный 9 8 8 2 3" xfId="59093"/>
    <cellStyle name="Обычный 9 8 8 2 3 2" xfId="59094"/>
    <cellStyle name="Обычный 9 8 8 2 3 3" xfId="59095"/>
    <cellStyle name="Обычный 9 8 8 2 4" xfId="59096"/>
    <cellStyle name="Обычный 9 8 8 2 4 2" xfId="59097"/>
    <cellStyle name="Обычный 9 8 8 2 5" xfId="59098"/>
    <cellStyle name="Обычный 9 8 8 2 6" xfId="59099"/>
    <cellStyle name="Обычный 9 8 8 3" xfId="59100"/>
    <cellStyle name="Обычный 9 8 8 3 2" xfId="59101"/>
    <cellStyle name="Обычный 9 8 8 3 3" xfId="59102"/>
    <cellStyle name="Обычный 9 8 8 4" xfId="59103"/>
    <cellStyle name="Обычный 9 8 8 4 2" xfId="59104"/>
    <cellStyle name="Обычный 9 8 8 4 3" xfId="59105"/>
    <cellStyle name="Обычный 9 8 8 5" xfId="59106"/>
    <cellStyle name="Обычный 9 8 8 5 2" xfId="59107"/>
    <cellStyle name="Обычный 9 8 8 6" xfId="59108"/>
    <cellStyle name="Обычный 9 8 8 7" xfId="59109"/>
    <cellStyle name="Обычный 9 8 9" xfId="59110"/>
    <cellStyle name="Обычный 9 8 9 2" xfId="59111"/>
    <cellStyle name="Обычный 9 8 9 2 2" xfId="59112"/>
    <cellStyle name="Обычный 9 8 9 2 3" xfId="59113"/>
    <cellStyle name="Обычный 9 8 9 3" xfId="59114"/>
    <cellStyle name="Обычный 9 8 9 3 2" xfId="59115"/>
    <cellStyle name="Обычный 9 8 9 3 3" xfId="59116"/>
    <cellStyle name="Обычный 9 8 9 4" xfId="59117"/>
    <cellStyle name="Обычный 9 8 9 4 2" xfId="59118"/>
    <cellStyle name="Обычный 9 8 9 5" xfId="59119"/>
    <cellStyle name="Обычный 9 8 9 6" xfId="59120"/>
    <cellStyle name="Обычный 9 9" xfId="59121"/>
    <cellStyle name="Обычный 9 9 10" xfId="59122"/>
    <cellStyle name="Обычный 9 9 10 2" xfId="59123"/>
    <cellStyle name="Обычный 9 9 10 3" xfId="59124"/>
    <cellStyle name="Обычный 9 9 11" xfId="59125"/>
    <cellStyle name="Обычный 9 9 11 2" xfId="59126"/>
    <cellStyle name="Обычный 9 9 12" xfId="59127"/>
    <cellStyle name="Обычный 9 9 13" xfId="59128"/>
    <cellStyle name="Обычный 9 9 2" xfId="59129"/>
    <cellStyle name="Обычный 9 9 2 10" xfId="59130"/>
    <cellStyle name="Обычный 9 9 2 2" xfId="59131"/>
    <cellStyle name="Обычный 9 9 2 2 2" xfId="59132"/>
    <cellStyle name="Обычный 9 9 2 2 2 2" xfId="59133"/>
    <cellStyle name="Обычный 9 9 2 2 2 2 2" xfId="59134"/>
    <cellStyle name="Обычный 9 9 2 2 2 2 2 2" xfId="59135"/>
    <cellStyle name="Обычный 9 9 2 2 2 2 2 2 2" xfId="59136"/>
    <cellStyle name="Обычный 9 9 2 2 2 2 2 2 3" xfId="59137"/>
    <cellStyle name="Обычный 9 9 2 2 2 2 2 3" xfId="59138"/>
    <cellStyle name="Обычный 9 9 2 2 2 2 2 3 2" xfId="59139"/>
    <cellStyle name="Обычный 9 9 2 2 2 2 2 3 3" xfId="59140"/>
    <cellStyle name="Обычный 9 9 2 2 2 2 2 4" xfId="59141"/>
    <cellStyle name="Обычный 9 9 2 2 2 2 2 4 2" xfId="59142"/>
    <cellStyle name="Обычный 9 9 2 2 2 2 2 5" xfId="59143"/>
    <cellStyle name="Обычный 9 9 2 2 2 2 2 6" xfId="59144"/>
    <cellStyle name="Обычный 9 9 2 2 2 2 3" xfId="59145"/>
    <cellStyle name="Обычный 9 9 2 2 2 2 3 2" xfId="59146"/>
    <cellStyle name="Обычный 9 9 2 2 2 2 3 3" xfId="59147"/>
    <cellStyle name="Обычный 9 9 2 2 2 2 4" xfId="59148"/>
    <cellStyle name="Обычный 9 9 2 2 2 2 4 2" xfId="59149"/>
    <cellStyle name="Обычный 9 9 2 2 2 2 4 3" xfId="59150"/>
    <cellStyle name="Обычный 9 9 2 2 2 2 5" xfId="59151"/>
    <cellStyle name="Обычный 9 9 2 2 2 2 5 2" xfId="59152"/>
    <cellStyle name="Обычный 9 9 2 2 2 2 6" xfId="59153"/>
    <cellStyle name="Обычный 9 9 2 2 2 2 7" xfId="59154"/>
    <cellStyle name="Обычный 9 9 2 2 2 3" xfId="59155"/>
    <cellStyle name="Обычный 9 9 2 2 2 3 2" xfId="59156"/>
    <cellStyle name="Обычный 9 9 2 2 2 3 2 2" xfId="59157"/>
    <cellStyle name="Обычный 9 9 2 2 2 3 2 3" xfId="59158"/>
    <cellStyle name="Обычный 9 9 2 2 2 3 3" xfId="59159"/>
    <cellStyle name="Обычный 9 9 2 2 2 3 3 2" xfId="59160"/>
    <cellStyle name="Обычный 9 9 2 2 2 3 3 3" xfId="59161"/>
    <cellStyle name="Обычный 9 9 2 2 2 3 4" xfId="59162"/>
    <cellStyle name="Обычный 9 9 2 2 2 3 4 2" xfId="59163"/>
    <cellStyle name="Обычный 9 9 2 2 2 3 5" xfId="59164"/>
    <cellStyle name="Обычный 9 9 2 2 2 3 6" xfId="59165"/>
    <cellStyle name="Обычный 9 9 2 2 2 4" xfId="59166"/>
    <cellStyle name="Обычный 9 9 2 2 2 4 2" xfId="59167"/>
    <cellStyle name="Обычный 9 9 2 2 2 4 3" xfId="59168"/>
    <cellStyle name="Обычный 9 9 2 2 2 5" xfId="59169"/>
    <cellStyle name="Обычный 9 9 2 2 2 5 2" xfId="59170"/>
    <cellStyle name="Обычный 9 9 2 2 2 5 3" xfId="59171"/>
    <cellStyle name="Обычный 9 9 2 2 2 6" xfId="59172"/>
    <cellStyle name="Обычный 9 9 2 2 2 6 2" xfId="59173"/>
    <cellStyle name="Обычный 9 9 2 2 2 7" xfId="59174"/>
    <cellStyle name="Обычный 9 9 2 2 2 8" xfId="59175"/>
    <cellStyle name="Обычный 9 9 2 2 3" xfId="59176"/>
    <cellStyle name="Обычный 9 9 2 2 3 2" xfId="59177"/>
    <cellStyle name="Обычный 9 9 2 2 3 2 2" xfId="59178"/>
    <cellStyle name="Обычный 9 9 2 2 3 2 2 2" xfId="59179"/>
    <cellStyle name="Обычный 9 9 2 2 3 2 2 3" xfId="59180"/>
    <cellStyle name="Обычный 9 9 2 2 3 2 3" xfId="59181"/>
    <cellStyle name="Обычный 9 9 2 2 3 2 3 2" xfId="59182"/>
    <cellStyle name="Обычный 9 9 2 2 3 2 3 3" xfId="59183"/>
    <cellStyle name="Обычный 9 9 2 2 3 2 4" xfId="59184"/>
    <cellStyle name="Обычный 9 9 2 2 3 2 4 2" xfId="59185"/>
    <cellStyle name="Обычный 9 9 2 2 3 2 5" xfId="59186"/>
    <cellStyle name="Обычный 9 9 2 2 3 2 6" xfId="59187"/>
    <cellStyle name="Обычный 9 9 2 2 3 3" xfId="59188"/>
    <cellStyle name="Обычный 9 9 2 2 3 3 2" xfId="59189"/>
    <cellStyle name="Обычный 9 9 2 2 3 3 3" xfId="59190"/>
    <cellStyle name="Обычный 9 9 2 2 3 4" xfId="59191"/>
    <cellStyle name="Обычный 9 9 2 2 3 4 2" xfId="59192"/>
    <cellStyle name="Обычный 9 9 2 2 3 4 3" xfId="59193"/>
    <cellStyle name="Обычный 9 9 2 2 3 5" xfId="59194"/>
    <cellStyle name="Обычный 9 9 2 2 3 5 2" xfId="59195"/>
    <cellStyle name="Обычный 9 9 2 2 3 6" xfId="59196"/>
    <cellStyle name="Обычный 9 9 2 2 3 7" xfId="59197"/>
    <cellStyle name="Обычный 9 9 2 2 4" xfId="59198"/>
    <cellStyle name="Обычный 9 9 2 2 4 2" xfId="59199"/>
    <cellStyle name="Обычный 9 9 2 2 4 2 2" xfId="59200"/>
    <cellStyle name="Обычный 9 9 2 2 4 2 3" xfId="59201"/>
    <cellStyle name="Обычный 9 9 2 2 4 3" xfId="59202"/>
    <cellStyle name="Обычный 9 9 2 2 4 3 2" xfId="59203"/>
    <cellStyle name="Обычный 9 9 2 2 4 3 3" xfId="59204"/>
    <cellStyle name="Обычный 9 9 2 2 4 4" xfId="59205"/>
    <cellStyle name="Обычный 9 9 2 2 4 4 2" xfId="59206"/>
    <cellStyle name="Обычный 9 9 2 2 4 5" xfId="59207"/>
    <cellStyle name="Обычный 9 9 2 2 4 6" xfId="59208"/>
    <cellStyle name="Обычный 9 9 2 2 5" xfId="59209"/>
    <cellStyle name="Обычный 9 9 2 2 5 2" xfId="59210"/>
    <cellStyle name="Обычный 9 9 2 2 5 3" xfId="59211"/>
    <cellStyle name="Обычный 9 9 2 2 6" xfId="59212"/>
    <cellStyle name="Обычный 9 9 2 2 6 2" xfId="59213"/>
    <cellStyle name="Обычный 9 9 2 2 6 3" xfId="59214"/>
    <cellStyle name="Обычный 9 9 2 2 7" xfId="59215"/>
    <cellStyle name="Обычный 9 9 2 2 7 2" xfId="59216"/>
    <cellStyle name="Обычный 9 9 2 2 8" xfId="59217"/>
    <cellStyle name="Обычный 9 9 2 2 9" xfId="59218"/>
    <cellStyle name="Обычный 9 9 2 3" xfId="59219"/>
    <cellStyle name="Обычный 9 9 2 3 2" xfId="59220"/>
    <cellStyle name="Обычный 9 9 2 3 2 2" xfId="59221"/>
    <cellStyle name="Обычный 9 9 2 3 2 2 2" xfId="59222"/>
    <cellStyle name="Обычный 9 9 2 3 2 2 2 2" xfId="59223"/>
    <cellStyle name="Обычный 9 9 2 3 2 2 2 3" xfId="59224"/>
    <cellStyle name="Обычный 9 9 2 3 2 2 3" xfId="59225"/>
    <cellStyle name="Обычный 9 9 2 3 2 2 3 2" xfId="59226"/>
    <cellStyle name="Обычный 9 9 2 3 2 2 3 3" xfId="59227"/>
    <cellStyle name="Обычный 9 9 2 3 2 2 4" xfId="59228"/>
    <cellStyle name="Обычный 9 9 2 3 2 2 4 2" xfId="59229"/>
    <cellStyle name="Обычный 9 9 2 3 2 2 5" xfId="59230"/>
    <cellStyle name="Обычный 9 9 2 3 2 2 6" xfId="59231"/>
    <cellStyle name="Обычный 9 9 2 3 2 3" xfId="59232"/>
    <cellStyle name="Обычный 9 9 2 3 2 3 2" xfId="59233"/>
    <cellStyle name="Обычный 9 9 2 3 2 3 3" xfId="59234"/>
    <cellStyle name="Обычный 9 9 2 3 2 4" xfId="59235"/>
    <cellStyle name="Обычный 9 9 2 3 2 4 2" xfId="59236"/>
    <cellStyle name="Обычный 9 9 2 3 2 4 3" xfId="59237"/>
    <cellStyle name="Обычный 9 9 2 3 2 5" xfId="59238"/>
    <cellStyle name="Обычный 9 9 2 3 2 5 2" xfId="59239"/>
    <cellStyle name="Обычный 9 9 2 3 2 6" xfId="59240"/>
    <cellStyle name="Обычный 9 9 2 3 2 7" xfId="59241"/>
    <cellStyle name="Обычный 9 9 2 3 3" xfId="59242"/>
    <cellStyle name="Обычный 9 9 2 3 3 2" xfId="59243"/>
    <cellStyle name="Обычный 9 9 2 3 3 2 2" xfId="59244"/>
    <cellStyle name="Обычный 9 9 2 3 3 2 3" xfId="59245"/>
    <cellStyle name="Обычный 9 9 2 3 3 3" xfId="59246"/>
    <cellStyle name="Обычный 9 9 2 3 3 3 2" xfId="59247"/>
    <cellStyle name="Обычный 9 9 2 3 3 3 3" xfId="59248"/>
    <cellStyle name="Обычный 9 9 2 3 3 4" xfId="59249"/>
    <cellStyle name="Обычный 9 9 2 3 3 4 2" xfId="59250"/>
    <cellStyle name="Обычный 9 9 2 3 3 5" xfId="59251"/>
    <cellStyle name="Обычный 9 9 2 3 3 6" xfId="59252"/>
    <cellStyle name="Обычный 9 9 2 3 4" xfId="59253"/>
    <cellStyle name="Обычный 9 9 2 3 4 2" xfId="59254"/>
    <cellStyle name="Обычный 9 9 2 3 4 3" xfId="59255"/>
    <cellStyle name="Обычный 9 9 2 3 5" xfId="59256"/>
    <cellStyle name="Обычный 9 9 2 3 5 2" xfId="59257"/>
    <cellStyle name="Обычный 9 9 2 3 5 3" xfId="59258"/>
    <cellStyle name="Обычный 9 9 2 3 6" xfId="59259"/>
    <cellStyle name="Обычный 9 9 2 3 6 2" xfId="59260"/>
    <cellStyle name="Обычный 9 9 2 3 7" xfId="59261"/>
    <cellStyle name="Обычный 9 9 2 3 8" xfId="59262"/>
    <cellStyle name="Обычный 9 9 2 4" xfId="59263"/>
    <cellStyle name="Обычный 9 9 2 4 2" xfId="59264"/>
    <cellStyle name="Обычный 9 9 2 4 2 2" xfId="59265"/>
    <cellStyle name="Обычный 9 9 2 4 2 2 2" xfId="59266"/>
    <cellStyle name="Обычный 9 9 2 4 2 2 3" xfId="59267"/>
    <cellStyle name="Обычный 9 9 2 4 2 3" xfId="59268"/>
    <cellStyle name="Обычный 9 9 2 4 2 3 2" xfId="59269"/>
    <cellStyle name="Обычный 9 9 2 4 2 3 3" xfId="59270"/>
    <cellStyle name="Обычный 9 9 2 4 2 4" xfId="59271"/>
    <cellStyle name="Обычный 9 9 2 4 2 4 2" xfId="59272"/>
    <cellStyle name="Обычный 9 9 2 4 2 5" xfId="59273"/>
    <cellStyle name="Обычный 9 9 2 4 2 6" xfId="59274"/>
    <cellStyle name="Обычный 9 9 2 4 3" xfId="59275"/>
    <cellStyle name="Обычный 9 9 2 4 3 2" xfId="59276"/>
    <cellStyle name="Обычный 9 9 2 4 3 3" xfId="59277"/>
    <cellStyle name="Обычный 9 9 2 4 4" xfId="59278"/>
    <cellStyle name="Обычный 9 9 2 4 4 2" xfId="59279"/>
    <cellStyle name="Обычный 9 9 2 4 4 3" xfId="59280"/>
    <cellStyle name="Обычный 9 9 2 4 5" xfId="59281"/>
    <cellStyle name="Обычный 9 9 2 4 5 2" xfId="59282"/>
    <cellStyle name="Обычный 9 9 2 4 6" xfId="59283"/>
    <cellStyle name="Обычный 9 9 2 4 7" xfId="59284"/>
    <cellStyle name="Обычный 9 9 2 5" xfId="59285"/>
    <cellStyle name="Обычный 9 9 2 5 2" xfId="59286"/>
    <cellStyle name="Обычный 9 9 2 5 2 2" xfId="59287"/>
    <cellStyle name="Обычный 9 9 2 5 2 3" xfId="59288"/>
    <cellStyle name="Обычный 9 9 2 5 3" xfId="59289"/>
    <cellStyle name="Обычный 9 9 2 5 3 2" xfId="59290"/>
    <cellStyle name="Обычный 9 9 2 5 3 3" xfId="59291"/>
    <cellStyle name="Обычный 9 9 2 5 4" xfId="59292"/>
    <cellStyle name="Обычный 9 9 2 5 4 2" xfId="59293"/>
    <cellStyle name="Обычный 9 9 2 5 5" xfId="59294"/>
    <cellStyle name="Обычный 9 9 2 5 6" xfId="59295"/>
    <cellStyle name="Обычный 9 9 2 6" xfId="59296"/>
    <cellStyle name="Обычный 9 9 2 6 2" xfId="59297"/>
    <cellStyle name="Обычный 9 9 2 6 3" xfId="59298"/>
    <cellStyle name="Обычный 9 9 2 7" xfId="59299"/>
    <cellStyle name="Обычный 9 9 2 7 2" xfId="59300"/>
    <cellStyle name="Обычный 9 9 2 7 3" xfId="59301"/>
    <cellStyle name="Обычный 9 9 2 8" xfId="59302"/>
    <cellStyle name="Обычный 9 9 2 8 2" xfId="59303"/>
    <cellStyle name="Обычный 9 9 2 9" xfId="59304"/>
    <cellStyle name="Обычный 9 9 3" xfId="59305"/>
    <cellStyle name="Обычный 9 9 3 10" xfId="59306"/>
    <cellStyle name="Обычный 9 9 3 2" xfId="59307"/>
    <cellStyle name="Обычный 9 9 3 2 2" xfId="59308"/>
    <cellStyle name="Обычный 9 9 3 2 2 2" xfId="59309"/>
    <cellStyle name="Обычный 9 9 3 2 2 2 2" xfId="59310"/>
    <cellStyle name="Обычный 9 9 3 2 2 2 2 2" xfId="59311"/>
    <cellStyle name="Обычный 9 9 3 2 2 2 2 2 2" xfId="59312"/>
    <cellStyle name="Обычный 9 9 3 2 2 2 2 2 3" xfId="59313"/>
    <cellStyle name="Обычный 9 9 3 2 2 2 2 3" xfId="59314"/>
    <cellStyle name="Обычный 9 9 3 2 2 2 2 3 2" xfId="59315"/>
    <cellStyle name="Обычный 9 9 3 2 2 2 2 3 3" xfId="59316"/>
    <cellStyle name="Обычный 9 9 3 2 2 2 2 4" xfId="59317"/>
    <cellStyle name="Обычный 9 9 3 2 2 2 2 4 2" xfId="59318"/>
    <cellStyle name="Обычный 9 9 3 2 2 2 2 5" xfId="59319"/>
    <cellStyle name="Обычный 9 9 3 2 2 2 2 6" xfId="59320"/>
    <cellStyle name="Обычный 9 9 3 2 2 2 3" xfId="59321"/>
    <cellStyle name="Обычный 9 9 3 2 2 2 3 2" xfId="59322"/>
    <cellStyle name="Обычный 9 9 3 2 2 2 3 3" xfId="59323"/>
    <cellStyle name="Обычный 9 9 3 2 2 2 4" xfId="59324"/>
    <cellStyle name="Обычный 9 9 3 2 2 2 4 2" xfId="59325"/>
    <cellStyle name="Обычный 9 9 3 2 2 2 4 3" xfId="59326"/>
    <cellStyle name="Обычный 9 9 3 2 2 2 5" xfId="59327"/>
    <cellStyle name="Обычный 9 9 3 2 2 2 5 2" xfId="59328"/>
    <cellStyle name="Обычный 9 9 3 2 2 2 6" xfId="59329"/>
    <cellStyle name="Обычный 9 9 3 2 2 2 7" xfId="59330"/>
    <cellStyle name="Обычный 9 9 3 2 2 3" xfId="59331"/>
    <cellStyle name="Обычный 9 9 3 2 2 3 2" xfId="59332"/>
    <cellStyle name="Обычный 9 9 3 2 2 3 2 2" xfId="59333"/>
    <cellStyle name="Обычный 9 9 3 2 2 3 2 3" xfId="59334"/>
    <cellStyle name="Обычный 9 9 3 2 2 3 3" xfId="59335"/>
    <cellStyle name="Обычный 9 9 3 2 2 3 3 2" xfId="59336"/>
    <cellStyle name="Обычный 9 9 3 2 2 3 3 3" xfId="59337"/>
    <cellStyle name="Обычный 9 9 3 2 2 3 4" xfId="59338"/>
    <cellStyle name="Обычный 9 9 3 2 2 3 4 2" xfId="59339"/>
    <cellStyle name="Обычный 9 9 3 2 2 3 5" xfId="59340"/>
    <cellStyle name="Обычный 9 9 3 2 2 3 6" xfId="59341"/>
    <cellStyle name="Обычный 9 9 3 2 2 4" xfId="59342"/>
    <cellStyle name="Обычный 9 9 3 2 2 4 2" xfId="59343"/>
    <cellStyle name="Обычный 9 9 3 2 2 4 3" xfId="59344"/>
    <cellStyle name="Обычный 9 9 3 2 2 5" xfId="59345"/>
    <cellStyle name="Обычный 9 9 3 2 2 5 2" xfId="59346"/>
    <cellStyle name="Обычный 9 9 3 2 2 5 3" xfId="59347"/>
    <cellStyle name="Обычный 9 9 3 2 2 6" xfId="59348"/>
    <cellStyle name="Обычный 9 9 3 2 2 6 2" xfId="59349"/>
    <cellStyle name="Обычный 9 9 3 2 2 7" xfId="59350"/>
    <cellStyle name="Обычный 9 9 3 2 2 8" xfId="59351"/>
    <cellStyle name="Обычный 9 9 3 2 3" xfId="59352"/>
    <cellStyle name="Обычный 9 9 3 2 3 2" xfId="59353"/>
    <cellStyle name="Обычный 9 9 3 2 3 2 2" xfId="59354"/>
    <cellStyle name="Обычный 9 9 3 2 3 2 2 2" xfId="59355"/>
    <cellStyle name="Обычный 9 9 3 2 3 2 2 3" xfId="59356"/>
    <cellStyle name="Обычный 9 9 3 2 3 2 3" xfId="59357"/>
    <cellStyle name="Обычный 9 9 3 2 3 2 3 2" xfId="59358"/>
    <cellStyle name="Обычный 9 9 3 2 3 2 3 3" xfId="59359"/>
    <cellStyle name="Обычный 9 9 3 2 3 2 4" xfId="59360"/>
    <cellStyle name="Обычный 9 9 3 2 3 2 4 2" xfId="59361"/>
    <cellStyle name="Обычный 9 9 3 2 3 2 5" xfId="59362"/>
    <cellStyle name="Обычный 9 9 3 2 3 2 6" xfId="59363"/>
    <cellStyle name="Обычный 9 9 3 2 3 3" xfId="59364"/>
    <cellStyle name="Обычный 9 9 3 2 3 3 2" xfId="59365"/>
    <cellStyle name="Обычный 9 9 3 2 3 3 3" xfId="59366"/>
    <cellStyle name="Обычный 9 9 3 2 3 4" xfId="59367"/>
    <cellStyle name="Обычный 9 9 3 2 3 4 2" xfId="59368"/>
    <cellStyle name="Обычный 9 9 3 2 3 4 3" xfId="59369"/>
    <cellStyle name="Обычный 9 9 3 2 3 5" xfId="59370"/>
    <cellStyle name="Обычный 9 9 3 2 3 5 2" xfId="59371"/>
    <cellStyle name="Обычный 9 9 3 2 3 6" xfId="59372"/>
    <cellStyle name="Обычный 9 9 3 2 3 7" xfId="59373"/>
    <cellStyle name="Обычный 9 9 3 2 4" xfId="59374"/>
    <cellStyle name="Обычный 9 9 3 2 4 2" xfId="59375"/>
    <cellStyle name="Обычный 9 9 3 2 4 2 2" xfId="59376"/>
    <cellStyle name="Обычный 9 9 3 2 4 2 3" xfId="59377"/>
    <cellStyle name="Обычный 9 9 3 2 4 3" xfId="59378"/>
    <cellStyle name="Обычный 9 9 3 2 4 3 2" xfId="59379"/>
    <cellStyle name="Обычный 9 9 3 2 4 3 3" xfId="59380"/>
    <cellStyle name="Обычный 9 9 3 2 4 4" xfId="59381"/>
    <cellStyle name="Обычный 9 9 3 2 4 4 2" xfId="59382"/>
    <cellStyle name="Обычный 9 9 3 2 4 5" xfId="59383"/>
    <cellStyle name="Обычный 9 9 3 2 4 6" xfId="59384"/>
    <cellStyle name="Обычный 9 9 3 2 5" xfId="59385"/>
    <cellStyle name="Обычный 9 9 3 2 5 2" xfId="59386"/>
    <cellStyle name="Обычный 9 9 3 2 5 3" xfId="59387"/>
    <cellStyle name="Обычный 9 9 3 2 6" xfId="59388"/>
    <cellStyle name="Обычный 9 9 3 2 6 2" xfId="59389"/>
    <cellStyle name="Обычный 9 9 3 2 6 3" xfId="59390"/>
    <cellStyle name="Обычный 9 9 3 2 7" xfId="59391"/>
    <cellStyle name="Обычный 9 9 3 2 7 2" xfId="59392"/>
    <cellStyle name="Обычный 9 9 3 2 8" xfId="59393"/>
    <cellStyle name="Обычный 9 9 3 2 9" xfId="59394"/>
    <cellStyle name="Обычный 9 9 3 3" xfId="59395"/>
    <cellStyle name="Обычный 9 9 3 3 2" xfId="59396"/>
    <cellStyle name="Обычный 9 9 3 3 2 2" xfId="59397"/>
    <cellStyle name="Обычный 9 9 3 3 2 2 2" xfId="59398"/>
    <cellStyle name="Обычный 9 9 3 3 2 2 2 2" xfId="59399"/>
    <cellStyle name="Обычный 9 9 3 3 2 2 2 3" xfId="59400"/>
    <cellStyle name="Обычный 9 9 3 3 2 2 3" xfId="59401"/>
    <cellStyle name="Обычный 9 9 3 3 2 2 3 2" xfId="59402"/>
    <cellStyle name="Обычный 9 9 3 3 2 2 3 3" xfId="59403"/>
    <cellStyle name="Обычный 9 9 3 3 2 2 4" xfId="59404"/>
    <cellStyle name="Обычный 9 9 3 3 2 2 4 2" xfId="59405"/>
    <cellStyle name="Обычный 9 9 3 3 2 2 5" xfId="59406"/>
    <cellStyle name="Обычный 9 9 3 3 2 2 6" xfId="59407"/>
    <cellStyle name="Обычный 9 9 3 3 2 3" xfId="59408"/>
    <cellStyle name="Обычный 9 9 3 3 2 3 2" xfId="59409"/>
    <cellStyle name="Обычный 9 9 3 3 2 3 3" xfId="59410"/>
    <cellStyle name="Обычный 9 9 3 3 2 4" xfId="59411"/>
    <cellStyle name="Обычный 9 9 3 3 2 4 2" xfId="59412"/>
    <cellStyle name="Обычный 9 9 3 3 2 4 3" xfId="59413"/>
    <cellStyle name="Обычный 9 9 3 3 2 5" xfId="59414"/>
    <cellStyle name="Обычный 9 9 3 3 2 5 2" xfId="59415"/>
    <cellStyle name="Обычный 9 9 3 3 2 6" xfId="59416"/>
    <cellStyle name="Обычный 9 9 3 3 2 7" xfId="59417"/>
    <cellStyle name="Обычный 9 9 3 3 3" xfId="59418"/>
    <cellStyle name="Обычный 9 9 3 3 3 2" xfId="59419"/>
    <cellStyle name="Обычный 9 9 3 3 3 2 2" xfId="59420"/>
    <cellStyle name="Обычный 9 9 3 3 3 2 3" xfId="59421"/>
    <cellStyle name="Обычный 9 9 3 3 3 3" xfId="59422"/>
    <cellStyle name="Обычный 9 9 3 3 3 3 2" xfId="59423"/>
    <cellStyle name="Обычный 9 9 3 3 3 3 3" xfId="59424"/>
    <cellStyle name="Обычный 9 9 3 3 3 4" xfId="59425"/>
    <cellStyle name="Обычный 9 9 3 3 3 4 2" xfId="59426"/>
    <cellStyle name="Обычный 9 9 3 3 3 5" xfId="59427"/>
    <cellStyle name="Обычный 9 9 3 3 3 6" xfId="59428"/>
    <cellStyle name="Обычный 9 9 3 3 4" xfId="59429"/>
    <cellStyle name="Обычный 9 9 3 3 4 2" xfId="59430"/>
    <cellStyle name="Обычный 9 9 3 3 4 3" xfId="59431"/>
    <cellStyle name="Обычный 9 9 3 3 5" xfId="59432"/>
    <cellStyle name="Обычный 9 9 3 3 5 2" xfId="59433"/>
    <cellStyle name="Обычный 9 9 3 3 5 3" xfId="59434"/>
    <cellStyle name="Обычный 9 9 3 3 6" xfId="59435"/>
    <cellStyle name="Обычный 9 9 3 3 6 2" xfId="59436"/>
    <cellStyle name="Обычный 9 9 3 3 7" xfId="59437"/>
    <cellStyle name="Обычный 9 9 3 3 8" xfId="59438"/>
    <cellStyle name="Обычный 9 9 3 4" xfId="59439"/>
    <cellStyle name="Обычный 9 9 3 4 2" xfId="59440"/>
    <cellStyle name="Обычный 9 9 3 4 2 2" xfId="59441"/>
    <cellStyle name="Обычный 9 9 3 4 2 2 2" xfId="59442"/>
    <cellStyle name="Обычный 9 9 3 4 2 2 3" xfId="59443"/>
    <cellStyle name="Обычный 9 9 3 4 2 3" xfId="59444"/>
    <cellStyle name="Обычный 9 9 3 4 2 3 2" xfId="59445"/>
    <cellStyle name="Обычный 9 9 3 4 2 3 3" xfId="59446"/>
    <cellStyle name="Обычный 9 9 3 4 2 4" xfId="59447"/>
    <cellStyle name="Обычный 9 9 3 4 2 4 2" xfId="59448"/>
    <cellStyle name="Обычный 9 9 3 4 2 5" xfId="59449"/>
    <cellStyle name="Обычный 9 9 3 4 2 6" xfId="59450"/>
    <cellStyle name="Обычный 9 9 3 4 3" xfId="59451"/>
    <cellStyle name="Обычный 9 9 3 4 3 2" xfId="59452"/>
    <cellStyle name="Обычный 9 9 3 4 3 3" xfId="59453"/>
    <cellStyle name="Обычный 9 9 3 4 4" xfId="59454"/>
    <cellStyle name="Обычный 9 9 3 4 4 2" xfId="59455"/>
    <cellStyle name="Обычный 9 9 3 4 4 3" xfId="59456"/>
    <cellStyle name="Обычный 9 9 3 4 5" xfId="59457"/>
    <cellStyle name="Обычный 9 9 3 4 5 2" xfId="59458"/>
    <cellStyle name="Обычный 9 9 3 4 6" xfId="59459"/>
    <cellStyle name="Обычный 9 9 3 4 7" xfId="59460"/>
    <cellStyle name="Обычный 9 9 3 5" xfId="59461"/>
    <cellStyle name="Обычный 9 9 3 5 2" xfId="59462"/>
    <cellStyle name="Обычный 9 9 3 5 2 2" xfId="59463"/>
    <cellStyle name="Обычный 9 9 3 5 2 3" xfId="59464"/>
    <cellStyle name="Обычный 9 9 3 5 3" xfId="59465"/>
    <cellStyle name="Обычный 9 9 3 5 3 2" xfId="59466"/>
    <cellStyle name="Обычный 9 9 3 5 3 3" xfId="59467"/>
    <cellStyle name="Обычный 9 9 3 5 4" xfId="59468"/>
    <cellStyle name="Обычный 9 9 3 5 4 2" xfId="59469"/>
    <cellStyle name="Обычный 9 9 3 5 5" xfId="59470"/>
    <cellStyle name="Обычный 9 9 3 5 6" xfId="59471"/>
    <cellStyle name="Обычный 9 9 3 6" xfId="59472"/>
    <cellStyle name="Обычный 9 9 3 6 2" xfId="59473"/>
    <cellStyle name="Обычный 9 9 3 6 3" xfId="59474"/>
    <cellStyle name="Обычный 9 9 3 7" xfId="59475"/>
    <cellStyle name="Обычный 9 9 3 7 2" xfId="59476"/>
    <cellStyle name="Обычный 9 9 3 7 3" xfId="59477"/>
    <cellStyle name="Обычный 9 9 3 8" xfId="59478"/>
    <cellStyle name="Обычный 9 9 3 8 2" xfId="59479"/>
    <cellStyle name="Обычный 9 9 3 9" xfId="59480"/>
    <cellStyle name="Обычный 9 9 4" xfId="59481"/>
    <cellStyle name="Обычный 9 9 4 10" xfId="59482"/>
    <cellStyle name="Обычный 9 9 4 2" xfId="59483"/>
    <cellStyle name="Обычный 9 9 4 2 2" xfId="59484"/>
    <cellStyle name="Обычный 9 9 4 2 2 2" xfId="59485"/>
    <cellStyle name="Обычный 9 9 4 2 2 2 2" xfId="59486"/>
    <cellStyle name="Обычный 9 9 4 2 2 2 2 2" xfId="59487"/>
    <cellStyle name="Обычный 9 9 4 2 2 2 2 2 2" xfId="59488"/>
    <cellStyle name="Обычный 9 9 4 2 2 2 2 2 3" xfId="59489"/>
    <cellStyle name="Обычный 9 9 4 2 2 2 2 3" xfId="59490"/>
    <cellStyle name="Обычный 9 9 4 2 2 2 2 3 2" xfId="59491"/>
    <cellStyle name="Обычный 9 9 4 2 2 2 2 3 3" xfId="59492"/>
    <cellStyle name="Обычный 9 9 4 2 2 2 2 4" xfId="59493"/>
    <cellStyle name="Обычный 9 9 4 2 2 2 2 4 2" xfId="59494"/>
    <cellStyle name="Обычный 9 9 4 2 2 2 2 5" xfId="59495"/>
    <cellStyle name="Обычный 9 9 4 2 2 2 2 6" xfId="59496"/>
    <cellStyle name="Обычный 9 9 4 2 2 2 3" xfId="59497"/>
    <cellStyle name="Обычный 9 9 4 2 2 2 3 2" xfId="59498"/>
    <cellStyle name="Обычный 9 9 4 2 2 2 3 3" xfId="59499"/>
    <cellStyle name="Обычный 9 9 4 2 2 2 4" xfId="59500"/>
    <cellStyle name="Обычный 9 9 4 2 2 2 4 2" xfId="59501"/>
    <cellStyle name="Обычный 9 9 4 2 2 2 4 3" xfId="59502"/>
    <cellStyle name="Обычный 9 9 4 2 2 2 5" xfId="59503"/>
    <cellStyle name="Обычный 9 9 4 2 2 2 5 2" xfId="59504"/>
    <cellStyle name="Обычный 9 9 4 2 2 2 6" xfId="59505"/>
    <cellStyle name="Обычный 9 9 4 2 2 2 7" xfId="59506"/>
    <cellStyle name="Обычный 9 9 4 2 2 3" xfId="59507"/>
    <cellStyle name="Обычный 9 9 4 2 2 3 2" xfId="59508"/>
    <cellStyle name="Обычный 9 9 4 2 2 3 2 2" xfId="59509"/>
    <cellStyle name="Обычный 9 9 4 2 2 3 2 3" xfId="59510"/>
    <cellStyle name="Обычный 9 9 4 2 2 3 3" xfId="59511"/>
    <cellStyle name="Обычный 9 9 4 2 2 3 3 2" xfId="59512"/>
    <cellStyle name="Обычный 9 9 4 2 2 3 3 3" xfId="59513"/>
    <cellStyle name="Обычный 9 9 4 2 2 3 4" xfId="59514"/>
    <cellStyle name="Обычный 9 9 4 2 2 3 4 2" xfId="59515"/>
    <cellStyle name="Обычный 9 9 4 2 2 3 5" xfId="59516"/>
    <cellStyle name="Обычный 9 9 4 2 2 3 6" xfId="59517"/>
    <cellStyle name="Обычный 9 9 4 2 2 4" xfId="59518"/>
    <cellStyle name="Обычный 9 9 4 2 2 4 2" xfId="59519"/>
    <cellStyle name="Обычный 9 9 4 2 2 4 3" xfId="59520"/>
    <cellStyle name="Обычный 9 9 4 2 2 5" xfId="59521"/>
    <cellStyle name="Обычный 9 9 4 2 2 5 2" xfId="59522"/>
    <cellStyle name="Обычный 9 9 4 2 2 5 3" xfId="59523"/>
    <cellStyle name="Обычный 9 9 4 2 2 6" xfId="59524"/>
    <cellStyle name="Обычный 9 9 4 2 2 6 2" xfId="59525"/>
    <cellStyle name="Обычный 9 9 4 2 2 7" xfId="59526"/>
    <cellStyle name="Обычный 9 9 4 2 2 8" xfId="59527"/>
    <cellStyle name="Обычный 9 9 4 2 3" xfId="59528"/>
    <cellStyle name="Обычный 9 9 4 2 3 2" xfId="59529"/>
    <cellStyle name="Обычный 9 9 4 2 3 2 2" xfId="59530"/>
    <cellStyle name="Обычный 9 9 4 2 3 2 2 2" xfId="59531"/>
    <cellStyle name="Обычный 9 9 4 2 3 2 2 3" xfId="59532"/>
    <cellStyle name="Обычный 9 9 4 2 3 2 3" xfId="59533"/>
    <cellStyle name="Обычный 9 9 4 2 3 2 3 2" xfId="59534"/>
    <cellStyle name="Обычный 9 9 4 2 3 2 3 3" xfId="59535"/>
    <cellStyle name="Обычный 9 9 4 2 3 2 4" xfId="59536"/>
    <cellStyle name="Обычный 9 9 4 2 3 2 4 2" xfId="59537"/>
    <cellStyle name="Обычный 9 9 4 2 3 2 5" xfId="59538"/>
    <cellStyle name="Обычный 9 9 4 2 3 2 6" xfId="59539"/>
    <cellStyle name="Обычный 9 9 4 2 3 3" xfId="59540"/>
    <cellStyle name="Обычный 9 9 4 2 3 3 2" xfId="59541"/>
    <cellStyle name="Обычный 9 9 4 2 3 3 3" xfId="59542"/>
    <cellStyle name="Обычный 9 9 4 2 3 4" xfId="59543"/>
    <cellStyle name="Обычный 9 9 4 2 3 4 2" xfId="59544"/>
    <cellStyle name="Обычный 9 9 4 2 3 4 3" xfId="59545"/>
    <cellStyle name="Обычный 9 9 4 2 3 5" xfId="59546"/>
    <cellStyle name="Обычный 9 9 4 2 3 5 2" xfId="59547"/>
    <cellStyle name="Обычный 9 9 4 2 3 6" xfId="59548"/>
    <cellStyle name="Обычный 9 9 4 2 3 7" xfId="59549"/>
    <cellStyle name="Обычный 9 9 4 2 4" xfId="59550"/>
    <cellStyle name="Обычный 9 9 4 2 4 2" xfId="59551"/>
    <cellStyle name="Обычный 9 9 4 2 4 2 2" xfId="59552"/>
    <cellStyle name="Обычный 9 9 4 2 4 2 3" xfId="59553"/>
    <cellStyle name="Обычный 9 9 4 2 4 3" xfId="59554"/>
    <cellStyle name="Обычный 9 9 4 2 4 3 2" xfId="59555"/>
    <cellStyle name="Обычный 9 9 4 2 4 3 3" xfId="59556"/>
    <cellStyle name="Обычный 9 9 4 2 4 4" xfId="59557"/>
    <cellStyle name="Обычный 9 9 4 2 4 4 2" xfId="59558"/>
    <cellStyle name="Обычный 9 9 4 2 4 5" xfId="59559"/>
    <cellStyle name="Обычный 9 9 4 2 4 6" xfId="59560"/>
    <cellStyle name="Обычный 9 9 4 2 5" xfId="59561"/>
    <cellStyle name="Обычный 9 9 4 2 5 2" xfId="59562"/>
    <cellStyle name="Обычный 9 9 4 2 5 3" xfId="59563"/>
    <cellStyle name="Обычный 9 9 4 2 6" xfId="59564"/>
    <cellStyle name="Обычный 9 9 4 2 6 2" xfId="59565"/>
    <cellStyle name="Обычный 9 9 4 2 6 3" xfId="59566"/>
    <cellStyle name="Обычный 9 9 4 2 7" xfId="59567"/>
    <cellStyle name="Обычный 9 9 4 2 7 2" xfId="59568"/>
    <cellStyle name="Обычный 9 9 4 2 8" xfId="59569"/>
    <cellStyle name="Обычный 9 9 4 2 9" xfId="59570"/>
    <cellStyle name="Обычный 9 9 4 3" xfId="59571"/>
    <cellStyle name="Обычный 9 9 4 3 2" xfId="59572"/>
    <cellStyle name="Обычный 9 9 4 3 2 2" xfId="59573"/>
    <cellStyle name="Обычный 9 9 4 3 2 2 2" xfId="59574"/>
    <cellStyle name="Обычный 9 9 4 3 2 2 2 2" xfId="59575"/>
    <cellStyle name="Обычный 9 9 4 3 2 2 2 3" xfId="59576"/>
    <cellStyle name="Обычный 9 9 4 3 2 2 3" xfId="59577"/>
    <cellStyle name="Обычный 9 9 4 3 2 2 3 2" xfId="59578"/>
    <cellStyle name="Обычный 9 9 4 3 2 2 3 3" xfId="59579"/>
    <cellStyle name="Обычный 9 9 4 3 2 2 4" xfId="59580"/>
    <cellStyle name="Обычный 9 9 4 3 2 2 4 2" xfId="59581"/>
    <cellStyle name="Обычный 9 9 4 3 2 2 5" xfId="59582"/>
    <cellStyle name="Обычный 9 9 4 3 2 2 6" xfId="59583"/>
    <cellStyle name="Обычный 9 9 4 3 2 3" xfId="59584"/>
    <cellStyle name="Обычный 9 9 4 3 2 3 2" xfId="59585"/>
    <cellStyle name="Обычный 9 9 4 3 2 3 3" xfId="59586"/>
    <cellStyle name="Обычный 9 9 4 3 2 4" xfId="59587"/>
    <cellStyle name="Обычный 9 9 4 3 2 4 2" xfId="59588"/>
    <cellStyle name="Обычный 9 9 4 3 2 4 3" xfId="59589"/>
    <cellStyle name="Обычный 9 9 4 3 2 5" xfId="59590"/>
    <cellStyle name="Обычный 9 9 4 3 2 5 2" xfId="59591"/>
    <cellStyle name="Обычный 9 9 4 3 2 6" xfId="59592"/>
    <cellStyle name="Обычный 9 9 4 3 2 7" xfId="59593"/>
    <cellStyle name="Обычный 9 9 4 3 3" xfId="59594"/>
    <cellStyle name="Обычный 9 9 4 3 3 2" xfId="59595"/>
    <cellStyle name="Обычный 9 9 4 3 3 2 2" xfId="59596"/>
    <cellStyle name="Обычный 9 9 4 3 3 2 3" xfId="59597"/>
    <cellStyle name="Обычный 9 9 4 3 3 3" xfId="59598"/>
    <cellStyle name="Обычный 9 9 4 3 3 3 2" xfId="59599"/>
    <cellStyle name="Обычный 9 9 4 3 3 3 3" xfId="59600"/>
    <cellStyle name="Обычный 9 9 4 3 3 4" xfId="59601"/>
    <cellStyle name="Обычный 9 9 4 3 3 4 2" xfId="59602"/>
    <cellStyle name="Обычный 9 9 4 3 3 5" xfId="59603"/>
    <cellStyle name="Обычный 9 9 4 3 3 6" xfId="59604"/>
    <cellStyle name="Обычный 9 9 4 3 4" xfId="59605"/>
    <cellStyle name="Обычный 9 9 4 3 4 2" xfId="59606"/>
    <cellStyle name="Обычный 9 9 4 3 4 3" xfId="59607"/>
    <cellStyle name="Обычный 9 9 4 3 5" xfId="59608"/>
    <cellStyle name="Обычный 9 9 4 3 5 2" xfId="59609"/>
    <cellStyle name="Обычный 9 9 4 3 5 3" xfId="59610"/>
    <cellStyle name="Обычный 9 9 4 3 6" xfId="59611"/>
    <cellStyle name="Обычный 9 9 4 3 6 2" xfId="59612"/>
    <cellStyle name="Обычный 9 9 4 3 7" xfId="59613"/>
    <cellStyle name="Обычный 9 9 4 3 8" xfId="59614"/>
    <cellStyle name="Обычный 9 9 4 4" xfId="59615"/>
    <cellStyle name="Обычный 9 9 4 4 2" xfId="59616"/>
    <cellStyle name="Обычный 9 9 4 4 2 2" xfId="59617"/>
    <cellStyle name="Обычный 9 9 4 4 2 2 2" xfId="59618"/>
    <cellStyle name="Обычный 9 9 4 4 2 2 3" xfId="59619"/>
    <cellStyle name="Обычный 9 9 4 4 2 3" xfId="59620"/>
    <cellStyle name="Обычный 9 9 4 4 2 3 2" xfId="59621"/>
    <cellStyle name="Обычный 9 9 4 4 2 3 3" xfId="59622"/>
    <cellStyle name="Обычный 9 9 4 4 2 4" xfId="59623"/>
    <cellStyle name="Обычный 9 9 4 4 2 4 2" xfId="59624"/>
    <cellStyle name="Обычный 9 9 4 4 2 5" xfId="59625"/>
    <cellStyle name="Обычный 9 9 4 4 2 6" xfId="59626"/>
    <cellStyle name="Обычный 9 9 4 4 3" xfId="59627"/>
    <cellStyle name="Обычный 9 9 4 4 3 2" xfId="59628"/>
    <cellStyle name="Обычный 9 9 4 4 3 3" xfId="59629"/>
    <cellStyle name="Обычный 9 9 4 4 4" xfId="59630"/>
    <cellStyle name="Обычный 9 9 4 4 4 2" xfId="59631"/>
    <cellStyle name="Обычный 9 9 4 4 4 3" xfId="59632"/>
    <cellStyle name="Обычный 9 9 4 4 5" xfId="59633"/>
    <cellStyle name="Обычный 9 9 4 4 5 2" xfId="59634"/>
    <cellStyle name="Обычный 9 9 4 4 6" xfId="59635"/>
    <cellStyle name="Обычный 9 9 4 4 7" xfId="59636"/>
    <cellStyle name="Обычный 9 9 4 5" xfId="59637"/>
    <cellStyle name="Обычный 9 9 4 5 2" xfId="59638"/>
    <cellStyle name="Обычный 9 9 4 5 2 2" xfId="59639"/>
    <cellStyle name="Обычный 9 9 4 5 2 3" xfId="59640"/>
    <cellStyle name="Обычный 9 9 4 5 3" xfId="59641"/>
    <cellStyle name="Обычный 9 9 4 5 3 2" xfId="59642"/>
    <cellStyle name="Обычный 9 9 4 5 3 3" xfId="59643"/>
    <cellStyle name="Обычный 9 9 4 5 4" xfId="59644"/>
    <cellStyle name="Обычный 9 9 4 5 4 2" xfId="59645"/>
    <cellStyle name="Обычный 9 9 4 5 5" xfId="59646"/>
    <cellStyle name="Обычный 9 9 4 5 6" xfId="59647"/>
    <cellStyle name="Обычный 9 9 4 6" xfId="59648"/>
    <cellStyle name="Обычный 9 9 4 6 2" xfId="59649"/>
    <cellStyle name="Обычный 9 9 4 6 3" xfId="59650"/>
    <cellStyle name="Обычный 9 9 4 7" xfId="59651"/>
    <cellStyle name="Обычный 9 9 4 7 2" xfId="59652"/>
    <cellStyle name="Обычный 9 9 4 7 3" xfId="59653"/>
    <cellStyle name="Обычный 9 9 4 8" xfId="59654"/>
    <cellStyle name="Обычный 9 9 4 8 2" xfId="59655"/>
    <cellStyle name="Обычный 9 9 4 9" xfId="59656"/>
    <cellStyle name="Обычный 9 9 5" xfId="59657"/>
    <cellStyle name="Обычный 9 9 5 2" xfId="59658"/>
    <cellStyle name="Обычный 9 9 5 2 2" xfId="59659"/>
    <cellStyle name="Обычный 9 9 5 2 2 2" xfId="59660"/>
    <cellStyle name="Обычный 9 9 5 2 2 2 2" xfId="59661"/>
    <cellStyle name="Обычный 9 9 5 2 2 2 2 2" xfId="59662"/>
    <cellStyle name="Обычный 9 9 5 2 2 2 2 3" xfId="59663"/>
    <cellStyle name="Обычный 9 9 5 2 2 2 3" xfId="59664"/>
    <cellStyle name="Обычный 9 9 5 2 2 2 3 2" xfId="59665"/>
    <cellStyle name="Обычный 9 9 5 2 2 2 3 3" xfId="59666"/>
    <cellStyle name="Обычный 9 9 5 2 2 2 4" xfId="59667"/>
    <cellStyle name="Обычный 9 9 5 2 2 2 4 2" xfId="59668"/>
    <cellStyle name="Обычный 9 9 5 2 2 2 5" xfId="59669"/>
    <cellStyle name="Обычный 9 9 5 2 2 2 6" xfId="59670"/>
    <cellStyle name="Обычный 9 9 5 2 2 3" xfId="59671"/>
    <cellStyle name="Обычный 9 9 5 2 2 3 2" xfId="59672"/>
    <cellStyle name="Обычный 9 9 5 2 2 3 3" xfId="59673"/>
    <cellStyle name="Обычный 9 9 5 2 2 4" xfId="59674"/>
    <cellStyle name="Обычный 9 9 5 2 2 4 2" xfId="59675"/>
    <cellStyle name="Обычный 9 9 5 2 2 4 3" xfId="59676"/>
    <cellStyle name="Обычный 9 9 5 2 2 5" xfId="59677"/>
    <cellStyle name="Обычный 9 9 5 2 2 5 2" xfId="59678"/>
    <cellStyle name="Обычный 9 9 5 2 2 6" xfId="59679"/>
    <cellStyle name="Обычный 9 9 5 2 2 7" xfId="59680"/>
    <cellStyle name="Обычный 9 9 5 2 3" xfId="59681"/>
    <cellStyle name="Обычный 9 9 5 2 3 2" xfId="59682"/>
    <cellStyle name="Обычный 9 9 5 2 3 2 2" xfId="59683"/>
    <cellStyle name="Обычный 9 9 5 2 3 2 3" xfId="59684"/>
    <cellStyle name="Обычный 9 9 5 2 3 3" xfId="59685"/>
    <cellStyle name="Обычный 9 9 5 2 3 3 2" xfId="59686"/>
    <cellStyle name="Обычный 9 9 5 2 3 3 3" xfId="59687"/>
    <cellStyle name="Обычный 9 9 5 2 3 4" xfId="59688"/>
    <cellStyle name="Обычный 9 9 5 2 3 4 2" xfId="59689"/>
    <cellStyle name="Обычный 9 9 5 2 3 5" xfId="59690"/>
    <cellStyle name="Обычный 9 9 5 2 3 6" xfId="59691"/>
    <cellStyle name="Обычный 9 9 5 2 4" xfId="59692"/>
    <cellStyle name="Обычный 9 9 5 2 4 2" xfId="59693"/>
    <cellStyle name="Обычный 9 9 5 2 4 3" xfId="59694"/>
    <cellStyle name="Обычный 9 9 5 2 5" xfId="59695"/>
    <cellStyle name="Обычный 9 9 5 2 5 2" xfId="59696"/>
    <cellStyle name="Обычный 9 9 5 2 5 3" xfId="59697"/>
    <cellStyle name="Обычный 9 9 5 2 6" xfId="59698"/>
    <cellStyle name="Обычный 9 9 5 2 6 2" xfId="59699"/>
    <cellStyle name="Обычный 9 9 5 2 7" xfId="59700"/>
    <cellStyle name="Обычный 9 9 5 2 8" xfId="59701"/>
    <cellStyle name="Обычный 9 9 5 3" xfId="59702"/>
    <cellStyle name="Обычный 9 9 5 3 2" xfId="59703"/>
    <cellStyle name="Обычный 9 9 5 3 2 2" xfId="59704"/>
    <cellStyle name="Обычный 9 9 5 3 2 2 2" xfId="59705"/>
    <cellStyle name="Обычный 9 9 5 3 2 2 3" xfId="59706"/>
    <cellStyle name="Обычный 9 9 5 3 2 3" xfId="59707"/>
    <cellStyle name="Обычный 9 9 5 3 2 3 2" xfId="59708"/>
    <cellStyle name="Обычный 9 9 5 3 2 3 3" xfId="59709"/>
    <cellStyle name="Обычный 9 9 5 3 2 4" xfId="59710"/>
    <cellStyle name="Обычный 9 9 5 3 2 4 2" xfId="59711"/>
    <cellStyle name="Обычный 9 9 5 3 2 5" xfId="59712"/>
    <cellStyle name="Обычный 9 9 5 3 2 6" xfId="59713"/>
    <cellStyle name="Обычный 9 9 5 3 3" xfId="59714"/>
    <cellStyle name="Обычный 9 9 5 3 3 2" xfId="59715"/>
    <cellStyle name="Обычный 9 9 5 3 3 3" xfId="59716"/>
    <cellStyle name="Обычный 9 9 5 3 4" xfId="59717"/>
    <cellStyle name="Обычный 9 9 5 3 4 2" xfId="59718"/>
    <cellStyle name="Обычный 9 9 5 3 4 3" xfId="59719"/>
    <cellStyle name="Обычный 9 9 5 3 5" xfId="59720"/>
    <cellStyle name="Обычный 9 9 5 3 5 2" xfId="59721"/>
    <cellStyle name="Обычный 9 9 5 3 6" xfId="59722"/>
    <cellStyle name="Обычный 9 9 5 3 7" xfId="59723"/>
    <cellStyle name="Обычный 9 9 5 4" xfId="59724"/>
    <cellStyle name="Обычный 9 9 5 4 2" xfId="59725"/>
    <cellStyle name="Обычный 9 9 5 4 2 2" xfId="59726"/>
    <cellStyle name="Обычный 9 9 5 4 2 3" xfId="59727"/>
    <cellStyle name="Обычный 9 9 5 4 3" xfId="59728"/>
    <cellStyle name="Обычный 9 9 5 4 3 2" xfId="59729"/>
    <cellStyle name="Обычный 9 9 5 4 3 3" xfId="59730"/>
    <cellStyle name="Обычный 9 9 5 4 4" xfId="59731"/>
    <cellStyle name="Обычный 9 9 5 4 4 2" xfId="59732"/>
    <cellStyle name="Обычный 9 9 5 4 5" xfId="59733"/>
    <cellStyle name="Обычный 9 9 5 4 6" xfId="59734"/>
    <cellStyle name="Обычный 9 9 5 5" xfId="59735"/>
    <cellStyle name="Обычный 9 9 5 5 2" xfId="59736"/>
    <cellStyle name="Обычный 9 9 5 5 3" xfId="59737"/>
    <cellStyle name="Обычный 9 9 5 6" xfId="59738"/>
    <cellStyle name="Обычный 9 9 5 6 2" xfId="59739"/>
    <cellStyle name="Обычный 9 9 5 6 3" xfId="59740"/>
    <cellStyle name="Обычный 9 9 5 7" xfId="59741"/>
    <cellStyle name="Обычный 9 9 5 7 2" xfId="59742"/>
    <cellStyle name="Обычный 9 9 5 8" xfId="59743"/>
    <cellStyle name="Обычный 9 9 5 9" xfId="59744"/>
    <cellStyle name="Обычный 9 9 6" xfId="59745"/>
    <cellStyle name="Обычный 9 9 6 2" xfId="59746"/>
    <cellStyle name="Обычный 9 9 6 2 2" xfId="59747"/>
    <cellStyle name="Обычный 9 9 6 2 2 2" xfId="59748"/>
    <cellStyle name="Обычный 9 9 6 2 2 2 2" xfId="59749"/>
    <cellStyle name="Обычный 9 9 6 2 2 2 3" xfId="59750"/>
    <cellStyle name="Обычный 9 9 6 2 2 3" xfId="59751"/>
    <cellStyle name="Обычный 9 9 6 2 2 3 2" xfId="59752"/>
    <cellStyle name="Обычный 9 9 6 2 2 3 3" xfId="59753"/>
    <cellStyle name="Обычный 9 9 6 2 2 4" xfId="59754"/>
    <cellStyle name="Обычный 9 9 6 2 2 4 2" xfId="59755"/>
    <cellStyle name="Обычный 9 9 6 2 2 5" xfId="59756"/>
    <cellStyle name="Обычный 9 9 6 2 2 6" xfId="59757"/>
    <cellStyle name="Обычный 9 9 6 2 3" xfId="59758"/>
    <cellStyle name="Обычный 9 9 6 2 3 2" xfId="59759"/>
    <cellStyle name="Обычный 9 9 6 2 3 3" xfId="59760"/>
    <cellStyle name="Обычный 9 9 6 2 4" xfId="59761"/>
    <cellStyle name="Обычный 9 9 6 2 4 2" xfId="59762"/>
    <cellStyle name="Обычный 9 9 6 2 4 3" xfId="59763"/>
    <cellStyle name="Обычный 9 9 6 2 5" xfId="59764"/>
    <cellStyle name="Обычный 9 9 6 2 5 2" xfId="59765"/>
    <cellStyle name="Обычный 9 9 6 2 6" xfId="59766"/>
    <cellStyle name="Обычный 9 9 6 2 7" xfId="59767"/>
    <cellStyle name="Обычный 9 9 6 3" xfId="59768"/>
    <cellStyle name="Обычный 9 9 6 3 2" xfId="59769"/>
    <cellStyle name="Обычный 9 9 6 3 2 2" xfId="59770"/>
    <cellStyle name="Обычный 9 9 6 3 2 3" xfId="59771"/>
    <cellStyle name="Обычный 9 9 6 3 3" xfId="59772"/>
    <cellStyle name="Обычный 9 9 6 3 3 2" xfId="59773"/>
    <cellStyle name="Обычный 9 9 6 3 3 3" xfId="59774"/>
    <cellStyle name="Обычный 9 9 6 3 4" xfId="59775"/>
    <cellStyle name="Обычный 9 9 6 3 4 2" xfId="59776"/>
    <cellStyle name="Обычный 9 9 6 3 5" xfId="59777"/>
    <cellStyle name="Обычный 9 9 6 3 6" xfId="59778"/>
    <cellStyle name="Обычный 9 9 6 4" xfId="59779"/>
    <cellStyle name="Обычный 9 9 6 4 2" xfId="59780"/>
    <cellStyle name="Обычный 9 9 6 4 3" xfId="59781"/>
    <cellStyle name="Обычный 9 9 6 5" xfId="59782"/>
    <cellStyle name="Обычный 9 9 6 5 2" xfId="59783"/>
    <cellStyle name="Обычный 9 9 6 5 3" xfId="59784"/>
    <cellStyle name="Обычный 9 9 6 6" xfId="59785"/>
    <cellStyle name="Обычный 9 9 6 6 2" xfId="59786"/>
    <cellStyle name="Обычный 9 9 6 7" xfId="59787"/>
    <cellStyle name="Обычный 9 9 6 8" xfId="59788"/>
    <cellStyle name="Обычный 9 9 7" xfId="59789"/>
    <cellStyle name="Обычный 9 9 7 2" xfId="59790"/>
    <cellStyle name="Обычный 9 9 7 2 2" xfId="59791"/>
    <cellStyle name="Обычный 9 9 7 2 2 2" xfId="59792"/>
    <cellStyle name="Обычный 9 9 7 2 2 3" xfId="59793"/>
    <cellStyle name="Обычный 9 9 7 2 3" xfId="59794"/>
    <cellStyle name="Обычный 9 9 7 2 3 2" xfId="59795"/>
    <cellStyle name="Обычный 9 9 7 2 3 3" xfId="59796"/>
    <cellStyle name="Обычный 9 9 7 2 4" xfId="59797"/>
    <cellStyle name="Обычный 9 9 7 2 4 2" xfId="59798"/>
    <cellStyle name="Обычный 9 9 7 2 5" xfId="59799"/>
    <cellStyle name="Обычный 9 9 7 2 6" xfId="59800"/>
    <cellStyle name="Обычный 9 9 7 3" xfId="59801"/>
    <cellStyle name="Обычный 9 9 7 3 2" xfId="59802"/>
    <cellStyle name="Обычный 9 9 7 3 3" xfId="59803"/>
    <cellStyle name="Обычный 9 9 7 4" xfId="59804"/>
    <cellStyle name="Обычный 9 9 7 4 2" xfId="59805"/>
    <cellStyle name="Обычный 9 9 7 4 3" xfId="59806"/>
    <cellStyle name="Обычный 9 9 7 5" xfId="59807"/>
    <cellStyle name="Обычный 9 9 7 5 2" xfId="59808"/>
    <cellStyle name="Обычный 9 9 7 6" xfId="59809"/>
    <cellStyle name="Обычный 9 9 7 7" xfId="59810"/>
    <cellStyle name="Обычный 9 9 8" xfId="59811"/>
    <cellStyle name="Обычный 9 9 8 2" xfId="59812"/>
    <cellStyle name="Обычный 9 9 8 2 2" xfId="59813"/>
    <cellStyle name="Обычный 9 9 8 2 3" xfId="59814"/>
    <cellStyle name="Обычный 9 9 8 3" xfId="59815"/>
    <cellStyle name="Обычный 9 9 8 3 2" xfId="59816"/>
    <cellStyle name="Обычный 9 9 8 3 3" xfId="59817"/>
    <cellStyle name="Обычный 9 9 8 4" xfId="59818"/>
    <cellStyle name="Обычный 9 9 8 4 2" xfId="59819"/>
    <cellStyle name="Обычный 9 9 8 5" xfId="59820"/>
    <cellStyle name="Обычный 9 9 8 6" xfId="59821"/>
    <cellStyle name="Обычный 9 9 9" xfId="59822"/>
    <cellStyle name="Обычный 9 9 9 2" xfId="59823"/>
    <cellStyle name="Обычный 9 9 9 3" xfId="59824"/>
    <cellStyle name="Плохой 2" xfId="59825"/>
    <cellStyle name="Плохой 3" xfId="59826"/>
    <cellStyle name="Пояснение 2" xfId="59827"/>
    <cellStyle name="Пояснение 3" xfId="59828"/>
    <cellStyle name="Примечание 2" xfId="59829"/>
    <cellStyle name="Примечание 2 2" xfId="59830"/>
    <cellStyle name="Примечание 2 3" xfId="59831"/>
    <cellStyle name="Примечание 3" xfId="59832"/>
    <cellStyle name="Процентный 2" xfId="59833"/>
    <cellStyle name="Связанная ячейка 2" xfId="59834"/>
    <cellStyle name="Связанная ячейка 3" xfId="59835"/>
    <cellStyle name="Стиль 1" xfId="59836"/>
    <cellStyle name="Текст предупреждения 2" xfId="59837"/>
    <cellStyle name="Текст предупреждения 3" xfId="59838"/>
    <cellStyle name="Тысячи [0]_17PRIL-3" xfId="59839"/>
    <cellStyle name="Тысячи_17PRIL-3" xfId="59840"/>
    <cellStyle name="Финансовый 2" xfId="59841"/>
    <cellStyle name="Финансовый 3" xfId="59842"/>
    <cellStyle name="Хороший 2" xfId="59843"/>
    <cellStyle name="Хороший 3" xfId="59844"/>
  </cellStyles>
  <dxfs count="1332"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font>
        <b val="0"/>
        <i val="0"/>
        <strike val="0"/>
        <u val="none"/>
        <sz val="11"/>
        <name val="Calibri"/>
      </font>
      <numFmt numFmtId="0" formatCode="General"/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border>
        <left/>
        <right/>
        <top/>
        <bottom style="thin">
          <color auto="1"/>
        </bottom>
      </border>
    </dxf>
    <dxf>
      <fill>
        <patternFill patternType="solid">
          <fgColor rgb="FFC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relativeIndent="0" shrinkToFit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  <alignment vertical="bottom" textRotation="0" wrapText="0" relativeIndent="0" shrinkToFit="0"/>
    </dxf>
    <dxf>
      <font>
        <b val="0"/>
        <outline val="0"/>
        <shadow val="0"/>
        <u val="none"/>
        <vertAlign val="baseline"/>
        <sz val="10"/>
        <color auto="1"/>
      </font>
    </dxf>
    <dxf>
      <font>
        <b val="0"/>
        <outline val="0"/>
        <shadow val="0"/>
        <u val="none"/>
        <vertAlign val="baseline"/>
        <sz val="10"/>
        <color auto="1"/>
      </font>
    </dxf>
    <dxf>
      <font>
        <b/>
        <outline val="0"/>
        <shadow val="0"/>
        <u val="none"/>
        <vertAlign val="baseline"/>
        <sz val="10"/>
        <color auto="1"/>
      </font>
    </dxf>
    <dxf>
      <fill>
        <patternFill patternType="solid">
          <fgColor rgb="FFC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Users/Users/C:/Users/17243159/Desktop/S2T_029_000001_v1.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S2T"/>
      <sheetName val="Source columns"/>
      <sheetName val="Target tables"/>
      <sheetName val="Target columns"/>
      <sheetName val="Additional objects"/>
      <sheetName val="Dict"/>
      <sheetName val="Алгоритмы УВДО"/>
      <sheetName val="Глоссари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17243159@sigma.sbrf.ru" id="{D5D35436-16E4-1857-69E2-AFA441EE620C}" userId="17243159@sigma.sbrf.ru" providerId="Teamlab"/>
</personList>
</file>

<file path=xl/tables/table1.xml><?xml version="1.0" encoding="utf-8"?>
<table xmlns="http://schemas.openxmlformats.org/spreadsheetml/2006/main" id="1" name="source_columns" displayName="source_columns" ref="A2:I578" headerRowDxfId="1330" dataDxfId="1329" totalsRowDxfId="1328">
  <autoFilter ref="A2:I578"/>
  <tableColumns count="9">
    <tableColumn id="1" name="Seek" dataDxfId="1327"/>
    <tableColumn id="2" name="Название таблицы STAGE" dataDxfId="1326"/>
    <tableColumn id="3" name="Название поля" dataDxfId="1325"/>
    <tableColumn id="4" name="Тип поля" dataDxfId="1324"/>
    <tableColumn id="5" name="Первичный ключ" dataDxfId="1323"/>
    <tableColumn id="6" name="NULL?" dataDxfId="1322"/>
    <tableColumn id="7" name="Описание поля" dataDxfId="1321"/>
    <tableColumn id="8" name="Описание таблицы" dataDxfId="1320"/>
    <tableColumn id="9" name="Опции проекта" dataDxfId="13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rget_tables" displayName="target_tables" ref="A2:E82" headerRowDxfId="1318" dataDxfId="1317" totalsRowDxfId="1316">
  <autoFilter ref="A2:E82"/>
  <tableColumns count="5">
    <tableColumn id="1" name="Table Name" dataDxfId="1315"/>
    <tableColumn id="2" name="Table Entity Definition" dataDxfId="1314"/>
    <tableColumn id="3" name="Table Entity Note" dataDxfId="1313"/>
    <tableColumn id="4" name="Table Is In Subject Area Name" dataDxfId="1312"/>
    <tableColumn id="5" name="Суффикс N-таблицы" dataDxfId="13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rget_columns" displayName="target_columns" ref="A2:J481" headerRowDxfId="1310" dataDxfId="1309" totalsRowDxfId="1308">
  <autoFilter ref="A2:J481"/>
  <tableColumns count="10">
    <tableColumn id="1" name="Seek" dataDxfId="1307"/>
    <tableColumn id="2" name="ColumnTableName" dataDxfId="1306"/>
    <tableColumn id="3" name="ColumnName" dataDxfId="1305"/>
    <tableColumn id="4" name="Column Datatype" dataDxfId="1304"/>
    <tableColumn id="5" name="Column Null Option" dataDxfId="1303"/>
    <tableColumn id="6" name="Column Physical Only" dataDxfId="1302"/>
    <tableColumn id="7" name="Column Is PK" dataDxfId="1301"/>
    <tableColumn id="8" name="Column Is FK" dataDxfId="1300"/>
    <tableColumn id="9" name="Column Attribute Definition" dataDxfId="1299"/>
    <tableColumn id="10" name="Column Attribute Note" dataDxfId="129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Таблица119" displayName="Таблица119" ref="A2:G37">
  <autoFilter ref="A2:G37"/>
  <tableColumns count="7">
    <tableColumn id="1" name="Название объекта"/>
    <tableColumn id="2" name="Тип объекта"/>
    <tableColumn id="3" name="SQL"/>
    <tableColumn id="4" name="Опции проекта"/>
    <tableColumn id="5" name="Словесное описание"/>
    <tableColumn id="6" name="Комментарий"/>
    <tableColumn id="7" name="Дата 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S2T_Type" displayName="S2T_Type" ref="K1:K3">
  <autoFilter ref="K1:K3"/>
  <tableColumns count="1">
    <tableColumn id="1" name="Тип S2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Valid_from_workaround" displayName="Valid_from_workaround" ref="G1:G4">
  <autoFilter ref="G1:G4"/>
  <tableColumns count="1">
    <tableColumn id="1" name="Valid from workaround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Буль" displayName="Буль" ref="E1:E3">
  <autoFilter ref="E1:E3"/>
  <tableColumns count="1">
    <tableColumn id="1" name="Буль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Роль_в_истории" displayName="Роль_в_истории" ref="C1:C7">
  <autoFilter ref="C1:C7"/>
  <tableColumns count="1">
    <tableColumn id="1" name="Роль в истории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СОД" displayName="СОД" ref="A1:A6">
  <autoFilter ref="A1:A6"/>
  <tableColumns count="1">
    <tableColumn id="1" name="СОД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28" dT="2025-08-18T08:55:03.58Z" personId="{D5D35436-16E4-1857-69E2-AFA441EE620C}" id="{E368DD6E-B53E-65D3-4BD9-BF6135C1968E}" done="0">
    <text xml:space="preserve">приходит ОСБ из двух символов 17, должно быть 4  = 0017
</text>
  </threadedComment>
  <threadedComment ref="C246" dT="2025-08-18T08:55:09.33Z" personId="{D5D35436-16E4-1857-69E2-AFA441EE620C}" id="{1BE15413-D6FA-7007-5336-A180D07397A0}" done="0">
    <text xml:space="preserve">приходит ОСБ из двух символов 17, должно быть 4  = 0017
</text>
  </threadedComment>
  <threadedComment ref="C248" dT="2025-08-18T08:55:15.31Z" personId="{D5D35436-16E4-1857-69E2-AFA441EE620C}" id="{77777878-FC93-2A0B-D48A-847F92E629B7}" done="0">
    <text xml:space="preserve">приходит ОСБ из двух символов 17, должно быть 4  = 0017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zoomScale="80" workbookViewId="0">
      <pane ySplit="1" topLeftCell="A209" activePane="bottomLeft" state="frozen"/>
      <selection activeCell="G219" sqref="G219"/>
      <selection pane="bottomLeft" activeCell="D229" sqref="D229"/>
    </sheetView>
  </sheetViews>
  <sheetFormatPr defaultColWidth="8.6640625" defaultRowHeight="13.2" x14ac:dyDescent="0.25"/>
  <cols>
    <col min="1" max="1" width="7.5546875" style="1" customWidth="1"/>
    <col min="2" max="2" width="11" style="1" customWidth="1"/>
    <col min="3" max="3" width="17" style="1" customWidth="1"/>
    <col min="4" max="4" width="35" style="1" customWidth="1"/>
    <col min="5" max="5" width="15.5546875" style="1" customWidth="1"/>
    <col min="6" max="6" width="69.33203125" style="2" customWidth="1"/>
    <col min="7" max="7" width="15.44140625" style="1" customWidth="1"/>
    <col min="8" max="16384" width="8.6640625" style="1"/>
  </cols>
  <sheetData>
    <row r="1" spans="1:7" s="3" customFormat="1" ht="2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spans="1:7" ht="15" customHeight="1" x14ac:dyDescent="0.25">
      <c r="A2" s="6" t="s">
        <v>7</v>
      </c>
      <c r="B2" s="7">
        <v>45565</v>
      </c>
      <c r="C2" s="7" t="s">
        <v>8</v>
      </c>
      <c r="D2" s="6" t="s">
        <v>9</v>
      </c>
      <c r="E2" s="6" t="s">
        <v>10</v>
      </c>
      <c r="F2" s="6"/>
      <c r="G2" s="8"/>
    </row>
    <row r="3" spans="1:7" ht="15" customHeight="1" x14ac:dyDescent="0.25">
      <c r="A3" s="6" t="s">
        <v>11</v>
      </c>
      <c r="B3" s="7">
        <v>45573</v>
      </c>
      <c r="C3" s="7" t="s">
        <v>12</v>
      </c>
      <c r="D3" s="6" t="s">
        <v>13</v>
      </c>
      <c r="E3" s="6" t="s">
        <v>10</v>
      </c>
      <c r="F3" s="6"/>
      <c r="G3" s="8"/>
    </row>
    <row r="4" spans="1:7" ht="15" customHeight="1" x14ac:dyDescent="0.25">
      <c r="A4" s="6" t="s">
        <v>14</v>
      </c>
      <c r="B4" s="7">
        <v>45574</v>
      </c>
      <c r="C4" s="7" t="s">
        <v>12</v>
      </c>
      <c r="D4" s="9" t="s">
        <v>15</v>
      </c>
      <c r="E4" s="6" t="s">
        <v>10</v>
      </c>
      <c r="F4" s="6"/>
      <c r="G4" s="8"/>
    </row>
    <row r="5" spans="1:7" ht="15" customHeight="1" x14ac:dyDescent="0.25">
      <c r="A5" s="7" t="s">
        <v>16</v>
      </c>
      <c r="B5" s="7">
        <v>45595</v>
      </c>
      <c r="C5" s="7" t="s">
        <v>17</v>
      </c>
      <c r="D5" s="7" t="s">
        <v>18</v>
      </c>
      <c r="E5" s="7" t="s">
        <v>19</v>
      </c>
      <c r="F5" s="7"/>
      <c r="G5" s="8"/>
    </row>
    <row r="6" spans="1:7" ht="15" customHeight="1" x14ac:dyDescent="0.25">
      <c r="A6" s="7" t="s">
        <v>16</v>
      </c>
      <c r="B6" s="7">
        <v>45595</v>
      </c>
      <c r="C6" s="7" t="s">
        <v>17</v>
      </c>
      <c r="D6" s="7" t="s">
        <v>20</v>
      </c>
      <c r="E6" s="7" t="s">
        <v>19</v>
      </c>
      <c r="F6" s="7"/>
      <c r="G6" s="8"/>
    </row>
    <row r="7" spans="1:7" ht="15" customHeight="1" x14ac:dyDescent="0.25">
      <c r="A7" s="7" t="s">
        <v>16</v>
      </c>
      <c r="B7" s="7">
        <v>45595</v>
      </c>
      <c r="C7" s="7" t="s">
        <v>17</v>
      </c>
      <c r="D7" s="7" t="s">
        <v>21</v>
      </c>
      <c r="E7" s="7" t="s">
        <v>19</v>
      </c>
      <c r="F7" s="7"/>
      <c r="G7" s="8"/>
    </row>
    <row r="8" spans="1:7" ht="15" customHeight="1" x14ac:dyDescent="0.25">
      <c r="A8" s="7" t="s">
        <v>16</v>
      </c>
      <c r="B8" s="7">
        <v>45595</v>
      </c>
      <c r="C8" s="7" t="s">
        <v>17</v>
      </c>
      <c r="D8" s="7" t="s">
        <v>22</v>
      </c>
      <c r="E8" s="7" t="s">
        <v>19</v>
      </c>
      <c r="F8" s="7"/>
      <c r="G8" s="8"/>
    </row>
    <row r="9" spans="1:7" ht="15" customHeight="1" x14ac:dyDescent="0.25">
      <c r="A9" s="7" t="s">
        <v>16</v>
      </c>
      <c r="B9" s="7">
        <v>45595</v>
      </c>
      <c r="C9" s="7" t="s">
        <v>17</v>
      </c>
      <c r="D9" s="7" t="s">
        <v>23</v>
      </c>
      <c r="E9" s="7" t="s">
        <v>19</v>
      </c>
      <c r="F9" s="7"/>
      <c r="G9" s="8"/>
    </row>
    <row r="10" spans="1:7" ht="15" customHeight="1" x14ac:dyDescent="0.25">
      <c r="A10" s="7" t="s">
        <v>16</v>
      </c>
      <c r="B10" s="7">
        <v>45595</v>
      </c>
      <c r="C10" s="7" t="s">
        <v>17</v>
      </c>
      <c r="D10" s="7" t="s">
        <v>24</v>
      </c>
      <c r="E10" s="7" t="s">
        <v>19</v>
      </c>
      <c r="F10" s="7"/>
      <c r="G10" s="8"/>
    </row>
    <row r="11" spans="1:7" ht="15" customHeight="1" x14ac:dyDescent="0.25">
      <c r="A11" s="7" t="s">
        <v>16</v>
      </c>
      <c r="B11" s="7">
        <v>45595</v>
      </c>
      <c r="C11" s="7" t="s">
        <v>17</v>
      </c>
      <c r="D11" s="7" t="s">
        <v>25</v>
      </c>
      <c r="E11" s="7" t="s">
        <v>19</v>
      </c>
      <c r="F11" s="7"/>
      <c r="G11" s="8"/>
    </row>
    <row r="12" spans="1:7" ht="15" customHeight="1" x14ac:dyDescent="0.25">
      <c r="A12" s="7" t="s">
        <v>16</v>
      </c>
      <c r="B12" s="7">
        <v>45595</v>
      </c>
      <c r="C12" s="7" t="s">
        <v>17</v>
      </c>
      <c r="D12" s="7" t="s">
        <v>26</v>
      </c>
      <c r="E12" s="7" t="s">
        <v>19</v>
      </c>
      <c r="F12" s="7"/>
      <c r="G12" s="8"/>
    </row>
    <row r="13" spans="1:7" ht="15" customHeight="1" x14ac:dyDescent="0.25">
      <c r="A13" s="7" t="s">
        <v>16</v>
      </c>
      <c r="B13" s="7">
        <v>45595</v>
      </c>
      <c r="C13" s="7" t="s">
        <v>27</v>
      </c>
      <c r="D13" s="7" t="s">
        <v>28</v>
      </c>
      <c r="E13" s="7" t="s">
        <v>19</v>
      </c>
      <c r="F13" s="7"/>
      <c r="G13" s="8"/>
    </row>
    <row r="14" spans="1:7" ht="15" customHeight="1" x14ac:dyDescent="0.25">
      <c r="A14" s="7" t="s">
        <v>16</v>
      </c>
      <c r="B14" s="7">
        <v>45595</v>
      </c>
      <c r="C14" s="7" t="s">
        <v>27</v>
      </c>
      <c r="D14" s="7" t="s">
        <v>29</v>
      </c>
      <c r="E14" s="7" t="s">
        <v>19</v>
      </c>
      <c r="F14" s="7"/>
      <c r="G14" s="8"/>
    </row>
    <row r="15" spans="1:7" ht="15" customHeight="1" x14ac:dyDescent="0.25">
      <c r="A15" s="7" t="s">
        <v>16</v>
      </c>
      <c r="B15" s="7">
        <v>45595</v>
      </c>
      <c r="C15" s="7" t="s">
        <v>27</v>
      </c>
      <c r="D15" s="7" t="s">
        <v>30</v>
      </c>
      <c r="E15" s="7" t="s">
        <v>19</v>
      </c>
      <c r="F15" s="7"/>
      <c r="G15" s="8"/>
    </row>
    <row r="16" spans="1:7" ht="15" customHeight="1" x14ac:dyDescent="0.25">
      <c r="A16" s="7" t="s">
        <v>16</v>
      </c>
      <c r="B16" s="7">
        <v>45595</v>
      </c>
      <c r="C16" s="7" t="s">
        <v>27</v>
      </c>
      <c r="D16" s="7" t="s">
        <v>31</v>
      </c>
      <c r="E16" s="7" t="s">
        <v>19</v>
      </c>
      <c r="F16" s="7"/>
      <c r="G16" s="8"/>
    </row>
    <row r="17" spans="1:7" ht="15" customHeight="1" x14ac:dyDescent="0.25">
      <c r="A17" s="7" t="s">
        <v>16</v>
      </c>
      <c r="B17" s="7">
        <v>45595</v>
      </c>
      <c r="C17" s="7" t="s">
        <v>27</v>
      </c>
      <c r="D17" s="7" t="s">
        <v>32</v>
      </c>
      <c r="E17" s="7" t="s">
        <v>19</v>
      </c>
      <c r="F17" s="7"/>
      <c r="G17" s="8"/>
    </row>
    <row r="18" spans="1:7" ht="15" customHeight="1" x14ac:dyDescent="0.25">
      <c r="A18" s="7" t="s">
        <v>16</v>
      </c>
      <c r="B18" s="7">
        <v>45595</v>
      </c>
      <c r="C18" s="7" t="s">
        <v>27</v>
      </c>
      <c r="D18" s="7" t="s">
        <v>33</v>
      </c>
      <c r="E18" s="7" t="s">
        <v>19</v>
      </c>
      <c r="F18" s="7"/>
      <c r="G18" s="8"/>
    </row>
    <row r="19" spans="1:7" ht="15" customHeight="1" x14ac:dyDescent="0.25">
      <c r="A19" s="7" t="s">
        <v>16</v>
      </c>
      <c r="B19" s="7">
        <v>45595</v>
      </c>
      <c r="C19" s="7" t="s">
        <v>27</v>
      </c>
      <c r="D19" s="7" t="s">
        <v>34</v>
      </c>
      <c r="E19" s="7" t="s">
        <v>19</v>
      </c>
      <c r="F19" s="7"/>
      <c r="G19" s="8"/>
    </row>
    <row r="20" spans="1:7" ht="15" customHeight="1" x14ac:dyDescent="0.25">
      <c r="A20" s="7" t="s">
        <v>16</v>
      </c>
      <c r="B20" s="7">
        <v>45595</v>
      </c>
      <c r="C20" s="7" t="s">
        <v>27</v>
      </c>
      <c r="D20" s="7" t="s">
        <v>35</v>
      </c>
      <c r="E20" s="7" t="s">
        <v>19</v>
      </c>
      <c r="F20" s="7"/>
      <c r="G20" s="8"/>
    </row>
    <row r="21" spans="1:7" ht="15" customHeight="1" x14ac:dyDescent="0.25">
      <c r="A21" s="7" t="s">
        <v>16</v>
      </c>
      <c r="B21" s="7">
        <v>45595</v>
      </c>
      <c r="C21" s="7" t="s">
        <v>27</v>
      </c>
      <c r="D21" s="7" t="s">
        <v>36</v>
      </c>
      <c r="E21" s="7" t="s">
        <v>19</v>
      </c>
      <c r="F21" s="7"/>
      <c r="G21" s="8"/>
    </row>
    <row r="22" spans="1:7" ht="15" customHeight="1" x14ac:dyDescent="0.25">
      <c r="A22" s="7" t="s">
        <v>16</v>
      </c>
      <c r="B22" s="7">
        <v>45595</v>
      </c>
      <c r="C22" s="7" t="s">
        <v>27</v>
      </c>
      <c r="D22" s="7" t="s">
        <v>37</v>
      </c>
      <c r="E22" s="7" t="s">
        <v>19</v>
      </c>
      <c r="F22" s="7"/>
      <c r="G22" s="8"/>
    </row>
    <row r="23" spans="1:7" ht="15" customHeight="1" x14ac:dyDescent="0.25">
      <c r="A23" s="7" t="s">
        <v>16</v>
      </c>
      <c r="B23" s="7">
        <v>45595</v>
      </c>
      <c r="C23" s="7" t="s">
        <v>27</v>
      </c>
      <c r="D23" s="7" t="s">
        <v>38</v>
      </c>
      <c r="E23" s="7" t="s">
        <v>19</v>
      </c>
      <c r="F23" s="7"/>
      <c r="G23" s="8"/>
    </row>
    <row r="24" spans="1:7" ht="15" customHeight="1" x14ac:dyDescent="0.25">
      <c r="A24" s="7" t="s">
        <v>16</v>
      </c>
      <c r="B24" s="7">
        <v>45595</v>
      </c>
      <c r="C24" s="7" t="s">
        <v>27</v>
      </c>
      <c r="D24" s="7" t="s">
        <v>39</v>
      </c>
      <c r="E24" s="7" t="s">
        <v>19</v>
      </c>
      <c r="F24" s="7"/>
      <c r="G24" s="8"/>
    </row>
    <row r="25" spans="1:7" ht="15" customHeight="1" x14ac:dyDescent="0.25">
      <c r="A25" s="7" t="s">
        <v>16</v>
      </c>
      <c r="B25" s="7">
        <v>45595</v>
      </c>
      <c r="C25" s="7" t="s">
        <v>40</v>
      </c>
      <c r="D25" s="7" t="s">
        <v>41</v>
      </c>
      <c r="E25" s="7" t="s">
        <v>19</v>
      </c>
      <c r="F25" s="7"/>
      <c r="G25" s="8"/>
    </row>
    <row r="26" spans="1:7" ht="15" customHeight="1" x14ac:dyDescent="0.25">
      <c r="A26" s="7" t="s">
        <v>16</v>
      </c>
      <c r="B26" s="7">
        <v>45595</v>
      </c>
      <c r="C26" s="7" t="s">
        <v>40</v>
      </c>
      <c r="D26" s="7" t="s">
        <v>42</v>
      </c>
      <c r="E26" s="7" t="s">
        <v>19</v>
      </c>
      <c r="F26" s="7"/>
      <c r="G26" s="8"/>
    </row>
    <row r="27" spans="1:7" ht="15" customHeight="1" x14ac:dyDescent="0.25">
      <c r="A27" s="7" t="s">
        <v>16</v>
      </c>
      <c r="B27" s="7">
        <v>45595</v>
      </c>
      <c r="C27" s="7" t="s">
        <v>40</v>
      </c>
      <c r="D27" s="7" t="s">
        <v>43</v>
      </c>
      <c r="E27" s="7" t="s">
        <v>19</v>
      </c>
      <c r="F27" s="7"/>
      <c r="G27" s="8"/>
    </row>
    <row r="28" spans="1:7" ht="15" customHeight="1" x14ac:dyDescent="0.25">
      <c r="A28" s="7" t="s">
        <v>16</v>
      </c>
      <c r="B28" s="7">
        <v>45595</v>
      </c>
      <c r="C28" s="7" t="s">
        <v>40</v>
      </c>
      <c r="D28" s="7" t="s">
        <v>44</v>
      </c>
      <c r="E28" s="7" t="s">
        <v>19</v>
      </c>
      <c r="F28" s="7"/>
      <c r="G28" s="8"/>
    </row>
    <row r="29" spans="1:7" ht="15" customHeight="1" x14ac:dyDescent="0.25">
      <c r="A29" s="7" t="s">
        <v>16</v>
      </c>
      <c r="B29" s="7">
        <v>45595</v>
      </c>
      <c r="C29" s="7" t="s">
        <v>40</v>
      </c>
      <c r="D29" s="7" t="s">
        <v>45</v>
      </c>
      <c r="E29" s="7" t="s">
        <v>19</v>
      </c>
      <c r="F29" s="7"/>
      <c r="G29" s="8"/>
    </row>
    <row r="30" spans="1:7" ht="15" customHeight="1" x14ac:dyDescent="0.25">
      <c r="A30" s="7" t="s">
        <v>46</v>
      </c>
      <c r="B30" s="7">
        <v>45621</v>
      </c>
      <c r="C30" s="7" t="s">
        <v>27</v>
      </c>
      <c r="D30" s="7" t="s">
        <v>47</v>
      </c>
      <c r="E30" s="7" t="s">
        <v>10</v>
      </c>
      <c r="F30" s="7"/>
      <c r="G30" s="8"/>
    </row>
    <row r="31" spans="1:7" ht="15" customHeight="1" x14ac:dyDescent="0.25">
      <c r="A31" s="7" t="s">
        <v>46</v>
      </c>
      <c r="B31" s="7">
        <v>45621</v>
      </c>
      <c r="C31" s="7" t="s">
        <v>27</v>
      </c>
      <c r="D31" s="7" t="s">
        <v>38</v>
      </c>
      <c r="E31" s="7" t="s">
        <v>10</v>
      </c>
      <c r="F31" s="7"/>
      <c r="G31" s="8"/>
    </row>
    <row r="32" spans="1:7" ht="15" customHeight="1" x14ac:dyDescent="0.25">
      <c r="A32" s="7" t="s">
        <v>46</v>
      </c>
      <c r="B32" s="7">
        <v>45621</v>
      </c>
      <c r="C32" s="7" t="s">
        <v>27</v>
      </c>
      <c r="D32" s="7" t="s">
        <v>39</v>
      </c>
      <c r="E32" s="7" t="s">
        <v>10</v>
      </c>
      <c r="F32" s="7"/>
      <c r="G32" s="8"/>
    </row>
    <row r="33" spans="1:7" ht="15" customHeight="1" x14ac:dyDescent="0.25">
      <c r="A33" s="7" t="s">
        <v>46</v>
      </c>
      <c r="B33" s="7">
        <v>45621</v>
      </c>
      <c r="C33" s="7" t="s">
        <v>27</v>
      </c>
      <c r="D33" s="7" t="s">
        <v>48</v>
      </c>
      <c r="E33" s="7" t="s">
        <v>10</v>
      </c>
      <c r="F33" s="7"/>
      <c r="G33" s="8"/>
    </row>
    <row r="34" spans="1:7" ht="15" customHeight="1" x14ac:dyDescent="0.25">
      <c r="A34" s="7" t="s">
        <v>46</v>
      </c>
      <c r="B34" s="7">
        <v>45621</v>
      </c>
      <c r="C34" s="7" t="s">
        <v>27</v>
      </c>
      <c r="D34" s="7" t="s">
        <v>49</v>
      </c>
      <c r="E34" s="7" t="s">
        <v>10</v>
      </c>
      <c r="F34" s="7"/>
      <c r="G34" s="8"/>
    </row>
    <row r="35" spans="1:7" ht="15" customHeight="1" x14ac:dyDescent="0.25">
      <c r="A35" s="7" t="s">
        <v>46</v>
      </c>
      <c r="B35" s="7">
        <v>45621</v>
      </c>
      <c r="C35" s="7" t="s">
        <v>27</v>
      </c>
      <c r="D35" s="7" t="s">
        <v>50</v>
      </c>
      <c r="E35" s="7" t="s">
        <v>10</v>
      </c>
      <c r="F35" s="7"/>
      <c r="G35" s="8"/>
    </row>
    <row r="36" spans="1:7" ht="15" customHeight="1" x14ac:dyDescent="0.25">
      <c r="A36" s="7" t="s">
        <v>46</v>
      </c>
      <c r="B36" s="7">
        <v>45621</v>
      </c>
      <c r="C36" s="7" t="s">
        <v>27</v>
      </c>
      <c r="D36" s="7" t="s">
        <v>51</v>
      </c>
      <c r="E36" s="7" t="s">
        <v>10</v>
      </c>
      <c r="F36" s="7"/>
      <c r="G36" s="8"/>
    </row>
    <row r="37" spans="1:7" ht="15" customHeight="1" x14ac:dyDescent="0.25">
      <c r="A37" s="7" t="s">
        <v>46</v>
      </c>
      <c r="B37" s="7">
        <v>45621</v>
      </c>
      <c r="C37" s="7" t="s">
        <v>27</v>
      </c>
      <c r="D37" s="7" t="s">
        <v>52</v>
      </c>
      <c r="E37" s="7" t="s">
        <v>10</v>
      </c>
      <c r="F37" s="7"/>
      <c r="G37" s="8"/>
    </row>
    <row r="38" spans="1:7" ht="15" customHeight="1" x14ac:dyDescent="0.25">
      <c r="A38" s="7" t="s">
        <v>46</v>
      </c>
      <c r="B38" s="7">
        <v>45621</v>
      </c>
      <c r="C38" s="7" t="s">
        <v>53</v>
      </c>
      <c r="D38" s="7" t="s">
        <v>48</v>
      </c>
      <c r="E38" s="7" t="s">
        <v>10</v>
      </c>
      <c r="F38" s="7"/>
      <c r="G38" s="8"/>
    </row>
    <row r="39" spans="1:7" ht="15" customHeight="1" x14ac:dyDescent="0.25">
      <c r="A39" s="7" t="s">
        <v>46</v>
      </c>
      <c r="B39" s="7">
        <v>45621</v>
      </c>
      <c r="C39" s="7" t="s">
        <v>53</v>
      </c>
      <c r="D39" s="7" t="s">
        <v>49</v>
      </c>
      <c r="E39" s="7" t="s">
        <v>10</v>
      </c>
      <c r="F39" s="7"/>
      <c r="G39" s="8"/>
    </row>
    <row r="40" spans="1:7" ht="15" customHeight="1" x14ac:dyDescent="0.25">
      <c r="A40" s="7" t="s">
        <v>46</v>
      </c>
      <c r="B40" s="7">
        <v>45621</v>
      </c>
      <c r="C40" s="7" t="s">
        <v>53</v>
      </c>
      <c r="D40" s="7" t="s">
        <v>50</v>
      </c>
      <c r="E40" s="7" t="s">
        <v>10</v>
      </c>
      <c r="F40" s="7"/>
      <c r="G40" s="8"/>
    </row>
    <row r="41" spans="1:7" ht="15" customHeight="1" x14ac:dyDescent="0.25">
      <c r="A41" s="7" t="s">
        <v>46</v>
      </c>
      <c r="B41" s="7">
        <v>45621</v>
      </c>
      <c r="C41" s="7" t="s">
        <v>53</v>
      </c>
      <c r="D41" s="7" t="s">
        <v>51</v>
      </c>
      <c r="E41" s="7" t="s">
        <v>10</v>
      </c>
      <c r="F41" s="7"/>
      <c r="G41" s="8"/>
    </row>
    <row r="42" spans="1:7" ht="15" customHeight="1" x14ac:dyDescent="0.25">
      <c r="A42" s="7" t="s">
        <v>46</v>
      </c>
      <c r="B42" s="7">
        <v>45621</v>
      </c>
      <c r="C42" s="7" t="s">
        <v>53</v>
      </c>
      <c r="D42" s="7" t="s">
        <v>54</v>
      </c>
      <c r="E42" s="7" t="s">
        <v>10</v>
      </c>
      <c r="F42" s="7"/>
      <c r="G42" s="8"/>
    </row>
    <row r="43" spans="1:7" ht="15" customHeight="1" x14ac:dyDescent="0.25">
      <c r="A43" s="7" t="s">
        <v>46</v>
      </c>
      <c r="B43" s="7">
        <v>45621</v>
      </c>
      <c r="C43" s="7" t="s">
        <v>53</v>
      </c>
      <c r="D43" s="7" t="s">
        <v>52</v>
      </c>
      <c r="E43" s="7" t="s">
        <v>10</v>
      </c>
      <c r="F43" s="7"/>
      <c r="G43" s="8"/>
    </row>
    <row r="44" spans="1:7" ht="15" customHeight="1" x14ac:dyDescent="0.25">
      <c r="A44" s="7" t="s">
        <v>46</v>
      </c>
      <c r="B44" s="7">
        <v>45621</v>
      </c>
      <c r="C44" s="7" t="s">
        <v>40</v>
      </c>
      <c r="D44" s="7" t="s">
        <v>55</v>
      </c>
      <c r="E44" s="7" t="s">
        <v>10</v>
      </c>
      <c r="F44" s="7"/>
      <c r="G44" s="8"/>
    </row>
    <row r="45" spans="1:7" ht="15" customHeight="1" x14ac:dyDescent="0.25">
      <c r="A45" s="7" t="s">
        <v>46</v>
      </c>
      <c r="B45" s="7">
        <v>45621</v>
      </c>
      <c r="C45" s="7" t="s">
        <v>40</v>
      </c>
      <c r="D45" s="7" t="s">
        <v>56</v>
      </c>
      <c r="E45" s="7" t="s">
        <v>10</v>
      </c>
      <c r="F45" s="7"/>
      <c r="G45" s="8"/>
    </row>
    <row r="46" spans="1:7" ht="15" customHeight="1" x14ac:dyDescent="0.25">
      <c r="A46" s="7" t="s">
        <v>46</v>
      </c>
      <c r="B46" s="7">
        <v>45621</v>
      </c>
      <c r="C46" s="7" t="s">
        <v>40</v>
      </c>
      <c r="D46" s="7" t="s">
        <v>57</v>
      </c>
      <c r="E46" s="7" t="s">
        <v>10</v>
      </c>
      <c r="F46" s="7"/>
      <c r="G46" s="8"/>
    </row>
    <row r="47" spans="1:7" ht="15" customHeight="1" x14ac:dyDescent="0.25">
      <c r="A47" s="7" t="s">
        <v>58</v>
      </c>
      <c r="B47" s="7">
        <v>45672</v>
      </c>
      <c r="C47" s="7" t="s">
        <v>27</v>
      </c>
      <c r="D47" s="7" t="s">
        <v>38</v>
      </c>
      <c r="E47" s="7" t="s">
        <v>19</v>
      </c>
      <c r="F47" s="7"/>
      <c r="G47" s="8"/>
    </row>
    <row r="48" spans="1:7" ht="15" customHeight="1" x14ac:dyDescent="0.25">
      <c r="A48" s="7" t="s">
        <v>58</v>
      </c>
      <c r="B48" s="7">
        <v>45672</v>
      </c>
      <c r="C48" s="7" t="s">
        <v>27</v>
      </c>
      <c r="D48" s="8" t="s">
        <v>39</v>
      </c>
      <c r="E48" s="7" t="s">
        <v>19</v>
      </c>
      <c r="F48" s="7"/>
      <c r="G48" s="8"/>
    </row>
    <row r="49" spans="1:7" ht="15" customHeight="1" x14ac:dyDescent="0.25">
      <c r="A49" s="7" t="s">
        <v>58</v>
      </c>
      <c r="B49" s="7">
        <v>45672</v>
      </c>
      <c r="C49" s="7" t="s">
        <v>27</v>
      </c>
      <c r="D49" s="8" t="s">
        <v>59</v>
      </c>
      <c r="E49" s="7" t="s">
        <v>19</v>
      </c>
      <c r="F49" s="7"/>
      <c r="G49" s="8"/>
    </row>
    <row r="50" spans="1:7" ht="15" customHeight="1" x14ac:dyDescent="0.25">
      <c r="A50" s="7" t="s">
        <v>58</v>
      </c>
      <c r="B50" s="7">
        <v>45672</v>
      </c>
      <c r="C50" s="7" t="s">
        <v>27</v>
      </c>
      <c r="D50" s="8" t="s">
        <v>32</v>
      </c>
      <c r="E50" s="7" t="s">
        <v>19</v>
      </c>
      <c r="F50" s="10"/>
      <c r="G50" s="8"/>
    </row>
    <row r="51" spans="1:7" ht="15" customHeight="1" x14ac:dyDescent="0.25">
      <c r="A51" s="7" t="s">
        <v>58</v>
      </c>
      <c r="B51" s="7">
        <v>45672</v>
      </c>
      <c r="C51" s="7" t="s">
        <v>27</v>
      </c>
      <c r="D51" s="8" t="s">
        <v>33</v>
      </c>
      <c r="E51" s="7" t="s">
        <v>19</v>
      </c>
      <c r="F51" s="10"/>
      <c r="G51" s="8"/>
    </row>
    <row r="52" spans="1:7" ht="15" customHeight="1" x14ac:dyDescent="0.25">
      <c r="A52" s="7" t="s">
        <v>58</v>
      </c>
      <c r="B52" s="7">
        <v>45672</v>
      </c>
      <c r="C52" s="7" t="s">
        <v>27</v>
      </c>
      <c r="D52" s="8" t="s">
        <v>34</v>
      </c>
      <c r="E52" s="7" t="s">
        <v>19</v>
      </c>
      <c r="F52" s="10"/>
      <c r="G52" s="8"/>
    </row>
    <row r="53" spans="1:7" ht="15" customHeight="1" x14ac:dyDescent="0.25">
      <c r="A53" s="7" t="s">
        <v>58</v>
      </c>
      <c r="B53" s="7">
        <v>45672</v>
      </c>
      <c r="C53" s="7" t="s">
        <v>27</v>
      </c>
      <c r="D53" s="8" t="s">
        <v>60</v>
      </c>
      <c r="E53" s="7" t="s">
        <v>19</v>
      </c>
      <c r="F53" s="10"/>
      <c r="G53" s="8"/>
    </row>
    <row r="54" spans="1:7" s="11" customFormat="1" ht="15" customHeight="1" x14ac:dyDescent="0.3">
      <c r="A54" s="7" t="s">
        <v>58</v>
      </c>
      <c r="B54" s="7">
        <v>45672</v>
      </c>
      <c r="C54" s="7" t="s">
        <v>27</v>
      </c>
      <c r="D54" s="6" t="s">
        <v>61</v>
      </c>
      <c r="E54" s="7" t="s">
        <v>19</v>
      </c>
      <c r="F54" s="10"/>
      <c r="G54" s="12"/>
    </row>
    <row r="55" spans="1:7" ht="15" customHeight="1" x14ac:dyDescent="0.25">
      <c r="A55" s="7" t="s">
        <v>58</v>
      </c>
      <c r="B55" s="7">
        <v>45672</v>
      </c>
      <c r="C55" s="7" t="s">
        <v>40</v>
      </c>
      <c r="D55" s="6" t="s">
        <v>45</v>
      </c>
      <c r="E55" s="7" t="s">
        <v>19</v>
      </c>
      <c r="F55" s="10"/>
      <c r="G55" s="8"/>
    </row>
    <row r="56" spans="1:7" ht="15" customHeight="1" x14ac:dyDescent="0.25">
      <c r="A56" s="7" t="s">
        <v>58</v>
      </c>
      <c r="B56" s="7">
        <v>45672</v>
      </c>
      <c r="C56" s="7" t="s">
        <v>40</v>
      </c>
      <c r="D56" s="6" t="s">
        <v>43</v>
      </c>
      <c r="E56" s="7" t="s">
        <v>19</v>
      </c>
      <c r="F56" s="10"/>
      <c r="G56" s="8"/>
    </row>
    <row r="57" spans="1:7" ht="15" customHeight="1" x14ac:dyDescent="0.25">
      <c r="A57" s="7" t="s">
        <v>58</v>
      </c>
      <c r="B57" s="7">
        <v>45672</v>
      </c>
      <c r="C57" s="7" t="s">
        <v>40</v>
      </c>
      <c r="D57" s="6" t="s">
        <v>42</v>
      </c>
      <c r="E57" s="7" t="s">
        <v>19</v>
      </c>
      <c r="F57" s="10"/>
      <c r="G57" s="8"/>
    </row>
    <row r="58" spans="1:7" ht="15" customHeight="1" x14ac:dyDescent="0.25">
      <c r="A58" s="7" t="s">
        <v>58</v>
      </c>
      <c r="B58" s="7">
        <v>45672</v>
      </c>
      <c r="C58" s="7" t="s">
        <v>40</v>
      </c>
      <c r="D58" s="6" t="s">
        <v>41</v>
      </c>
      <c r="E58" s="7" t="s">
        <v>19</v>
      </c>
      <c r="F58" s="10"/>
      <c r="G58" s="8"/>
    </row>
    <row r="59" spans="1:7" ht="15" customHeight="1" x14ac:dyDescent="0.25">
      <c r="A59" s="7" t="s">
        <v>62</v>
      </c>
      <c r="B59" s="7">
        <v>45685</v>
      </c>
      <c r="C59" s="7" t="s">
        <v>27</v>
      </c>
      <c r="D59" s="6" t="s">
        <v>63</v>
      </c>
      <c r="E59" s="7" t="s">
        <v>10</v>
      </c>
      <c r="F59" s="10"/>
      <c r="G59" s="8"/>
    </row>
    <row r="60" spans="1:7" ht="15" customHeight="1" x14ac:dyDescent="0.25">
      <c r="A60" s="7" t="s">
        <v>62</v>
      </c>
      <c r="B60" s="7">
        <v>45685</v>
      </c>
      <c r="C60" s="7" t="s">
        <v>27</v>
      </c>
      <c r="D60" s="6" t="s">
        <v>35</v>
      </c>
      <c r="E60" s="7" t="s">
        <v>10</v>
      </c>
      <c r="F60" s="10" t="s">
        <v>64</v>
      </c>
      <c r="G60" s="8"/>
    </row>
    <row r="61" spans="1:7" ht="15" customHeight="1" x14ac:dyDescent="0.25">
      <c r="A61" s="7" t="s">
        <v>62</v>
      </c>
      <c r="B61" s="7">
        <v>45685</v>
      </c>
      <c r="C61" s="7" t="s">
        <v>40</v>
      </c>
      <c r="D61" s="6" t="s">
        <v>65</v>
      </c>
      <c r="E61" s="7" t="s">
        <v>10</v>
      </c>
      <c r="F61" s="10"/>
      <c r="G61" s="8"/>
    </row>
    <row r="62" spans="1:7" ht="15" customHeight="1" x14ac:dyDescent="0.25">
      <c r="A62" s="7" t="s">
        <v>62</v>
      </c>
      <c r="B62" s="7">
        <v>45685</v>
      </c>
      <c r="C62" s="7" t="s">
        <v>66</v>
      </c>
      <c r="D62" s="13" t="s">
        <v>67</v>
      </c>
      <c r="E62" s="7" t="s">
        <v>10</v>
      </c>
      <c r="F62" s="10"/>
      <c r="G62" s="8"/>
    </row>
    <row r="63" spans="1:7" ht="15" customHeight="1" x14ac:dyDescent="0.25">
      <c r="A63" s="7" t="s">
        <v>68</v>
      </c>
      <c r="B63" s="7">
        <v>45688</v>
      </c>
      <c r="C63" s="7" t="s">
        <v>66</v>
      </c>
      <c r="D63" s="14" t="s">
        <v>69</v>
      </c>
      <c r="E63" s="7" t="s">
        <v>70</v>
      </c>
      <c r="F63" s="10"/>
      <c r="G63" s="8"/>
    </row>
    <row r="64" spans="1:7" ht="15" customHeight="1" x14ac:dyDescent="0.25">
      <c r="A64" s="7" t="s">
        <v>68</v>
      </c>
      <c r="B64" s="7">
        <v>45688</v>
      </c>
      <c r="C64" s="7" t="s">
        <v>71</v>
      </c>
      <c r="D64" s="14" t="s">
        <v>72</v>
      </c>
      <c r="E64" s="7" t="s">
        <v>70</v>
      </c>
      <c r="F64" s="10"/>
      <c r="G64" s="8"/>
    </row>
    <row r="65" spans="1:7" ht="15" customHeight="1" x14ac:dyDescent="0.25">
      <c r="A65" s="7" t="s">
        <v>68</v>
      </c>
      <c r="B65" s="7">
        <v>45688</v>
      </c>
      <c r="C65" s="7" t="s">
        <v>73</v>
      </c>
      <c r="D65" s="7" t="s">
        <v>74</v>
      </c>
      <c r="E65" s="7" t="s">
        <v>70</v>
      </c>
      <c r="F65" s="7"/>
      <c r="G65" s="8"/>
    </row>
    <row r="66" spans="1:7" ht="15" customHeight="1" x14ac:dyDescent="0.25">
      <c r="A66" s="7" t="s">
        <v>68</v>
      </c>
      <c r="B66" s="7">
        <v>45688</v>
      </c>
      <c r="C66" s="7" t="s">
        <v>40</v>
      </c>
      <c r="D66" s="7" t="s">
        <v>75</v>
      </c>
      <c r="E66" s="7" t="s">
        <v>70</v>
      </c>
      <c r="F66" s="7"/>
      <c r="G66" s="8"/>
    </row>
    <row r="67" spans="1:7" ht="15" customHeight="1" x14ac:dyDescent="0.25">
      <c r="A67" s="8" t="s">
        <v>76</v>
      </c>
      <c r="B67" s="7">
        <v>45692</v>
      </c>
      <c r="C67" s="7" t="s">
        <v>77</v>
      </c>
      <c r="D67" s="7" t="s">
        <v>78</v>
      </c>
      <c r="E67" s="7" t="s">
        <v>10</v>
      </c>
      <c r="F67" s="10"/>
      <c r="G67" s="8"/>
    </row>
    <row r="68" spans="1:7" ht="15" customHeight="1" x14ac:dyDescent="0.25">
      <c r="A68" s="12" t="s">
        <v>76</v>
      </c>
      <c r="B68" s="7">
        <v>45692</v>
      </c>
      <c r="C68" s="7" t="s">
        <v>27</v>
      </c>
      <c r="D68" s="7" t="s">
        <v>79</v>
      </c>
      <c r="E68" s="7" t="s">
        <v>10</v>
      </c>
      <c r="F68" s="10"/>
      <c r="G68" s="8"/>
    </row>
    <row r="69" spans="1:7" ht="15" customHeight="1" x14ac:dyDescent="0.25">
      <c r="A69" s="12" t="s">
        <v>80</v>
      </c>
      <c r="B69" s="15">
        <v>45700</v>
      </c>
      <c r="C69" s="7" t="s">
        <v>40</v>
      </c>
      <c r="D69" s="14" t="s">
        <v>81</v>
      </c>
      <c r="E69" s="12" t="s">
        <v>70</v>
      </c>
      <c r="F69" s="10"/>
      <c r="G69" s="8"/>
    </row>
    <row r="70" spans="1:7" ht="15" customHeight="1" x14ac:dyDescent="0.25">
      <c r="A70" s="12" t="s">
        <v>80</v>
      </c>
      <c r="B70" s="15">
        <v>45700</v>
      </c>
      <c r="C70" s="12" t="s">
        <v>82</v>
      </c>
      <c r="D70" s="16" t="s">
        <v>83</v>
      </c>
      <c r="E70" s="12" t="s">
        <v>70</v>
      </c>
      <c r="F70" s="17" t="s">
        <v>84</v>
      </c>
      <c r="G70" s="8"/>
    </row>
    <row r="71" spans="1:7" ht="15" customHeight="1" x14ac:dyDescent="0.25">
      <c r="A71" s="12" t="s">
        <v>80</v>
      </c>
      <c r="B71" s="15">
        <v>45700</v>
      </c>
      <c r="C71" s="12" t="s">
        <v>82</v>
      </c>
      <c r="D71" s="16" t="s">
        <v>85</v>
      </c>
      <c r="E71" s="12" t="s">
        <v>70</v>
      </c>
      <c r="F71" s="17" t="s">
        <v>84</v>
      </c>
      <c r="G71" s="8"/>
    </row>
    <row r="72" spans="1:7" ht="15" customHeight="1" x14ac:dyDescent="0.25">
      <c r="A72" s="12" t="s">
        <v>80</v>
      </c>
      <c r="B72" s="15">
        <v>45700</v>
      </c>
      <c r="C72" s="12" t="s">
        <v>82</v>
      </c>
      <c r="D72" s="16" t="s">
        <v>86</v>
      </c>
      <c r="E72" s="12" t="s">
        <v>70</v>
      </c>
      <c r="F72" s="17" t="s">
        <v>84</v>
      </c>
      <c r="G72" s="8"/>
    </row>
    <row r="73" spans="1:7" ht="15" customHeight="1" x14ac:dyDescent="0.25">
      <c r="A73" s="12" t="s">
        <v>80</v>
      </c>
      <c r="B73" s="15">
        <v>45700</v>
      </c>
      <c r="C73" s="12" t="s">
        <v>82</v>
      </c>
      <c r="D73" s="16" t="s">
        <v>87</v>
      </c>
      <c r="E73" s="12" t="s">
        <v>70</v>
      </c>
      <c r="F73" s="17" t="s">
        <v>84</v>
      </c>
      <c r="G73" s="8"/>
    </row>
    <row r="74" spans="1:7" ht="15" customHeight="1" x14ac:dyDescent="0.25">
      <c r="A74" s="12" t="s">
        <v>80</v>
      </c>
      <c r="B74" s="15">
        <v>45700</v>
      </c>
      <c r="C74" s="12" t="s">
        <v>82</v>
      </c>
      <c r="D74" s="16" t="s">
        <v>88</v>
      </c>
      <c r="E74" s="12" t="s">
        <v>70</v>
      </c>
      <c r="F74" s="17" t="s">
        <v>84</v>
      </c>
      <c r="G74" s="8"/>
    </row>
    <row r="75" spans="1:7" ht="15" customHeight="1" x14ac:dyDescent="0.25">
      <c r="A75" s="12" t="s">
        <v>80</v>
      </c>
      <c r="B75" s="15">
        <v>45700</v>
      </c>
      <c r="C75" s="12" t="s">
        <v>82</v>
      </c>
      <c r="D75" s="16" t="s">
        <v>89</v>
      </c>
      <c r="E75" s="12" t="s">
        <v>70</v>
      </c>
      <c r="F75" s="17" t="s">
        <v>84</v>
      </c>
      <c r="G75" s="8"/>
    </row>
    <row r="76" spans="1:7" ht="15" customHeight="1" x14ac:dyDescent="0.25">
      <c r="A76" s="12" t="s">
        <v>80</v>
      </c>
      <c r="B76" s="15">
        <v>45700</v>
      </c>
      <c r="C76" s="12" t="s">
        <v>82</v>
      </c>
      <c r="D76" s="16" t="s">
        <v>90</v>
      </c>
      <c r="E76" s="12" t="s">
        <v>70</v>
      </c>
      <c r="F76" s="17" t="s">
        <v>84</v>
      </c>
      <c r="G76" s="8"/>
    </row>
    <row r="77" spans="1:7" ht="15" customHeight="1" x14ac:dyDescent="0.25">
      <c r="A77" s="12" t="s">
        <v>80</v>
      </c>
      <c r="B77" s="15">
        <v>45700</v>
      </c>
      <c r="C77" s="12" t="s">
        <v>82</v>
      </c>
      <c r="D77" s="16" t="s">
        <v>91</v>
      </c>
      <c r="E77" s="12" t="s">
        <v>70</v>
      </c>
      <c r="F77" s="17" t="s">
        <v>84</v>
      </c>
      <c r="G77" s="8"/>
    </row>
    <row r="78" spans="1:7" ht="15" customHeight="1" x14ac:dyDescent="0.25">
      <c r="A78" s="12" t="s">
        <v>80</v>
      </c>
      <c r="B78" s="15">
        <v>45700</v>
      </c>
      <c r="C78" s="12" t="s">
        <v>82</v>
      </c>
      <c r="D78" s="16" t="s">
        <v>92</v>
      </c>
      <c r="E78" s="12" t="s">
        <v>70</v>
      </c>
      <c r="F78" s="17" t="s">
        <v>84</v>
      </c>
      <c r="G78" s="8"/>
    </row>
    <row r="79" spans="1:7" ht="15" customHeight="1" x14ac:dyDescent="0.25">
      <c r="A79" s="12" t="s">
        <v>80</v>
      </c>
      <c r="B79" s="15">
        <v>45700</v>
      </c>
      <c r="C79" s="12" t="s">
        <v>82</v>
      </c>
      <c r="D79" s="16" t="s">
        <v>93</v>
      </c>
      <c r="E79" s="12" t="s">
        <v>70</v>
      </c>
      <c r="F79" s="17" t="s">
        <v>84</v>
      </c>
      <c r="G79" s="8"/>
    </row>
    <row r="80" spans="1:7" ht="15" customHeight="1" x14ac:dyDescent="0.25">
      <c r="A80" s="12" t="s">
        <v>80</v>
      </c>
      <c r="B80" s="15">
        <v>45700</v>
      </c>
      <c r="C80" s="12" t="s">
        <v>82</v>
      </c>
      <c r="D80" s="16" t="s">
        <v>94</v>
      </c>
      <c r="E80" s="12" t="s">
        <v>70</v>
      </c>
      <c r="F80" s="17" t="s">
        <v>84</v>
      </c>
      <c r="G80" s="8"/>
    </row>
    <row r="81" spans="1:7" ht="15" customHeight="1" x14ac:dyDescent="0.25">
      <c r="A81" s="12" t="s">
        <v>80</v>
      </c>
      <c r="B81" s="15">
        <v>45700</v>
      </c>
      <c r="C81" s="12" t="s">
        <v>82</v>
      </c>
      <c r="D81" s="16" t="s">
        <v>95</v>
      </c>
      <c r="E81" s="12" t="s">
        <v>70</v>
      </c>
      <c r="F81" s="17" t="s">
        <v>84</v>
      </c>
      <c r="G81" s="8"/>
    </row>
    <row r="82" spans="1:7" ht="15" customHeight="1" x14ac:dyDescent="0.25">
      <c r="A82" s="12" t="s">
        <v>80</v>
      </c>
      <c r="B82" s="15">
        <v>45700</v>
      </c>
      <c r="C82" s="12" t="s">
        <v>82</v>
      </c>
      <c r="D82" s="16" t="s">
        <v>96</v>
      </c>
      <c r="E82" s="12" t="s">
        <v>70</v>
      </c>
      <c r="F82" s="17" t="s">
        <v>84</v>
      </c>
      <c r="G82" s="8"/>
    </row>
    <row r="83" spans="1:7" ht="15" customHeight="1" x14ac:dyDescent="0.25">
      <c r="A83" s="12" t="s">
        <v>80</v>
      </c>
      <c r="B83" s="15">
        <v>45700</v>
      </c>
      <c r="C83" s="12" t="s">
        <v>82</v>
      </c>
      <c r="D83" s="16" t="s">
        <v>97</v>
      </c>
      <c r="E83" s="12" t="s">
        <v>70</v>
      </c>
      <c r="F83" s="17" t="s">
        <v>84</v>
      </c>
      <c r="G83" s="8"/>
    </row>
    <row r="84" spans="1:7" ht="15" customHeight="1" x14ac:dyDescent="0.25">
      <c r="A84" s="12" t="s">
        <v>80</v>
      </c>
      <c r="B84" s="15">
        <v>45700</v>
      </c>
      <c r="C84" s="12" t="s">
        <v>82</v>
      </c>
      <c r="D84" s="16" t="s">
        <v>98</v>
      </c>
      <c r="E84" s="12" t="s">
        <v>70</v>
      </c>
      <c r="F84" s="17" t="s">
        <v>84</v>
      </c>
      <c r="G84" s="8"/>
    </row>
    <row r="85" spans="1:7" ht="15" customHeight="1" x14ac:dyDescent="0.25">
      <c r="A85" s="12" t="s">
        <v>80</v>
      </c>
      <c r="B85" s="15">
        <v>45700</v>
      </c>
      <c r="C85" s="12" t="s">
        <v>82</v>
      </c>
      <c r="D85" s="16" t="s">
        <v>99</v>
      </c>
      <c r="E85" s="12" t="s">
        <v>70</v>
      </c>
      <c r="F85" s="17" t="s">
        <v>84</v>
      </c>
      <c r="G85" s="8"/>
    </row>
    <row r="86" spans="1:7" ht="15" customHeight="1" x14ac:dyDescent="0.25">
      <c r="A86" s="12" t="s">
        <v>80</v>
      </c>
      <c r="B86" s="15">
        <v>45700</v>
      </c>
      <c r="C86" s="12" t="s">
        <v>82</v>
      </c>
      <c r="D86" s="16" t="s">
        <v>100</v>
      </c>
      <c r="E86" s="12" t="s">
        <v>70</v>
      </c>
      <c r="F86" s="17" t="s">
        <v>84</v>
      </c>
      <c r="G86" s="8"/>
    </row>
    <row r="87" spans="1:7" ht="15" customHeight="1" x14ac:dyDescent="0.25">
      <c r="A87" s="12" t="s">
        <v>80</v>
      </c>
      <c r="B87" s="15">
        <v>45700</v>
      </c>
      <c r="C87" s="12" t="s">
        <v>82</v>
      </c>
      <c r="D87" s="8" t="s">
        <v>33</v>
      </c>
      <c r="E87" s="12" t="s">
        <v>70</v>
      </c>
      <c r="F87" s="17" t="s">
        <v>101</v>
      </c>
      <c r="G87" s="8"/>
    </row>
    <row r="88" spans="1:7" ht="15" customHeight="1" x14ac:dyDescent="0.25">
      <c r="A88" s="12" t="s">
        <v>80</v>
      </c>
      <c r="B88" s="15">
        <v>45700</v>
      </c>
      <c r="C88" s="12" t="s">
        <v>82</v>
      </c>
      <c r="D88" s="8" t="s">
        <v>34</v>
      </c>
      <c r="E88" s="12" t="s">
        <v>70</v>
      </c>
      <c r="F88" s="7" t="s">
        <v>102</v>
      </c>
      <c r="G88" s="8"/>
    </row>
    <row r="89" spans="1:7" ht="15" customHeight="1" x14ac:dyDescent="0.25">
      <c r="A89" s="12" t="s">
        <v>80</v>
      </c>
      <c r="B89" s="15">
        <v>45700</v>
      </c>
      <c r="C89" s="12" t="s">
        <v>82</v>
      </c>
      <c r="D89" s="8" t="s">
        <v>61</v>
      </c>
      <c r="E89" s="12" t="s">
        <v>70</v>
      </c>
      <c r="F89" s="6" t="s">
        <v>103</v>
      </c>
      <c r="G89" s="8"/>
    </row>
    <row r="90" spans="1:7" ht="15" customHeight="1" x14ac:dyDescent="0.25">
      <c r="A90" s="12" t="s">
        <v>80</v>
      </c>
      <c r="B90" s="15">
        <v>45700</v>
      </c>
      <c r="C90" s="12" t="s">
        <v>82</v>
      </c>
      <c r="D90" s="8" t="s">
        <v>35</v>
      </c>
      <c r="E90" s="12" t="s">
        <v>70</v>
      </c>
      <c r="F90" s="17" t="s">
        <v>101</v>
      </c>
      <c r="G90" s="8"/>
    </row>
    <row r="91" spans="1:7" ht="15" customHeight="1" x14ac:dyDescent="0.25">
      <c r="A91" s="12" t="s">
        <v>80</v>
      </c>
      <c r="B91" s="15">
        <v>45700</v>
      </c>
      <c r="C91" s="12" t="s">
        <v>82</v>
      </c>
      <c r="D91" s="8" t="s">
        <v>38</v>
      </c>
      <c r="E91" s="12" t="s">
        <v>70</v>
      </c>
      <c r="F91" s="17" t="s">
        <v>101</v>
      </c>
      <c r="G91" s="8"/>
    </row>
    <row r="92" spans="1:7" ht="15" customHeight="1" x14ac:dyDescent="0.25">
      <c r="A92" s="12" t="s">
        <v>80</v>
      </c>
      <c r="B92" s="15">
        <v>45700</v>
      </c>
      <c r="C92" s="12" t="s">
        <v>82</v>
      </c>
      <c r="D92" s="8" t="s">
        <v>104</v>
      </c>
      <c r="E92" s="12" t="s">
        <v>70</v>
      </c>
      <c r="F92" s="17" t="s">
        <v>101</v>
      </c>
      <c r="G92" s="8"/>
    </row>
    <row r="93" spans="1:7" ht="15" customHeight="1" x14ac:dyDescent="0.25">
      <c r="A93" s="12" t="s">
        <v>80</v>
      </c>
      <c r="B93" s="15">
        <v>45700</v>
      </c>
      <c r="C93" s="12" t="s">
        <v>82</v>
      </c>
      <c r="D93" s="8" t="s">
        <v>36</v>
      </c>
      <c r="E93" s="12" t="s">
        <v>70</v>
      </c>
      <c r="F93" s="17" t="s">
        <v>101</v>
      </c>
      <c r="G93" s="8"/>
    </row>
    <row r="94" spans="1:7" ht="15" customHeight="1" x14ac:dyDescent="0.25">
      <c r="A94" s="12" t="s">
        <v>80</v>
      </c>
      <c r="B94" s="15">
        <v>45700</v>
      </c>
      <c r="C94" s="12" t="s">
        <v>82</v>
      </c>
      <c r="D94" s="8" t="s">
        <v>39</v>
      </c>
      <c r="E94" s="12" t="s">
        <v>70</v>
      </c>
      <c r="F94" s="7" t="s">
        <v>105</v>
      </c>
      <c r="G94" s="8"/>
    </row>
    <row r="95" spans="1:7" ht="15" customHeight="1" x14ac:dyDescent="0.25">
      <c r="A95" s="12" t="s">
        <v>80</v>
      </c>
      <c r="B95" s="15">
        <v>45700</v>
      </c>
      <c r="C95" s="12" t="s">
        <v>82</v>
      </c>
      <c r="D95" s="8" t="s">
        <v>60</v>
      </c>
      <c r="E95" s="12" t="s">
        <v>70</v>
      </c>
      <c r="F95" s="7" t="s">
        <v>106</v>
      </c>
      <c r="G95" s="8"/>
    </row>
    <row r="96" spans="1:7" ht="15" customHeight="1" x14ac:dyDescent="0.25">
      <c r="A96" s="12" t="s">
        <v>107</v>
      </c>
      <c r="B96" s="15">
        <v>45705</v>
      </c>
      <c r="C96" s="12" t="s">
        <v>82</v>
      </c>
      <c r="D96" s="8" t="s">
        <v>50</v>
      </c>
      <c r="E96" s="7" t="s">
        <v>10</v>
      </c>
      <c r="F96" s="7" t="s">
        <v>108</v>
      </c>
      <c r="G96" s="8"/>
    </row>
    <row r="97" spans="1:7" ht="15" customHeight="1" x14ac:dyDescent="0.25">
      <c r="A97" s="12" t="s">
        <v>107</v>
      </c>
      <c r="B97" s="15">
        <v>45705</v>
      </c>
      <c r="C97" s="12" t="s">
        <v>82</v>
      </c>
      <c r="D97" s="8" t="s">
        <v>48</v>
      </c>
      <c r="E97" s="7" t="s">
        <v>10</v>
      </c>
      <c r="F97" s="7" t="s">
        <v>109</v>
      </c>
      <c r="G97" s="8"/>
    </row>
    <row r="98" spans="1:7" ht="15" customHeight="1" x14ac:dyDescent="0.25">
      <c r="A98" s="12" t="s">
        <v>107</v>
      </c>
      <c r="B98" s="15">
        <v>45705</v>
      </c>
      <c r="C98" s="12" t="s">
        <v>82</v>
      </c>
      <c r="D98" s="8" t="s">
        <v>51</v>
      </c>
      <c r="E98" s="7" t="s">
        <v>10</v>
      </c>
      <c r="F98" s="7" t="s">
        <v>110</v>
      </c>
      <c r="G98" s="8"/>
    </row>
    <row r="99" spans="1:7" ht="15" customHeight="1" x14ac:dyDescent="0.25">
      <c r="A99" s="12" t="s">
        <v>107</v>
      </c>
      <c r="B99" s="15">
        <v>45705</v>
      </c>
      <c r="C99" s="12" t="s">
        <v>82</v>
      </c>
      <c r="D99" s="8" t="s">
        <v>52</v>
      </c>
      <c r="E99" s="7" t="s">
        <v>10</v>
      </c>
      <c r="F99" s="7" t="s">
        <v>110</v>
      </c>
      <c r="G99" s="8"/>
    </row>
    <row r="100" spans="1:7" ht="15" customHeight="1" x14ac:dyDescent="0.25">
      <c r="A100" s="12" t="s">
        <v>107</v>
      </c>
      <c r="B100" s="15">
        <v>45705</v>
      </c>
      <c r="C100" s="7" t="s">
        <v>40</v>
      </c>
      <c r="D100" s="14" t="s">
        <v>111</v>
      </c>
      <c r="E100" s="7" t="s">
        <v>10</v>
      </c>
      <c r="F100" s="7"/>
      <c r="G100" s="8"/>
    </row>
    <row r="101" spans="1:7" ht="15" customHeight="1" x14ac:dyDescent="0.25">
      <c r="A101" s="12" t="s">
        <v>107</v>
      </c>
      <c r="B101" s="15">
        <v>45705</v>
      </c>
      <c r="C101" s="7" t="s">
        <v>40</v>
      </c>
      <c r="D101" s="14" t="s">
        <v>112</v>
      </c>
      <c r="E101" s="7" t="s">
        <v>10</v>
      </c>
      <c r="F101" s="7"/>
      <c r="G101" s="8"/>
    </row>
    <row r="102" spans="1:7" ht="15" customHeight="1" x14ac:dyDescent="0.25">
      <c r="A102" s="12" t="s">
        <v>107</v>
      </c>
      <c r="B102" s="15">
        <v>45705</v>
      </c>
      <c r="C102" s="7" t="s">
        <v>77</v>
      </c>
      <c r="D102" s="14" t="s">
        <v>113</v>
      </c>
      <c r="E102" s="7" t="s">
        <v>10</v>
      </c>
      <c r="F102" s="7"/>
      <c r="G102" s="8"/>
    </row>
    <row r="103" spans="1:7" ht="15" customHeight="1" x14ac:dyDescent="0.25">
      <c r="A103" s="12" t="s">
        <v>114</v>
      </c>
      <c r="B103" s="15">
        <v>45705</v>
      </c>
      <c r="C103" s="14" t="s">
        <v>66</v>
      </c>
      <c r="D103" s="12" t="s">
        <v>115</v>
      </c>
      <c r="E103" s="12" t="s">
        <v>70</v>
      </c>
      <c r="F103" s="7" t="s">
        <v>116</v>
      </c>
      <c r="G103" s="8"/>
    </row>
    <row r="104" spans="1:7" ht="15" customHeight="1" x14ac:dyDescent="0.25">
      <c r="A104" s="12" t="s">
        <v>114</v>
      </c>
      <c r="B104" s="15">
        <v>45705</v>
      </c>
      <c r="C104" s="12" t="s">
        <v>40</v>
      </c>
      <c r="D104" s="8" t="s">
        <v>117</v>
      </c>
      <c r="E104" s="12" t="s">
        <v>70</v>
      </c>
      <c r="F104" s="7" t="s">
        <v>116</v>
      </c>
      <c r="G104" s="8"/>
    </row>
    <row r="105" spans="1:7" ht="15" customHeight="1" x14ac:dyDescent="0.25">
      <c r="A105" s="12" t="s">
        <v>114</v>
      </c>
      <c r="B105" s="15">
        <v>45705</v>
      </c>
      <c r="C105" s="12" t="s">
        <v>82</v>
      </c>
      <c r="D105" s="8" t="s">
        <v>83</v>
      </c>
      <c r="E105" s="12" t="s">
        <v>70</v>
      </c>
      <c r="F105" s="6" t="s">
        <v>118</v>
      </c>
      <c r="G105" s="8"/>
    </row>
    <row r="106" spans="1:7" ht="15" customHeight="1" x14ac:dyDescent="0.25">
      <c r="A106" s="12" t="s">
        <v>119</v>
      </c>
      <c r="B106" s="15">
        <v>45709</v>
      </c>
      <c r="C106" s="14" t="s">
        <v>120</v>
      </c>
      <c r="D106" s="14" t="s">
        <v>121</v>
      </c>
      <c r="E106" s="12" t="s">
        <v>70</v>
      </c>
      <c r="F106" s="6"/>
      <c r="G106" s="8"/>
    </row>
    <row r="107" spans="1:7" ht="15" customHeight="1" x14ac:dyDescent="0.25">
      <c r="A107" s="12" t="s">
        <v>122</v>
      </c>
      <c r="B107" s="15">
        <v>45719</v>
      </c>
      <c r="C107" s="14" t="s">
        <v>123</v>
      </c>
      <c r="D107" s="14" t="s">
        <v>124</v>
      </c>
      <c r="E107" s="12" t="s">
        <v>70</v>
      </c>
      <c r="F107" s="6" t="s">
        <v>125</v>
      </c>
      <c r="G107" s="8"/>
    </row>
    <row r="108" spans="1:7" ht="15" customHeight="1" x14ac:dyDescent="0.25">
      <c r="A108" s="12" t="s">
        <v>122</v>
      </c>
      <c r="B108" s="15">
        <v>45719</v>
      </c>
      <c r="C108" s="12" t="s">
        <v>82</v>
      </c>
      <c r="D108" s="14" t="s">
        <v>38</v>
      </c>
      <c r="E108" s="12" t="s">
        <v>70</v>
      </c>
      <c r="F108" s="6" t="s">
        <v>126</v>
      </c>
      <c r="G108" s="8"/>
    </row>
    <row r="109" spans="1:7" ht="15" customHeight="1" x14ac:dyDescent="0.25">
      <c r="A109" s="12" t="s">
        <v>122</v>
      </c>
      <c r="B109" s="15">
        <v>45719</v>
      </c>
      <c r="C109" s="12" t="s">
        <v>82</v>
      </c>
      <c r="D109" s="10" t="s">
        <v>60</v>
      </c>
      <c r="E109" s="12" t="s">
        <v>70</v>
      </c>
      <c r="F109" s="6" t="s">
        <v>127</v>
      </c>
      <c r="G109" s="8"/>
    </row>
    <row r="110" spans="1:7" ht="15" customHeight="1" x14ac:dyDescent="0.25">
      <c r="A110" s="12" t="s">
        <v>122</v>
      </c>
      <c r="B110" s="15">
        <v>45719</v>
      </c>
      <c r="C110" s="14" t="s">
        <v>40</v>
      </c>
      <c r="D110" s="14" t="s">
        <v>128</v>
      </c>
      <c r="E110" s="12" t="s">
        <v>70</v>
      </c>
      <c r="F110" s="6" t="s">
        <v>125</v>
      </c>
      <c r="G110" s="8"/>
    </row>
    <row r="111" spans="1:7" ht="15" customHeight="1" x14ac:dyDescent="0.25">
      <c r="A111" s="12" t="s">
        <v>129</v>
      </c>
      <c r="B111" s="15">
        <v>45723</v>
      </c>
      <c r="C111" s="12" t="s">
        <v>130</v>
      </c>
      <c r="D111" s="10" t="s">
        <v>61</v>
      </c>
      <c r="E111" s="12" t="s">
        <v>70</v>
      </c>
      <c r="F111" s="6" t="s">
        <v>131</v>
      </c>
      <c r="G111" s="8"/>
    </row>
    <row r="112" spans="1:7" ht="15" customHeight="1" x14ac:dyDescent="0.25">
      <c r="A112" s="12" t="s">
        <v>132</v>
      </c>
      <c r="B112" s="15">
        <v>45730</v>
      </c>
      <c r="C112" s="12" t="s">
        <v>82</v>
      </c>
      <c r="D112" s="10" t="s">
        <v>97</v>
      </c>
      <c r="E112" s="12" t="s">
        <v>70</v>
      </c>
      <c r="F112" s="6" t="s">
        <v>133</v>
      </c>
      <c r="G112" s="8"/>
    </row>
    <row r="113" spans="1:7" ht="15" customHeight="1" x14ac:dyDescent="0.25">
      <c r="A113" s="12" t="s">
        <v>132</v>
      </c>
      <c r="B113" s="15">
        <v>45730</v>
      </c>
      <c r="C113" s="12" t="s">
        <v>82</v>
      </c>
      <c r="D113" s="10" t="s">
        <v>92</v>
      </c>
      <c r="E113" s="12" t="s">
        <v>70</v>
      </c>
      <c r="F113" s="6" t="s">
        <v>133</v>
      </c>
      <c r="G113" s="8"/>
    </row>
    <row r="114" spans="1:7" ht="15" customHeight="1" x14ac:dyDescent="0.25">
      <c r="A114" s="12" t="s">
        <v>132</v>
      </c>
      <c r="B114" s="15">
        <v>45730</v>
      </c>
      <c r="C114" s="12" t="s">
        <v>82</v>
      </c>
      <c r="D114" s="10" t="s">
        <v>38</v>
      </c>
      <c r="E114" s="12" t="s">
        <v>70</v>
      </c>
      <c r="F114" s="6" t="s">
        <v>133</v>
      </c>
      <c r="G114" s="8"/>
    </row>
    <row r="115" spans="1:7" ht="15" customHeight="1" x14ac:dyDescent="0.25">
      <c r="A115" s="12" t="s">
        <v>132</v>
      </c>
      <c r="B115" s="15">
        <v>45730</v>
      </c>
      <c r="C115" s="12" t="s">
        <v>82</v>
      </c>
      <c r="D115" s="10" t="s">
        <v>60</v>
      </c>
      <c r="E115" s="12" t="s">
        <v>70</v>
      </c>
      <c r="F115" s="6" t="s">
        <v>133</v>
      </c>
      <c r="G115" s="8"/>
    </row>
    <row r="116" spans="1:7" ht="15" customHeight="1" x14ac:dyDescent="0.25">
      <c r="A116" s="12" t="s">
        <v>132</v>
      </c>
      <c r="B116" s="15">
        <v>45730</v>
      </c>
      <c r="C116" s="12" t="s">
        <v>82</v>
      </c>
      <c r="D116" s="8" t="s">
        <v>99</v>
      </c>
      <c r="E116" s="12" t="s">
        <v>70</v>
      </c>
      <c r="F116" s="6" t="s">
        <v>133</v>
      </c>
      <c r="G116" s="8"/>
    </row>
    <row r="117" spans="1:7" ht="15" customHeight="1" x14ac:dyDescent="0.25">
      <c r="A117" s="12" t="s">
        <v>132</v>
      </c>
      <c r="B117" s="15">
        <v>45730</v>
      </c>
      <c r="C117" s="12" t="s">
        <v>82</v>
      </c>
      <c r="D117" s="8" t="s">
        <v>98</v>
      </c>
      <c r="E117" s="12" t="s">
        <v>70</v>
      </c>
      <c r="F117" s="6" t="s">
        <v>133</v>
      </c>
      <c r="G117" s="8"/>
    </row>
    <row r="118" spans="1:7" ht="15" customHeight="1" x14ac:dyDescent="0.25">
      <c r="A118" s="12" t="s">
        <v>132</v>
      </c>
      <c r="B118" s="15">
        <v>45730</v>
      </c>
      <c r="C118" s="12" t="s">
        <v>82</v>
      </c>
      <c r="D118" s="8" t="s">
        <v>93</v>
      </c>
      <c r="E118" s="12" t="s">
        <v>70</v>
      </c>
      <c r="F118" s="6" t="s">
        <v>133</v>
      </c>
      <c r="G118" s="8"/>
    </row>
    <row r="119" spans="1:7" ht="15" customHeight="1" x14ac:dyDescent="0.25">
      <c r="A119" s="12" t="s">
        <v>132</v>
      </c>
      <c r="B119" s="15">
        <v>45730</v>
      </c>
      <c r="C119" s="12" t="s">
        <v>82</v>
      </c>
      <c r="D119" s="10" t="s">
        <v>39</v>
      </c>
      <c r="E119" s="12" t="s">
        <v>70</v>
      </c>
      <c r="F119" s="6" t="s">
        <v>133</v>
      </c>
      <c r="G119" s="8"/>
    </row>
    <row r="120" spans="1:7" ht="15" customHeight="1" x14ac:dyDescent="0.25">
      <c r="A120" s="12" t="s">
        <v>132</v>
      </c>
      <c r="B120" s="15">
        <v>45740</v>
      </c>
      <c r="C120" s="12" t="s">
        <v>82</v>
      </c>
      <c r="D120" s="10" t="s">
        <v>94</v>
      </c>
      <c r="E120" s="12" t="s">
        <v>70</v>
      </c>
      <c r="F120" s="6" t="s">
        <v>133</v>
      </c>
      <c r="G120" s="8"/>
    </row>
    <row r="121" spans="1:7" ht="15" customHeight="1" x14ac:dyDescent="0.25">
      <c r="A121" s="12" t="s">
        <v>134</v>
      </c>
      <c r="B121" s="15">
        <v>45731</v>
      </c>
      <c r="C121" s="14" t="s">
        <v>135</v>
      </c>
      <c r="D121" s="12" t="s">
        <v>136</v>
      </c>
      <c r="E121" s="12" t="s">
        <v>137</v>
      </c>
      <c r="F121" s="12"/>
      <c r="G121" s="8"/>
    </row>
    <row r="122" spans="1:7" ht="15" customHeight="1" x14ac:dyDescent="0.25">
      <c r="A122" s="12" t="s">
        <v>134</v>
      </c>
      <c r="B122" s="15">
        <v>45731</v>
      </c>
      <c r="C122" s="14" t="s">
        <v>135</v>
      </c>
      <c r="D122" s="12" t="s">
        <v>138</v>
      </c>
      <c r="E122" s="12" t="s">
        <v>137</v>
      </c>
      <c r="F122" s="12"/>
      <c r="G122" s="8"/>
    </row>
    <row r="123" spans="1:7" ht="15" customHeight="1" x14ac:dyDescent="0.25">
      <c r="A123" s="12" t="s">
        <v>134</v>
      </c>
      <c r="B123" s="15">
        <v>45731</v>
      </c>
      <c r="C123" s="14" t="s">
        <v>135</v>
      </c>
      <c r="D123" s="12" t="s">
        <v>139</v>
      </c>
      <c r="E123" s="12" t="s">
        <v>137</v>
      </c>
      <c r="F123" s="12"/>
      <c r="G123" s="8"/>
    </row>
    <row r="124" spans="1:7" ht="15" customHeight="1" x14ac:dyDescent="0.25">
      <c r="A124" s="12" t="s">
        <v>134</v>
      </c>
      <c r="B124" s="15">
        <v>45731</v>
      </c>
      <c r="C124" s="14" t="s">
        <v>140</v>
      </c>
      <c r="D124" s="12" t="s">
        <v>141</v>
      </c>
      <c r="E124" s="12" t="s">
        <v>137</v>
      </c>
      <c r="F124" s="12"/>
      <c r="G124" s="8"/>
    </row>
    <row r="125" spans="1:7" ht="15" customHeight="1" x14ac:dyDescent="0.25">
      <c r="A125" s="12" t="s">
        <v>134</v>
      </c>
      <c r="B125" s="15">
        <v>45731</v>
      </c>
      <c r="C125" s="14" t="s">
        <v>140</v>
      </c>
      <c r="D125" s="12" t="s">
        <v>142</v>
      </c>
      <c r="E125" s="12" t="s">
        <v>137</v>
      </c>
      <c r="F125" s="12"/>
      <c r="G125" s="8"/>
    </row>
    <row r="126" spans="1:7" ht="15" customHeight="1" x14ac:dyDescent="0.25">
      <c r="A126" s="12" t="s">
        <v>134</v>
      </c>
      <c r="B126" s="15">
        <v>45731</v>
      </c>
      <c r="C126" s="14" t="s">
        <v>140</v>
      </c>
      <c r="D126" s="12" t="s">
        <v>143</v>
      </c>
      <c r="E126" s="12" t="s">
        <v>137</v>
      </c>
      <c r="F126" s="12"/>
      <c r="G126" s="8"/>
    </row>
    <row r="127" spans="1:7" ht="15" customHeight="1" x14ac:dyDescent="0.25">
      <c r="A127" s="12" t="s">
        <v>134</v>
      </c>
      <c r="B127" s="15">
        <v>45731</v>
      </c>
      <c r="C127" s="14" t="s">
        <v>135</v>
      </c>
      <c r="D127" s="12" t="s">
        <v>144</v>
      </c>
      <c r="E127" s="12" t="s">
        <v>137</v>
      </c>
      <c r="F127" s="12"/>
      <c r="G127" s="8"/>
    </row>
    <row r="128" spans="1:7" ht="15" customHeight="1" x14ac:dyDescent="0.25">
      <c r="A128" s="12" t="s">
        <v>134</v>
      </c>
      <c r="B128" s="15">
        <v>45731</v>
      </c>
      <c r="C128" s="14" t="s">
        <v>140</v>
      </c>
      <c r="D128" s="12" t="s">
        <v>145</v>
      </c>
      <c r="E128" s="12" t="s">
        <v>137</v>
      </c>
      <c r="F128" s="12"/>
      <c r="G128" s="8"/>
    </row>
    <row r="129" spans="1:7" ht="15" customHeight="1" x14ac:dyDescent="0.25">
      <c r="A129" s="12" t="s">
        <v>134</v>
      </c>
      <c r="B129" s="15">
        <v>45731</v>
      </c>
      <c r="C129" s="14" t="s">
        <v>140</v>
      </c>
      <c r="D129" s="12" t="s">
        <v>146</v>
      </c>
      <c r="E129" s="12" t="s">
        <v>137</v>
      </c>
      <c r="F129" s="12"/>
      <c r="G129" s="8"/>
    </row>
    <row r="130" spans="1:7" ht="15" customHeight="1" x14ac:dyDescent="0.25">
      <c r="A130" s="12" t="s">
        <v>134</v>
      </c>
      <c r="B130" s="15">
        <v>45731</v>
      </c>
      <c r="C130" s="14" t="s">
        <v>135</v>
      </c>
      <c r="D130" s="12" t="s">
        <v>147</v>
      </c>
      <c r="E130" s="12" t="s">
        <v>137</v>
      </c>
      <c r="F130" s="12"/>
      <c r="G130" s="8"/>
    </row>
    <row r="131" spans="1:7" ht="15" customHeight="1" x14ac:dyDescent="0.25">
      <c r="A131" s="12" t="s">
        <v>134</v>
      </c>
      <c r="B131" s="15">
        <v>45731</v>
      </c>
      <c r="C131" s="14" t="s">
        <v>148</v>
      </c>
      <c r="D131" s="12" t="s">
        <v>149</v>
      </c>
      <c r="E131" s="12" t="s">
        <v>137</v>
      </c>
      <c r="F131" s="12"/>
      <c r="G131" s="8"/>
    </row>
    <row r="132" spans="1:7" ht="15" customHeight="1" x14ac:dyDescent="0.25">
      <c r="A132" s="12" t="s">
        <v>134</v>
      </c>
      <c r="B132" s="15">
        <v>45731</v>
      </c>
      <c r="C132" s="14" t="s">
        <v>148</v>
      </c>
      <c r="D132" s="12" t="s">
        <v>150</v>
      </c>
      <c r="E132" s="12" t="s">
        <v>137</v>
      </c>
      <c r="F132" s="12"/>
      <c r="G132" s="8"/>
    </row>
    <row r="133" spans="1:7" ht="15" customHeight="1" x14ac:dyDescent="0.25">
      <c r="A133" s="12" t="s">
        <v>134</v>
      </c>
      <c r="B133" s="15">
        <v>45731</v>
      </c>
      <c r="C133" s="14" t="s">
        <v>148</v>
      </c>
      <c r="D133" s="12" t="s">
        <v>151</v>
      </c>
      <c r="E133" s="12" t="s">
        <v>137</v>
      </c>
      <c r="F133" s="12"/>
      <c r="G133" s="8"/>
    </row>
    <row r="134" spans="1:7" ht="15" customHeight="1" x14ac:dyDescent="0.25">
      <c r="A134" s="12" t="s">
        <v>134</v>
      </c>
      <c r="B134" s="15">
        <v>45731</v>
      </c>
      <c r="C134" s="12" t="s">
        <v>66</v>
      </c>
      <c r="D134" s="12" t="s">
        <v>152</v>
      </c>
      <c r="E134" s="12" t="s">
        <v>137</v>
      </c>
      <c r="F134" s="12"/>
      <c r="G134" s="8"/>
    </row>
    <row r="135" spans="1:7" ht="15" customHeight="1" x14ac:dyDescent="0.25">
      <c r="A135" s="12" t="s">
        <v>134</v>
      </c>
      <c r="B135" s="15">
        <v>45731</v>
      </c>
      <c r="C135" s="12" t="s">
        <v>66</v>
      </c>
      <c r="D135" s="12" t="s">
        <v>153</v>
      </c>
      <c r="E135" s="12" t="s">
        <v>137</v>
      </c>
      <c r="F135" s="12"/>
      <c r="G135" s="8"/>
    </row>
    <row r="136" spans="1:7" ht="15" customHeight="1" x14ac:dyDescent="0.25">
      <c r="A136" s="12" t="s">
        <v>134</v>
      </c>
      <c r="B136" s="15">
        <v>45731</v>
      </c>
      <c r="C136" s="12" t="s">
        <v>66</v>
      </c>
      <c r="D136" s="12" t="s">
        <v>154</v>
      </c>
      <c r="E136" s="12" t="s">
        <v>137</v>
      </c>
      <c r="F136" s="12"/>
      <c r="G136" s="8"/>
    </row>
    <row r="137" spans="1:7" ht="15" customHeight="1" x14ac:dyDescent="0.25">
      <c r="A137" s="12" t="s">
        <v>134</v>
      </c>
      <c r="B137" s="15">
        <v>45731</v>
      </c>
      <c r="C137" s="12" t="s">
        <v>27</v>
      </c>
      <c r="D137" s="12" t="s">
        <v>96</v>
      </c>
      <c r="E137" s="12" t="s">
        <v>137</v>
      </c>
      <c r="F137" s="12" t="s">
        <v>155</v>
      </c>
      <c r="G137" s="8"/>
    </row>
    <row r="138" spans="1:7" ht="15" customHeight="1" x14ac:dyDescent="0.25">
      <c r="A138" s="12" t="s">
        <v>134</v>
      </c>
      <c r="B138" s="15">
        <v>45731</v>
      </c>
      <c r="C138" s="12" t="s">
        <v>27</v>
      </c>
      <c r="D138" s="12" t="s">
        <v>95</v>
      </c>
      <c r="E138" s="12" t="s">
        <v>137</v>
      </c>
      <c r="F138" s="12" t="s">
        <v>155</v>
      </c>
      <c r="G138" s="8"/>
    </row>
    <row r="139" spans="1:7" ht="15" customHeight="1" x14ac:dyDescent="0.25">
      <c r="A139" s="12" t="s">
        <v>134</v>
      </c>
      <c r="B139" s="15">
        <v>45731</v>
      </c>
      <c r="C139" s="12" t="s">
        <v>27</v>
      </c>
      <c r="D139" s="12" t="s">
        <v>38</v>
      </c>
      <c r="E139" s="12" t="s">
        <v>137</v>
      </c>
      <c r="F139" s="12" t="s">
        <v>155</v>
      </c>
      <c r="G139" s="8"/>
    </row>
    <row r="140" spans="1:7" ht="15" customHeight="1" x14ac:dyDescent="0.25">
      <c r="A140" s="12" t="s">
        <v>134</v>
      </c>
      <c r="B140" s="15">
        <v>45731</v>
      </c>
      <c r="C140" s="12" t="s">
        <v>27</v>
      </c>
      <c r="D140" s="12" t="s">
        <v>39</v>
      </c>
      <c r="E140" s="12" t="s">
        <v>137</v>
      </c>
      <c r="F140" s="12" t="s">
        <v>155</v>
      </c>
      <c r="G140" s="8"/>
    </row>
    <row r="141" spans="1:7" ht="15" customHeight="1" x14ac:dyDescent="0.25">
      <c r="A141" s="12" t="s">
        <v>134</v>
      </c>
      <c r="B141" s="15">
        <v>45731</v>
      </c>
      <c r="C141" s="12" t="s">
        <v>27</v>
      </c>
      <c r="D141" s="12" t="s">
        <v>104</v>
      </c>
      <c r="E141" s="12" t="s">
        <v>137</v>
      </c>
      <c r="F141" s="12" t="s">
        <v>155</v>
      </c>
      <c r="G141" s="8"/>
    </row>
    <row r="142" spans="1:7" ht="15" customHeight="1" x14ac:dyDescent="0.25">
      <c r="A142" s="12" t="s">
        <v>156</v>
      </c>
      <c r="B142" s="15">
        <v>45742</v>
      </c>
      <c r="C142" s="12" t="s">
        <v>27</v>
      </c>
      <c r="D142" s="10" t="s">
        <v>35</v>
      </c>
      <c r="E142" s="12" t="s">
        <v>137</v>
      </c>
      <c r="F142" s="12" t="s">
        <v>155</v>
      </c>
      <c r="G142" s="8"/>
    </row>
    <row r="143" spans="1:7" ht="15" customHeight="1" x14ac:dyDescent="0.25">
      <c r="A143" s="12" t="s">
        <v>156</v>
      </c>
      <c r="B143" s="15">
        <v>45742</v>
      </c>
      <c r="C143" s="12" t="s">
        <v>27</v>
      </c>
      <c r="D143" s="6" t="s">
        <v>33</v>
      </c>
      <c r="E143" s="12" t="s">
        <v>137</v>
      </c>
      <c r="F143" s="12" t="s">
        <v>155</v>
      </c>
      <c r="G143" s="8"/>
    </row>
    <row r="144" spans="1:7" ht="15" customHeight="1" x14ac:dyDescent="0.25">
      <c r="A144" s="12" t="s">
        <v>156</v>
      </c>
      <c r="B144" s="15">
        <v>45742</v>
      </c>
      <c r="C144" s="12" t="s">
        <v>27</v>
      </c>
      <c r="D144" s="10" t="s">
        <v>34</v>
      </c>
      <c r="E144" s="12" t="s">
        <v>137</v>
      </c>
      <c r="F144" s="12" t="s">
        <v>155</v>
      </c>
      <c r="G144" s="8"/>
    </row>
    <row r="145" spans="1:7" ht="15" customHeight="1" x14ac:dyDescent="0.25">
      <c r="A145" s="12" t="s">
        <v>157</v>
      </c>
      <c r="B145" s="15">
        <v>45744</v>
      </c>
      <c r="C145" s="12" t="s">
        <v>82</v>
      </c>
      <c r="D145" s="10" t="s">
        <v>97</v>
      </c>
      <c r="E145" s="12" t="s">
        <v>70</v>
      </c>
      <c r="F145" s="6" t="s">
        <v>158</v>
      </c>
      <c r="G145" s="8"/>
    </row>
    <row r="146" spans="1:7" ht="15" customHeight="1" x14ac:dyDescent="0.25">
      <c r="A146" s="12" t="s">
        <v>157</v>
      </c>
      <c r="B146" s="15">
        <v>45744</v>
      </c>
      <c r="C146" s="12" t="s">
        <v>82</v>
      </c>
      <c r="D146" s="8" t="s">
        <v>92</v>
      </c>
      <c r="E146" s="12" t="s">
        <v>70</v>
      </c>
      <c r="F146" s="6" t="s">
        <v>158</v>
      </c>
      <c r="G146" s="8"/>
    </row>
    <row r="147" spans="1:7" ht="15" customHeight="1" x14ac:dyDescent="0.25">
      <c r="A147" s="12" t="s">
        <v>157</v>
      </c>
      <c r="B147" s="15">
        <v>45750</v>
      </c>
      <c r="C147" s="12" t="s">
        <v>82</v>
      </c>
      <c r="D147" s="10" t="s">
        <v>36</v>
      </c>
      <c r="E147" s="12" t="s">
        <v>19</v>
      </c>
      <c r="F147" s="12" t="s">
        <v>159</v>
      </c>
      <c r="G147" s="8"/>
    </row>
    <row r="148" spans="1:7" ht="15" customHeight="1" x14ac:dyDescent="0.25">
      <c r="A148" s="12" t="s">
        <v>157</v>
      </c>
      <c r="B148" s="15">
        <v>45750</v>
      </c>
      <c r="C148" s="12" t="s">
        <v>82</v>
      </c>
      <c r="D148" s="10" t="s">
        <v>90</v>
      </c>
      <c r="E148" s="12" t="s">
        <v>19</v>
      </c>
      <c r="F148" s="12" t="s">
        <v>159</v>
      </c>
      <c r="G148" s="8"/>
    </row>
    <row r="149" spans="1:7" ht="15" customHeight="1" x14ac:dyDescent="0.25">
      <c r="A149" s="12" t="s">
        <v>157</v>
      </c>
      <c r="B149" s="15">
        <v>45750</v>
      </c>
      <c r="C149" s="12" t="s">
        <v>40</v>
      </c>
      <c r="D149" s="10" t="s">
        <v>160</v>
      </c>
      <c r="E149" s="12" t="s">
        <v>19</v>
      </c>
      <c r="F149" s="12" t="s">
        <v>161</v>
      </c>
      <c r="G149" s="8"/>
    </row>
    <row r="150" spans="1:7" ht="15" customHeight="1" x14ac:dyDescent="0.25">
      <c r="A150" s="12" t="s">
        <v>157</v>
      </c>
      <c r="B150" s="15">
        <v>45750</v>
      </c>
      <c r="C150" s="12" t="s">
        <v>82</v>
      </c>
      <c r="D150" s="12" t="s">
        <v>99</v>
      </c>
      <c r="E150" s="12" t="s">
        <v>19</v>
      </c>
      <c r="F150" s="6" t="s">
        <v>158</v>
      </c>
      <c r="G150" s="8"/>
    </row>
    <row r="151" spans="1:7" ht="15" customHeight="1" x14ac:dyDescent="0.25">
      <c r="A151" s="12" t="s">
        <v>157</v>
      </c>
      <c r="B151" s="15">
        <v>45750</v>
      </c>
      <c r="C151" s="12" t="s">
        <v>82</v>
      </c>
      <c r="D151" s="12" t="s">
        <v>162</v>
      </c>
      <c r="E151" s="12" t="s">
        <v>19</v>
      </c>
      <c r="F151" s="6" t="s">
        <v>158</v>
      </c>
      <c r="G151" s="8"/>
    </row>
    <row r="152" spans="1:7" ht="15" customHeight="1" x14ac:dyDescent="0.25">
      <c r="A152" s="12" t="s">
        <v>163</v>
      </c>
      <c r="B152" s="15">
        <v>45700</v>
      </c>
      <c r="C152" s="12" t="s">
        <v>82</v>
      </c>
      <c r="D152" s="16" t="s">
        <v>90</v>
      </c>
      <c r="E152" s="12" t="s">
        <v>19</v>
      </c>
      <c r="F152" s="17" t="s">
        <v>164</v>
      </c>
      <c r="G152" s="8"/>
    </row>
    <row r="153" spans="1:7" ht="15" customHeight="1" x14ac:dyDescent="0.25">
      <c r="A153" s="18" t="s">
        <v>165</v>
      </c>
      <c r="B153" s="19">
        <v>45887</v>
      </c>
      <c r="C153" s="18" t="s">
        <v>40</v>
      </c>
      <c r="D153" s="18" t="s">
        <v>166</v>
      </c>
      <c r="E153" s="18" t="s">
        <v>19</v>
      </c>
      <c r="F153" s="18" t="s">
        <v>167</v>
      </c>
      <c r="G153" s="20"/>
    </row>
    <row r="154" spans="1:7" ht="15" customHeight="1" x14ac:dyDescent="0.25">
      <c r="A154" s="21" t="s">
        <v>168</v>
      </c>
      <c r="B154" s="22">
        <v>45891</v>
      </c>
      <c r="C154" s="21" t="s">
        <v>82</v>
      </c>
      <c r="D154" s="23" t="s">
        <v>38</v>
      </c>
      <c r="E154" s="21" t="s">
        <v>19</v>
      </c>
      <c r="F154" s="24" t="s">
        <v>169</v>
      </c>
      <c r="G154" s="23"/>
    </row>
    <row r="155" spans="1:7" ht="15" customHeight="1" x14ac:dyDescent="0.25">
      <c r="A155" s="12" t="s">
        <v>168</v>
      </c>
      <c r="B155" s="25">
        <v>45891</v>
      </c>
      <c r="C155" s="12" t="s">
        <v>40</v>
      </c>
      <c r="D155" s="10" t="s">
        <v>166</v>
      </c>
      <c r="E155" s="12" t="s">
        <v>19</v>
      </c>
      <c r="F155" s="10" t="s">
        <v>170</v>
      </c>
      <c r="G155" s="8"/>
    </row>
    <row r="156" spans="1:7" ht="15" customHeight="1" x14ac:dyDescent="0.25">
      <c r="A156" s="12" t="s">
        <v>168</v>
      </c>
      <c r="B156" s="25">
        <v>45891</v>
      </c>
      <c r="C156" s="12" t="s">
        <v>40</v>
      </c>
      <c r="D156" s="10" t="s">
        <v>149</v>
      </c>
      <c r="E156" s="12" t="s">
        <v>19</v>
      </c>
      <c r="F156" s="10" t="s">
        <v>170</v>
      </c>
      <c r="G156" s="8"/>
    </row>
    <row r="157" spans="1:7" ht="15" customHeight="1" x14ac:dyDescent="0.25">
      <c r="A157" s="12" t="s">
        <v>168</v>
      </c>
      <c r="B157" s="25">
        <v>45891</v>
      </c>
      <c r="C157" s="12" t="s">
        <v>40</v>
      </c>
      <c r="D157" s="10" t="s">
        <v>150</v>
      </c>
      <c r="E157" s="12" t="s">
        <v>19</v>
      </c>
      <c r="F157" s="10" t="s">
        <v>170</v>
      </c>
      <c r="G157" s="8"/>
    </row>
    <row r="158" spans="1:7" ht="15" customHeight="1" x14ac:dyDescent="0.25">
      <c r="A158" s="18" t="s">
        <v>168</v>
      </c>
      <c r="B158" s="26">
        <v>45891</v>
      </c>
      <c r="C158" s="18" t="s">
        <v>40</v>
      </c>
      <c r="D158" s="27" t="s">
        <v>151</v>
      </c>
      <c r="E158" s="18" t="s">
        <v>19</v>
      </c>
      <c r="F158" s="27" t="s">
        <v>170</v>
      </c>
      <c r="G158" s="20"/>
    </row>
    <row r="159" spans="1:7" ht="15" customHeight="1" x14ac:dyDescent="0.25">
      <c r="A159" s="21" t="s">
        <v>171</v>
      </c>
      <c r="B159" s="22">
        <v>45895</v>
      </c>
      <c r="C159" s="21" t="s">
        <v>82</v>
      </c>
      <c r="D159" s="24" t="s">
        <v>138</v>
      </c>
      <c r="E159" s="23" t="s">
        <v>19</v>
      </c>
      <c r="F159" s="24" t="s">
        <v>172</v>
      </c>
      <c r="G159" s="23"/>
    </row>
    <row r="160" spans="1:7" ht="15" customHeight="1" x14ac:dyDescent="0.25">
      <c r="A160" s="12" t="s">
        <v>171</v>
      </c>
      <c r="B160" s="25">
        <v>45895</v>
      </c>
      <c r="C160" s="12" t="s">
        <v>82</v>
      </c>
      <c r="D160" s="10" t="s">
        <v>49</v>
      </c>
      <c r="E160" s="8" t="s">
        <v>19</v>
      </c>
      <c r="F160" s="10" t="s">
        <v>173</v>
      </c>
      <c r="G160" s="8"/>
    </row>
    <row r="161" spans="1:7" ht="15" customHeight="1" x14ac:dyDescent="0.25">
      <c r="A161" s="12" t="s">
        <v>171</v>
      </c>
      <c r="B161" s="25">
        <v>45895</v>
      </c>
      <c r="C161" s="10" t="s">
        <v>82</v>
      </c>
      <c r="D161" s="10" t="s">
        <v>174</v>
      </c>
      <c r="E161" s="8" t="s">
        <v>19</v>
      </c>
      <c r="F161" s="10" t="s">
        <v>173</v>
      </c>
      <c r="G161" s="8"/>
    </row>
    <row r="162" spans="1:7" ht="15" customHeight="1" x14ac:dyDescent="0.25">
      <c r="A162" s="12" t="s">
        <v>171</v>
      </c>
      <c r="B162" s="25">
        <v>45895</v>
      </c>
      <c r="C162" s="10" t="s">
        <v>40</v>
      </c>
      <c r="D162" s="10" t="s">
        <v>175</v>
      </c>
      <c r="E162" s="8" t="s">
        <v>19</v>
      </c>
      <c r="F162" s="10" t="s">
        <v>176</v>
      </c>
      <c r="G162" s="8"/>
    </row>
    <row r="163" spans="1:7" ht="15" customHeight="1" x14ac:dyDescent="0.25">
      <c r="A163" s="12" t="s">
        <v>171</v>
      </c>
      <c r="B163" s="25">
        <v>45897</v>
      </c>
      <c r="C163" s="10" t="s">
        <v>40</v>
      </c>
      <c r="D163" s="10" t="s">
        <v>177</v>
      </c>
      <c r="E163" s="8" t="s">
        <v>19</v>
      </c>
      <c r="F163" s="10" t="s">
        <v>176</v>
      </c>
      <c r="G163" s="8"/>
    </row>
    <row r="164" spans="1:7" ht="15" customHeight="1" x14ac:dyDescent="0.25">
      <c r="A164" s="18" t="s">
        <v>171</v>
      </c>
      <c r="B164" s="26">
        <v>45897</v>
      </c>
      <c r="C164" s="27" t="s">
        <v>178</v>
      </c>
      <c r="D164" s="27" t="s">
        <v>179</v>
      </c>
      <c r="E164" s="20" t="s">
        <v>19</v>
      </c>
      <c r="F164" s="27" t="s">
        <v>176</v>
      </c>
      <c r="G164" s="20"/>
    </row>
    <row r="165" spans="1:7" ht="15" customHeight="1" x14ac:dyDescent="0.25">
      <c r="A165" s="23" t="s">
        <v>180</v>
      </c>
      <c r="B165" s="22">
        <v>45928</v>
      </c>
      <c r="C165" s="23" t="s">
        <v>66</v>
      </c>
      <c r="D165" s="28" t="s">
        <v>115</v>
      </c>
      <c r="E165" s="23" t="s">
        <v>19</v>
      </c>
      <c r="F165" s="24" t="s">
        <v>181</v>
      </c>
      <c r="G165" s="29" t="s">
        <v>182</v>
      </c>
    </row>
    <row r="166" spans="1:7" ht="15" customHeight="1" x14ac:dyDescent="0.25">
      <c r="A166" s="8" t="s">
        <v>180</v>
      </c>
      <c r="B166" s="25">
        <v>45928</v>
      </c>
      <c r="C166" s="8" t="s">
        <v>66</v>
      </c>
      <c r="D166" s="30" t="s">
        <v>183</v>
      </c>
      <c r="E166" s="8" t="s">
        <v>19</v>
      </c>
      <c r="F166" s="10" t="s">
        <v>181</v>
      </c>
      <c r="G166" s="31" t="s">
        <v>182</v>
      </c>
    </row>
    <row r="167" spans="1:7" ht="15" customHeight="1" x14ac:dyDescent="0.25">
      <c r="A167" s="8" t="s">
        <v>180</v>
      </c>
      <c r="B167" s="25">
        <v>45928</v>
      </c>
      <c r="C167" s="10" t="s">
        <v>71</v>
      </c>
      <c r="D167" s="10" t="s">
        <v>184</v>
      </c>
      <c r="E167" s="10" t="s">
        <v>19</v>
      </c>
      <c r="F167" s="10" t="s">
        <v>176</v>
      </c>
      <c r="G167" s="31" t="s">
        <v>185</v>
      </c>
    </row>
    <row r="168" spans="1:7" ht="15" customHeight="1" x14ac:dyDescent="0.25">
      <c r="A168" s="8" t="s">
        <v>180</v>
      </c>
      <c r="B168" s="25">
        <v>45928</v>
      </c>
      <c r="C168" s="10" t="s">
        <v>178</v>
      </c>
      <c r="D168" s="10" t="s">
        <v>186</v>
      </c>
      <c r="E168" s="8" t="s">
        <v>19</v>
      </c>
      <c r="F168" s="10" t="s">
        <v>176</v>
      </c>
      <c r="G168" s="31" t="s">
        <v>185</v>
      </c>
    </row>
    <row r="169" spans="1:7" ht="15" customHeight="1" x14ac:dyDescent="0.25">
      <c r="A169" s="8" t="s">
        <v>180</v>
      </c>
      <c r="B169" s="25">
        <v>45928</v>
      </c>
      <c r="C169" s="10" t="s">
        <v>178</v>
      </c>
      <c r="D169" s="10" t="s">
        <v>179</v>
      </c>
      <c r="E169" s="10" t="s">
        <v>19</v>
      </c>
      <c r="F169" s="10" t="s">
        <v>181</v>
      </c>
      <c r="G169" s="31" t="s">
        <v>185</v>
      </c>
    </row>
    <row r="170" spans="1:7" ht="15" customHeight="1" x14ac:dyDescent="0.25">
      <c r="A170" s="8" t="s">
        <v>180</v>
      </c>
      <c r="B170" s="25">
        <v>45928</v>
      </c>
      <c r="C170" s="10" t="s">
        <v>40</v>
      </c>
      <c r="D170" s="10" t="s">
        <v>166</v>
      </c>
      <c r="E170" s="8" t="s">
        <v>19</v>
      </c>
      <c r="F170" s="10" t="s">
        <v>181</v>
      </c>
      <c r="G170" s="31" t="s">
        <v>185</v>
      </c>
    </row>
    <row r="171" spans="1:7" ht="15" customHeight="1" x14ac:dyDescent="0.25">
      <c r="A171" s="8" t="s">
        <v>180</v>
      </c>
      <c r="B171" s="25">
        <v>45928</v>
      </c>
      <c r="C171" s="10" t="s">
        <v>40</v>
      </c>
      <c r="D171" s="10" t="s">
        <v>177</v>
      </c>
      <c r="E171" s="10" t="s">
        <v>19</v>
      </c>
      <c r="F171" s="10" t="s">
        <v>181</v>
      </c>
      <c r="G171" s="31" t="s">
        <v>185</v>
      </c>
    </row>
    <row r="172" spans="1:7" ht="15" customHeight="1" x14ac:dyDescent="0.25">
      <c r="A172" s="8" t="s">
        <v>180</v>
      </c>
      <c r="B172" s="25">
        <v>45928</v>
      </c>
      <c r="C172" s="10" t="s">
        <v>40</v>
      </c>
      <c r="D172" s="10" t="s">
        <v>186</v>
      </c>
      <c r="E172" s="8" t="s">
        <v>19</v>
      </c>
      <c r="F172" s="10" t="s">
        <v>176</v>
      </c>
      <c r="G172" s="31" t="s">
        <v>185</v>
      </c>
    </row>
    <row r="173" spans="1:7" ht="15" customHeight="1" x14ac:dyDescent="0.25">
      <c r="A173" s="8" t="s">
        <v>180</v>
      </c>
      <c r="B173" s="25">
        <v>45928</v>
      </c>
      <c r="C173" s="10" t="s">
        <v>27</v>
      </c>
      <c r="D173" s="10" t="s">
        <v>187</v>
      </c>
      <c r="E173" s="10" t="s">
        <v>19</v>
      </c>
      <c r="F173" s="10" t="s">
        <v>176</v>
      </c>
      <c r="G173" s="31" t="s">
        <v>185</v>
      </c>
    </row>
    <row r="174" spans="1:7" ht="15" customHeight="1" x14ac:dyDescent="0.25">
      <c r="A174" s="8" t="s">
        <v>180</v>
      </c>
      <c r="B174" s="25">
        <v>45928</v>
      </c>
      <c r="C174" s="10" t="s">
        <v>27</v>
      </c>
      <c r="D174" s="10" t="s">
        <v>188</v>
      </c>
      <c r="E174" s="8" t="s">
        <v>19</v>
      </c>
      <c r="F174" s="10" t="s">
        <v>176</v>
      </c>
      <c r="G174" s="31" t="s">
        <v>185</v>
      </c>
    </row>
    <row r="175" spans="1:7" ht="15" customHeight="1" x14ac:dyDescent="0.25">
      <c r="A175" s="8" t="s">
        <v>180</v>
      </c>
      <c r="B175" s="25">
        <v>45928</v>
      </c>
      <c r="C175" s="10" t="s">
        <v>27</v>
      </c>
      <c r="D175" s="10" t="s">
        <v>189</v>
      </c>
      <c r="E175" s="10" t="s">
        <v>19</v>
      </c>
      <c r="F175" s="10" t="s">
        <v>176</v>
      </c>
      <c r="G175" s="31" t="s">
        <v>185</v>
      </c>
    </row>
    <row r="176" spans="1:7" ht="15" customHeight="1" x14ac:dyDescent="0.25">
      <c r="A176" s="8" t="s">
        <v>180</v>
      </c>
      <c r="B176" s="25">
        <v>45928</v>
      </c>
      <c r="C176" s="10" t="s">
        <v>27</v>
      </c>
      <c r="D176" s="10" t="s">
        <v>190</v>
      </c>
      <c r="E176" s="8" t="s">
        <v>19</v>
      </c>
      <c r="F176" s="10" t="s">
        <v>176</v>
      </c>
      <c r="G176" s="32" t="s">
        <v>185</v>
      </c>
    </row>
    <row r="177" spans="1:7" ht="15" customHeight="1" x14ac:dyDescent="0.25">
      <c r="A177" s="8" t="s">
        <v>180</v>
      </c>
      <c r="B177" s="25">
        <v>45928</v>
      </c>
      <c r="C177" s="10" t="s">
        <v>27</v>
      </c>
      <c r="D177" s="10" t="s">
        <v>191</v>
      </c>
      <c r="E177" s="10" t="s">
        <v>19</v>
      </c>
      <c r="F177" s="10" t="s">
        <v>176</v>
      </c>
      <c r="G177" s="32" t="s">
        <v>185</v>
      </c>
    </row>
    <row r="178" spans="1:7" ht="15" customHeight="1" x14ac:dyDescent="0.25">
      <c r="A178" s="8" t="s">
        <v>180</v>
      </c>
      <c r="B178" s="25">
        <v>45928</v>
      </c>
      <c r="C178" s="10" t="s">
        <v>27</v>
      </c>
      <c r="D178" s="10" t="s">
        <v>192</v>
      </c>
      <c r="E178" s="8" t="s">
        <v>19</v>
      </c>
      <c r="F178" s="10" t="s">
        <v>176</v>
      </c>
      <c r="G178" s="32" t="s">
        <v>185</v>
      </c>
    </row>
    <row r="179" spans="1:7" ht="15" customHeight="1" x14ac:dyDescent="0.25">
      <c r="A179" s="8" t="s">
        <v>180</v>
      </c>
      <c r="B179" s="25">
        <v>45928</v>
      </c>
      <c r="C179" s="10" t="s">
        <v>27</v>
      </c>
      <c r="D179" s="10" t="s">
        <v>193</v>
      </c>
      <c r="E179" s="10" t="s">
        <v>19</v>
      </c>
      <c r="F179" s="10" t="s">
        <v>176</v>
      </c>
      <c r="G179" s="32" t="s">
        <v>185</v>
      </c>
    </row>
    <row r="180" spans="1:7" ht="15" customHeight="1" x14ac:dyDescent="0.25">
      <c r="A180" s="8" t="s">
        <v>180</v>
      </c>
      <c r="B180" s="25">
        <v>45928</v>
      </c>
      <c r="C180" s="10" t="s">
        <v>27</v>
      </c>
      <c r="D180" s="10" t="s">
        <v>38</v>
      </c>
      <c r="E180" s="8" t="s">
        <v>19</v>
      </c>
      <c r="F180" s="10" t="s">
        <v>169</v>
      </c>
      <c r="G180" s="32" t="s">
        <v>185</v>
      </c>
    </row>
    <row r="181" spans="1:7" ht="15" customHeight="1" x14ac:dyDescent="0.25">
      <c r="A181" s="8" t="s">
        <v>180</v>
      </c>
      <c r="B181" s="25">
        <v>45928</v>
      </c>
      <c r="C181" s="10" t="s">
        <v>27</v>
      </c>
      <c r="D181" s="10" t="s">
        <v>39</v>
      </c>
      <c r="E181" s="10" t="s">
        <v>19</v>
      </c>
      <c r="F181" s="10" t="s">
        <v>169</v>
      </c>
      <c r="G181" s="32" t="s">
        <v>185</v>
      </c>
    </row>
    <row r="182" spans="1:7" ht="15" customHeight="1" x14ac:dyDescent="0.25">
      <c r="A182" s="8" t="s">
        <v>180</v>
      </c>
      <c r="B182" s="25">
        <v>45928</v>
      </c>
      <c r="C182" s="10" t="s">
        <v>27</v>
      </c>
      <c r="D182" s="10" t="s">
        <v>104</v>
      </c>
      <c r="E182" s="8" t="s">
        <v>19</v>
      </c>
      <c r="F182" s="10" t="s">
        <v>169</v>
      </c>
      <c r="G182" s="32" t="s">
        <v>185</v>
      </c>
    </row>
    <row r="183" spans="1:7" ht="15" customHeight="1" x14ac:dyDescent="0.25">
      <c r="A183" s="8" t="s">
        <v>180</v>
      </c>
      <c r="B183" s="25">
        <v>45928</v>
      </c>
      <c r="C183" s="10" t="s">
        <v>27</v>
      </c>
      <c r="D183" s="10" t="s">
        <v>33</v>
      </c>
      <c r="E183" s="10" t="s">
        <v>19</v>
      </c>
      <c r="F183" s="10" t="s">
        <v>169</v>
      </c>
      <c r="G183" s="32" t="s">
        <v>185</v>
      </c>
    </row>
    <row r="184" spans="1:7" ht="15" customHeight="1" x14ac:dyDescent="0.25">
      <c r="A184" s="8" t="s">
        <v>180</v>
      </c>
      <c r="B184" s="25">
        <v>45928</v>
      </c>
      <c r="C184" s="10" t="s">
        <v>27</v>
      </c>
      <c r="D184" s="10" t="s">
        <v>34</v>
      </c>
      <c r="E184" s="8" t="s">
        <v>19</v>
      </c>
      <c r="F184" s="10" t="s">
        <v>169</v>
      </c>
      <c r="G184" s="32" t="s">
        <v>185</v>
      </c>
    </row>
    <row r="185" spans="1:7" ht="15" customHeight="1" x14ac:dyDescent="0.25">
      <c r="A185" s="8" t="s">
        <v>180</v>
      </c>
      <c r="B185" s="25">
        <v>45928</v>
      </c>
      <c r="C185" s="10" t="s">
        <v>27</v>
      </c>
      <c r="D185" s="10" t="s">
        <v>60</v>
      </c>
      <c r="E185" s="10" t="s">
        <v>19</v>
      </c>
      <c r="F185" s="10" t="s">
        <v>169</v>
      </c>
      <c r="G185" s="32" t="s">
        <v>185</v>
      </c>
    </row>
    <row r="186" spans="1:7" ht="15" customHeight="1" x14ac:dyDescent="0.25">
      <c r="A186" s="8" t="s">
        <v>180</v>
      </c>
      <c r="B186" s="25">
        <v>45928</v>
      </c>
      <c r="C186" s="10" t="s">
        <v>27</v>
      </c>
      <c r="D186" s="10" t="s">
        <v>99</v>
      </c>
      <c r="E186" s="8" t="s">
        <v>19</v>
      </c>
      <c r="F186" s="10" t="s">
        <v>169</v>
      </c>
      <c r="G186" s="32" t="s">
        <v>185</v>
      </c>
    </row>
    <row r="187" spans="1:7" ht="15" customHeight="1" x14ac:dyDescent="0.25">
      <c r="A187" s="20" t="s">
        <v>180</v>
      </c>
      <c r="B187" s="26">
        <v>45928</v>
      </c>
      <c r="C187" s="27" t="s">
        <v>27</v>
      </c>
      <c r="D187" s="27" t="s">
        <v>95</v>
      </c>
      <c r="E187" s="27" t="s">
        <v>19</v>
      </c>
      <c r="F187" s="27" t="s">
        <v>169</v>
      </c>
      <c r="G187" s="33" t="s">
        <v>185</v>
      </c>
    </row>
    <row r="188" spans="1:7" ht="14.4" x14ac:dyDescent="0.3">
      <c r="A188" s="23" t="s">
        <v>194</v>
      </c>
      <c r="B188" s="22">
        <v>45931</v>
      </c>
      <c r="C188" s="24" t="s">
        <v>40</v>
      </c>
      <c r="D188" s="34" t="s">
        <v>41</v>
      </c>
      <c r="E188" s="24" t="s">
        <v>19</v>
      </c>
      <c r="F188" s="24" t="s">
        <v>181</v>
      </c>
      <c r="G188" s="35" t="s">
        <v>195</v>
      </c>
    </row>
    <row r="189" spans="1:7" ht="14.4" x14ac:dyDescent="0.3">
      <c r="A189" s="8" t="s">
        <v>194</v>
      </c>
      <c r="B189" s="25">
        <v>45931</v>
      </c>
      <c r="C189" s="10" t="s">
        <v>40</v>
      </c>
      <c r="D189" s="36" t="s">
        <v>196</v>
      </c>
      <c r="E189" s="8" t="s">
        <v>19</v>
      </c>
      <c r="F189" s="10" t="s">
        <v>176</v>
      </c>
      <c r="G189" s="32" t="s">
        <v>195</v>
      </c>
    </row>
    <row r="190" spans="1:7" x14ac:dyDescent="0.25">
      <c r="A190" s="8" t="s">
        <v>194</v>
      </c>
      <c r="B190" s="25">
        <v>45931</v>
      </c>
      <c r="C190" s="10" t="s">
        <v>27</v>
      </c>
      <c r="D190" s="10" t="s">
        <v>35</v>
      </c>
      <c r="E190" s="8" t="s">
        <v>19</v>
      </c>
      <c r="F190" s="10" t="s">
        <v>197</v>
      </c>
      <c r="G190" s="32" t="s">
        <v>195</v>
      </c>
    </row>
    <row r="191" spans="1:7" x14ac:dyDescent="0.25">
      <c r="A191" s="8" t="s">
        <v>194</v>
      </c>
      <c r="B191" s="25">
        <v>45931</v>
      </c>
      <c r="C191" s="10" t="s">
        <v>27</v>
      </c>
      <c r="D191" s="10" t="s">
        <v>104</v>
      </c>
      <c r="E191" s="8" t="s">
        <v>19</v>
      </c>
      <c r="F191" s="10" t="s">
        <v>198</v>
      </c>
      <c r="G191" s="32" t="s">
        <v>195</v>
      </c>
    </row>
    <row r="192" spans="1:7" x14ac:dyDescent="0.25">
      <c r="A192" s="8" t="s">
        <v>194</v>
      </c>
      <c r="B192" s="25">
        <v>45931</v>
      </c>
      <c r="C192" s="10" t="s">
        <v>27</v>
      </c>
      <c r="D192" s="10" t="s">
        <v>199</v>
      </c>
      <c r="E192" s="8" t="s">
        <v>19</v>
      </c>
      <c r="F192" s="10" t="s">
        <v>200</v>
      </c>
      <c r="G192" s="32" t="s">
        <v>195</v>
      </c>
    </row>
    <row r="193" spans="1:7" x14ac:dyDescent="0.25">
      <c r="A193" s="8" t="s">
        <v>194</v>
      </c>
      <c r="B193" s="25">
        <v>45931</v>
      </c>
      <c r="C193" s="10" t="s">
        <v>27</v>
      </c>
      <c r="D193" s="10" t="s">
        <v>33</v>
      </c>
      <c r="E193" s="8" t="s">
        <v>19</v>
      </c>
      <c r="F193" s="10" t="s">
        <v>198</v>
      </c>
      <c r="G193" s="32" t="s">
        <v>195</v>
      </c>
    </row>
    <row r="194" spans="1:7" x14ac:dyDescent="0.25">
      <c r="A194" s="8" t="s">
        <v>194</v>
      </c>
      <c r="B194" s="25">
        <v>45931</v>
      </c>
      <c r="C194" s="10" t="s">
        <v>27</v>
      </c>
      <c r="D194" s="10" t="s">
        <v>34</v>
      </c>
      <c r="E194" s="8" t="s">
        <v>19</v>
      </c>
      <c r="F194" s="10" t="s">
        <v>198</v>
      </c>
      <c r="G194" s="32" t="s">
        <v>195</v>
      </c>
    </row>
    <row r="195" spans="1:7" x14ac:dyDescent="0.25">
      <c r="A195" s="8" t="s">
        <v>194</v>
      </c>
      <c r="B195" s="25">
        <v>45931</v>
      </c>
      <c r="C195" s="10" t="s">
        <v>27</v>
      </c>
      <c r="D195" s="10" t="s">
        <v>201</v>
      </c>
      <c r="E195" s="8" t="s">
        <v>19</v>
      </c>
      <c r="F195" s="10" t="s">
        <v>176</v>
      </c>
      <c r="G195" s="32" t="s">
        <v>195</v>
      </c>
    </row>
    <row r="196" spans="1:7" x14ac:dyDescent="0.25">
      <c r="A196" s="8" t="s">
        <v>194</v>
      </c>
      <c r="B196" s="25">
        <v>45931</v>
      </c>
      <c r="C196" s="10" t="s">
        <v>27</v>
      </c>
      <c r="D196" s="10" t="s">
        <v>202</v>
      </c>
      <c r="E196" s="8" t="s">
        <v>19</v>
      </c>
      <c r="F196" s="10" t="s">
        <v>176</v>
      </c>
      <c r="G196" s="32" t="s">
        <v>195</v>
      </c>
    </row>
    <row r="197" spans="1:7" x14ac:dyDescent="0.25">
      <c r="A197" s="8" t="s">
        <v>194</v>
      </c>
      <c r="B197" s="25">
        <v>45931</v>
      </c>
      <c r="C197" s="10" t="s">
        <v>27</v>
      </c>
      <c r="D197" s="10" t="s">
        <v>203</v>
      </c>
      <c r="E197" s="8" t="s">
        <v>19</v>
      </c>
      <c r="F197" s="10" t="s">
        <v>176</v>
      </c>
      <c r="G197" s="32" t="s">
        <v>195</v>
      </c>
    </row>
    <row r="198" spans="1:7" x14ac:dyDescent="0.25">
      <c r="A198" s="8" t="s">
        <v>194</v>
      </c>
      <c r="B198" s="25">
        <v>45931</v>
      </c>
      <c r="C198" s="8" t="s">
        <v>27</v>
      </c>
      <c r="D198" s="8" t="s">
        <v>204</v>
      </c>
      <c r="E198" s="8" t="s">
        <v>19</v>
      </c>
      <c r="F198" s="10" t="s">
        <v>176</v>
      </c>
      <c r="G198" s="8" t="s">
        <v>195</v>
      </c>
    </row>
    <row r="199" spans="1:7" x14ac:dyDescent="0.25">
      <c r="A199" s="8" t="s">
        <v>194</v>
      </c>
      <c r="B199" s="25">
        <v>45931</v>
      </c>
      <c r="C199" s="8" t="s">
        <v>27</v>
      </c>
      <c r="D199" s="8" t="s">
        <v>205</v>
      </c>
      <c r="E199" s="8" t="s">
        <v>19</v>
      </c>
      <c r="F199" s="10" t="s">
        <v>176</v>
      </c>
      <c r="G199" s="8" t="s">
        <v>195</v>
      </c>
    </row>
    <row r="200" spans="1:7" x14ac:dyDescent="0.25">
      <c r="A200" s="20" t="s">
        <v>194</v>
      </c>
      <c r="B200" s="26">
        <v>45931</v>
      </c>
      <c r="C200" s="20" t="s">
        <v>27</v>
      </c>
      <c r="D200" s="20" t="s">
        <v>206</v>
      </c>
      <c r="E200" s="20" t="s">
        <v>19</v>
      </c>
      <c r="F200" s="27" t="s">
        <v>176</v>
      </c>
      <c r="G200" s="20" t="s">
        <v>195</v>
      </c>
    </row>
    <row r="201" spans="1:7" x14ac:dyDescent="0.25">
      <c r="A201" s="23" t="s">
        <v>207</v>
      </c>
      <c r="B201" s="22">
        <v>45945</v>
      </c>
      <c r="C201" s="23" t="s">
        <v>40</v>
      </c>
      <c r="D201" s="23" t="s">
        <v>208</v>
      </c>
      <c r="E201" s="23" t="s">
        <v>19</v>
      </c>
      <c r="F201" s="24" t="s">
        <v>209</v>
      </c>
      <c r="G201" s="23" t="s">
        <v>210</v>
      </c>
    </row>
    <row r="202" spans="1:7" x14ac:dyDescent="0.25">
      <c r="A202" s="8" t="s">
        <v>207</v>
      </c>
      <c r="B202" s="25">
        <v>45945</v>
      </c>
      <c r="C202" s="8" t="s">
        <v>40</v>
      </c>
      <c r="D202" s="8" t="s">
        <v>41</v>
      </c>
      <c r="E202" s="8" t="s">
        <v>19</v>
      </c>
      <c r="F202" s="10" t="s">
        <v>209</v>
      </c>
      <c r="G202" s="8" t="s">
        <v>210</v>
      </c>
    </row>
    <row r="203" spans="1:7" x14ac:dyDescent="0.25">
      <c r="A203" s="8" t="s">
        <v>207</v>
      </c>
      <c r="B203" s="25">
        <v>45945</v>
      </c>
      <c r="C203" s="8" t="s">
        <v>40</v>
      </c>
      <c r="D203" s="8" t="s">
        <v>43</v>
      </c>
      <c r="E203" s="8" t="s">
        <v>19</v>
      </c>
      <c r="F203" s="10" t="s">
        <v>209</v>
      </c>
      <c r="G203" s="8" t="s">
        <v>210</v>
      </c>
    </row>
    <row r="204" spans="1:7" x14ac:dyDescent="0.25">
      <c r="A204" s="8" t="s">
        <v>207</v>
      </c>
      <c r="B204" s="25">
        <v>45945</v>
      </c>
      <c r="C204" s="8" t="s">
        <v>40</v>
      </c>
      <c r="D204" s="8" t="s">
        <v>160</v>
      </c>
      <c r="E204" s="8" t="s">
        <v>19</v>
      </c>
      <c r="F204" s="10" t="s">
        <v>209</v>
      </c>
      <c r="G204" s="8" t="s">
        <v>210</v>
      </c>
    </row>
    <row r="205" spans="1:7" x14ac:dyDescent="0.25">
      <c r="A205" s="8" t="s">
        <v>207</v>
      </c>
      <c r="B205" s="25">
        <v>45945</v>
      </c>
      <c r="C205" s="8" t="s">
        <v>27</v>
      </c>
      <c r="D205" s="8" t="s">
        <v>36</v>
      </c>
      <c r="E205" s="8" t="s">
        <v>19</v>
      </c>
      <c r="F205" s="10" t="s">
        <v>211</v>
      </c>
      <c r="G205" s="8" t="s">
        <v>210</v>
      </c>
    </row>
    <row r="206" spans="1:7" x14ac:dyDescent="0.25">
      <c r="A206" s="8" t="s">
        <v>207</v>
      </c>
      <c r="B206" s="25">
        <v>45945</v>
      </c>
      <c r="C206" s="8" t="s">
        <v>27</v>
      </c>
      <c r="D206" s="8" t="s">
        <v>212</v>
      </c>
      <c r="E206" s="8" t="s">
        <v>19</v>
      </c>
      <c r="F206" s="10" t="s">
        <v>213</v>
      </c>
      <c r="G206" s="8" t="s">
        <v>210</v>
      </c>
    </row>
    <row r="207" spans="1:7" x14ac:dyDescent="0.25">
      <c r="A207" s="20" t="s">
        <v>207</v>
      </c>
      <c r="B207" s="26">
        <v>45945</v>
      </c>
      <c r="C207" s="20" t="s">
        <v>27</v>
      </c>
      <c r="D207" s="20" t="s">
        <v>90</v>
      </c>
      <c r="E207" s="20" t="s">
        <v>19</v>
      </c>
      <c r="F207" s="20" t="s">
        <v>214</v>
      </c>
      <c r="G207" s="20" t="s">
        <v>210</v>
      </c>
    </row>
    <row r="208" spans="1:7" x14ac:dyDescent="0.25">
      <c r="A208" s="37" t="s">
        <v>215</v>
      </c>
      <c r="B208" s="38">
        <v>46006</v>
      </c>
      <c r="C208" s="37" t="s">
        <v>27</v>
      </c>
      <c r="D208" s="39" t="s">
        <v>39</v>
      </c>
      <c r="E208" s="40" t="s">
        <v>19</v>
      </c>
      <c r="F208" s="41" t="s">
        <v>216</v>
      </c>
      <c r="G208" s="37" t="s">
        <v>217</v>
      </c>
    </row>
    <row r="209" spans="1:7" x14ac:dyDescent="0.25">
      <c r="A209" s="42" t="s">
        <v>215</v>
      </c>
      <c r="B209" s="43">
        <v>46006</v>
      </c>
      <c r="C209" s="42" t="s">
        <v>27</v>
      </c>
      <c r="D209" s="42" t="s">
        <v>36</v>
      </c>
      <c r="E209" s="42" t="s">
        <v>19</v>
      </c>
      <c r="F209" s="44" t="s">
        <v>211</v>
      </c>
      <c r="G209" s="42" t="s">
        <v>217</v>
      </c>
    </row>
    <row r="210" spans="1:7" x14ac:dyDescent="0.25">
      <c r="A210" s="23" t="s">
        <v>218</v>
      </c>
      <c r="B210" s="22">
        <v>46052</v>
      </c>
      <c r="C210" s="23" t="s">
        <v>40</v>
      </c>
      <c r="D210" s="23" t="s">
        <v>56</v>
      </c>
      <c r="E210" s="23" t="s">
        <v>19</v>
      </c>
      <c r="F210" s="24" t="s">
        <v>219</v>
      </c>
      <c r="G210" s="37" t="s">
        <v>220</v>
      </c>
    </row>
    <row r="211" spans="1:7" x14ac:dyDescent="0.25">
      <c r="A211" s="23" t="s">
        <v>218</v>
      </c>
      <c r="B211" s="22">
        <v>46052</v>
      </c>
      <c r="C211" s="8" t="s">
        <v>27</v>
      </c>
      <c r="D211" s="8" t="s">
        <v>221</v>
      </c>
      <c r="E211" s="8" t="s">
        <v>19</v>
      </c>
      <c r="F211" s="10" t="s">
        <v>176</v>
      </c>
      <c r="G211" s="8" t="s">
        <v>220</v>
      </c>
    </row>
    <row r="212" spans="1:7" x14ac:dyDescent="0.25">
      <c r="A212" s="20" t="s">
        <v>218</v>
      </c>
      <c r="B212" s="26">
        <v>46052</v>
      </c>
      <c r="C212" s="20" t="s">
        <v>27</v>
      </c>
      <c r="D212" s="20" t="s">
        <v>222</v>
      </c>
      <c r="E212" s="20" t="s">
        <v>19</v>
      </c>
      <c r="F212" s="27" t="s">
        <v>176</v>
      </c>
      <c r="G212" s="20" t="s">
        <v>220</v>
      </c>
    </row>
    <row r="213" spans="1:7" x14ac:dyDescent="0.25">
      <c r="A213" s="23" t="s">
        <v>223</v>
      </c>
      <c r="B213" s="22">
        <v>46177</v>
      </c>
      <c r="C213" s="23" t="s">
        <v>66</v>
      </c>
      <c r="D213" s="23" t="s">
        <v>224</v>
      </c>
      <c r="E213" s="23" t="s">
        <v>19</v>
      </c>
      <c r="F213" s="24" t="s">
        <v>176</v>
      </c>
      <c r="G213" s="37" t="s">
        <v>225</v>
      </c>
    </row>
    <row r="214" spans="1:7" x14ac:dyDescent="0.25">
      <c r="A214" s="23" t="s">
        <v>223</v>
      </c>
      <c r="B214" s="22">
        <v>46057</v>
      </c>
      <c r="C214" s="8" t="s">
        <v>71</v>
      </c>
      <c r="D214" s="8" t="s">
        <v>226</v>
      </c>
      <c r="E214" s="8" t="s">
        <v>19</v>
      </c>
      <c r="F214" s="10" t="s">
        <v>176</v>
      </c>
      <c r="G214" s="8" t="s">
        <v>227</v>
      </c>
    </row>
    <row r="215" spans="1:7" x14ac:dyDescent="0.25">
      <c r="A215" s="23" t="s">
        <v>223</v>
      </c>
      <c r="B215" s="22">
        <v>46057</v>
      </c>
      <c r="C215" s="8" t="s">
        <v>178</v>
      </c>
      <c r="D215" s="8" t="s">
        <v>228</v>
      </c>
      <c r="E215" s="8" t="s">
        <v>19</v>
      </c>
      <c r="F215" s="10" t="s">
        <v>176</v>
      </c>
      <c r="G215" s="8" t="s">
        <v>227</v>
      </c>
    </row>
    <row r="216" spans="1:7" x14ac:dyDescent="0.25">
      <c r="A216" s="23" t="s">
        <v>223</v>
      </c>
      <c r="B216" s="25">
        <v>46064</v>
      </c>
      <c r="C216" s="8" t="s">
        <v>27</v>
      </c>
      <c r="D216" s="8" t="s">
        <v>229</v>
      </c>
      <c r="E216" s="8" t="s">
        <v>19</v>
      </c>
      <c r="F216" s="10" t="s">
        <v>176</v>
      </c>
      <c r="G216" s="8" t="s">
        <v>227</v>
      </c>
    </row>
    <row r="217" spans="1:7" ht="13.8" thickBot="1" x14ac:dyDescent="0.3">
      <c r="A217" s="20" t="s">
        <v>223</v>
      </c>
      <c r="B217" s="26">
        <v>46064</v>
      </c>
      <c r="C217" s="20" t="s">
        <v>27</v>
      </c>
      <c r="D217" s="20" t="s">
        <v>230</v>
      </c>
      <c r="E217" s="20" t="s">
        <v>19</v>
      </c>
      <c r="F217" s="27" t="s">
        <v>176</v>
      </c>
      <c r="G217" s="20" t="s">
        <v>227</v>
      </c>
    </row>
    <row r="218" spans="1:7" x14ac:dyDescent="0.25">
      <c r="A218" s="23" t="s">
        <v>2120</v>
      </c>
      <c r="B218" s="22">
        <v>46092</v>
      </c>
      <c r="C218" s="23" t="s">
        <v>66</v>
      </c>
      <c r="D218" s="23" t="s">
        <v>1724</v>
      </c>
      <c r="E218" s="23" t="s">
        <v>19</v>
      </c>
      <c r="F218" s="23" t="s">
        <v>2128</v>
      </c>
      <c r="G218" s="37" t="s">
        <v>2121</v>
      </c>
    </row>
    <row r="219" spans="1:7" x14ac:dyDescent="0.25">
      <c r="A219" s="23" t="s">
        <v>2120</v>
      </c>
      <c r="B219" s="25">
        <v>46093</v>
      </c>
      <c r="C219" s="8" t="s">
        <v>27</v>
      </c>
      <c r="D219" s="6" t="s">
        <v>199</v>
      </c>
      <c r="E219" s="8" t="s">
        <v>19</v>
      </c>
      <c r="F219" s="23" t="s">
        <v>2125</v>
      </c>
      <c r="G219" s="8" t="s">
        <v>2127</v>
      </c>
    </row>
    <row r="220" spans="1:7" x14ac:dyDescent="0.25">
      <c r="A220" s="8" t="s">
        <v>2120</v>
      </c>
      <c r="B220" s="25">
        <v>46093</v>
      </c>
      <c r="C220" s="8" t="s">
        <v>27</v>
      </c>
      <c r="D220" s="8" t="s">
        <v>199</v>
      </c>
      <c r="E220" s="8" t="s">
        <v>19</v>
      </c>
      <c r="F220" s="23" t="s">
        <v>2126</v>
      </c>
      <c r="G220" s="8" t="s">
        <v>2127</v>
      </c>
    </row>
    <row r="221" spans="1:7" ht="13.8" thickBot="1" x14ac:dyDescent="0.3">
      <c r="A221" s="20" t="s">
        <v>2120</v>
      </c>
      <c r="B221" s="26">
        <v>46093</v>
      </c>
      <c r="C221" s="20" t="s">
        <v>40</v>
      </c>
      <c r="D221" s="20" t="s">
        <v>208</v>
      </c>
      <c r="E221" s="20" t="s">
        <v>19</v>
      </c>
      <c r="F221" s="20" t="s">
        <v>2129</v>
      </c>
      <c r="G221" s="20" t="s">
        <v>2127</v>
      </c>
    </row>
    <row r="222" spans="1:7" x14ac:dyDescent="0.25">
      <c r="A222" s="45" t="s">
        <v>2132</v>
      </c>
      <c r="B222" s="229">
        <v>46099</v>
      </c>
      <c r="C222" s="45" t="s">
        <v>66</v>
      </c>
      <c r="D222" s="45" t="s">
        <v>2131</v>
      </c>
      <c r="E222" s="45" t="s">
        <v>19</v>
      </c>
      <c r="F222" s="46" t="s">
        <v>176</v>
      </c>
      <c r="G222" s="45" t="s">
        <v>2160</v>
      </c>
    </row>
    <row r="223" spans="1:7" x14ac:dyDescent="0.25">
      <c r="A223" s="233" t="s">
        <v>2132</v>
      </c>
      <c r="B223" s="234">
        <v>46106</v>
      </c>
      <c r="C223" s="235" t="s">
        <v>66</v>
      </c>
      <c r="D223" s="236" t="s">
        <v>1762</v>
      </c>
      <c r="E223" s="236" t="s">
        <v>19</v>
      </c>
      <c r="F223" s="236" t="s">
        <v>2159</v>
      </c>
      <c r="G223" s="233" t="s">
        <v>2160</v>
      </c>
    </row>
    <row r="224" spans="1:7" x14ac:dyDescent="0.25">
      <c r="A224" s="233" t="s">
        <v>2132</v>
      </c>
      <c r="B224" s="234">
        <v>46107</v>
      </c>
      <c r="C224" s="233" t="s">
        <v>71</v>
      </c>
      <c r="D224" s="233" t="s">
        <v>2183</v>
      </c>
      <c r="E224" s="233" t="s">
        <v>19</v>
      </c>
      <c r="F224" s="235" t="s">
        <v>176</v>
      </c>
      <c r="G224" s="233" t="s">
        <v>2199</v>
      </c>
    </row>
    <row r="225" spans="1:7" x14ac:dyDescent="0.25">
      <c r="A225" s="233" t="s">
        <v>2132</v>
      </c>
      <c r="B225" s="234">
        <v>46107</v>
      </c>
      <c r="C225" s="233" t="s">
        <v>178</v>
      </c>
      <c r="D225" s="233" t="s">
        <v>2185</v>
      </c>
      <c r="E225" s="233" t="s">
        <v>19</v>
      </c>
      <c r="F225" s="235" t="s">
        <v>176</v>
      </c>
      <c r="G225" s="233" t="s">
        <v>2199</v>
      </c>
    </row>
    <row r="226" spans="1:7" x14ac:dyDescent="0.25">
      <c r="A226" s="233" t="s">
        <v>2132</v>
      </c>
      <c r="B226" s="234">
        <v>46107</v>
      </c>
      <c r="C226" s="233" t="s">
        <v>40</v>
      </c>
      <c r="D226" s="233" t="s">
        <v>2185</v>
      </c>
      <c r="E226" s="233" t="s">
        <v>19</v>
      </c>
      <c r="F226" s="235" t="s">
        <v>176</v>
      </c>
      <c r="G226" s="233" t="s">
        <v>2199</v>
      </c>
    </row>
    <row r="227" spans="1:7" x14ac:dyDescent="0.25">
      <c r="A227" s="233" t="s">
        <v>2132</v>
      </c>
      <c r="B227" s="234">
        <v>46107</v>
      </c>
      <c r="C227" s="233" t="s">
        <v>40</v>
      </c>
      <c r="D227" s="233" t="s">
        <v>41</v>
      </c>
      <c r="E227" s="233" t="s">
        <v>19</v>
      </c>
      <c r="F227" s="236" t="s">
        <v>2200</v>
      </c>
      <c r="G227" s="233" t="s">
        <v>2199</v>
      </c>
    </row>
    <row r="228" spans="1:7" x14ac:dyDescent="0.25">
      <c r="A228" s="233" t="s">
        <v>2132</v>
      </c>
      <c r="B228" s="234">
        <v>46107</v>
      </c>
      <c r="C228" s="233" t="s">
        <v>27</v>
      </c>
      <c r="D228" s="236" t="s">
        <v>199</v>
      </c>
      <c r="E228" s="233" t="s">
        <v>19</v>
      </c>
      <c r="F228" s="46" t="s">
        <v>2198</v>
      </c>
      <c r="G228" s="233" t="s">
        <v>2199</v>
      </c>
    </row>
  </sheetData>
  <autoFilter ref="A1:G207"/>
  <conditionalFormatting sqref="C196:D197 F196:F197">
    <cfRule type="expression" dxfId="1296" priority="1694">
      <formula>$B196&lt;&gt;#REF!</formula>
    </cfRule>
  </conditionalFormatting>
  <conditionalFormatting sqref="C187:F187 C186:D186 F186">
    <cfRule type="expression" dxfId="1295" priority="1483">
      <formula>$B186&lt;&gt;#REF!</formula>
    </cfRule>
  </conditionalFormatting>
  <conditionalFormatting sqref="D54:D57">
    <cfRule type="expression" dxfId="1294" priority="97">
      <formula>$B54&lt;&gt;$B55</formula>
    </cfRule>
  </conditionalFormatting>
  <conditionalFormatting sqref="D56">
    <cfRule type="expression" dxfId="1293" priority="96">
      <formula>$B56&lt;&gt;$B57</formula>
    </cfRule>
  </conditionalFormatting>
  <conditionalFormatting sqref="D57 C167:F167 C168:D185 F168:F185 E169 E171 E173 E175 E177 E179 E181 E183 E185 F188 C192:D195 F192:F195">
    <cfRule type="expression" dxfId="1292" priority="95">
      <formula>$B57&lt;&gt;$B59</formula>
    </cfRule>
  </conditionalFormatting>
  <conditionalFormatting sqref="D58:D61">
    <cfRule type="expression" dxfId="1291" priority="94">
      <formula>$B58&lt;&gt;$B62</formula>
    </cfRule>
  </conditionalFormatting>
  <conditionalFormatting sqref="D155 C192:D197">
    <cfRule type="expression" dxfId="1290" priority="92">
      <formula>$B155&lt;&gt;#REF!</formula>
    </cfRule>
  </conditionalFormatting>
  <conditionalFormatting sqref="D155">
    <cfRule type="expression" dxfId="1289" priority="91">
      <formula>$B155&lt;&gt;$B156</formula>
    </cfRule>
  </conditionalFormatting>
  <conditionalFormatting sqref="D156">
    <cfRule type="expression" dxfId="1288" priority="90">
      <formula>$B156&lt;&gt;#REF!</formula>
    </cfRule>
  </conditionalFormatting>
  <conditionalFormatting sqref="D156">
    <cfRule type="expression" dxfId="1287" priority="89">
      <formula>$B156&lt;&gt;$B157</formula>
    </cfRule>
  </conditionalFormatting>
  <conditionalFormatting sqref="C167:F167 C187:F187 C168:D186 F168:F186 E169 E171 E173 E175 E177 E179 E181 E183 E185">
    <cfRule type="expression" dxfId="1286" priority="85">
      <formula>$B167&lt;&gt;#REF!</formula>
    </cfRule>
  </conditionalFormatting>
  <conditionalFormatting sqref="D171">
    <cfRule type="expression" dxfId="1285" priority="84">
      <formula>$B171&lt;&gt;$B173</formula>
    </cfRule>
  </conditionalFormatting>
  <conditionalFormatting sqref="D171">
    <cfRule type="expression" dxfId="1284" priority="83">
      <formula>$B171&lt;&gt;#REF!</formula>
    </cfRule>
  </conditionalFormatting>
  <conditionalFormatting sqref="C188">
    <cfRule type="expression" dxfId="1283" priority="82">
      <formula>$B188&lt;&gt;$B190</formula>
    </cfRule>
  </conditionalFormatting>
  <conditionalFormatting sqref="C188">
    <cfRule type="expression" dxfId="1282" priority="81">
      <formula>$B188&lt;&gt;#REF!</formula>
    </cfRule>
  </conditionalFormatting>
  <conditionalFormatting sqref="C189 F189:F191 C190:D190 D191">
    <cfRule type="expression" dxfId="1281" priority="80">
      <formula>$B189&lt;&gt;$B192</formula>
    </cfRule>
  </conditionalFormatting>
  <conditionalFormatting sqref="C189">
    <cfRule type="expression" dxfId="1280" priority="79">
      <formula>$B189&lt;&gt;#REF!</formula>
    </cfRule>
  </conditionalFormatting>
  <conditionalFormatting sqref="E188">
    <cfRule type="expression" dxfId="1279" priority="78">
      <formula>$B188&lt;&gt;$B190</formula>
    </cfRule>
  </conditionalFormatting>
  <conditionalFormatting sqref="E188">
    <cfRule type="expression" dxfId="1278" priority="77">
      <formula>$B188&lt;&gt;#REF!</formula>
    </cfRule>
  </conditionalFormatting>
  <conditionalFormatting sqref="F188:F189">
    <cfRule type="expression" dxfId="1277" priority="75">
      <formula>$B188&lt;&gt;#REF!</formula>
    </cfRule>
  </conditionalFormatting>
  <conditionalFormatting sqref="C190:D190 D191 F190:F194">
    <cfRule type="expression" dxfId="1276" priority="63">
      <formula>$B190&lt;&gt;#REF!</formula>
    </cfRule>
  </conditionalFormatting>
  <conditionalFormatting sqref="F195:F197">
    <cfRule type="expression" dxfId="1275" priority="61">
      <formula>$B195&lt;&gt;#REF!</formula>
    </cfRule>
  </conditionalFormatting>
  <conditionalFormatting sqref="C191">
    <cfRule type="expression" dxfId="1274" priority="58">
      <formula>$B191&lt;&gt;$B194</formula>
    </cfRule>
  </conditionalFormatting>
  <conditionalFormatting sqref="C191">
    <cfRule type="expression" dxfId="1273" priority="57">
      <formula>$B191&lt;&gt;#REF!</formula>
    </cfRule>
  </conditionalFormatting>
  <conditionalFormatting sqref="F191">
    <cfRule type="expression" dxfId="1272" priority="56">
      <formula>$B191&lt;&gt;$B193</formula>
    </cfRule>
  </conditionalFormatting>
  <conditionalFormatting sqref="F211:F212">
    <cfRule type="expression" dxfId="1271" priority="17">
      <formula>$B211&lt;&gt;#REF!</formula>
    </cfRule>
  </conditionalFormatting>
  <conditionalFormatting sqref="F211:F212">
    <cfRule type="expression" dxfId="1270" priority="16">
      <formula>$B211&lt;&gt;#REF!</formula>
    </cfRule>
  </conditionalFormatting>
  <conditionalFormatting sqref="F214:F215">
    <cfRule type="expression" dxfId="1269" priority="15">
      <formula>$B214&lt;&gt;#REF!</formula>
    </cfRule>
  </conditionalFormatting>
  <conditionalFormatting sqref="F214:F215">
    <cfRule type="expression" dxfId="1268" priority="14">
      <formula>$B214&lt;&gt;#REF!</formula>
    </cfRule>
  </conditionalFormatting>
  <conditionalFormatting sqref="F216:F217">
    <cfRule type="expression" dxfId="1267" priority="13">
      <formula>$B216&lt;&gt;#REF!</formula>
    </cfRule>
  </conditionalFormatting>
  <conditionalFormatting sqref="F216:F217">
    <cfRule type="expression" dxfId="1266" priority="12">
      <formula>$B216&lt;&gt;#REF!</formula>
    </cfRule>
  </conditionalFormatting>
  <conditionalFormatting sqref="F222">
    <cfRule type="expression" dxfId="1265" priority="8">
      <formula>$B222&lt;&gt;#REF!</formula>
    </cfRule>
  </conditionalFormatting>
  <conditionalFormatting sqref="F222">
    <cfRule type="expression" dxfId="1264" priority="7">
      <formula>$B222&lt;&gt;#REF!</formula>
    </cfRule>
  </conditionalFormatting>
  <conditionalFormatting sqref="F224:F225">
    <cfRule type="expression" dxfId="1263" priority="6">
      <formula>$B224&lt;&gt;#REF!</formula>
    </cfRule>
  </conditionalFormatting>
  <conditionalFormatting sqref="F224:F225">
    <cfRule type="expression" dxfId="1262" priority="5">
      <formula>$B224&lt;&gt;#REF!</formula>
    </cfRule>
  </conditionalFormatting>
  <conditionalFormatting sqref="F226">
    <cfRule type="expression" dxfId="1261" priority="4">
      <formula>$B226&lt;&gt;#REF!</formula>
    </cfRule>
  </conditionalFormatting>
  <conditionalFormatting sqref="F226">
    <cfRule type="expression" dxfId="1260" priority="3">
      <formula>$B226&lt;&gt;#REF!</formula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456"/>
  <sheetViews>
    <sheetView zoomScale="80" workbookViewId="0">
      <pane ySplit="2" topLeftCell="A3" activePane="bottomLeft" state="frozen"/>
      <selection activeCell="D454" sqref="D454"/>
      <selection pane="bottomLeft" activeCell="D468" sqref="D468:D469"/>
    </sheetView>
  </sheetViews>
  <sheetFormatPr defaultColWidth="20.6640625" defaultRowHeight="13.2" outlineLevelCol="1" x14ac:dyDescent="0.3"/>
  <cols>
    <col min="1" max="1" width="7.5546875" style="48" customWidth="1"/>
    <col min="2" max="2" width="10.44140625" style="47" customWidth="1" outlineLevel="1"/>
    <col min="3" max="3" width="18.6640625" style="47" customWidth="1" outlineLevel="1"/>
    <col min="4" max="4" width="16.88671875" style="49" customWidth="1"/>
    <col min="5" max="5" width="9.5546875" style="47" customWidth="1" outlineLevel="1"/>
    <col min="6" max="6" width="7.109375" style="47" customWidth="1" outlineLevel="1"/>
    <col min="7" max="7" width="6" style="47" customWidth="1" outlineLevel="1"/>
    <col min="8" max="8" width="10.44140625" style="47" customWidth="1" outlineLevel="1"/>
    <col min="9" max="9" width="47.33203125" style="47" customWidth="1" outlineLevel="1"/>
    <col min="10" max="10" width="30.88671875" style="47" customWidth="1"/>
    <col min="11" max="11" width="25.6640625" style="47" customWidth="1"/>
    <col min="12" max="12" width="9.88671875" style="47" customWidth="1" outlineLevel="1"/>
    <col min="13" max="13" width="29" style="47" customWidth="1" outlineLevel="1"/>
    <col min="14" max="14" width="31.5546875" style="50" customWidth="1"/>
    <col min="15" max="15" width="5.6640625" style="47" customWidth="1"/>
    <col min="16" max="16" width="6.6640625" style="50" customWidth="1"/>
    <col min="17" max="17" width="5.33203125" style="47" customWidth="1"/>
    <col min="18" max="18" width="4.5546875" style="47" customWidth="1"/>
    <col min="19" max="19" width="51.109375" style="49" customWidth="1"/>
    <col min="20" max="20" width="12.6640625" style="47" hidden="1" customWidth="1" outlineLevel="1"/>
    <col min="21" max="21" width="16.5546875" style="47" customWidth="1" collapsed="1"/>
    <col min="22" max="22" width="38.44140625" style="47" customWidth="1"/>
    <col min="23" max="23" width="10.109375" style="47" customWidth="1"/>
    <col min="24" max="24" width="14.5546875" style="47" hidden="1" customWidth="1" outlineLevel="1"/>
    <col min="25" max="25" width="13" style="47" hidden="1" customWidth="1" outlineLevel="1"/>
    <col min="26" max="26" width="12.5546875" style="47" hidden="1" customWidth="1" outlineLevel="1"/>
    <col min="27" max="27" width="12.33203125" style="47" hidden="1" customWidth="1" outlineLevel="1"/>
    <col min="28" max="28" width="17.5546875" style="47" hidden="1" customWidth="1" outlineLevel="1"/>
    <col min="29" max="29" width="21.33203125" style="47" hidden="1" customWidth="1" outlineLevel="1"/>
    <col min="30" max="30" width="8" style="47" hidden="1" customWidth="1" outlineLevel="1"/>
    <col min="31" max="31" width="14.6640625" style="47" hidden="1" customWidth="1" outlineLevel="1"/>
    <col min="32" max="32" width="19.6640625" style="50" customWidth="1" collapsed="1"/>
    <col min="33" max="33" width="31.6640625" style="50" customWidth="1"/>
    <col min="34" max="34" width="16.33203125" style="48" customWidth="1"/>
    <col min="35" max="35" width="12.5546875" style="51" customWidth="1"/>
    <col min="36" max="36" width="46" style="47" customWidth="1"/>
    <col min="37" max="16384" width="20.6640625" style="47"/>
  </cols>
  <sheetData>
    <row r="1" spans="1:37" ht="15" customHeight="1" x14ac:dyDescent="0.3">
      <c r="N1" s="47"/>
    </row>
    <row r="2" spans="1:37" s="52" customFormat="1" ht="39.75" customHeight="1" thickBot="1" x14ac:dyDescent="0.35">
      <c r="A2" s="53" t="s">
        <v>231</v>
      </c>
      <c r="B2" s="53" t="s">
        <v>232</v>
      </c>
      <c r="C2" s="54" t="s">
        <v>233</v>
      </c>
      <c r="D2" s="55" t="s">
        <v>234</v>
      </c>
      <c r="E2" s="53" t="s">
        <v>235</v>
      </c>
      <c r="F2" s="53" t="s">
        <v>236</v>
      </c>
      <c r="G2" s="53" t="s">
        <v>237</v>
      </c>
      <c r="H2" s="53" t="s">
        <v>238</v>
      </c>
      <c r="I2" s="54" t="s">
        <v>239</v>
      </c>
      <c r="J2" s="56" t="s">
        <v>240</v>
      </c>
      <c r="K2" s="57" t="s">
        <v>241</v>
      </c>
      <c r="L2" s="58" t="s">
        <v>242</v>
      </c>
      <c r="M2" s="58" t="s">
        <v>243</v>
      </c>
      <c r="N2" s="58" t="s">
        <v>244</v>
      </c>
      <c r="O2" s="58" t="s">
        <v>245</v>
      </c>
      <c r="P2" s="58" t="s">
        <v>246</v>
      </c>
      <c r="Q2" s="58" t="s">
        <v>247</v>
      </c>
      <c r="R2" s="58" t="s">
        <v>248</v>
      </c>
      <c r="S2" s="58" t="s">
        <v>249</v>
      </c>
      <c r="T2" s="57" t="s">
        <v>250</v>
      </c>
      <c r="U2" s="57" t="s">
        <v>251</v>
      </c>
      <c r="V2" s="57" t="s">
        <v>252</v>
      </c>
      <c r="W2" s="59" t="s">
        <v>253</v>
      </c>
      <c r="X2" s="59" t="s">
        <v>254</v>
      </c>
      <c r="Y2" s="59" t="s">
        <v>255</v>
      </c>
      <c r="Z2" s="59" t="s">
        <v>256</v>
      </c>
      <c r="AA2" s="59" t="s">
        <v>257</v>
      </c>
      <c r="AB2" s="59" t="s">
        <v>258</v>
      </c>
      <c r="AC2" s="59" t="s">
        <v>259</v>
      </c>
      <c r="AD2" s="59" t="s">
        <v>260</v>
      </c>
      <c r="AE2" s="59" t="s">
        <v>261</v>
      </c>
      <c r="AF2" s="59" t="s">
        <v>262</v>
      </c>
      <c r="AG2" s="59" t="s">
        <v>263</v>
      </c>
      <c r="AH2" s="60" t="s">
        <v>264</v>
      </c>
      <c r="AI2" s="61" t="s">
        <v>1</v>
      </c>
      <c r="AJ2" s="62" t="s">
        <v>265</v>
      </c>
      <c r="AK2" s="63"/>
    </row>
    <row r="3" spans="1:37" ht="12.75" hidden="1" customHeight="1" x14ac:dyDescent="0.3">
      <c r="A3" s="64">
        <v>10</v>
      </c>
      <c r="B3" s="65" t="s">
        <v>266</v>
      </c>
      <c r="C3" s="65" t="str">
        <f>IFERROR(VLOOKUP(D3,'Target tables'!A:B,2,0),"")</f>
        <v>Договор эскроу</v>
      </c>
      <c r="D3" s="6" t="s">
        <v>199</v>
      </c>
      <c r="E3" s="66" t="str">
        <f>IFERROR(VLOOKUP(D3&amp;J3,'Target columns'!A:J,4,FALSE),"")</f>
        <v>UUID</v>
      </c>
      <c r="F3" s="66" t="str">
        <f>IFERROR(VLOOKUP(D3&amp;J3,'Target columns'!A:J,7,FALSE),"")</f>
        <v>Yes</v>
      </c>
      <c r="G3" s="66" t="str">
        <f>IFERROR(VLOOKUP(D3&amp;J3,'Target columns'!A:J,8,FALSE),"")</f>
        <v>No</v>
      </c>
      <c r="H3" s="66" t="str">
        <f>IFERROR(VLOOKUP(D3&amp;J3,'Target columns'!A:J,5,FALSE),"")</f>
        <v>NOT NULL</v>
      </c>
      <c r="I3" s="66" t="str">
        <f>IFERROR(VLOOKUP(D3&amp;J3,'Target columns'!A:J,10,FALSE),"")</f>
        <v>Идентификатор договора эскроу</v>
      </c>
      <c r="J3" s="65" t="s">
        <v>267</v>
      </c>
      <c r="K3" s="65" t="s">
        <v>208</v>
      </c>
      <c r="L3" s="66" t="str">
        <f>IFERROR(VLOOKUP(UPPER(K3&amp;N3), source_columns[], 4,0),"")</f>
        <v>uuid</v>
      </c>
      <c r="M3" s="66" t="str">
        <f>IFERROR(VLOOKUP(UPPER(K3&amp;N3), source_columns[], 7,0),"")</f>
        <v>Идентификатор договора эскроу</v>
      </c>
      <c r="N3" s="65" t="s">
        <v>268</v>
      </c>
      <c r="O3" s="65"/>
      <c r="P3" s="65"/>
      <c r="Q3" s="65"/>
      <c r="R3" s="65"/>
      <c r="S3" s="266"/>
      <c r="T3" s="65"/>
      <c r="U3" s="65"/>
      <c r="V3" s="66" t="str">
        <f>"n308000046_"&amp;IFERROR(VLOOKUP(D3, target_tables[], 5, 0),"&lt;not found&gt;")</f>
        <v>n308000046_agr_escrow</v>
      </c>
      <c r="W3" s="65" t="s">
        <v>269</v>
      </c>
      <c r="X3" s="65"/>
      <c r="Y3" s="65"/>
      <c r="Z3" s="65"/>
      <c r="AA3" s="65"/>
      <c r="AB3" s="65"/>
      <c r="AC3" s="65"/>
      <c r="AD3" s="65"/>
      <c r="AE3" s="65"/>
      <c r="AF3" s="269" t="s">
        <v>270</v>
      </c>
      <c r="AG3" s="202"/>
      <c r="AH3" s="65"/>
      <c r="AI3" s="67"/>
      <c r="AJ3" s="68"/>
      <c r="AK3" s="69"/>
    </row>
    <row r="4" spans="1:37" ht="12.75" hidden="1" customHeight="1" x14ac:dyDescent="0.3">
      <c r="A4" s="64">
        <v>20</v>
      </c>
      <c r="B4" s="65" t="s">
        <v>266</v>
      </c>
      <c r="C4" s="65" t="str">
        <f>IFERROR(VLOOKUP(D4,'Target tables'!A:B,2,0),"")</f>
        <v>Договор эскроу</v>
      </c>
      <c r="D4" s="6" t="s">
        <v>199</v>
      </c>
      <c r="E4" s="66" t="str">
        <f>IFERROR(VLOOKUP(D4&amp;J4,'Target columns'!A:J,4,FALSE),"")</f>
        <v>DATE</v>
      </c>
      <c r="F4" s="66" t="str">
        <f>IFERROR(VLOOKUP(D4&amp;J4,'Target columns'!A:J,7,FALSE),"")</f>
        <v>No</v>
      </c>
      <c r="G4" s="66" t="str">
        <f>IFERROR(VLOOKUP(D4&amp;J4,'Target columns'!A:J,8,FALSE),"")</f>
        <v>No</v>
      </c>
      <c r="H4" s="66" t="str">
        <f>IFERROR(VLOOKUP(D4&amp;J4,'Target columns'!A:J,5,FALSE),"")</f>
        <v>NULL</v>
      </c>
      <c r="I4" s="66" t="str">
        <f>IFERROR(VLOOKUP(D4&amp;J4,'Target columns'!A:J,10,FALSE),"")</f>
        <v>Дата открытия договора эскроу</v>
      </c>
      <c r="J4" s="65" t="s">
        <v>271</v>
      </c>
      <c r="K4" s="65" t="s">
        <v>208</v>
      </c>
      <c r="L4" s="66" t="str">
        <f>IFERROR(VLOOKUP(UPPER(K4&amp;N5), source_columns[], 4,0),"")</f>
        <v>date</v>
      </c>
      <c r="M4" s="66" t="str">
        <f>IFERROR(VLOOKUP(UPPER(K4&amp;N4),source_columns[],7,0),"")</f>
        <v>Дата открытия договора эскроу</v>
      </c>
      <c r="N4" s="65" t="s">
        <v>272</v>
      </c>
      <c r="O4" s="65"/>
      <c r="P4" s="65"/>
      <c r="Q4" s="65"/>
      <c r="R4" s="65"/>
      <c r="S4" s="267"/>
      <c r="T4" s="65"/>
      <c r="U4" s="65"/>
      <c r="V4" s="66" t="str">
        <f>"n308000046_"&amp;IFERROR(VLOOKUP(D4,target_tables[],5,0),"&lt;not found&gt;")</f>
        <v>n308000046_agr_escrow</v>
      </c>
      <c r="W4" s="65" t="s">
        <v>273</v>
      </c>
      <c r="X4" s="65"/>
      <c r="Y4" s="65"/>
      <c r="Z4" s="65"/>
      <c r="AA4" s="65"/>
      <c r="AB4" s="65"/>
      <c r="AC4" s="65"/>
      <c r="AD4" s="65"/>
      <c r="AE4" s="65"/>
      <c r="AF4" s="269"/>
      <c r="AG4" s="202"/>
      <c r="AH4" s="65"/>
      <c r="AI4" s="67"/>
      <c r="AJ4" s="68"/>
      <c r="AK4" s="69"/>
    </row>
    <row r="5" spans="1:37" ht="12.75" hidden="1" customHeight="1" x14ac:dyDescent="0.3">
      <c r="A5" s="64">
        <v>30</v>
      </c>
      <c r="B5" s="65" t="s">
        <v>266</v>
      </c>
      <c r="C5" s="65" t="str">
        <f>IFERROR(VLOOKUP(D5,'Target tables'!A:B,2,0),"")</f>
        <v>Договор эскроу</v>
      </c>
      <c r="D5" s="6" t="s">
        <v>199</v>
      </c>
      <c r="E5" s="66" t="str">
        <f>IFERROR(VLOOKUP(D5&amp;J5,'Target columns'!A:J,4,FALSE),"")</f>
        <v>DATE</v>
      </c>
      <c r="F5" s="66" t="str">
        <f>IFERROR(VLOOKUP(D5&amp;J5,'Target columns'!A:J,7,FALSE),"")</f>
        <v>No</v>
      </c>
      <c r="G5" s="66" t="str">
        <f>IFERROR(VLOOKUP(D5&amp;J5,'Target columns'!A:J,8,FALSE),"")</f>
        <v>No</v>
      </c>
      <c r="H5" s="66" t="str">
        <f>IFERROR(VLOOKUP(D5&amp;J5,'Target columns'!A:J,5,FALSE),"")</f>
        <v>NULL</v>
      </c>
      <c r="I5" s="66" t="str">
        <f>IFERROR(VLOOKUP(D5&amp;J5,'Target columns'!A:J,10,FALSE),"")</f>
        <v>Дата подписания договора эскроу</v>
      </c>
      <c r="J5" s="65" t="s">
        <v>274</v>
      </c>
      <c r="K5" s="65" t="s">
        <v>208</v>
      </c>
      <c r="L5" s="66" t="str">
        <f>IFERROR(VLOOKUP(UPPER(K5&amp;N6),source_columns[],4,0),"")</f>
        <v>date</v>
      </c>
      <c r="M5" s="66" t="str">
        <f>IFERROR(VLOOKUP(UPPER(K5&amp;N5),source_columns[],7,0),"")</f>
        <v>Дата открытия договора эскроу</v>
      </c>
      <c r="N5" s="65" t="s">
        <v>272</v>
      </c>
      <c r="O5" s="65"/>
      <c r="P5" s="65"/>
      <c r="Q5" s="65"/>
      <c r="R5" s="65"/>
      <c r="S5" s="267"/>
      <c r="T5" s="65"/>
      <c r="U5" s="65"/>
      <c r="V5" s="66" t="str">
        <f>"n308000046_"&amp;IFERROR(VLOOKUP(D5,target_tables[],5,0),"&lt;not found&gt;")</f>
        <v>n308000046_agr_escrow</v>
      </c>
      <c r="W5" s="65" t="s">
        <v>273</v>
      </c>
      <c r="X5" s="65"/>
      <c r="Y5" s="65"/>
      <c r="Z5" s="65"/>
      <c r="AA5" s="65"/>
      <c r="AB5" s="65"/>
      <c r="AC5" s="65"/>
      <c r="AD5" s="65"/>
      <c r="AE5" s="65"/>
      <c r="AF5" s="269"/>
      <c r="AG5" s="202"/>
      <c r="AH5" s="65"/>
      <c r="AI5" s="67"/>
      <c r="AJ5" s="68"/>
      <c r="AK5" s="69"/>
    </row>
    <row r="6" spans="1:37" ht="12.75" hidden="1" customHeight="1" x14ac:dyDescent="0.3">
      <c r="A6" s="64">
        <v>40</v>
      </c>
      <c r="B6" s="65" t="s">
        <v>266</v>
      </c>
      <c r="C6" s="65" t="str">
        <f>IFERROR(VLOOKUP(D6,'Target tables'!A:B,2,0),"")</f>
        <v>Договор эскроу</v>
      </c>
      <c r="D6" s="6" t="s">
        <v>199</v>
      </c>
      <c r="E6" s="66" t="str">
        <f>IFERROR(VLOOKUP(D6&amp;J6,'Target columns'!A:J,4,FALSE),"")</f>
        <v>DATE</v>
      </c>
      <c r="F6" s="66" t="str">
        <f>IFERROR(VLOOKUP(D6&amp;J6,'Target columns'!A:J,7,FALSE),"")</f>
        <v>No</v>
      </c>
      <c r="G6" s="66" t="str">
        <f>IFERROR(VLOOKUP(D6&amp;J6,'Target columns'!A:J,8,FALSE),"")</f>
        <v>No</v>
      </c>
      <c r="H6" s="66" t="str">
        <f>IFERROR(VLOOKUP(D6&amp;J6,'Target columns'!A:J,5,FALSE),"")</f>
        <v>NULL</v>
      </c>
      <c r="I6" s="66" t="str">
        <f>IFERROR(VLOOKUP(D6&amp;J6,'Target columns'!A:J,10,FALSE),"")</f>
        <v>Дата закрытия договора эскроу</v>
      </c>
      <c r="J6" s="65" t="s">
        <v>275</v>
      </c>
      <c r="K6" s="65" t="s">
        <v>208</v>
      </c>
      <c r="L6" s="66" t="str">
        <f>IFERROR(VLOOKUP(UPPER(K6&amp;N7),source_columns[],4,0),"")</f>
        <v>text</v>
      </c>
      <c r="M6" s="66" t="str">
        <f>IFERROR(VLOOKUP(UPPER(K6&amp;N6),source_columns[],7,0),"")</f>
        <v>Дата закрытия договора эскроу</v>
      </c>
      <c r="N6" s="65" t="s">
        <v>276</v>
      </c>
      <c r="O6" s="65"/>
      <c r="P6" s="65"/>
      <c r="Q6" s="65"/>
      <c r="R6" s="65"/>
      <c r="S6" s="267"/>
      <c r="T6" s="65"/>
      <c r="U6" s="65"/>
      <c r="V6" s="66" t="str">
        <f>"n308000046_"&amp;IFERROR(VLOOKUP(D6,target_tables[],5,0),"&lt;not found&gt;")</f>
        <v>n308000046_agr_escrow</v>
      </c>
      <c r="W6" s="65" t="s">
        <v>273</v>
      </c>
      <c r="X6" s="65"/>
      <c r="Y6" s="65"/>
      <c r="Z6" s="65"/>
      <c r="AA6" s="65"/>
      <c r="AB6" s="65"/>
      <c r="AC6" s="65"/>
      <c r="AD6" s="65"/>
      <c r="AE6" s="65"/>
      <c r="AF6" s="269"/>
      <c r="AG6" s="202"/>
      <c r="AH6" s="65"/>
      <c r="AI6" s="67"/>
      <c r="AJ6" s="68"/>
      <c r="AK6" s="69"/>
    </row>
    <row r="7" spans="1:37" ht="12.75" hidden="1" customHeight="1" x14ac:dyDescent="0.3">
      <c r="A7" s="64">
        <v>50</v>
      </c>
      <c r="B7" s="65" t="s">
        <v>266</v>
      </c>
      <c r="C7" s="65" t="str">
        <f>IFERROR(VLOOKUP(D7,'Target tables'!A:B,2,0),"")</f>
        <v>Договор эскроу</v>
      </c>
      <c r="D7" s="6" t="s">
        <v>199</v>
      </c>
      <c r="E7" s="66" t="str">
        <f>IFERROR(VLOOKUP(D7&amp;J7,'Target columns'!A:J,4,FALSE),"")</f>
        <v>TEXT</v>
      </c>
      <c r="F7" s="66" t="str">
        <f>IFERROR(VLOOKUP(D7&amp;J7,'Target columns'!A:J,7,FALSE),"")</f>
        <v>No</v>
      </c>
      <c r="G7" s="66" t="str">
        <f>IFERROR(VLOOKUP(D7&amp;J7,'Target columns'!A:J,8,FALSE),"")</f>
        <v>No</v>
      </c>
      <c r="H7" s="66" t="str">
        <f>IFERROR(VLOOKUP(D7&amp;J7,'Target columns'!A:J,5,FALSE),"")</f>
        <v>NULL</v>
      </c>
      <c r="I7" s="66" t="str">
        <f>IFERROR(VLOOKUP(D7&amp;J7,'Target columns'!A:J,10,FALSE),"")</f>
        <v>Номер договора эскроу</v>
      </c>
      <c r="J7" s="65" t="s">
        <v>277</v>
      </c>
      <c r="K7" s="65" t="s">
        <v>208</v>
      </c>
      <c r="L7" s="66" t="str">
        <f>IFERROR(VLOOKUP(UPPER(K7&amp;N7), source_columns[], 4,0),"")</f>
        <v>text</v>
      </c>
      <c r="M7" s="66" t="str">
        <f>IFERROR(VLOOKUP(UPPER(K7&amp;N7),source_columns[],7,0),"")</f>
        <v>Номер договора</v>
      </c>
      <c r="N7" s="65" t="s">
        <v>278</v>
      </c>
      <c r="O7" s="65"/>
      <c r="P7" s="65"/>
      <c r="Q7" s="65"/>
      <c r="R7" s="65"/>
      <c r="S7" s="267"/>
      <c r="T7" s="65"/>
      <c r="U7" s="65"/>
      <c r="V7" s="66" t="str">
        <f>"n308000046_"&amp;IFERROR(VLOOKUP(D7,target_tables[],5,0),"&lt;not found&gt;")</f>
        <v>n308000046_agr_escrow</v>
      </c>
      <c r="W7" s="65" t="s">
        <v>273</v>
      </c>
      <c r="X7" s="65"/>
      <c r="Y7" s="65"/>
      <c r="Z7" s="65"/>
      <c r="AA7" s="65"/>
      <c r="AB7" s="65"/>
      <c r="AC7" s="65"/>
      <c r="AD7" s="65"/>
      <c r="AE7" s="65"/>
      <c r="AF7" s="269"/>
      <c r="AG7" s="202"/>
      <c r="AH7" s="65"/>
      <c r="AI7" s="67"/>
      <c r="AJ7" s="68"/>
      <c r="AK7" s="69"/>
    </row>
    <row r="8" spans="1:37" ht="12.75" hidden="1" customHeight="1" x14ac:dyDescent="0.3">
      <c r="A8" s="64">
        <v>60</v>
      </c>
      <c r="B8" s="65" t="s">
        <v>266</v>
      </c>
      <c r="C8" s="65" t="str">
        <f>IFERROR(VLOOKUP(D8,'Target tables'!A:B,2,0),"")</f>
        <v>Договор эскроу</v>
      </c>
      <c r="D8" s="6" t="s">
        <v>199</v>
      </c>
      <c r="E8" s="66" t="str">
        <f>IFERROR(VLOOKUP(D8&amp;J8,'Target columns'!A:J,4,FALSE),"")</f>
        <v>TEXT</v>
      </c>
      <c r="F8" s="66" t="str">
        <f>IFERROR(VLOOKUP(D8&amp;J8,'Target columns'!A:J,7,FALSE),"")</f>
        <v>No</v>
      </c>
      <c r="G8" s="66" t="str">
        <f>IFERROR(VLOOKUP(D8&amp;J8,'Target columns'!A:J,8,FALSE),"")</f>
        <v>No</v>
      </c>
      <c r="H8" s="66" t="str">
        <f>IFERROR(VLOOKUP(D8&amp;J8,'Target columns'!A:J,5,FALSE),"")</f>
        <v>NULL</v>
      </c>
      <c r="I8" s="66" t="str">
        <f>IFERROR(VLOOKUP(D8&amp;J8,'Target columns'!A:J,10,FALSE),"")</f>
        <v>Идентификатор договора эскроу в системе-источнике</v>
      </c>
      <c r="J8" s="65" t="s">
        <v>279</v>
      </c>
      <c r="K8" s="65" t="s">
        <v>208</v>
      </c>
      <c r="L8" s="66" t="str">
        <f>IFERROR(VLOOKUP(UPPER(K8&amp;N8),source_columns[],4,0),"")</f>
        <v>text</v>
      </c>
      <c r="M8" s="66" t="str">
        <f>IFERROR(VLOOKUP(UPPER(K8&amp;N8),source_columns[],7,0),"")</f>
        <v>Идентификатор договора эскроу</v>
      </c>
      <c r="N8" s="65" t="s">
        <v>280</v>
      </c>
      <c r="O8" s="65"/>
      <c r="P8" s="65"/>
      <c r="Q8" s="65"/>
      <c r="R8" s="65"/>
      <c r="S8" s="267"/>
      <c r="T8" s="65"/>
      <c r="U8" s="65"/>
      <c r="V8" s="66" t="str">
        <f>"n308000046_"&amp;IFERROR(VLOOKUP(D8,target_tables[],5,0),"&lt;not found&gt;")</f>
        <v>n308000046_agr_escrow</v>
      </c>
      <c r="W8" s="65" t="s">
        <v>273</v>
      </c>
      <c r="X8" s="65"/>
      <c r="Y8" s="65"/>
      <c r="Z8" s="65"/>
      <c r="AA8" s="65"/>
      <c r="AB8" s="65"/>
      <c r="AC8" s="65"/>
      <c r="AD8" s="65"/>
      <c r="AE8" s="65"/>
      <c r="AF8" s="269"/>
      <c r="AG8" s="202"/>
      <c r="AH8" s="65"/>
      <c r="AI8" s="67"/>
      <c r="AJ8" s="68"/>
      <c r="AK8" s="69"/>
    </row>
    <row r="9" spans="1:37" ht="12.75" hidden="1" customHeight="1" x14ac:dyDescent="0.3">
      <c r="A9" s="64">
        <v>70</v>
      </c>
      <c r="B9" s="65" t="s">
        <v>266</v>
      </c>
      <c r="C9" s="65" t="str">
        <f>IFERROR(VLOOKUP(D9,'Target tables'!A:B,2,0),"")</f>
        <v>Договор эскроу</v>
      </c>
      <c r="D9" s="6" t="s">
        <v>199</v>
      </c>
      <c r="E9" s="66" t="str">
        <f>IFERROR(VLOOKUP(D9&amp;J9,'Target columns'!A:J,4,FALSE),"")</f>
        <v>DATE</v>
      </c>
      <c r="F9" s="66" t="str">
        <f>IFERROR(VLOOKUP(D9&amp;J9,'Target columns'!A:J,7,FALSE),"")</f>
        <v>No</v>
      </c>
      <c r="G9" s="66" t="str">
        <f>IFERROR(VLOOKUP(D9&amp;J9,'Target columns'!A:J,8,FALSE),"")</f>
        <v>No</v>
      </c>
      <c r="H9" s="66" t="str">
        <f>IFERROR(VLOOKUP(D9&amp;J9,'Target columns'!A:J,5,FALSE),"")</f>
        <v>NULL</v>
      </c>
      <c r="I9" s="66" t="str">
        <f>IFERROR(VLOOKUP(D9&amp;J9,'Target columns'!A:J,10,FALSE),"")</f>
        <v>Плановая дата ввода в эксплуатацию объекта строительства</v>
      </c>
      <c r="J9" s="65" t="s">
        <v>281</v>
      </c>
      <c r="K9" s="65" t="s">
        <v>208</v>
      </c>
      <c r="L9" s="66" t="str">
        <f>IFERROR(VLOOKUP(UPPER(K9&amp;N9),source_columns[],4,0),"")</f>
        <v>date</v>
      </c>
      <c r="M9" s="66" t="str">
        <f>IFERROR(VLOOKUP(UPPER(K9&amp;N9),source_columns[],7,0),"")</f>
        <v>Плановая дата ввода ОС в эксплуатацию</v>
      </c>
      <c r="N9" s="65" t="s">
        <v>2119</v>
      </c>
      <c r="O9" s="65"/>
      <c r="P9" s="65"/>
      <c r="Q9" s="65"/>
      <c r="R9" s="65"/>
      <c r="S9" s="267"/>
      <c r="T9" s="65"/>
      <c r="U9" s="65"/>
      <c r="V9" s="66" t="str">
        <f>"n308000046_"&amp;IFERROR(VLOOKUP(D9,target_tables[],5,0),"&lt;not found&gt;")</f>
        <v>n308000046_agr_escrow</v>
      </c>
      <c r="W9" s="65" t="s">
        <v>273</v>
      </c>
      <c r="X9" s="65"/>
      <c r="Y9" s="65"/>
      <c r="Z9" s="65"/>
      <c r="AA9" s="65"/>
      <c r="AB9" s="65"/>
      <c r="AC9" s="65"/>
      <c r="AD9" s="65"/>
      <c r="AE9" s="65"/>
      <c r="AF9" s="269"/>
      <c r="AG9" s="202"/>
      <c r="AH9" s="65"/>
      <c r="AI9" s="67"/>
      <c r="AJ9" s="68"/>
      <c r="AK9" s="69"/>
    </row>
    <row r="10" spans="1:37" ht="12.75" hidden="1" customHeight="1" thickBot="1" x14ac:dyDescent="0.35">
      <c r="A10" s="64">
        <v>71</v>
      </c>
      <c r="B10" s="65" t="s">
        <v>266</v>
      </c>
      <c r="C10" s="65" t="str">
        <f>IFERROR(VLOOKUP(D10,'Target tables'!A:B,2,0),"")</f>
        <v>Договор эскроу</v>
      </c>
      <c r="D10" s="6" t="s">
        <v>199</v>
      </c>
      <c r="E10" s="66" t="str">
        <f>IFERROR(VLOOKUP(D10&amp;J10,'Target columns'!A:J,4,FALSE),"")</f>
        <v>DATE</v>
      </c>
      <c r="F10" s="66" t="str">
        <f>IFERROR(VLOOKUP(D10&amp;J10,'Target columns'!A:J,7,FALSE),"")</f>
        <v>No</v>
      </c>
      <c r="G10" s="66" t="str">
        <f>IFERROR(VLOOKUP(D10&amp;J10,'Target columns'!A:J,8,FALSE),"")</f>
        <v>No</v>
      </c>
      <c r="H10" s="66" t="str">
        <f>IFERROR(VLOOKUP(D10&amp;J10,'Target columns'!A:J,5,FALSE),"")</f>
        <v>NULL</v>
      </c>
      <c r="I10" s="66" t="str">
        <f>IFERROR(VLOOKUP(D10&amp;J10,'Target columns'!A:J,10,FALSE),"")</f>
        <v>Срок депонирования объекта</v>
      </c>
      <c r="J10" s="65" t="s">
        <v>2123</v>
      </c>
      <c r="K10" s="65" t="s">
        <v>208</v>
      </c>
      <c r="L10" s="66" t="str">
        <f>IFERROR(VLOOKUP(UPPER(K10&amp;N10),source_columns[],4,0),"")</f>
        <v>date</v>
      </c>
      <c r="M10" s="66" t="str">
        <f>IFERROR(VLOOKUP(UPPER(K10&amp;N10),source_columns[],7,0),"")</f>
        <v>Срок депонирования объекта</v>
      </c>
      <c r="N10" s="65" t="s">
        <v>282</v>
      </c>
      <c r="O10" s="65"/>
      <c r="P10" s="65"/>
      <c r="Q10" s="65"/>
      <c r="R10" s="65"/>
      <c r="S10" s="267"/>
      <c r="T10" s="65"/>
      <c r="U10" s="65"/>
      <c r="V10" s="66" t="str">
        <f>"n308000046_"&amp;IFERROR(VLOOKUP(D10,target_tables[],5,0),"&lt;not found&gt;")</f>
        <v>n308000046_agr_escrow</v>
      </c>
      <c r="W10" s="65"/>
      <c r="X10" s="65"/>
      <c r="Y10" s="65"/>
      <c r="Z10" s="65"/>
      <c r="AA10" s="65"/>
      <c r="AB10" s="65"/>
      <c r="AC10" s="65"/>
      <c r="AD10" s="65"/>
      <c r="AE10" s="65"/>
      <c r="AF10" s="269"/>
      <c r="AG10" s="202"/>
      <c r="AH10" s="65"/>
      <c r="AI10" s="67"/>
      <c r="AJ10" s="68"/>
      <c r="AK10" s="69"/>
    </row>
    <row r="11" spans="1:37" ht="12.75" hidden="1" customHeight="1" thickBot="1" x14ac:dyDescent="0.35">
      <c r="A11" s="64">
        <v>80</v>
      </c>
      <c r="B11" s="65" t="s">
        <v>266</v>
      </c>
      <c r="C11" s="65" t="str">
        <f>IFERROR(VLOOKUP(D11,'Target tables'!A:B,2,0),"")</f>
        <v>Договор эскроу</v>
      </c>
      <c r="D11" s="6" t="s">
        <v>199</v>
      </c>
      <c r="E11" s="66" t="str">
        <f>IFERROR(VLOOKUP(D11&amp;J11,'Target columns'!A:J,4,FALSE),"")</f>
        <v>DECIMAL(26,4)</v>
      </c>
      <c r="F11" s="66" t="str">
        <f>IFERROR(VLOOKUP(D11&amp;J11,'Target columns'!A:J,7,FALSE),"")</f>
        <v>No</v>
      </c>
      <c r="G11" s="66" t="str">
        <f>IFERROR(VLOOKUP(D11&amp;J11,'Target columns'!A:J,8,FALSE),"")</f>
        <v>No</v>
      </c>
      <c r="H11" s="66" t="str">
        <f>IFERROR(VLOOKUP(D11&amp;J11,'Target columns'!A:J,5,FALSE),"")</f>
        <v>NULL</v>
      </c>
      <c r="I11" s="66" t="str">
        <f>IFERROR(VLOOKUP(D11&amp;J11,'Target columns'!A:J,10,FALSE),"")</f>
        <v>Сумма депонирования эскроу</v>
      </c>
      <c r="J11" s="65" t="s">
        <v>283</v>
      </c>
      <c r="K11" s="65" t="s">
        <v>208</v>
      </c>
      <c r="L11" s="66" t="str">
        <f>IFERROR(VLOOKUP(UPPER(K11&amp;N11),source_columns[],4,0),"")</f>
        <v>decimal(38 , 16)</v>
      </c>
      <c r="M11" s="66" t="str">
        <f>IFERROR(VLOOKUP(UPPER(K11&amp;N11),source_columns[],7,0),"")</f>
        <v>Сумма депонирования</v>
      </c>
      <c r="N11" s="65" t="s">
        <v>284</v>
      </c>
      <c r="O11" s="65"/>
      <c r="P11" s="65"/>
      <c r="Q11" s="65"/>
      <c r="R11" s="65"/>
      <c r="S11" s="267"/>
      <c r="T11" s="65"/>
      <c r="U11" s="65"/>
      <c r="V11" s="66" t="str">
        <f>"n308000046_"&amp;IFERROR(VLOOKUP(D11, target_tables[], 5, 0),"&lt;not found&gt;")</f>
        <v>n308000046_agr_escrow</v>
      </c>
      <c r="W11" s="65" t="s">
        <v>273</v>
      </c>
      <c r="X11" s="65"/>
      <c r="Y11" s="65"/>
      <c r="Z11" s="65"/>
      <c r="AA11" s="65"/>
      <c r="AB11" s="65"/>
      <c r="AC11" s="65"/>
      <c r="AD11" s="65"/>
      <c r="AE11" s="65"/>
      <c r="AF11" s="269"/>
      <c r="AG11" s="202"/>
      <c r="AH11" s="65"/>
      <c r="AI11" s="67"/>
      <c r="AJ11" s="68" t="s">
        <v>285</v>
      </c>
      <c r="AK11" s="69"/>
    </row>
    <row r="12" spans="1:37" ht="12.75" hidden="1" customHeight="1" x14ac:dyDescent="0.3">
      <c r="A12" s="64">
        <v>90</v>
      </c>
      <c r="B12" s="65" t="s">
        <v>266</v>
      </c>
      <c r="C12" s="65" t="str">
        <f>IFERROR(VLOOKUP(D12,'Target tables'!A:B,2,0),"")</f>
        <v>Договор эскроу</v>
      </c>
      <c r="D12" s="6" t="s">
        <v>199</v>
      </c>
      <c r="E12" s="66" t="str">
        <f>IFERROR(VLOOKUP(D12&amp;J12,'Target columns'!A:J,4,FALSE),"")</f>
        <v>UUID</v>
      </c>
      <c r="F12" s="66" t="str">
        <f>IFERROR(VLOOKUP(D12&amp;J12,'Target columns'!A:J,7,FALSE),"")</f>
        <v>No</v>
      </c>
      <c r="G12" s="66" t="str">
        <f>IFERROR(VLOOKUP(D12&amp;J12,'Target columns'!A:J,8,FALSE),"")</f>
        <v>Yes</v>
      </c>
      <c r="H12" s="66" t="str">
        <f>IFERROR(VLOOKUP(D12&amp;J12,'Target columns'!A:J,5,FALSE),"")</f>
        <v>NULL</v>
      </c>
      <c r="I12" s="66" t="str">
        <f>IFERROR(VLOOKUP(D12&amp;J12,'Target columns'!A:J,10,FALSE),"")</f>
        <v>Идентификатор валюты</v>
      </c>
      <c r="J12" s="65" t="s">
        <v>286</v>
      </c>
      <c r="K12" s="65" t="s">
        <v>208</v>
      </c>
      <c r="L12" s="66" t="str">
        <f>IFERROR(VLOOKUP(UPPER(K12&amp;N12),source_columns[],4,0),"")</f>
        <v>uuid</v>
      </c>
      <c r="M12" s="66" t="str">
        <f>IFERROR(VLOOKUP(UPPER(K12&amp;N12),source_columns[],7,0),"")</f>
        <v>Валюта суммы депонирования</v>
      </c>
      <c r="N12" s="65" t="s">
        <v>287</v>
      </c>
      <c r="O12" s="65"/>
      <c r="P12" s="65"/>
      <c r="Q12" s="65"/>
      <c r="R12" s="65"/>
      <c r="S12" s="267"/>
      <c r="T12" s="65"/>
      <c r="U12" s="65"/>
      <c r="V12" s="66" t="str">
        <f>"n308000046_"&amp;IFERROR(VLOOKUP(D12,target_tables[],5,0),"&lt;not found&gt;")</f>
        <v>n308000046_agr_escrow</v>
      </c>
      <c r="W12" s="65" t="s">
        <v>273</v>
      </c>
      <c r="X12" s="65"/>
      <c r="Y12" s="65"/>
      <c r="Z12" s="65"/>
      <c r="AA12" s="65"/>
      <c r="AB12" s="65"/>
      <c r="AC12" s="65"/>
      <c r="AD12" s="65"/>
      <c r="AE12" s="65"/>
      <c r="AF12" s="269"/>
      <c r="AG12" s="202"/>
      <c r="AH12" s="65"/>
      <c r="AI12" s="67"/>
      <c r="AJ12" s="68"/>
      <c r="AK12" s="69"/>
    </row>
    <row r="13" spans="1:37" ht="12.75" hidden="1" customHeight="1" x14ac:dyDescent="0.3">
      <c r="A13" s="64">
        <v>100</v>
      </c>
      <c r="B13" s="65" t="s">
        <v>266</v>
      </c>
      <c r="C13" s="65" t="str">
        <f>IFERROR(VLOOKUP(D13,'Target tables'!A:B,2,0),"")</f>
        <v>Договор эскроу</v>
      </c>
      <c r="D13" s="6" t="s">
        <v>199</v>
      </c>
      <c r="E13" s="66" t="str">
        <f>IFERROR(VLOOKUP(D13&amp;J13,'Target columns'!A:J,4,FALSE),"")</f>
        <v>UUID</v>
      </c>
      <c r="F13" s="66" t="str">
        <f>IFERROR(VLOOKUP(D13&amp;J13,'Target columns'!A:J,7,FALSE),"")</f>
        <v>No</v>
      </c>
      <c r="G13" s="66" t="str">
        <f>IFERROR(VLOOKUP(D13&amp;J13,'Target columns'!A:J,8,FALSE),"")</f>
        <v>Yes</v>
      </c>
      <c r="H13" s="66" t="str">
        <f>IFERROR(VLOOKUP(D13&amp;J13,'Target columns'!A:J,5,FALSE),"")</f>
        <v>NULL</v>
      </c>
      <c r="I13" s="66" t="str">
        <f>IFERROR(VLOOKUP(D13&amp;J13,'Target columns'!A:J,10,FALSE),"")</f>
        <v>Идентификатор схемы</v>
      </c>
      <c r="J13" s="65" t="s">
        <v>288</v>
      </c>
      <c r="K13" s="65" t="s">
        <v>208</v>
      </c>
      <c r="L13" s="66" t="str">
        <f>IFERROR(VLOOKUP(UPPER(K13&amp;N13),source_columns[],4,0),"")</f>
        <v>uuid</v>
      </c>
      <c r="M13" s="66" t="str">
        <f>IFERROR(VLOOKUP(UPPER(K13&amp;N13),source_columns[],7,0),"")</f>
        <v>Схема субсидирования</v>
      </c>
      <c r="N13" s="65" t="s">
        <v>289</v>
      </c>
      <c r="O13" s="65"/>
      <c r="P13" s="65"/>
      <c r="Q13" s="65"/>
      <c r="R13" s="65"/>
      <c r="S13" s="267"/>
      <c r="T13" s="65"/>
      <c r="U13" s="65"/>
      <c r="V13" s="66" t="str">
        <f>"n308000046_"&amp;IFERROR(VLOOKUP(D13,target_tables[],5,0),"&lt;not found&gt;")</f>
        <v>n308000046_agr_escrow</v>
      </c>
      <c r="W13" s="65" t="s">
        <v>273</v>
      </c>
      <c r="X13" s="65"/>
      <c r="Y13" s="65"/>
      <c r="Z13" s="65"/>
      <c r="AA13" s="65"/>
      <c r="AB13" s="65"/>
      <c r="AC13" s="65"/>
      <c r="AD13" s="65"/>
      <c r="AE13" s="65"/>
      <c r="AF13" s="269"/>
      <c r="AG13" s="202"/>
      <c r="AH13" s="65"/>
      <c r="AI13" s="67"/>
      <c r="AJ13" s="68" t="s">
        <v>290</v>
      </c>
      <c r="AK13" s="69"/>
    </row>
    <row r="14" spans="1:37" ht="12.75" hidden="1" customHeight="1" x14ac:dyDescent="0.3">
      <c r="A14" s="64">
        <v>110</v>
      </c>
      <c r="B14" s="65" t="s">
        <v>266</v>
      </c>
      <c r="C14" s="65" t="str">
        <f>IFERROR(VLOOKUP(D14,'Target tables'!A:B,2,0),"")</f>
        <v>Договор эскроу</v>
      </c>
      <c r="D14" s="6" t="s">
        <v>199</v>
      </c>
      <c r="E14" s="66" t="str">
        <f>IFERROR(VLOOKUP(D14&amp;J14,'Target columns'!A:J,4,FALSE),"")</f>
        <v>DATE</v>
      </c>
      <c r="F14" s="66" t="str">
        <f>IFERROR(VLOOKUP(D14&amp;J14,'Target columns'!A:J,7,FALSE),"")</f>
        <v>No</v>
      </c>
      <c r="G14" s="66" t="str">
        <f>IFERROR(VLOOKUP(D14&amp;J14,'Target columns'!A:J,8,FALSE),"")</f>
        <v>No</v>
      </c>
      <c r="H14" s="66" t="str">
        <f>IFERROR(VLOOKUP(D14&amp;J14,'Target columns'!A:J,5,FALSE),"")</f>
        <v>NULL</v>
      </c>
      <c r="I14" s="66" t="str">
        <f>IFERROR(VLOOKUP(D14&amp;J14,'Target columns'!A:J,10,FALSE),"")</f>
        <v>Плановая дата окончания/Срок условного депонирования договора</v>
      </c>
      <c r="J14" s="65" t="s">
        <v>291</v>
      </c>
      <c r="K14" s="65" t="s">
        <v>208</v>
      </c>
      <c r="L14" s="66" t="str">
        <f>IFERROR(VLOOKUP(UPPER(K14&amp;N14),source_columns[],4,0),"")</f>
        <v>date</v>
      </c>
      <c r="M14" s="66" t="str">
        <f>IFERROR(VLOOKUP(UPPER(K14&amp;N14),source_columns[],7,0),"")</f>
        <v>Срок депонирования договора</v>
      </c>
      <c r="N14" s="65" t="s">
        <v>292</v>
      </c>
      <c r="O14" s="65"/>
      <c r="P14" s="65"/>
      <c r="Q14" s="65"/>
      <c r="R14" s="65"/>
      <c r="S14" s="267"/>
      <c r="T14" s="65"/>
      <c r="U14" s="65"/>
      <c r="V14" s="66" t="str">
        <f>"n308000046_"&amp;IFERROR(VLOOKUP(D14,target_tables[],5,0),"&lt;not found&gt;")</f>
        <v>n308000046_agr_escrow</v>
      </c>
      <c r="W14" s="65" t="s">
        <v>273</v>
      </c>
      <c r="X14" s="65"/>
      <c r="Y14" s="65"/>
      <c r="Z14" s="65"/>
      <c r="AA14" s="65"/>
      <c r="AB14" s="65"/>
      <c r="AC14" s="65"/>
      <c r="AD14" s="65"/>
      <c r="AE14" s="65"/>
      <c r="AF14" s="269"/>
      <c r="AG14" s="202"/>
      <c r="AH14" s="65"/>
      <c r="AI14" s="67"/>
      <c r="AJ14" s="68"/>
      <c r="AK14" s="69"/>
    </row>
    <row r="15" spans="1:37" ht="12.75" hidden="1" customHeight="1" x14ac:dyDescent="0.3">
      <c r="A15" s="70">
        <v>120</v>
      </c>
      <c r="B15" s="71" t="s">
        <v>266</v>
      </c>
      <c r="C15" s="71" t="str">
        <f>IFERROR(VLOOKUP(D15,'Target tables'!A:B,2,0),"")</f>
        <v>Договор эскроу</v>
      </c>
      <c r="D15" s="72" t="s">
        <v>199</v>
      </c>
      <c r="E15" s="73" t="str">
        <f>IFERROR(VLOOKUP(D15&amp;J15,'Target columns'!A:J,4,FALSE),"")</f>
        <v>TEXT</v>
      </c>
      <c r="F15" s="73" t="str">
        <f>IFERROR(VLOOKUP(D15&amp;J15,'Target columns'!A:J,7,FALSE),"")</f>
        <v>No</v>
      </c>
      <c r="G15" s="73" t="str">
        <f>IFERROR(VLOOKUP(D15&amp;J15,'Target columns'!A:J,8,FALSE),"")</f>
        <v>No</v>
      </c>
      <c r="H15" s="73" t="str">
        <f>IFERROR(VLOOKUP(D15&amp;J15,'Target columns'!A:J,5,FALSE),"")</f>
        <v>NULL</v>
      </c>
      <c r="I15" s="73" t="str">
        <f>IFERROR(VLOOKUP(D15&amp;J15,'Target columns'!A:J,10,FALSE),"")</f>
        <v>Признак работы в рамках 214-ФЗ</v>
      </c>
      <c r="J15" s="71" t="s">
        <v>293</v>
      </c>
      <c r="K15" s="71" t="s">
        <v>208</v>
      </c>
      <c r="L15" s="73" t="str">
        <f>IFERROR(VLOOKUP(UPPER(K15&amp;N15),source_columns[],4,0),"")</f>
        <v/>
      </c>
      <c r="M15" s="73" t="str">
        <f>IFERROR(VLOOKUP(UPPER(K15&amp;N15),source_columns[],7,0),"")</f>
        <v/>
      </c>
      <c r="N15" s="71" t="s">
        <v>294</v>
      </c>
      <c r="O15" s="71"/>
      <c r="P15" s="71"/>
      <c r="Q15" s="71"/>
      <c r="R15" s="71"/>
      <c r="S15" s="268"/>
      <c r="T15" s="71"/>
      <c r="U15" s="71"/>
      <c r="V15" s="73" t="str">
        <f>"n308000046_"&amp;IFERROR(VLOOKUP(D15,target_tables[],5,0),"&lt;not found&gt;")</f>
        <v>n308000046_agr_escrow</v>
      </c>
      <c r="W15" s="71" t="s">
        <v>273</v>
      </c>
      <c r="X15" s="71"/>
      <c r="Y15" s="71"/>
      <c r="Z15" s="71"/>
      <c r="AA15" s="71"/>
      <c r="AB15" s="71"/>
      <c r="AC15" s="71"/>
      <c r="AD15" s="71"/>
      <c r="AE15" s="71"/>
      <c r="AF15" s="269"/>
      <c r="AG15" s="203"/>
      <c r="AH15" s="71"/>
      <c r="AI15" s="74"/>
      <c r="AJ15" s="75"/>
      <c r="AK15" s="69"/>
    </row>
    <row r="16" spans="1:37" ht="12.75" hidden="1" customHeight="1" x14ac:dyDescent="0.3">
      <c r="A16" s="76">
        <v>130</v>
      </c>
      <c r="B16" s="77" t="s">
        <v>266</v>
      </c>
      <c r="C16" s="77" t="str">
        <f>IFERROR(VLOOKUP(D16,'Target tables'!A:B,2,0),"")</f>
        <v>Кредитный договор</v>
      </c>
      <c r="D16" s="24" t="s">
        <v>36</v>
      </c>
      <c r="E16" s="78" t="str">
        <f>IFERROR(VLOOKUP(D16&amp;J16,'Target columns'!A:J,4,FALSE),"")</f>
        <v>UUID</v>
      </c>
      <c r="F16" s="78" t="str">
        <f>IFERROR(VLOOKUP(D16&amp;J16,'Target columns'!A:J,7,FALSE),"")</f>
        <v>Yes</v>
      </c>
      <c r="G16" s="78" t="str">
        <f>IFERROR(VLOOKUP(D16&amp;J16,'Target columns'!A:J,8,FALSE),"")</f>
        <v>No</v>
      </c>
      <c r="H16" s="78" t="str">
        <f>IFERROR(VLOOKUP(D16&amp;J16,'Target columns'!A:J,5,FALSE),"")</f>
        <v>NOT NULL</v>
      </c>
      <c r="I16" s="78" t="str">
        <f>IFERROR(VLOOKUP(D16&amp;J16,'Target columns'!A:J,10,FALSE),"")</f>
        <v>ИД кредитного договора с застройщиком</v>
      </c>
      <c r="J16" s="24" t="s">
        <v>295</v>
      </c>
      <c r="K16" s="77" t="s">
        <v>296</v>
      </c>
      <c r="L16" s="78" t="s">
        <v>297</v>
      </c>
      <c r="M16" s="78" t="s">
        <v>298</v>
      </c>
      <c r="N16" s="77" t="s">
        <v>299</v>
      </c>
      <c r="O16" s="77"/>
      <c r="P16" s="77"/>
      <c r="Q16" s="77"/>
      <c r="R16" s="77"/>
      <c r="S16" s="270" t="s">
        <v>300</v>
      </c>
      <c r="T16" s="77"/>
      <c r="U16" s="77"/>
      <c r="V16" s="78" t="str">
        <f>"n308000046_"&amp;IFERROR(VLOOKUP(D16,target_tables[],5,0),"&lt;not found&gt;")</f>
        <v>n308000046_agr_cred</v>
      </c>
      <c r="W16" s="77" t="s">
        <v>269</v>
      </c>
      <c r="X16" s="77"/>
      <c r="Y16" s="77"/>
      <c r="Z16" s="77"/>
      <c r="AA16" s="77"/>
      <c r="AB16" s="77"/>
      <c r="AC16" s="77"/>
      <c r="AD16" s="77"/>
      <c r="AE16" s="77"/>
      <c r="AF16" s="271" t="s">
        <v>270</v>
      </c>
      <c r="AG16" s="201"/>
      <c r="AH16" s="77"/>
      <c r="AI16" s="79"/>
      <c r="AJ16" s="80" t="s">
        <v>301</v>
      </c>
      <c r="AK16" s="69"/>
    </row>
    <row r="17" spans="1:37" ht="12.75" hidden="1" customHeight="1" x14ac:dyDescent="0.3">
      <c r="A17" s="64">
        <v>140</v>
      </c>
      <c r="B17" s="65" t="s">
        <v>266</v>
      </c>
      <c r="C17" s="65" t="str">
        <f>IFERROR(VLOOKUP(D17,'Target tables'!A:B,2,0),"")</f>
        <v>Кредитный договор</v>
      </c>
      <c r="D17" s="10" t="s">
        <v>36</v>
      </c>
      <c r="E17" s="66" t="str">
        <f>IFERROR(VLOOKUP(D17&amp;J17,'Target columns'!A:J,4,FALSE),"")</f>
        <v>DATE</v>
      </c>
      <c r="F17" s="66" t="str">
        <f>IFERROR(VLOOKUP(D17&amp;J17,'Target columns'!A:J,7,FALSE),"")</f>
        <v>No</v>
      </c>
      <c r="G17" s="66" t="str">
        <f>IFERROR(VLOOKUP(D17&amp;J17,'Target columns'!A:J,8,FALSE),"")</f>
        <v>No</v>
      </c>
      <c r="H17" s="66" t="str">
        <f>IFERROR(VLOOKUP(D17&amp;J17,'Target columns'!A:J,5,FALSE),"")</f>
        <v>NULL</v>
      </c>
      <c r="I17" s="66" t="str">
        <f>IFERROR(VLOOKUP(D17&amp;J17,'Target columns'!A:J,10,FALSE),"")</f>
        <v>Дата подписания договора</v>
      </c>
      <c r="J17" s="10" t="s">
        <v>274</v>
      </c>
      <c r="K17" s="65" t="s">
        <v>296</v>
      </c>
      <c r="L17" s="66" t="s">
        <v>302</v>
      </c>
      <c r="M17" s="66" t="s">
        <v>303</v>
      </c>
      <c r="N17" s="65" t="s">
        <v>304</v>
      </c>
      <c r="O17" s="65"/>
      <c r="P17" s="65"/>
      <c r="Q17" s="65"/>
      <c r="R17" s="65"/>
      <c r="S17" s="270"/>
      <c r="T17" s="65"/>
      <c r="U17" s="65"/>
      <c r="V17" s="66" t="str">
        <f>"n308000046_"&amp;IFERROR(VLOOKUP(D17,target_tables[],5,0),"&lt;not found&gt;")</f>
        <v>n308000046_agr_cred</v>
      </c>
      <c r="W17" s="65" t="s">
        <v>273</v>
      </c>
      <c r="X17" s="65"/>
      <c r="Y17" s="65"/>
      <c r="Z17" s="65"/>
      <c r="AA17" s="65"/>
      <c r="AB17" s="65"/>
      <c r="AC17" s="65"/>
      <c r="AD17" s="65"/>
      <c r="AE17" s="65"/>
      <c r="AF17" s="271"/>
      <c r="AG17" s="202"/>
      <c r="AH17" s="65"/>
      <c r="AI17" s="67"/>
      <c r="AJ17" s="68"/>
      <c r="AK17" s="69"/>
    </row>
    <row r="18" spans="1:37" ht="12.75" hidden="1" customHeight="1" x14ac:dyDescent="0.25">
      <c r="A18" s="64">
        <v>150</v>
      </c>
      <c r="B18" s="65" t="s">
        <v>266</v>
      </c>
      <c r="C18" s="65" t="str">
        <f>IFERROR(VLOOKUP(D18,'Target tables'!A:B,2,0),"")</f>
        <v>Кредитный договор</v>
      </c>
      <c r="D18" s="10" t="s">
        <v>36</v>
      </c>
      <c r="E18" s="66" t="str">
        <f>IFERROR(VLOOKUP(D18&amp;J18,'Target columns'!A:J,4,FALSE),"")</f>
        <v>TEXT</v>
      </c>
      <c r="F18" s="66" t="str">
        <f>IFERROR(VLOOKUP(D18&amp;J18,'Target columns'!A:J,7,FALSE),"")</f>
        <v>No</v>
      </c>
      <c r="G18" s="66" t="str">
        <f>IFERROR(VLOOKUP(D18&amp;J18,'Target columns'!A:J,8,FALSE),"")</f>
        <v>No</v>
      </c>
      <c r="H18" s="66" t="str">
        <f>IFERROR(VLOOKUP(D18&amp;J18,'Target columns'!A:J,5,FALSE),"")</f>
        <v>NULL</v>
      </c>
      <c r="I18" s="66" t="str">
        <f>IFERROR(VLOOKUP(D18&amp;J18,'Target columns'!A:J,10,FALSE),"")</f>
        <v>Номер договора</v>
      </c>
      <c r="J18" s="10" t="s">
        <v>305</v>
      </c>
      <c r="K18" s="65" t="s">
        <v>296</v>
      </c>
      <c r="L18" s="66" t="s">
        <v>306</v>
      </c>
      <c r="M18" s="66" t="s">
        <v>298</v>
      </c>
      <c r="N18" s="6" t="s">
        <v>307</v>
      </c>
      <c r="O18" s="65"/>
      <c r="P18" s="65"/>
      <c r="Q18" s="65"/>
      <c r="R18" s="8"/>
      <c r="S18" s="270"/>
      <c r="T18" s="65"/>
      <c r="U18" s="65"/>
      <c r="V18" s="66" t="str">
        <f>"n308000046_"&amp;IFERROR(VLOOKUP(D18,target_tables[],5,0),"&lt;not found&gt;")</f>
        <v>n308000046_agr_cred</v>
      </c>
      <c r="W18" s="65" t="s">
        <v>273</v>
      </c>
      <c r="X18" s="65"/>
      <c r="Y18" s="65"/>
      <c r="Z18" s="65"/>
      <c r="AA18" s="65"/>
      <c r="AB18" s="65"/>
      <c r="AC18" s="65"/>
      <c r="AD18" s="65"/>
      <c r="AE18" s="65"/>
      <c r="AF18" s="271"/>
      <c r="AG18" s="202"/>
      <c r="AH18" s="65"/>
      <c r="AI18" s="67"/>
      <c r="AJ18" s="68"/>
      <c r="AK18" s="69"/>
    </row>
    <row r="19" spans="1:37" ht="12.75" hidden="1" customHeight="1" x14ac:dyDescent="0.3">
      <c r="A19" s="64">
        <v>160</v>
      </c>
      <c r="B19" s="65" t="s">
        <v>266</v>
      </c>
      <c r="C19" s="65" t="str">
        <f>IFERROR(VLOOKUP(D19,'Target tables'!A:B,2,0),"")</f>
        <v>Кредитный договор</v>
      </c>
      <c r="D19" s="10" t="s">
        <v>36</v>
      </c>
      <c r="E19" s="66" t="str">
        <f>IFERROR(VLOOKUP(D19&amp;J19,'Target columns'!A:J,4,FALSE),"")</f>
        <v>TEXT</v>
      </c>
      <c r="F19" s="66" t="str">
        <f>IFERROR(VLOOKUP(D19&amp;J19,'Target columns'!A:J,7,FALSE),"")</f>
        <v>No</v>
      </c>
      <c r="G19" s="66" t="str">
        <f>IFERROR(VLOOKUP(D19&amp;J19,'Target columns'!A:J,8,FALSE),"")</f>
        <v>No</v>
      </c>
      <c r="H19" s="66" t="str">
        <f>IFERROR(VLOOKUP(D19&amp;J19,'Target columns'!A:J,5,FALSE),"")</f>
        <v>NULL</v>
      </c>
      <c r="I19" s="66" t="str">
        <f>IFERROR(VLOOKUP(D19&amp;J19,'Target columns'!A:J,10,FALSE),"")</f>
        <v>ID договора в  ЕКС</v>
      </c>
      <c r="J19" s="10" t="s">
        <v>308</v>
      </c>
      <c r="K19" s="65" t="s">
        <v>296</v>
      </c>
      <c r="L19" s="66" t="s">
        <v>306</v>
      </c>
      <c r="M19" s="66" t="s">
        <v>309</v>
      </c>
      <c r="N19" s="6" t="s">
        <v>310</v>
      </c>
      <c r="O19" s="65"/>
      <c r="P19" s="65"/>
      <c r="Q19" s="65"/>
      <c r="R19" s="65"/>
      <c r="S19" s="270"/>
      <c r="T19" s="65"/>
      <c r="U19" s="65"/>
      <c r="V19" s="66" t="str">
        <f>"n308000046_"&amp;IFERROR(VLOOKUP(D19,target_tables[],5,0),"&lt;not found&gt;")</f>
        <v>n308000046_agr_cred</v>
      </c>
      <c r="W19" s="65" t="s">
        <v>273</v>
      </c>
      <c r="X19" s="65"/>
      <c r="Y19" s="65"/>
      <c r="Z19" s="65"/>
      <c r="AA19" s="65"/>
      <c r="AB19" s="65"/>
      <c r="AC19" s="65"/>
      <c r="AD19" s="65"/>
      <c r="AE19" s="65"/>
      <c r="AF19" s="271"/>
      <c r="AG19" s="202"/>
      <c r="AH19" s="65"/>
      <c r="AI19" s="67"/>
      <c r="AJ19" s="68"/>
      <c r="AK19" s="69"/>
    </row>
    <row r="20" spans="1:37" ht="12.75" hidden="1" customHeight="1" x14ac:dyDescent="0.3">
      <c r="A20" s="70">
        <v>170</v>
      </c>
      <c r="B20" s="71" t="s">
        <v>266</v>
      </c>
      <c r="C20" s="71" t="str">
        <f>IFERROR(VLOOKUP(D20,'Target tables'!A:B,2,0),"")</f>
        <v>Кредитный договор</v>
      </c>
      <c r="D20" s="27" t="s">
        <v>36</v>
      </c>
      <c r="E20" s="73" t="str">
        <f>IFERROR(VLOOKUP(D20&amp;J20,'Target columns'!A:J,4,FALSE),"")</f>
        <v>TEXT</v>
      </c>
      <c r="F20" s="73" t="str">
        <f>IFERROR(VLOOKUP(D20&amp;J20,'Target columns'!A:J,7,FALSE),"")</f>
        <v>No</v>
      </c>
      <c r="G20" s="73" t="str">
        <f>IFERROR(VLOOKUP(D20&amp;J20,'Target columns'!A:J,8,FALSE),"")</f>
        <v>No</v>
      </c>
      <c r="H20" s="73" t="str">
        <f>IFERROR(VLOOKUP(D20&amp;J20,'Target columns'!A:J,5,FALSE),"")</f>
        <v>NULL</v>
      </c>
      <c r="I20" s="73" t="str">
        <f>IFERROR(VLOOKUP(D20&amp;J20,'Target columns'!A:J,10,FALSE),"")</f>
        <v>ИД договора в системе-источнике ППРБ.КЮЛ</v>
      </c>
      <c r="J20" s="27" t="s">
        <v>311</v>
      </c>
      <c r="K20" s="71" t="s">
        <v>296</v>
      </c>
      <c r="L20" s="73" t="s">
        <v>306</v>
      </c>
      <c r="M20" s="73" t="s">
        <v>312</v>
      </c>
      <c r="N20" s="71" t="s">
        <v>313</v>
      </c>
      <c r="O20" s="71"/>
      <c r="P20" s="71"/>
      <c r="Q20" s="71"/>
      <c r="R20" s="71"/>
      <c r="S20" s="270"/>
      <c r="T20" s="71"/>
      <c r="U20" s="71"/>
      <c r="V20" s="73" t="str">
        <f>"n308000046_"&amp;IFERROR(VLOOKUP(D20,target_tables[],5,0),"&lt;not found&gt;")</f>
        <v>n308000046_agr_cred</v>
      </c>
      <c r="W20" s="71" t="s">
        <v>273</v>
      </c>
      <c r="X20" s="71"/>
      <c r="Y20" s="71"/>
      <c r="Z20" s="71"/>
      <c r="AA20" s="71"/>
      <c r="AB20" s="71"/>
      <c r="AC20" s="71"/>
      <c r="AD20" s="71"/>
      <c r="AE20" s="71"/>
      <c r="AF20" s="271"/>
      <c r="AG20" s="203"/>
      <c r="AH20" s="71"/>
      <c r="AI20" s="74"/>
      <c r="AJ20" s="75"/>
      <c r="AK20" s="69"/>
    </row>
    <row r="21" spans="1:37" ht="12.75" hidden="1" customHeight="1" x14ac:dyDescent="0.3">
      <c r="A21" s="76">
        <v>180</v>
      </c>
      <c r="B21" s="77" t="s">
        <v>314</v>
      </c>
      <c r="C21" s="77" t="str">
        <f>IFERROR(VLOOKUP(D21,'Target tables'!A:B,2,0),"")</f>
        <v>Таблица регистров</v>
      </c>
      <c r="D21" s="24" t="s">
        <v>35</v>
      </c>
      <c r="E21" s="78" t="str">
        <f>IFERROR(VLOOKUP(D21&amp;J21,'Target columns'!A:J,4,FALSE),"")</f>
        <v>UUID</v>
      </c>
      <c r="F21" s="78" t="str">
        <f>IFERROR(VLOOKUP(D21&amp;J21,'Target columns'!A:J,7,FALSE),"")</f>
        <v>Yes</v>
      </c>
      <c r="G21" s="78" t="str">
        <f>IFERROR(VLOOKUP(D21&amp;J21,'Target columns'!A:J,8,FALSE),"")</f>
        <v>No</v>
      </c>
      <c r="H21" s="78" t="str">
        <f>IFERROR(VLOOKUP(D21&amp;J21,'Target columns'!A:J,5,FALSE),"")</f>
        <v>NOT NULL</v>
      </c>
      <c r="I21" s="78" t="str">
        <f>IFERROR(VLOOKUP(D21&amp;J21,'Target columns'!A:J,10,FALSE),"")</f>
        <v>Идентификатор регистра</v>
      </c>
      <c r="J21" s="24" t="s">
        <v>315</v>
      </c>
      <c r="K21" s="77" t="s">
        <v>296</v>
      </c>
      <c r="L21" s="78" t="s">
        <v>316</v>
      </c>
      <c r="M21" s="78" t="s">
        <v>317</v>
      </c>
      <c r="N21" s="24" t="s">
        <v>315</v>
      </c>
      <c r="O21" s="77"/>
      <c r="P21" s="77"/>
      <c r="Q21" s="77"/>
      <c r="R21" s="77"/>
      <c r="S21" s="270" t="s">
        <v>318</v>
      </c>
      <c r="T21" s="77"/>
      <c r="U21" s="77"/>
      <c r="V21" s="78" t="str">
        <f>"n308000046_"&amp;IFERROR(VLOOKUP(D21,target_tables[],5,0),"&lt;not found&gt;")</f>
        <v>n308000046_registry</v>
      </c>
      <c r="W21" s="77" t="s">
        <v>269</v>
      </c>
      <c r="X21" s="77"/>
      <c r="Y21" s="77"/>
      <c r="Z21" s="77"/>
      <c r="AA21" s="77"/>
      <c r="AB21" s="77"/>
      <c r="AC21" s="77"/>
      <c r="AD21" s="77"/>
      <c r="AE21" s="77"/>
      <c r="AF21" s="271" t="s">
        <v>270</v>
      </c>
      <c r="AG21" s="201"/>
      <c r="AH21" s="77"/>
      <c r="AI21" s="79"/>
      <c r="AJ21" s="80"/>
      <c r="AK21" s="69"/>
    </row>
    <row r="22" spans="1:37" ht="12.75" hidden="1" customHeight="1" x14ac:dyDescent="0.3">
      <c r="A22" s="64">
        <v>190</v>
      </c>
      <c r="B22" s="65" t="s">
        <v>314</v>
      </c>
      <c r="C22" s="65" t="str">
        <f>IFERROR(VLOOKUP(D22,'Target tables'!A:B,2,0),"")</f>
        <v>Таблица регистров</v>
      </c>
      <c r="D22" s="10" t="s">
        <v>35</v>
      </c>
      <c r="E22" s="66" t="str">
        <f>IFERROR(VLOOKUP(D22&amp;J22,'Target columns'!A:J,4,FALSE),"")</f>
        <v>TEXT</v>
      </c>
      <c r="F22" s="66" t="str">
        <f>IFERROR(VLOOKUP(D22&amp;J22,'Target columns'!A:J,7,FALSE),"")</f>
        <v>No</v>
      </c>
      <c r="G22" s="66" t="str">
        <f>IFERROR(VLOOKUP(D22&amp;J22,'Target columns'!A:J,8,FALSE),"")</f>
        <v>No</v>
      </c>
      <c r="H22" s="66" t="str">
        <f>IFERROR(VLOOKUP(D22&amp;J22,'Target columns'!A:J,5,FALSE),"")</f>
        <v>NULL</v>
      </c>
      <c r="I22" s="66" t="str">
        <f>IFERROR(VLOOKUP(D22&amp;J22,'Target columns'!A:J,10,FALSE),"")</f>
        <v>Идентификатор регистра в системе-источнике</v>
      </c>
      <c r="J22" s="10" t="s">
        <v>319</v>
      </c>
      <c r="K22" s="65" t="s">
        <v>296</v>
      </c>
      <c r="L22" s="66" t="s">
        <v>320</v>
      </c>
      <c r="M22" s="66" t="s">
        <v>317</v>
      </c>
      <c r="N22" s="10" t="s">
        <v>319</v>
      </c>
      <c r="O22" s="65"/>
      <c r="P22" s="65"/>
      <c r="Q22" s="65"/>
      <c r="R22" s="65"/>
      <c r="S22" s="270"/>
      <c r="T22" s="65"/>
      <c r="U22" s="65"/>
      <c r="V22" s="66" t="str">
        <f>"n308000046_"&amp;IFERROR(VLOOKUP(D22,target_tables[],5,0),"&lt;not found&gt;")</f>
        <v>n308000046_registry</v>
      </c>
      <c r="W22" s="65" t="s">
        <v>273</v>
      </c>
      <c r="X22" s="65"/>
      <c r="Y22" s="65"/>
      <c r="Z22" s="65"/>
      <c r="AA22" s="65"/>
      <c r="AB22" s="65"/>
      <c r="AC22" s="65"/>
      <c r="AD22" s="65"/>
      <c r="AE22" s="65"/>
      <c r="AF22" s="271"/>
      <c r="AG22" s="202"/>
      <c r="AH22" s="65"/>
      <c r="AI22" s="67"/>
      <c r="AJ22" s="68"/>
      <c r="AK22" s="69"/>
    </row>
    <row r="23" spans="1:37" ht="12.75" hidden="1" customHeight="1" x14ac:dyDescent="0.3">
      <c r="A23" s="64">
        <v>195</v>
      </c>
      <c r="B23" s="65" t="s">
        <v>314</v>
      </c>
      <c r="C23" s="65" t="str">
        <f>IFERROR(VLOOKUP(D23,'Target tables'!A:B,2,0),"")</f>
        <v>Таблица регистров</v>
      </c>
      <c r="D23" s="10" t="s">
        <v>35</v>
      </c>
      <c r="E23" s="66" t="str">
        <f>IFERROR(VLOOKUP(D23&amp;J23,'Target columns'!A:J,4,FALSE),"")</f>
        <v>UUID</v>
      </c>
      <c r="F23" s="66" t="str">
        <f>IFERROR(VLOOKUP(D23&amp;J23,'Target columns'!A:J,7,FALSE),"")</f>
        <v>No</v>
      </c>
      <c r="G23" s="66" t="str">
        <f>IFERROR(VLOOKUP(D23&amp;J23,'Target columns'!A:J,8,FALSE),"")</f>
        <v>Yes</v>
      </c>
      <c r="H23" s="66" t="str">
        <f>IFERROR(VLOOKUP(D23&amp;J23,'Target columns'!A:J,5,FALSE),"")</f>
        <v>NOT NULL</v>
      </c>
      <c r="I23" s="66" t="str">
        <f>IFERROR(VLOOKUP(D23&amp;J23,'Target columns'!A:J,10,FALSE),"")</f>
        <v>Тип регистра счета</v>
      </c>
      <c r="J23" s="10" t="s">
        <v>321</v>
      </c>
      <c r="K23" s="65" t="s">
        <v>296</v>
      </c>
      <c r="L23" s="66" t="s">
        <v>297</v>
      </c>
      <c r="M23" s="66" t="s">
        <v>322</v>
      </c>
      <c r="N23" s="10" t="s">
        <v>321</v>
      </c>
      <c r="O23" s="65"/>
      <c r="P23" s="65"/>
      <c r="Q23" s="65"/>
      <c r="R23" s="65"/>
      <c r="S23" s="270"/>
      <c r="T23" s="65"/>
      <c r="U23" s="65"/>
      <c r="V23" s="66" t="str">
        <f>"n308000046_"&amp;IFERROR(VLOOKUP(D23,target_tables[],5,0),"&lt;not found&gt;")</f>
        <v>n308000046_registry</v>
      </c>
      <c r="W23" s="65" t="s">
        <v>273</v>
      </c>
      <c r="X23" s="65"/>
      <c r="Y23" s="65"/>
      <c r="Z23" s="65"/>
      <c r="AA23" s="65"/>
      <c r="AB23" s="65"/>
      <c r="AC23" s="65"/>
      <c r="AD23" s="65"/>
      <c r="AE23" s="65"/>
      <c r="AF23" s="271"/>
      <c r="AG23" s="202"/>
      <c r="AH23" s="65"/>
      <c r="AI23" s="67"/>
      <c r="AJ23" s="68"/>
      <c r="AK23" s="69"/>
    </row>
    <row r="24" spans="1:37" ht="12.75" hidden="1" customHeight="1" x14ac:dyDescent="0.3">
      <c r="A24" s="64">
        <v>200</v>
      </c>
      <c r="B24" s="65" t="s">
        <v>314</v>
      </c>
      <c r="C24" s="65" t="str">
        <f>IFERROR(VLOOKUP(D24,'Target tables'!A:B,2,0),"")</f>
        <v>Таблица регистров</v>
      </c>
      <c r="D24" s="10" t="s">
        <v>35</v>
      </c>
      <c r="E24" s="66" t="str">
        <f>IFERROR(VLOOKUP(D24&amp;J24,'Target columns'!A:J,4,FALSE),"")</f>
        <v>UUID</v>
      </c>
      <c r="F24" s="66" t="str">
        <f>IFERROR(VLOOKUP(D24&amp;J24,'Target columns'!A:J,7,FALSE),"")</f>
        <v>No</v>
      </c>
      <c r="G24" s="66" t="str">
        <f>IFERROR(VLOOKUP(D24&amp;J24,'Target columns'!A:J,8,FALSE),"")</f>
        <v>Yes</v>
      </c>
      <c r="H24" s="66" t="str">
        <f>IFERROR(VLOOKUP(D24&amp;J24,'Target columns'!A:J,5,FALSE),"")</f>
        <v>NULL</v>
      </c>
      <c r="I24" s="66" t="str">
        <f>IFERROR(VLOOKUP(D24&amp;J24,'Target columns'!A:J,10,FALSE),"")</f>
        <v>Идентификатор договора эскроу</v>
      </c>
      <c r="J24" s="10" t="s">
        <v>267</v>
      </c>
      <c r="K24" s="65" t="s">
        <v>296</v>
      </c>
      <c r="L24" s="66" t="s">
        <v>316</v>
      </c>
      <c r="M24" s="66" t="s">
        <v>323</v>
      </c>
      <c r="N24" s="10" t="s">
        <v>267</v>
      </c>
      <c r="O24" s="65"/>
      <c r="P24" s="65"/>
      <c r="Q24" s="65"/>
      <c r="R24" s="65"/>
      <c r="S24" s="270"/>
      <c r="T24" s="65"/>
      <c r="U24" s="65"/>
      <c r="V24" s="66" t="str">
        <f>"n308000046_"&amp;IFERROR(VLOOKUP(D24,target_tables[],5,0),"&lt;not found&gt;")</f>
        <v>n308000046_registry</v>
      </c>
      <c r="W24" s="65" t="s">
        <v>273</v>
      </c>
      <c r="X24" s="65"/>
      <c r="Y24" s="65"/>
      <c r="Z24" s="65"/>
      <c r="AA24" s="65"/>
      <c r="AB24" s="65"/>
      <c r="AC24" s="65"/>
      <c r="AD24" s="65"/>
      <c r="AE24" s="65"/>
      <c r="AF24" s="271"/>
      <c r="AG24" s="202"/>
      <c r="AH24" s="65"/>
      <c r="AI24" s="67"/>
      <c r="AJ24" s="68"/>
      <c r="AK24" s="69"/>
    </row>
    <row r="25" spans="1:37" ht="12.75" hidden="1" customHeight="1" x14ac:dyDescent="0.3">
      <c r="A25" s="64">
        <v>205</v>
      </c>
      <c r="B25" s="65" t="s">
        <v>314</v>
      </c>
      <c r="C25" s="65" t="str">
        <f>IFERROR(VLOOKUP(D25,'Target tables'!A:B,2,0),"")</f>
        <v>Таблица регистров</v>
      </c>
      <c r="D25" s="10" t="s">
        <v>35</v>
      </c>
      <c r="E25" s="66" t="str">
        <f>IFERROR(VLOOKUP(D25&amp;J25,'Target columns'!A:J,4,FALSE),"")</f>
        <v>UUID</v>
      </c>
      <c r="F25" s="66" t="str">
        <f>IFERROR(VLOOKUP(D25&amp;J25,'Target columns'!A:J,7,FALSE),"")</f>
        <v>No</v>
      </c>
      <c r="G25" s="66" t="str">
        <f>IFERROR(VLOOKUP(D25&amp;J25,'Target columns'!A:J,8,FALSE),"")</f>
        <v>Yes</v>
      </c>
      <c r="H25" s="66" t="str">
        <f>IFERROR(VLOOKUP(D25&amp;J25,'Target columns'!A:J,5,FALSE),"")</f>
        <v>NULL</v>
      </c>
      <c r="I25" s="66" t="str">
        <f>IFERROR(VLOOKUP(D25&amp;J25,'Target columns'!A:J,10,FALSE),"")</f>
        <v>Идентификатор договора</v>
      </c>
      <c r="J25" s="10" t="s">
        <v>324</v>
      </c>
      <c r="K25" s="65" t="s">
        <v>296</v>
      </c>
      <c r="L25" s="66" t="s">
        <v>316</v>
      </c>
      <c r="M25" s="66" t="s">
        <v>325</v>
      </c>
      <c r="N25" s="10" t="s">
        <v>324</v>
      </c>
      <c r="O25" s="65"/>
      <c r="P25" s="65"/>
      <c r="Q25" s="65"/>
      <c r="R25" s="65"/>
      <c r="S25" s="270"/>
      <c r="T25" s="65"/>
      <c r="U25" s="65"/>
      <c r="V25" s="66" t="str">
        <f>"n308000046_"&amp;IFERROR(VLOOKUP(D25,target_tables[],5,0),"&lt;not found&gt;")</f>
        <v>n308000046_registry</v>
      </c>
      <c r="W25" s="65" t="s">
        <v>273</v>
      </c>
      <c r="X25" s="65"/>
      <c r="Y25" s="65"/>
      <c r="Z25" s="65"/>
      <c r="AA25" s="65"/>
      <c r="AB25" s="65"/>
      <c r="AC25" s="65"/>
      <c r="AD25" s="65"/>
      <c r="AE25" s="65"/>
      <c r="AF25" s="271"/>
      <c r="AG25" s="202"/>
      <c r="AH25" s="65"/>
      <c r="AI25" s="67"/>
      <c r="AJ25" s="68" t="s">
        <v>326</v>
      </c>
      <c r="AK25" s="69"/>
    </row>
    <row r="26" spans="1:37" ht="12.75" hidden="1" customHeight="1" x14ac:dyDescent="0.3">
      <c r="A26" s="64">
        <v>210</v>
      </c>
      <c r="B26" s="65" t="s">
        <v>314</v>
      </c>
      <c r="C26" s="65" t="str">
        <f>IFERROR(VLOOKUP(D26,'Target tables'!A:B,2,0),"")</f>
        <v>Таблица регистров</v>
      </c>
      <c r="D26" s="10" t="s">
        <v>35</v>
      </c>
      <c r="E26" s="66" t="str">
        <f>IFERROR(VLOOKUP(D26&amp;J26,'Target columns'!A:J,4,FALSE),"")</f>
        <v>TEXT</v>
      </c>
      <c r="F26" s="66" t="str">
        <f>IFERROR(VLOOKUP(D26&amp;J26,'Target columns'!A:J,7,FALSE),"")</f>
        <v>No</v>
      </c>
      <c r="G26" s="66" t="str">
        <f>IFERROR(VLOOKUP(D26&amp;J26,'Target columns'!A:J,8,FALSE),"")</f>
        <v>No</v>
      </c>
      <c r="H26" s="66" t="str">
        <f>IFERROR(VLOOKUP(D26&amp;J26,'Target columns'!A:J,5,FALSE),"")</f>
        <v>NULL</v>
      </c>
      <c r="I26" s="66" t="str">
        <f>IFERROR(VLOOKUP(D26&amp;J26,'Target columns'!A:J,10,FALSE),"")</f>
        <v>Номер счета</v>
      </c>
      <c r="J26" s="10" t="s">
        <v>327</v>
      </c>
      <c r="K26" s="65" t="s">
        <v>296</v>
      </c>
      <c r="L26" s="66" t="s">
        <v>320</v>
      </c>
      <c r="M26" s="66" t="s">
        <v>328</v>
      </c>
      <c r="N26" s="10" t="s">
        <v>327</v>
      </c>
      <c r="O26" s="65"/>
      <c r="P26" s="65"/>
      <c r="Q26" s="65"/>
      <c r="R26" s="65"/>
      <c r="S26" s="270"/>
      <c r="T26" s="65"/>
      <c r="U26" s="65"/>
      <c r="V26" s="66" t="str">
        <f>"n308000046_"&amp;IFERROR(VLOOKUP(D26,target_tables[],5,0),"&lt;not found&gt;")</f>
        <v>n308000046_registry</v>
      </c>
      <c r="W26" s="65" t="s">
        <v>273</v>
      </c>
      <c r="X26" s="65"/>
      <c r="Y26" s="65"/>
      <c r="Z26" s="65"/>
      <c r="AA26" s="65"/>
      <c r="AB26" s="65"/>
      <c r="AC26" s="65"/>
      <c r="AD26" s="65"/>
      <c r="AE26" s="65"/>
      <c r="AF26" s="271"/>
      <c r="AG26" s="202"/>
      <c r="AH26" s="65"/>
      <c r="AI26" s="67"/>
      <c r="AJ26" s="68"/>
      <c r="AK26" s="69"/>
    </row>
    <row r="27" spans="1:37" ht="12.75" hidden="1" customHeight="1" x14ac:dyDescent="0.3">
      <c r="A27" s="64">
        <v>220</v>
      </c>
      <c r="B27" s="65" t="s">
        <v>314</v>
      </c>
      <c r="C27" s="65" t="str">
        <f>IFERROR(VLOOKUP(D27,'Target tables'!A:B,2,0),"")</f>
        <v>Таблица регистров</v>
      </c>
      <c r="D27" s="10" t="s">
        <v>35</v>
      </c>
      <c r="E27" s="66" t="str">
        <f>IFERROR(VLOOKUP(D27&amp;J27,'Target columns'!A:J,4,FALSE),"")</f>
        <v>DATE</v>
      </c>
      <c r="F27" s="66" t="str">
        <f>IFERROR(VLOOKUP(D27&amp;J27,'Target columns'!A:J,7,FALSE),"")</f>
        <v>No</v>
      </c>
      <c r="G27" s="66" t="str">
        <f>IFERROR(VLOOKUP(D27&amp;J27,'Target columns'!A:J,8,FALSE),"")</f>
        <v>No</v>
      </c>
      <c r="H27" s="66" t="str">
        <f>IFERROR(VLOOKUP(D27&amp;J27,'Target columns'!A:J,5,FALSE),"")</f>
        <v>NULL</v>
      </c>
      <c r="I27" s="66" t="str">
        <f>IFERROR(VLOOKUP(D27&amp;J27,'Target columns'!A:J,10,FALSE),"")</f>
        <v>Дата начала действия регистра</v>
      </c>
      <c r="J27" s="10" t="s">
        <v>329</v>
      </c>
      <c r="K27" s="65" t="s">
        <v>296</v>
      </c>
      <c r="L27" s="66"/>
      <c r="M27" s="66"/>
      <c r="N27" s="10" t="s">
        <v>329</v>
      </c>
      <c r="O27" s="65"/>
      <c r="P27" s="65"/>
      <c r="Q27" s="65"/>
      <c r="R27" s="65"/>
      <c r="S27" s="270"/>
      <c r="T27" s="65"/>
      <c r="U27" s="65"/>
      <c r="V27" s="66" t="str">
        <f>"n308000046_"&amp;IFERROR(VLOOKUP(D27,target_tables[],5,0),"&lt;not found&gt;")</f>
        <v>n308000046_registry</v>
      </c>
      <c r="W27" s="65" t="s">
        <v>330</v>
      </c>
      <c r="X27" s="65"/>
      <c r="Y27" s="65"/>
      <c r="Z27" s="65"/>
      <c r="AA27" s="65"/>
      <c r="AB27" s="65"/>
      <c r="AC27" s="65"/>
      <c r="AD27" s="65"/>
      <c r="AE27" s="65"/>
      <c r="AF27" s="271"/>
      <c r="AG27" s="202"/>
      <c r="AH27" s="65"/>
      <c r="AI27" s="67"/>
      <c r="AJ27" s="68"/>
      <c r="AK27" s="69"/>
    </row>
    <row r="28" spans="1:37" ht="12.75" hidden="1" customHeight="1" x14ac:dyDescent="0.3">
      <c r="A28" s="70">
        <v>230</v>
      </c>
      <c r="B28" s="71" t="s">
        <v>314</v>
      </c>
      <c r="C28" s="71" t="str">
        <f>IFERROR(VLOOKUP(D28,'Target tables'!A:B,2,0),"")</f>
        <v>Таблица регистров</v>
      </c>
      <c r="D28" s="27" t="s">
        <v>35</v>
      </c>
      <c r="E28" s="73" t="str">
        <f>IFERROR(VLOOKUP(D28&amp;J28,'Target columns'!A:J,4,FALSE),"")</f>
        <v>DATE</v>
      </c>
      <c r="F28" s="73" t="str">
        <f>IFERROR(VLOOKUP(D28&amp;J28,'Target columns'!A:J,7,FALSE),"")</f>
        <v>No</v>
      </c>
      <c r="G28" s="73" t="str">
        <f>IFERROR(VLOOKUP(D28&amp;J28,'Target columns'!A:J,8,FALSE),"")</f>
        <v>No</v>
      </c>
      <c r="H28" s="73" t="str">
        <f>IFERROR(VLOOKUP(D28&amp;J28,'Target columns'!A:J,5,FALSE),"")</f>
        <v>NULL</v>
      </c>
      <c r="I28" s="73" t="str">
        <f>IFERROR(VLOOKUP(D28&amp;J28,'Target columns'!A:J,10,FALSE),"")</f>
        <v>Дата окончания действия регистра</v>
      </c>
      <c r="J28" s="27" t="s">
        <v>331</v>
      </c>
      <c r="K28" s="71" t="s">
        <v>296</v>
      </c>
      <c r="L28" s="73"/>
      <c r="M28" s="73"/>
      <c r="N28" s="27" t="s">
        <v>331</v>
      </c>
      <c r="O28" s="71"/>
      <c r="P28" s="71"/>
      <c r="Q28" s="71"/>
      <c r="R28" s="71"/>
      <c r="S28" s="270"/>
      <c r="T28" s="71"/>
      <c r="U28" s="71"/>
      <c r="V28" s="73" t="str">
        <f>"n308000046_"&amp;IFERROR(VLOOKUP(D28,target_tables[],5,0),"&lt;not found&gt;")</f>
        <v>n308000046_registry</v>
      </c>
      <c r="W28" s="71" t="s">
        <v>332</v>
      </c>
      <c r="X28" s="71"/>
      <c r="Y28" s="71"/>
      <c r="Z28" s="71"/>
      <c r="AA28" s="71"/>
      <c r="AB28" s="71"/>
      <c r="AC28" s="71"/>
      <c r="AD28" s="71"/>
      <c r="AE28" s="71"/>
      <c r="AF28" s="271"/>
      <c r="AG28" s="203"/>
      <c r="AH28" s="71"/>
      <c r="AI28" s="74"/>
      <c r="AJ28" s="75"/>
      <c r="AK28" s="69"/>
    </row>
    <row r="29" spans="1:37" ht="12.75" hidden="1" customHeight="1" x14ac:dyDescent="0.3">
      <c r="A29" s="76">
        <v>240</v>
      </c>
      <c r="B29" s="77" t="s">
        <v>266</v>
      </c>
      <c r="C29" s="77" t="str">
        <f>IFERROR(VLOOKUP(D29,'Target tables'!A:B,2,0),"")</f>
        <v>Справочник схем субсидирования</v>
      </c>
      <c r="D29" s="24" t="s">
        <v>37</v>
      </c>
      <c r="E29" s="78" t="str">
        <f>IFERROR(VLOOKUP(D29&amp;J29,'Target columns'!A:J,4,FALSE),"")</f>
        <v>UUID</v>
      </c>
      <c r="F29" s="78" t="str">
        <f>IFERROR(VLOOKUP(D29&amp;J29,'Target columns'!A:J,7,FALSE),"")</f>
        <v>Yes</v>
      </c>
      <c r="G29" s="78" t="str">
        <f>IFERROR(VLOOKUP(D29&amp;J29,'Target columns'!A:J,8,FALSE),"")</f>
        <v>No</v>
      </c>
      <c r="H29" s="78" t="str">
        <f>IFERROR(VLOOKUP(D29&amp;J29,'Target columns'!A:J,5,FALSE),"")</f>
        <v>NOT NULL</v>
      </c>
      <c r="I29" s="78" t="str">
        <f>IFERROR(VLOOKUP(D29&amp;J29,'Target columns'!A:J,10,FALSE),"")</f>
        <v>Идентификатор схемы субсидирования ставки</v>
      </c>
      <c r="J29" s="24" t="s">
        <v>288</v>
      </c>
      <c r="K29" s="77" t="s">
        <v>296</v>
      </c>
      <c r="L29" s="78" t="s">
        <v>316</v>
      </c>
      <c r="M29" s="78" t="s">
        <v>333</v>
      </c>
      <c r="N29" s="77" t="s">
        <v>289</v>
      </c>
      <c r="O29" s="77"/>
      <c r="P29" s="77"/>
      <c r="Q29" s="77"/>
      <c r="R29" s="77"/>
      <c r="S29" s="270" t="s">
        <v>334</v>
      </c>
      <c r="T29" s="77"/>
      <c r="U29" s="77"/>
      <c r="V29" s="78" t="str">
        <f>"n308000046_"&amp;IFERROR(VLOOKUP(D29,target_tables[],5,0),"&lt;not found&gt;")</f>
        <v>n308000046_escrow_scheme</v>
      </c>
      <c r="W29" s="77" t="s">
        <v>269</v>
      </c>
      <c r="X29" s="77"/>
      <c r="Y29" s="77"/>
      <c r="Z29" s="77"/>
      <c r="AA29" s="77"/>
      <c r="AB29" s="77"/>
      <c r="AC29" s="77"/>
      <c r="AD29" s="77"/>
      <c r="AE29" s="77"/>
      <c r="AF29" s="271" t="s">
        <v>270</v>
      </c>
      <c r="AG29" s="201"/>
      <c r="AH29" s="77"/>
      <c r="AI29" s="79"/>
      <c r="AJ29" s="80"/>
      <c r="AK29" s="69"/>
    </row>
    <row r="30" spans="1:37" ht="12.75" hidden="1" customHeight="1" x14ac:dyDescent="0.3">
      <c r="A30" s="64">
        <v>250</v>
      </c>
      <c r="B30" s="65" t="s">
        <v>266</v>
      </c>
      <c r="C30" s="65" t="str">
        <f>IFERROR(VLOOKUP(D30,'Target tables'!A:B,2,0),"")</f>
        <v>Справочник схем субсидирования</v>
      </c>
      <c r="D30" s="10" t="s">
        <v>37</v>
      </c>
      <c r="E30" s="66" t="str">
        <f>IFERROR(VLOOKUP(D30&amp;J30,'Target columns'!A:J,4,FALSE),"")</f>
        <v>TEXT</v>
      </c>
      <c r="F30" s="66" t="str">
        <f>IFERROR(VLOOKUP(D30&amp;J30,'Target columns'!A:J,7,FALSE),"")</f>
        <v>No</v>
      </c>
      <c r="G30" s="66" t="str">
        <f>IFERROR(VLOOKUP(D30&amp;J30,'Target columns'!A:J,8,FALSE),"")</f>
        <v>No</v>
      </c>
      <c r="H30" s="66" t="str">
        <f>IFERROR(VLOOKUP(D30&amp;J30,'Target columns'!A:J,5,FALSE),"")</f>
        <v>NULL</v>
      </c>
      <c r="I30" s="66" t="str">
        <f>IFERROR(VLOOKUP(D30&amp;J30,'Target columns'!A:J,10,FALSE),"")</f>
        <v>Код схемы субсидирования</v>
      </c>
      <c r="J30" s="10" t="s">
        <v>335</v>
      </c>
      <c r="K30" s="65" t="s">
        <v>296</v>
      </c>
      <c r="L30" s="66" t="s">
        <v>320</v>
      </c>
      <c r="M30" s="66" t="s">
        <v>333</v>
      </c>
      <c r="N30" s="65" t="s">
        <v>336</v>
      </c>
      <c r="O30" s="65"/>
      <c r="P30" s="65"/>
      <c r="Q30" s="65"/>
      <c r="R30" s="65"/>
      <c r="S30" s="270"/>
      <c r="T30" s="65"/>
      <c r="U30" s="65"/>
      <c r="V30" s="66" t="str">
        <f>"n308000046_"&amp;IFERROR(VLOOKUP(D30,target_tables[],5,0),"&lt;not found&gt;")</f>
        <v>n308000046_escrow_scheme</v>
      </c>
      <c r="W30" s="65" t="s">
        <v>273</v>
      </c>
      <c r="X30" s="65"/>
      <c r="Y30" s="65"/>
      <c r="Z30" s="65"/>
      <c r="AA30" s="65"/>
      <c r="AB30" s="65"/>
      <c r="AC30" s="65"/>
      <c r="AD30" s="65"/>
      <c r="AE30" s="65"/>
      <c r="AF30" s="271"/>
      <c r="AG30" s="202"/>
      <c r="AH30" s="65"/>
      <c r="AI30" s="67"/>
      <c r="AJ30" s="68"/>
      <c r="AK30" s="69"/>
    </row>
    <row r="31" spans="1:37" ht="12.75" hidden="1" customHeight="1" x14ac:dyDescent="0.3">
      <c r="A31" s="70">
        <v>260</v>
      </c>
      <c r="B31" s="71" t="s">
        <v>266</v>
      </c>
      <c r="C31" s="71" t="str">
        <f>IFERROR(VLOOKUP(D31,'Target tables'!A:B,2,0),"")</f>
        <v>Справочник схем субсидирования</v>
      </c>
      <c r="D31" s="27" t="s">
        <v>37</v>
      </c>
      <c r="E31" s="73" t="str">
        <f>IFERROR(VLOOKUP(D31&amp;J31,'Target columns'!A:J,4,FALSE),"")</f>
        <v>TEXT</v>
      </c>
      <c r="F31" s="73" t="str">
        <f>IFERROR(VLOOKUP(D31&amp;J31,'Target columns'!A:J,7,FALSE),"")</f>
        <v>No</v>
      </c>
      <c r="G31" s="73" t="str">
        <f>IFERROR(VLOOKUP(D31&amp;J31,'Target columns'!A:J,8,FALSE),"")</f>
        <v>No</v>
      </c>
      <c r="H31" s="73" t="str">
        <f>IFERROR(VLOOKUP(D31&amp;J31,'Target columns'!A:J,5,FALSE),"")</f>
        <v>NULL</v>
      </c>
      <c r="I31" s="73" t="str">
        <f>IFERROR(VLOOKUP(D31&amp;J31,'Target columns'!A:J,10,FALSE),"")</f>
        <v>Наименование схемы субсидирования</v>
      </c>
      <c r="J31" s="27" t="s">
        <v>337</v>
      </c>
      <c r="K31" s="71" t="s">
        <v>296</v>
      </c>
      <c r="L31" s="73" t="s">
        <v>320</v>
      </c>
      <c r="M31" s="73" t="s">
        <v>338</v>
      </c>
      <c r="N31" s="71" t="s">
        <v>339</v>
      </c>
      <c r="O31" s="71"/>
      <c r="P31" s="71"/>
      <c r="Q31" s="71"/>
      <c r="R31" s="71"/>
      <c r="S31" s="270"/>
      <c r="T31" s="71"/>
      <c r="U31" s="71"/>
      <c r="V31" s="73" t="str">
        <f>"n308000046_"&amp;IFERROR(VLOOKUP(D31,target_tables[],5,0),"&lt;not found&gt;")</f>
        <v>n308000046_escrow_scheme</v>
      </c>
      <c r="W31" s="71" t="s">
        <v>273</v>
      </c>
      <c r="X31" s="71"/>
      <c r="Y31" s="71"/>
      <c r="Z31" s="71"/>
      <c r="AA31" s="71"/>
      <c r="AB31" s="71"/>
      <c r="AC31" s="71"/>
      <c r="AD31" s="71"/>
      <c r="AE31" s="71"/>
      <c r="AF31" s="271"/>
      <c r="AG31" s="203"/>
      <c r="AH31" s="71"/>
      <c r="AI31" s="74"/>
      <c r="AJ31" s="75"/>
      <c r="AK31" s="69"/>
    </row>
    <row r="32" spans="1:37" ht="12.75" hidden="1" customHeight="1" x14ac:dyDescent="0.3">
      <c r="A32" s="76">
        <v>270</v>
      </c>
      <c r="B32" s="77" t="s">
        <v>266</v>
      </c>
      <c r="C32" s="77" t="str">
        <f>IFERROR(VLOOKUP(D32,'Target tables'!A:B,2,0),"")</f>
        <v>Таблица связей кредитного договора с договором эскроу</v>
      </c>
      <c r="D32" s="24" t="s">
        <v>212</v>
      </c>
      <c r="E32" s="78" t="str">
        <f>IFERROR(VLOOKUP(D32&amp;J32,'Target columns'!A:J,4,FALSE),"")</f>
        <v>UUID</v>
      </c>
      <c r="F32" s="78" t="str">
        <f>IFERROR(VLOOKUP(D32&amp;J32,'Target columns'!A:J,7,FALSE),"")</f>
        <v>Yes</v>
      </c>
      <c r="G32" s="78" t="str">
        <f>IFERROR(VLOOKUP(D32&amp;J32,'Target columns'!A:J,8,FALSE),"")</f>
        <v>Yes</v>
      </c>
      <c r="H32" s="78" t="str">
        <f>IFERROR(VLOOKUP(D32&amp;J32,'Target columns'!A:J,5,FALSE),"")</f>
        <v>NOT NULL</v>
      </c>
      <c r="I32" s="78" t="str">
        <f>IFERROR(VLOOKUP(D32&amp;J32,'Target columns'!A:J,10,FALSE),"")</f>
        <v>ИД  договора эскроу</v>
      </c>
      <c r="J32" s="24" t="s">
        <v>267</v>
      </c>
      <c r="K32" s="77" t="s">
        <v>208</v>
      </c>
      <c r="L32" s="78" t="str">
        <f>IFERROR(VLOOKUP(UPPER(K32&amp;N32),source_columns[],4,0),"")</f>
        <v/>
      </c>
      <c r="M32" s="78" t="str">
        <f>IFERROR(VLOOKUP(UPPER(K32&amp;N32),source_columns[],7,0),"")</f>
        <v/>
      </c>
      <c r="N32" s="77" t="s">
        <v>340</v>
      </c>
      <c r="O32" s="77"/>
      <c r="P32" s="77"/>
      <c r="Q32" s="77"/>
      <c r="R32" s="77"/>
      <c r="S32" s="272" t="s">
        <v>341</v>
      </c>
      <c r="T32" s="77"/>
      <c r="U32" s="77"/>
      <c r="V32" s="78" t="str">
        <f>"n308000046_"&amp;IFERROR(VLOOKUP(D32,target_tables[],5,0),"&lt;not found&gt;")</f>
        <v>n308000046_agr_escrow_agr_cred</v>
      </c>
      <c r="W32" s="77" t="s">
        <v>269</v>
      </c>
      <c r="X32" s="77"/>
      <c r="Y32" s="77"/>
      <c r="Z32" s="77"/>
      <c r="AA32" s="77"/>
      <c r="AB32" s="77"/>
      <c r="AC32" s="77"/>
      <c r="AD32" s="77"/>
      <c r="AE32" s="77"/>
      <c r="AF32" s="271" t="s">
        <v>342</v>
      </c>
      <c r="AG32" s="201"/>
      <c r="AH32" s="77"/>
      <c r="AI32" s="79"/>
      <c r="AJ32" s="80"/>
      <c r="AK32" s="69"/>
    </row>
    <row r="33" spans="1:37" ht="12.75" hidden="1" customHeight="1" x14ac:dyDescent="0.3">
      <c r="A33" s="64">
        <v>280</v>
      </c>
      <c r="B33" s="65" t="s">
        <v>266</v>
      </c>
      <c r="C33" s="65" t="str">
        <f>IFERROR(VLOOKUP(D33,'Target tables'!A:B,2,0),"")</f>
        <v>Таблица связей кредитного договора с договором эскроу</v>
      </c>
      <c r="D33" s="10" t="s">
        <v>212</v>
      </c>
      <c r="E33" s="66" t="str">
        <f>IFERROR(VLOOKUP(D33&amp;J33,'Target columns'!A:J,4,FALSE),"")</f>
        <v>UUID</v>
      </c>
      <c r="F33" s="66" t="str">
        <f>IFERROR(VLOOKUP(D33&amp;J33,'Target columns'!A:J,7,FALSE),"")</f>
        <v>No</v>
      </c>
      <c r="G33" s="66" t="str">
        <f>IFERROR(VLOOKUP(D33&amp;J33,'Target columns'!A:J,8,FALSE),"")</f>
        <v>Yes</v>
      </c>
      <c r="H33" s="66" t="str">
        <f>IFERROR(VLOOKUP(D33&amp;J33,'Target columns'!A:J,5,FALSE),"")</f>
        <v>NULL</v>
      </c>
      <c r="I33" s="66" t="str">
        <f>IFERROR(VLOOKUP(D33&amp;J33,'Target columns'!A:J,10,FALSE),"")</f>
        <v>ИД кредитного договора с застройщиком</v>
      </c>
      <c r="J33" s="10" t="s">
        <v>295</v>
      </c>
      <c r="K33" s="65" t="s">
        <v>208</v>
      </c>
      <c r="L33" s="66" t="str">
        <f>IFERROR(VLOOKUP(UPPER(K33&amp;N33),source_columns[],4,0),"")</f>
        <v/>
      </c>
      <c r="M33" s="66" t="str">
        <f>IFERROR(VLOOKUP(UPPER(K33&amp;N33),source_columns[],7,0),"")</f>
        <v/>
      </c>
      <c r="N33" s="65" t="s">
        <v>343</v>
      </c>
      <c r="O33" s="65"/>
      <c r="P33" s="65"/>
      <c r="Q33" s="65"/>
      <c r="R33" s="65"/>
      <c r="S33" s="273"/>
      <c r="T33" s="65"/>
      <c r="V33" s="66" t="str">
        <f>"n308000046_"&amp;IFERROR(VLOOKUP(D33,target_tables[],5,0),"&lt;not found&gt;")</f>
        <v>n308000046_agr_escrow_agr_cred</v>
      </c>
      <c r="W33" s="65" t="s">
        <v>273</v>
      </c>
      <c r="X33" s="65"/>
      <c r="Y33" s="65"/>
      <c r="Z33" s="65"/>
      <c r="AA33" s="65"/>
      <c r="AB33" s="65"/>
      <c r="AC33" s="65"/>
      <c r="AD33" s="65"/>
      <c r="AE33" s="65"/>
      <c r="AF33" s="271"/>
      <c r="AG33" s="202"/>
      <c r="AH33" s="65"/>
      <c r="AI33" s="67"/>
      <c r="AJ33" s="68"/>
      <c r="AK33" s="69"/>
    </row>
    <row r="34" spans="1:37" ht="12.75" hidden="1" customHeight="1" x14ac:dyDescent="0.3">
      <c r="A34" s="64">
        <v>290</v>
      </c>
      <c r="B34" s="65" t="s">
        <v>266</v>
      </c>
      <c r="C34" s="65" t="str">
        <f>IFERROR(VLOOKUP(D34,'Target tables'!A:B,2,0),"")</f>
        <v>Таблица связей кредитного договора с договором эскроу</v>
      </c>
      <c r="D34" s="10" t="s">
        <v>212</v>
      </c>
      <c r="E34" s="66" t="str">
        <f>IFERROR(VLOOKUP(D34&amp;J34,'Target columns'!A:J,4,FALSE),"")</f>
        <v>DATE</v>
      </c>
      <c r="F34" s="66" t="str">
        <f>IFERROR(VLOOKUP(D34&amp;J34,'Target columns'!A:J,7,FALSE),"")</f>
        <v>Yes</v>
      </c>
      <c r="G34" s="66" t="str">
        <f>IFERROR(VLOOKUP(D34&amp;J34,'Target columns'!A:J,8,FALSE),"")</f>
        <v>No</v>
      </c>
      <c r="H34" s="66" t="str">
        <f>IFERROR(VLOOKUP(D34&amp;J34,'Target columns'!A:J,5,FALSE),"")</f>
        <v>NOT NULL</v>
      </c>
      <c r="I34" s="66" t="str">
        <f>IFERROR(VLOOKUP(D34&amp;J34,'Target columns'!A:J,10,FALSE),"")</f>
        <v>Дата начала действия связи между кредитным договором и договором эскроу</v>
      </c>
      <c r="J34" s="10" t="s">
        <v>329</v>
      </c>
      <c r="K34" s="65" t="s">
        <v>208</v>
      </c>
      <c r="L34" s="66" t="str">
        <f>IFERROR(VLOOKUP(UPPER(K34&amp;N34),source_columns[],4,0),"")</f>
        <v/>
      </c>
      <c r="M34" s="66" t="str">
        <f>IFERROR(VLOOKUP(UPPER(K34&amp;N34),source_columns[],7,0),"")</f>
        <v/>
      </c>
      <c r="N34" s="202" t="s">
        <v>344</v>
      </c>
      <c r="O34" s="65"/>
      <c r="P34" s="65"/>
      <c r="Q34" s="65"/>
      <c r="R34" s="65"/>
      <c r="S34" s="273"/>
      <c r="T34" s="65"/>
      <c r="U34" s="65"/>
      <c r="V34" s="66" t="str">
        <f>"n308000046_"&amp;IFERROR(VLOOKUP(D34,target_tables[],5,0),"&lt;not found&gt;")</f>
        <v>n308000046_agr_escrow_agr_cred</v>
      </c>
      <c r="W34" s="65" t="s">
        <v>330</v>
      </c>
      <c r="X34" s="65"/>
      <c r="Y34" s="65"/>
      <c r="Z34" s="65"/>
      <c r="AA34" s="65"/>
      <c r="AB34" s="65"/>
      <c r="AC34" s="65"/>
      <c r="AD34" s="65"/>
      <c r="AE34" s="65"/>
      <c r="AF34" s="271"/>
      <c r="AG34" s="202"/>
      <c r="AH34" s="65"/>
      <c r="AI34" s="67"/>
      <c r="AJ34" s="68"/>
      <c r="AK34" s="69"/>
    </row>
    <row r="35" spans="1:37" ht="12.75" hidden="1" customHeight="1" x14ac:dyDescent="0.3">
      <c r="A35" s="70">
        <v>300</v>
      </c>
      <c r="B35" s="71" t="s">
        <v>266</v>
      </c>
      <c r="C35" s="71" t="str">
        <f>IFERROR(VLOOKUP(D35,'Target tables'!A:B,2,0),"")</f>
        <v>Таблица связей кредитного договора с договором эскроу</v>
      </c>
      <c r="D35" s="27" t="s">
        <v>212</v>
      </c>
      <c r="E35" s="73" t="str">
        <f>IFERROR(VLOOKUP(D35&amp;J35,'Target columns'!A:J,4,FALSE),"")</f>
        <v>DATE</v>
      </c>
      <c r="F35" s="73" t="str">
        <f>IFERROR(VLOOKUP(D35&amp;J35,'Target columns'!A:J,7,FALSE),"")</f>
        <v>No</v>
      </c>
      <c r="G35" s="73" t="str">
        <f>IFERROR(VLOOKUP(D35&amp;J35,'Target columns'!A:J,8,FALSE),"")</f>
        <v>No</v>
      </c>
      <c r="H35" s="73" t="str">
        <f>IFERROR(VLOOKUP(D35&amp;J35,'Target columns'!A:J,5,FALSE),"")</f>
        <v>NULL</v>
      </c>
      <c r="I35" s="73" t="str">
        <f>IFERROR(VLOOKUP(D35&amp;J35,'Target columns'!A:J,10,FALSE),"")</f>
        <v>Дата окончания действия связи между кредитным договором и договором эскроу</v>
      </c>
      <c r="J35" s="27" t="s">
        <v>331</v>
      </c>
      <c r="K35" s="71" t="s">
        <v>208</v>
      </c>
      <c r="L35" s="73" t="str">
        <f>IFERROR(VLOOKUP(UPPER(K35&amp;N35),source_columns[],4,0),"")</f>
        <v/>
      </c>
      <c r="M35" s="73" t="str">
        <f>IFERROR(VLOOKUP(UPPER(K35&amp;N35),source_columns[],7,0),"")</f>
        <v/>
      </c>
      <c r="N35" s="71" t="s">
        <v>345</v>
      </c>
      <c r="O35" s="71"/>
      <c r="P35" s="71"/>
      <c r="Q35" s="71"/>
      <c r="R35" s="71"/>
      <c r="S35" s="270"/>
      <c r="T35" s="71"/>
      <c r="U35" s="71"/>
      <c r="V35" s="73" t="str">
        <f>"n308000046_"&amp;IFERROR(VLOOKUP(D35,target_tables[],5,0),"&lt;not found&gt;")</f>
        <v>n308000046_agr_escrow_agr_cred</v>
      </c>
      <c r="W35" s="71" t="s">
        <v>332</v>
      </c>
      <c r="X35" s="71"/>
      <c r="Y35" s="71"/>
      <c r="Z35" s="71"/>
      <c r="AA35" s="71"/>
      <c r="AB35" s="71"/>
      <c r="AC35" s="71"/>
      <c r="AD35" s="71"/>
      <c r="AE35" s="71"/>
      <c r="AF35" s="271"/>
      <c r="AG35" s="203"/>
      <c r="AH35" s="71"/>
      <c r="AI35" s="74"/>
      <c r="AJ35" s="75"/>
      <c r="AK35" s="69"/>
    </row>
    <row r="36" spans="1:37" ht="12.75" hidden="1" customHeight="1" x14ac:dyDescent="0.3">
      <c r="A36" s="76">
        <v>310</v>
      </c>
      <c r="B36" s="77" t="s">
        <v>266</v>
      </c>
      <c r="C36" s="77" t="str">
        <f>IFERROR(VLOOKUP(D36,'Target tables'!A:B,2,0),"")</f>
        <v>Таблица связей контрагентов с договором эскроу</v>
      </c>
      <c r="D36" s="24" t="s">
        <v>162</v>
      </c>
      <c r="E36" s="78" t="str">
        <f>IFERROR(VLOOKUP(D36&amp;J36,'Target columns'!A:J,4,FALSE),"")</f>
        <v>UUID</v>
      </c>
      <c r="F36" s="78" t="str">
        <f>IFERROR(VLOOKUP(D36&amp;J36,'Target columns'!A:J,7,FALSE),"")</f>
        <v>Yes</v>
      </c>
      <c r="G36" s="78" t="str">
        <f>IFERROR(VLOOKUP(D36&amp;J36,'Target columns'!A:J,8,FALSE),"")</f>
        <v>Yes</v>
      </c>
      <c r="H36" s="78" t="str">
        <f>IFERROR(VLOOKUP(D36&amp;J36,'Target columns'!A:J,5,FALSE),"")</f>
        <v>NOT NULL</v>
      </c>
      <c r="I36" s="78" t="str">
        <f>IFERROR(VLOOKUP(D36&amp;J36,'Target columns'!A:J,10,FALSE),"")</f>
        <v>Идентификатор договора эскроу</v>
      </c>
      <c r="J36" s="24" t="s">
        <v>267</v>
      </c>
      <c r="K36" s="77" t="s">
        <v>208</v>
      </c>
      <c r="L36" s="78" t="str">
        <f>IFERROR(VLOOKUP(UPPER(K36&amp;N36),source_columns[],4,0),"")</f>
        <v>uuid</v>
      </c>
      <c r="M36" s="78" t="str">
        <f>IFERROR(VLOOKUP(UPPER(K36&amp;N36),source_columns[],7,0),"")</f>
        <v>Идентификатор договора эскроу</v>
      </c>
      <c r="N36" s="77" t="s">
        <v>268</v>
      </c>
      <c r="O36" s="77"/>
      <c r="P36" s="77"/>
      <c r="Q36" s="77"/>
      <c r="R36" s="77"/>
      <c r="S36" s="274" t="s">
        <v>346</v>
      </c>
      <c r="T36" s="77"/>
      <c r="U36" s="77"/>
      <c r="V36" s="78" t="str">
        <f>"n308000046_"&amp;IFERROR(VLOOKUP(D36,target_tables[],5,0),"&lt;not found&gt;")</f>
        <v>n308000046_agr_escrow_cust</v>
      </c>
      <c r="W36" s="77" t="s">
        <v>269</v>
      </c>
      <c r="X36" s="77"/>
      <c r="Y36" s="77"/>
      <c r="Z36" s="77"/>
      <c r="AA36" s="77"/>
      <c r="AB36" s="77"/>
      <c r="AC36" s="77"/>
      <c r="AD36" s="77"/>
      <c r="AE36" s="77"/>
      <c r="AF36" s="271" t="s">
        <v>342</v>
      </c>
      <c r="AG36" s="201"/>
      <c r="AH36" s="77"/>
      <c r="AI36" s="79"/>
      <c r="AJ36" s="80"/>
      <c r="AK36" s="69"/>
    </row>
    <row r="37" spans="1:37" ht="12.75" hidden="1" customHeight="1" x14ac:dyDescent="0.3">
      <c r="A37" s="64">
        <v>320</v>
      </c>
      <c r="B37" s="65" t="s">
        <v>266</v>
      </c>
      <c r="C37" s="65" t="str">
        <f>IFERROR(VLOOKUP(D37,'Target tables'!A:B,2,0),"")</f>
        <v>Таблица связей контрагентов с договором эскроу</v>
      </c>
      <c r="D37" s="10" t="s">
        <v>162</v>
      </c>
      <c r="E37" s="66" t="str">
        <f>IFERROR(VLOOKUP(D37&amp;J37,'Target columns'!A:J,4,FALSE),"")</f>
        <v>UUID</v>
      </c>
      <c r="F37" s="66" t="str">
        <f>IFERROR(VLOOKUP(D37&amp;J37,'Target columns'!A:J,7,FALSE),"")</f>
        <v>Yes</v>
      </c>
      <c r="G37" s="66" t="str">
        <f>IFERROR(VLOOKUP(D37&amp;J37,'Target columns'!A:J,8,FALSE),"")</f>
        <v>Yes</v>
      </c>
      <c r="H37" s="66" t="str">
        <f>IFERROR(VLOOKUP(D37&amp;J37,'Target columns'!A:J,5,FALSE),"")</f>
        <v>NOT NULL</v>
      </c>
      <c r="I37" s="66" t="str">
        <f>IFERROR(VLOOKUP(D37&amp;J37,'Target columns'!A:J,10,FALSE),"")</f>
        <v>Идентификатор контрагента</v>
      </c>
      <c r="J37" s="10" t="s">
        <v>347</v>
      </c>
      <c r="K37" s="65" t="s">
        <v>208</v>
      </c>
      <c r="L37" s="66" t="str">
        <f>IFERROR(VLOOKUP(UPPER(K37&amp;N37),source_columns[],4,0),"")</f>
        <v>uuid</v>
      </c>
      <c r="M37" s="66" t="str">
        <f>IFERROR(VLOOKUP(UPPER(K37&amp;N37),source_columns[],7,0),"")</f>
        <v>ЕПК id юр.лица депонента</v>
      </c>
      <c r="N37" s="10" t="s">
        <v>348</v>
      </c>
      <c r="O37" s="65"/>
      <c r="P37" s="65"/>
      <c r="Q37" s="65"/>
      <c r="R37" s="65"/>
      <c r="S37" s="275"/>
      <c r="T37" s="65"/>
      <c r="V37" s="66" t="str">
        <f>"n308000046_"&amp;IFERROR(VLOOKUP(D37,target_tables[],5,0),"&lt;not found&gt;")</f>
        <v>n308000046_agr_escrow_cust</v>
      </c>
      <c r="W37" s="65" t="s">
        <v>273</v>
      </c>
      <c r="X37" s="65"/>
      <c r="Y37" s="65"/>
      <c r="Z37" s="65"/>
      <c r="AA37" s="65"/>
      <c r="AB37" s="65"/>
      <c r="AC37" s="65"/>
      <c r="AD37" s="65"/>
      <c r="AE37" s="65"/>
      <c r="AF37" s="271"/>
      <c r="AG37" s="202"/>
      <c r="AH37" s="65"/>
      <c r="AI37" s="67"/>
      <c r="AJ37" s="68"/>
      <c r="AK37" s="69"/>
    </row>
    <row r="38" spans="1:37" ht="12.75" hidden="1" customHeight="1" x14ac:dyDescent="0.3">
      <c r="A38" s="64">
        <v>330</v>
      </c>
      <c r="B38" s="65" t="s">
        <v>266</v>
      </c>
      <c r="C38" s="65" t="str">
        <f>IFERROR(VLOOKUP(D38,'Target tables'!A:B,2,0),"")</f>
        <v>Таблица связей контрагентов с договором эскроу</v>
      </c>
      <c r="D38" s="10" t="s">
        <v>162</v>
      </c>
      <c r="E38" s="66" t="str">
        <f>IFERROR(VLOOKUP(D38&amp;J38,'Target columns'!A:J,4,FALSE),"")</f>
        <v>DATE</v>
      </c>
      <c r="F38" s="66" t="str">
        <f>IFERROR(VLOOKUP(D38&amp;J38,'Target columns'!A:J,7,FALSE),"")</f>
        <v>Yes</v>
      </c>
      <c r="G38" s="66" t="str">
        <f>IFERROR(VLOOKUP(D38&amp;J38,'Target columns'!A:J,8,FALSE),"")</f>
        <v>No</v>
      </c>
      <c r="H38" s="66" t="str">
        <f>IFERROR(VLOOKUP(D38&amp;J38,'Target columns'!A:J,5,FALSE),"")</f>
        <v>NOT NULL</v>
      </c>
      <c r="I38" s="66" t="str">
        <f>IFERROR(VLOOKUP(D38&amp;J38,'Target columns'!A:J,10,FALSE),"")</f>
        <v>Дата начала действия</v>
      </c>
      <c r="J38" s="10" t="s">
        <v>329</v>
      </c>
      <c r="K38" s="65" t="s">
        <v>208</v>
      </c>
      <c r="L38" s="66" t="str">
        <f>IFERROR(VLOOKUP(UPPER(K38&amp;N38),source_columns[],4,0),"")</f>
        <v/>
      </c>
      <c r="M38" s="66" t="str">
        <f>IFERROR(VLOOKUP(UPPER(K38&amp;N38),source_columns[],7,0),"")</f>
        <v/>
      </c>
      <c r="N38" s="202" t="s">
        <v>344</v>
      </c>
      <c r="O38" s="65"/>
      <c r="P38" s="65"/>
      <c r="Q38" s="65"/>
      <c r="R38" s="65"/>
      <c r="S38" s="275"/>
      <c r="T38" s="65"/>
      <c r="U38" s="65"/>
      <c r="V38" s="66" t="str">
        <f>"n308000046_"&amp;IFERROR(VLOOKUP(D38,target_tables[],5,0),"&lt;not found&gt;")</f>
        <v>n308000046_agr_escrow_cust</v>
      </c>
      <c r="W38" s="65" t="s">
        <v>330</v>
      </c>
      <c r="X38" s="65"/>
      <c r="Y38" s="65"/>
      <c r="Z38" s="65"/>
      <c r="AA38" s="65"/>
      <c r="AB38" s="65"/>
      <c r="AC38" s="65"/>
      <c r="AD38" s="65"/>
      <c r="AE38" s="65"/>
      <c r="AF38" s="271"/>
      <c r="AG38" s="202"/>
      <c r="AH38" s="65"/>
      <c r="AI38" s="67"/>
      <c r="AJ38" s="68" t="s">
        <v>349</v>
      </c>
      <c r="AK38" s="69"/>
    </row>
    <row r="39" spans="1:37" ht="12.75" hidden="1" customHeight="1" x14ac:dyDescent="0.3">
      <c r="A39" s="64">
        <v>340</v>
      </c>
      <c r="B39" s="65" t="s">
        <v>266</v>
      </c>
      <c r="C39" s="65" t="str">
        <f>IFERROR(VLOOKUP(D39,'Target tables'!A:B,2,0),"")</f>
        <v>Таблица связей контрагентов с договором эскроу</v>
      </c>
      <c r="D39" s="10" t="s">
        <v>162</v>
      </c>
      <c r="E39" s="66" t="str">
        <f>IFERROR(VLOOKUP(D39&amp;J39,'Target columns'!A:J,4,FALSE),"")</f>
        <v>DATE</v>
      </c>
      <c r="F39" s="66" t="str">
        <f>IFERROR(VLOOKUP(D39&amp;J39,'Target columns'!A:J,7,FALSE),"")</f>
        <v>No</v>
      </c>
      <c r="G39" s="66" t="str">
        <f>IFERROR(VLOOKUP(D39&amp;J39,'Target columns'!A:J,8,FALSE),"")</f>
        <v>No</v>
      </c>
      <c r="H39" s="66" t="str">
        <f>IFERROR(VLOOKUP(D39&amp;J39,'Target columns'!A:J,5,FALSE),"")</f>
        <v>NULL</v>
      </c>
      <c r="I39" s="66" t="str">
        <f>IFERROR(VLOOKUP(D39&amp;J39,'Target columns'!A:J,10,FALSE),"")</f>
        <v>Дата окончания действия</v>
      </c>
      <c r="J39" s="10" t="s">
        <v>331</v>
      </c>
      <c r="K39" s="65" t="s">
        <v>208</v>
      </c>
      <c r="L39" s="66" t="str">
        <f>IFERROR(VLOOKUP(UPPER(K39&amp;N39),source_columns[],4,0),"")</f>
        <v/>
      </c>
      <c r="M39" s="66" t="str">
        <f>IFERROR(VLOOKUP(UPPER(K39&amp;N39),source_columns[],7,0),"")</f>
        <v/>
      </c>
      <c r="N39" s="65" t="s">
        <v>345</v>
      </c>
      <c r="O39" s="65"/>
      <c r="P39" s="65"/>
      <c r="Q39" s="65"/>
      <c r="R39" s="65"/>
      <c r="S39" s="275"/>
      <c r="T39" s="65"/>
      <c r="U39" s="65"/>
      <c r="V39" s="66" t="str">
        <f>"n308000046_"&amp;IFERROR(VLOOKUP(D39,target_tables[],5,0),"&lt;not found&gt;")</f>
        <v>n308000046_agr_escrow_cust</v>
      </c>
      <c r="W39" s="65" t="s">
        <v>332</v>
      </c>
      <c r="X39" s="65"/>
      <c r="Y39" s="65"/>
      <c r="Z39" s="65"/>
      <c r="AA39" s="65"/>
      <c r="AB39" s="65"/>
      <c r="AC39" s="65"/>
      <c r="AD39" s="65"/>
      <c r="AE39" s="65"/>
      <c r="AF39" s="271"/>
      <c r="AG39" s="202"/>
      <c r="AH39" s="65"/>
      <c r="AI39" s="67"/>
      <c r="AJ39" s="68"/>
      <c r="AK39" s="69"/>
    </row>
    <row r="40" spans="1:37" ht="12.75" hidden="1" customHeight="1" x14ac:dyDescent="0.3">
      <c r="A40" s="70">
        <v>350</v>
      </c>
      <c r="B40" s="71" t="s">
        <v>266</v>
      </c>
      <c r="C40" s="71" t="str">
        <f>IFERROR(VLOOKUP(D40,'Target tables'!A:B,2,0),"")</f>
        <v>Таблица связей контрагентов с договором эскроу</v>
      </c>
      <c r="D40" s="27" t="s">
        <v>162</v>
      </c>
      <c r="E40" s="73" t="str">
        <f>IFERROR(VLOOKUP(D40&amp;J40,'Target columns'!A:J,4,FALSE),"")</f>
        <v>UUID</v>
      </c>
      <c r="F40" s="73" t="str">
        <f>IFERROR(VLOOKUP(D40&amp;J40,'Target columns'!A:J,7,FALSE),"")</f>
        <v>Yes</v>
      </c>
      <c r="G40" s="73" t="str">
        <f>IFERROR(VLOOKUP(D40&amp;J40,'Target columns'!A:J,8,FALSE),"")</f>
        <v>Yes</v>
      </c>
      <c r="H40" s="73" t="str">
        <f>IFERROR(VLOOKUP(D40&amp;J40,'Target columns'!A:J,5,FALSE),"")</f>
        <v>NOT NULL</v>
      </c>
      <c r="I40" s="73" t="str">
        <f>IFERROR(VLOOKUP(D40&amp;J40,'Target columns'!A:J,10,FALSE),"")</f>
        <v>Роль клиента в договоре - ID</v>
      </c>
      <c r="J40" s="27" t="s">
        <v>350</v>
      </c>
      <c r="K40" s="71" t="s">
        <v>208</v>
      </c>
      <c r="L40" s="73" t="str">
        <f>IFERROR(VLOOKUP(UPPER(K40&amp;N40),source_columns[],4,0),"")</f>
        <v/>
      </c>
      <c r="M40" s="73" t="str">
        <f>IFERROR(VLOOKUP(UPPER(K40&amp;N40),source_columns[],7,0),"")</f>
        <v/>
      </c>
      <c r="N40" s="71" t="s">
        <v>351</v>
      </c>
      <c r="O40" s="71"/>
      <c r="P40" s="71"/>
      <c r="Q40" s="71"/>
      <c r="R40" s="71"/>
      <c r="S40" s="276"/>
      <c r="T40" s="71"/>
      <c r="U40" s="71"/>
      <c r="V40" s="73" t="str">
        <f>"n308000046_"&amp;IFERROR(VLOOKUP(D40,target_tables[],5,0),"&lt;not found&gt;")</f>
        <v>n308000046_agr_escrow_cust</v>
      </c>
      <c r="W40" s="71" t="s">
        <v>269</v>
      </c>
      <c r="X40" s="71"/>
      <c r="Y40" s="71"/>
      <c r="Z40" s="71"/>
      <c r="AA40" s="71"/>
      <c r="AB40" s="71"/>
      <c r="AC40" s="71"/>
      <c r="AD40" s="71"/>
      <c r="AE40" s="71"/>
      <c r="AF40" s="271"/>
      <c r="AG40" s="203"/>
      <c r="AH40" s="71"/>
      <c r="AI40" s="74"/>
      <c r="AJ40" s="75"/>
      <c r="AK40" s="69"/>
    </row>
    <row r="41" spans="1:37" ht="12.75" hidden="1" customHeight="1" x14ac:dyDescent="0.3">
      <c r="A41" s="76">
        <v>360</v>
      </c>
      <c r="B41" s="77" t="s">
        <v>266</v>
      </c>
      <c r="C41" s="77" t="str">
        <f>IFERROR(VLOOKUP(D41,'Target tables'!A:B,2,0),"")</f>
        <v>Таблица связей контрагентов с договором эскроу</v>
      </c>
      <c r="D41" s="24" t="s">
        <v>162</v>
      </c>
      <c r="E41" s="78" t="str">
        <f>IFERROR(VLOOKUP(D41&amp;J41,'Target columns'!A:J,4,FALSE),"")</f>
        <v>UUID</v>
      </c>
      <c r="F41" s="78" t="str">
        <f>IFERROR(VLOOKUP(D41&amp;J41,'Target columns'!A:J,7,FALSE),"")</f>
        <v>Yes</v>
      </c>
      <c r="G41" s="78" t="str">
        <f>IFERROR(VLOOKUP(D41&amp;J41,'Target columns'!A:J,8,FALSE),"")</f>
        <v>Yes</v>
      </c>
      <c r="H41" s="78" t="str">
        <f>IFERROR(VLOOKUP(D41&amp;J41,'Target columns'!A:J,5,FALSE),"")</f>
        <v>NOT NULL</v>
      </c>
      <c r="I41" s="78" t="str">
        <f>IFERROR(VLOOKUP(D41&amp;J41,'Target columns'!A:J,10,FALSE),"")</f>
        <v>Идентификатор договора эскроу</v>
      </c>
      <c r="J41" s="24" t="s">
        <v>267</v>
      </c>
      <c r="K41" s="77" t="s">
        <v>208</v>
      </c>
      <c r="L41" s="78" t="str">
        <f>IFERROR(VLOOKUP(UPPER(K41&amp;N41),source_columns[],4,0),"")</f>
        <v>uuid</v>
      </c>
      <c r="M41" s="78" t="str">
        <f>IFERROR(VLOOKUP(UPPER(K41&amp;N41),source_columns[],7,0),"")</f>
        <v>Идентификатор договора эскроу</v>
      </c>
      <c r="N41" s="77" t="s">
        <v>268</v>
      </c>
      <c r="O41" s="77"/>
      <c r="P41" s="77"/>
      <c r="Q41" s="77"/>
      <c r="R41" s="77"/>
      <c r="S41" s="274" t="s">
        <v>352</v>
      </c>
      <c r="T41" s="77"/>
      <c r="U41" s="77"/>
      <c r="V41" s="78" t="str">
        <f>"n308000046_"&amp;IFERROR(VLOOKUP(D41,target_tables[],5,0),"&lt;not found&gt;")</f>
        <v>n308000046_agr_escrow_cust</v>
      </c>
      <c r="W41" s="77" t="s">
        <v>269</v>
      </c>
      <c r="X41" s="77"/>
      <c r="Y41" s="77"/>
      <c r="Z41" s="77"/>
      <c r="AA41" s="77"/>
      <c r="AB41" s="77"/>
      <c r="AC41" s="77"/>
      <c r="AD41" s="77"/>
      <c r="AE41" s="77"/>
      <c r="AF41" s="271" t="s">
        <v>342</v>
      </c>
      <c r="AG41" s="201"/>
      <c r="AH41" s="77"/>
      <c r="AI41" s="79"/>
      <c r="AJ41" s="80"/>
      <c r="AK41" s="69"/>
    </row>
    <row r="42" spans="1:37" ht="12.75" hidden="1" customHeight="1" x14ac:dyDescent="0.3">
      <c r="A42" s="64">
        <v>370</v>
      </c>
      <c r="B42" s="65" t="s">
        <v>266</v>
      </c>
      <c r="C42" s="65" t="str">
        <f>IFERROR(VLOOKUP(D42,'Target tables'!A:B,2,0),"")</f>
        <v>Таблица связей контрагентов с договором эскроу</v>
      </c>
      <c r="D42" s="10" t="s">
        <v>162</v>
      </c>
      <c r="E42" s="66" t="str">
        <f>IFERROR(VLOOKUP(D42&amp;J42,'Target columns'!A:J,4,FALSE),"")</f>
        <v>UUID</v>
      </c>
      <c r="F42" s="66" t="str">
        <f>IFERROR(VLOOKUP(D42&amp;J42,'Target columns'!A:J,7,FALSE),"")</f>
        <v>Yes</v>
      </c>
      <c r="G42" s="66" t="str">
        <f>IFERROR(VLOOKUP(D42&amp;J42,'Target columns'!A:J,8,FALSE),"")</f>
        <v>Yes</v>
      </c>
      <c r="H42" s="66" t="str">
        <f>IFERROR(VLOOKUP(D42&amp;J42,'Target columns'!A:J,5,FALSE),"")</f>
        <v>NOT NULL</v>
      </c>
      <c r="I42" s="66" t="str">
        <f>IFERROR(VLOOKUP(D42&amp;J42,'Target columns'!A:J,10,FALSE),"")</f>
        <v>Идентификатор контрагента</v>
      </c>
      <c r="J42" s="10" t="s">
        <v>347</v>
      </c>
      <c r="K42" s="65" t="s">
        <v>208</v>
      </c>
      <c r="L42" s="66" t="str">
        <f>IFERROR(VLOOKUP(UPPER(K42&amp;N42),source_columns[],4,0),"")</f>
        <v>uuid</v>
      </c>
      <c r="M42" s="66" t="str">
        <f>IFERROR(VLOOKUP(UPPER(K42&amp;N42),source_columns[],7,0),"")</f>
        <v>ЕПК id юр.лица бенефициара</v>
      </c>
      <c r="N42" s="6" t="s">
        <v>353</v>
      </c>
      <c r="O42" s="65"/>
      <c r="P42" s="65"/>
      <c r="Q42" s="65"/>
      <c r="R42" s="65"/>
      <c r="S42" s="275"/>
      <c r="T42" s="65"/>
      <c r="V42" s="66" t="str">
        <f>"n308000046_"&amp;IFERROR(VLOOKUP(D42,target_tables[],5,0),"&lt;not found&gt;")</f>
        <v>n308000046_agr_escrow_cust</v>
      </c>
      <c r="W42" s="65" t="s">
        <v>273</v>
      </c>
      <c r="X42" s="65"/>
      <c r="Y42" s="65"/>
      <c r="Z42" s="65"/>
      <c r="AA42" s="65"/>
      <c r="AB42" s="65"/>
      <c r="AC42" s="65"/>
      <c r="AD42" s="65"/>
      <c r="AE42" s="65"/>
      <c r="AF42" s="271"/>
      <c r="AG42" s="202"/>
      <c r="AH42" s="65"/>
      <c r="AI42" s="67"/>
      <c r="AJ42" s="68"/>
      <c r="AK42" s="69"/>
    </row>
    <row r="43" spans="1:37" ht="12.75" hidden="1" customHeight="1" x14ac:dyDescent="0.3">
      <c r="A43" s="64">
        <v>380</v>
      </c>
      <c r="B43" s="65" t="s">
        <v>266</v>
      </c>
      <c r="C43" s="65" t="str">
        <f>IFERROR(VLOOKUP(D43,'Target tables'!A:B,2,0),"")</f>
        <v>Таблица связей контрагентов с договором эскроу</v>
      </c>
      <c r="D43" s="10" t="s">
        <v>162</v>
      </c>
      <c r="E43" s="66" t="str">
        <f>IFERROR(VLOOKUP(D43&amp;J43,'Target columns'!A:J,4,FALSE),"")</f>
        <v>DATE</v>
      </c>
      <c r="F43" s="66" t="str">
        <f>IFERROR(VLOOKUP(D43&amp;J43,'Target columns'!A:J,7,FALSE),"")</f>
        <v>Yes</v>
      </c>
      <c r="G43" s="66" t="str">
        <f>IFERROR(VLOOKUP(D43&amp;J43,'Target columns'!A:J,8,FALSE),"")</f>
        <v>No</v>
      </c>
      <c r="H43" s="66" t="str">
        <f>IFERROR(VLOOKUP(D43&amp;J43,'Target columns'!A:J,5,FALSE),"")</f>
        <v>NOT NULL</v>
      </c>
      <c r="I43" s="66" t="str">
        <f>IFERROR(VLOOKUP(D43&amp;J43,'Target columns'!A:J,10,FALSE),"")</f>
        <v>Дата начала действия</v>
      </c>
      <c r="J43" s="10" t="s">
        <v>329</v>
      </c>
      <c r="K43" s="65" t="s">
        <v>208</v>
      </c>
      <c r="L43" s="66" t="str">
        <f>IFERROR(VLOOKUP(UPPER(K43&amp;N43),source_columns[],4,0),"")</f>
        <v/>
      </c>
      <c r="M43" s="66" t="str">
        <f>IFERROR(VLOOKUP(UPPER(K43&amp;N43),source_columns[],7,0),"")</f>
        <v/>
      </c>
      <c r="N43" s="202" t="s">
        <v>344</v>
      </c>
      <c r="O43" s="65"/>
      <c r="P43" s="65"/>
      <c r="Q43" s="65"/>
      <c r="R43" s="65"/>
      <c r="S43" s="275"/>
      <c r="T43" s="65"/>
      <c r="U43" s="65"/>
      <c r="V43" s="66" t="str">
        <f>"n308000046_"&amp;IFERROR(VLOOKUP(D43,target_tables[],5,0),"&lt;not found&gt;")</f>
        <v>n308000046_agr_escrow_cust</v>
      </c>
      <c r="W43" s="65" t="s">
        <v>330</v>
      </c>
      <c r="X43" s="65"/>
      <c r="Y43" s="65"/>
      <c r="Z43" s="65"/>
      <c r="AA43" s="65"/>
      <c r="AB43" s="65"/>
      <c r="AC43" s="65"/>
      <c r="AD43" s="65"/>
      <c r="AE43" s="65"/>
      <c r="AF43" s="271"/>
      <c r="AG43" s="202"/>
      <c r="AH43" s="65"/>
      <c r="AI43" s="67"/>
      <c r="AJ43" s="68"/>
      <c r="AK43" s="69"/>
    </row>
    <row r="44" spans="1:37" ht="12.75" hidden="1" customHeight="1" x14ac:dyDescent="0.3">
      <c r="A44" s="64">
        <v>390</v>
      </c>
      <c r="B44" s="65" t="s">
        <v>266</v>
      </c>
      <c r="C44" s="65" t="str">
        <f>IFERROR(VLOOKUP(D44,'Target tables'!A:B,2,0),"")</f>
        <v>Таблица связей контрагентов с договором эскроу</v>
      </c>
      <c r="D44" s="10" t="s">
        <v>162</v>
      </c>
      <c r="E44" s="66" t="str">
        <f>IFERROR(VLOOKUP(D44&amp;J44,'Target columns'!A:J,4,FALSE),"")</f>
        <v>DATE</v>
      </c>
      <c r="F44" s="66" t="str">
        <f>IFERROR(VLOOKUP(D44&amp;J44,'Target columns'!A:J,7,FALSE),"")</f>
        <v>No</v>
      </c>
      <c r="G44" s="66" t="str">
        <f>IFERROR(VLOOKUP(D44&amp;J44,'Target columns'!A:J,8,FALSE),"")</f>
        <v>No</v>
      </c>
      <c r="H44" s="66" t="str">
        <f>IFERROR(VLOOKUP(D44&amp;J44,'Target columns'!A:J,5,FALSE),"")</f>
        <v>NULL</v>
      </c>
      <c r="I44" s="66" t="str">
        <f>IFERROR(VLOOKUP(D44&amp;J44,'Target columns'!A:J,10,FALSE),"")</f>
        <v>Дата окончания действия</v>
      </c>
      <c r="J44" s="10" t="s">
        <v>331</v>
      </c>
      <c r="K44" s="65" t="s">
        <v>208</v>
      </c>
      <c r="L44" s="66" t="str">
        <f>IFERROR(VLOOKUP(UPPER(K44&amp;N44),source_columns[],4,0),"")</f>
        <v/>
      </c>
      <c r="M44" s="66" t="str">
        <f>IFERROR(VLOOKUP(UPPER(K44&amp;N44),source_columns[],7,0),"")</f>
        <v/>
      </c>
      <c r="N44" s="65" t="s">
        <v>345</v>
      </c>
      <c r="O44" s="65"/>
      <c r="P44" s="65"/>
      <c r="Q44" s="65"/>
      <c r="R44" s="65"/>
      <c r="S44" s="275"/>
      <c r="T44" s="65"/>
      <c r="U44" s="65"/>
      <c r="V44" s="66" t="str">
        <f>"n308000046_"&amp;IFERROR(VLOOKUP(D44,target_tables[],5,0),"&lt;not found&gt;")</f>
        <v>n308000046_agr_escrow_cust</v>
      </c>
      <c r="W44" s="65" t="s">
        <v>332</v>
      </c>
      <c r="X44" s="65"/>
      <c r="Y44" s="65"/>
      <c r="Z44" s="65"/>
      <c r="AA44" s="65"/>
      <c r="AB44" s="65"/>
      <c r="AC44" s="65"/>
      <c r="AD44" s="65"/>
      <c r="AE44" s="65"/>
      <c r="AF44" s="271"/>
      <c r="AG44" s="202"/>
      <c r="AH44" s="65"/>
      <c r="AI44" s="67"/>
      <c r="AJ44" s="68" t="s">
        <v>354</v>
      </c>
      <c r="AK44" s="69"/>
    </row>
    <row r="45" spans="1:37" ht="12.75" hidden="1" customHeight="1" x14ac:dyDescent="0.3">
      <c r="A45" s="70">
        <v>400</v>
      </c>
      <c r="B45" s="71" t="s">
        <v>266</v>
      </c>
      <c r="C45" s="71" t="str">
        <f>IFERROR(VLOOKUP(D45,'Target tables'!A:B,2,0),"")</f>
        <v>Таблица связей контрагентов с договором эскроу</v>
      </c>
      <c r="D45" s="27" t="s">
        <v>162</v>
      </c>
      <c r="E45" s="73" t="str">
        <f>IFERROR(VLOOKUP(D45&amp;J45,'Target columns'!A:J,4,FALSE),"")</f>
        <v>UUID</v>
      </c>
      <c r="F45" s="73" t="str">
        <f>IFERROR(VLOOKUP(D45&amp;J45,'Target columns'!A:J,7,FALSE),"")</f>
        <v>Yes</v>
      </c>
      <c r="G45" s="73" t="str">
        <f>IFERROR(VLOOKUP(D45&amp;J45,'Target columns'!A:J,8,FALSE),"")</f>
        <v>Yes</v>
      </c>
      <c r="H45" s="73" t="str">
        <f>IFERROR(VLOOKUP(D45&amp;J45,'Target columns'!A:J,5,FALSE),"")</f>
        <v>NOT NULL</v>
      </c>
      <c r="I45" s="73" t="str">
        <f>IFERROR(VLOOKUP(D45&amp;J45,'Target columns'!A:J,10,FALSE),"")</f>
        <v>Роль клиента в договоре - ID</v>
      </c>
      <c r="J45" s="27" t="s">
        <v>350</v>
      </c>
      <c r="K45" s="71" t="s">
        <v>208</v>
      </c>
      <c r="L45" s="73" t="str">
        <f>IFERROR(VLOOKUP(UPPER(K45&amp;N45),source_columns[],4,0),"")</f>
        <v/>
      </c>
      <c r="M45" s="73" t="str">
        <f>IFERROR(VLOOKUP(UPPER(K45&amp;N45),source_columns[],7,0),"")</f>
        <v/>
      </c>
      <c r="N45" s="71" t="s">
        <v>355</v>
      </c>
      <c r="O45" s="71"/>
      <c r="P45" s="71"/>
      <c r="Q45" s="71"/>
      <c r="R45" s="71"/>
      <c r="S45" s="276"/>
      <c r="T45" s="71"/>
      <c r="U45" s="71"/>
      <c r="V45" s="73" t="str">
        <f>"n308000046_"&amp;IFERROR(VLOOKUP(D45,target_tables[],5,0),"&lt;not found&gt;")</f>
        <v>n308000046_agr_escrow_cust</v>
      </c>
      <c r="W45" s="71" t="s">
        <v>269</v>
      </c>
      <c r="X45" s="71"/>
      <c r="Y45" s="71"/>
      <c r="Z45" s="71"/>
      <c r="AA45" s="71"/>
      <c r="AB45" s="71"/>
      <c r="AC45" s="71"/>
      <c r="AD45" s="71"/>
      <c r="AE45" s="71"/>
      <c r="AF45" s="271"/>
      <c r="AG45" s="203"/>
      <c r="AH45" s="71"/>
      <c r="AI45" s="74"/>
      <c r="AJ45" s="75"/>
      <c r="AK45" s="69"/>
    </row>
    <row r="46" spans="1:37" ht="12.75" hidden="1" customHeight="1" x14ac:dyDescent="0.3">
      <c r="A46" s="81">
        <v>410</v>
      </c>
      <c r="B46" s="82" t="s">
        <v>314</v>
      </c>
      <c r="C46" s="82" t="str">
        <f>IFERROR(VLOOKUP(D46,'Target tables'!A:B,2,0),"")</f>
        <v>Контрагенты</v>
      </c>
      <c r="D46" s="83" t="s">
        <v>38</v>
      </c>
      <c r="E46" s="78" t="str">
        <f>IFERROR(VLOOKUP(D46&amp;J46,'Target columns'!A:J,4,FALSE),"")</f>
        <v>UUID</v>
      </c>
      <c r="F46" s="78" t="str">
        <f>IFERROR(VLOOKUP(D46&amp;J46,'Target columns'!A:J,7,FALSE),"")</f>
        <v>Yes</v>
      </c>
      <c r="G46" s="78" t="str">
        <f>IFERROR(VLOOKUP(D46&amp;J46,'Target columns'!A:J,8,FALSE),"")</f>
        <v>No</v>
      </c>
      <c r="H46" s="78" t="str">
        <f>IFERROR(VLOOKUP(D46&amp;J46,'Target columns'!A:J,5,FALSE),"")</f>
        <v>NOT NULL</v>
      </c>
      <c r="I46" s="78" t="str">
        <f>IFERROR(VLOOKUP(D46&amp;J46,'Target columns'!A:J,10,FALSE),"")</f>
        <v xml:space="preserve">Идентификатор контрагента </v>
      </c>
      <c r="J46" s="83" t="s">
        <v>347</v>
      </c>
      <c r="K46" s="82" t="s">
        <v>296</v>
      </c>
      <c r="L46" s="84" t="str">
        <f>IFERROR(VLOOKUP(UPPER(K46&amp;N46),source_columns[],4,0),"")</f>
        <v/>
      </c>
      <c r="M46" s="84" t="s">
        <v>356</v>
      </c>
      <c r="N46" s="82" t="s">
        <v>357</v>
      </c>
      <c r="O46" s="82"/>
      <c r="P46" s="82"/>
      <c r="Q46" s="82"/>
      <c r="R46" s="82"/>
      <c r="S46" s="272" t="s">
        <v>358</v>
      </c>
      <c r="T46" s="77"/>
      <c r="U46" s="77"/>
      <c r="V46" s="78" t="str">
        <f>"n308000046_"&amp;IFERROR(VLOOKUP(D46,target_tables[],5,0),"&lt;not found&gt;")</f>
        <v>n308000046_cust</v>
      </c>
      <c r="W46" s="77" t="s">
        <v>269</v>
      </c>
      <c r="X46" s="77"/>
      <c r="Y46" s="77"/>
      <c r="Z46" s="77"/>
      <c r="AA46" s="77"/>
      <c r="AB46" s="77"/>
      <c r="AC46" s="77"/>
      <c r="AD46" s="77"/>
      <c r="AE46" s="77"/>
      <c r="AF46" s="277" t="s">
        <v>270</v>
      </c>
      <c r="AG46" s="201"/>
      <c r="AH46" s="77"/>
      <c r="AI46" s="79"/>
      <c r="AJ46" s="80"/>
      <c r="AK46" s="69"/>
    </row>
    <row r="47" spans="1:37" ht="12.75" hidden="1" customHeight="1" x14ac:dyDescent="0.3">
      <c r="A47" s="64">
        <v>420</v>
      </c>
      <c r="B47" s="65" t="s">
        <v>314</v>
      </c>
      <c r="C47" s="65" t="str">
        <f>IFERROR(VLOOKUP(D47,'Target tables'!A:B,2,0),"")</f>
        <v>Контрагенты</v>
      </c>
      <c r="D47" s="10" t="s">
        <v>38</v>
      </c>
      <c r="E47" s="66" t="str">
        <f>IFERROR(VLOOKUP(D47&amp;J47,'Target columns'!A:J,4,FALSE),"")</f>
        <v>TEXT</v>
      </c>
      <c r="F47" s="66" t="str">
        <f>IFERROR(VLOOKUP(D47&amp;J47,'Target columns'!A:J,7,FALSE),"")</f>
        <v>No</v>
      </c>
      <c r="G47" s="66" t="str">
        <f>IFERROR(VLOOKUP(D47&amp;J47,'Target columns'!A:J,8,FALSE),"")</f>
        <v>No</v>
      </c>
      <c r="H47" s="66" t="str">
        <f>IFERROR(VLOOKUP(D47&amp;J47,'Target columns'!A:J,5,FALSE),"")</f>
        <v>NULL</v>
      </c>
      <c r="I47" s="66" t="str">
        <f>IFERROR(VLOOKUP(D47&amp;J47,'Target columns'!A:J,10,FALSE),"")</f>
        <v>Идентификатор контрагента в ЕПК</v>
      </c>
      <c r="J47" s="10" t="s">
        <v>359</v>
      </c>
      <c r="K47" s="65" t="s">
        <v>296</v>
      </c>
      <c r="L47" s="66" t="s">
        <v>320</v>
      </c>
      <c r="M47" s="66" t="s">
        <v>360</v>
      </c>
      <c r="N47" s="65" t="s">
        <v>361</v>
      </c>
      <c r="O47" s="65"/>
      <c r="P47" s="65"/>
      <c r="Q47" s="65"/>
      <c r="R47" s="65"/>
      <c r="S47" s="273"/>
      <c r="T47" s="65"/>
      <c r="U47" s="65"/>
      <c r="V47" s="66" t="str">
        <f>"n308000046_"&amp;IFERROR(VLOOKUP(D47,target_tables[],5,0),"&lt;not found&gt;")</f>
        <v>n308000046_cust</v>
      </c>
      <c r="W47" s="65" t="s">
        <v>273</v>
      </c>
      <c r="X47" s="71"/>
      <c r="Y47" s="71"/>
      <c r="Z47" s="71"/>
      <c r="AA47" s="71"/>
      <c r="AB47" s="71"/>
      <c r="AC47" s="71"/>
      <c r="AD47" s="71"/>
      <c r="AE47" s="71"/>
      <c r="AF47" s="277"/>
      <c r="AG47" s="202"/>
      <c r="AH47" s="65"/>
      <c r="AI47" s="67"/>
      <c r="AJ47" s="68"/>
      <c r="AK47" s="69"/>
    </row>
    <row r="48" spans="1:37" ht="12.75" hidden="1" customHeight="1" x14ac:dyDescent="0.3">
      <c r="A48" s="205">
        <v>420</v>
      </c>
      <c r="B48" s="71" t="s">
        <v>314</v>
      </c>
      <c r="C48" s="206" t="str">
        <f>IFERROR(VLOOKUP(D48,'Target tables'!A:B,2,0),"")</f>
        <v>Контрагенты</v>
      </c>
      <c r="D48" s="213" t="s">
        <v>38</v>
      </c>
      <c r="E48" s="73" t="str">
        <f>IFERROR(VLOOKUP(D48&amp;J48,'Target columns'!A:J,4,FALSE),"")</f>
        <v>TEXT</v>
      </c>
      <c r="F48" s="73" t="str">
        <f>IFERROR(VLOOKUP(D48&amp;J48,'Target columns'!A:J,7,FALSE),"")</f>
        <v>No</v>
      </c>
      <c r="G48" s="73" t="str">
        <f>IFERROR(VLOOKUP(D48&amp;J48,'Target columns'!A:J,8,FALSE),"")</f>
        <v>No</v>
      </c>
      <c r="H48" s="73" t="str">
        <f>IFERROR(VLOOKUP(D48&amp;J48,'Target columns'!A:J,5,FALSE),"")</f>
        <v>NULL</v>
      </c>
      <c r="I48" s="73" t="str">
        <f>IFERROR(VLOOKUP(D48&amp;J48,'Target columns'!A:J,10,FALSE),"")</f>
        <v>Физическое лицо</v>
      </c>
      <c r="J48" s="213" t="s">
        <v>362</v>
      </c>
      <c r="K48" s="206" t="s">
        <v>296</v>
      </c>
      <c r="L48" s="85" t="s">
        <v>320</v>
      </c>
      <c r="M48" s="85" t="s">
        <v>363</v>
      </c>
      <c r="N48" s="213" t="s">
        <v>362</v>
      </c>
      <c r="O48" s="206"/>
      <c r="P48" s="206"/>
      <c r="Q48" s="206"/>
      <c r="R48" s="206"/>
      <c r="S48" s="270"/>
      <c r="T48" s="207"/>
      <c r="U48" s="207"/>
      <c r="V48" s="86" t="str">
        <f>"n308000046_"&amp;IFERROR(VLOOKUP(D48,target_tables[],5,0),"&lt;not found&gt;")</f>
        <v>n308000046_cust</v>
      </c>
      <c r="W48" s="207" t="s">
        <v>273</v>
      </c>
      <c r="X48" s="214"/>
      <c r="Y48" s="214"/>
      <c r="Z48" s="214"/>
      <c r="AA48" s="214"/>
      <c r="AB48" s="214"/>
      <c r="AC48" s="214"/>
      <c r="AD48" s="214"/>
      <c r="AE48" s="214"/>
      <c r="AF48" s="277"/>
      <c r="AG48" s="209"/>
      <c r="AH48" s="207"/>
      <c r="AI48" s="87"/>
      <c r="AJ48" s="69"/>
      <c r="AK48" s="69"/>
    </row>
    <row r="49" spans="1:37" ht="12.75" hidden="1" customHeight="1" x14ac:dyDescent="0.3">
      <c r="A49" s="88">
        <v>430</v>
      </c>
      <c r="B49" s="77" t="s">
        <v>314</v>
      </c>
      <c r="C49" s="77" t="str">
        <f>IFERROR(VLOOKUP(D49,'Target tables'!A:B,2,0),"")</f>
        <v>Справочник оргструктуры</v>
      </c>
      <c r="D49" s="24" t="s">
        <v>39</v>
      </c>
      <c r="E49" s="78" t="str">
        <f>IFERROR(VLOOKUP(D49&amp;J49,'Target columns'!A:J,4,FALSE),"")</f>
        <v>UUID</v>
      </c>
      <c r="F49" s="78" t="str">
        <f>IFERROR(VLOOKUP(D49&amp;J49,'Target columns'!A:J,7,FALSE),"")</f>
        <v>Yes</v>
      </c>
      <c r="G49" s="78" t="str">
        <f>IFERROR(VLOOKUP(D49&amp;J49,'Target columns'!A:J,8,FALSE),"")</f>
        <v>No</v>
      </c>
      <c r="H49" s="78" t="str">
        <f>IFERROR(VLOOKUP(D49&amp;J49,'Target columns'!A:J,5,FALSE),"")</f>
        <v>NOT NULL</v>
      </c>
      <c r="I49" s="78" t="str">
        <f>IFERROR(VLOOKUP(D49&amp;J49,'Target columns'!A:J,10,FALSE),"")</f>
        <v>Идентификатор оргструктуры</v>
      </c>
      <c r="J49" s="83" t="s">
        <v>364</v>
      </c>
      <c r="K49" s="82" t="s">
        <v>296</v>
      </c>
      <c r="L49" s="84" t="s">
        <v>316</v>
      </c>
      <c r="M49" s="84" t="s">
        <v>365</v>
      </c>
      <c r="N49" s="83" t="s">
        <v>364</v>
      </c>
      <c r="O49" s="82"/>
      <c r="P49" s="82"/>
      <c r="Q49" s="82"/>
      <c r="R49" s="82"/>
      <c r="S49" s="278" t="s">
        <v>366</v>
      </c>
      <c r="T49" s="82"/>
      <c r="U49" s="82"/>
      <c r="V49" s="84" t="str">
        <f>"n308000046_"&amp;IFERROR(VLOOKUP(D49,target_tables[],5,0),"&lt;not found&gt;")</f>
        <v>n308000046_int_org</v>
      </c>
      <c r="W49" s="82" t="s">
        <v>269</v>
      </c>
      <c r="X49" s="82"/>
      <c r="Y49" s="82"/>
      <c r="Z49" s="82"/>
      <c r="AA49" s="82"/>
      <c r="AB49" s="82"/>
      <c r="AC49" s="82"/>
      <c r="AD49" s="82"/>
      <c r="AE49" s="82"/>
      <c r="AF49" s="279" t="s">
        <v>270</v>
      </c>
      <c r="AG49" s="89"/>
      <c r="AH49" s="82"/>
      <c r="AI49" s="90"/>
      <c r="AJ49" s="91"/>
      <c r="AK49" s="69"/>
    </row>
    <row r="50" spans="1:37" ht="12.75" hidden="1" customHeight="1" x14ac:dyDescent="0.3">
      <c r="A50" s="92">
        <v>440</v>
      </c>
      <c r="B50" s="65" t="s">
        <v>314</v>
      </c>
      <c r="C50" s="65" t="str">
        <f>IFERROR(VLOOKUP(D50,'Target tables'!A:B,2,0),"")</f>
        <v>Справочник оргструктуры</v>
      </c>
      <c r="D50" s="10" t="s">
        <v>39</v>
      </c>
      <c r="E50" s="66" t="str">
        <f>IFERROR(VLOOKUP(D50&amp;J50,'Target columns'!A:J,4,FALSE),"")</f>
        <v>TEXT</v>
      </c>
      <c r="F50" s="66" t="str">
        <f>IFERROR(VLOOKUP(D50&amp;J50,'Target columns'!A:J,7,FALSE),"")</f>
        <v>No</v>
      </c>
      <c r="G50" s="66" t="str">
        <f>IFERROR(VLOOKUP(D50&amp;J50,'Target columns'!A:J,8,FALSE),"")</f>
        <v>No</v>
      </c>
      <c r="H50" s="66" t="str">
        <f>IFERROR(VLOOKUP(D50&amp;J50,'Target columns'!A:J,5,FALSE),"")</f>
        <v>NULL</v>
      </c>
      <c r="I50" s="66" t="str">
        <f>IFERROR(VLOOKUP(D50&amp;J50,'Target columns'!A:J,10,FALSE),"")</f>
        <v>Номер внутреннего подразделения</v>
      </c>
      <c r="J50" s="10" t="s">
        <v>367</v>
      </c>
      <c r="K50" s="65" t="s">
        <v>296</v>
      </c>
      <c r="L50" s="66" t="s">
        <v>320</v>
      </c>
      <c r="M50" s="66" t="s">
        <v>368</v>
      </c>
      <c r="N50" s="10" t="s">
        <v>367</v>
      </c>
      <c r="O50" s="65"/>
      <c r="P50" s="65"/>
      <c r="Q50" s="65"/>
      <c r="R50" s="65"/>
      <c r="S50" s="278"/>
      <c r="T50" s="65"/>
      <c r="U50" s="65"/>
      <c r="V50" s="66" t="str">
        <f>"n308000046_"&amp;IFERROR(VLOOKUP(D50,target_tables[],5,0),"&lt;not found&gt;")</f>
        <v>n308000046_int_org</v>
      </c>
      <c r="W50" s="65" t="s">
        <v>273</v>
      </c>
      <c r="X50" s="65"/>
      <c r="Y50" s="65"/>
      <c r="Z50" s="65"/>
      <c r="AA50" s="65"/>
      <c r="AB50" s="65"/>
      <c r="AC50" s="65"/>
      <c r="AD50" s="65"/>
      <c r="AE50" s="65"/>
      <c r="AF50" s="279"/>
      <c r="AG50" s="202"/>
      <c r="AH50" s="65"/>
      <c r="AI50" s="67"/>
      <c r="AJ50" s="68"/>
      <c r="AK50" s="69"/>
    </row>
    <row r="51" spans="1:37" ht="12.75" hidden="1" customHeight="1" x14ac:dyDescent="0.3">
      <c r="A51" s="92">
        <v>441</v>
      </c>
      <c r="B51" s="65" t="s">
        <v>314</v>
      </c>
      <c r="C51" s="65" t="str">
        <f>IFERROR(VLOOKUP(D51,'Target tables'!A:B,2,0),"")</f>
        <v>Справочник оргструктуры</v>
      </c>
      <c r="D51" s="10" t="s">
        <v>39</v>
      </c>
      <c r="E51" s="66" t="str">
        <f>IFERROR(VLOOKUP(D51&amp;J51,'Target columns'!A:J,4,FALSE),"")</f>
        <v>text</v>
      </c>
      <c r="F51" s="66" t="str">
        <f>IFERROR(VLOOKUP(D51&amp;J51,'Target columns'!A:J,7,FALSE),"")</f>
        <v>No</v>
      </c>
      <c r="G51" s="66" t="str">
        <f>IFERROR(VLOOKUP(D51&amp;J51,'Target columns'!A:J,8,FALSE),"")</f>
        <v>No</v>
      </c>
      <c r="H51" s="66" t="str">
        <f>IFERROR(VLOOKUP(D51&amp;J51,'Target columns'!A:J,5,FALSE),"")</f>
        <v>NULL</v>
      </c>
      <c r="I51" s="66" t="str">
        <f>IFERROR(VLOOKUP(D51&amp;J51,'Target columns'!A:J,10,FALSE),"")</f>
        <v>БИК</v>
      </c>
      <c r="J51" s="10" t="s">
        <v>369</v>
      </c>
      <c r="K51" s="65" t="s">
        <v>296</v>
      </c>
      <c r="L51" s="66" t="s">
        <v>320</v>
      </c>
      <c r="M51" s="66" t="s">
        <v>370</v>
      </c>
      <c r="N51" s="6" t="s">
        <v>369</v>
      </c>
      <c r="O51" s="65"/>
      <c r="P51" s="65"/>
      <c r="Q51" s="65"/>
      <c r="R51" s="65"/>
      <c r="S51" s="278"/>
      <c r="T51" s="65"/>
      <c r="U51" s="65"/>
      <c r="V51" s="66" t="str">
        <f>"n308000046_"&amp;IFERROR(VLOOKUP(D51,target_tables[],5,0),"&lt;not found&gt;")</f>
        <v>n308000046_int_org</v>
      </c>
      <c r="W51" s="65" t="s">
        <v>273</v>
      </c>
      <c r="X51" s="65"/>
      <c r="Y51" s="65"/>
      <c r="Z51" s="65"/>
      <c r="AA51" s="65"/>
      <c r="AB51" s="65"/>
      <c r="AC51" s="65"/>
      <c r="AD51" s="65"/>
      <c r="AE51" s="65"/>
      <c r="AF51" s="279"/>
      <c r="AG51" s="202"/>
      <c r="AH51" s="65"/>
      <c r="AI51" s="67"/>
      <c r="AJ51" s="68"/>
      <c r="AK51" s="69"/>
    </row>
    <row r="52" spans="1:37" ht="12.75" hidden="1" customHeight="1" x14ac:dyDescent="0.3">
      <c r="A52" s="93">
        <v>442</v>
      </c>
      <c r="B52" s="71" t="s">
        <v>314</v>
      </c>
      <c r="C52" s="71" t="str">
        <f>IFERROR(VLOOKUP(D52,'Target tables'!A:B,2,0),"")</f>
        <v>Справочник оргструктуры</v>
      </c>
      <c r="D52" s="27" t="s">
        <v>39</v>
      </c>
      <c r="E52" s="73" t="str">
        <f>IFERROR(VLOOKUP(D52&amp;J52,'Target columns'!A:J,4,FALSE),"")</f>
        <v>text</v>
      </c>
      <c r="F52" s="73" t="str">
        <f>IFERROR(VLOOKUP(D52&amp;J52,'Target columns'!A:J,7,FALSE),"")</f>
        <v>No</v>
      </c>
      <c r="G52" s="73" t="str">
        <f>IFERROR(VLOOKUP(D52&amp;J52,'Target columns'!A:J,8,FALSE),"")</f>
        <v>No</v>
      </c>
      <c r="H52" s="73" t="str">
        <f>IFERROR(VLOOKUP(D52&amp;J52,'Target columns'!A:J,5,FALSE),"")</f>
        <v>NULL</v>
      </c>
      <c r="I52" s="73" t="str">
        <f>IFERROR(VLOOKUP(D52&amp;J52,'Target columns'!A:J,10,FALSE),"")</f>
        <v>Наименование подразделения</v>
      </c>
      <c r="J52" s="71" t="s">
        <v>371</v>
      </c>
      <c r="K52" s="71" t="s">
        <v>296</v>
      </c>
      <c r="L52" s="73" t="s">
        <v>320</v>
      </c>
      <c r="M52" s="73" t="s">
        <v>372</v>
      </c>
      <c r="N52" s="71" t="s">
        <v>371</v>
      </c>
      <c r="O52" s="71"/>
      <c r="P52" s="71"/>
      <c r="Q52" s="71"/>
      <c r="R52" s="71"/>
      <c r="S52" s="278"/>
      <c r="T52" s="71"/>
      <c r="U52" s="71"/>
      <c r="V52" s="73" t="str">
        <f>"n308000046_"&amp;IFERROR(VLOOKUP(D52,target_tables[],5,0),"&lt;not found&gt;")</f>
        <v>n308000046_int_org</v>
      </c>
      <c r="W52" s="71" t="s">
        <v>273</v>
      </c>
      <c r="X52" s="71"/>
      <c r="Y52" s="71"/>
      <c r="Z52" s="71"/>
      <c r="AA52" s="71"/>
      <c r="AB52" s="71"/>
      <c r="AC52" s="71"/>
      <c r="AD52" s="71"/>
      <c r="AE52" s="71"/>
      <c r="AF52" s="279"/>
      <c r="AG52" s="203"/>
      <c r="AH52" s="71"/>
      <c r="AI52" s="74"/>
      <c r="AJ52" s="75"/>
      <c r="AK52" s="69"/>
    </row>
    <row r="53" spans="1:37" ht="12.75" hidden="1" customHeight="1" x14ac:dyDescent="0.3">
      <c r="A53" s="76">
        <v>450</v>
      </c>
      <c r="B53" s="77" t="s">
        <v>266</v>
      </c>
      <c r="C53" s="77" t="str">
        <f>IFERROR(VLOOKUP(D53,'Target tables'!A:B,2,0),"")</f>
        <v>Таблица связей договора эскроу со справочником оргструктуры</v>
      </c>
      <c r="D53" s="24" t="s">
        <v>59</v>
      </c>
      <c r="E53" s="78" t="str">
        <f>IFERROR(VLOOKUP(D53&amp;J53,'Target columns'!A:J,4,FALSE),"")</f>
        <v>UUID</v>
      </c>
      <c r="F53" s="78" t="str">
        <f>IFERROR(VLOOKUP(D53&amp;J53,'Target columns'!A:J,7,FALSE),"")</f>
        <v>Yes</v>
      </c>
      <c r="G53" s="78" t="str">
        <f>IFERROR(VLOOKUP(D53&amp;J53,'Target columns'!A:J,8,FALSE),"")</f>
        <v>Yes</v>
      </c>
      <c r="H53" s="78" t="str">
        <f>IFERROR(VLOOKUP(D53&amp;J53,'Target columns'!A:J,5,FALSE),"")</f>
        <v>NOT NULL</v>
      </c>
      <c r="I53" s="78" t="str">
        <f>IFERROR(VLOOKUP(D53&amp;J53,'Target columns'!A:J,10,FALSE),"")</f>
        <v>Идентификатор договора</v>
      </c>
      <c r="J53" s="24" t="s">
        <v>267</v>
      </c>
      <c r="K53" s="77" t="s">
        <v>208</v>
      </c>
      <c r="L53" s="78" t="str">
        <f>IFERROR(VLOOKUP(UPPER(K53&amp;N53),source_columns[],4,0),"")</f>
        <v>uuid</v>
      </c>
      <c r="M53" s="78" t="str">
        <f>IFERROR(VLOOKUP(UPPER(K53&amp;N53),source_columns[],7,0),"")</f>
        <v>Идентификатор договора эскроу</v>
      </c>
      <c r="N53" s="77" t="s">
        <v>268</v>
      </c>
      <c r="O53" s="77"/>
      <c r="P53" s="77"/>
      <c r="Q53" s="77"/>
      <c r="R53" s="77"/>
      <c r="S53" s="280" t="s">
        <v>373</v>
      </c>
      <c r="T53" s="77"/>
      <c r="U53" s="77"/>
      <c r="V53" s="78" t="str">
        <f>"n308000046_"&amp;IFERROR(VLOOKUP(D53,target_tables[],5,0),"&lt;not found&gt;")</f>
        <v>n308000046_agr_escrow_int_org</v>
      </c>
      <c r="W53" s="77" t="s">
        <v>269</v>
      </c>
      <c r="X53" s="77"/>
      <c r="Y53" s="77"/>
      <c r="Z53" s="77"/>
      <c r="AA53" s="77"/>
      <c r="AB53" s="77"/>
      <c r="AC53" s="77"/>
      <c r="AD53" s="77"/>
      <c r="AE53" s="77"/>
      <c r="AF53" s="271" t="s">
        <v>342</v>
      </c>
      <c r="AG53" s="201"/>
      <c r="AH53" s="77"/>
      <c r="AI53" s="79"/>
      <c r="AJ53" s="80"/>
      <c r="AK53" s="69"/>
    </row>
    <row r="54" spans="1:37" ht="12.75" hidden="1" customHeight="1" x14ac:dyDescent="0.3">
      <c r="A54" s="64">
        <v>460</v>
      </c>
      <c r="B54" s="65" t="s">
        <v>266</v>
      </c>
      <c r="C54" s="65" t="str">
        <f>IFERROR(VLOOKUP(D54,'Target tables'!A:B,2,0),"")</f>
        <v>Таблица связей договора эскроу со справочником оргструктуры</v>
      </c>
      <c r="D54" s="10" t="s">
        <v>59</v>
      </c>
      <c r="E54" s="66" t="str">
        <f>IFERROR(VLOOKUP(D54&amp;J54,'Target columns'!A:J,4,FALSE),"")</f>
        <v>UUID</v>
      </c>
      <c r="F54" s="66" t="str">
        <f>IFERROR(VLOOKUP(D54&amp;J54,'Target columns'!A:J,7,FALSE),"")</f>
        <v>No</v>
      </c>
      <c r="G54" s="66" t="str">
        <f>IFERROR(VLOOKUP(D54&amp;J54,'Target columns'!A:J,8,FALSE),"")</f>
        <v>Yes</v>
      </c>
      <c r="H54" s="66" t="str">
        <f>IFERROR(VLOOKUP(D54&amp;J54,'Target columns'!A:J,5,FALSE),"")</f>
        <v>NULL</v>
      </c>
      <c r="I54" s="66" t="str">
        <f>IFERROR(VLOOKUP(D54&amp;J54,'Target columns'!A:J,10,FALSE),"")</f>
        <v>Код ВСП ведения договора</v>
      </c>
      <c r="J54" s="10" t="s">
        <v>364</v>
      </c>
      <c r="K54" s="65" t="s">
        <v>208</v>
      </c>
      <c r="L54" s="66"/>
      <c r="M54" s="66"/>
      <c r="N54" s="65" t="s">
        <v>374</v>
      </c>
      <c r="O54" s="65"/>
      <c r="P54" s="65"/>
      <c r="Q54" s="65"/>
      <c r="R54" s="65"/>
      <c r="S54" s="280"/>
      <c r="T54" s="65"/>
      <c r="U54" s="65"/>
      <c r="V54" s="66" t="str">
        <f>"n308000046_"&amp;IFERROR(VLOOKUP(D54,target_tables[],5,0),"&lt;not found&gt;")</f>
        <v>n308000046_agr_escrow_int_org</v>
      </c>
      <c r="W54" s="65" t="s">
        <v>273</v>
      </c>
      <c r="X54" s="65"/>
      <c r="Y54" s="65"/>
      <c r="Z54" s="65"/>
      <c r="AA54" s="65"/>
      <c r="AB54" s="65"/>
      <c r="AC54" s="65"/>
      <c r="AD54" s="65"/>
      <c r="AE54" s="65"/>
      <c r="AF54" s="271"/>
      <c r="AG54" s="202"/>
      <c r="AH54" s="65"/>
      <c r="AI54" s="67"/>
      <c r="AJ54" s="68"/>
      <c r="AK54" s="69"/>
    </row>
    <row r="55" spans="1:37" ht="12.75" hidden="1" customHeight="1" x14ac:dyDescent="0.3">
      <c r="A55" s="64">
        <v>470</v>
      </c>
      <c r="B55" s="65" t="s">
        <v>266</v>
      </c>
      <c r="C55" s="65" t="str">
        <f>IFERROR(VLOOKUP(D55,'Target tables'!A:B,2,0),"")</f>
        <v>Таблица связей договора эскроу со справочником оргструктуры</v>
      </c>
      <c r="D55" s="10" t="s">
        <v>59</v>
      </c>
      <c r="E55" s="66" t="str">
        <f>IFERROR(VLOOKUP(D55&amp;J55,'Target columns'!A:J,4,FALSE),"")</f>
        <v>UUID</v>
      </c>
      <c r="F55" s="66" t="str">
        <f>IFERROR(VLOOKUP(D55&amp;J55,'Target columns'!A:J,7,FALSE),"")</f>
        <v>No</v>
      </c>
      <c r="G55" s="66" t="str">
        <f>IFERROR(VLOOKUP(D55&amp;J55,'Target columns'!A:J,8,FALSE),"")</f>
        <v>Yes</v>
      </c>
      <c r="H55" s="66" t="str">
        <f>IFERROR(VLOOKUP(D55&amp;J55,'Target columns'!A:J,5,FALSE),"")</f>
        <v>NULL</v>
      </c>
      <c r="I55" s="66" t="str">
        <f>IFERROR(VLOOKUP(D55&amp;J55,'Target columns'!A:J,10,FALSE),"")</f>
        <v>Код ВСП открытия счета бенефициара</v>
      </c>
      <c r="J55" s="10" t="s">
        <v>375</v>
      </c>
      <c r="K55" s="65" t="s">
        <v>208</v>
      </c>
      <c r="L55" s="78" t="str">
        <f>IFERROR(VLOOKUP(UPPER(K55&amp;N55),source_columns[],4,0),"")</f>
        <v>uuid</v>
      </c>
      <c r="M55" s="66" t="s">
        <v>376</v>
      </c>
      <c r="N55" s="94" t="s">
        <v>377</v>
      </c>
      <c r="O55" s="65"/>
      <c r="P55" s="65"/>
      <c r="Q55" s="65"/>
      <c r="R55" s="65"/>
      <c r="S55" s="280"/>
      <c r="T55" s="65"/>
      <c r="U55" s="65"/>
      <c r="V55" s="66" t="str">
        <f>"n308000046_"&amp;IFERROR(VLOOKUP(D55,target_tables[],5,0),"&lt;not found&gt;")</f>
        <v>n308000046_agr_escrow_int_org</v>
      </c>
      <c r="W55" s="65" t="s">
        <v>273</v>
      </c>
      <c r="X55" s="65"/>
      <c r="Y55" s="65"/>
      <c r="Z55" s="65"/>
      <c r="AA55" s="65"/>
      <c r="AB55" s="65"/>
      <c r="AC55" s="65"/>
      <c r="AD55" s="65"/>
      <c r="AE55" s="65"/>
      <c r="AF55" s="271"/>
      <c r="AG55" s="202"/>
      <c r="AH55" s="65"/>
      <c r="AI55" s="67"/>
      <c r="AJ55" s="68"/>
      <c r="AK55" s="69"/>
    </row>
    <row r="56" spans="1:37" ht="12.75" hidden="1" customHeight="1" x14ac:dyDescent="0.3">
      <c r="A56" s="64">
        <v>480</v>
      </c>
      <c r="B56" s="65" t="s">
        <v>266</v>
      </c>
      <c r="C56" s="65" t="str">
        <f>IFERROR(VLOOKUP(D56,'Target tables'!A:B,2,0),"")</f>
        <v>Таблица связей договора эскроу со справочником оргструктуры</v>
      </c>
      <c r="D56" s="10" t="s">
        <v>59</v>
      </c>
      <c r="E56" s="66" t="str">
        <f>IFERROR(VLOOKUP(D56&amp;J56,'Target columns'!A:J,4,FALSE),"")</f>
        <v>UUID</v>
      </c>
      <c r="F56" s="66" t="str">
        <f>IFERROR(VLOOKUP(D56&amp;J56,'Target columns'!A:J,7,FALSE),"")</f>
        <v>No</v>
      </c>
      <c r="G56" s="66" t="str">
        <f>IFERROR(VLOOKUP(D56&amp;J56,'Target columns'!A:J,8,FALSE),"")</f>
        <v>Yes</v>
      </c>
      <c r="H56" s="66" t="str">
        <f>IFERROR(VLOOKUP(D56&amp;J56,'Target columns'!A:J,5,FALSE),"")</f>
        <v>NULL</v>
      </c>
      <c r="I56" s="66" t="str">
        <f>IFERROR(VLOOKUP(D56&amp;J56,'Target columns'!A:J,10,FALSE),"")</f>
        <v>Код ВСП открытия счета депонента</v>
      </c>
      <c r="J56" s="10" t="s">
        <v>378</v>
      </c>
      <c r="K56" s="65" t="s">
        <v>208</v>
      </c>
      <c r="L56" s="66" t="str">
        <f>IFERROR(VLOOKUP(UPPER(K56&amp;N56),source_columns[],4,0),"")</f>
        <v>uuid</v>
      </c>
      <c r="M56" s="66" t="str">
        <f>IFERROR(VLOOKUP(UPPER(K56&amp;N56),source_columns[],7,0),"")</f>
        <v>Терр структура  ведения договора</v>
      </c>
      <c r="N56" s="65" t="s">
        <v>379</v>
      </c>
      <c r="O56" s="65"/>
      <c r="P56" s="65"/>
      <c r="Q56" s="65"/>
      <c r="R56" s="65"/>
      <c r="S56" s="280"/>
      <c r="T56" s="65"/>
      <c r="U56" s="65"/>
      <c r="V56" s="66" t="str">
        <f>"n308000046_"&amp;IFERROR(VLOOKUP(D56,target_tables[],5,0),"&lt;not found&gt;")</f>
        <v>n308000046_agr_escrow_int_org</v>
      </c>
      <c r="W56" s="65" t="s">
        <v>273</v>
      </c>
      <c r="X56" s="65"/>
      <c r="Y56" s="65"/>
      <c r="Z56" s="65"/>
      <c r="AA56" s="65"/>
      <c r="AB56" s="65"/>
      <c r="AC56" s="65"/>
      <c r="AD56" s="65"/>
      <c r="AE56" s="65"/>
      <c r="AF56" s="271"/>
      <c r="AG56" s="202"/>
      <c r="AH56" s="65"/>
      <c r="AI56" s="67"/>
      <c r="AJ56" s="68"/>
      <c r="AK56" s="69"/>
    </row>
    <row r="57" spans="1:37" ht="12.75" hidden="1" customHeight="1" x14ac:dyDescent="0.3">
      <c r="A57" s="64">
        <v>490</v>
      </c>
      <c r="B57" s="65" t="s">
        <v>266</v>
      </c>
      <c r="C57" s="65" t="str">
        <f>IFERROR(VLOOKUP(D57,'Target tables'!A:B,2,0),"")</f>
        <v>Таблица связей договора эскроу со справочником оргструктуры</v>
      </c>
      <c r="D57" s="10" t="s">
        <v>59</v>
      </c>
      <c r="E57" s="66" t="str">
        <f>IFERROR(VLOOKUP(D57&amp;J57,'Target columns'!A:J,4,FALSE),"")</f>
        <v>DATE</v>
      </c>
      <c r="F57" s="66" t="str">
        <f>IFERROR(VLOOKUP(D57&amp;J57,'Target columns'!A:J,7,FALSE),"")</f>
        <v>Yes</v>
      </c>
      <c r="G57" s="66" t="str">
        <f>IFERROR(VLOOKUP(D57&amp;J57,'Target columns'!A:J,8,FALSE),"")</f>
        <v>No</v>
      </c>
      <c r="H57" s="66" t="str">
        <f>IFERROR(VLOOKUP(D57&amp;J57,'Target columns'!A:J,5,FALSE),"")</f>
        <v>NOT NULL</v>
      </c>
      <c r="I57" s="66" t="str">
        <f>IFERROR(VLOOKUP(D57&amp;J57,'Target columns'!A:J,10,FALSE),"")</f>
        <v>Дата начала действия связи</v>
      </c>
      <c r="J57" s="10" t="s">
        <v>329</v>
      </c>
      <c r="K57" s="65" t="s">
        <v>208</v>
      </c>
      <c r="L57" s="66" t="str">
        <f>IFERROR(VLOOKUP(UPPER(K57&amp;N57),source_columns[],4,0),"")</f>
        <v/>
      </c>
      <c r="M57" s="66" t="str">
        <f>IFERROR(VLOOKUP(UPPER(K57&amp;N57),source_columns[],7,0),"")</f>
        <v/>
      </c>
      <c r="N57" s="202" t="s">
        <v>344</v>
      </c>
      <c r="O57" s="65"/>
      <c r="P57" s="65"/>
      <c r="Q57" s="65"/>
      <c r="R57" s="65"/>
      <c r="S57" s="280"/>
      <c r="T57" s="65"/>
      <c r="U57" s="65"/>
      <c r="V57" s="66" t="str">
        <f>"n308000046_"&amp;IFERROR(VLOOKUP(D57,target_tables[],5,0),"&lt;not found&gt;")</f>
        <v>n308000046_agr_escrow_int_org</v>
      </c>
      <c r="W57" s="65" t="s">
        <v>330</v>
      </c>
      <c r="X57" s="65"/>
      <c r="Y57" s="65"/>
      <c r="Z57" s="65"/>
      <c r="AA57" s="65"/>
      <c r="AB57" s="65"/>
      <c r="AC57" s="65"/>
      <c r="AD57" s="65"/>
      <c r="AE57" s="65"/>
      <c r="AF57" s="271"/>
      <c r="AG57" s="202"/>
      <c r="AH57" s="65"/>
      <c r="AI57" s="67"/>
      <c r="AJ57" s="68"/>
      <c r="AK57" s="69"/>
    </row>
    <row r="58" spans="1:37" ht="12.75" hidden="1" customHeight="1" x14ac:dyDescent="0.25">
      <c r="A58" s="70">
        <v>500</v>
      </c>
      <c r="B58" s="71" t="s">
        <v>266</v>
      </c>
      <c r="C58" s="71" t="str">
        <f>IFERROR(VLOOKUP(D58,'Target tables'!A:B,2,0),"")</f>
        <v>Таблица связей договора эскроу со справочником оргструктуры</v>
      </c>
      <c r="D58" s="27" t="s">
        <v>59</v>
      </c>
      <c r="E58" s="73" t="str">
        <f>IFERROR(VLOOKUP(D58&amp;J58,'Target columns'!A:J,4,FALSE),"")</f>
        <v>DATE</v>
      </c>
      <c r="F58" s="73" t="str">
        <f>IFERROR(VLOOKUP(D58&amp;J58,'Target columns'!A:J,7,FALSE),"")</f>
        <v>No</v>
      </c>
      <c r="G58" s="73" t="str">
        <f>IFERROR(VLOOKUP(D58&amp;J58,'Target columns'!A:J,8,FALSE),"")</f>
        <v>No</v>
      </c>
      <c r="H58" s="73" t="str">
        <f>IFERROR(VLOOKUP(D58&amp;J58,'Target columns'!A:J,5,FALSE),"")</f>
        <v>NULL</v>
      </c>
      <c r="I58" s="73" t="str">
        <f>IFERROR(VLOOKUP(D58&amp;J58,'Target columns'!A:J,10,FALSE),"")</f>
        <v>Дата окончания действия связи</v>
      </c>
      <c r="J58" s="27" t="s">
        <v>331</v>
      </c>
      <c r="K58" s="71" t="s">
        <v>208</v>
      </c>
      <c r="L58" s="73" t="str">
        <f>IFERROR(VLOOKUP(UPPER(K58&amp;N58),source_columns[],4,0),"")</f>
        <v/>
      </c>
      <c r="M58" s="73" t="str">
        <f>IFERROR(VLOOKUP(UPPER(K58&amp;N58),source_columns[],7,0),"")</f>
        <v/>
      </c>
      <c r="N58" s="71" t="s">
        <v>345</v>
      </c>
      <c r="O58" s="71"/>
      <c r="P58" s="71"/>
      <c r="Q58" s="71"/>
      <c r="R58" s="71"/>
      <c r="S58" s="280"/>
      <c r="T58" s="71"/>
      <c r="U58" s="71"/>
      <c r="V58" s="73" t="str">
        <f>"n308000046_"&amp;IFERROR(VLOOKUP(D58,target_tables[],5,0),"&lt;not found&gt;")</f>
        <v>n308000046_agr_escrow_int_org</v>
      </c>
      <c r="W58" s="71" t="s">
        <v>332</v>
      </c>
      <c r="X58" s="71"/>
      <c r="Y58" s="71"/>
      <c r="Z58" s="71"/>
      <c r="AA58" s="71"/>
      <c r="AB58" s="71"/>
      <c r="AC58" s="71"/>
      <c r="AD58" s="71"/>
      <c r="AE58" s="71"/>
      <c r="AF58" s="271"/>
      <c r="AG58" s="203"/>
      <c r="AH58" s="71"/>
      <c r="AI58" s="74"/>
      <c r="AJ58" s="95"/>
      <c r="AK58" s="69"/>
    </row>
    <row r="59" spans="1:37" ht="12.75" hidden="1" customHeight="1" x14ac:dyDescent="0.3">
      <c r="A59" s="81">
        <v>510</v>
      </c>
      <c r="B59" s="77" t="s">
        <v>314</v>
      </c>
      <c r="C59" s="82" t="str">
        <f>IFERROR(VLOOKUP(D59,'Target tables'!A:B,2,0),"")</f>
        <v>Справочник валюты</v>
      </c>
      <c r="D59" s="83" t="s">
        <v>104</v>
      </c>
      <c r="E59" s="78" t="str">
        <f>IFERROR(VLOOKUP(D59&amp;J59,'Target columns'!A:J,4,FALSE),"")</f>
        <v>UUID</v>
      </c>
      <c r="F59" s="78" t="str">
        <f>IFERROR(VLOOKUP(D59&amp;J59,'Target columns'!A:J,7,FALSE),"")</f>
        <v>Yes</v>
      </c>
      <c r="G59" s="78" t="str">
        <f>IFERROR(VLOOKUP(D59&amp;J59,'Target columns'!A:J,8,FALSE),"")</f>
        <v>No</v>
      </c>
      <c r="H59" s="78" t="str">
        <f>IFERROR(VLOOKUP(D59&amp;J59,'Target columns'!A:J,5,FALSE),"")</f>
        <v>NOT NULL</v>
      </c>
      <c r="I59" s="78" t="str">
        <f>IFERROR(VLOOKUP(D59&amp;J59,'Target columns'!A:J,10,FALSE),"")</f>
        <v>Идентификатор валюты</v>
      </c>
      <c r="J59" s="83" t="s">
        <v>380</v>
      </c>
      <c r="K59" s="82" t="s">
        <v>296</v>
      </c>
      <c r="L59" s="84" t="s">
        <v>316</v>
      </c>
      <c r="M59" s="84" t="s">
        <v>381</v>
      </c>
      <c r="N59" s="83" t="s">
        <v>380</v>
      </c>
      <c r="O59" s="82"/>
      <c r="P59" s="82"/>
      <c r="Q59" s="82"/>
      <c r="R59" s="82"/>
      <c r="S59" s="280" t="s">
        <v>382</v>
      </c>
      <c r="T59" s="82"/>
      <c r="U59" s="82"/>
      <c r="V59" s="84" t="str">
        <f>"n308000046_"&amp;IFERROR(VLOOKUP(D59,target_tables[],5,0),"&lt;not found&gt;")</f>
        <v>n308000046_crncy</v>
      </c>
      <c r="W59" s="82" t="s">
        <v>269</v>
      </c>
      <c r="X59" s="82"/>
      <c r="Y59" s="82"/>
      <c r="Z59" s="82"/>
      <c r="AA59" s="82"/>
      <c r="AB59" s="82"/>
      <c r="AC59" s="82"/>
      <c r="AD59" s="82"/>
      <c r="AE59" s="82"/>
      <c r="AF59" s="279" t="s">
        <v>270</v>
      </c>
      <c r="AG59" s="89"/>
      <c r="AH59" s="82"/>
      <c r="AI59" s="90"/>
      <c r="AJ59" s="91"/>
      <c r="AK59" s="69"/>
    </row>
    <row r="60" spans="1:37" ht="12.75" hidden="1" customHeight="1" x14ac:dyDescent="0.3">
      <c r="A60" s="70">
        <v>520</v>
      </c>
      <c r="B60" s="71" t="s">
        <v>314</v>
      </c>
      <c r="C60" s="71" t="str">
        <f>IFERROR(VLOOKUP(D60,'Target tables'!A:B,2,0),"")</f>
        <v>Справочник валюты</v>
      </c>
      <c r="D60" s="27" t="s">
        <v>104</v>
      </c>
      <c r="E60" s="73" t="str">
        <f>IFERROR(VLOOKUP(D60&amp;J60,'Target columns'!A:J,4,FALSE),"")</f>
        <v>TEXT</v>
      </c>
      <c r="F60" s="73" t="str">
        <f>IFERROR(VLOOKUP(D60&amp;J60,'Target columns'!A:J,7,FALSE),"")</f>
        <v>No</v>
      </c>
      <c r="G60" s="73" t="str">
        <f>IFERROR(VLOOKUP(D60&amp;J60,'Target columns'!A:J,8,FALSE),"")</f>
        <v>No</v>
      </c>
      <c r="H60" s="73" t="str">
        <f>IFERROR(VLOOKUP(D60&amp;J60,'Target columns'!A:J,5,FALSE),"")</f>
        <v>NULL</v>
      </c>
      <c r="I60" s="73" t="str">
        <f>IFERROR(VLOOKUP(D60&amp;J60,'Target columns'!A:J,10,FALSE),"")</f>
        <v>Буквенный код валюты</v>
      </c>
      <c r="J60" s="27" t="s">
        <v>383</v>
      </c>
      <c r="K60" s="71" t="s">
        <v>296</v>
      </c>
      <c r="L60" s="73" t="s">
        <v>320</v>
      </c>
      <c r="M60" s="73" t="s">
        <v>381</v>
      </c>
      <c r="N60" s="27" t="s">
        <v>383</v>
      </c>
      <c r="O60" s="71"/>
      <c r="P60" s="71"/>
      <c r="Q60" s="71"/>
      <c r="R60" s="71"/>
      <c r="S60" s="280"/>
      <c r="T60" s="71"/>
      <c r="U60" s="71"/>
      <c r="V60" s="73" t="str">
        <f>"n308000046_"&amp;IFERROR(VLOOKUP(D60,target_tables[],5,0),"&lt;not found&gt;")</f>
        <v>n308000046_crncy</v>
      </c>
      <c r="W60" s="71" t="s">
        <v>273</v>
      </c>
      <c r="X60" s="71"/>
      <c r="Y60" s="71"/>
      <c r="Z60" s="71"/>
      <c r="AA60" s="71"/>
      <c r="AB60" s="71"/>
      <c r="AC60" s="71"/>
      <c r="AD60" s="71"/>
      <c r="AE60" s="71"/>
      <c r="AF60" s="279"/>
      <c r="AG60" s="203"/>
      <c r="AH60" s="71"/>
      <c r="AI60" s="74"/>
      <c r="AJ60" s="75"/>
      <c r="AK60" s="69"/>
    </row>
    <row r="61" spans="1:37" ht="12.75" customHeight="1" thickBot="1" x14ac:dyDescent="0.35">
      <c r="A61" s="64">
        <v>530</v>
      </c>
      <c r="B61" s="246" t="s">
        <v>266</v>
      </c>
      <c r="C61" s="246" t="str">
        <f>IFERROR(VLOOKUP(D61,'Target tables'!A:B,2,0),"")</f>
        <v>Договор эскроу</v>
      </c>
      <c r="D61" s="236" t="s">
        <v>199</v>
      </c>
      <c r="E61" s="78" t="str">
        <f>IFERROR(VLOOKUP(D61&amp;J61,'Target columns'!A:J,4,FALSE),"")</f>
        <v>UUID</v>
      </c>
      <c r="F61" s="78" t="str">
        <f>IFERROR(VLOOKUP(D61&amp;J61,'Target columns'!A:J,7,FALSE),"")</f>
        <v>Yes</v>
      </c>
      <c r="G61" s="78" t="str">
        <f>IFERROR(VLOOKUP(D61&amp;J61,'Target columns'!A:J,8,FALSE),"")</f>
        <v>No</v>
      </c>
      <c r="H61" s="78" t="str">
        <f>IFERROR(VLOOKUP(D61&amp;J61,'Target columns'!A:J,5,FALSE),"")</f>
        <v>NOT NULL</v>
      </c>
      <c r="I61" s="78" t="str">
        <f>IFERROR(VLOOKUP(D61&amp;J61,'Target columns'!A:J,10,FALSE),"")</f>
        <v>Идентификатор договора эскроу</v>
      </c>
      <c r="J61" s="65" t="s">
        <v>267</v>
      </c>
      <c r="K61" s="65" t="s">
        <v>41</v>
      </c>
      <c r="L61" s="66" t="str">
        <f>IFERROR(VLOOKUP(UPPER(K61&amp;N61), source_columns[], 4,0),"")</f>
        <v>uuid</v>
      </c>
      <c r="M61" s="66" t="str">
        <f>IFERROR(VLOOKUP(UPPER(K61&amp;N61), source_columns[], 7,0),"")</f>
        <v>Идентификатор договора эскроу</v>
      </c>
      <c r="N61" s="65" t="s">
        <v>384</v>
      </c>
      <c r="O61" s="65"/>
      <c r="P61" s="65"/>
      <c r="Q61" s="65"/>
      <c r="R61" s="65"/>
      <c r="S61" s="281"/>
      <c r="T61" s="65"/>
      <c r="U61" s="65"/>
      <c r="V61" s="66" t="str">
        <f>"n308000046_"&amp;IFERROR(VLOOKUP(D61,target_tables[],5,0),"&lt;not found&gt;")</f>
        <v>n308000046_agr_escrow</v>
      </c>
      <c r="W61" s="65" t="s">
        <v>269</v>
      </c>
      <c r="X61" s="65"/>
      <c r="Y61" s="65"/>
      <c r="Z61" s="65"/>
      <c r="AA61" s="65"/>
      <c r="AB61" s="65"/>
      <c r="AC61" s="65"/>
      <c r="AD61" s="65"/>
      <c r="AE61" s="65"/>
      <c r="AF61" s="269" t="s">
        <v>270</v>
      </c>
      <c r="AG61" s="202"/>
      <c r="AH61" s="65"/>
      <c r="AI61" s="67"/>
      <c r="AJ61" s="68"/>
      <c r="AK61" s="69"/>
    </row>
    <row r="62" spans="1:37" ht="12.75" customHeight="1" thickBot="1" x14ac:dyDescent="0.35">
      <c r="A62" s="64">
        <v>540</v>
      </c>
      <c r="B62" s="246" t="s">
        <v>266</v>
      </c>
      <c r="C62" s="246" t="str">
        <f>IFERROR(VLOOKUP(D62,'Target tables'!A:B,2,0),"")</f>
        <v>Договор эскроу</v>
      </c>
      <c r="D62" s="236" t="s">
        <v>199</v>
      </c>
      <c r="E62" s="66" t="str">
        <f>IFERROR(VLOOKUP(D62&amp;J62,'Target columns'!A:J,4,FALSE),"")</f>
        <v>DATE</v>
      </c>
      <c r="F62" s="66" t="str">
        <f>IFERROR(VLOOKUP(D62&amp;J62,'Target columns'!A:J,7,FALSE),"")</f>
        <v>No</v>
      </c>
      <c r="G62" s="66" t="str">
        <f>IFERROR(VLOOKUP(D62&amp;J62,'Target columns'!A:J,8,FALSE),"")</f>
        <v>No</v>
      </c>
      <c r="H62" s="66" t="str">
        <f>IFERROR(VLOOKUP(D62&amp;J62,'Target columns'!A:J,5,FALSE),"")</f>
        <v>NULL</v>
      </c>
      <c r="I62" s="66" t="str">
        <f>IFERROR(VLOOKUP(D62&amp;J62,'Target columns'!A:J,10,FALSE),"")</f>
        <v>Дата открытия договора эскроу</v>
      </c>
      <c r="J62" s="65" t="s">
        <v>271</v>
      </c>
      <c r="K62" s="6" t="s">
        <v>41</v>
      </c>
      <c r="L62" s="66" t="str">
        <f>IFERROR(VLOOKUP(UPPER(K62&amp;N62),source_columns[],4,0),"")</f>
        <v>date</v>
      </c>
      <c r="M62" s="66" t="str">
        <f>IFERROR(VLOOKUP(UPPER(K62&amp;N62),source_columns[],7,0),"")</f>
        <v>Дата открытия договора эскроу</v>
      </c>
      <c r="N62" s="65" t="s">
        <v>385</v>
      </c>
      <c r="O62" s="65"/>
      <c r="P62" s="65"/>
      <c r="Q62" s="65"/>
      <c r="R62" s="65"/>
      <c r="S62" s="282"/>
      <c r="T62" s="65"/>
      <c r="U62" s="65"/>
      <c r="V62" s="66" t="str">
        <f>"n308000046_"&amp;IFERROR(VLOOKUP(D62,target_tables[],5,0),"&lt;not found&gt;")</f>
        <v>n308000046_agr_escrow</v>
      </c>
      <c r="W62" s="65" t="s">
        <v>273</v>
      </c>
      <c r="X62" s="65"/>
      <c r="Y62" s="65"/>
      <c r="Z62" s="65"/>
      <c r="AA62" s="65"/>
      <c r="AB62" s="65"/>
      <c r="AC62" s="65"/>
      <c r="AD62" s="65"/>
      <c r="AE62" s="65"/>
      <c r="AF62" s="269"/>
      <c r="AG62" s="202"/>
      <c r="AH62" s="65"/>
      <c r="AI62" s="67"/>
      <c r="AJ62" s="68"/>
      <c r="AK62" s="69"/>
    </row>
    <row r="63" spans="1:37" ht="12.75" customHeight="1" thickBot="1" x14ac:dyDescent="0.35">
      <c r="A63" s="64">
        <v>550</v>
      </c>
      <c r="B63" s="246" t="s">
        <v>266</v>
      </c>
      <c r="C63" s="246" t="str">
        <f>IFERROR(VLOOKUP(D63,'Target tables'!A:B,2,0),"")</f>
        <v>Договор эскроу</v>
      </c>
      <c r="D63" s="236" t="s">
        <v>199</v>
      </c>
      <c r="E63" s="66" t="str">
        <f>IFERROR(VLOOKUP(D63&amp;J63,'Target columns'!A:J,4,FALSE),"")</f>
        <v>DATE</v>
      </c>
      <c r="F63" s="66" t="str">
        <f>IFERROR(VLOOKUP(D63&amp;J63,'Target columns'!A:J,7,FALSE),"")</f>
        <v>No</v>
      </c>
      <c r="G63" s="66" t="str">
        <f>IFERROR(VLOOKUP(D63&amp;J63,'Target columns'!A:J,8,FALSE),"")</f>
        <v>No</v>
      </c>
      <c r="H63" s="66" t="str">
        <f>IFERROR(VLOOKUP(D63&amp;J63,'Target columns'!A:J,5,FALSE),"")</f>
        <v>NULL</v>
      </c>
      <c r="I63" s="66" t="str">
        <f>IFERROR(VLOOKUP(D63&amp;J63,'Target columns'!A:J,10,FALSE),"")</f>
        <v>Дата подписания договора эскроу</v>
      </c>
      <c r="J63" s="65" t="s">
        <v>274</v>
      </c>
      <c r="K63" s="6" t="s">
        <v>41</v>
      </c>
      <c r="L63" s="66" t="str">
        <f>IFERROR(VLOOKUP(UPPER(K63&amp;N63),source_columns[],4,0),"")</f>
        <v/>
      </c>
      <c r="M63" s="66" t="str">
        <f>IFERROR(VLOOKUP(UPPER(K63&amp;N63),source_columns[],7,0),"")</f>
        <v/>
      </c>
      <c r="N63" s="65" t="s">
        <v>386</v>
      </c>
      <c r="O63" s="65"/>
      <c r="P63" s="65"/>
      <c r="Q63" s="65"/>
      <c r="R63" s="65"/>
      <c r="S63" s="282"/>
      <c r="T63" s="65"/>
      <c r="U63" s="65"/>
      <c r="V63" s="66" t="str">
        <f>"n308000046_"&amp;IFERROR(VLOOKUP(D63,target_tables[],5,0),"&lt;not found&gt;")</f>
        <v>n308000046_agr_escrow</v>
      </c>
      <c r="W63" s="65" t="s">
        <v>273</v>
      </c>
      <c r="X63" s="65"/>
      <c r="Y63" s="65"/>
      <c r="Z63" s="65"/>
      <c r="AA63" s="65"/>
      <c r="AB63" s="65"/>
      <c r="AC63" s="65"/>
      <c r="AD63" s="65"/>
      <c r="AE63" s="65"/>
      <c r="AF63" s="269"/>
      <c r="AG63" s="202"/>
      <c r="AH63" s="65"/>
      <c r="AI63" s="67"/>
      <c r="AJ63" s="68"/>
      <c r="AK63" s="69"/>
    </row>
    <row r="64" spans="1:37" ht="12.75" customHeight="1" thickBot="1" x14ac:dyDescent="0.35">
      <c r="A64" s="64">
        <v>560</v>
      </c>
      <c r="B64" s="246" t="s">
        <v>266</v>
      </c>
      <c r="C64" s="246" t="str">
        <f>IFERROR(VLOOKUP(D64,'Target tables'!A:B,2,0),"")</f>
        <v>Договор эскроу</v>
      </c>
      <c r="D64" s="236" t="s">
        <v>199</v>
      </c>
      <c r="E64" s="66" t="str">
        <f>IFERROR(VLOOKUP(D64&amp;J64,'Target columns'!A:J,4,FALSE),"")</f>
        <v>DATE</v>
      </c>
      <c r="F64" s="66" t="str">
        <f>IFERROR(VLOOKUP(D64&amp;J64,'Target columns'!A:J,7,FALSE),"")</f>
        <v>No</v>
      </c>
      <c r="G64" s="66" t="str">
        <f>IFERROR(VLOOKUP(D64&amp;J64,'Target columns'!A:J,8,FALSE),"")</f>
        <v>No</v>
      </c>
      <c r="H64" s="66" t="str">
        <f>IFERROR(VLOOKUP(D64&amp;J64,'Target columns'!A:J,5,FALSE),"")</f>
        <v>NULL</v>
      </c>
      <c r="I64" s="66" t="str">
        <f>IFERROR(VLOOKUP(D64&amp;J64,'Target columns'!A:J,10,FALSE),"")</f>
        <v>Дата закрытия договора эскроу</v>
      </c>
      <c r="J64" s="65" t="s">
        <v>275</v>
      </c>
      <c r="K64" s="6" t="s">
        <v>41</v>
      </c>
      <c r="L64" s="66" t="str">
        <f>IFERROR(VLOOKUP(UPPER(K64&amp;N64),source_columns[],4,0),"")</f>
        <v>date</v>
      </c>
      <c r="M64" s="66" t="str">
        <f>IFERROR(VLOOKUP(UPPER(K64&amp;N64),source_columns[],7,0),"")</f>
        <v>Дата закрытия договора эскроу</v>
      </c>
      <c r="N64" s="65" t="s">
        <v>387</v>
      </c>
      <c r="O64" s="65"/>
      <c r="P64" s="65"/>
      <c r="Q64" s="65"/>
      <c r="R64" s="65"/>
      <c r="S64" s="282"/>
      <c r="T64" s="65"/>
      <c r="U64" s="65"/>
      <c r="V64" s="66" t="str">
        <f>"n308000046_"&amp;IFERROR(VLOOKUP(D64,target_tables[],5,0),"&lt;not found&gt;")</f>
        <v>n308000046_agr_escrow</v>
      </c>
      <c r="W64" s="65" t="s">
        <v>273</v>
      </c>
      <c r="X64" s="65"/>
      <c r="Y64" s="65"/>
      <c r="Z64" s="65"/>
      <c r="AA64" s="65"/>
      <c r="AB64" s="65"/>
      <c r="AC64" s="65"/>
      <c r="AD64" s="65"/>
      <c r="AE64" s="65"/>
      <c r="AF64" s="269"/>
      <c r="AG64" s="202"/>
      <c r="AH64" s="65"/>
      <c r="AI64" s="67"/>
      <c r="AJ64" s="68"/>
      <c r="AK64" s="69"/>
    </row>
    <row r="65" spans="1:37" s="253" customFormat="1" ht="12.75" customHeight="1" thickBot="1" x14ac:dyDescent="0.35">
      <c r="A65" s="248">
        <v>561</v>
      </c>
      <c r="B65" s="246" t="s">
        <v>266</v>
      </c>
      <c r="C65" s="246" t="str">
        <f>IFERROR(VLOOKUP(D65,'Target tables'!A:B,2,0),"")</f>
        <v>Договор эскроу</v>
      </c>
      <c r="D65" s="236" t="s">
        <v>199</v>
      </c>
      <c r="E65" s="247" t="str">
        <f>IFERROR(VLOOKUP(D65&amp;J65,'Target columns'!A:J,4,FALSE),"")</f>
        <v>DATE</v>
      </c>
      <c r="F65" s="247" t="str">
        <f>IFERROR(VLOOKUP(D65&amp;J65,'Target columns'!A:J,7,FALSE),"")</f>
        <v>No</v>
      </c>
      <c r="G65" s="247" t="str">
        <f>IFERROR(VLOOKUP(D65&amp;J65,'Target columns'!A:J,8,FALSE),"")</f>
        <v>No</v>
      </c>
      <c r="H65" s="247" t="str">
        <f>IFERROR(VLOOKUP(D65&amp;J65,'Target columns'!A:J,5,FALSE),"")</f>
        <v>NULL</v>
      </c>
      <c r="I65" s="247" t="str">
        <f>IFERROR(VLOOKUP(D65&amp;J65,'Target columns'!A:J,10,FALSE),"")</f>
        <v>Срок депонирования суммы</v>
      </c>
      <c r="J65" s="246" t="s">
        <v>2167</v>
      </c>
      <c r="K65" s="236" t="s">
        <v>41</v>
      </c>
      <c r="L65" s="247" t="str">
        <f>IFERROR(VLOOKUP(UPPER(K65&amp;N65),source_columns[],4,0),"")</f>
        <v>date</v>
      </c>
      <c r="M65" s="247" t="str">
        <f>IFERROR(VLOOKUP(UPPER(K65&amp;N65),source_columns[],7,0),"")</f>
        <v>Срок депонированной суммы</v>
      </c>
      <c r="N65" s="246" t="s">
        <v>706</v>
      </c>
      <c r="O65" s="246"/>
      <c r="P65" s="246"/>
      <c r="Q65" s="246"/>
      <c r="R65" s="246"/>
      <c r="S65" s="282"/>
      <c r="T65" s="246"/>
      <c r="U65" s="246"/>
      <c r="V65" s="247" t="str">
        <f>"n308000046_"&amp;IFERROR(VLOOKUP(D65,target_tables[],5,0),"&lt;not found&gt;")</f>
        <v>n308000046_agr_escrow</v>
      </c>
      <c r="W65" s="246" t="s">
        <v>273</v>
      </c>
      <c r="X65" s="246"/>
      <c r="Y65" s="246"/>
      <c r="Z65" s="246"/>
      <c r="AA65" s="246"/>
      <c r="AB65" s="246"/>
      <c r="AC65" s="246"/>
      <c r="AD65" s="246"/>
      <c r="AE65" s="246"/>
      <c r="AF65" s="269"/>
      <c r="AG65" s="249"/>
      <c r="AH65" s="246"/>
      <c r="AI65" s="250"/>
      <c r="AJ65" s="251"/>
      <c r="AK65" s="252"/>
    </row>
    <row r="66" spans="1:37" ht="12.75" customHeight="1" thickBot="1" x14ac:dyDescent="0.35">
      <c r="A66" s="64">
        <v>570</v>
      </c>
      <c r="B66" s="246" t="s">
        <v>266</v>
      </c>
      <c r="C66" s="246" t="str">
        <f>IFERROR(VLOOKUP(D66,'Target tables'!A:B,2,0),"")</f>
        <v>Договор эскроу</v>
      </c>
      <c r="D66" s="236" t="s">
        <v>199</v>
      </c>
      <c r="E66" s="66" t="str">
        <f>IFERROR(VLOOKUP(D66&amp;J66,'Target columns'!A:J,4,FALSE),"")</f>
        <v>TEXT</v>
      </c>
      <c r="F66" s="66" t="str">
        <f>IFERROR(VLOOKUP(D66&amp;J66,'Target columns'!A:J,7,FALSE),"")</f>
        <v>No</v>
      </c>
      <c r="G66" s="66" t="str">
        <f>IFERROR(VLOOKUP(D66&amp;J66,'Target columns'!A:J,8,FALSE),"")</f>
        <v>No</v>
      </c>
      <c r="H66" s="66" t="str">
        <f>IFERROR(VLOOKUP(D66&amp;J66,'Target columns'!A:J,5,FALSE),"")</f>
        <v>NULL</v>
      </c>
      <c r="I66" s="66" t="str">
        <f>IFERROR(VLOOKUP(D66&amp;J66,'Target columns'!A:J,10,FALSE),"")</f>
        <v>Номер договора эскроу</v>
      </c>
      <c r="J66" s="65" t="s">
        <v>277</v>
      </c>
      <c r="K66" s="6" t="s">
        <v>41</v>
      </c>
      <c r="L66" s="66" t="str">
        <f>IFERROR(VLOOKUP(UPPER(K66&amp;N66),source_columns[],4,0),"")</f>
        <v>text</v>
      </c>
      <c r="M66" s="66" t="str">
        <f>IFERROR(VLOOKUP(UPPER(K66&amp;N66),source_columns[],7,0),"")</f>
        <v>Номер договора</v>
      </c>
      <c r="N66" s="65" t="s">
        <v>388</v>
      </c>
      <c r="O66" s="65"/>
      <c r="P66" s="65"/>
      <c r="Q66" s="65"/>
      <c r="R66" s="65"/>
      <c r="S66" s="282"/>
      <c r="T66" s="65"/>
      <c r="U66" s="65"/>
      <c r="V66" s="66" t="str">
        <f>"n308000046_"&amp;IFERROR(VLOOKUP(D66,target_tables[],5,0),"&lt;not found&gt;")</f>
        <v>n308000046_agr_escrow</v>
      </c>
      <c r="W66" s="65" t="s">
        <v>273</v>
      </c>
      <c r="X66" s="65"/>
      <c r="Y66" s="65"/>
      <c r="Z66" s="65"/>
      <c r="AA66" s="65"/>
      <c r="AB66" s="65"/>
      <c r="AC66" s="65"/>
      <c r="AD66" s="65"/>
      <c r="AE66" s="65"/>
      <c r="AF66" s="269"/>
      <c r="AG66" s="202"/>
      <c r="AH66" s="65"/>
      <c r="AI66" s="67"/>
      <c r="AJ66" s="68"/>
      <c r="AK66" s="69"/>
    </row>
    <row r="67" spans="1:37" ht="12.75" customHeight="1" thickBot="1" x14ac:dyDescent="0.35">
      <c r="A67" s="64">
        <v>571</v>
      </c>
      <c r="B67" s="246" t="s">
        <v>266</v>
      </c>
      <c r="C67" s="246" t="str">
        <f>IFERROR(VLOOKUP(D67,'Target tables'!A:B,2,0),"")</f>
        <v>Договор эскроу</v>
      </c>
      <c r="D67" s="236" t="s">
        <v>199</v>
      </c>
      <c r="E67" s="66" t="str">
        <f>IFERROR(VLOOKUP(D67&amp;J67,'Target columns'!A:J,4,FALSE),"")</f>
        <v>UUID</v>
      </c>
      <c r="F67" s="66" t="str">
        <f>IFERROR(VLOOKUP(D67&amp;J67,'Target columns'!A:J,7,FALSE),"")</f>
        <v>No</v>
      </c>
      <c r="G67" s="66" t="str">
        <f>IFERROR(VLOOKUP(D67&amp;J67,'Target columns'!A:J,8,FALSE),"")</f>
        <v>Yes</v>
      </c>
      <c r="H67" s="66" t="str">
        <f>IFERROR(VLOOKUP(D67&amp;J67,'Target columns'!A:J,5,FALSE),"")</f>
        <v>NULL</v>
      </c>
      <c r="I67" s="66" t="str">
        <f>IFERROR(VLOOKUP(D67&amp;J67,'Target columns'!A:J,10,FALSE),"")</f>
        <v>Идентификатор типа договора эскроу</v>
      </c>
      <c r="J67" s="65" t="s">
        <v>389</v>
      </c>
      <c r="K67" s="6" t="s">
        <v>41</v>
      </c>
      <c r="L67" s="66" t="str">
        <f>IFERROR(VLOOKUP(UPPER(K67&amp;N67),source_columns[],4,0),"")</f>
        <v>uuid</v>
      </c>
      <c r="M67" s="66" t="str">
        <f>IFERROR(VLOOKUP(UPPER(K67&amp;N67),source_columns[],7,0),"")</f>
        <v>Тип договора эскроу ГК</v>
      </c>
      <c r="N67" s="65" t="s">
        <v>390</v>
      </c>
      <c r="O67" s="65"/>
      <c r="P67" s="65"/>
      <c r="Q67" s="65"/>
      <c r="R67" s="65"/>
      <c r="S67" s="282"/>
      <c r="T67" s="65"/>
      <c r="U67" s="65"/>
      <c r="V67" s="66" t="str">
        <f>"n308000046_"&amp;IFERROR(VLOOKUP(D67,target_tables[],5,0),"&lt;not found&gt;")</f>
        <v>n308000046_agr_escrow</v>
      </c>
      <c r="W67" s="65" t="s">
        <v>273</v>
      </c>
      <c r="X67" s="65"/>
      <c r="Y67" s="65"/>
      <c r="Z67" s="65"/>
      <c r="AA67" s="65"/>
      <c r="AB67" s="65"/>
      <c r="AC67" s="65"/>
      <c r="AD67" s="65"/>
      <c r="AE67" s="65"/>
      <c r="AF67" s="269"/>
      <c r="AG67" s="202"/>
      <c r="AH67" s="65"/>
      <c r="AI67" s="67"/>
      <c r="AJ67" s="68"/>
      <c r="AK67" s="69"/>
    </row>
    <row r="68" spans="1:37" ht="12.75" customHeight="1" thickBot="1" x14ac:dyDescent="0.35">
      <c r="A68" s="64">
        <v>580</v>
      </c>
      <c r="B68" s="246" t="s">
        <v>266</v>
      </c>
      <c r="C68" s="246" t="str">
        <f>IFERROR(VLOOKUP(D68,'Target tables'!A:B,2,0),"")</f>
        <v>Договор эскроу</v>
      </c>
      <c r="D68" s="236" t="s">
        <v>199</v>
      </c>
      <c r="E68" s="66" t="str">
        <f>IFERROR(VLOOKUP(D68&amp;J68,'Target columns'!A:J,4,FALSE),"")</f>
        <v>TEXT</v>
      </c>
      <c r="F68" s="66" t="str">
        <f>IFERROR(VLOOKUP(D68&amp;J68,'Target columns'!A:J,7,FALSE),"")</f>
        <v>No</v>
      </c>
      <c r="G68" s="66" t="str">
        <f>IFERROR(VLOOKUP(D68&amp;J68,'Target columns'!A:J,8,FALSE),"")</f>
        <v>No</v>
      </c>
      <c r="H68" s="66" t="str">
        <f>IFERROR(VLOOKUP(D68&amp;J68,'Target columns'!A:J,5,FALSE),"")</f>
        <v>NULL</v>
      </c>
      <c r="I68" s="66" t="str">
        <f>IFERROR(VLOOKUP(D68&amp;J68,'Target columns'!A:J,10,FALSE),"")</f>
        <v>Идентификатор договора эскроу в системе-источнике</v>
      </c>
      <c r="J68" s="65" t="s">
        <v>279</v>
      </c>
      <c r="K68" s="6" t="s">
        <v>41</v>
      </c>
      <c r="L68" s="66" t="str">
        <f>IFERROR(VLOOKUP(UPPER(K68&amp;N68),source_columns[],4,0),"")</f>
        <v>text</v>
      </c>
      <c r="M68" s="66" t="str">
        <f>IFERROR(VLOOKUP(UPPER(K68&amp;N68),source_columns[],7,0),"")</f>
        <v>Идентификатор договора эскроу</v>
      </c>
      <c r="N68" s="65" t="s">
        <v>391</v>
      </c>
      <c r="O68" s="65"/>
      <c r="P68" s="65"/>
      <c r="Q68" s="65"/>
      <c r="R68" s="65"/>
      <c r="S68" s="282"/>
      <c r="T68" s="65"/>
      <c r="U68" s="65"/>
      <c r="V68" s="66" t="str">
        <f>"n308000046_"&amp;IFERROR(VLOOKUP(D68,target_tables[],5,0),"&lt;not found&gt;")</f>
        <v>n308000046_agr_escrow</v>
      </c>
      <c r="W68" s="65" t="s">
        <v>273</v>
      </c>
      <c r="X68" s="65"/>
      <c r="Y68" s="65"/>
      <c r="Z68" s="65"/>
      <c r="AA68" s="65"/>
      <c r="AB68" s="65"/>
      <c r="AC68" s="65"/>
      <c r="AD68" s="65"/>
      <c r="AE68" s="65"/>
      <c r="AF68" s="269"/>
      <c r="AG68" s="202"/>
      <c r="AH68" s="65"/>
      <c r="AI68" s="67"/>
      <c r="AJ68" s="68"/>
      <c r="AK68" s="69"/>
    </row>
    <row r="69" spans="1:37" ht="12.75" customHeight="1" thickBot="1" x14ac:dyDescent="0.35">
      <c r="A69" s="64">
        <v>590</v>
      </c>
      <c r="B69" s="246" t="s">
        <v>266</v>
      </c>
      <c r="C69" s="246" t="str">
        <f>IFERROR(VLOOKUP(D69,'Target tables'!A:B,2,0),"")</f>
        <v>Договор эскроу</v>
      </c>
      <c r="D69" s="236" t="s">
        <v>199</v>
      </c>
      <c r="E69" s="66" t="str">
        <f>IFERROR(VLOOKUP(D69&amp;J69,'Target columns'!A:J,4,FALSE),"")</f>
        <v>DATE</v>
      </c>
      <c r="F69" s="66" t="str">
        <f>IFERROR(VLOOKUP(D69&amp;J69,'Target columns'!A:J,7,FALSE),"")</f>
        <v>No</v>
      </c>
      <c r="G69" s="66" t="str">
        <f>IFERROR(VLOOKUP(D69&amp;J69,'Target columns'!A:J,8,FALSE),"")</f>
        <v>No</v>
      </c>
      <c r="H69" s="66" t="str">
        <f>IFERROR(VLOOKUP(D69&amp;J69,'Target columns'!A:J,5,FALSE),"")</f>
        <v>NULL</v>
      </c>
      <c r="I69" s="66" t="str">
        <f>IFERROR(VLOOKUP(D69&amp;J69,'Target columns'!A:J,10,FALSE),"")</f>
        <v>Плановая дата ввода в эксплуатацию объекта строительства</v>
      </c>
      <c r="J69" s="65" t="s">
        <v>281</v>
      </c>
      <c r="K69" s="6" t="s">
        <v>41</v>
      </c>
      <c r="L69" s="66" t="str">
        <f>IFERROR(VLOOKUP(UPPER(K69&amp;N69),source_columns[],4,0),"")</f>
        <v/>
      </c>
      <c r="M69" s="66" t="str">
        <f>IFERROR(VLOOKUP(UPPER(K69&amp;N69),source_columns[],7,0),"")</f>
        <v/>
      </c>
      <c r="N69" s="65" t="s">
        <v>386</v>
      </c>
      <c r="O69" s="65"/>
      <c r="P69" s="65"/>
      <c r="Q69" s="65"/>
      <c r="R69" s="65"/>
      <c r="S69" s="282"/>
      <c r="T69" s="65"/>
      <c r="U69" s="65"/>
      <c r="V69" s="66" t="str">
        <f>"n308000046_"&amp;IFERROR(VLOOKUP(D69,target_tables[],5,0),"&lt;not found&gt;")</f>
        <v>n308000046_agr_escrow</v>
      </c>
      <c r="W69" s="65" t="s">
        <v>273</v>
      </c>
      <c r="X69" s="65"/>
      <c r="Y69" s="65"/>
      <c r="Z69" s="65"/>
      <c r="AA69" s="65"/>
      <c r="AB69" s="65"/>
      <c r="AC69" s="65"/>
      <c r="AD69" s="65"/>
      <c r="AE69" s="65"/>
      <c r="AF69" s="269"/>
      <c r="AG69" s="202"/>
      <c r="AH69" s="65"/>
      <c r="AI69" s="67"/>
      <c r="AJ69" s="68"/>
      <c r="AK69" s="69"/>
    </row>
    <row r="70" spans="1:37" ht="12.75" customHeight="1" thickBot="1" x14ac:dyDescent="0.35">
      <c r="A70" s="64">
        <v>600</v>
      </c>
      <c r="B70" s="246" t="s">
        <v>266</v>
      </c>
      <c r="C70" s="246" t="str">
        <f>IFERROR(VLOOKUP(D70,'Target tables'!A:B,2,0),"")</f>
        <v>Договор эскроу</v>
      </c>
      <c r="D70" s="236" t="s">
        <v>199</v>
      </c>
      <c r="E70" s="66" t="str">
        <f>IFERROR(VLOOKUP(D70&amp;J70,'Target columns'!A:J,4,FALSE),"")</f>
        <v>DECIMAL(26,4)</v>
      </c>
      <c r="F70" s="66" t="str">
        <f>IFERROR(VLOOKUP(D70&amp;J70,'Target columns'!A:J,7,FALSE),"")</f>
        <v>No</v>
      </c>
      <c r="G70" s="66" t="str">
        <f>IFERROR(VLOOKUP(D70&amp;J70,'Target columns'!A:J,8,FALSE),"")</f>
        <v>No</v>
      </c>
      <c r="H70" s="66" t="str">
        <f>IFERROR(VLOOKUP(D70&amp;J70,'Target columns'!A:J,5,FALSE),"")</f>
        <v>NULL</v>
      </c>
      <c r="I70" s="66" t="str">
        <f>IFERROR(VLOOKUP(D70&amp;J70,'Target columns'!A:J,10,FALSE),"")</f>
        <v>Сумма депонирования эскроу</v>
      </c>
      <c r="J70" s="65" t="s">
        <v>283</v>
      </c>
      <c r="K70" s="6" t="s">
        <v>41</v>
      </c>
      <c r="L70" s="66" t="str">
        <f>IFERROR(VLOOKUP(UPPER(K70&amp;N70),source_columns[],4,0),"")</f>
        <v>numeric(38 , 16)</v>
      </c>
      <c r="M70" s="66" t="str">
        <f>IFERROR(VLOOKUP(UPPER(K70&amp;N70),source_columns[],7,0),"")</f>
        <v>Сумма договора</v>
      </c>
      <c r="N70" s="65" t="s">
        <v>392</v>
      </c>
      <c r="O70" s="65"/>
      <c r="P70" s="65"/>
      <c r="Q70" s="65"/>
      <c r="R70" s="65"/>
      <c r="S70" s="282"/>
      <c r="T70" s="65"/>
      <c r="U70" s="65"/>
      <c r="V70" s="66" t="str">
        <f>"n308000046_"&amp;IFERROR(VLOOKUP(D70,target_tables[],5,0),"&lt;not found&gt;")</f>
        <v>n308000046_agr_escrow</v>
      </c>
      <c r="W70" s="65" t="s">
        <v>273</v>
      </c>
      <c r="X70" s="65"/>
      <c r="Y70" s="65"/>
      <c r="Z70" s="65"/>
      <c r="AA70" s="65"/>
      <c r="AB70" s="65"/>
      <c r="AC70" s="65"/>
      <c r="AD70" s="65"/>
      <c r="AE70" s="65"/>
      <c r="AF70" s="269"/>
      <c r="AG70" s="202"/>
      <c r="AH70" s="65"/>
      <c r="AI70" s="67"/>
      <c r="AJ70" s="68" t="s">
        <v>285</v>
      </c>
      <c r="AK70" s="69"/>
    </row>
    <row r="71" spans="1:37" ht="12.75" customHeight="1" thickBot="1" x14ac:dyDescent="0.35">
      <c r="A71" s="64">
        <v>610</v>
      </c>
      <c r="B71" s="246" t="s">
        <v>266</v>
      </c>
      <c r="C71" s="246" t="str">
        <f>IFERROR(VLOOKUP(D71,'Target tables'!A:B,2,0),"")</f>
        <v>Договор эскроу</v>
      </c>
      <c r="D71" s="236" t="s">
        <v>199</v>
      </c>
      <c r="E71" s="66" t="str">
        <f>IFERROR(VLOOKUP(D71&amp;J71,'Target columns'!A:J,4,FALSE),"")</f>
        <v>UUID</v>
      </c>
      <c r="F71" s="66" t="str">
        <f>IFERROR(VLOOKUP(D71&amp;J71,'Target columns'!A:J,7,FALSE),"")</f>
        <v>No</v>
      </c>
      <c r="G71" s="66" t="str">
        <f>IFERROR(VLOOKUP(D71&amp;J71,'Target columns'!A:J,8,FALSE),"")</f>
        <v>Yes</v>
      </c>
      <c r="H71" s="66" t="str">
        <f>IFERROR(VLOOKUP(D71&amp;J71,'Target columns'!A:J,5,FALSE),"")</f>
        <v>NULL</v>
      </c>
      <c r="I71" s="66" t="str">
        <f>IFERROR(VLOOKUP(D71&amp;J71,'Target columns'!A:J,10,FALSE),"")</f>
        <v>Идентификатор валюты</v>
      </c>
      <c r="J71" s="65" t="s">
        <v>286</v>
      </c>
      <c r="K71" s="6" t="s">
        <v>41</v>
      </c>
      <c r="L71" s="66" t="str">
        <f>IFERROR(VLOOKUP(UPPER(K71&amp;N71),source_columns[],4,0),"")</f>
        <v>uuid</v>
      </c>
      <c r="M71" s="66" t="str">
        <f>IFERROR(VLOOKUP(UPPER(K71&amp;N71),source_columns[],7,0),"")</f>
        <v>Валюта договора</v>
      </c>
      <c r="N71" s="65" t="s">
        <v>393</v>
      </c>
      <c r="O71" s="65"/>
      <c r="P71" s="65"/>
      <c r="Q71" s="65"/>
      <c r="R71" s="65"/>
      <c r="S71" s="282"/>
      <c r="T71" s="65"/>
      <c r="U71" s="65"/>
      <c r="V71" s="66" t="str">
        <f>"n308000046_"&amp;IFERROR(VLOOKUP(D71,target_tables[],5,0),"&lt;not found&gt;")</f>
        <v>n308000046_agr_escrow</v>
      </c>
      <c r="W71" s="65" t="s">
        <v>273</v>
      </c>
      <c r="X71" s="65"/>
      <c r="Y71" s="65"/>
      <c r="Z71" s="65"/>
      <c r="AA71" s="65"/>
      <c r="AB71" s="65"/>
      <c r="AC71" s="65"/>
      <c r="AD71" s="65"/>
      <c r="AE71" s="65"/>
      <c r="AF71" s="269"/>
      <c r="AG71" s="202"/>
      <c r="AH71" s="65"/>
      <c r="AI71" s="67"/>
      <c r="AJ71" s="68"/>
      <c r="AK71" s="69"/>
    </row>
    <row r="72" spans="1:37" ht="12.75" customHeight="1" thickBot="1" x14ac:dyDescent="0.35">
      <c r="A72" s="64">
        <v>620</v>
      </c>
      <c r="B72" s="246" t="s">
        <v>266</v>
      </c>
      <c r="C72" s="246" t="str">
        <f>IFERROR(VLOOKUP(D72,'Target tables'!A:B,2,0),"")</f>
        <v>Договор эскроу</v>
      </c>
      <c r="D72" s="236" t="s">
        <v>199</v>
      </c>
      <c r="E72" s="66" t="str">
        <f>IFERROR(VLOOKUP(D72&amp;J72,'Target columns'!A:J,4,FALSE),"")</f>
        <v>UUID</v>
      </c>
      <c r="F72" s="66" t="str">
        <f>IFERROR(VLOOKUP(D72&amp;J72,'Target columns'!A:J,7,FALSE),"")</f>
        <v>No</v>
      </c>
      <c r="G72" s="66" t="str">
        <f>IFERROR(VLOOKUP(D72&amp;J72,'Target columns'!A:J,8,FALSE),"")</f>
        <v>Yes</v>
      </c>
      <c r="H72" s="66" t="str">
        <f>IFERROR(VLOOKUP(D72&amp;J72,'Target columns'!A:J,5,FALSE),"")</f>
        <v>NULL</v>
      </c>
      <c r="I72" s="66" t="str">
        <f>IFERROR(VLOOKUP(D72&amp;J72,'Target columns'!A:J,10,FALSE),"")</f>
        <v>Идентификатор схемы</v>
      </c>
      <c r="J72" s="65" t="s">
        <v>288</v>
      </c>
      <c r="K72" s="6" t="s">
        <v>41</v>
      </c>
      <c r="L72" s="66" t="str">
        <f>IFERROR(VLOOKUP(UPPER(K72&amp;N72),source_columns[],4,0),"")</f>
        <v>uuid</v>
      </c>
      <c r="M72" s="66" t="str">
        <f>IFERROR(VLOOKUP(UPPER(K72&amp;N72),source_columns[],7,0),"")</f>
        <v>Код схемы распределения дохода</v>
      </c>
      <c r="N72" s="65" t="s">
        <v>394</v>
      </c>
      <c r="O72" s="65"/>
      <c r="P72" s="65"/>
      <c r="Q72" s="65"/>
      <c r="R72" s="65"/>
      <c r="S72" s="282"/>
      <c r="T72" s="65"/>
      <c r="U72" s="65"/>
      <c r="V72" s="66" t="str">
        <f>"n308000046_"&amp;IFERROR(VLOOKUP(D72,target_tables[],5,0),"&lt;not found&gt;")</f>
        <v>n308000046_agr_escrow</v>
      </c>
      <c r="W72" s="65" t="s">
        <v>273</v>
      </c>
      <c r="X72" s="65"/>
      <c r="Y72" s="65"/>
      <c r="Z72" s="65"/>
      <c r="AA72" s="65"/>
      <c r="AB72" s="65"/>
      <c r="AC72" s="65"/>
      <c r="AD72" s="65"/>
      <c r="AE72" s="65"/>
      <c r="AF72" s="269"/>
      <c r="AG72" s="202"/>
      <c r="AH72" s="65"/>
      <c r="AI72" s="67"/>
      <c r="AJ72" s="68" t="s">
        <v>395</v>
      </c>
      <c r="AK72" s="69"/>
    </row>
    <row r="73" spans="1:37" ht="12.75" customHeight="1" thickBot="1" x14ac:dyDescent="0.35">
      <c r="A73" s="64">
        <v>630</v>
      </c>
      <c r="B73" s="246" t="s">
        <v>266</v>
      </c>
      <c r="C73" s="246" t="str">
        <f>IFERROR(VLOOKUP(D73,'Target tables'!A:B,2,0),"")</f>
        <v>Договор эскроу</v>
      </c>
      <c r="D73" s="236" t="s">
        <v>199</v>
      </c>
      <c r="E73" s="66" t="str">
        <f>IFERROR(VLOOKUP(D73&amp;J73,'Target columns'!A:J,4,FALSE),"")</f>
        <v>DATE</v>
      </c>
      <c r="F73" s="66" t="str">
        <f>IFERROR(VLOOKUP(D73&amp;J73,'Target columns'!A:J,7,FALSE),"")</f>
        <v>No</v>
      </c>
      <c r="G73" s="66" t="str">
        <f>IFERROR(VLOOKUP(D73&amp;J73,'Target columns'!A:J,8,FALSE),"")</f>
        <v>No</v>
      </c>
      <c r="H73" s="66" t="str">
        <f>IFERROR(VLOOKUP(D73&amp;J73,'Target columns'!A:J,5,FALSE),"")</f>
        <v>NULL</v>
      </c>
      <c r="I73" s="66" t="str">
        <f>IFERROR(VLOOKUP(D73&amp;J73,'Target columns'!A:J,10,FALSE),"")</f>
        <v>Плановая дата окончания/Срок условного депонирования договора</v>
      </c>
      <c r="J73" s="65" t="s">
        <v>291</v>
      </c>
      <c r="K73" s="6" t="s">
        <v>41</v>
      </c>
      <c r="L73" s="66" t="str">
        <f>IFERROR(VLOOKUP(UPPER(K73&amp;N73),source_columns[],4,0),"")</f>
        <v>date</v>
      </c>
      <c r="M73" s="66" t="str">
        <f>IFERROR(VLOOKUP(UPPER(K73&amp;N73),source_columns[],7,0),"")</f>
        <v>Дата истечения срока действия сделки эскроу</v>
      </c>
      <c r="N73" s="65" t="s">
        <v>396</v>
      </c>
      <c r="O73" s="65"/>
      <c r="P73" s="65"/>
      <c r="Q73" s="65"/>
      <c r="R73" s="65"/>
      <c r="S73" s="282"/>
      <c r="T73" s="65"/>
      <c r="U73" s="65"/>
      <c r="V73" s="66" t="str">
        <f>"n308000046_"&amp;IFERROR(VLOOKUP(D73,target_tables[],5,0),"&lt;not found&gt;")</f>
        <v>n308000046_agr_escrow</v>
      </c>
      <c r="W73" s="65" t="s">
        <v>273</v>
      </c>
      <c r="X73" s="65"/>
      <c r="Y73" s="65"/>
      <c r="Z73" s="65"/>
      <c r="AA73" s="65"/>
      <c r="AB73" s="65"/>
      <c r="AC73" s="65"/>
      <c r="AD73" s="65"/>
      <c r="AE73" s="65"/>
      <c r="AF73" s="269"/>
      <c r="AG73" s="202"/>
      <c r="AH73" s="65"/>
      <c r="AI73" s="67"/>
      <c r="AJ73" s="68"/>
      <c r="AK73" s="69"/>
    </row>
    <row r="74" spans="1:37" ht="12.75" customHeight="1" thickBot="1" x14ac:dyDescent="0.35">
      <c r="A74" s="70">
        <v>640</v>
      </c>
      <c r="B74" s="264" t="s">
        <v>266</v>
      </c>
      <c r="C74" s="264" t="str">
        <f>IFERROR(VLOOKUP(D74,'Target tables'!A:B,2,0),"")</f>
        <v>Договор эскроу</v>
      </c>
      <c r="D74" s="265" t="s">
        <v>199</v>
      </c>
      <c r="E74" s="73" t="str">
        <f>IFERROR(VLOOKUP(D74&amp;J74,'Target columns'!A:J,4,FALSE),"")</f>
        <v>TEXT</v>
      </c>
      <c r="F74" s="73" t="str">
        <f>IFERROR(VLOOKUP(D74&amp;J74,'Target columns'!A:J,7,FALSE),"")</f>
        <v>No</v>
      </c>
      <c r="G74" s="73" t="str">
        <f>IFERROR(VLOOKUP(D74&amp;J74,'Target columns'!A:J,8,FALSE),"")</f>
        <v>No</v>
      </c>
      <c r="H74" s="73" t="str">
        <f>IFERROR(VLOOKUP(D74&amp;J74,'Target columns'!A:J,5,FALSE),"")</f>
        <v>NULL</v>
      </c>
      <c r="I74" s="73" t="str">
        <f>IFERROR(VLOOKUP(D74&amp;J74,'Target columns'!A:J,10,FALSE),"")</f>
        <v>Признак работы в рамках 214-ФЗ</v>
      </c>
      <c r="J74" s="71" t="s">
        <v>293</v>
      </c>
      <c r="K74" s="71" t="s">
        <v>41</v>
      </c>
      <c r="L74" s="73" t="str">
        <f>IFERROR(VLOOKUP(UPPER(K74&amp;N74),source_columns[],4,0),"")</f>
        <v/>
      </c>
      <c r="M74" s="73" t="str">
        <f>IFERROR(VLOOKUP(UPPER(K74&amp;N74),source_columns[],7,0),"")</f>
        <v/>
      </c>
      <c r="N74" s="71" t="s">
        <v>397</v>
      </c>
      <c r="O74" s="71"/>
      <c r="P74" s="71"/>
      <c r="Q74" s="71"/>
      <c r="R74" s="71"/>
      <c r="S74" s="283"/>
      <c r="T74" s="71"/>
      <c r="U74" s="71"/>
      <c r="V74" s="73" t="str">
        <f>"n308000046_"&amp;IFERROR(VLOOKUP(D74,target_tables[],5,0),"&lt;not found&gt;")</f>
        <v>n308000046_agr_escrow</v>
      </c>
      <c r="W74" s="71" t="s">
        <v>273</v>
      </c>
      <c r="X74" s="71"/>
      <c r="Y74" s="71"/>
      <c r="Z74" s="71"/>
      <c r="AA74" s="71"/>
      <c r="AB74" s="71"/>
      <c r="AC74" s="71"/>
      <c r="AD74" s="71"/>
      <c r="AE74" s="71"/>
      <c r="AF74" s="269"/>
      <c r="AG74" s="203"/>
      <c r="AH74" s="71"/>
      <c r="AI74" s="74"/>
      <c r="AJ74" s="75"/>
      <c r="AK74" s="69"/>
    </row>
    <row r="75" spans="1:37" ht="12.75" hidden="1" customHeight="1" thickBot="1" x14ac:dyDescent="0.35">
      <c r="A75" s="76">
        <v>650</v>
      </c>
      <c r="B75" s="77" t="s">
        <v>266</v>
      </c>
      <c r="C75" s="77" t="str">
        <f>IFERROR(VLOOKUP(D75,'Target tables'!A:B,2,0),"")</f>
        <v>Таблица связей кредитного договора с договором эскроу</v>
      </c>
      <c r="D75" s="24" t="s">
        <v>212</v>
      </c>
      <c r="E75" s="78" t="str">
        <f>IFERROR(VLOOKUP(D75&amp;J75,'Target columns'!A:J,4,FALSE),"")</f>
        <v>UUID</v>
      </c>
      <c r="F75" s="78" t="str">
        <f>IFERROR(VLOOKUP(D75&amp;J75,'Target columns'!A:J,7,FALSE),"")</f>
        <v>Yes</v>
      </c>
      <c r="G75" s="78" t="str">
        <f>IFERROR(VLOOKUP(D75&amp;J75,'Target columns'!A:J,8,FALSE),"")</f>
        <v>Yes</v>
      </c>
      <c r="H75" s="78" t="str">
        <f>IFERROR(VLOOKUP(D75&amp;J75,'Target columns'!A:J,5,FALSE),"")</f>
        <v>NOT NULL</v>
      </c>
      <c r="I75" s="78" t="str">
        <f>IFERROR(VLOOKUP(D75&amp;J75,'Target columns'!A:J,10,FALSE),"")</f>
        <v>ИД  договора эскроу</v>
      </c>
      <c r="J75" s="24" t="s">
        <v>267</v>
      </c>
      <c r="K75" s="77" t="s">
        <v>41</v>
      </c>
      <c r="L75" s="78" t="str">
        <f>IFERROR(VLOOKUP(UPPER(K75&amp;N75),source_columns[],4,0),"")</f>
        <v>uuid</v>
      </c>
      <c r="M75" s="78" t="str">
        <f>IFERROR(VLOOKUP(UPPER(K75&amp;N75),source_columns[],7,0),"")</f>
        <v>Идентификатор договора эскроу</v>
      </c>
      <c r="N75" s="77" t="s">
        <v>384</v>
      </c>
      <c r="O75" s="77"/>
      <c r="P75" s="77"/>
      <c r="Q75" s="77"/>
      <c r="R75" s="77"/>
      <c r="S75" s="284" t="s">
        <v>398</v>
      </c>
      <c r="T75" s="77"/>
      <c r="U75" s="77"/>
      <c r="V75" s="78" t="str">
        <f>"n308000046_"&amp;IFERROR(VLOOKUP(D75,target_tables[],5,0),"&lt;not found&gt;")</f>
        <v>n308000046_agr_escrow_agr_cred</v>
      </c>
      <c r="W75" s="77" t="s">
        <v>269</v>
      </c>
      <c r="X75" s="77"/>
      <c r="Y75" s="77"/>
      <c r="Z75" s="77"/>
      <c r="AA75" s="77"/>
      <c r="AB75" s="77"/>
      <c r="AC75" s="77"/>
      <c r="AD75" s="77"/>
      <c r="AE75" s="77"/>
      <c r="AF75" s="271" t="s">
        <v>342</v>
      </c>
      <c r="AG75" s="201"/>
      <c r="AH75" s="77"/>
      <c r="AI75" s="79"/>
      <c r="AJ75" s="80"/>
      <c r="AK75" s="69"/>
    </row>
    <row r="76" spans="1:37" ht="12.75" hidden="1" customHeight="1" x14ac:dyDescent="0.3">
      <c r="A76" s="64">
        <v>660</v>
      </c>
      <c r="B76" s="65" t="s">
        <v>266</v>
      </c>
      <c r="C76" s="65" t="str">
        <f>IFERROR(VLOOKUP(D76,'Target tables'!A:B,2,0),"")</f>
        <v>Таблица связей кредитного договора с договором эскроу</v>
      </c>
      <c r="D76" s="10" t="s">
        <v>212</v>
      </c>
      <c r="E76" s="66" t="str">
        <f>IFERROR(VLOOKUP(D76&amp;J76,'Target columns'!A:J,4,FALSE),"")</f>
        <v>UUID</v>
      </c>
      <c r="F76" s="66" t="str">
        <f>IFERROR(VLOOKUP(D76&amp;J76,'Target columns'!A:J,7,FALSE),"")</f>
        <v>No</v>
      </c>
      <c r="G76" s="66" t="str">
        <f>IFERROR(VLOOKUP(D76&amp;J76,'Target columns'!A:J,8,FALSE),"")</f>
        <v>Yes</v>
      </c>
      <c r="H76" s="66" t="str">
        <f>IFERROR(VLOOKUP(D76&amp;J76,'Target columns'!A:J,5,FALSE),"")</f>
        <v>NULL</v>
      </c>
      <c r="I76" s="66" t="str">
        <f>IFERROR(VLOOKUP(D76&amp;J76,'Target columns'!A:J,10,FALSE),"")</f>
        <v>ИД кредитного договора с застройщиком</v>
      </c>
      <c r="J76" s="10" t="s">
        <v>295</v>
      </c>
      <c r="K76" s="65" t="s">
        <v>41</v>
      </c>
      <c r="L76" s="66" t="str">
        <f>IFERROR(VLOOKUP(UPPER(K76&amp;N76),source_columns[],4,0),"")</f>
        <v/>
      </c>
      <c r="M76" s="66" t="str">
        <f>IFERROR(VLOOKUP(UPPER(K76&amp;N76),source_columns[],7,0),"")</f>
        <v/>
      </c>
      <c r="N76" s="65" t="s">
        <v>399</v>
      </c>
      <c r="O76" s="65"/>
      <c r="P76" s="65"/>
      <c r="Q76" s="65"/>
      <c r="R76" s="65"/>
      <c r="S76" s="284"/>
      <c r="T76" s="65"/>
      <c r="V76" s="66" t="str">
        <f>"n308000046_"&amp;IFERROR(VLOOKUP(D76,target_tables[],5,0),"&lt;not found&gt;")</f>
        <v>n308000046_agr_escrow_agr_cred</v>
      </c>
      <c r="W76" s="65" t="s">
        <v>273</v>
      </c>
      <c r="X76" s="65"/>
      <c r="Y76" s="65"/>
      <c r="Z76" s="65"/>
      <c r="AA76" s="65"/>
      <c r="AB76" s="65"/>
      <c r="AC76" s="65"/>
      <c r="AD76" s="65"/>
      <c r="AE76" s="65"/>
      <c r="AF76" s="271"/>
      <c r="AG76" s="202"/>
      <c r="AH76" s="65"/>
      <c r="AI76" s="67"/>
      <c r="AJ76" s="68"/>
      <c r="AK76" s="69"/>
    </row>
    <row r="77" spans="1:37" ht="12.75" hidden="1" customHeight="1" x14ac:dyDescent="0.3">
      <c r="A77" s="64">
        <v>670</v>
      </c>
      <c r="B77" s="65" t="s">
        <v>266</v>
      </c>
      <c r="C77" s="65" t="str">
        <f>IFERROR(VLOOKUP(D77,'Target tables'!A:B,2,0),"")</f>
        <v>Таблица связей кредитного договора с договором эскроу</v>
      </c>
      <c r="D77" s="10" t="s">
        <v>212</v>
      </c>
      <c r="E77" s="66" t="str">
        <f>IFERROR(VLOOKUP(D77&amp;J77,'Target columns'!A:J,4,FALSE),"")</f>
        <v>DATE</v>
      </c>
      <c r="F77" s="66" t="str">
        <f>IFERROR(VLOOKUP(D77&amp;J77,'Target columns'!A:J,7,FALSE),"")</f>
        <v>Yes</v>
      </c>
      <c r="G77" s="66" t="str">
        <f>IFERROR(VLOOKUP(D77&amp;J77,'Target columns'!A:J,8,FALSE),"")</f>
        <v>No</v>
      </c>
      <c r="H77" s="66" t="str">
        <f>IFERROR(VLOOKUP(D77&amp;J77,'Target columns'!A:J,5,FALSE),"")</f>
        <v>NOT NULL</v>
      </c>
      <c r="I77" s="66" t="str">
        <f>IFERROR(VLOOKUP(D77&amp;J77,'Target columns'!A:J,10,FALSE),"")</f>
        <v>Дата начала действия связи между кредитным договором и договором эскроу</v>
      </c>
      <c r="J77" s="10" t="s">
        <v>329</v>
      </c>
      <c r="K77" s="65" t="s">
        <v>41</v>
      </c>
      <c r="L77" s="66" t="str">
        <f>IFERROR(VLOOKUP(UPPER(K77&amp;N77),source_columns[],4,0),"")</f>
        <v/>
      </c>
      <c r="M77" s="66" t="str">
        <f>IFERROR(VLOOKUP(UPPER(K77&amp;N77),source_columns[],7,0),"")</f>
        <v/>
      </c>
      <c r="N77" s="202" t="s">
        <v>344</v>
      </c>
      <c r="O77" s="65"/>
      <c r="P77" s="65"/>
      <c r="Q77" s="65"/>
      <c r="R77" s="65"/>
      <c r="S77" s="284"/>
      <c r="T77" s="65"/>
      <c r="U77" s="65"/>
      <c r="V77" s="66" t="str">
        <f>"n308000046_"&amp;IFERROR(VLOOKUP(D77,target_tables[],5,0),"&lt;not found&gt;")</f>
        <v>n308000046_agr_escrow_agr_cred</v>
      </c>
      <c r="W77" s="65" t="s">
        <v>330</v>
      </c>
      <c r="X77" s="65"/>
      <c r="Y77" s="65"/>
      <c r="Z77" s="65"/>
      <c r="AA77" s="65"/>
      <c r="AB77" s="65"/>
      <c r="AC77" s="65"/>
      <c r="AD77" s="65"/>
      <c r="AE77" s="65"/>
      <c r="AF77" s="271"/>
      <c r="AG77" s="202"/>
      <c r="AH77" s="65"/>
      <c r="AI77" s="67"/>
      <c r="AJ77" s="68"/>
      <c r="AK77" s="69"/>
    </row>
    <row r="78" spans="1:37" ht="12.75" hidden="1" customHeight="1" x14ac:dyDescent="0.3">
      <c r="A78" s="70">
        <v>680</v>
      </c>
      <c r="B78" s="71" t="s">
        <v>266</v>
      </c>
      <c r="C78" s="71" t="str">
        <f>IFERROR(VLOOKUP(D78,'Target tables'!A:B,2,0),"")</f>
        <v>Таблица связей кредитного договора с договором эскроу</v>
      </c>
      <c r="D78" s="27" t="s">
        <v>212</v>
      </c>
      <c r="E78" s="73" t="str">
        <f>IFERROR(VLOOKUP(D78&amp;J78,'Target columns'!A:J,4,FALSE),"")</f>
        <v>DATE</v>
      </c>
      <c r="F78" s="73" t="str">
        <f>IFERROR(VLOOKUP(D78&amp;J78,'Target columns'!A:J,7,FALSE),"")</f>
        <v>No</v>
      </c>
      <c r="G78" s="73" t="str">
        <f>IFERROR(VLOOKUP(D78&amp;J78,'Target columns'!A:J,8,FALSE),"")</f>
        <v>No</v>
      </c>
      <c r="H78" s="73" t="str">
        <f>IFERROR(VLOOKUP(D78&amp;J78,'Target columns'!A:J,5,FALSE),"")</f>
        <v>NULL</v>
      </c>
      <c r="I78" s="73" t="str">
        <f>IFERROR(VLOOKUP(D78&amp;J78,'Target columns'!A:J,10,FALSE),"")</f>
        <v>Дата окончания действия связи между кредитным договором и договором эскроу</v>
      </c>
      <c r="J78" s="27" t="s">
        <v>331</v>
      </c>
      <c r="K78" s="71" t="s">
        <v>41</v>
      </c>
      <c r="L78" s="73" t="str">
        <f>IFERROR(VLOOKUP(UPPER(K78&amp;N78),source_columns[],4,0),"")</f>
        <v/>
      </c>
      <c r="M78" s="73" t="str">
        <f>IFERROR(VLOOKUP(UPPER(K78&amp;N78),source_columns[],7,0),"")</f>
        <v/>
      </c>
      <c r="N78" s="71" t="s">
        <v>345</v>
      </c>
      <c r="O78" s="71"/>
      <c r="P78" s="71"/>
      <c r="Q78" s="71"/>
      <c r="R78" s="71"/>
      <c r="S78" s="285"/>
      <c r="T78" s="71"/>
      <c r="U78" s="71"/>
      <c r="V78" s="73" t="str">
        <f>"n308000046_"&amp;IFERROR(VLOOKUP(D78,target_tables[],5,0),"&lt;not found&gt;")</f>
        <v>n308000046_agr_escrow_agr_cred</v>
      </c>
      <c r="W78" s="71" t="s">
        <v>332</v>
      </c>
      <c r="X78" s="71"/>
      <c r="Y78" s="71"/>
      <c r="Z78" s="71"/>
      <c r="AA78" s="71"/>
      <c r="AB78" s="71"/>
      <c r="AC78" s="71"/>
      <c r="AD78" s="71"/>
      <c r="AE78" s="71"/>
      <c r="AF78" s="271"/>
      <c r="AG78" s="203"/>
      <c r="AH78" s="71"/>
      <c r="AI78" s="74"/>
      <c r="AJ78" s="75"/>
      <c r="AK78" s="69"/>
    </row>
    <row r="79" spans="1:37" ht="12.75" hidden="1" customHeight="1" x14ac:dyDescent="0.3">
      <c r="A79" s="76">
        <v>690</v>
      </c>
      <c r="B79" s="77" t="s">
        <v>266</v>
      </c>
      <c r="C79" s="77" t="str">
        <f>IFERROR(VLOOKUP(D79,'Target tables'!A:B,2,0),"")</f>
        <v>Таблица связей контрагентов с договором эскроу</v>
      </c>
      <c r="D79" s="24" t="s">
        <v>162</v>
      </c>
      <c r="E79" s="78" t="str">
        <f>IFERROR(VLOOKUP(D79&amp;J79,'Target columns'!A:J,4,FALSE),"")</f>
        <v>UUID</v>
      </c>
      <c r="F79" s="78" t="str">
        <f>IFERROR(VLOOKUP(D79&amp;J79,'Target columns'!A:J,7,FALSE),"")</f>
        <v>Yes</v>
      </c>
      <c r="G79" s="78" t="str">
        <f>IFERROR(VLOOKUP(D79&amp;J79,'Target columns'!A:J,8,FALSE),"")</f>
        <v>Yes</v>
      </c>
      <c r="H79" s="78" t="str">
        <f>IFERROR(VLOOKUP(D79&amp;J79,'Target columns'!A:J,5,FALSE),"")</f>
        <v>NOT NULL</v>
      </c>
      <c r="I79" s="78" t="str">
        <f>IFERROR(VLOOKUP(D79&amp;J79,'Target columns'!A:J,10,FALSE),"")</f>
        <v>Идентификатор договора эскроу</v>
      </c>
      <c r="J79" s="24" t="s">
        <v>267</v>
      </c>
      <c r="K79" s="77" t="s">
        <v>41</v>
      </c>
      <c r="L79" s="78" t="str">
        <f>IFERROR(VLOOKUP(UPPER(K79&amp;N79),source_columns[],4,0),"")</f>
        <v>uuid</v>
      </c>
      <c r="M79" s="78" t="str">
        <f>IFERROR(VLOOKUP(UPPER(K79&amp;N79),source_columns[],7,0),"")</f>
        <v>Идентификатор договора эскроу</v>
      </c>
      <c r="N79" s="77" t="s">
        <v>384</v>
      </c>
      <c r="O79" s="77"/>
      <c r="P79" s="77"/>
      <c r="Q79" s="77"/>
      <c r="R79" s="77"/>
      <c r="S79" s="284" t="s">
        <v>400</v>
      </c>
      <c r="T79" s="77"/>
      <c r="U79" s="77"/>
      <c r="V79" s="78" t="str">
        <f>"n308000046_"&amp;IFERROR(VLOOKUP(D79,target_tables[],5,0),"&lt;not found&gt;")</f>
        <v>n308000046_agr_escrow_cust</v>
      </c>
      <c r="W79" s="77" t="s">
        <v>269</v>
      </c>
      <c r="X79" s="77"/>
      <c r="Y79" s="77"/>
      <c r="Z79" s="77"/>
      <c r="AA79" s="77"/>
      <c r="AB79" s="77"/>
      <c r="AC79" s="77"/>
      <c r="AD79" s="77"/>
      <c r="AE79" s="77"/>
      <c r="AF79" s="271" t="s">
        <v>342</v>
      </c>
      <c r="AG79" s="201"/>
      <c r="AH79" s="77"/>
      <c r="AI79" s="79"/>
      <c r="AJ79" s="80"/>
      <c r="AK79" s="69"/>
    </row>
    <row r="80" spans="1:37" ht="12.75" hidden="1" customHeight="1" x14ac:dyDescent="0.3">
      <c r="A80" s="64">
        <v>700</v>
      </c>
      <c r="B80" s="65" t="s">
        <v>266</v>
      </c>
      <c r="C80" s="65" t="str">
        <f>IFERROR(VLOOKUP(D80,'Target tables'!A:B,2,0),"")</f>
        <v>Таблица связей контрагентов с договором эскроу</v>
      </c>
      <c r="D80" s="10" t="s">
        <v>162</v>
      </c>
      <c r="E80" s="66" t="str">
        <f>IFERROR(VLOOKUP(D80&amp;J80,'Target columns'!A:J,4,FALSE),"")</f>
        <v>UUID</v>
      </c>
      <c r="F80" s="66" t="str">
        <f>IFERROR(VLOOKUP(D80&amp;J80,'Target columns'!A:J,7,FALSE),"")</f>
        <v>Yes</v>
      </c>
      <c r="G80" s="66" t="str">
        <f>IFERROR(VLOOKUP(D80&amp;J80,'Target columns'!A:J,8,FALSE),"")</f>
        <v>Yes</v>
      </c>
      <c r="H80" s="66" t="str">
        <f>IFERROR(VLOOKUP(D80&amp;J80,'Target columns'!A:J,5,FALSE),"")</f>
        <v>NOT NULL</v>
      </c>
      <c r="I80" s="66" t="str">
        <f>IFERROR(VLOOKUP(D80&amp;J80,'Target columns'!A:J,10,FALSE),"")</f>
        <v>Идентификатор контрагента</v>
      </c>
      <c r="J80" s="10" t="s">
        <v>347</v>
      </c>
      <c r="K80" s="65" t="s">
        <v>41</v>
      </c>
      <c r="L80" s="66" t="str">
        <f>IFERROR(VLOOKUP(UPPER(K80&amp;N80),source_columns[],4,0),"")</f>
        <v>uuid</v>
      </c>
      <c r="M80" s="66" t="str">
        <f>IFERROR(VLOOKUP(UPPER(K80&amp;N80),source_columns[],7,0),"")</f>
        <v>ИД ЕПК депонента</v>
      </c>
      <c r="N80" s="10" t="s">
        <v>401</v>
      </c>
      <c r="O80" s="65"/>
      <c r="P80" s="65"/>
      <c r="Q80" s="65"/>
      <c r="R80" s="65"/>
      <c r="S80" s="284"/>
      <c r="T80" s="65"/>
      <c r="V80" s="66" t="str">
        <f>"n308000046_"&amp;IFERROR(VLOOKUP(D80,target_tables[],5,0),"&lt;not found&gt;")</f>
        <v>n308000046_agr_escrow_cust</v>
      </c>
      <c r="W80" s="65" t="s">
        <v>273</v>
      </c>
      <c r="X80" s="65"/>
      <c r="Y80" s="65"/>
      <c r="Z80" s="65"/>
      <c r="AA80" s="65"/>
      <c r="AB80" s="65"/>
      <c r="AC80" s="65"/>
      <c r="AD80" s="65"/>
      <c r="AE80" s="65"/>
      <c r="AF80" s="271"/>
      <c r="AG80" s="202"/>
      <c r="AH80" s="65"/>
      <c r="AI80" s="67"/>
      <c r="AJ80" s="68"/>
      <c r="AK80" s="69"/>
    </row>
    <row r="81" spans="1:37" ht="12.75" hidden="1" customHeight="1" x14ac:dyDescent="0.3">
      <c r="A81" s="64">
        <v>710</v>
      </c>
      <c r="B81" s="65" t="s">
        <v>266</v>
      </c>
      <c r="C81" s="65" t="str">
        <f>IFERROR(VLOOKUP(D81,'Target tables'!A:B,2,0),"")</f>
        <v>Таблица связей контрагентов с договором эскроу</v>
      </c>
      <c r="D81" s="10" t="s">
        <v>162</v>
      </c>
      <c r="E81" s="66" t="str">
        <f>IFERROR(VLOOKUP(D81&amp;J81,'Target columns'!A:J,4,FALSE),"")</f>
        <v>DATE</v>
      </c>
      <c r="F81" s="66" t="str">
        <f>IFERROR(VLOOKUP(D81&amp;J81,'Target columns'!A:J,7,FALSE),"")</f>
        <v>Yes</v>
      </c>
      <c r="G81" s="66" t="str">
        <f>IFERROR(VLOOKUP(D81&amp;J81,'Target columns'!A:J,8,FALSE),"")</f>
        <v>No</v>
      </c>
      <c r="H81" s="66" t="str">
        <f>IFERROR(VLOOKUP(D81&amp;J81,'Target columns'!A:J,5,FALSE),"")</f>
        <v>NOT NULL</v>
      </c>
      <c r="I81" s="66" t="str">
        <f>IFERROR(VLOOKUP(D81&amp;J81,'Target columns'!A:J,10,FALSE),"")</f>
        <v>Дата начала действия</v>
      </c>
      <c r="J81" s="10" t="s">
        <v>329</v>
      </c>
      <c r="K81" s="65" t="s">
        <v>41</v>
      </c>
      <c r="L81" s="66" t="str">
        <f>IFERROR(VLOOKUP(UPPER(K81&amp;N81),source_columns[],4,0),"")</f>
        <v/>
      </c>
      <c r="M81" s="66" t="str">
        <f>IFERROR(VLOOKUP(UPPER(K81&amp;N81),source_columns[],7,0),"")</f>
        <v/>
      </c>
      <c r="N81" s="202" t="s">
        <v>344</v>
      </c>
      <c r="O81" s="65"/>
      <c r="P81" s="65"/>
      <c r="Q81" s="65"/>
      <c r="R81" s="65"/>
      <c r="S81" s="284"/>
      <c r="T81" s="65"/>
      <c r="U81" s="65"/>
      <c r="V81" s="66" t="str">
        <f>"n308000046_"&amp;IFERROR(VLOOKUP(D81,target_tables[],5,0),"&lt;not found&gt;")</f>
        <v>n308000046_agr_escrow_cust</v>
      </c>
      <c r="W81" s="65" t="s">
        <v>330</v>
      </c>
      <c r="X81" s="65"/>
      <c r="Y81" s="65"/>
      <c r="Z81" s="65"/>
      <c r="AA81" s="65"/>
      <c r="AB81" s="65"/>
      <c r="AC81" s="65"/>
      <c r="AD81" s="65"/>
      <c r="AE81" s="65"/>
      <c r="AF81" s="271"/>
      <c r="AG81" s="202"/>
      <c r="AH81" s="65"/>
      <c r="AI81" s="67"/>
      <c r="AJ81" s="68" t="s">
        <v>349</v>
      </c>
      <c r="AK81" s="69"/>
    </row>
    <row r="82" spans="1:37" ht="12.75" hidden="1" customHeight="1" x14ac:dyDescent="0.3">
      <c r="A82" s="64">
        <v>720</v>
      </c>
      <c r="B82" s="65" t="s">
        <v>266</v>
      </c>
      <c r="C82" s="65" t="str">
        <f>IFERROR(VLOOKUP(D82,'Target tables'!A:B,2,0),"")</f>
        <v>Таблица связей контрагентов с договором эскроу</v>
      </c>
      <c r="D82" s="10" t="s">
        <v>162</v>
      </c>
      <c r="E82" s="66" t="str">
        <f>IFERROR(VLOOKUP(D82&amp;J82,'Target columns'!A:J,4,FALSE),"")</f>
        <v>DATE</v>
      </c>
      <c r="F82" s="66" t="str">
        <f>IFERROR(VLOOKUP(D82&amp;J82,'Target columns'!A:J,7,FALSE),"")</f>
        <v>No</v>
      </c>
      <c r="G82" s="66" t="str">
        <f>IFERROR(VLOOKUP(D82&amp;J82,'Target columns'!A:J,8,FALSE),"")</f>
        <v>No</v>
      </c>
      <c r="H82" s="66" t="str">
        <f>IFERROR(VLOOKUP(D82&amp;J82,'Target columns'!A:J,5,FALSE),"")</f>
        <v>NULL</v>
      </c>
      <c r="I82" s="66" t="str">
        <f>IFERROR(VLOOKUP(D82&amp;J82,'Target columns'!A:J,10,FALSE),"")</f>
        <v>Дата окончания действия</v>
      </c>
      <c r="J82" s="10" t="s">
        <v>331</v>
      </c>
      <c r="K82" s="77" t="s">
        <v>41</v>
      </c>
      <c r="L82" s="66" t="str">
        <f>IFERROR(VLOOKUP(UPPER(K82&amp;N82),source_columns[],4,0),"")</f>
        <v/>
      </c>
      <c r="M82" s="66" t="str">
        <f>IFERROR(VLOOKUP(UPPER(K82&amp;N82),source_columns[],7,0),"")</f>
        <v/>
      </c>
      <c r="N82" s="65" t="s">
        <v>345</v>
      </c>
      <c r="O82" s="65"/>
      <c r="P82" s="65"/>
      <c r="Q82" s="65"/>
      <c r="R82" s="65"/>
      <c r="S82" s="284"/>
      <c r="T82" s="65"/>
      <c r="U82" s="65"/>
      <c r="V82" s="66" t="str">
        <f>"n308000046_"&amp;IFERROR(VLOOKUP(D82,target_tables[],5,0),"&lt;not found&gt;")</f>
        <v>n308000046_agr_escrow_cust</v>
      </c>
      <c r="W82" s="65" t="s">
        <v>332</v>
      </c>
      <c r="X82" s="65"/>
      <c r="Y82" s="65"/>
      <c r="Z82" s="65"/>
      <c r="AA82" s="65"/>
      <c r="AB82" s="65"/>
      <c r="AC82" s="65"/>
      <c r="AD82" s="65"/>
      <c r="AE82" s="65"/>
      <c r="AF82" s="271"/>
      <c r="AG82" s="202"/>
      <c r="AH82" s="65"/>
      <c r="AI82" s="67"/>
      <c r="AJ82" s="68"/>
      <c r="AK82" s="69"/>
    </row>
    <row r="83" spans="1:37" ht="12.75" hidden="1" customHeight="1" x14ac:dyDescent="0.3">
      <c r="A83" s="70">
        <v>730</v>
      </c>
      <c r="B83" s="71" t="s">
        <v>266</v>
      </c>
      <c r="C83" s="71" t="str">
        <f>IFERROR(VLOOKUP(D83,'Target tables'!A:B,2,0),"")</f>
        <v>Таблица связей контрагентов с договором эскроу</v>
      </c>
      <c r="D83" s="27" t="s">
        <v>162</v>
      </c>
      <c r="E83" s="73" t="str">
        <f>IFERROR(VLOOKUP(D83&amp;J83,'Target columns'!A:J,4,FALSE),"")</f>
        <v>UUID</v>
      </c>
      <c r="F83" s="73" t="str">
        <f>IFERROR(VLOOKUP(D83&amp;J83,'Target columns'!A:J,7,FALSE),"")</f>
        <v>Yes</v>
      </c>
      <c r="G83" s="73" t="str">
        <f>IFERROR(VLOOKUP(D83&amp;J83,'Target columns'!A:J,8,FALSE),"")</f>
        <v>Yes</v>
      </c>
      <c r="H83" s="73" t="str">
        <f>IFERROR(VLOOKUP(D83&amp;J83,'Target columns'!A:J,5,FALSE),"")</f>
        <v>NOT NULL</v>
      </c>
      <c r="I83" s="73" t="str">
        <f>IFERROR(VLOOKUP(D83&amp;J83,'Target columns'!A:J,10,FALSE),"")</f>
        <v>Роль клиента в договоре - ID</v>
      </c>
      <c r="J83" s="27" t="s">
        <v>350</v>
      </c>
      <c r="K83" s="71" t="s">
        <v>41</v>
      </c>
      <c r="L83" s="73" t="str">
        <f>IFERROR(VLOOKUP(UPPER(K83&amp;N83),source_columns[],4,0),"")</f>
        <v/>
      </c>
      <c r="M83" s="73" t="str">
        <f>IFERROR(VLOOKUP(UPPER(K83&amp;N83),source_columns[],7,0),"")</f>
        <v/>
      </c>
      <c r="N83" s="71" t="s">
        <v>351</v>
      </c>
      <c r="O83" s="71"/>
      <c r="P83" s="71"/>
      <c r="Q83" s="71"/>
      <c r="R83" s="71"/>
      <c r="S83" s="285"/>
      <c r="T83" s="71"/>
      <c r="U83" s="71"/>
      <c r="V83" s="73" t="str">
        <f>"n308000046_"&amp;IFERROR(VLOOKUP(D83,target_tables[],5,0),"&lt;not found&gt;")</f>
        <v>n308000046_agr_escrow_cust</v>
      </c>
      <c r="W83" s="71" t="s">
        <v>269</v>
      </c>
      <c r="X83" s="71"/>
      <c r="Y83" s="71"/>
      <c r="Z83" s="71"/>
      <c r="AA83" s="71"/>
      <c r="AB83" s="71"/>
      <c r="AC83" s="71"/>
      <c r="AD83" s="71"/>
      <c r="AE83" s="71"/>
      <c r="AF83" s="271"/>
      <c r="AG83" s="203"/>
      <c r="AH83" s="71"/>
      <c r="AI83" s="74"/>
      <c r="AJ83" s="75"/>
      <c r="AK83" s="69"/>
    </row>
    <row r="84" spans="1:37" ht="12.75" hidden="1" customHeight="1" x14ac:dyDescent="0.3">
      <c r="A84" s="76">
        <v>740</v>
      </c>
      <c r="B84" s="77" t="s">
        <v>266</v>
      </c>
      <c r="C84" s="77" t="str">
        <f>IFERROR(VLOOKUP(D84,'Target tables'!A:B,2,0),"")</f>
        <v>Таблица связей контрагентов с договором эскроу</v>
      </c>
      <c r="D84" s="24" t="s">
        <v>162</v>
      </c>
      <c r="E84" s="78" t="str">
        <f>IFERROR(VLOOKUP(D84&amp;J84,'Target columns'!A:J,4,FALSE),"")</f>
        <v>UUID</v>
      </c>
      <c r="F84" s="78" t="str">
        <f>IFERROR(VLOOKUP(D84&amp;J84,'Target columns'!A:J,7,FALSE),"")</f>
        <v>Yes</v>
      </c>
      <c r="G84" s="78" t="str">
        <f>IFERROR(VLOOKUP(D84&amp;J84,'Target columns'!A:J,8,FALSE),"")</f>
        <v>Yes</v>
      </c>
      <c r="H84" s="78" t="str">
        <f>IFERROR(VLOOKUP(D84&amp;J84,'Target columns'!A:J,5,FALSE),"")</f>
        <v>NOT NULL</v>
      </c>
      <c r="I84" s="78" t="str">
        <f>IFERROR(VLOOKUP(D84&amp;J84,'Target columns'!A:J,10,FALSE),"")</f>
        <v>Идентификатор договора эскроу</v>
      </c>
      <c r="J84" s="24" t="s">
        <v>267</v>
      </c>
      <c r="K84" s="77" t="s">
        <v>42</v>
      </c>
      <c r="L84" s="78" t="str">
        <f>IFERROR(VLOOKUP(UPPER(K84&amp;N84),source_columns[],4,0),"")</f>
        <v>uuid</v>
      </c>
      <c r="M84" s="78" t="str">
        <f>IFERROR(VLOOKUP(UPPER(K84&amp;N84),source_columns[],7,0),"")</f>
        <v>Идентификатор договора эскроу</v>
      </c>
      <c r="N84" s="77" t="s">
        <v>384</v>
      </c>
      <c r="O84" s="77"/>
      <c r="P84" s="77"/>
      <c r="Q84" s="77"/>
      <c r="R84" s="77"/>
      <c r="S84" s="284" t="s">
        <v>402</v>
      </c>
      <c r="T84" s="77"/>
      <c r="U84" s="77"/>
      <c r="V84" s="78" t="str">
        <f>"n308000046_"&amp;IFERROR(VLOOKUP(D84,target_tables[],5,0),"&lt;not found&gt;")</f>
        <v>n308000046_agr_escrow_cust</v>
      </c>
      <c r="W84" s="77" t="s">
        <v>269</v>
      </c>
      <c r="X84" s="77"/>
      <c r="Y84" s="77"/>
      <c r="Z84" s="77"/>
      <c r="AA84" s="77"/>
      <c r="AB84" s="77"/>
      <c r="AC84" s="77"/>
      <c r="AD84" s="77"/>
      <c r="AE84" s="77"/>
      <c r="AF84" s="271" t="s">
        <v>403</v>
      </c>
      <c r="AG84" s="201"/>
      <c r="AH84" s="77"/>
      <c r="AI84" s="79"/>
      <c r="AJ84" s="80"/>
      <c r="AK84" s="69"/>
    </row>
    <row r="85" spans="1:37" ht="12.75" hidden="1" customHeight="1" x14ac:dyDescent="0.3">
      <c r="A85" s="64">
        <v>750</v>
      </c>
      <c r="B85" s="65" t="s">
        <v>266</v>
      </c>
      <c r="C85" s="65" t="str">
        <f>IFERROR(VLOOKUP(D85,'Target tables'!A:B,2,0),"")</f>
        <v>Таблица связей контрагентов с договором эскроу</v>
      </c>
      <c r="D85" s="10" t="s">
        <v>162</v>
      </c>
      <c r="E85" s="66" t="str">
        <f>IFERROR(VLOOKUP(D85&amp;J85,'Target columns'!A:J,4,FALSE),"")</f>
        <v>UUID</v>
      </c>
      <c r="F85" s="66" t="str">
        <f>IFERROR(VLOOKUP(D85&amp;J85,'Target columns'!A:J,7,FALSE),"")</f>
        <v>Yes</v>
      </c>
      <c r="G85" s="66" t="str">
        <f>IFERROR(VLOOKUP(D85&amp;J85,'Target columns'!A:J,8,FALSE),"")</f>
        <v>Yes</v>
      </c>
      <c r="H85" s="66" t="str">
        <f>IFERROR(VLOOKUP(D85&amp;J85,'Target columns'!A:J,5,FALSE),"")</f>
        <v>NOT NULL</v>
      </c>
      <c r="I85" s="66" t="str">
        <f>IFERROR(VLOOKUP(D85&amp;J85,'Target columns'!A:J,10,FALSE),"")</f>
        <v>Идентификатор контрагента</v>
      </c>
      <c r="J85" s="10" t="s">
        <v>347</v>
      </c>
      <c r="K85" s="65" t="s">
        <v>42</v>
      </c>
      <c r="L85" s="66" t="str">
        <f>IFERROR(VLOOKUP(UPPER(K85&amp;N85),source_columns[],4,0),"")</f>
        <v/>
      </c>
      <c r="M85" s="66" t="str">
        <f>IFERROR(VLOOKUP(UPPER(K85&amp;N85),source_columns[],7,0),"")</f>
        <v/>
      </c>
      <c r="N85" s="6" t="s">
        <v>404</v>
      </c>
      <c r="O85" s="65"/>
      <c r="P85" s="65"/>
      <c r="Q85" s="65"/>
      <c r="R85" s="65"/>
      <c r="S85" s="284"/>
      <c r="T85" s="65"/>
      <c r="V85" s="66" t="str">
        <f>"n308000046_"&amp;IFERROR(VLOOKUP(D85,target_tables[],5,0),"&lt;not found&gt;")</f>
        <v>n308000046_agr_escrow_cust</v>
      </c>
      <c r="W85" s="65" t="s">
        <v>269</v>
      </c>
      <c r="X85" s="65"/>
      <c r="Y85" s="65"/>
      <c r="Z85" s="65"/>
      <c r="AA85" s="65"/>
      <c r="AB85" s="65"/>
      <c r="AC85" s="65"/>
      <c r="AD85" s="65"/>
      <c r="AE85" s="65"/>
      <c r="AF85" s="271"/>
      <c r="AG85" s="202"/>
      <c r="AH85" s="65"/>
      <c r="AI85" s="67"/>
      <c r="AJ85" s="68"/>
      <c r="AK85" s="69"/>
    </row>
    <row r="86" spans="1:37" ht="12.75" hidden="1" customHeight="1" x14ac:dyDescent="0.3">
      <c r="A86" s="64">
        <v>760</v>
      </c>
      <c r="B86" s="65" t="s">
        <v>266</v>
      </c>
      <c r="C86" s="65" t="str">
        <f>IFERROR(VLOOKUP(D86,'Target tables'!A:B,2,0),"")</f>
        <v>Таблица связей контрагентов с договором эскроу</v>
      </c>
      <c r="D86" s="10" t="s">
        <v>162</v>
      </c>
      <c r="E86" s="66" t="str">
        <f>IFERROR(VLOOKUP(D86&amp;J86,'Target columns'!A:J,4,FALSE),"")</f>
        <v>DATE</v>
      </c>
      <c r="F86" s="66" t="str">
        <f>IFERROR(VLOOKUP(D86&amp;J86,'Target columns'!A:J,7,FALSE),"")</f>
        <v>Yes</v>
      </c>
      <c r="G86" s="66" t="str">
        <f>IFERROR(VLOOKUP(D86&amp;J86,'Target columns'!A:J,8,FALSE),"")</f>
        <v>No</v>
      </c>
      <c r="H86" s="66" t="str">
        <f>IFERROR(VLOOKUP(D86&amp;J86,'Target columns'!A:J,5,FALSE),"")</f>
        <v>NOT NULL</v>
      </c>
      <c r="I86" s="66" t="str">
        <f>IFERROR(VLOOKUP(D86&amp;J86,'Target columns'!A:J,10,FALSE),"")</f>
        <v>Дата начала действия</v>
      </c>
      <c r="J86" s="10" t="s">
        <v>329</v>
      </c>
      <c r="K86" s="65" t="s">
        <v>42</v>
      </c>
      <c r="L86" s="66" t="str">
        <f>IFERROR(VLOOKUP(UPPER(K86&amp;N86),source_columns[],4,0),"")</f>
        <v/>
      </c>
      <c r="M86" s="66" t="str">
        <f>IFERROR(VLOOKUP(UPPER(K86&amp;N86),source_columns[],7,0),"")</f>
        <v/>
      </c>
      <c r="N86" s="202" t="s">
        <v>344</v>
      </c>
      <c r="O86" s="65"/>
      <c r="P86" s="65"/>
      <c r="Q86" s="65"/>
      <c r="R86" s="65"/>
      <c r="S86" s="284"/>
      <c r="T86" s="65"/>
      <c r="U86" s="65"/>
      <c r="V86" s="66" t="str">
        <f>"n308000046_"&amp;IFERROR(VLOOKUP(D86,target_tables[],5,0),"&lt;not found&gt;")</f>
        <v>n308000046_agr_escrow_cust</v>
      </c>
      <c r="W86" s="65" t="s">
        <v>330</v>
      </c>
      <c r="X86" s="65"/>
      <c r="Y86" s="65"/>
      <c r="Z86" s="65"/>
      <c r="AA86" s="65"/>
      <c r="AB86" s="65"/>
      <c r="AC86" s="65"/>
      <c r="AD86" s="65"/>
      <c r="AE86" s="65"/>
      <c r="AF86" s="271"/>
      <c r="AG86" s="202"/>
      <c r="AH86" s="65"/>
      <c r="AI86" s="67"/>
      <c r="AJ86" s="68"/>
      <c r="AK86" s="69"/>
    </row>
    <row r="87" spans="1:37" ht="12.75" hidden="1" customHeight="1" x14ac:dyDescent="0.3">
      <c r="A87" s="64">
        <v>770</v>
      </c>
      <c r="B87" s="65" t="s">
        <v>266</v>
      </c>
      <c r="C87" s="65" t="str">
        <f>IFERROR(VLOOKUP(D87,'Target tables'!A:B,2,0),"")</f>
        <v>Таблица связей контрагентов с договором эскроу</v>
      </c>
      <c r="D87" s="10" t="s">
        <v>162</v>
      </c>
      <c r="E87" s="66" t="str">
        <f>IFERROR(VLOOKUP(D87&amp;J87,'Target columns'!A:J,4,FALSE),"")</f>
        <v>DATE</v>
      </c>
      <c r="F87" s="66" t="str">
        <f>IFERROR(VLOOKUP(D87&amp;J87,'Target columns'!A:J,7,FALSE),"")</f>
        <v>No</v>
      </c>
      <c r="G87" s="66" t="str">
        <f>IFERROR(VLOOKUP(D87&amp;J87,'Target columns'!A:J,8,FALSE),"")</f>
        <v>No</v>
      </c>
      <c r="H87" s="66" t="str">
        <f>IFERROR(VLOOKUP(D87&amp;J87,'Target columns'!A:J,5,FALSE),"")</f>
        <v>NULL</v>
      </c>
      <c r="I87" s="66" t="str">
        <f>IFERROR(VLOOKUP(D87&amp;J87,'Target columns'!A:J,10,FALSE),"")</f>
        <v>Дата окончания действия</v>
      </c>
      <c r="J87" s="10" t="s">
        <v>331</v>
      </c>
      <c r="K87" s="65" t="s">
        <v>42</v>
      </c>
      <c r="L87" s="66" t="str">
        <f>IFERROR(VLOOKUP(UPPER(K87&amp;N87),source_columns[],4,0),"")</f>
        <v/>
      </c>
      <c r="M87" s="66" t="str">
        <f>IFERROR(VLOOKUP(UPPER(K87&amp;N87),source_columns[],7,0),"")</f>
        <v/>
      </c>
      <c r="N87" s="65" t="s">
        <v>345</v>
      </c>
      <c r="O87" s="65"/>
      <c r="P87" s="65"/>
      <c r="Q87" s="65"/>
      <c r="R87" s="65"/>
      <c r="S87" s="284"/>
      <c r="T87" s="65"/>
      <c r="U87" s="65"/>
      <c r="V87" s="66" t="str">
        <f>"n308000046_"&amp;IFERROR(VLOOKUP(D87,target_tables[],5,0),"&lt;not found&gt;")</f>
        <v>n308000046_agr_escrow_cust</v>
      </c>
      <c r="W87" s="65" t="s">
        <v>332</v>
      </c>
      <c r="X87" s="65"/>
      <c r="Y87" s="65"/>
      <c r="Z87" s="65"/>
      <c r="AA87" s="65"/>
      <c r="AB87" s="65"/>
      <c r="AC87" s="65"/>
      <c r="AD87" s="65"/>
      <c r="AE87" s="65"/>
      <c r="AF87" s="271"/>
      <c r="AG87" s="202"/>
      <c r="AH87" s="65"/>
      <c r="AI87" s="67"/>
      <c r="AJ87" s="68" t="s">
        <v>354</v>
      </c>
      <c r="AK87" s="69"/>
    </row>
    <row r="88" spans="1:37" ht="12.75" hidden="1" customHeight="1" x14ac:dyDescent="0.3">
      <c r="A88" s="70">
        <v>780</v>
      </c>
      <c r="B88" s="71" t="s">
        <v>266</v>
      </c>
      <c r="C88" s="71" t="str">
        <f>IFERROR(VLOOKUP(D88,'Target tables'!A:B,2,0),"")</f>
        <v>Таблица связей контрагентов с договором эскроу</v>
      </c>
      <c r="D88" s="27" t="s">
        <v>162</v>
      </c>
      <c r="E88" s="73" t="str">
        <f>IFERROR(VLOOKUP(D88&amp;J88,'Target columns'!A:J,4,FALSE),"")</f>
        <v>UUID</v>
      </c>
      <c r="F88" s="73" t="str">
        <f>IFERROR(VLOOKUP(D88&amp;J88,'Target columns'!A:J,7,FALSE),"")</f>
        <v>Yes</v>
      </c>
      <c r="G88" s="73" t="str">
        <f>IFERROR(VLOOKUP(D88&amp;J88,'Target columns'!A:J,8,FALSE),"")</f>
        <v>Yes</v>
      </c>
      <c r="H88" s="73" t="str">
        <f>IFERROR(VLOOKUP(D88&amp;J88,'Target columns'!A:J,5,FALSE),"")</f>
        <v>NOT NULL</v>
      </c>
      <c r="I88" s="73" t="str">
        <f>IFERROR(VLOOKUP(D88&amp;J88,'Target columns'!A:J,10,FALSE),"")</f>
        <v>Роль клиента в договоре - ID</v>
      </c>
      <c r="J88" s="27" t="s">
        <v>350</v>
      </c>
      <c r="K88" s="71" t="s">
        <v>42</v>
      </c>
      <c r="L88" s="73" t="str">
        <f>IFERROR(VLOOKUP(UPPER(K88&amp;N88),source_columns[],4,0),"")</f>
        <v/>
      </c>
      <c r="M88" s="73" t="str">
        <f>IFERROR(VLOOKUP(UPPER(K88&amp;N88),source_columns[],7,0),"")</f>
        <v/>
      </c>
      <c r="N88" s="71" t="s">
        <v>355</v>
      </c>
      <c r="O88" s="71"/>
      <c r="P88" s="71"/>
      <c r="Q88" s="71"/>
      <c r="R88" s="71"/>
      <c r="S88" s="285"/>
      <c r="T88" s="71"/>
      <c r="U88" s="71"/>
      <c r="V88" s="73" t="str">
        <f>"n308000046_"&amp;IFERROR(VLOOKUP(D88,target_tables[],5,0),"&lt;not found&gt;")</f>
        <v>n308000046_agr_escrow_cust</v>
      </c>
      <c r="W88" s="71" t="s">
        <v>269</v>
      </c>
      <c r="X88" s="71"/>
      <c r="Y88" s="71"/>
      <c r="Z88" s="71"/>
      <c r="AA88" s="71"/>
      <c r="AB88" s="71"/>
      <c r="AC88" s="71"/>
      <c r="AD88" s="71"/>
      <c r="AE88" s="71"/>
      <c r="AF88" s="271"/>
      <c r="AG88" s="203"/>
      <c r="AH88" s="71"/>
      <c r="AI88" s="74"/>
      <c r="AJ88" s="75"/>
      <c r="AK88" s="69"/>
    </row>
    <row r="89" spans="1:37" ht="12.75" hidden="1" customHeight="1" x14ac:dyDescent="0.3">
      <c r="A89" s="76">
        <v>790</v>
      </c>
      <c r="B89" s="77" t="s">
        <v>266</v>
      </c>
      <c r="C89" s="77" t="str">
        <f>IFERROR(VLOOKUP(D89,'Target tables'!A:B,2,0),"")</f>
        <v>Таблица связей контрагентов с договором эскроу</v>
      </c>
      <c r="D89" s="24" t="s">
        <v>162</v>
      </c>
      <c r="E89" s="78" t="str">
        <f>IFERROR(VLOOKUP(D89&amp;J89,'Target columns'!A:J,4,FALSE),"")</f>
        <v>UUID</v>
      </c>
      <c r="F89" s="78" t="str">
        <f>IFERROR(VLOOKUP(D89&amp;J89,'Target columns'!A:J,7,FALSE),"")</f>
        <v>Yes</v>
      </c>
      <c r="G89" s="78" t="str">
        <f>IFERROR(VLOOKUP(D89&amp;J89,'Target columns'!A:J,8,FALSE),"")</f>
        <v>Yes</v>
      </c>
      <c r="H89" s="78" t="str">
        <f>IFERROR(VLOOKUP(D89&amp;J89,'Target columns'!A:J,5,FALSE),"")</f>
        <v>NOT NULL</v>
      </c>
      <c r="I89" s="78" t="str">
        <f>IFERROR(VLOOKUP(D89&amp;J89,'Target columns'!A:J,10,FALSE),"")</f>
        <v>Идентификатор договора эскроу</v>
      </c>
      <c r="J89" s="24" t="s">
        <v>267</v>
      </c>
      <c r="K89" s="77" t="s">
        <v>43</v>
      </c>
      <c r="L89" s="78" t="str">
        <f>IFERROR(VLOOKUP(UPPER(K89&amp;N89),source_columns[],4,0),"")</f>
        <v>uuid</v>
      </c>
      <c r="M89" s="78" t="str">
        <f>IFERROR(VLOOKUP(UPPER(K89&amp;N89),source_columns[],7,0),"")</f>
        <v>Идентификатор договора эскроу</v>
      </c>
      <c r="N89" s="77" t="s">
        <v>384</v>
      </c>
      <c r="O89" s="77"/>
      <c r="P89" s="77"/>
      <c r="Q89" s="77"/>
      <c r="R89" s="77"/>
      <c r="S89" s="284" t="s">
        <v>405</v>
      </c>
      <c r="T89" s="77"/>
      <c r="U89" s="77"/>
      <c r="V89" s="78" t="str">
        <f>"n308000046_"&amp;IFERROR(VLOOKUP(D89,target_tables[],5,0),"&lt;not found&gt;")</f>
        <v>n308000046_agr_escrow_cust</v>
      </c>
      <c r="W89" s="77" t="s">
        <v>269</v>
      </c>
      <c r="X89" s="77"/>
      <c r="Y89" s="77"/>
      <c r="Z89" s="77"/>
      <c r="AA89" s="77"/>
      <c r="AB89" s="77"/>
      <c r="AC89" s="77"/>
      <c r="AD89" s="77"/>
      <c r="AE89" s="77"/>
      <c r="AF89" s="271" t="s">
        <v>403</v>
      </c>
      <c r="AG89" s="201"/>
      <c r="AH89" s="77"/>
      <c r="AI89" s="79"/>
      <c r="AJ89" s="80"/>
      <c r="AK89" s="69"/>
    </row>
    <row r="90" spans="1:37" ht="12.75" hidden="1" customHeight="1" x14ac:dyDescent="0.3">
      <c r="A90" s="64">
        <v>800</v>
      </c>
      <c r="B90" s="65" t="s">
        <v>266</v>
      </c>
      <c r="C90" s="65" t="str">
        <f>IFERROR(VLOOKUP(D90,'Target tables'!A:B,2,0),"")</f>
        <v>Таблица связей контрагентов с договором эскроу</v>
      </c>
      <c r="D90" s="10" t="s">
        <v>162</v>
      </c>
      <c r="E90" s="66" t="str">
        <f>IFERROR(VLOOKUP(D90&amp;J90,'Target columns'!A:J,4,FALSE),"")</f>
        <v>UUID</v>
      </c>
      <c r="F90" s="66" t="str">
        <f>IFERROR(VLOOKUP(D90&amp;J90,'Target columns'!A:J,7,FALSE),"")</f>
        <v>Yes</v>
      </c>
      <c r="G90" s="66" t="str">
        <f>IFERROR(VLOOKUP(D90&amp;J90,'Target columns'!A:J,8,FALSE),"")</f>
        <v>Yes</v>
      </c>
      <c r="H90" s="66" t="str">
        <f>IFERROR(VLOOKUP(D90&amp;J90,'Target columns'!A:J,5,FALSE),"")</f>
        <v>NOT NULL</v>
      </c>
      <c r="I90" s="66" t="str">
        <f>IFERROR(VLOOKUP(D90&amp;J90,'Target columns'!A:J,10,FALSE),"")</f>
        <v>Идентификатор контрагента</v>
      </c>
      <c r="J90" s="10" t="s">
        <v>347</v>
      </c>
      <c r="K90" s="65" t="s">
        <v>43</v>
      </c>
      <c r="L90" s="66" t="str">
        <f>IFERROR(VLOOKUP(UPPER(K90&amp;N90),source_columns[],4,0),"")</f>
        <v/>
      </c>
      <c r="M90" s="66" t="str">
        <f ca="1">IFERROR(n89впр(UPPER(K90&amp;N90),source_columns[],7,0),"")</f>
        <v/>
      </c>
      <c r="N90" s="6" t="s">
        <v>406</v>
      </c>
      <c r="O90" s="65"/>
      <c r="P90" s="65"/>
      <c r="Q90" s="65"/>
      <c r="R90" s="65"/>
      <c r="S90" s="284"/>
      <c r="T90" s="65"/>
      <c r="V90" s="66" t="str">
        <f>"n308000046_"&amp;IFERROR(VLOOKUP(D90,target_tables[],5,0),"&lt;not found&gt;")</f>
        <v>n308000046_agr_escrow_cust</v>
      </c>
      <c r="W90" s="65" t="s">
        <v>269</v>
      </c>
      <c r="X90" s="65"/>
      <c r="Y90" s="65"/>
      <c r="Z90" s="65"/>
      <c r="AA90" s="65"/>
      <c r="AB90" s="65"/>
      <c r="AC90" s="65"/>
      <c r="AD90" s="65"/>
      <c r="AE90" s="65"/>
      <c r="AF90" s="271"/>
      <c r="AG90" s="202"/>
      <c r="AH90" s="65"/>
      <c r="AI90" s="67"/>
      <c r="AJ90" s="68"/>
      <c r="AK90" s="69"/>
    </row>
    <row r="91" spans="1:37" ht="12.75" hidden="1" customHeight="1" x14ac:dyDescent="0.3">
      <c r="A91" s="64">
        <v>810</v>
      </c>
      <c r="B91" s="65" t="s">
        <v>266</v>
      </c>
      <c r="C91" s="65" t="str">
        <f>IFERROR(VLOOKUP(D91,'Target tables'!A:B,2,0),"")</f>
        <v>Таблица связей контрагентов с договором эскроу</v>
      </c>
      <c r="D91" s="10" t="s">
        <v>162</v>
      </c>
      <c r="E91" s="66" t="str">
        <f>IFERROR(VLOOKUP(D91&amp;J91,'Target columns'!A:J,4,FALSE),"")</f>
        <v>DATE</v>
      </c>
      <c r="F91" s="66" t="str">
        <f>IFERROR(VLOOKUP(D91&amp;J91,'Target columns'!A:J,7,FALSE),"")</f>
        <v>Yes</v>
      </c>
      <c r="G91" s="66" t="str">
        <f>IFERROR(VLOOKUP(D91&amp;J91,'Target columns'!A:J,8,FALSE),"")</f>
        <v>No</v>
      </c>
      <c r="H91" s="66" t="str">
        <f>IFERROR(VLOOKUP(D91&amp;J91,'Target columns'!A:J,5,FALSE),"")</f>
        <v>NOT NULL</v>
      </c>
      <c r="I91" s="66" t="str">
        <f>IFERROR(VLOOKUP(D91&amp;J91,'Target columns'!A:J,10,FALSE),"")</f>
        <v>Дата начала действия</v>
      </c>
      <c r="J91" s="10" t="s">
        <v>329</v>
      </c>
      <c r="K91" s="65" t="s">
        <v>43</v>
      </c>
      <c r="L91" s="66" t="str">
        <f>IFERROR(VLOOKUP(UPPER(K91&amp;N91),source_columns[],4,0),"")</f>
        <v/>
      </c>
      <c r="M91" s="66" t="str">
        <f>IFERROR(VLOOKUP(UPPER(K91&amp;N91),source_columns[],7,0),"")</f>
        <v/>
      </c>
      <c r="N91" s="202" t="s">
        <v>344</v>
      </c>
      <c r="O91" s="65"/>
      <c r="P91" s="65"/>
      <c r="Q91" s="65"/>
      <c r="R91" s="65"/>
      <c r="S91" s="284"/>
      <c r="T91" s="65"/>
      <c r="U91" s="65"/>
      <c r="V91" s="66" t="str">
        <f>"n308000046_"&amp;IFERROR(VLOOKUP(D91,target_tables[],5,0),"&lt;not found&gt;")</f>
        <v>n308000046_agr_escrow_cust</v>
      </c>
      <c r="W91" s="65" t="s">
        <v>330</v>
      </c>
      <c r="X91" s="65"/>
      <c r="Y91" s="65"/>
      <c r="Z91" s="65"/>
      <c r="AA91" s="65"/>
      <c r="AB91" s="65"/>
      <c r="AC91" s="65"/>
      <c r="AD91" s="65"/>
      <c r="AE91" s="65"/>
      <c r="AF91" s="271"/>
      <c r="AG91" s="202"/>
      <c r="AH91" s="65"/>
      <c r="AI91" s="67"/>
      <c r="AJ91" s="68"/>
      <c r="AK91" s="69"/>
    </row>
    <row r="92" spans="1:37" ht="12.75" hidden="1" customHeight="1" x14ac:dyDescent="0.3">
      <c r="A92" s="64">
        <v>820</v>
      </c>
      <c r="B92" s="65" t="s">
        <v>266</v>
      </c>
      <c r="C92" s="65" t="str">
        <f>IFERROR(VLOOKUP(D92,'Target tables'!A:B,2,0),"")</f>
        <v>Таблица связей контрагентов с договором эскроу</v>
      </c>
      <c r="D92" s="10" t="s">
        <v>162</v>
      </c>
      <c r="E92" s="66" t="str">
        <f>IFERROR(VLOOKUP(D92&amp;J92,'Target columns'!A:J,4,FALSE),"")</f>
        <v>DATE</v>
      </c>
      <c r="F92" s="66" t="str">
        <f>IFERROR(VLOOKUP(D92&amp;J92,'Target columns'!A:J,7,FALSE),"")</f>
        <v>No</v>
      </c>
      <c r="G92" s="66" t="str">
        <f>IFERROR(VLOOKUP(D92&amp;J92,'Target columns'!A:J,8,FALSE),"")</f>
        <v>No</v>
      </c>
      <c r="H92" s="66" t="str">
        <f>IFERROR(VLOOKUP(D92&amp;J92,'Target columns'!A:J,5,FALSE),"")</f>
        <v>NULL</v>
      </c>
      <c r="I92" s="66" t="str">
        <f>IFERROR(VLOOKUP(D92&amp;J92,'Target columns'!A:J,10,FALSE),"")</f>
        <v>Дата окончания действия</v>
      </c>
      <c r="J92" s="10" t="s">
        <v>331</v>
      </c>
      <c r="K92" s="65" t="s">
        <v>43</v>
      </c>
      <c r="L92" s="66" t="str">
        <f>IFERROR(VLOOKUP(UPPER(K92&amp;N92),source_columns[],4,0),"")</f>
        <v/>
      </c>
      <c r="M92" s="66" t="str">
        <f>IFERROR(VLOOKUP(UPPER(K92&amp;N92),source_columns[],7,0),"")</f>
        <v/>
      </c>
      <c r="N92" s="65" t="s">
        <v>345</v>
      </c>
      <c r="O92" s="65"/>
      <c r="P92" s="65"/>
      <c r="Q92" s="65"/>
      <c r="R92" s="65"/>
      <c r="S92" s="284"/>
      <c r="T92" s="65"/>
      <c r="U92" s="65"/>
      <c r="V92" s="66" t="str">
        <f>"n308000046_"&amp;IFERROR(VLOOKUP(D92,target_tables[],5,0),"&lt;not found&gt;")</f>
        <v>n308000046_agr_escrow_cust</v>
      </c>
      <c r="W92" s="65" t="s">
        <v>332</v>
      </c>
      <c r="X92" s="65"/>
      <c r="Y92" s="65"/>
      <c r="Z92" s="65"/>
      <c r="AA92" s="65"/>
      <c r="AB92" s="65"/>
      <c r="AC92" s="65"/>
      <c r="AD92" s="65"/>
      <c r="AE92" s="65"/>
      <c r="AF92" s="271"/>
      <c r="AG92" s="202"/>
      <c r="AH92" s="65"/>
      <c r="AI92" s="67"/>
      <c r="AJ92" s="68" t="s">
        <v>354</v>
      </c>
      <c r="AK92" s="69"/>
    </row>
    <row r="93" spans="1:37" ht="12.75" hidden="1" customHeight="1" x14ac:dyDescent="0.3">
      <c r="A93" s="70">
        <v>830</v>
      </c>
      <c r="B93" s="71" t="s">
        <v>266</v>
      </c>
      <c r="C93" s="71" t="str">
        <f>IFERROR(VLOOKUP(D93,'Target tables'!A:B,2,0),"")</f>
        <v>Таблица связей контрагентов с договором эскроу</v>
      </c>
      <c r="D93" s="27" t="s">
        <v>162</v>
      </c>
      <c r="E93" s="73" t="str">
        <f>IFERROR(VLOOKUP(D93&amp;J93,'Target columns'!A:J,4,FALSE),"")</f>
        <v>UUID</v>
      </c>
      <c r="F93" s="73" t="str">
        <f>IFERROR(VLOOKUP(D93&amp;J93,'Target columns'!A:J,7,FALSE),"")</f>
        <v>Yes</v>
      </c>
      <c r="G93" s="73" t="str">
        <f>IFERROR(VLOOKUP(D93&amp;J93,'Target columns'!A:J,8,FALSE),"")</f>
        <v>Yes</v>
      </c>
      <c r="H93" s="73" t="str">
        <f>IFERROR(VLOOKUP(D93&amp;J93,'Target columns'!A:J,5,FALSE),"")</f>
        <v>NOT NULL</v>
      </c>
      <c r="I93" s="73" t="str">
        <f>IFERROR(VLOOKUP(D93&amp;J93,'Target columns'!A:J,10,FALSE),"")</f>
        <v>Роль клиента в договоре - ID</v>
      </c>
      <c r="J93" s="27" t="s">
        <v>350</v>
      </c>
      <c r="K93" s="71" t="s">
        <v>43</v>
      </c>
      <c r="L93" s="73" t="str">
        <f>IFERROR(VLOOKUP(UPPER(K93&amp;N93),source_columns[],4,0),"")</f>
        <v/>
      </c>
      <c r="M93" s="73" t="str">
        <f>IFERROR(VLOOKUP(UPPER(K93&amp;N93),source_columns[],7,0),"")</f>
        <v/>
      </c>
      <c r="N93" s="71" t="s">
        <v>355</v>
      </c>
      <c r="O93" s="71"/>
      <c r="P93" s="71"/>
      <c r="Q93" s="71"/>
      <c r="R93" s="71"/>
      <c r="S93" s="285"/>
      <c r="T93" s="71"/>
      <c r="U93" s="71"/>
      <c r="V93" s="73" t="str">
        <f>"n308000046_"&amp;IFERROR(VLOOKUP(D93,target_tables[],5,0),"&lt;not found&gt;")</f>
        <v>n308000046_agr_escrow_cust</v>
      </c>
      <c r="W93" s="71" t="s">
        <v>269</v>
      </c>
      <c r="X93" s="71"/>
      <c r="Y93" s="71"/>
      <c r="Z93" s="71"/>
      <c r="AA93" s="71"/>
      <c r="AB93" s="71"/>
      <c r="AC93" s="71"/>
      <c r="AD93" s="71"/>
      <c r="AE93" s="71"/>
      <c r="AF93" s="271"/>
      <c r="AG93" s="203"/>
      <c r="AH93" s="71"/>
      <c r="AI93" s="74"/>
      <c r="AJ93" s="75"/>
      <c r="AK93" s="69"/>
    </row>
    <row r="94" spans="1:37" ht="12.75" hidden="1" customHeight="1" x14ac:dyDescent="0.3">
      <c r="A94" s="76">
        <v>840</v>
      </c>
      <c r="B94" s="77" t="s">
        <v>266</v>
      </c>
      <c r="C94" s="82" t="str">
        <f>IFERROR(VLOOKUP(D94,'Target tables'!A:B,2,0),"")</f>
        <v>Таблица связей договора эскроу со справочником оргструктуры</v>
      </c>
      <c r="D94" s="83" t="s">
        <v>59</v>
      </c>
      <c r="E94" s="84" t="str">
        <f>IFERROR(VLOOKUP(D94&amp;J94,'Target columns'!A:J,4,FALSE),"")</f>
        <v>UUID</v>
      </c>
      <c r="F94" s="84" t="str">
        <f>IFERROR(VLOOKUP(D94&amp;J94,'Target columns'!A:J,7,FALSE),"")</f>
        <v>Yes</v>
      </c>
      <c r="G94" s="84" t="str">
        <f>IFERROR(VLOOKUP(D94&amp;J94,'Target columns'!A:J,8,FALSE),"")</f>
        <v>Yes</v>
      </c>
      <c r="H94" s="84" t="str">
        <f>IFERROR(VLOOKUP(D94&amp;J94,'Target columns'!A:J,5,FALSE),"")</f>
        <v>NOT NULL</v>
      </c>
      <c r="I94" s="84" t="str">
        <f>IFERROR(VLOOKUP(D94&amp;J94,'Target columns'!A:J,10,FALSE),"")</f>
        <v>Идентификатор договора</v>
      </c>
      <c r="J94" s="83" t="s">
        <v>267</v>
      </c>
      <c r="K94" s="82" t="s">
        <v>41</v>
      </c>
      <c r="L94" s="84" t="str">
        <f>IFERROR(VLOOKUP(UPPER(K94&amp;N94),source_columns[],4,0),"")</f>
        <v>uuid</v>
      </c>
      <c r="M94" s="84" t="str">
        <f>IFERROR(VLOOKUP(UPPER(K94&amp;N94),source_columns[],7,0),"")</f>
        <v>Идентификатор договора эскроу</v>
      </c>
      <c r="N94" s="82" t="s">
        <v>384</v>
      </c>
      <c r="O94" s="82"/>
      <c r="P94" s="82"/>
      <c r="Q94" s="82"/>
      <c r="R94" s="82"/>
      <c r="S94" s="278" t="s">
        <v>407</v>
      </c>
      <c r="T94" s="77"/>
      <c r="U94" s="77"/>
      <c r="V94" s="78" t="str">
        <f>"n308000046_"&amp;IFERROR(VLOOKUP(D94,target_tables[],5,0),"&lt;not found&gt;")</f>
        <v>n308000046_agr_escrow_int_org</v>
      </c>
      <c r="W94" s="77" t="s">
        <v>269</v>
      </c>
      <c r="X94" s="77"/>
      <c r="Y94" s="77"/>
      <c r="Z94" s="77"/>
      <c r="AA94" s="77"/>
      <c r="AB94" s="77"/>
      <c r="AC94" s="77"/>
      <c r="AD94" s="77"/>
      <c r="AE94" s="77"/>
      <c r="AF94" s="271" t="s">
        <v>342</v>
      </c>
      <c r="AG94" s="201"/>
      <c r="AH94" s="77"/>
      <c r="AI94" s="79"/>
      <c r="AJ94" s="80"/>
      <c r="AK94" s="69"/>
    </row>
    <row r="95" spans="1:37" ht="12.75" hidden="1" customHeight="1" x14ac:dyDescent="0.3">
      <c r="A95" s="64">
        <v>850</v>
      </c>
      <c r="B95" s="65" t="s">
        <v>266</v>
      </c>
      <c r="C95" s="65" t="str">
        <f>IFERROR(VLOOKUP(D95,'Target tables'!A:B,2,0),"")</f>
        <v>Таблица связей договора эскроу со справочником оргструктуры</v>
      </c>
      <c r="D95" s="10" t="s">
        <v>59</v>
      </c>
      <c r="E95" s="66" t="str">
        <f>IFERROR(VLOOKUP(D95&amp;J95,'Target columns'!A:J,4,FALSE),"")</f>
        <v>UUID</v>
      </c>
      <c r="F95" s="66" t="str">
        <f>IFERROR(VLOOKUP(D95&amp;J95,'Target columns'!A:J,7,FALSE),"")</f>
        <v>No</v>
      </c>
      <c r="G95" s="66" t="str">
        <f>IFERROR(VLOOKUP(D95&amp;J95,'Target columns'!A:J,8,FALSE),"")</f>
        <v>Yes</v>
      </c>
      <c r="H95" s="66" t="str">
        <f>IFERROR(VLOOKUP(D95&amp;J95,'Target columns'!A:J,5,FALSE),"")</f>
        <v>NULL</v>
      </c>
      <c r="I95" s="66" t="str">
        <f>IFERROR(VLOOKUP(D95&amp;J95,'Target columns'!A:J,10,FALSE),"")</f>
        <v>Код ВСП ведения договора</v>
      </c>
      <c r="J95" s="10" t="s">
        <v>364</v>
      </c>
      <c r="K95" s="6" t="s">
        <v>41</v>
      </c>
      <c r="L95" s="78" t="str">
        <f>IFERROR(VLOOKUP(UPPER(K95&amp;N95),source_columns[],4,0),"")</f>
        <v>uuid</v>
      </c>
      <c r="M95" s="78" t="str">
        <f>IFERROR(VLOOKUP(UPPER(K95&amp;N95),source_columns[],7,0),"")</f>
        <v>Терр. Структура по балансу /Договора</v>
      </c>
      <c r="N95" s="65" t="s">
        <v>408</v>
      </c>
      <c r="O95" s="65"/>
      <c r="P95" s="65"/>
      <c r="Q95" s="65"/>
      <c r="R95" s="65"/>
      <c r="S95" s="278"/>
      <c r="T95" s="65"/>
      <c r="U95" s="65"/>
      <c r="V95" s="66" t="str">
        <f>"n308000046_"&amp;IFERROR(VLOOKUP(D95,target_tables[],5,0),"&lt;not found&gt;")</f>
        <v>n308000046_agr_escrow_int_org</v>
      </c>
      <c r="W95" s="65" t="s">
        <v>273</v>
      </c>
      <c r="X95" s="65"/>
      <c r="Y95" s="65"/>
      <c r="Z95" s="65"/>
      <c r="AA95" s="65"/>
      <c r="AB95" s="65"/>
      <c r="AC95" s="65"/>
      <c r="AD95" s="65"/>
      <c r="AE95" s="65"/>
      <c r="AF95" s="271"/>
      <c r="AG95" s="202"/>
      <c r="AH95" s="65"/>
      <c r="AI95" s="67"/>
      <c r="AJ95" s="286" t="s">
        <v>409</v>
      </c>
      <c r="AK95" s="69"/>
    </row>
    <row r="96" spans="1:37" ht="12.75" hidden="1" customHeight="1" x14ac:dyDescent="0.3">
      <c r="A96" s="64">
        <v>860</v>
      </c>
      <c r="B96" s="65" t="s">
        <v>266</v>
      </c>
      <c r="C96" s="65" t="str">
        <f>IFERROR(VLOOKUP(D96,'Target tables'!A:B,2,0),"")</f>
        <v>Таблица связей договора эскроу со справочником оргструктуры</v>
      </c>
      <c r="D96" s="10" t="s">
        <v>59</v>
      </c>
      <c r="E96" s="66" t="str">
        <f>IFERROR(VLOOKUP(D96&amp;J96,'Target columns'!A:J,4,FALSE),"")</f>
        <v>UUID</v>
      </c>
      <c r="F96" s="66" t="str">
        <f>IFERROR(VLOOKUP(D96&amp;J96,'Target columns'!A:J,7,FALSE),"")</f>
        <v>No</v>
      </c>
      <c r="G96" s="66" t="str">
        <f>IFERROR(VLOOKUP(D96&amp;J96,'Target columns'!A:J,8,FALSE),"")</f>
        <v>Yes</v>
      </c>
      <c r="H96" s="66" t="str">
        <f>IFERROR(VLOOKUP(D96&amp;J96,'Target columns'!A:J,5,FALSE),"")</f>
        <v>NULL</v>
      </c>
      <c r="I96" s="66" t="str">
        <f>IFERROR(VLOOKUP(D96&amp;J96,'Target columns'!A:J,10,FALSE),"")</f>
        <v>Код ВСП открытия счета бенефициара</v>
      </c>
      <c r="J96" s="10" t="s">
        <v>375</v>
      </c>
      <c r="K96" s="65" t="s">
        <v>41</v>
      </c>
      <c r="L96" s="78" t="str">
        <f>IFERROR(VLOOKUP(UPPER(K96&amp;N96),source_columns[],4,0),"")</f>
        <v>uuid</v>
      </c>
      <c r="M96" s="78" t="str">
        <f>IFERROR(VLOOKUP(UPPER(K96&amp;N96),source_columns[],7,0),"")</f>
        <v>Терр структура бенефициара  по схеме распределения дохода / отчетность</v>
      </c>
      <c r="N96" s="6" t="s">
        <v>410</v>
      </c>
      <c r="O96" s="65"/>
      <c r="P96" s="65"/>
      <c r="Q96" s="65"/>
      <c r="R96" s="65"/>
      <c r="S96" s="278"/>
      <c r="T96" s="65"/>
      <c r="U96" s="65"/>
      <c r="V96" s="66" t="str">
        <f>"n308000046_"&amp;IFERROR(VLOOKUP(D96,target_tables[],5,0),"&lt;not found&gt;")</f>
        <v>n308000046_agr_escrow_int_org</v>
      </c>
      <c r="W96" s="65" t="s">
        <v>273</v>
      </c>
      <c r="X96" s="65"/>
      <c r="Y96" s="65"/>
      <c r="Z96" s="65"/>
      <c r="AA96" s="65"/>
      <c r="AB96" s="65"/>
      <c r="AC96" s="65"/>
      <c r="AD96" s="65"/>
      <c r="AE96" s="65"/>
      <c r="AF96" s="271"/>
      <c r="AG96" s="202"/>
      <c r="AH96" s="65"/>
      <c r="AI96" s="67"/>
      <c r="AJ96" s="286"/>
      <c r="AK96" s="69"/>
    </row>
    <row r="97" spans="1:37" ht="12.75" hidden="1" customHeight="1" x14ac:dyDescent="0.3">
      <c r="A97" s="64">
        <v>870</v>
      </c>
      <c r="B97" s="65" t="s">
        <v>266</v>
      </c>
      <c r="C97" s="65" t="str">
        <f>IFERROR(VLOOKUP(D97,'Target tables'!A:B,2,0),"")</f>
        <v>Таблица связей договора эскроу со справочником оргструктуры</v>
      </c>
      <c r="D97" s="10" t="s">
        <v>59</v>
      </c>
      <c r="E97" s="66" t="str">
        <f>IFERROR(VLOOKUP(D97&amp;J97,'Target columns'!A:J,4,FALSE),"")</f>
        <v>UUID</v>
      </c>
      <c r="F97" s="66" t="str">
        <f>IFERROR(VLOOKUP(D97&amp;J97,'Target columns'!A:J,7,FALSE),"")</f>
        <v>No</v>
      </c>
      <c r="G97" s="66" t="str">
        <f>IFERROR(VLOOKUP(D97&amp;J97,'Target columns'!A:J,8,FALSE),"")</f>
        <v>Yes</v>
      </c>
      <c r="H97" s="66" t="str">
        <f>IFERROR(VLOOKUP(D97&amp;J97,'Target columns'!A:J,5,FALSE),"")</f>
        <v>NULL</v>
      </c>
      <c r="I97" s="66" t="str">
        <f>IFERROR(VLOOKUP(D97&amp;J97,'Target columns'!A:J,10,FALSE),"")</f>
        <v>Код ВСП открытия счета депонента</v>
      </c>
      <c r="J97" s="10" t="s">
        <v>378</v>
      </c>
      <c r="K97" s="77" t="s">
        <v>41</v>
      </c>
      <c r="L97" s="78" t="str">
        <f>IFERROR(VLOOKUP(UPPER(K97&amp;N97),source_columns[],4,0),"")</f>
        <v>uuid</v>
      </c>
      <c r="M97" s="78" t="str">
        <f>IFERROR(VLOOKUP(UPPER(K97&amp;N97),source_columns[],7,0),"")</f>
        <v>Терр структура депонента  по схеме распределения дохода / отчетность</v>
      </c>
      <c r="N97" s="6" t="s">
        <v>411</v>
      </c>
      <c r="O97" s="65"/>
      <c r="P97" s="65"/>
      <c r="Q97" s="65"/>
      <c r="R97" s="65"/>
      <c r="S97" s="278"/>
      <c r="T97" s="65"/>
      <c r="U97" s="65"/>
      <c r="V97" s="66" t="str">
        <f>"n308000046_"&amp;IFERROR(VLOOKUP(D97,target_tables[],5,0),"&lt;not found&gt;")</f>
        <v>n308000046_agr_escrow_int_org</v>
      </c>
      <c r="W97" s="65" t="s">
        <v>273</v>
      </c>
      <c r="X97" s="65"/>
      <c r="Y97" s="65"/>
      <c r="Z97" s="65"/>
      <c r="AA97" s="65"/>
      <c r="AB97" s="65"/>
      <c r="AC97" s="65"/>
      <c r="AD97" s="65"/>
      <c r="AE97" s="65"/>
      <c r="AF97" s="271"/>
      <c r="AG97" s="202"/>
      <c r="AH97" s="65"/>
      <c r="AI97" s="67"/>
      <c r="AJ97" s="286"/>
      <c r="AK97" s="69"/>
    </row>
    <row r="98" spans="1:37" ht="12.75" hidden="1" customHeight="1" x14ac:dyDescent="0.3">
      <c r="A98" s="64">
        <v>880</v>
      </c>
      <c r="B98" s="65" t="s">
        <v>266</v>
      </c>
      <c r="C98" s="65" t="str">
        <f>IFERROR(VLOOKUP(D98,'Target tables'!A:B,2,0),"")</f>
        <v>Таблица связей договора эскроу со справочником оргструктуры</v>
      </c>
      <c r="D98" s="10" t="s">
        <v>59</v>
      </c>
      <c r="E98" s="66" t="str">
        <f>IFERROR(VLOOKUP(D98&amp;J98,'Target columns'!A:J,4,FALSE),"")</f>
        <v>DATE</v>
      </c>
      <c r="F98" s="66" t="str">
        <f>IFERROR(VLOOKUP(D98&amp;J98,'Target columns'!A:J,7,FALSE),"")</f>
        <v>Yes</v>
      </c>
      <c r="G98" s="66" t="str">
        <f>IFERROR(VLOOKUP(D98&amp;J98,'Target columns'!A:J,8,FALSE),"")</f>
        <v>No</v>
      </c>
      <c r="H98" s="66" t="str">
        <f>IFERROR(VLOOKUP(D98&amp;J98,'Target columns'!A:J,5,FALSE),"")</f>
        <v>NOT NULL</v>
      </c>
      <c r="I98" s="66" t="str">
        <f>IFERROR(VLOOKUP(D98&amp;J98,'Target columns'!A:J,10,FALSE),"")</f>
        <v>Дата начала действия связи</v>
      </c>
      <c r="J98" s="10" t="s">
        <v>329</v>
      </c>
      <c r="K98" s="77" t="s">
        <v>41</v>
      </c>
      <c r="L98" s="78"/>
      <c r="M98" s="78"/>
      <c r="N98" s="202" t="s">
        <v>344</v>
      </c>
      <c r="O98" s="65"/>
      <c r="P98" s="65"/>
      <c r="Q98" s="65"/>
      <c r="R98" s="65"/>
      <c r="S98" s="278"/>
      <c r="T98" s="65"/>
      <c r="U98" s="65"/>
      <c r="V98" s="66" t="str">
        <f>"n308000046_"&amp;IFERROR(VLOOKUP(D98,target_tables[],5,0),"&lt;not found&gt;")</f>
        <v>n308000046_agr_escrow_int_org</v>
      </c>
      <c r="W98" s="65" t="s">
        <v>330</v>
      </c>
      <c r="X98" s="65"/>
      <c r="Y98" s="65"/>
      <c r="Z98" s="65"/>
      <c r="AA98" s="65"/>
      <c r="AB98" s="65"/>
      <c r="AC98" s="65"/>
      <c r="AD98" s="65"/>
      <c r="AE98" s="65"/>
      <c r="AF98" s="271"/>
      <c r="AG98" s="202"/>
      <c r="AH98" s="65"/>
      <c r="AI98" s="67"/>
      <c r="AJ98" s="286"/>
      <c r="AK98" s="69"/>
    </row>
    <row r="99" spans="1:37" ht="12.75" hidden="1" customHeight="1" x14ac:dyDescent="0.25">
      <c r="A99" s="70">
        <v>890</v>
      </c>
      <c r="B99" s="71" t="s">
        <v>266</v>
      </c>
      <c r="C99" s="71" t="str">
        <f>IFERROR(VLOOKUP(D99,'Target tables'!A:B,2,0),"")</f>
        <v>Таблица связей договора эскроу со справочником оргструктуры</v>
      </c>
      <c r="D99" s="27" t="s">
        <v>59</v>
      </c>
      <c r="E99" s="73" t="str">
        <f>IFERROR(VLOOKUP(D99&amp;J99,'Target columns'!A:J,4,FALSE),"")</f>
        <v>DATE</v>
      </c>
      <c r="F99" s="73" t="str">
        <f>IFERROR(VLOOKUP(D99&amp;J99,'Target columns'!A:J,7,FALSE),"")</f>
        <v>No</v>
      </c>
      <c r="G99" s="73" t="str">
        <f>IFERROR(VLOOKUP(D99&amp;J99,'Target columns'!A:J,8,FALSE),"")</f>
        <v>No</v>
      </c>
      <c r="H99" s="73" t="str">
        <f>IFERROR(VLOOKUP(D99&amp;J99,'Target columns'!A:J,5,FALSE),"")</f>
        <v>NULL</v>
      </c>
      <c r="I99" s="73" t="str">
        <f>IFERROR(VLOOKUP(D99&amp;J99,'Target columns'!A:J,10,FALSE),"")</f>
        <v>Дата окончания действия связи</v>
      </c>
      <c r="J99" s="27" t="s">
        <v>331</v>
      </c>
      <c r="K99" s="71" t="s">
        <v>41</v>
      </c>
      <c r="L99" s="73" t="str">
        <f>IFERROR(VLOOKUP(UPPER(K99&amp;N99),source_columns[],4,0),"")</f>
        <v/>
      </c>
      <c r="M99" s="73" t="str">
        <f>IFERROR(VLOOKUP(UPPER(K99&amp;N99),source_columns[],7,0),"")</f>
        <v/>
      </c>
      <c r="N99" s="71" t="s">
        <v>345</v>
      </c>
      <c r="O99" s="71"/>
      <c r="P99" s="71"/>
      <c r="Q99" s="71"/>
      <c r="R99" s="71"/>
      <c r="S99" s="278"/>
      <c r="T99" s="71"/>
      <c r="U99" s="71"/>
      <c r="V99" s="73" t="str">
        <f>"n308000046_"&amp;IFERROR(VLOOKUP(D99,target_tables[],5,0),"&lt;not found&gt;")</f>
        <v>n308000046_agr_escrow_int_org</v>
      </c>
      <c r="W99" s="71" t="s">
        <v>332</v>
      </c>
      <c r="X99" s="71"/>
      <c r="Y99" s="71"/>
      <c r="Z99" s="71"/>
      <c r="AA99" s="71"/>
      <c r="AB99" s="71"/>
      <c r="AC99" s="71"/>
      <c r="AD99" s="71"/>
      <c r="AE99" s="71"/>
      <c r="AF99" s="271"/>
      <c r="AG99" s="203"/>
      <c r="AH99" s="71"/>
      <c r="AI99" s="74"/>
      <c r="AJ99" s="95"/>
      <c r="AK99" s="69"/>
    </row>
    <row r="100" spans="1:37" ht="12.75" hidden="1" customHeight="1" x14ac:dyDescent="0.3">
      <c r="A100" s="76">
        <v>790</v>
      </c>
      <c r="B100" s="77" t="s">
        <v>314</v>
      </c>
      <c r="C100" s="77" t="str">
        <f>IFERROR(VLOOKUP(D100,'Target tables'!A:B,2,0),"")</f>
        <v>Тип операции</v>
      </c>
      <c r="D100" s="24" t="s">
        <v>32</v>
      </c>
      <c r="E100" s="78" t="str">
        <f>IFERROR(VLOOKUP(D100&amp;J100,'Target columns'!A:J,4,FALSE),"")</f>
        <v>UUID</v>
      </c>
      <c r="F100" s="78" t="str">
        <f>IFERROR(VLOOKUP(D100&amp;J100,'Target columns'!A:J,7,FALSE),"")</f>
        <v>Yes</v>
      </c>
      <c r="G100" s="78" t="str">
        <f>IFERROR(VLOOKUP(D100&amp;J100,'Target columns'!A:J,8,FALSE),"")</f>
        <v>No</v>
      </c>
      <c r="H100" s="78" t="str">
        <f>IFERROR(VLOOKUP(D100&amp;J100,'Target columns'!A:J,5,FALSE),"")</f>
        <v>NOT NULL</v>
      </c>
      <c r="I100" s="78" t="str">
        <f>IFERROR(VLOOKUP(D100&amp;J100,'Target columns'!A:J,10,FALSE),"")</f>
        <v>Уникальный идентификатор  типа операции</v>
      </c>
      <c r="J100" s="24" t="s">
        <v>412</v>
      </c>
      <c r="K100" s="207" t="s">
        <v>296</v>
      </c>
      <c r="L100" s="86" t="str">
        <f>IFERROR(VLOOKUP(UPPER(K100&amp;N100),source_columns[],4,0),"")</f>
        <v/>
      </c>
      <c r="M100" s="86" t="str">
        <f>IFERROR(VLOOKUP(UPPER(K100&amp;N100),source_columns[],7,0),"")</f>
        <v/>
      </c>
      <c r="N100" s="50" t="s">
        <v>413</v>
      </c>
      <c r="O100" s="207"/>
      <c r="P100" s="77"/>
      <c r="Q100" s="77"/>
      <c r="R100" s="77"/>
      <c r="S100" s="280" t="s">
        <v>414</v>
      </c>
      <c r="T100" s="77"/>
      <c r="U100" s="77"/>
      <c r="V100" s="78" t="str">
        <f>"n308000046_"&amp;IFERROR(VLOOKUP(D100,target_tables[],5,0),"&lt;not found&gt;")</f>
        <v>n308000046_optn_type</v>
      </c>
      <c r="W100" s="77" t="s">
        <v>269</v>
      </c>
      <c r="X100" s="77"/>
      <c r="Y100" s="77"/>
      <c r="Z100" s="77"/>
      <c r="AA100" s="77"/>
      <c r="AB100" s="77"/>
      <c r="AC100" s="77"/>
      <c r="AD100" s="77"/>
      <c r="AE100" s="77"/>
      <c r="AF100" s="271" t="s">
        <v>270</v>
      </c>
      <c r="AG100" s="201"/>
      <c r="AH100" s="77"/>
      <c r="AI100" s="79"/>
      <c r="AJ100" s="80"/>
      <c r="AK100" s="69"/>
    </row>
    <row r="101" spans="1:37" ht="12.75" hidden="1" customHeight="1" x14ac:dyDescent="0.3">
      <c r="A101" s="64">
        <v>800</v>
      </c>
      <c r="B101" s="65" t="s">
        <v>314</v>
      </c>
      <c r="C101" s="65" t="str">
        <f>IFERROR(VLOOKUP(D101,'Target tables'!A:B,2,0),"")</f>
        <v>Тип операции</v>
      </c>
      <c r="D101" s="10" t="s">
        <v>32</v>
      </c>
      <c r="E101" s="66" t="str">
        <f>IFERROR(VLOOKUP(D101&amp;J101,'Target columns'!A:J,4,FALSE),"")</f>
        <v>TEXT</v>
      </c>
      <c r="F101" s="66" t="str">
        <f>IFERROR(VLOOKUP(D101&amp;J101,'Target columns'!A:J,7,FALSE),"")</f>
        <v>No</v>
      </c>
      <c r="G101" s="66" t="str">
        <f>IFERROR(VLOOKUP(D101&amp;J101,'Target columns'!A:J,8,FALSE),"")</f>
        <v>No</v>
      </c>
      <c r="H101" s="66" t="str">
        <f>IFERROR(VLOOKUP(D101&amp;J101,'Target columns'!A:J,5,FALSE),"")</f>
        <v>NULL</v>
      </c>
      <c r="I101" s="66" t="str">
        <f>IFERROR(VLOOKUP(D101&amp;J101,'Target columns'!A:J,10,FALSE),"")</f>
        <v>Код типа операции</v>
      </c>
      <c r="J101" s="10" t="s">
        <v>415</v>
      </c>
      <c r="K101" s="65" t="s">
        <v>296</v>
      </c>
      <c r="L101" s="66" t="str">
        <f>IFERROR(VLOOKUP(UPPER(K101&amp;N101),source_columns[],4,0),"")</f>
        <v/>
      </c>
      <c r="M101" s="66" t="s">
        <v>416</v>
      </c>
      <c r="N101" s="202" t="s">
        <v>417</v>
      </c>
      <c r="O101" s="65"/>
      <c r="P101" s="65"/>
      <c r="Q101" s="65"/>
      <c r="R101" s="65"/>
      <c r="S101" s="280"/>
      <c r="T101" s="65"/>
      <c r="V101" s="66" t="str">
        <f>"n308000046_"&amp;IFERROR(VLOOKUP(D101,target_tables[],5,0),"&lt;not found&gt;")</f>
        <v>n308000046_optn_type</v>
      </c>
      <c r="W101" s="65" t="s">
        <v>273</v>
      </c>
      <c r="X101" s="65"/>
      <c r="Y101" s="65"/>
      <c r="Z101" s="65"/>
      <c r="AA101" s="65"/>
      <c r="AB101" s="65"/>
      <c r="AC101" s="65"/>
      <c r="AD101" s="65"/>
      <c r="AE101" s="65"/>
      <c r="AF101" s="271"/>
      <c r="AG101" s="202"/>
      <c r="AH101" s="65"/>
      <c r="AI101" s="67"/>
      <c r="AJ101" s="68"/>
      <c r="AK101" s="69"/>
    </row>
    <row r="102" spans="1:37" ht="12.75" hidden="1" customHeight="1" x14ac:dyDescent="0.3">
      <c r="A102" s="70">
        <v>830</v>
      </c>
      <c r="B102" s="71" t="s">
        <v>314</v>
      </c>
      <c r="C102" s="71" t="str">
        <f>IFERROR(VLOOKUP(D102,'Target tables'!A:B,2,0),"")</f>
        <v>Тип операции</v>
      </c>
      <c r="D102" s="27" t="s">
        <v>32</v>
      </c>
      <c r="E102" s="73" t="str">
        <f>IFERROR(VLOOKUP(D102&amp;J102,'Target columns'!A:J,4,FALSE),"")</f>
        <v>TEXT</v>
      </c>
      <c r="F102" s="73" t="str">
        <f>IFERROR(VLOOKUP(D102&amp;J102,'Target columns'!A:J,7,FALSE),"")</f>
        <v>No</v>
      </c>
      <c r="G102" s="73" t="str">
        <f>IFERROR(VLOOKUP(D102&amp;J102,'Target columns'!A:J,8,FALSE),"")</f>
        <v>No</v>
      </c>
      <c r="H102" s="73" t="str">
        <f>IFERROR(VLOOKUP(D102&amp;J102,'Target columns'!A:J,5,FALSE),"")</f>
        <v>NULL</v>
      </c>
      <c r="I102" s="73" t="str">
        <f>IFERROR(VLOOKUP(D102&amp;J102,'Target columns'!A:J,10,FALSE),"")</f>
        <v>Наименовние типа оперции</v>
      </c>
      <c r="J102" s="27" t="s">
        <v>418</v>
      </c>
      <c r="K102" s="71" t="s">
        <v>296</v>
      </c>
      <c r="L102" s="73" t="str">
        <f>IFERROR(VLOOKUP(UPPER(K102&amp;N102),source_columns[],4,0),"")</f>
        <v/>
      </c>
      <c r="M102" s="73" t="s">
        <v>419</v>
      </c>
      <c r="N102" s="71" t="s">
        <v>420</v>
      </c>
      <c r="O102" s="71"/>
      <c r="P102" s="71"/>
      <c r="Q102" s="71"/>
      <c r="R102" s="71"/>
      <c r="S102" s="280"/>
      <c r="T102" s="71"/>
      <c r="U102" s="71"/>
      <c r="V102" s="73" t="str">
        <f>"n308000046_"&amp;IFERROR(VLOOKUP(D102,target_tables[],5,0),"&lt;not found&gt;")</f>
        <v>n308000046_optn_type</v>
      </c>
      <c r="W102" s="71" t="s">
        <v>273</v>
      </c>
      <c r="X102" s="71"/>
      <c r="Y102" s="71"/>
      <c r="Z102" s="71"/>
      <c r="AA102" s="71"/>
      <c r="AB102" s="71"/>
      <c r="AC102" s="71"/>
      <c r="AD102" s="71"/>
      <c r="AE102" s="71"/>
      <c r="AF102" s="271"/>
      <c r="AG102" s="203"/>
      <c r="AH102" s="71"/>
      <c r="AI102" s="74"/>
      <c r="AJ102" s="75"/>
      <c r="AK102" s="69"/>
    </row>
    <row r="103" spans="1:37" ht="12.75" hidden="1" customHeight="1" x14ac:dyDescent="0.3">
      <c r="A103" s="64">
        <v>840</v>
      </c>
      <c r="B103" s="77" t="s">
        <v>314</v>
      </c>
      <c r="C103" s="65" t="str">
        <f>IFERROR(VLOOKUP(D103,'Target tables'!A:B,2,0),"")</f>
        <v>Операции</v>
      </c>
      <c r="D103" s="6" t="s">
        <v>33</v>
      </c>
      <c r="E103" s="78" t="str">
        <f>IFERROR(VLOOKUP(D103&amp;J103,'Target columns'!A:J,4,FALSE),"")</f>
        <v>UUID</v>
      </c>
      <c r="F103" s="78" t="str">
        <f>IFERROR(VLOOKUP(D103&amp;J103,'Target columns'!A:J,7,FALSE),"")</f>
        <v>Yes</v>
      </c>
      <c r="G103" s="78" t="str">
        <f>IFERROR(VLOOKUP(D103&amp;J103,'Target columns'!A:J,8,FALSE),"")</f>
        <v>No</v>
      </c>
      <c r="H103" s="78" t="str">
        <f>IFERROR(VLOOKUP(D103&amp;J103,'Target columns'!A:J,5,FALSE),"")</f>
        <v>NOT NULL</v>
      </c>
      <c r="I103" s="78" t="str">
        <f>IFERROR(VLOOKUP(D103&amp;J103,'Target columns'!A:J,10,FALSE),"")</f>
        <v>Уникальный идентификатор операции</v>
      </c>
      <c r="J103" s="77" t="s">
        <v>421</v>
      </c>
      <c r="K103" s="201" t="s">
        <v>296</v>
      </c>
      <c r="L103" s="78" t="str">
        <f>IFERROR(VLOOKUP(UPPER(K103&amp;N103), source_columns[], 4,0),"")</f>
        <v/>
      </c>
      <c r="M103" s="78" t="str">
        <f>IFERROR(VLOOKUP(UPPER(K103&amp;N103), source_columns[], 7,0),"")</f>
        <v/>
      </c>
      <c r="N103" s="77" t="s">
        <v>422</v>
      </c>
      <c r="O103" s="77"/>
      <c r="P103" s="77"/>
      <c r="Q103" s="77"/>
      <c r="R103" s="77"/>
      <c r="S103" s="273" t="s">
        <v>423</v>
      </c>
      <c r="T103" s="65"/>
      <c r="U103" s="65"/>
      <c r="V103" s="66" t="str">
        <f>"n308000046_"&amp;IFERROR(VLOOKUP(D103,target_tables[],5,0),"&lt;not found&gt;")</f>
        <v>n308000046_optn</v>
      </c>
      <c r="W103" s="65" t="s">
        <v>269</v>
      </c>
      <c r="X103" s="65"/>
      <c r="Y103" s="65"/>
      <c r="Z103" s="65"/>
      <c r="AA103" s="65"/>
      <c r="AB103" s="65"/>
      <c r="AC103" s="65"/>
      <c r="AD103" s="65"/>
      <c r="AE103" s="65"/>
      <c r="AF103" s="287" t="s">
        <v>270</v>
      </c>
      <c r="AG103" s="202"/>
      <c r="AH103" s="65"/>
      <c r="AI103" s="67"/>
      <c r="AJ103" s="68"/>
      <c r="AK103" s="69"/>
    </row>
    <row r="104" spans="1:37" ht="12.75" hidden="1" customHeight="1" x14ac:dyDescent="0.3">
      <c r="A104" s="64">
        <v>850</v>
      </c>
      <c r="B104" s="65" t="s">
        <v>314</v>
      </c>
      <c r="C104" s="65" t="str">
        <f>IFERROR(VLOOKUP(D104,'Target tables'!A:B,2,0),"")</f>
        <v>Операции</v>
      </c>
      <c r="D104" s="6" t="s">
        <v>33</v>
      </c>
      <c r="E104" s="66" t="str">
        <f>IFERROR(VLOOKUP(D104&amp;J104,'Target columns'!A:J,4,FALSE),"")</f>
        <v>UUID</v>
      </c>
      <c r="F104" s="66" t="str">
        <f>IFERROR(VLOOKUP(D104&amp;J104,'Target columns'!A:J,7,FALSE),"")</f>
        <v>No</v>
      </c>
      <c r="G104" s="66" t="str">
        <f>IFERROR(VLOOKUP(D104&amp;J104,'Target columns'!A:J,8,FALSE),"")</f>
        <v>Yes</v>
      </c>
      <c r="H104" s="66" t="str">
        <f>IFERROR(VLOOKUP(D104&amp;J104,'Target columns'!A:J,5,FALSE),"")</f>
        <v>NULL</v>
      </c>
      <c r="I104" s="66" t="str">
        <f>IFERROR(VLOOKUP(D104&amp;J104,'Target columns'!A:J,10,FALSE),"")</f>
        <v>Уникальный идентификатор  типа операции</v>
      </c>
      <c r="J104" s="65" t="s">
        <v>412</v>
      </c>
      <c r="K104" s="6" t="s">
        <v>296</v>
      </c>
      <c r="L104" s="66" t="str">
        <f>IFERROR(VLOOKUP(UPPER(K104&amp;N115), source_columns[], 4,0),"")</f>
        <v/>
      </c>
      <c r="M104" s="66" t="str">
        <f>IFERROR(VLOOKUP(UPPER(K104&amp;N115),source_columns[],7,0),"")</f>
        <v/>
      </c>
      <c r="N104" s="50" t="s">
        <v>413</v>
      </c>
      <c r="O104" s="65"/>
      <c r="P104" s="65"/>
      <c r="Q104" s="65"/>
      <c r="R104" s="65"/>
      <c r="S104" s="272"/>
      <c r="T104" s="65"/>
      <c r="U104" s="65"/>
      <c r="V104" s="66" t="str">
        <f>"n308000046_"&amp;IFERROR(VLOOKUP(D104,target_tables[],5,0),"&lt;not found&gt;")</f>
        <v>n308000046_optn</v>
      </c>
      <c r="W104" s="65" t="s">
        <v>273</v>
      </c>
      <c r="X104" s="65"/>
      <c r="Y104" s="65"/>
      <c r="Z104" s="65"/>
      <c r="AA104" s="65"/>
      <c r="AB104" s="65"/>
      <c r="AC104" s="65"/>
      <c r="AD104" s="65"/>
      <c r="AE104" s="65"/>
      <c r="AF104" s="287"/>
      <c r="AG104" s="202"/>
      <c r="AH104" s="65"/>
      <c r="AI104" s="67"/>
      <c r="AJ104" s="68"/>
      <c r="AK104" s="69"/>
    </row>
    <row r="105" spans="1:37" ht="12.75" hidden="1" customHeight="1" x14ac:dyDescent="0.3">
      <c r="A105" s="64">
        <v>860</v>
      </c>
      <c r="B105" s="65" t="s">
        <v>314</v>
      </c>
      <c r="C105" s="65" t="str">
        <f>IFERROR(VLOOKUP(D105,'Target tables'!A:B,2,0),"")</f>
        <v>Операции</v>
      </c>
      <c r="D105" s="6" t="s">
        <v>33</v>
      </c>
      <c r="E105" s="66" t="str">
        <f>IFERROR(VLOOKUP(D105&amp;J105,'Target columns'!A:J,4,FALSE),"")</f>
        <v>UUID</v>
      </c>
      <c r="F105" s="66" t="str">
        <f>IFERROR(VLOOKUP(D105&amp;J105,'Target columns'!A:J,7,FALSE),"")</f>
        <v>No</v>
      </c>
      <c r="G105" s="66" t="str">
        <f>IFERROR(VLOOKUP(D105&amp;J105,'Target columns'!A:J,8,FALSE),"")</f>
        <v>Yes</v>
      </c>
      <c r="H105" s="66" t="str">
        <f>IFERROR(VLOOKUP(D105&amp;J105,'Target columns'!A:J,5,FALSE),"")</f>
        <v>NULL</v>
      </c>
      <c r="I105" s="66" t="str">
        <f>IFERROR(VLOOKUP(D105&amp;J105,'Target columns'!A:J,10,FALSE),"")</f>
        <v>Идентификатор договора</v>
      </c>
      <c r="J105" s="65" t="s">
        <v>324</v>
      </c>
      <c r="K105" s="6" t="s">
        <v>296</v>
      </c>
      <c r="L105" s="66" t="str">
        <f>IFERROR(VLOOKUP(UPPER(K105&amp;N105), source_columns[], 4,0),"")</f>
        <v/>
      </c>
      <c r="M105" s="66" t="str">
        <f>IFERROR(VLOOKUP(UPPER(K105&amp;N105),source_columns[],7,0),"")</f>
        <v/>
      </c>
      <c r="N105" s="65" t="s">
        <v>424</v>
      </c>
      <c r="O105" s="65"/>
      <c r="P105" s="65"/>
      <c r="Q105" s="65"/>
      <c r="R105" s="65"/>
      <c r="S105" s="272"/>
      <c r="T105" s="65"/>
      <c r="U105" s="65"/>
      <c r="V105" s="66" t="str">
        <f>"n308000046_"&amp;IFERROR(VLOOKUP(D105,target_tables[],5,0),"&lt;not found&gt;")</f>
        <v>n308000046_optn</v>
      </c>
      <c r="W105" s="65" t="s">
        <v>273</v>
      </c>
      <c r="X105" s="65"/>
      <c r="Y105" s="65"/>
      <c r="Z105" s="65"/>
      <c r="AA105" s="65"/>
      <c r="AB105" s="65"/>
      <c r="AC105" s="65"/>
      <c r="AD105" s="65"/>
      <c r="AE105" s="65"/>
      <c r="AF105" s="287"/>
      <c r="AG105" s="202"/>
      <c r="AH105" s="65"/>
      <c r="AI105" s="67"/>
      <c r="AJ105" s="68"/>
      <c r="AK105" s="69"/>
    </row>
    <row r="106" spans="1:37" ht="12.75" hidden="1" customHeight="1" x14ac:dyDescent="0.3">
      <c r="A106" s="64">
        <v>870</v>
      </c>
      <c r="B106" s="65" t="s">
        <v>314</v>
      </c>
      <c r="C106" s="65" t="str">
        <f>IFERROR(VLOOKUP(D106,'Target tables'!A:B,2,0),"")</f>
        <v>Операции</v>
      </c>
      <c r="D106" s="6" t="s">
        <v>33</v>
      </c>
      <c r="E106" s="66" t="str">
        <f>IFERROR(VLOOKUP(D106&amp;J106,'Target columns'!A:J,4,FALSE),"")</f>
        <v>TEXT</v>
      </c>
      <c r="F106" s="66" t="str">
        <f>IFERROR(VLOOKUP(D106&amp;J106,'Target columns'!A:J,7,FALSE),"")</f>
        <v>No</v>
      </c>
      <c r="G106" s="66" t="str">
        <f>IFERROR(VLOOKUP(D106&amp;J106,'Target columns'!A:J,8,FALSE),"")</f>
        <v>No</v>
      </c>
      <c r="H106" s="66" t="str">
        <f>IFERROR(VLOOKUP(D106&amp;J106,'Target columns'!A:J,5,FALSE),"")</f>
        <v>NULL</v>
      </c>
      <c r="I106" s="66" t="str">
        <f>IFERROR(VLOOKUP(D106&amp;J106,'Target columns'!A:J,10,FALSE),"")</f>
        <v>Код операции</v>
      </c>
      <c r="J106" s="65" t="s">
        <v>425</v>
      </c>
      <c r="K106" s="6" t="s">
        <v>296</v>
      </c>
      <c r="L106" s="66" t="str">
        <f>IFERROR(VLOOKUP(UPPER(K106&amp;N106),source_columns[],4,0),"")</f>
        <v/>
      </c>
      <c r="M106" s="66" t="str">
        <f>IFERROR(VLOOKUP(UPPER(K106&amp;N106),source_columns[],7,0),"")</f>
        <v/>
      </c>
      <c r="N106" s="65" t="s">
        <v>426</v>
      </c>
      <c r="O106" s="65"/>
      <c r="P106" s="65"/>
      <c r="Q106" s="65"/>
      <c r="R106" s="65"/>
      <c r="S106" s="272"/>
      <c r="T106" s="65"/>
      <c r="U106" s="65"/>
      <c r="V106" s="66" t="str">
        <f>"n308000046_"&amp;IFERROR(VLOOKUP(D106,target_tables[],5,0),"&lt;not found&gt;")</f>
        <v>n308000046_optn</v>
      </c>
      <c r="W106" s="65" t="s">
        <v>273</v>
      </c>
      <c r="X106" s="65"/>
      <c r="Y106" s="65"/>
      <c r="Z106" s="65"/>
      <c r="AA106" s="65"/>
      <c r="AB106" s="65"/>
      <c r="AC106" s="65"/>
      <c r="AD106" s="65"/>
      <c r="AE106" s="65"/>
      <c r="AF106" s="287"/>
      <c r="AG106" s="202"/>
      <c r="AH106" s="65"/>
      <c r="AI106" s="67"/>
      <c r="AJ106" s="68"/>
      <c r="AK106" s="69"/>
    </row>
    <row r="107" spans="1:37" ht="12.75" hidden="1" customHeight="1" x14ac:dyDescent="0.3">
      <c r="A107" s="64">
        <v>880</v>
      </c>
      <c r="B107" s="65" t="s">
        <v>314</v>
      </c>
      <c r="C107" s="65" t="str">
        <f>IFERROR(VLOOKUP(D107,'Target tables'!A:B,2,0),"")</f>
        <v>Операции</v>
      </c>
      <c r="D107" s="6" t="s">
        <v>33</v>
      </c>
      <c r="E107" s="66" t="str">
        <f>IFERROR(VLOOKUP(D107&amp;J107,'Target columns'!A:J,4,FALSE),"")</f>
        <v>DATE</v>
      </c>
      <c r="F107" s="66" t="str">
        <f>IFERROR(VLOOKUP(D107&amp;J107,'Target columns'!A:J,7,FALSE),"")</f>
        <v>No</v>
      </c>
      <c r="G107" s="66" t="str">
        <f>IFERROR(VLOOKUP(D107&amp;J107,'Target columns'!A:J,8,FALSE),"")</f>
        <v>No</v>
      </c>
      <c r="H107" s="66" t="str">
        <f>IFERROR(VLOOKUP(D107&amp;J107,'Target columns'!A:J,5,FALSE),"")</f>
        <v>NULL</v>
      </c>
      <c r="I107" s="66" t="str">
        <f>IFERROR(VLOOKUP(D107&amp;J107,'Target columns'!A:J,10,FALSE),"")</f>
        <v>Дата операции</v>
      </c>
      <c r="J107" s="65" t="s">
        <v>427</v>
      </c>
      <c r="K107" s="6" t="s">
        <v>296</v>
      </c>
      <c r="L107" s="66" t="str">
        <f>IFERROR(VLOOKUP(UPPER(K107&amp;N107),source_columns[],4,0),"")</f>
        <v/>
      </c>
      <c r="M107" s="66" t="str">
        <f>IFERROR(VLOOKUP(UPPER(K107&amp;N107),source_columns[],7,0),"")</f>
        <v/>
      </c>
      <c r="N107" s="96" t="s">
        <v>428</v>
      </c>
      <c r="O107" s="65"/>
      <c r="P107" s="65"/>
      <c r="Q107" s="65"/>
      <c r="R107" s="65"/>
      <c r="S107" s="272"/>
      <c r="T107" s="65"/>
      <c r="U107" s="65"/>
      <c r="V107" s="66" t="str">
        <f>"n308000046_"&amp;IFERROR(VLOOKUP(D107,target_tables[],5,0),"&lt;not found&gt;")</f>
        <v>n308000046_optn</v>
      </c>
      <c r="W107" s="65" t="s">
        <v>273</v>
      </c>
      <c r="X107" s="65"/>
      <c r="Y107" s="65"/>
      <c r="Z107" s="65"/>
      <c r="AA107" s="65"/>
      <c r="AB107" s="65"/>
      <c r="AC107" s="65"/>
      <c r="AD107" s="65"/>
      <c r="AE107" s="65"/>
      <c r="AF107" s="287"/>
      <c r="AG107" s="202"/>
      <c r="AH107" s="65"/>
      <c r="AI107" s="67"/>
      <c r="AJ107" s="68"/>
      <c r="AK107" s="69"/>
    </row>
    <row r="108" spans="1:37" ht="12.75" hidden="1" customHeight="1" x14ac:dyDescent="0.3">
      <c r="A108" s="64">
        <v>890</v>
      </c>
      <c r="B108" s="65" t="s">
        <v>314</v>
      </c>
      <c r="C108" s="65" t="str">
        <f>IFERROR(VLOOKUP(D108,'Target tables'!A:B,2,0),"")</f>
        <v>Операции</v>
      </c>
      <c r="D108" s="6" t="s">
        <v>33</v>
      </c>
      <c r="E108" s="66" t="str">
        <f>IFERROR(VLOOKUP(D108&amp;J108,'Target columns'!A:J,4,FALSE),"")</f>
        <v>NUMERIC</v>
      </c>
      <c r="F108" s="66" t="str">
        <f>IFERROR(VLOOKUP(D108&amp;J108,'Target columns'!A:J,7,FALSE),"")</f>
        <v>No</v>
      </c>
      <c r="G108" s="66" t="str">
        <f>IFERROR(VLOOKUP(D108&amp;J108,'Target columns'!A:J,8,FALSE),"")</f>
        <v>No</v>
      </c>
      <c r="H108" s="66" t="str">
        <f>IFERROR(VLOOKUP(D108&amp;J108,'Target columns'!A:J,5,FALSE),"")</f>
        <v>NULL</v>
      </c>
      <c r="I108" s="66" t="str">
        <f>IFERROR(VLOOKUP(D108&amp;J108,'Target columns'!A:J,10,FALSE),"")</f>
        <v>Сумма в валюте операции</v>
      </c>
      <c r="J108" s="65" t="s">
        <v>429</v>
      </c>
      <c r="K108" s="6" t="s">
        <v>296</v>
      </c>
      <c r="L108" s="66" t="str">
        <f>IFERROR(VLOOKUP(UPPER(K108&amp;N108),source_columns[],4,0),"")</f>
        <v/>
      </c>
      <c r="M108" s="66" t="str">
        <f>IFERROR(VLOOKUP(UPPER(K108&amp;N108),source_columns[],7,0),"")</f>
        <v/>
      </c>
      <c r="N108" s="65" t="s">
        <v>430</v>
      </c>
      <c r="O108" s="65"/>
      <c r="P108" s="65"/>
      <c r="Q108" s="65"/>
      <c r="R108" s="65"/>
      <c r="S108" s="272"/>
      <c r="T108" s="65"/>
      <c r="U108" s="65"/>
      <c r="V108" s="66" t="str">
        <f>"n308000046_"&amp;IFERROR(VLOOKUP(D108,target_tables[],5,0),"&lt;not found&gt;")</f>
        <v>n308000046_optn</v>
      </c>
      <c r="W108" s="65" t="s">
        <v>273</v>
      </c>
      <c r="X108" s="65"/>
      <c r="Y108" s="65"/>
      <c r="Z108" s="65"/>
      <c r="AA108" s="65"/>
      <c r="AB108" s="65"/>
      <c r="AC108" s="65"/>
      <c r="AD108" s="65"/>
      <c r="AE108" s="65"/>
      <c r="AF108" s="287"/>
      <c r="AG108" s="202"/>
      <c r="AH108" s="65"/>
      <c r="AI108" s="67"/>
      <c r="AJ108" s="68"/>
      <c r="AK108" s="69"/>
    </row>
    <row r="109" spans="1:37" ht="12.75" hidden="1" customHeight="1" x14ac:dyDescent="0.3">
      <c r="A109" s="64">
        <v>900</v>
      </c>
      <c r="B109" s="65" t="s">
        <v>314</v>
      </c>
      <c r="C109" s="65" t="str">
        <f>IFERROR(VLOOKUP(D109,'Target tables'!A:B,2,0),"")</f>
        <v>Операции</v>
      </c>
      <c r="D109" s="6" t="s">
        <v>33</v>
      </c>
      <c r="E109" s="66" t="str">
        <f>IFERROR(VLOOKUP(D109&amp;J109,'Target columns'!A:J,4,FALSE),"")</f>
        <v>UUID</v>
      </c>
      <c r="F109" s="66" t="str">
        <f>IFERROR(VLOOKUP(D109&amp;J109,'Target columns'!A:J,7,FALSE),"")</f>
        <v>No</v>
      </c>
      <c r="G109" s="66" t="str">
        <f>IFERROR(VLOOKUP(D109&amp;J109,'Target columns'!A:J,8,FALSE),"")</f>
        <v>Yes</v>
      </c>
      <c r="H109" s="66" t="str">
        <f>IFERROR(VLOOKUP(D109&amp;J109,'Target columns'!A:J,5,FALSE),"")</f>
        <v>NULL</v>
      </c>
      <c r="I109" s="66" t="str">
        <f>IFERROR(VLOOKUP(D109&amp;J109,'Target columns'!A:J,10,FALSE),"")</f>
        <v>Идентификатор валюты</v>
      </c>
      <c r="J109" s="65" t="s">
        <v>380</v>
      </c>
      <c r="K109" s="6" t="s">
        <v>296</v>
      </c>
      <c r="L109" s="66" t="str">
        <f>IFERROR(VLOOKUP(UPPER(K109&amp;N109),source_columns[],4,0),"")</f>
        <v/>
      </c>
      <c r="M109" s="66" t="str">
        <f>IFERROR(VLOOKUP(UPPER(K109&amp;N109),source_columns[],7,0),"")</f>
        <v/>
      </c>
      <c r="N109" s="65" t="s">
        <v>431</v>
      </c>
      <c r="O109" s="65"/>
      <c r="P109" s="65"/>
      <c r="Q109" s="65"/>
      <c r="R109" s="65"/>
      <c r="S109" s="272"/>
      <c r="T109" s="65"/>
      <c r="U109" s="65"/>
      <c r="V109" s="66" t="str">
        <f>"n308000046_"&amp;IFERROR(VLOOKUP(D109,target_tables[],5,0),"&lt;not found&gt;")</f>
        <v>n308000046_optn</v>
      </c>
      <c r="W109" s="65" t="s">
        <v>273</v>
      </c>
      <c r="X109" s="65"/>
      <c r="Y109" s="65"/>
      <c r="Z109" s="65"/>
      <c r="AA109" s="65"/>
      <c r="AB109" s="65"/>
      <c r="AC109" s="65"/>
      <c r="AD109" s="65"/>
      <c r="AE109" s="65"/>
      <c r="AF109" s="287"/>
      <c r="AG109" s="202"/>
      <c r="AH109" s="65"/>
      <c r="AI109" s="67"/>
      <c r="AJ109" s="68"/>
      <c r="AK109" s="69"/>
    </row>
    <row r="110" spans="1:37" ht="12.75" hidden="1" customHeight="1" x14ac:dyDescent="0.3">
      <c r="A110" s="97">
        <v>901</v>
      </c>
      <c r="B110" s="77" t="s">
        <v>314</v>
      </c>
      <c r="C110" s="65" t="str">
        <f>IFERROR(VLOOKUP(D110,'Target tables'!A:B,2,0),"")</f>
        <v>Операции</v>
      </c>
      <c r="D110" s="6" t="s">
        <v>33</v>
      </c>
      <c r="E110" s="78" t="str">
        <f>IFERROR(VLOOKUP(D110&amp;J110,'Target columns'!A:J,4,FALSE),"")</f>
        <v>text</v>
      </c>
      <c r="F110" s="78" t="str">
        <f>IFERROR(VLOOKUP(D110&amp;J110,'Target columns'!A:J,7,FALSE),"")</f>
        <v>No</v>
      </c>
      <c r="G110" s="78" t="str">
        <f>IFERROR(VLOOKUP(D110&amp;J110,'Target columns'!A:J,8,FALSE),"")</f>
        <v>No</v>
      </c>
      <c r="H110" s="78" t="str">
        <f>IFERROR(VLOOKUP(D110&amp;J110,'Target columns'!A:J,5,FALSE),"")</f>
        <v>NULL</v>
      </c>
      <c r="I110" s="78" t="str">
        <f>IFERROR(VLOOKUP(D110&amp;J110,'Target columns'!A:J,10,FALSE),"")</f>
        <v>Идентификатор операции в системе-источнике</v>
      </c>
      <c r="J110" s="77" t="s">
        <v>432</v>
      </c>
      <c r="K110" s="201" t="s">
        <v>296</v>
      </c>
      <c r="L110" s="78" t="str">
        <f>IFERROR(VLOOKUP(UPPER(K110&amp;N110), source_columns[], 4,0),"")</f>
        <v/>
      </c>
      <c r="M110" s="78" t="str">
        <f>IFERROR(VLOOKUP(UPPER(K110&amp;N110), source_columns[], 7,0),"")</f>
        <v/>
      </c>
      <c r="N110" s="77" t="s">
        <v>433</v>
      </c>
      <c r="O110" s="77"/>
      <c r="P110" s="77"/>
      <c r="Q110" s="77"/>
      <c r="R110" s="77"/>
      <c r="S110" s="272"/>
      <c r="T110" s="214"/>
      <c r="U110" s="214"/>
      <c r="V110" s="66" t="str">
        <f>"n308000046_"&amp;IFERROR(VLOOKUP(D110,target_tables[],5,0),"&lt;not found&gt;")</f>
        <v>n308000046_optn</v>
      </c>
      <c r="W110" s="65" t="s">
        <v>273</v>
      </c>
      <c r="X110" s="214"/>
      <c r="Y110" s="214"/>
      <c r="Z110" s="214"/>
      <c r="AA110" s="214"/>
      <c r="AB110" s="214"/>
      <c r="AC110" s="214"/>
      <c r="AD110" s="214"/>
      <c r="AE110" s="214"/>
      <c r="AF110" s="287"/>
      <c r="AG110" s="98"/>
      <c r="AH110" s="214"/>
      <c r="AI110" s="99"/>
      <c r="AJ110" s="100"/>
      <c r="AK110" s="69"/>
    </row>
    <row r="111" spans="1:37" ht="12.75" hidden="1" customHeight="1" x14ac:dyDescent="0.3">
      <c r="A111" s="70">
        <v>910</v>
      </c>
      <c r="B111" s="71" t="s">
        <v>314</v>
      </c>
      <c r="C111" s="71" t="str">
        <f>IFERROR(VLOOKUP(D111,'Target tables'!A:B,2,0),"")</f>
        <v>Операции</v>
      </c>
      <c r="D111" s="72" t="s">
        <v>33</v>
      </c>
      <c r="E111" s="73" t="str">
        <f>IFERROR(VLOOKUP(D111&amp;J111,'Target columns'!A:J,4,FALSE),"")</f>
        <v>UUID</v>
      </c>
      <c r="F111" s="73" t="str">
        <f>IFERROR(VLOOKUP(D111&amp;J111,'Target columns'!A:J,7,FALSE),"")</f>
        <v>No</v>
      </c>
      <c r="G111" s="73" t="str">
        <f>IFERROR(VLOOKUP(D111&amp;J111,'Target columns'!A:J,8,FALSE),"")</f>
        <v>Yes</v>
      </c>
      <c r="H111" s="73" t="str">
        <f>IFERROR(VLOOKUP(D111&amp;J111,'Target columns'!A:J,5,FALSE),"")</f>
        <v>NULL</v>
      </c>
      <c r="I111" s="73" t="str">
        <f>IFERROR(VLOOKUP(D111&amp;J111,'Target columns'!A:J,10,FALSE),"")</f>
        <v>id сервиса</v>
      </c>
      <c r="J111" s="71" t="s">
        <v>434</v>
      </c>
      <c r="K111" s="203" t="s">
        <v>296</v>
      </c>
      <c r="L111" s="73" t="str">
        <f>IFERROR(VLOOKUP(UPPER(K111&amp;N111),source_columns[],4,0),"")</f>
        <v/>
      </c>
      <c r="M111" s="73" t="str">
        <f>IFERROR(VLOOKUP(UPPER(K111&amp;N111),source_columns[],7,0),"")</f>
        <v/>
      </c>
      <c r="N111" s="71" t="s">
        <v>435</v>
      </c>
      <c r="O111" s="71"/>
      <c r="P111" s="71"/>
      <c r="Q111" s="71"/>
      <c r="R111" s="71"/>
      <c r="S111" s="278"/>
      <c r="T111" s="214"/>
      <c r="U111" s="214"/>
      <c r="V111" s="101" t="str">
        <f>"n308000046_"&amp;IFERROR(VLOOKUP(D111,target_tables[],5,0),"&lt;not found&gt;")</f>
        <v>n308000046_optn</v>
      </c>
      <c r="W111" s="214" t="s">
        <v>273</v>
      </c>
      <c r="X111" s="214"/>
      <c r="Y111" s="214"/>
      <c r="Z111" s="214"/>
      <c r="AA111" s="214"/>
      <c r="AB111" s="214"/>
      <c r="AC111" s="214"/>
      <c r="AD111" s="214"/>
      <c r="AE111" s="214"/>
      <c r="AF111" s="287"/>
      <c r="AG111" s="98"/>
      <c r="AH111" s="214"/>
      <c r="AI111" s="99"/>
      <c r="AJ111" s="100"/>
      <c r="AK111" s="69"/>
    </row>
    <row r="112" spans="1:37" ht="12.75" hidden="1" customHeight="1" x14ac:dyDescent="0.3">
      <c r="A112" s="88">
        <v>920</v>
      </c>
      <c r="B112" s="77" t="s">
        <v>314</v>
      </c>
      <c r="C112" s="77" t="str">
        <f>IFERROR(VLOOKUP(D112,'Target tables'!A:B,2,0),"")</f>
        <v>Операции</v>
      </c>
      <c r="D112" s="83" t="s">
        <v>34</v>
      </c>
      <c r="E112" s="84" t="str">
        <f>IFERROR(VLOOKUP(D112&amp;J112,'Target columns'!A:J,4,FALSE),"")</f>
        <v>UUID</v>
      </c>
      <c r="F112" s="84" t="str">
        <f>IFERROR(VLOOKUP(D112&amp;J112,'Target columns'!A:J,7,FALSE),"")</f>
        <v>Yes</v>
      </c>
      <c r="G112" s="84" t="str">
        <f>IFERROR(VLOOKUP(D112&amp;J112,'Target columns'!A:J,8,FALSE),"")</f>
        <v>No</v>
      </c>
      <c r="H112" s="84" t="str">
        <f>IFERROR(VLOOKUP(D112&amp;J112,'Target columns'!A:J,5,FALSE),"")</f>
        <v>NOT NULL</v>
      </c>
      <c r="I112" s="84" t="str">
        <f>IFERROR(VLOOKUP(D112&amp;J112,'Target columns'!A:J,10,FALSE),"")</f>
        <v>Уникальный идентификатор операции</v>
      </c>
      <c r="J112" s="83" t="s">
        <v>421</v>
      </c>
      <c r="K112" s="89" t="s">
        <v>296</v>
      </c>
      <c r="L112" s="84" t="str">
        <f>IFERROR(VLOOKUP(UPPER(K112&amp;N112),source_columns[],4,0),"")</f>
        <v/>
      </c>
      <c r="M112" s="84" t="str">
        <f>IFERROR(VLOOKUP(UPPER(K112&amp;N112),source_columns[],7,0),"")</f>
        <v/>
      </c>
      <c r="N112" s="83" t="s">
        <v>421</v>
      </c>
      <c r="O112" s="82"/>
      <c r="P112" s="82"/>
      <c r="Q112" s="82"/>
      <c r="R112" s="82"/>
      <c r="S112" s="278" t="s">
        <v>436</v>
      </c>
      <c r="T112" s="82"/>
      <c r="U112" s="82"/>
      <c r="V112" s="84" t="str">
        <f>"n308000046_"&amp;IFERROR(VLOOKUP(D112,target_tables[],5,0),"&lt;not found&gt;")</f>
        <v>n308000046_optn$gls</v>
      </c>
      <c r="W112" s="82" t="s">
        <v>269</v>
      </c>
      <c r="X112" s="82"/>
      <c r="Y112" s="82"/>
      <c r="Z112" s="82"/>
      <c r="AA112" s="82"/>
      <c r="AB112" s="82"/>
      <c r="AC112" s="82"/>
      <c r="AD112" s="82"/>
      <c r="AE112" s="82"/>
      <c r="AF112" s="279" t="s">
        <v>270</v>
      </c>
      <c r="AG112" s="89"/>
      <c r="AH112" s="82"/>
      <c r="AI112" s="90"/>
      <c r="AJ112" s="91"/>
      <c r="AK112" s="69"/>
    </row>
    <row r="113" spans="1:37 16131:16384" ht="12.75" hidden="1" customHeight="1" x14ac:dyDescent="0.3">
      <c r="A113" s="92">
        <v>930</v>
      </c>
      <c r="B113" s="65" t="s">
        <v>314</v>
      </c>
      <c r="C113" s="65" t="str">
        <f>IFERROR(VLOOKUP(D113,'Target tables'!A:B,2,0),"")</f>
        <v>Операции</v>
      </c>
      <c r="D113" s="10" t="s">
        <v>34</v>
      </c>
      <c r="E113" s="66" t="str">
        <f>IFERROR(VLOOKUP(D113&amp;J113,'Target columns'!A:J,4,FALSE),"")</f>
        <v>TEXT</v>
      </c>
      <c r="F113" s="66" t="str">
        <f>IFERROR(VLOOKUP(D113&amp;J113,'Target columns'!A:J,7,FALSE),"")</f>
        <v>No</v>
      </c>
      <c r="G113" s="66" t="str">
        <f>IFERROR(VLOOKUP(D113&amp;J113,'Target columns'!A:J,8,FALSE),"")</f>
        <v>No</v>
      </c>
      <c r="H113" s="66" t="str">
        <f>IFERROR(VLOOKUP(D113&amp;J113,'Target columns'!A:J,5,FALSE),"")</f>
        <v>NULL</v>
      </c>
      <c r="I113" s="66" t="str">
        <f>IFERROR(VLOOKUP(D113&amp;J113,'Target columns'!A:J,10,FALSE),"")</f>
        <v>Идентификатор заявки из РПФИ</v>
      </c>
      <c r="J113" s="10" t="s">
        <v>437</v>
      </c>
      <c r="K113" s="6" t="s">
        <v>296</v>
      </c>
      <c r="L113" s="66" t="str">
        <f>IFERROR(VLOOKUP(UPPER(K113&amp;N113),source_columns[],4,0),"")</f>
        <v/>
      </c>
      <c r="M113" s="66" t="str">
        <f>IFERROR(VLOOKUP(UPPER(K113&amp;N113),source_columns[],7,0),"")</f>
        <v/>
      </c>
      <c r="N113" s="10" t="s">
        <v>437</v>
      </c>
      <c r="O113" s="65"/>
      <c r="P113" s="65"/>
      <c r="Q113" s="65"/>
      <c r="R113" s="65"/>
      <c r="S113" s="278"/>
      <c r="T113" s="65"/>
      <c r="U113" s="65"/>
      <c r="V113" s="66" t="str">
        <f>"n308000046_"&amp;IFERROR(VLOOKUP(D113,target_tables[],5,0),"&lt;not found&gt;")</f>
        <v>n308000046_optn$gls</v>
      </c>
      <c r="W113" s="65" t="s">
        <v>273</v>
      </c>
      <c r="X113" s="65"/>
      <c r="Y113" s="65"/>
      <c r="Z113" s="65"/>
      <c r="AA113" s="65"/>
      <c r="AB113" s="65"/>
      <c r="AC113" s="65"/>
      <c r="AD113" s="65"/>
      <c r="AE113" s="65"/>
      <c r="AF113" s="279"/>
      <c r="AG113" s="202"/>
      <c r="AH113" s="65"/>
      <c r="AI113" s="67"/>
      <c r="AJ113" s="68"/>
      <c r="AK113" s="69"/>
    </row>
    <row r="114" spans="1:37 16131:16384" ht="12.75" hidden="1" customHeight="1" x14ac:dyDescent="0.3">
      <c r="A114" s="92">
        <v>940</v>
      </c>
      <c r="B114" s="65" t="s">
        <v>314</v>
      </c>
      <c r="C114" s="65" t="str">
        <f>IFERROR(VLOOKUP(D114,'Target tables'!A:B,2,0),"")</f>
        <v>Операции</v>
      </c>
      <c r="D114" s="10" t="s">
        <v>34</v>
      </c>
      <c r="E114" s="66" t="str">
        <f>IFERROR(VLOOKUP(D114&amp;J114,'Target columns'!A:J,4,FALSE),"")</f>
        <v>UUID</v>
      </c>
      <c r="F114" s="66" t="str">
        <f>IFERROR(VLOOKUP(D114&amp;J114,'Target columns'!A:J,7,FALSE),"")</f>
        <v>No</v>
      </c>
      <c r="G114" s="66" t="str">
        <f>IFERROR(VLOOKUP(D114&amp;J114,'Target columns'!A:J,8,FALSE),"")</f>
        <v>Yes</v>
      </c>
      <c r="H114" s="66" t="str">
        <f>IFERROR(VLOOKUP(D114&amp;J114,'Target columns'!A:J,5,FALSE),"")</f>
        <v>NULL</v>
      </c>
      <c r="I114" s="66" t="str">
        <f>IFERROR(VLOOKUP(D114&amp;J114,'Target columns'!A:J,10,FALSE),"")</f>
        <v>Плательщик-бенефициар</v>
      </c>
      <c r="J114" s="10" t="s">
        <v>438</v>
      </c>
      <c r="K114" s="6" t="s">
        <v>296</v>
      </c>
      <c r="L114" s="66" t="str">
        <f>IFERROR(VLOOKUP(UPPER(K114&amp;N114),source_columns[],4,0),"")</f>
        <v/>
      </c>
      <c r="M114" s="66" t="str">
        <f>IFERROR(VLOOKUP(UPPER(K114&amp;N114),source_columns[],7,0),"")</f>
        <v/>
      </c>
      <c r="N114" s="10" t="s">
        <v>438</v>
      </c>
      <c r="O114" s="65"/>
      <c r="P114" s="65"/>
      <c r="Q114" s="65"/>
      <c r="R114" s="65"/>
      <c r="S114" s="278"/>
      <c r="T114" s="65"/>
      <c r="U114" s="65"/>
      <c r="V114" s="66" t="str">
        <f>"n308000046_"&amp;IFERROR(VLOOKUP(D114,target_tables[],5,0),"&lt;not found&gt;")</f>
        <v>n308000046_optn$gls</v>
      </c>
      <c r="W114" s="65" t="s">
        <v>273</v>
      </c>
      <c r="X114" s="65"/>
      <c r="Y114" s="65"/>
      <c r="Z114" s="65"/>
      <c r="AA114" s="65"/>
      <c r="AB114" s="65"/>
      <c r="AC114" s="65"/>
      <c r="AD114" s="65"/>
      <c r="AE114" s="65"/>
      <c r="AF114" s="279"/>
      <c r="AG114" s="202"/>
      <c r="AH114" s="65"/>
      <c r="AI114" s="67"/>
      <c r="AJ114" s="68"/>
      <c r="AK114" s="69"/>
    </row>
    <row r="115" spans="1:37 16131:16384" ht="12.75" hidden="1" customHeight="1" x14ac:dyDescent="0.3">
      <c r="A115" s="92">
        <v>941</v>
      </c>
      <c r="B115" s="65" t="s">
        <v>314</v>
      </c>
      <c r="C115" s="65" t="str">
        <f>IFERROR(VLOOKUP(D115,'Target tables'!A:B,2,0),"")</f>
        <v>Операции</v>
      </c>
      <c r="D115" s="10" t="s">
        <v>34</v>
      </c>
      <c r="E115" s="66" t="str">
        <f>IFERROR(VLOOKUP(D115&amp;J115,'Target columns'!A:J,4,FALSE),"")</f>
        <v>UUID</v>
      </c>
      <c r="F115" s="66" t="str">
        <f>IFERROR(VLOOKUP(D115&amp;J115,'Target columns'!A:J,7,FALSE),"")</f>
        <v>No</v>
      </c>
      <c r="G115" s="66" t="str">
        <f>IFERROR(VLOOKUP(D115&amp;J115,'Target columns'!A:J,8,FALSE),"")</f>
        <v>Yes</v>
      </c>
      <c r="H115" s="66" t="str">
        <f>IFERROR(VLOOKUP(D115&amp;J115,'Target columns'!A:J,5,FALSE),"")</f>
        <v>NULL</v>
      </c>
      <c r="I115" s="66" t="str">
        <f>IFERROR(VLOOKUP(D115&amp;J115,'Target columns'!A:J,10,FALSE),"")</f>
        <v>Уникальный идентификатор типа комиссии по операции</v>
      </c>
      <c r="J115" s="10" t="s">
        <v>439</v>
      </c>
      <c r="K115" s="6" t="s">
        <v>296</v>
      </c>
      <c r="L115" s="66" t="str">
        <f>IFERROR(VLOOKUP(UPPER(K115&amp;#REF!),source_columns[],4,0),"")</f>
        <v/>
      </c>
      <c r="M115" s="66" t="str">
        <f>IFERROR(VLOOKUP(UPPER(K115&amp;#REF!),source_columns[],7,0),"")</f>
        <v/>
      </c>
      <c r="N115" s="10" t="s">
        <v>439</v>
      </c>
      <c r="O115" s="65"/>
      <c r="P115" s="65"/>
      <c r="Q115" s="65"/>
      <c r="R115" s="65"/>
      <c r="S115" s="278"/>
      <c r="T115" s="65"/>
      <c r="U115" s="65"/>
      <c r="V115" s="66" t="str">
        <f>"n308000046_"&amp;IFERROR(VLOOKUP(D115,target_tables[],5,0),"&lt;not found&gt;")</f>
        <v>n308000046_optn$gls</v>
      </c>
      <c r="W115" s="65" t="s">
        <v>273</v>
      </c>
      <c r="X115" s="65"/>
      <c r="Y115" s="65"/>
      <c r="Z115" s="65"/>
      <c r="AA115" s="65"/>
      <c r="AB115" s="65"/>
      <c r="AC115" s="65"/>
      <c r="AD115" s="65"/>
      <c r="AE115" s="65"/>
      <c r="AF115" s="279"/>
      <c r="AG115" s="202"/>
      <c r="AH115" s="65"/>
      <c r="AI115" s="67"/>
      <c r="AJ115" s="68"/>
      <c r="AK115" s="69"/>
    </row>
    <row r="116" spans="1:37 16131:16384" ht="12.75" hidden="1" customHeight="1" x14ac:dyDescent="0.3">
      <c r="A116" s="92">
        <v>950</v>
      </c>
      <c r="B116" s="65" t="s">
        <v>314</v>
      </c>
      <c r="C116" s="65" t="str">
        <f>IFERROR(VLOOKUP(D116,'Target tables'!A:B,2,0),"")</f>
        <v>Операции</v>
      </c>
      <c r="D116" s="10" t="s">
        <v>34</v>
      </c>
      <c r="E116" s="66" t="str">
        <f>IFERROR(VLOOKUP(D116&amp;J116,'Target columns'!A:J,4,FALSE),"")</f>
        <v>UUID</v>
      </c>
      <c r="F116" s="66" t="str">
        <f>IFERROR(VLOOKUP(D116&amp;J116,'Target columns'!A:J,7,FALSE),"")</f>
        <v>No</v>
      </c>
      <c r="G116" s="66" t="str">
        <f>IFERROR(VLOOKUP(D116&amp;J116,'Target columns'!A:J,8,FALSE),"")</f>
        <v>Yes</v>
      </c>
      <c r="H116" s="66" t="str">
        <f>IFERROR(VLOOKUP(D116&amp;J116,'Target columns'!A:J,5,FALSE),"")</f>
        <v>NULL</v>
      </c>
      <c r="I116" s="66" t="str">
        <f>IFERROR(VLOOKUP(D116&amp;J116,'Target columns'!A:J,10,FALSE),"")</f>
        <v>Плательщик-депонент</v>
      </c>
      <c r="J116" s="10" t="s">
        <v>440</v>
      </c>
      <c r="K116" s="202" t="s">
        <v>296</v>
      </c>
      <c r="L116" s="66" t="str">
        <f>IFERROR(VLOOKUP(UPPER(K116&amp;N116),source_columns[],4,0),"")</f>
        <v/>
      </c>
      <c r="M116" s="66" t="str">
        <f>IFERROR(VLOOKUP(UPPER(K116&amp;N116),source_columns[],7,0),"")</f>
        <v/>
      </c>
      <c r="N116" s="10" t="s">
        <v>440</v>
      </c>
      <c r="O116" s="65"/>
      <c r="P116" s="65"/>
      <c r="Q116" s="65"/>
      <c r="R116" s="65"/>
      <c r="S116" s="278"/>
      <c r="T116" s="65"/>
      <c r="U116" s="65"/>
      <c r="V116" s="66" t="str">
        <f>"n308000046_"&amp;IFERROR(VLOOKUP(D116,target_tables[],5,0),"&lt;not found&gt;")</f>
        <v>n308000046_optn$gls</v>
      </c>
      <c r="W116" s="65" t="s">
        <v>273</v>
      </c>
      <c r="X116" s="65"/>
      <c r="Y116" s="65"/>
      <c r="Z116" s="65"/>
      <c r="AA116" s="65"/>
      <c r="AB116" s="65"/>
      <c r="AC116" s="65"/>
      <c r="AD116" s="65"/>
      <c r="AE116" s="65"/>
      <c r="AF116" s="279"/>
      <c r="AG116" s="202"/>
      <c r="AH116" s="65"/>
      <c r="AI116" s="67"/>
      <c r="AJ116" s="68"/>
      <c r="AK116" s="69"/>
    </row>
    <row r="117" spans="1:37 16131:16384" ht="12.75" hidden="1" customHeight="1" x14ac:dyDescent="0.3">
      <c r="A117" s="92">
        <v>951</v>
      </c>
      <c r="B117" s="65" t="s">
        <v>314</v>
      </c>
      <c r="C117" s="65" t="str">
        <f>IFERROR(VLOOKUP(D117,'Target tables'!A:B,2,0),"")</f>
        <v>Операции</v>
      </c>
      <c r="D117" s="10" t="s">
        <v>34</v>
      </c>
      <c r="E117" s="66" t="str">
        <f>IFERROR(VLOOKUP(D117&amp;J117,'Target columns'!A:J,4,FALSE),"")</f>
        <v>text</v>
      </c>
      <c r="F117" s="66" t="str">
        <f>IFERROR(VLOOKUP(D117&amp;J117,'Target columns'!A:J,7,FALSE),"")</f>
        <v>No</v>
      </c>
      <c r="G117" s="66" t="str">
        <f>IFERROR(VLOOKUP(D117&amp;J117,'Target columns'!A:J,8,FALSE),"")</f>
        <v>No</v>
      </c>
      <c r="H117" s="66" t="str">
        <f>IFERROR(VLOOKUP(D117&amp;J117,'Target columns'!A:J,5,FALSE),"")</f>
        <v>NULL</v>
      </c>
      <c r="I117" s="66" t="str">
        <f>IFERROR(VLOOKUP(D117&amp;J117,'Target columns'!A:J,10,FALSE),"")</f>
        <v>Идентификатор договора в системе-источнике</v>
      </c>
      <c r="J117" s="6" t="s">
        <v>441</v>
      </c>
      <c r="K117" s="202" t="s">
        <v>296</v>
      </c>
      <c r="L117" s="66" t="str">
        <f>IFERROR(VLOOKUP(UPPER(K117&amp;N117),source_columns[],4,0),"")</f>
        <v/>
      </c>
      <c r="M117" s="66" t="str">
        <f>IFERROR(VLOOKUP(UPPER(K117&amp;N117),source_columns[],7,0),"")</f>
        <v/>
      </c>
      <c r="N117" s="6" t="s">
        <v>441</v>
      </c>
      <c r="O117" s="65"/>
      <c r="P117" s="65"/>
      <c r="Q117" s="65"/>
      <c r="R117" s="65"/>
      <c r="S117" s="278"/>
      <c r="T117" s="65"/>
      <c r="U117" s="65"/>
      <c r="V117" s="66" t="str">
        <f>"n308000046_"&amp;IFERROR(VLOOKUP(D117,target_tables[],5,0),"&lt;not found&gt;")</f>
        <v>n308000046_optn$gls</v>
      </c>
      <c r="W117" s="65"/>
      <c r="X117" s="65"/>
      <c r="Y117" s="65"/>
      <c r="Z117" s="65"/>
      <c r="AA117" s="65"/>
      <c r="AB117" s="65"/>
      <c r="AC117" s="65"/>
      <c r="AD117" s="65"/>
      <c r="AE117" s="65"/>
      <c r="AF117" s="279"/>
      <c r="AG117" s="202"/>
      <c r="AH117" s="65"/>
      <c r="AI117" s="67"/>
      <c r="AJ117" s="68"/>
      <c r="AK117" s="69"/>
    </row>
    <row r="118" spans="1:37 16131:16384" ht="12.75" hidden="1" customHeight="1" x14ac:dyDescent="0.3">
      <c r="A118" s="92">
        <v>952</v>
      </c>
      <c r="B118" s="65" t="s">
        <v>314</v>
      </c>
      <c r="C118" s="65" t="str">
        <f>IFERROR(VLOOKUP(D118,'Target tables'!A:B,2,0),"")</f>
        <v>Операции</v>
      </c>
      <c r="D118" s="10" t="s">
        <v>34</v>
      </c>
      <c r="E118" s="66" t="str">
        <f>IFERROR(VLOOKUP(D118&amp;J118,'Target columns'!A:J,4,FALSE),"")</f>
        <v>text</v>
      </c>
      <c r="F118" s="66" t="str">
        <f>IFERROR(VLOOKUP(D118&amp;J118,'Target columns'!A:J,7,FALSE),"")</f>
        <v>No</v>
      </c>
      <c r="G118" s="66" t="str">
        <f>IFERROR(VLOOKUP(D118&amp;J118,'Target columns'!A:J,8,FALSE),"")</f>
        <v>No</v>
      </c>
      <c r="H118" s="66" t="str">
        <f>IFERROR(VLOOKUP(D118&amp;J118,'Target columns'!A:J,5,FALSE),"")</f>
        <v>NULL</v>
      </c>
      <c r="I118" s="66" t="str">
        <f>IFERROR(VLOOKUP(D118&amp;J118,'Target columns'!A:J,10,FALSE),"")</f>
        <v>Номер счета по Кт</v>
      </c>
      <c r="J118" s="6" t="s">
        <v>442</v>
      </c>
      <c r="K118" s="202" t="s">
        <v>296</v>
      </c>
      <c r="L118" s="66" t="str">
        <f>IFERROR(VLOOKUP(UPPER(K118&amp;N118),source_columns[],4,0),"")</f>
        <v/>
      </c>
      <c r="M118" s="66" t="str">
        <f>IFERROR(VLOOKUP(UPPER(K118&amp;N118),source_columns[],7,0),"")</f>
        <v/>
      </c>
      <c r="N118" s="6" t="s">
        <v>442</v>
      </c>
      <c r="O118" s="65"/>
      <c r="P118" s="65"/>
      <c r="Q118" s="65"/>
      <c r="R118" s="65"/>
      <c r="S118" s="278"/>
      <c r="T118" s="65"/>
      <c r="U118" s="65"/>
      <c r="V118" s="66" t="str">
        <f>"n308000046_"&amp;IFERROR(VLOOKUP(D118,target_tables[],5,0),"&lt;not found&gt;")</f>
        <v>n308000046_optn$gls</v>
      </c>
      <c r="W118" s="65"/>
      <c r="X118" s="65"/>
      <c r="Y118" s="65"/>
      <c r="Z118" s="65"/>
      <c r="AA118" s="65"/>
      <c r="AB118" s="65"/>
      <c r="AC118" s="65"/>
      <c r="AD118" s="65"/>
      <c r="AE118" s="65"/>
      <c r="AF118" s="279"/>
      <c r="AG118" s="202"/>
      <c r="AH118" s="65"/>
      <c r="AI118" s="67"/>
      <c r="AJ118" s="68"/>
      <c r="AK118" s="69"/>
    </row>
    <row r="119" spans="1:37 16131:16384" ht="12.75" hidden="1" customHeight="1" x14ac:dyDescent="0.3">
      <c r="A119" s="92">
        <v>953</v>
      </c>
      <c r="B119" s="65" t="s">
        <v>314</v>
      </c>
      <c r="C119" s="65" t="str">
        <f>IFERROR(VLOOKUP(D119,'Target tables'!A:B,2,0),"")</f>
        <v>Операции</v>
      </c>
      <c r="D119" s="10" t="s">
        <v>34</v>
      </c>
      <c r="E119" s="66" t="str">
        <f>IFERROR(VLOOKUP(D119&amp;J119,'Target columns'!A:J,4,FALSE),"")</f>
        <v>text</v>
      </c>
      <c r="F119" s="66" t="str">
        <f>IFERROR(VLOOKUP(D119&amp;J119,'Target columns'!A:J,7,FALSE),"")</f>
        <v>No</v>
      </c>
      <c r="G119" s="66" t="str">
        <f>IFERROR(VLOOKUP(D119&amp;J119,'Target columns'!A:J,8,FALSE),"")</f>
        <v>No</v>
      </c>
      <c r="H119" s="66" t="str">
        <f>IFERROR(VLOOKUP(D119&amp;J119,'Target columns'!A:J,5,FALSE),"")</f>
        <v>NULL</v>
      </c>
      <c r="I119" s="66" t="str">
        <f>IFERROR(VLOOKUP(D119&amp;J119,'Target columns'!A:J,10,FALSE),"")</f>
        <v>Идентификатор операции по Кт в системе-источнике</v>
      </c>
      <c r="J119" s="6" t="s">
        <v>443</v>
      </c>
      <c r="K119" s="202" t="s">
        <v>296</v>
      </c>
      <c r="L119" s="66" t="str">
        <f>IFERROR(VLOOKUP(UPPER(K119&amp;N119),source_columns[],4,0),"")</f>
        <v/>
      </c>
      <c r="M119" s="66" t="str">
        <f>IFERROR(VLOOKUP(UPPER(K119&amp;N119),source_columns[],7,0),"")</f>
        <v/>
      </c>
      <c r="N119" s="6" t="s">
        <v>443</v>
      </c>
      <c r="O119" s="65"/>
      <c r="P119" s="65"/>
      <c r="Q119" s="65"/>
      <c r="R119" s="65"/>
      <c r="S119" s="278"/>
      <c r="T119" s="65"/>
      <c r="U119" s="65"/>
      <c r="V119" s="66" t="str">
        <f>"n308000046_"&amp;IFERROR(VLOOKUP(D119,target_tables[],5,0),"&lt;not found&gt;")</f>
        <v>n308000046_optn$gls</v>
      </c>
      <c r="W119" s="65"/>
      <c r="X119" s="65"/>
      <c r="Y119" s="65"/>
      <c r="Z119" s="65"/>
      <c r="AA119" s="65"/>
      <c r="AB119" s="65"/>
      <c r="AC119" s="65"/>
      <c r="AD119" s="65"/>
      <c r="AE119" s="65"/>
      <c r="AF119" s="279"/>
      <c r="AG119" s="202"/>
      <c r="AH119" s="65"/>
      <c r="AI119" s="67"/>
      <c r="AJ119" s="68"/>
      <c r="AK119" s="69"/>
    </row>
    <row r="120" spans="1:37 16131:16384" ht="12.75" hidden="1" customHeight="1" x14ac:dyDescent="0.3">
      <c r="A120" s="92">
        <v>954</v>
      </c>
      <c r="B120" s="65" t="s">
        <v>314</v>
      </c>
      <c r="C120" s="65" t="str">
        <f>IFERROR(VLOOKUP(D120,'Target tables'!A:B,2,0),"")</f>
        <v>Операции</v>
      </c>
      <c r="D120" s="10" t="s">
        <v>34</v>
      </c>
      <c r="E120" s="66" t="str">
        <f>IFERROR(VLOOKUP(D120&amp;J120,'Target columns'!A:J,4,FALSE),"")</f>
        <v>uuid</v>
      </c>
      <c r="F120" s="66" t="str">
        <f>IFERROR(VLOOKUP(D120&amp;J120,'Target columns'!A:J,7,FALSE),"")</f>
        <v>No</v>
      </c>
      <c r="G120" s="66" t="str">
        <f>IFERROR(VLOOKUP(D120&amp;J120,'Target columns'!A:J,8,FALSE),"")</f>
        <v>Yes</v>
      </c>
      <c r="H120" s="66" t="str">
        <f>IFERROR(VLOOKUP(D120&amp;J120,'Target columns'!A:J,5,FALSE),"")</f>
        <v>NULL</v>
      </c>
      <c r="I120" s="66" t="str">
        <f>IFERROR(VLOOKUP(D120&amp;J120,'Target columns'!A:J,10,FALSE),"")</f>
        <v>Идентификатор регистра по Кт</v>
      </c>
      <c r="J120" s="6" t="s">
        <v>444</v>
      </c>
      <c r="K120" s="202" t="s">
        <v>296</v>
      </c>
      <c r="L120" s="66" t="str">
        <f>IFERROR(VLOOKUP(UPPER(K120&amp;N120),source_columns[],4,0),"")</f>
        <v/>
      </c>
      <c r="M120" s="66" t="str">
        <f>IFERROR(VLOOKUP(UPPER(K120&amp;N120),source_columns[],7,0),"")</f>
        <v/>
      </c>
      <c r="N120" s="6" t="s">
        <v>444</v>
      </c>
      <c r="O120" s="65"/>
      <c r="P120" s="65"/>
      <c r="Q120" s="65"/>
      <c r="R120" s="65"/>
      <c r="S120" s="278"/>
      <c r="T120" s="65"/>
      <c r="U120" s="65"/>
      <c r="V120" s="66" t="str">
        <f>"n308000046_"&amp;IFERROR(VLOOKUP(D120,target_tables[],5,0),"&lt;not found&gt;")</f>
        <v>n308000046_optn$gls</v>
      </c>
      <c r="W120" s="65"/>
      <c r="X120" s="65"/>
      <c r="Y120" s="65"/>
      <c r="Z120" s="65"/>
      <c r="AA120" s="65"/>
      <c r="AB120" s="65"/>
      <c r="AC120" s="65"/>
      <c r="AD120" s="65"/>
      <c r="AE120" s="65"/>
      <c r="AF120" s="279"/>
      <c r="AG120" s="202"/>
      <c r="AH120" s="65"/>
      <c r="AI120" s="67"/>
      <c r="AJ120" s="68"/>
      <c r="AK120" s="69"/>
    </row>
    <row r="121" spans="1:37 16131:16384" ht="12.75" hidden="1" customHeight="1" x14ac:dyDescent="0.3">
      <c r="A121" s="92">
        <v>955</v>
      </c>
      <c r="B121" s="65" t="s">
        <v>314</v>
      </c>
      <c r="C121" s="65" t="str">
        <f>IFERROR(VLOOKUP(D121,'Target tables'!A:B,2,0),"")</f>
        <v>Операции</v>
      </c>
      <c r="D121" s="10" t="s">
        <v>34</v>
      </c>
      <c r="E121" s="66" t="str">
        <f>IFERROR(VLOOKUP(D121&amp;J121,'Target columns'!A:J,4,FALSE),"")</f>
        <v>text</v>
      </c>
      <c r="F121" s="66" t="str">
        <f>IFERROR(VLOOKUP(D121&amp;J121,'Target columns'!A:J,7,FALSE),"")</f>
        <v>No</v>
      </c>
      <c r="G121" s="66" t="str">
        <f>IFERROR(VLOOKUP(D121&amp;J121,'Target columns'!A:J,8,FALSE),"")</f>
        <v>No</v>
      </c>
      <c r="H121" s="66" t="str">
        <f>IFERROR(VLOOKUP(D121&amp;J121,'Target columns'!A:J,5,FALSE),"")</f>
        <v>NULL</v>
      </c>
      <c r="I121" s="66" t="str">
        <f>IFERROR(VLOOKUP(D121&amp;J121,'Target columns'!A:J,10,FALSE),"")</f>
        <v>Номер счета по Дт</v>
      </c>
      <c r="J121" s="6" t="s">
        <v>445</v>
      </c>
      <c r="K121" s="202" t="s">
        <v>296</v>
      </c>
      <c r="L121" s="66" t="str">
        <f>IFERROR(VLOOKUP(UPPER(K121&amp;N121),source_columns[],4,0),"")</f>
        <v/>
      </c>
      <c r="M121" s="66" t="str">
        <f>IFERROR(VLOOKUP(UPPER(K121&amp;N121),source_columns[],7,0),"")</f>
        <v/>
      </c>
      <c r="N121" s="6" t="s">
        <v>445</v>
      </c>
      <c r="O121" s="65"/>
      <c r="P121" s="65"/>
      <c r="Q121" s="65"/>
      <c r="R121" s="65"/>
      <c r="S121" s="278"/>
      <c r="T121" s="65"/>
      <c r="U121" s="65"/>
      <c r="V121" s="66" t="str">
        <f>"n308000046_"&amp;IFERROR(VLOOKUP(D121,target_tables[],5,0),"&lt;not found&gt;")</f>
        <v>n308000046_optn$gls</v>
      </c>
      <c r="W121" s="65"/>
      <c r="X121" s="65"/>
      <c r="Y121" s="65"/>
      <c r="Z121" s="65"/>
      <c r="AA121" s="65"/>
      <c r="AB121" s="65"/>
      <c r="AC121" s="65"/>
      <c r="AD121" s="65"/>
      <c r="AE121" s="65"/>
      <c r="AF121" s="279"/>
      <c r="AG121" s="202"/>
      <c r="AH121" s="65"/>
      <c r="AI121" s="67"/>
      <c r="AJ121" s="68"/>
      <c r="AK121" s="69"/>
    </row>
    <row r="122" spans="1:37 16131:16384" ht="12.75" hidden="1" customHeight="1" x14ac:dyDescent="0.3">
      <c r="A122" s="92">
        <v>956</v>
      </c>
      <c r="B122" s="65" t="s">
        <v>314</v>
      </c>
      <c r="C122" s="65" t="str">
        <f>IFERROR(VLOOKUP(D122,'Target tables'!A:B,2,0),"")</f>
        <v>Операции</v>
      </c>
      <c r="D122" s="10" t="s">
        <v>34</v>
      </c>
      <c r="E122" s="66" t="str">
        <f>IFERROR(VLOOKUP(D122&amp;J122,'Target columns'!A:J,4,FALSE),"")</f>
        <v>text</v>
      </c>
      <c r="F122" s="66" t="str">
        <f>IFERROR(VLOOKUP(D122&amp;J122,'Target columns'!A:J,7,FALSE),"")</f>
        <v>No</v>
      </c>
      <c r="G122" s="66" t="str">
        <f>IFERROR(VLOOKUP(D122&amp;J122,'Target columns'!A:J,8,FALSE),"")</f>
        <v>No</v>
      </c>
      <c r="H122" s="66" t="str">
        <f>IFERROR(VLOOKUP(D122&amp;J122,'Target columns'!A:J,5,FALSE),"")</f>
        <v>NULL</v>
      </c>
      <c r="I122" s="66" t="str">
        <f>IFERROR(VLOOKUP(D122&amp;J122,'Target columns'!A:J,10,FALSE),"")</f>
        <v>Идентификатор операции по Дт в системе-источнике</v>
      </c>
      <c r="J122" s="6" t="s">
        <v>446</v>
      </c>
      <c r="K122" s="202" t="s">
        <v>296</v>
      </c>
      <c r="L122" s="66" t="str">
        <f>IFERROR(VLOOKUP(UPPER(K122&amp;N122),source_columns[],4,0),"")</f>
        <v/>
      </c>
      <c r="M122" s="66" t="str">
        <f>IFERROR(VLOOKUP(UPPER(K122&amp;N122),source_columns[],7,0),"")</f>
        <v/>
      </c>
      <c r="N122" s="6" t="s">
        <v>446</v>
      </c>
      <c r="O122" s="65"/>
      <c r="P122" s="65"/>
      <c r="Q122" s="65"/>
      <c r="R122" s="65"/>
      <c r="S122" s="278"/>
      <c r="T122" s="65"/>
      <c r="U122" s="65"/>
      <c r="V122" s="66" t="str">
        <f>"n308000046_"&amp;IFERROR(VLOOKUP(D122,target_tables[],5,0),"&lt;not found&gt;")</f>
        <v>n308000046_optn$gls</v>
      </c>
      <c r="W122" s="65"/>
      <c r="X122" s="65"/>
      <c r="Y122" s="65"/>
      <c r="Z122" s="65"/>
      <c r="AA122" s="65"/>
      <c r="AB122" s="65"/>
      <c r="AC122" s="65"/>
      <c r="AD122" s="65"/>
      <c r="AE122" s="65"/>
      <c r="AF122" s="279"/>
      <c r="AG122" s="202"/>
      <c r="AH122" s="65"/>
      <c r="AI122" s="67"/>
      <c r="AJ122" s="68"/>
      <c r="AK122" s="69"/>
    </row>
    <row r="123" spans="1:37 16131:16384" ht="12.75" hidden="1" customHeight="1" x14ac:dyDescent="0.3">
      <c r="A123" s="93">
        <v>957</v>
      </c>
      <c r="B123" s="71" t="s">
        <v>314</v>
      </c>
      <c r="C123" s="71" t="str">
        <f>IFERROR(VLOOKUP(D123,'Target tables'!A:B,2,0),"")</f>
        <v>Операции</v>
      </c>
      <c r="D123" s="27" t="s">
        <v>34</v>
      </c>
      <c r="E123" s="73" t="str">
        <f>IFERROR(VLOOKUP(D123&amp;J123,'Target columns'!A:J,4,FALSE),"")</f>
        <v>uuid</v>
      </c>
      <c r="F123" s="73" t="str">
        <f>IFERROR(VLOOKUP(D123&amp;J123,'Target columns'!A:J,7,FALSE),"")</f>
        <v>No</v>
      </c>
      <c r="G123" s="73" t="str">
        <f>IFERROR(VLOOKUP(D123&amp;J123,'Target columns'!A:J,8,FALSE),"")</f>
        <v>Yes</v>
      </c>
      <c r="H123" s="73" t="str">
        <f>IFERROR(VLOOKUP(D123&amp;J123,'Target columns'!A:J,5,FALSE),"")</f>
        <v>NULL</v>
      </c>
      <c r="I123" s="73" t="str">
        <f>IFERROR(VLOOKUP(D123&amp;J123,'Target columns'!A:J,10,FALSE),"")</f>
        <v>Идентификатор регистра по Дт</v>
      </c>
      <c r="J123" s="71" t="s">
        <v>447</v>
      </c>
      <c r="K123" s="203" t="s">
        <v>296</v>
      </c>
      <c r="L123" s="73" t="str">
        <f>IFERROR(VLOOKUP(UPPER(K123&amp;N123),source_columns[],4,0),"")</f>
        <v/>
      </c>
      <c r="M123" s="73" t="str">
        <f>IFERROR(VLOOKUP(UPPER(K123&amp;N123),source_columns[],7,0),"")</f>
        <v/>
      </c>
      <c r="N123" s="71" t="s">
        <v>447</v>
      </c>
      <c r="O123" s="71"/>
      <c r="P123" s="71"/>
      <c r="Q123" s="71"/>
      <c r="R123" s="71"/>
      <c r="S123" s="278"/>
      <c r="T123" s="71"/>
      <c r="U123" s="71"/>
      <c r="V123" s="73" t="str">
        <f>"n308000046_"&amp;IFERROR(VLOOKUP(D123,target_tables[],5,0),"&lt;not found&gt;")</f>
        <v>n308000046_optn$gls</v>
      </c>
      <c r="W123" s="71"/>
      <c r="X123" s="71"/>
      <c r="Y123" s="71"/>
      <c r="Z123" s="71"/>
      <c r="AA123" s="71"/>
      <c r="AB123" s="71"/>
      <c r="AC123" s="71"/>
      <c r="AD123" s="71"/>
      <c r="AE123" s="71"/>
      <c r="AF123" s="279"/>
      <c r="AG123" s="203"/>
      <c r="AH123" s="71"/>
      <c r="AI123" s="74"/>
      <c r="AJ123" s="75"/>
      <c r="AK123" s="69"/>
    </row>
    <row r="124" spans="1:37 16131:16384" ht="12.75" hidden="1" customHeight="1" x14ac:dyDescent="0.3">
      <c r="A124" s="76">
        <v>960</v>
      </c>
      <c r="B124" s="77" t="s">
        <v>266</v>
      </c>
      <c r="C124" s="77" t="str">
        <f>IFERROR(VLOOKUP(D124,'Target tables'!A:B,2,0),"")</f>
        <v>Таблица связей кредитного договора с договором эскроу</v>
      </c>
      <c r="D124" s="24" t="s">
        <v>212</v>
      </c>
      <c r="E124" s="78" t="str">
        <f>IFERROR(VLOOKUP(D124&amp;J124,'Target columns'!A:J,4,FALSE),"")</f>
        <v>UUID</v>
      </c>
      <c r="F124" s="78" t="str">
        <f>IFERROR(VLOOKUP(D124&amp;J124,'Target columns'!A:J,7,FALSE),"")</f>
        <v>Yes</v>
      </c>
      <c r="G124" s="78" t="str">
        <f>IFERROR(VLOOKUP(D124&amp;J124,'Target columns'!A:J,8,FALSE),"")</f>
        <v>Yes</v>
      </c>
      <c r="H124" s="78" t="str">
        <f>IFERROR(VLOOKUP(D124&amp;J124,'Target columns'!A:J,5,FALSE),"")</f>
        <v>NOT NULL</v>
      </c>
      <c r="I124" s="78" t="str">
        <f>IFERROR(VLOOKUP(D124&amp;J124,'Target columns'!A:J,10,FALSE),"")</f>
        <v>ИД  договора эскроу</v>
      </c>
      <c r="J124" s="24" t="s">
        <v>267</v>
      </c>
      <c r="K124" s="77" t="s">
        <v>43</v>
      </c>
      <c r="L124" s="78" t="str">
        <f>IFERROR(VLOOKUP(UPPER(K124&amp;N124),source_columns[],4,0),"")</f>
        <v>uuid</v>
      </c>
      <c r="M124" s="78" t="str">
        <f>IFERROR(VLOOKUP(UPPER(K124&amp;N124),source_columns[],7,0),"")</f>
        <v>Идентификатор договора эскроу</v>
      </c>
      <c r="N124" s="77" t="s">
        <v>384</v>
      </c>
      <c r="O124" s="77"/>
      <c r="P124" s="77"/>
      <c r="Q124" s="77"/>
      <c r="R124" s="77"/>
      <c r="S124" s="267" t="s">
        <v>448</v>
      </c>
      <c r="T124" s="77"/>
      <c r="U124" s="77"/>
      <c r="V124" s="78" t="str">
        <f>"n308000046_"&amp;IFERROR(VLOOKUP(D124,target_tables[],5,0),"&lt;not found&gt;")</f>
        <v>n308000046_agr_escrow_agr_cred</v>
      </c>
      <c r="W124" s="77" t="s">
        <v>269</v>
      </c>
      <c r="X124" s="77"/>
      <c r="Y124" s="77"/>
      <c r="Z124" s="77"/>
      <c r="AA124" s="77"/>
      <c r="AB124" s="77"/>
      <c r="AC124" s="77"/>
      <c r="AD124" s="77"/>
      <c r="AE124" s="77"/>
      <c r="AF124" s="271" t="s">
        <v>342</v>
      </c>
      <c r="AG124" s="201"/>
      <c r="AH124" s="77"/>
      <c r="AI124" s="79"/>
      <c r="AJ124" s="80"/>
      <c r="AK124" s="69"/>
    </row>
    <row r="125" spans="1:37 16131:16384" ht="12.75" hidden="1" customHeight="1" x14ac:dyDescent="0.25">
      <c r="A125" s="64">
        <v>970</v>
      </c>
      <c r="B125" s="65" t="s">
        <v>266</v>
      </c>
      <c r="C125" s="65" t="str">
        <f>IFERROR(VLOOKUP(D125,'Target tables'!A:B,2,0),"")</f>
        <v>Таблица связей кредитного договора с договором эскроу</v>
      </c>
      <c r="D125" s="10" t="s">
        <v>212</v>
      </c>
      <c r="E125" s="66" t="str">
        <f>IFERROR(VLOOKUP(D125&amp;J125,'Target columns'!A:J,4,FALSE),"")</f>
        <v>UUID</v>
      </c>
      <c r="F125" s="66" t="str">
        <f>IFERROR(VLOOKUP(D125&amp;J125,'Target columns'!A:J,7,FALSE),"")</f>
        <v>No</v>
      </c>
      <c r="G125" s="66" t="str">
        <f>IFERROR(VLOOKUP(D125&amp;J125,'Target columns'!A:J,8,FALSE),"")</f>
        <v>Yes</v>
      </c>
      <c r="H125" s="66" t="str">
        <f>IFERROR(VLOOKUP(D125&amp;J125,'Target columns'!A:J,5,FALSE),"")</f>
        <v>NULL</v>
      </c>
      <c r="I125" s="66" t="str">
        <f>IFERROR(VLOOKUP(D125&amp;J125,'Target columns'!A:J,10,FALSE),"")</f>
        <v>ИД кредитного договора с застройщиком</v>
      </c>
      <c r="J125" s="10" t="s">
        <v>295</v>
      </c>
      <c r="K125" s="65" t="s">
        <v>43</v>
      </c>
      <c r="L125" s="66" t="str">
        <f>IFERROR(VLOOKUP(UPPER(K125&amp;N125),source_columns[],4,0),"")</f>
        <v/>
      </c>
      <c r="M125" s="66" t="str">
        <f>IFERROR(VLOOKUP(UPPER(K125&amp;N125),source_columns[],7,0),"")</f>
        <v/>
      </c>
      <c r="N125" s="65" t="s">
        <v>449</v>
      </c>
      <c r="O125" s="65"/>
      <c r="P125" s="65"/>
      <c r="Q125" s="65"/>
      <c r="R125" s="65"/>
      <c r="S125" s="267"/>
      <c r="T125" s="65"/>
      <c r="V125" s="66" t="str">
        <f>"n308000046_"&amp;IFERROR(VLOOKUP(D125,target_tables[],5,0),"&lt;not found&gt;")</f>
        <v>n308000046_agr_escrow_agr_cred</v>
      </c>
      <c r="W125" s="65" t="s">
        <v>273</v>
      </c>
      <c r="X125" s="65"/>
      <c r="Y125" s="65"/>
      <c r="Z125" s="65"/>
      <c r="AA125" s="65"/>
      <c r="AB125" s="65"/>
      <c r="AC125" s="65"/>
      <c r="AD125" s="65"/>
      <c r="AE125" s="65"/>
      <c r="AF125" s="271"/>
      <c r="AG125" s="202"/>
      <c r="AH125" s="65"/>
      <c r="AI125" s="67"/>
      <c r="AJ125" s="68"/>
      <c r="AK125" s="69"/>
      <c r="WVK125" s="1"/>
      <c r="WVL125" s="1"/>
      <c r="WVM125" s="1"/>
      <c r="WVN125" s="1"/>
      <c r="WVO125" s="1"/>
      <c r="WVP125" s="1"/>
      <c r="WVQ125" s="1"/>
      <c r="WVR125" s="1"/>
      <c r="WVS125" s="1"/>
      <c r="WVT125" s="1"/>
      <c r="WVU125" s="1"/>
      <c r="WVV125" s="1"/>
      <c r="WVW125" s="1"/>
      <c r="WVX125" s="1"/>
      <c r="WVY125" s="1"/>
      <c r="WVZ125" s="1"/>
      <c r="WWA125" s="1"/>
      <c r="WWB125" s="1"/>
      <c r="WWC125" s="1"/>
      <c r="WWD125" s="1"/>
      <c r="WWE125" s="1"/>
      <c r="WWF125" s="1"/>
      <c r="WWG125" s="1"/>
      <c r="WWH125" s="1"/>
      <c r="WWI125" s="1"/>
      <c r="WWJ125" s="1"/>
      <c r="WWK125" s="1"/>
      <c r="WWL125" s="1"/>
      <c r="WWM125" s="1"/>
      <c r="WWN125" s="1"/>
      <c r="WWO125" s="1"/>
      <c r="WWP125" s="1"/>
      <c r="WWQ125" s="1"/>
      <c r="WWR125" s="1"/>
      <c r="WWS125" s="1"/>
      <c r="WWT125" s="1"/>
      <c r="WWU125" s="1"/>
      <c r="WWV125" s="1"/>
      <c r="WWW125" s="1"/>
      <c r="WWX125" s="1"/>
      <c r="WWY125" s="1"/>
      <c r="WWZ125" s="1"/>
      <c r="WXA125" s="1"/>
      <c r="WXB125" s="1"/>
      <c r="WXC125" s="1"/>
      <c r="WXD125" s="1"/>
      <c r="WXE125" s="1"/>
      <c r="WXF125" s="1"/>
      <c r="WXG125" s="1"/>
      <c r="WXH125" s="1"/>
      <c r="WXI125" s="1"/>
      <c r="WXJ125" s="1"/>
      <c r="WXK125" s="1"/>
      <c r="WXL125" s="1"/>
      <c r="WXM125" s="1"/>
      <c r="WXN125" s="1"/>
      <c r="WXO125" s="1"/>
      <c r="WXP125" s="1"/>
      <c r="WXQ125" s="1"/>
      <c r="WXR125" s="1"/>
      <c r="WXS125" s="1"/>
      <c r="WXT125" s="1"/>
      <c r="WXU125" s="1"/>
      <c r="WXV125" s="1"/>
      <c r="WXW125" s="1"/>
      <c r="WXX125" s="1"/>
      <c r="WXY125" s="1"/>
      <c r="WXZ125" s="1"/>
      <c r="WYA125" s="1"/>
      <c r="WYB125" s="1"/>
      <c r="WYC125" s="1"/>
      <c r="WYD125" s="1"/>
      <c r="WYE125" s="1"/>
      <c r="WYF125" s="1"/>
      <c r="WYG125" s="1"/>
      <c r="WYH125" s="1"/>
      <c r="WYI125" s="1"/>
      <c r="WYJ125" s="1"/>
      <c r="WYK125" s="1"/>
      <c r="WYL125" s="1"/>
      <c r="WYM125" s="1"/>
      <c r="WYN125" s="1"/>
      <c r="WYO125" s="1"/>
      <c r="WYP125" s="1"/>
      <c r="WYQ125" s="1"/>
      <c r="WYR125" s="1"/>
      <c r="WYS125" s="1"/>
      <c r="WYT125" s="1"/>
      <c r="WYU125" s="1"/>
      <c r="WYV125" s="1"/>
      <c r="WYW125" s="1"/>
      <c r="WYX125" s="1"/>
      <c r="WYY125" s="1"/>
      <c r="WYZ125" s="1"/>
      <c r="WZA125" s="1"/>
      <c r="WZB125" s="1"/>
      <c r="WZC125" s="1"/>
      <c r="WZD125" s="1"/>
      <c r="WZE125" s="1"/>
      <c r="WZF125" s="1"/>
      <c r="WZG125" s="1"/>
      <c r="WZH125" s="1"/>
      <c r="WZI125" s="1"/>
      <c r="WZJ125" s="1"/>
      <c r="WZK125" s="1"/>
      <c r="WZL125" s="1"/>
      <c r="WZM125" s="1"/>
      <c r="WZN125" s="1"/>
      <c r="WZO125" s="1"/>
      <c r="WZP125" s="1"/>
      <c r="WZQ125" s="1"/>
      <c r="WZR125" s="1"/>
      <c r="WZS125" s="1"/>
      <c r="WZT125" s="1"/>
      <c r="WZU125" s="1"/>
      <c r="WZV125" s="1"/>
      <c r="WZW125" s="1"/>
      <c r="WZX125" s="1"/>
      <c r="WZY125" s="1"/>
      <c r="WZZ125" s="1"/>
      <c r="XAA125" s="1"/>
      <c r="XAB125" s="1"/>
      <c r="XAC125" s="1"/>
      <c r="XAD125" s="1"/>
      <c r="XAE125" s="1"/>
      <c r="XAF125" s="1"/>
      <c r="XAG125" s="1"/>
      <c r="XAH125" s="1"/>
      <c r="XAI125" s="1"/>
      <c r="XAJ125" s="1"/>
      <c r="XAK125" s="1"/>
      <c r="XAL125" s="1"/>
      <c r="XAM125" s="1"/>
      <c r="XAN125" s="1"/>
      <c r="XAO125" s="1"/>
      <c r="XAP125" s="1"/>
      <c r="XAQ125" s="1"/>
      <c r="XAR125" s="1"/>
      <c r="XAS125" s="1"/>
      <c r="XAT125" s="1"/>
      <c r="XAU125" s="1"/>
      <c r="XAV125" s="1"/>
      <c r="XAW125" s="1"/>
      <c r="XAX125" s="1"/>
      <c r="XAY125" s="1"/>
      <c r="XAZ125" s="1"/>
      <c r="XBA125" s="1"/>
      <c r="XBB125" s="1"/>
      <c r="XBC125" s="1"/>
      <c r="XBD125" s="1"/>
      <c r="XBE125" s="1"/>
      <c r="XBF125" s="1"/>
      <c r="XBG125" s="1"/>
      <c r="XBH125" s="1"/>
      <c r="XBI125" s="1"/>
      <c r="XBJ125" s="1"/>
      <c r="XBK125" s="1"/>
      <c r="XBL125" s="1"/>
      <c r="XBM125" s="1"/>
      <c r="XBN125" s="1"/>
      <c r="XBO125" s="1"/>
      <c r="XBP125" s="1"/>
      <c r="XBQ125" s="1"/>
      <c r="XBR125" s="1"/>
      <c r="XBS125" s="1"/>
      <c r="XBT125" s="1"/>
      <c r="XBU125" s="1"/>
      <c r="XBV125" s="1"/>
      <c r="XBW125" s="1"/>
      <c r="XBX125" s="1"/>
      <c r="XBY125" s="1"/>
      <c r="XBZ125" s="1"/>
      <c r="XCA125" s="1"/>
      <c r="XCB125" s="1"/>
      <c r="XCC125" s="1"/>
      <c r="XCD125" s="1"/>
      <c r="XCE125" s="1"/>
      <c r="XCF125" s="1"/>
      <c r="XCG125" s="1"/>
      <c r="XCH125" s="1"/>
      <c r="XCI125" s="1"/>
      <c r="XCJ125" s="1"/>
      <c r="XCK125" s="1"/>
      <c r="XCL125" s="1"/>
      <c r="XCM125" s="1"/>
      <c r="XCN125" s="1"/>
      <c r="XCO125" s="1"/>
      <c r="XCP125" s="1"/>
      <c r="XCQ125" s="1"/>
      <c r="XCR125" s="1"/>
      <c r="XCS125" s="1"/>
      <c r="XCT125" s="1"/>
      <c r="XCU125" s="1"/>
      <c r="XCV125" s="1"/>
      <c r="XCW125" s="1"/>
      <c r="XCX125" s="1"/>
      <c r="XCY125" s="1"/>
      <c r="XCZ125" s="1"/>
      <c r="XDA125" s="1"/>
      <c r="XDB125" s="1"/>
      <c r="XDC125" s="1"/>
      <c r="XDD125" s="1"/>
      <c r="XDE125" s="1"/>
      <c r="XDF125" s="1"/>
      <c r="XDG125" s="1"/>
      <c r="XDH125" s="1"/>
      <c r="XDI125" s="1"/>
      <c r="XDJ125" s="1"/>
      <c r="XDK125" s="1"/>
      <c r="XDL125" s="1"/>
      <c r="XDM125" s="1"/>
      <c r="XDN125" s="1"/>
      <c r="XDO125" s="1"/>
      <c r="XDP125" s="1"/>
      <c r="XDQ125" s="1"/>
      <c r="XDR125" s="1"/>
      <c r="XDS125" s="1"/>
      <c r="XDT125" s="1"/>
      <c r="XDU125" s="1"/>
      <c r="XDV125" s="1"/>
      <c r="XDW125" s="1"/>
      <c r="XDX125" s="1"/>
      <c r="XDY125" s="1"/>
      <c r="XDZ125" s="1"/>
      <c r="XEA125" s="1"/>
      <c r="XEB125" s="1"/>
      <c r="XEC125" s="1"/>
      <c r="XED125" s="1"/>
      <c r="XEE125" s="1"/>
      <c r="XEF125" s="1"/>
      <c r="XEG125" s="1"/>
      <c r="XEH125" s="1"/>
      <c r="XEI125" s="1"/>
      <c r="XEJ125" s="1"/>
      <c r="XEK125" s="1"/>
      <c r="XEL125" s="1"/>
      <c r="XEM125" s="1"/>
      <c r="XEN125" s="1"/>
      <c r="XEO125" s="1"/>
      <c r="XEP125" s="1"/>
      <c r="XEQ125" s="1"/>
      <c r="XER125" s="1"/>
      <c r="XES125" s="1"/>
      <c r="XET125" s="1"/>
      <c r="XEU125" s="1"/>
      <c r="XEV125" s="1"/>
      <c r="XEW125" s="1"/>
      <c r="XEX125" s="1"/>
      <c r="XEY125" s="1"/>
      <c r="XEZ125" s="1"/>
      <c r="XFA125" s="1"/>
      <c r="XFB125" s="1"/>
      <c r="XFC125" s="1"/>
      <c r="XFD125" s="1"/>
    </row>
    <row r="126" spans="1:37 16131:16384" ht="12.75" hidden="1" customHeight="1" x14ac:dyDescent="0.3">
      <c r="A126" s="64">
        <v>980</v>
      </c>
      <c r="B126" s="65" t="s">
        <v>266</v>
      </c>
      <c r="C126" s="65" t="str">
        <f>IFERROR(VLOOKUP(D126,'Target tables'!A:B,2,0),"")</f>
        <v>Таблица связей кредитного договора с договором эскроу</v>
      </c>
      <c r="D126" s="10" t="s">
        <v>212</v>
      </c>
      <c r="E126" s="66" t="str">
        <f>IFERROR(VLOOKUP(D126&amp;J126,'Target columns'!A:J,4,FALSE),"")</f>
        <v>DATE</v>
      </c>
      <c r="F126" s="66" t="str">
        <f>IFERROR(VLOOKUP(D126&amp;J126,'Target columns'!A:J,7,FALSE),"")</f>
        <v>Yes</v>
      </c>
      <c r="G126" s="66" t="str">
        <f>IFERROR(VLOOKUP(D126&amp;J126,'Target columns'!A:J,8,FALSE),"")</f>
        <v>No</v>
      </c>
      <c r="H126" s="66" t="str">
        <f>IFERROR(VLOOKUP(D126&amp;J126,'Target columns'!A:J,5,FALSE),"")</f>
        <v>NOT NULL</v>
      </c>
      <c r="I126" s="66" t="str">
        <f>IFERROR(VLOOKUP(D126&amp;J126,'Target columns'!A:J,10,FALSE),"")</f>
        <v>Дата начала действия связи между кредитным договором и договором эскроу</v>
      </c>
      <c r="J126" s="10" t="s">
        <v>329</v>
      </c>
      <c r="K126" s="65" t="s">
        <v>43</v>
      </c>
      <c r="L126" s="66" t="str">
        <f>IFERROR(VLOOKUP(UPPER(K126&amp;N126),source_columns[],4,0),"")</f>
        <v/>
      </c>
      <c r="M126" s="66" t="str">
        <f>IFERROR(VLOOKUP(UPPER(K126&amp;N126),source_columns[],7,0),"")</f>
        <v/>
      </c>
      <c r="N126" s="202" t="s">
        <v>344</v>
      </c>
      <c r="O126" s="65"/>
      <c r="P126" s="65"/>
      <c r="Q126" s="65"/>
      <c r="R126" s="65"/>
      <c r="S126" s="267"/>
      <c r="T126" s="65"/>
      <c r="U126" s="65"/>
      <c r="V126" s="66" t="str">
        <f>"n308000046_"&amp;IFERROR(VLOOKUP(D126,target_tables[],5,0),"&lt;not found&gt;")</f>
        <v>n308000046_agr_escrow_agr_cred</v>
      </c>
      <c r="W126" s="65" t="s">
        <v>330</v>
      </c>
      <c r="X126" s="65"/>
      <c r="Y126" s="65"/>
      <c r="Z126" s="65"/>
      <c r="AA126" s="65"/>
      <c r="AB126" s="65"/>
      <c r="AC126" s="65"/>
      <c r="AD126" s="65"/>
      <c r="AE126" s="65"/>
      <c r="AF126" s="271"/>
      <c r="AG126" s="202"/>
      <c r="AH126" s="65"/>
      <c r="AI126" s="67"/>
      <c r="AJ126" s="68"/>
      <c r="AK126" s="69"/>
    </row>
    <row r="127" spans="1:37 16131:16384" ht="12.75" hidden="1" customHeight="1" x14ac:dyDescent="0.3">
      <c r="A127" s="70">
        <v>990</v>
      </c>
      <c r="B127" s="71" t="s">
        <v>266</v>
      </c>
      <c r="C127" s="71" t="str">
        <f>IFERROR(VLOOKUP(D127,'Target tables'!A:B,2,0),"")</f>
        <v>Таблица связей кредитного договора с договором эскроу</v>
      </c>
      <c r="D127" s="27" t="s">
        <v>212</v>
      </c>
      <c r="E127" s="73" t="str">
        <f>IFERROR(VLOOKUP(D127&amp;J127,'Target columns'!A:J,4,FALSE),"")</f>
        <v>DATE</v>
      </c>
      <c r="F127" s="73" t="str">
        <f>IFERROR(VLOOKUP(D127&amp;J127,'Target columns'!A:J,7,FALSE),"")</f>
        <v>No</v>
      </c>
      <c r="G127" s="73" t="str">
        <f>IFERROR(VLOOKUP(D127&amp;J127,'Target columns'!A:J,8,FALSE),"")</f>
        <v>No</v>
      </c>
      <c r="H127" s="73" t="str">
        <f>IFERROR(VLOOKUP(D127&amp;J127,'Target columns'!A:J,5,FALSE),"")</f>
        <v>NULL</v>
      </c>
      <c r="I127" s="73" t="str">
        <f>IFERROR(VLOOKUP(D127&amp;J127,'Target columns'!A:J,10,FALSE),"")</f>
        <v>Дата окончания действия связи между кредитным договором и договором эскроу</v>
      </c>
      <c r="J127" s="27" t="s">
        <v>331</v>
      </c>
      <c r="K127" s="71" t="s">
        <v>43</v>
      </c>
      <c r="L127" s="73" t="str">
        <f>IFERROR(VLOOKUP(UPPER(K127&amp;N127),source_columns[],4,0),"")</f>
        <v/>
      </c>
      <c r="M127" s="73" t="str">
        <f>IFERROR(VLOOKUP(UPPER(K127&amp;N127),source_columns[],7,0),"")</f>
        <v/>
      </c>
      <c r="N127" s="71" t="s">
        <v>345</v>
      </c>
      <c r="O127" s="71"/>
      <c r="P127" s="71"/>
      <c r="Q127" s="71"/>
      <c r="R127" s="71"/>
      <c r="S127" s="268"/>
      <c r="T127" s="71"/>
      <c r="U127" s="71"/>
      <c r="V127" s="73" t="str">
        <f>"n308000046_"&amp;IFERROR(VLOOKUP(D127,target_tables[],5,0),"&lt;not found&gt;")</f>
        <v>n308000046_agr_escrow_agr_cred</v>
      </c>
      <c r="W127" s="71" t="s">
        <v>332</v>
      </c>
      <c r="X127" s="71"/>
      <c r="Y127" s="71"/>
      <c r="Z127" s="71"/>
      <c r="AA127" s="71"/>
      <c r="AB127" s="71"/>
      <c r="AC127" s="71"/>
      <c r="AD127" s="71"/>
      <c r="AE127" s="71"/>
      <c r="AF127" s="271"/>
      <c r="AG127" s="203"/>
      <c r="AH127" s="71"/>
      <c r="AI127" s="74"/>
      <c r="AJ127" s="75"/>
      <c r="AK127" s="69"/>
    </row>
    <row r="128" spans="1:37 16131:16384" ht="12.75" hidden="1" customHeight="1" x14ac:dyDescent="0.25">
      <c r="A128" s="64">
        <v>1000</v>
      </c>
      <c r="B128" s="65" t="s">
        <v>450</v>
      </c>
      <c r="C128" s="65" t="s">
        <v>451</v>
      </c>
      <c r="D128" s="10" t="s">
        <v>50</v>
      </c>
      <c r="E128" s="78" t="str">
        <f>IFERROR(VLOOKUP(D128&amp;J128,'Target columns'!A:J,4,FALSE),"")</f>
        <v>UUID</v>
      </c>
      <c r="F128" s="78" t="str">
        <f>IFERROR(VLOOKUP(D128&amp;J128,'Target columns'!A:J,7,FALSE),"")</f>
        <v>Yes</v>
      </c>
      <c r="G128" s="78" t="str">
        <f>IFERROR(VLOOKUP(D128&amp;J128,'Target columns'!A:J,8,FALSE),"")</f>
        <v>No</v>
      </c>
      <c r="H128" s="78" t="str">
        <f>IFERROR(VLOOKUP(D128&amp;J128,'Target columns'!A:J,5,FALSE),"")</f>
        <v>NOT NULL</v>
      </c>
      <c r="I128" s="78" t="str">
        <f>IFERROR(VLOOKUP(D128&amp;J128,'Target columns'!A:J,10,FALSE),"")</f>
        <v xml:space="preserve">Идентификатор договора </v>
      </c>
      <c r="J128" s="24" t="s">
        <v>452</v>
      </c>
      <c r="K128" s="24" t="s">
        <v>56</v>
      </c>
      <c r="L128" s="78" t="str">
        <f>IFERROR(VLOOKUP(UPPER(K128&amp;N129),source_columns[],4,0),"")</f>
        <v>uuid</v>
      </c>
      <c r="M128" s="78" t="str">
        <f>IFERROR(VLOOKUP(UPPER(K128&amp;N129),source_columns[],7,0),"")</f>
        <v>Идентификатор договора</v>
      </c>
      <c r="N128" s="77" t="s">
        <v>422</v>
      </c>
      <c r="O128" s="77"/>
      <c r="P128" s="77"/>
      <c r="Q128" s="77"/>
      <c r="R128" s="77"/>
      <c r="S128" s="288"/>
      <c r="T128" s="65"/>
      <c r="U128" s="65"/>
      <c r="V128" s="66" t="str">
        <f>"n308000046_"&amp;IFERROR(VLOOKUP(D128,target_tables[],5,0),"&lt;not found&gt;")</f>
        <v>n308000046_agr_frame</v>
      </c>
      <c r="W128" s="65"/>
      <c r="AF128" s="290" t="s">
        <v>270</v>
      </c>
      <c r="AG128" s="202"/>
      <c r="AH128" s="65"/>
      <c r="AI128" s="67"/>
      <c r="AJ128" s="68"/>
      <c r="AK128" s="69"/>
      <c r="WVK128" s="1"/>
      <c r="WVL128" s="1"/>
      <c r="WVM128" s="1"/>
      <c r="WVN128" s="1"/>
      <c r="WVO128" s="1"/>
      <c r="WVP128" s="1"/>
      <c r="WVQ128" s="1"/>
      <c r="WVR128" s="1"/>
      <c r="WVS128" s="1"/>
      <c r="WVT128" s="1"/>
      <c r="WVU128" s="1"/>
      <c r="WVV128" s="1"/>
      <c r="WVW128" s="1"/>
      <c r="WVX128" s="1"/>
      <c r="WVY128" s="1"/>
      <c r="WVZ128" s="1"/>
      <c r="WWA128" s="1"/>
      <c r="WWB128" s="1"/>
      <c r="WWC128" s="1"/>
      <c r="WWD128" s="1"/>
      <c r="WWE128" s="1"/>
      <c r="WWF128" s="1"/>
      <c r="WWG128" s="1"/>
      <c r="WWH128" s="1"/>
      <c r="WWI128" s="1"/>
      <c r="WWJ128" s="1"/>
      <c r="WWK128" s="1"/>
      <c r="WWL128" s="1"/>
      <c r="WWM128" s="1"/>
      <c r="WWN128" s="1"/>
      <c r="WWO128" s="1"/>
      <c r="WWP128" s="1"/>
      <c r="WWQ128" s="1"/>
      <c r="WWR128" s="1"/>
      <c r="WWS128" s="1"/>
      <c r="WWT128" s="1"/>
      <c r="WWU128" s="1"/>
      <c r="WWV128" s="1"/>
      <c r="WWW128" s="1"/>
      <c r="WWX128" s="1"/>
      <c r="WWY128" s="1"/>
      <c r="WWZ128" s="1"/>
      <c r="WXA128" s="1"/>
      <c r="WXB128" s="1"/>
      <c r="WXC128" s="1"/>
      <c r="WXD128" s="1"/>
      <c r="WXE128" s="1"/>
      <c r="WXF128" s="1"/>
      <c r="WXG128" s="1"/>
      <c r="WXH128" s="1"/>
      <c r="WXI128" s="1"/>
      <c r="WXJ128" s="1"/>
      <c r="WXK128" s="1"/>
      <c r="WXL128" s="1"/>
      <c r="WXM128" s="1"/>
      <c r="WXN128" s="1"/>
      <c r="WXO128" s="1"/>
      <c r="WXP128" s="1"/>
      <c r="WXQ128" s="1"/>
      <c r="WXR128" s="1"/>
      <c r="WXS128" s="1"/>
      <c r="WXT128" s="1"/>
      <c r="WXU128" s="1"/>
      <c r="WXV128" s="1"/>
      <c r="WXW128" s="1"/>
      <c r="WXX128" s="1"/>
      <c r="WXY128" s="1"/>
      <c r="WXZ128" s="1"/>
      <c r="WYA128" s="1"/>
      <c r="WYB128" s="1"/>
      <c r="WYC128" s="1"/>
      <c r="WYD128" s="1"/>
      <c r="WYE128" s="1"/>
      <c r="WYF128" s="1"/>
      <c r="WYG128" s="1"/>
      <c r="WYH128" s="1"/>
      <c r="WYI128" s="1"/>
      <c r="WYJ128" s="1"/>
      <c r="WYK128" s="1"/>
      <c r="WYL128" s="1"/>
      <c r="WYM128" s="1"/>
      <c r="WYN128" s="1"/>
      <c r="WYO128" s="1"/>
      <c r="WYP128" s="1"/>
      <c r="WYQ128" s="1"/>
      <c r="WYR128" s="1"/>
      <c r="WYS128" s="1"/>
      <c r="WYT128" s="1"/>
      <c r="WYU128" s="1"/>
      <c r="WYV128" s="1"/>
      <c r="WYW128" s="1"/>
      <c r="WYX128" s="1"/>
      <c r="WYY128" s="1"/>
      <c r="WYZ128" s="1"/>
      <c r="WZA128" s="1"/>
      <c r="WZB128" s="1"/>
      <c r="WZC128" s="1"/>
      <c r="WZD128" s="1"/>
      <c r="WZE128" s="1"/>
      <c r="WZF128" s="1"/>
      <c r="WZG128" s="1"/>
      <c r="WZH128" s="1"/>
      <c r="WZI128" s="1"/>
      <c r="WZJ128" s="1"/>
      <c r="WZK128" s="1"/>
      <c r="WZL128" s="1"/>
      <c r="WZM128" s="1"/>
      <c r="WZN128" s="1"/>
      <c r="WZO128" s="1"/>
      <c r="WZP128" s="1"/>
      <c r="WZQ128" s="1"/>
      <c r="WZR128" s="1"/>
      <c r="WZS128" s="1"/>
      <c r="WZT128" s="1"/>
      <c r="WZU128" s="1"/>
      <c r="WZV128" s="1"/>
      <c r="WZW128" s="1"/>
      <c r="WZX128" s="1"/>
      <c r="WZY128" s="1"/>
      <c r="WZZ128" s="1"/>
      <c r="XAA128" s="1"/>
      <c r="XAB128" s="1"/>
      <c r="XAC128" s="1"/>
      <c r="XAD128" s="1"/>
      <c r="XAE128" s="1"/>
      <c r="XAF128" s="1"/>
      <c r="XAG128" s="1"/>
      <c r="XAH128" s="1"/>
      <c r="XAI128" s="1"/>
      <c r="XAJ128" s="1"/>
      <c r="XAK128" s="1"/>
      <c r="XAL128" s="1"/>
      <c r="XAM128" s="1"/>
      <c r="XAN128" s="1"/>
      <c r="XAO128" s="1"/>
      <c r="XAP128" s="1"/>
      <c r="XAQ128" s="1"/>
      <c r="XAR128" s="1"/>
      <c r="XAS128" s="1"/>
      <c r="XAT128" s="1"/>
      <c r="XAU128" s="1"/>
      <c r="XAV128" s="1"/>
      <c r="XAW128" s="1"/>
      <c r="XAX128" s="1"/>
      <c r="XAY128" s="1"/>
      <c r="XAZ128" s="1"/>
      <c r="XBA128" s="1"/>
      <c r="XBB128" s="1"/>
      <c r="XBC128" s="1"/>
      <c r="XBD128" s="1"/>
      <c r="XBE128" s="1"/>
      <c r="XBF128" s="1"/>
      <c r="XBG128" s="1"/>
      <c r="XBH128" s="1"/>
      <c r="XBI128" s="1"/>
      <c r="XBJ128" s="1"/>
      <c r="XBK128" s="1"/>
      <c r="XBL128" s="1"/>
      <c r="XBM128" s="1"/>
      <c r="XBN128" s="1"/>
      <c r="XBO128" s="1"/>
      <c r="XBP128" s="1"/>
      <c r="XBQ128" s="1"/>
      <c r="XBR128" s="1"/>
      <c r="XBS128" s="1"/>
      <c r="XBT128" s="1"/>
      <c r="XBU128" s="1"/>
      <c r="XBV128" s="1"/>
      <c r="XBW128" s="1"/>
      <c r="XBX128" s="1"/>
      <c r="XBY128" s="1"/>
      <c r="XBZ128" s="1"/>
      <c r="XCA128" s="1"/>
      <c r="XCB128" s="1"/>
      <c r="XCC128" s="1"/>
      <c r="XCD128" s="1"/>
      <c r="XCE128" s="1"/>
      <c r="XCF128" s="1"/>
      <c r="XCG128" s="1"/>
      <c r="XCH128" s="1"/>
      <c r="XCI128" s="1"/>
      <c r="XCJ128" s="1"/>
      <c r="XCK128" s="1"/>
      <c r="XCL128" s="1"/>
      <c r="XCM128" s="1"/>
      <c r="XCN128" s="1"/>
      <c r="XCO128" s="1"/>
      <c r="XCP128" s="1"/>
      <c r="XCQ128" s="1"/>
      <c r="XCR128" s="1"/>
      <c r="XCS128" s="1"/>
      <c r="XCT128" s="1"/>
      <c r="XCU128" s="1"/>
      <c r="XCV128" s="1"/>
      <c r="XCW128" s="1"/>
      <c r="XCX128" s="1"/>
      <c r="XCY128" s="1"/>
      <c r="XCZ128" s="1"/>
      <c r="XDA128" s="1"/>
      <c r="XDB128" s="1"/>
      <c r="XDC128" s="1"/>
      <c r="XDD128" s="1"/>
      <c r="XDE128" s="1"/>
      <c r="XDF128" s="1"/>
      <c r="XDG128" s="1"/>
      <c r="XDH128" s="1"/>
      <c r="XDI128" s="1"/>
      <c r="XDJ128" s="1"/>
      <c r="XDK128" s="1"/>
      <c r="XDL128" s="1"/>
      <c r="XDM128" s="1"/>
      <c r="XDN128" s="1"/>
      <c r="XDO128" s="1"/>
      <c r="XDP128" s="1"/>
      <c r="XDQ128" s="1"/>
      <c r="XDR128" s="1"/>
      <c r="XDS128" s="1"/>
      <c r="XDT128" s="1"/>
      <c r="XDU128" s="1"/>
      <c r="XDV128" s="1"/>
      <c r="XDW128" s="1"/>
      <c r="XDX128" s="1"/>
      <c r="XDY128" s="1"/>
      <c r="XDZ128" s="1"/>
      <c r="XEA128" s="1"/>
      <c r="XEB128" s="1"/>
      <c r="XEC128" s="1"/>
      <c r="XED128" s="1"/>
      <c r="XEE128" s="1"/>
      <c r="XEF128" s="1"/>
      <c r="XEG128" s="1"/>
      <c r="XEH128" s="1"/>
      <c r="XEI128" s="1"/>
      <c r="XEJ128" s="1"/>
      <c r="XEK128" s="1"/>
      <c r="XEL128" s="1"/>
      <c r="XEM128" s="1"/>
      <c r="XEN128" s="1"/>
      <c r="XEO128" s="1"/>
      <c r="XEP128" s="1"/>
      <c r="XEQ128" s="1"/>
      <c r="XER128" s="1"/>
      <c r="XES128" s="1"/>
      <c r="XET128" s="1"/>
      <c r="XEU128" s="1"/>
      <c r="XEV128" s="1"/>
      <c r="XEW128" s="1"/>
      <c r="XEX128" s="1"/>
      <c r="XEY128" s="1"/>
      <c r="XEZ128" s="1"/>
      <c r="XFA128" s="1"/>
      <c r="XFB128" s="1"/>
      <c r="XFC128" s="1"/>
      <c r="XFD128" s="1"/>
    </row>
    <row r="129" spans="1:37 16131:16384" ht="12.75" hidden="1" customHeight="1" x14ac:dyDescent="0.3">
      <c r="A129" s="64">
        <v>1010</v>
      </c>
      <c r="B129" s="65" t="s">
        <v>450</v>
      </c>
      <c r="C129" s="65" t="s">
        <v>451</v>
      </c>
      <c r="D129" s="10" t="s">
        <v>50</v>
      </c>
      <c r="E129" s="66" t="str">
        <f>IFERROR(VLOOKUP(D129&amp;J129,'Target columns'!A:J,4,FALSE),"")</f>
        <v>TEXT</v>
      </c>
      <c r="F129" s="66" t="str">
        <f>IFERROR(VLOOKUP(D129&amp;J129,'Target columns'!A:J,7,FALSE),"")</f>
        <v>No</v>
      </c>
      <c r="G129" s="66" t="str">
        <f>IFERROR(VLOOKUP(D129&amp;J129,'Target columns'!A:J,8,FALSE),"")</f>
        <v>No</v>
      </c>
      <c r="H129" s="66" t="str">
        <f>IFERROR(VLOOKUP(D129&amp;J129,'Target columns'!A:J,5,FALSE),"")</f>
        <v>NULL</v>
      </c>
      <c r="I129" s="66" t="str">
        <f>IFERROR(VLOOKUP(D129&amp;J129,'Target columns'!A:J,10,FALSE),"")</f>
        <v>Идентификатор договора в системе-источнике</v>
      </c>
      <c r="J129" s="10" t="s">
        <v>453</v>
      </c>
      <c r="K129" s="10" t="s">
        <v>56</v>
      </c>
      <c r="L129" s="66" t="str">
        <f>IFERROR(VLOOKUP(UPPER(K129&amp;N129),source_columns[],4,0),"")</f>
        <v>uuid</v>
      </c>
      <c r="M129" s="66" t="str">
        <f>IFERROR(VLOOKUP(UPPER(K129&amp;N129),source_columns[],7,0),"")</f>
        <v>Идентификатор договора</v>
      </c>
      <c r="N129" s="65" t="s">
        <v>433</v>
      </c>
      <c r="O129" s="65"/>
      <c r="P129" s="65"/>
      <c r="Q129" s="65"/>
      <c r="R129" s="65"/>
      <c r="S129" s="288"/>
      <c r="T129" s="65"/>
      <c r="U129" s="65"/>
      <c r="V129" s="66" t="str">
        <f>"n308000046_"&amp;IFERROR(VLOOKUP(D129,target_tables[],5,0),"&lt;not found&gt;")</f>
        <v>n308000046_agr_frame</v>
      </c>
      <c r="W129" s="65"/>
      <c r="AF129" s="290"/>
      <c r="AG129" s="202"/>
      <c r="AH129" s="65"/>
      <c r="AI129" s="67"/>
      <c r="AJ129" s="68"/>
      <c r="AK129" s="69"/>
    </row>
    <row r="130" spans="1:37 16131:16384" ht="12.75" hidden="1" customHeight="1" x14ac:dyDescent="0.3">
      <c r="A130" s="64">
        <v>1015</v>
      </c>
      <c r="B130" s="65" t="s">
        <v>450</v>
      </c>
      <c r="C130" s="65" t="s">
        <v>451</v>
      </c>
      <c r="D130" s="10" t="s">
        <v>50</v>
      </c>
      <c r="E130" s="66" t="str">
        <f>IFERROR(VLOOKUP(D130&amp;J130,'Target columns'!A:J,4,FALSE),"")</f>
        <v>TEXT</v>
      </c>
      <c r="F130" s="66" t="str">
        <f>IFERROR(VLOOKUP(D130&amp;J130,'Target columns'!A:J,7,FALSE),"")</f>
        <v>No</v>
      </c>
      <c r="G130" s="66" t="str">
        <f>IFERROR(VLOOKUP(D130&amp;J130,'Target columns'!A:J,8,FALSE),"")</f>
        <v>No</v>
      </c>
      <c r="H130" s="66" t="str">
        <f>IFERROR(VLOOKUP(D130&amp;J130,'Target columns'!A:J,5,FALSE),"")</f>
        <v>NULL</v>
      </c>
      <c r="I130" s="66" t="str">
        <f>IFERROR(VLOOKUP(D130&amp;J130,'Target columns'!A:J,10,FALSE),"")</f>
        <v>Внешний идентификатор договора</v>
      </c>
      <c r="J130" s="10" t="s">
        <v>454</v>
      </c>
      <c r="K130" s="10" t="s">
        <v>56</v>
      </c>
      <c r="L130" s="66"/>
      <c r="M130" s="66"/>
      <c r="N130" s="65" t="s">
        <v>455</v>
      </c>
      <c r="O130" s="65"/>
      <c r="P130" s="65"/>
      <c r="Q130" s="65"/>
      <c r="R130" s="65"/>
      <c r="S130" s="288"/>
      <c r="T130" s="65"/>
      <c r="U130" s="65"/>
      <c r="V130" s="66" t="str">
        <f>"n308000046_"&amp;IFERROR(VLOOKUP(D130,target_tables[],5,0),"&lt;not found&gt;")</f>
        <v>n308000046_agr_frame</v>
      </c>
      <c r="W130" s="65"/>
      <c r="AF130" s="290"/>
      <c r="AG130" s="202"/>
      <c r="AH130" s="65"/>
      <c r="AI130" s="67"/>
      <c r="AJ130" s="68"/>
      <c r="AK130" s="69"/>
    </row>
    <row r="131" spans="1:37 16131:16384" ht="12.75" hidden="1" customHeight="1" x14ac:dyDescent="0.3">
      <c r="A131" s="64">
        <v>1020</v>
      </c>
      <c r="B131" s="65" t="s">
        <v>450</v>
      </c>
      <c r="C131" s="65" t="s">
        <v>451</v>
      </c>
      <c r="D131" s="10" t="s">
        <v>50</v>
      </c>
      <c r="E131" s="66" t="str">
        <f>IFERROR(VLOOKUP(D131&amp;J131,'Target columns'!A:J,4,FALSE),"")</f>
        <v>DATE</v>
      </c>
      <c r="F131" s="66" t="str">
        <f>IFERROR(VLOOKUP(D131&amp;J131,'Target columns'!A:J,7,FALSE),"")</f>
        <v>No</v>
      </c>
      <c r="G131" s="66" t="str">
        <f>IFERROR(VLOOKUP(D131&amp;J131,'Target columns'!A:J,8,FALSE),"")</f>
        <v>No</v>
      </c>
      <c r="H131" s="66" t="str">
        <f>IFERROR(VLOOKUP(D131&amp;J131,'Target columns'!A:J,5,FALSE),"")</f>
        <v>NULL</v>
      </c>
      <c r="I131" s="66" t="str">
        <f>IFERROR(VLOOKUP(D131&amp;J131,'Target columns'!A:J,10,FALSE),"")</f>
        <v>Дата открытия договора</v>
      </c>
      <c r="J131" s="10" t="s">
        <v>271</v>
      </c>
      <c r="K131" s="10" t="s">
        <v>56</v>
      </c>
      <c r="L131" s="66" t="str">
        <f>IFERROR(VLOOKUP(UPPER(K131&amp;N131),source_columns[],4,0),"")</f>
        <v>date</v>
      </c>
      <c r="M131" s="66" t="str">
        <f>IFERROR(VLOOKUP(UPPER(K131&amp;N131),source_columns[],7,0),"")</f>
        <v>Дата заключения</v>
      </c>
      <c r="N131" s="65" t="s">
        <v>385</v>
      </c>
      <c r="O131" s="65"/>
      <c r="P131" s="65"/>
      <c r="Q131" s="65"/>
      <c r="R131" s="65"/>
      <c r="S131" s="288"/>
      <c r="T131" s="65"/>
      <c r="U131" s="65"/>
      <c r="V131" s="66" t="str">
        <f>"n308000046_"&amp;IFERROR(VLOOKUP(D131,target_tables[],5,0),"&lt;not found&gt;")</f>
        <v>n308000046_agr_frame</v>
      </c>
      <c r="W131" s="65"/>
      <c r="AF131" s="290"/>
      <c r="AG131" s="202"/>
      <c r="AH131" s="65"/>
      <c r="AI131" s="67"/>
      <c r="AJ131" s="68"/>
      <c r="AK131" s="69"/>
    </row>
    <row r="132" spans="1:37 16131:16384" ht="12.75" hidden="1" customHeight="1" x14ac:dyDescent="0.25">
      <c r="A132" s="64">
        <v>1030</v>
      </c>
      <c r="B132" s="65" t="s">
        <v>450</v>
      </c>
      <c r="C132" s="65" t="s">
        <v>451</v>
      </c>
      <c r="D132" s="10" t="s">
        <v>50</v>
      </c>
      <c r="E132" s="66" t="str">
        <f>IFERROR(VLOOKUP(D132&amp;J132,'Target columns'!A:J,4,FALSE),"")</f>
        <v>DATE</v>
      </c>
      <c r="F132" s="66" t="str">
        <f>IFERROR(VLOOKUP(D132&amp;J132,'Target columns'!A:J,7,FALSE),"")</f>
        <v>No</v>
      </c>
      <c r="G132" s="66" t="str">
        <f>IFERROR(VLOOKUP(D132&amp;J132,'Target columns'!A:J,8,FALSE),"")</f>
        <v>No</v>
      </c>
      <c r="H132" s="66" t="str">
        <f>IFERROR(VLOOKUP(D132&amp;J132,'Target columns'!A:J,5,FALSE),"")</f>
        <v>NULL</v>
      </c>
      <c r="I132" s="66" t="str">
        <f>IFERROR(VLOOKUP(D132&amp;J132,'Target columns'!A:J,10,FALSE),"")</f>
        <v xml:space="preserve">Дата закрытия договора </v>
      </c>
      <c r="J132" s="10" t="s">
        <v>275</v>
      </c>
      <c r="K132" s="10" t="s">
        <v>56</v>
      </c>
      <c r="L132" s="66" t="str">
        <f>IFERROR(VLOOKUP(UPPER(K132&amp;N132),source_columns[],4,0),"")</f>
        <v>text</v>
      </c>
      <c r="M132" s="66" t="str">
        <f>IFERROR(VLOOKUP(UPPER(K132&amp;N132),source_columns[],7,0),"")</f>
        <v xml:space="preserve">Дата закрытия </v>
      </c>
      <c r="N132" s="65" t="s">
        <v>387</v>
      </c>
      <c r="O132" s="65"/>
      <c r="P132" s="65"/>
      <c r="Q132" s="65"/>
      <c r="R132" s="65"/>
      <c r="S132" s="288"/>
      <c r="T132" s="65"/>
      <c r="U132" s="65"/>
      <c r="V132" s="66" t="str">
        <f>"n308000046_"&amp;IFERROR(VLOOKUP(D132,target_tables[],5,0),"&lt;not found&gt;")</f>
        <v>n308000046_agr_frame</v>
      </c>
      <c r="W132" s="65"/>
      <c r="AF132" s="290"/>
      <c r="AG132" s="202"/>
      <c r="AH132" s="65"/>
      <c r="AI132" s="67"/>
      <c r="AJ132" s="68"/>
      <c r="AK132" s="69"/>
      <c r="WVK132" s="1"/>
      <c r="WVL132" s="1"/>
      <c r="WVM132" s="1"/>
      <c r="WVN132" s="1"/>
      <c r="WVO132" s="1"/>
      <c r="WVP132" s="1"/>
      <c r="WVQ132" s="1"/>
      <c r="WVR132" s="1"/>
      <c r="WVS132" s="1"/>
      <c r="WVT132" s="1"/>
      <c r="WVU132" s="1"/>
      <c r="WVV132" s="1"/>
      <c r="WVW132" s="1"/>
      <c r="WVX132" s="1"/>
      <c r="WVY132" s="1"/>
      <c r="WVZ132" s="1"/>
      <c r="WWA132" s="1"/>
      <c r="WWB132" s="1"/>
      <c r="WWC132" s="1"/>
      <c r="WWD132" s="1"/>
      <c r="WWE132" s="1"/>
      <c r="WWF132" s="1"/>
      <c r="WWG132" s="1"/>
      <c r="WWH132" s="1"/>
      <c r="WWI132" s="1"/>
      <c r="WWJ132" s="1"/>
      <c r="WWK132" s="1"/>
      <c r="WWL132" s="1"/>
      <c r="WWM132" s="1"/>
      <c r="WWN132" s="1"/>
      <c r="WWO132" s="1"/>
      <c r="WWP132" s="1"/>
      <c r="WWQ132" s="1"/>
      <c r="WWR132" s="1"/>
      <c r="WWS132" s="1"/>
      <c r="WWT132" s="1"/>
      <c r="WWU132" s="1"/>
      <c r="WWV132" s="1"/>
      <c r="WWW132" s="1"/>
      <c r="WWX132" s="1"/>
      <c r="WWY132" s="1"/>
      <c r="WWZ132" s="1"/>
      <c r="WXA132" s="1"/>
      <c r="WXB132" s="1"/>
      <c r="WXC132" s="1"/>
      <c r="WXD132" s="1"/>
      <c r="WXE132" s="1"/>
      <c r="WXF132" s="1"/>
      <c r="WXG132" s="1"/>
      <c r="WXH132" s="1"/>
      <c r="WXI132" s="1"/>
      <c r="WXJ132" s="1"/>
      <c r="WXK132" s="1"/>
      <c r="WXL132" s="1"/>
      <c r="WXM132" s="1"/>
      <c r="WXN132" s="1"/>
      <c r="WXO132" s="1"/>
      <c r="WXP132" s="1"/>
      <c r="WXQ132" s="1"/>
      <c r="WXR132" s="1"/>
      <c r="WXS132" s="1"/>
      <c r="WXT132" s="1"/>
      <c r="WXU132" s="1"/>
      <c r="WXV132" s="1"/>
      <c r="WXW132" s="1"/>
      <c r="WXX132" s="1"/>
      <c r="WXY132" s="1"/>
      <c r="WXZ132" s="1"/>
      <c r="WYA132" s="1"/>
      <c r="WYB132" s="1"/>
      <c r="WYC132" s="1"/>
      <c r="WYD132" s="1"/>
      <c r="WYE132" s="1"/>
      <c r="WYF132" s="1"/>
      <c r="WYG132" s="1"/>
      <c r="WYH132" s="1"/>
      <c r="WYI132" s="1"/>
      <c r="WYJ132" s="1"/>
      <c r="WYK132" s="1"/>
      <c r="WYL132" s="1"/>
      <c r="WYM132" s="1"/>
      <c r="WYN132" s="1"/>
      <c r="WYO132" s="1"/>
      <c r="WYP132" s="1"/>
      <c r="WYQ132" s="1"/>
      <c r="WYR132" s="1"/>
      <c r="WYS132" s="1"/>
      <c r="WYT132" s="1"/>
      <c r="WYU132" s="1"/>
      <c r="WYV132" s="1"/>
      <c r="WYW132" s="1"/>
      <c r="WYX132" s="1"/>
      <c r="WYY132" s="1"/>
      <c r="WYZ132" s="1"/>
      <c r="WZA132" s="1"/>
      <c r="WZB132" s="1"/>
      <c r="WZC132" s="1"/>
      <c r="WZD132" s="1"/>
      <c r="WZE132" s="1"/>
      <c r="WZF132" s="1"/>
      <c r="WZG132" s="1"/>
      <c r="WZH132" s="1"/>
      <c r="WZI132" s="1"/>
      <c r="WZJ132" s="1"/>
      <c r="WZK132" s="1"/>
      <c r="WZL132" s="1"/>
      <c r="WZM132" s="1"/>
      <c r="WZN132" s="1"/>
      <c r="WZO132" s="1"/>
      <c r="WZP132" s="1"/>
      <c r="WZQ132" s="1"/>
      <c r="WZR132" s="1"/>
      <c r="WZS132" s="1"/>
      <c r="WZT132" s="1"/>
      <c r="WZU132" s="1"/>
      <c r="WZV132" s="1"/>
      <c r="WZW132" s="1"/>
      <c r="WZX132" s="1"/>
      <c r="WZY132" s="1"/>
      <c r="WZZ132" s="1"/>
      <c r="XAA132" s="1"/>
      <c r="XAB132" s="1"/>
      <c r="XAC132" s="1"/>
      <c r="XAD132" s="1"/>
      <c r="XAE132" s="1"/>
      <c r="XAF132" s="1"/>
      <c r="XAG132" s="1"/>
      <c r="XAH132" s="1"/>
      <c r="XAI132" s="1"/>
      <c r="XAJ132" s="1"/>
      <c r="XAK132" s="1"/>
      <c r="XAL132" s="1"/>
      <c r="XAM132" s="1"/>
      <c r="XAN132" s="1"/>
      <c r="XAO132" s="1"/>
      <c r="XAP132" s="1"/>
      <c r="XAQ132" s="1"/>
      <c r="XAR132" s="1"/>
      <c r="XAS132" s="1"/>
      <c r="XAT132" s="1"/>
      <c r="XAU132" s="1"/>
      <c r="XAV132" s="1"/>
      <c r="XAW132" s="1"/>
      <c r="XAX132" s="1"/>
      <c r="XAY132" s="1"/>
      <c r="XAZ132" s="1"/>
      <c r="XBA132" s="1"/>
      <c r="XBB132" s="1"/>
      <c r="XBC132" s="1"/>
      <c r="XBD132" s="1"/>
      <c r="XBE132" s="1"/>
      <c r="XBF132" s="1"/>
      <c r="XBG132" s="1"/>
      <c r="XBH132" s="1"/>
      <c r="XBI132" s="1"/>
      <c r="XBJ132" s="1"/>
      <c r="XBK132" s="1"/>
      <c r="XBL132" s="1"/>
      <c r="XBM132" s="1"/>
      <c r="XBN132" s="1"/>
      <c r="XBO132" s="1"/>
      <c r="XBP132" s="1"/>
      <c r="XBQ132" s="1"/>
      <c r="XBR132" s="1"/>
      <c r="XBS132" s="1"/>
      <c r="XBT132" s="1"/>
      <c r="XBU132" s="1"/>
      <c r="XBV132" s="1"/>
      <c r="XBW132" s="1"/>
      <c r="XBX132" s="1"/>
      <c r="XBY132" s="1"/>
      <c r="XBZ132" s="1"/>
      <c r="XCA132" s="1"/>
      <c r="XCB132" s="1"/>
      <c r="XCC132" s="1"/>
      <c r="XCD132" s="1"/>
      <c r="XCE132" s="1"/>
      <c r="XCF132" s="1"/>
      <c r="XCG132" s="1"/>
      <c r="XCH132" s="1"/>
      <c r="XCI132" s="1"/>
      <c r="XCJ132" s="1"/>
      <c r="XCK132" s="1"/>
      <c r="XCL132" s="1"/>
      <c r="XCM132" s="1"/>
      <c r="XCN132" s="1"/>
      <c r="XCO132" s="1"/>
      <c r="XCP132" s="1"/>
      <c r="XCQ132" s="1"/>
      <c r="XCR132" s="1"/>
      <c r="XCS132" s="1"/>
      <c r="XCT132" s="1"/>
      <c r="XCU132" s="1"/>
      <c r="XCV132" s="1"/>
      <c r="XCW132" s="1"/>
      <c r="XCX132" s="1"/>
      <c r="XCY132" s="1"/>
      <c r="XCZ132" s="1"/>
      <c r="XDA132" s="1"/>
      <c r="XDB132" s="1"/>
      <c r="XDC132" s="1"/>
      <c r="XDD132" s="1"/>
      <c r="XDE132" s="1"/>
      <c r="XDF132" s="1"/>
      <c r="XDG132" s="1"/>
      <c r="XDH132" s="1"/>
      <c r="XDI132" s="1"/>
      <c r="XDJ132" s="1"/>
      <c r="XDK132" s="1"/>
      <c r="XDL132" s="1"/>
      <c r="XDM132" s="1"/>
      <c r="XDN132" s="1"/>
      <c r="XDO132" s="1"/>
      <c r="XDP132" s="1"/>
      <c r="XDQ132" s="1"/>
      <c r="XDR132" s="1"/>
      <c r="XDS132" s="1"/>
      <c r="XDT132" s="1"/>
      <c r="XDU132" s="1"/>
      <c r="XDV132" s="1"/>
      <c r="XDW132" s="1"/>
      <c r="XDX132" s="1"/>
      <c r="XDY132" s="1"/>
      <c r="XDZ132" s="1"/>
      <c r="XEA132" s="1"/>
      <c r="XEB132" s="1"/>
      <c r="XEC132" s="1"/>
      <c r="XED132" s="1"/>
      <c r="XEE132" s="1"/>
      <c r="XEF132" s="1"/>
      <c r="XEG132" s="1"/>
      <c r="XEH132" s="1"/>
      <c r="XEI132" s="1"/>
      <c r="XEJ132" s="1"/>
      <c r="XEK132" s="1"/>
      <c r="XEL132" s="1"/>
      <c r="XEM132" s="1"/>
      <c r="XEN132" s="1"/>
      <c r="XEO132" s="1"/>
      <c r="XEP132" s="1"/>
      <c r="XEQ132" s="1"/>
      <c r="XER132" s="1"/>
      <c r="XES132" s="1"/>
      <c r="XET132" s="1"/>
      <c r="XEU132" s="1"/>
      <c r="XEV132" s="1"/>
      <c r="XEW132" s="1"/>
      <c r="XEX132" s="1"/>
      <c r="XEY132" s="1"/>
      <c r="XEZ132" s="1"/>
      <c r="XFA132" s="1"/>
      <c r="XFB132" s="1"/>
      <c r="XFC132" s="1"/>
      <c r="XFD132" s="1"/>
    </row>
    <row r="133" spans="1:37 16131:16384" ht="12.75" hidden="1" customHeight="1" x14ac:dyDescent="0.3">
      <c r="A133" s="64">
        <v>1040</v>
      </c>
      <c r="B133" s="65" t="s">
        <v>450</v>
      </c>
      <c r="C133" s="65" t="s">
        <v>451</v>
      </c>
      <c r="D133" s="10" t="s">
        <v>50</v>
      </c>
      <c r="E133" s="66" t="str">
        <f>IFERROR(VLOOKUP(D133&amp;J133,'Target columns'!A:J,4,FALSE),"")</f>
        <v>DATE</v>
      </c>
      <c r="F133" s="66" t="str">
        <f>IFERROR(VLOOKUP(D133&amp;J133,'Target columns'!A:J,7,FALSE),"")</f>
        <v>No</v>
      </c>
      <c r="G133" s="66" t="str">
        <f>IFERROR(VLOOKUP(D133&amp;J133,'Target columns'!A:J,8,FALSE),"")</f>
        <v>No</v>
      </c>
      <c r="H133" s="66" t="str">
        <f>IFERROR(VLOOKUP(D133&amp;J133,'Target columns'!A:J,5,FALSE),"")</f>
        <v>NULL</v>
      </c>
      <c r="I133" s="66" t="str">
        <f>IFERROR(VLOOKUP(D133&amp;J133,'Target columns'!A:J,10,FALSE),"")</f>
        <v>Дата заключения договора</v>
      </c>
      <c r="J133" s="10" t="s">
        <v>274</v>
      </c>
      <c r="K133" s="10" t="s">
        <v>56</v>
      </c>
      <c r="L133" s="66" t="str">
        <f>IFERROR(VLOOKUP(UPPER(K133&amp;N133),source_columns[],4,0),"")</f>
        <v>date</v>
      </c>
      <c r="M133" s="66" t="str">
        <f>IFERROR(VLOOKUP(UPPER(K133&amp;N133),source_columns[],7,0),"")</f>
        <v>Дата заключения</v>
      </c>
      <c r="N133" s="65" t="s">
        <v>385</v>
      </c>
      <c r="O133" s="65"/>
      <c r="P133" s="65"/>
      <c r="Q133" s="65"/>
      <c r="R133" s="65"/>
      <c r="S133" s="288"/>
      <c r="T133" s="65"/>
      <c r="U133" s="65"/>
      <c r="V133" s="66" t="str">
        <f>"n308000046_"&amp;IFERROR(VLOOKUP(D133,target_tables[],5,0),"&lt;not found&gt;")</f>
        <v>n308000046_agr_frame</v>
      </c>
      <c r="W133" s="65"/>
      <c r="AF133" s="290"/>
      <c r="AG133" s="202"/>
      <c r="AH133" s="65"/>
      <c r="AI133" s="67"/>
      <c r="AJ133" s="68"/>
      <c r="AK133" s="69"/>
    </row>
    <row r="134" spans="1:37 16131:16384" ht="12.75" hidden="1" customHeight="1" x14ac:dyDescent="0.3">
      <c r="A134" s="64">
        <v>1050</v>
      </c>
      <c r="B134" s="65" t="s">
        <v>450</v>
      </c>
      <c r="C134" s="65" t="s">
        <v>451</v>
      </c>
      <c r="D134" s="10" t="s">
        <v>50</v>
      </c>
      <c r="E134" s="66" t="str">
        <f>IFERROR(VLOOKUP(D134&amp;J134,'Target columns'!A:J,4,FALSE),"")</f>
        <v>DATE</v>
      </c>
      <c r="F134" s="66" t="str">
        <f>IFERROR(VLOOKUP(D134&amp;J134,'Target columns'!A:J,7,FALSE),"")</f>
        <v>No</v>
      </c>
      <c r="G134" s="66" t="str">
        <f>IFERROR(VLOOKUP(D134&amp;J134,'Target columns'!A:J,8,FALSE),"")</f>
        <v>No</v>
      </c>
      <c r="H134" s="66" t="str">
        <f>IFERROR(VLOOKUP(D134&amp;J134,'Target columns'!A:J,5,FALSE),"")</f>
        <v>NULL</v>
      </c>
      <c r="I134" s="66" t="str">
        <f>IFERROR(VLOOKUP(D134&amp;J134,'Target columns'!A:J,10,FALSE),"")</f>
        <v>Плановая дата окончания</v>
      </c>
      <c r="J134" s="10" t="s">
        <v>291</v>
      </c>
      <c r="K134" s="10" t="s">
        <v>56</v>
      </c>
      <c r="L134" s="66" t="str">
        <f>IFERROR(VLOOKUP(UPPER(K134&amp;N134),source_columns[],4,0),"")</f>
        <v>date</v>
      </c>
      <c r="M134" s="66" t="str">
        <f>IFERROR(VLOOKUP(UPPER(K134&amp;N134),source_columns[],7,0),"")</f>
        <v xml:space="preserve">Дата истечения </v>
      </c>
      <c r="N134" s="65" t="s">
        <v>456</v>
      </c>
      <c r="O134" s="65"/>
      <c r="P134" s="65"/>
      <c r="Q134" s="65"/>
      <c r="R134" s="65"/>
      <c r="S134" s="288"/>
      <c r="T134" s="65"/>
      <c r="U134" s="65"/>
      <c r="V134" s="66" t="str">
        <f>"n308000046_"&amp;IFERROR(VLOOKUP(D134,target_tables[],5,0),"&lt;not found&gt;")</f>
        <v>n308000046_agr_frame</v>
      </c>
      <c r="W134" s="65"/>
      <c r="AF134" s="290"/>
      <c r="AG134" s="202"/>
      <c r="AH134" s="65"/>
      <c r="AI134" s="67"/>
      <c r="AJ134" s="68"/>
      <c r="AK134" s="69"/>
    </row>
    <row r="135" spans="1:37 16131:16384" ht="12.75" hidden="1" customHeight="1" x14ac:dyDescent="0.3">
      <c r="A135" s="64">
        <v>1060</v>
      </c>
      <c r="B135" s="65" t="s">
        <v>450</v>
      </c>
      <c r="C135" s="65" t="s">
        <v>451</v>
      </c>
      <c r="D135" s="10" t="s">
        <v>50</v>
      </c>
      <c r="E135" s="66" t="str">
        <f>IFERROR(VLOOKUP(D135&amp;J135,'Target columns'!A:J,4,FALSE),"")</f>
        <v>UUID</v>
      </c>
      <c r="F135" s="66" t="str">
        <f>IFERROR(VLOOKUP(D135&amp;J135,'Target columns'!A:J,7,FALSE),"")</f>
        <v>No</v>
      </c>
      <c r="G135" s="66" t="str">
        <f>IFERROR(VLOOKUP(D135&amp;J135,'Target columns'!A:J,8,FALSE),"")</f>
        <v>Yes</v>
      </c>
      <c r="H135" s="66" t="str">
        <f>IFERROR(VLOOKUP(D135&amp;J135,'Target columns'!A:J,5,FALSE),"")</f>
        <v>NULL</v>
      </c>
      <c r="I135" s="66" t="str">
        <f>IFERROR(VLOOKUP(D135&amp;J135,'Target columns'!A:J,10,FALSE),"")</f>
        <v>Идентификатор схемы заведения договора</v>
      </c>
      <c r="J135" s="10" t="s">
        <v>457</v>
      </c>
      <c r="K135" s="10" t="s">
        <v>56</v>
      </c>
      <c r="L135" s="66" t="str">
        <f>IFERROR(VLOOKUP(UPPER(K135&amp;N135),source_columns[],4,0),"")</f>
        <v>uuid</v>
      </c>
      <c r="M135" s="66" t="str">
        <f>IFERROR(VLOOKUP(UPPER(K135&amp;N135),source_columns[],7,0),"")</f>
        <v>Тип заведения договора</v>
      </c>
      <c r="N135" s="65" t="s">
        <v>458</v>
      </c>
      <c r="O135" s="65"/>
      <c r="P135" s="65"/>
      <c r="Q135" s="65"/>
      <c r="R135" s="65"/>
      <c r="S135" s="288"/>
      <c r="T135" s="65"/>
      <c r="U135" s="65"/>
      <c r="V135" s="66" t="str">
        <f>"n308000046_"&amp;IFERROR(VLOOKUP(D135,target_tables[],5,0),"&lt;not found&gt;")</f>
        <v>n308000046_agr_frame</v>
      </c>
      <c r="W135" s="65"/>
      <c r="AF135" s="290"/>
      <c r="AG135" s="202"/>
      <c r="AH135" s="65"/>
      <c r="AI135" s="67"/>
      <c r="AJ135" s="68"/>
      <c r="AK135" s="69"/>
    </row>
    <row r="136" spans="1:37 16131:16384" ht="12.75" hidden="1" customHeight="1" x14ac:dyDescent="0.25">
      <c r="A136" s="64">
        <v>1070</v>
      </c>
      <c r="B136" s="65" t="s">
        <v>450</v>
      </c>
      <c r="C136" s="65" t="s">
        <v>451</v>
      </c>
      <c r="D136" s="10" t="s">
        <v>50</v>
      </c>
      <c r="E136" s="66" t="str">
        <f>IFERROR(VLOOKUP(D136&amp;J136,'Target columns'!A:J,4,FALSE),"")</f>
        <v>TEXT</v>
      </c>
      <c r="F136" s="66" t="str">
        <f>IFERROR(VLOOKUP(D136&amp;J136,'Target columns'!A:J,7,FALSE),"")</f>
        <v>No</v>
      </c>
      <c r="G136" s="66" t="str">
        <f>IFERROR(VLOOKUP(D136&amp;J136,'Target columns'!A:J,8,FALSE),"")</f>
        <v>No</v>
      </c>
      <c r="H136" s="66" t="str">
        <f>IFERROR(VLOOKUP(D136&amp;J136,'Target columns'!A:J,5,FALSE),"")</f>
        <v>NULL</v>
      </c>
      <c r="I136" s="66" t="str">
        <f>IFERROR(VLOOKUP(D136&amp;J136,'Target columns'!A:J,10,FALSE),"")</f>
        <v>Номер договора</v>
      </c>
      <c r="J136" s="10" t="s">
        <v>459</v>
      </c>
      <c r="K136" s="10" t="s">
        <v>56</v>
      </c>
      <c r="L136" s="66" t="str">
        <f>IFERROR(VLOOKUP(UPPER(K136&amp;N136),source_columns[],4,0),"")</f>
        <v>text</v>
      </c>
      <c r="M136" s="66" t="str">
        <f>IFERROR(VLOOKUP(UPPER(K136&amp;N136),source_columns[],7,0),"")</f>
        <v>Референс договора</v>
      </c>
      <c r="N136" s="65" t="s">
        <v>388</v>
      </c>
      <c r="O136" s="65"/>
      <c r="P136" s="65"/>
      <c r="Q136" s="65"/>
      <c r="R136" s="65"/>
      <c r="S136" s="288"/>
      <c r="T136" s="65"/>
      <c r="U136" s="65"/>
      <c r="V136" s="66" t="str">
        <f>"n308000046_"&amp;IFERROR(VLOOKUP(D136,target_tables[],5,0),"&lt;not found&gt;")</f>
        <v>n308000046_agr_frame</v>
      </c>
      <c r="W136" s="65"/>
      <c r="AF136" s="290"/>
      <c r="AG136" s="202"/>
      <c r="AH136" s="65"/>
      <c r="AI136" s="67"/>
      <c r="AJ136" s="68"/>
      <c r="AK136" s="69"/>
      <c r="WVK136" s="1"/>
      <c r="WVL136" s="1"/>
      <c r="WVM136" s="1"/>
      <c r="WVN136" s="1"/>
      <c r="WVO136" s="1"/>
      <c r="WVP136" s="1"/>
      <c r="WVQ136" s="1"/>
      <c r="WVR136" s="1"/>
      <c r="WVS136" s="1"/>
      <c r="WVT136" s="1"/>
      <c r="WVU136" s="1"/>
      <c r="WVV136" s="1"/>
      <c r="WVW136" s="1"/>
      <c r="WVX136" s="1"/>
      <c r="WVY136" s="1"/>
      <c r="WVZ136" s="1"/>
      <c r="WWA136" s="1"/>
      <c r="WWB136" s="1"/>
      <c r="WWC136" s="1"/>
      <c r="WWD136" s="1"/>
      <c r="WWE136" s="1"/>
      <c r="WWF136" s="1"/>
      <c r="WWG136" s="1"/>
      <c r="WWH136" s="1"/>
      <c r="WWI136" s="1"/>
      <c r="WWJ136" s="1"/>
      <c r="WWK136" s="1"/>
      <c r="WWL136" s="1"/>
      <c r="WWM136" s="1"/>
      <c r="WWN136" s="1"/>
      <c r="WWO136" s="1"/>
      <c r="WWP136" s="1"/>
      <c r="WWQ136" s="1"/>
      <c r="WWR136" s="1"/>
      <c r="WWS136" s="1"/>
      <c r="WWT136" s="1"/>
      <c r="WWU136" s="1"/>
      <c r="WWV136" s="1"/>
      <c r="WWW136" s="1"/>
      <c r="WWX136" s="1"/>
      <c r="WWY136" s="1"/>
      <c r="WWZ136" s="1"/>
      <c r="WXA136" s="1"/>
      <c r="WXB136" s="1"/>
      <c r="WXC136" s="1"/>
      <c r="WXD136" s="1"/>
      <c r="WXE136" s="1"/>
      <c r="WXF136" s="1"/>
      <c r="WXG136" s="1"/>
      <c r="WXH136" s="1"/>
      <c r="WXI136" s="1"/>
      <c r="WXJ136" s="1"/>
      <c r="WXK136" s="1"/>
      <c r="WXL136" s="1"/>
      <c r="WXM136" s="1"/>
      <c r="WXN136" s="1"/>
      <c r="WXO136" s="1"/>
      <c r="WXP136" s="1"/>
      <c r="WXQ136" s="1"/>
      <c r="WXR136" s="1"/>
      <c r="WXS136" s="1"/>
      <c r="WXT136" s="1"/>
      <c r="WXU136" s="1"/>
      <c r="WXV136" s="1"/>
      <c r="WXW136" s="1"/>
      <c r="WXX136" s="1"/>
      <c r="WXY136" s="1"/>
      <c r="WXZ136" s="1"/>
      <c r="WYA136" s="1"/>
      <c r="WYB136" s="1"/>
      <c r="WYC136" s="1"/>
      <c r="WYD136" s="1"/>
      <c r="WYE136" s="1"/>
      <c r="WYF136" s="1"/>
      <c r="WYG136" s="1"/>
      <c r="WYH136" s="1"/>
      <c r="WYI136" s="1"/>
      <c r="WYJ136" s="1"/>
      <c r="WYK136" s="1"/>
      <c r="WYL136" s="1"/>
      <c r="WYM136" s="1"/>
      <c r="WYN136" s="1"/>
      <c r="WYO136" s="1"/>
      <c r="WYP136" s="1"/>
      <c r="WYQ136" s="1"/>
      <c r="WYR136" s="1"/>
      <c r="WYS136" s="1"/>
      <c r="WYT136" s="1"/>
      <c r="WYU136" s="1"/>
      <c r="WYV136" s="1"/>
      <c r="WYW136" s="1"/>
      <c r="WYX136" s="1"/>
      <c r="WYY136" s="1"/>
      <c r="WYZ136" s="1"/>
      <c r="WZA136" s="1"/>
      <c r="WZB136" s="1"/>
      <c r="WZC136" s="1"/>
      <c r="WZD136" s="1"/>
      <c r="WZE136" s="1"/>
      <c r="WZF136" s="1"/>
      <c r="WZG136" s="1"/>
      <c r="WZH136" s="1"/>
      <c r="WZI136" s="1"/>
      <c r="WZJ136" s="1"/>
      <c r="WZK136" s="1"/>
      <c r="WZL136" s="1"/>
      <c r="WZM136" s="1"/>
      <c r="WZN136" s="1"/>
      <c r="WZO136" s="1"/>
      <c r="WZP136" s="1"/>
      <c r="WZQ136" s="1"/>
      <c r="WZR136" s="1"/>
      <c r="WZS136" s="1"/>
      <c r="WZT136" s="1"/>
      <c r="WZU136" s="1"/>
      <c r="WZV136" s="1"/>
      <c r="WZW136" s="1"/>
      <c r="WZX136" s="1"/>
      <c r="WZY136" s="1"/>
      <c r="WZZ136" s="1"/>
      <c r="XAA136" s="1"/>
      <c r="XAB136" s="1"/>
      <c r="XAC136" s="1"/>
      <c r="XAD136" s="1"/>
      <c r="XAE136" s="1"/>
      <c r="XAF136" s="1"/>
      <c r="XAG136" s="1"/>
      <c r="XAH136" s="1"/>
      <c r="XAI136" s="1"/>
      <c r="XAJ136" s="1"/>
      <c r="XAK136" s="1"/>
      <c r="XAL136" s="1"/>
      <c r="XAM136" s="1"/>
      <c r="XAN136" s="1"/>
      <c r="XAO136" s="1"/>
      <c r="XAP136" s="1"/>
      <c r="XAQ136" s="1"/>
      <c r="XAR136" s="1"/>
      <c r="XAS136" s="1"/>
      <c r="XAT136" s="1"/>
      <c r="XAU136" s="1"/>
      <c r="XAV136" s="1"/>
      <c r="XAW136" s="1"/>
      <c r="XAX136" s="1"/>
      <c r="XAY136" s="1"/>
      <c r="XAZ136" s="1"/>
      <c r="XBA136" s="1"/>
      <c r="XBB136" s="1"/>
      <c r="XBC136" s="1"/>
      <c r="XBD136" s="1"/>
      <c r="XBE136" s="1"/>
      <c r="XBF136" s="1"/>
      <c r="XBG136" s="1"/>
      <c r="XBH136" s="1"/>
      <c r="XBI136" s="1"/>
      <c r="XBJ136" s="1"/>
      <c r="XBK136" s="1"/>
      <c r="XBL136" s="1"/>
      <c r="XBM136" s="1"/>
      <c r="XBN136" s="1"/>
      <c r="XBO136" s="1"/>
      <c r="XBP136" s="1"/>
      <c r="XBQ136" s="1"/>
      <c r="XBR136" s="1"/>
      <c r="XBS136" s="1"/>
      <c r="XBT136" s="1"/>
      <c r="XBU136" s="1"/>
      <c r="XBV136" s="1"/>
      <c r="XBW136" s="1"/>
      <c r="XBX136" s="1"/>
      <c r="XBY136" s="1"/>
      <c r="XBZ136" s="1"/>
      <c r="XCA136" s="1"/>
      <c r="XCB136" s="1"/>
      <c r="XCC136" s="1"/>
      <c r="XCD136" s="1"/>
      <c r="XCE136" s="1"/>
      <c r="XCF136" s="1"/>
      <c r="XCG136" s="1"/>
      <c r="XCH136" s="1"/>
      <c r="XCI136" s="1"/>
      <c r="XCJ136" s="1"/>
      <c r="XCK136" s="1"/>
      <c r="XCL136" s="1"/>
      <c r="XCM136" s="1"/>
      <c r="XCN136" s="1"/>
      <c r="XCO136" s="1"/>
      <c r="XCP136" s="1"/>
      <c r="XCQ136" s="1"/>
      <c r="XCR136" s="1"/>
      <c r="XCS136" s="1"/>
      <c r="XCT136" s="1"/>
      <c r="XCU136" s="1"/>
      <c r="XCV136" s="1"/>
      <c r="XCW136" s="1"/>
      <c r="XCX136" s="1"/>
      <c r="XCY136" s="1"/>
      <c r="XCZ136" s="1"/>
      <c r="XDA136" s="1"/>
      <c r="XDB136" s="1"/>
      <c r="XDC136" s="1"/>
      <c r="XDD136" s="1"/>
      <c r="XDE136" s="1"/>
      <c r="XDF136" s="1"/>
      <c r="XDG136" s="1"/>
      <c r="XDH136" s="1"/>
      <c r="XDI136" s="1"/>
      <c r="XDJ136" s="1"/>
      <c r="XDK136" s="1"/>
      <c r="XDL136" s="1"/>
      <c r="XDM136" s="1"/>
      <c r="XDN136" s="1"/>
      <c r="XDO136" s="1"/>
      <c r="XDP136" s="1"/>
      <c r="XDQ136" s="1"/>
      <c r="XDR136" s="1"/>
      <c r="XDS136" s="1"/>
      <c r="XDT136" s="1"/>
      <c r="XDU136" s="1"/>
      <c r="XDV136" s="1"/>
      <c r="XDW136" s="1"/>
      <c r="XDX136" s="1"/>
      <c r="XDY136" s="1"/>
      <c r="XDZ136" s="1"/>
      <c r="XEA136" s="1"/>
      <c r="XEB136" s="1"/>
      <c r="XEC136" s="1"/>
      <c r="XED136" s="1"/>
      <c r="XEE136" s="1"/>
      <c r="XEF136" s="1"/>
      <c r="XEG136" s="1"/>
      <c r="XEH136" s="1"/>
      <c r="XEI136" s="1"/>
      <c r="XEJ136" s="1"/>
      <c r="XEK136" s="1"/>
      <c r="XEL136" s="1"/>
      <c r="XEM136" s="1"/>
      <c r="XEN136" s="1"/>
      <c r="XEO136" s="1"/>
      <c r="XEP136" s="1"/>
      <c r="XEQ136" s="1"/>
      <c r="XER136" s="1"/>
      <c r="XES136" s="1"/>
      <c r="XET136" s="1"/>
      <c r="XEU136" s="1"/>
      <c r="XEV136" s="1"/>
      <c r="XEW136" s="1"/>
      <c r="XEX136" s="1"/>
      <c r="XEY136" s="1"/>
      <c r="XEZ136" s="1"/>
      <c r="XFA136" s="1"/>
      <c r="XFB136" s="1"/>
      <c r="XFC136" s="1"/>
      <c r="XFD136" s="1"/>
    </row>
    <row r="137" spans="1:37 16131:16384" ht="12.75" hidden="1" customHeight="1" x14ac:dyDescent="0.3">
      <c r="A137" s="70">
        <v>1080</v>
      </c>
      <c r="B137" s="71" t="s">
        <v>450</v>
      </c>
      <c r="C137" s="71" t="s">
        <v>451</v>
      </c>
      <c r="D137" s="27" t="s">
        <v>50</v>
      </c>
      <c r="E137" s="73" t="str">
        <f>IFERROR(VLOOKUP(D137&amp;J137,'Target columns'!A:J,4,FALSE),"")</f>
        <v>TEXT</v>
      </c>
      <c r="F137" s="73" t="str">
        <f>IFERROR(VLOOKUP(D137&amp;J137,'Target columns'!A:J,7,FALSE),"")</f>
        <v>No</v>
      </c>
      <c r="G137" s="73" t="str">
        <f>IFERROR(VLOOKUP(D137&amp;J137,'Target columns'!A:J,8,FALSE),"")</f>
        <v>No</v>
      </c>
      <c r="H137" s="73" t="str">
        <f>IFERROR(VLOOKUP(D137&amp;J137,'Target columns'!A:J,5,FALSE),"")</f>
        <v>NULL</v>
      </c>
      <c r="I137" s="73" t="str">
        <f>IFERROR(VLOOKUP(D137&amp;J137,'Target columns'!A:J,10,FALSE),"")</f>
        <v>Признак возобновляемого лимита</v>
      </c>
      <c r="J137" s="27" t="s">
        <v>460</v>
      </c>
      <c r="K137" s="27" t="s">
        <v>56</v>
      </c>
      <c r="L137" s="73" t="str">
        <f>IFERROR(VLOOKUP(UPPER(K137&amp;N137),source_columns[],4,0),"")</f>
        <v>text</v>
      </c>
      <c r="M137" s="73" t="str">
        <f>IFERROR(VLOOKUP(UPPER(K137&amp;N137),source_columns[],7,0),"")</f>
        <v>Признак возобновляемости лимита</v>
      </c>
      <c r="N137" s="27" t="s">
        <v>461</v>
      </c>
      <c r="O137" s="71"/>
      <c r="P137" s="71"/>
      <c r="Q137" s="71"/>
      <c r="R137" s="71"/>
      <c r="S137" s="289"/>
      <c r="T137" s="71"/>
      <c r="U137" s="71"/>
      <c r="V137" s="73" t="str">
        <f>"n308000046_"&amp;IFERROR(VLOOKUP(D137,target_tables[],5,0),"&lt;not found&gt;")</f>
        <v>n308000046_agr_frame</v>
      </c>
      <c r="W137" s="71"/>
      <c r="X137" s="71"/>
      <c r="Y137" s="71"/>
      <c r="Z137" s="71"/>
      <c r="AA137" s="71"/>
      <c r="AB137" s="71"/>
      <c r="AC137" s="71"/>
      <c r="AD137" s="71"/>
      <c r="AE137" s="71"/>
      <c r="AF137" s="290"/>
      <c r="AG137" s="203"/>
      <c r="AH137" s="71"/>
      <c r="AI137" s="74"/>
      <c r="AJ137" s="75"/>
      <c r="AK137" s="69"/>
    </row>
    <row r="138" spans="1:37 16131:16384" ht="12.75" hidden="1" customHeight="1" x14ac:dyDescent="0.25">
      <c r="A138" s="64">
        <v>1090</v>
      </c>
      <c r="B138" s="65" t="s">
        <v>450</v>
      </c>
      <c r="C138" s="65" t="s">
        <v>462</v>
      </c>
      <c r="D138" s="23" t="s">
        <v>49</v>
      </c>
      <c r="E138" s="78" t="str">
        <f>IFERROR(VLOOKUP(D138&amp;J138,'Target columns'!A:J,4,FALSE),"")</f>
        <v>UUID</v>
      </c>
      <c r="F138" s="78" t="str">
        <f>IFERROR(VLOOKUP(D138&amp;J138,'Target columns'!A:J,7,FALSE),"")</f>
        <v>Yes</v>
      </c>
      <c r="G138" s="78" t="str">
        <f>IFERROR(VLOOKUP(D138&amp;J138,'Target columns'!A:J,8,FALSE),"")</f>
        <v>No</v>
      </c>
      <c r="H138" s="78" t="str">
        <f>IFERROR(VLOOKUP(D138&amp;J138,'Target columns'!A:J,5,FALSE),"")</f>
        <v>NOT NULL</v>
      </c>
      <c r="I138" s="78" t="str">
        <f>IFERROR(VLOOKUP(D138&amp;J138,'Target columns'!A:J,10,FALSE),"")</f>
        <v>Идентификатор схемы заведения договора</v>
      </c>
      <c r="J138" s="24" t="s">
        <v>457</v>
      </c>
      <c r="K138" s="102" t="s">
        <v>296</v>
      </c>
      <c r="L138" s="78" t="str">
        <f>IFERROR(VLOOKUP(UPPER(K138&amp;N138),source_columns[],4,0),"")</f>
        <v/>
      </c>
      <c r="M138" s="78" t="str">
        <f>IFERROR(VLOOKUP(UPPER(K138&amp;N138),source_columns[],7,0),"")</f>
        <v/>
      </c>
      <c r="N138" s="77" t="s">
        <v>458</v>
      </c>
      <c r="O138" s="77"/>
      <c r="P138" s="77"/>
      <c r="Q138" s="77"/>
      <c r="R138" s="77"/>
      <c r="S138" s="280" t="s">
        <v>463</v>
      </c>
      <c r="T138" s="65"/>
      <c r="U138" s="65"/>
      <c r="V138" s="66" t="str">
        <f>"n308000046_"&amp;IFERROR(VLOOKUP(D138,target_tables[],5,0),"&lt;not found&gt;")</f>
        <v>n308000046_frame_scheme</v>
      </c>
      <c r="W138" s="65"/>
      <c r="AF138" s="279" t="s">
        <v>270</v>
      </c>
      <c r="AG138" s="202"/>
      <c r="AH138" s="65"/>
      <c r="AI138" s="67"/>
      <c r="AJ138" s="68"/>
      <c r="AK138" s="69"/>
    </row>
    <row r="139" spans="1:37 16131:16384" ht="12.75" hidden="1" customHeight="1" x14ac:dyDescent="0.25">
      <c r="A139" s="64">
        <v>1100</v>
      </c>
      <c r="B139" s="65" t="s">
        <v>450</v>
      </c>
      <c r="C139" s="65" t="s">
        <v>462</v>
      </c>
      <c r="D139" s="8" t="s">
        <v>49</v>
      </c>
      <c r="E139" s="66" t="str">
        <f>IFERROR(VLOOKUP(D139&amp;J139,'Target columns'!A:J,4,FALSE),"")</f>
        <v>TEXT</v>
      </c>
      <c r="F139" s="66" t="str">
        <f>IFERROR(VLOOKUP(D139&amp;J139,'Target columns'!A:J,7,FALSE),"")</f>
        <v>No</v>
      </c>
      <c r="G139" s="66" t="str">
        <f>IFERROR(VLOOKUP(D139&amp;J139,'Target columns'!A:J,8,FALSE),"")</f>
        <v>No</v>
      </c>
      <c r="H139" s="66" t="str">
        <f>IFERROR(VLOOKUP(D139&amp;J139,'Target columns'!A:J,5,FALSE),"")</f>
        <v>NULL</v>
      </c>
      <c r="I139" s="66" t="str">
        <f>IFERROR(VLOOKUP(D139&amp;J139,'Target columns'!A:J,10,FALSE),"")</f>
        <v>Наименование схемы заведения договора</v>
      </c>
      <c r="J139" s="10" t="s">
        <v>464</v>
      </c>
      <c r="K139" s="6" t="s">
        <v>296</v>
      </c>
      <c r="L139" s="66" t="str">
        <f>IFERROR(VLOOKUP(UPPER(K139&amp;N139),source_columns[],4,0),"")</f>
        <v/>
      </c>
      <c r="M139" s="66" t="str">
        <f>IFERROR(VLOOKUP(UPPER(K139&amp;N139),source_columns[],7,0),"")</f>
        <v/>
      </c>
      <c r="N139" s="65" t="s">
        <v>465</v>
      </c>
      <c r="O139" s="65"/>
      <c r="P139" s="65"/>
      <c r="Q139" s="65"/>
      <c r="R139" s="65"/>
      <c r="S139" s="291"/>
      <c r="T139" s="65"/>
      <c r="U139" s="65"/>
      <c r="V139" s="66" t="str">
        <f>"n308000046_"&amp;IFERROR(VLOOKUP(D139,target_tables[],5,0),"&lt;not found&gt;")</f>
        <v>n308000046_frame_scheme</v>
      </c>
      <c r="W139" s="65"/>
      <c r="AF139" s="279"/>
      <c r="AG139" s="202"/>
      <c r="AH139" s="65"/>
      <c r="AI139" s="67"/>
      <c r="AJ139" s="68"/>
      <c r="AK139" s="69"/>
    </row>
    <row r="140" spans="1:37 16131:16384" ht="12.75" hidden="1" customHeight="1" x14ac:dyDescent="0.3">
      <c r="A140" s="70">
        <v>1110</v>
      </c>
      <c r="B140" s="71" t="s">
        <v>450</v>
      </c>
      <c r="C140" s="71" t="s">
        <v>462</v>
      </c>
      <c r="D140" s="27" t="s">
        <v>49</v>
      </c>
      <c r="E140" s="73" t="str">
        <f>IFERROR(VLOOKUP(D140&amp;J140,'Target columns'!A:J,4,FALSE),"")</f>
        <v>TEXT</v>
      </c>
      <c r="F140" s="73" t="str">
        <f>IFERROR(VLOOKUP(D140&amp;J140,'Target columns'!A:J,7,FALSE),"")</f>
        <v>No</v>
      </c>
      <c r="G140" s="73" t="str">
        <f>IFERROR(VLOOKUP(D140&amp;J140,'Target columns'!A:J,8,FALSE),"")</f>
        <v>No</v>
      </c>
      <c r="H140" s="73" t="str">
        <f>IFERROR(VLOOKUP(D140&amp;J140,'Target columns'!A:J,5,FALSE),"")</f>
        <v>NULL</v>
      </c>
      <c r="I140" s="73" t="str">
        <f>IFERROR(VLOOKUP(D140&amp;J140,'Target columns'!A:J,10,FALSE),"")</f>
        <v>Код схемы заведения договора</v>
      </c>
      <c r="J140" s="27" t="s">
        <v>466</v>
      </c>
      <c r="K140" s="72" t="s">
        <v>296</v>
      </c>
      <c r="L140" s="73" t="str">
        <f>IFERROR(VLOOKUP(UPPER(K140&amp;N140),source_columns[],4,0),"")</f>
        <v/>
      </c>
      <c r="M140" s="73" t="str">
        <f>IFERROR(VLOOKUP(UPPER(K140&amp;N140),source_columns[],7,0),"")</f>
        <v/>
      </c>
      <c r="N140" s="27" t="s">
        <v>467</v>
      </c>
      <c r="O140" s="71"/>
      <c r="P140" s="71"/>
      <c r="Q140" s="71"/>
      <c r="R140" s="71"/>
      <c r="S140" s="291"/>
      <c r="T140" s="71"/>
      <c r="U140" s="71"/>
      <c r="V140" s="66" t="str">
        <f>"n308000046_"&amp;IFERROR(VLOOKUP(D140,target_tables[],5,0),"&lt;not found&gt;")</f>
        <v>n308000046_frame_scheme</v>
      </c>
      <c r="W140" s="71"/>
      <c r="X140" s="71"/>
      <c r="Y140" s="71"/>
      <c r="Z140" s="71"/>
      <c r="AA140" s="71"/>
      <c r="AB140" s="71"/>
      <c r="AC140" s="71"/>
      <c r="AD140" s="71"/>
      <c r="AE140" s="71"/>
      <c r="AF140" s="279"/>
      <c r="AG140" s="203"/>
      <c r="AH140" s="71"/>
      <c r="AI140" s="74"/>
      <c r="AJ140" s="75"/>
      <c r="AK140" s="69"/>
    </row>
    <row r="141" spans="1:37 16131:16384" ht="12.75" hidden="1" customHeight="1" x14ac:dyDescent="0.25">
      <c r="A141" s="64">
        <v>1120</v>
      </c>
      <c r="B141" s="65" t="s">
        <v>450</v>
      </c>
      <c r="C141" s="65" t="s">
        <v>468</v>
      </c>
      <c r="D141" s="10" t="s">
        <v>52</v>
      </c>
      <c r="E141" s="78" t="str">
        <f>IFERROR(VLOOKUP(D141&amp;J141,'Target columns'!A:J,4,FALSE),"")</f>
        <v>UUID</v>
      </c>
      <c r="F141" s="78" t="str">
        <f>IFERROR(VLOOKUP(D141&amp;J141,'Target columns'!A:J,7,FALSE),"")</f>
        <v>Yes</v>
      </c>
      <c r="G141" s="78" t="str">
        <f>IFERROR(VLOOKUP(D141&amp;J141,'Target columns'!A:J,8,FALSE),"")</f>
        <v>Yes</v>
      </c>
      <c r="H141" s="78" t="str">
        <f>IFERROR(VLOOKUP(D141&amp;J141,'Target columns'!A:J,5,FALSE),"")</f>
        <v>NOT NULL</v>
      </c>
      <c r="I141" s="78" t="str">
        <f>IFERROR(VLOOKUP(D141&amp;J141,'Target columns'!A:J,10,FALSE),"")</f>
        <v xml:space="preserve">Идентификатор договора </v>
      </c>
      <c r="J141" s="24" t="s">
        <v>452</v>
      </c>
      <c r="K141" s="24" t="s">
        <v>56</v>
      </c>
      <c r="L141" s="78" t="str">
        <f>IFERROR(VLOOKUP(UPPER(K141&amp;N141),source_columns[],4,0),"")</f>
        <v>text</v>
      </c>
      <c r="M141" s="78" t="str">
        <f>IFERROR(VLOOKUP(UPPER(K141&amp;N141),source_columns[],7,0),"")</f>
        <v>Идентификатор договора</v>
      </c>
      <c r="N141" s="77" t="s">
        <v>422</v>
      </c>
      <c r="O141" s="77"/>
      <c r="P141" s="77"/>
      <c r="Q141" s="77"/>
      <c r="R141" s="77"/>
      <c r="S141" s="288"/>
      <c r="T141" s="65"/>
      <c r="U141" s="65"/>
      <c r="V141" s="66" t="str">
        <f>"n308000046_"&amp;IFERROR(VLOOKUP(D141,target_tables[],5,0),"&lt;not found&gt;")</f>
        <v>n308000046_agr_frame_int_org</v>
      </c>
      <c r="W141" s="65"/>
      <c r="AF141" s="279" t="s">
        <v>342</v>
      </c>
      <c r="AG141" s="202"/>
      <c r="AH141" s="65"/>
      <c r="AI141" s="67"/>
      <c r="AJ141" s="68"/>
      <c r="AK141" s="69"/>
      <c r="WVK141" s="1"/>
      <c r="WVL141" s="1"/>
      <c r="WVM141" s="1"/>
      <c r="WVN141" s="1"/>
      <c r="WVO141" s="1"/>
      <c r="WVP141" s="1"/>
      <c r="WVQ141" s="1"/>
      <c r="WVR141" s="1"/>
      <c r="WVS141" s="1"/>
      <c r="WVT141" s="1"/>
      <c r="WVU141" s="1"/>
      <c r="WVV141" s="1"/>
      <c r="WVW141" s="1"/>
      <c r="WVX141" s="1"/>
      <c r="WVY141" s="1"/>
      <c r="WVZ141" s="1"/>
      <c r="WWA141" s="1"/>
      <c r="WWB141" s="1"/>
      <c r="WWC141" s="1"/>
      <c r="WWD141" s="1"/>
      <c r="WWE141" s="1"/>
      <c r="WWF141" s="1"/>
      <c r="WWG141" s="1"/>
      <c r="WWH141" s="1"/>
      <c r="WWI141" s="1"/>
      <c r="WWJ141" s="1"/>
      <c r="WWK141" s="1"/>
      <c r="WWL141" s="1"/>
      <c r="WWM141" s="1"/>
      <c r="WWN141" s="1"/>
      <c r="WWO141" s="1"/>
      <c r="WWP141" s="1"/>
      <c r="WWQ141" s="1"/>
      <c r="WWR141" s="1"/>
      <c r="WWS141" s="1"/>
      <c r="WWT141" s="1"/>
      <c r="WWU141" s="1"/>
      <c r="WWV141" s="1"/>
      <c r="WWW141" s="1"/>
      <c r="WWX141" s="1"/>
      <c r="WWY141" s="1"/>
      <c r="WWZ141" s="1"/>
      <c r="WXA141" s="1"/>
      <c r="WXB141" s="1"/>
      <c r="WXC141" s="1"/>
      <c r="WXD141" s="1"/>
      <c r="WXE141" s="1"/>
      <c r="WXF141" s="1"/>
      <c r="WXG141" s="1"/>
      <c r="WXH141" s="1"/>
      <c r="WXI141" s="1"/>
      <c r="WXJ141" s="1"/>
      <c r="WXK141" s="1"/>
      <c r="WXL141" s="1"/>
      <c r="WXM141" s="1"/>
      <c r="WXN141" s="1"/>
      <c r="WXO141" s="1"/>
      <c r="WXP141" s="1"/>
      <c r="WXQ141" s="1"/>
      <c r="WXR141" s="1"/>
      <c r="WXS141" s="1"/>
      <c r="WXT141" s="1"/>
      <c r="WXU141" s="1"/>
      <c r="WXV141" s="1"/>
      <c r="WXW141" s="1"/>
      <c r="WXX141" s="1"/>
      <c r="WXY141" s="1"/>
      <c r="WXZ141" s="1"/>
      <c r="WYA141" s="1"/>
      <c r="WYB141" s="1"/>
      <c r="WYC141" s="1"/>
      <c r="WYD141" s="1"/>
      <c r="WYE141" s="1"/>
      <c r="WYF141" s="1"/>
      <c r="WYG141" s="1"/>
      <c r="WYH141" s="1"/>
      <c r="WYI141" s="1"/>
      <c r="WYJ141" s="1"/>
      <c r="WYK141" s="1"/>
      <c r="WYL141" s="1"/>
      <c r="WYM141" s="1"/>
      <c r="WYN141" s="1"/>
      <c r="WYO141" s="1"/>
      <c r="WYP141" s="1"/>
      <c r="WYQ141" s="1"/>
      <c r="WYR141" s="1"/>
      <c r="WYS141" s="1"/>
      <c r="WYT141" s="1"/>
      <c r="WYU141" s="1"/>
      <c r="WYV141" s="1"/>
      <c r="WYW141" s="1"/>
      <c r="WYX141" s="1"/>
      <c r="WYY141" s="1"/>
      <c r="WYZ141" s="1"/>
      <c r="WZA141" s="1"/>
      <c r="WZB141" s="1"/>
      <c r="WZC141" s="1"/>
      <c r="WZD141" s="1"/>
      <c r="WZE141" s="1"/>
      <c r="WZF141" s="1"/>
      <c r="WZG141" s="1"/>
      <c r="WZH141" s="1"/>
      <c r="WZI141" s="1"/>
      <c r="WZJ141" s="1"/>
      <c r="WZK141" s="1"/>
      <c r="WZL141" s="1"/>
      <c r="WZM141" s="1"/>
      <c r="WZN141" s="1"/>
      <c r="WZO141" s="1"/>
      <c r="WZP141" s="1"/>
      <c r="WZQ141" s="1"/>
      <c r="WZR141" s="1"/>
      <c r="WZS141" s="1"/>
      <c r="WZT141" s="1"/>
      <c r="WZU141" s="1"/>
      <c r="WZV141" s="1"/>
      <c r="WZW141" s="1"/>
      <c r="WZX141" s="1"/>
      <c r="WZY141" s="1"/>
      <c r="WZZ141" s="1"/>
      <c r="XAA141" s="1"/>
      <c r="XAB141" s="1"/>
      <c r="XAC141" s="1"/>
      <c r="XAD141" s="1"/>
      <c r="XAE141" s="1"/>
      <c r="XAF141" s="1"/>
      <c r="XAG141" s="1"/>
      <c r="XAH141" s="1"/>
      <c r="XAI141" s="1"/>
      <c r="XAJ141" s="1"/>
      <c r="XAK141" s="1"/>
      <c r="XAL141" s="1"/>
      <c r="XAM141" s="1"/>
      <c r="XAN141" s="1"/>
      <c r="XAO141" s="1"/>
      <c r="XAP141" s="1"/>
      <c r="XAQ141" s="1"/>
      <c r="XAR141" s="1"/>
      <c r="XAS141" s="1"/>
      <c r="XAT141" s="1"/>
      <c r="XAU141" s="1"/>
      <c r="XAV141" s="1"/>
      <c r="XAW141" s="1"/>
      <c r="XAX141" s="1"/>
      <c r="XAY141" s="1"/>
      <c r="XAZ141" s="1"/>
      <c r="XBA141" s="1"/>
      <c r="XBB141" s="1"/>
      <c r="XBC141" s="1"/>
      <c r="XBD141" s="1"/>
      <c r="XBE141" s="1"/>
      <c r="XBF141" s="1"/>
      <c r="XBG141" s="1"/>
      <c r="XBH141" s="1"/>
      <c r="XBI141" s="1"/>
      <c r="XBJ141" s="1"/>
      <c r="XBK141" s="1"/>
      <c r="XBL141" s="1"/>
      <c r="XBM141" s="1"/>
      <c r="XBN141" s="1"/>
      <c r="XBO141" s="1"/>
      <c r="XBP141" s="1"/>
      <c r="XBQ141" s="1"/>
      <c r="XBR141" s="1"/>
      <c r="XBS141" s="1"/>
      <c r="XBT141" s="1"/>
      <c r="XBU141" s="1"/>
      <c r="XBV141" s="1"/>
      <c r="XBW141" s="1"/>
      <c r="XBX141" s="1"/>
      <c r="XBY141" s="1"/>
      <c r="XBZ141" s="1"/>
      <c r="XCA141" s="1"/>
      <c r="XCB141" s="1"/>
      <c r="XCC141" s="1"/>
      <c r="XCD141" s="1"/>
      <c r="XCE141" s="1"/>
      <c r="XCF141" s="1"/>
      <c r="XCG141" s="1"/>
      <c r="XCH141" s="1"/>
      <c r="XCI141" s="1"/>
      <c r="XCJ141" s="1"/>
      <c r="XCK141" s="1"/>
      <c r="XCL141" s="1"/>
      <c r="XCM141" s="1"/>
      <c r="XCN141" s="1"/>
      <c r="XCO141" s="1"/>
      <c r="XCP141" s="1"/>
      <c r="XCQ141" s="1"/>
      <c r="XCR141" s="1"/>
      <c r="XCS141" s="1"/>
      <c r="XCT141" s="1"/>
      <c r="XCU141" s="1"/>
      <c r="XCV141" s="1"/>
      <c r="XCW141" s="1"/>
      <c r="XCX141" s="1"/>
      <c r="XCY141" s="1"/>
      <c r="XCZ141" s="1"/>
      <c r="XDA141" s="1"/>
      <c r="XDB141" s="1"/>
      <c r="XDC141" s="1"/>
      <c r="XDD141" s="1"/>
      <c r="XDE141" s="1"/>
      <c r="XDF141" s="1"/>
      <c r="XDG141" s="1"/>
      <c r="XDH141" s="1"/>
      <c r="XDI141" s="1"/>
      <c r="XDJ141" s="1"/>
      <c r="XDK141" s="1"/>
      <c r="XDL141" s="1"/>
      <c r="XDM141" s="1"/>
      <c r="XDN141" s="1"/>
      <c r="XDO141" s="1"/>
      <c r="XDP141" s="1"/>
      <c r="XDQ141" s="1"/>
      <c r="XDR141" s="1"/>
      <c r="XDS141" s="1"/>
      <c r="XDT141" s="1"/>
      <c r="XDU141" s="1"/>
      <c r="XDV141" s="1"/>
      <c r="XDW141" s="1"/>
      <c r="XDX141" s="1"/>
      <c r="XDY141" s="1"/>
      <c r="XDZ141" s="1"/>
      <c r="XEA141" s="1"/>
      <c r="XEB141" s="1"/>
      <c r="XEC141" s="1"/>
      <c r="XED141" s="1"/>
      <c r="XEE141" s="1"/>
      <c r="XEF141" s="1"/>
      <c r="XEG141" s="1"/>
      <c r="XEH141" s="1"/>
      <c r="XEI141" s="1"/>
      <c r="XEJ141" s="1"/>
      <c r="XEK141" s="1"/>
      <c r="XEL141" s="1"/>
      <c r="XEM141" s="1"/>
      <c r="XEN141" s="1"/>
      <c r="XEO141" s="1"/>
      <c r="XEP141" s="1"/>
      <c r="XEQ141" s="1"/>
      <c r="XER141" s="1"/>
      <c r="XES141" s="1"/>
      <c r="XET141" s="1"/>
      <c r="XEU141" s="1"/>
      <c r="XEV141" s="1"/>
      <c r="XEW141" s="1"/>
      <c r="XEX141" s="1"/>
      <c r="XEY141" s="1"/>
      <c r="XEZ141" s="1"/>
      <c r="XFA141" s="1"/>
      <c r="XFB141" s="1"/>
      <c r="XFC141" s="1"/>
      <c r="XFD141" s="1"/>
    </row>
    <row r="142" spans="1:37 16131:16384" ht="12.75" hidden="1" customHeight="1" x14ac:dyDescent="0.3">
      <c r="A142" s="64">
        <v>1130</v>
      </c>
      <c r="B142" s="65" t="s">
        <v>450</v>
      </c>
      <c r="C142" s="65" t="s">
        <v>468</v>
      </c>
      <c r="D142" s="10" t="s">
        <v>52</v>
      </c>
      <c r="E142" s="66" t="str">
        <f>IFERROR(VLOOKUP(D142&amp;J142,'Target columns'!A:J,4,FALSE),"")</f>
        <v>UUID</v>
      </c>
      <c r="F142" s="66" t="str">
        <f>IFERROR(VLOOKUP(D142&amp;J142,'Target columns'!A:J,7,FALSE),"")</f>
        <v>No</v>
      </c>
      <c r="G142" s="66" t="str">
        <f>IFERROR(VLOOKUP(D142&amp;J142,'Target columns'!A:J,8,FALSE),"")</f>
        <v>Yes</v>
      </c>
      <c r="H142" s="66" t="str">
        <f>IFERROR(VLOOKUP(D142&amp;J142,'Target columns'!A:J,5,FALSE),"")</f>
        <v>NULL</v>
      </c>
      <c r="I142" s="66" t="str">
        <f>IFERROR(VLOOKUP(D142&amp;J142,'Target columns'!A:J,10,FALSE),"")</f>
        <v xml:space="preserve">Идентификатор оргструктуры </v>
      </c>
      <c r="J142" s="10" t="s">
        <v>364</v>
      </c>
      <c r="K142" s="10" t="s">
        <v>56</v>
      </c>
      <c r="L142" s="66" t="str">
        <f>IFERROR(VLOOKUP(UPPER(K142&amp;N142),source_columns[],4,0),"")</f>
        <v>uuid</v>
      </c>
      <c r="M142" s="66" t="str">
        <f>IFERROR(VLOOKUP(UPPER(K142&amp;N142),source_columns[],7,0),"")</f>
        <v>Террструктура генерального соглашения</v>
      </c>
      <c r="N142" s="65" t="s">
        <v>469</v>
      </c>
      <c r="O142" s="65"/>
      <c r="P142" s="65"/>
      <c r="Q142" s="65"/>
      <c r="R142" s="65"/>
      <c r="S142" s="288"/>
      <c r="T142" s="65"/>
      <c r="U142" s="65"/>
      <c r="V142" s="66" t="str">
        <f>"n308000046_"&amp;IFERROR(VLOOKUP(D142,target_tables[],5,0),"&lt;not found&gt;")</f>
        <v>n308000046_agr_frame_int_org</v>
      </c>
      <c r="W142" s="65"/>
      <c r="AF142" s="279"/>
      <c r="AG142" s="202"/>
      <c r="AH142" s="65"/>
      <c r="AI142" s="67"/>
      <c r="AJ142" s="68"/>
      <c r="AK142" s="69"/>
    </row>
    <row r="143" spans="1:37 16131:16384" ht="12.75" hidden="1" customHeight="1" x14ac:dyDescent="0.3">
      <c r="A143" s="64">
        <v>1140</v>
      </c>
      <c r="B143" s="65" t="s">
        <v>450</v>
      </c>
      <c r="C143" s="65" t="s">
        <v>468</v>
      </c>
      <c r="D143" s="10" t="s">
        <v>52</v>
      </c>
      <c r="E143" s="66" t="str">
        <f>IFERROR(VLOOKUP(D143&amp;J143,'Target columns'!A:J,4,FALSE),"")</f>
        <v>DATE</v>
      </c>
      <c r="F143" s="66" t="str">
        <f>IFERROR(VLOOKUP(D143&amp;J143,'Target columns'!A:J,7,FALSE),"")</f>
        <v>Yes</v>
      </c>
      <c r="G143" s="66" t="str">
        <f>IFERROR(VLOOKUP(D143&amp;J143,'Target columns'!A:J,8,FALSE),"")</f>
        <v>No</v>
      </c>
      <c r="H143" s="66" t="str">
        <f>IFERROR(VLOOKUP(D143&amp;J143,'Target columns'!A:J,5,FALSE),"")</f>
        <v>NOT NULL</v>
      </c>
      <c r="I143" s="66" t="str">
        <f>IFERROR(VLOOKUP(D143&amp;J143,'Target columns'!A:J,10,FALSE),"")</f>
        <v>Дата начала действия связи</v>
      </c>
      <c r="J143" s="10" t="s">
        <v>329</v>
      </c>
      <c r="K143" s="10" t="s">
        <v>56</v>
      </c>
      <c r="L143" s="66" t="str">
        <f>IFERROR(VLOOKUP(UPPER(K143&amp;N143),source_columns[],4,0),"")</f>
        <v/>
      </c>
      <c r="M143" s="66" t="str">
        <f>IFERROR(VLOOKUP(UPPER(K143&amp;N143),source_columns[],7,0),"")</f>
        <v/>
      </c>
      <c r="N143" s="65" t="s">
        <v>344</v>
      </c>
      <c r="O143" s="65"/>
      <c r="P143" s="65"/>
      <c r="Q143" s="65"/>
      <c r="R143" s="65"/>
      <c r="S143" s="288"/>
      <c r="T143" s="65"/>
      <c r="U143" s="65"/>
      <c r="V143" s="66" t="str">
        <f>"n308000046_"&amp;IFERROR(VLOOKUP(D143,target_tables[],5,0),"&lt;not found&gt;")</f>
        <v>n308000046_agr_frame_int_org</v>
      </c>
      <c r="W143" s="65"/>
      <c r="AF143" s="279"/>
      <c r="AG143" s="202"/>
      <c r="AH143" s="65"/>
      <c r="AI143" s="67"/>
      <c r="AJ143" s="68"/>
      <c r="AK143" s="69"/>
    </row>
    <row r="144" spans="1:37 16131:16384" ht="12.75" hidden="1" customHeight="1" x14ac:dyDescent="0.3">
      <c r="A144" s="70">
        <v>1150</v>
      </c>
      <c r="B144" s="71" t="s">
        <v>450</v>
      </c>
      <c r="C144" s="71" t="s">
        <v>468</v>
      </c>
      <c r="D144" s="27" t="s">
        <v>52</v>
      </c>
      <c r="E144" s="73" t="str">
        <f>IFERROR(VLOOKUP(D144&amp;J144,'Target columns'!A:J,4,FALSE),"")</f>
        <v>DATE</v>
      </c>
      <c r="F144" s="73" t="str">
        <f>IFERROR(VLOOKUP(D144&amp;J144,'Target columns'!A:J,7,FALSE),"")</f>
        <v>No</v>
      </c>
      <c r="G144" s="73" t="str">
        <f>IFERROR(VLOOKUP(D144&amp;J144,'Target columns'!A:J,8,FALSE),"")</f>
        <v>No</v>
      </c>
      <c r="H144" s="73" t="str">
        <f>IFERROR(VLOOKUP(D144&amp;J144,'Target columns'!A:J,5,FALSE),"")</f>
        <v>NULL</v>
      </c>
      <c r="I144" s="73" t="str">
        <f>IFERROR(VLOOKUP(D144&amp;J144,'Target columns'!A:J,10,FALSE),"")</f>
        <v>Дата окончания действия связи</v>
      </c>
      <c r="J144" s="27" t="s">
        <v>331</v>
      </c>
      <c r="K144" s="27" t="s">
        <v>56</v>
      </c>
      <c r="L144" s="73" t="str">
        <f>IFERROR(VLOOKUP(UPPER(K144&amp;N144),source_columns[],4,0),"")</f>
        <v/>
      </c>
      <c r="M144" s="73" t="str">
        <f>IFERROR(VLOOKUP(UPPER(K144&amp;N144),source_columns[],7,0),"")</f>
        <v/>
      </c>
      <c r="N144" s="27" t="s">
        <v>345</v>
      </c>
      <c r="O144" s="71"/>
      <c r="P144" s="71"/>
      <c r="Q144" s="71"/>
      <c r="R144" s="71"/>
      <c r="S144" s="289"/>
      <c r="T144" s="71"/>
      <c r="U144" s="71"/>
      <c r="V144" s="73" t="str">
        <f>"n308000046_"&amp;IFERROR(VLOOKUP(D144,target_tables[],5,0),"&lt;not found&gt;")</f>
        <v>n308000046_agr_frame_int_org</v>
      </c>
      <c r="W144" s="71"/>
      <c r="X144" s="71"/>
      <c r="Y144" s="71"/>
      <c r="Z144" s="71"/>
      <c r="AA144" s="71"/>
      <c r="AB144" s="71"/>
      <c r="AC144" s="71"/>
      <c r="AD144" s="71"/>
      <c r="AE144" s="71"/>
      <c r="AF144" s="279"/>
      <c r="AG144" s="203"/>
      <c r="AH144" s="71"/>
      <c r="AI144" s="74"/>
      <c r="AJ144" s="75"/>
      <c r="AK144" s="69"/>
    </row>
    <row r="145" spans="1:37" ht="12.75" hidden="1" customHeight="1" x14ac:dyDescent="0.3">
      <c r="A145" s="64">
        <v>1160</v>
      </c>
      <c r="B145" s="65" t="s">
        <v>450</v>
      </c>
      <c r="C145" s="65" t="s">
        <v>470</v>
      </c>
      <c r="D145" s="10" t="s">
        <v>48</v>
      </c>
      <c r="E145" s="78" t="str">
        <f>IFERROR(VLOOKUP(D145&amp;J145,'Target columns'!A:J,4,FALSE),"")</f>
        <v>DATE</v>
      </c>
      <c r="F145" s="78" t="str">
        <f>IFERROR(VLOOKUP(D145&amp;J145,'Target columns'!A:J,7,FALSE),"")</f>
        <v>Yes</v>
      </c>
      <c r="G145" s="78" t="str">
        <f>IFERROR(VLOOKUP(D145&amp;J145,'Target columns'!A:J,8,FALSE),"")</f>
        <v>No</v>
      </c>
      <c r="H145" s="78" t="str">
        <f>IFERROR(VLOOKUP(D145&amp;J145,'Target columns'!A:J,5,FALSE),"")</f>
        <v>NOT NULL</v>
      </c>
      <c r="I145" s="78" t="str">
        <f>IFERROR(VLOOKUP(D145&amp;J145,'Target columns'!A:J,10,FALSE),"")</f>
        <v>Дата начала действия лимита</v>
      </c>
      <c r="J145" s="24" t="s">
        <v>329</v>
      </c>
      <c r="K145" s="24" t="s">
        <v>471</v>
      </c>
      <c r="L145" s="78" t="str">
        <f>IFERROR(VLOOKUP(UPPER(K145&amp;N145),source_columns[],4,0),"")</f>
        <v>date</v>
      </c>
      <c r="M145" s="78" t="str">
        <f>IFERROR(VLOOKUP(UPPER(K145&amp;N145),source_columns[],7,0),"")</f>
        <v>Дата начала действия лимита</v>
      </c>
      <c r="N145" s="77" t="s">
        <v>472</v>
      </c>
      <c r="O145" s="77"/>
      <c r="P145" s="77"/>
      <c r="Q145" s="77"/>
      <c r="R145" s="77"/>
      <c r="S145" s="288"/>
      <c r="T145" s="65"/>
      <c r="U145" s="65"/>
      <c r="V145" s="66" t="str">
        <f>"n308000046_"&amp;IFERROR(VLOOKUP(D145,target_tables[],5,0),"&lt;not found&gt;")</f>
        <v>n308000046_agr_frame_limit</v>
      </c>
      <c r="W145" s="65"/>
      <c r="AF145" s="292" t="s">
        <v>270</v>
      </c>
      <c r="AG145" s="202"/>
      <c r="AH145" s="65"/>
      <c r="AI145" s="67"/>
      <c r="AJ145" s="68"/>
      <c r="AK145" s="69"/>
    </row>
    <row r="146" spans="1:37" ht="12.75" hidden="1" customHeight="1" x14ac:dyDescent="0.3">
      <c r="A146" s="64">
        <v>1170</v>
      </c>
      <c r="B146" s="65" t="s">
        <v>450</v>
      </c>
      <c r="C146" s="65" t="s">
        <v>470</v>
      </c>
      <c r="D146" s="10" t="s">
        <v>48</v>
      </c>
      <c r="E146" s="66" t="str">
        <f>IFERROR(VLOOKUP(D146&amp;J146,'Target columns'!A:J,4,FALSE),"")</f>
        <v>DATE</v>
      </c>
      <c r="F146" s="66" t="str">
        <f>IFERROR(VLOOKUP(D146&amp;J146,'Target columns'!A:J,7,FALSE),"")</f>
        <v>No</v>
      </c>
      <c r="G146" s="66" t="str">
        <f>IFERROR(VLOOKUP(D146&amp;J146,'Target columns'!A:J,8,FALSE),"")</f>
        <v>No</v>
      </c>
      <c r="H146" s="66" t="str">
        <f>IFERROR(VLOOKUP(D146&amp;J146,'Target columns'!A:J,5,FALSE),"")</f>
        <v>NULL</v>
      </c>
      <c r="I146" s="66" t="str">
        <f>IFERROR(VLOOKUP(D146&amp;J146,'Target columns'!A:J,10,FALSE),"")</f>
        <v>Дата окончания действия лимита</v>
      </c>
      <c r="J146" s="10" t="s">
        <v>331</v>
      </c>
      <c r="K146" s="10" t="s">
        <v>471</v>
      </c>
      <c r="L146" s="66" t="str">
        <f>IFERROR(VLOOKUP(UPPER(K146&amp;N146),source_columns[],4,0),"")</f>
        <v>date</v>
      </c>
      <c r="M146" s="66" t="str">
        <f>IFERROR(VLOOKUP(UPPER(K146&amp;N146),source_columns[],7,0),"")</f>
        <v>Дата окончания действия лимита</v>
      </c>
      <c r="N146" s="65" t="s">
        <v>473</v>
      </c>
      <c r="O146" s="65"/>
      <c r="P146" s="65"/>
      <c r="Q146" s="65"/>
      <c r="R146" s="65"/>
      <c r="S146" s="288"/>
      <c r="T146" s="65"/>
      <c r="U146" s="65"/>
      <c r="V146" s="66" t="str">
        <f>"n308000046_"&amp;IFERROR(VLOOKUP(D146,target_tables[],5,0),"&lt;not found&gt;")</f>
        <v>n308000046_agr_frame_limit</v>
      </c>
      <c r="W146" s="65"/>
      <c r="AF146" s="292"/>
      <c r="AG146" s="202"/>
      <c r="AH146" s="65"/>
      <c r="AI146" s="67"/>
      <c r="AJ146" s="68"/>
      <c r="AK146" s="69"/>
    </row>
    <row r="147" spans="1:37" ht="12.75" hidden="1" customHeight="1" x14ac:dyDescent="0.3">
      <c r="A147" s="64">
        <v>1180</v>
      </c>
      <c r="B147" s="65" t="s">
        <v>450</v>
      </c>
      <c r="C147" s="65" t="s">
        <v>470</v>
      </c>
      <c r="D147" s="10" t="s">
        <v>48</v>
      </c>
      <c r="E147" s="66" t="str">
        <f>IFERROR(VLOOKUP(D147&amp;J147,'Target columns'!A:J,4,FALSE),"")</f>
        <v>NUMERIC</v>
      </c>
      <c r="F147" s="66" t="str">
        <f>IFERROR(VLOOKUP(D147&amp;J147,'Target columns'!A:J,7,FALSE),"")</f>
        <v>No</v>
      </c>
      <c r="G147" s="66" t="str">
        <f>IFERROR(VLOOKUP(D147&amp;J147,'Target columns'!A:J,8,FALSE),"")</f>
        <v>No</v>
      </c>
      <c r="H147" s="66" t="str">
        <f>IFERROR(VLOOKUP(D147&amp;J147,'Target columns'!A:J,5,FALSE),"")</f>
        <v>NULL</v>
      </c>
      <c r="I147" s="66" t="str">
        <f>IFERROR(VLOOKUP(D147&amp;J147,'Target columns'!A:J,10,FALSE),"")</f>
        <v>Сумма лимита на общую сумму аккредитивов</v>
      </c>
      <c r="J147" s="10" t="s">
        <v>474</v>
      </c>
      <c r="K147" s="10" t="s">
        <v>471</v>
      </c>
      <c r="L147" s="66" t="str">
        <f>IFERROR(VLOOKUP(UPPER(K147&amp;N147),source_columns[],4,0),"")</f>
        <v>numeric(38 , 16)</v>
      </c>
      <c r="M147" s="66" t="str">
        <f>IFERROR(VLOOKUP(UPPER(K147&amp;N147),source_columns[],7,0),"")</f>
        <v>Сумма договора</v>
      </c>
      <c r="N147" s="65" t="s">
        <v>475</v>
      </c>
      <c r="O147" s="65"/>
      <c r="P147" s="65"/>
      <c r="Q147" s="65"/>
      <c r="R147" s="65"/>
      <c r="S147" s="288"/>
      <c r="T147" s="65"/>
      <c r="U147" s="65"/>
      <c r="V147" s="66" t="str">
        <f>"n308000046_"&amp;IFERROR(VLOOKUP(D147,target_tables[],5,0),"&lt;not found&gt;")</f>
        <v>n308000046_agr_frame_limit</v>
      </c>
      <c r="W147" s="65"/>
      <c r="AF147" s="292"/>
      <c r="AG147" s="202"/>
      <c r="AH147" s="65"/>
      <c r="AI147" s="67"/>
      <c r="AJ147" s="68"/>
      <c r="AK147" s="69"/>
    </row>
    <row r="148" spans="1:37" ht="12.75" hidden="1" customHeight="1" x14ac:dyDescent="0.3">
      <c r="A148" s="64">
        <v>1190</v>
      </c>
      <c r="B148" s="65" t="s">
        <v>450</v>
      </c>
      <c r="C148" s="65" t="s">
        <v>470</v>
      </c>
      <c r="D148" s="10" t="s">
        <v>48</v>
      </c>
      <c r="E148" s="66" t="str">
        <f>IFERROR(VLOOKUP(D148&amp;J148,'Target columns'!A:J,4,FALSE),"")</f>
        <v>UUID</v>
      </c>
      <c r="F148" s="66" t="str">
        <f>IFERROR(VLOOKUP(D148&amp;J148,'Target columns'!A:J,7,FALSE),"")</f>
        <v>No</v>
      </c>
      <c r="G148" s="66" t="str">
        <f>IFERROR(VLOOKUP(D148&amp;J148,'Target columns'!A:J,8,FALSE),"")</f>
        <v>Yes</v>
      </c>
      <c r="H148" s="66" t="str">
        <f>IFERROR(VLOOKUP(D148&amp;J148,'Target columns'!A:J,5,FALSE),"")</f>
        <v>NULL</v>
      </c>
      <c r="I148" s="66" t="str">
        <f>IFERROR(VLOOKUP(D148&amp;J148,'Target columns'!A:J,10,FALSE),"")</f>
        <v>Валюта лимита на общую сумму аккредитивов</v>
      </c>
      <c r="J148" s="10" t="s">
        <v>476</v>
      </c>
      <c r="K148" s="10" t="s">
        <v>471</v>
      </c>
      <c r="L148" s="66" t="str">
        <f>IFERROR(VLOOKUP(UPPER(K148&amp;N148),source_columns[],4,0),"")</f>
        <v>uuid</v>
      </c>
      <c r="M148" s="66" t="str">
        <f>IFERROR(VLOOKUP(UPPER(K148&amp;N148),source_columns[],7,0),"")</f>
        <v>Валюта договора</v>
      </c>
      <c r="N148" s="65" t="s">
        <v>477</v>
      </c>
      <c r="O148" s="65"/>
      <c r="P148" s="65"/>
      <c r="Q148" s="65"/>
      <c r="R148" s="65"/>
      <c r="S148" s="288"/>
      <c r="T148" s="65"/>
      <c r="U148" s="65"/>
      <c r="V148" s="66" t="str">
        <f>"n308000046_"&amp;IFERROR(VLOOKUP(D148,target_tables[],5,0),"&lt;not found&gt;")</f>
        <v>n308000046_agr_frame_limit</v>
      </c>
      <c r="W148" s="65"/>
      <c r="AF148" s="292"/>
      <c r="AG148" s="202"/>
      <c r="AH148" s="65"/>
      <c r="AI148" s="67"/>
      <c r="AJ148" s="68"/>
      <c r="AK148" s="69"/>
    </row>
    <row r="149" spans="1:37" ht="12.75" hidden="1" customHeight="1" x14ac:dyDescent="0.3">
      <c r="A149" s="70">
        <v>1200</v>
      </c>
      <c r="B149" s="71" t="s">
        <v>450</v>
      </c>
      <c r="C149" s="71" t="s">
        <v>470</v>
      </c>
      <c r="D149" s="27" t="s">
        <v>48</v>
      </c>
      <c r="E149" s="73" t="str">
        <f>IFERROR(VLOOKUP(D149&amp;J149,'Target columns'!A:J,4,FALSE),"")</f>
        <v>UUID</v>
      </c>
      <c r="F149" s="73" t="str">
        <f>IFERROR(VLOOKUP(D149&amp;J149,'Target columns'!A:J,7,FALSE),"")</f>
        <v>Yes</v>
      </c>
      <c r="G149" s="73" t="str">
        <f>IFERROR(VLOOKUP(D149&amp;J149,'Target columns'!A:J,8,FALSE),"")</f>
        <v>Yes</v>
      </c>
      <c r="H149" s="73" t="str">
        <f>IFERROR(VLOOKUP(D149&amp;J149,'Target columns'!A:J,5,FALSE),"")</f>
        <v>NOT NULL</v>
      </c>
      <c r="I149" s="73" t="str">
        <f>IFERROR(VLOOKUP(D149&amp;J149,'Target columns'!A:J,10,FALSE),"")</f>
        <v xml:space="preserve">ИД договора </v>
      </c>
      <c r="J149" s="27" t="s">
        <v>324</v>
      </c>
      <c r="K149" s="27" t="s">
        <v>471</v>
      </c>
      <c r="L149" s="73" t="str">
        <f>IFERROR(VLOOKUP(UPPER(K149&amp;N149),source_columns[],4,0),"")</f>
        <v>text</v>
      </c>
      <c r="M149" s="73" t="str">
        <f>IFERROR(VLOOKUP(UPPER(K149&amp;N149),source_columns[],7,0),"")</f>
        <v>Идентификатор договора</v>
      </c>
      <c r="N149" s="27" t="s">
        <v>422</v>
      </c>
      <c r="O149" s="71"/>
      <c r="P149" s="71"/>
      <c r="Q149" s="71"/>
      <c r="R149" s="71"/>
      <c r="S149" s="289"/>
      <c r="T149" s="71"/>
      <c r="U149" s="71"/>
      <c r="V149" s="73" t="str">
        <f>"n308000046_"&amp;IFERROR(VLOOKUP(D149,target_tables[],5,0),"&lt;not found&gt;")</f>
        <v>n308000046_agr_frame_limit</v>
      </c>
      <c r="W149" s="71"/>
      <c r="X149" s="71"/>
      <c r="Y149" s="71"/>
      <c r="Z149" s="71"/>
      <c r="AA149" s="71"/>
      <c r="AB149" s="71"/>
      <c r="AC149" s="71"/>
      <c r="AD149" s="71"/>
      <c r="AE149" s="71"/>
      <c r="AF149" s="292"/>
      <c r="AG149" s="203"/>
      <c r="AH149" s="71"/>
      <c r="AI149" s="74"/>
      <c r="AJ149" s="75"/>
      <c r="AK149" s="69"/>
    </row>
    <row r="150" spans="1:37" ht="12.75" hidden="1" customHeight="1" x14ac:dyDescent="0.3">
      <c r="A150" s="64">
        <v>1210</v>
      </c>
      <c r="B150" s="65" t="s">
        <v>450</v>
      </c>
      <c r="C150" s="65" t="s">
        <v>478</v>
      </c>
      <c r="D150" s="10" t="s">
        <v>51</v>
      </c>
      <c r="E150" s="78" t="str">
        <f>IFERROR(VLOOKUP(D150&amp;J150,'Target columns'!A:J,4,FALSE),"")</f>
        <v>UUID</v>
      </c>
      <c r="F150" s="78" t="str">
        <f>IFERROR(VLOOKUP(D150&amp;J150,'Target columns'!A:J,7,FALSE),"")</f>
        <v>Yes</v>
      </c>
      <c r="G150" s="78" t="str">
        <f>IFERROR(VLOOKUP(D150&amp;J150,'Target columns'!A:J,8,FALSE),"")</f>
        <v>Yes</v>
      </c>
      <c r="H150" s="78" t="str">
        <f>IFERROR(VLOOKUP(D150&amp;J150,'Target columns'!A:J,5,FALSE),"")</f>
        <v>NOT NULL</v>
      </c>
      <c r="I150" s="78" t="str">
        <f>IFERROR(VLOOKUP(D150&amp;J150,'Target columns'!A:J,10,FALSE),"")</f>
        <v xml:space="preserve">Идентификатор договора </v>
      </c>
      <c r="J150" s="24" t="s">
        <v>452</v>
      </c>
      <c r="K150" s="24" t="s">
        <v>56</v>
      </c>
      <c r="L150" s="78" t="str">
        <f>IFERROR(VLOOKUP(UPPER(K150&amp;N150),source_columns[],4,0),"")</f>
        <v>text</v>
      </c>
      <c r="M150" s="78" t="str">
        <f>IFERROR(VLOOKUP(UPPER(K150&amp;N150),source_columns[],7,0),"")</f>
        <v>Идентификатор договора</v>
      </c>
      <c r="N150" s="77" t="s">
        <v>422</v>
      </c>
      <c r="O150" s="77"/>
      <c r="P150" s="77"/>
      <c r="Q150" s="77"/>
      <c r="R150" s="77"/>
      <c r="S150" s="293" t="s">
        <v>479</v>
      </c>
      <c r="T150" s="65"/>
      <c r="U150" s="65"/>
      <c r="V150" s="66" t="str">
        <f>"n308000046_"&amp;IFERROR(VLOOKUP(D150,target_tables[],5,0),"&lt;not found&gt;")</f>
        <v>n308000046_agr_frame_cust</v>
      </c>
      <c r="W150" s="65"/>
      <c r="AF150" s="296" t="s">
        <v>342</v>
      </c>
      <c r="AG150" s="103"/>
      <c r="AH150" s="65"/>
      <c r="AI150" s="67"/>
      <c r="AJ150" s="68"/>
      <c r="AK150" s="69"/>
    </row>
    <row r="151" spans="1:37" ht="12.75" hidden="1" customHeight="1" x14ac:dyDescent="0.3">
      <c r="A151" s="64">
        <v>1220</v>
      </c>
      <c r="B151" s="65" t="s">
        <v>450</v>
      </c>
      <c r="C151" s="65" t="s">
        <v>478</v>
      </c>
      <c r="D151" s="10" t="s">
        <v>51</v>
      </c>
      <c r="E151" s="66" t="str">
        <f>IFERROR(VLOOKUP(D151&amp;J151,'Target columns'!A:J,4,FALSE),"")</f>
        <v>UUID</v>
      </c>
      <c r="F151" s="66" t="str">
        <f>IFERROR(VLOOKUP(D151&amp;J151,'Target columns'!A:J,7,FALSE),"")</f>
        <v>Yes</v>
      </c>
      <c r="G151" s="66" t="str">
        <f>IFERROR(VLOOKUP(D151&amp;J151,'Target columns'!A:J,8,FALSE),"")</f>
        <v>Yes</v>
      </c>
      <c r="H151" s="66" t="str">
        <f>IFERROR(VLOOKUP(D151&amp;J151,'Target columns'!A:J,5,FALSE),"")</f>
        <v>NOT NULL</v>
      </c>
      <c r="I151" s="66" t="str">
        <f>IFERROR(VLOOKUP(D151&amp;J151,'Target columns'!A:J,10,FALSE),"")</f>
        <v>Идентификатор контрагента</v>
      </c>
      <c r="J151" s="10" t="s">
        <v>347</v>
      </c>
      <c r="K151" s="10" t="s">
        <v>56</v>
      </c>
      <c r="L151" s="66" t="s">
        <v>316</v>
      </c>
      <c r="M151" s="66" t="str">
        <f>IFERROR(VLOOKUP(UPPER(K151&amp;N151),source_columns[],7,0),"")</f>
        <v>ЕПК ИД клиента</v>
      </c>
      <c r="N151" s="104" t="s">
        <v>480</v>
      </c>
      <c r="O151" s="65"/>
      <c r="P151" s="65"/>
      <c r="Q151" s="65"/>
      <c r="R151" s="65"/>
      <c r="S151" s="294"/>
      <c r="T151" s="65"/>
      <c r="U151" s="65"/>
      <c r="V151" s="66" t="str">
        <f>"n308000046_"&amp;IFERROR(VLOOKUP(D151,target_tables[],5,0),"&lt;not found&gt;")</f>
        <v>n308000046_agr_frame_cust</v>
      </c>
      <c r="W151" s="65"/>
      <c r="AF151" s="296"/>
      <c r="AG151" s="103"/>
      <c r="AH151" s="65"/>
      <c r="AI151" s="67"/>
      <c r="AJ151" s="68"/>
      <c r="AK151" s="69"/>
    </row>
    <row r="152" spans="1:37" ht="12.75" hidden="1" customHeight="1" x14ac:dyDescent="0.3">
      <c r="A152" s="64">
        <v>1230</v>
      </c>
      <c r="B152" s="65" t="s">
        <v>450</v>
      </c>
      <c r="C152" s="65" t="s">
        <v>478</v>
      </c>
      <c r="D152" s="10" t="s">
        <v>51</v>
      </c>
      <c r="E152" s="66" t="str">
        <f>IFERROR(VLOOKUP(D152&amp;J152,'Target columns'!A:J,4,FALSE),"")</f>
        <v>DATE</v>
      </c>
      <c r="F152" s="66" t="str">
        <f>IFERROR(VLOOKUP(D152&amp;J152,'Target columns'!A:J,7,FALSE),"")</f>
        <v>Yes</v>
      </c>
      <c r="G152" s="66" t="str">
        <f>IFERROR(VLOOKUP(D152&amp;J152,'Target columns'!A:J,8,FALSE),"")</f>
        <v>No</v>
      </c>
      <c r="H152" s="66" t="str">
        <f>IFERROR(VLOOKUP(D152&amp;J152,'Target columns'!A:J,5,FALSE),"")</f>
        <v>NOT NULL</v>
      </c>
      <c r="I152" s="66" t="str">
        <f>IFERROR(VLOOKUP(D152&amp;J152,'Target columns'!A:J,10,FALSE),"")</f>
        <v>Дата начала действия связи</v>
      </c>
      <c r="J152" s="10" t="s">
        <v>329</v>
      </c>
      <c r="K152" s="10" t="s">
        <v>56</v>
      </c>
      <c r="L152" s="66" t="s">
        <v>302</v>
      </c>
      <c r="M152" s="66" t="str">
        <f>IFERROR(VLOOKUP(UPPER(K152&amp;N152),source_columns[],7,0),"")</f>
        <v/>
      </c>
      <c r="N152" s="65" t="s">
        <v>344</v>
      </c>
      <c r="O152" s="65"/>
      <c r="P152" s="65"/>
      <c r="Q152" s="65"/>
      <c r="R152" s="65"/>
      <c r="S152" s="294"/>
      <c r="T152" s="65"/>
      <c r="U152" s="65"/>
      <c r="V152" s="66" t="str">
        <f>"n308000046_"&amp;IFERROR(VLOOKUP(D152,target_tables[],5,0),"&lt;not found&gt;")</f>
        <v>n308000046_agr_frame_cust</v>
      </c>
      <c r="W152" s="65"/>
      <c r="AF152" s="296"/>
      <c r="AG152" s="103"/>
      <c r="AH152" s="65"/>
      <c r="AI152" s="67"/>
      <c r="AJ152" s="68"/>
      <c r="AK152" s="69"/>
    </row>
    <row r="153" spans="1:37" ht="12.75" hidden="1" customHeight="1" x14ac:dyDescent="0.3">
      <c r="A153" s="64">
        <v>1240</v>
      </c>
      <c r="B153" s="65" t="s">
        <v>450</v>
      </c>
      <c r="C153" s="65" t="s">
        <v>478</v>
      </c>
      <c r="D153" s="10" t="s">
        <v>51</v>
      </c>
      <c r="E153" s="66" t="str">
        <f>IFERROR(VLOOKUP(D153&amp;J153,'Target columns'!A:J,4,FALSE),"")</f>
        <v>DATE</v>
      </c>
      <c r="F153" s="66" t="str">
        <f>IFERROR(VLOOKUP(D153&amp;J153,'Target columns'!A:J,7,FALSE),"")</f>
        <v>No</v>
      </c>
      <c r="G153" s="66" t="str">
        <f>IFERROR(VLOOKUP(D153&amp;J153,'Target columns'!A:J,8,FALSE),"")</f>
        <v>No</v>
      </c>
      <c r="H153" s="66" t="str">
        <f>IFERROR(VLOOKUP(D153&amp;J153,'Target columns'!A:J,5,FALSE),"")</f>
        <v>NULL</v>
      </c>
      <c r="I153" s="66" t="str">
        <f>IFERROR(VLOOKUP(D153&amp;J153,'Target columns'!A:J,10,FALSE),"")</f>
        <v>Дата окончания действия связи</v>
      </c>
      <c r="J153" s="10" t="s">
        <v>331</v>
      </c>
      <c r="K153" s="10" t="s">
        <v>56</v>
      </c>
      <c r="L153" s="66" t="s">
        <v>302</v>
      </c>
      <c r="M153" s="66" t="str">
        <f>IFERROR(VLOOKUP(UPPER(K153&amp;N153),source_columns[],7,0),"")</f>
        <v/>
      </c>
      <c r="N153" s="65" t="s">
        <v>345</v>
      </c>
      <c r="O153" s="65"/>
      <c r="P153" s="65"/>
      <c r="Q153" s="65"/>
      <c r="R153" s="65"/>
      <c r="S153" s="294"/>
      <c r="T153" s="65"/>
      <c r="U153" s="65"/>
      <c r="V153" s="66" t="str">
        <f>"n308000046_"&amp;IFERROR(VLOOKUP(D153,target_tables[],5,0),"&lt;not found&gt;")</f>
        <v>n308000046_agr_frame_cust</v>
      </c>
      <c r="W153" s="65"/>
      <c r="AF153" s="296"/>
      <c r="AG153" s="103"/>
      <c r="AH153" s="65"/>
      <c r="AI153" s="67"/>
      <c r="AJ153" s="68"/>
      <c r="AK153" s="69"/>
    </row>
    <row r="154" spans="1:37" ht="12.75" hidden="1" customHeight="1" x14ac:dyDescent="0.3">
      <c r="A154" s="97">
        <v>1250</v>
      </c>
      <c r="B154" s="71" t="s">
        <v>450</v>
      </c>
      <c r="C154" s="214" t="s">
        <v>478</v>
      </c>
      <c r="D154" s="105" t="s">
        <v>51</v>
      </c>
      <c r="E154" s="73" t="str">
        <f>IFERROR(VLOOKUP(D154&amp;J154,'Target columns'!A:J,4,FALSE),"")</f>
        <v>UUID</v>
      </c>
      <c r="F154" s="73" t="str">
        <f>IFERROR(VLOOKUP(D154&amp;J154,'Target columns'!A:J,7,FALSE),"")</f>
        <v>Yes</v>
      </c>
      <c r="G154" s="73" t="str">
        <f>IFERROR(VLOOKUP(D154&amp;J154,'Target columns'!A:J,8,FALSE),"")</f>
        <v>Yes</v>
      </c>
      <c r="H154" s="73" t="str">
        <f>IFERROR(VLOOKUP(D154&amp;J154,'Target columns'!A:J,5,FALSE),"")</f>
        <v>NOT NULL</v>
      </c>
      <c r="I154" s="73" t="str">
        <f>IFERROR(VLOOKUP(D154&amp;J154,'Target columns'!A:J,10,FALSE),"")</f>
        <v>Роль клиента в договоре - ID</v>
      </c>
      <c r="J154" s="27" t="s">
        <v>481</v>
      </c>
      <c r="K154" s="27" t="s">
        <v>56</v>
      </c>
      <c r="L154" s="73" t="s">
        <v>316</v>
      </c>
      <c r="M154" s="73" t="str">
        <f>IFERROR(VLOOKUP(UPPER(K154&amp;N154),source_columns[],7,0),"")</f>
        <v/>
      </c>
      <c r="N154" s="71" t="s">
        <v>355</v>
      </c>
      <c r="O154" s="71"/>
      <c r="P154" s="71"/>
      <c r="Q154" s="71"/>
      <c r="R154" s="71"/>
      <c r="S154" s="295"/>
      <c r="T154" s="214"/>
      <c r="U154" s="214"/>
      <c r="V154" s="101" t="str">
        <f>"n308000046_"&amp;IFERROR(VLOOKUP(D154,target_tables[],5,0),"&lt;not found&gt;")</f>
        <v>n308000046_agr_frame_cust</v>
      </c>
      <c r="W154" s="214"/>
      <c r="X154" s="214"/>
      <c r="Y154" s="214"/>
      <c r="Z154" s="214"/>
      <c r="AA154" s="214"/>
      <c r="AB154" s="214"/>
      <c r="AC154" s="214"/>
      <c r="AD154" s="214"/>
      <c r="AE154" s="100"/>
      <c r="AF154" s="296"/>
      <c r="AG154" s="106"/>
      <c r="AH154" s="214"/>
      <c r="AI154" s="99"/>
      <c r="AJ154" s="100"/>
      <c r="AK154" s="69"/>
    </row>
    <row r="155" spans="1:37" ht="12.75" hidden="1" customHeight="1" x14ac:dyDescent="0.3">
      <c r="A155" s="107">
        <v>1260</v>
      </c>
      <c r="B155" s="77" t="s">
        <v>314</v>
      </c>
      <c r="C155" s="82" t="str">
        <f>IFERROR(VLOOKUP(D155,'Target tables'!A:B,2,0),"")</f>
        <v>Клиенты Юр. Лица</v>
      </c>
      <c r="D155" s="83" t="s">
        <v>60</v>
      </c>
      <c r="E155" s="78" t="str">
        <f>IFERROR(VLOOKUP(D155&amp;J155,'Target columns'!A:J,4,FALSE),"")</f>
        <v>UUID</v>
      </c>
      <c r="F155" s="78" t="str">
        <f>IFERROR(VLOOKUP(D155&amp;J155,'Target columns'!A:J,7,FALSE),"")</f>
        <v>Yes</v>
      </c>
      <c r="G155" s="78" t="str">
        <f>IFERROR(VLOOKUP(D155&amp;J155,'Target columns'!A:J,8,FALSE),"")</f>
        <v>No</v>
      </c>
      <c r="H155" s="78" t="str">
        <f>IFERROR(VLOOKUP(D155&amp;J155,'Target columns'!A:J,5,FALSE),"")</f>
        <v>NOT NULL</v>
      </c>
      <c r="I155" s="78" t="str">
        <f>IFERROR(VLOOKUP(D155&amp;J155,'Target columns'!A:J,10,FALSE),"")</f>
        <v xml:space="preserve">Идентификатор контрагента </v>
      </c>
      <c r="J155" s="24" t="s">
        <v>347</v>
      </c>
      <c r="K155" s="77" t="s">
        <v>296</v>
      </c>
      <c r="L155" s="78" t="str">
        <f>IFERROR(VLOOKUP(UPPER(K155&amp;N155),source_columns[],4,0),"")</f>
        <v/>
      </c>
      <c r="M155" s="78" t="s">
        <v>482</v>
      </c>
      <c r="N155" s="24" t="s">
        <v>347</v>
      </c>
      <c r="O155" s="77"/>
      <c r="P155" s="77"/>
      <c r="Q155" s="77"/>
      <c r="R155" s="77"/>
      <c r="S155" s="270" t="s">
        <v>483</v>
      </c>
      <c r="T155" s="82"/>
      <c r="U155" s="82"/>
      <c r="V155" s="84" t="str">
        <f>"n308000046_"&amp;IFERROR(VLOOKUP(D155,target_tables[],5,0),"&lt;not found&gt;")</f>
        <v>n308000046_cust_org_idfn</v>
      </c>
      <c r="W155" s="82" t="s">
        <v>269</v>
      </c>
      <c r="X155" s="82"/>
      <c r="Y155" s="82"/>
      <c r="Z155" s="82"/>
      <c r="AA155" s="82"/>
      <c r="AB155" s="82"/>
      <c r="AC155" s="82"/>
      <c r="AD155" s="82"/>
      <c r="AE155" s="82"/>
      <c r="AF155" s="271" t="s">
        <v>270</v>
      </c>
      <c r="AG155" s="89"/>
      <c r="AH155" s="82"/>
      <c r="AI155" s="90"/>
      <c r="AJ155" s="91"/>
      <c r="AK155" s="69"/>
    </row>
    <row r="156" spans="1:37" ht="12.75" hidden="1" customHeight="1" x14ac:dyDescent="0.3">
      <c r="A156" s="92">
        <v>1270</v>
      </c>
      <c r="B156" s="65" t="s">
        <v>314</v>
      </c>
      <c r="C156" s="65" t="str">
        <f>IFERROR(VLOOKUP(D156,'Target tables'!A:B,2,0),"")</f>
        <v>Клиенты Юр. Лица</v>
      </c>
      <c r="D156" s="10" t="s">
        <v>60</v>
      </c>
      <c r="E156" s="66" t="str">
        <f>IFERROR(VLOOKUP(D156&amp;J156,'Target columns'!A:J,4,FALSE),"")</f>
        <v>TEXT</v>
      </c>
      <c r="F156" s="66" t="str">
        <f>IFERROR(VLOOKUP(D156&amp;J156,'Target columns'!A:J,7,FALSE),"")</f>
        <v>No</v>
      </c>
      <c r="G156" s="66" t="str">
        <f>IFERROR(VLOOKUP(D156&amp;J156,'Target columns'!A:J,8,FALSE),"")</f>
        <v>No</v>
      </c>
      <c r="H156" s="66" t="str">
        <f>IFERROR(VLOOKUP(D156&amp;J156,'Target columns'!A:J,5,FALSE),"")</f>
        <v>NULL</v>
      </c>
      <c r="I156" s="66" t="str">
        <f>IFERROR(VLOOKUP(D156&amp;J156,'Target columns'!A:J,10,FALSE),"")</f>
        <v>Краткое наименование юр. Лица</v>
      </c>
      <c r="J156" s="10" t="s">
        <v>484</v>
      </c>
      <c r="K156" s="65" t="s">
        <v>296</v>
      </c>
      <c r="L156" s="66" t="s">
        <v>320</v>
      </c>
      <c r="M156" s="66" t="s">
        <v>360</v>
      </c>
      <c r="N156" s="10" t="s">
        <v>484</v>
      </c>
      <c r="O156" s="65"/>
      <c r="P156" s="65"/>
      <c r="Q156" s="65"/>
      <c r="R156" s="65"/>
      <c r="S156" s="278"/>
      <c r="T156" s="65"/>
      <c r="U156" s="65"/>
      <c r="V156" s="66" t="str">
        <f>"n308000046_"&amp;IFERROR(VLOOKUP(D156,target_tables[],5,0),"&lt;not found&gt;")</f>
        <v>n308000046_cust_org_idfn</v>
      </c>
      <c r="W156" s="65" t="s">
        <v>273</v>
      </c>
      <c r="X156" s="65"/>
      <c r="Y156" s="65"/>
      <c r="Z156" s="65"/>
      <c r="AA156" s="65"/>
      <c r="AB156" s="65"/>
      <c r="AC156" s="65"/>
      <c r="AD156" s="65"/>
      <c r="AE156" s="65"/>
      <c r="AF156" s="271"/>
      <c r="AG156" s="202"/>
      <c r="AH156" s="65"/>
      <c r="AI156" s="67"/>
      <c r="AJ156" s="68"/>
      <c r="AK156" s="69"/>
    </row>
    <row r="157" spans="1:37" ht="12.75" hidden="1" customHeight="1" x14ac:dyDescent="0.3">
      <c r="A157" s="92">
        <v>1280</v>
      </c>
      <c r="B157" s="65" t="s">
        <v>314</v>
      </c>
      <c r="C157" s="65" t="str">
        <f>IFERROR(VLOOKUP(D157,'Target tables'!A:B,2,0),"")</f>
        <v>Клиенты Юр. Лица</v>
      </c>
      <c r="D157" s="10" t="s">
        <v>60</v>
      </c>
      <c r="E157" s="66" t="str">
        <f>IFERROR(VLOOKUP(D157&amp;J157,'Target columns'!A:J,4,FALSE),"")</f>
        <v>TEXT</v>
      </c>
      <c r="F157" s="66" t="str">
        <f>IFERROR(VLOOKUP(D157&amp;J157,'Target columns'!A:J,7,FALSE),"")</f>
        <v>No</v>
      </c>
      <c r="G157" s="66" t="str">
        <f>IFERROR(VLOOKUP(D157&amp;J157,'Target columns'!A:J,8,FALSE),"")</f>
        <v>No</v>
      </c>
      <c r="H157" s="66" t="str">
        <f>IFERROR(VLOOKUP(D157&amp;J157,'Target columns'!A:J,5,FALSE),"")</f>
        <v>NULL</v>
      </c>
      <c r="I157" s="66" t="str">
        <f>IFERROR(VLOOKUP(D157&amp;J157,'Target columns'!A:J,10,FALSE),"")</f>
        <v>ИНН</v>
      </c>
      <c r="J157" s="10" t="s">
        <v>485</v>
      </c>
      <c r="K157" s="65" t="s">
        <v>296</v>
      </c>
      <c r="L157" s="66" t="s">
        <v>320</v>
      </c>
      <c r="M157" s="66" t="s">
        <v>363</v>
      </c>
      <c r="N157" s="10" t="s">
        <v>485</v>
      </c>
      <c r="O157" s="65"/>
      <c r="P157" s="65"/>
      <c r="Q157" s="65"/>
      <c r="R157" s="65"/>
      <c r="S157" s="278"/>
      <c r="T157" s="65"/>
      <c r="U157" s="65"/>
      <c r="V157" s="66" t="str">
        <f>"n308000046_"&amp;IFERROR(VLOOKUP(D157,target_tables[],5,0),"&lt;not found&gt;")</f>
        <v>n308000046_cust_org_idfn</v>
      </c>
      <c r="W157" s="65" t="s">
        <v>273</v>
      </c>
      <c r="X157" s="65"/>
      <c r="Y157" s="65"/>
      <c r="Z157" s="65"/>
      <c r="AA157" s="65"/>
      <c r="AB157" s="65"/>
      <c r="AC157" s="65"/>
      <c r="AD157" s="65"/>
      <c r="AE157" s="65"/>
      <c r="AF157" s="271"/>
      <c r="AG157" s="202"/>
      <c r="AH157" s="65"/>
      <c r="AI157" s="67"/>
      <c r="AJ157" s="68"/>
      <c r="AK157" s="69"/>
    </row>
    <row r="158" spans="1:37" ht="12.75" hidden="1" customHeight="1" x14ac:dyDescent="0.3">
      <c r="A158" s="93">
        <v>1281</v>
      </c>
      <c r="B158" s="71" t="s">
        <v>314</v>
      </c>
      <c r="C158" s="71" t="str">
        <f>IFERROR(VLOOKUP(D158,'Target tables'!A:B,2,0),"")</f>
        <v>Клиенты Юр. Лица</v>
      </c>
      <c r="D158" s="27" t="s">
        <v>60</v>
      </c>
      <c r="E158" s="73" t="str">
        <f>IFERROR(VLOOKUP(D158&amp;J158,'Target columns'!A:J,4,FALSE),"")</f>
        <v/>
      </c>
      <c r="F158" s="73" t="str">
        <f>IFERROR(VLOOKUP(D158&amp;J158,'Target columns'!A:J,7,FALSE),"")</f>
        <v/>
      </c>
      <c r="G158" s="73" t="str">
        <f>IFERROR(VLOOKUP(D158&amp;J158,'Target columns'!A:J,8,FALSE),"")</f>
        <v/>
      </c>
      <c r="H158" s="73" t="str">
        <f>IFERROR(VLOOKUP(D158&amp;J158,'Target columns'!A:J,5,FALSE),"")</f>
        <v/>
      </c>
      <c r="I158" s="73" t="str">
        <f>IFERROR(VLOOKUP(D158&amp;J158,'Target columns'!A:J,10,FALSE),"")</f>
        <v/>
      </c>
      <c r="J158" s="27" t="s">
        <v>486</v>
      </c>
      <c r="K158" s="71" t="s">
        <v>296</v>
      </c>
      <c r="L158" s="73" t="s">
        <v>320</v>
      </c>
      <c r="M158" s="73" t="s">
        <v>487</v>
      </c>
      <c r="N158" s="27" t="s">
        <v>486</v>
      </c>
      <c r="O158" s="71"/>
      <c r="P158" s="71"/>
      <c r="Q158" s="71"/>
      <c r="R158" s="71"/>
      <c r="S158" s="278"/>
      <c r="T158" s="71"/>
      <c r="U158" s="71"/>
      <c r="V158" s="73" t="str">
        <f>"n308000046_"&amp;IFERROR(VLOOKUP(D158,target_tables[],5,0),"&lt;not found&gt;")</f>
        <v>n308000046_cust_org_idfn</v>
      </c>
      <c r="W158" s="71" t="s">
        <v>273</v>
      </c>
      <c r="X158" s="71"/>
      <c r="Y158" s="71"/>
      <c r="Z158" s="71"/>
      <c r="AA158" s="71"/>
      <c r="AB158" s="71"/>
      <c r="AC158" s="71"/>
      <c r="AD158" s="71"/>
      <c r="AE158" s="71"/>
      <c r="AF158" s="271"/>
      <c r="AG158" s="203"/>
      <c r="AH158" s="71"/>
      <c r="AI158" s="74"/>
      <c r="AJ158" s="75"/>
      <c r="AK158" s="69"/>
    </row>
    <row r="159" spans="1:37" ht="12.75" hidden="1" customHeight="1" x14ac:dyDescent="0.3">
      <c r="A159" s="76">
        <v>1290</v>
      </c>
      <c r="B159" s="77" t="s">
        <v>314</v>
      </c>
      <c r="C159" s="77" t="str">
        <f>IFERROR(VLOOKUP(D159,'Target tables'!A:B,2,0),"")</f>
        <v>Тип комиссии по операции</v>
      </c>
      <c r="D159" s="24" t="s">
        <v>61</v>
      </c>
      <c r="E159" s="78" t="str">
        <f>IFERROR(VLOOKUP(D159&amp;J159,'Target columns'!A:J,4,FALSE),"")</f>
        <v>UUID</v>
      </c>
      <c r="F159" s="78" t="str">
        <f>IFERROR(VLOOKUP(D159&amp;J159,'Target columns'!A:J,7,FALSE),"")</f>
        <v>Yes</v>
      </c>
      <c r="G159" s="78" t="str">
        <f>IFERROR(VLOOKUP(D159&amp;J159,'Target columns'!A:J,8,FALSE),"")</f>
        <v>No</v>
      </c>
      <c r="H159" s="78" t="str">
        <f>IFERROR(VLOOKUP(D159&amp;J159,'Target columns'!A:J,5,FALSE),"")</f>
        <v>NOT NULL</v>
      </c>
      <c r="I159" s="78" t="str">
        <f>IFERROR(VLOOKUP(D159&amp;J159,'Target columns'!A:J,10,FALSE),"")</f>
        <v>Уникальный идентификатор типа комиссии по операции</v>
      </c>
      <c r="J159" s="24" t="s">
        <v>439</v>
      </c>
      <c r="K159" s="77" t="s">
        <v>296</v>
      </c>
      <c r="L159" s="78" t="str">
        <f>IFERROR(VLOOKUP(UPPER(K159&amp;N159),source_columns[],4,0),"")</f>
        <v/>
      </c>
      <c r="M159" s="78"/>
      <c r="N159" s="77" t="s">
        <v>488</v>
      </c>
      <c r="O159" s="77"/>
      <c r="P159" s="77"/>
      <c r="Q159" s="77"/>
      <c r="R159" s="77"/>
      <c r="S159" s="297" t="s">
        <v>489</v>
      </c>
      <c r="T159" s="77"/>
      <c r="U159" s="77"/>
      <c r="V159" s="78" t="str">
        <f>"n308000046_"&amp;IFERROR(VLOOKUP(D159,target_tables[],5,0),"&lt;not found&gt;")</f>
        <v>n308000046_optn_fee_type</v>
      </c>
      <c r="W159" s="77" t="s">
        <v>269</v>
      </c>
      <c r="X159" s="77"/>
      <c r="Y159" s="77"/>
      <c r="Z159" s="77"/>
      <c r="AA159" s="77"/>
      <c r="AB159" s="77"/>
      <c r="AC159" s="77"/>
      <c r="AD159" s="77"/>
      <c r="AE159" s="77"/>
      <c r="AF159" s="277" t="s">
        <v>270</v>
      </c>
      <c r="AG159" s="201"/>
      <c r="AH159" s="77"/>
      <c r="AI159" s="79"/>
      <c r="AJ159" s="80"/>
      <c r="AK159" s="69"/>
    </row>
    <row r="160" spans="1:37" ht="12.75" hidden="1" customHeight="1" x14ac:dyDescent="0.3">
      <c r="A160" s="64">
        <v>1300</v>
      </c>
      <c r="B160" s="65" t="s">
        <v>314</v>
      </c>
      <c r="C160" s="65" t="str">
        <f>IFERROR(VLOOKUP(D160,'Target tables'!A:B,2,0),"")</f>
        <v>Тип комиссии по операции</v>
      </c>
      <c r="D160" s="10" t="s">
        <v>61</v>
      </c>
      <c r="E160" s="66" t="str">
        <f>IFERROR(VLOOKUP(D160&amp;J160,'Target columns'!A:J,4,FALSE),"")</f>
        <v>TEXT</v>
      </c>
      <c r="F160" s="66" t="str">
        <f>IFERROR(VLOOKUP(D160&amp;J160,'Target columns'!A:J,7,FALSE),"")</f>
        <v>No</v>
      </c>
      <c r="G160" s="66" t="str">
        <f>IFERROR(VLOOKUP(D160&amp;J160,'Target columns'!A:J,8,FALSE),"")</f>
        <v>No</v>
      </c>
      <c r="H160" s="66" t="str">
        <f>IFERROR(VLOOKUP(D160&amp;J160,'Target columns'!A:J,5,FALSE),"")</f>
        <v>NULL</v>
      </c>
      <c r="I160" s="66" t="str">
        <f>IFERROR(VLOOKUP(D160&amp;J160,'Target columns'!A:J,10,FALSE),"")</f>
        <v>Код типа комиссии по операции</v>
      </c>
      <c r="J160" s="10" t="s">
        <v>490</v>
      </c>
      <c r="K160" s="65" t="s">
        <v>296</v>
      </c>
      <c r="L160" s="66" t="s">
        <v>320</v>
      </c>
      <c r="M160" s="66" t="s">
        <v>491</v>
      </c>
      <c r="N160" s="6" t="s">
        <v>492</v>
      </c>
      <c r="O160" s="65"/>
      <c r="P160" s="65"/>
      <c r="Q160" s="65"/>
      <c r="R160" s="65"/>
      <c r="S160" s="297"/>
      <c r="T160" s="65"/>
      <c r="U160" s="65"/>
      <c r="V160" s="66" t="str">
        <f>"n308000046_"&amp;IFERROR(VLOOKUP(D160,target_tables[],5,0),"&lt;not found&gt;")</f>
        <v>n308000046_optn_fee_type</v>
      </c>
      <c r="W160" s="65" t="s">
        <v>273</v>
      </c>
      <c r="X160" s="71"/>
      <c r="Y160" s="71"/>
      <c r="Z160" s="71"/>
      <c r="AA160" s="71"/>
      <c r="AB160" s="71"/>
      <c r="AC160" s="71"/>
      <c r="AD160" s="71"/>
      <c r="AE160" s="71"/>
      <c r="AF160" s="277"/>
      <c r="AG160" s="202"/>
      <c r="AH160" s="65"/>
      <c r="AI160" s="67"/>
      <c r="AJ160" s="68"/>
      <c r="AK160" s="69"/>
    </row>
    <row r="161" spans="1:37" ht="12.75" hidden="1" customHeight="1" x14ac:dyDescent="0.3">
      <c r="A161" s="204">
        <v>1310</v>
      </c>
      <c r="B161" s="71" t="s">
        <v>314</v>
      </c>
      <c r="C161" s="207" t="str">
        <f>IFERROR(VLOOKUP(D161,'Target tables'!A:B,2,0),"")</f>
        <v>Тип комиссии по операции</v>
      </c>
      <c r="D161" s="213" t="s">
        <v>61</v>
      </c>
      <c r="E161" s="73" t="str">
        <f>IFERROR(VLOOKUP(D161&amp;J161,'Target columns'!A:J,4,FALSE),"")</f>
        <v>TEXT</v>
      </c>
      <c r="F161" s="73" t="str">
        <f>IFERROR(VLOOKUP(D161&amp;J161,'Target columns'!A:J,7,FALSE),"")</f>
        <v>No</v>
      </c>
      <c r="G161" s="73" t="str">
        <f>IFERROR(VLOOKUP(D161&amp;J161,'Target columns'!A:J,8,FALSE),"")</f>
        <v>No</v>
      </c>
      <c r="H161" s="73" t="str">
        <f>IFERROR(VLOOKUP(D161&amp;J161,'Target columns'!A:J,5,FALSE),"")</f>
        <v>NULL</v>
      </c>
      <c r="I161" s="73" t="str">
        <f>IFERROR(VLOOKUP(D161&amp;J161,'Target columns'!A:J,10,FALSE),"")</f>
        <v>Наименование комиссии по операции</v>
      </c>
      <c r="J161" s="213" t="s">
        <v>493</v>
      </c>
      <c r="K161" s="71" t="s">
        <v>296</v>
      </c>
      <c r="L161" s="85" t="s">
        <v>320</v>
      </c>
      <c r="M161" s="85" t="s">
        <v>494</v>
      </c>
      <c r="N161" s="71"/>
      <c r="O161" s="206"/>
      <c r="P161" s="206"/>
      <c r="Q161" s="206"/>
      <c r="R161" s="206"/>
      <c r="S161" s="280"/>
      <c r="T161" s="207"/>
      <c r="U161" s="207"/>
      <c r="V161" s="86" t="str">
        <f>"n308000046_"&amp;IFERROR(VLOOKUP(D161,target_tables[],5,0),"&lt;not found&gt;")</f>
        <v>n308000046_optn_fee_type</v>
      </c>
      <c r="W161" s="207" t="s">
        <v>273</v>
      </c>
      <c r="X161" s="214"/>
      <c r="Y161" s="214"/>
      <c r="Z161" s="214"/>
      <c r="AA161" s="214"/>
      <c r="AB161" s="214"/>
      <c r="AC161" s="214"/>
      <c r="AD161" s="214"/>
      <c r="AE161" s="214"/>
      <c r="AF161" s="277"/>
      <c r="AG161" s="209"/>
      <c r="AH161" s="207"/>
      <c r="AI161" s="87"/>
      <c r="AJ161" s="69"/>
      <c r="AK161" s="69"/>
    </row>
    <row r="162" spans="1:37" ht="12.75" hidden="1" customHeight="1" x14ac:dyDescent="0.3">
      <c r="A162" s="107">
        <v>1320</v>
      </c>
      <c r="B162" s="82" t="s">
        <v>125</v>
      </c>
      <c r="C162" s="82" t="str">
        <f>IFERROR(VLOOKUP(D162,'Target tables'!A:B,2,0),"")</f>
        <v>Договор аккредитива ЮЛ</v>
      </c>
      <c r="D162" s="21" t="s">
        <v>83</v>
      </c>
      <c r="E162" s="78" t="str">
        <f>IFERROR(VLOOKUP(D162&amp;J162,'Target columns'!A:J,4,FALSE),"")</f>
        <v>uuid</v>
      </c>
      <c r="F162" s="78" t="str">
        <f>IFERROR(VLOOKUP(D162&amp;J162,'Target columns'!A:J,7,FALSE),"")</f>
        <v>Yes</v>
      </c>
      <c r="G162" s="78" t="str">
        <f>IFERROR(VLOOKUP(D162&amp;J162,'Target columns'!A:J,8,FALSE),"")</f>
        <v>No</v>
      </c>
      <c r="H162" s="78" t="str">
        <f>IFERROR(VLOOKUP(D162&amp;J162,'Target columns'!A:J,5,FALSE),"")</f>
        <v>NOT NULL</v>
      </c>
      <c r="I162" s="78" t="str">
        <f>IFERROR(VLOOKUP(D162&amp;J162,'Target columns'!A:J,10,FALSE),"")</f>
        <v>Идентификатор договора аккредитива ЮЛ</v>
      </c>
      <c r="J162" s="21" t="s">
        <v>495</v>
      </c>
      <c r="K162" s="77" t="s">
        <v>166</v>
      </c>
      <c r="L162" s="78" t="str">
        <f>IFERROR(VLOOKUP(K162&amp;N162,source_columns[[Seek]:[Описание поля]],4,0),"")</f>
        <v>uuid</v>
      </c>
      <c r="M162" s="78" t="str">
        <f>IFERROR(VLOOKUP(K162&amp;N162,source_columns[[Seek]:[Описание поля]],7,0),"")</f>
        <v>SK(reference)</v>
      </c>
      <c r="N162" s="77" t="s">
        <v>496</v>
      </c>
      <c r="O162" s="77"/>
      <c r="P162" s="77"/>
      <c r="Q162" s="77"/>
      <c r="R162" s="77"/>
      <c r="S162" s="268" t="s">
        <v>497</v>
      </c>
      <c r="T162" s="82"/>
      <c r="U162" s="82"/>
      <c r="V162" s="84" t="str">
        <f>"n308000046_"&amp;IFERROR(VLOOKUP(D162,target_tables[],5,0),"&lt;not found&gt;")</f>
        <v>n308000046_agr_accred</v>
      </c>
      <c r="W162" s="82" t="s">
        <v>269</v>
      </c>
      <c r="X162" s="82"/>
      <c r="Y162" s="82"/>
      <c r="Z162" s="82"/>
      <c r="AA162" s="82"/>
      <c r="AB162" s="82"/>
      <c r="AC162" s="82"/>
      <c r="AD162" s="82"/>
      <c r="AE162" s="82"/>
      <c r="AF162" s="299" t="s">
        <v>270</v>
      </c>
      <c r="AG162" s="83"/>
      <c r="AH162" s="82"/>
      <c r="AI162" s="90"/>
      <c r="AJ162" s="91"/>
      <c r="AK162" s="69"/>
    </row>
    <row r="163" spans="1:37" ht="12.75" hidden="1" customHeight="1" x14ac:dyDescent="0.3">
      <c r="A163" s="92">
        <v>1330</v>
      </c>
      <c r="B163" s="65" t="s">
        <v>125</v>
      </c>
      <c r="C163" s="65" t="str">
        <f>IFERROR(VLOOKUP(D163,'Target tables'!A:B,2,0),"")</f>
        <v>Договор аккредитива ЮЛ</v>
      </c>
      <c r="D163" s="12" t="s">
        <v>83</v>
      </c>
      <c r="E163" s="66" t="str">
        <f>IFERROR(VLOOKUP(D163&amp;J163,'Target columns'!A:J,4,FALSE),"")</f>
        <v>text</v>
      </c>
      <c r="F163" s="66" t="str">
        <f>IFERROR(VLOOKUP(D163&amp;J163,'Target columns'!A:J,7,FALSE),"")</f>
        <v>No</v>
      </c>
      <c r="G163" s="66" t="str">
        <f>IFERROR(VLOOKUP(D163&amp;J163,'Target columns'!A:J,8,FALSE),"")</f>
        <v>No</v>
      </c>
      <c r="H163" s="66" t="str">
        <f>IFERROR(VLOOKUP(D163&amp;J163,'Target columns'!A:J,5,FALSE),"")</f>
        <v>NULL</v>
      </c>
      <c r="I163" s="66" t="str">
        <f>IFERROR(VLOOKUP(D163&amp;J163,'Target columns'!A:J,10,FALSE),"")</f>
        <v>Дополнительные условия договора</v>
      </c>
      <c r="J163" s="12" t="s">
        <v>498</v>
      </c>
      <c r="K163" s="65" t="s">
        <v>166</v>
      </c>
      <c r="L163" s="66" t="str">
        <f>IFERROR(VLOOKUP(K163&amp;N163,source_columns[[Seek]:[Описание поля]],4,0),"")</f>
        <v>text</v>
      </c>
      <c r="M163" s="66" t="str">
        <f>IFERROR(VLOOKUP(K163&amp;N163,source_columns[[Seek]:[Описание поля]],7,0),"")</f>
        <v>Дополнительные условия</v>
      </c>
      <c r="N163" s="65" t="s">
        <v>499</v>
      </c>
      <c r="O163" s="65"/>
      <c r="P163" s="65"/>
      <c r="Q163" s="65"/>
      <c r="R163" s="65"/>
      <c r="S163" s="298"/>
      <c r="T163" s="65"/>
      <c r="U163" s="65"/>
      <c r="V163" s="66" t="str">
        <f>"n308000046_"&amp;IFERROR(VLOOKUP(D163,target_tables[],5,0),"&lt;not found&gt;")</f>
        <v>n308000046_agr_accred</v>
      </c>
      <c r="W163" s="65" t="s">
        <v>273</v>
      </c>
      <c r="X163" s="65"/>
      <c r="Y163" s="65"/>
      <c r="Z163" s="65"/>
      <c r="AA163" s="65"/>
      <c r="AB163" s="65"/>
      <c r="AC163" s="65"/>
      <c r="AD163" s="65"/>
      <c r="AE163" s="65"/>
      <c r="AF163" s="299"/>
      <c r="AG163" s="10"/>
      <c r="AH163" s="65"/>
      <c r="AI163" s="67"/>
      <c r="AJ163" s="68"/>
      <c r="AK163" s="69"/>
    </row>
    <row r="164" spans="1:37" ht="12.75" hidden="1" customHeight="1" x14ac:dyDescent="0.3">
      <c r="A164" s="92">
        <v>1340</v>
      </c>
      <c r="B164" s="65" t="s">
        <v>125</v>
      </c>
      <c r="C164" s="65" t="str">
        <f>IFERROR(VLOOKUP(D164,'Target tables'!A:B,2,0),"")</f>
        <v>Договор аккредитива ЮЛ</v>
      </c>
      <c r="D164" s="12" t="s">
        <v>83</v>
      </c>
      <c r="E164" s="66" t="str">
        <f>IFERROR(VLOOKUP(D164&amp;J164,'Target columns'!A:J,4,FALSE),"")</f>
        <v>text</v>
      </c>
      <c r="F164" s="66" t="str">
        <f>IFERROR(VLOOKUP(D164&amp;J164,'Target columns'!A:J,7,FALSE),"")</f>
        <v>No</v>
      </c>
      <c r="G164" s="66" t="str">
        <f>IFERROR(VLOOKUP(D164&amp;J164,'Target columns'!A:J,8,FALSE),"")</f>
        <v>No</v>
      </c>
      <c r="H164" s="66" t="str">
        <f>IFERROR(VLOOKUP(D164&amp;J164,'Target columns'!A:J,5,FALSE),"")</f>
        <v>NULL</v>
      </c>
      <c r="I164" s="66" t="str">
        <f>IFERROR(VLOOKUP(D164&amp;J164,'Target columns'!A:J,10,FALSE),"")</f>
        <v>Номер договора</v>
      </c>
      <c r="J164" s="12" t="s">
        <v>500</v>
      </c>
      <c r="K164" s="65" t="s">
        <v>166</v>
      </c>
      <c r="L164" s="66" t="str">
        <f>IFERROR(VLOOKUP(K164&amp;N164,source_columns[[Seek]:[Описание поля]],4,0),"")</f>
        <v>text</v>
      </c>
      <c r="M164" s="66" t="str">
        <f>IFERROR(VLOOKUP(K164&amp;N164,source_columns[[Seek]:[Описание поля]],7,0),"")</f>
        <v>Референс</v>
      </c>
      <c r="N164" s="65" t="s">
        <v>388</v>
      </c>
      <c r="O164" s="65"/>
      <c r="P164" s="65"/>
      <c r="Q164" s="65"/>
      <c r="R164" s="65"/>
      <c r="S164" s="298"/>
      <c r="T164" s="65"/>
      <c r="U164" s="65"/>
      <c r="V164" s="66" t="str">
        <f>"n308000046_"&amp;IFERROR(VLOOKUP(D164,target_tables[],5,0),"&lt;not found&gt;")</f>
        <v>n308000046_agr_accred</v>
      </c>
      <c r="W164" s="65" t="s">
        <v>273</v>
      </c>
      <c r="X164" s="65"/>
      <c r="Y164" s="65"/>
      <c r="Z164" s="65"/>
      <c r="AA164" s="65"/>
      <c r="AB164" s="65"/>
      <c r="AC164" s="65"/>
      <c r="AD164" s="65"/>
      <c r="AE164" s="65"/>
      <c r="AF164" s="299"/>
      <c r="AG164" s="10"/>
      <c r="AH164" s="65"/>
      <c r="AI164" s="67"/>
      <c r="AJ164" s="68"/>
      <c r="AK164" s="69"/>
    </row>
    <row r="165" spans="1:37" ht="12.75" hidden="1" customHeight="1" x14ac:dyDescent="0.3">
      <c r="A165" s="92">
        <v>1350</v>
      </c>
      <c r="B165" s="65" t="s">
        <v>125</v>
      </c>
      <c r="C165" s="65" t="str">
        <f>IFERROR(VLOOKUP(D165,'Target tables'!A:B,2,0),"")</f>
        <v>Договор аккредитива ЮЛ</v>
      </c>
      <c r="D165" s="12" t="s">
        <v>83</v>
      </c>
      <c r="E165" s="66" t="str">
        <f>IFERROR(VLOOKUP(D165&amp;J165,'Target columns'!A:J,4,FALSE),"")</f>
        <v>uuid</v>
      </c>
      <c r="F165" s="66" t="str">
        <f>IFERROR(VLOOKUP(D165&amp;J165,'Target columns'!A:J,7,FALSE),"")</f>
        <v>No</v>
      </c>
      <c r="G165" s="66" t="str">
        <f>IFERROR(VLOOKUP(D165&amp;J165,'Target columns'!A:J,8,FALSE),"")</f>
        <v>Yes</v>
      </c>
      <c r="H165" s="66" t="str">
        <f>IFERROR(VLOOKUP(D165&amp;J165,'Target columns'!A:J,5,FALSE),"")</f>
        <v>NULL</v>
      </c>
      <c r="I165" s="66" t="str">
        <f>IFERROR(VLOOKUP(D165&amp;J165,'Target columns'!A:J,10,FALSE),"")</f>
        <v>Идентификатор типа договора</v>
      </c>
      <c r="J165" s="12" t="s">
        <v>501</v>
      </c>
      <c r="K165" s="65" t="s">
        <v>166</v>
      </c>
      <c r="L165" s="66" t="str">
        <f>IFERROR(VLOOKUP(K165&amp;N165,source_columns[[Seek]:[Описание поля]],4,0),"")</f>
        <v>uuid</v>
      </c>
      <c r="M165" s="66" t="str">
        <f>IFERROR(VLOOKUP(K165&amp;N165,source_columns[[Seek]:[Описание поля]],7,0),"")</f>
        <v>SK(producttype)</v>
      </c>
      <c r="N165" s="65" t="s">
        <v>502</v>
      </c>
      <c r="O165" s="65"/>
      <c r="P165" s="65"/>
      <c r="Q165" s="65"/>
      <c r="R165" s="65"/>
      <c r="S165" s="298"/>
      <c r="T165" s="65"/>
      <c r="U165" s="65"/>
      <c r="V165" s="66" t="str">
        <f>"n308000046_"&amp;IFERROR(VLOOKUP(D165,target_tables[],5,0),"&lt;not found&gt;")</f>
        <v>n308000046_agr_accred</v>
      </c>
      <c r="W165" s="65" t="s">
        <v>273</v>
      </c>
      <c r="X165" s="65"/>
      <c r="Y165" s="65"/>
      <c r="Z165" s="65"/>
      <c r="AA165" s="65"/>
      <c r="AB165" s="65"/>
      <c r="AC165" s="65"/>
      <c r="AD165" s="65"/>
      <c r="AE165" s="65"/>
      <c r="AF165" s="299"/>
      <c r="AG165" s="10"/>
      <c r="AH165" s="65"/>
      <c r="AI165" s="67"/>
      <c r="AJ165" s="68"/>
      <c r="AK165" s="69"/>
    </row>
    <row r="166" spans="1:37" ht="12.75" hidden="1" customHeight="1" x14ac:dyDescent="0.3">
      <c r="A166" s="92">
        <v>1360</v>
      </c>
      <c r="B166" s="65" t="s">
        <v>125</v>
      </c>
      <c r="C166" s="65" t="str">
        <f>IFERROR(VLOOKUP(D166,'Target tables'!A:B,2,0),"")</f>
        <v>Договор аккредитива ЮЛ</v>
      </c>
      <c r="D166" s="12" t="s">
        <v>83</v>
      </c>
      <c r="E166" s="66" t="str">
        <f>IFERROR(VLOOKUP(D166&amp;J166,'Target columns'!A:J,4,FALSE),"")</f>
        <v>date</v>
      </c>
      <c r="F166" s="66" t="str">
        <f>IFERROR(VLOOKUP(D166&amp;J166,'Target columns'!A:J,7,FALSE),"")</f>
        <v>No</v>
      </c>
      <c r="G166" s="66" t="str">
        <f>IFERROR(VLOOKUP(D166&amp;J166,'Target columns'!A:J,8,FALSE),"")</f>
        <v>No</v>
      </c>
      <c r="H166" s="66" t="str">
        <f>IFERROR(VLOOKUP(D166&amp;J166,'Target columns'!A:J,5,FALSE),"")</f>
        <v>NULL</v>
      </c>
      <c r="I166" s="66" t="str">
        <f>IFERROR(VLOOKUP(D166&amp;J166,'Target columns'!A:J,10,FALSE),"")</f>
        <v>Дата закрытия</v>
      </c>
      <c r="J166" s="12" t="s">
        <v>275</v>
      </c>
      <c r="K166" s="65" t="s">
        <v>166</v>
      </c>
      <c r="L166" s="66" t="str">
        <f>IFERROR(VLOOKUP(K166&amp;N166,source_columns[[Seek]:[Описание поля]],4,0),"")</f>
        <v>date</v>
      </c>
      <c r="M166" s="66" t="str">
        <f>IFERROR(VLOOKUP(K166&amp;N166,source_columns[[Seek]:[Описание поля]],7,0),"")</f>
        <v>Дата закрытия</v>
      </c>
      <c r="N166" s="65" t="s">
        <v>503</v>
      </c>
      <c r="O166" s="65"/>
      <c r="P166" s="65"/>
      <c r="Q166" s="65"/>
      <c r="R166" s="65"/>
      <c r="S166" s="298"/>
      <c r="T166" s="65"/>
      <c r="U166" s="65"/>
      <c r="V166" s="66" t="str">
        <f>"n308000046_"&amp;IFERROR(VLOOKUP(D166,target_tables[],5,0),"&lt;not found&gt;")</f>
        <v>n308000046_agr_accred</v>
      </c>
      <c r="W166" s="65" t="s">
        <v>273</v>
      </c>
      <c r="X166" s="65"/>
      <c r="Y166" s="65"/>
      <c r="Z166" s="65"/>
      <c r="AA166" s="65"/>
      <c r="AB166" s="65"/>
      <c r="AC166" s="65"/>
      <c r="AD166" s="65"/>
      <c r="AE166" s="65"/>
      <c r="AF166" s="299"/>
      <c r="AG166" s="10"/>
      <c r="AH166" s="65"/>
      <c r="AI166" s="67"/>
      <c r="AJ166" s="68"/>
      <c r="AK166" s="69"/>
    </row>
    <row r="167" spans="1:37" ht="12.75" hidden="1" customHeight="1" x14ac:dyDescent="0.3">
      <c r="A167" s="92">
        <v>1370</v>
      </c>
      <c r="B167" s="65" t="s">
        <v>125</v>
      </c>
      <c r="C167" s="65" t="str">
        <f>IFERROR(VLOOKUP(D167,'Target tables'!A:B,2,0),"")</f>
        <v>Договор аккредитива ЮЛ</v>
      </c>
      <c r="D167" s="12" t="s">
        <v>83</v>
      </c>
      <c r="E167" s="66" t="str">
        <f>IFERROR(VLOOKUP(D167&amp;J167,'Target columns'!A:J,4,FALSE),"")</f>
        <v>uuid</v>
      </c>
      <c r="F167" s="66" t="str">
        <f>IFERROR(VLOOKUP(D167&amp;J167,'Target columns'!A:J,7,FALSE),"")</f>
        <v>No</v>
      </c>
      <c r="G167" s="66" t="str">
        <f>IFERROR(VLOOKUP(D167&amp;J167,'Target columns'!A:J,8,FALSE),"")</f>
        <v>Yes</v>
      </c>
      <c r="H167" s="66" t="str">
        <f>IFERROR(VLOOKUP(D167&amp;J167,'Target columns'!A:J,5,FALSE),"")</f>
        <v>NULL</v>
      </c>
      <c r="I167" s="66" t="str">
        <f>IFERROR(VLOOKUP(D167&amp;J167,'Target columns'!A:J,10,FALSE),"")</f>
        <v>Валюта договора</v>
      </c>
      <c r="J167" s="12" t="s">
        <v>380</v>
      </c>
      <c r="K167" s="65" t="s">
        <v>166</v>
      </c>
      <c r="L167" s="66" t="str">
        <f>IFERROR(VLOOKUP(K167&amp;N167,source_columns[[Seek]:[Описание поля]],4,0),"")</f>
        <v>uuid</v>
      </c>
      <c r="M167" s="66" t="str">
        <f>IFERROR(VLOOKUP(K167&amp;N167,source_columns[[Seek]:[Описание поля]],7,0),"")</f>
        <v>SK(amountcurrencycode)</v>
      </c>
      <c r="N167" s="65" t="s">
        <v>504</v>
      </c>
      <c r="O167" s="65"/>
      <c r="P167" s="65"/>
      <c r="Q167" s="65"/>
      <c r="R167" s="65"/>
      <c r="S167" s="298"/>
      <c r="T167" s="65"/>
      <c r="U167" s="65"/>
      <c r="V167" s="66" t="str">
        <f>"n308000046_"&amp;IFERROR(VLOOKUP(D167,target_tables[],5,0),"&lt;not found&gt;")</f>
        <v>n308000046_agr_accred</v>
      </c>
      <c r="W167" s="65" t="s">
        <v>273</v>
      </c>
      <c r="X167" s="65"/>
      <c r="Y167" s="65"/>
      <c r="Z167" s="65"/>
      <c r="AA167" s="65"/>
      <c r="AB167" s="65"/>
      <c r="AC167" s="65"/>
      <c r="AD167" s="65"/>
      <c r="AE167" s="65"/>
      <c r="AF167" s="299"/>
      <c r="AG167" s="10"/>
      <c r="AH167" s="65"/>
      <c r="AI167" s="67"/>
      <c r="AJ167" s="68"/>
      <c r="AK167" s="69"/>
    </row>
    <row r="168" spans="1:37" ht="12.75" hidden="1" customHeight="1" x14ac:dyDescent="0.3">
      <c r="A168" s="92">
        <v>1380</v>
      </c>
      <c r="B168" s="65" t="s">
        <v>125</v>
      </c>
      <c r="C168" s="65" t="str">
        <f>IFERROR(VLOOKUP(D168,'Target tables'!A:B,2,0),"")</f>
        <v>Договор аккредитива ЮЛ</v>
      </c>
      <c r="D168" s="12" t="s">
        <v>83</v>
      </c>
      <c r="E168" s="66" t="str">
        <f>IFERROR(VLOOKUP(D168&amp;J168,'Target columns'!A:J,4,FALSE),"")</f>
        <v>date</v>
      </c>
      <c r="F168" s="66" t="str">
        <f>IFERROR(VLOOKUP(D168&amp;J168,'Target columns'!A:J,7,FALSE),"")</f>
        <v>No</v>
      </c>
      <c r="G168" s="66" t="str">
        <f>IFERROR(VLOOKUP(D168&amp;J168,'Target columns'!A:J,8,FALSE),"")</f>
        <v>No</v>
      </c>
      <c r="H168" s="66" t="str">
        <f>IFERROR(VLOOKUP(D168&amp;J168,'Target columns'!A:J,5,FALSE),"")</f>
        <v>NULL</v>
      </c>
      <c r="I168" s="66" t="str">
        <f>IFERROR(VLOOKUP(D168&amp;J168,'Target columns'!A:J,10,FALSE),"")</f>
        <v>Дата истечения</v>
      </c>
      <c r="J168" s="12" t="s">
        <v>291</v>
      </c>
      <c r="K168" s="65" t="s">
        <v>166</v>
      </c>
      <c r="L168" s="66" t="str">
        <f>IFERROR(VLOOKUP(K168&amp;N168,source_columns[[Seek]:[Описание поля]],4,0),"")</f>
        <v>date</v>
      </c>
      <c r="M168" s="66" t="str">
        <f>IFERROR(VLOOKUP(K168&amp;N168,source_columns[[Seek]:[Описание поля]],7,0),"")</f>
        <v>Дата истечения</v>
      </c>
      <c r="N168" s="65" t="s">
        <v>505</v>
      </c>
      <c r="O168" s="65"/>
      <c r="P168" s="65"/>
      <c r="Q168" s="65"/>
      <c r="R168" s="65"/>
      <c r="S168" s="298"/>
      <c r="T168" s="65"/>
      <c r="U168" s="65"/>
      <c r="V168" s="66" t="str">
        <f>"n308000046_"&amp;IFERROR(VLOOKUP(D168,target_tables[],5,0),"&lt;not found&gt;")</f>
        <v>n308000046_agr_accred</v>
      </c>
      <c r="W168" s="65" t="s">
        <v>273</v>
      </c>
      <c r="X168" s="65"/>
      <c r="Y168" s="65"/>
      <c r="Z168" s="65"/>
      <c r="AA168" s="65"/>
      <c r="AB168" s="65"/>
      <c r="AC168" s="65"/>
      <c r="AD168" s="65"/>
      <c r="AE168" s="65"/>
      <c r="AF168" s="299"/>
      <c r="AG168" s="10"/>
      <c r="AH168" s="65"/>
      <c r="AI168" s="67"/>
      <c r="AJ168" s="68"/>
      <c r="AK168" s="69"/>
    </row>
    <row r="169" spans="1:37" ht="12.75" hidden="1" customHeight="1" x14ac:dyDescent="0.3">
      <c r="A169" s="92">
        <v>1390</v>
      </c>
      <c r="B169" s="65" t="s">
        <v>125</v>
      </c>
      <c r="C169" s="65" t="str">
        <f>IFERROR(VLOOKUP(D169,'Target tables'!A:B,2,0),"")</f>
        <v>Договор аккредитива ЮЛ</v>
      </c>
      <c r="D169" s="12" t="s">
        <v>83</v>
      </c>
      <c r="E169" s="66" t="str">
        <f>IFERROR(VLOOKUP(D169&amp;J169,'Target columns'!A:J,4,FALSE),"")</f>
        <v>text</v>
      </c>
      <c r="F169" s="66" t="str">
        <f>IFERROR(VLOOKUP(D169&amp;J169,'Target columns'!A:J,7,FALSE),"")</f>
        <v>No</v>
      </c>
      <c r="G169" s="66" t="str">
        <f>IFERROR(VLOOKUP(D169&amp;J169,'Target columns'!A:J,8,FALSE),"")</f>
        <v>No</v>
      </c>
      <c r="H169" s="66" t="str">
        <f>IFERROR(VLOOKUP(D169&amp;J169,'Target columns'!A:J,5,FALSE),"")</f>
        <v>NULL</v>
      </c>
      <c r="I169" s="66" t="str">
        <f>IFERROR(VLOOKUP(D169&amp;J169,'Target columns'!A:J,10,FALSE),"")</f>
        <v>Номер аккредитива банка-эмитента</v>
      </c>
      <c r="J169" s="12" t="s">
        <v>506</v>
      </c>
      <c r="K169" s="65" t="s">
        <v>166</v>
      </c>
      <c r="L169" s="66" t="str">
        <f>IFERROR(VLOOKUP(K169&amp;N169,source_columns[[Seek]:[Описание поля]],4,0),"")</f>
        <v>text</v>
      </c>
      <c r="M169" s="66" t="str">
        <f>IFERROR(VLOOKUP(K169&amp;N169,source_columns[[Seek]:[Описание поля]],7,0),"")</f>
        <v>Связанный референс сделки</v>
      </c>
      <c r="N169" s="65" t="s">
        <v>507</v>
      </c>
      <c r="O169" s="65"/>
      <c r="P169" s="65"/>
      <c r="Q169" s="65"/>
      <c r="R169" s="65"/>
      <c r="S169" s="298"/>
      <c r="T169" s="65"/>
      <c r="U169" s="65"/>
      <c r="V169" s="66" t="str">
        <f>"n308000046_"&amp;IFERROR(VLOOKUP(D169,target_tables[],5,0),"&lt;not found&gt;")</f>
        <v>n308000046_agr_accred</v>
      </c>
      <c r="W169" s="65" t="s">
        <v>273</v>
      </c>
      <c r="X169" s="65"/>
      <c r="Y169" s="65"/>
      <c r="Z169" s="65"/>
      <c r="AA169" s="65"/>
      <c r="AB169" s="65"/>
      <c r="AC169" s="65"/>
      <c r="AD169" s="65"/>
      <c r="AE169" s="65"/>
      <c r="AF169" s="299"/>
      <c r="AG169" s="10"/>
      <c r="AH169" s="65"/>
      <c r="AI169" s="67"/>
      <c r="AJ169" s="68"/>
      <c r="AK169" s="69"/>
    </row>
    <row r="170" spans="1:37" ht="12.75" hidden="1" customHeight="1" x14ac:dyDescent="0.3">
      <c r="A170" s="92">
        <v>1400</v>
      </c>
      <c r="B170" s="65" t="s">
        <v>125</v>
      </c>
      <c r="C170" s="65" t="str">
        <f>IFERROR(VLOOKUP(D170,'Target tables'!A:B,2,0),"")</f>
        <v>Договор аккредитива ЮЛ</v>
      </c>
      <c r="D170" s="12" t="s">
        <v>83</v>
      </c>
      <c r="E170" s="66" t="str">
        <f>IFERROR(VLOOKUP(D170&amp;J170,'Target columns'!A:J,4,FALSE),"")</f>
        <v>date</v>
      </c>
      <c r="F170" s="66" t="str">
        <f>IFERROR(VLOOKUP(D170&amp;J170,'Target columns'!A:J,7,FALSE),"")</f>
        <v>No</v>
      </c>
      <c r="G170" s="66" t="str">
        <f>IFERROR(VLOOKUP(D170&amp;J170,'Target columns'!A:J,8,FALSE),"")</f>
        <v>No</v>
      </c>
      <c r="H170" s="66" t="str">
        <f>IFERROR(VLOOKUP(D170&amp;J170,'Target columns'!A:J,5,FALSE),"")</f>
        <v>NULL</v>
      </c>
      <c r="I170" s="66" t="str">
        <f>IFERROR(VLOOKUP(D170&amp;J170,'Target columns'!A:J,10,FALSE),"")</f>
        <v>Дата открытия</v>
      </c>
      <c r="J170" s="12" t="s">
        <v>271</v>
      </c>
      <c r="K170" s="65" t="s">
        <v>166</v>
      </c>
      <c r="L170" s="66" t="str">
        <f>IFERROR(VLOOKUP(K170&amp;N170,source_columns[[Seek]:[Описание поля]],4,0),"")</f>
        <v>date</v>
      </c>
      <c r="M170" s="66" t="str">
        <f>IFERROR(VLOOKUP(K170&amp;N170,source_columns[[Seek]:[Описание поля]],7,0),"")</f>
        <v>Дата открытия</v>
      </c>
      <c r="N170" s="65" t="s">
        <v>508</v>
      </c>
      <c r="O170" s="65"/>
      <c r="P170" s="65"/>
      <c r="Q170" s="65"/>
      <c r="R170" s="65"/>
      <c r="S170" s="298"/>
      <c r="T170" s="65"/>
      <c r="U170" s="65"/>
      <c r="V170" s="66" t="str">
        <f>"n308000046_"&amp;IFERROR(VLOOKUP(D170,target_tables[],5,0),"&lt;not found&gt;")</f>
        <v>n308000046_agr_accred</v>
      </c>
      <c r="W170" s="65" t="s">
        <v>273</v>
      </c>
      <c r="X170" s="65"/>
      <c r="Y170" s="65"/>
      <c r="Z170" s="65"/>
      <c r="AA170" s="65"/>
      <c r="AB170" s="65"/>
      <c r="AC170" s="65"/>
      <c r="AD170" s="65"/>
      <c r="AE170" s="65"/>
      <c r="AF170" s="299"/>
      <c r="AG170" s="10"/>
      <c r="AH170" s="65"/>
      <c r="AI170" s="67"/>
      <c r="AJ170" s="68"/>
      <c r="AK170" s="69"/>
    </row>
    <row r="171" spans="1:37" ht="12.75" hidden="1" customHeight="1" x14ac:dyDescent="0.3">
      <c r="A171" s="92">
        <v>1410</v>
      </c>
      <c r="B171" s="65" t="s">
        <v>125</v>
      </c>
      <c r="C171" s="65" t="str">
        <f>IFERROR(VLOOKUP(D171,'Target tables'!A:B,2,0),"")</f>
        <v>Договор аккредитива ЮЛ</v>
      </c>
      <c r="D171" s="12" t="s">
        <v>83</v>
      </c>
      <c r="E171" s="66" t="str">
        <f>IFERROR(VLOOKUP(D171&amp;J171,'Target columns'!A:J,4,FALSE),"")</f>
        <v>text</v>
      </c>
      <c r="F171" s="66" t="str">
        <f>IFERROR(VLOOKUP(D171&amp;J171,'Target columns'!A:J,7,FALSE),"")</f>
        <v>No</v>
      </c>
      <c r="G171" s="66" t="str">
        <f>IFERROR(VLOOKUP(D171&amp;J171,'Target columns'!A:J,8,FALSE),"")</f>
        <v>No</v>
      </c>
      <c r="H171" s="66" t="str">
        <f>IFERROR(VLOOKUP(D171&amp;J171,'Target columns'!A:J,5,FALSE),"")</f>
        <v>NULL</v>
      </c>
      <c r="I171" s="66" t="str">
        <f>IFERROR(VLOOKUP(D171&amp;J171,'Target columns'!A:J,10,FALSE),"")</f>
        <v>Идентификатор договора аккредитива ЮЛ в системе-источнике</v>
      </c>
      <c r="J171" s="12" t="s">
        <v>509</v>
      </c>
      <c r="K171" s="65" t="s">
        <v>166</v>
      </c>
      <c r="L171" s="66" t="str">
        <f>IFERROR(VLOOKUP(K171&amp;N171,source_columns[[Seek]:[Описание поля]],4,0),"")</f>
        <v>text</v>
      </c>
      <c r="M171" s="66" t="str">
        <f>IFERROR(VLOOKUP(K171&amp;N171,source_columns[[Seek]:[Описание поля]],7,0),"")</f>
        <v>Референс</v>
      </c>
      <c r="N171" s="65" t="s">
        <v>388</v>
      </c>
      <c r="O171" s="65"/>
      <c r="P171" s="65"/>
      <c r="Q171" s="65"/>
      <c r="R171" s="65"/>
      <c r="S171" s="298"/>
      <c r="T171" s="65"/>
      <c r="U171" s="65"/>
      <c r="V171" s="66" t="str">
        <f>"n308000046_"&amp;IFERROR(VLOOKUP(D171,target_tables[],5,0),"&lt;not found&gt;")</f>
        <v>n308000046_agr_accred</v>
      </c>
      <c r="W171" s="65" t="s">
        <v>273</v>
      </c>
      <c r="X171" s="65"/>
      <c r="Y171" s="65"/>
      <c r="Z171" s="65"/>
      <c r="AA171" s="65"/>
      <c r="AB171" s="65"/>
      <c r="AC171" s="65"/>
      <c r="AD171" s="65"/>
      <c r="AE171" s="65"/>
      <c r="AF171" s="299"/>
      <c r="AG171" s="10"/>
      <c r="AH171" s="65"/>
      <c r="AI171" s="67"/>
      <c r="AJ171" s="68"/>
      <c r="AK171" s="69"/>
    </row>
    <row r="172" spans="1:37" ht="12.75" hidden="1" customHeight="1" x14ac:dyDescent="0.3">
      <c r="A172" s="93">
        <v>1411</v>
      </c>
      <c r="B172" s="71" t="s">
        <v>125</v>
      </c>
      <c r="C172" s="71" t="str">
        <f>IFERROR(VLOOKUP(D172,'Target tables'!A:B,2,0),"")</f>
        <v>Договор аккредитива ЮЛ</v>
      </c>
      <c r="D172" s="18" t="s">
        <v>83</v>
      </c>
      <c r="E172" s="73" t="str">
        <f>IFERROR(VLOOKUP(D172&amp;J172,'Target columns'!A:J,4,FALSE),"")</f>
        <v>uuid</v>
      </c>
      <c r="F172" s="73" t="str">
        <f>IFERROR(VLOOKUP(D172&amp;J172,'Target columns'!A:J,7,FALSE),"")</f>
        <v>No</v>
      </c>
      <c r="G172" s="73" t="str">
        <f>IFERROR(VLOOKUP(D172&amp;J172,'Target columns'!A:J,8,FALSE),"")</f>
        <v>Yes</v>
      </c>
      <c r="H172" s="73" t="str">
        <f>IFERROR(VLOOKUP(D172&amp;J172,'Target columns'!A:J,5,FALSE),"")</f>
        <v>NULL</v>
      </c>
      <c r="I172" s="73" t="str">
        <f>IFERROR(VLOOKUP(D172&amp;J172,'Target columns'!A:J,10,FALSE),"")</f>
        <v>Уникальный идентификатор генсоглашения</v>
      </c>
      <c r="J172" s="18" t="s">
        <v>452</v>
      </c>
      <c r="K172" s="71" t="s">
        <v>166</v>
      </c>
      <c r="L172" s="73" t="str">
        <f>IFERROR(VLOOKUP(K172&amp;N172,source_columns[[Seek]:[Описание поля]],4,0),"")</f>
        <v>uuid</v>
      </c>
      <c r="M172" s="73" t="str">
        <f>IFERROR(VLOOKUP(K172&amp;N172,source_columns[[Seek]:[Описание поля]],7,0),"")</f>
        <v>SK(generalagreementfactoryid)</v>
      </c>
      <c r="N172" s="71" t="s">
        <v>510</v>
      </c>
      <c r="O172" s="71"/>
      <c r="P172" s="71"/>
      <c r="Q172" s="71"/>
      <c r="R172" s="71"/>
      <c r="S172" s="298"/>
      <c r="T172" s="71"/>
      <c r="U172" s="71"/>
      <c r="V172" s="73" t="str">
        <f>"n308000046_"&amp;IFERROR(VLOOKUP(D172,target_tables[],5,0),"&lt;not found&gt;")</f>
        <v>n308000046_agr_accred</v>
      </c>
      <c r="W172" s="71" t="s">
        <v>273</v>
      </c>
      <c r="X172" s="71"/>
      <c r="Y172" s="71"/>
      <c r="Z172" s="71"/>
      <c r="AA172" s="71"/>
      <c r="AB172" s="71"/>
      <c r="AC172" s="71"/>
      <c r="AD172" s="71"/>
      <c r="AE172" s="71"/>
      <c r="AF172" s="299"/>
      <c r="AG172" s="27"/>
      <c r="AH172" s="71"/>
      <c r="AI172" s="74"/>
      <c r="AJ172" s="75"/>
      <c r="AK172" s="69"/>
    </row>
    <row r="173" spans="1:37" ht="12.75" hidden="1" customHeight="1" x14ac:dyDescent="0.25">
      <c r="A173" s="88">
        <v>1420</v>
      </c>
      <c r="B173" s="77" t="s">
        <v>125</v>
      </c>
      <c r="C173" s="77" t="str">
        <f>IFERROR(VLOOKUP(D173,'Target tables'!A:B,2,0),"")</f>
        <v>Тип договора аккредитива ЮЛ</v>
      </c>
      <c r="D173" s="208" t="s">
        <v>88</v>
      </c>
      <c r="E173" s="78" t="str">
        <f>IFERROR(VLOOKUP(D173&amp;J173,'Target columns'!A:J,4,FALSE),"")</f>
        <v>uuid</v>
      </c>
      <c r="F173" s="78" t="str">
        <f>IFERROR(VLOOKUP(D173&amp;J173,'Target columns'!A:J,7,FALSE),"")</f>
        <v>Yes</v>
      </c>
      <c r="G173" s="78" t="str">
        <f>IFERROR(VLOOKUP(D173&amp;J173,'Target columns'!A:J,8,FALSE),"")</f>
        <v>No</v>
      </c>
      <c r="H173" s="78" t="str">
        <f>IFERROR(VLOOKUP(D173&amp;J173,'Target columns'!A:J,5,FALSE),"")</f>
        <v>NOT NULL</v>
      </c>
      <c r="I173" s="78" t="str">
        <f>IFERROR(VLOOKUP(D173&amp;J173,'Target columns'!A:J,10,FALSE),"")</f>
        <v>Идентификатор типа договора</v>
      </c>
      <c r="J173" s="23" t="s">
        <v>501</v>
      </c>
      <c r="K173" s="77" t="s">
        <v>296</v>
      </c>
      <c r="L173" s="78" t="str">
        <f>IFERROR(VLOOKUP(K173&amp;N173,source_columns[[Seek]:[Описание поля]],4,0),"")</f>
        <v/>
      </c>
      <c r="M173" s="78" t="str">
        <f>IFERROR(VLOOKUP(K173&amp;N173,source_columns[[Seek]:[Описание поля]],7,0),"")</f>
        <v/>
      </c>
      <c r="N173" s="23" t="s">
        <v>502</v>
      </c>
      <c r="O173" s="77"/>
      <c r="P173" s="201"/>
      <c r="Q173" s="77"/>
      <c r="R173" s="77"/>
      <c r="S173" s="300" t="s">
        <v>511</v>
      </c>
      <c r="T173" s="77"/>
      <c r="U173" s="77"/>
      <c r="V173" s="78" t="str">
        <f>"n308000046_"&amp;IFERROR(VLOOKUP(D173,target_tables[],5,0),"&lt;not found&gt;")</f>
        <v>n308000046_agr_accred_type</v>
      </c>
      <c r="W173" s="77" t="s">
        <v>269</v>
      </c>
      <c r="AF173" s="301" t="s">
        <v>270</v>
      </c>
      <c r="AG173" s="24"/>
      <c r="AH173" s="77"/>
      <c r="AI173" s="79"/>
      <c r="AJ173" s="80"/>
      <c r="AK173" s="69"/>
    </row>
    <row r="174" spans="1:37" ht="12.75" hidden="1" customHeight="1" x14ac:dyDescent="0.25">
      <c r="A174" s="108">
        <v>1430</v>
      </c>
      <c r="B174" s="65" t="s">
        <v>125</v>
      </c>
      <c r="C174" s="65" t="str">
        <f>IFERROR(VLOOKUP(D174,'Target tables'!A:B,2,0),"")</f>
        <v>Тип договора аккредитива ЮЛ</v>
      </c>
      <c r="D174" s="211" t="s">
        <v>88</v>
      </c>
      <c r="E174" s="66" t="str">
        <f>IFERROR(VLOOKUP(D174&amp;J174,'Target columns'!A:J,4,FALSE),"")</f>
        <v>text</v>
      </c>
      <c r="F174" s="66" t="str">
        <f>IFERROR(VLOOKUP(D174&amp;J174,'Target columns'!A:J,7,FALSE),"")</f>
        <v>No</v>
      </c>
      <c r="G174" s="66" t="str">
        <f>IFERROR(VLOOKUP(D174&amp;J174,'Target columns'!A:J,8,FALSE),"")</f>
        <v>No</v>
      </c>
      <c r="H174" s="66" t="str">
        <f>IFERROR(VLOOKUP(D174&amp;J174,'Target columns'!A:J,5,FALSE),"")</f>
        <v>NULL</v>
      </c>
      <c r="I174" s="66" t="str">
        <f>IFERROR(VLOOKUP(D174&amp;J174,'Target columns'!A:J,10,FALSE),"")</f>
        <v>Код типа договора</v>
      </c>
      <c r="J174" s="8" t="s">
        <v>512</v>
      </c>
      <c r="K174" s="65" t="s">
        <v>296</v>
      </c>
      <c r="L174" s="66" t="str">
        <f>IFERROR(VLOOKUP(K174&amp;N174,source_columns[[Seek]:[Описание поля]],4,0),"")</f>
        <v/>
      </c>
      <c r="M174" s="66" t="str">
        <f>IFERROR(VLOOKUP(K174&amp;N174,source_columns[[Seek]:[Описание поля]],7,0),"")</f>
        <v/>
      </c>
      <c r="N174" s="8" t="s">
        <v>513</v>
      </c>
      <c r="O174" s="65"/>
      <c r="P174" s="202"/>
      <c r="Q174" s="65"/>
      <c r="R174" s="65"/>
      <c r="S174" s="300"/>
      <c r="T174" s="65"/>
      <c r="U174" s="65"/>
      <c r="V174" s="66" t="str">
        <f>"n308000046_"&amp;IFERROR(VLOOKUP(D174,target_tables[],5,0),"&lt;not found&gt;")</f>
        <v>n308000046_agr_accred_type</v>
      </c>
      <c r="W174" s="65" t="s">
        <v>273</v>
      </c>
      <c r="AF174" s="301"/>
      <c r="AG174" s="10"/>
      <c r="AH174" s="65"/>
      <c r="AI174" s="67"/>
      <c r="AJ174" s="68"/>
      <c r="AK174" s="69"/>
    </row>
    <row r="175" spans="1:37" ht="12.75" hidden="1" customHeight="1" x14ac:dyDescent="0.25">
      <c r="A175" s="92">
        <v>1440</v>
      </c>
      <c r="B175" s="65" t="s">
        <v>125</v>
      </c>
      <c r="C175" s="65" t="str">
        <f>IFERROR(VLOOKUP(D175,'Target tables'!A:B,2,0),"")</f>
        <v>Тип договора аккредитива ЮЛ</v>
      </c>
      <c r="D175" s="211" t="s">
        <v>88</v>
      </c>
      <c r="E175" s="66" t="str">
        <f>IFERROR(VLOOKUP(D175&amp;J175,'Target columns'!A:J,4,FALSE),"")</f>
        <v>text</v>
      </c>
      <c r="F175" s="66" t="str">
        <f>IFERROR(VLOOKUP(D175&amp;J175,'Target columns'!A:J,7,FALSE),"")</f>
        <v>No</v>
      </c>
      <c r="G175" s="66" t="str">
        <f>IFERROR(VLOOKUP(D175&amp;J175,'Target columns'!A:J,8,FALSE),"")</f>
        <v>No</v>
      </c>
      <c r="H175" s="66" t="str">
        <f>IFERROR(VLOOKUP(D175&amp;J175,'Target columns'!A:J,5,FALSE),"")</f>
        <v>NULL</v>
      </c>
      <c r="I175" s="66" t="str">
        <f>IFERROR(VLOOKUP(D175&amp;J175,'Target columns'!A:J,10,FALSE),"")</f>
        <v>Наименование типа договора</v>
      </c>
      <c r="J175" s="8" t="s">
        <v>514</v>
      </c>
      <c r="K175" s="65" t="s">
        <v>296</v>
      </c>
      <c r="L175" s="66" t="str">
        <f>IFERROR(VLOOKUP(K175&amp;N175,source_columns[[Seek]:[Описание поля]],4,0),"")</f>
        <v/>
      </c>
      <c r="M175" s="66" t="str">
        <f>IFERROR(VLOOKUP(K175&amp;N175,source_columns[[Seek]:[Описание поля]],7,0),"")</f>
        <v/>
      </c>
      <c r="N175" s="8"/>
      <c r="O175" s="65"/>
      <c r="P175" s="202"/>
      <c r="Q175" s="65"/>
      <c r="R175" s="65"/>
      <c r="S175" s="300"/>
      <c r="T175" s="65"/>
      <c r="U175" s="65"/>
      <c r="V175" s="66" t="str">
        <f>"n308000046_"&amp;IFERROR(VLOOKUP(D175,target_tables[],5,0),"&lt;not found&gt;")</f>
        <v>n308000046_agr_accred_type</v>
      </c>
      <c r="W175" s="65" t="s">
        <v>273</v>
      </c>
      <c r="AF175" s="301"/>
      <c r="AG175" s="10"/>
      <c r="AH175" s="65"/>
      <c r="AI175" s="67"/>
      <c r="AJ175" s="68"/>
      <c r="AK175" s="69"/>
    </row>
    <row r="176" spans="1:37" ht="12.75" hidden="1" customHeight="1" x14ac:dyDescent="0.25">
      <c r="A176" s="109">
        <v>1450</v>
      </c>
      <c r="B176" s="71" t="s">
        <v>125</v>
      </c>
      <c r="C176" s="71" t="str">
        <f>IFERROR(VLOOKUP(D176,'Target tables'!A:B,2,0),"")</f>
        <v>Тип договора аккредитива ЮЛ</v>
      </c>
      <c r="D176" s="212" t="s">
        <v>88</v>
      </c>
      <c r="E176" s="73" t="str">
        <f>IFERROR(VLOOKUP(D176&amp;J176,'Target columns'!A:J,4,FALSE),"")</f>
        <v>text</v>
      </c>
      <c r="F176" s="73" t="str">
        <f>IFERROR(VLOOKUP(D176&amp;J176,'Target columns'!A:J,7,FALSE),"")</f>
        <v>No</v>
      </c>
      <c r="G176" s="73" t="str">
        <f>IFERROR(VLOOKUP(D176&amp;J176,'Target columns'!A:J,8,FALSE),"")</f>
        <v>No</v>
      </c>
      <c r="H176" s="73" t="str">
        <f>IFERROR(VLOOKUP(D176&amp;J176,'Target columns'!A:J,5,FALSE),"")</f>
        <v>NULL</v>
      </c>
      <c r="I176" s="73" t="str">
        <f>IFERROR(VLOOKUP(D176&amp;J176,'Target columns'!A:J,10,FALSE),"")</f>
        <v>Идентификатор типа договора в системе-источнике</v>
      </c>
      <c r="J176" s="20" t="s">
        <v>515</v>
      </c>
      <c r="K176" s="71" t="s">
        <v>296</v>
      </c>
      <c r="L176" s="73" t="str">
        <f>IFERROR(VLOOKUP(K176&amp;N176,source_columns[[Seek]:[Описание поля]],4,0),"")</f>
        <v/>
      </c>
      <c r="M176" s="73" t="str">
        <f>IFERROR(VLOOKUP(K176&amp;N176,source_columns[[Seek]:[Описание поля]],7,0),"")</f>
        <v/>
      </c>
      <c r="N176" s="20" t="s">
        <v>513</v>
      </c>
      <c r="O176" s="71"/>
      <c r="P176" s="203"/>
      <c r="Q176" s="71"/>
      <c r="R176" s="71"/>
      <c r="S176" s="300"/>
      <c r="T176" s="71"/>
      <c r="U176" s="71"/>
      <c r="V176" s="73" t="str">
        <f>"n308000046_"&amp;IFERROR(VLOOKUP(D176,target_tables[],5,0),"&lt;not found&gt;")</f>
        <v>n308000046_agr_accred_type</v>
      </c>
      <c r="W176" s="71" t="s">
        <v>273</v>
      </c>
      <c r="X176" s="110"/>
      <c r="Y176" s="110"/>
      <c r="Z176" s="110"/>
      <c r="AA176" s="110"/>
      <c r="AB176" s="110"/>
      <c r="AC176" s="110"/>
      <c r="AD176" s="110"/>
      <c r="AE176" s="110"/>
      <c r="AF176" s="301"/>
      <c r="AG176" s="27"/>
      <c r="AH176" s="71"/>
      <c r="AI176" s="74"/>
      <c r="AJ176" s="75"/>
      <c r="AK176" s="69"/>
    </row>
    <row r="177" spans="1:37" ht="12.75" hidden="1" customHeight="1" x14ac:dyDescent="0.25">
      <c r="A177" s="107">
        <v>1460</v>
      </c>
      <c r="B177" s="82" t="s">
        <v>125</v>
      </c>
      <c r="C177" s="82" t="str">
        <f>IFERROR(VLOOKUP(D177,'Target tables'!A:B,2,0),"")</f>
        <v>Характеристики договора аккредитива ЮЛ</v>
      </c>
      <c r="D177" s="23" t="s">
        <v>85</v>
      </c>
      <c r="E177" s="78" t="str">
        <f>IFERROR(VLOOKUP(D177&amp;J177,'Target columns'!A:J,4,FALSE),"")</f>
        <v>uuid</v>
      </c>
      <c r="F177" s="78" t="str">
        <f>IFERROR(VLOOKUP(D177&amp;J177,'Target columns'!A:J,7,FALSE),"")</f>
        <v>Yes</v>
      </c>
      <c r="G177" s="78" t="str">
        <f>IFERROR(VLOOKUP(D177&amp;J177,'Target columns'!A:J,8,FALSE),"")</f>
        <v>Yes</v>
      </c>
      <c r="H177" s="78" t="str">
        <f>IFERROR(VLOOKUP(D177&amp;J177,'Target columns'!A:J,5,FALSE),"")</f>
        <v>NULL</v>
      </c>
      <c r="I177" s="78" t="str">
        <f>IFERROR(VLOOKUP(D177&amp;J177,'Target columns'!A:J,10,FALSE),"")</f>
        <v>Идентификатор договора аккредитива ЮЛ</v>
      </c>
      <c r="J177" s="23" t="s">
        <v>495</v>
      </c>
      <c r="K177" s="77" t="s">
        <v>296</v>
      </c>
      <c r="L177" s="78" t="str">
        <f>IFERROR(VLOOKUP(K177&amp;N177,source_columns[[Seek]:[Описание поля]],4,0),"")</f>
        <v/>
      </c>
      <c r="M177" s="78" t="str">
        <f>IFERROR(VLOOKUP(K177&amp;N177,source_columns[[Seek]:[Описание поля]],7,0),"")</f>
        <v/>
      </c>
      <c r="N177" s="23" t="s">
        <v>496</v>
      </c>
      <c r="O177" s="77"/>
      <c r="P177" s="201"/>
      <c r="Q177" s="77"/>
      <c r="R177" s="77"/>
      <c r="S177" s="270" t="s">
        <v>516</v>
      </c>
      <c r="T177" s="82"/>
      <c r="U177" s="82"/>
      <c r="V177" s="84" t="str">
        <f>"n308000046_"&amp;IFERROR(VLOOKUP(D177,target_tables[],5,0),"&lt;not found&gt;")</f>
        <v>n308000046_agr_accred_fin</v>
      </c>
      <c r="W177" s="82" t="s">
        <v>269</v>
      </c>
      <c r="X177" s="111"/>
      <c r="Y177" s="111"/>
      <c r="Z177" s="111"/>
      <c r="AA177" s="111"/>
      <c r="AB177" s="111"/>
      <c r="AC177" s="111"/>
      <c r="AD177" s="111"/>
      <c r="AE177" s="111"/>
      <c r="AF177" s="299" t="s">
        <v>342</v>
      </c>
      <c r="AG177" s="83"/>
      <c r="AH177" s="82"/>
      <c r="AI177" s="90"/>
      <c r="AJ177" s="91"/>
      <c r="AK177" s="69"/>
    </row>
    <row r="178" spans="1:37" ht="12.75" hidden="1" customHeight="1" x14ac:dyDescent="0.25">
      <c r="A178" s="108">
        <v>1470</v>
      </c>
      <c r="B178" s="65" t="s">
        <v>125</v>
      </c>
      <c r="C178" s="65" t="str">
        <f>IFERROR(VLOOKUP(D178,'Target tables'!A:B,2,0),"")</f>
        <v>Характеристики договора аккредитива ЮЛ</v>
      </c>
      <c r="D178" s="8" t="s">
        <v>85</v>
      </c>
      <c r="E178" s="66" t="str">
        <f>IFERROR(VLOOKUP(D178&amp;J178,'Target columns'!A:J,4,FALSE),"")</f>
        <v>date</v>
      </c>
      <c r="F178" s="66" t="str">
        <f>IFERROR(VLOOKUP(D178&amp;J178,'Target columns'!A:J,7,FALSE),"")</f>
        <v>Yes</v>
      </c>
      <c r="G178" s="66" t="str">
        <f>IFERROR(VLOOKUP(D178&amp;J178,'Target columns'!A:J,8,FALSE),"")</f>
        <v>No</v>
      </c>
      <c r="H178" s="66" t="str">
        <f>IFERROR(VLOOKUP(D178&amp;J178,'Target columns'!A:J,5,FALSE),"")</f>
        <v>NOT NULL</v>
      </c>
      <c r="I178" s="66" t="str">
        <f>IFERROR(VLOOKUP(D178&amp;J178,'Target columns'!A:J,10,FALSE),"")</f>
        <v>Дата начала действия</v>
      </c>
      <c r="J178" s="8" t="s">
        <v>329</v>
      </c>
      <c r="K178" s="65" t="s">
        <v>296</v>
      </c>
      <c r="L178" s="66" t="str">
        <f>IFERROR(VLOOKUP(K178&amp;N178,source_columns[[Seek]:[Описание поля]],4,0),"")</f>
        <v/>
      </c>
      <c r="M178" s="66" t="str">
        <f>IFERROR(VLOOKUP(K178&amp;N178,source_columns[[Seek]:[Описание поля]],7,0),"")</f>
        <v/>
      </c>
      <c r="N178" s="8" t="s">
        <v>517</v>
      </c>
      <c r="O178" s="65"/>
      <c r="P178" s="202"/>
      <c r="Q178" s="65"/>
      <c r="R178" s="65"/>
      <c r="S178" s="278"/>
      <c r="T178" s="65"/>
      <c r="U178" s="65"/>
      <c r="V178" s="66" t="str">
        <f>"n308000046_"&amp;IFERROR(VLOOKUP(D178,target_tables[],5,0),"&lt;not found&gt;")</f>
        <v>n308000046_agr_accred_fin</v>
      </c>
      <c r="W178" s="65" t="s">
        <v>330</v>
      </c>
      <c r="AF178" s="299"/>
      <c r="AG178" s="10"/>
      <c r="AH178" s="65"/>
      <c r="AI178" s="67"/>
      <c r="AJ178" s="68"/>
      <c r="AK178" s="69"/>
    </row>
    <row r="179" spans="1:37" ht="12.75" hidden="1" customHeight="1" x14ac:dyDescent="0.25">
      <c r="A179" s="92">
        <v>1480</v>
      </c>
      <c r="B179" s="65" t="s">
        <v>125</v>
      </c>
      <c r="C179" s="65" t="str">
        <f>IFERROR(VLOOKUP(D179,'Target tables'!A:B,2,0),"")</f>
        <v>Характеристики договора аккредитива ЮЛ</v>
      </c>
      <c r="D179" s="8" t="s">
        <v>85</v>
      </c>
      <c r="E179" s="66" t="str">
        <f>IFERROR(VLOOKUP(D179&amp;J179,'Target columns'!A:J,4,FALSE),"")</f>
        <v>numeric</v>
      </c>
      <c r="F179" s="66" t="str">
        <f>IFERROR(VLOOKUP(D179&amp;J179,'Target columns'!A:J,7,FALSE),"")</f>
        <v>No</v>
      </c>
      <c r="G179" s="66" t="str">
        <f>IFERROR(VLOOKUP(D179&amp;J179,'Target columns'!A:J,8,FALSE),"")</f>
        <v>No</v>
      </c>
      <c r="H179" s="66" t="str">
        <f>IFERROR(VLOOKUP(D179&amp;J179,'Target columns'!A:J,5,FALSE),"")</f>
        <v>NULL</v>
      </c>
      <c r="I179" s="66" t="str">
        <f>IFERROR(VLOOKUP(D179&amp;J179,'Target columns'!A:J,10,FALSE),"")</f>
        <v>Сумма договора</v>
      </c>
      <c r="J179" s="8" t="s">
        <v>518</v>
      </c>
      <c r="K179" s="65" t="s">
        <v>296</v>
      </c>
      <c r="L179" s="66" t="str">
        <f>IFERROR(VLOOKUP(K179&amp;N179,source_columns[[Seek]:[Описание поля]],4,0),"")</f>
        <v/>
      </c>
      <c r="M179" s="66" t="str">
        <f>IFERROR(VLOOKUP(K179&amp;N179,source_columns[[Seek]:[Описание поля]],7,0),"")</f>
        <v/>
      </c>
      <c r="N179" s="8" t="s">
        <v>519</v>
      </c>
      <c r="O179" s="65"/>
      <c r="P179" s="202"/>
      <c r="Q179" s="65"/>
      <c r="R179" s="65"/>
      <c r="S179" s="278"/>
      <c r="T179" s="65"/>
      <c r="U179" s="65"/>
      <c r="V179" s="66" t="str">
        <f>"n308000046_"&amp;IFERROR(VLOOKUP(D179,target_tables[],5,0),"&lt;not found&gt;")</f>
        <v>n308000046_agr_accred_fin</v>
      </c>
      <c r="W179" s="65" t="s">
        <v>273</v>
      </c>
      <c r="AF179" s="299"/>
      <c r="AG179" s="10"/>
      <c r="AH179" s="65"/>
      <c r="AI179" s="67"/>
      <c r="AJ179" s="68"/>
      <c r="AK179" s="69"/>
    </row>
    <row r="180" spans="1:37" ht="12.75" hidden="1" customHeight="1" x14ac:dyDescent="0.25">
      <c r="A180" s="108">
        <v>1490</v>
      </c>
      <c r="B180" s="65" t="s">
        <v>125</v>
      </c>
      <c r="C180" s="65" t="str">
        <f>IFERROR(VLOOKUP(D180,'Target tables'!A:B,2,0),"")</f>
        <v>Характеристики договора аккредитива ЮЛ</v>
      </c>
      <c r="D180" s="8" t="s">
        <v>85</v>
      </c>
      <c r="E180" s="66" t="str">
        <f>IFERROR(VLOOKUP(D180&amp;J180,'Target columns'!A:J,4,FALSE),"")</f>
        <v>text</v>
      </c>
      <c r="F180" s="66" t="str">
        <f>IFERROR(VLOOKUP(D180&amp;J180,'Target columns'!A:J,7,FALSE),"")</f>
        <v>No</v>
      </c>
      <c r="G180" s="66" t="str">
        <f>IFERROR(VLOOKUP(D180&amp;J180,'Target columns'!A:J,8,FALSE),"")</f>
        <v>No</v>
      </c>
      <c r="H180" s="66" t="str">
        <f>IFERROR(VLOOKUP(D180&amp;J180,'Target columns'!A:J,5,FALSE),"")</f>
        <v>NULL</v>
      </c>
      <c r="I180" s="66" t="str">
        <f>IFERROR(VLOOKUP(D180&amp;J180,'Target columns'!A:J,10,FALSE),"")</f>
        <v>Флаг покрытия ЭКА</v>
      </c>
      <c r="J180" s="8" t="s">
        <v>520</v>
      </c>
      <c r="K180" s="65" t="s">
        <v>296</v>
      </c>
      <c r="L180" s="66" t="str">
        <f>IFERROR(VLOOKUP(K180&amp;N180,source_columns[[Seek]:[Описание поля]],4,0),"")</f>
        <v/>
      </c>
      <c r="M180" s="66" t="str">
        <f>IFERROR(VLOOKUP(K180&amp;N180,source_columns[[Seek]:[Описание поля]],7,0),"")</f>
        <v/>
      </c>
      <c r="N180" s="8" t="s">
        <v>520</v>
      </c>
      <c r="O180" s="65"/>
      <c r="P180" s="202"/>
      <c r="Q180" s="65"/>
      <c r="R180" s="65"/>
      <c r="S180" s="278"/>
      <c r="T180" s="65"/>
      <c r="U180" s="65"/>
      <c r="V180" s="66" t="str">
        <f>"n308000046_"&amp;IFERROR(VLOOKUP(D180,target_tables[],5,0),"&lt;not found&gt;")</f>
        <v>n308000046_agr_accred_fin</v>
      </c>
      <c r="W180" s="65" t="s">
        <v>273</v>
      </c>
      <c r="AF180" s="299"/>
      <c r="AG180" s="10"/>
      <c r="AH180" s="65"/>
      <c r="AI180" s="67"/>
      <c r="AJ180" s="68"/>
      <c r="AK180" s="69"/>
    </row>
    <row r="181" spans="1:37" ht="12.75" hidden="1" customHeight="1" x14ac:dyDescent="0.25">
      <c r="A181" s="92">
        <v>1500</v>
      </c>
      <c r="B181" s="65" t="s">
        <v>125</v>
      </c>
      <c r="C181" s="65" t="str">
        <f>IFERROR(VLOOKUP(D181,'Target tables'!A:B,2,0),"")</f>
        <v>Характеристики договора аккредитива ЮЛ</v>
      </c>
      <c r="D181" s="8" t="s">
        <v>85</v>
      </c>
      <c r="E181" s="66" t="str">
        <f>IFERROR(VLOOKUP(D181&amp;J181,'Target columns'!A:J,4,FALSE),"")</f>
        <v>date</v>
      </c>
      <c r="F181" s="66" t="str">
        <f>IFERROR(VLOOKUP(D181&amp;J181,'Target columns'!A:J,7,FALSE),"")</f>
        <v>No</v>
      </c>
      <c r="G181" s="66" t="str">
        <f>IFERROR(VLOOKUP(D181&amp;J181,'Target columns'!A:J,8,FALSE),"")</f>
        <v>No</v>
      </c>
      <c r="H181" s="66" t="str">
        <f>IFERROR(VLOOKUP(D181&amp;J181,'Target columns'!A:J,5,FALSE),"")</f>
        <v>NULL</v>
      </c>
      <c r="I181" s="66" t="str">
        <f>IFERROR(VLOOKUP(D181&amp;J181,'Target columns'!A:J,10,FALSE),"")</f>
        <v>Дата окончания финансирования</v>
      </c>
      <c r="J181" s="8" t="s">
        <v>521</v>
      </c>
      <c r="K181" s="65" t="s">
        <v>296</v>
      </c>
      <c r="L181" s="66" t="str">
        <f>IFERROR(VLOOKUP(K181&amp;N181,source_columns[[Seek]:[Описание поля]],4,0),"")</f>
        <v/>
      </c>
      <c r="M181" s="66" t="str">
        <f>IFERROR(VLOOKUP(K181&amp;N181,source_columns[[Seek]:[Описание поля]],7,0),"")</f>
        <v/>
      </c>
      <c r="N181" s="8" t="s">
        <v>522</v>
      </c>
      <c r="O181" s="65"/>
      <c r="P181" s="202"/>
      <c r="Q181" s="65"/>
      <c r="R181" s="65"/>
      <c r="S181" s="278"/>
      <c r="T181" s="65"/>
      <c r="U181" s="65"/>
      <c r="V181" s="66" t="str">
        <f>"n308000046_"&amp;IFERROR(VLOOKUP(D181,target_tables[],5,0),"&lt;not found&gt;")</f>
        <v>n308000046_agr_accred_fin</v>
      </c>
      <c r="W181" s="65" t="s">
        <v>273</v>
      </c>
      <c r="AF181" s="299"/>
      <c r="AG181" s="10"/>
      <c r="AH181" s="65"/>
      <c r="AI181" s="67"/>
      <c r="AJ181" s="68"/>
      <c r="AK181" s="69"/>
    </row>
    <row r="182" spans="1:37" ht="12.75" hidden="1" customHeight="1" x14ac:dyDescent="0.25">
      <c r="A182" s="108">
        <v>1510</v>
      </c>
      <c r="B182" s="65" t="s">
        <v>125</v>
      </c>
      <c r="C182" s="65" t="str">
        <f>IFERROR(VLOOKUP(D182,'Target tables'!A:B,2,0),"")</f>
        <v>Характеристики договора аккредитива ЮЛ</v>
      </c>
      <c r="D182" s="8" t="s">
        <v>85</v>
      </c>
      <c r="E182" s="66" t="str">
        <f>IFERROR(VLOOKUP(D182&amp;J182,'Target columns'!A:J,4,FALSE),"")</f>
        <v>numeric</v>
      </c>
      <c r="F182" s="66" t="str">
        <f>IFERROR(VLOOKUP(D182&amp;J182,'Target columns'!A:J,7,FALSE),"")</f>
        <v>No</v>
      </c>
      <c r="G182" s="66" t="str">
        <f>IFERROR(VLOOKUP(D182&amp;J182,'Target columns'!A:J,8,FALSE),"")</f>
        <v>No</v>
      </c>
      <c r="H182" s="66" t="str">
        <f>IFERROR(VLOOKUP(D182&amp;J182,'Target columns'!A:J,5,FALSE),"")</f>
        <v>NULL</v>
      </c>
      <c r="I182" s="66" t="str">
        <f>IFERROR(VLOOKUP(D182&amp;J182,'Target columns'!A:J,10,FALSE),"")</f>
        <v>Отсрочка бенефициара. Срок</v>
      </c>
      <c r="J182" s="8" t="s">
        <v>523</v>
      </c>
      <c r="K182" s="65" t="s">
        <v>296</v>
      </c>
      <c r="L182" s="66" t="str">
        <f>IFERROR(VLOOKUP(K182&amp;N182,source_columns[[Seek]:[Описание поля]],4,0),"")</f>
        <v/>
      </c>
      <c r="M182" s="66" t="str">
        <f>IFERROR(VLOOKUP(K182&amp;N182,source_columns[[Seek]:[Описание поля]],7,0),"")</f>
        <v/>
      </c>
      <c r="N182" s="8" t="s">
        <v>524</v>
      </c>
      <c r="O182" s="65"/>
      <c r="P182" s="202"/>
      <c r="Q182" s="65"/>
      <c r="R182" s="65"/>
      <c r="S182" s="278"/>
      <c r="T182" s="65"/>
      <c r="U182" s="65"/>
      <c r="V182" s="66" t="str">
        <f>"n308000046_"&amp;IFERROR(VLOOKUP(D182,target_tables[],5,0),"&lt;not found&gt;")</f>
        <v>n308000046_agr_accred_fin</v>
      </c>
      <c r="W182" s="65" t="s">
        <v>273</v>
      </c>
      <c r="AF182" s="299"/>
      <c r="AG182" s="10"/>
      <c r="AH182" s="65"/>
      <c r="AI182" s="67"/>
      <c r="AJ182" s="68"/>
      <c r="AK182" s="69"/>
    </row>
    <row r="183" spans="1:37" ht="12.75" hidden="1" customHeight="1" x14ac:dyDescent="0.25">
      <c r="A183" s="92">
        <v>1520</v>
      </c>
      <c r="B183" s="65" t="s">
        <v>125</v>
      </c>
      <c r="C183" s="65" t="str">
        <f>IFERROR(VLOOKUP(D183,'Target tables'!A:B,2,0),"")</f>
        <v>Характеристики договора аккредитива ЮЛ</v>
      </c>
      <c r="D183" s="8" t="s">
        <v>85</v>
      </c>
      <c r="E183" s="66" t="str">
        <f>IFERROR(VLOOKUP(D183&amp;J183,'Target columns'!A:J,4,FALSE),"")</f>
        <v>date</v>
      </c>
      <c r="F183" s="66" t="str">
        <f>IFERROR(VLOOKUP(D183&amp;J183,'Target columns'!A:J,7,FALSE),"")</f>
        <v>No</v>
      </c>
      <c r="G183" s="66" t="str">
        <f>IFERROR(VLOOKUP(D183&amp;J183,'Target columns'!A:J,8,FALSE),"")</f>
        <v>No</v>
      </c>
      <c r="H183" s="66" t="str">
        <f>IFERROR(VLOOKUP(D183&amp;J183,'Target columns'!A:J,5,FALSE),"")</f>
        <v>NULL</v>
      </c>
      <c r="I183" s="66" t="str">
        <f>IFERROR(VLOOKUP(D183&amp;J183,'Target columns'!A:J,10,FALSE),"")</f>
        <v>Отсрочка бенефициара. Фиксированная дата отсрочки платежа</v>
      </c>
      <c r="J183" s="8" t="s">
        <v>525</v>
      </c>
      <c r="K183" s="65" t="s">
        <v>296</v>
      </c>
      <c r="L183" s="66" t="str">
        <f>IFERROR(VLOOKUP(K183&amp;N183,source_columns[[Seek]:[Описание поля]],4,0),"")</f>
        <v/>
      </c>
      <c r="M183" s="66" t="str">
        <f>IFERROR(VLOOKUP(K183&amp;N183,source_columns[[Seek]:[Описание поля]],7,0),"")</f>
        <v/>
      </c>
      <c r="N183" s="8" t="s">
        <v>526</v>
      </c>
      <c r="O183" s="65"/>
      <c r="P183" s="202"/>
      <c r="Q183" s="65"/>
      <c r="R183" s="65"/>
      <c r="S183" s="278"/>
      <c r="T183" s="65"/>
      <c r="U183" s="65"/>
      <c r="V183" s="66" t="str">
        <f>"n308000046_"&amp;IFERROR(VLOOKUP(D183,target_tables[],5,0),"&lt;not found&gt;")</f>
        <v>n308000046_agr_accred_fin</v>
      </c>
      <c r="W183" s="65" t="s">
        <v>273</v>
      </c>
      <c r="AF183" s="299"/>
      <c r="AG183" s="10"/>
      <c r="AH183" s="65"/>
      <c r="AI183" s="67"/>
      <c r="AJ183" s="68"/>
      <c r="AK183" s="69"/>
    </row>
    <row r="184" spans="1:37" ht="12.75" hidden="1" customHeight="1" x14ac:dyDescent="0.25">
      <c r="A184" s="108">
        <v>1530</v>
      </c>
      <c r="B184" s="65" t="s">
        <v>125</v>
      </c>
      <c r="C184" s="65" t="str">
        <f>IFERROR(VLOOKUP(D184,'Target tables'!A:B,2,0),"")</f>
        <v>Характеристики договора аккредитива ЮЛ</v>
      </c>
      <c r="D184" s="8" t="s">
        <v>85</v>
      </c>
      <c r="E184" s="66" t="str">
        <f>IFERROR(VLOOKUP(D184&amp;J184,'Target columns'!A:J,4,FALSE),"")</f>
        <v>text</v>
      </c>
      <c r="F184" s="66" t="str">
        <f>IFERROR(VLOOKUP(D184&amp;J184,'Target columns'!A:J,7,FALSE),"")</f>
        <v>No</v>
      </c>
      <c r="G184" s="66" t="str">
        <f>IFERROR(VLOOKUP(D184&amp;J184,'Target columns'!A:J,8,FALSE),"")</f>
        <v>No</v>
      </c>
      <c r="H184" s="66" t="str">
        <f>IFERROR(VLOOKUP(D184&amp;J184,'Target columns'!A:J,5,FALSE),"")</f>
        <v>NULL</v>
      </c>
      <c r="I184" s="66" t="str">
        <f>IFERROR(VLOOKUP(D184&amp;J184,'Target columns'!A:J,10,FALSE),"")</f>
        <v>Флаг возможности досрочного платежа</v>
      </c>
      <c r="J184" s="8" t="s">
        <v>527</v>
      </c>
      <c r="K184" s="65" t="s">
        <v>296</v>
      </c>
      <c r="L184" s="66" t="str">
        <f>IFERROR(VLOOKUP(K184&amp;N184,source_columns[[Seek]:[Описание поля]],4,0),"")</f>
        <v/>
      </c>
      <c r="M184" s="66" t="str">
        <f>IFERROR(VLOOKUP(K184&amp;N184,source_columns[[Seek]:[Описание поля]],7,0),"")</f>
        <v/>
      </c>
      <c r="N184" s="8" t="s">
        <v>527</v>
      </c>
      <c r="O184" s="65"/>
      <c r="P184" s="202"/>
      <c r="Q184" s="65"/>
      <c r="R184" s="65"/>
      <c r="S184" s="278"/>
      <c r="T184" s="65"/>
      <c r="U184" s="65"/>
      <c r="V184" s="66" t="str">
        <f>"n308000046_"&amp;IFERROR(VLOOKUP(D184,target_tables[],5,0),"&lt;not found&gt;")</f>
        <v>n308000046_agr_accred_fin</v>
      </c>
      <c r="W184" s="65" t="s">
        <v>273</v>
      </c>
      <c r="AF184" s="299"/>
      <c r="AG184" s="10"/>
      <c r="AH184" s="65"/>
      <c r="AI184" s="67"/>
      <c r="AJ184" s="68"/>
      <c r="AK184" s="69"/>
    </row>
    <row r="185" spans="1:37" ht="12.75" hidden="1" customHeight="1" x14ac:dyDescent="0.25">
      <c r="A185" s="92">
        <v>1540</v>
      </c>
      <c r="B185" s="65" t="s">
        <v>125</v>
      </c>
      <c r="C185" s="65" t="str">
        <f>IFERROR(VLOOKUP(D185,'Target tables'!A:B,2,0),"")</f>
        <v>Характеристики договора аккредитива ЮЛ</v>
      </c>
      <c r="D185" s="8" t="s">
        <v>85</v>
      </c>
      <c r="E185" s="66" t="str">
        <f>IFERROR(VLOOKUP(D185&amp;J185,'Target columns'!A:J,4,FALSE),"")</f>
        <v>text</v>
      </c>
      <c r="F185" s="66" t="str">
        <f>IFERROR(VLOOKUP(D185&amp;J185,'Target columns'!A:J,7,FALSE),"")</f>
        <v>No</v>
      </c>
      <c r="G185" s="66" t="str">
        <f>IFERROR(VLOOKUP(D185&amp;J185,'Target columns'!A:J,8,FALSE),"")</f>
        <v>No</v>
      </c>
      <c r="H185" s="66" t="str">
        <f>IFERROR(VLOOKUP(D185&amp;J185,'Target columns'!A:J,5,FALSE),"")</f>
        <v>NULL</v>
      </c>
      <c r="I185" s="66" t="str">
        <f>IFERROR(VLOOKUP(D185&amp;J185,'Target columns'!A:J,10,FALSE),"")</f>
        <v>Флаг отзывного аккредитива</v>
      </c>
      <c r="J185" s="8" t="s">
        <v>528</v>
      </c>
      <c r="K185" s="65" t="s">
        <v>296</v>
      </c>
      <c r="L185" s="66" t="str">
        <f>IFERROR(VLOOKUP(K185&amp;N185,source_columns[[Seek]:[Описание поля]],4,0),"")</f>
        <v/>
      </c>
      <c r="M185" s="66" t="str">
        <f>IFERROR(VLOOKUP(K185&amp;N185,source_columns[[Seek]:[Описание поля]],7,0),"")</f>
        <v/>
      </c>
      <c r="N185" s="8" t="s">
        <v>528</v>
      </c>
      <c r="O185" s="65"/>
      <c r="P185" s="202"/>
      <c r="Q185" s="65"/>
      <c r="R185" s="65"/>
      <c r="S185" s="278"/>
      <c r="T185" s="65"/>
      <c r="U185" s="65"/>
      <c r="V185" s="66" t="str">
        <f>"n308000046_"&amp;IFERROR(VLOOKUP(D185,target_tables[],5,0),"&lt;not found&gt;")</f>
        <v>n308000046_agr_accred_fin</v>
      </c>
      <c r="W185" s="65" t="s">
        <v>273</v>
      </c>
      <c r="AF185" s="299"/>
      <c r="AG185" s="10"/>
      <c r="AH185" s="65"/>
      <c r="AI185" s="67"/>
      <c r="AJ185" s="68"/>
      <c r="AK185" s="69"/>
    </row>
    <row r="186" spans="1:37" ht="12.75" hidden="1" customHeight="1" x14ac:dyDescent="0.25">
      <c r="A186" s="108">
        <v>1550</v>
      </c>
      <c r="B186" s="65" t="s">
        <v>125</v>
      </c>
      <c r="C186" s="65" t="str">
        <f>IFERROR(VLOOKUP(D186,'Target tables'!A:B,2,0),"")</f>
        <v>Характеристики договора аккредитива ЮЛ</v>
      </c>
      <c r="D186" s="8" t="s">
        <v>85</v>
      </c>
      <c r="E186" s="66" t="str">
        <f>IFERROR(VLOOKUP(D186&amp;J186,'Target columns'!A:J,4,FALSE),"")</f>
        <v>uuid</v>
      </c>
      <c r="F186" s="66" t="str">
        <f>IFERROR(VLOOKUP(D186&amp;J186,'Target columns'!A:J,7,FALSE),"")</f>
        <v>No</v>
      </c>
      <c r="G186" s="66" t="str">
        <f>IFERROR(VLOOKUP(D186&amp;J186,'Target columns'!A:J,8,FALSE),"")</f>
        <v>Yes</v>
      </c>
      <c r="H186" s="66" t="str">
        <f>IFERROR(VLOOKUP(D186&amp;J186,'Target columns'!A:J,5,FALSE),"")</f>
        <v>NULL</v>
      </c>
      <c r="I186" s="66" t="str">
        <f>IFERROR(VLOOKUP(D186&amp;J186,'Target columns'!A:J,10,FALSE),"")</f>
        <v>Идентификатор источника формирования покрытия</v>
      </c>
      <c r="J186" s="8" t="s">
        <v>529</v>
      </c>
      <c r="K186" s="65" t="s">
        <v>296</v>
      </c>
      <c r="L186" s="66" t="str">
        <f>IFERROR(VLOOKUP(K186&amp;N186,source_columns[[Seek]:[Описание поля]],4,0),"")</f>
        <v/>
      </c>
      <c r="M186" s="66" t="str">
        <f>IFERROR(VLOOKUP(K186&amp;N186,source_columns[[Seek]:[Описание поля]],7,0),"")</f>
        <v/>
      </c>
      <c r="N186" s="8" t="s">
        <v>530</v>
      </c>
      <c r="O186" s="65"/>
      <c r="P186" s="202"/>
      <c r="Q186" s="65"/>
      <c r="R186" s="65"/>
      <c r="S186" s="278"/>
      <c r="T186" s="65"/>
      <c r="U186" s="65"/>
      <c r="V186" s="66" t="str">
        <f>"n308000046_"&amp;IFERROR(VLOOKUP(D186,target_tables[],5,0),"&lt;not found&gt;")</f>
        <v>n308000046_agr_accred_fin</v>
      </c>
      <c r="W186" s="65" t="s">
        <v>273</v>
      </c>
      <c r="AF186" s="299"/>
      <c r="AG186" s="10"/>
      <c r="AH186" s="65"/>
      <c r="AI186" s="67"/>
      <c r="AJ186" s="68"/>
      <c r="AK186" s="69"/>
    </row>
    <row r="187" spans="1:37" ht="12.75" hidden="1" customHeight="1" x14ac:dyDescent="0.25">
      <c r="A187" s="92">
        <v>1560</v>
      </c>
      <c r="B187" s="65" t="s">
        <v>125</v>
      </c>
      <c r="C187" s="65" t="str">
        <f>IFERROR(VLOOKUP(D187,'Target tables'!A:B,2,0),"")</f>
        <v>Характеристики договора аккредитива ЮЛ</v>
      </c>
      <c r="D187" s="8" t="s">
        <v>85</v>
      </c>
      <c r="E187" s="66" t="str">
        <f>IFERROR(VLOOKUP(D187&amp;J187,'Target columns'!A:J,4,FALSE),"")</f>
        <v>uuid</v>
      </c>
      <c r="F187" s="66" t="str">
        <f>IFERROR(VLOOKUP(D187&amp;J187,'Target columns'!A:J,7,FALSE),"")</f>
        <v>No</v>
      </c>
      <c r="G187" s="66" t="str">
        <f>IFERROR(VLOOKUP(D187&amp;J187,'Target columns'!A:J,8,FALSE),"")</f>
        <v>Yes</v>
      </c>
      <c r="H187" s="66" t="str">
        <f>IFERROR(VLOOKUP(D187&amp;J187,'Target columns'!A:J,5,FALSE),"")</f>
        <v>NULL</v>
      </c>
      <c r="I187" s="66" t="str">
        <f>IFERROR(VLOOKUP(D187&amp;J187,'Target columns'!A:J,10,FALSE),"")</f>
        <v>Идентификатор типа периода отсрочки</v>
      </c>
      <c r="J187" s="8" t="s">
        <v>531</v>
      </c>
      <c r="K187" s="65" t="s">
        <v>296</v>
      </c>
      <c r="L187" s="66" t="str">
        <f>IFERROR(VLOOKUP(K187&amp;N187,source_columns[[Seek]:[Описание поля]],4,0),"")</f>
        <v/>
      </c>
      <c r="M187" s="66" t="str">
        <f>IFERROR(VLOOKUP(K187&amp;N187,source_columns[[Seek]:[Описание поля]],7,0),"")</f>
        <v/>
      </c>
      <c r="N187" s="8" t="s">
        <v>532</v>
      </c>
      <c r="O187" s="65"/>
      <c r="P187" s="202"/>
      <c r="Q187" s="65"/>
      <c r="R187" s="65"/>
      <c r="S187" s="278"/>
      <c r="T187" s="65"/>
      <c r="U187" s="65"/>
      <c r="V187" s="66" t="str">
        <f>"n308000046_"&amp;IFERROR(VLOOKUP(D187,target_tables[],5,0),"&lt;not found&gt;")</f>
        <v>n308000046_agr_accred_fin</v>
      </c>
      <c r="W187" s="65" t="s">
        <v>273</v>
      </c>
      <c r="AF187" s="299"/>
      <c r="AG187" s="10"/>
      <c r="AH187" s="65"/>
      <c r="AI187" s="67"/>
      <c r="AJ187" s="68"/>
      <c r="AK187" s="69"/>
    </row>
    <row r="188" spans="1:37" ht="12.75" hidden="1" customHeight="1" x14ac:dyDescent="0.25">
      <c r="A188" s="108">
        <v>1570</v>
      </c>
      <c r="B188" s="65" t="s">
        <v>125</v>
      </c>
      <c r="C188" s="65" t="str">
        <f>IFERROR(VLOOKUP(D188,'Target tables'!A:B,2,0),"")</f>
        <v>Характеристики договора аккредитива ЮЛ</v>
      </c>
      <c r="D188" s="8" t="s">
        <v>85</v>
      </c>
      <c r="E188" s="66" t="str">
        <f>IFERROR(VLOOKUP(D188&amp;J188,'Target columns'!A:J,4,FALSE),"")</f>
        <v>uuid</v>
      </c>
      <c r="F188" s="66" t="str">
        <f>IFERROR(VLOOKUP(D188&amp;J188,'Target columns'!A:J,7,FALSE),"")</f>
        <v>No</v>
      </c>
      <c r="G188" s="66" t="str">
        <f>IFERROR(VLOOKUP(D188&amp;J188,'Target columns'!A:J,8,FALSE),"")</f>
        <v>Yes</v>
      </c>
      <c r="H188" s="66" t="str">
        <f>IFERROR(VLOOKUP(D188&amp;J188,'Target columns'!A:J,5,FALSE),"")</f>
        <v>NULL</v>
      </c>
      <c r="I188" s="66" t="str">
        <f>IFERROR(VLOOKUP(D188&amp;J188,'Target columns'!A:J,10,FALSE),"")</f>
        <v>Идентификатор схемы распределения доходов</v>
      </c>
      <c r="J188" s="8" t="s">
        <v>533</v>
      </c>
      <c r="K188" s="65" t="s">
        <v>296</v>
      </c>
      <c r="L188" s="66" t="str">
        <f>IFERROR(VLOOKUP(K188&amp;N188,source_columns[[Seek]:[Описание поля]],4,0),"")</f>
        <v/>
      </c>
      <c r="M188" s="66" t="str">
        <f>IFERROR(VLOOKUP(K188&amp;N188,source_columns[[Seek]:[Описание поля]],7,0),"")</f>
        <v/>
      </c>
      <c r="N188" s="8" t="s">
        <v>534</v>
      </c>
      <c r="O188" s="65"/>
      <c r="P188" s="202"/>
      <c r="Q188" s="65"/>
      <c r="R188" s="65"/>
      <c r="S188" s="278"/>
      <c r="T188" s="65"/>
      <c r="U188" s="65"/>
      <c r="V188" s="66" t="str">
        <f>"n308000046_"&amp;IFERROR(VLOOKUP(D188,target_tables[],5,0),"&lt;not found&gt;")</f>
        <v>n308000046_agr_accred_fin</v>
      </c>
      <c r="W188" s="65" t="s">
        <v>273</v>
      </c>
      <c r="AF188" s="299"/>
      <c r="AG188" s="10"/>
      <c r="AH188" s="65"/>
      <c r="AI188" s="67"/>
      <c r="AJ188" s="68"/>
      <c r="AK188" s="69"/>
    </row>
    <row r="189" spans="1:37" ht="12.75" hidden="1" customHeight="1" x14ac:dyDescent="0.25">
      <c r="A189" s="93">
        <v>1580</v>
      </c>
      <c r="B189" s="71" t="s">
        <v>125</v>
      </c>
      <c r="C189" s="71" t="str">
        <f>IFERROR(VLOOKUP(D189,'Target tables'!A:B,2,0),"")</f>
        <v>Характеристики договора аккредитива ЮЛ</v>
      </c>
      <c r="D189" s="20" t="s">
        <v>85</v>
      </c>
      <c r="E189" s="73" t="str">
        <f>IFERROR(VLOOKUP(D189&amp;J189,'Target columns'!A:J,4,FALSE),"")</f>
        <v>date</v>
      </c>
      <c r="F189" s="73" t="str">
        <f>IFERROR(VLOOKUP(D189&amp;J189,'Target columns'!A:J,7,FALSE),"")</f>
        <v>No</v>
      </c>
      <c r="G189" s="73" t="str">
        <f>IFERROR(VLOOKUP(D189&amp;J189,'Target columns'!A:J,8,FALSE),"")</f>
        <v>No</v>
      </c>
      <c r="H189" s="73" t="str">
        <f>IFERROR(VLOOKUP(D189&amp;J189,'Target columns'!A:J,5,FALSE),"")</f>
        <v>NULL</v>
      </c>
      <c r="I189" s="73" t="str">
        <f>IFERROR(VLOOKUP(D189&amp;J189,'Target columns'!A:J,10,FALSE),"")</f>
        <v>Дата окончания действия</v>
      </c>
      <c r="J189" s="20" t="s">
        <v>331</v>
      </c>
      <c r="K189" s="71" t="s">
        <v>296</v>
      </c>
      <c r="L189" s="73" t="str">
        <f>IFERROR(VLOOKUP(K189&amp;N189,source_columns[[Seek]:[Описание поля]],4,0),"")</f>
        <v/>
      </c>
      <c r="M189" s="73" t="str">
        <f>IFERROR(VLOOKUP(K189&amp;N189,source_columns[[Seek]:[Описание поля]],7,0),"")</f>
        <v/>
      </c>
      <c r="N189" s="20" t="s">
        <v>535</v>
      </c>
      <c r="O189" s="71"/>
      <c r="P189" s="203"/>
      <c r="Q189" s="71"/>
      <c r="R189" s="71"/>
      <c r="S189" s="278"/>
      <c r="T189" s="71"/>
      <c r="U189" s="71"/>
      <c r="V189" s="73" t="str">
        <f>"n308000046_"&amp;IFERROR(VLOOKUP(D189,target_tables[],5,0),"&lt;not found&gt;")</f>
        <v>n308000046_agr_accred_fin</v>
      </c>
      <c r="W189" s="71" t="s">
        <v>332</v>
      </c>
      <c r="X189" s="110"/>
      <c r="Y189" s="110"/>
      <c r="Z189" s="110"/>
      <c r="AA189" s="110"/>
      <c r="AB189" s="110"/>
      <c r="AC189" s="110"/>
      <c r="AD189" s="110"/>
      <c r="AE189" s="110"/>
      <c r="AF189" s="299"/>
      <c r="AG189" s="27"/>
      <c r="AH189" s="71"/>
      <c r="AI189" s="74"/>
      <c r="AJ189" s="75"/>
      <c r="AK189" s="69"/>
    </row>
    <row r="190" spans="1:37" ht="12.75" hidden="1" customHeight="1" x14ac:dyDescent="0.25">
      <c r="A190" s="112">
        <v>1590</v>
      </c>
      <c r="B190" s="82" t="s">
        <v>125</v>
      </c>
      <c r="C190" s="82" t="str">
        <f>IFERROR(VLOOKUP(D190,'Target tables'!A:B,2,0),"")</f>
        <v>Тип источника формирования покрытия</v>
      </c>
      <c r="D190" s="23" t="s">
        <v>86</v>
      </c>
      <c r="E190" s="78" t="str">
        <f>IFERROR(VLOOKUP(D190&amp;J190,'Target columns'!A:J,4,FALSE),"")</f>
        <v>uuid</v>
      </c>
      <c r="F190" s="78" t="str">
        <f>IFERROR(VLOOKUP(D190&amp;J190,'Target columns'!A:J,7,FALSE),"")</f>
        <v>Yes</v>
      </c>
      <c r="G190" s="78" t="str">
        <f>IFERROR(VLOOKUP(D190&amp;J190,'Target columns'!A:J,8,FALSE),"")</f>
        <v>No</v>
      </c>
      <c r="H190" s="78" t="str">
        <f>IFERROR(VLOOKUP(D190&amp;J190,'Target columns'!A:J,5,FALSE),"")</f>
        <v>NOT NULL</v>
      </c>
      <c r="I190" s="78" t="str">
        <f>IFERROR(VLOOKUP(D190&amp;J190,'Target columns'!A:J,10,FALSE),"")</f>
        <v>Идентификатор источника формирования покрытия</v>
      </c>
      <c r="J190" s="23" t="s">
        <v>529</v>
      </c>
      <c r="K190" s="77" t="s">
        <v>296</v>
      </c>
      <c r="L190" s="78" t="str">
        <f>IFERROR(VLOOKUP(K190&amp;N190,source_columns[[Seek]:[Описание поля]],4,0),"")</f>
        <v/>
      </c>
      <c r="M190" s="78" t="str">
        <f>IFERROR(VLOOKUP(K190&amp;N190,source_columns[[Seek]:[Описание поля]],7,0),"")</f>
        <v/>
      </c>
      <c r="N190" s="23" t="s">
        <v>530</v>
      </c>
      <c r="O190" s="77"/>
      <c r="P190" s="201"/>
      <c r="Q190" s="77"/>
      <c r="R190" s="77"/>
      <c r="S190" s="270" t="s">
        <v>536</v>
      </c>
      <c r="T190" s="82"/>
      <c r="U190" s="82"/>
      <c r="V190" s="84" t="str">
        <f>"n308000046_"&amp;IFERROR(VLOOKUP(D190,target_tables[],5,0),"&lt;not found&gt;")</f>
        <v>n308000046_accred_cover_type</v>
      </c>
      <c r="W190" s="82" t="s">
        <v>269</v>
      </c>
      <c r="X190" s="111"/>
      <c r="Y190" s="111"/>
      <c r="Z190" s="111"/>
      <c r="AA190" s="111"/>
      <c r="AB190" s="111"/>
      <c r="AC190" s="111"/>
      <c r="AD190" s="111"/>
      <c r="AE190" s="111"/>
      <c r="AF190" s="299" t="s">
        <v>270</v>
      </c>
      <c r="AG190" s="83"/>
      <c r="AH190" s="82"/>
      <c r="AI190" s="90"/>
      <c r="AJ190" s="91"/>
      <c r="AK190" s="69"/>
    </row>
    <row r="191" spans="1:37" ht="12.75" hidden="1" customHeight="1" x14ac:dyDescent="0.25">
      <c r="A191" s="92">
        <v>1600</v>
      </c>
      <c r="B191" s="65" t="s">
        <v>125</v>
      </c>
      <c r="C191" s="65" t="str">
        <f>IFERROR(VLOOKUP(D191,'Target tables'!A:B,2,0),"")</f>
        <v>Тип источника формирования покрытия</v>
      </c>
      <c r="D191" s="8" t="s">
        <v>86</v>
      </c>
      <c r="E191" s="66" t="str">
        <f>IFERROR(VLOOKUP(D191&amp;J191,'Target columns'!A:J,4,FALSE),"")</f>
        <v>text</v>
      </c>
      <c r="F191" s="66" t="str">
        <f>IFERROR(VLOOKUP(D191&amp;J191,'Target columns'!A:J,7,FALSE),"")</f>
        <v>No</v>
      </c>
      <c r="G191" s="66" t="str">
        <f>IFERROR(VLOOKUP(D191&amp;J191,'Target columns'!A:J,8,FALSE),"")</f>
        <v>No</v>
      </c>
      <c r="H191" s="66" t="str">
        <f>IFERROR(VLOOKUP(D191&amp;J191,'Target columns'!A:J,5,FALSE),"")</f>
        <v>NULL</v>
      </c>
      <c r="I191" s="66" t="str">
        <f>IFERROR(VLOOKUP(D191&amp;J191,'Target columns'!A:J,10,FALSE),"")</f>
        <v>Код источника формирования покрытия</v>
      </c>
      <c r="J191" s="8" t="s">
        <v>537</v>
      </c>
      <c r="K191" s="65" t="s">
        <v>296</v>
      </c>
      <c r="L191" s="66" t="str">
        <f>IFERROR(VLOOKUP(K191&amp;N191,source_columns[[Seek]:[Описание поля]],4,0),"")</f>
        <v/>
      </c>
      <c r="M191" s="66" t="str">
        <f>IFERROR(VLOOKUP(K191&amp;N191,source_columns[[Seek]:[Описание поля]],7,0),"")</f>
        <v/>
      </c>
      <c r="N191" s="8" t="s">
        <v>538</v>
      </c>
      <c r="O191" s="65"/>
      <c r="P191" s="202"/>
      <c r="Q191" s="65"/>
      <c r="R191" s="65"/>
      <c r="S191" s="278"/>
      <c r="T191" s="65"/>
      <c r="U191" s="65"/>
      <c r="V191" s="66" t="str">
        <f>"n308000046_"&amp;IFERROR(VLOOKUP(D191,target_tables[],5,0),"&lt;not found&gt;")</f>
        <v>n308000046_accred_cover_type</v>
      </c>
      <c r="W191" s="65" t="s">
        <v>273</v>
      </c>
      <c r="AF191" s="299"/>
      <c r="AG191" s="10"/>
      <c r="AH191" s="65"/>
      <c r="AI191" s="67"/>
      <c r="AJ191" s="68"/>
      <c r="AK191" s="69"/>
    </row>
    <row r="192" spans="1:37" ht="12.75" hidden="1" customHeight="1" x14ac:dyDescent="0.25">
      <c r="A192" s="108">
        <v>1610</v>
      </c>
      <c r="B192" s="65" t="s">
        <v>125</v>
      </c>
      <c r="C192" s="65" t="str">
        <f>IFERROR(VLOOKUP(D192,'Target tables'!A:B,2,0),"")</f>
        <v>Тип источника формирования покрытия</v>
      </c>
      <c r="D192" s="8" t="s">
        <v>86</v>
      </c>
      <c r="E192" s="66" t="str">
        <f>IFERROR(VLOOKUP(D192&amp;J192,'Target columns'!A:J,4,FALSE),"")</f>
        <v>text</v>
      </c>
      <c r="F192" s="66" t="str">
        <f>IFERROR(VLOOKUP(D192&amp;J192,'Target columns'!A:J,7,FALSE),"")</f>
        <v>No</v>
      </c>
      <c r="G192" s="66" t="str">
        <f>IFERROR(VLOOKUP(D192&amp;J192,'Target columns'!A:J,8,FALSE),"")</f>
        <v>No</v>
      </c>
      <c r="H192" s="66" t="str">
        <f>IFERROR(VLOOKUP(D192&amp;J192,'Target columns'!A:J,5,FALSE),"")</f>
        <v>NULL</v>
      </c>
      <c r="I192" s="66" t="str">
        <f>IFERROR(VLOOKUP(D192&amp;J192,'Target columns'!A:J,10,FALSE),"")</f>
        <v>Наименование источника формирования покрытия</v>
      </c>
      <c r="J192" s="8" t="s">
        <v>539</v>
      </c>
      <c r="K192" s="65" t="s">
        <v>296</v>
      </c>
      <c r="L192" s="66" t="str">
        <f>IFERROR(VLOOKUP(K192&amp;N192,source_columns[[Seek]:[Описание поля]],4,0),"")</f>
        <v/>
      </c>
      <c r="M192" s="66" t="str">
        <f>IFERROR(VLOOKUP(K192&amp;N192,source_columns[[Seek]:[Описание поля]],7,0),"")</f>
        <v/>
      </c>
      <c r="N192" s="8"/>
      <c r="O192" s="65"/>
      <c r="P192" s="202"/>
      <c r="Q192" s="65"/>
      <c r="R192" s="65"/>
      <c r="S192" s="278"/>
      <c r="T192" s="65"/>
      <c r="U192" s="65"/>
      <c r="V192" s="66" t="str">
        <f>"n308000046_"&amp;IFERROR(VLOOKUP(D192,target_tables[],5,0),"&lt;not found&gt;")</f>
        <v>n308000046_accred_cover_type</v>
      </c>
      <c r="W192" s="65" t="s">
        <v>273</v>
      </c>
      <c r="AF192" s="299"/>
      <c r="AG192" s="10"/>
      <c r="AH192" s="65"/>
      <c r="AI192" s="67"/>
      <c r="AJ192" s="68"/>
      <c r="AK192" s="69"/>
    </row>
    <row r="193" spans="1:37" ht="12.75" hidden="1" customHeight="1" x14ac:dyDescent="0.25">
      <c r="A193" s="93">
        <v>1620</v>
      </c>
      <c r="B193" s="71" t="s">
        <v>125</v>
      </c>
      <c r="C193" s="71" t="str">
        <f>IFERROR(VLOOKUP(D193,'Target tables'!A:B,2,0),"")</f>
        <v>Тип источника формирования покрытия</v>
      </c>
      <c r="D193" s="20" t="s">
        <v>86</v>
      </c>
      <c r="E193" s="73" t="str">
        <f>IFERROR(VLOOKUP(D193&amp;J193,'Target columns'!A:J,4,FALSE),"")</f>
        <v>text</v>
      </c>
      <c r="F193" s="73" t="str">
        <f>IFERROR(VLOOKUP(D193&amp;J193,'Target columns'!A:J,7,FALSE),"")</f>
        <v>No</v>
      </c>
      <c r="G193" s="73" t="str">
        <f>IFERROR(VLOOKUP(D193&amp;J193,'Target columns'!A:J,8,FALSE),"")</f>
        <v>No</v>
      </c>
      <c r="H193" s="73" t="str">
        <f>IFERROR(VLOOKUP(D193&amp;J193,'Target columns'!A:J,5,FALSE),"")</f>
        <v>NULL</v>
      </c>
      <c r="I193" s="73" t="str">
        <f>IFERROR(VLOOKUP(D193&amp;J193,'Target columns'!A:J,10,FALSE),"")</f>
        <v>Идентификатор источника формирования покрытия в системе-источнике</v>
      </c>
      <c r="J193" s="20" t="s">
        <v>540</v>
      </c>
      <c r="K193" s="71" t="s">
        <v>296</v>
      </c>
      <c r="L193" s="73" t="str">
        <f>IFERROR(VLOOKUP(K193&amp;N193,source_columns[[Seek]:[Описание поля]],4,0),"")</f>
        <v/>
      </c>
      <c r="M193" s="73" t="str">
        <f>IFERROR(VLOOKUP(K193&amp;N193,source_columns[[Seek]:[Описание поля]],7,0),"")</f>
        <v/>
      </c>
      <c r="N193" s="20" t="s">
        <v>538</v>
      </c>
      <c r="O193" s="71"/>
      <c r="P193" s="203"/>
      <c r="Q193" s="71"/>
      <c r="R193" s="71"/>
      <c r="S193" s="278"/>
      <c r="T193" s="71"/>
      <c r="U193" s="71"/>
      <c r="V193" s="73" t="str">
        <f>"n308000046_"&amp;IFERROR(VLOOKUP(D193,target_tables[],5,0),"&lt;not found&gt;")</f>
        <v>n308000046_accred_cover_type</v>
      </c>
      <c r="W193" s="71" t="s">
        <v>273</v>
      </c>
      <c r="X193" s="110"/>
      <c r="Y193" s="110"/>
      <c r="Z193" s="110"/>
      <c r="AA193" s="110"/>
      <c r="AB193" s="110"/>
      <c r="AC193" s="110"/>
      <c r="AD193" s="110"/>
      <c r="AE193" s="110"/>
      <c r="AF193" s="299"/>
      <c r="AG193" s="27"/>
      <c r="AH193" s="71"/>
      <c r="AI193" s="74"/>
      <c r="AJ193" s="75"/>
      <c r="AK193" s="69"/>
    </row>
    <row r="194" spans="1:37" ht="12.75" hidden="1" customHeight="1" x14ac:dyDescent="0.25">
      <c r="A194" s="112">
        <v>1630</v>
      </c>
      <c r="B194" s="82" t="s">
        <v>125</v>
      </c>
      <c r="C194" s="82" t="str">
        <f>IFERROR(VLOOKUP(D194,'Target tables'!A:B,2,0),"")</f>
        <v>Тип периода отсрочки платежа</v>
      </c>
      <c r="D194" s="113" t="s">
        <v>87</v>
      </c>
      <c r="E194" s="78" t="str">
        <f>IFERROR(VLOOKUP(D194&amp;J194,'Target columns'!A:J,4,FALSE),"")</f>
        <v>uuid</v>
      </c>
      <c r="F194" s="78" t="str">
        <f>IFERROR(VLOOKUP(D194&amp;J194,'Target columns'!A:J,7,FALSE),"")</f>
        <v>Yes</v>
      </c>
      <c r="G194" s="78" t="str">
        <f>IFERROR(VLOOKUP(D194&amp;J194,'Target columns'!A:J,8,FALSE),"")</f>
        <v>No</v>
      </c>
      <c r="H194" s="78" t="str">
        <f>IFERROR(VLOOKUP(D194&amp;J194,'Target columns'!A:J,5,FALSE),"")</f>
        <v>NOT NULL</v>
      </c>
      <c r="I194" s="78" t="str">
        <f>IFERROR(VLOOKUP(D194&amp;J194,'Target columns'!A:J,10,FALSE),"")</f>
        <v>Идентификатор типа периода отсрочки</v>
      </c>
      <c r="J194" s="23" t="s">
        <v>531</v>
      </c>
      <c r="K194" s="77" t="s">
        <v>296</v>
      </c>
      <c r="L194" s="78" t="str">
        <f>IFERROR(VLOOKUP(K194&amp;N194,source_columns[[Seek]:[Описание поля]],4,0),"")</f>
        <v/>
      </c>
      <c r="M194" s="78" t="str">
        <f>IFERROR(VLOOKUP(K194&amp;N194,source_columns[[Seek]:[Описание поля]],7,0),"")</f>
        <v/>
      </c>
      <c r="N194" s="77" t="s">
        <v>532</v>
      </c>
      <c r="O194" s="77"/>
      <c r="P194" s="201"/>
      <c r="Q194" s="77"/>
      <c r="R194" s="77"/>
      <c r="S194" s="270" t="s">
        <v>541</v>
      </c>
      <c r="T194" s="82"/>
      <c r="U194" s="82"/>
      <c r="V194" s="84" t="str">
        <f>"n308000046_"&amp;IFERROR(VLOOKUP(D194,target_tables[],5,0),"&lt;not found&gt;")</f>
        <v>n308000046_time_period_type</v>
      </c>
      <c r="W194" s="82" t="s">
        <v>269</v>
      </c>
      <c r="X194" s="111"/>
      <c r="Y194" s="111"/>
      <c r="Z194" s="111"/>
      <c r="AA194" s="111"/>
      <c r="AB194" s="111"/>
      <c r="AC194" s="111"/>
      <c r="AD194" s="111"/>
      <c r="AE194" s="111"/>
      <c r="AF194" s="299" t="s">
        <v>270</v>
      </c>
      <c r="AG194" s="83"/>
      <c r="AH194" s="82"/>
      <c r="AI194" s="90"/>
      <c r="AJ194" s="91"/>
      <c r="AK194" s="69"/>
    </row>
    <row r="195" spans="1:37" ht="12.75" hidden="1" customHeight="1" x14ac:dyDescent="0.25">
      <c r="A195" s="92">
        <v>1640</v>
      </c>
      <c r="B195" s="65" t="s">
        <v>125</v>
      </c>
      <c r="C195" s="65" t="str">
        <f>IFERROR(VLOOKUP(D195,'Target tables'!A:B,2,0),"")</f>
        <v>Тип периода отсрочки платежа</v>
      </c>
      <c r="D195" s="8" t="s">
        <v>87</v>
      </c>
      <c r="E195" s="66" t="str">
        <f>IFERROR(VLOOKUP(D195&amp;J195,'Target columns'!A:J,4,FALSE),"")</f>
        <v>text</v>
      </c>
      <c r="F195" s="66" t="str">
        <f>IFERROR(VLOOKUP(D195&amp;J195,'Target columns'!A:J,7,FALSE),"")</f>
        <v>No</v>
      </c>
      <c r="G195" s="66" t="str">
        <f>IFERROR(VLOOKUP(D195&amp;J195,'Target columns'!A:J,8,FALSE),"")</f>
        <v>No</v>
      </c>
      <c r="H195" s="66" t="str">
        <f>IFERROR(VLOOKUP(D195&amp;J195,'Target columns'!A:J,5,FALSE),"")</f>
        <v>NULL</v>
      </c>
      <c r="I195" s="66" t="str">
        <f>IFERROR(VLOOKUP(D195&amp;J195,'Target columns'!A:J,10,FALSE),"")</f>
        <v>Код типа периода отсрочки</v>
      </c>
      <c r="J195" s="8" t="s">
        <v>542</v>
      </c>
      <c r="K195" s="65" t="s">
        <v>296</v>
      </c>
      <c r="L195" s="66" t="str">
        <f>IFERROR(VLOOKUP(K195&amp;N195,source_columns[[Seek]:[Описание поля]],4,0),"")</f>
        <v/>
      </c>
      <c r="M195" s="66" t="str">
        <f>IFERROR(VLOOKUP(K195&amp;N195,source_columns[[Seek]:[Описание поля]],7,0),"")</f>
        <v/>
      </c>
      <c r="N195" s="202" t="s">
        <v>543</v>
      </c>
      <c r="O195" s="65"/>
      <c r="P195" s="202"/>
      <c r="Q195" s="65"/>
      <c r="R195" s="65"/>
      <c r="S195" s="278"/>
      <c r="T195" s="65"/>
      <c r="U195" s="65"/>
      <c r="V195" s="66" t="str">
        <f>"n308000046_"&amp;IFERROR(VLOOKUP(D195,target_tables[],5,0),"&lt;not found&gt;")</f>
        <v>n308000046_time_period_type</v>
      </c>
      <c r="W195" s="65" t="s">
        <v>273</v>
      </c>
      <c r="AF195" s="299"/>
      <c r="AG195" s="10"/>
      <c r="AH195" s="65"/>
      <c r="AI195" s="67"/>
      <c r="AJ195" s="68"/>
      <c r="AK195" s="69"/>
    </row>
    <row r="196" spans="1:37" ht="12.75" hidden="1" customHeight="1" x14ac:dyDescent="0.25">
      <c r="A196" s="108">
        <v>1650</v>
      </c>
      <c r="B196" s="65" t="s">
        <v>125</v>
      </c>
      <c r="C196" s="65" t="str">
        <f>IFERROR(VLOOKUP(D196,'Target tables'!A:B,2,0),"")</f>
        <v>Тип периода отсрочки платежа</v>
      </c>
      <c r="D196" s="8" t="s">
        <v>87</v>
      </c>
      <c r="E196" s="66" t="str">
        <f>IFERROR(VLOOKUP(D196&amp;J196,'Target columns'!A:J,4,FALSE),"")</f>
        <v>text</v>
      </c>
      <c r="F196" s="66" t="str">
        <f>IFERROR(VLOOKUP(D196&amp;J196,'Target columns'!A:J,7,FALSE),"")</f>
        <v>No</v>
      </c>
      <c r="G196" s="66" t="str">
        <f>IFERROR(VLOOKUP(D196&amp;J196,'Target columns'!A:J,8,FALSE),"")</f>
        <v>No</v>
      </c>
      <c r="H196" s="66" t="str">
        <f>IFERROR(VLOOKUP(D196&amp;J196,'Target columns'!A:J,5,FALSE),"")</f>
        <v>NULL</v>
      </c>
      <c r="I196" s="66" t="str">
        <f>IFERROR(VLOOKUP(D196&amp;J196,'Target columns'!A:J,10,FALSE),"")</f>
        <v>Наименование типа периода отсрочки</v>
      </c>
      <c r="J196" s="8" t="s">
        <v>544</v>
      </c>
      <c r="K196" s="65" t="s">
        <v>296</v>
      </c>
      <c r="L196" s="66" t="str">
        <f>IFERROR(VLOOKUP(K196&amp;N196,source_columns[[Seek]:[Описание поля]],4,0),"")</f>
        <v/>
      </c>
      <c r="M196" s="66" t="str">
        <f>IFERROR(VLOOKUP(K196&amp;N196,source_columns[[Seek]:[Описание поля]],7,0),"")</f>
        <v/>
      </c>
      <c r="N196" s="202"/>
      <c r="O196" s="65"/>
      <c r="P196" s="202"/>
      <c r="Q196" s="65"/>
      <c r="R196" s="65"/>
      <c r="S196" s="278"/>
      <c r="T196" s="65"/>
      <c r="U196" s="65"/>
      <c r="V196" s="66" t="str">
        <f>"n308000046_"&amp;IFERROR(VLOOKUP(D196,target_tables[],5,0),"&lt;not found&gt;")</f>
        <v>n308000046_time_period_type</v>
      </c>
      <c r="W196" s="65" t="s">
        <v>273</v>
      </c>
      <c r="AF196" s="299"/>
      <c r="AG196" s="10"/>
      <c r="AH196" s="65"/>
      <c r="AI196" s="67"/>
      <c r="AJ196" s="68"/>
      <c r="AK196" s="69"/>
    </row>
    <row r="197" spans="1:37" ht="12.75" hidden="1" customHeight="1" x14ac:dyDescent="0.25">
      <c r="A197" s="93">
        <v>1660</v>
      </c>
      <c r="B197" s="71" t="s">
        <v>125</v>
      </c>
      <c r="C197" s="71" t="str">
        <f>IFERROR(VLOOKUP(D197,'Target tables'!A:B,2,0),"")</f>
        <v>Тип периода отсрочки платежа</v>
      </c>
      <c r="D197" s="20" t="s">
        <v>87</v>
      </c>
      <c r="E197" s="73" t="str">
        <f>IFERROR(VLOOKUP(D197&amp;J197,'Target columns'!A:J,4,FALSE),"")</f>
        <v>text</v>
      </c>
      <c r="F197" s="73" t="str">
        <f>IFERROR(VLOOKUP(D197&amp;J197,'Target columns'!A:J,7,FALSE),"")</f>
        <v>No</v>
      </c>
      <c r="G197" s="73" t="str">
        <f>IFERROR(VLOOKUP(D197&amp;J197,'Target columns'!A:J,8,FALSE),"")</f>
        <v>No</v>
      </c>
      <c r="H197" s="73" t="str">
        <f>IFERROR(VLOOKUP(D197&amp;J197,'Target columns'!A:J,5,FALSE),"")</f>
        <v>NULL</v>
      </c>
      <c r="I197" s="73" t="str">
        <f>IFERROR(VLOOKUP(D197&amp;J197,'Target columns'!A:J,10,FALSE),"")</f>
        <v>Идентификатор типа периода отсрочки в системе-источнике</v>
      </c>
      <c r="J197" s="20" t="s">
        <v>545</v>
      </c>
      <c r="K197" s="71" t="s">
        <v>296</v>
      </c>
      <c r="L197" s="73" t="str">
        <f>IFERROR(VLOOKUP(K197&amp;N197,source_columns[[Seek]:[Описание поля]],4,0),"")</f>
        <v/>
      </c>
      <c r="M197" s="73" t="str">
        <f>IFERROR(VLOOKUP(K197&amp;N197,source_columns[[Seek]:[Описание поля]],7,0),"")</f>
        <v/>
      </c>
      <c r="N197" s="203" t="s">
        <v>543</v>
      </c>
      <c r="O197" s="71"/>
      <c r="P197" s="203"/>
      <c r="Q197" s="71"/>
      <c r="R197" s="71"/>
      <c r="S197" s="278"/>
      <c r="T197" s="71"/>
      <c r="U197" s="71"/>
      <c r="V197" s="73" t="str">
        <f>"n308000046_"&amp;IFERROR(VLOOKUP(D197,target_tables[],5,0),"&lt;not found&gt;")</f>
        <v>n308000046_time_period_type</v>
      </c>
      <c r="W197" s="71" t="s">
        <v>273</v>
      </c>
      <c r="X197" s="110"/>
      <c r="Y197" s="110"/>
      <c r="Z197" s="110"/>
      <c r="AA197" s="110"/>
      <c r="AB197" s="110"/>
      <c r="AC197" s="110"/>
      <c r="AD197" s="110"/>
      <c r="AE197" s="110"/>
      <c r="AF197" s="299"/>
      <c r="AG197" s="27"/>
      <c r="AH197" s="71"/>
      <c r="AI197" s="74"/>
      <c r="AJ197" s="75"/>
      <c r="AK197" s="69"/>
    </row>
    <row r="198" spans="1:37" ht="12.75" hidden="1" customHeight="1" x14ac:dyDescent="0.25">
      <c r="A198" s="112">
        <v>1670</v>
      </c>
      <c r="B198" s="82" t="s">
        <v>125</v>
      </c>
      <c r="C198" s="82" t="str">
        <f>IFERROR(VLOOKUP(D198,'Target tables'!A:B,2,0),"")</f>
        <v>Схема распределения доходов</v>
      </c>
      <c r="D198" s="23" t="s">
        <v>89</v>
      </c>
      <c r="E198" s="78" t="str">
        <f>IFERROR(VLOOKUP(D198&amp;J198,'Target columns'!A:J,4,FALSE),"")</f>
        <v>uuid</v>
      </c>
      <c r="F198" s="78" t="str">
        <f>IFERROR(VLOOKUP(D198&amp;J198,'Target columns'!A:J,7,FALSE),"")</f>
        <v>Yes</v>
      </c>
      <c r="G198" s="78" t="str">
        <f>IFERROR(VLOOKUP(D198&amp;J198,'Target columns'!A:J,8,FALSE),"")</f>
        <v>No</v>
      </c>
      <c r="H198" s="78" t="str">
        <f>IFERROR(VLOOKUP(D198&amp;J198,'Target columns'!A:J,5,FALSE),"")</f>
        <v>NOT NULL</v>
      </c>
      <c r="I198" s="78" t="str">
        <f>IFERROR(VLOOKUP(D198&amp;J198,'Target columns'!A:J,10,FALSE),"")</f>
        <v>Идентификатор схемы распределения доходов</v>
      </c>
      <c r="J198" s="23" t="s">
        <v>533</v>
      </c>
      <c r="K198" s="77" t="s">
        <v>296</v>
      </c>
      <c r="L198" s="78" t="str">
        <f>IFERROR(VLOOKUP(K198&amp;N198,source_columns[[Seek]:[Описание поля]],4,0),"")</f>
        <v/>
      </c>
      <c r="M198" s="78" t="str">
        <f>IFERROR(VLOOKUP(K198&amp;N198,source_columns[[Seek]:[Описание поля]],7,0),"")</f>
        <v/>
      </c>
      <c r="N198" s="201" t="s">
        <v>534</v>
      </c>
      <c r="O198" s="77"/>
      <c r="P198" s="201"/>
      <c r="Q198" s="77"/>
      <c r="R198" s="77"/>
      <c r="S198" s="270" t="s">
        <v>546</v>
      </c>
      <c r="T198" s="82"/>
      <c r="U198" s="82"/>
      <c r="V198" s="84" t="str">
        <f>"n308000046_"&amp;IFERROR(VLOOKUP(D198,target_tables[],5,0),"&lt;not found&gt;")</f>
        <v>n308000046_accred_income_scheme</v>
      </c>
      <c r="W198" s="82" t="s">
        <v>269</v>
      </c>
      <c r="X198" s="111"/>
      <c r="Y198" s="111"/>
      <c r="Z198" s="111"/>
      <c r="AA198" s="111"/>
      <c r="AB198" s="111"/>
      <c r="AC198" s="111"/>
      <c r="AD198" s="111"/>
      <c r="AE198" s="111"/>
      <c r="AF198" s="299" t="s">
        <v>270</v>
      </c>
      <c r="AG198" s="83"/>
      <c r="AH198" s="82"/>
      <c r="AI198" s="90"/>
      <c r="AJ198" s="91"/>
      <c r="AK198" s="69"/>
    </row>
    <row r="199" spans="1:37" ht="12.75" hidden="1" customHeight="1" x14ac:dyDescent="0.25">
      <c r="A199" s="92">
        <v>1680</v>
      </c>
      <c r="B199" s="65" t="s">
        <v>125</v>
      </c>
      <c r="C199" s="65" t="str">
        <f>IFERROR(VLOOKUP(D199,'Target tables'!A:B,2,0),"")</f>
        <v>Схема распределения доходов</v>
      </c>
      <c r="D199" s="8" t="s">
        <v>89</v>
      </c>
      <c r="E199" s="66" t="str">
        <f>IFERROR(VLOOKUP(D199&amp;J199,'Target columns'!A:J,4,FALSE),"")</f>
        <v>text</v>
      </c>
      <c r="F199" s="66" t="str">
        <f>IFERROR(VLOOKUP(D199&amp;J199,'Target columns'!A:J,7,FALSE),"")</f>
        <v>No</v>
      </c>
      <c r="G199" s="66" t="str">
        <f>IFERROR(VLOOKUP(D199&amp;J199,'Target columns'!A:J,8,FALSE),"")</f>
        <v>No</v>
      </c>
      <c r="H199" s="66" t="str">
        <f>IFERROR(VLOOKUP(D199&amp;J199,'Target columns'!A:J,5,FALSE),"")</f>
        <v>NULL</v>
      </c>
      <c r="I199" s="66" t="str">
        <f>IFERROR(VLOOKUP(D199&amp;J199,'Target columns'!A:J,10,FALSE),"")</f>
        <v>Код схемы распределения доходов</v>
      </c>
      <c r="J199" s="8" t="s">
        <v>547</v>
      </c>
      <c r="K199" s="65" t="s">
        <v>296</v>
      </c>
      <c r="L199" s="66" t="str">
        <f>IFERROR(VLOOKUP(K199&amp;N199,source_columns[[Seek]:[Описание поля]],4,0),"")</f>
        <v/>
      </c>
      <c r="M199" s="66" t="str">
        <f>IFERROR(VLOOKUP(K199&amp;N199,source_columns[[Seek]:[Описание поля]],7,0),"")</f>
        <v/>
      </c>
      <c r="N199" s="202" t="s">
        <v>548</v>
      </c>
      <c r="O199" s="65"/>
      <c r="P199" s="202"/>
      <c r="Q199" s="65"/>
      <c r="R199" s="65"/>
      <c r="S199" s="278"/>
      <c r="T199" s="65"/>
      <c r="U199" s="65"/>
      <c r="V199" s="66" t="str">
        <f>"n308000046_"&amp;IFERROR(VLOOKUP(D199,target_tables[],5,0),"&lt;not found&gt;")</f>
        <v>n308000046_accred_income_scheme</v>
      </c>
      <c r="W199" s="65" t="s">
        <v>273</v>
      </c>
      <c r="AF199" s="299"/>
      <c r="AG199" s="10"/>
      <c r="AH199" s="65"/>
      <c r="AI199" s="67"/>
      <c r="AJ199" s="68"/>
      <c r="AK199" s="69"/>
    </row>
    <row r="200" spans="1:37" ht="12.75" hidden="1" customHeight="1" x14ac:dyDescent="0.25">
      <c r="A200" s="108">
        <v>1690</v>
      </c>
      <c r="B200" s="65" t="s">
        <v>125</v>
      </c>
      <c r="C200" s="65" t="str">
        <f>IFERROR(VLOOKUP(D200,'Target tables'!A:B,2,0),"")</f>
        <v>Схема распределения доходов</v>
      </c>
      <c r="D200" s="8" t="s">
        <v>89</v>
      </c>
      <c r="E200" s="66" t="str">
        <f>IFERROR(VLOOKUP(D200&amp;J200,'Target columns'!A:J,4,FALSE),"")</f>
        <v>text</v>
      </c>
      <c r="F200" s="66" t="str">
        <f>IFERROR(VLOOKUP(D200&amp;J200,'Target columns'!A:J,7,FALSE),"")</f>
        <v>No</v>
      </c>
      <c r="G200" s="66" t="str">
        <f>IFERROR(VLOOKUP(D200&amp;J200,'Target columns'!A:J,8,FALSE),"")</f>
        <v>No</v>
      </c>
      <c r="H200" s="66" t="str">
        <f>IFERROR(VLOOKUP(D200&amp;J200,'Target columns'!A:J,5,FALSE),"")</f>
        <v>NULL</v>
      </c>
      <c r="I200" s="66" t="str">
        <f>IFERROR(VLOOKUP(D200&amp;J200,'Target columns'!A:J,10,FALSE),"")</f>
        <v>Наименование схемы распределения доходов</v>
      </c>
      <c r="J200" s="8" t="s">
        <v>549</v>
      </c>
      <c r="K200" s="65" t="s">
        <v>296</v>
      </c>
      <c r="L200" s="66" t="str">
        <f>IFERROR(VLOOKUP(K200&amp;N200,source_columns[[Seek]:[Описание поля]],4,0),"")</f>
        <v/>
      </c>
      <c r="M200" s="66" t="str">
        <f>IFERROR(VLOOKUP(K200&amp;N200,source_columns[[Seek]:[Описание поля]],7,0),"")</f>
        <v/>
      </c>
      <c r="N200" s="202"/>
      <c r="O200" s="65"/>
      <c r="P200" s="202"/>
      <c r="Q200" s="65"/>
      <c r="R200" s="65"/>
      <c r="S200" s="278"/>
      <c r="T200" s="65"/>
      <c r="U200" s="65"/>
      <c r="V200" s="66" t="str">
        <f>"n308000046_"&amp;IFERROR(VLOOKUP(D200,target_tables[],5,0),"&lt;not found&gt;")</f>
        <v>n308000046_accred_income_scheme</v>
      </c>
      <c r="W200" s="65" t="s">
        <v>273</v>
      </c>
      <c r="AF200" s="299"/>
      <c r="AG200" s="10"/>
      <c r="AH200" s="65"/>
      <c r="AI200" s="67"/>
      <c r="AJ200" s="68"/>
      <c r="AK200" s="69"/>
    </row>
    <row r="201" spans="1:37" ht="12.75" hidden="1" customHeight="1" x14ac:dyDescent="0.25">
      <c r="A201" s="93">
        <v>1700</v>
      </c>
      <c r="B201" s="71" t="s">
        <v>125</v>
      </c>
      <c r="C201" s="71" t="str">
        <f>IFERROR(VLOOKUP(D201,'Target tables'!A:B,2,0),"")</f>
        <v>Схема распределения доходов</v>
      </c>
      <c r="D201" s="20" t="s">
        <v>89</v>
      </c>
      <c r="E201" s="73" t="str">
        <f>IFERROR(VLOOKUP(D201&amp;J201,'Target columns'!A:J,4,FALSE),"")</f>
        <v>text</v>
      </c>
      <c r="F201" s="73" t="str">
        <f>IFERROR(VLOOKUP(D201&amp;J201,'Target columns'!A:J,7,FALSE),"")</f>
        <v>No</v>
      </c>
      <c r="G201" s="73" t="str">
        <f>IFERROR(VLOOKUP(D201&amp;J201,'Target columns'!A:J,8,FALSE),"")</f>
        <v>No</v>
      </c>
      <c r="H201" s="73" t="str">
        <f>IFERROR(VLOOKUP(D201&amp;J201,'Target columns'!A:J,5,FALSE),"")</f>
        <v>NULL</v>
      </c>
      <c r="I201" s="73" t="str">
        <f>IFERROR(VLOOKUP(D201&amp;J201,'Target columns'!A:J,10,FALSE),"")</f>
        <v>Идентификатор схемы распределения доходов в системе-источнике</v>
      </c>
      <c r="J201" s="20" t="s">
        <v>550</v>
      </c>
      <c r="K201" s="71" t="s">
        <v>296</v>
      </c>
      <c r="L201" s="73" t="str">
        <f>IFERROR(VLOOKUP(K201&amp;N201,source_columns[[Seek]:[Описание поля]],4,0),"")</f>
        <v/>
      </c>
      <c r="M201" s="73" t="str">
        <f>IFERROR(VLOOKUP(K201&amp;N201,source_columns[[Seek]:[Описание поля]],7,0),"")</f>
        <v/>
      </c>
      <c r="N201" s="203" t="s">
        <v>548</v>
      </c>
      <c r="O201" s="71"/>
      <c r="P201" s="203"/>
      <c r="Q201" s="71"/>
      <c r="R201" s="71"/>
      <c r="S201" s="278"/>
      <c r="T201" s="71"/>
      <c r="U201" s="71"/>
      <c r="V201" s="73" t="str">
        <f>"n308000046_"&amp;IFERROR(VLOOKUP(D201,target_tables[],5,0),"&lt;not found&gt;")</f>
        <v>n308000046_accred_income_scheme</v>
      </c>
      <c r="W201" s="71" t="s">
        <v>273</v>
      </c>
      <c r="X201" s="110"/>
      <c r="Y201" s="110"/>
      <c r="Z201" s="110"/>
      <c r="AA201" s="110"/>
      <c r="AB201" s="110"/>
      <c r="AC201" s="110"/>
      <c r="AD201" s="110"/>
      <c r="AE201" s="110"/>
      <c r="AF201" s="299"/>
      <c r="AG201" s="27"/>
      <c r="AH201" s="71"/>
      <c r="AI201" s="74"/>
      <c r="AJ201" s="75"/>
      <c r="AK201" s="69"/>
    </row>
    <row r="202" spans="1:37" ht="12.75" hidden="1" customHeight="1" x14ac:dyDescent="0.25">
      <c r="A202" s="112">
        <v>1710</v>
      </c>
      <c r="B202" s="82" t="s">
        <v>125</v>
      </c>
      <c r="C202" s="82" t="str">
        <f>IFERROR(VLOOKUP(D202,'Target tables'!A:B,2,0),"")</f>
        <v>Контракт</v>
      </c>
      <c r="D202" s="23" t="s">
        <v>97</v>
      </c>
      <c r="E202" s="78" t="str">
        <f>IFERROR(VLOOKUP(D202&amp;J202,'Target columns'!A:J,4,FALSE),"")</f>
        <v>uuid</v>
      </c>
      <c r="F202" s="78" t="str">
        <f>IFERROR(VLOOKUP(D202&amp;J202,'Target columns'!A:J,7,FALSE),"")</f>
        <v>Yes</v>
      </c>
      <c r="G202" s="78" t="str">
        <f>IFERROR(VLOOKUP(D202&amp;J202,'Target columns'!A:J,8,FALSE),"")</f>
        <v>No</v>
      </c>
      <c r="H202" s="78" t="str">
        <f>IFERROR(VLOOKUP(D202&amp;J202,'Target columns'!A:J,5,FALSE),"")</f>
        <v>NOT NULL</v>
      </c>
      <c r="I202" s="78" t="str">
        <f>IFERROR(VLOOKUP(D202&amp;J202,'Target columns'!A:J,10,FALSE),"")</f>
        <v>Идентификатор контракта</v>
      </c>
      <c r="J202" s="23" t="s">
        <v>551</v>
      </c>
      <c r="K202" s="77" t="s">
        <v>552</v>
      </c>
      <c r="L202" s="78" t="str">
        <f>IFERROR(VLOOKUP(K202&amp;N202,source_columns[[Seek]:[Описание поля]],4,0),"")</f>
        <v>uuid</v>
      </c>
      <c r="M202" s="78" t="str">
        <f>IFERROR(VLOOKUP(K202&amp;N202,source_columns[[Seek]:[Описание поля]],7,0),"")</f>
        <v>SK(coalesce(supplycontracts_number, '')||coalesce(reference, ''))</v>
      </c>
      <c r="N202" s="201" t="s">
        <v>553</v>
      </c>
      <c r="O202" s="77"/>
      <c r="P202" s="201"/>
      <c r="Q202" s="77"/>
      <c r="R202" s="77"/>
      <c r="S202" s="270" t="s">
        <v>554</v>
      </c>
      <c r="T202" s="82"/>
      <c r="U202" s="82"/>
      <c r="V202" s="84" t="str">
        <f>"n308000046_"&amp;IFERROR(VLOOKUP(D202,target_tables[],5,0),"&lt;not found&gt;")</f>
        <v>n308000046_contract</v>
      </c>
      <c r="W202" s="82" t="s">
        <v>269</v>
      </c>
      <c r="X202" s="111"/>
      <c r="Y202" s="111"/>
      <c r="Z202" s="111"/>
      <c r="AA202" s="111"/>
      <c r="AB202" s="111"/>
      <c r="AC202" s="111"/>
      <c r="AD202" s="111"/>
      <c r="AE202" s="111"/>
      <c r="AF202" s="299" t="s">
        <v>270</v>
      </c>
      <c r="AG202" s="83"/>
      <c r="AH202" s="82"/>
      <c r="AI202" s="90"/>
      <c r="AJ202" s="91"/>
      <c r="AK202" s="69"/>
    </row>
    <row r="203" spans="1:37" ht="12.75" hidden="1" customHeight="1" x14ac:dyDescent="0.25">
      <c r="A203" s="92">
        <v>1720</v>
      </c>
      <c r="B203" s="65" t="s">
        <v>125</v>
      </c>
      <c r="C203" s="65" t="str">
        <f>IFERROR(VLOOKUP(D203,'Target tables'!A:B,2,0),"")</f>
        <v>Контракт</v>
      </c>
      <c r="D203" s="8" t="s">
        <v>97</v>
      </c>
      <c r="E203" s="66" t="str">
        <f>IFERROR(VLOOKUP(D203&amp;J203,'Target columns'!A:J,4,FALSE),"")</f>
        <v>text</v>
      </c>
      <c r="F203" s="66" t="str">
        <f>IFERROR(VLOOKUP(D203&amp;J203,'Target columns'!A:J,7,FALSE),"")</f>
        <v>No</v>
      </c>
      <c r="G203" s="66" t="str">
        <f>IFERROR(VLOOKUP(D203&amp;J203,'Target columns'!A:J,8,FALSE),"")</f>
        <v>No</v>
      </c>
      <c r="H203" s="66" t="str">
        <f>IFERROR(VLOOKUP(D203&amp;J203,'Target columns'!A:J,5,FALSE),"")</f>
        <v>NULL</v>
      </c>
      <c r="I203" s="66" t="str">
        <f>IFERROR(VLOOKUP(D203&amp;J203,'Target columns'!A:J,10,FALSE),"")</f>
        <v>Номер контракта</v>
      </c>
      <c r="J203" s="8" t="s">
        <v>555</v>
      </c>
      <c r="K203" s="65" t="s">
        <v>552</v>
      </c>
      <c r="L203" s="66" t="str">
        <f>IFERROR(VLOOKUP(K203&amp;N203,source_columns[[Seek]:[Описание поля]],4,0),"")</f>
        <v>text</v>
      </c>
      <c r="M203" s="66" t="str">
        <f>IFERROR(VLOOKUP(K203&amp;N203,source_columns[[Seek]:[Описание поля]],7,0),"")</f>
        <v>Номер контракта</v>
      </c>
      <c r="N203" s="202" t="s">
        <v>556</v>
      </c>
      <c r="O203" s="65"/>
      <c r="P203" s="202"/>
      <c r="Q203" s="65"/>
      <c r="R203" s="65"/>
      <c r="S203" s="278"/>
      <c r="T203" s="65"/>
      <c r="U203" s="65"/>
      <c r="V203" s="66" t="str">
        <f>"n308000046_"&amp;IFERROR(VLOOKUP(D203,target_tables[],5,0),"&lt;not found&gt;")</f>
        <v>n308000046_contract</v>
      </c>
      <c r="W203" s="65" t="s">
        <v>273</v>
      </c>
      <c r="AF203" s="299"/>
      <c r="AG203" s="10"/>
      <c r="AH203" s="65"/>
      <c r="AI203" s="67"/>
      <c r="AJ203" s="68"/>
      <c r="AK203" s="69"/>
    </row>
    <row r="204" spans="1:37" ht="12.75" hidden="1" customHeight="1" x14ac:dyDescent="0.25">
      <c r="A204" s="108">
        <v>1730</v>
      </c>
      <c r="B204" s="65" t="s">
        <v>125</v>
      </c>
      <c r="C204" s="65" t="str">
        <f>IFERROR(VLOOKUP(D204,'Target tables'!A:B,2,0),"")</f>
        <v>Контракт</v>
      </c>
      <c r="D204" s="8" t="s">
        <v>97</v>
      </c>
      <c r="E204" s="66" t="str">
        <f>IFERROR(VLOOKUP(D204&amp;J204,'Target columns'!A:J,4,FALSE),"")</f>
        <v>date</v>
      </c>
      <c r="F204" s="66" t="str">
        <f>IFERROR(VLOOKUP(D204&amp;J204,'Target columns'!A:J,7,FALSE),"")</f>
        <v>No</v>
      </c>
      <c r="G204" s="66" t="str">
        <f>IFERROR(VLOOKUP(D204&amp;J204,'Target columns'!A:J,8,FALSE),"")</f>
        <v>No</v>
      </c>
      <c r="H204" s="66" t="str">
        <f>IFERROR(VLOOKUP(D204&amp;J204,'Target columns'!A:J,5,FALSE),"")</f>
        <v>NULL</v>
      </c>
      <c r="I204" s="66" t="str">
        <f>IFERROR(VLOOKUP(D204&amp;J204,'Target columns'!A:J,10,FALSE),"")</f>
        <v>Дата конктракта</v>
      </c>
      <c r="J204" s="8" t="s">
        <v>271</v>
      </c>
      <c r="K204" s="65" t="s">
        <v>552</v>
      </c>
      <c r="L204" s="66" t="str">
        <f>IFERROR(VLOOKUP(K204&amp;N204,source_columns[[Seek]:[Описание поля]],4,0),"")</f>
        <v>date</v>
      </c>
      <c r="M204" s="66" t="str">
        <f>IFERROR(VLOOKUP(K204&amp;N204,source_columns[[Seek]:[Описание поля]],7,0),"")</f>
        <v>Дата контракта</v>
      </c>
      <c r="N204" s="202" t="s">
        <v>557</v>
      </c>
      <c r="O204" s="65"/>
      <c r="P204" s="202"/>
      <c r="Q204" s="65"/>
      <c r="R204" s="65"/>
      <c r="S204" s="278"/>
      <c r="T204" s="65"/>
      <c r="U204" s="65"/>
      <c r="V204" s="66" t="str">
        <f>"n308000046_"&amp;IFERROR(VLOOKUP(D204,target_tables[],5,0),"&lt;not found&gt;")</f>
        <v>n308000046_contract</v>
      </c>
      <c r="W204" s="65" t="s">
        <v>273</v>
      </c>
      <c r="AF204" s="299"/>
      <c r="AG204" s="10"/>
      <c r="AH204" s="65"/>
      <c r="AI204" s="67"/>
      <c r="AJ204" s="68"/>
      <c r="AK204" s="69"/>
    </row>
    <row r="205" spans="1:37" ht="12.75" hidden="1" customHeight="1" x14ac:dyDescent="0.25">
      <c r="A205" s="93">
        <v>1740</v>
      </c>
      <c r="B205" s="71" t="s">
        <v>125</v>
      </c>
      <c r="C205" s="71" t="str">
        <f>IFERROR(VLOOKUP(D205,'Target tables'!A:B,2,0),"")</f>
        <v>Контракт</v>
      </c>
      <c r="D205" s="20" t="s">
        <v>97</v>
      </c>
      <c r="E205" s="73" t="str">
        <f>IFERROR(VLOOKUP(D205&amp;J205,'Target columns'!A:J,4,FALSE),"")</f>
        <v>text</v>
      </c>
      <c r="F205" s="73" t="str">
        <f>IFERROR(VLOOKUP(D205&amp;J205,'Target columns'!A:J,7,FALSE),"")</f>
        <v>No</v>
      </c>
      <c r="G205" s="73" t="str">
        <f>IFERROR(VLOOKUP(D205&amp;J205,'Target columns'!A:J,8,FALSE),"")</f>
        <v>No</v>
      </c>
      <c r="H205" s="73" t="str">
        <f>IFERROR(VLOOKUP(D205&amp;J205,'Target columns'!A:J,5,FALSE),"")</f>
        <v>NULL</v>
      </c>
      <c r="I205" s="73" t="str">
        <f>IFERROR(VLOOKUP(D205&amp;J205,'Target columns'!A:J,10,FALSE),"")</f>
        <v>Идентификатор контракта в системе-источнике</v>
      </c>
      <c r="J205" s="20" t="s">
        <v>558</v>
      </c>
      <c r="K205" s="71" t="s">
        <v>552</v>
      </c>
      <c r="L205" s="73" t="str">
        <f>IFERROR(VLOOKUP(K205&amp;N205,source_columns[[Seek]:[Описание поля]],4,0),"")</f>
        <v/>
      </c>
      <c r="M205" s="73" t="str">
        <f>IFERROR(VLOOKUP(K205&amp;N205,source_columns[[Seek]:[Описание поля]],7,0),"")</f>
        <v/>
      </c>
      <c r="N205" s="71" t="s">
        <v>559</v>
      </c>
      <c r="O205" s="71"/>
      <c r="P205" s="203"/>
      <c r="Q205" s="71"/>
      <c r="R205" s="71"/>
      <c r="S205" s="278"/>
      <c r="T205" s="71"/>
      <c r="U205" s="71"/>
      <c r="V205" s="73" t="str">
        <f>"n308000046_"&amp;IFERROR(VLOOKUP(D205,target_tables[],5,0),"&lt;not found&gt;")</f>
        <v>n308000046_contract</v>
      </c>
      <c r="W205" s="71" t="s">
        <v>273</v>
      </c>
      <c r="X205" s="110"/>
      <c r="Y205" s="110"/>
      <c r="Z205" s="110"/>
      <c r="AA205" s="110"/>
      <c r="AB205" s="110"/>
      <c r="AC205" s="110"/>
      <c r="AD205" s="110"/>
      <c r="AE205" s="110"/>
      <c r="AF205" s="299"/>
      <c r="AG205" s="27"/>
      <c r="AH205" s="71"/>
      <c r="AI205" s="74"/>
      <c r="AJ205" s="75"/>
      <c r="AK205" s="69"/>
    </row>
    <row r="206" spans="1:37" ht="12.75" hidden="1" customHeight="1" x14ac:dyDescent="0.25">
      <c r="A206" s="112">
        <v>1750</v>
      </c>
      <c r="B206" s="82" t="s">
        <v>125</v>
      </c>
      <c r="C206" s="82" t="str">
        <f>IFERROR(VLOOKUP(D206,'Target tables'!A:B,2,0),"")</f>
        <v>Связь договора аккредитива ЮЛ и контракта</v>
      </c>
      <c r="D206" s="23" t="s">
        <v>92</v>
      </c>
      <c r="E206" s="78" t="str">
        <f>IFERROR(VLOOKUP(D206&amp;J206,'Target columns'!A:J,4,FALSE),"")</f>
        <v>uuid</v>
      </c>
      <c r="F206" s="78" t="str">
        <f>IFERROR(VLOOKUP(D206&amp;J206,'Target columns'!A:J,7,FALSE),"")</f>
        <v>Yes</v>
      </c>
      <c r="G206" s="78" t="str">
        <f>IFERROR(VLOOKUP(D206&amp;J206,'Target columns'!A:J,8,FALSE),"")</f>
        <v>Yes</v>
      </c>
      <c r="H206" s="78" t="str">
        <f>IFERROR(VLOOKUP(D206&amp;J206,'Target columns'!A:J,5,FALSE),"")</f>
        <v>NULL</v>
      </c>
      <c r="I206" s="78" t="str">
        <f>IFERROR(VLOOKUP(D206&amp;J206,'Target columns'!A:J,10,FALSE),"")</f>
        <v>Идентификатор договора аккредитива ЮЛ</v>
      </c>
      <c r="J206" s="23" t="s">
        <v>495</v>
      </c>
      <c r="K206" s="77" t="s">
        <v>552</v>
      </c>
      <c r="L206" s="78" t="str">
        <f>IFERROR(VLOOKUP(K206&amp;N206,source_columns[[Seek]:[Описание поля]],4,0),"")</f>
        <v>uuid</v>
      </c>
      <c r="M206" s="78" t="str">
        <f>IFERROR(VLOOKUP(K206&amp;N206,source_columns[[Seek]:[Описание поля]],7,0),"")</f>
        <v>SK(reference)</v>
      </c>
      <c r="N206" s="201" t="s">
        <v>496</v>
      </c>
      <c r="O206" s="77"/>
      <c r="P206" s="201"/>
      <c r="Q206" s="77"/>
      <c r="R206" s="77"/>
      <c r="S206" s="270" t="s">
        <v>560</v>
      </c>
      <c r="T206" s="82"/>
      <c r="U206" s="82"/>
      <c r="V206" s="84" t="str">
        <f>"n308000046_"&amp;IFERROR(VLOOKUP(D206,target_tables[],5,0),"&lt;not found&gt;")</f>
        <v>n308000046_agr_accred_contract</v>
      </c>
      <c r="W206" s="82" t="s">
        <v>269</v>
      </c>
      <c r="X206" s="111"/>
      <c r="Y206" s="111"/>
      <c r="Z206" s="111"/>
      <c r="AA206" s="111"/>
      <c r="AB206" s="111"/>
      <c r="AC206" s="111"/>
      <c r="AD206" s="111"/>
      <c r="AE206" s="111"/>
      <c r="AF206" s="299" t="s">
        <v>403</v>
      </c>
      <c r="AG206" s="83"/>
      <c r="AH206" s="82"/>
      <c r="AI206" s="90"/>
      <c r="AJ206" s="91"/>
      <c r="AK206" s="69"/>
    </row>
    <row r="207" spans="1:37" ht="12.75" hidden="1" customHeight="1" x14ac:dyDescent="0.25">
      <c r="A207" s="92">
        <v>1760</v>
      </c>
      <c r="B207" s="65" t="s">
        <v>125</v>
      </c>
      <c r="C207" s="65" t="str">
        <f>IFERROR(VLOOKUP(D207,'Target tables'!A:B,2,0),"")</f>
        <v>Связь договора аккредитива ЮЛ и контракта</v>
      </c>
      <c r="D207" s="8" t="s">
        <v>92</v>
      </c>
      <c r="E207" s="66" t="str">
        <f>IFERROR(VLOOKUP(D207&amp;J207,'Target columns'!A:J,4,FALSE),"")</f>
        <v>date</v>
      </c>
      <c r="F207" s="66" t="str">
        <f>IFERROR(VLOOKUP(D207&amp;J207,'Target columns'!A:J,7,FALSE),"")</f>
        <v>Yes</v>
      </c>
      <c r="G207" s="66" t="str">
        <f>IFERROR(VLOOKUP(D207&amp;J207,'Target columns'!A:J,8,FALSE),"")</f>
        <v>No</v>
      </c>
      <c r="H207" s="66" t="str">
        <f>IFERROR(VLOOKUP(D207&amp;J207,'Target columns'!A:J,5,FALSE),"")</f>
        <v>NOT NULL</v>
      </c>
      <c r="I207" s="66" t="str">
        <f>IFERROR(VLOOKUP(D207&amp;J207,'Target columns'!A:J,10,FALSE),"")</f>
        <v>Дата начала действия</v>
      </c>
      <c r="J207" s="8" t="s">
        <v>329</v>
      </c>
      <c r="K207" s="65" t="s">
        <v>552</v>
      </c>
      <c r="L207" s="66" t="str">
        <f>IFERROR(VLOOKUP(K207&amp;N207,source_columns[[Seek]:[Описание поля]],4,0),"")</f>
        <v/>
      </c>
      <c r="M207" s="66" t="str">
        <f>IFERROR(VLOOKUP(K207&amp;N207,source_columns[[Seek]:[Описание поля]],7,0),"")</f>
        <v/>
      </c>
      <c r="N207" s="202" t="s">
        <v>561</v>
      </c>
      <c r="O207" s="65"/>
      <c r="P207" s="202"/>
      <c r="Q207" s="65"/>
      <c r="R207" s="65"/>
      <c r="S207" s="278"/>
      <c r="T207" s="65"/>
      <c r="U207" s="65"/>
      <c r="V207" s="66" t="str">
        <f>"n308000046_"&amp;IFERROR(VLOOKUP(D207,target_tables[],5,0),"&lt;not found&gt;")</f>
        <v>n308000046_agr_accred_contract</v>
      </c>
      <c r="W207" s="65" t="s">
        <v>330</v>
      </c>
      <c r="AF207" s="299"/>
      <c r="AG207" s="10"/>
      <c r="AH207" s="65"/>
      <c r="AI207" s="67"/>
      <c r="AJ207" s="68"/>
      <c r="AK207" s="69"/>
    </row>
    <row r="208" spans="1:37" ht="12.75" hidden="1" customHeight="1" x14ac:dyDescent="0.25">
      <c r="A208" s="108">
        <v>1770</v>
      </c>
      <c r="B208" s="65" t="s">
        <v>125</v>
      </c>
      <c r="C208" s="65" t="str">
        <f>IFERROR(VLOOKUP(D208,'Target tables'!A:B,2,0),"")</f>
        <v>Связь договора аккредитива ЮЛ и контракта</v>
      </c>
      <c r="D208" s="8" t="s">
        <v>92</v>
      </c>
      <c r="E208" s="66" t="str">
        <f>IFERROR(VLOOKUP(D208&amp;J208,'Target columns'!A:J,4,FALSE),"")</f>
        <v>uuid</v>
      </c>
      <c r="F208" s="66" t="str">
        <f>IFERROR(VLOOKUP(D208&amp;J208,'Target columns'!A:J,7,FALSE),"")</f>
        <v>Yes</v>
      </c>
      <c r="G208" s="66" t="str">
        <f>IFERROR(VLOOKUP(D208&amp;J208,'Target columns'!A:J,8,FALSE),"")</f>
        <v>Yes</v>
      </c>
      <c r="H208" s="66" t="str">
        <f>IFERROR(VLOOKUP(D208&amp;J208,'Target columns'!A:J,5,FALSE),"")</f>
        <v>NULL</v>
      </c>
      <c r="I208" s="66" t="str">
        <f>IFERROR(VLOOKUP(D208&amp;J208,'Target columns'!A:J,10,FALSE),"")</f>
        <v>Идентификатор контракта</v>
      </c>
      <c r="J208" s="8" t="s">
        <v>551</v>
      </c>
      <c r="K208" s="65" t="s">
        <v>552</v>
      </c>
      <c r="L208" s="66" t="str">
        <f>IFERROR(VLOOKUP(K208&amp;N208,source_columns[[Seek]:[Описание поля]],4,0),"")</f>
        <v>uuid</v>
      </c>
      <c r="M208" s="66" t="str">
        <f>IFERROR(VLOOKUP(K208&amp;N208,source_columns[[Seek]:[Описание поля]],7,0),"")</f>
        <v>SK(coalesce(supplycontracts_number, '')||coalesce(reference, ''))</v>
      </c>
      <c r="N208" s="202" t="s">
        <v>553</v>
      </c>
      <c r="O208" s="65"/>
      <c r="P208" s="202"/>
      <c r="Q208" s="65"/>
      <c r="R208" s="65"/>
      <c r="S208" s="278"/>
      <c r="T208" s="65"/>
      <c r="U208" s="65"/>
      <c r="V208" s="66" t="str">
        <f>"n308000046_"&amp;IFERROR(VLOOKUP(D208,target_tables[],5,0),"&lt;not found&gt;")</f>
        <v>n308000046_agr_accred_contract</v>
      </c>
      <c r="W208" s="65" t="s">
        <v>273</v>
      </c>
      <c r="AF208" s="299"/>
      <c r="AG208" s="10"/>
      <c r="AH208" s="65"/>
      <c r="AI208" s="67"/>
      <c r="AJ208" s="68"/>
      <c r="AK208" s="69"/>
    </row>
    <row r="209" spans="1:37" ht="12.75" hidden="1" customHeight="1" x14ac:dyDescent="0.25">
      <c r="A209" s="93">
        <v>1780</v>
      </c>
      <c r="B209" s="71" t="s">
        <v>125</v>
      </c>
      <c r="C209" s="71" t="str">
        <f>IFERROR(VLOOKUP(D209,'Target tables'!A:B,2,0),"")</f>
        <v>Связь договора аккредитива ЮЛ и контракта</v>
      </c>
      <c r="D209" s="20" t="s">
        <v>92</v>
      </c>
      <c r="E209" s="73" t="str">
        <f>IFERROR(VLOOKUP(D209&amp;J209,'Target columns'!A:J,4,FALSE),"")</f>
        <v>date</v>
      </c>
      <c r="F209" s="73" t="str">
        <f>IFERROR(VLOOKUP(D209&amp;J209,'Target columns'!A:J,7,FALSE),"")</f>
        <v>No</v>
      </c>
      <c r="G209" s="73" t="str">
        <f>IFERROR(VLOOKUP(D209&amp;J209,'Target columns'!A:J,8,FALSE),"")</f>
        <v>No</v>
      </c>
      <c r="H209" s="73" t="str">
        <f>IFERROR(VLOOKUP(D209&amp;J209,'Target columns'!A:J,5,FALSE),"")</f>
        <v>NULL</v>
      </c>
      <c r="I209" s="73" t="str">
        <f>IFERROR(VLOOKUP(D209&amp;J209,'Target columns'!A:J,10,FALSE),"")</f>
        <v>Дата окончания действия</v>
      </c>
      <c r="J209" s="20" t="s">
        <v>331</v>
      </c>
      <c r="K209" s="71" t="s">
        <v>552</v>
      </c>
      <c r="L209" s="73" t="str">
        <f>IFERROR(VLOOKUP(K209&amp;N209,source_columns[[Seek]:[Описание поля]],4,0),"")</f>
        <v/>
      </c>
      <c r="M209" s="73" t="str">
        <f>IFERROR(VLOOKUP(K209&amp;N209,source_columns[[Seek]:[Описание поля]],7,0),"")</f>
        <v/>
      </c>
      <c r="N209" s="203" t="s">
        <v>535</v>
      </c>
      <c r="O209" s="71"/>
      <c r="P209" s="203"/>
      <c r="Q209" s="71"/>
      <c r="R209" s="71"/>
      <c r="S209" s="278"/>
      <c r="T209" s="71"/>
      <c r="U209" s="71"/>
      <c r="V209" s="73" t="str">
        <f>"n308000046_"&amp;IFERROR(VLOOKUP(D209,target_tables[],5,0),"&lt;not found&gt;")</f>
        <v>n308000046_agr_accred_contract</v>
      </c>
      <c r="W209" s="71" t="s">
        <v>332</v>
      </c>
      <c r="X209" s="110"/>
      <c r="Y209" s="110"/>
      <c r="Z209" s="110"/>
      <c r="AA209" s="110"/>
      <c r="AB209" s="110"/>
      <c r="AC209" s="110"/>
      <c r="AD209" s="110"/>
      <c r="AE209" s="110"/>
      <c r="AF209" s="299"/>
      <c r="AG209" s="27"/>
      <c r="AH209" s="71"/>
      <c r="AI209" s="74"/>
      <c r="AJ209" s="75"/>
      <c r="AK209" s="69"/>
    </row>
    <row r="210" spans="1:37" ht="12.75" hidden="1" customHeight="1" x14ac:dyDescent="0.25">
      <c r="A210" s="112">
        <v>1790</v>
      </c>
      <c r="B210" s="82" t="s">
        <v>125</v>
      </c>
      <c r="C210" s="82" t="str">
        <f>IFERROR(VLOOKUP(D210,'Target tables'!A:B,2,0),"")</f>
        <v>Связь договора аккредитива ЮЛ и кредитного договора</v>
      </c>
      <c r="D210" s="23" t="s">
        <v>90</v>
      </c>
      <c r="E210" s="78" t="str">
        <f>IFERROR(VLOOKUP(D210&amp;J210,'Target columns'!A:J,4,FALSE),"")</f>
        <v>uuid</v>
      </c>
      <c r="F210" s="78" t="str">
        <f>IFERROR(VLOOKUP(D210&amp;J210,'Target columns'!A:J,7,FALSE),"")</f>
        <v>Yes</v>
      </c>
      <c r="G210" s="78" t="str">
        <f>IFERROR(VLOOKUP(D210&amp;J210,'Target columns'!A:J,8,FALSE),"")</f>
        <v>Yes</v>
      </c>
      <c r="H210" s="78" t="str">
        <f>IFERROR(VLOOKUP(D210&amp;J210,'Target columns'!A:J,5,FALSE),"")</f>
        <v>NULL</v>
      </c>
      <c r="I210" s="78" t="str">
        <f>IFERROR(VLOOKUP(D210&amp;J210,'Target columns'!A:J,10,FALSE),"")</f>
        <v>Идентификатор договора аккредитива ЮЛ</v>
      </c>
      <c r="J210" s="23" t="s">
        <v>495</v>
      </c>
      <c r="K210" s="77" t="s">
        <v>160</v>
      </c>
      <c r="L210" s="78" t="str">
        <f>IFERROR(VLOOKUP(K210&amp;N210,source_columns[[Seek]:[Описание поля]],4,0),"")</f>
        <v>uuid</v>
      </c>
      <c r="M210" s="78" t="str">
        <f>IFERROR(VLOOKUP(K210&amp;N210,source_columns[[Seek]:[Описание поля]],7,0),"")</f>
        <v>SK(reference)</v>
      </c>
      <c r="N210" s="201" t="s">
        <v>496</v>
      </c>
      <c r="O210" s="77"/>
      <c r="P210" s="201"/>
      <c r="Q210" s="77"/>
      <c r="R210" s="77"/>
      <c r="S210" s="270" t="s">
        <v>562</v>
      </c>
      <c r="T210" s="82"/>
      <c r="U210" s="82"/>
      <c r="V210" s="84" t="str">
        <f>"n308000046_"&amp;IFERROR(VLOOKUP(D210,target_tables[],5,0),"&lt;not found&gt;")</f>
        <v>n308000046_agr_accred_agr_cred</v>
      </c>
      <c r="W210" s="82" t="s">
        <v>269</v>
      </c>
      <c r="X210" s="111"/>
      <c r="Y210" s="111"/>
      <c r="Z210" s="111"/>
      <c r="AA210" s="111"/>
      <c r="AB210" s="111"/>
      <c r="AC210" s="111"/>
      <c r="AD210" s="111"/>
      <c r="AE210" s="111"/>
      <c r="AF210" s="299" t="s">
        <v>342</v>
      </c>
      <c r="AG210" s="83"/>
      <c r="AH210" s="82"/>
      <c r="AI210" s="90"/>
      <c r="AJ210" s="91"/>
      <c r="AK210" s="69"/>
    </row>
    <row r="211" spans="1:37" ht="12.75" hidden="1" customHeight="1" x14ac:dyDescent="0.25">
      <c r="A211" s="92">
        <v>1800</v>
      </c>
      <c r="B211" s="65" t="s">
        <v>125</v>
      </c>
      <c r="C211" s="65" t="str">
        <f>IFERROR(VLOOKUP(D211,'Target tables'!A:B,2,0),"")</f>
        <v>Связь договора аккредитива ЮЛ и кредитного договора</v>
      </c>
      <c r="D211" s="8" t="s">
        <v>90</v>
      </c>
      <c r="E211" s="66" t="str">
        <f>IFERROR(VLOOKUP(D211&amp;J211,'Target columns'!A:J,4,FALSE),"")</f>
        <v>date</v>
      </c>
      <c r="F211" s="66" t="str">
        <f>IFERROR(VLOOKUP(D211&amp;J211,'Target columns'!A:J,7,FALSE),"")</f>
        <v>Yes</v>
      </c>
      <c r="G211" s="66" t="str">
        <f>IFERROR(VLOOKUP(D211&amp;J211,'Target columns'!A:J,8,FALSE),"")</f>
        <v>No</v>
      </c>
      <c r="H211" s="66" t="str">
        <f>IFERROR(VLOOKUP(D211&amp;J211,'Target columns'!A:J,5,FALSE),"")</f>
        <v>NOT NULL</v>
      </c>
      <c r="I211" s="66" t="str">
        <f>IFERROR(VLOOKUP(D211&amp;J211,'Target columns'!A:J,10,FALSE),"")</f>
        <v>Дата начала действия</v>
      </c>
      <c r="J211" s="8" t="s">
        <v>329</v>
      </c>
      <c r="K211" s="65" t="s">
        <v>160</v>
      </c>
      <c r="L211" s="66" t="str">
        <f>IFERROR(VLOOKUP(K211&amp;N211,source_columns[[Seek]:[Описание поля]],4,0),"")</f>
        <v/>
      </c>
      <c r="M211" s="66" t="str">
        <f>IFERROR(VLOOKUP(K211&amp;N211,source_columns[[Seek]:[Описание поля]],7,0),"")</f>
        <v/>
      </c>
      <c r="N211" s="202" t="s">
        <v>561</v>
      </c>
      <c r="O211" s="65"/>
      <c r="P211" s="202"/>
      <c r="Q211" s="65"/>
      <c r="R211" s="65"/>
      <c r="S211" s="278"/>
      <c r="T211" s="65"/>
      <c r="U211" s="65"/>
      <c r="V211" s="66" t="str">
        <f>"n308000046_"&amp;IFERROR(VLOOKUP(D211,target_tables[],5,0),"&lt;not found&gt;")</f>
        <v>n308000046_agr_accred_agr_cred</v>
      </c>
      <c r="W211" s="65" t="s">
        <v>330</v>
      </c>
      <c r="AF211" s="299"/>
      <c r="AG211" s="10"/>
      <c r="AH211" s="65"/>
      <c r="AI211" s="67"/>
      <c r="AJ211" s="68"/>
      <c r="AK211" s="69"/>
    </row>
    <row r="212" spans="1:37" ht="12.75" hidden="1" customHeight="1" x14ac:dyDescent="0.25">
      <c r="A212" s="108">
        <v>1810</v>
      </c>
      <c r="B212" s="65" t="s">
        <v>125</v>
      </c>
      <c r="C212" s="65" t="str">
        <f>IFERROR(VLOOKUP(D212,'Target tables'!A:B,2,0),"")</f>
        <v>Связь договора аккредитива ЮЛ и кредитного договора</v>
      </c>
      <c r="D212" s="8" t="s">
        <v>90</v>
      </c>
      <c r="E212" s="66" t="str">
        <f>IFERROR(VLOOKUP(D212&amp;J212,'Target columns'!A:J,4,FALSE),"")</f>
        <v>uuid</v>
      </c>
      <c r="F212" s="66" t="str">
        <f>IFERROR(VLOOKUP(D212&amp;J212,'Target columns'!A:J,7,FALSE),"")</f>
        <v>No</v>
      </c>
      <c r="G212" s="66" t="str">
        <f>IFERROR(VLOOKUP(D212&amp;J212,'Target columns'!A:J,8,FALSE),"")</f>
        <v>Yes</v>
      </c>
      <c r="H212" s="66" t="str">
        <f>IFERROR(VLOOKUP(D212&amp;J212,'Target columns'!A:J,5,FALSE),"")</f>
        <v>NULL</v>
      </c>
      <c r="I212" s="66" t="str">
        <f>IFERROR(VLOOKUP(D212&amp;J212,'Target columns'!A:J,10,FALSE),"")</f>
        <v>Идентификатор кредитного договора</v>
      </c>
      <c r="J212" s="8" t="s">
        <v>295</v>
      </c>
      <c r="K212" s="65" t="s">
        <v>160</v>
      </c>
      <c r="L212" s="66" t="str">
        <f>IFERROR(VLOOKUP(K212&amp;N212,source_columns[[Seek]:[Описание поля]],4,0),"")</f>
        <v/>
      </c>
      <c r="M212" s="66" t="str">
        <f>IFERROR(VLOOKUP(K212&amp;N212,source_columns[[Seek]:[Описание поля]],7,0),"")</f>
        <v/>
      </c>
      <c r="N212" s="65" t="s">
        <v>563</v>
      </c>
      <c r="O212" s="65"/>
      <c r="P212" s="202"/>
      <c r="Q212" s="65"/>
      <c r="R212" s="65"/>
      <c r="S212" s="278"/>
      <c r="T212" s="65"/>
      <c r="U212" s="65"/>
      <c r="V212" s="66" t="str">
        <f>"n308000046_"&amp;IFERROR(VLOOKUP(D212,target_tables[],5,0),"&lt;not found&gt;")</f>
        <v>n308000046_agr_accred_agr_cred</v>
      </c>
      <c r="W212" s="65" t="s">
        <v>273</v>
      </c>
      <c r="AF212" s="299"/>
      <c r="AG212" s="10"/>
      <c r="AH212" s="65"/>
      <c r="AI212" s="67"/>
      <c r="AJ212" s="68"/>
      <c r="AK212" s="69"/>
    </row>
    <row r="213" spans="1:37" ht="12.75" hidden="1" customHeight="1" x14ac:dyDescent="0.25">
      <c r="A213" s="93">
        <v>1820</v>
      </c>
      <c r="B213" s="71" t="s">
        <v>125</v>
      </c>
      <c r="C213" s="71" t="str">
        <f>IFERROR(VLOOKUP(D213,'Target tables'!A:B,2,0),"")</f>
        <v>Связь договора аккредитива ЮЛ и кредитного договора</v>
      </c>
      <c r="D213" s="20" t="s">
        <v>90</v>
      </c>
      <c r="E213" s="73" t="str">
        <f>IFERROR(VLOOKUP(D213&amp;J213,'Target columns'!A:J,4,FALSE),"")</f>
        <v>date</v>
      </c>
      <c r="F213" s="73" t="str">
        <f>IFERROR(VLOOKUP(D213&amp;J213,'Target columns'!A:J,7,FALSE),"")</f>
        <v>No</v>
      </c>
      <c r="G213" s="73" t="str">
        <f>IFERROR(VLOOKUP(D213&amp;J213,'Target columns'!A:J,8,FALSE),"")</f>
        <v>No</v>
      </c>
      <c r="H213" s="73" t="str">
        <f>IFERROR(VLOOKUP(D213&amp;J213,'Target columns'!A:J,5,FALSE),"")</f>
        <v>NULL</v>
      </c>
      <c r="I213" s="73" t="str">
        <f>IFERROR(VLOOKUP(D213&amp;J213,'Target columns'!A:J,10,FALSE),"")</f>
        <v>Дата окончания действия</v>
      </c>
      <c r="J213" s="20" t="s">
        <v>331</v>
      </c>
      <c r="K213" s="71" t="s">
        <v>160</v>
      </c>
      <c r="L213" s="73" t="str">
        <f>IFERROR(VLOOKUP(K213&amp;N213,source_columns[[Seek]:[Описание поля]],4,0),"")</f>
        <v/>
      </c>
      <c r="M213" s="73" t="str">
        <f>IFERROR(VLOOKUP(K213&amp;N213,source_columns[[Seek]:[Описание поля]],7,0),"")</f>
        <v/>
      </c>
      <c r="N213" s="203" t="s">
        <v>535</v>
      </c>
      <c r="O213" s="71"/>
      <c r="P213" s="203"/>
      <c r="Q213" s="71"/>
      <c r="R213" s="71"/>
      <c r="S213" s="278"/>
      <c r="T213" s="71"/>
      <c r="U213" s="71"/>
      <c r="V213" s="73" t="str">
        <f>"n308000046_"&amp;IFERROR(VLOOKUP(D213,target_tables[],5,0),"&lt;not found&gt;")</f>
        <v>n308000046_agr_accred_agr_cred</v>
      </c>
      <c r="W213" s="71" t="s">
        <v>332</v>
      </c>
      <c r="X213" s="110"/>
      <c r="Y213" s="110"/>
      <c r="Z213" s="110"/>
      <c r="AA213" s="110"/>
      <c r="AB213" s="110"/>
      <c r="AC213" s="110"/>
      <c r="AD213" s="110"/>
      <c r="AE213" s="110"/>
      <c r="AF213" s="299"/>
      <c r="AG213" s="27"/>
      <c r="AH213" s="71"/>
      <c r="AI213" s="74"/>
      <c r="AJ213" s="75"/>
      <c r="AK213" s="69"/>
    </row>
    <row r="214" spans="1:37" ht="12.75" hidden="1" customHeight="1" x14ac:dyDescent="0.25">
      <c r="A214" s="112">
        <v>1830</v>
      </c>
      <c r="B214" s="82" t="s">
        <v>125</v>
      </c>
      <c r="C214" s="82" t="str">
        <f>IFERROR(VLOOKUP(D214,'Target tables'!A:B,2,0),"")</f>
        <v>Счет</v>
      </c>
      <c r="D214" s="23" t="s">
        <v>96</v>
      </c>
      <c r="E214" s="78" t="str">
        <f>IFERROR(VLOOKUP(D214&amp;J214,'Target columns'!A:J,4,FALSE),"")</f>
        <v>uuid</v>
      </c>
      <c r="F214" s="78" t="str">
        <f>IFERROR(VLOOKUP(D214&amp;J214,'Target columns'!A:J,7,FALSE),"")</f>
        <v>Yes</v>
      </c>
      <c r="G214" s="78" t="str">
        <f>IFERROR(VLOOKUP(D214&amp;J214,'Target columns'!A:J,8,FALSE),"")</f>
        <v>No</v>
      </c>
      <c r="H214" s="78" t="str">
        <f>IFERROR(VLOOKUP(D214&amp;J214,'Target columns'!A:J,5,FALSE),"")</f>
        <v>NOT NULL</v>
      </c>
      <c r="I214" s="78" t="str">
        <f>IFERROR(VLOOKUP(D214&amp;J214,'Target columns'!A:J,10,FALSE),"")</f>
        <v>Идентификатор счета</v>
      </c>
      <c r="J214" s="23" t="s">
        <v>564</v>
      </c>
      <c r="K214" s="77" t="s">
        <v>296</v>
      </c>
      <c r="L214" s="78" t="str">
        <f>IFERROR(VLOOKUP(K214&amp;N214,source_columns[[Seek]:[Описание поля]],4,0),"")</f>
        <v/>
      </c>
      <c r="M214" s="78" t="str">
        <f>IFERROR(VLOOKUP(K214&amp;N214,source_columns[[Seek]:[Описание поля]],7,0),"")</f>
        <v/>
      </c>
      <c r="N214" s="23" t="s">
        <v>564</v>
      </c>
      <c r="O214" s="77"/>
      <c r="P214" s="201"/>
      <c r="Q214" s="77"/>
      <c r="R214" s="77"/>
      <c r="S214" s="300" t="s">
        <v>565</v>
      </c>
      <c r="T214" s="82"/>
      <c r="U214" s="82"/>
      <c r="V214" s="84" t="str">
        <f>"n308000046_"&amp;IFERROR(VLOOKUP(D214,target_tables[],5,0),"&lt;not found&gt;")</f>
        <v>n308000046_coa</v>
      </c>
      <c r="W214" s="82" t="s">
        <v>269</v>
      </c>
      <c r="X214" s="111"/>
      <c r="Y214" s="111"/>
      <c r="Z214" s="111"/>
      <c r="AA214" s="111"/>
      <c r="AB214" s="111"/>
      <c r="AC214" s="111"/>
      <c r="AD214" s="111"/>
      <c r="AE214" s="111"/>
      <c r="AF214" s="299" t="s">
        <v>270</v>
      </c>
      <c r="AG214" s="83"/>
      <c r="AH214" s="82"/>
      <c r="AI214" s="90"/>
      <c r="AJ214" s="91"/>
      <c r="AK214" s="69"/>
    </row>
    <row r="215" spans="1:37" ht="12.75" hidden="1" customHeight="1" x14ac:dyDescent="0.25">
      <c r="A215" s="92">
        <v>1840</v>
      </c>
      <c r="B215" s="65" t="s">
        <v>125</v>
      </c>
      <c r="C215" s="65" t="str">
        <f>IFERROR(VLOOKUP(D215,'Target tables'!A:B,2,0),"")</f>
        <v>Счет</v>
      </c>
      <c r="D215" s="8" t="s">
        <v>96</v>
      </c>
      <c r="E215" s="66" t="str">
        <f>IFERROR(VLOOKUP(D215&amp;J215,'Target columns'!A:J,4,FALSE),"")</f>
        <v>text</v>
      </c>
      <c r="F215" s="66" t="str">
        <f>IFERROR(VLOOKUP(D215&amp;J215,'Target columns'!A:J,7,FALSE),"")</f>
        <v>No</v>
      </c>
      <c r="G215" s="66" t="str">
        <f>IFERROR(VLOOKUP(D215&amp;J215,'Target columns'!A:J,8,FALSE),"")</f>
        <v>No</v>
      </c>
      <c r="H215" s="66" t="str">
        <f>IFERROR(VLOOKUP(D215&amp;J215,'Target columns'!A:J,5,FALSE),"")</f>
        <v>NULL</v>
      </c>
      <c r="I215" s="66" t="str">
        <f>IFERROR(VLOOKUP(D215&amp;J215,'Target columns'!A:J,10,FALSE),"")</f>
        <v>Номер счета</v>
      </c>
      <c r="J215" s="8" t="s">
        <v>327</v>
      </c>
      <c r="K215" s="65" t="s">
        <v>296</v>
      </c>
      <c r="L215" s="66" t="str">
        <f>IFERROR(VLOOKUP(K215&amp;N215,source_columns[[Seek]:[Описание поля]],4,0),"")</f>
        <v/>
      </c>
      <c r="M215" s="66" t="str">
        <f>IFERROR(VLOOKUP(K215&amp;N215,source_columns[[Seek]:[Описание поля]],7,0),"")</f>
        <v/>
      </c>
      <c r="N215" s="8" t="s">
        <v>327</v>
      </c>
      <c r="O215" s="65"/>
      <c r="P215" s="202"/>
      <c r="Q215" s="65"/>
      <c r="R215" s="65"/>
      <c r="S215" s="302"/>
      <c r="T215" s="65"/>
      <c r="U215" s="65"/>
      <c r="V215" s="66" t="str">
        <f>"n308000046_"&amp;IFERROR(VLOOKUP(D215,target_tables[],5,0),"&lt;not found&gt;")</f>
        <v>n308000046_coa</v>
      </c>
      <c r="W215" s="65" t="s">
        <v>273</v>
      </c>
      <c r="AF215" s="299"/>
      <c r="AG215" s="10"/>
      <c r="AH215" s="65"/>
      <c r="AI215" s="67"/>
      <c r="AJ215" s="68"/>
      <c r="AK215" s="69"/>
    </row>
    <row r="216" spans="1:37" ht="12.75" hidden="1" customHeight="1" x14ac:dyDescent="0.25">
      <c r="A216" s="109">
        <v>1850</v>
      </c>
      <c r="B216" s="71" t="s">
        <v>125</v>
      </c>
      <c r="C216" s="71" t="str">
        <f>IFERROR(VLOOKUP(D216,'Target tables'!A:B,2,0),"")</f>
        <v>Счет</v>
      </c>
      <c r="D216" s="20" t="s">
        <v>96</v>
      </c>
      <c r="E216" s="73" t="str">
        <f>IFERROR(VLOOKUP(D216&amp;J216,'Target columns'!A:J,4,FALSE),"")</f>
        <v>text</v>
      </c>
      <c r="F216" s="73" t="str">
        <f>IFERROR(VLOOKUP(D216&amp;J216,'Target columns'!A:J,7,FALSE),"")</f>
        <v>No</v>
      </c>
      <c r="G216" s="73" t="str">
        <f>IFERROR(VLOOKUP(D216&amp;J216,'Target columns'!A:J,8,FALSE),"")</f>
        <v>No</v>
      </c>
      <c r="H216" s="73" t="str">
        <f>IFERROR(VLOOKUP(D216&amp;J216,'Target columns'!A:J,5,FALSE),"")</f>
        <v>NULL</v>
      </c>
      <c r="I216" s="73" t="str">
        <f>IFERROR(VLOOKUP(D216&amp;J216,'Target columns'!A:J,10,FALSE),"")</f>
        <v>Идентификатор счета в системе-источнике</v>
      </c>
      <c r="J216" s="20" t="s">
        <v>566</v>
      </c>
      <c r="K216" s="71" t="s">
        <v>296</v>
      </c>
      <c r="L216" s="73" t="str">
        <f>IFERROR(VLOOKUP(K216&amp;N216,source_columns[[Seek]:[Описание поля]],4,0),"")</f>
        <v/>
      </c>
      <c r="M216" s="73" t="str">
        <f>IFERROR(VLOOKUP(K216&amp;N216,source_columns[[Seek]:[Описание поля]],7,0),"")</f>
        <v/>
      </c>
      <c r="N216" s="20" t="s">
        <v>566</v>
      </c>
      <c r="O216" s="71"/>
      <c r="P216" s="203"/>
      <c r="Q216" s="71"/>
      <c r="R216" s="71"/>
      <c r="S216" s="302"/>
      <c r="T216" s="71"/>
      <c r="U216" s="71"/>
      <c r="V216" s="73" t="str">
        <f>"n308000046_"&amp;IFERROR(VLOOKUP(D216,target_tables[],5,0),"&lt;not found&gt;")</f>
        <v>n308000046_coa</v>
      </c>
      <c r="W216" s="71" t="s">
        <v>273</v>
      </c>
      <c r="X216" s="110"/>
      <c r="Y216" s="110"/>
      <c r="Z216" s="110"/>
      <c r="AA216" s="110"/>
      <c r="AB216" s="110"/>
      <c r="AC216" s="110"/>
      <c r="AD216" s="110"/>
      <c r="AE216" s="110"/>
      <c r="AF216" s="299"/>
      <c r="AG216" s="27"/>
      <c r="AH216" s="71"/>
      <c r="AI216" s="74"/>
      <c r="AJ216" s="75"/>
      <c r="AK216" s="69"/>
    </row>
    <row r="217" spans="1:37" ht="12.75" hidden="1" customHeight="1" x14ac:dyDescent="0.25">
      <c r="A217" s="107">
        <v>1860</v>
      </c>
      <c r="B217" s="82" t="s">
        <v>125</v>
      </c>
      <c r="C217" s="82" t="str">
        <f>IFERROR(VLOOKUP(D217,'Target tables'!A:B,2,0),"")</f>
        <v>Связь контрагента и счета</v>
      </c>
      <c r="D217" s="113" t="s">
        <v>98</v>
      </c>
      <c r="E217" s="78" t="str">
        <f>IFERROR(VLOOKUP(D217&amp;J217,'Target columns'!A:J,4,FALSE),"")</f>
        <v>uuid</v>
      </c>
      <c r="F217" s="78" t="str">
        <f>IFERROR(VLOOKUP(D217&amp;J217,'Target columns'!A:J,7,FALSE),"")</f>
        <v>Yes</v>
      </c>
      <c r="G217" s="78" t="str">
        <f>IFERROR(VLOOKUP(D217&amp;J217,'Target columns'!A:J,8,FALSE),"")</f>
        <v>Yes</v>
      </c>
      <c r="H217" s="78" t="str">
        <f>IFERROR(VLOOKUP(D217&amp;J217,'Target columns'!A:J,5,FALSE),"")</f>
        <v>NULL</v>
      </c>
      <c r="I217" s="78" t="str">
        <f>IFERROR(VLOOKUP(D217&amp;J217,'Target columns'!A:J,10,FALSE),"")</f>
        <v>Идентификатор контрагента</v>
      </c>
      <c r="J217" s="23" t="s">
        <v>347</v>
      </c>
      <c r="K217" s="77" t="s">
        <v>296</v>
      </c>
      <c r="L217" s="78" t="str">
        <f>IFERROR(VLOOKUP(K217&amp;N217,source_columns[[Seek]:[Описание поля]],4,0),"")</f>
        <v/>
      </c>
      <c r="M217" s="78" t="str">
        <f>IFERROR(VLOOKUP(K217&amp;N217,source_columns[[Seek]:[Описание поля]],7,0),"")</f>
        <v/>
      </c>
      <c r="N217" s="23" t="s">
        <v>347</v>
      </c>
      <c r="O217" s="77"/>
      <c r="P217" s="201"/>
      <c r="Q217" s="77"/>
      <c r="R217" s="77"/>
      <c r="S217" s="270" t="s">
        <v>567</v>
      </c>
      <c r="T217" s="82"/>
      <c r="U217" s="82"/>
      <c r="V217" s="84" t="str">
        <f>"n308000046_"&amp;IFERROR(VLOOKUP(D217,target_tables[],5,0),"&lt;not found&gt;")</f>
        <v>n308000046_cust_coa</v>
      </c>
      <c r="W217" s="82" t="s">
        <v>269</v>
      </c>
      <c r="X217" s="111"/>
      <c r="Y217" s="111"/>
      <c r="Z217" s="111"/>
      <c r="AA217" s="111"/>
      <c r="AB217" s="111"/>
      <c r="AC217" s="111"/>
      <c r="AD217" s="111"/>
      <c r="AE217" s="111"/>
      <c r="AF217" s="299" t="s">
        <v>270</v>
      </c>
      <c r="AG217" s="83"/>
      <c r="AH217" s="82"/>
      <c r="AI217" s="90"/>
      <c r="AJ217" s="91"/>
      <c r="AK217" s="69"/>
    </row>
    <row r="218" spans="1:37" ht="12.75" hidden="1" customHeight="1" x14ac:dyDescent="0.25">
      <c r="A218" s="108">
        <v>1870</v>
      </c>
      <c r="B218" s="65" t="s">
        <v>125</v>
      </c>
      <c r="C218" s="65" t="str">
        <f>IFERROR(VLOOKUP(D218,'Target tables'!A:B,2,0),"")</f>
        <v>Связь контрагента и счета</v>
      </c>
      <c r="D218" s="8" t="s">
        <v>98</v>
      </c>
      <c r="E218" s="66" t="str">
        <f>IFERROR(VLOOKUP(D218&amp;J218,'Target columns'!A:J,4,FALSE),"")</f>
        <v>uuid</v>
      </c>
      <c r="F218" s="66" t="str">
        <f>IFERROR(VLOOKUP(D218&amp;J218,'Target columns'!A:J,7,FALSE),"")</f>
        <v>Yes</v>
      </c>
      <c r="G218" s="66" t="str">
        <f>IFERROR(VLOOKUP(D218&amp;J218,'Target columns'!A:J,8,FALSE),"")</f>
        <v>Yes</v>
      </c>
      <c r="H218" s="66" t="str">
        <f>IFERROR(VLOOKUP(D218&amp;J218,'Target columns'!A:J,5,FALSE),"")</f>
        <v>NULL</v>
      </c>
      <c r="I218" s="66" t="str">
        <f>IFERROR(VLOOKUP(D218&amp;J218,'Target columns'!A:J,10,FALSE),"")</f>
        <v>Идентификатор договора аккредитива ЮЛ</v>
      </c>
      <c r="J218" s="8" t="s">
        <v>495</v>
      </c>
      <c r="K218" s="65" t="s">
        <v>296</v>
      </c>
      <c r="L218" s="66" t="str">
        <f>IFERROR(VLOOKUP(K218&amp;N218,source_columns[[Seek]:[Описание поля]],4,0),"")</f>
        <v/>
      </c>
      <c r="M218" s="66" t="str">
        <f>IFERROR(VLOOKUP(K218&amp;N218,source_columns[[Seek]:[Описание поля]],7,0),"")</f>
        <v/>
      </c>
      <c r="N218" s="8" t="s">
        <v>495</v>
      </c>
      <c r="O218" s="65"/>
      <c r="P218" s="202"/>
      <c r="Q218" s="65"/>
      <c r="R218" s="65"/>
      <c r="S218" s="278"/>
      <c r="T218" s="65"/>
      <c r="U218" s="65"/>
      <c r="V218" s="66" t="str">
        <f>"n308000046_"&amp;IFERROR(VLOOKUP(D218,target_tables[],5,0),"&lt;not found&gt;")</f>
        <v>n308000046_cust_coa</v>
      </c>
      <c r="W218" s="65" t="s">
        <v>269</v>
      </c>
      <c r="AF218" s="299"/>
      <c r="AG218" s="10"/>
      <c r="AH218" s="65"/>
      <c r="AI218" s="67"/>
      <c r="AJ218" s="68"/>
      <c r="AK218" s="69"/>
    </row>
    <row r="219" spans="1:37" ht="12.75" hidden="1" customHeight="1" x14ac:dyDescent="0.25">
      <c r="A219" s="92">
        <v>1880</v>
      </c>
      <c r="B219" s="65" t="s">
        <v>125</v>
      </c>
      <c r="C219" s="65" t="str">
        <f>IFERROR(VLOOKUP(D219,'Target tables'!A:B,2,0),"")</f>
        <v>Связь контрагента и счета</v>
      </c>
      <c r="D219" s="8" t="s">
        <v>98</v>
      </c>
      <c r="E219" s="66" t="str">
        <f>IFERROR(VLOOKUP(D219&amp;J219,'Target columns'!A:J,4,FALSE),"")</f>
        <v>uuid</v>
      </c>
      <c r="F219" s="66" t="str">
        <f>IFERROR(VLOOKUP(D219&amp;J219,'Target columns'!A:J,7,FALSE),"")</f>
        <v>Yes</v>
      </c>
      <c r="G219" s="66" t="str">
        <f>IFERROR(VLOOKUP(D219&amp;J219,'Target columns'!A:J,8,FALSE),"")</f>
        <v>Yes</v>
      </c>
      <c r="H219" s="66" t="str">
        <f>IFERROR(VLOOKUP(D219&amp;J219,'Target columns'!A:J,5,FALSE),"")</f>
        <v>NULL</v>
      </c>
      <c r="I219" s="66" t="str">
        <f>IFERROR(VLOOKUP(D219&amp;J219,'Target columns'!A:J,10,FALSE),"")</f>
        <v>Идентификатор счета</v>
      </c>
      <c r="J219" s="8" t="s">
        <v>564</v>
      </c>
      <c r="K219" s="65" t="s">
        <v>296</v>
      </c>
      <c r="L219" s="66" t="str">
        <f>IFERROR(VLOOKUP(K219&amp;N219,source_columns[[Seek]:[Описание поля]],4,0),"")</f>
        <v/>
      </c>
      <c r="M219" s="66" t="str">
        <f>IFERROR(VLOOKUP(K219&amp;N219,source_columns[[Seek]:[Описание поля]],7,0),"")</f>
        <v/>
      </c>
      <c r="N219" s="8" t="s">
        <v>564</v>
      </c>
      <c r="O219" s="65"/>
      <c r="P219" s="202"/>
      <c r="Q219" s="65"/>
      <c r="R219" s="65"/>
      <c r="S219" s="278"/>
      <c r="T219" s="65"/>
      <c r="U219" s="65"/>
      <c r="V219" s="66" t="str">
        <f>"n308000046_"&amp;IFERROR(VLOOKUP(D219,target_tables[],5,0),"&lt;not found&gt;")</f>
        <v>n308000046_cust_coa</v>
      </c>
      <c r="W219" s="65" t="s">
        <v>269</v>
      </c>
      <c r="AF219" s="299"/>
      <c r="AG219" s="10"/>
      <c r="AH219" s="65"/>
      <c r="AI219" s="67"/>
      <c r="AJ219" s="68"/>
      <c r="AK219" s="69"/>
    </row>
    <row r="220" spans="1:37" ht="12.75" hidden="1" customHeight="1" x14ac:dyDescent="0.25">
      <c r="A220" s="109">
        <v>1890</v>
      </c>
      <c r="B220" s="71" t="s">
        <v>125</v>
      </c>
      <c r="C220" s="71" t="str">
        <f>IFERROR(VLOOKUP(D220,'Target tables'!A:B,2,0),"")</f>
        <v>Связь контрагента и счета</v>
      </c>
      <c r="D220" s="20" t="s">
        <v>98</v>
      </c>
      <c r="E220" s="73" t="str">
        <f>IFERROR(VLOOKUP(D220&amp;J220,'Target columns'!A:J,4,FALSE),"")</f>
        <v>uuid</v>
      </c>
      <c r="F220" s="73" t="str">
        <f>IFERROR(VLOOKUP(D220&amp;J220,'Target columns'!A:J,7,FALSE),"")</f>
        <v>Yes</v>
      </c>
      <c r="G220" s="73" t="str">
        <f>IFERROR(VLOOKUP(D220&amp;J220,'Target columns'!A:J,8,FALSE),"")</f>
        <v>Yes</v>
      </c>
      <c r="H220" s="73" t="str">
        <f>IFERROR(VLOOKUP(D220&amp;J220,'Target columns'!A:J,5,FALSE),"")</f>
        <v>NULL</v>
      </c>
      <c r="I220" s="73" t="str">
        <f>IFERROR(VLOOKUP(D220&amp;J220,'Target columns'!A:J,10,FALSE),"")</f>
        <v>Идентификатор типа связи контрагента и счета</v>
      </c>
      <c r="J220" s="20" t="s">
        <v>568</v>
      </c>
      <c r="K220" s="71" t="s">
        <v>296</v>
      </c>
      <c r="L220" s="73" t="str">
        <f>IFERROR(VLOOKUP(K220&amp;N220,source_columns[[Seek]:[Описание поля]],4,0),"")</f>
        <v/>
      </c>
      <c r="M220" s="73" t="str">
        <f>IFERROR(VLOOKUP(K220&amp;N220,source_columns[[Seek]:[Описание поля]],7,0),"")</f>
        <v/>
      </c>
      <c r="N220" s="20" t="s">
        <v>568</v>
      </c>
      <c r="O220" s="71"/>
      <c r="P220" s="203"/>
      <c r="Q220" s="71"/>
      <c r="R220" s="71"/>
      <c r="S220" s="278"/>
      <c r="T220" s="71"/>
      <c r="U220" s="71"/>
      <c r="V220" s="73" t="str">
        <f>"n308000046_"&amp;IFERROR(VLOOKUP(D220,target_tables[],5,0),"&lt;not found&gt;")</f>
        <v>n308000046_cust_coa</v>
      </c>
      <c r="W220" s="71" t="s">
        <v>269</v>
      </c>
      <c r="X220" s="110"/>
      <c r="Y220" s="110"/>
      <c r="Z220" s="110"/>
      <c r="AA220" s="110"/>
      <c r="AB220" s="110"/>
      <c r="AC220" s="110"/>
      <c r="AD220" s="110"/>
      <c r="AE220" s="110"/>
      <c r="AF220" s="299"/>
      <c r="AG220" s="27"/>
      <c r="AH220" s="71"/>
      <c r="AI220" s="74"/>
      <c r="AJ220" s="75"/>
      <c r="AK220" s="69"/>
    </row>
    <row r="221" spans="1:37" ht="12.75" hidden="1" customHeight="1" x14ac:dyDescent="0.25">
      <c r="A221" s="107">
        <v>1900</v>
      </c>
      <c r="B221" s="82" t="s">
        <v>125</v>
      </c>
      <c r="C221" s="82" t="str">
        <f>IFERROR(VLOOKUP(D221,'Target tables'!A:B,2,0),"")</f>
        <v>Связь договора аккредитива ЮЛ и контрагента</v>
      </c>
      <c r="D221" s="23" t="s">
        <v>93</v>
      </c>
      <c r="E221" s="78" t="str">
        <f>IFERROR(VLOOKUP(D221&amp;J221,'Target columns'!A:J,4,FALSE),"")</f>
        <v>uuid</v>
      </c>
      <c r="F221" s="78" t="str">
        <f>IFERROR(VLOOKUP(D221&amp;J221,'Target columns'!A:J,7,FALSE),"")</f>
        <v>Yes</v>
      </c>
      <c r="G221" s="78" t="str">
        <f>IFERROR(VLOOKUP(D221&amp;J221,'Target columns'!A:J,8,FALSE),"")</f>
        <v>Yes</v>
      </c>
      <c r="H221" s="78" t="str">
        <f>IFERROR(VLOOKUP(D221&amp;J221,'Target columns'!A:J,5,FALSE),"")</f>
        <v>NULL</v>
      </c>
      <c r="I221" s="78" t="str">
        <f>IFERROR(VLOOKUP(D221&amp;J221,'Target columns'!A:J,10,FALSE),"")</f>
        <v>Идентификатор договора аккредитива ЮЛ</v>
      </c>
      <c r="J221" s="23" t="s">
        <v>495</v>
      </c>
      <c r="K221" s="77" t="s">
        <v>296</v>
      </c>
      <c r="L221" s="78" t="str">
        <f>IFERROR(VLOOKUP(K221&amp;N221,source_columns[[Seek]:[Описание поля]],4,0),"")</f>
        <v/>
      </c>
      <c r="M221" s="78" t="str">
        <f>IFERROR(VLOOKUP(K221&amp;N221,source_columns[[Seek]:[Описание поля]],7,0),"")</f>
        <v/>
      </c>
      <c r="N221" s="23" t="s">
        <v>495</v>
      </c>
      <c r="O221" s="77"/>
      <c r="P221" s="201"/>
      <c r="Q221" s="77"/>
      <c r="R221" s="77"/>
      <c r="S221" s="270" t="s">
        <v>569</v>
      </c>
      <c r="T221" s="82"/>
      <c r="U221" s="82"/>
      <c r="V221" s="84" t="str">
        <f>"n308000046_"&amp;IFERROR(VLOOKUP(D221,target_tables[],5,0),"&lt;not found&gt;")</f>
        <v>n308000046_agr_accred_cust</v>
      </c>
      <c r="W221" s="82" t="s">
        <v>269</v>
      </c>
      <c r="X221" s="111"/>
      <c r="Y221" s="111"/>
      <c r="Z221" s="111"/>
      <c r="AA221" s="111"/>
      <c r="AB221" s="111"/>
      <c r="AC221" s="111"/>
      <c r="AD221" s="111"/>
      <c r="AE221" s="111"/>
      <c r="AF221" s="299" t="s">
        <v>342</v>
      </c>
      <c r="AG221" s="83"/>
      <c r="AH221" s="82"/>
      <c r="AI221" s="90"/>
      <c r="AJ221" s="91"/>
      <c r="AK221" s="69"/>
    </row>
    <row r="222" spans="1:37" ht="12.75" hidden="1" customHeight="1" x14ac:dyDescent="0.25">
      <c r="A222" s="108">
        <v>1910</v>
      </c>
      <c r="B222" s="65" t="s">
        <v>125</v>
      </c>
      <c r="C222" s="65" t="str">
        <f>IFERROR(VLOOKUP(D222,'Target tables'!A:B,2,0),"")</f>
        <v>Связь договора аккредитива ЮЛ и контрагента</v>
      </c>
      <c r="D222" s="8" t="s">
        <v>93</v>
      </c>
      <c r="E222" s="66" t="str">
        <f>IFERROR(VLOOKUP(D222&amp;J222,'Target columns'!A:J,4,FALSE),"")</f>
        <v>date</v>
      </c>
      <c r="F222" s="66" t="str">
        <f>IFERROR(VLOOKUP(D222&amp;J222,'Target columns'!A:J,7,FALSE),"")</f>
        <v>Yes</v>
      </c>
      <c r="G222" s="66" t="str">
        <f>IFERROR(VLOOKUP(D222&amp;J222,'Target columns'!A:J,8,FALSE),"")</f>
        <v>No</v>
      </c>
      <c r="H222" s="66" t="str">
        <f>IFERROR(VLOOKUP(D222&amp;J222,'Target columns'!A:J,5,FALSE),"")</f>
        <v>NOT NULL</v>
      </c>
      <c r="I222" s="66" t="str">
        <f>IFERROR(VLOOKUP(D222&amp;J222,'Target columns'!A:J,10,FALSE),"")</f>
        <v>Дата начала действия</v>
      </c>
      <c r="J222" s="8" t="s">
        <v>329</v>
      </c>
      <c r="K222" s="65" t="s">
        <v>296</v>
      </c>
      <c r="L222" s="66" t="str">
        <f>IFERROR(VLOOKUP(K222&amp;N222,source_columns[[Seek]:[Описание поля]],4,0),"")</f>
        <v/>
      </c>
      <c r="M222" s="66" t="str">
        <f>IFERROR(VLOOKUP(K222&amp;N222,source_columns[[Seek]:[Описание поля]],7,0),"")</f>
        <v/>
      </c>
      <c r="N222" s="8" t="s">
        <v>329</v>
      </c>
      <c r="O222" s="65"/>
      <c r="P222" s="202"/>
      <c r="Q222" s="65"/>
      <c r="R222" s="65"/>
      <c r="S222" s="278"/>
      <c r="T222" s="65"/>
      <c r="U222" s="65"/>
      <c r="V222" s="66" t="str">
        <f>"n308000046_"&amp;IFERROR(VLOOKUP(D222,target_tables[],5,0),"&lt;not found&gt;")</f>
        <v>n308000046_agr_accred_cust</v>
      </c>
      <c r="W222" s="65" t="s">
        <v>330</v>
      </c>
      <c r="AF222" s="299"/>
      <c r="AG222" s="10"/>
      <c r="AH222" s="65"/>
      <c r="AI222" s="67"/>
      <c r="AJ222" s="68"/>
      <c r="AK222" s="69"/>
    </row>
    <row r="223" spans="1:37" ht="12.75" hidden="1" customHeight="1" x14ac:dyDescent="0.25">
      <c r="A223" s="92">
        <v>1920</v>
      </c>
      <c r="B223" s="65" t="s">
        <v>125</v>
      </c>
      <c r="C223" s="65" t="str">
        <f>IFERROR(VLOOKUP(D223,'Target tables'!A:B,2,0),"")</f>
        <v>Связь договора аккредитива ЮЛ и контрагента</v>
      </c>
      <c r="D223" s="8" t="s">
        <v>93</v>
      </c>
      <c r="E223" s="66" t="str">
        <f>IFERROR(VLOOKUP(D223&amp;J223,'Target columns'!A:J,4,FALSE),"")</f>
        <v>uuid</v>
      </c>
      <c r="F223" s="66" t="str">
        <f>IFERROR(VLOOKUP(D223&amp;J223,'Target columns'!A:J,7,FALSE),"")</f>
        <v>Yes</v>
      </c>
      <c r="G223" s="66" t="str">
        <f>IFERROR(VLOOKUP(D223&amp;J223,'Target columns'!A:J,8,FALSE),"")</f>
        <v>Yes</v>
      </c>
      <c r="H223" s="66" t="str">
        <f>IFERROR(VLOOKUP(D223&amp;J223,'Target columns'!A:J,5,FALSE),"")</f>
        <v>NULL</v>
      </c>
      <c r="I223" s="66" t="str">
        <f>IFERROR(VLOOKUP(D223&amp;J223,'Target columns'!A:J,10,FALSE),"")</f>
        <v>Идентификатор типа связи договора аккредитива ЮЛ и контрагента</v>
      </c>
      <c r="J223" s="8" t="s">
        <v>570</v>
      </c>
      <c r="K223" s="65" t="s">
        <v>296</v>
      </c>
      <c r="L223" s="66" t="str">
        <f>IFERROR(VLOOKUP(K223&amp;N223,source_columns[[Seek]:[Описание поля]],4,0),"")</f>
        <v/>
      </c>
      <c r="M223" s="66" t="str">
        <f>IFERROR(VLOOKUP(K223&amp;N223,source_columns[[Seek]:[Описание поля]],7,0),"")</f>
        <v/>
      </c>
      <c r="N223" s="8" t="s">
        <v>570</v>
      </c>
      <c r="O223" s="65"/>
      <c r="P223" s="202"/>
      <c r="Q223" s="65"/>
      <c r="R223" s="65"/>
      <c r="S223" s="278"/>
      <c r="T223" s="65"/>
      <c r="U223" s="65"/>
      <c r="V223" s="66" t="str">
        <f>"n308000046_"&amp;IFERROR(VLOOKUP(D223,target_tables[],5,0),"&lt;not found&gt;")</f>
        <v>n308000046_agr_accred_cust</v>
      </c>
      <c r="W223" s="65" t="s">
        <v>269</v>
      </c>
      <c r="AF223" s="299"/>
      <c r="AG223" s="10"/>
      <c r="AH223" s="65"/>
      <c r="AI223" s="67"/>
      <c r="AJ223" s="68"/>
      <c r="AK223" s="69"/>
    </row>
    <row r="224" spans="1:37" ht="12.75" hidden="1" customHeight="1" x14ac:dyDescent="0.25">
      <c r="A224" s="108">
        <v>1930</v>
      </c>
      <c r="B224" s="65" t="s">
        <v>125</v>
      </c>
      <c r="C224" s="65" t="str">
        <f>IFERROR(VLOOKUP(D224,'Target tables'!A:B,2,0),"")</f>
        <v>Связь договора аккредитива ЮЛ и контрагента</v>
      </c>
      <c r="D224" s="8" t="s">
        <v>93</v>
      </c>
      <c r="E224" s="66" t="str">
        <f>IFERROR(VLOOKUP(D224&amp;J224,'Target columns'!A:J,4,FALSE),"")</f>
        <v>uuid</v>
      </c>
      <c r="F224" s="66" t="str">
        <f>IFERROR(VLOOKUP(D224&amp;J224,'Target columns'!A:J,7,FALSE),"")</f>
        <v>No</v>
      </c>
      <c r="G224" s="66" t="str">
        <f>IFERROR(VLOOKUP(D224&amp;J224,'Target columns'!A:J,8,FALSE),"")</f>
        <v>Yes</v>
      </c>
      <c r="H224" s="66" t="str">
        <f>IFERROR(VLOOKUP(D224&amp;J224,'Target columns'!A:J,5,FALSE),"")</f>
        <v>NULL</v>
      </c>
      <c r="I224" s="66" t="str">
        <f>IFERROR(VLOOKUP(D224&amp;J224,'Target columns'!A:J,10,FALSE),"")</f>
        <v>Идентификатор контрагента</v>
      </c>
      <c r="J224" s="8" t="s">
        <v>347</v>
      </c>
      <c r="K224" s="65" t="s">
        <v>296</v>
      </c>
      <c r="L224" s="66" t="str">
        <f>IFERROR(VLOOKUP(K224&amp;N224,source_columns[[Seek]:[Описание поля]],4,0),"")</f>
        <v/>
      </c>
      <c r="M224" s="66" t="str">
        <f>IFERROR(VLOOKUP(K224&amp;N224,source_columns[[Seek]:[Описание поля]],7,0),"")</f>
        <v/>
      </c>
      <c r="N224" s="8" t="s">
        <v>347</v>
      </c>
      <c r="O224" s="65"/>
      <c r="P224" s="202"/>
      <c r="Q224" s="65"/>
      <c r="R224" s="65"/>
      <c r="S224" s="278"/>
      <c r="T224" s="65"/>
      <c r="U224" s="65"/>
      <c r="V224" s="66" t="str">
        <f>"n308000046_"&amp;IFERROR(VLOOKUP(D224,target_tables[],5,0),"&lt;not found&gt;")</f>
        <v>n308000046_agr_accred_cust</v>
      </c>
      <c r="W224" s="65" t="s">
        <v>273</v>
      </c>
      <c r="AF224" s="299"/>
      <c r="AG224" s="10"/>
      <c r="AH224" s="65"/>
      <c r="AI224" s="67"/>
      <c r="AJ224" s="68"/>
      <c r="AK224" s="69"/>
    </row>
    <row r="225" spans="1:37" ht="12.75" hidden="1" customHeight="1" x14ac:dyDescent="0.25">
      <c r="A225" s="93">
        <v>1940</v>
      </c>
      <c r="B225" s="71" t="s">
        <v>125</v>
      </c>
      <c r="C225" s="71" t="str">
        <f>IFERROR(VLOOKUP(D225,'Target tables'!A:B,2,0),"")</f>
        <v>Связь договора аккредитива ЮЛ и контрагента</v>
      </c>
      <c r="D225" s="20" t="s">
        <v>93</v>
      </c>
      <c r="E225" s="73" t="str">
        <f>IFERROR(VLOOKUP(D225&amp;J225,'Target columns'!A:J,4,FALSE),"")</f>
        <v>date</v>
      </c>
      <c r="F225" s="73" t="str">
        <f>IFERROR(VLOOKUP(D225&amp;J225,'Target columns'!A:J,7,FALSE),"")</f>
        <v>No</v>
      </c>
      <c r="G225" s="73" t="str">
        <f>IFERROR(VLOOKUP(D225&amp;J225,'Target columns'!A:J,8,FALSE),"")</f>
        <v>No</v>
      </c>
      <c r="H225" s="73" t="str">
        <f>IFERROR(VLOOKUP(D225&amp;J225,'Target columns'!A:J,5,FALSE),"")</f>
        <v>NULL</v>
      </c>
      <c r="I225" s="73" t="str">
        <f>IFERROR(VLOOKUP(D225&amp;J225,'Target columns'!A:J,10,FALSE),"")</f>
        <v>Дата окончания действия</v>
      </c>
      <c r="J225" s="20" t="s">
        <v>331</v>
      </c>
      <c r="K225" s="71" t="s">
        <v>296</v>
      </c>
      <c r="L225" s="73" t="str">
        <f>IFERROR(VLOOKUP(K225&amp;N225,source_columns[[Seek]:[Описание поля]],4,0),"")</f>
        <v/>
      </c>
      <c r="M225" s="73" t="str">
        <f>IFERROR(VLOOKUP(K225&amp;N225,source_columns[[Seek]:[Описание поля]],7,0),"")</f>
        <v/>
      </c>
      <c r="N225" s="20" t="s">
        <v>331</v>
      </c>
      <c r="O225" s="71"/>
      <c r="P225" s="203"/>
      <c r="Q225" s="71"/>
      <c r="R225" s="71"/>
      <c r="S225" s="278"/>
      <c r="T225" s="71"/>
      <c r="U225" s="71"/>
      <c r="V225" s="73" t="str">
        <f>"n308000046_"&amp;IFERROR(VLOOKUP(D225,target_tables[],5,0),"&lt;not found&gt;")</f>
        <v>n308000046_agr_accred_cust</v>
      </c>
      <c r="W225" s="71" t="s">
        <v>332</v>
      </c>
      <c r="X225" s="110"/>
      <c r="Y225" s="110"/>
      <c r="Z225" s="110"/>
      <c r="AA225" s="110"/>
      <c r="AB225" s="110"/>
      <c r="AC225" s="110"/>
      <c r="AD225" s="110"/>
      <c r="AE225" s="110"/>
      <c r="AF225" s="299"/>
      <c r="AG225" s="27"/>
      <c r="AH225" s="71"/>
      <c r="AI225" s="74"/>
      <c r="AJ225" s="75"/>
      <c r="AK225" s="69"/>
    </row>
    <row r="226" spans="1:37" ht="12.75" hidden="1" customHeight="1" x14ac:dyDescent="0.25">
      <c r="A226" s="112">
        <v>1950</v>
      </c>
      <c r="B226" s="77" t="s">
        <v>314</v>
      </c>
      <c r="C226" s="82" t="str">
        <f>IFERROR(VLOOKUP(D226,'Target tables'!A:B,2,0),"")</f>
        <v>Идентификационные характеристики контрагентов - ФЛ</v>
      </c>
      <c r="D226" s="113" t="s">
        <v>99</v>
      </c>
      <c r="E226" s="78" t="str">
        <f>IFERROR(VLOOKUP(D226&amp;J226,'Target columns'!A:J,4,FALSE),"")</f>
        <v>uuid</v>
      </c>
      <c r="F226" s="78" t="str">
        <f>IFERROR(VLOOKUP(D226&amp;J226,'Target columns'!A:J,7,FALSE),"")</f>
        <v>Yes</v>
      </c>
      <c r="G226" s="78" t="str">
        <f>IFERROR(VLOOKUP(D226&amp;J226,'Target columns'!A:J,8,FALSE),"")</f>
        <v>Yes</v>
      </c>
      <c r="H226" s="78" t="str">
        <f>IFERROR(VLOOKUP(D226&amp;J226,'Target columns'!A:J,5,FALSE),"")</f>
        <v>NULL</v>
      </c>
      <c r="I226" s="78" t="str">
        <f>IFERROR(VLOOKUP(D226&amp;J226,'Target columns'!A:J,10,FALSE),"")</f>
        <v>Идентификатор контрагента</v>
      </c>
      <c r="J226" s="23" t="s">
        <v>347</v>
      </c>
      <c r="K226" s="77" t="s">
        <v>296</v>
      </c>
      <c r="L226" s="78" t="str">
        <f>IFERROR(VLOOKUP(K226&amp;N226,source_columns[[Seek]:[Описание поля]],4,0),"")</f>
        <v/>
      </c>
      <c r="M226" s="78" t="str">
        <f>IFERROR(VLOOKUP(K226&amp;N226,source_columns[[Seek]:[Описание поля]],7,0),"")</f>
        <v/>
      </c>
      <c r="N226" s="201" t="s">
        <v>571</v>
      </c>
      <c r="O226" s="77"/>
      <c r="P226" s="201"/>
      <c r="Q226" s="77"/>
      <c r="R226" s="77"/>
      <c r="S226" s="270" t="s">
        <v>572</v>
      </c>
      <c r="T226" s="82"/>
      <c r="U226" s="82"/>
      <c r="V226" s="84" t="str">
        <f>"n308000046_"&amp;IFERROR(VLOOKUP(D226,target_tables[],5,0),"&lt;not found&gt;")</f>
        <v>n308000046_cust_ind_idfn</v>
      </c>
      <c r="W226" s="82" t="s">
        <v>269</v>
      </c>
      <c r="X226" s="111"/>
      <c r="Y226" s="111"/>
      <c r="Z226" s="111"/>
      <c r="AA226" s="111"/>
      <c r="AB226" s="111"/>
      <c r="AC226" s="111"/>
      <c r="AD226" s="111"/>
      <c r="AE226" s="111"/>
      <c r="AF226" s="299" t="s">
        <v>270</v>
      </c>
      <c r="AG226" s="83"/>
      <c r="AH226" s="82"/>
      <c r="AI226" s="90"/>
      <c r="AJ226" s="91"/>
      <c r="AK226" s="69"/>
    </row>
    <row r="227" spans="1:37" ht="12.75" hidden="1" customHeight="1" x14ac:dyDescent="0.25">
      <c r="A227" s="92">
        <v>1960</v>
      </c>
      <c r="B227" s="65" t="s">
        <v>314</v>
      </c>
      <c r="C227" s="65" t="str">
        <f>IFERROR(VLOOKUP(D227,'Target tables'!A:B,2,0),"")</f>
        <v>Идентификационные характеристики контрагентов - ФЛ</v>
      </c>
      <c r="D227" s="8" t="s">
        <v>99</v>
      </c>
      <c r="E227" s="66" t="str">
        <f>IFERROR(VLOOKUP(D227&amp;J227,'Target columns'!A:J,4,FALSE),"")</f>
        <v>text</v>
      </c>
      <c r="F227" s="66" t="str">
        <f>IFERROR(VLOOKUP(D227&amp;J227,'Target columns'!A:J,7,FALSE),"")</f>
        <v>No</v>
      </c>
      <c r="G227" s="66" t="str">
        <f>IFERROR(VLOOKUP(D227&amp;J227,'Target columns'!A:J,8,FALSE),"")</f>
        <v>No</v>
      </c>
      <c r="H227" s="66" t="str">
        <f>IFERROR(VLOOKUP(D227&amp;J227,'Target columns'!A:J,5,FALSE),"")</f>
        <v>NULL</v>
      </c>
      <c r="I227" s="66" t="str">
        <f>IFERROR(VLOOKUP(D227&amp;J227,'Target columns'!A:J,10,FALSE),"")</f>
        <v>ИНН</v>
      </c>
      <c r="J227" s="8" t="s">
        <v>485</v>
      </c>
      <c r="K227" s="65" t="s">
        <v>296</v>
      </c>
      <c r="L227" s="66" t="str">
        <f>IFERROR(VLOOKUP(K227&amp;N227,source_columns[[Seek]:[Описание поля]],4,0),"")</f>
        <v/>
      </c>
      <c r="M227" s="66" t="str">
        <f>IFERROR(VLOOKUP(K227&amp;N227,source_columns[[Seek]:[Описание поля]],7,0),"")</f>
        <v/>
      </c>
      <c r="N227" s="202" t="s">
        <v>573</v>
      </c>
      <c r="O227" s="65"/>
      <c r="P227" s="202"/>
      <c r="Q227" s="65"/>
      <c r="R227" s="65"/>
      <c r="S227" s="278"/>
      <c r="T227" s="65"/>
      <c r="U227" s="65"/>
      <c r="V227" s="66" t="str">
        <f>"n308000046_"&amp;IFERROR(VLOOKUP(D227,target_tables[],5,0),"&lt;not found&gt;")</f>
        <v>n308000046_cust_ind_idfn</v>
      </c>
      <c r="W227" s="65" t="s">
        <v>273</v>
      </c>
      <c r="AF227" s="299"/>
      <c r="AG227" s="10"/>
      <c r="AH227" s="65"/>
      <c r="AI227" s="67"/>
      <c r="AJ227" s="68"/>
      <c r="AK227" s="69"/>
    </row>
    <row r="228" spans="1:37" ht="12.75" hidden="1" customHeight="1" x14ac:dyDescent="0.25">
      <c r="A228" s="108">
        <v>1970</v>
      </c>
      <c r="B228" s="65" t="s">
        <v>314</v>
      </c>
      <c r="C228" s="65" t="str">
        <f>IFERROR(VLOOKUP(D228,'Target tables'!A:B,2,0),"")</f>
        <v>Идентификационные характеристики контрагентов - ФЛ</v>
      </c>
      <c r="D228" s="8" t="s">
        <v>99</v>
      </c>
      <c r="E228" s="66" t="str">
        <f>IFERROR(VLOOKUP(D228&amp;J228,'Target columns'!A:J,4,FALSE),"")</f>
        <v>text</v>
      </c>
      <c r="F228" s="66" t="str">
        <f>IFERROR(VLOOKUP(D228&amp;J228,'Target columns'!A:J,7,FALSE),"")</f>
        <v>No</v>
      </c>
      <c r="G228" s="66" t="str">
        <f>IFERROR(VLOOKUP(D228&amp;J228,'Target columns'!A:J,8,FALSE),"")</f>
        <v>No</v>
      </c>
      <c r="H228" s="66" t="str">
        <f>IFERROR(VLOOKUP(D228&amp;J228,'Target columns'!A:J,5,FALSE),"")</f>
        <v>NULL</v>
      </c>
      <c r="I228" s="66" t="str">
        <f>IFERROR(VLOOKUP(D228&amp;J228,'Target columns'!A:J,10,FALSE),"")</f>
        <v>Флаг резидента</v>
      </c>
      <c r="J228" s="8" t="s">
        <v>486</v>
      </c>
      <c r="K228" s="65" t="s">
        <v>296</v>
      </c>
      <c r="L228" s="66" t="str">
        <f>IFERROR(VLOOKUP(K228&amp;N228,source_columns[[Seek]:[Описание поля]],4,0),"")</f>
        <v/>
      </c>
      <c r="M228" s="66" t="str">
        <f>IFERROR(VLOOKUP(K228&amp;N228,source_columns[[Seek]:[Описание поля]],7,0),"")</f>
        <v/>
      </c>
      <c r="N228" s="202" t="s">
        <v>486</v>
      </c>
      <c r="O228" s="65"/>
      <c r="P228" s="202"/>
      <c r="Q228" s="65"/>
      <c r="R228" s="65"/>
      <c r="S228" s="278"/>
      <c r="T228" s="65"/>
      <c r="U228" s="65"/>
      <c r="V228" s="66" t="str">
        <f>"n308000046_"&amp;IFERROR(VLOOKUP(D228,target_tables[],5,0),"&lt;not found&gt;")</f>
        <v>n308000046_cust_ind_idfn</v>
      </c>
      <c r="W228" s="65" t="s">
        <v>273</v>
      </c>
      <c r="AF228" s="299"/>
      <c r="AG228" s="10"/>
      <c r="AH228" s="65"/>
      <c r="AI228" s="67"/>
      <c r="AJ228" s="68"/>
      <c r="AK228" s="69"/>
    </row>
    <row r="229" spans="1:37" ht="12.75" hidden="1" customHeight="1" x14ac:dyDescent="0.25">
      <c r="A229" s="93">
        <v>1980</v>
      </c>
      <c r="B229" s="71" t="s">
        <v>314</v>
      </c>
      <c r="C229" s="71" t="str">
        <f>IFERROR(VLOOKUP(D229,'Target tables'!A:B,2,0),"")</f>
        <v>Идентификационные характеристики контрагентов - ФЛ</v>
      </c>
      <c r="D229" s="20" t="s">
        <v>99</v>
      </c>
      <c r="E229" s="73" t="str">
        <f>IFERROR(VLOOKUP(D229&amp;J229,'Target columns'!A:J,4,FALSE),"")</f>
        <v>text</v>
      </c>
      <c r="F229" s="73" t="str">
        <f>IFERROR(VLOOKUP(D229&amp;J229,'Target columns'!A:J,7,FALSE),"")</f>
        <v>No</v>
      </c>
      <c r="G229" s="73" t="str">
        <f>IFERROR(VLOOKUP(D229&amp;J229,'Target columns'!A:J,8,FALSE),"")</f>
        <v>No</v>
      </c>
      <c r="H229" s="73" t="str">
        <f>IFERROR(VLOOKUP(D229&amp;J229,'Target columns'!A:J,5,FALSE),"")</f>
        <v>NULL</v>
      </c>
      <c r="I229" s="73" t="str">
        <f>IFERROR(VLOOKUP(D229&amp;J229,'Target columns'!A:J,10,FALSE),"")</f>
        <v>Наименование контрагента</v>
      </c>
      <c r="J229" s="20" t="s">
        <v>484</v>
      </c>
      <c r="K229" s="71" t="s">
        <v>296</v>
      </c>
      <c r="L229" s="73" t="str">
        <f>IFERROR(VLOOKUP(K229&amp;N229,source_columns[[Seek]:[Описание поля]],4,0),"")</f>
        <v/>
      </c>
      <c r="M229" s="73" t="str">
        <f>IFERROR(VLOOKUP(K229&amp;N229,source_columns[[Seek]:[Описание поля]],7,0),"")</f>
        <v/>
      </c>
      <c r="N229" s="203" t="s">
        <v>574</v>
      </c>
      <c r="O229" s="71"/>
      <c r="P229" s="203"/>
      <c r="Q229" s="71"/>
      <c r="R229" s="71"/>
      <c r="S229" s="278"/>
      <c r="T229" s="71"/>
      <c r="U229" s="71"/>
      <c r="V229" s="73" t="str">
        <f>"n308000046_"&amp;IFERROR(VLOOKUP(D229,target_tables[],5,0),"&lt;not found&gt;")</f>
        <v>n308000046_cust_ind_idfn</v>
      </c>
      <c r="W229" s="71" t="s">
        <v>273</v>
      </c>
      <c r="X229" s="110"/>
      <c r="Y229" s="110"/>
      <c r="Z229" s="110"/>
      <c r="AA229" s="110"/>
      <c r="AB229" s="110"/>
      <c r="AC229" s="110"/>
      <c r="AD229" s="110"/>
      <c r="AE229" s="110"/>
      <c r="AF229" s="299"/>
      <c r="AG229" s="27"/>
      <c r="AH229" s="71"/>
      <c r="AI229" s="74"/>
      <c r="AJ229" s="75"/>
      <c r="AK229" s="69"/>
    </row>
    <row r="230" spans="1:37" ht="12.75" hidden="1" customHeight="1" x14ac:dyDescent="0.25">
      <c r="A230" s="112">
        <v>1990</v>
      </c>
      <c r="B230" s="82" t="s">
        <v>125</v>
      </c>
      <c r="C230" s="82" t="str">
        <f>IFERROR(VLOOKUP(D230,'Target tables'!A:B,2,0),"")</f>
        <v>Классификационные характеристики регистров</v>
      </c>
      <c r="D230" s="113" t="s">
        <v>100</v>
      </c>
      <c r="E230" s="78" t="str">
        <f>IFERROR(VLOOKUP(D230&amp;J230,'Target columns'!A:J,4,FALSE),"")</f>
        <v>uuid</v>
      </c>
      <c r="F230" s="78" t="str">
        <f>IFERROR(VLOOKUP(D230&amp;J230,'Target columns'!A:J,7,FALSE),"")</f>
        <v>Yes</v>
      </c>
      <c r="G230" s="78" t="str">
        <f>IFERROR(VLOOKUP(D230&amp;J230,'Target columns'!A:J,8,FALSE),"")</f>
        <v>No</v>
      </c>
      <c r="H230" s="78" t="str">
        <f>IFERROR(VLOOKUP(D230&amp;J230,'Target columns'!A:J,5,FALSE),"")</f>
        <v>NOT NULL</v>
      </c>
      <c r="I230" s="78" t="str">
        <f>IFERROR(VLOOKUP(D230&amp;J230,'Target columns'!A:J,10,FALSE),"")</f>
        <v>Идентификатор регистра</v>
      </c>
      <c r="J230" s="23" t="s">
        <v>315</v>
      </c>
      <c r="K230" s="77" t="s">
        <v>296</v>
      </c>
      <c r="L230" s="78" t="str">
        <f>IFERROR(VLOOKUP(K230&amp;N230,source_columns[[Seek]:[Описание поля]],4,0),"")</f>
        <v/>
      </c>
      <c r="M230" s="78" t="str">
        <f>IFERROR(VLOOKUP(K230&amp;N230,source_columns[[Seek]:[Описание поля]],7,0),"")</f>
        <v/>
      </c>
      <c r="N230" s="201" t="s">
        <v>575</v>
      </c>
      <c r="O230" s="77"/>
      <c r="P230" s="201"/>
      <c r="Q230" s="77"/>
      <c r="R230" s="77"/>
      <c r="S230" s="270" t="s">
        <v>576</v>
      </c>
      <c r="T230" s="82"/>
      <c r="U230" s="82"/>
      <c r="V230" s="84" t="str">
        <f>"n308000046_"&amp;IFERROR(VLOOKUP(D230,target_tables[],5,0),"&lt;not found&gt;")</f>
        <v>n308000046_registry$gls_clsfctn</v>
      </c>
      <c r="W230" s="82" t="s">
        <v>269</v>
      </c>
      <c r="X230" s="111"/>
      <c r="Y230" s="111"/>
      <c r="Z230" s="111"/>
      <c r="AA230" s="111"/>
      <c r="AB230" s="111"/>
      <c r="AC230" s="111"/>
      <c r="AD230" s="111"/>
      <c r="AE230" s="111"/>
      <c r="AF230" s="299" t="s">
        <v>270</v>
      </c>
      <c r="AG230" s="83"/>
      <c r="AH230" s="82"/>
      <c r="AI230" s="90"/>
      <c r="AJ230" s="91"/>
      <c r="AK230" s="69"/>
    </row>
    <row r="231" spans="1:37" ht="12.75" hidden="1" customHeight="1" x14ac:dyDescent="0.25">
      <c r="A231" s="93">
        <v>2000</v>
      </c>
      <c r="B231" s="71" t="s">
        <v>125</v>
      </c>
      <c r="C231" s="71" t="str">
        <f>IFERROR(VLOOKUP(D231,'Target tables'!A:B,2,0),"")</f>
        <v>Классификационные характеристики регистров</v>
      </c>
      <c r="D231" s="20" t="s">
        <v>100</v>
      </c>
      <c r="E231" s="73" t="str">
        <f>IFERROR(VLOOKUP(D231&amp;J231,'Target columns'!A:J,4,FALSE),"")</f>
        <v>text</v>
      </c>
      <c r="F231" s="73" t="str">
        <f>IFERROR(VLOOKUP(D231&amp;J231,'Target columns'!A:J,7,FALSE),"")</f>
        <v>No</v>
      </c>
      <c r="G231" s="73" t="str">
        <f>IFERROR(VLOOKUP(D231&amp;J231,'Target columns'!A:J,8,FALSE),"")</f>
        <v>No</v>
      </c>
      <c r="H231" s="73" t="str">
        <f>IFERROR(VLOOKUP(D231&amp;J231,'Target columns'!A:J,5,FALSE),"")</f>
        <v>NULL</v>
      </c>
      <c r="I231" s="73" t="str">
        <f>IFERROR(VLOOKUP(D231&amp;J231,'Target columns'!A:J,10,FALSE),"")</f>
        <v>Код вида регистра</v>
      </c>
      <c r="J231" s="20" t="s">
        <v>577</v>
      </c>
      <c r="K231" s="71" t="s">
        <v>296</v>
      </c>
      <c r="L231" s="73" t="str">
        <f>IFERROR(VLOOKUP(K231&amp;N231,source_columns[[Seek]:[Описание поля]],4,0),"")</f>
        <v/>
      </c>
      <c r="M231" s="73" t="str">
        <f>IFERROR(VLOOKUP(K231&amp;N231,source_columns[[Seek]:[Описание поля]],7,0),"")</f>
        <v/>
      </c>
      <c r="N231" s="203" t="s">
        <v>578</v>
      </c>
      <c r="O231" s="71"/>
      <c r="P231" s="203"/>
      <c r="Q231" s="71"/>
      <c r="R231" s="71"/>
      <c r="S231" s="278"/>
      <c r="T231" s="71"/>
      <c r="U231" s="71"/>
      <c r="V231" s="73" t="str">
        <f>"n308000046_"&amp;IFERROR(VLOOKUP(D231,target_tables[],5,0),"&lt;not found&gt;")</f>
        <v>n308000046_registry$gls_clsfctn</v>
      </c>
      <c r="W231" s="71" t="s">
        <v>273</v>
      </c>
      <c r="X231" s="110"/>
      <c r="Y231" s="110"/>
      <c r="Z231" s="110"/>
      <c r="AA231" s="110"/>
      <c r="AB231" s="110"/>
      <c r="AC231" s="110"/>
      <c r="AD231" s="110"/>
      <c r="AE231" s="110"/>
      <c r="AF231" s="299"/>
      <c r="AG231" s="27"/>
      <c r="AH231" s="71"/>
      <c r="AI231" s="74"/>
      <c r="AJ231" s="75"/>
      <c r="AK231" s="69"/>
    </row>
    <row r="232" spans="1:37" ht="12.75" hidden="1" customHeight="1" x14ac:dyDescent="0.25">
      <c r="A232" s="112">
        <v>2010</v>
      </c>
      <c r="B232" s="82" t="s">
        <v>125</v>
      </c>
      <c r="C232" s="77" t="str">
        <f>IFERROR(VLOOKUP(D232,'Target tables'!A:B,2,0),"")</f>
        <v>Связь договора аккредитива ЮЛ и подразделения</v>
      </c>
      <c r="D232" s="23" t="s">
        <v>94</v>
      </c>
      <c r="E232" s="78" t="str">
        <f>IFERROR(VLOOKUP(D232&amp;J232,'Target columns'!A:J,4,FALSE),"")</f>
        <v>uuid</v>
      </c>
      <c r="F232" s="78" t="str">
        <f>IFERROR(VLOOKUP(D232&amp;J232,'Target columns'!A:J,7,FALSE),"")</f>
        <v>Yes</v>
      </c>
      <c r="G232" s="78" t="str">
        <f>IFERROR(VLOOKUP(D232&amp;J232,'Target columns'!A:J,8,FALSE),"")</f>
        <v>Yes</v>
      </c>
      <c r="H232" s="78" t="str">
        <f>IFERROR(VLOOKUP(D232&amp;J232,'Target columns'!A:J,5,FALSE),"")</f>
        <v>NULL</v>
      </c>
      <c r="I232" s="78" t="str">
        <f>IFERROR(VLOOKUP(D232&amp;J232,'Target columns'!A:J,10,FALSE),"")</f>
        <v>Идентификатор договора аккредитива ЮЛ</v>
      </c>
      <c r="J232" s="23" t="s">
        <v>495</v>
      </c>
      <c r="K232" s="77" t="s">
        <v>296</v>
      </c>
      <c r="L232" s="78" t="str">
        <f>IFERROR(VLOOKUP(K232&amp;N232,source_columns[[Seek]:[Описание поля]],4,0),"")</f>
        <v/>
      </c>
      <c r="M232" s="78" t="str">
        <f>IFERROR(VLOOKUP(K232&amp;N232,source_columns[[Seek]:[Описание поля]],7,0),"")</f>
        <v/>
      </c>
      <c r="N232" s="23" t="s">
        <v>495</v>
      </c>
      <c r="O232" s="77"/>
      <c r="P232" s="201"/>
      <c r="Q232" s="77"/>
      <c r="R232" s="77"/>
      <c r="S232" s="270" t="s">
        <v>579</v>
      </c>
      <c r="T232" s="82"/>
      <c r="U232" s="82"/>
      <c r="V232" s="84" t="str">
        <f>"n308000046_"&amp;IFERROR(VLOOKUP(D232,target_tables[],5,0),"&lt;not found&gt;")</f>
        <v>n308000046_agr_accred_int_org</v>
      </c>
      <c r="W232" s="82" t="s">
        <v>269</v>
      </c>
      <c r="X232" s="111"/>
      <c r="Y232" s="111"/>
      <c r="Z232" s="111"/>
      <c r="AA232" s="111"/>
      <c r="AB232" s="111"/>
      <c r="AC232" s="111"/>
      <c r="AD232" s="111"/>
      <c r="AE232" s="111"/>
      <c r="AF232" s="299" t="s">
        <v>342</v>
      </c>
      <c r="AG232" s="83"/>
      <c r="AH232" s="82"/>
      <c r="AI232" s="90"/>
      <c r="AJ232" s="91"/>
      <c r="AK232" s="69"/>
    </row>
    <row r="233" spans="1:37" ht="12.75" hidden="1" customHeight="1" x14ac:dyDescent="0.25">
      <c r="A233" s="92">
        <v>2020</v>
      </c>
      <c r="B233" s="65" t="s">
        <v>125</v>
      </c>
      <c r="C233" s="65" t="str">
        <f>IFERROR(VLOOKUP(D233,'Target tables'!A:B,2,0),"")</f>
        <v>Связь договора аккредитива ЮЛ и подразделения</v>
      </c>
      <c r="D233" s="8" t="s">
        <v>94</v>
      </c>
      <c r="E233" s="66" t="str">
        <f>IFERROR(VLOOKUP(D233&amp;J233,'Target columns'!A:J,4,FALSE),"")</f>
        <v>date</v>
      </c>
      <c r="F233" s="66" t="str">
        <f>IFERROR(VLOOKUP(D233&amp;J233,'Target columns'!A:J,7,FALSE),"")</f>
        <v>Yes</v>
      </c>
      <c r="G233" s="66" t="str">
        <f>IFERROR(VLOOKUP(D233&amp;J233,'Target columns'!A:J,8,FALSE),"")</f>
        <v>No</v>
      </c>
      <c r="H233" s="66" t="str">
        <f>IFERROR(VLOOKUP(D233&amp;J233,'Target columns'!A:J,5,FALSE),"")</f>
        <v>NOT NULL</v>
      </c>
      <c r="I233" s="66" t="str">
        <f>IFERROR(VLOOKUP(D233&amp;J233,'Target columns'!A:J,10,FALSE),"")</f>
        <v>Дата начала действия</v>
      </c>
      <c r="J233" s="8" t="s">
        <v>329</v>
      </c>
      <c r="K233" s="65" t="s">
        <v>296</v>
      </c>
      <c r="L233" s="66" t="str">
        <f>IFERROR(VLOOKUP(K233&amp;N233,source_columns[[Seek]:[Описание поля]],4,0),"")</f>
        <v/>
      </c>
      <c r="M233" s="66" t="str">
        <f>IFERROR(VLOOKUP(K233&amp;N233,source_columns[[Seek]:[Описание поля]],7,0),"")</f>
        <v/>
      </c>
      <c r="N233" s="8" t="s">
        <v>329</v>
      </c>
      <c r="O233" s="65"/>
      <c r="P233" s="202"/>
      <c r="Q233" s="65"/>
      <c r="R233" s="65"/>
      <c r="S233" s="278"/>
      <c r="T233" s="65"/>
      <c r="U233" s="65"/>
      <c r="V233" s="66" t="str">
        <f>"n308000046_"&amp;IFERROR(VLOOKUP(D233,target_tables[],5,0),"&lt;not found&gt;")</f>
        <v>n308000046_agr_accred_int_org</v>
      </c>
      <c r="W233" s="65" t="s">
        <v>330</v>
      </c>
      <c r="AF233" s="299"/>
      <c r="AG233" s="10"/>
      <c r="AH233" s="65"/>
      <c r="AI233" s="67"/>
      <c r="AJ233" s="68"/>
      <c r="AK233" s="69"/>
    </row>
    <row r="234" spans="1:37" ht="12.75" hidden="1" customHeight="1" x14ac:dyDescent="0.25">
      <c r="A234" s="108">
        <v>2030</v>
      </c>
      <c r="B234" s="65" t="s">
        <v>125</v>
      </c>
      <c r="C234" s="65" t="str">
        <f>IFERROR(VLOOKUP(D234,'Target tables'!A:B,2,0),"")</f>
        <v>Связь договора аккредитива ЮЛ и подразделения</v>
      </c>
      <c r="D234" s="8" t="s">
        <v>94</v>
      </c>
      <c r="E234" s="66" t="str">
        <f>IFERROR(VLOOKUP(D234&amp;J234,'Target columns'!A:J,4,FALSE),"")</f>
        <v>uuid</v>
      </c>
      <c r="F234" s="66" t="str">
        <f>IFERROR(VLOOKUP(D234&amp;J234,'Target columns'!A:J,7,FALSE),"")</f>
        <v>Yes</v>
      </c>
      <c r="G234" s="66" t="str">
        <f>IFERROR(VLOOKUP(D234&amp;J234,'Target columns'!A:J,8,FALSE),"")</f>
        <v>Yes</v>
      </c>
      <c r="H234" s="66" t="str">
        <f>IFERROR(VLOOKUP(D234&amp;J234,'Target columns'!A:J,5,FALSE),"")</f>
        <v>NULL</v>
      </c>
      <c r="I234" s="66" t="str">
        <f>IFERROR(VLOOKUP(D234&amp;J234,'Target columns'!A:J,10,FALSE),"")</f>
        <v>Идентификатор типа связи договора аккредитива ЮЛ и подразделения</v>
      </c>
      <c r="J234" s="8" t="s">
        <v>580</v>
      </c>
      <c r="K234" s="65" t="s">
        <v>296</v>
      </c>
      <c r="L234" s="66" t="str">
        <f>IFERROR(VLOOKUP(K234&amp;N234,source_columns[[Seek]:[Описание поля]],4,0),"")</f>
        <v/>
      </c>
      <c r="M234" s="66" t="str">
        <f>IFERROR(VLOOKUP(K234&amp;N234,source_columns[[Seek]:[Описание поля]],7,0),"")</f>
        <v/>
      </c>
      <c r="N234" s="8" t="s">
        <v>580</v>
      </c>
      <c r="O234" s="65"/>
      <c r="P234" s="202"/>
      <c r="Q234" s="65"/>
      <c r="R234" s="65"/>
      <c r="S234" s="278"/>
      <c r="T234" s="65"/>
      <c r="U234" s="65"/>
      <c r="V234" s="66" t="str">
        <f>"n308000046_"&amp;IFERROR(VLOOKUP(D234,target_tables[],5,0),"&lt;not found&gt;")</f>
        <v>n308000046_agr_accred_int_org</v>
      </c>
      <c r="W234" s="65" t="s">
        <v>269</v>
      </c>
      <c r="AF234" s="299"/>
      <c r="AG234" s="10"/>
      <c r="AH234" s="65"/>
      <c r="AI234" s="67"/>
      <c r="AJ234" s="68"/>
      <c r="AK234" s="69"/>
    </row>
    <row r="235" spans="1:37" ht="12.75" hidden="1" customHeight="1" x14ac:dyDescent="0.25">
      <c r="A235" s="92">
        <v>2040</v>
      </c>
      <c r="B235" s="65" t="s">
        <v>125</v>
      </c>
      <c r="C235" s="65" t="str">
        <f>IFERROR(VLOOKUP(D235,'Target tables'!A:B,2,0),"")</f>
        <v>Связь договора аккредитива ЮЛ и подразделения</v>
      </c>
      <c r="D235" s="8" t="s">
        <v>94</v>
      </c>
      <c r="E235" s="66" t="str">
        <f>IFERROR(VLOOKUP(D235&amp;J235,'Target columns'!A:J,4,FALSE),"")</f>
        <v>uuid</v>
      </c>
      <c r="F235" s="66" t="str">
        <f>IFERROR(VLOOKUP(D235&amp;J235,'Target columns'!A:J,7,FALSE),"")</f>
        <v>No</v>
      </c>
      <c r="G235" s="66" t="str">
        <f>IFERROR(VLOOKUP(D235&amp;J235,'Target columns'!A:J,8,FALSE),"")</f>
        <v>Yes</v>
      </c>
      <c r="H235" s="66" t="str">
        <f>IFERROR(VLOOKUP(D235&amp;J235,'Target columns'!A:J,5,FALSE),"")</f>
        <v>NULL</v>
      </c>
      <c r="I235" s="66" t="str">
        <f>IFERROR(VLOOKUP(D235&amp;J235,'Target columns'!A:J,10,FALSE),"")</f>
        <v>Идентификатор подразделения</v>
      </c>
      <c r="J235" s="8" t="s">
        <v>364</v>
      </c>
      <c r="K235" s="65" t="s">
        <v>296</v>
      </c>
      <c r="L235" s="66" t="str">
        <f>IFERROR(VLOOKUP(K235&amp;N235,source_columns[[Seek]:[Описание поля]],4,0),"")</f>
        <v/>
      </c>
      <c r="M235" s="66" t="str">
        <f>IFERROR(VLOOKUP(K235&amp;N235,source_columns[[Seek]:[Описание поля]],7,0),"")</f>
        <v/>
      </c>
      <c r="N235" s="8" t="s">
        <v>364</v>
      </c>
      <c r="O235" s="65"/>
      <c r="P235" s="202"/>
      <c r="Q235" s="65"/>
      <c r="R235" s="65"/>
      <c r="S235" s="278"/>
      <c r="T235" s="65"/>
      <c r="U235" s="65"/>
      <c r="V235" s="66" t="str">
        <f>"n308000046_"&amp;IFERROR(VLOOKUP(D235,target_tables[],5,0),"&lt;not found&gt;")</f>
        <v>n308000046_agr_accred_int_org</v>
      </c>
      <c r="W235" s="65" t="s">
        <v>273</v>
      </c>
      <c r="AF235" s="299"/>
      <c r="AG235" s="10"/>
      <c r="AH235" s="65"/>
      <c r="AI235" s="67"/>
      <c r="AJ235" s="68"/>
      <c r="AK235" s="69"/>
    </row>
    <row r="236" spans="1:37" ht="12.75" hidden="1" customHeight="1" x14ac:dyDescent="0.25">
      <c r="A236" s="109">
        <v>2050</v>
      </c>
      <c r="B236" s="71" t="s">
        <v>125</v>
      </c>
      <c r="C236" s="71" t="str">
        <f>IFERROR(VLOOKUP(D236,'Target tables'!A:B,2,0),"")</f>
        <v>Связь договора аккредитива ЮЛ и подразделения</v>
      </c>
      <c r="D236" s="20" t="s">
        <v>94</v>
      </c>
      <c r="E236" s="73" t="str">
        <f>IFERROR(VLOOKUP(D236&amp;J236,'Target columns'!A:J,4,FALSE),"")</f>
        <v>date</v>
      </c>
      <c r="F236" s="73" t="str">
        <f>IFERROR(VLOOKUP(D236&amp;J236,'Target columns'!A:J,7,FALSE),"")</f>
        <v>No</v>
      </c>
      <c r="G236" s="73" t="str">
        <f>IFERROR(VLOOKUP(D236&amp;J236,'Target columns'!A:J,8,FALSE),"")</f>
        <v>No</v>
      </c>
      <c r="H236" s="73" t="str">
        <f>IFERROR(VLOOKUP(D236&amp;J236,'Target columns'!A:J,5,FALSE),"")</f>
        <v>NULL</v>
      </c>
      <c r="I236" s="73" t="str">
        <f>IFERROR(VLOOKUP(D236&amp;J236,'Target columns'!A:J,10,FALSE),"")</f>
        <v>Дата окончания действия</v>
      </c>
      <c r="J236" s="20" t="s">
        <v>331</v>
      </c>
      <c r="K236" s="71" t="s">
        <v>296</v>
      </c>
      <c r="L236" s="73" t="str">
        <f>IFERROR(VLOOKUP(K236&amp;N236,source_columns[[Seek]:[Описание поля]],4,0),"")</f>
        <v/>
      </c>
      <c r="M236" s="73" t="str">
        <f>IFERROR(VLOOKUP(K236&amp;N236,source_columns[[Seek]:[Описание поля]],7,0),"")</f>
        <v/>
      </c>
      <c r="N236" s="20" t="s">
        <v>331</v>
      </c>
      <c r="O236" s="71"/>
      <c r="P236" s="203"/>
      <c r="Q236" s="71"/>
      <c r="R236" s="71"/>
      <c r="S236" s="278"/>
      <c r="T236" s="71"/>
      <c r="U236" s="71"/>
      <c r="V236" s="73" t="str">
        <f>"n308000046_"&amp;IFERROR(VLOOKUP(D236,target_tables[],5,0),"&lt;not found&gt;")</f>
        <v>n308000046_agr_accred_int_org</v>
      </c>
      <c r="W236" s="71" t="s">
        <v>332</v>
      </c>
      <c r="X236" s="110"/>
      <c r="Y236" s="110"/>
      <c r="Z236" s="110"/>
      <c r="AA236" s="110"/>
      <c r="AB236" s="110"/>
      <c r="AC236" s="110"/>
      <c r="AD236" s="110"/>
      <c r="AE236" s="110"/>
      <c r="AF236" s="299"/>
      <c r="AG236" s="27"/>
      <c r="AH236" s="71"/>
      <c r="AI236" s="74"/>
      <c r="AJ236" s="75"/>
      <c r="AK236" s="69"/>
    </row>
    <row r="237" spans="1:37" ht="12.75" hidden="1" customHeight="1" x14ac:dyDescent="0.25">
      <c r="A237" s="107">
        <v>2060</v>
      </c>
      <c r="B237" s="77" t="s">
        <v>314</v>
      </c>
      <c r="C237" s="82" t="str">
        <f>IFERROR(VLOOKUP(D237,'Target tables'!A:B,2,0),"")</f>
        <v>Банк</v>
      </c>
      <c r="D237" s="23" t="s">
        <v>95</v>
      </c>
      <c r="E237" s="78" t="str">
        <f>IFERROR(VLOOKUP(D237&amp;J237,'Target columns'!A:J,4,FALSE),"")</f>
        <v>uuid</v>
      </c>
      <c r="F237" s="78" t="str">
        <f>IFERROR(VLOOKUP(D237&amp;J237,'Target columns'!A:J,7,FALSE),"")</f>
        <v>Yes</v>
      </c>
      <c r="G237" s="78" t="str">
        <f>IFERROR(VLOOKUP(D237&amp;J237,'Target columns'!A:J,8,FALSE),"")</f>
        <v>No</v>
      </c>
      <c r="H237" s="78" t="str">
        <f>IFERROR(VLOOKUP(D237&amp;J237,'Target columns'!A:J,5,FALSE),"")</f>
        <v>NOT NULL</v>
      </c>
      <c r="I237" s="78" t="str">
        <f>IFERROR(VLOOKUP(D237&amp;J237,'Target columns'!A:J,10,FALSE),"")</f>
        <v>Идентификатор банка</v>
      </c>
      <c r="J237" s="23" t="s">
        <v>581</v>
      </c>
      <c r="K237" s="77" t="s">
        <v>296</v>
      </c>
      <c r="L237" s="78" t="str">
        <f>IFERROR(VLOOKUP(K237&amp;N237,source_columns[[Seek]:[Описание поля]],4,0),"")</f>
        <v/>
      </c>
      <c r="M237" s="78" t="str">
        <f>IFERROR(VLOOKUP(K237&amp;N237,source_columns[[Seek]:[Описание поля]],7,0),"")</f>
        <v/>
      </c>
      <c r="N237" s="23" t="s">
        <v>581</v>
      </c>
      <c r="O237" s="77"/>
      <c r="P237" s="201"/>
      <c r="Q237" s="77"/>
      <c r="R237" s="77"/>
      <c r="S237" s="270" t="s">
        <v>582</v>
      </c>
      <c r="T237" s="82"/>
      <c r="U237" s="82"/>
      <c r="V237" s="84" t="str">
        <f>"n308000046_"&amp;IFERROR(VLOOKUP(D237,target_tables[],5,0),"&lt;not found&gt;")</f>
        <v>n308000046_bank</v>
      </c>
      <c r="W237" s="82" t="s">
        <v>269</v>
      </c>
      <c r="X237" s="111"/>
      <c r="Y237" s="111"/>
      <c r="Z237" s="111"/>
      <c r="AA237" s="111"/>
      <c r="AB237" s="111"/>
      <c r="AC237" s="111"/>
      <c r="AD237" s="111"/>
      <c r="AE237" s="111"/>
      <c r="AF237" s="299" t="s">
        <v>270</v>
      </c>
      <c r="AG237" s="83"/>
      <c r="AH237" s="82"/>
      <c r="AI237" s="90"/>
      <c r="AJ237" s="91"/>
      <c r="AK237" s="69"/>
    </row>
    <row r="238" spans="1:37" ht="12.75" hidden="1" customHeight="1" x14ac:dyDescent="0.25">
      <c r="A238" s="108">
        <v>2070</v>
      </c>
      <c r="B238" s="65" t="s">
        <v>314</v>
      </c>
      <c r="C238" s="65" t="str">
        <f>IFERROR(VLOOKUP(D238,'Target tables'!A:B,2,0),"")</f>
        <v>Банк</v>
      </c>
      <c r="D238" s="8" t="s">
        <v>95</v>
      </c>
      <c r="E238" s="66" t="str">
        <f>IFERROR(VLOOKUP(D238&amp;J238,'Target columns'!A:J,4,FALSE),"")</f>
        <v>text</v>
      </c>
      <c r="F238" s="66" t="str">
        <f>IFERROR(VLOOKUP(D238&amp;J238,'Target columns'!A:J,7,FALSE),"")</f>
        <v>No</v>
      </c>
      <c r="G238" s="66" t="str">
        <f>IFERROR(VLOOKUP(D238&amp;J238,'Target columns'!A:J,8,FALSE),"")</f>
        <v>No</v>
      </c>
      <c r="H238" s="66" t="str">
        <f>IFERROR(VLOOKUP(D238&amp;J238,'Target columns'!A:J,5,FALSE),"")</f>
        <v>NULL</v>
      </c>
      <c r="I238" s="66" t="str">
        <f>IFERROR(VLOOKUP(D238&amp;J238,'Target columns'!A:J,10,FALSE),"")</f>
        <v>Наименование банка</v>
      </c>
      <c r="J238" s="8" t="s">
        <v>583</v>
      </c>
      <c r="K238" s="65" t="s">
        <v>296</v>
      </c>
      <c r="L238" s="66" t="str">
        <f>IFERROR(VLOOKUP(K238&amp;N238,source_columns[[Seek]:[Описание поля]],4,0),"")</f>
        <v/>
      </c>
      <c r="M238" s="66" t="str">
        <f>IFERROR(VLOOKUP(K238&amp;N238,source_columns[[Seek]:[Описание поля]],7,0),"")</f>
        <v/>
      </c>
      <c r="N238" s="8" t="s">
        <v>583</v>
      </c>
      <c r="O238" s="65"/>
      <c r="P238" s="202"/>
      <c r="Q238" s="65"/>
      <c r="R238" s="65"/>
      <c r="S238" s="278"/>
      <c r="T238" s="65"/>
      <c r="U238" s="65"/>
      <c r="V238" s="66" t="str">
        <f>"n308000046_"&amp;IFERROR(VLOOKUP(D238,target_tables[],5,0),"&lt;not found&gt;")</f>
        <v>n308000046_bank</v>
      </c>
      <c r="W238" s="65" t="s">
        <v>273</v>
      </c>
      <c r="AF238" s="299"/>
      <c r="AG238" s="10"/>
      <c r="AH238" s="65"/>
      <c r="AI238" s="67"/>
      <c r="AJ238" s="68"/>
      <c r="AK238" s="69"/>
    </row>
    <row r="239" spans="1:37" ht="12.75" hidden="1" customHeight="1" x14ac:dyDescent="0.25">
      <c r="A239" s="92">
        <v>2080</v>
      </c>
      <c r="B239" s="65" t="s">
        <v>314</v>
      </c>
      <c r="C239" s="65" t="str">
        <f>IFERROR(VLOOKUP(D239,'Target tables'!A:B,2,0),"")</f>
        <v>Банк</v>
      </c>
      <c r="D239" s="8" t="s">
        <v>95</v>
      </c>
      <c r="E239" s="66" t="str">
        <f>IFERROR(VLOOKUP(D239&amp;J239,'Target columns'!A:J,4,FALSE),"")</f>
        <v>text</v>
      </c>
      <c r="F239" s="66" t="str">
        <f>IFERROR(VLOOKUP(D239&amp;J239,'Target columns'!A:J,7,FALSE),"")</f>
        <v>No</v>
      </c>
      <c r="G239" s="66" t="str">
        <f>IFERROR(VLOOKUP(D239&amp;J239,'Target columns'!A:J,8,FALSE),"")</f>
        <v>No</v>
      </c>
      <c r="H239" s="66" t="str">
        <f>IFERROR(VLOOKUP(D239&amp;J239,'Target columns'!A:J,5,FALSE),"")</f>
        <v>NULL</v>
      </c>
      <c r="I239" s="66" t="str">
        <f>IFERROR(VLOOKUP(D239&amp;J239,'Target columns'!A:J,10,FALSE),"")</f>
        <v>БИК</v>
      </c>
      <c r="J239" s="8" t="s">
        <v>369</v>
      </c>
      <c r="K239" s="65" t="s">
        <v>296</v>
      </c>
      <c r="L239" s="66" t="str">
        <f>IFERROR(VLOOKUP(K239&amp;N239,source_columns[[Seek]:[Описание поля]],4,0),"")</f>
        <v/>
      </c>
      <c r="M239" s="66" t="str">
        <f>IFERROR(VLOOKUP(K239&amp;N239,source_columns[[Seek]:[Описание поля]],7,0),"")</f>
        <v/>
      </c>
      <c r="N239" s="8" t="s">
        <v>369</v>
      </c>
      <c r="O239" s="65"/>
      <c r="P239" s="202"/>
      <c r="Q239" s="65"/>
      <c r="R239" s="65"/>
      <c r="S239" s="278"/>
      <c r="T239" s="65"/>
      <c r="U239" s="65"/>
      <c r="V239" s="66" t="str">
        <f>"n308000046_"&amp;IFERROR(VLOOKUP(D239,target_tables[],5,0),"&lt;not found&gt;")</f>
        <v>n308000046_bank</v>
      </c>
      <c r="W239" s="65" t="s">
        <v>273</v>
      </c>
      <c r="AF239" s="299"/>
      <c r="AG239" s="10"/>
      <c r="AH239" s="65"/>
      <c r="AI239" s="67"/>
      <c r="AJ239" s="68"/>
      <c r="AK239" s="69"/>
    </row>
    <row r="240" spans="1:37" ht="12.75" hidden="1" customHeight="1" x14ac:dyDescent="0.25">
      <c r="A240" s="108">
        <v>2090</v>
      </c>
      <c r="B240" s="65" t="s">
        <v>314</v>
      </c>
      <c r="C240" s="65" t="str">
        <f>IFERROR(VLOOKUP(D240,'Target tables'!A:B,2,0),"")</f>
        <v>Банк</v>
      </c>
      <c r="D240" s="8" t="s">
        <v>95</v>
      </c>
      <c r="E240" s="66" t="str">
        <f>IFERROR(VLOOKUP(D240&amp;J240,'Target columns'!A:J,4,FALSE),"")</f>
        <v>text</v>
      </c>
      <c r="F240" s="66" t="str">
        <f>IFERROR(VLOOKUP(D240&amp;J240,'Target columns'!A:J,7,FALSE),"")</f>
        <v>No</v>
      </c>
      <c r="G240" s="66" t="str">
        <f>IFERROR(VLOOKUP(D240&amp;J240,'Target columns'!A:J,8,FALSE),"")</f>
        <v>No</v>
      </c>
      <c r="H240" s="66" t="str">
        <f>IFERROR(VLOOKUP(D240&amp;J240,'Target columns'!A:J,5,FALSE),"")</f>
        <v>NULL</v>
      </c>
      <c r="I240" s="66" t="str">
        <f>IFERROR(VLOOKUP(D240&amp;J240,'Target columns'!A:J,10,FALSE),"")</f>
        <v>Флаг резидента</v>
      </c>
      <c r="J240" s="8" t="s">
        <v>486</v>
      </c>
      <c r="K240" s="65" t="s">
        <v>296</v>
      </c>
      <c r="L240" s="66" t="str">
        <f>IFERROR(VLOOKUP(K240&amp;N240,source_columns[[Seek]:[Описание поля]],4,0),"")</f>
        <v/>
      </c>
      <c r="M240" s="66" t="str">
        <f>IFERROR(VLOOKUP(K240&amp;N240,source_columns[[Seek]:[Описание поля]],7,0),"")</f>
        <v/>
      </c>
      <c r="N240" s="8" t="s">
        <v>486</v>
      </c>
      <c r="O240" s="65"/>
      <c r="P240" s="202"/>
      <c r="Q240" s="65"/>
      <c r="R240" s="65"/>
      <c r="S240" s="278"/>
      <c r="T240" s="65"/>
      <c r="U240" s="65"/>
      <c r="V240" s="66" t="str">
        <f>"n308000046_"&amp;IFERROR(VLOOKUP(D240,target_tables[],5,0),"&lt;not found&gt;")</f>
        <v>n308000046_bank</v>
      </c>
      <c r="W240" s="65" t="s">
        <v>273</v>
      </c>
      <c r="AF240" s="299"/>
      <c r="AG240" s="10"/>
      <c r="AH240" s="65"/>
      <c r="AI240" s="67"/>
      <c r="AJ240" s="68"/>
      <c r="AK240" s="69"/>
    </row>
    <row r="241" spans="1:37" ht="12.75" hidden="1" customHeight="1" x14ac:dyDescent="0.25">
      <c r="A241" s="92">
        <v>2100</v>
      </c>
      <c r="B241" s="65" t="s">
        <v>314</v>
      </c>
      <c r="C241" s="65" t="str">
        <f>IFERROR(VLOOKUP(D241,'Target tables'!A:B,2,0),"")</f>
        <v>Банк</v>
      </c>
      <c r="D241" s="8" t="s">
        <v>95</v>
      </c>
      <c r="E241" s="66" t="str">
        <f>IFERROR(VLOOKUP(D241&amp;J241,'Target columns'!A:J,4,FALSE),"")</f>
        <v>text</v>
      </c>
      <c r="F241" s="66" t="str">
        <f>IFERROR(VLOOKUP(D241&amp;J241,'Target columns'!A:J,7,FALSE),"")</f>
        <v>No</v>
      </c>
      <c r="G241" s="66" t="str">
        <f>IFERROR(VLOOKUP(D241&amp;J241,'Target columns'!A:J,8,FALSE),"")</f>
        <v>No</v>
      </c>
      <c r="H241" s="66" t="str">
        <f>IFERROR(VLOOKUP(D241&amp;J241,'Target columns'!A:J,5,FALSE),"")</f>
        <v>NULL</v>
      </c>
      <c r="I241" s="66" t="str">
        <f>IFERROR(VLOOKUP(D241&amp;J241,'Target columns'!A:J,10,FALSE),"")</f>
        <v>Номер SWIFT</v>
      </c>
      <c r="J241" s="8" t="s">
        <v>584</v>
      </c>
      <c r="K241" s="65" t="s">
        <v>296</v>
      </c>
      <c r="L241" s="66" t="str">
        <f>IFERROR(VLOOKUP(K241&amp;N241,source_columns[[Seek]:[Описание поля]],4,0),"")</f>
        <v/>
      </c>
      <c r="M241" s="66" t="str">
        <f>IFERROR(VLOOKUP(K241&amp;N241,source_columns[[Seek]:[Описание поля]],7,0),"")</f>
        <v/>
      </c>
      <c r="N241" s="8" t="s">
        <v>584</v>
      </c>
      <c r="O241" s="65"/>
      <c r="P241" s="202"/>
      <c r="Q241" s="65"/>
      <c r="R241" s="65"/>
      <c r="S241" s="278"/>
      <c r="T241" s="65"/>
      <c r="U241" s="65"/>
      <c r="V241" s="66" t="str">
        <f>"n308000046_"&amp;IFERROR(VLOOKUP(D241,target_tables[],5,0),"&lt;not found&gt;")</f>
        <v>n308000046_bank</v>
      </c>
      <c r="W241" s="65" t="s">
        <v>273</v>
      </c>
      <c r="AF241" s="299"/>
      <c r="AG241" s="10"/>
      <c r="AH241" s="65"/>
      <c r="AI241" s="67"/>
      <c r="AJ241" s="68"/>
      <c r="AK241" s="69"/>
    </row>
    <row r="242" spans="1:37" ht="12.75" hidden="1" customHeight="1" x14ac:dyDescent="0.25">
      <c r="A242" s="109">
        <v>2110</v>
      </c>
      <c r="B242" s="71" t="s">
        <v>314</v>
      </c>
      <c r="C242" s="71" t="str">
        <f>IFERROR(VLOOKUP(D242,'Target tables'!A:B,2,0),"")</f>
        <v>Банк</v>
      </c>
      <c r="D242" s="20" t="s">
        <v>95</v>
      </c>
      <c r="E242" s="73" t="str">
        <f>IFERROR(VLOOKUP(D242&amp;J242,'Target columns'!A:J,4,FALSE),"")</f>
        <v>text</v>
      </c>
      <c r="F242" s="73" t="str">
        <f>IFERROR(VLOOKUP(D242&amp;J242,'Target columns'!A:J,7,FALSE),"")</f>
        <v>No</v>
      </c>
      <c r="G242" s="73" t="str">
        <f>IFERROR(VLOOKUP(D242&amp;J242,'Target columns'!A:J,8,FALSE),"")</f>
        <v>No</v>
      </c>
      <c r="H242" s="73" t="str">
        <f>IFERROR(VLOOKUP(D242&amp;J242,'Target columns'!A:J,5,FALSE),"")</f>
        <v>NULL</v>
      </c>
      <c r="I242" s="73" t="str">
        <f>IFERROR(VLOOKUP(D242&amp;J242,'Target columns'!A:J,10,FALSE),"")</f>
        <v>Идентификатор банка в системе-источнике</v>
      </c>
      <c r="J242" s="20" t="s">
        <v>585</v>
      </c>
      <c r="K242" s="71" t="s">
        <v>296</v>
      </c>
      <c r="L242" s="73" t="str">
        <f>IFERROR(VLOOKUP(K242&amp;N242,source_columns[[Seek]:[Описание поля]],4,0),"")</f>
        <v/>
      </c>
      <c r="M242" s="73" t="str">
        <f>IFERROR(VLOOKUP(K242&amp;N242,source_columns[[Seek]:[Описание поля]],7,0),"")</f>
        <v/>
      </c>
      <c r="N242" s="20" t="s">
        <v>585</v>
      </c>
      <c r="O242" s="71"/>
      <c r="P242" s="203"/>
      <c r="Q242" s="71"/>
      <c r="R242" s="71"/>
      <c r="S242" s="278"/>
      <c r="T242" s="71"/>
      <c r="U242" s="71"/>
      <c r="V242" s="73" t="str">
        <f>"n308000046_"&amp;IFERROR(VLOOKUP(D242,target_tables[],5,0),"&lt;not found&gt;")</f>
        <v>n308000046_bank</v>
      </c>
      <c r="W242" s="71" t="s">
        <v>273</v>
      </c>
      <c r="X242" s="110"/>
      <c r="Y242" s="110"/>
      <c r="Z242" s="110"/>
      <c r="AA242" s="110"/>
      <c r="AB242" s="110"/>
      <c r="AC242" s="110"/>
      <c r="AD242" s="110"/>
      <c r="AE242" s="110"/>
      <c r="AF242" s="299"/>
      <c r="AG242" s="27"/>
      <c r="AH242" s="71"/>
      <c r="AI242" s="74"/>
      <c r="AJ242" s="75"/>
      <c r="AK242" s="69"/>
    </row>
    <row r="243" spans="1:37" ht="12.75" hidden="1" customHeight="1" x14ac:dyDescent="0.25">
      <c r="A243" s="107">
        <v>2120</v>
      </c>
      <c r="B243" s="82" t="s">
        <v>125</v>
      </c>
      <c r="C243" s="82" t="str">
        <f>IFERROR(VLOOKUP(D243,'Target tables'!A:B,2,0),"")</f>
        <v>Связь договора аккредитива ЮЛ и банка</v>
      </c>
      <c r="D243" s="23" t="s">
        <v>91</v>
      </c>
      <c r="E243" s="78" t="str">
        <f>IFERROR(VLOOKUP(D243&amp;J243,'Target columns'!A:J,4,FALSE),"")</f>
        <v>uuid</v>
      </c>
      <c r="F243" s="78" t="str">
        <f>IFERROR(VLOOKUP(D243&amp;J243,'Target columns'!A:J,7,FALSE),"")</f>
        <v>Yes</v>
      </c>
      <c r="G243" s="78" t="str">
        <f>IFERROR(VLOOKUP(D243&amp;J243,'Target columns'!A:J,8,FALSE),"")</f>
        <v>Yes</v>
      </c>
      <c r="H243" s="78" t="str">
        <f>IFERROR(VLOOKUP(D243&amp;J243,'Target columns'!A:J,5,FALSE),"")</f>
        <v>NULL</v>
      </c>
      <c r="I243" s="78" t="str">
        <f>IFERROR(VLOOKUP(D243&amp;J243,'Target columns'!A:J,10,FALSE),"")</f>
        <v>Идентификатор договора аккредитива ЮЛ</v>
      </c>
      <c r="J243" s="23" t="s">
        <v>495</v>
      </c>
      <c r="K243" s="77" t="s">
        <v>296</v>
      </c>
      <c r="L243" s="78" t="str">
        <f>IFERROR(VLOOKUP(K243&amp;N243,source_columns[[Seek]:[Описание поля]],4,0),"")</f>
        <v/>
      </c>
      <c r="M243" s="78" t="str">
        <f>IFERROR(VLOOKUP(K243&amp;N243,source_columns[[Seek]:[Описание поля]],7,0),"")</f>
        <v/>
      </c>
      <c r="N243" s="23" t="s">
        <v>495</v>
      </c>
      <c r="O243" s="77"/>
      <c r="P243" s="201"/>
      <c r="Q243" s="77"/>
      <c r="R243" s="77"/>
      <c r="S243" s="270" t="s">
        <v>586</v>
      </c>
      <c r="T243" s="82"/>
      <c r="U243" s="82"/>
      <c r="V243" s="84" t="str">
        <f>"n308000046_"&amp;IFERROR(VLOOKUP(D243,target_tables[],5,0),"&lt;not found&gt;")</f>
        <v>n308000046_agr_accred_bank</v>
      </c>
      <c r="W243" s="82" t="s">
        <v>269</v>
      </c>
      <c r="X243" s="111"/>
      <c r="Y243" s="111"/>
      <c r="Z243" s="111"/>
      <c r="AA243" s="111"/>
      <c r="AB243" s="111"/>
      <c r="AC243" s="111"/>
      <c r="AD243" s="111"/>
      <c r="AE243" s="111"/>
      <c r="AF243" s="299" t="s">
        <v>342</v>
      </c>
      <c r="AG243" s="83"/>
      <c r="AH243" s="82"/>
      <c r="AI243" s="90"/>
      <c r="AJ243" s="91"/>
      <c r="AK243" s="69"/>
    </row>
    <row r="244" spans="1:37" ht="12.75" hidden="1" customHeight="1" x14ac:dyDescent="0.25">
      <c r="A244" s="108">
        <v>2130</v>
      </c>
      <c r="B244" s="65" t="s">
        <v>125</v>
      </c>
      <c r="C244" s="65" t="str">
        <f>IFERROR(VLOOKUP(D244,'Target tables'!A:B,2,0),"")</f>
        <v>Связь договора аккредитива ЮЛ и банка</v>
      </c>
      <c r="D244" s="8" t="s">
        <v>91</v>
      </c>
      <c r="E244" s="66" t="str">
        <f>IFERROR(VLOOKUP(D244&amp;J244,'Target columns'!A:J,4,FALSE),"")</f>
        <v>date</v>
      </c>
      <c r="F244" s="66" t="str">
        <f>IFERROR(VLOOKUP(D244&amp;J244,'Target columns'!A:J,7,FALSE),"")</f>
        <v>Yes</v>
      </c>
      <c r="G244" s="66" t="str">
        <f>IFERROR(VLOOKUP(D244&amp;J244,'Target columns'!A:J,8,FALSE),"")</f>
        <v>No</v>
      </c>
      <c r="H244" s="66" t="str">
        <f>IFERROR(VLOOKUP(D244&amp;J244,'Target columns'!A:J,5,FALSE),"")</f>
        <v>NOT NULL</v>
      </c>
      <c r="I244" s="66" t="str">
        <f>IFERROR(VLOOKUP(D244&amp;J244,'Target columns'!A:J,10,FALSE),"")</f>
        <v>Дата начала действия</v>
      </c>
      <c r="J244" s="8" t="s">
        <v>329</v>
      </c>
      <c r="K244" s="65" t="s">
        <v>296</v>
      </c>
      <c r="L244" s="66" t="str">
        <f>IFERROR(VLOOKUP(K244&amp;N244,source_columns[[Seek]:[Описание поля]],4,0),"")</f>
        <v/>
      </c>
      <c r="M244" s="66" t="str">
        <f>IFERROR(VLOOKUP(K244&amp;N244,source_columns[[Seek]:[Описание поля]],7,0),"")</f>
        <v/>
      </c>
      <c r="N244" s="8" t="s">
        <v>329</v>
      </c>
      <c r="O244" s="65"/>
      <c r="P244" s="202"/>
      <c r="Q244" s="65"/>
      <c r="R244" s="65"/>
      <c r="S244" s="278"/>
      <c r="T244" s="65"/>
      <c r="U244" s="65"/>
      <c r="V244" s="66" t="str">
        <f>"n308000046_"&amp;IFERROR(VLOOKUP(D244,target_tables[],5,0),"&lt;not found&gt;")</f>
        <v>n308000046_agr_accred_bank</v>
      </c>
      <c r="W244" s="65" t="s">
        <v>330</v>
      </c>
      <c r="AF244" s="299"/>
      <c r="AG244" s="10"/>
      <c r="AH244" s="65"/>
      <c r="AI244" s="67"/>
      <c r="AJ244" s="68"/>
      <c r="AK244" s="69"/>
    </row>
    <row r="245" spans="1:37" ht="12.75" hidden="1" customHeight="1" x14ac:dyDescent="0.25">
      <c r="A245" s="92">
        <v>2140</v>
      </c>
      <c r="B245" s="65" t="s">
        <v>125</v>
      </c>
      <c r="C245" s="65" t="str">
        <f>IFERROR(VLOOKUP(D245,'Target tables'!A:B,2,0),"")</f>
        <v>Связь договора аккредитива ЮЛ и банка</v>
      </c>
      <c r="D245" s="8" t="s">
        <v>91</v>
      </c>
      <c r="E245" s="66" t="str">
        <f>IFERROR(VLOOKUP(D245&amp;J245,'Target columns'!A:J,4,FALSE),"")</f>
        <v>uuid</v>
      </c>
      <c r="F245" s="66" t="str">
        <f>IFERROR(VLOOKUP(D245&amp;J245,'Target columns'!A:J,7,FALSE),"")</f>
        <v>Yes</v>
      </c>
      <c r="G245" s="66" t="str">
        <f>IFERROR(VLOOKUP(D245&amp;J245,'Target columns'!A:J,8,FALSE),"")</f>
        <v>Yes</v>
      </c>
      <c r="H245" s="66" t="str">
        <f>IFERROR(VLOOKUP(D245&amp;J245,'Target columns'!A:J,5,FALSE),"")</f>
        <v>NULL</v>
      </c>
      <c r="I245" s="66" t="str">
        <f>IFERROR(VLOOKUP(D245&amp;J245,'Target columns'!A:J,10,FALSE),"")</f>
        <v>Идентификатор типа связи договора аккредитива ЮЛ и банка</v>
      </c>
      <c r="J245" s="8" t="s">
        <v>587</v>
      </c>
      <c r="K245" s="65" t="s">
        <v>296</v>
      </c>
      <c r="L245" s="66" t="str">
        <f>IFERROR(VLOOKUP(K245&amp;N245,source_columns[[Seek]:[Описание поля]],4,0),"")</f>
        <v/>
      </c>
      <c r="M245" s="66" t="str">
        <f>IFERROR(VLOOKUP(K245&amp;N245,source_columns[[Seek]:[Описание поля]],7,0),"")</f>
        <v/>
      </c>
      <c r="N245" s="8" t="s">
        <v>587</v>
      </c>
      <c r="O245" s="65"/>
      <c r="P245" s="202"/>
      <c r="Q245" s="65"/>
      <c r="R245" s="65"/>
      <c r="S245" s="278"/>
      <c r="T245" s="65"/>
      <c r="U245" s="65"/>
      <c r="V245" s="66" t="str">
        <f>"n308000046_"&amp;IFERROR(VLOOKUP(D245,target_tables[],5,0),"&lt;not found&gt;")</f>
        <v>n308000046_agr_accred_bank</v>
      </c>
      <c r="W245" s="65" t="s">
        <v>269</v>
      </c>
      <c r="AF245" s="299"/>
      <c r="AG245" s="10"/>
      <c r="AH245" s="65"/>
      <c r="AI245" s="67"/>
      <c r="AJ245" s="68"/>
      <c r="AK245" s="69"/>
    </row>
    <row r="246" spans="1:37" ht="12.75" hidden="1" customHeight="1" x14ac:dyDescent="0.25">
      <c r="A246" s="108">
        <v>2150</v>
      </c>
      <c r="B246" s="65" t="s">
        <v>125</v>
      </c>
      <c r="C246" s="65" t="str">
        <f>IFERROR(VLOOKUP(D246,'Target tables'!A:B,2,0),"")</f>
        <v>Связь договора аккредитива ЮЛ и банка</v>
      </c>
      <c r="D246" s="8" t="s">
        <v>91</v>
      </c>
      <c r="E246" s="66" t="str">
        <f>IFERROR(VLOOKUP(D246&amp;J246,'Target columns'!A:J,4,FALSE),"")</f>
        <v>uuid</v>
      </c>
      <c r="F246" s="66" t="str">
        <f>IFERROR(VLOOKUP(D246&amp;J246,'Target columns'!A:J,7,FALSE),"")</f>
        <v>No</v>
      </c>
      <c r="G246" s="66" t="str">
        <f>IFERROR(VLOOKUP(D246&amp;J246,'Target columns'!A:J,8,FALSE),"")</f>
        <v>Yes</v>
      </c>
      <c r="H246" s="66" t="str">
        <f>IFERROR(VLOOKUP(D246&amp;J246,'Target columns'!A:J,5,FALSE),"")</f>
        <v>NULL</v>
      </c>
      <c r="I246" s="66" t="str">
        <f>IFERROR(VLOOKUP(D246&amp;J246,'Target columns'!A:J,10,FALSE),"")</f>
        <v>Идентификатор банка</v>
      </c>
      <c r="J246" s="8" t="s">
        <v>581</v>
      </c>
      <c r="K246" s="65" t="s">
        <v>296</v>
      </c>
      <c r="L246" s="66" t="str">
        <f>IFERROR(VLOOKUP(K246&amp;N246,source_columns[[Seek]:[Описание поля]],4,0),"")</f>
        <v/>
      </c>
      <c r="M246" s="66" t="str">
        <f>IFERROR(VLOOKUP(K246&amp;N246,source_columns[[Seek]:[Описание поля]],7,0),"")</f>
        <v/>
      </c>
      <c r="N246" s="8" t="s">
        <v>581</v>
      </c>
      <c r="O246" s="65"/>
      <c r="P246" s="202"/>
      <c r="Q246" s="65"/>
      <c r="R246" s="65"/>
      <c r="S246" s="278"/>
      <c r="T246" s="65"/>
      <c r="U246" s="65"/>
      <c r="V246" s="66" t="str">
        <f>"n308000046_"&amp;IFERROR(VLOOKUP(D246,target_tables[],5,0),"&lt;not found&gt;")</f>
        <v>n308000046_agr_accred_bank</v>
      </c>
      <c r="W246" s="65" t="s">
        <v>273</v>
      </c>
      <c r="AF246" s="299"/>
      <c r="AG246" s="10"/>
      <c r="AH246" s="65"/>
      <c r="AI246" s="67"/>
      <c r="AJ246" s="68"/>
      <c r="AK246" s="69"/>
    </row>
    <row r="247" spans="1:37" ht="12.75" hidden="1" customHeight="1" x14ac:dyDescent="0.25">
      <c r="A247" s="93">
        <v>2160</v>
      </c>
      <c r="B247" s="71" t="s">
        <v>125</v>
      </c>
      <c r="C247" s="71" t="str">
        <f>IFERROR(VLOOKUP(D247,'Target tables'!A:B,2,0),"")</f>
        <v>Связь договора аккредитива ЮЛ и банка</v>
      </c>
      <c r="D247" s="20" t="s">
        <v>91</v>
      </c>
      <c r="E247" s="73" t="str">
        <f>IFERROR(VLOOKUP(D247&amp;J247,'Target columns'!A:J,4,FALSE),"")</f>
        <v>date</v>
      </c>
      <c r="F247" s="73" t="str">
        <f>IFERROR(VLOOKUP(D247&amp;J247,'Target columns'!A:J,7,FALSE),"")</f>
        <v>No</v>
      </c>
      <c r="G247" s="73" t="str">
        <f>IFERROR(VLOOKUP(D247&amp;J247,'Target columns'!A:J,8,FALSE),"")</f>
        <v>No</v>
      </c>
      <c r="H247" s="73" t="str">
        <f>IFERROR(VLOOKUP(D247&amp;J247,'Target columns'!A:J,5,FALSE),"")</f>
        <v>NULL</v>
      </c>
      <c r="I247" s="73" t="str">
        <f>IFERROR(VLOOKUP(D247&amp;J247,'Target columns'!A:J,10,FALSE),"")</f>
        <v>Дата окончания действия</v>
      </c>
      <c r="J247" s="20" t="s">
        <v>331</v>
      </c>
      <c r="K247" s="71" t="s">
        <v>296</v>
      </c>
      <c r="L247" s="73" t="str">
        <f>IFERROR(VLOOKUP(K247&amp;N247,source_columns[[Seek]:[Описание поля]],4,0),"")</f>
        <v/>
      </c>
      <c r="M247" s="73" t="str">
        <f>IFERROR(VLOOKUP(K247&amp;N247,source_columns[[Seek]:[Описание поля]],7,0),"")</f>
        <v/>
      </c>
      <c r="N247" s="20" t="s">
        <v>331</v>
      </c>
      <c r="O247" s="71"/>
      <c r="P247" s="203"/>
      <c r="Q247" s="71"/>
      <c r="R247" s="71"/>
      <c r="S247" s="278"/>
      <c r="T247" s="71"/>
      <c r="U247" s="71"/>
      <c r="V247" s="73" t="str">
        <f>"n308000046_"&amp;IFERROR(VLOOKUP(D247,target_tables[],5,0),"&lt;not found&gt;")</f>
        <v>n308000046_agr_accred_bank</v>
      </c>
      <c r="W247" s="71" t="s">
        <v>332</v>
      </c>
      <c r="X247" s="110"/>
      <c r="Y247" s="110"/>
      <c r="Z247" s="110"/>
      <c r="AA247" s="110"/>
      <c r="AB247" s="110"/>
      <c r="AC247" s="110"/>
      <c r="AD247" s="110"/>
      <c r="AE247" s="110"/>
      <c r="AF247" s="299"/>
      <c r="AG247" s="27"/>
      <c r="AH247" s="71"/>
      <c r="AI247" s="74"/>
      <c r="AJ247" s="75"/>
      <c r="AK247" s="69"/>
    </row>
    <row r="248" spans="1:37" ht="12.75" hidden="1" customHeight="1" x14ac:dyDescent="0.25">
      <c r="A248" s="114">
        <v>2170</v>
      </c>
      <c r="B248" s="113" t="s">
        <v>588</v>
      </c>
      <c r="C248" s="82" t="str">
        <f>IFERROR(VLOOKUP(D248,'Target tables'!A:B,2,0),"")</f>
        <v>Договора, для которых не созданы собственные agrmnt</v>
      </c>
      <c r="D248" s="23" t="s">
        <v>136</v>
      </c>
      <c r="E248" s="78" t="str">
        <f>IFERROR(VLOOKUP(D248&amp;J248,'Target columns'!A:J,4,FALSE),"")</f>
        <v>UUID</v>
      </c>
      <c r="F248" s="78" t="str">
        <f>IFERROR(VLOOKUP(D248&amp;J248,'Target columns'!A:J,7,FALSE),"")</f>
        <v>Yes</v>
      </c>
      <c r="G248" s="78" t="str">
        <f>IFERROR(VLOOKUP(D248&amp;J248,'Target columns'!A:J,8,FALSE),"")</f>
        <v>No</v>
      </c>
      <c r="H248" s="78" t="str">
        <f>IFERROR(VLOOKUP(D248&amp;J248,'Target columns'!A:J,5,FALSE),"")</f>
        <v>NOT NULL</v>
      </c>
      <c r="I248" s="78" t="str">
        <f>IFERROR(VLOOKUP(D248&amp;J248,'Target columns'!A:J,10,FALSE),"")</f>
        <v>Идентификатор договора</v>
      </c>
      <c r="J248" s="23" t="s">
        <v>589</v>
      </c>
      <c r="K248" s="23" t="s">
        <v>149</v>
      </c>
      <c r="L248" s="78" t="str">
        <f>IFERROR(VLOOKUP(K248&amp;N248,source_columns[[Seek]:[Описание поля]],4,0),"")</f>
        <v>uuid</v>
      </c>
      <c r="M248" s="78" t="str">
        <f>IFERROR(VLOOKUP(K248&amp;N248,source_columns[[Seek]:[Описание поля]],7,0),"")</f>
        <v>Референс сделки</v>
      </c>
      <c r="N248" s="23" t="s">
        <v>496</v>
      </c>
      <c r="O248" s="23"/>
      <c r="P248" s="23"/>
      <c r="Q248" s="23"/>
      <c r="R248" s="23"/>
      <c r="S248" s="270"/>
      <c r="T248" s="82"/>
      <c r="U248" s="82"/>
      <c r="V248" s="84" t="str">
        <f>"n308000046_"&amp;IFERROR(VLOOKUP(D248,target_tables[],5,0),"&lt;not found&gt;")</f>
        <v>n308000046_agr_other</v>
      </c>
      <c r="W248" s="82" t="s">
        <v>269</v>
      </c>
      <c r="X248" s="82"/>
      <c r="Y248" s="82"/>
      <c r="Z248" s="82"/>
      <c r="AA248" s="82"/>
      <c r="AB248" s="82"/>
      <c r="AC248" s="82"/>
      <c r="AD248" s="82"/>
      <c r="AE248" s="82"/>
      <c r="AF248" s="299" t="s">
        <v>270</v>
      </c>
      <c r="AG248" s="83"/>
      <c r="AH248" s="83"/>
      <c r="AI248" s="83"/>
      <c r="AJ248" s="91"/>
      <c r="AK248" s="69"/>
    </row>
    <row r="249" spans="1:37" ht="12.75" hidden="1" customHeight="1" x14ac:dyDescent="0.25">
      <c r="A249" s="115">
        <v>2180</v>
      </c>
      <c r="B249" s="8" t="s">
        <v>588</v>
      </c>
      <c r="C249" s="65" t="str">
        <f>IFERROR(VLOOKUP(D249,'Target tables'!A:B,2,0),"")</f>
        <v>Договора, для которых не созданы собственные agrmnt</v>
      </c>
      <c r="D249" s="8" t="s">
        <v>136</v>
      </c>
      <c r="E249" s="66" t="str">
        <f>IFERROR(VLOOKUP(D249&amp;J249,'Target columns'!A:J,4,FALSE),"")</f>
        <v>DATE</v>
      </c>
      <c r="F249" s="66" t="str">
        <f>IFERROR(VLOOKUP(D249&amp;J249,'Target columns'!A:J,7,FALSE),"")</f>
        <v>No</v>
      </c>
      <c r="G249" s="66" t="str">
        <f>IFERROR(VLOOKUP(D249&amp;J249,'Target columns'!A:J,8,FALSE),"")</f>
        <v>No</v>
      </c>
      <c r="H249" s="66" t="str">
        <f>IFERROR(VLOOKUP(D249&amp;J249,'Target columns'!A:J,5,FALSE),"")</f>
        <v>NULL</v>
      </c>
      <c r="I249" s="66" t="str">
        <f>IFERROR(VLOOKUP(D249&amp;J249,'Target columns'!A:J,10,FALSE),"")</f>
        <v>Дата открытия договора</v>
      </c>
      <c r="J249" s="8" t="s">
        <v>271</v>
      </c>
      <c r="K249" s="8" t="s">
        <v>149</v>
      </c>
      <c r="L249" s="66" t="str">
        <f>IFERROR(VLOOKUP(K249&amp;N249,source_columns[[Seek]:[Описание поля]],4,0),"")</f>
        <v>date</v>
      </c>
      <c r="M249" s="66" t="str">
        <f>IFERROR(VLOOKUP(K249&amp;N249,source_columns[[Seek]:[Описание поля]],7,0),"")</f>
        <v>Дата заключения сделки</v>
      </c>
      <c r="N249" s="8" t="s">
        <v>590</v>
      </c>
      <c r="O249" s="8"/>
      <c r="P249" s="8"/>
      <c r="Q249" s="8"/>
      <c r="R249" s="8"/>
      <c r="S249" s="278"/>
      <c r="T249" s="65"/>
      <c r="U249" s="65"/>
      <c r="V249" s="66" t="str">
        <f>"n308000046_"&amp;IFERROR(VLOOKUP(D249,target_tables[],5,0),"&lt;not found&gt;")</f>
        <v>n308000046_agr_other</v>
      </c>
      <c r="W249" s="65" t="s">
        <v>273</v>
      </c>
      <c r="X249" s="65"/>
      <c r="Y249" s="65"/>
      <c r="Z249" s="65"/>
      <c r="AA249" s="65"/>
      <c r="AB249" s="65"/>
      <c r="AC249" s="65"/>
      <c r="AD249" s="65"/>
      <c r="AE249" s="65"/>
      <c r="AF249" s="299"/>
      <c r="AG249" s="10"/>
      <c r="AH249" s="10"/>
      <c r="AI249" s="10"/>
      <c r="AJ249" s="68"/>
      <c r="AK249" s="69"/>
    </row>
    <row r="250" spans="1:37" ht="12.75" hidden="1" customHeight="1" x14ac:dyDescent="0.25">
      <c r="A250" s="115">
        <v>2190</v>
      </c>
      <c r="B250" s="8" t="s">
        <v>588</v>
      </c>
      <c r="C250" s="65" t="str">
        <f>IFERROR(VLOOKUP(D250,'Target tables'!A:B,2,0),"")</f>
        <v>Договора, для которых не созданы собственные agrmnt</v>
      </c>
      <c r="D250" s="8" t="s">
        <v>136</v>
      </c>
      <c r="E250" s="66" t="str">
        <f>IFERROR(VLOOKUP(D250&amp;J250,'Target columns'!A:J,4,FALSE),"")</f>
        <v>DATE</v>
      </c>
      <c r="F250" s="66" t="str">
        <f>IFERROR(VLOOKUP(D250&amp;J250,'Target columns'!A:J,7,FALSE),"")</f>
        <v>No</v>
      </c>
      <c r="G250" s="66" t="str">
        <f>IFERROR(VLOOKUP(D250&amp;J250,'Target columns'!A:J,8,FALSE),"")</f>
        <v>No</v>
      </c>
      <c r="H250" s="66" t="str">
        <f>IFERROR(VLOOKUP(D250&amp;J250,'Target columns'!A:J,5,FALSE),"")</f>
        <v>NULL</v>
      </c>
      <c r="I250" s="66" t="str">
        <f>IFERROR(VLOOKUP(D250&amp;J250,'Target columns'!A:J,10,FALSE),"")</f>
        <v>Дата подписания договора</v>
      </c>
      <c r="J250" s="8" t="s">
        <v>274</v>
      </c>
      <c r="K250" s="8" t="s">
        <v>149</v>
      </c>
      <c r="L250" s="66" t="str">
        <f>IFERROR(VLOOKUP(K250&amp;N250,source_columns[[Seek]:[Описание поля]],4,0),"")</f>
        <v>date</v>
      </c>
      <c r="M250" s="66" t="str">
        <f>IFERROR(VLOOKUP(K250&amp;N250,source_columns[[Seek]:[Описание поля]],7,0),"")</f>
        <v>Дата заключения сделки</v>
      </c>
      <c r="N250" s="8" t="s">
        <v>590</v>
      </c>
      <c r="O250" s="8"/>
      <c r="P250" s="8"/>
      <c r="Q250" s="8"/>
      <c r="R250" s="8"/>
      <c r="S250" s="278"/>
      <c r="T250" s="65"/>
      <c r="U250" s="65"/>
      <c r="V250" s="66" t="str">
        <f>"n308000046_"&amp;IFERROR(VLOOKUP(D250,target_tables[],5,0),"&lt;not found&gt;")</f>
        <v>n308000046_agr_other</v>
      </c>
      <c r="W250" s="65" t="s">
        <v>273</v>
      </c>
      <c r="X250" s="65"/>
      <c r="Y250" s="65"/>
      <c r="Z250" s="65"/>
      <c r="AA250" s="65"/>
      <c r="AB250" s="65"/>
      <c r="AC250" s="65"/>
      <c r="AD250" s="65"/>
      <c r="AE250" s="65"/>
      <c r="AF250" s="299"/>
      <c r="AG250" s="10"/>
      <c r="AH250" s="10"/>
      <c r="AI250" s="10"/>
      <c r="AJ250" s="68"/>
      <c r="AK250" s="69"/>
    </row>
    <row r="251" spans="1:37" ht="12.75" hidden="1" customHeight="1" x14ac:dyDescent="0.25">
      <c r="A251" s="115">
        <v>2200</v>
      </c>
      <c r="B251" s="8" t="s">
        <v>588</v>
      </c>
      <c r="C251" s="65" t="str">
        <f>IFERROR(VLOOKUP(D251,'Target tables'!A:B,2,0),"")</f>
        <v>Договора, для которых не созданы собственные agrmnt</v>
      </c>
      <c r="D251" s="8" t="s">
        <v>136</v>
      </c>
      <c r="E251" s="66" t="str">
        <f>IFERROR(VLOOKUP(D251&amp;J251,'Target columns'!A:J,4,FALSE),"")</f>
        <v>DATE</v>
      </c>
      <c r="F251" s="66" t="str">
        <f>IFERROR(VLOOKUP(D251&amp;J251,'Target columns'!A:J,7,FALSE),"")</f>
        <v>No</v>
      </c>
      <c r="G251" s="66" t="str">
        <f>IFERROR(VLOOKUP(D251&amp;J251,'Target columns'!A:J,8,FALSE),"")</f>
        <v>No</v>
      </c>
      <c r="H251" s="66" t="str">
        <f>IFERROR(VLOOKUP(D251&amp;J251,'Target columns'!A:J,5,FALSE),"")</f>
        <v>NULL</v>
      </c>
      <c r="I251" s="66" t="str">
        <f>IFERROR(VLOOKUP(D251&amp;J251,'Target columns'!A:J,10,FALSE),"")</f>
        <v>Дата закрытия договора</v>
      </c>
      <c r="J251" s="8" t="s">
        <v>275</v>
      </c>
      <c r="K251" s="8" t="s">
        <v>149</v>
      </c>
      <c r="L251" s="66" t="str">
        <f>IFERROR(VLOOKUP(K251&amp;N251,source_columns[[Seek]:[Описание поля]],4,0),"")</f>
        <v>date</v>
      </c>
      <c r="M251" s="66" t="str">
        <f>IFERROR(VLOOKUP(K251&amp;N251,source_columns[[Seek]:[Описание поля]],7,0),"")</f>
        <v>Дата закрытия</v>
      </c>
      <c r="N251" s="8" t="s">
        <v>387</v>
      </c>
      <c r="O251" s="8"/>
      <c r="P251" s="8"/>
      <c r="Q251" s="8"/>
      <c r="R251" s="8"/>
      <c r="S251" s="278"/>
      <c r="T251" s="65"/>
      <c r="U251" s="65"/>
      <c r="V251" s="66" t="str">
        <f>"n308000046_"&amp;IFERROR(VLOOKUP(D251,target_tables[],5,0),"&lt;not found&gt;")</f>
        <v>n308000046_agr_other</v>
      </c>
      <c r="W251" s="65" t="s">
        <v>273</v>
      </c>
      <c r="X251" s="65"/>
      <c r="Y251" s="65"/>
      <c r="Z251" s="65"/>
      <c r="AA251" s="65"/>
      <c r="AB251" s="65"/>
      <c r="AC251" s="65"/>
      <c r="AD251" s="65"/>
      <c r="AE251" s="65"/>
      <c r="AF251" s="299"/>
      <c r="AG251" s="10"/>
      <c r="AH251" s="10"/>
      <c r="AI251" s="10"/>
      <c r="AJ251" s="68"/>
      <c r="AK251" s="69"/>
    </row>
    <row r="252" spans="1:37" ht="12.75" hidden="1" customHeight="1" x14ac:dyDescent="0.25">
      <c r="A252" s="115">
        <v>2210</v>
      </c>
      <c r="B252" s="8" t="s">
        <v>588</v>
      </c>
      <c r="C252" s="65" t="str">
        <f>IFERROR(VLOOKUP(D252,'Target tables'!A:B,2,0),"")</f>
        <v>Договора, для которых не созданы собственные agrmnt</v>
      </c>
      <c r="D252" s="8" t="s">
        <v>136</v>
      </c>
      <c r="E252" s="66" t="str">
        <f>IFERROR(VLOOKUP(D252&amp;J252,'Target columns'!A:J,4,FALSE),"")</f>
        <v>TEXT</v>
      </c>
      <c r="F252" s="66" t="str">
        <f>IFERROR(VLOOKUP(D252&amp;J252,'Target columns'!A:J,7,FALSE),"")</f>
        <v>No</v>
      </c>
      <c r="G252" s="66" t="str">
        <f>IFERROR(VLOOKUP(D252&amp;J252,'Target columns'!A:J,8,FALSE),"")</f>
        <v>No</v>
      </c>
      <c r="H252" s="66" t="str">
        <f>IFERROR(VLOOKUP(D252&amp;J252,'Target columns'!A:J,5,FALSE),"")</f>
        <v>NULL</v>
      </c>
      <c r="I252" s="66" t="str">
        <f>IFERROR(VLOOKUP(D252&amp;J252,'Target columns'!A:J,10,FALSE),"")</f>
        <v>Номер договора</v>
      </c>
      <c r="J252" s="8" t="s">
        <v>591</v>
      </c>
      <c r="K252" s="8" t="s">
        <v>149</v>
      </c>
      <c r="L252" s="66" t="str">
        <f>IFERROR(VLOOKUP(K252&amp;N252,source_columns[[Seek]:[Описание поля]],4,0),"")</f>
        <v>text</v>
      </c>
      <c r="M252" s="66" t="str">
        <f>IFERROR(VLOOKUP(K252&amp;N252,source_columns[[Seek]:[Описание поля]],7,0),"")</f>
        <v>Референс сделки</v>
      </c>
      <c r="N252" s="8" t="s">
        <v>388</v>
      </c>
      <c r="O252" s="8"/>
      <c r="P252" s="8"/>
      <c r="Q252" s="8"/>
      <c r="R252" s="8"/>
      <c r="S252" s="278"/>
      <c r="T252" s="65"/>
      <c r="U252" s="65"/>
      <c r="V252" s="66" t="str">
        <f>"n308000046_"&amp;IFERROR(VLOOKUP(D252,target_tables[],5,0),"&lt;not found&gt;")</f>
        <v>n308000046_agr_other</v>
      </c>
      <c r="W252" s="65" t="s">
        <v>273</v>
      </c>
      <c r="X252" s="65"/>
      <c r="Y252" s="65"/>
      <c r="Z252" s="65"/>
      <c r="AA252" s="65"/>
      <c r="AB252" s="65"/>
      <c r="AC252" s="65"/>
      <c r="AD252" s="65"/>
      <c r="AE252" s="65"/>
      <c r="AF252" s="299"/>
      <c r="AG252" s="10"/>
      <c r="AH252" s="10"/>
      <c r="AI252" s="10"/>
      <c r="AJ252" s="68"/>
      <c r="AK252" s="69"/>
    </row>
    <row r="253" spans="1:37" ht="12.75" hidden="1" customHeight="1" x14ac:dyDescent="0.25">
      <c r="A253" s="115">
        <v>2220</v>
      </c>
      <c r="B253" s="8" t="s">
        <v>588</v>
      </c>
      <c r="C253" s="65" t="str">
        <f>IFERROR(VLOOKUP(D253,'Target tables'!A:B,2,0),"")</f>
        <v>Договора, для которых не созданы собственные agrmnt</v>
      </c>
      <c r="D253" s="8" t="s">
        <v>136</v>
      </c>
      <c r="E253" s="66" t="str">
        <f>IFERROR(VLOOKUP(D253&amp;J253,'Target columns'!A:J,4,FALSE),"")</f>
        <v>TEXT</v>
      </c>
      <c r="F253" s="66" t="str">
        <f>IFERROR(VLOOKUP(D253&amp;J253,'Target columns'!A:J,7,FALSE),"")</f>
        <v>No</v>
      </c>
      <c r="G253" s="66" t="str">
        <f>IFERROR(VLOOKUP(D253&amp;J253,'Target columns'!A:J,8,FALSE),"")</f>
        <v>No</v>
      </c>
      <c r="H253" s="66" t="str">
        <f>IFERROR(VLOOKUP(D253&amp;J253,'Target columns'!A:J,5,FALSE),"")</f>
        <v>NULL</v>
      </c>
      <c r="I253" s="66" t="str">
        <f>IFERROR(VLOOKUP(D253&amp;J253,'Target columns'!A:J,10,FALSE),"")</f>
        <v>Номер договора банка эмитента</v>
      </c>
      <c r="J253" s="8" t="s">
        <v>506</v>
      </c>
      <c r="K253" s="8" t="s">
        <v>149</v>
      </c>
      <c r="L253" s="66" t="str">
        <f>IFERROR(VLOOKUP(K253&amp;N253,source_columns[[Seek]:[Описание поля]],4,0),"")</f>
        <v>text</v>
      </c>
      <c r="M253" s="66" t="str">
        <f>IFERROR(VLOOKUP(K253&amp;N253,source_columns[[Seek]:[Описание поля]],7,0),"")</f>
        <v>Номер сделки у иностранного банка</v>
      </c>
      <c r="N253" s="8" t="s">
        <v>592</v>
      </c>
      <c r="O253" s="8"/>
      <c r="P253" s="8"/>
      <c r="Q253" s="8"/>
      <c r="R253" s="8"/>
      <c r="S253" s="278"/>
      <c r="T253" s="65"/>
      <c r="U253" s="65"/>
      <c r="V253" s="66" t="str">
        <f>"n308000046_"&amp;IFERROR(VLOOKUP(D253,target_tables[],5,0),"&lt;not found&gt;")</f>
        <v>n308000046_agr_other</v>
      </c>
      <c r="W253" s="65" t="s">
        <v>273</v>
      </c>
      <c r="X253" s="65"/>
      <c r="Y253" s="65"/>
      <c r="Z253" s="65"/>
      <c r="AA253" s="65"/>
      <c r="AB253" s="65"/>
      <c r="AC253" s="65"/>
      <c r="AD253" s="65"/>
      <c r="AE253" s="65"/>
      <c r="AF253" s="299"/>
      <c r="AG253" s="10"/>
      <c r="AH253" s="10"/>
      <c r="AI253" s="10"/>
      <c r="AJ253" s="68"/>
      <c r="AK253" s="69"/>
    </row>
    <row r="254" spans="1:37" ht="12.75" hidden="1" customHeight="1" x14ac:dyDescent="0.25">
      <c r="A254" s="115">
        <v>2230</v>
      </c>
      <c r="B254" s="8" t="s">
        <v>588</v>
      </c>
      <c r="C254" s="65" t="str">
        <f>IFERROR(VLOOKUP(D254,'Target tables'!A:B,2,0),"")</f>
        <v>Договора, для которых не созданы собственные agrmnt</v>
      </c>
      <c r="D254" s="8" t="s">
        <v>136</v>
      </c>
      <c r="E254" s="66" t="str">
        <f>IFERROR(VLOOKUP(D254&amp;J254,'Target columns'!A:J,4,FALSE),"")</f>
        <v>UUID</v>
      </c>
      <c r="F254" s="66" t="str">
        <f>IFERROR(VLOOKUP(D254&amp;J254,'Target columns'!A:J,7,FALSE),"")</f>
        <v>No</v>
      </c>
      <c r="G254" s="66" t="str">
        <f>IFERROR(VLOOKUP(D254&amp;J254,'Target columns'!A:J,8,FALSE),"")</f>
        <v>Yes</v>
      </c>
      <c r="H254" s="66" t="str">
        <f>IFERROR(VLOOKUP(D254&amp;J254,'Target columns'!A:J,5,FALSE),"")</f>
        <v>NULL</v>
      </c>
      <c r="I254" s="66" t="str">
        <f>IFERROR(VLOOKUP(D254&amp;J254,'Target columns'!A:J,10,FALSE),"")</f>
        <v>Идентификатор категория договора</v>
      </c>
      <c r="J254" s="8" t="s">
        <v>593</v>
      </c>
      <c r="K254" s="8" t="s">
        <v>149</v>
      </c>
      <c r="L254" s="66" t="str">
        <f>IFERROR(VLOOKUP(K254&amp;N254,source_columns[[Seek]:[Описание поля]],4,0),"")</f>
        <v/>
      </c>
      <c r="M254" s="66" t="str">
        <f>IFERROR(VLOOKUP(K254&amp;N254,source_columns[[Seek]:[Описание поля]],7,0),"")</f>
        <v/>
      </c>
      <c r="N254" s="8" t="s">
        <v>594</v>
      </c>
      <c r="O254" s="8"/>
      <c r="P254" s="8"/>
      <c r="Q254" s="8"/>
      <c r="R254" s="8"/>
      <c r="S254" s="278"/>
      <c r="T254" s="65"/>
      <c r="U254" s="65"/>
      <c r="V254" s="66" t="str">
        <f>"n308000046_"&amp;IFERROR(VLOOKUP(D254,target_tables[],5,0),"&lt;not found&gt;")</f>
        <v>n308000046_agr_other</v>
      </c>
      <c r="W254" s="65" t="s">
        <v>273</v>
      </c>
      <c r="X254" s="65"/>
      <c r="Y254" s="65"/>
      <c r="Z254" s="65"/>
      <c r="AA254" s="65"/>
      <c r="AB254" s="65"/>
      <c r="AC254" s="65"/>
      <c r="AD254" s="65"/>
      <c r="AE254" s="65"/>
      <c r="AF254" s="299"/>
      <c r="AG254" s="10"/>
      <c r="AH254" s="10"/>
      <c r="AI254" s="10"/>
      <c r="AJ254" s="68"/>
      <c r="AK254" s="69"/>
    </row>
    <row r="255" spans="1:37" ht="12.75" hidden="1" customHeight="1" x14ac:dyDescent="0.25">
      <c r="A255" s="115">
        <v>2240</v>
      </c>
      <c r="B255" s="8" t="s">
        <v>588</v>
      </c>
      <c r="C255" s="65" t="str">
        <f>IFERROR(VLOOKUP(D255,'Target tables'!A:B,2,0),"")</f>
        <v>Договора, для которых не созданы собственные agrmnt</v>
      </c>
      <c r="D255" s="8" t="s">
        <v>136</v>
      </c>
      <c r="E255" s="66" t="str">
        <f>IFERROR(VLOOKUP(D255&amp;J255,'Target columns'!A:J,4,FALSE),"")</f>
        <v>TEXT</v>
      </c>
      <c r="F255" s="66" t="str">
        <f>IFERROR(VLOOKUP(D255&amp;J255,'Target columns'!A:J,7,FALSE),"")</f>
        <v>No</v>
      </c>
      <c r="G255" s="66" t="str">
        <f>IFERROR(VLOOKUP(D255&amp;J255,'Target columns'!A:J,8,FALSE),"")</f>
        <v>No</v>
      </c>
      <c r="H255" s="66" t="str">
        <f>IFERROR(VLOOKUP(D255&amp;J255,'Target columns'!A:J,5,FALSE),"")</f>
        <v>NULL</v>
      </c>
      <c r="I255" s="66" t="str">
        <f>IFERROR(VLOOKUP(D255&amp;J255,'Target columns'!A:J,10,FALSE),"")</f>
        <v>Идентификатор договора в системе-источнике</v>
      </c>
      <c r="J255" s="8" t="s">
        <v>595</v>
      </c>
      <c r="K255" s="8" t="s">
        <v>149</v>
      </c>
      <c r="L255" s="66" t="str">
        <f>IFERROR(VLOOKUP(K255&amp;N255,source_columns[[Seek]:[Описание поля]],4,0),"")</f>
        <v>text</v>
      </c>
      <c r="M255" s="66" t="str">
        <f>IFERROR(VLOOKUP(K255&amp;N255,source_columns[[Seek]:[Описание поля]],7,0),"")</f>
        <v>Референс сделки</v>
      </c>
      <c r="N255" s="8" t="s">
        <v>388</v>
      </c>
      <c r="O255" s="8"/>
      <c r="P255" s="8"/>
      <c r="Q255" s="8"/>
      <c r="R255" s="8"/>
      <c r="S255" s="278"/>
      <c r="T255" s="65"/>
      <c r="U255" s="65"/>
      <c r="V255" s="66" t="str">
        <f>"n308000046_"&amp;IFERROR(VLOOKUP(D255,target_tables[],5,0),"&lt;not found&gt;")</f>
        <v>n308000046_agr_other</v>
      </c>
      <c r="W255" s="65" t="s">
        <v>273</v>
      </c>
      <c r="X255" s="65"/>
      <c r="Y255" s="65"/>
      <c r="Z255" s="65"/>
      <c r="AA255" s="65"/>
      <c r="AB255" s="65"/>
      <c r="AC255" s="65"/>
      <c r="AD255" s="65"/>
      <c r="AE255" s="65"/>
      <c r="AF255" s="299"/>
      <c r="AG255" s="10"/>
      <c r="AH255" s="10"/>
      <c r="AI255" s="10"/>
      <c r="AJ255" s="68"/>
      <c r="AK255" s="69"/>
    </row>
    <row r="256" spans="1:37" ht="12.75" hidden="1" customHeight="1" x14ac:dyDescent="0.25">
      <c r="A256" s="115">
        <v>2250</v>
      </c>
      <c r="B256" s="8" t="s">
        <v>588</v>
      </c>
      <c r="C256" s="65" t="str">
        <f>IFERROR(VLOOKUP(D256,'Target tables'!A:B,2,0),"")</f>
        <v>Договора, для которых не созданы собственные agrmnt</v>
      </c>
      <c r="D256" s="8" t="s">
        <v>136</v>
      </c>
      <c r="E256" s="66" t="str">
        <f>IFERROR(VLOOKUP(D256&amp;J256,'Target columns'!A:J,4,FALSE),"")</f>
        <v>NUMERIC</v>
      </c>
      <c r="F256" s="66" t="str">
        <f>IFERROR(VLOOKUP(D256&amp;J256,'Target columns'!A:J,7,FALSE),"")</f>
        <v>No</v>
      </c>
      <c r="G256" s="66" t="str">
        <f>IFERROR(VLOOKUP(D256&amp;J256,'Target columns'!A:J,8,FALSE),"")</f>
        <v>No</v>
      </c>
      <c r="H256" s="66" t="str">
        <f>IFERROR(VLOOKUP(D256&amp;J256,'Target columns'!A:J,5,FALSE),"")</f>
        <v>NULL</v>
      </c>
      <c r="I256" s="66" t="str">
        <f>IFERROR(VLOOKUP(D256&amp;J256,'Target columns'!A:J,10,FALSE),"")</f>
        <v>Сумма договора</v>
      </c>
      <c r="J256" s="8" t="s">
        <v>283</v>
      </c>
      <c r="K256" s="8" t="s">
        <v>149</v>
      </c>
      <c r="L256" s="66" t="str">
        <f>IFERROR(VLOOKUP(K256&amp;N256,source_columns[[Seek]:[Описание поля]],4,0),"")</f>
        <v>decimal(38,16)</v>
      </c>
      <c r="M256" s="66" t="str">
        <f>IFERROR(VLOOKUP(K256&amp;N256,source_columns[[Seek]:[Описание поля]],7,0),"")</f>
        <v>Сумма сделки</v>
      </c>
      <c r="N256" s="8" t="s">
        <v>596</v>
      </c>
      <c r="O256" s="8"/>
      <c r="P256" s="8"/>
      <c r="Q256" s="8"/>
      <c r="R256" s="8"/>
      <c r="S256" s="278"/>
      <c r="T256" s="65"/>
      <c r="U256" s="65"/>
      <c r="V256" s="66" t="str">
        <f>"n308000046_"&amp;IFERROR(VLOOKUP(D256,target_tables[],5,0),"&lt;not found&gt;")</f>
        <v>n308000046_agr_other</v>
      </c>
      <c r="W256" s="65" t="s">
        <v>273</v>
      </c>
      <c r="X256" s="65"/>
      <c r="Y256" s="65"/>
      <c r="Z256" s="65"/>
      <c r="AA256" s="65"/>
      <c r="AB256" s="65"/>
      <c r="AC256" s="65"/>
      <c r="AD256" s="65"/>
      <c r="AE256" s="65"/>
      <c r="AF256" s="299"/>
      <c r="AG256" s="10"/>
      <c r="AH256" s="10"/>
      <c r="AI256" s="10"/>
      <c r="AJ256" s="68"/>
      <c r="AK256" s="69"/>
    </row>
    <row r="257" spans="1:37" ht="12.75" hidden="1" customHeight="1" x14ac:dyDescent="0.25">
      <c r="A257" s="115">
        <v>2260</v>
      </c>
      <c r="B257" s="8" t="s">
        <v>588</v>
      </c>
      <c r="C257" s="65" t="str">
        <f>IFERROR(VLOOKUP(D257,'Target tables'!A:B,2,0),"")</f>
        <v>Договора, для которых не созданы собственные agrmnt</v>
      </c>
      <c r="D257" s="8" t="s">
        <v>136</v>
      </c>
      <c r="E257" s="66" t="str">
        <f>IFERROR(VLOOKUP(D257&amp;J257,'Target columns'!A:J,4,FALSE),"")</f>
        <v>UUID</v>
      </c>
      <c r="F257" s="66" t="str">
        <f>IFERROR(VLOOKUP(D257&amp;J257,'Target columns'!A:J,7,FALSE),"")</f>
        <v>No</v>
      </c>
      <c r="G257" s="66" t="str">
        <f>IFERROR(VLOOKUP(D257&amp;J257,'Target columns'!A:J,8,FALSE),"")</f>
        <v>Yes</v>
      </c>
      <c r="H257" s="66" t="str">
        <f>IFERROR(VLOOKUP(D257&amp;J257,'Target columns'!A:J,5,FALSE),"")</f>
        <v>NULL</v>
      </c>
      <c r="I257" s="66" t="str">
        <f>IFERROR(VLOOKUP(D257&amp;J257,'Target columns'!A:J,10,FALSE),"")</f>
        <v>Идентификатор валюты</v>
      </c>
      <c r="J257" s="8" t="s">
        <v>380</v>
      </c>
      <c r="K257" s="8" t="s">
        <v>149</v>
      </c>
      <c r="L257" s="66" t="str">
        <f>IFERROR(VLOOKUP(K257&amp;N257,source_columns[[Seek]:[Описание поля]],4,0),"")</f>
        <v>uuid</v>
      </c>
      <c r="M257" s="66" t="str">
        <f>IFERROR(VLOOKUP(K257&amp;N257,source_columns[[Seek]:[Описание поля]],7,0),"")</f>
        <v>Валюта сделки</v>
      </c>
      <c r="N257" s="8" t="s">
        <v>597</v>
      </c>
      <c r="O257" s="8"/>
      <c r="P257" s="8"/>
      <c r="Q257" s="8"/>
      <c r="R257" s="8"/>
      <c r="S257" s="278"/>
      <c r="T257" s="65"/>
      <c r="U257" s="65"/>
      <c r="V257" s="66" t="str">
        <f>"n308000046_"&amp;IFERROR(VLOOKUP(D257,target_tables[],5,0),"&lt;not found&gt;")</f>
        <v>n308000046_agr_other</v>
      </c>
      <c r="W257" s="65" t="s">
        <v>273</v>
      </c>
      <c r="X257" s="65"/>
      <c r="Y257" s="65"/>
      <c r="Z257" s="65"/>
      <c r="AA257" s="65"/>
      <c r="AB257" s="65"/>
      <c r="AC257" s="65"/>
      <c r="AD257" s="65"/>
      <c r="AE257" s="65"/>
      <c r="AF257" s="299"/>
      <c r="AG257" s="10"/>
      <c r="AH257" s="10"/>
      <c r="AI257" s="10"/>
      <c r="AJ257" s="68"/>
      <c r="AK257" s="69"/>
    </row>
    <row r="258" spans="1:37" ht="12.75" hidden="1" customHeight="1" x14ac:dyDescent="0.25">
      <c r="A258" s="116">
        <v>2270</v>
      </c>
      <c r="B258" s="20" t="s">
        <v>588</v>
      </c>
      <c r="C258" s="71" t="str">
        <f>IFERROR(VLOOKUP(D258,'Target tables'!A:B,2,0),"")</f>
        <v>Договора, для которых не созданы собственные agrmnt</v>
      </c>
      <c r="D258" s="20" t="s">
        <v>136</v>
      </c>
      <c r="E258" s="73" t="str">
        <f>IFERROR(VLOOKUP(D258&amp;J258,'Target columns'!A:J,4,FALSE),"")</f>
        <v>date</v>
      </c>
      <c r="F258" s="73" t="str">
        <f>IFERROR(VLOOKUP(D258&amp;J258,'Target columns'!A:J,7,FALSE),"")</f>
        <v>No</v>
      </c>
      <c r="G258" s="73" t="str">
        <f>IFERROR(VLOOKUP(D258&amp;J258,'Target columns'!A:J,8,FALSE),"")</f>
        <v>No</v>
      </c>
      <c r="H258" s="73" t="str">
        <f>IFERROR(VLOOKUP(D258&amp;J258,'Target columns'!A:J,5,FALSE),"")</f>
        <v>NULL</v>
      </c>
      <c r="I258" s="73" t="str">
        <f>IFERROR(VLOOKUP(D258&amp;J258,'Target columns'!A:J,10,FALSE),"")</f>
        <v>Плановая дата платежа</v>
      </c>
      <c r="J258" s="71" t="s">
        <v>291</v>
      </c>
      <c r="K258" s="20" t="s">
        <v>149</v>
      </c>
      <c r="L258" s="73" t="str">
        <f>IFERROR(VLOOKUP(K258&amp;N258,source_columns[[Seek]:[Описание поля]],4,0),"")</f>
        <v>date</v>
      </c>
      <c r="M258" s="73" t="str">
        <f>IFERROR(VLOOKUP(K258&amp;N258,source_columns[[Seek]:[Описание поля]],7,0),"")</f>
        <v>Плановая дата платежа</v>
      </c>
      <c r="N258" s="71" t="s">
        <v>598</v>
      </c>
      <c r="O258" s="20"/>
      <c r="P258" s="20"/>
      <c r="Q258" s="20"/>
      <c r="R258" s="20"/>
      <c r="S258" s="278"/>
      <c r="T258" s="71"/>
      <c r="U258" s="71"/>
      <c r="V258" s="73" t="str">
        <f>"n308000046_"&amp;IFERROR(VLOOKUP(D258,target_tables[],5,0),"&lt;not found&gt;")</f>
        <v>n308000046_agr_other</v>
      </c>
      <c r="W258" s="71" t="s">
        <v>273</v>
      </c>
      <c r="X258" s="71"/>
      <c r="Y258" s="71"/>
      <c r="Z258" s="71"/>
      <c r="AA258" s="71"/>
      <c r="AB258" s="71"/>
      <c r="AC258" s="71"/>
      <c r="AD258" s="71"/>
      <c r="AE258" s="71"/>
      <c r="AF258" s="299"/>
      <c r="AG258" s="27"/>
      <c r="AH258" s="27"/>
      <c r="AI258" s="27"/>
      <c r="AJ258" s="75"/>
      <c r="AK258" s="69"/>
    </row>
    <row r="259" spans="1:37" ht="12.75" hidden="1" customHeight="1" x14ac:dyDescent="0.25">
      <c r="A259" s="114">
        <v>2280</v>
      </c>
      <c r="B259" s="113" t="s">
        <v>588</v>
      </c>
      <c r="C259" s="82" t="str">
        <f>IFERROR(VLOOKUP(D259,'Target tables'!A:B,2,0),"")</f>
        <v>Связь договора и банка</v>
      </c>
      <c r="D259" s="208" t="s">
        <v>144</v>
      </c>
      <c r="E259" s="78" t="str">
        <f>IFERROR(VLOOKUP(D259&amp;J259,'Target columns'!A:J,4,FALSE),"")</f>
        <v>uuid</v>
      </c>
      <c r="F259" s="78" t="str">
        <f>IFERROR(VLOOKUP(D259&amp;J259,'Target columns'!A:J,7,FALSE),"")</f>
        <v>Yes</v>
      </c>
      <c r="G259" s="78" t="str">
        <f>IFERROR(VLOOKUP(D259&amp;J259,'Target columns'!A:J,8,FALSE),"")</f>
        <v>Yes</v>
      </c>
      <c r="H259" s="78" t="str">
        <f>IFERROR(VLOOKUP(D259&amp;J259,'Target columns'!A:J,5,FALSE),"")</f>
        <v>NULL</v>
      </c>
      <c r="I259" s="78" t="str">
        <f>IFERROR(VLOOKUP(D259&amp;J259,'Target columns'!A:J,10,FALSE),"")</f>
        <v>Идентификатор договора</v>
      </c>
      <c r="J259" s="23" t="s">
        <v>589</v>
      </c>
      <c r="K259" s="23" t="s">
        <v>149</v>
      </c>
      <c r="L259" s="78" t="str">
        <f>IFERROR(VLOOKUP(K259&amp;N259,source_columns[[Seek]:[Описание поля]],4,0),"")</f>
        <v>uuid</v>
      </c>
      <c r="M259" s="78" t="str">
        <f>IFERROR(VLOOKUP(K259&amp;N259,source_columns[[Seek]:[Описание поля]],7,0),"")</f>
        <v>Референс сделки</v>
      </c>
      <c r="N259" s="23" t="s">
        <v>496</v>
      </c>
      <c r="O259" s="23"/>
      <c r="P259" s="23"/>
      <c r="Q259" s="23"/>
      <c r="R259" s="23"/>
      <c r="S259" s="270" t="s">
        <v>599</v>
      </c>
      <c r="T259" s="82"/>
      <c r="U259" s="82"/>
      <c r="V259" s="84" t="str">
        <f>"n308000046_"&amp;IFERROR(VLOOKUP(D259,target_tables[],5,0),"&lt;not found&gt;")</f>
        <v>n308000046_agr_other_bank</v>
      </c>
      <c r="W259" s="82" t="s">
        <v>269</v>
      </c>
      <c r="X259" s="82"/>
      <c r="Y259" s="82"/>
      <c r="Z259" s="82"/>
      <c r="AA259" s="82"/>
      <c r="AB259" s="82"/>
      <c r="AC259" s="82"/>
      <c r="AD259" s="82"/>
      <c r="AE259" s="82"/>
      <c r="AF259" s="299" t="s">
        <v>342</v>
      </c>
      <c r="AG259" s="83"/>
      <c r="AH259" s="83"/>
      <c r="AI259" s="83"/>
      <c r="AJ259" s="91"/>
      <c r="AK259" s="69"/>
    </row>
    <row r="260" spans="1:37" ht="12.75" hidden="1" customHeight="1" x14ac:dyDescent="0.25">
      <c r="A260" s="115">
        <v>2290</v>
      </c>
      <c r="B260" s="8" t="s">
        <v>588</v>
      </c>
      <c r="C260" s="65" t="str">
        <f>IFERROR(VLOOKUP(D260,'Target tables'!A:B,2,0),"")</f>
        <v>Связь договора и банка</v>
      </c>
      <c r="D260" s="211" t="s">
        <v>144</v>
      </c>
      <c r="E260" s="66" t="str">
        <f>IFERROR(VLOOKUP(D260&amp;J260,'Target columns'!A:J,4,FALSE),"")</f>
        <v>date</v>
      </c>
      <c r="F260" s="66" t="str">
        <f>IFERROR(VLOOKUP(D260&amp;J260,'Target columns'!A:J,7,FALSE),"")</f>
        <v>Yes</v>
      </c>
      <c r="G260" s="66" t="str">
        <f>IFERROR(VLOOKUP(D260&amp;J260,'Target columns'!A:J,8,FALSE),"")</f>
        <v>No</v>
      </c>
      <c r="H260" s="66" t="str">
        <f>IFERROR(VLOOKUP(D260&amp;J260,'Target columns'!A:J,5,FALSE),"")</f>
        <v>NOT NULL</v>
      </c>
      <c r="I260" s="66" t="str">
        <f>IFERROR(VLOOKUP(D260&amp;J260,'Target columns'!A:J,10,FALSE),"")</f>
        <v>Дата начала действия</v>
      </c>
      <c r="J260" s="8" t="s">
        <v>329</v>
      </c>
      <c r="K260" s="8" t="s">
        <v>149</v>
      </c>
      <c r="L260" s="66" t="str">
        <f>IFERROR(VLOOKUP(K260&amp;N260,source_columns[[Seek]:[Описание поля]],4,0),"")</f>
        <v>timestamp</v>
      </c>
      <c r="M260" s="66" t="str">
        <f>IFERROR(VLOOKUP(K260&amp;N260,source_columns[[Seek]:[Описание поля]],7,0),"")</f>
        <v>Дата и время последнего изменения</v>
      </c>
      <c r="N260" s="8" t="s">
        <v>517</v>
      </c>
      <c r="O260" s="8"/>
      <c r="P260" s="8"/>
      <c r="Q260" s="8"/>
      <c r="R260" s="8"/>
      <c r="S260" s="278"/>
      <c r="T260" s="65"/>
      <c r="U260" s="65"/>
      <c r="V260" s="66" t="str">
        <f>"n308000046_"&amp;IFERROR(VLOOKUP(D260,target_tables[],5,0),"&lt;not found&gt;")</f>
        <v>n308000046_agr_other_bank</v>
      </c>
      <c r="W260" s="65" t="s">
        <v>330</v>
      </c>
      <c r="X260" s="65"/>
      <c r="Y260" s="65"/>
      <c r="Z260" s="65"/>
      <c r="AA260" s="65"/>
      <c r="AB260" s="65"/>
      <c r="AC260" s="65"/>
      <c r="AD260" s="65"/>
      <c r="AE260" s="65"/>
      <c r="AF260" s="299"/>
      <c r="AG260" s="10"/>
      <c r="AH260" s="10"/>
      <c r="AI260" s="10"/>
      <c r="AJ260" s="68"/>
      <c r="AK260" s="69"/>
    </row>
    <row r="261" spans="1:37" ht="12.75" hidden="1" customHeight="1" x14ac:dyDescent="0.25">
      <c r="A261" s="115">
        <v>2300</v>
      </c>
      <c r="B261" s="8" t="s">
        <v>588</v>
      </c>
      <c r="C261" s="65" t="str">
        <f>IFERROR(VLOOKUP(D261,'Target tables'!A:B,2,0),"")</f>
        <v>Связь договора и банка</v>
      </c>
      <c r="D261" s="211" t="s">
        <v>144</v>
      </c>
      <c r="E261" s="66" t="str">
        <f>IFERROR(VLOOKUP(D261&amp;J261,'Target columns'!A:J,4,FALSE),"")</f>
        <v>uuid</v>
      </c>
      <c r="F261" s="66" t="str">
        <f>IFERROR(VLOOKUP(D261&amp;J261,'Target columns'!A:J,7,FALSE),"")</f>
        <v>Yes</v>
      </c>
      <c r="G261" s="66" t="str">
        <f>IFERROR(VLOOKUP(D261&amp;J261,'Target columns'!A:J,8,FALSE),"")</f>
        <v>Yes</v>
      </c>
      <c r="H261" s="66" t="str">
        <f>IFERROR(VLOOKUP(D261&amp;J261,'Target columns'!A:J,5,FALSE),"")</f>
        <v>NULL</v>
      </c>
      <c r="I261" s="66" t="str">
        <f>IFERROR(VLOOKUP(D261&amp;J261,'Target columns'!A:J,10,FALSE),"")</f>
        <v>Идентификатор типа связи договора и банка</v>
      </c>
      <c r="J261" s="8" t="s">
        <v>600</v>
      </c>
      <c r="K261" s="8" t="s">
        <v>149</v>
      </c>
      <c r="L261" s="66" t="str">
        <f>IFERROR(VLOOKUP(K261&amp;N261,source_columns[[Seek]:[Описание поля]],4,0),"")</f>
        <v/>
      </c>
      <c r="M261" s="66" t="str">
        <f>IFERROR(VLOOKUP(K261&amp;N261,source_columns[[Seek]:[Описание поля]],7,0),"")</f>
        <v/>
      </c>
      <c r="N261" s="8" t="s">
        <v>601</v>
      </c>
      <c r="O261" s="8"/>
      <c r="P261" s="8"/>
      <c r="Q261" s="8"/>
      <c r="R261" s="8"/>
      <c r="S261" s="278"/>
      <c r="T261" s="65"/>
      <c r="U261" s="65"/>
      <c r="V261" s="66" t="str">
        <f>"n308000046_"&amp;IFERROR(VLOOKUP(D261,target_tables[],5,0),"&lt;not found&gt;")</f>
        <v>n308000046_agr_other_bank</v>
      </c>
      <c r="W261" s="65" t="s">
        <v>269</v>
      </c>
      <c r="X261" s="65"/>
      <c r="Y261" s="65"/>
      <c r="Z261" s="65"/>
      <c r="AA261" s="65"/>
      <c r="AB261" s="65"/>
      <c r="AC261" s="65"/>
      <c r="AD261" s="65"/>
      <c r="AE261" s="65"/>
      <c r="AF261" s="299"/>
      <c r="AG261" s="10"/>
      <c r="AH261" s="10"/>
      <c r="AI261" s="10"/>
      <c r="AJ261" s="68"/>
      <c r="AK261" s="69"/>
    </row>
    <row r="262" spans="1:37" ht="12.75" hidden="1" customHeight="1" x14ac:dyDescent="0.25">
      <c r="A262" s="115">
        <v>2310</v>
      </c>
      <c r="B262" s="8" t="s">
        <v>588</v>
      </c>
      <c r="C262" s="65" t="str">
        <f>IFERROR(VLOOKUP(D262,'Target tables'!A:B,2,0),"")</f>
        <v>Связь договора и банка</v>
      </c>
      <c r="D262" s="211" t="s">
        <v>144</v>
      </c>
      <c r="E262" s="66" t="str">
        <f>IFERROR(VLOOKUP(D262&amp;J262,'Target columns'!A:J,4,FALSE),"")</f>
        <v>uuid</v>
      </c>
      <c r="F262" s="66" t="str">
        <f>IFERROR(VLOOKUP(D262&amp;J262,'Target columns'!A:J,7,FALSE),"")</f>
        <v>No</v>
      </c>
      <c r="G262" s="66" t="str">
        <f>IFERROR(VLOOKUP(D262&amp;J262,'Target columns'!A:J,8,FALSE),"")</f>
        <v>Yes</v>
      </c>
      <c r="H262" s="66" t="str">
        <f>IFERROR(VLOOKUP(D262&amp;J262,'Target columns'!A:J,5,FALSE),"")</f>
        <v>NULL</v>
      </c>
      <c r="I262" s="66" t="str">
        <f>IFERROR(VLOOKUP(D262&amp;J262,'Target columns'!A:J,10,FALSE),"")</f>
        <v>Идентификатор банка</v>
      </c>
      <c r="J262" s="8" t="s">
        <v>581</v>
      </c>
      <c r="K262" s="8" t="s">
        <v>149</v>
      </c>
      <c r="L262" s="66" t="str">
        <f>IFERROR(VLOOKUP(K262&amp;N262,source_columns[[Seek]:[Описание поля]],4,0),"")</f>
        <v>uuid</v>
      </c>
      <c r="M262" s="66" t="str">
        <f>IFERROR(VLOOKUP(K262&amp;N262,source_columns[[Seek]:[Описание поля]],7,0),"")</f>
        <v>SWIFT код инкассирующего Банка</v>
      </c>
      <c r="N262" s="8" t="s">
        <v>602</v>
      </c>
      <c r="O262" s="8"/>
      <c r="P262" s="8"/>
      <c r="Q262" s="8"/>
      <c r="R262" s="8"/>
      <c r="S262" s="278"/>
      <c r="T262" s="65"/>
      <c r="U262" s="65"/>
      <c r="V262" s="66" t="str">
        <f>"n308000046_"&amp;IFERROR(VLOOKUP(D262,target_tables[],5,0),"&lt;not found&gt;")</f>
        <v>n308000046_agr_other_bank</v>
      </c>
      <c r="W262" s="65" t="s">
        <v>273</v>
      </c>
      <c r="X262" s="65"/>
      <c r="Y262" s="65"/>
      <c r="Z262" s="65"/>
      <c r="AA262" s="65"/>
      <c r="AB262" s="65"/>
      <c r="AC262" s="65"/>
      <c r="AD262" s="65"/>
      <c r="AE262" s="65"/>
      <c r="AF262" s="299"/>
      <c r="AG262" s="10"/>
      <c r="AH262" s="10"/>
      <c r="AI262" s="10"/>
      <c r="AJ262" s="68"/>
      <c r="AK262" s="69"/>
    </row>
    <row r="263" spans="1:37" ht="12.75" hidden="1" customHeight="1" x14ac:dyDescent="0.25">
      <c r="A263" s="116">
        <v>2320</v>
      </c>
      <c r="B263" s="20" t="s">
        <v>588</v>
      </c>
      <c r="C263" s="20" t="str">
        <f>IFERROR(VLOOKUP(D263,'Target tables'!A:B,2,0),"")</f>
        <v>Связь договора и банка</v>
      </c>
      <c r="D263" s="212" t="s">
        <v>144</v>
      </c>
      <c r="E263" s="73" t="str">
        <f>IFERROR(VLOOKUP(D263&amp;J263,'Target columns'!A:J,4,FALSE),"")</f>
        <v>date</v>
      </c>
      <c r="F263" s="73" t="str">
        <f>IFERROR(VLOOKUP(D263&amp;J263,'Target columns'!A:J,7,FALSE),"")</f>
        <v>No</v>
      </c>
      <c r="G263" s="73" t="str">
        <f>IFERROR(VLOOKUP(D263&amp;J263,'Target columns'!A:J,8,FALSE),"")</f>
        <v>No</v>
      </c>
      <c r="H263" s="73" t="str">
        <f>IFERROR(VLOOKUP(D263&amp;J263,'Target columns'!A:J,5,FALSE),"")</f>
        <v>NULL</v>
      </c>
      <c r="I263" s="73" t="str">
        <f>IFERROR(VLOOKUP(D263&amp;J263,'Target columns'!A:J,10,FALSE),"")</f>
        <v>Дата окончания действия</v>
      </c>
      <c r="J263" s="20" t="s">
        <v>331</v>
      </c>
      <c r="K263" s="20" t="s">
        <v>149</v>
      </c>
      <c r="L263" s="73" t="str">
        <f>IFERROR(VLOOKUP(K263&amp;N263,source_columns[[Seek]:[Описание поля]],4,0),"")</f>
        <v/>
      </c>
      <c r="M263" s="73" t="str">
        <f>IFERROR(VLOOKUP(K263&amp;N263,source_columns[[Seek]:[Описание поля]],7,0),"")</f>
        <v/>
      </c>
      <c r="N263" s="20" t="s">
        <v>603</v>
      </c>
      <c r="O263" s="20"/>
      <c r="P263" s="20"/>
      <c r="Q263" s="20"/>
      <c r="R263" s="20"/>
      <c r="S263" s="278"/>
      <c r="T263" s="71"/>
      <c r="U263" s="71"/>
      <c r="V263" s="73" t="str">
        <f>"n308000046_"&amp;IFERROR(VLOOKUP(D263,target_tables[],5,0),"&lt;not found&gt;")</f>
        <v>n308000046_agr_other_bank</v>
      </c>
      <c r="W263" s="71" t="s">
        <v>332</v>
      </c>
      <c r="X263" s="71"/>
      <c r="Y263" s="71"/>
      <c r="Z263" s="71"/>
      <c r="AA263" s="71"/>
      <c r="AB263" s="71"/>
      <c r="AC263" s="71"/>
      <c r="AD263" s="71"/>
      <c r="AE263" s="71"/>
      <c r="AF263" s="299"/>
      <c r="AG263" s="27"/>
      <c r="AH263" s="27"/>
      <c r="AI263" s="27"/>
      <c r="AJ263" s="75"/>
      <c r="AK263" s="69"/>
    </row>
    <row r="264" spans="1:37" ht="12.75" hidden="1" customHeight="1" x14ac:dyDescent="0.25">
      <c r="A264" s="114">
        <v>2330</v>
      </c>
      <c r="B264" s="113" t="s">
        <v>588</v>
      </c>
      <c r="C264" s="82" t="str">
        <f>IFERROR(VLOOKUP(D264,'Target tables'!A:B,2,0),"")</f>
        <v>Связь договора с контрагентом</v>
      </c>
      <c r="D264" s="208" t="s">
        <v>138</v>
      </c>
      <c r="E264" s="78" t="str">
        <f>IFERROR(VLOOKUP(D264&amp;J264,'Target columns'!A:J,4,FALSE),"")</f>
        <v>UUID</v>
      </c>
      <c r="F264" s="78" t="str">
        <f>IFERROR(VLOOKUP(D264&amp;J264,'Target columns'!A:J,7,FALSE),"")</f>
        <v>Yes</v>
      </c>
      <c r="G264" s="78" t="str">
        <f>IFERROR(VLOOKUP(D264&amp;J264,'Target columns'!A:J,8,FALSE),"")</f>
        <v>Yes</v>
      </c>
      <c r="H264" s="78" t="str">
        <f>IFERROR(VLOOKUP(D264&amp;J264,'Target columns'!A:J,5,FALSE),"")</f>
        <v>NOT NULL</v>
      </c>
      <c r="I264" s="78" t="str">
        <f>IFERROR(VLOOKUP(D264&amp;J264,'Target columns'!A:J,10,FALSE),"")</f>
        <v>Идентификатор договора</v>
      </c>
      <c r="J264" s="23" t="s">
        <v>589</v>
      </c>
      <c r="K264" s="23" t="s">
        <v>149</v>
      </c>
      <c r="L264" s="78" t="str">
        <f>IFERROR(VLOOKUP(K264&amp;N264,source_columns[[Seek]:[Описание поля]],4,0),"")</f>
        <v>uuid</v>
      </c>
      <c r="M264" s="78" t="str">
        <f>IFERROR(VLOOKUP(K264&amp;N264,source_columns[[Seek]:[Описание поля]],7,0),"")</f>
        <v>Референс сделки</v>
      </c>
      <c r="N264" s="23" t="s">
        <v>496</v>
      </c>
      <c r="O264" s="23"/>
      <c r="P264" s="23"/>
      <c r="Q264" s="23"/>
      <c r="R264" s="23"/>
      <c r="S264" s="270" t="s">
        <v>604</v>
      </c>
      <c r="T264" s="82"/>
      <c r="U264" s="82"/>
      <c r="V264" s="84" t="str">
        <f>"n308000046_"&amp;IFERROR(VLOOKUP(D264,target_tables[],5,0),"&lt;not found&gt;")</f>
        <v>n308000046_agr_other_cust</v>
      </c>
      <c r="W264" s="82" t="s">
        <v>269</v>
      </c>
      <c r="X264" s="82"/>
      <c r="Y264" s="82"/>
      <c r="Z264" s="82"/>
      <c r="AA264" s="82"/>
      <c r="AB264" s="82"/>
      <c r="AC264" s="82"/>
      <c r="AD264" s="82"/>
      <c r="AE264" s="82"/>
      <c r="AF264" s="299" t="s">
        <v>342</v>
      </c>
      <c r="AG264" s="83"/>
      <c r="AH264" s="83"/>
      <c r="AI264" s="83"/>
      <c r="AJ264" s="91"/>
      <c r="AK264" s="69"/>
    </row>
    <row r="265" spans="1:37" ht="12.75" hidden="1" customHeight="1" x14ac:dyDescent="0.25">
      <c r="A265" s="115">
        <v>2340</v>
      </c>
      <c r="B265" s="8" t="s">
        <v>588</v>
      </c>
      <c r="C265" s="65" t="str">
        <f>IFERROR(VLOOKUP(D265,'Target tables'!A:B,2,0),"")</f>
        <v>Связь договора с контрагентом</v>
      </c>
      <c r="D265" s="211" t="s">
        <v>138</v>
      </c>
      <c r="E265" s="66" t="str">
        <f>IFERROR(VLOOKUP(D265&amp;J265,'Target columns'!A:J,4,FALSE),"")</f>
        <v>UUID</v>
      </c>
      <c r="F265" s="66" t="str">
        <f>IFERROR(VLOOKUP(D265&amp;J265,'Target columns'!A:J,7,FALSE),"")</f>
        <v>Yes</v>
      </c>
      <c r="G265" s="66" t="str">
        <f>IFERROR(VLOOKUP(D265&amp;J265,'Target columns'!A:J,8,FALSE),"")</f>
        <v>Yes</v>
      </c>
      <c r="H265" s="66" t="str">
        <f>IFERROR(VLOOKUP(D265&amp;J265,'Target columns'!A:J,5,FALSE),"")</f>
        <v>NOT NULL</v>
      </c>
      <c r="I265" s="66" t="str">
        <f>IFERROR(VLOOKUP(D265&amp;J265,'Target columns'!A:J,10,FALSE),"")</f>
        <v>Идентификатор контрагента</v>
      </c>
      <c r="J265" s="8" t="s">
        <v>347</v>
      </c>
      <c r="K265" s="8" t="s">
        <v>149</v>
      </c>
      <c r="L265" s="66" t="str">
        <f>IFERROR(VLOOKUP(K265&amp;N265,source_columns[[Seek]:[Описание поля]],4,0),"")</f>
        <v/>
      </c>
      <c r="M265" s="66" t="str">
        <f>IFERROR(VLOOKUP(K265&amp;N265,source_columns[[Seek]:[Описание поля]],7,0),"")</f>
        <v/>
      </c>
      <c r="N265" s="8" t="s">
        <v>605</v>
      </c>
      <c r="O265" s="8"/>
      <c r="P265" s="8"/>
      <c r="Q265" s="8"/>
      <c r="R265" s="8"/>
      <c r="S265" s="278"/>
      <c r="T265" s="65"/>
      <c r="U265" s="65"/>
      <c r="V265" s="66" t="str">
        <f>"n308000046_"&amp;IFERROR(VLOOKUP(D265,target_tables[],5,0),"&lt;not found&gt;")</f>
        <v>n308000046_agr_other_cust</v>
      </c>
      <c r="W265" s="65" t="s">
        <v>330</v>
      </c>
      <c r="X265" s="65"/>
      <c r="Y265" s="65"/>
      <c r="Z265" s="65"/>
      <c r="AA265" s="65"/>
      <c r="AB265" s="65"/>
      <c r="AC265" s="65"/>
      <c r="AD265" s="65"/>
      <c r="AE265" s="65"/>
      <c r="AF265" s="299"/>
      <c r="AG265" s="10"/>
      <c r="AH265" s="10"/>
      <c r="AI265" s="10"/>
      <c r="AJ265" s="68"/>
      <c r="AK265" s="69"/>
    </row>
    <row r="266" spans="1:37" ht="12.75" hidden="1" customHeight="1" x14ac:dyDescent="0.25">
      <c r="A266" s="115">
        <v>2350</v>
      </c>
      <c r="B266" s="8" t="s">
        <v>588</v>
      </c>
      <c r="C266" s="65" t="str">
        <f>IFERROR(VLOOKUP(D266,'Target tables'!A:B,2,0),"")</f>
        <v>Связь договора с контрагентом</v>
      </c>
      <c r="D266" s="211" t="s">
        <v>138</v>
      </c>
      <c r="E266" s="66" t="str">
        <f>IFERROR(VLOOKUP(D266&amp;J266,'Target columns'!A:J,4,FALSE),"")</f>
        <v>DATE</v>
      </c>
      <c r="F266" s="66" t="str">
        <f>IFERROR(VLOOKUP(D266&amp;J266,'Target columns'!A:J,7,FALSE),"")</f>
        <v>Yes</v>
      </c>
      <c r="G266" s="66" t="str">
        <f>IFERROR(VLOOKUP(D266&amp;J266,'Target columns'!A:J,8,FALSE),"")</f>
        <v>No</v>
      </c>
      <c r="H266" s="66" t="str">
        <f>IFERROR(VLOOKUP(D266&amp;J266,'Target columns'!A:J,5,FALSE),"")</f>
        <v>NOT NULL</v>
      </c>
      <c r="I266" s="66" t="str">
        <f>IFERROR(VLOOKUP(D266&amp;J266,'Target columns'!A:J,10,FALSE),"")</f>
        <v>Дата начала действия</v>
      </c>
      <c r="J266" s="8" t="s">
        <v>329</v>
      </c>
      <c r="K266" s="8" t="s">
        <v>149</v>
      </c>
      <c r="L266" s="66" t="str">
        <f>IFERROR(VLOOKUP(K266&amp;N266,source_columns[[Seek]:[Описание поля]],4,0),"")</f>
        <v>timestamp</v>
      </c>
      <c r="M266" s="66" t="str">
        <f>IFERROR(VLOOKUP(K266&amp;N266,source_columns[[Seek]:[Описание поля]],7,0),"")</f>
        <v>Дата и время последнего изменения</v>
      </c>
      <c r="N266" s="8" t="s">
        <v>517</v>
      </c>
      <c r="O266" s="8"/>
      <c r="P266" s="8"/>
      <c r="Q266" s="8"/>
      <c r="R266" s="8"/>
      <c r="S266" s="278"/>
      <c r="T266" s="65"/>
      <c r="U266" s="65"/>
      <c r="V266" s="66" t="str">
        <f>"n308000046_"&amp;IFERROR(VLOOKUP(D266,target_tables[],5,0),"&lt;not found&gt;")</f>
        <v>n308000046_agr_other_cust</v>
      </c>
      <c r="W266" s="65" t="s">
        <v>269</v>
      </c>
      <c r="X266" s="65"/>
      <c r="Y266" s="65"/>
      <c r="Z266" s="65"/>
      <c r="AA266" s="65"/>
      <c r="AB266" s="65"/>
      <c r="AC266" s="65"/>
      <c r="AD266" s="65"/>
      <c r="AE266" s="65"/>
      <c r="AF266" s="299"/>
      <c r="AG266" s="10"/>
      <c r="AH266" s="10"/>
      <c r="AI266" s="10"/>
      <c r="AJ266" s="68"/>
      <c r="AK266" s="69"/>
    </row>
    <row r="267" spans="1:37" ht="12.75" hidden="1" customHeight="1" x14ac:dyDescent="0.25">
      <c r="A267" s="115">
        <v>2360</v>
      </c>
      <c r="B267" s="8" t="s">
        <v>588</v>
      </c>
      <c r="C267" s="65" t="str">
        <f>IFERROR(VLOOKUP(D267,'Target tables'!A:B,2,0),"")</f>
        <v>Связь договора с контрагентом</v>
      </c>
      <c r="D267" s="211" t="s">
        <v>138</v>
      </c>
      <c r="E267" s="66" t="str">
        <f>IFERROR(VLOOKUP(D267&amp;J267,'Target columns'!A:J,4,FALSE),"")</f>
        <v>DATE</v>
      </c>
      <c r="F267" s="66" t="str">
        <f>IFERROR(VLOOKUP(D267&amp;J267,'Target columns'!A:J,7,FALSE),"")</f>
        <v>No</v>
      </c>
      <c r="G267" s="66" t="str">
        <f>IFERROR(VLOOKUP(D267&amp;J267,'Target columns'!A:J,8,FALSE),"")</f>
        <v>No</v>
      </c>
      <c r="H267" s="66" t="str">
        <f>IFERROR(VLOOKUP(D267&amp;J267,'Target columns'!A:J,5,FALSE),"")</f>
        <v>NULL</v>
      </c>
      <c r="I267" s="66" t="str">
        <f>IFERROR(VLOOKUP(D267&amp;J267,'Target columns'!A:J,10,FALSE),"")</f>
        <v>Дата окончания действия</v>
      </c>
      <c r="J267" s="8" t="s">
        <v>331</v>
      </c>
      <c r="K267" s="8" t="s">
        <v>149</v>
      </c>
      <c r="L267" s="66" t="str">
        <f>IFERROR(VLOOKUP(K267&amp;N267,source_columns[[Seek]:[Описание поля]],4,0),"")</f>
        <v/>
      </c>
      <c r="M267" s="66" t="str">
        <f>IFERROR(VLOOKUP(K267&amp;N267,source_columns[[Seek]:[Описание поля]],7,0),"")</f>
        <v/>
      </c>
      <c r="N267" s="8" t="s">
        <v>606</v>
      </c>
      <c r="O267" s="8"/>
      <c r="P267" s="8"/>
      <c r="Q267" s="8"/>
      <c r="R267" s="8"/>
      <c r="S267" s="278"/>
      <c r="T267" s="65"/>
      <c r="U267" s="65"/>
      <c r="V267" s="66" t="str">
        <f>"n308000046_"&amp;IFERROR(VLOOKUP(D267,target_tables[],5,0),"&lt;not found&gt;")</f>
        <v>n308000046_agr_other_cust</v>
      </c>
      <c r="W267" s="65" t="s">
        <v>273</v>
      </c>
      <c r="X267" s="65"/>
      <c r="Y267" s="65"/>
      <c r="Z267" s="65"/>
      <c r="AA267" s="65"/>
      <c r="AB267" s="65"/>
      <c r="AC267" s="65"/>
      <c r="AD267" s="65"/>
      <c r="AE267" s="65"/>
      <c r="AF267" s="299"/>
      <c r="AG267" s="10"/>
      <c r="AH267" s="10"/>
      <c r="AI267" s="10"/>
      <c r="AJ267" s="68"/>
      <c r="AK267" s="69"/>
    </row>
    <row r="268" spans="1:37" ht="12.75" hidden="1" customHeight="1" x14ac:dyDescent="0.25">
      <c r="A268" s="116">
        <v>2370</v>
      </c>
      <c r="B268" s="20" t="s">
        <v>588</v>
      </c>
      <c r="C268" s="71" t="str">
        <f>IFERROR(VLOOKUP(D268,'Target tables'!A:B,2,0),"")</f>
        <v>Связь договора с контрагентом</v>
      </c>
      <c r="D268" s="212" t="s">
        <v>138</v>
      </c>
      <c r="E268" s="73" t="str">
        <f>IFERROR(VLOOKUP(D268&amp;J268,'Target columns'!A:J,4,FALSE),"")</f>
        <v>UUID</v>
      </c>
      <c r="F268" s="73" t="str">
        <f>IFERROR(VLOOKUP(D268&amp;J268,'Target columns'!A:J,7,FALSE),"")</f>
        <v>Yes</v>
      </c>
      <c r="G268" s="73" t="str">
        <f>IFERROR(VLOOKUP(D268&amp;J268,'Target columns'!A:J,8,FALSE),"")</f>
        <v>Yes</v>
      </c>
      <c r="H268" s="73" t="str">
        <f>IFERROR(VLOOKUP(D268&amp;J268,'Target columns'!A:J,5,FALSE),"")</f>
        <v>NOT NULL</v>
      </c>
      <c r="I268" s="73" t="str">
        <f>IFERROR(VLOOKUP(D268&amp;J268,'Target columns'!A:J,10,FALSE),"")</f>
        <v xml:space="preserve">Тип клиента на договоре </v>
      </c>
      <c r="J268" s="20" t="s">
        <v>607</v>
      </c>
      <c r="K268" s="20" t="s">
        <v>149</v>
      </c>
      <c r="L268" s="73" t="str">
        <f>IFERROR(VLOOKUP(K268&amp;N268,source_columns[[Seek]:[Описание поля]],4,0),"")</f>
        <v/>
      </c>
      <c r="M268" s="73" t="str">
        <f>IFERROR(VLOOKUP(K268&amp;N268,source_columns[[Seek]:[Описание поля]],7,0),"")</f>
        <v/>
      </c>
      <c r="N268" s="20" t="s">
        <v>608</v>
      </c>
      <c r="O268" s="20"/>
      <c r="P268" s="20"/>
      <c r="Q268" s="20"/>
      <c r="R268" s="20"/>
      <c r="S268" s="278"/>
      <c r="T268" s="71"/>
      <c r="U268" s="71"/>
      <c r="V268" s="73" t="str">
        <f>"n308000046_"&amp;IFERROR(VLOOKUP(D268,target_tables[],5,0),"&lt;not found&gt;")</f>
        <v>n308000046_agr_other_cust</v>
      </c>
      <c r="W268" s="71" t="s">
        <v>332</v>
      </c>
      <c r="X268" s="71"/>
      <c r="Y268" s="71"/>
      <c r="Z268" s="71"/>
      <c r="AA268" s="71"/>
      <c r="AB268" s="71"/>
      <c r="AC268" s="71"/>
      <c r="AD268" s="71"/>
      <c r="AE268" s="71"/>
      <c r="AF268" s="299"/>
      <c r="AG268" s="27"/>
      <c r="AH268" s="27"/>
      <c r="AI268" s="27"/>
      <c r="AJ268" s="75"/>
      <c r="AK268" s="69"/>
    </row>
    <row r="269" spans="1:37" ht="12.75" hidden="1" customHeight="1" x14ac:dyDescent="0.25">
      <c r="A269" s="114">
        <v>2330</v>
      </c>
      <c r="B269" s="113" t="s">
        <v>588</v>
      </c>
      <c r="C269" s="82" t="str">
        <f>IFERROR(VLOOKUP(D269,'Target tables'!A:B,2,0),"")</f>
        <v>Связь договора с контрагентом</v>
      </c>
      <c r="D269" s="208" t="s">
        <v>138</v>
      </c>
      <c r="E269" s="78" t="str">
        <f>IFERROR(VLOOKUP(D269&amp;J269,'Target columns'!A:J,4,FALSE),"")</f>
        <v>UUID</v>
      </c>
      <c r="F269" s="78" t="str">
        <f>IFERROR(VLOOKUP(D269&amp;J269,'Target columns'!A:J,7,FALSE),"")</f>
        <v>Yes</v>
      </c>
      <c r="G269" s="78" t="str">
        <f>IFERROR(VLOOKUP(D269&amp;J269,'Target columns'!A:J,8,FALSE),"")</f>
        <v>Yes</v>
      </c>
      <c r="H269" s="78" t="str">
        <f>IFERROR(VLOOKUP(D269&amp;J269,'Target columns'!A:J,5,FALSE),"")</f>
        <v>NOT NULL</v>
      </c>
      <c r="I269" s="78" t="str">
        <f>IFERROR(VLOOKUP(D269&amp;J269,'Target columns'!A:J,10,FALSE),"")</f>
        <v>Идентификатор договора</v>
      </c>
      <c r="J269" s="23" t="s">
        <v>589</v>
      </c>
      <c r="K269" s="23" t="s">
        <v>149</v>
      </c>
      <c r="L269" s="78" t="str">
        <f>IFERROR(VLOOKUP(K269&amp;N269,source_columns[[Seek]:[Описание поля]],4,0),"")</f>
        <v>uuid</v>
      </c>
      <c r="M269" s="78" t="str">
        <f>IFERROR(VLOOKUP(K269&amp;N269,source_columns[[Seek]:[Описание поля]],7,0),"")</f>
        <v>Референс сделки</v>
      </c>
      <c r="N269" s="23" t="s">
        <v>496</v>
      </c>
      <c r="O269" s="23"/>
      <c r="P269" s="23"/>
      <c r="Q269" s="23"/>
      <c r="R269" s="23"/>
      <c r="S269" s="270" t="s">
        <v>609</v>
      </c>
      <c r="T269" s="82"/>
      <c r="U269" s="82"/>
      <c r="V269" s="84" t="str">
        <f>"n308000046_"&amp;IFERROR(VLOOKUP(D269,target_tables[],5,0),"&lt;not found&gt;")</f>
        <v>n308000046_agr_other_cust</v>
      </c>
      <c r="W269" s="82" t="s">
        <v>269</v>
      </c>
      <c r="X269" s="82"/>
      <c r="Y269" s="82"/>
      <c r="Z269" s="82"/>
      <c r="AA269" s="82"/>
      <c r="AB269" s="82"/>
      <c r="AC269" s="82"/>
      <c r="AD269" s="82"/>
      <c r="AE269" s="82"/>
      <c r="AF269" s="299" t="s">
        <v>342</v>
      </c>
      <c r="AG269" s="83"/>
      <c r="AH269" s="83"/>
      <c r="AI269" s="83"/>
      <c r="AJ269" s="91"/>
      <c r="AK269" s="69"/>
    </row>
    <row r="270" spans="1:37" ht="12.75" hidden="1" customHeight="1" x14ac:dyDescent="0.25">
      <c r="A270" s="115">
        <v>2340</v>
      </c>
      <c r="B270" s="8" t="s">
        <v>588</v>
      </c>
      <c r="C270" s="65" t="str">
        <f>IFERROR(VLOOKUP(D270,'Target tables'!A:B,2,0),"")</f>
        <v>Связь договора с контрагентом</v>
      </c>
      <c r="D270" s="211" t="s">
        <v>138</v>
      </c>
      <c r="E270" s="66" t="str">
        <f>IFERROR(VLOOKUP(D270&amp;J270,'Target columns'!A:J,4,FALSE),"")</f>
        <v>UUID</v>
      </c>
      <c r="F270" s="66" t="str">
        <f>IFERROR(VLOOKUP(D270&amp;J270,'Target columns'!A:J,7,FALSE),"")</f>
        <v>Yes</v>
      </c>
      <c r="G270" s="66" t="str">
        <f>IFERROR(VLOOKUP(D270&amp;J270,'Target columns'!A:J,8,FALSE),"")</f>
        <v>Yes</v>
      </c>
      <c r="H270" s="66" t="str">
        <f>IFERROR(VLOOKUP(D270&amp;J270,'Target columns'!A:J,5,FALSE),"")</f>
        <v>NOT NULL</v>
      </c>
      <c r="I270" s="66" t="str">
        <f>IFERROR(VLOOKUP(D270&amp;J270,'Target columns'!A:J,10,FALSE),"")</f>
        <v>Идентификатор контрагента</v>
      </c>
      <c r="J270" s="8" t="s">
        <v>347</v>
      </c>
      <c r="K270" s="8" t="s">
        <v>149</v>
      </c>
      <c r="L270" s="66" t="str">
        <f>IFERROR(VLOOKUP(K270&amp;N270,source_columns[[Seek]:[Описание поля]],4,0),"")</f>
        <v/>
      </c>
      <c r="M270" s="66" t="str">
        <f>IFERROR(VLOOKUP(K270&amp;N270,source_columns[[Seek]:[Описание поля]],7,0),"")</f>
        <v/>
      </c>
      <c r="N270" s="8" t="s">
        <v>610</v>
      </c>
      <c r="O270" s="8"/>
      <c r="P270" s="8"/>
      <c r="Q270" s="8"/>
      <c r="R270" s="8"/>
      <c r="S270" s="278"/>
      <c r="T270" s="65"/>
      <c r="U270" s="65"/>
      <c r="V270" s="66" t="str">
        <f>"n308000046_"&amp;IFERROR(VLOOKUP(D270,target_tables[],5,0),"&lt;not found&gt;")</f>
        <v>n308000046_agr_other_cust</v>
      </c>
      <c r="W270" s="65" t="s">
        <v>273</v>
      </c>
      <c r="X270" s="65"/>
      <c r="Y270" s="65"/>
      <c r="Z270" s="65"/>
      <c r="AA270" s="65"/>
      <c r="AB270" s="65"/>
      <c r="AC270" s="65"/>
      <c r="AD270" s="65"/>
      <c r="AE270" s="65"/>
      <c r="AF270" s="299"/>
      <c r="AG270" s="10"/>
      <c r="AH270" s="10"/>
      <c r="AI270" s="10"/>
      <c r="AJ270" s="68"/>
      <c r="AK270" s="69"/>
    </row>
    <row r="271" spans="1:37" ht="12.75" hidden="1" customHeight="1" x14ac:dyDescent="0.25">
      <c r="A271" s="115">
        <v>2350</v>
      </c>
      <c r="B271" s="8" t="s">
        <v>588</v>
      </c>
      <c r="C271" s="65" t="str">
        <f>IFERROR(VLOOKUP(D271,'Target tables'!A:B,2,0),"")</f>
        <v>Связь договора с контрагентом</v>
      </c>
      <c r="D271" s="211" t="s">
        <v>138</v>
      </c>
      <c r="E271" s="66" t="str">
        <f>IFERROR(VLOOKUP(D271&amp;J271,'Target columns'!A:J,4,FALSE),"")</f>
        <v>DATE</v>
      </c>
      <c r="F271" s="66" t="str">
        <f>IFERROR(VLOOKUP(D271&amp;J271,'Target columns'!A:J,7,FALSE),"")</f>
        <v>Yes</v>
      </c>
      <c r="G271" s="66" t="str">
        <f>IFERROR(VLOOKUP(D271&amp;J271,'Target columns'!A:J,8,FALSE),"")</f>
        <v>No</v>
      </c>
      <c r="H271" s="66" t="str">
        <f>IFERROR(VLOOKUP(D271&amp;J271,'Target columns'!A:J,5,FALSE),"")</f>
        <v>NOT NULL</v>
      </c>
      <c r="I271" s="66" t="str">
        <f>IFERROR(VLOOKUP(D271&amp;J271,'Target columns'!A:J,10,FALSE),"")</f>
        <v>Дата начала действия</v>
      </c>
      <c r="J271" s="8" t="s">
        <v>329</v>
      </c>
      <c r="K271" s="8" t="s">
        <v>149</v>
      </c>
      <c r="L271" s="66" t="str">
        <f>IFERROR(VLOOKUP(K271&amp;N271,source_columns[[Seek]:[Описание поля]],4,0),"")</f>
        <v>timestamp</v>
      </c>
      <c r="M271" s="66" t="str">
        <f>IFERROR(VLOOKUP(K271&amp;N271,source_columns[[Seek]:[Описание поля]],7,0),"")</f>
        <v>Дата и время последнего изменения</v>
      </c>
      <c r="N271" s="8" t="s">
        <v>517</v>
      </c>
      <c r="O271" s="8"/>
      <c r="P271" s="8"/>
      <c r="Q271" s="8"/>
      <c r="R271" s="8"/>
      <c r="S271" s="278"/>
      <c r="T271" s="65"/>
      <c r="U271" s="65"/>
      <c r="V271" s="66" t="str">
        <f>"n308000046_"&amp;IFERROR(VLOOKUP(D271,target_tables[],5,0),"&lt;not found&gt;")</f>
        <v>n308000046_agr_other_cust</v>
      </c>
      <c r="W271" s="65" t="s">
        <v>330</v>
      </c>
      <c r="X271" s="65"/>
      <c r="Y271" s="65"/>
      <c r="Z271" s="65"/>
      <c r="AA271" s="65"/>
      <c r="AB271" s="65"/>
      <c r="AC271" s="65"/>
      <c r="AD271" s="65"/>
      <c r="AE271" s="65"/>
      <c r="AF271" s="299"/>
      <c r="AG271" s="10"/>
      <c r="AH271" s="10"/>
      <c r="AI271" s="10"/>
      <c r="AJ271" s="68"/>
      <c r="AK271" s="69"/>
    </row>
    <row r="272" spans="1:37" ht="12.75" hidden="1" customHeight="1" x14ac:dyDescent="0.25">
      <c r="A272" s="115">
        <v>2360</v>
      </c>
      <c r="B272" s="8" t="s">
        <v>588</v>
      </c>
      <c r="C272" s="65" t="str">
        <f>IFERROR(VLOOKUP(D272,'Target tables'!A:B,2,0),"")</f>
        <v>Связь договора с контрагентом</v>
      </c>
      <c r="D272" s="211" t="s">
        <v>138</v>
      </c>
      <c r="E272" s="66" t="str">
        <f>IFERROR(VLOOKUP(D272&amp;J272,'Target columns'!A:J,4,FALSE),"")</f>
        <v>DATE</v>
      </c>
      <c r="F272" s="66" t="str">
        <f>IFERROR(VLOOKUP(D272&amp;J272,'Target columns'!A:J,7,FALSE),"")</f>
        <v>No</v>
      </c>
      <c r="G272" s="66" t="str">
        <f>IFERROR(VLOOKUP(D272&amp;J272,'Target columns'!A:J,8,FALSE),"")</f>
        <v>No</v>
      </c>
      <c r="H272" s="66" t="str">
        <f>IFERROR(VLOOKUP(D272&amp;J272,'Target columns'!A:J,5,FALSE),"")</f>
        <v>NULL</v>
      </c>
      <c r="I272" s="66" t="str">
        <f>IFERROR(VLOOKUP(D272&amp;J272,'Target columns'!A:J,10,FALSE),"")</f>
        <v>Дата окончания действия</v>
      </c>
      <c r="J272" s="8" t="s">
        <v>331</v>
      </c>
      <c r="K272" s="8" t="s">
        <v>149</v>
      </c>
      <c r="L272" s="66" t="str">
        <f>IFERROR(VLOOKUP(K272&amp;N272,source_columns[[Seek]:[Описание поля]],4,0),"")</f>
        <v/>
      </c>
      <c r="M272" s="66" t="str">
        <f>IFERROR(VLOOKUP(K272&amp;N272,source_columns[[Seek]:[Описание поля]],7,0),"")</f>
        <v/>
      </c>
      <c r="N272" s="8" t="s">
        <v>603</v>
      </c>
      <c r="O272" s="8"/>
      <c r="P272" s="8"/>
      <c r="Q272" s="8"/>
      <c r="R272" s="8"/>
      <c r="S272" s="278"/>
      <c r="T272" s="65"/>
      <c r="U272" s="65"/>
      <c r="V272" s="66" t="str">
        <f>"n308000046_"&amp;IFERROR(VLOOKUP(D272,target_tables[],5,0),"&lt;not found&gt;")</f>
        <v>n308000046_agr_other_cust</v>
      </c>
      <c r="W272" s="65" t="s">
        <v>332</v>
      </c>
      <c r="X272" s="65"/>
      <c r="Y272" s="65"/>
      <c r="Z272" s="65"/>
      <c r="AA272" s="65"/>
      <c r="AB272" s="65"/>
      <c r="AC272" s="65"/>
      <c r="AD272" s="65"/>
      <c r="AE272" s="65"/>
      <c r="AF272" s="299"/>
      <c r="AG272" s="10"/>
      <c r="AH272" s="10"/>
      <c r="AI272" s="10"/>
      <c r="AJ272" s="68"/>
      <c r="AK272" s="69"/>
    </row>
    <row r="273" spans="1:37 16131:16384" ht="12.75" hidden="1" customHeight="1" x14ac:dyDescent="0.25">
      <c r="A273" s="116">
        <v>2370</v>
      </c>
      <c r="B273" s="20" t="s">
        <v>588</v>
      </c>
      <c r="C273" s="71" t="str">
        <f>IFERROR(VLOOKUP(D273,'Target tables'!A:B,2,0),"")</f>
        <v>Связь договора с контрагентом</v>
      </c>
      <c r="D273" s="212" t="s">
        <v>138</v>
      </c>
      <c r="E273" s="73" t="str">
        <f>IFERROR(VLOOKUP(D273&amp;J273,'Target columns'!A:J,4,FALSE),"")</f>
        <v>UUID</v>
      </c>
      <c r="F273" s="73" t="str">
        <f>IFERROR(VLOOKUP(D273&amp;J273,'Target columns'!A:J,7,FALSE),"")</f>
        <v>Yes</v>
      </c>
      <c r="G273" s="73" t="str">
        <f>IFERROR(VLOOKUP(D273&amp;J273,'Target columns'!A:J,8,FALSE),"")</f>
        <v>Yes</v>
      </c>
      <c r="H273" s="73" t="str">
        <f>IFERROR(VLOOKUP(D273&amp;J273,'Target columns'!A:J,5,FALSE),"")</f>
        <v>NOT NULL</v>
      </c>
      <c r="I273" s="73" t="str">
        <f>IFERROR(VLOOKUP(D273&amp;J273,'Target columns'!A:J,10,FALSE),"")</f>
        <v xml:space="preserve">Тип клиента на договоре </v>
      </c>
      <c r="J273" s="20" t="s">
        <v>607</v>
      </c>
      <c r="K273" s="20" t="s">
        <v>149</v>
      </c>
      <c r="L273" s="73" t="str">
        <f>IFERROR(VLOOKUP(K273&amp;N273,source_columns[[Seek]:[Описание поля]],4,0),"")</f>
        <v/>
      </c>
      <c r="M273" s="73" t="str">
        <f>IFERROR(VLOOKUP(K273&amp;N273,source_columns[[Seek]:[Описание поля]],7,0),"")</f>
        <v/>
      </c>
      <c r="N273" s="20" t="s">
        <v>611</v>
      </c>
      <c r="O273" s="20"/>
      <c r="P273" s="20"/>
      <c r="Q273" s="20"/>
      <c r="R273" s="20"/>
      <c r="S273" s="278"/>
      <c r="T273" s="71"/>
      <c r="U273" s="71"/>
      <c r="V273" s="73" t="str">
        <f>"n308000046_"&amp;IFERROR(VLOOKUP(D273,target_tables[],5,0),"&lt;not found&gt;")</f>
        <v>n308000046_agr_other_cust</v>
      </c>
      <c r="W273" s="71" t="s">
        <v>269</v>
      </c>
      <c r="X273" s="71"/>
      <c r="Y273" s="71"/>
      <c r="Z273" s="71"/>
      <c r="AA273" s="71"/>
      <c r="AB273" s="71"/>
      <c r="AC273" s="71"/>
      <c r="AD273" s="71"/>
      <c r="AE273" s="71"/>
      <c r="AF273" s="299"/>
      <c r="AG273" s="27"/>
      <c r="AH273" s="27"/>
      <c r="AI273" s="27"/>
      <c r="AJ273" s="75"/>
      <c r="AK273" s="69"/>
    </row>
    <row r="274" spans="1:37 16131:16384" ht="12.75" hidden="1" customHeight="1" x14ac:dyDescent="0.25">
      <c r="A274" s="114">
        <v>2380</v>
      </c>
      <c r="B274" s="113" t="s">
        <v>588</v>
      </c>
      <c r="C274" s="77" t="str">
        <f>IFERROR(VLOOKUP(D274,'Target tables'!A:B,2,0),"")</f>
        <v>Таблица связей договора эскроу со справочником оргструктуры</v>
      </c>
      <c r="D274" s="208" t="s">
        <v>139</v>
      </c>
      <c r="E274" s="78" t="str">
        <f>IFERROR(VLOOKUP(D274&amp;J274,'Target columns'!A:J,4,FALSE),"")</f>
        <v>UUID</v>
      </c>
      <c r="F274" s="78" t="str">
        <f>IFERROR(VLOOKUP(D274&amp;J274,'Target columns'!A:J,7,FALSE),"")</f>
        <v>Yes</v>
      </c>
      <c r="G274" s="78" t="str">
        <f>IFERROR(VLOOKUP(D274&amp;J274,'Target columns'!A:J,8,FALSE),"")</f>
        <v>Yes</v>
      </c>
      <c r="H274" s="78" t="str">
        <f>IFERROR(VLOOKUP(D274&amp;J274,'Target columns'!A:J,5,FALSE),"")</f>
        <v>NOT NULL</v>
      </c>
      <c r="I274" s="78" t="str">
        <f>IFERROR(VLOOKUP(D274&amp;J274,'Target columns'!A:J,10,FALSE),"")</f>
        <v>Идентификатор договора</v>
      </c>
      <c r="J274" s="23" t="s">
        <v>589</v>
      </c>
      <c r="K274" s="23" t="s">
        <v>149</v>
      </c>
      <c r="L274" s="78" t="str">
        <f>IFERROR(VLOOKUP(K274&amp;N274,source_columns[[Seek]:[Описание поля]],4,0),"")</f>
        <v>uuid</v>
      </c>
      <c r="M274" s="78" t="str">
        <f>IFERROR(VLOOKUP(K274&amp;N274,source_columns[[Seek]:[Описание поля]],7,0),"")</f>
        <v>Референс сделки</v>
      </c>
      <c r="N274" s="23" t="s">
        <v>496</v>
      </c>
      <c r="O274" s="23"/>
      <c r="P274" s="23"/>
      <c r="Q274" s="23"/>
      <c r="R274" s="23"/>
      <c r="S274" s="270" t="s">
        <v>612</v>
      </c>
      <c r="T274" s="82"/>
      <c r="U274" s="82"/>
      <c r="V274" s="84" t="str">
        <f>"n308000046_"&amp;IFERROR(VLOOKUP(D274,target_tables[],5,0),"&lt;not found&gt;")</f>
        <v>n308000046_agr_other_int_org</v>
      </c>
      <c r="W274" s="82" t="s">
        <v>269</v>
      </c>
      <c r="X274" s="82"/>
      <c r="Y274" s="82"/>
      <c r="Z274" s="82"/>
      <c r="AA274" s="82"/>
      <c r="AB274" s="82"/>
      <c r="AC274" s="82"/>
      <c r="AD274" s="82"/>
      <c r="AE274" s="82"/>
      <c r="AF274" s="299" t="s">
        <v>342</v>
      </c>
      <c r="AG274" s="83"/>
      <c r="AH274" s="83"/>
      <c r="AI274" s="83"/>
      <c r="AJ274" s="91"/>
      <c r="AK274" s="69"/>
    </row>
    <row r="275" spans="1:37 16131:16384" ht="12.75" hidden="1" customHeight="1" x14ac:dyDescent="0.25">
      <c r="A275" s="115">
        <v>2390</v>
      </c>
      <c r="B275" s="8" t="s">
        <v>588</v>
      </c>
      <c r="C275" s="65" t="str">
        <f>IFERROR(VLOOKUP(D275,'Target tables'!A:B,2,0),"")</f>
        <v>Таблица связей договора эскроу со справочником оргструктуры</v>
      </c>
      <c r="D275" s="211" t="s">
        <v>139</v>
      </c>
      <c r="E275" s="66" t="str">
        <f>IFERROR(VLOOKUP(D275&amp;J275,'Target columns'!A:J,4,FALSE),"")</f>
        <v>UUID</v>
      </c>
      <c r="F275" s="66" t="str">
        <f>IFERROR(VLOOKUP(D275&amp;J275,'Target columns'!A:J,7,FALSE),"")</f>
        <v>Yes</v>
      </c>
      <c r="G275" s="66" t="str">
        <f>IFERROR(VLOOKUP(D275&amp;J275,'Target columns'!A:J,8,FALSE),"")</f>
        <v>Yes</v>
      </c>
      <c r="H275" s="66" t="str">
        <f>IFERROR(VLOOKUP(D275&amp;J275,'Target columns'!A:J,5,FALSE),"")</f>
        <v>NOT NULL</v>
      </c>
      <c r="I275" s="66" t="str">
        <f>IFERROR(VLOOKUP(D275&amp;J275,'Target columns'!A:J,10,FALSE),"")</f>
        <v>Идентификатор терр. структуры</v>
      </c>
      <c r="J275" s="8" t="s">
        <v>364</v>
      </c>
      <c r="K275" s="8" t="s">
        <v>149</v>
      </c>
      <c r="L275" s="66" t="str">
        <f>IFERROR(VLOOKUP(K275&amp;N275,source_columns[[Seek]:[Описание поля]],4,0),"")</f>
        <v>uuid</v>
      </c>
      <c r="M275" s="66" t="str">
        <f>IFERROR(VLOOKUP(K275&amp;N275,source_columns[[Seek]:[Описание поля]],7,0),"")</f>
        <v>Код подразделения - владельца досье</v>
      </c>
      <c r="N275" s="8" t="s">
        <v>613</v>
      </c>
      <c r="O275" s="8"/>
      <c r="P275" s="8"/>
      <c r="Q275" s="8"/>
      <c r="R275" s="8"/>
      <c r="S275" s="278"/>
      <c r="T275" s="65"/>
      <c r="U275" s="65"/>
      <c r="V275" s="66" t="str">
        <f>"n308000046_"&amp;IFERROR(VLOOKUP(D275,target_tables[],5,0),"&lt;not found&gt;")</f>
        <v>n308000046_agr_other_int_org</v>
      </c>
      <c r="W275" s="65" t="s">
        <v>273</v>
      </c>
      <c r="X275" s="65"/>
      <c r="Y275" s="65"/>
      <c r="Z275" s="65"/>
      <c r="AA275" s="65"/>
      <c r="AB275" s="65"/>
      <c r="AC275" s="65"/>
      <c r="AD275" s="65"/>
      <c r="AE275" s="65"/>
      <c r="AF275" s="299"/>
      <c r="AG275" s="10"/>
      <c r="AH275" s="10"/>
      <c r="AI275" s="10"/>
      <c r="AJ275" s="68"/>
      <c r="AK275" s="69"/>
    </row>
    <row r="276" spans="1:37 16131:16384" ht="12.75" hidden="1" customHeight="1" x14ac:dyDescent="0.25">
      <c r="A276" s="115">
        <v>2400</v>
      </c>
      <c r="B276" s="8" t="s">
        <v>588</v>
      </c>
      <c r="C276" s="65" t="str">
        <f>IFERROR(VLOOKUP(D276,'Target tables'!A:B,2,0),"")</f>
        <v>Таблица связей договора эскроу со справочником оргструктуры</v>
      </c>
      <c r="D276" s="211" t="s">
        <v>139</v>
      </c>
      <c r="E276" s="66" t="str">
        <f>IFERROR(VLOOKUP(D276&amp;J276,'Target columns'!A:J,4,FALSE),"")</f>
        <v>UUID</v>
      </c>
      <c r="F276" s="66" t="str">
        <f>IFERROR(VLOOKUP(D276&amp;J276,'Target columns'!A:J,7,FALSE),"")</f>
        <v>Yes</v>
      </c>
      <c r="G276" s="66" t="str">
        <f>IFERROR(VLOOKUP(D276&amp;J276,'Target columns'!A:J,8,FALSE),"")</f>
        <v>No</v>
      </c>
      <c r="H276" s="66" t="str">
        <f>IFERROR(VLOOKUP(D276&amp;J276,'Target columns'!A:J,5,FALSE),"")</f>
        <v>NOT NULL</v>
      </c>
      <c r="I276" s="66" t="str">
        <f>IFERROR(VLOOKUP(D276&amp;J276,'Target columns'!A:J,10,FALSE),"")</f>
        <v>Идентификатор типа связи договора с терр. структурой</v>
      </c>
      <c r="J276" s="8" t="s">
        <v>614</v>
      </c>
      <c r="K276" s="8" t="s">
        <v>149</v>
      </c>
      <c r="L276" s="66" t="str">
        <f>IFERROR(VLOOKUP(K276&amp;N276,source_columns[[Seek]:[Описание поля]],4,0),"")</f>
        <v/>
      </c>
      <c r="M276" s="66" t="str">
        <f>IFERROR(VLOOKUP(K276&amp;N276,source_columns[[Seek]:[Описание поля]],7,0),"")</f>
        <v/>
      </c>
      <c r="N276" s="8" t="s">
        <v>615</v>
      </c>
      <c r="O276" s="8"/>
      <c r="P276" s="8"/>
      <c r="Q276" s="8"/>
      <c r="R276" s="8"/>
      <c r="S276" s="278"/>
      <c r="T276" s="65"/>
      <c r="U276" s="65"/>
      <c r="V276" s="66" t="str">
        <f>"n308000046_"&amp;IFERROR(VLOOKUP(D276,target_tables[],5,0),"&lt;not found&gt;")</f>
        <v>n308000046_agr_other_int_org</v>
      </c>
      <c r="W276" s="65" t="s">
        <v>269</v>
      </c>
      <c r="X276" s="65"/>
      <c r="Y276" s="65"/>
      <c r="Z276" s="65"/>
      <c r="AA276" s="65"/>
      <c r="AB276" s="65"/>
      <c r="AC276" s="65"/>
      <c r="AD276" s="65"/>
      <c r="AE276" s="65"/>
      <c r="AF276" s="299"/>
      <c r="AG276" s="10"/>
      <c r="AH276" s="10"/>
      <c r="AI276" s="10"/>
      <c r="AJ276" s="68"/>
      <c r="AK276" s="69"/>
    </row>
    <row r="277" spans="1:37 16131:16384" ht="12.75" hidden="1" customHeight="1" x14ac:dyDescent="0.25">
      <c r="A277" s="115">
        <v>2410</v>
      </c>
      <c r="B277" s="8" t="s">
        <v>588</v>
      </c>
      <c r="C277" s="65" t="str">
        <f>IFERROR(VLOOKUP(D277,'Target tables'!A:B,2,0),"")</f>
        <v>Таблица связей договора эскроу со справочником оргструктуры</v>
      </c>
      <c r="D277" s="211" t="s">
        <v>139</v>
      </c>
      <c r="E277" s="66" t="str">
        <f>IFERROR(VLOOKUP(D277&amp;J277,'Target columns'!A:J,4,FALSE),"")</f>
        <v>DATE</v>
      </c>
      <c r="F277" s="66" t="str">
        <f>IFERROR(VLOOKUP(D277&amp;J277,'Target columns'!A:J,7,FALSE),"")</f>
        <v>No</v>
      </c>
      <c r="G277" s="66" t="str">
        <f>IFERROR(VLOOKUP(D277&amp;J277,'Target columns'!A:J,8,FALSE),"")</f>
        <v>No</v>
      </c>
      <c r="H277" s="66" t="str">
        <f>IFERROR(VLOOKUP(D277&amp;J277,'Target columns'!A:J,5,FALSE),"")</f>
        <v>NOT NULL</v>
      </c>
      <c r="I277" s="66" t="str">
        <f>IFERROR(VLOOKUP(D277&amp;J277,'Target columns'!A:J,10,FALSE),"")</f>
        <v>Дата начала действия связи</v>
      </c>
      <c r="J277" s="8" t="s">
        <v>329</v>
      </c>
      <c r="K277" s="8" t="s">
        <v>149</v>
      </c>
      <c r="L277" s="66" t="str">
        <f>IFERROR(VLOOKUP(K277&amp;N277,source_columns[[Seek]:[Описание поля]],4,0),"")</f>
        <v>timestamp</v>
      </c>
      <c r="M277" s="66" t="str">
        <f>IFERROR(VLOOKUP(K277&amp;N277,source_columns[[Seek]:[Описание поля]],7,0),"")</f>
        <v>Дата и время последнего изменения</v>
      </c>
      <c r="N277" s="8" t="s">
        <v>517</v>
      </c>
      <c r="O277" s="8"/>
      <c r="P277" s="8"/>
      <c r="Q277" s="8"/>
      <c r="R277" s="8"/>
      <c r="S277" s="278"/>
      <c r="T277" s="65"/>
      <c r="U277" s="65"/>
      <c r="V277" s="66" t="str">
        <f>"n308000046_"&amp;IFERROR(VLOOKUP(D277,target_tables[],5,0),"&lt;not found&gt;")</f>
        <v>n308000046_agr_other_int_org</v>
      </c>
      <c r="W277" s="65" t="s">
        <v>330</v>
      </c>
      <c r="X277" s="65"/>
      <c r="Y277" s="65"/>
      <c r="Z277" s="65"/>
      <c r="AA277" s="65"/>
      <c r="AB277" s="65"/>
      <c r="AC277" s="65"/>
      <c r="AD277" s="65"/>
      <c r="AE277" s="65"/>
      <c r="AF277" s="299"/>
      <c r="AG277" s="10"/>
      <c r="AH277" s="10"/>
      <c r="AI277" s="10"/>
      <c r="AJ277" s="68"/>
      <c r="AK277" s="69"/>
    </row>
    <row r="278" spans="1:37 16131:16384" ht="12.75" hidden="1" customHeight="1" x14ac:dyDescent="0.25">
      <c r="A278" s="116">
        <v>2420</v>
      </c>
      <c r="B278" s="20" t="s">
        <v>588</v>
      </c>
      <c r="C278" s="71" t="str">
        <f>IFERROR(VLOOKUP(D278,'Target tables'!A:B,2,0),"")</f>
        <v>Таблица связей договора эскроу со справочником оргструктуры</v>
      </c>
      <c r="D278" s="212" t="s">
        <v>139</v>
      </c>
      <c r="E278" s="73" t="str">
        <f>IFERROR(VLOOKUP(D278&amp;J278,'Target columns'!A:J,4,FALSE),"")</f>
        <v>DATE</v>
      </c>
      <c r="F278" s="73" t="str">
        <f>IFERROR(VLOOKUP(D278&amp;J278,'Target columns'!A:J,7,FALSE),"")</f>
        <v>Yes</v>
      </c>
      <c r="G278" s="73" t="str">
        <f>IFERROR(VLOOKUP(D278&amp;J278,'Target columns'!A:J,8,FALSE),"")</f>
        <v>Yes</v>
      </c>
      <c r="H278" s="73" t="str">
        <f>IFERROR(VLOOKUP(D278&amp;J278,'Target columns'!A:J,5,FALSE),"")</f>
        <v>NOT NULL</v>
      </c>
      <c r="I278" s="73" t="str">
        <f>IFERROR(VLOOKUP(D278&amp;J278,'Target columns'!A:J,10,FALSE),"")</f>
        <v>Дата окончания действия связи</v>
      </c>
      <c r="J278" s="20" t="s">
        <v>331</v>
      </c>
      <c r="K278" s="20" t="s">
        <v>149</v>
      </c>
      <c r="L278" s="73" t="str">
        <f>IFERROR(VLOOKUP(K278&amp;N278,source_columns[[Seek]:[Описание поля]],4,0),"")</f>
        <v/>
      </c>
      <c r="M278" s="73" t="str">
        <f>IFERROR(VLOOKUP(K278&amp;N278,source_columns[[Seek]:[Описание поля]],7,0),"")</f>
        <v/>
      </c>
      <c r="N278" s="20" t="s">
        <v>603</v>
      </c>
      <c r="O278" s="20"/>
      <c r="P278" s="20"/>
      <c r="Q278" s="20"/>
      <c r="R278" s="20"/>
      <c r="S278" s="278"/>
      <c r="T278" s="71"/>
      <c r="U278" s="71"/>
      <c r="V278" s="73" t="str">
        <f>"n308000046_"&amp;IFERROR(VLOOKUP(D278,target_tables[],5,0),"&lt;not found&gt;")</f>
        <v>n308000046_agr_other_int_org</v>
      </c>
      <c r="W278" s="71" t="s">
        <v>332</v>
      </c>
      <c r="X278" s="71"/>
      <c r="Y278" s="71"/>
      <c r="Z278" s="71"/>
      <c r="AA278" s="71"/>
      <c r="AB278" s="71"/>
      <c r="AC278" s="71"/>
      <c r="AD278" s="71"/>
      <c r="AE278" s="71"/>
      <c r="AF278" s="299"/>
      <c r="AG278" s="27"/>
      <c r="AH278" s="27"/>
      <c r="AI278" s="27"/>
      <c r="AJ278" s="75"/>
      <c r="AK278" s="69"/>
    </row>
    <row r="279" spans="1:37 16131:16384" ht="12.75" hidden="1" customHeight="1" x14ac:dyDescent="0.25">
      <c r="A279" s="114">
        <v>2421</v>
      </c>
      <c r="B279" s="113" t="s">
        <v>588</v>
      </c>
      <c r="C279" s="82" t="str">
        <f>IFERROR(VLOOKUP(D279,'Target tables'!A:B,2,0),"")</f>
        <v>Таблица связей договора эскроу со справочником оргструктуры</v>
      </c>
      <c r="D279" s="208" t="s">
        <v>139</v>
      </c>
      <c r="E279" s="78" t="str">
        <f>IFERROR(VLOOKUP(D279&amp;J279,'Target columns'!A:J,4,FALSE),"")</f>
        <v>UUID</v>
      </c>
      <c r="F279" s="78" t="str">
        <f>IFERROR(VLOOKUP(D279&amp;J279,'Target columns'!A:J,7,FALSE),"")</f>
        <v>Yes</v>
      </c>
      <c r="G279" s="78" t="str">
        <f>IFERROR(VLOOKUP(D279&amp;J279,'Target columns'!A:J,8,FALSE),"")</f>
        <v>Yes</v>
      </c>
      <c r="H279" s="78" t="str">
        <f>IFERROR(VLOOKUP(D279&amp;J279,'Target columns'!A:J,5,FALSE),"")</f>
        <v>NOT NULL</v>
      </c>
      <c r="I279" s="78" t="str">
        <f>IFERROR(VLOOKUP(D279&amp;J279,'Target columns'!A:J,10,FALSE),"")</f>
        <v>Идентификатор договора</v>
      </c>
      <c r="J279" s="23" t="s">
        <v>589</v>
      </c>
      <c r="K279" s="23" t="s">
        <v>149</v>
      </c>
      <c r="L279" s="78" t="str">
        <f>IFERROR(VLOOKUP(K279&amp;N279,source_columns[[Seek]:[Описание поля]],4,0),"")</f>
        <v>uuid</v>
      </c>
      <c r="M279" s="78" t="str">
        <f>IFERROR(VLOOKUP(K279&amp;N279,source_columns[[Seek]:[Описание поля]],7,0),"")</f>
        <v>Референс сделки</v>
      </c>
      <c r="N279" s="23" t="s">
        <v>496</v>
      </c>
      <c r="O279" s="23"/>
      <c r="P279" s="23"/>
      <c r="Q279" s="23"/>
      <c r="R279" s="23"/>
      <c r="S279" s="270" t="s">
        <v>616</v>
      </c>
      <c r="T279" s="82"/>
      <c r="U279" s="82"/>
      <c r="V279" s="84" t="str">
        <f>"n308000046_"&amp;IFERROR(VLOOKUP(D279,target_tables[],5,0),"&lt;not found&gt;")</f>
        <v>n308000046_agr_other_int_org</v>
      </c>
      <c r="W279" s="82" t="s">
        <v>269</v>
      </c>
      <c r="X279" s="82"/>
      <c r="Y279" s="82"/>
      <c r="Z279" s="82"/>
      <c r="AA279" s="82"/>
      <c r="AB279" s="82"/>
      <c r="AC279" s="82"/>
      <c r="AD279" s="82"/>
      <c r="AE279" s="82"/>
      <c r="AF279" s="299" t="s">
        <v>342</v>
      </c>
      <c r="AG279" s="83"/>
      <c r="AH279" s="83"/>
      <c r="AI279" s="83"/>
      <c r="AJ279" s="91"/>
      <c r="AK279" s="69"/>
    </row>
    <row r="280" spans="1:37 16131:16384" ht="12.75" hidden="1" customHeight="1" x14ac:dyDescent="0.25">
      <c r="A280" s="115">
        <v>2422</v>
      </c>
      <c r="B280" s="8" t="s">
        <v>588</v>
      </c>
      <c r="C280" s="65" t="str">
        <f>IFERROR(VLOOKUP(D280,'Target tables'!A:B,2,0),"")</f>
        <v>Таблица связей договора эскроу со справочником оргструктуры</v>
      </c>
      <c r="D280" s="211" t="s">
        <v>139</v>
      </c>
      <c r="E280" s="66" t="str">
        <f>IFERROR(VLOOKUP(D280&amp;J280,'Target columns'!A:J,4,FALSE),"")</f>
        <v>UUID</v>
      </c>
      <c r="F280" s="66" t="str">
        <f>IFERROR(VLOOKUP(D280&amp;J280,'Target columns'!A:J,7,FALSE),"")</f>
        <v>Yes</v>
      </c>
      <c r="G280" s="66" t="str">
        <f>IFERROR(VLOOKUP(D280&amp;J280,'Target columns'!A:J,8,FALSE),"")</f>
        <v>Yes</v>
      </c>
      <c r="H280" s="66" t="str">
        <f>IFERROR(VLOOKUP(D280&amp;J280,'Target columns'!A:J,5,FALSE),"")</f>
        <v>NOT NULL</v>
      </c>
      <c r="I280" s="66" t="str">
        <f>IFERROR(VLOOKUP(D280&amp;J280,'Target columns'!A:J,10,FALSE),"")</f>
        <v>Идентификатор терр. структуры</v>
      </c>
      <c r="J280" s="8" t="s">
        <v>364</v>
      </c>
      <c r="K280" s="8" t="s">
        <v>149</v>
      </c>
      <c r="L280" s="66" t="str">
        <f>IFERROR(VLOOKUP(K280&amp;N280,source_columns[[Seek]:[Описание поля]],4,0),"")</f>
        <v>uuid</v>
      </c>
      <c r="M280" s="66" t="str">
        <f>IFERROR(VLOOKUP(K280&amp;N280,source_columns[[Seek]:[Описание поля]],7,0),"")</f>
        <v>Код подразделения Банка бенефициара</v>
      </c>
      <c r="N280" s="8" t="s">
        <v>617</v>
      </c>
      <c r="O280" s="8"/>
      <c r="P280" s="8"/>
      <c r="Q280" s="8"/>
      <c r="R280" s="8"/>
      <c r="S280" s="278"/>
      <c r="T280" s="65"/>
      <c r="U280" s="65"/>
      <c r="V280" s="66" t="str">
        <f>"n308000046_"&amp;IFERROR(VLOOKUP(D280,target_tables[],5,0),"&lt;not found&gt;")</f>
        <v>n308000046_agr_other_int_org</v>
      </c>
      <c r="W280" s="65" t="s">
        <v>273</v>
      </c>
      <c r="X280" s="65"/>
      <c r="Y280" s="65"/>
      <c r="Z280" s="65"/>
      <c r="AA280" s="65"/>
      <c r="AB280" s="65"/>
      <c r="AC280" s="65"/>
      <c r="AD280" s="65"/>
      <c r="AE280" s="65"/>
      <c r="AF280" s="299"/>
      <c r="AG280" s="10"/>
      <c r="AH280" s="10"/>
      <c r="AI280" s="10"/>
      <c r="AJ280" s="68"/>
      <c r="AK280" s="69"/>
    </row>
    <row r="281" spans="1:37 16131:16384" ht="12.75" hidden="1" customHeight="1" x14ac:dyDescent="0.3">
      <c r="A281" s="115">
        <v>2423</v>
      </c>
      <c r="B281" s="8" t="s">
        <v>588</v>
      </c>
      <c r="C281" s="65" t="str">
        <f>IFERROR(VLOOKUP(D281,'Target tables'!A:B,2,0),"")</f>
        <v>Таблица связей договора эскроу со справочником оргструктуры</v>
      </c>
      <c r="D281" s="211" t="s">
        <v>139</v>
      </c>
      <c r="E281" s="66" t="str">
        <f>IFERROR(VLOOKUP(D281&amp;J281,'Target columns'!A:J,4,FALSE),"")</f>
        <v>UUID</v>
      </c>
      <c r="F281" s="66" t="str">
        <f>IFERROR(VLOOKUP(D281&amp;J281,'Target columns'!A:J,7,FALSE),"")</f>
        <v>Yes</v>
      </c>
      <c r="G281" s="66" t="str">
        <f>IFERROR(VLOOKUP(D281&amp;J281,'Target columns'!A:J,8,FALSE),"")</f>
        <v>No</v>
      </c>
      <c r="H281" s="66" t="str">
        <f>IFERROR(VLOOKUP(D281&amp;J281,'Target columns'!A:J,5,FALSE),"")</f>
        <v>NOT NULL</v>
      </c>
      <c r="I281" s="66" t="str">
        <f>IFERROR(VLOOKUP(D281&amp;J281,'Target columns'!A:J,10,FALSE),"")</f>
        <v>Идентификатор типа связи договора с терр. структурой</v>
      </c>
      <c r="J281" s="8" t="s">
        <v>614</v>
      </c>
      <c r="K281" s="8" t="s">
        <v>149</v>
      </c>
      <c r="L281" s="66" t="str">
        <f>IFERROR(VLOOKUP(K281&amp;N281,source_columns[[Seek]:[Описание поля]],4,0),"")</f>
        <v/>
      </c>
      <c r="M281" s="66" t="str">
        <f>IFERROR(VLOOKUP(K281&amp;N281,source_columns[[Seek]:[Описание поля]],7,0),"")</f>
        <v/>
      </c>
      <c r="N281" s="117" t="s">
        <v>618</v>
      </c>
      <c r="O281" s="8"/>
      <c r="P281" s="8"/>
      <c r="Q281" s="8"/>
      <c r="R281" s="8"/>
      <c r="S281" s="278"/>
      <c r="T281" s="65"/>
      <c r="U281" s="65"/>
      <c r="V281" s="66" t="str">
        <f>"n308000046_"&amp;IFERROR(VLOOKUP(D281,target_tables[],5,0),"&lt;not found&gt;")</f>
        <v>n308000046_agr_other_int_org</v>
      </c>
      <c r="W281" s="65" t="s">
        <v>269</v>
      </c>
      <c r="X281" s="65"/>
      <c r="Y281" s="65"/>
      <c r="Z281" s="65"/>
      <c r="AA281" s="65"/>
      <c r="AB281" s="65"/>
      <c r="AC281" s="65"/>
      <c r="AD281" s="65"/>
      <c r="AE281" s="65"/>
      <c r="AF281" s="299"/>
      <c r="AG281" s="10"/>
      <c r="AH281" s="10"/>
      <c r="AI281" s="10"/>
      <c r="AJ281" s="68"/>
      <c r="AK281" s="69"/>
      <c r="WVK281" s="118"/>
      <c r="WVL281" s="118"/>
      <c r="WVM281" s="118"/>
      <c r="WVN281" s="118"/>
      <c r="WVO281" s="118"/>
      <c r="WVP281" s="118"/>
      <c r="WVQ281" s="118"/>
      <c r="WVR281" s="118"/>
      <c r="WVS281" s="118"/>
      <c r="WVT281" s="118"/>
      <c r="WVU281" s="118"/>
      <c r="WVV281" s="118"/>
      <c r="WVW281" s="118"/>
      <c r="WVX281" s="118"/>
      <c r="WVY281" s="118"/>
      <c r="WVZ281" s="118"/>
      <c r="WWA281" s="118"/>
      <c r="WWB281" s="118"/>
      <c r="WWC281" s="118"/>
      <c r="WWD281" s="118"/>
      <c r="WWE281" s="118"/>
      <c r="WWF281" s="118"/>
      <c r="WWG281" s="118"/>
      <c r="WWH281" s="118"/>
      <c r="WWI281" s="118"/>
      <c r="WWJ281" s="118"/>
      <c r="WWK281" s="118"/>
      <c r="WWL281" s="118"/>
      <c r="WWM281" s="118"/>
      <c r="WWN281" s="118"/>
      <c r="WWO281" s="118"/>
      <c r="WWP281" s="118"/>
      <c r="WWQ281" s="118"/>
      <c r="WWR281" s="118"/>
      <c r="WWS281" s="118"/>
      <c r="WWT281" s="118"/>
      <c r="WWU281" s="118"/>
      <c r="WWV281" s="118"/>
      <c r="WWW281" s="118"/>
      <c r="WWX281" s="118"/>
      <c r="WWY281" s="118"/>
      <c r="WWZ281" s="118"/>
      <c r="WXA281" s="118"/>
      <c r="WXB281" s="118"/>
      <c r="WXC281" s="118"/>
      <c r="WXD281" s="118"/>
      <c r="WXE281" s="118"/>
      <c r="WXF281" s="118"/>
      <c r="WXG281" s="118"/>
      <c r="WXH281" s="118"/>
      <c r="WXI281" s="118"/>
      <c r="WXJ281" s="118"/>
      <c r="WXK281" s="118"/>
      <c r="WXL281" s="118"/>
      <c r="WXM281" s="118"/>
      <c r="WXN281" s="118"/>
      <c r="WXO281" s="118"/>
      <c r="WXP281" s="118"/>
      <c r="WXQ281" s="118"/>
      <c r="WXR281" s="118"/>
      <c r="WXS281" s="118"/>
      <c r="WXT281" s="118"/>
      <c r="WXU281" s="118"/>
      <c r="WXV281" s="118"/>
      <c r="WXW281" s="118"/>
      <c r="WXX281" s="118"/>
      <c r="WXY281" s="118"/>
      <c r="WXZ281" s="118"/>
      <c r="WYA281" s="118"/>
      <c r="WYB281" s="118"/>
      <c r="WYC281" s="118"/>
      <c r="WYD281" s="118"/>
      <c r="WYE281" s="118"/>
      <c r="WYF281" s="118"/>
      <c r="WYG281" s="118"/>
      <c r="WYH281" s="118"/>
      <c r="WYI281" s="118"/>
      <c r="WYJ281" s="118"/>
      <c r="WYK281" s="118"/>
      <c r="WYL281" s="118"/>
      <c r="WYM281" s="118"/>
      <c r="WYN281" s="118"/>
      <c r="WYO281" s="118"/>
      <c r="WYP281" s="118"/>
      <c r="WYQ281" s="118"/>
      <c r="WYR281" s="118"/>
      <c r="WYS281" s="118"/>
      <c r="WYT281" s="118"/>
      <c r="WYU281" s="118"/>
      <c r="WYV281" s="118"/>
      <c r="WYW281" s="118"/>
      <c r="WYX281" s="118"/>
      <c r="WYY281" s="118"/>
      <c r="WYZ281" s="118"/>
      <c r="WZA281" s="118"/>
      <c r="WZB281" s="118"/>
      <c r="WZC281" s="118"/>
      <c r="WZD281" s="118"/>
      <c r="WZE281" s="118"/>
      <c r="WZF281" s="118"/>
      <c r="WZG281" s="118"/>
      <c r="WZH281" s="118"/>
      <c r="WZI281" s="118"/>
      <c r="WZJ281" s="118"/>
      <c r="WZK281" s="118"/>
      <c r="WZL281" s="118"/>
      <c r="WZM281" s="118"/>
      <c r="WZN281" s="118"/>
      <c r="WZO281" s="118"/>
      <c r="WZP281" s="118"/>
      <c r="WZQ281" s="118"/>
      <c r="WZR281" s="118"/>
      <c r="WZS281" s="118"/>
      <c r="WZT281" s="118"/>
      <c r="WZU281" s="118"/>
      <c r="WZV281" s="118"/>
      <c r="WZW281" s="118"/>
      <c r="WZX281" s="118"/>
      <c r="WZY281" s="118"/>
      <c r="WZZ281" s="118"/>
      <c r="XAA281" s="118"/>
      <c r="XAB281" s="118"/>
      <c r="XAC281" s="118"/>
      <c r="XAD281" s="118"/>
      <c r="XAE281" s="118"/>
      <c r="XAF281" s="118"/>
      <c r="XAG281" s="118"/>
      <c r="XAH281" s="118"/>
      <c r="XAI281" s="118"/>
      <c r="XAJ281" s="118"/>
      <c r="XAK281" s="118"/>
      <c r="XAL281" s="118"/>
      <c r="XAM281" s="118"/>
      <c r="XAN281" s="118"/>
      <c r="XAO281" s="118"/>
      <c r="XAP281" s="118"/>
      <c r="XAQ281" s="118"/>
      <c r="XAR281" s="118"/>
      <c r="XAS281" s="118"/>
      <c r="XAT281" s="118"/>
      <c r="XAU281" s="118"/>
      <c r="XAV281" s="118"/>
      <c r="XAW281" s="118"/>
      <c r="XAX281" s="118"/>
      <c r="XAY281" s="118"/>
      <c r="XAZ281" s="118"/>
      <c r="XBA281" s="118"/>
      <c r="XBB281" s="118"/>
      <c r="XBC281" s="118"/>
      <c r="XBD281" s="118"/>
      <c r="XBE281" s="118"/>
      <c r="XBF281" s="118"/>
      <c r="XBG281" s="118"/>
      <c r="XBH281" s="118"/>
      <c r="XBI281" s="118"/>
      <c r="XBJ281" s="118"/>
      <c r="XBK281" s="118"/>
      <c r="XBL281" s="118"/>
      <c r="XBM281" s="118"/>
      <c r="XBN281" s="118"/>
      <c r="XBO281" s="118"/>
      <c r="XBP281" s="118"/>
      <c r="XBQ281" s="118"/>
      <c r="XBR281" s="118"/>
      <c r="XBS281" s="118"/>
      <c r="XBT281" s="118"/>
      <c r="XBU281" s="118"/>
      <c r="XBV281" s="118"/>
      <c r="XBW281" s="118"/>
      <c r="XBX281" s="118"/>
      <c r="XBY281" s="118"/>
      <c r="XBZ281" s="118"/>
      <c r="XCA281" s="118"/>
      <c r="XCB281" s="118"/>
      <c r="XCC281" s="118"/>
      <c r="XCD281" s="118"/>
      <c r="XCE281" s="118"/>
      <c r="XCF281" s="118"/>
      <c r="XCG281" s="118"/>
      <c r="XCH281" s="118"/>
      <c r="XCI281" s="118"/>
      <c r="XCJ281" s="118"/>
      <c r="XCK281" s="118"/>
      <c r="XCL281" s="118"/>
      <c r="XCM281" s="118"/>
      <c r="XCN281" s="118"/>
      <c r="XCO281" s="118"/>
      <c r="XCP281" s="118"/>
      <c r="XCQ281" s="118"/>
      <c r="XCR281" s="118"/>
      <c r="XCS281" s="118"/>
      <c r="XCT281" s="118"/>
      <c r="XCU281" s="118"/>
      <c r="XCV281" s="118"/>
      <c r="XCW281" s="118"/>
      <c r="XCX281" s="118"/>
      <c r="XCY281" s="118"/>
      <c r="XCZ281" s="118"/>
      <c r="XDA281" s="118"/>
      <c r="XDB281" s="118"/>
      <c r="XDC281" s="118"/>
      <c r="XDD281" s="118"/>
      <c r="XDE281" s="118"/>
      <c r="XDF281" s="118"/>
      <c r="XDG281" s="118"/>
      <c r="XDH281" s="118"/>
      <c r="XDI281" s="118"/>
      <c r="XDJ281" s="118"/>
      <c r="XDK281" s="118"/>
      <c r="XDL281" s="118"/>
      <c r="XDM281" s="118"/>
      <c r="XDN281" s="118"/>
      <c r="XDO281" s="118"/>
      <c r="XDP281" s="118"/>
      <c r="XDQ281" s="118"/>
      <c r="XDR281" s="118"/>
      <c r="XDS281" s="118"/>
      <c r="XDT281" s="118"/>
      <c r="XDU281" s="118"/>
      <c r="XDV281" s="118"/>
      <c r="XDW281" s="118"/>
      <c r="XDX281" s="118"/>
      <c r="XDY281" s="118"/>
      <c r="XDZ281" s="118"/>
      <c r="XEA281" s="118"/>
      <c r="XEB281" s="118"/>
      <c r="XEC281" s="118"/>
      <c r="XED281" s="118"/>
      <c r="XEE281" s="118"/>
      <c r="XEF281" s="118"/>
      <c r="XEG281" s="118"/>
      <c r="XEH281" s="118"/>
      <c r="XEI281" s="118"/>
      <c r="XEJ281" s="118"/>
      <c r="XEK281" s="118"/>
      <c r="XEL281" s="118"/>
      <c r="XEM281" s="118"/>
      <c r="XEN281" s="118"/>
      <c r="XEO281" s="118"/>
      <c r="XEP281" s="118"/>
      <c r="XEQ281" s="118"/>
      <c r="XER281" s="118"/>
      <c r="XES281" s="118"/>
      <c r="XET281" s="118"/>
      <c r="XEU281" s="118"/>
      <c r="XEV281" s="118"/>
      <c r="XEW281" s="118"/>
      <c r="XEX281" s="118"/>
      <c r="XEY281" s="118"/>
      <c r="XEZ281" s="118"/>
      <c r="XFA281" s="118"/>
      <c r="XFB281" s="118"/>
      <c r="XFC281" s="118"/>
      <c r="XFD281" s="118"/>
    </row>
    <row r="282" spans="1:37 16131:16384" ht="12.75" hidden="1" customHeight="1" x14ac:dyDescent="0.3">
      <c r="A282" s="115">
        <v>2424</v>
      </c>
      <c r="B282" s="8" t="s">
        <v>588</v>
      </c>
      <c r="C282" s="65" t="str">
        <f>IFERROR(VLOOKUP(D282,'Target tables'!A:B,2,0),"")</f>
        <v>Таблица связей договора эскроу со справочником оргструктуры</v>
      </c>
      <c r="D282" s="211" t="s">
        <v>139</v>
      </c>
      <c r="E282" s="66" t="str">
        <f>IFERROR(VLOOKUP(D282&amp;J282,'Target columns'!A:J,4,FALSE),"")</f>
        <v>DATE</v>
      </c>
      <c r="F282" s="66" t="str">
        <f>IFERROR(VLOOKUP(D282&amp;J282,'Target columns'!A:J,7,FALSE),"")</f>
        <v>No</v>
      </c>
      <c r="G282" s="66" t="str">
        <f>IFERROR(VLOOKUP(D282&amp;J282,'Target columns'!A:J,8,FALSE),"")</f>
        <v>No</v>
      </c>
      <c r="H282" s="66" t="str">
        <f>IFERROR(VLOOKUP(D282&amp;J282,'Target columns'!A:J,5,FALSE),"")</f>
        <v>NOT NULL</v>
      </c>
      <c r="I282" s="66" t="str">
        <f>IFERROR(VLOOKUP(D282&amp;J282,'Target columns'!A:J,10,FALSE),"")</f>
        <v>Дата начала действия связи</v>
      </c>
      <c r="J282" s="8" t="s">
        <v>329</v>
      </c>
      <c r="K282" s="8" t="s">
        <v>149</v>
      </c>
      <c r="L282" s="66" t="str">
        <f>IFERROR(VLOOKUP(K282&amp;N282,source_columns[[Seek]:[Описание поля]],4,0),"")</f>
        <v>timestamp</v>
      </c>
      <c r="M282" s="66" t="str">
        <f>IFERROR(VLOOKUP(K282&amp;N282,source_columns[[Seek]:[Описание поля]],7,0),"")</f>
        <v>Дата и время последнего изменения</v>
      </c>
      <c r="N282" s="8" t="s">
        <v>517</v>
      </c>
      <c r="O282" s="8"/>
      <c r="P282" s="8"/>
      <c r="Q282" s="8"/>
      <c r="R282" s="8"/>
      <c r="S282" s="278"/>
      <c r="T282" s="65"/>
      <c r="U282" s="65"/>
      <c r="V282" s="66" t="str">
        <f>"n308000046_"&amp;IFERROR(VLOOKUP(D282,target_tables[],5,0),"&lt;not found&gt;")</f>
        <v>n308000046_agr_other_int_org</v>
      </c>
      <c r="W282" s="65" t="s">
        <v>330</v>
      </c>
      <c r="X282" s="65"/>
      <c r="Y282" s="65"/>
      <c r="Z282" s="65"/>
      <c r="AA282" s="65"/>
      <c r="AB282" s="65"/>
      <c r="AC282" s="65"/>
      <c r="AD282" s="65"/>
      <c r="AE282" s="65"/>
      <c r="AF282" s="299"/>
      <c r="AG282" s="10"/>
      <c r="AH282" s="10"/>
      <c r="AI282" s="10"/>
      <c r="AJ282" s="68"/>
      <c r="AK282" s="69"/>
      <c r="WVK282" s="118"/>
      <c r="WVL282" s="118"/>
      <c r="WVM282" s="118"/>
      <c r="WVN282" s="118"/>
      <c r="WVO282" s="118"/>
      <c r="WVP282" s="118"/>
      <c r="WVQ282" s="118"/>
      <c r="WVR282" s="118"/>
      <c r="WVS282" s="118"/>
      <c r="WVT282" s="118"/>
      <c r="WVU282" s="118"/>
      <c r="WVV282" s="118"/>
      <c r="WVW282" s="118"/>
      <c r="WVX282" s="118"/>
      <c r="WVY282" s="118"/>
      <c r="WVZ282" s="118"/>
      <c r="WWA282" s="118"/>
      <c r="WWB282" s="118"/>
      <c r="WWC282" s="118"/>
      <c r="WWD282" s="118"/>
      <c r="WWE282" s="118"/>
      <c r="WWF282" s="118"/>
      <c r="WWG282" s="118"/>
      <c r="WWH282" s="118"/>
      <c r="WWI282" s="118"/>
      <c r="WWJ282" s="118"/>
      <c r="WWK282" s="118"/>
      <c r="WWL282" s="118"/>
      <c r="WWM282" s="118"/>
      <c r="WWN282" s="118"/>
      <c r="WWO282" s="118"/>
      <c r="WWP282" s="118"/>
      <c r="WWQ282" s="118"/>
      <c r="WWR282" s="118"/>
      <c r="WWS282" s="118"/>
      <c r="WWT282" s="118"/>
      <c r="WWU282" s="118"/>
      <c r="WWV282" s="118"/>
      <c r="WWW282" s="118"/>
      <c r="WWX282" s="118"/>
      <c r="WWY282" s="118"/>
      <c r="WWZ282" s="118"/>
      <c r="WXA282" s="118"/>
      <c r="WXB282" s="118"/>
      <c r="WXC282" s="118"/>
      <c r="WXD282" s="118"/>
      <c r="WXE282" s="118"/>
      <c r="WXF282" s="118"/>
      <c r="WXG282" s="118"/>
      <c r="WXH282" s="118"/>
      <c r="WXI282" s="118"/>
      <c r="WXJ282" s="118"/>
      <c r="WXK282" s="118"/>
      <c r="WXL282" s="118"/>
      <c r="WXM282" s="118"/>
      <c r="WXN282" s="118"/>
      <c r="WXO282" s="118"/>
      <c r="WXP282" s="118"/>
      <c r="WXQ282" s="118"/>
      <c r="WXR282" s="118"/>
      <c r="WXS282" s="118"/>
      <c r="WXT282" s="118"/>
      <c r="WXU282" s="118"/>
      <c r="WXV282" s="118"/>
      <c r="WXW282" s="118"/>
      <c r="WXX282" s="118"/>
      <c r="WXY282" s="118"/>
      <c r="WXZ282" s="118"/>
      <c r="WYA282" s="118"/>
      <c r="WYB282" s="118"/>
      <c r="WYC282" s="118"/>
      <c r="WYD282" s="118"/>
      <c r="WYE282" s="118"/>
      <c r="WYF282" s="118"/>
      <c r="WYG282" s="118"/>
      <c r="WYH282" s="118"/>
      <c r="WYI282" s="118"/>
      <c r="WYJ282" s="118"/>
      <c r="WYK282" s="118"/>
      <c r="WYL282" s="118"/>
      <c r="WYM282" s="118"/>
      <c r="WYN282" s="118"/>
      <c r="WYO282" s="118"/>
      <c r="WYP282" s="118"/>
      <c r="WYQ282" s="118"/>
      <c r="WYR282" s="118"/>
      <c r="WYS282" s="118"/>
      <c r="WYT282" s="118"/>
      <c r="WYU282" s="118"/>
      <c r="WYV282" s="118"/>
      <c r="WYW282" s="118"/>
      <c r="WYX282" s="118"/>
      <c r="WYY282" s="118"/>
      <c r="WYZ282" s="118"/>
      <c r="WZA282" s="118"/>
      <c r="WZB282" s="118"/>
      <c r="WZC282" s="118"/>
      <c r="WZD282" s="118"/>
      <c r="WZE282" s="118"/>
      <c r="WZF282" s="118"/>
      <c r="WZG282" s="118"/>
      <c r="WZH282" s="118"/>
      <c r="WZI282" s="118"/>
      <c r="WZJ282" s="118"/>
      <c r="WZK282" s="118"/>
      <c r="WZL282" s="118"/>
      <c r="WZM282" s="118"/>
      <c r="WZN282" s="118"/>
      <c r="WZO282" s="118"/>
      <c r="WZP282" s="118"/>
      <c r="WZQ282" s="118"/>
      <c r="WZR282" s="118"/>
      <c r="WZS282" s="118"/>
      <c r="WZT282" s="118"/>
      <c r="WZU282" s="118"/>
      <c r="WZV282" s="118"/>
      <c r="WZW282" s="118"/>
      <c r="WZX282" s="118"/>
      <c r="WZY282" s="118"/>
      <c r="WZZ282" s="118"/>
      <c r="XAA282" s="118"/>
      <c r="XAB282" s="118"/>
      <c r="XAC282" s="118"/>
      <c r="XAD282" s="118"/>
      <c r="XAE282" s="118"/>
      <c r="XAF282" s="118"/>
      <c r="XAG282" s="118"/>
      <c r="XAH282" s="118"/>
      <c r="XAI282" s="118"/>
      <c r="XAJ282" s="118"/>
      <c r="XAK282" s="118"/>
      <c r="XAL282" s="118"/>
      <c r="XAM282" s="118"/>
      <c r="XAN282" s="118"/>
      <c r="XAO282" s="118"/>
      <c r="XAP282" s="118"/>
      <c r="XAQ282" s="118"/>
      <c r="XAR282" s="118"/>
      <c r="XAS282" s="118"/>
      <c r="XAT282" s="118"/>
      <c r="XAU282" s="118"/>
      <c r="XAV282" s="118"/>
      <c r="XAW282" s="118"/>
      <c r="XAX282" s="118"/>
      <c r="XAY282" s="118"/>
      <c r="XAZ282" s="118"/>
      <c r="XBA282" s="118"/>
      <c r="XBB282" s="118"/>
      <c r="XBC282" s="118"/>
      <c r="XBD282" s="118"/>
      <c r="XBE282" s="118"/>
      <c r="XBF282" s="118"/>
      <c r="XBG282" s="118"/>
      <c r="XBH282" s="118"/>
      <c r="XBI282" s="118"/>
      <c r="XBJ282" s="118"/>
      <c r="XBK282" s="118"/>
      <c r="XBL282" s="118"/>
      <c r="XBM282" s="118"/>
      <c r="XBN282" s="118"/>
      <c r="XBO282" s="118"/>
      <c r="XBP282" s="118"/>
      <c r="XBQ282" s="118"/>
      <c r="XBR282" s="118"/>
      <c r="XBS282" s="118"/>
      <c r="XBT282" s="118"/>
      <c r="XBU282" s="118"/>
      <c r="XBV282" s="118"/>
      <c r="XBW282" s="118"/>
      <c r="XBX282" s="118"/>
      <c r="XBY282" s="118"/>
      <c r="XBZ282" s="118"/>
      <c r="XCA282" s="118"/>
      <c r="XCB282" s="118"/>
      <c r="XCC282" s="118"/>
      <c r="XCD282" s="118"/>
      <c r="XCE282" s="118"/>
      <c r="XCF282" s="118"/>
      <c r="XCG282" s="118"/>
      <c r="XCH282" s="118"/>
      <c r="XCI282" s="118"/>
      <c r="XCJ282" s="118"/>
      <c r="XCK282" s="118"/>
      <c r="XCL282" s="118"/>
      <c r="XCM282" s="118"/>
      <c r="XCN282" s="118"/>
      <c r="XCO282" s="118"/>
      <c r="XCP282" s="118"/>
      <c r="XCQ282" s="118"/>
      <c r="XCR282" s="118"/>
      <c r="XCS282" s="118"/>
      <c r="XCT282" s="118"/>
      <c r="XCU282" s="118"/>
      <c r="XCV282" s="118"/>
      <c r="XCW282" s="118"/>
      <c r="XCX282" s="118"/>
      <c r="XCY282" s="118"/>
      <c r="XCZ282" s="118"/>
      <c r="XDA282" s="118"/>
      <c r="XDB282" s="118"/>
      <c r="XDC282" s="118"/>
      <c r="XDD282" s="118"/>
      <c r="XDE282" s="118"/>
      <c r="XDF282" s="118"/>
      <c r="XDG282" s="118"/>
      <c r="XDH282" s="118"/>
      <c r="XDI282" s="118"/>
      <c r="XDJ282" s="118"/>
      <c r="XDK282" s="118"/>
      <c r="XDL282" s="118"/>
      <c r="XDM282" s="118"/>
      <c r="XDN282" s="118"/>
      <c r="XDO282" s="118"/>
      <c r="XDP282" s="118"/>
      <c r="XDQ282" s="118"/>
      <c r="XDR282" s="118"/>
      <c r="XDS282" s="118"/>
      <c r="XDT282" s="118"/>
      <c r="XDU282" s="118"/>
      <c r="XDV282" s="118"/>
      <c r="XDW282" s="118"/>
      <c r="XDX282" s="118"/>
      <c r="XDY282" s="118"/>
      <c r="XDZ282" s="118"/>
      <c r="XEA282" s="118"/>
      <c r="XEB282" s="118"/>
      <c r="XEC282" s="118"/>
      <c r="XED282" s="118"/>
      <c r="XEE282" s="118"/>
      <c r="XEF282" s="118"/>
      <c r="XEG282" s="118"/>
      <c r="XEH282" s="118"/>
      <c r="XEI282" s="118"/>
      <c r="XEJ282" s="118"/>
      <c r="XEK282" s="118"/>
      <c r="XEL282" s="118"/>
      <c r="XEM282" s="118"/>
      <c r="XEN282" s="118"/>
      <c r="XEO282" s="118"/>
      <c r="XEP282" s="118"/>
      <c r="XEQ282" s="118"/>
      <c r="XER282" s="118"/>
      <c r="XES282" s="118"/>
      <c r="XET282" s="118"/>
      <c r="XEU282" s="118"/>
      <c r="XEV282" s="118"/>
      <c r="XEW282" s="118"/>
      <c r="XEX282" s="118"/>
      <c r="XEY282" s="118"/>
      <c r="XEZ282" s="118"/>
      <c r="XFA282" s="118"/>
      <c r="XFB282" s="118"/>
      <c r="XFC282" s="118"/>
      <c r="XFD282" s="118"/>
    </row>
    <row r="283" spans="1:37 16131:16384" ht="12.75" hidden="1" customHeight="1" x14ac:dyDescent="0.3">
      <c r="A283" s="116">
        <v>2425</v>
      </c>
      <c r="B283" s="20" t="s">
        <v>588</v>
      </c>
      <c r="C283" s="71" t="str">
        <f>IFERROR(VLOOKUP(D283,'Target tables'!A:B,2,0),"")</f>
        <v>Таблица связей договора эскроу со справочником оргструктуры</v>
      </c>
      <c r="D283" s="212" t="s">
        <v>139</v>
      </c>
      <c r="E283" s="73" t="str">
        <f>IFERROR(VLOOKUP(D283&amp;J283,'Target columns'!A:J,4,FALSE),"")</f>
        <v>DATE</v>
      </c>
      <c r="F283" s="73" t="str">
        <f>IFERROR(VLOOKUP(D283&amp;J283,'Target columns'!A:J,7,FALSE),"")</f>
        <v>Yes</v>
      </c>
      <c r="G283" s="73" t="str">
        <f>IFERROR(VLOOKUP(D283&amp;J283,'Target columns'!A:J,8,FALSE),"")</f>
        <v>Yes</v>
      </c>
      <c r="H283" s="73" t="str">
        <f>IFERROR(VLOOKUP(D283&amp;J283,'Target columns'!A:J,5,FALSE),"")</f>
        <v>NOT NULL</v>
      </c>
      <c r="I283" s="73" t="str">
        <f>IFERROR(VLOOKUP(D283&amp;J283,'Target columns'!A:J,10,FALSE),"")</f>
        <v>Дата окончания действия связи</v>
      </c>
      <c r="J283" s="20" t="s">
        <v>331</v>
      </c>
      <c r="K283" s="20" t="s">
        <v>149</v>
      </c>
      <c r="L283" s="73" t="str">
        <f>IFERROR(VLOOKUP(K283&amp;N283,source_columns[[Seek]:[Описание поля]],4,0),"")</f>
        <v/>
      </c>
      <c r="M283" s="73" t="str">
        <f>IFERROR(VLOOKUP(K283&amp;N283,source_columns[[Seek]:[Описание поля]],7,0),"")</f>
        <v/>
      </c>
      <c r="N283" s="20" t="s">
        <v>603</v>
      </c>
      <c r="O283" s="20"/>
      <c r="P283" s="20"/>
      <c r="Q283" s="20"/>
      <c r="R283" s="20"/>
      <c r="S283" s="278"/>
      <c r="T283" s="71"/>
      <c r="U283" s="71"/>
      <c r="V283" s="73" t="str">
        <f>"n308000046_"&amp;IFERROR(VLOOKUP(D283,target_tables[],5,0),"&lt;not found&gt;")</f>
        <v>n308000046_agr_other_int_org</v>
      </c>
      <c r="W283" s="71" t="s">
        <v>332</v>
      </c>
      <c r="X283" s="71"/>
      <c r="Y283" s="71"/>
      <c r="Z283" s="71"/>
      <c r="AA283" s="71"/>
      <c r="AB283" s="71"/>
      <c r="AC283" s="71"/>
      <c r="AD283" s="71"/>
      <c r="AE283" s="71"/>
      <c r="AF283" s="299"/>
      <c r="AG283" s="27"/>
      <c r="AH283" s="27"/>
      <c r="AI283" s="27"/>
      <c r="AJ283" s="75"/>
      <c r="AK283" s="69"/>
      <c r="WVK283" s="118"/>
      <c r="WVL283" s="118"/>
      <c r="WVM283" s="118"/>
      <c r="WVN283" s="118"/>
      <c r="WVO283" s="118"/>
      <c r="WVP283" s="118"/>
      <c r="WVQ283" s="118"/>
      <c r="WVR283" s="118"/>
      <c r="WVS283" s="118"/>
      <c r="WVT283" s="118"/>
      <c r="WVU283" s="118"/>
      <c r="WVV283" s="118"/>
      <c r="WVW283" s="118"/>
      <c r="WVX283" s="118"/>
      <c r="WVY283" s="118"/>
      <c r="WVZ283" s="118"/>
      <c r="WWA283" s="118"/>
      <c r="WWB283" s="118"/>
      <c r="WWC283" s="118"/>
      <c r="WWD283" s="118"/>
      <c r="WWE283" s="118"/>
      <c r="WWF283" s="118"/>
      <c r="WWG283" s="118"/>
      <c r="WWH283" s="118"/>
      <c r="WWI283" s="118"/>
      <c r="WWJ283" s="118"/>
      <c r="WWK283" s="118"/>
      <c r="WWL283" s="118"/>
      <c r="WWM283" s="118"/>
      <c r="WWN283" s="118"/>
      <c r="WWO283" s="118"/>
      <c r="WWP283" s="118"/>
      <c r="WWQ283" s="118"/>
      <c r="WWR283" s="118"/>
      <c r="WWS283" s="118"/>
      <c r="WWT283" s="118"/>
      <c r="WWU283" s="118"/>
      <c r="WWV283" s="118"/>
      <c r="WWW283" s="118"/>
      <c r="WWX283" s="118"/>
      <c r="WWY283" s="118"/>
      <c r="WWZ283" s="118"/>
      <c r="WXA283" s="118"/>
      <c r="WXB283" s="118"/>
      <c r="WXC283" s="118"/>
      <c r="WXD283" s="118"/>
      <c r="WXE283" s="118"/>
      <c r="WXF283" s="118"/>
      <c r="WXG283" s="118"/>
      <c r="WXH283" s="118"/>
      <c r="WXI283" s="118"/>
      <c r="WXJ283" s="118"/>
      <c r="WXK283" s="118"/>
      <c r="WXL283" s="118"/>
      <c r="WXM283" s="118"/>
      <c r="WXN283" s="118"/>
      <c r="WXO283" s="118"/>
      <c r="WXP283" s="118"/>
      <c r="WXQ283" s="118"/>
      <c r="WXR283" s="118"/>
      <c r="WXS283" s="118"/>
      <c r="WXT283" s="118"/>
      <c r="WXU283" s="118"/>
      <c r="WXV283" s="118"/>
      <c r="WXW283" s="118"/>
      <c r="WXX283" s="118"/>
      <c r="WXY283" s="118"/>
      <c r="WXZ283" s="118"/>
      <c r="WYA283" s="118"/>
      <c r="WYB283" s="118"/>
      <c r="WYC283" s="118"/>
      <c r="WYD283" s="118"/>
      <c r="WYE283" s="118"/>
      <c r="WYF283" s="118"/>
      <c r="WYG283" s="118"/>
      <c r="WYH283" s="118"/>
      <c r="WYI283" s="118"/>
      <c r="WYJ283" s="118"/>
      <c r="WYK283" s="118"/>
      <c r="WYL283" s="118"/>
      <c r="WYM283" s="118"/>
      <c r="WYN283" s="118"/>
      <c r="WYO283" s="118"/>
      <c r="WYP283" s="118"/>
      <c r="WYQ283" s="118"/>
      <c r="WYR283" s="118"/>
      <c r="WYS283" s="118"/>
      <c r="WYT283" s="118"/>
      <c r="WYU283" s="118"/>
      <c r="WYV283" s="118"/>
      <c r="WYW283" s="118"/>
      <c r="WYX283" s="118"/>
      <c r="WYY283" s="118"/>
      <c r="WYZ283" s="118"/>
      <c r="WZA283" s="118"/>
      <c r="WZB283" s="118"/>
      <c r="WZC283" s="118"/>
      <c r="WZD283" s="118"/>
      <c r="WZE283" s="118"/>
      <c r="WZF283" s="118"/>
      <c r="WZG283" s="118"/>
      <c r="WZH283" s="118"/>
      <c r="WZI283" s="118"/>
      <c r="WZJ283" s="118"/>
      <c r="WZK283" s="118"/>
      <c r="WZL283" s="118"/>
      <c r="WZM283" s="118"/>
      <c r="WZN283" s="118"/>
      <c r="WZO283" s="118"/>
      <c r="WZP283" s="118"/>
      <c r="WZQ283" s="118"/>
      <c r="WZR283" s="118"/>
      <c r="WZS283" s="118"/>
      <c r="WZT283" s="118"/>
      <c r="WZU283" s="118"/>
      <c r="WZV283" s="118"/>
      <c r="WZW283" s="118"/>
      <c r="WZX283" s="118"/>
      <c r="WZY283" s="118"/>
      <c r="WZZ283" s="118"/>
      <c r="XAA283" s="118"/>
      <c r="XAB283" s="118"/>
      <c r="XAC283" s="118"/>
      <c r="XAD283" s="118"/>
      <c r="XAE283" s="118"/>
      <c r="XAF283" s="118"/>
      <c r="XAG283" s="118"/>
      <c r="XAH283" s="118"/>
      <c r="XAI283" s="118"/>
      <c r="XAJ283" s="118"/>
      <c r="XAK283" s="118"/>
      <c r="XAL283" s="118"/>
      <c r="XAM283" s="118"/>
      <c r="XAN283" s="118"/>
      <c r="XAO283" s="118"/>
      <c r="XAP283" s="118"/>
      <c r="XAQ283" s="118"/>
      <c r="XAR283" s="118"/>
      <c r="XAS283" s="118"/>
      <c r="XAT283" s="118"/>
      <c r="XAU283" s="118"/>
      <c r="XAV283" s="118"/>
      <c r="XAW283" s="118"/>
      <c r="XAX283" s="118"/>
      <c r="XAY283" s="118"/>
      <c r="XAZ283" s="118"/>
      <c r="XBA283" s="118"/>
      <c r="XBB283" s="118"/>
      <c r="XBC283" s="118"/>
      <c r="XBD283" s="118"/>
      <c r="XBE283" s="118"/>
      <c r="XBF283" s="118"/>
      <c r="XBG283" s="118"/>
      <c r="XBH283" s="118"/>
      <c r="XBI283" s="118"/>
      <c r="XBJ283" s="118"/>
      <c r="XBK283" s="118"/>
      <c r="XBL283" s="118"/>
      <c r="XBM283" s="118"/>
      <c r="XBN283" s="118"/>
      <c r="XBO283" s="118"/>
      <c r="XBP283" s="118"/>
      <c r="XBQ283" s="118"/>
      <c r="XBR283" s="118"/>
      <c r="XBS283" s="118"/>
      <c r="XBT283" s="118"/>
      <c r="XBU283" s="118"/>
      <c r="XBV283" s="118"/>
      <c r="XBW283" s="118"/>
      <c r="XBX283" s="118"/>
      <c r="XBY283" s="118"/>
      <c r="XBZ283" s="118"/>
      <c r="XCA283" s="118"/>
      <c r="XCB283" s="118"/>
      <c r="XCC283" s="118"/>
      <c r="XCD283" s="118"/>
      <c r="XCE283" s="118"/>
      <c r="XCF283" s="118"/>
      <c r="XCG283" s="118"/>
      <c r="XCH283" s="118"/>
      <c r="XCI283" s="118"/>
      <c r="XCJ283" s="118"/>
      <c r="XCK283" s="118"/>
      <c r="XCL283" s="118"/>
      <c r="XCM283" s="118"/>
      <c r="XCN283" s="118"/>
      <c r="XCO283" s="118"/>
      <c r="XCP283" s="118"/>
      <c r="XCQ283" s="118"/>
      <c r="XCR283" s="118"/>
      <c r="XCS283" s="118"/>
      <c r="XCT283" s="118"/>
      <c r="XCU283" s="118"/>
      <c r="XCV283" s="118"/>
      <c r="XCW283" s="118"/>
      <c r="XCX283" s="118"/>
      <c r="XCY283" s="118"/>
      <c r="XCZ283" s="118"/>
      <c r="XDA283" s="118"/>
      <c r="XDB283" s="118"/>
      <c r="XDC283" s="118"/>
      <c r="XDD283" s="118"/>
      <c r="XDE283" s="118"/>
      <c r="XDF283" s="118"/>
      <c r="XDG283" s="118"/>
      <c r="XDH283" s="118"/>
      <c r="XDI283" s="118"/>
      <c r="XDJ283" s="118"/>
      <c r="XDK283" s="118"/>
      <c r="XDL283" s="118"/>
      <c r="XDM283" s="118"/>
      <c r="XDN283" s="118"/>
      <c r="XDO283" s="118"/>
      <c r="XDP283" s="118"/>
      <c r="XDQ283" s="118"/>
      <c r="XDR283" s="118"/>
      <c r="XDS283" s="118"/>
      <c r="XDT283" s="118"/>
      <c r="XDU283" s="118"/>
      <c r="XDV283" s="118"/>
      <c r="XDW283" s="118"/>
      <c r="XDX283" s="118"/>
      <c r="XDY283" s="118"/>
      <c r="XDZ283" s="118"/>
      <c r="XEA283" s="118"/>
      <c r="XEB283" s="118"/>
      <c r="XEC283" s="118"/>
      <c r="XED283" s="118"/>
      <c r="XEE283" s="118"/>
      <c r="XEF283" s="118"/>
      <c r="XEG283" s="118"/>
      <c r="XEH283" s="118"/>
      <c r="XEI283" s="118"/>
      <c r="XEJ283" s="118"/>
      <c r="XEK283" s="118"/>
      <c r="XEL283" s="118"/>
      <c r="XEM283" s="118"/>
      <c r="XEN283" s="118"/>
      <c r="XEO283" s="118"/>
      <c r="XEP283" s="118"/>
      <c r="XEQ283" s="118"/>
      <c r="XER283" s="118"/>
      <c r="XES283" s="118"/>
      <c r="XET283" s="118"/>
      <c r="XEU283" s="118"/>
      <c r="XEV283" s="118"/>
      <c r="XEW283" s="118"/>
      <c r="XEX283" s="118"/>
      <c r="XEY283" s="118"/>
      <c r="XEZ283" s="118"/>
      <c r="XFA283" s="118"/>
      <c r="XFB283" s="118"/>
      <c r="XFC283" s="118"/>
      <c r="XFD283" s="118"/>
    </row>
    <row r="284" spans="1:37 16131:16384" ht="12.75" hidden="1" customHeight="1" x14ac:dyDescent="0.3">
      <c r="A284" s="114">
        <v>2430</v>
      </c>
      <c r="B284" s="113" t="s">
        <v>588</v>
      </c>
      <c r="C284" s="77" t="str">
        <f>IFERROR(VLOOKUP(D284,'Target tables'!A:B,2,0),"")</f>
        <v>Связь договора и счета</v>
      </c>
      <c r="D284" s="208" t="s">
        <v>147</v>
      </c>
      <c r="E284" s="78" t="str">
        <f>IFERROR(VLOOKUP(D284&amp;J284,'Target columns'!A:J,4,FALSE),"")</f>
        <v>uuid</v>
      </c>
      <c r="F284" s="78" t="str">
        <f>IFERROR(VLOOKUP(D284&amp;J284,'Target columns'!A:J,7,FALSE),"")</f>
        <v>Yes</v>
      </c>
      <c r="G284" s="78" t="str">
        <f>IFERROR(VLOOKUP(D284&amp;J284,'Target columns'!A:J,8,FALSE),"")</f>
        <v>Yes</v>
      </c>
      <c r="H284" s="78" t="str">
        <f>IFERROR(VLOOKUP(D284&amp;J284,'Target columns'!A:J,5,FALSE),"")</f>
        <v>NOT NULL</v>
      </c>
      <c r="I284" s="78" t="str">
        <f>IFERROR(VLOOKUP(D284&amp;J284,'Target columns'!A:J,10,FALSE),"")</f>
        <v>Идентификатор договора</v>
      </c>
      <c r="J284" s="23" t="s">
        <v>589</v>
      </c>
      <c r="K284" s="23" t="s">
        <v>149</v>
      </c>
      <c r="L284" s="78" t="str">
        <f>IFERROR(VLOOKUP(K284&amp;N284,source_columns[[Seek]:[Описание поля]],4,0),"")</f>
        <v>uuid</v>
      </c>
      <c r="M284" s="78" t="str">
        <f>IFERROR(VLOOKUP(K284&amp;N284,source_columns[[Seek]:[Описание поля]],7,0),"")</f>
        <v>Референс сделки</v>
      </c>
      <c r="N284" s="23" t="s">
        <v>496</v>
      </c>
      <c r="O284" s="23"/>
      <c r="P284" s="23"/>
      <c r="Q284" s="23"/>
      <c r="R284" s="23"/>
      <c r="S284" s="270" t="s">
        <v>619</v>
      </c>
      <c r="T284" s="82"/>
      <c r="U284" s="82"/>
      <c r="V284" s="84" t="str">
        <f>"n308000046_"&amp;IFERROR(VLOOKUP(D284,target_tables[],5,0),"&lt;not found&gt;")</f>
        <v>n308000046_agr_other_coa</v>
      </c>
      <c r="W284" s="82" t="s">
        <v>269</v>
      </c>
      <c r="X284" s="82"/>
      <c r="Y284" s="82"/>
      <c r="Z284" s="82"/>
      <c r="AA284" s="82"/>
      <c r="AB284" s="82"/>
      <c r="AC284" s="82"/>
      <c r="AD284" s="82"/>
      <c r="AE284" s="82"/>
      <c r="AF284" s="299" t="s">
        <v>342</v>
      </c>
      <c r="AG284" s="83"/>
      <c r="AH284" s="83"/>
      <c r="AI284" s="83"/>
      <c r="AJ284" s="91"/>
      <c r="AK284" s="69"/>
      <c r="WVK284" s="118"/>
      <c r="WVL284" s="118"/>
      <c r="WVM284" s="118"/>
      <c r="WVN284" s="118"/>
      <c r="WVO284" s="118"/>
      <c r="WVP284" s="118"/>
      <c r="WVQ284" s="118"/>
      <c r="WVR284" s="118"/>
      <c r="WVS284" s="118"/>
      <c r="WVT284" s="118"/>
      <c r="WVU284" s="118"/>
      <c r="WVV284" s="118"/>
      <c r="WVW284" s="118"/>
      <c r="WVX284" s="118"/>
      <c r="WVY284" s="118"/>
      <c r="WVZ284" s="118"/>
      <c r="WWA284" s="118"/>
      <c r="WWB284" s="118"/>
      <c r="WWC284" s="118"/>
      <c r="WWD284" s="118"/>
      <c r="WWE284" s="118"/>
      <c r="WWF284" s="118"/>
      <c r="WWG284" s="118"/>
      <c r="WWH284" s="118"/>
      <c r="WWI284" s="118"/>
      <c r="WWJ284" s="118"/>
      <c r="WWK284" s="118"/>
      <c r="WWL284" s="118"/>
      <c r="WWM284" s="118"/>
      <c r="WWN284" s="118"/>
      <c r="WWO284" s="118"/>
      <c r="WWP284" s="118"/>
      <c r="WWQ284" s="118"/>
      <c r="WWR284" s="118"/>
      <c r="WWS284" s="118"/>
      <c r="WWT284" s="118"/>
      <c r="WWU284" s="118"/>
      <c r="WWV284" s="118"/>
      <c r="WWW284" s="118"/>
      <c r="WWX284" s="118"/>
      <c r="WWY284" s="118"/>
      <c r="WWZ284" s="118"/>
      <c r="WXA284" s="118"/>
      <c r="WXB284" s="118"/>
      <c r="WXC284" s="118"/>
      <c r="WXD284" s="118"/>
      <c r="WXE284" s="118"/>
      <c r="WXF284" s="118"/>
      <c r="WXG284" s="118"/>
      <c r="WXH284" s="118"/>
      <c r="WXI284" s="118"/>
      <c r="WXJ284" s="118"/>
      <c r="WXK284" s="118"/>
      <c r="WXL284" s="118"/>
      <c r="WXM284" s="118"/>
      <c r="WXN284" s="118"/>
      <c r="WXO284" s="118"/>
      <c r="WXP284" s="118"/>
      <c r="WXQ284" s="118"/>
      <c r="WXR284" s="118"/>
      <c r="WXS284" s="118"/>
      <c r="WXT284" s="118"/>
      <c r="WXU284" s="118"/>
      <c r="WXV284" s="118"/>
      <c r="WXW284" s="118"/>
      <c r="WXX284" s="118"/>
      <c r="WXY284" s="118"/>
      <c r="WXZ284" s="118"/>
      <c r="WYA284" s="118"/>
      <c r="WYB284" s="118"/>
      <c r="WYC284" s="118"/>
      <c r="WYD284" s="118"/>
      <c r="WYE284" s="118"/>
      <c r="WYF284" s="118"/>
      <c r="WYG284" s="118"/>
      <c r="WYH284" s="118"/>
      <c r="WYI284" s="118"/>
      <c r="WYJ284" s="118"/>
      <c r="WYK284" s="118"/>
      <c r="WYL284" s="118"/>
      <c r="WYM284" s="118"/>
      <c r="WYN284" s="118"/>
      <c r="WYO284" s="118"/>
      <c r="WYP284" s="118"/>
      <c r="WYQ284" s="118"/>
      <c r="WYR284" s="118"/>
      <c r="WYS284" s="118"/>
      <c r="WYT284" s="118"/>
      <c r="WYU284" s="118"/>
      <c r="WYV284" s="118"/>
      <c r="WYW284" s="118"/>
      <c r="WYX284" s="118"/>
      <c r="WYY284" s="118"/>
      <c r="WYZ284" s="118"/>
      <c r="WZA284" s="118"/>
      <c r="WZB284" s="118"/>
      <c r="WZC284" s="118"/>
      <c r="WZD284" s="118"/>
      <c r="WZE284" s="118"/>
      <c r="WZF284" s="118"/>
      <c r="WZG284" s="118"/>
      <c r="WZH284" s="118"/>
      <c r="WZI284" s="118"/>
      <c r="WZJ284" s="118"/>
      <c r="WZK284" s="118"/>
      <c r="WZL284" s="118"/>
      <c r="WZM284" s="118"/>
      <c r="WZN284" s="118"/>
      <c r="WZO284" s="118"/>
      <c r="WZP284" s="118"/>
      <c r="WZQ284" s="118"/>
      <c r="WZR284" s="118"/>
      <c r="WZS284" s="118"/>
      <c r="WZT284" s="118"/>
      <c r="WZU284" s="118"/>
      <c r="WZV284" s="118"/>
      <c r="WZW284" s="118"/>
      <c r="WZX284" s="118"/>
      <c r="WZY284" s="118"/>
      <c r="WZZ284" s="118"/>
      <c r="XAA284" s="118"/>
      <c r="XAB284" s="118"/>
      <c r="XAC284" s="118"/>
      <c r="XAD284" s="118"/>
      <c r="XAE284" s="118"/>
      <c r="XAF284" s="118"/>
      <c r="XAG284" s="118"/>
      <c r="XAH284" s="118"/>
      <c r="XAI284" s="118"/>
      <c r="XAJ284" s="118"/>
      <c r="XAK284" s="118"/>
      <c r="XAL284" s="118"/>
      <c r="XAM284" s="118"/>
      <c r="XAN284" s="118"/>
      <c r="XAO284" s="118"/>
      <c r="XAP284" s="118"/>
      <c r="XAQ284" s="118"/>
      <c r="XAR284" s="118"/>
      <c r="XAS284" s="118"/>
      <c r="XAT284" s="118"/>
      <c r="XAU284" s="118"/>
      <c r="XAV284" s="118"/>
      <c r="XAW284" s="118"/>
      <c r="XAX284" s="118"/>
      <c r="XAY284" s="118"/>
      <c r="XAZ284" s="118"/>
      <c r="XBA284" s="118"/>
      <c r="XBB284" s="118"/>
      <c r="XBC284" s="118"/>
      <c r="XBD284" s="118"/>
      <c r="XBE284" s="118"/>
      <c r="XBF284" s="118"/>
      <c r="XBG284" s="118"/>
      <c r="XBH284" s="118"/>
      <c r="XBI284" s="118"/>
      <c r="XBJ284" s="118"/>
      <c r="XBK284" s="118"/>
      <c r="XBL284" s="118"/>
      <c r="XBM284" s="118"/>
      <c r="XBN284" s="118"/>
      <c r="XBO284" s="118"/>
      <c r="XBP284" s="118"/>
      <c r="XBQ284" s="118"/>
      <c r="XBR284" s="118"/>
      <c r="XBS284" s="118"/>
      <c r="XBT284" s="118"/>
      <c r="XBU284" s="118"/>
      <c r="XBV284" s="118"/>
      <c r="XBW284" s="118"/>
      <c r="XBX284" s="118"/>
      <c r="XBY284" s="118"/>
      <c r="XBZ284" s="118"/>
      <c r="XCA284" s="118"/>
      <c r="XCB284" s="118"/>
      <c r="XCC284" s="118"/>
      <c r="XCD284" s="118"/>
      <c r="XCE284" s="118"/>
      <c r="XCF284" s="118"/>
      <c r="XCG284" s="118"/>
      <c r="XCH284" s="118"/>
      <c r="XCI284" s="118"/>
      <c r="XCJ284" s="118"/>
      <c r="XCK284" s="118"/>
      <c r="XCL284" s="118"/>
      <c r="XCM284" s="118"/>
      <c r="XCN284" s="118"/>
      <c r="XCO284" s="118"/>
      <c r="XCP284" s="118"/>
      <c r="XCQ284" s="118"/>
      <c r="XCR284" s="118"/>
      <c r="XCS284" s="118"/>
      <c r="XCT284" s="118"/>
      <c r="XCU284" s="118"/>
      <c r="XCV284" s="118"/>
      <c r="XCW284" s="118"/>
      <c r="XCX284" s="118"/>
      <c r="XCY284" s="118"/>
      <c r="XCZ284" s="118"/>
      <c r="XDA284" s="118"/>
      <c r="XDB284" s="118"/>
      <c r="XDC284" s="118"/>
      <c r="XDD284" s="118"/>
      <c r="XDE284" s="118"/>
      <c r="XDF284" s="118"/>
      <c r="XDG284" s="118"/>
      <c r="XDH284" s="118"/>
      <c r="XDI284" s="118"/>
      <c r="XDJ284" s="118"/>
      <c r="XDK284" s="118"/>
      <c r="XDL284" s="118"/>
      <c r="XDM284" s="118"/>
      <c r="XDN284" s="118"/>
      <c r="XDO284" s="118"/>
      <c r="XDP284" s="118"/>
      <c r="XDQ284" s="118"/>
      <c r="XDR284" s="118"/>
      <c r="XDS284" s="118"/>
      <c r="XDT284" s="118"/>
      <c r="XDU284" s="118"/>
      <c r="XDV284" s="118"/>
      <c r="XDW284" s="118"/>
      <c r="XDX284" s="118"/>
      <c r="XDY284" s="118"/>
      <c r="XDZ284" s="118"/>
      <c r="XEA284" s="118"/>
      <c r="XEB284" s="118"/>
      <c r="XEC284" s="118"/>
      <c r="XED284" s="118"/>
      <c r="XEE284" s="118"/>
      <c r="XEF284" s="118"/>
      <c r="XEG284" s="118"/>
      <c r="XEH284" s="118"/>
      <c r="XEI284" s="118"/>
      <c r="XEJ284" s="118"/>
      <c r="XEK284" s="118"/>
      <c r="XEL284" s="118"/>
      <c r="XEM284" s="118"/>
      <c r="XEN284" s="118"/>
      <c r="XEO284" s="118"/>
      <c r="XEP284" s="118"/>
      <c r="XEQ284" s="118"/>
      <c r="XER284" s="118"/>
      <c r="XES284" s="118"/>
      <c r="XET284" s="118"/>
      <c r="XEU284" s="118"/>
      <c r="XEV284" s="118"/>
      <c r="XEW284" s="118"/>
      <c r="XEX284" s="118"/>
      <c r="XEY284" s="118"/>
      <c r="XEZ284" s="118"/>
      <c r="XFA284" s="118"/>
      <c r="XFB284" s="118"/>
      <c r="XFC284" s="118"/>
      <c r="XFD284" s="118"/>
    </row>
    <row r="285" spans="1:37 16131:16384" ht="12.75" hidden="1" customHeight="1" x14ac:dyDescent="0.3">
      <c r="A285" s="115">
        <v>2440</v>
      </c>
      <c r="B285" s="8" t="s">
        <v>588</v>
      </c>
      <c r="C285" s="65" t="str">
        <f>IFERROR(VLOOKUP(D285,'Target tables'!A:B,2,0),"")</f>
        <v>Связь договора и счета</v>
      </c>
      <c r="D285" s="211" t="s">
        <v>147</v>
      </c>
      <c r="E285" s="66" t="str">
        <f>IFERROR(VLOOKUP(D285&amp;J285,'Target columns'!A:J,4,FALSE),"")</f>
        <v>date</v>
      </c>
      <c r="F285" s="66" t="str">
        <f>IFERROR(VLOOKUP(D285&amp;J285,'Target columns'!A:J,7,FALSE),"")</f>
        <v>Yes</v>
      </c>
      <c r="G285" s="66" t="str">
        <f>IFERROR(VLOOKUP(D285&amp;J285,'Target columns'!A:J,8,FALSE),"")</f>
        <v>No</v>
      </c>
      <c r="H285" s="66" t="str">
        <f>IFERROR(VLOOKUP(D285&amp;J285,'Target columns'!A:J,5,FALSE),"")</f>
        <v>NOT NULL</v>
      </c>
      <c r="I285" s="66" t="str">
        <f>IFERROR(VLOOKUP(D285&amp;J285,'Target columns'!A:J,10,FALSE),"")</f>
        <v>Дата начала действия</v>
      </c>
      <c r="J285" s="8" t="s">
        <v>329</v>
      </c>
      <c r="K285" s="8" t="s">
        <v>149</v>
      </c>
      <c r="L285" s="66" t="str">
        <f>IFERROR(VLOOKUP(K285&amp;N285,source_columns[[Seek]:[Описание поля]],4,0),"")</f>
        <v>timestamp</v>
      </c>
      <c r="M285" s="66" t="str">
        <f>IFERROR(VLOOKUP(K285&amp;N285,source_columns[[Seek]:[Описание поля]],7,0),"")</f>
        <v>Дата и время последнего изменения</v>
      </c>
      <c r="N285" s="8" t="s">
        <v>517</v>
      </c>
      <c r="O285" s="8"/>
      <c r="P285" s="8"/>
      <c r="Q285" s="8"/>
      <c r="R285" s="8"/>
      <c r="S285" s="278"/>
      <c r="T285" s="65"/>
      <c r="U285" s="65"/>
      <c r="V285" s="66" t="str">
        <f>"n308000046_"&amp;IFERROR(VLOOKUP(D285,target_tables[],5,0),"&lt;not found&gt;")</f>
        <v>n308000046_agr_other_coa</v>
      </c>
      <c r="W285" s="65" t="s">
        <v>330</v>
      </c>
      <c r="X285" s="65"/>
      <c r="Y285" s="65"/>
      <c r="Z285" s="65"/>
      <c r="AA285" s="65"/>
      <c r="AB285" s="65"/>
      <c r="AC285" s="65"/>
      <c r="AD285" s="65"/>
      <c r="AE285" s="65"/>
      <c r="AF285" s="299"/>
      <c r="AG285" s="10"/>
      <c r="AH285" s="10"/>
      <c r="AI285" s="10"/>
      <c r="AJ285" s="68"/>
      <c r="AK285" s="69"/>
      <c r="WVK285" s="118"/>
      <c r="WVL285" s="118"/>
      <c r="WVM285" s="118"/>
      <c r="WVN285" s="118"/>
      <c r="WVO285" s="118"/>
      <c r="WVP285" s="118"/>
      <c r="WVQ285" s="118"/>
      <c r="WVR285" s="118"/>
      <c r="WVS285" s="118"/>
      <c r="WVT285" s="118"/>
      <c r="WVU285" s="118"/>
      <c r="WVV285" s="118"/>
      <c r="WVW285" s="118"/>
      <c r="WVX285" s="118"/>
      <c r="WVY285" s="118"/>
      <c r="WVZ285" s="118"/>
      <c r="WWA285" s="118"/>
      <c r="WWB285" s="118"/>
      <c r="WWC285" s="118"/>
      <c r="WWD285" s="118"/>
      <c r="WWE285" s="118"/>
      <c r="WWF285" s="118"/>
      <c r="WWG285" s="118"/>
      <c r="WWH285" s="118"/>
      <c r="WWI285" s="118"/>
      <c r="WWJ285" s="118"/>
      <c r="WWK285" s="118"/>
      <c r="WWL285" s="118"/>
      <c r="WWM285" s="118"/>
      <c r="WWN285" s="118"/>
      <c r="WWO285" s="118"/>
      <c r="WWP285" s="118"/>
      <c r="WWQ285" s="118"/>
      <c r="WWR285" s="118"/>
      <c r="WWS285" s="118"/>
      <c r="WWT285" s="118"/>
      <c r="WWU285" s="118"/>
      <c r="WWV285" s="118"/>
      <c r="WWW285" s="118"/>
      <c r="WWX285" s="118"/>
      <c r="WWY285" s="118"/>
      <c r="WWZ285" s="118"/>
      <c r="WXA285" s="118"/>
      <c r="WXB285" s="118"/>
      <c r="WXC285" s="118"/>
      <c r="WXD285" s="118"/>
      <c r="WXE285" s="118"/>
      <c r="WXF285" s="118"/>
      <c r="WXG285" s="118"/>
      <c r="WXH285" s="118"/>
      <c r="WXI285" s="118"/>
      <c r="WXJ285" s="118"/>
      <c r="WXK285" s="118"/>
      <c r="WXL285" s="118"/>
      <c r="WXM285" s="118"/>
      <c r="WXN285" s="118"/>
      <c r="WXO285" s="118"/>
      <c r="WXP285" s="118"/>
      <c r="WXQ285" s="118"/>
      <c r="WXR285" s="118"/>
      <c r="WXS285" s="118"/>
      <c r="WXT285" s="118"/>
      <c r="WXU285" s="118"/>
      <c r="WXV285" s="118"/>
      <c r="WXW285" s="118"/>
      <c r="WXX285" s="118"/>
      <c r="WXY285" s="118"/>
      <c r="WXZ285" s="118"/>
      <c r="WYA285" s="118"/>
      <c r="WYB285" s="118"/>
      <c r="WYC285" s="118"/>
      <c r="WYD285" s="118"/>
      <c r="WYE285" s="118"/>
      <c r="WYF285" s="118"/>
      <c r="WYG285" s="118"/>
      <c r="WYH285" s="118"/>
      <c r="WYI285" s="118"/>
      <c r="WYJ285" s="118"/>
      <c r="WYK285" s="118"/>
      <c r="WYL285" s="118"/>
      <c r="WYM285" s="118"/>
      <c r="WYN285" s="118"/>
      <c r="WYO285" s="118"/>
      <c r="WYP285" s="118"/>
      <c r="WYQ285" s="118"/>
      <c r="WYR285" s="118"/>
      <c r="WYS285" s="118"/>
      <c r="WYT285" s="118"/>
      <c r="WYU285" s="118"/>
      <c r="WYV285" s="118"/>
      <c r="WYW285" s="118"/>
      <c r="WYX285" s="118"/>
      <c r="WYY285" s="118"/>
      <c r="WYZ285" s="118"/>
      <c r="WZA285" s="118"/>
      <c r="WZB285" s="118"/>
      <c r="WZC285" s="118"/>
      <c r="WZD285" s="118"/>
      <c r="WZE285" s="118"/>
      <c r="WZF285" s="118"/>
      <c r="WZG285" s="118"/>
      <c r="WZH285" s="118"/>
      <c r="WZI285" s="118"/>
      <c r="WZJ285" s="118"/>
      <c r="WZK285" s="118"/>
      <c r="WZL285" s="118"/>
      <c r="WZM285" s="118"/>
      <c r="WZN285" s="118"/>
      <c r="WZO285" s="118"/>
      <c r="WZP285" s="118"/>
      <c r="WZQ285" s="118"/>
      <c r="WZR285" s="118"/>
      <c r="WZS285" s="118"/>
      <c r="WZT285" s="118"/>
      <c r="WZU285" s="118"/>
      <c r="WZV285" s="118"/>
      <c r="WZW285" s="118"/>
      <c r="WZX285" s="118"/>
      <c r="WZY285" s="118"/>
      <c r="WZZ285" s="118"/>
      <c r="XAA285" s="118"/>
      <c r="XAB285" s="118"/>
      <c r="XAC285" s="118"/>
      <c r="XAD285" s="118"/>
      <c r="XAE285" s="118"/>
      <c r="XAF285" s="118"/>
      <c r="XAG285" s="118"/>
      <c r="XAH285" s="118"/>
      <c r="XAI285" s="118"/>
      <c r="XAJ285" s="118"/>
      <c r="XAK285" s="118"/>
      <c r="XAL285" s="118"/>
      <c r="XAM285" s="118"/>
      <c r="XAN285" s="118"/>
      <c r="XAO285" s="118"/>
      <c r="XAP285" s="118"/>
      <c r="XAQ285" s="118"/>
      <c r="XAR285" s="118"/>
      <c r="XAS285" s="118"/>
      <c r="XAT285" s="118"/>
      <c r="XAU285" s="118"/>
      <c r="XAV285" s="118"/>
      <c r="XAW285" s="118"/>
      <c r="XAX285" s="118"/>
      <c r="XAY285" s="118"/>
      <c r="XAZ285" s="118"/>
      <c r="XBA285" s="118"/>
      <c r="XBB285" s="118"/>
      <c r="XBC285" s="118"/>
      <c r="XBD285" s="118"/>
      <c r="XBE285" s="118"/>
      <c r="XBF285" s="118"/>
      <c r="XBG285" s="118"/>
      <c r="XBH285" s="118"/>
      <c r="XBI285" s="118"/>
      <c r="XBJ285" s="118"/>
      <c r="XBK285" s="118"/>
      <c r="XBL285" s="118"/>
      <c r="XBM285" s="118"/>
      <c r="XBN285" s="118"/>
      <c r="XBO285" s="118"/>
      <c r="XBP285" s="118"/>
      <c r="XBQ285" s="118"/>
      <c r="XBR285" s="118"/>
      <c r="XBS285" s="118"/>
      <c r="XBT285" s="118"/>
      <c r="XBU285" s="118"/>
      <c r="XBV285" s="118"/>
      <c r="XBW285" s="118"/>
      <c r="XBX285" s="118"/>
      <c r="XBY285" s="118"/>
      <c r="XBZ285" s="118"/>
      <c r="XCA285" s="118"/>
      <c r="XCB285" s="118"/>
      <c r="XCC285" s="118"/>
      <c r="XCD285" s="118"/>
      <c r="XCE285" s="118"/>
      <c r="XCF285" s="118"/>
      <c r="XCG285" s="118"/>
      <c r="XCH285" s="118"/>
      <c r="XCI285" s="118"/>
      <c r="XCJ285" s="118"/>
      <c r="XCK285" s="118"/>
      <c r="XCL285" s="118"/>
      <c r="XCM285" s="118"/>
      <c r="XCN285" s="118"/>
      <c r="XCO285" s="118"/>
      <c r="XCP285" s="118"/>
      <c r="XCQ285" s="118"/>
      <c r="XCR285" s="118"/>
      <c r="XCS285" s="118"/>
      <c r="XCT285" s="118"/>
      <c r="XCU285" s="118"/>
      <c r="XCV285" s="118"/>
      <c r="XCW285" s="118"/>
      <c r="XCX285" s="118"/>
      <c r="XCY285" s="118"/>
      <c r="XCZ285" s="118"/>
      <c r="XDA285" s="118"/>
      <c r="XDB285" s="118"/>
      <c r="XDC285" s="118"/>
      <c r="XDD285" s="118"/>
      <c r="XDE285" s="118"/>
      <c r="XDF285" s="118"/>
      <c r="XDG285" s="118"/>
      <c r="XDH285" s="118"/>
      <c r="XDI285" s="118"/>
      <c r="XDJ285" s="118"/>
      <c r="XDK285" s="118"/>
      <c r="XDL285" s="118"/>
      <c r="XDM285" s="118"/>
      <c r="XDN285" s="118"/>
      <c r="XDO285" s="118"/>
      <c r="XDP285" s="118"/>
      <c r="XDQ285" s="118"/>
      <c r="XDR285" s="118"/>
      <c r="XDS285" s="118"/>
      <c r="XDT285" s="118"/>
      <c r="XDU285" s="118"/>
      <c r="XDV285" s="118"/>
      <c r="XDW285" s="118"/>
      <c r="XDX285" s="118"/>
      <c r="XDY285" s="118"/>
      <c r="XDZ285" s="118"/>
      <c r="XEA285" s="118"/>
      <c r="XEB285" s="118"/>
      <c r="XEC285" s="118"/>
      <c r="XED285" s="118"/>
      <c r="XEE285" s="118"/>
      <c r="XEF285" s="118"/>
      <c r="XEG285" s="118"/>
      <c r="XEH285" s="118"/>
      <c r="XEI285" s="118"/>
      <c r="XEJ285" s="118"/>
      <c r="XEK285" s="118"/>
      <c r="XEL285" s="118"/>
      <c r="XEM285" s="118"/>
      <c r="XEN285" s="118"/>
      <c r="XEO285" s="118"/>
      <c r="XEP285" s="118"/>
      <c r="XEQ285" s="118"/>
      <c r="XER285" s="118"/>
      <c r="XES285" s="118"/>
      <c r="XET285" s="118"/>
      <c r="XEU285" s="118"/>
      <c r="XEV285" s="118"/>
      <c r="XEW285" s="118"/>
      <c r="XEX285" s="118"/>
      <c r="XEY285" s="118"/>
      <c r="XEZ285" s="118"/>
      <c r="XFA285" s="118"/>
      <c r="XFB285" s="118"/>
      <c r="XFC285" s="118"/>
      <c r="XFD285" s="118"/>
    </row>
    <row r="286" spans="1:37 16131:16384" ht="12.75" hidden="1" customHeight="1" x14ac:dyDescent="0.3">
      <c r="A286" s="115">
        <v>2450</v>
      </c>
      <c r="B286" s="8" t="s">
        <v>588</v>
      </c>
      <c r="C286" s="65" t="str">
        <f>IFERROR(VLOOKUP(D286,'Target tables'!A:B,2,0),"")</f>
        <v>Связь договора и счета</v>
      </c>
      <c r="D286" s="211" t="s">
        <v>147</v>
      </c>
      <c r="E286" s="66" t="str">
        <f>IFERROR(VLOOKUP(D286&amp;J286,'Target columns'!A:J,4,FALSE),"")</f>
        <v>uuid</v>
      </c>
      <c r="F286" s="66" t="str">
        <f>IFERROR(VLOOKUP(D286&amp;J286,'Target columns'!A:J,7,FALSE),"")</f>
        <v>Yes</v>
      </c>
      <c r="G286" s="66" t="str">
        <f>IFERROR(VLOOKUP(D286&amp;J286,'Target columns'!A:J,8,FALSE),"")</f>
        <v>Yes</v>
      </c>
      <c r="H286" s="66" t="str">
        <f>IFERROR(VLOOKUP(D286&amp;J286,'Target columns'!A:J,5,FALSE),"")</f>
        <v>NOT NULL</v>
      </c>
      <c r="I286" s="66" t="str">
        <f>IFERROR(VLOOKUP(D286&amp;J286,'Target columns'!A:J,10,FALSE),"")</f>
        <v>Идентификатор типа связи договора и счета</v>
      </c>
      <c r="J286" s="8" t="s">
        <v>620</v>
      </c>
      <c r="K286" s="8" t="s">
        <v>149</v>
      </c>
      <c r="L286" s="66" t="str">
        <f>IFERROR(VLOOKUP(K286&amp;N286,source_columns[[Seek]:[Описание поля]],4,0),"")</f>
        <v/>
      </c>
      <c r="M286" s="66" t="str">
        <f>IFERROR(VLOOKUP(K286&amp;N286,source_columns[[Seek]:[Описание поля]],7,0),"")</f>
        <v/>
      </c>
      <c r="N286" s="8" t="s">
        <v>621</v>
      </c>
      <c r="O286" s="8"/>
      <c r="P286" s="8"/>
      <c r="Q286" s="8"/>
      <c r="R286" s="8"/>
      <c r="S286" s="278"/>
      <c r="T286" s="65"/>
      <c r="U286" s="65"/>
      <c r="V286" s="66" t="str">
        <f>"n308000046_"&amp;IFERROR(VLOOKUP(D286,target_tables[],5,0),"&lt;not found&gt;")</f>
        <v>n308000046_agr_other_coa</v>
      </c>
      <c r="W286" s="65" t="s">
        <v>269</v>
      </c>
      <c r="X286" s="65"/>
      <c r="Y286" s="65"/>
      <c r="Z286" s="65"/>
      <c r="AA286" s="65"/>
      <c r="AB286" s="65"/>
      <c r="AC286" s="65"/>
      <c r="AD286" s="65"/>
      <c r="AE286" s="65"/>
      <c r="AF286" s="299"/>
      <c r="AG286" s="10"/>
      <c r="AH286" s="10"/>
      <c r="AI286" s="10"/>
      <c r="AJ286" s="68"/>
      <c r="AK286" s="69"/>
      <c r="WVK286" s="118"/>
      <c r="WVL286" s="118"/>
      <c r="WVM286" s="118"/>
      <c r="WVN286" s="118"/>
      <c r="WVO286" s="118"/>
      <c r="WVP286" s="118"/>
      <c r="WVQ286" s="118"/>
      <c r="WVR286" s="118"/>
      <c r="WVS286" s="118"/>
      <c r="WVT286" s="118"/>
      <c r="WVU286" s="118"/>
      <c r="WVV286" s="118"/>
      <c r="WVW286" s="118"/>
      <c r="WVX286" s="118"/>
      <c r="WVY286" s="118"/>
      <c r="WVZ286" s="118"/>
      <c r="WWA286" s="118"/>
      <c r="WWB286" s="118"/>
      <c r="WWC286" s="118"/>
      <c r="WWD286" s="118"/>
      <c r="WWE286" s="118"/>
      <c r="WWF286" s="118"/>
      <c r="WWG286" s="118"/>
      <c r="WWH286" s="118"/>
      <c r="WWI286" s="118"/>
      <c r="WWJ286" s="118"/>
      <c r="WWK286" s="118"/>
      <c r="WWL286" s="118"/>
      <c r="WWM286" s="118"/>
      <c r="WWN286" s="118"/>
      <c r="WWO286" s="118"/>
      <c r="WWP286" s="118"/>
      <c r="WWQ286" s="118"/>
      <c r="WWR286" s="118"/>
      <c r="WWS286" s="118"/>
      <c r="WWT286" s="118"/>
      <c r="WWU286" s="118"/>
      <c r="WWV286" s="118"/>
      <c r="WWW286" s="118"/>
      <c r="WWX286" s="118"/>
      <c r="WWY286" s="118"/>
      <c r="WWZ286" s="118"/>
      <c r="WXA286" s="118"/>
      <c r="WXB286" s="118"/>
      <c r="WXC286" s="118"/>
      <c r="WXD286" s="118"/>
      <c r="WXE286" s="118"/>
      <c r="WXF286" s="118"/>
      <c r="WXG286" s="118"/>
      <c r="WXH286" s="118"/>
      <c r="WXI286" s="118"/>
      <c r="WXJ286" s="118"/>
      <c r="WXK286" s="118"/>
      <c r="WXL286" s="118"/>
      <c r="WXM286" s="118"/>
      <c r="WXN286" s="118"/>
      <c r="WXO286" s="118"/>
      <c r="WXP286" s="118"/>
      <c r="WXQ286" s="118"/>
      <c r="WXR286" s="118"/>
      <c r="WXS286" s="118"/>
      <c r="WXT286" s="118"/>
      <c r="WXU286" s="118"/>
      <c r="WXV286" s="118"/>
      <c r="WXW286" s="118"/>
      <c r="WXX286" s="118"/>
      <c r="WXY286" s="118"/>
      <c r="WXZ286" s="118"/>
      <c r="WYA286" s="118"/>
      <c r="WYB286" s="118"/>
      <c r="WYC286" s="118"/>
      <c r="WYD286" s="118"/>
      <c r="WYE286" s="118"/>
      <c r="WYF286" s="118"/>
      <c r="WYG286" s="118"/>
      <c r="WYH286" s="118"/>
      <c r="WYI286" s="118"/>
      <c r="WYJ286" s="118"/>
      <c r="WYK286" s="118"/>
      <c r="WYL286" s="118"/>
      <c r="WYM286" s="118"/>
      <c r="WYN286" s="118"/>
      <c r="WYO286" s="118"/>
      <c r="WYP286" s="118"/>
      <c r="WYQ286" s="118"/>
      <c r="WYR286" s="118"/>
      <c r="WYS286" s="118"/>
      <c r="WYT286" s="118"/>
      <c r="WYU286" s="118"/>
      <c r="WYV286" s="118"/>
      <c r="WYW286" s="118"/>
      <c r="WYX286" s="118"/>
      <c r="WYY286" s="118"/>
      <c r="WYZ286" s="118"/>
      <c r="WZA286" s="118"/>
      <c r="WZB286" s="118"/>
      <c r="WZC286" s="118"/>
      <c r="WZD286" s="118"/>
      <c r="WZE286" s="118"/>
      <c r="WZF286" s="118"/>
      <c r="WZG286" s="118"/>
      <c r="WZH286" s="118"/>
      <c r="WZI286" s="118"/>
      <c r="WZJ286" s="118"/>
      <c r="WZK286" s="118"/>
      <c r="WZL286" s="118"/>
      <c r="WZM286" s="118"/>
      <c r="WZN286" s="118"/>
      <c r="WZO286" s="118"/>
      <c r="WZP286" s="118"/>
      <c r="WZQ286" s="118"/>
      <c r="WZR286" s="118"/>
      <c r="WZS286" s="118"/>
      <c r="WZT286" s="118"/>
      <c r="WZU286" s="118"/>
      <c r="WZV286" s="118"/>
      <c r="WZW286" s="118"/>
      <c r="WZX286" s="118"/>
      <c r="WZY286" s="118"/>
      <c r="WZZ286" s="118"/>
      <c r="XAA286" s="118"/>
      <c r="XAB286" s="118"/>
      <c r="XAC286" s="118"/>
      <c r="XAD286" s="118"/>
      <c r="XAE286" s="118"/>
      <c r="XAF286" s="118"/>
      <c r="XAG286" s="118"/>
      <c r="XAH286" s="118"/>
      <c r="XAI286" s="118"/>
      <c r="XAJ286" s="118"/>
      <c r="XAK286" s="118"/>
      <c r="XAL286" s="118"/>
      <c r="XAM286" s="118"/>
      <c r="XAN286" s="118"/>
      <c r="XAO286" s="118"/>
      <c r="XAP286" s="118"/>
      <c r="XAQ286" s="118"/>
      <c r="XAR286" s="118"/>
      <c r="XAS286" s="118"/>
      <c r="XAT286" s="118"/>
      <c r="XAU286" s="118"/>
      <c r="XAV286" s="118"/>
      <c r="XAW286" s="118"/>
      <c r="XAX286" s="118"/>
      <c r="XAY286" s="118"/>
      <c r="XAZ286" s="118"/>
      <c r="XBA286" s="118"/>
      <c r="XBB286" s="118"/>
      <c r="XBC286" s="118"/>
      <c r="XBD286" s="118"/>
      <c r="XBE286" s="118"/>
      <c r="XBF286" s="118"/>
      <c r="XBG286" s="118"/>
      <c r="XBH286" s="118"/>
      <c r="XBI286" s="118"/>
      <c r="XBJ286" s="118"/>
      <c r="XBK286" s="118"/>
      <c r="XBL286" s="118"/>
      <c r="XBM286" s="118"/>
      <c r="XBN286" s="118"/>
      <c r="XBO286" s="118"/>
      <c r="XBP286" s="118"/>
      <c r="XBQ286" s="118"/>
      <c r="XBR286" s="118"/>
      <c r="XBS286" s="118"/>
      <c r="XBT286" s="118"/>
      <c r="XBU286" s="118"/>
      <c r="XBV286" s="118"/>
      <c r="XBW286" s="118"/>
      <c r="XBX286" s="118"/>
      <c r="XBY286" s="118"/>
      <c r="XBZ286" s="118"/>
      <c r="XCA286" s="118"/>
      <c r="XCB286" s="118"/>
      <c r="XCC286" s="118"/>
      <c r="XCD286" s="118"/>
      <c r="XCE286" s="118"/>
      <c r="XCF286" s="118"/>
      <c r="XCG286" s="118"/>
      <c r="XCH286" s="118"/>
      <c r="XCI286" s="118"/>
      <c r="XCJ286" s="118"/>
      <c r="XCK286" s="118"/>
      <c r="XCL286" s="118"/>
      <c r="XCM286" s="118"/>
      <c r="XCN286" s="118"/>
      <c r="XCO286" s="118"/>
      <c r="XCP286" s="118"/>
      <c r="XCQ286" s="118"/>
      <c r="XCR286" s="118"/>
      <c r="XCS286" s="118"/>
      <c r="XCT286" s="118"/>
      <c r="XCU286" s="118"/>
      <c r="XCV286" s="118"/>
      <c r="XCW286" s="118"/>
      <c r="XCX286" s="118"/>
      <c r="XCY286" s="118"/>
      <c r="XCZ286" s="118"/>
      <c r="XDA286" s="118"/>
      <c r="XDB286" s="118"/>
      <c r="XDC286" s="118"/>
      <c r="XDD286" s="118"/>
      <c r="XDE286" s="118"/>
      <c r="XDF286" s="118"/>
      <c r="XDG286" s="118"/>
      <c r="XDH286" s="118"/>
      <c r="XDI286" s="118"/>
      <c r="XDJ286" s="118"/>
      <c r="XDK286" s="118"/>
      <c r="XDL286" s="118"/>
      <c r="XDM286" s="118"/>
      <c r="XDN286" s="118"/>
      <c r="XDO286" s="118"/>
      <c r="XDP286" s="118"/>
      <c r="XDQ286" s="118"/>
      <c r="XDR286" s="118"/>
      <c r="XDS286" s="118"/>
      <c r="XDT286" s="118"/>
      <c r="XDU286" s="118"/>
      <c r="XDV286" s="118"/>
      <c r="XDW286" s="118"/>
      <c r="XDX286" s="118"/>
      <c r="XDY286" s="118"/>
      <c r="XDZ286" s="118"/>
      <c r="XEA286" s="118"/>
      <c r="XEB286" s="118"/>
      <c r="XEC286" s="118"/>
      <c r="XED286" s="118"/>
      <c r="XEE286" s="118"/>
      <c r="XEF286" s="118"/>
      <c r="XEG286" s="118"/>
      <c r="XEH286" s="118"/>
      <c r="XEI286" s="118"/>
      <c r="XEJ286" s="118"/>
      <c r="XEK286" s="118"/>
      <c r="XEL286" s="118"/>
      <c r="XEM286" s="118"/>
      <c r="XEN286" s="118"/>
      <c r="XEO286" s="118"/>
      <c r="XEP286" s="118"/>
      <c r="XEQ286" s="118"/>
      <c r="XER286" s="118"/>
      <c r="XES286" s="118"/>
      <c r="XET286" s="118"/>
      <c r="XEU286" s="118"/>
      <c r="XEV286" s="118"/>
      <c r="XEW286" s="118"/>
      <c r="XEX286" s="118"/>
      <c r="XEY286" s="118"/>
      <c r="XEZ286" s="118"/>
      <c r="XFA286" s="118"/>
      <c r="XFB286" s="118"/>
      <c r="XFC286" s="118"/>
      <c r="XFD286" s="118"/>
    </row>
    <row r="287" spans="1:37 16131:16384" ht="12.75" hidden="1" customHeight="1" x14ac:dyDescent="0.3">
      <c r="A287" s="115">
        <v>2460</v>
      </c>
      <c r="B287" s="8" t="s">
        <v>588</v>
      </c>
      <c r="C287" s="65" t="str">
        <f>IFERROR(VLOOKUP(D287,'Target tables'!A:B,2,0),"")</f>
        <v>Связь договора и счета</v>
      </c>
      <c r="D287" s="211" t="s">
        <v>147</v>
      </c>
      <c r="E287" s="66" t="str">
        <f>IFERROR(VLOOKUP(D287&amp;J287,'Target columns'!A:J,4,FALSE),"")</f>
        <v>uuid</v>
      </c>
      <c r="F287" s="66" t="str">
        <f>IFERROR(VLOOKUP(D287&amp;J287,'Target columns'!A:J,7,FALSE),"")</f>
        <v>No</v>
      </c>
      <c r="G287" s="66" t="str">
        <f>IFERROR(VLOOKUP(D287&amp;J287,'Target columns'!A:J,8,FALSE),"")</f>
        <v>Yes</v>
      </c>
      <c r="H287" s="66" t="str">
        <f>IFERROR(VLOOKUP(D287&amp;J287,'Target columns'!A:J,5,FALSE),"")</f>
        <v>NOT NULL</v>
      </c>
      <c r="I287" s="66" t="str">
        <f>IFERROR(VLOOKUP(D287&amp;J287,'Target columns'!A:J,10,FALSE),"")</f>
        <v>Идентификатор счета</v>
      </c>
      <c r="J287" s="8" t="s">
        <v>564</v>
      </c>
      <c r="K287" s="8" t="s">
        <v>149</v>
      </c>
      <c r="L287" s="66" t="str">
        <f>IFERROR(VLOOKUP(K287&amp;N287,source_columns[[Seek]:[Описание поля]],4,0),"")</f>
        <v>uuid</v>
      </c>
      <c r="M287" s="66" t="str">
        <f>IFERROR(VLOOKUP(K287&amp;N287,source_columns[[Seek]:[Описание поля]],7,0),"")</f>
        <v>Счет получателя для списания комиссий</v>
      </c>
      <c r="N287" s="8" t="s">
        <v>622</v>
      </c>
      <c r="O287" s="8"/>
      <c r="P287" s="8"/>
      <c r="Q287" s="8"/>
      <c r="R287" s="8"/>
      <c r="S287" s="278"/>
      <c r="T287" s="65"/>
      <c r="U287" s="65"/>
      <c r="V287" s="66" t="str">
        <f>"n308000046_"&amp;IFERROR(VLOOKUP(D287,target_tables[],5,0),"&lt;not found&gt;")</f>
        <v>n308000046_agr_other_coa</v>
      </c>
      <c r="W287" s="65" t="s">
        <v>273</v>
      </c>
      <c r="X287" s="65"/>
      <c r="Y287" s="65"/>
      <c r="Z287" s="65"/>
      <c r="AA287" s="65"/>
      <c r="AB287" s="65"/>
      <c r="AC287" s="65"/>
      <c r="AD287" s="65"/>
      <c r="AE287" s="65"/>
      <c r="AF287" s="299"/>
      <c r="AG287" s="10"/>
      <c r="AH287" s="10"/>
      <c r="AI287" s="10"/>
      <c r="AJ287" s="68"/>
      <c r="AK287" s="69"/>
      <c r="WVK287" s="118"/>
      <c r="WVL287" s="118"/>
      <c r="WVM287" s="118"/>
      <c r="WVN287" s="118"/>
      <c r="WVO287" s="118"/>
      <c r="WVP287" s="118"/>
      <c r="WVQ287" s="118"/>
      <c r="WVR287" s="118"/>
      <c r="WVS287" s="118"/>
      <c r="WVT287" s="118"/>
      <c r="WVU287" s="118"/>
      <c r="WVV287" s="118"/>
      <c r="WVW287" s="118"/>
      <c r="WVX287" s="118"/>
      <c r="WVY287" s="118"/>
      <c r="WVZ287" s="118"/>
      <c r="WWA287" s="118"/>
      <c r="WWB287" s="118"/>
      <c r="WWC287" s="118"/>
      <c r="WWD287" s="118"/>
      <c r="WWE287" s="118"/>
      <c r="WWF287" s="118"/>
      <c r="WWG287" s="118"/>
      <c r="WWH287" s="118"/>
      <c r="WWI287" s="118"/>
      <c r="WWJ287" s="118"/>
      <c r="WWK287" s="118"/>
      <c r="WWL287" s="118"/>
      <c r="WWM287" s="118"/>
      <c r="WWN287" s="118"/>
      <c r="WWO287" s="118"/>
      <c r="WWP287" s="118"/>
      <c r="WWQ287" s="118"/>
      <c r="WWR287" s="118"/>
      <c r="WWS287" s="118"/>
      <c r="WWT287" s="118"/>
      <c r="WWU287" s="118"/>
      <c r="WWV287" s="118"/>
      <c r="WWW287" s="118"/>
      <c r="WWX287" s="118"/>
      <c r="WWY287" s="118"/>
      <c r="WWZ287" s="118"/>
      <c r="WXA287" s="118"/>
      <c r="WXB287" s="118"/>
      <c r="WXC287" s="118"/>
      <c r="WXD287" s="118"/>
      <c r="WXE287" s="118"/>
      <c r="WXF287" s="118"/>
      <c r="WXG287" s="118"/>
      <c r="WXH287" s="118"/>
      <c r="WXI287" s="118"/>
      <c r="WXJ287" s="118"/>
      <c r="WXK287" s="118"/>
      <c r="WXL287" s="118"/>
      <c r="WXM287" s="118"/>
      <c r="WXN287" s="118"/>
      <c r="WXO287" s="118"/>
      <c r="WXP287" s="118"/>
      <c r="WXQ287" s="118"/>
      <c r="WXR287" s="118"/>
      <c r="WXS287" s="118"/>
      <c r="WXT287" s="118"/>
      <c r="WXU287" s="118"/>
      <c r="WXV287" s="118"/>
      <c r="WXW287" s="118"/>
      <c r="WXX287" s="118"/>
      <c r="WXY287" s="118"/>
      <c r="WXZ287" s="118"/>
      <c r="WYA287" s="118"/>
      <c r="WYB287" s="118"/>
      <c r="WYC287" s="118"/>
      <c r="WYD287" s="118"/>
      <c r="WYE287" s="118"/>
      <c r="WYF287" s="118"/>
      <c r="WYG287" s="118"/>
      <c r="WYH287" s="118"/>
      <c r="WYI287" s="118"/>
      <c r="WYJ287" s="118"/>
      <c r="WYK287" s="118"/>
      <c r="WYL287" s="118"/>
      <c r="WYM287" s="118"/>
      <c r="WYN287" s="118"/>
      <c r="WYO287" s="118"/>
      <c r="WYP287" s="118"/>
      <c r="WYQ287" s="118"/>
      <c r="WYR287" s="118"/>
      <c r="WYS287" s="118"/>
      <c r="WYT287" s="118"/>
      <c r="WYU287" s="118"/>
      <c r="WYV287" s="118"/>
      <c r="WYW287" s="118"/>
      <c r="WYX287" s="118"/>
      <c r="WYY287" s="118"/>
      <c r="WYZ287" s="118"/>
      <c r="WZA287" s="118"/>
      <c r="WZB287" s="118"/>
      <c r="WZC287" s="118"/>
      <c r="WZD287" s="118"/>
      <c r="WZE287" s="118"/>
      <c r="WZF287" s="118"/>
      <c r="WZG287" s="118"/>
      <c r="WZH287" s="118"/>
      <c r="WZI287" s="118"/>
      <c r="WZJ287" s="118"/>
      <c r="WZK287" s="118"/>
      <c r="WZL287" s="118"/>
      <c r="WZM287" s="118"/>
      <c r="WZN287" s="118"/>
      <c r="WZO287" s="118"/>
      <c r="WZP287" s="118"/>
      <c r="WZQ287" s="118"/>
      <c r="WZR287" s="118"/>
      <c r="WZS287" s="118"/>
      <c r="WZT287" s="118"/>
      <c r="WZU287" s="118"/>
      <c r="WZV287" s="118"/>
      <c r="WZW287" s="118"/>
      <c r="WZX287" s="118"/>
      <c r="WZY287" s="118"/>
      <c r="WZZ287" s="118"/>
      <c r="XAA287" s="118"/>
      <c r="XAB287" s="118"/>
      <c r="XAC287" s="118"/>
      <c r="XAD287" s="118"/>
      <c r="XAE287" s="118"/>
      <c r="XAF287" s="118"/>
      <c r="XAG287" s="118"/>
      <c r="XAH287" s="118"/>
      <c r="XAI287" s="118"/>
      <c r="XAJ287" s="118"/>
      <c r="XAK287" s="118"/>
      <c r="XAL287" s="118"/>
      <c r="XAM287" s="118"/>
      <c r="XAN287" s="118"/>
      <c r="XAO287" s="118"/>
      <c r="XAP287" s="118"/>
      <c r="XAQ287" s="118"/>
      <c r="XAR287" s="118"/>
      <c r="XAS287" s="118"/>
      <c r="XAT287" s="118"/>
      <c r="XAU287" s="118"/>
      <c r="XAV287" s="118"/>
      <c r="XAW287" s="118"/>
      <c r="XAX287" s="118"/>
      <c r="XAY287" s="118"/>
      <c r="XAZ287" s="118"/>
      <c r="XBA287" s="118"/>
      <c r="XBB287" s="118"/>
      <c r="XBC287" s="118"/>
      <c r="XBD287" s="118"/>
      <c r="XBE287" s="118"/>
      <c r="XBF287" s="118"/>
      <c r="XBG287" s="118"/>
      <c r="XBH287" s="118"/>
      <c r="XBI287" s="118"/>
      <c r="XBJ287" s="118"/>
      <c r="XBK287" s="118"/>
      <c r="XBL287" s="118"/>
      <c r="XBM287" s="118"/>
      <c r="XBN287" s="118"/>
      <c r="XBO287" s="118"/>
      <c r="XBP287" s="118"/>
      <c r="XBQ287" s="118"/>
      <c r="XBR287" s="118"/>
      <c r="XBS287" s="118"/>
      <c r="XBT287" s="118"/>
      <c r="XBU287" s="118"/>
      <c r="XBV287" s="118"/>
      <c r="XBW287" s="118"/>
      <c r="XBX287" s="118"/>
      <c r="XBY287" s="118"/>
      <c r="XBZ287" s="118"/>
      <c r="XCA287" s="118"/>
      <c r="XCB287" s="118"/>
      <c r="XCC287" s="118"/>
      <c r="XCD287" s="118"/>
      <c r="XCE287" s="118"/>
      <c r="XCF287" s="118"/>
      <c r="XCG287" s="118"/>
      <c r="XCH287" s="118"/>
      <c r="XCI287" s="118"/>
      <c r="XCJ287" s="118"/>
      <c r="XCK287" s="118"/>
      <c r="XCL287" s="118"/>
      <c r="XCM287" s="118"/>
      <c r="XCN287" s="118"/>
      <c r="XCO287" s="118"/>
      <c r="XCP287" s="118"/>
      <c r="XCQ287" s="118"/>
      <c r="XCR287" s="118"/>
      <c r="XCS287" s="118"/>
      <c r="XCT287" s="118"/>
      <c r="XCU287" s="118"/>
      <c r="XCV287" s="118"/>
      <c r="XCW287" s="118"/>
      <c r="XCX287" s="118"/>
      <c r="XCY287" s="118"/>
      <c r="XCZ287" s="118"/>
      <c r="XDA287" s="118"/>
      <c r="XDB287" s="118"/>
      <c r="XDC287" s="118"/>
      <c r="XDD287" s="118"/>
      <c r="XDE287" s="118"/>
      <c r="XDF287" s="118"/>
      <c r="XDG287" s="118"/>
      <c r="XDH287" s="118"/>
      <c r="XDI287" s="118"/>
      <c r="XDJ287" s="118"/>
      <c r="XDK287" s="118"/>
      <c r="XDL287" s="118"/>
      <c r="XDM287" s="118"/>
      <c r="XDN287" s="118"/>
      <c r="XDO287" s="118"/>
      <c r="XDP287" s="118"/>
      <c r="XDQ287" s="118"/>
      <c r="XDR287" s="118"/>
      <c r="XDS287" s="118"/>
      <c r="XDT287" s="118"/>
      <c r="XDU287" s="118"/>
      <c r="XDV287" s="118"/>
      <c r="XDW287" s="118"/>
      <c r="XDX287" s="118"/>
      <c r="XDY287" s="118"/>
      <c r="XDZ287" s="118"/>
      <c r="XEA287" s="118"/>
      <c r="XEB287" s="118"/>
      <c r="XEC287" s="118"/>
      <c r="XED287" s="118"/>
      <c r="XEE287" s="118"/>
      <c r="XEF287" s="118"/>
      <c r="XEG287" s="118"/>
      <c r="XEH287" s="118"/>
      <c r="XEI287" s="118"/>
      <c r="XEJ287" s="118"/>
      <c r="XEK287" s="118"/>
      <c r="XEL287" s="118"/>
      <c r="XEM287" s="118"/>
      <c r="XEN287" s="118"/>
      <c r="XEO287" s="118"/>
      <c r="XEP287" s="118"/>
      <c r="XEQ287" s="118"/>
      <c r="XER287" s="118"/>
      <c r="XES287" s="118"/>
      <c r="XET287" s="118"/>
      <c r="XEU287" s="118"/>
      <c r="XEV287" s="118"/>
      <c r="XEW287" s="118"/>
      <c r="XEX287" s="118"/>
      <c r="XEY287" s="118"/>
      <c r="XEZ287" s="118"/>
      <c r="XFA287" s="118"/>
      <c r="XFB287" s="118"/>
      <c r="XFC287" s="118"/>
      <c r="XFD287" s="118"/>
    </row>
    <row r="288" spans="1:37 16131:16384" ht="12.75" hidden="1" customHeight="1" x14ac:dyDescent="0.3">
      <c r="A288" s="116">
        <v>2470</v>
      </c>
      <c r="B288" s="20" t="s">
        <v>588</v>
      </c>
      <c r="C288" s="71" t="str">
        <f>IFERROR(VLOOKUP(D288,'Target tables'!A:B,2,0),"")</f>
        <v>Связь договора и счета</v>
      </c>
      <c r="D288" s="212" t="s">
        <v>147</v>
      </c>
      <c r="E288" s="73" t="str">
        <f>IFERROR(VLOOKUP(D288&amp;J288,'Target columns'!A:J,4,FALSE),"")</f>
        <v>date</v>
      </c>
      <c r="F288" s="73" t="str">
        <f>IFERROR(VLOOKUP(D288&amp;J288,'Target columns'!A:J,7,FALSE),"")</f>
        <v>No</v>
      </c>
      <c r="G288" s="73" t="str">
        <f>IFERROR(VLOOKUP(D288&amp;J288,'Target columns'!A:J,8,FALSE),"")</f>
        <v>No</v>
      </c>
      <c r="H288" s="73" t="str">
        <f>IFERROR(VLOOKUP(D288&amp;J288,'Target columns'!A:J,5,FALSE),"")</f>
        <v>NULL</v>
      </c>
      <c r="I288" s="73" t="str">
        <f>IFERROR(VLOOKUP(D288&amp;J288,'Target columns'!A:J,10,FALSE),"")</f>
        <v>Дата окончания действия</v>
      </c>
      <c r="J288" s="20" t="s">
        <v>331</v>
      </c>
      <c r="K288" s="20" t="s">
        <v>149</v>
      </c>
      <c r="L288" s="73" t="str">
        <f>IFERROR(VLOOKUP(K288&amp;N288,source_columns[[Seek]:[Описание поля]],4,0),"")</f>
        <v/>
      </c>
      <c r="M288" s="73" t="str">
        <f>IFERROR(VLOOKUP(K288&amp;N288,source_columns[[Seek]:[Описание поля]],7,0),"")</f>
        <v/>
      </c>
      <c r="N288" s="20" t="s">
        <v>603</v>
      </c>
      <c r="O288" s="20"/>
      <c r="P288" s="20"/>
      <c r="Q288" s="20"/>
      <c r="R288" s="20"/>
      <c r="S288" s="278"/>
      <c r="T288" s="71"/>
      <c r="U288" s="71"/>
      <c r="V288" s="73" t="str">
        <f>"n308000046_"&amp;IFERROR(VLOOKUP(D288,target_tables[],5,0),"&lt;not found&gt;")</f>
        <v>n308000046_agr_other_coa</v>
      </c>
      <c r="W288" s="71" t="s">
        <v>332</v>
      </c>
      <c r="X288" s="71"/>
      <c r="Y288" s="71"/>
      <c r="Z288" s="71"/>
      <c r="AA288" s="71"/>
      <c r="AB288" s="71"/>
      <c r="AC288" s="71"/>
      <c r="AD288" s="71"/>
      <c r="AE288" s="71"/>
      <c r="AF288" s="299"/>
      <c r="AG288" s="27"/>
      <c r="AH288" s="27"/>
      <c r="AI288" s="27"/>
      <c r="AJ288" s="75"/>
      <c r="AK288" s="69"/>
      <c r="WVK288" s="118"/>
      <c r="WVL288" s="118"/>
      <c r="WVM288" s="118"/>
      <c r="WVN288" s="118"/>
      <c r="WVO288" s="118"/>
      <c r="WVP288" s="118"/>
      <c r="WVQ288" s="118"/>
      <c r="WVR288" s="118"/>
      <c r="WVS288" s="118"/>
      <c r="WVT288" s="118"/>
      <c r="WVU288" s="118"/>
      <c r="WVV288" s="118"/>
      <c r="WVW288" s="118"/>
      <c r="WVX288" s="118"/>
      <c r="WVY288" s="118"/>
      <c r="WVZ288" s="118"/>
      <c r="WWA288" s="118"/>
      <c r="WWB288" s="118"/>
      <c r="WWC288" s="118"/>
      <c r="WWD288" s="118"/>
      <c r="WWE288" s="118"/>
      <c r="WWF288" s="118"/>
      <c r="WWG288" s="118"/>
      <c r="WWH288" s="118"/>
      <c r="WWI288" s="118"/>
      <c r="WWJ288" s="118"/>
      <c r="WWK288" s="118"/>
      <c r="WWL288" s="118"/>
      <c r="WWM288" s="118"/>
      <c r="WWN288" s="118"/>
      <c r="WWO288" s="118"/>
      <c r="WWP288" s="118"/>
      <c r="WWQ288" s="118"/>
      <c r="WWR288" s="118"/>
      <c r="WWS288" s="118"/>
      <c r="WWT288" s="118"/>
      <c r="WWU288" s="118"/>
      <c r="WWV288" s="118"/>
      <c r="WWW288" s="118"/>
      <c r="WWX288" s="118"/>
      <c r="WWY288" s="118"/>
      <c r="WWZ288" s="118"/>
      <c r="WXA288" s="118"/>
      <c r="WXB288" s="118"/>
      <c r="WXC288" s="118"/>
      <c r="WXD288" s="118"/>
      <c r="WXE288" s="118"/>
      <c r="WXF288" s="118"/>
      <c r="WXG288" s="118"/>
      <c r="WXH288" s="118"/>
      <c r="WXI288" s="118"/>
      <c r="WXJ288" s="118"/>
      <c r="WXK288" s="118"/>
      <c r="WXL288" s="118"/>
      <c r="WXM288" s="118"/>
      <c r="WXN288" s="118"/>
      <c r="WXO288" s="118"/>
      <c r="WXP288" s="118"/>
      <c r="WXQ288" s="118"/>
      <c r="WXR288" s="118"/>
      <c r="WXS288" s="118"/>
      <c r="WXT288" s="118"/>
      <c r="WXU288" s="118"/>
      <c r="WXV288" s="118"/>
      <c r="WXW288" s="118"/>
      <c r="WXX288" s="118"/>
      <c r="WXY288" s="118"/>
      <c r="WXZ288" s="118"/>
      <c r="WYA288" s="118"/>
      <c r="WYB288" s="118"/>
      <c r="WYC288" s="118"/>
      <c r="WYD288" s="118"/>
      <c r="WYE288" s="118"/>
      <c r="WYF288" s="118"/>
      <c r="WYG288" s="118"/>
      <c r="WYH288" s="118"/>
      <c r="WYI288" s="118"/>
      <c r="WYJ288" s="118"/>
      <c r="WYK288" s="118"/>
      <c r="WYL288" s="118"/>
      <c r="WYM288" s="118"/>
      <c r="WYN288" s="118"/>
      <c r="WYO288" s="118"/>
      <c r="WYP288" s="118"/>
      <c r="WYQ288" s="118"/>
      <c r="WYR288" s="118"/>
      <c r="WYS288" s="118"/>
      <c r="WYT288" s="118"/>
      <c r="WYU288" s="118"/>
      <c r="WYV288" s="118"/>
      <c r="WYW288" s="118"/>
      <c r="WYX288" s="118"/>
      <c r="WYY288" s="118"/>
      <c r="WYZ288" s="118"/>
      <c r="WZA288" s="118"/>
      <c r="WZB288" s="118"/>
      <c r="WZC288" s="118"/>
      <c r="WZD288" s="118"/>
      <c r="WZE288" s="118"/>
      <c r="WZF288" s="118"/>
      <c r="WZG288" s="118"/>
      <c r="WZH288" s="118"/>
      <c r="WZI288" s="118"/>
      <c r="WZJ288" s="118"/>
      <c r="WZK288" s="118"/>
      <c r="WZL288" s="118"/>
      <c r="WZM288" s="118"/>
      <c r="WZN288" s="118"/>
      <c r="WZO288" s="118"/>
      <c r="WZP288" s="118"/>
      <c r="WZQ288" s="118"/>
      <c r="WZR288" s="118"/>
      <c r="WZS288" s="118"/>
      <c r="WZT288" s="118"/>
      <c r="WZU288" s="118"/>
      <c r="WZV288" s="118"/>
      <c r="WZW288" s="118"/>
      <c r="WZX288" s="118"/>
      <c r="WZY288" s="118"/>
      <c r="WZZ288" s="118"/>
      <c r="XAA288" s="118"/>
      <c r="XAB288" s="118"/>
      <c r="XAC288" s="118"/>
      <c r="XAD288" s="118"/>
      <c r="XAE288" s="118"/>
      <c r="XAF288" s="118"/>
      <c r="XAG288" s="118"/>
      <c r="XAH288" s="118"/>
      <c r="XAI288" s="118"/>
      <c r="XAJ288" s="118"/>
      <c r="XAK288" s="118"/>
      <c r="XAL288" s="118"/>
      <c r="XAM288" s="118"/>
      <c r="XAN288" s="118"/>
      <c r="XAO288" s="118"/>
      <c r="XAP288" s="118"/>
      <c r="XAQ288" s="118"/>
      <c r="XAR288" s="118"/>
      <c r="XAS288" s="118"/>
      <c r="XAT288" s="118"/>
      <c r="XAU288" s="118"/>
      <c r="XAV288" s="118"/>
      <c r="XAW288" s="118"/>
      <c r="XAX288" s="118"/>
      <c r="XAY288" s="118"/>
      <c r="XAZ288" s="118"/>
      <c r="XBA288" s="118"/>
      <c r="XBB288" s="118"/>
      <c r="XBC288" s="118"/>
      <c r="XBD288" s="118"/>
      <c r="XBE288" s="118"/>
      <c r="XBF288" s="118"/>
      <c r="XBG288" s="118"/>
      <c r="XBH288" s="118"/>
      <c r="XBI288" s="118"/>
      <c r="XBJ288" s="118"/>
      <c r="XBK288" s="118"/>
      <c r="XBL288" s="118"/>
      <c r="XBM288" s="118"/>
      <c r="XBN288" s="118"/>
      <c r="XBO288" s="118"/>
      <c r="XBP288" s="118"/>
      <c r="XBQ288" s="118"/>
      <c r="XBR288" s="118"/>
      <c r="XBS288" s="118"/>
      <c r="XBT288" s="118"/>
      <c r="XBU288" s="118"/>
      <c r="XBV288" s="118"/>
      <c r="XBW288" s="118"/>
      <c r="XBX288" s="118"/>
      <c r="XBY288" s="118"/>
      <c r="XBZ288" s="118"/>
      <c r="XCA288" s="118"/>
      <c r="XCB288" s="118"/>
      <c r="XCC288" s="118"/>
      <c r="XCD288" s="118"/>
      <c r="XCE288" s="118"/>
      <c r="XCF288" s="118"/>
      <c r="XCG288" s="118"/>
      <c r="XCH288" s="118"/>
      <c r="XCI288" s="118"/>
      <c r="XCJ288" s="118"/>
      <c r="XCK288" s="118"/>
      <c r="XCL288" s="118"/>
      <c r="XCM288" s="118"/>
      <c r="XCN288" s="118"/>
      <c r="XCO288" s="118"/>
      <c r="XCP288" s="118"/>
      <c r="XCQ288" s="118"/>
      <c r="XCR288" s="118"/>
      <c r="XCS288" s="118"/>
      <c r="XCT288" s="118"/>
      <c r="XCU288" s="118"/>
      <c r="XCV288" s="118"/>
      <c r="XCW288" s="118"/>
      <c r="XCX288" s="118"/>
      <c r="XCY288" s="118"/>
      <c r="XCZ288" s="118"/>
      <c r="XDA288" s="118"/>
      <c r="XDB288" s="118"/>
      <c r="XDC288" s="118"/>
      <c r="XDD288" s="118"/>
      <c r="XDE288" s="118"/>
      <c r="XDF288" s="118"/>
      <c r="XDG288" s="118"/>
      <c r="XDH288" s="118"/>
      <c r="XDI288" s="118"/>
      <c r="XDJ288" s="118"/>
      <c r="XDK288" s="118"/>
      <c r="XDL288" s="118"/>
      <c r="XDM288" s="118"/>
      <c r="XDN288" s="118"/>
      <c r="XDO288" s="118"/>
      <c r="XDP288" s="118"/>
      <c r="XDQ288" s="118"/>
      <c r="XDR288" s="118"/>
      <c r="XDS288" s="118"/>
      <c r="XDT288" s="118"/>
      <c r="XDU288" s="118"/>
      <c r="XDV288" s="118"/>
      <c r="XDW288" s="118"/>
      <c r="XDX288" s="118"/>
      <c r="XDY288" s="118"/>
      <c r="XDZ288" s="118"/>
      <c r="XEA288" s="118"/>
      <c r="XEB288" s="118"/>
      <c r="XEC288" s="118"/>
      <c r="XED288" s="118"/>
      <c r="XEE288" s="118"/>
      <c r="XEF288" s="118"/>
      <c r="XEG288" s="118"/>
      <c r="XEH288" s="118"/>
      <c r="XEI288" s="118"/>
      <c r="XEJ288" s="118"/>
      <c r="XEK288" s="118"/>
      <c r="XEL288" s="118"/>
      <c r="XEM288" s="118"/>
      <c r="XEN288" s="118"/>
      <c r="XEO288" s="118"/>
      <c r="XEP288" s="118"/>
      <c r="XEQ288" s="118"/>
      <c r="XER288" s="118"/>
      <c r="XES288" s="118"/>
      <c r="XET288" s="118"/>
      <c r="XEU288" s="118"/>
      <c r="XEV288" s="118"/>
      <c r="XEW288" s="118"/>
      <c r="XEX288" s="118"/>
      <c r="XEY288" s="118"/>
      <c r="XEZ288" s="118"/>
      <c r="XFA288" s="118"/>
      <c r="XFB288" s="118"/>
      <c r="XFC288" s="118"/>
      <c r="XFD288" s="118"/>
    </row>
    <row r="289" spans="1:37 16131:16384" ht="12.75" hidden="1" customHeight="1" x14ac:dyDescent="0.3">
      <c r="A289" s="114">
        <v>2480</v>
      </c>
      <c r="B289" s="113" t="s">
        <v>623</v>
      </c>
      <c r="C289" s="82" t="str">
        <f>IFERROR(VLOOKUP(D289,'Target tables'!A:B,2,0),"")</f>
        <v>Договора, для которых не созданы собственные agrmnt</v>
      </c>
      <c r="D289" s="23" t="s">
        <v>136</v>
      </c>
      <c r="E289" s="78" t="str">
        <f>IFERROR(VLOOKUP(D289&amp;J289,'Target columns'!A:J,4,FALSE),"")</f>
        <v>UUID</v>
      </c>
      <c r="F289" s="78" t="str">
        <f>IFERROR(VLOOKUP(D289&amp;J289,'Target columns'!A:J,7,FALSE),"")</f>
        <v>Yes</v>
      </c>
      <c r="G289" s="78" t="str">
        <f>IFERROR(VLOOKUP(D289&amp;J289,'Target columns'!A:J,8,FALSE),"")</f>
        <v>No</v>
      </c>
      <c r="H289" s="78" t="str">
        <f>IFERROR(VLOOKUP(D289&amp;J289,'Target columns'!A:J,5,FALSE),"")</f>
        <v>NOT NULL</v>
      </c>
      <c r="I289" s="78" t="str">
        <f>IFERROR(VLOOKUP(D289&amp;J289,'Target columns'!A:J,10,FALSE),"")</f>
        <v>Идентификатор договора</v>
      </c>
      <c r="J289" s="23" t="s">
        <v>589</v>
      </c>
      <c r="K289" s="23" t="s">
        <v>150</v>
      </c>
      <c r="L289" s="78" t="str">
        <f>IFERROR(VLOOKUP(K289&amp;N289,source_columns[[Seek]:[Описание поля]],4,0),"")</f>
        <v>uuid</v>
      </c>
      <c r="M289" s="78" t="str">
        <f>IFERROR(VLOOKUP(K289&amp;N289,source_columns[[Seek]:[Описание поля]],7,0),"")</f>
        <v>Референс сделки</v>
      </c>
      <c r="N289" s="23" t="s">
        <v>496</v>
      </c>
      <c r="O289" s="23"/>
      <c r="P289" s="23"/>
      <c r="Q289" s="23"/>
      <c r="R289" s="23"/>
      <c r="S289" s="270"/>
      <c r="T289" s="82"/>
      <c r="U289" s="82"/>
      <c r="V289" s="84" t="str">
        <f>"n308000046_"&amp;IFERROR(VLOOKUP(D289,target_tables[],5,0),"&lt;not found&gt;")</f>
        <v>n308000046_agr_other</v>
      </c>
      <c r="W289" s="82" t="s">
        <v>269</v>
      </c>
      <c r="X289" s="82"/>
      <c r="Y289" s="82"/>
      <c r="Z289" s="82"/>
      <c r="AA289" s="82"/>
      <c r="AB289" s="82"/>
      <c r="AC289" s="82"/>
      <c r="AD289" s="82"/>
      <c r="AE289" s="82"/>
      <c r="AF289" s="299" t="s">
        <v>270</v>
      </c>
      <c r="AG289" s="83"/>
      <c r="AH289" s="83"/>
      <c r="AI289" s="83"/>
      <c r="AJ289" s="91"/>
      <c r="AK289" s="69"/>
      <c r="WVK289" s="118"/>
      <c r="WVL289" s="118"/>
      <c r="WVM289" s="118"/>
      <c r="WVN289" s="118"/>
      <c r="WVO289" s="118"/>
      <c r="WVP289" s="118"/>
      <c r="WVQ289" s="118"/>
      <c r="WVR289" s="118"/>
      <c r="WVS289" s="118"/>
      <c r="WVT289" s="118"/>
      <c r="WVU289" s="118"/>
      <c r="WVV289" s="118"/>
      <c r="WVW289" s="118"/>
      <c r="WVX289" s="118"/>
      <c r="WVY289" s="118"/>
      <c r="WVZ289" s="118"/>
      <c r="WWA289" s="118"/>
      <c r="WWB289" s="118"/>
      <c r="WWC289" s="118"/>
      <c r="WWD289" s="118"/>
      <c r="WWE289" s="118"/>
      <c r="WWF289" s="118"/>
      <c r="WWG289" s="118"/>
      <c r="WWH289" s="118"/>
      <c r="WWI289" s="118"/>
      <c r="WWJ289" s="118"/>
      <c r="WWK289" s="118"/>
      <c r="WWL289" s="118"/>
      <c r="WWM289" s="118"/>
      <c r="WWN289" s="118"/>
      <c r="WWO289" s="118"/>
      <c r="WWP289" s="118"/>
      <c r="WWQ289" s="118"/>
      <c r="WWR289" s="118"/>
      <c r="WWS289" s="118"/>
      <c r="WWT289" s="118"/>
      <c r="WWU289" s="118"/>
      <c r="WWV289" s="118"/>
      <c r="WWW289" s="118"/>
      <c r="WWX289" s="118"/>
      <c r="WWY289" s="118"/>
      <c r="WWZ289" s="118"/>
      <c r="WXA289" s="118"/>
      <c r="WXB289" s="118"/>
      <c r="WXC289" s="118"/>
      <c r="WXD289" s="118"/>
      <c r="WXE289" s="118"/>
      <c r="WXF289" s="118"/>
      <c r="WXG289" s="118"/>
      <c r="WXH289" s="118"/>
      <c r="WXI289" s="118"/>
      <c r="WXJ289" s="118"/>
      <c r="WXK289" s="118"/>
      <c r="WXL289" s="118"/>
      <c r="WXM289" s="118"/>
      <c r="WXN289" s="118"/>
      <c r="WXO289" s="118"/>
      <c r="WXP289" s="118"/>
      <c r="WXQ289" s="118"/>
      <c r="WXR289" s="118"/>
      <c r="WXS289" s="118"/>
      <c r="WXT289" s="118"/>
      <c r="WXU289" s="118"/>
      <c r="WXV289" s="118"/>
      <c r="WXW289" s="118"/>
      <c r="WXX289" s="118"/>
      <c r="WXY289" s="118"/>
      <c r="WXZ289" s="118"/>
      <c r="WYA289" s="118"/>
      <c r="WYB289" s="118"/>
      <c r="WYC289" s="118"/>
      <c r="WYD289" s="118"/>
      <c r="WYE289" s="118"/>
      <c r="WYF289" s="118"/>
      <c r="WYG289" s="118"/>
      <c r="WYH289" s="118"/>
      <c r="WYI289" s="118"/>
      <c r="WYJ289" s="118"/>
      <c r="WYK289" s="118"/>
      <c r="WYL289" s="118"/>
      <c r="WYM289" s="118"/>
      <c r="WYN289" s="118"/>
      <c r="WYO289" s="118"/>
      <c r="WYP289" s="118"/>
      <c r="WYQ289" s="118"/>
      <c r="WYR289" s="118"/>
      <c r="WYS289" s="118"/>
      <c r="WYT289" s="118"/>
      <c r="WYU289" s="118"/>
      <c r="WYV289" s="118"/>
      <c r="WYW289" s="118"/>
      <c r="WYX289" s="118"/>
      <c r="WYY289" s="118"/>
      <c r="WYZ289" s="118"/>
      <c r="WZA289" s="118"/>
      <c r="WZB289" s="118"/>
      <c r="WZC289" s="118"/>
      <c r="WZD289" s="118"/>
      <c r="WZE289" s="118"/>
      <c r="WZF289" s="118"/>
      <c r="WZG289" s="118"/>
      <c r="WZH289" s="118"/>
      <c r="WZI289" s="118"/>
      <c r="WZJ289" s="118"/>
      <c r="WZK289" s="118"/>
      <c r="WZL289" s="118"/>
      <c r="WZM289" s="118"/>
      <c r="WZN289" s="118"/>
      <c r="WZO289" s="118"/>
      <c r="WZP289" s="118"/>
      <c r="WZQ289" s="118"/>
      <c r="WZR289" s="118"/>
      <c r="WZS289" s="118"/>
      <c r="WZT289" s="118"/>
      <c r="WZU289" s="118"/>
      <c r="WZV289" s="118"/>
      <c r="WZW289" s="118"/>
      <c r="WZX289" s="118"/>
      <c r="WZY289" s="118"/>
      <c r="WZZ289" s="118"/>
      <c r="XAA289" s="118"/>
      <c r="XAB289" s="118"/>
      <c r="XAC289" s="118"/>
      <c r="XAD289" s="118"/>
      <c r="XAE289" s="118"/>
      <c r="XAF289" s="118"/>
      <c r="XAG289" s="118"/>
      <c r="XAH289" s="118"/>
      <c r="XAI289" s="118"/>
      <c r="XAJ289" s="118"/>
      <c r="XAK289" s="118"/>
      <c r="XAL289" s="118"/>
      <c r="XAM289" s="118"/>
      <c r="XAN289" s="118"/>
      <c r="XAO289" s="118"/>
      <c r="XAP289" s="118"/>
      <c r="XAQ289" s="118"/>
      <c r="XAR289" s="118"/>
      <c r="XAS289" s="118"/>
      <c r="XAT289" s="118"/>
      <c r="XAU289" s="118"/>
      <c r="XAV289" s="118"/>
      <c r="XAW289" s="118"/>
      <c r="XAX289" s="118"/>
      <c r="XAY289" s="118"/>
      <c r="XAZ289" s="118"/>
      <c r="XBA289" s="118"/>
      <c r="XBB289" s="118"/>
      <c r="XBC289" s="118"/>
      <c r="XBD289" s="118"/>
      <c r="XBE289" s="118"/>
      <c r="XBF289" s="118"/>
      <c r="XBG289" s="118"/>
      <c r="XBH289" s="118"/>
      <c r="XBI289" s="118"/>
      <c r="XBJ289" s="118"/>
      <c r="XBK289" s="118"/>
      <c r="XBL289" s="118"/>
      <c r="XBM289" s="118"/>
      <c r="XBN289" s="118"/>
      <c r="XBO289" s="118"/>
      <c r="XBP289" s="118"/>
      <c r="XBQ289" s="118"/>
      <c r="XBR289" s="118"/>
      <c r="XBS289" s="118"/>
      <c r="XBT289" s="118"/>
      <c r="XBU289" s="118"/>
      <c r="XBV289" s="118"/>
      <c r="XBW289" s="118"/>
      <c r="XBX289" s="118"/>
      <c r="XBY289" s="118"/>
      <c r="XBZ289" s="118"/>
      <c r="XCA289" s="118"/>
      <c r="XCB289" s="118"/>
      <c r="XCC289" s="118"/>
      <c r="XCD289" s="118"/>
      <c r="XCE289" s="118"/>
      <c r="XCF289" s="118"/>
      <c r="XCG289" s="118"/>
      <c r="XCH289" s="118"/>
      <c r="XCI289" s="118"/>
      <c r="XCJ289" s="118"/>
      <c r="XCK289" s="118"/>
      <c r="XCL289" s="118"/>
      <c r="XCM289" s="118"/>
      <c r="XCN289" s="118"/>
      <c r="XCO289" s="118"/>
      <c r="XCP289" s="118"/>
      <c r="XCQ289" s="118"/>
      <c r="XCR289" s="118"/>
      <c r="XCS289" s="118"/>
      <c r="XCT289" s="118"/>
      <c r="XCU289" s="118"/>
      <c r="XCV289" s="118"/>
      <c r="XCW289" s="118"/>
      <c r="XCX289" s="118"/>
      <c r="XCY289" s="118"/>
      <c r="XCZ289" s="118"/>
      <c r="XDA289" s="118"/>
      <c r="XDB289" s="118"/>
      <c r="XDC289" s="118"/>
      <c r="XDD289" s="118"/>
      <c r="XDE289" s="118"/>
      <c r="XDF289" s="118"/>
      <c r="XDG289" s="118"/>
      <c r="XDH289" s="118"/>
      <c r="XDI289" s="118"/>
      <c r="XDJ289" s="118"/>
      <c r="XDK289" s="118"/>
      <c r="XDL289" s="118"/>
      <c r="XDM289" s="118"/>
      <c r="XDN289" s="118"/>
      <c r="XDO289" s="118"/>
      <c r="XDP289" s="118"/>
      <c r="XDQ289" s="118"/>
      <c r="XDR289" s="118"/>
      <c r="XDS289" s="118"/>
      <c r="XDT289" s="118"/>
      <c r="XDU289" s="118"/>
      <c r="XDV289" s="118"/>
      <c r="XDW289" s="118"/>
      <c r="XDX289" s="118"/>
      <c r="XDY289" s="118"/>
      <c r="XDZ289" s="118"/>
      <c r="XEA289" s="118"/>
      <c r="XEB289" s="118"/>
      <c r="XEC289" s="118"/>
      <c r="XED289" s="118"/>
      <c r="XEE289" s="118"/>
      <c r="XEF289" s="118"/>
      <c r="XEG289" s="118"/>
      <c r="XEH289" s="118"/>
      <c r="XEI289" s="118"/>
      <c r="XEJ289" s="118"/>
      <c r="XEK289" s="118"/>
      <c r="XEL289" s="118"/>
      <c r="XEM289" s="118"/>
      <c r="XEN289" s="118"/>
      <c r="XEO289" s="118"/>
      <c r="XEP289" s="118"/>
      <c r="XEQ289" s="118"/>
      <c r="XER289" s="118"/>
      <c r="XES289" s="118"/>
      <c r="XET289" s="118"/>
      <c r="XEU289" s="118"/>
      <c r="XEV289" s="118"/>
      <c r="XEW289" s="118"/>
      <c r="XEX289" s="118"/>
      <c r="XEY289" s="118"/>
      <c r="XEZ289" s="118"/>
      <c r="XFA289" s="118"/>
      <c r="XFB289" s="118"/>
      <c r="XFC289" s="118"/>
      <c r="XFD289" s="118"/>
    </row>
    <row r="290" spans="1:37 16131:16384" ht="12.75" hidden="1" customHeight="1" x14ac:dyDescent="0.3">
      <c r="A290" s="115">
        <v>2490</v>
      </c>
      <c r="B290" s="8" t="s">
        <v>623</v>
      </c>
      <c r="C290" s="65" t="str">
        <f>IFERROR(VLOOKUP(D290,'Target tables'!A:B,2,0),"")</f>
        <v>Договора, для которых не созданы собственные agrmnt</v>
      </c>
      <c r="D290" s="8" t="s">
        <v>136</v>
      </c>
      <c r="E290" s="66" t="str">
        <f>IFERROR(VLOOKUP(D290&amp;J290,'Target columns'!A:J,4,FALSE),"")</f>
        <v>DATE</v>
      </c>
      <c r="F290" s="66" t="str">
        <f>IFERROR(VLOOKUP(D290&amp;J290,'Target columns'!A:J,7,FALSE),"")</f>
        <v>No</v>
      </c>
      <c r="G290" s="66" t="str">
        <f>IFERROR(VLOOKUP(D290&amp;J290,'Target columns'!A:J,8,FALSE),"")</f>
        <v>No</v>
      </c>
      <c r="H290" s="66" t="str">
        <f>IFERROR(VLOOKUP(D290&amp;J290,'Target columns'!A:J,5,FALSE),"")</f>
        <v>NULL</v>
      </c>
      <c r="I290" s="66" t="str">
        <f>IFERROR(VLOOKUP(D290&amp;J290,'Target columns'!A:J,10,FALSE),"")</f>
        <v>Дата открытия договора</v>
      </c>
      <c r="J290" s="8" t="s">
        <v>271</v>
      </c>
      <c r="K290" s="8" t="s">
        <v>150</v>
      </c>
      <c r="L290" s="66" t="str">
        <f>IFERROR(VLOOKUP(K290&amp;N290,source_columns[[Seek]:[Описание поля]],4,0),"")</f>
        <v>date</v>
      </c>
      <c r="M290" s="66" t="str">
        <f>IFERROR(VLOOKUP(K290&amp;N290,source_columns[[Seek]:[Описание поля]],7,0),"")</f>
        <v>Дата заключения сделки</v>
      </c>
      <c r="N290" s="8" t="s">
        <v>590</v>
      </c>
      <c r="O290" s="8"/>
      <c r="P290" s="8"/>
      <c r="Q290" s="8"/>
      <c r="R290" s="8"/>
      <c r="S290" s="278"/>
      <c r="T290" s="65"/>
      <c r="U290" s="65"/>
      <c r="V290" s="66" t="str">
        <f>"n308000046_"&amp;IFERROR(VLOOKUP(D290,target_tables[],5,0),"&lt;not found&gt;")</f>
        <v>n308000046_agr_other</v>
      </c>
      <c r="W290" s="65" t="s">
        <v>273</v>
      </c>
      <c r="X290" s="65"/>
      <c r="Y290" s="65"/>
      <c r="Z290" s="65"/>
      <c r="AA290" s="65"/>
      <c r="AB290" s="65"/>
      <c r="AC290" s="65"/>
      <c r="AD290" s="65"/>
      <c r="AE290" s="65"/>
      <c r="AF290" s="299"/>
      <c r="AG290" s="10"/>
      <c r="AH290" s="10"/>
      <c r="AI290" s="10"/>
      <c r="AJ290" s="68"/>
      <c r="AK290" s="69"/>
      <c r="WVK290" s="118"/>
      <c r="WVL290" s="118"/>
      <c r="WVM290" s="118"/>
      <c r="WVN290" s="118"/>
      <c r="WVO290" s="118"/>
      <c r="WVP290" s="118"/>
      <c r="WVQ290" s="118"/>
      <c r="WVR290" s="118"/>
      <c r="WVS290" s="118"/>
      <c r="WVT290" s="118"/>
      <c r="WVU290" s="118"/>
      <c r="WVV290" s="118"/>
      <c r="WVW290" s="118"/>
      <c r="WVX290" s="118"/>
      <c r="WVY290" s="118"/>
      <c r="WVZ290" s="118"/>
      <c r="WWA290" s="118"/>
      <c r="WWB290" s="118"/>
      <c r="WWC290" s="118"/>
      <c r="WWD290" s="118"/>
      <c r="WWE290" s="118"/>
      <c r="WWF290" s="118"/>
      <c r="WWG290" s="118"/>
      <c r="WWH290" s="118"/>
      <c r="WWI290" s="118"/>
      <c r="WWJ290" s="118"/>
      <c r="WWK290" s="118"/>
      <c r="WWL290" s="118"/>
      <c r="WWM290" s="118"/>
      <c r="WWN290" s="118"/>
      <c r="WWO290" s="118"/>
      <c r="WWP290" s="118"/>
      <c r="WWQ290" s="118"/>
      <c r="WWR290" s="118"/>
      <c r="WWS290" s="118"/>
      <c r="WWT290" s="118"/>
      <c r="WWU290" s="118"/>
      <c r="WWV290" s="118"/>
      <c r="WWW290" s="118"/>
      <c r="WWX290" s="118"/>
      <c r="WWY290" s="118"/>
      <c r="WWZ290" s="118"/>
      <c r="WXA290" s="118"/>
      <c r="WXB290" s="118"/>
      <c r="WXC290" s="118"/>
      <c r="WXD290" s="118"/>
      <c r="WXE290" s="118"/>
      <c r="WXF290" s="118"/>
      <c r="WXG290" s="118"/>
      <c r="WXH290" s="118"/>
      <c r="WXI290" s="118"/>
      <c r="WXJ290" s="118"/>
      <c r="WXK290" s="118"/>
      <c r="WXL290" s="118"/>
      <c r="WXM290" s="118"/>
      <c r="WXN290" s="118"/>
      <c r="WXO290" s="118"/>
      <c r="WXP290" s="118"/>
      <c r="WXQ290" s="118"/>
      <c r="WXR290" s="118"/>
      <c r="WXS290" s="118"/>
      <c r="WXT290" s="118"/>
      <c r="WXU290" s="118"/>
      <c r="WXV290" s="118"/>
      <c r="WXW290" s="118"/>
      <c r="WXX290" s="118"/>
      <c r="WXY290" s="118"/>
      <c r="WXZ290" s="118"/>
      <c r="WYA290" s="118"/>
      <c r="WYB290" s="118"/>
      <c r="WYC290" s="118"/>
      <c r="WYD290" s="118"/>
      <c r="WYE290" s="118"/>
      <c r="WYF290" s="118"/>
      <c r="WYG290" s="118"/>
      <c r="WYH290" s="118"/>
      <c r="WYI290" s="118"/>
      <c r="WYJ290" s="118"/>
      <c r="WYK290" s="118"/>
      <c r="WYL290" s="118"/>
      <c r="WYM290" s="118"/>
      <c r="WYN290" s="118"/>
      <c r="WYO290" s="118"/>
      <c r="WYP290" s="118"/>
      <c r="WYQ290" s="118"/>
      <c r="WYR290" s="118"/>
      <c r="WYS290" s="118"/>
      <c r="WYT290" s="118"/>
      <c r="WYU290" s="118"/>
      <c r="WYV290" s="118"/>
      <c r="WYW290" s="118"/>
      <c r="WYX290" s="118"/>
      <c r="WYY290" s="118"/>
      <c r="WYZ290" s="118"/>
      <c r="WZA290" s="118"/>
      <c r="WZB290" s="118"/>
      <c r="WZC290" s="118"/>
      <c r="WZD290" s="118"/>
      <c r="WZE290" s="118"/>
      <c r="WZF290" s="118"/>
      <c r="WZG290" s="118"/>
      <c r="WZH290" s="118"/>
      <c r="WZI290" s="118"/>
      <c r="WZJ290" s="118"/>
      <c r="WZK290" s="118"/>
      <c r="WZL290" s="118"/>
      <c r="WZM290" s="118"/>
      <c r="WZN290" s="118"/>
      <c r="WZO290" s="118"/>
      <c r="WZP290" s="118"/>
      <c r="WZQ290" s="118"/>
      <c r="WZR290" s="118"/>
      <c r="WZS290" s="118"/>
      <c r="WZT290" s="118"/>
      <c r="WZU290" s="118"/>
      <c r="WZV290" s="118"/>
      <c r="WZW290" s="118"/>
      <c r="WZX290" s="118"/>
      <c r="WZY290" s="118"/>
      <c r="WZZ290" s="118"/>
      <c r="XAA290" s="118"/>
      <c r="XAB290" s="118"/>
      <c r="XAC290" s="118"/>
      <c r="XAD290" s="118"/>
      <c r="XAE290" s="118"/>
      <c r="XAF290" s="118"/>
      <c r="XAG290" s="118"/>
      <c r="XAH290" s="118"/>
      <c r="XAI290" s="118"/>
      <c r="XAJ290" s="118"/>
      <c r="XAK290" s="118"/>
      <c r="XAL290" s="118"/>
      <c r="XAM290" s="118"/>
      <c r="XAN290" s="118"/>
      <c r="XAO290" s="118"/>
      <c r="XAP290" s="118"/>
      <c r="XAQ290" s="118"/>
      <c r="XAR290" s="118"/>
      <c r="XAS290" s="118"/>
      <c r="XAT290" s="118"/>
      <c r="XAU290" s="118"/>
      <c r="XAV290" s="118"/>
      <c r="XAW290" s="118"/>
      <c r="XAX290" s="118"/>
      <c r="XAY290" s="118"/>
      <c r="XAZ290" s="118"/>
      <c r="XBA290" s="118"/>
      <c r="XBB290" s="118"/>
      <c r="XBC290" s="118"/>
      <c r="XBD290" s="118"/>
      <c r="XBE290" s="118"/>
      <c r="XBF290" s="118"/>
      <c r="XBG290" s="118"/>
      <c r="XBH290" s="118"/>
      <c r="XBI290" s="118"/>
      <c r="XBJ290" s="118"/>
      <c r="XBK290" s="118"/>
      <c r="XBL290" s="118"/>
      <c r="XBM290" s="118"/>
      <c r="XBN290" s="118"/>
      <c r="XBO290" s="118"/>
      <c r="XBP290" s="118"/>
      <c r="XBQ290" s="118"/>
      <c r="XBR290" s="118"/>
      <c r="XBS290" s="118"/>
      <c r="XBT290" s="118"/>
      <c r="XBU290" s="118"/>
      <c r="XBV290" s="118"/>
      <c r="XBW290" s="118"/>
      <c r="XBX290" s="118"/>
      <c r="XBY290" s="118"/>
      <c r="XBZ290" s="118"/>
      <c r="XCA290" s="118"/>
      <c r="XCB290" s="118"/>
      <c r="XCC290" s="118"/>
      <c r="XCD290" s="118"/>
      <c r="XCE290" s="118"/>
      <c r="XCF290" s="118"/>
      <c r="XCG290" s="118"/>
      <c r="XCH290" s="118"/>
      <c r="XCI290" s="118"/>
      <c r="XCJ290" s="118"/>
      <c r="XCK290" s="118"/>
      <c r="XCL290" s="118"/>
      <c r="XCM290" s="118"/>
      <c r="XCN290" s="118"/>
      <c r="XCO290" s="118"/>
      <c r="XCP290" s="118"/>
      <c r="XCQ290" s="118"/>
      <c r="XCR290" s="118"/>
      <c r="XCS290" s="118"/>
      <c r="XCT290" s="118"/>
      <c r="XCU290" s="118"/>
      <c r="XCV290" s="118"/>
      <c r="XCW290" s="118"/>
      <c r="XCX290" s="118"/>
      <c r="XCY290" s="118"/>
      <c r="XCZ290" s="118"/>
      <c r="XDA290" s="118"/>
      <c r="XDB290" s="118"/>
      <c r="XDC290" s="118"/>
      <c r="XDD290" s="118"/>
      <c r="XDE290" s="118"/>
      <c r="XDF290" s="118"/>
      <c r="XDG290" s="118"/>
      <c r="XDH290" s="118"/>
      <c r="XDI290" s="118"/>
      <c r="XDJ290" s="118"/>
      <c r="XDK290" s="118"/>
      <c r="XDL290" s="118"/>
      <c r="XDM290" s="118"/>
      <c r="XDN290" s="118"/>
      <c r="XDO290" s="118"/>
      <c r="XDP290" s="118"/>
      <c r="XDQ290" s="118"/>
      <c r="XDR290" s="118"/>
      <c r="XDS290" s="118"/>
      <c r="XDT290" s="118"/>
      <c r="XDU290" s="118"/>
      <c r="XDV290" s="118"/>
      <c r="XDW290" s="118"/>
      <c r="XDX290" s="118"/>
      <c r="XDY290" s="118"/>
      <c r="XDZ290" s="118"/>
      <c r="XEA290" s="118"/>
      <c r="XEB290" s="118"/>
      <c r="XEC290" s="118"/>
      <c r="XED290" s="118"/>
      <c r="XEE290" s="118"/>
      <c r="XEF290" s="118"/>
      <c r="XEG290" s="118"/>
      <c r="XEH290" s="118"/>
      <c r="XEI290" s="118"/>
      <c r="XEJ290" s="118"/>
      <c r="XEK290" s="118"/>
      <c r="XEL290" s="118"/>
      <c r="XEM290" s="118"/>
      <c r="XEN290" s="118"/>
      <c r="XEO290" s="118"/>
      <c r="XEP290" s="118"/>
      <c r="XEQ290" s="118"/>
      <c r="XER290" s="118"/>
      <c r="XES290" s="118"/>
      <c r="XET290" s="118"/>
      <c r="XEU290" s="118"/>
      <c r="XEV290" s="118"/>
      <c r="XEW290" s="118"/>
      <c r="XEX290" s="118"/>
      <c r="XEY290" s="118"/>
      <c r="XEZ290" s="118"/>
      <c r="XFA290" s="118"/>
      <c r="XFB290" s="118"/>
      <c r="XFC290" s="118"/>
      <c r="XFD290" s="118"/>
    </row>
    <row r="291" spans="1:37 16131:16384" ht="12.75" hidden="1" customHeight="1" x14ac:dyDescent="0.3">
      <c r="A291" s="115">
        <v>2500</v>
      </c>
      <c r="B291" s="8" t="s">
        <v>623</v>
      </c>
      <c r="C291" s="65" t="str">
        <f>IFERROR(VLOOKUP(D291,'Target tables'!A:B,2,0),"")</f>
        <v>Договора, для которых не созданы собственные agrmnt</v>
      </c>
      <c r="D291" s="8" t="s">
        <v>136</v>
      </c>
      <c r="E291" s="66" t="str">
        <f>IFERROR(VLOOKUP(D291&amp;J291,'Target columns'!A:J,4,FALSE),"")</f>
        <v>DATE</v>
      </c>
      <c r="F291" s="66" t="str">
        <f>IFERROR(VLOOKUP(D291&amp;J291,'Target columns'!A:J,7,FALSE),"")</f>
        <v>No</v>
      </c>
      <c r="G291" s="66" t="str">
        <f>IFERROR(VLOOKUP(D291&amp;J291,'Target columns'!A:J,8,FALSE),"")</f>
        <v>No</v>
      </c>
      <c r="H291" s="66" t="str">
        <f>IFERROR(VLOOKUP(D291&amp;J291,'Target columns'!A:J,5,FALSE),"")</f>
        <v>NULL</v>
      </c>
      <c r="I291" s="66" t="str">
        <f>IFERROR(VLOOKUP(D291&amp;J291,'Target columns'!A:J,10,FALSE),"")</f>
        <v>Дата подписания договора</v>
      </c>
      <c r="J291" s="8" t="s">
        <v>274</v>
      </c>
      <c r="K291" s="8" t="s">
        <v>150</v>
      </c>
      <c r="L291" s="66" t="str">
        <f>IFERROR(VLOOKUP(K291&amp;N291,source_columns[[Seek]:[Описание поля]],4,0),"")</f>
        <v>date</v>
      </c>
      <c r="M291" s="66" t="str">
        <f>IFERROR(VLOOKUP(K291&amp;N291,source_columns[[Seek]:[Описание поля]],7,0),"")</f>
        <v>Дата заключения сделки</v>
      </c>
      <c r="N291" s="8" t="s">
        <v>590</v>
      </c>
      <c r="O291" s="8"/>
      <c r="P291" s="8"/>
      <c r="Q291" s="8"/>
      <c r="R291" s="8"/>
      <c r="S291" s="278"/>
      <c r="T291" s="65"/>
      <c r="U291" s="65"/>
      <c r="V291" s="66" t="str">
        <f>"n308000046_"&amp;IFERROR(VLOOKUP(D291,target_tables[],5,0),"&lt;not found&gt;")</f>
        <v>n308000046_agr_other</v>
      </c>
      <c r="W291" s="65" t="s">
        <v>273</v>
      </c>
      <c r="X291" s="65"/>
      <c r="Y291" s="65"/>
      <c r="Z291" s="65"/>
      <c r="AA291" s="65"/>
      <c r="AB291" s="65"/>
      <c r="AC291" s="65"/>
      <c r="AD291" s="65"/>
      <c r="AE291" s="65"/>
      <c r="AF291" s="299"/>
      <c r="AG291" s="10"/>
      <c r="AH291" s="10"/>
      <c r="AI291" s="10"/>
      <c r="AJ291" s="68"/>
      <c r="AK291" s="69"/>
      <c r="WVK291" s="118"/>
      <c r="WVL291" s="118"/>
      <c r="WVM291" s="118"/>
      <c r="WVN291" s="118"/>
      <c r="WVO291" s="118"/>
      <c r="WVP291" s="118"/>
      <c r="WVQ291" s="118"/>
      <c r="WVR291" s="118"/>
      <c r="WVS291" s="118"/>
      <c r="WVT291" s="118"/>
      <c r="WVU291" s="118"/>
      <c r="WVV291" s="118"/>
      <c r="WVW291" s="118"/>
      <c r="WVX291" s="118"/>
      <c r="WVY291" s="118"/>
      <c r="WVZ291" s="118"/>
      <c r="WWA291" s="118"/>
      <c r="WWB291" s="118"/>
      <c r="WWC291" s="118"/>
      <c r="WWD291" s="118"/>
      <c r="WWE291" s="118"/>
      <c r="WWF291" s="118"/>
      <c r="WWG291" s="118"/>
      <c r="WWH291" s="118"/>
      <c r="WWI291" s="118"/>
      <c r="WWJ291" s="118"/>
      <c r="WWK291" s="118"/>
      <c r="WWL291" s="118"/>
      <c r="WWM291" s="118"/>
      <c r="WWN291" s="118"/>
      <c r="WWO291" s="118"/>
      <c r="WWP291" s="118"/>
      <c r="WWQ291" s="118"/>
      <c r="WWR291" s="118"/>
      <c r="WWS291" s="118"/>
      <c r="WWT291" s="118"/>
      <c r="WWU291" s="118"/>
      <c r="WWV291" s="118"/>
      <c r="WWW291" s="118"/>
      <c r="WWX291" s="118"/>
      <c r="WWY291" s="118"/>
      <c r="WWZ291" s="118"/>
      <c r="WXA291" s="118"/>
      <c r="WXB291" s="118"/>
      <c r="WXC291" s="118"/>
      <c r="WXD291" s="118"/>
      <c r="WXE291" s="118"/>
      <c r="WXF291" s="118"/>
      <c r="WXG291" s="118"/>
      <c r="WXH291" s="118"/>
      <c r="WXI291" s="118"/>
      <c r="WXJ291" s="118"/>
      <c r="WXK291" s="118"/>
      <c r="WXL291" s="118"/>
      <c r="WXM291" s="118"/>
      <c r="WXN291" s="118"/>
      <c r="WXO291" s="118"/>
      <c r="WXP291" s="118"/>
      <c r="WXQ291" s="118"/>
      <c r="WXR291" s="118"/>
      <c r="WXS291" s="118"/>
      <c r="WXT291" s="118"/>
      <c r="WXU291" s="118"/>
      <c r="WXV291" s="118"/>
      <c r="WXW291" s="118"/>
      <c r="WXX291" s="118"/>
      <c r="WXY291" s="118"/>
      <c r="WXZ291" s="118"/>
      <c r="WYA291" s="118"/>
      <c r="WYB291" s="118"/>
      <c r="WYC291" s="118"/>
      <c r="WYD291" s="118"/>
      <c r="WYE291" s="118"/>
      <c r="WYF291" s="118"/>
      <c r="WYG291" s="118"/>
      <c r="WYH291" s="118"/>
      <c r="WYI291" s="118"/>
      <c r="WYJ291" s="118"/>
      <c r="WYK291" s="118"/>
      <c r="WYL291" s="118"/>
      <c r="WYM291" s="118"/>
      <c r="WYN291" s="118"/>
      <c r="WYO291" s="118"/>
      <c r="WYP291" s="118"/>
      <c r="WYQ291" s="118"/>
      <c r="WYR291" s="118"/>
      <c r="WYS291" s="118"/>
      <c r="WYT291" s="118"/>
      <c r="WYU291" s="118"/>
      <c r="WYV291" s="118"/>
      <c r="WYW291" s="118"/>
      <c r="WYX291" s="118"/>
      <c r="WYY291" s="118"/>
      <c r="WYZ291" s="118"/>
      <c r="WZA291" s="118"/>
      <c r="WZB291" s="118"/>
      <c r="WZC291" s="118"/>
      <c r="WZD291" s="118"/>
      <c r="WZE291" s="118"/>
      <c r="WZF291" s="118"/>
      <c r="WZG291" s="118"/>
      <c r="WZH291" s="118"/>
      <c r="WZI291" s="118"/>
      <c r="WZJ291" s="118"/>
      <c r="WZK291" s="118"/>
      <c r="WZL291" s="118"/>
      <c r="WZM291" s="118"/>
      <c r="WZN291" s="118"/>
      <c r="WZO291" s="118"/>
      <c r="WZP291" s="118"/>
      <c r="WZQ291" s="118"/>
      <c r="WZR291" s="118"/>
      <c r="WZS291" s="118"/>
      <c r="WZT291" s="118"/>
      <c r="WZU291" s="118"/>
      <c r="WZV291" s="118"/>
      <c r="WZW291" s="118"/>
      <c r="WZX291" s="118"/>
      <c r="WZY291" s="118"/>
      <c r="WZZ291" s="118"/>
      <c r="XAA291" s="118"/>
      <c r="XAB291" s="118"/>
      <c r="XAC291" s="118"/>
      <c r="XAD291" s="118"/>
      <c r="XAE291" s="118"/>
      <c r="XAF291" s="118"/>
      <c r="XAG291" s="118"/>
      <c r="XAH291" s="118"/>
      <c r="XAI291" s="118"/>
      <c r="XAJ291" s="118"/>
      <c r="XAK291" s="118"/>
      <c r="XAL291" s="118"/>
      <c r="XAM291" s="118"/>
      <c r="XAN291" s="118"/>
      <c r="XAO291" s="118"/>
      <c r="XAP291" s="118"/>
      <c r="XAQ291" s="118"/>
      <c r="XAR291" s="118"/>
      <c r="XAS291" s="118"/>
      <c r="XAT291" s="118"/>
      <c r="XAU291" s="118"/>
      <c r="XAV291" s="118"/>
      <c r="XAW291" s="118"/>
      <c r="XAX291" s="118"/>
      <c r="XAY291" s="118"/>
      <c r="XAZ291" s="118"/>
      <c r="XBA291" s="118"/>
      <c r="XBB291" s="118"/>
      <c r="XBC291" s="118"/>
      <c r="XBD291" s="118"/>
      <c r="XBE291" s="118"/>
      <c r="XBF291" s="118"/>
      <c r="XBG291" s="118"/>
      <c r="XBH291" s="118"/>
      <c r="XBI291" s="118"/>
      <c r="XBJ291" s="118"/>
      <c r="XBK291" s="118"/>
      <c r="XBL291" s="118"/>
      <c r="XBM291" s="118"/>
      <c r="XBN291" s="118"/>
      <c r="XBO291" s="118"/>
      <c r="XBP291" s="118"/>
      <c r="XBQ291" s="118"/>
      <c r="XBR291" s="118"/>
      <c r="XBS291" s="118"/>
      <c r="XBT291" s="118"/>
      <c r="XBU291" s="118"/>
      <c r="XBV291" s="118"/>
      <c r="XBW291" s="118"/>
      <c r="XBX291" s="118"/>
      <c r="XBY291" s="118"/>
      <c r="XBZ291" s="118"/>
      <c r="XCA291" s="118"/>
      <c r="XCB291" s="118"/>
      <c r="XCC291" s="118"/>
      <c r="XCD291" s="118"/>
      <c r="XCE291" s="118"/>
      <c r="XCF291" s="118"/>
      <c r="XCG291" s="118"/>
      <c r="XCH291" s="118"/>
      <c r="XCI291" s="118"/>
      <c r="XCJ291" s="118"/>
      <c r="XCK291" s="118"/>
      <c r="XCL291" s="118"/>
      <c r="XCM291" s="118"/>
      <c r="XCN291" s="118"/>
      <c r="XCO291" s="118"/>
      <c r="XCP291" s="118"/>
      <c r="XCQ291" s="118"/>
      <c r="XCR291" s="118"/>
      <c r="XCS291" s="118"/>
      <c r="XCT291" s="118"/>
      <c r="XCU291" s="118"/>
      <c r="XCV291" s="118"/>
      <c r="XCW291" s="118"/>
      <c r="XCX291" s="118"/>
      <c r="XCY291" s="118"/>
      <c r="XCZ291" s="118"/>
      <c r="XDA291" s="118"/>
      <c r="XDB291" s="118"/>
      <c r="XDC291" s="118"/>
      <c r="XDD291" s="118"/>
      <c r="XDE291" s="118"/>
      <c r="XDF291" s="118"/>
      <c r="XDG291" s="118"/>
      <c r="XDH291" s="118"/>
      <c r="XDI291" s="118"/>
      <c r="XDJ291" s="118"/>
      <c r="XDK291" s="118"/>
      <c r="XDL291" s="118"/>
      <c r="XDM291" s="118"/>
      <c r="XDN291" s="118"/>
      <c r="XDO291" s="118"/>
      <c r="XDP291" s="118"/>
      <c r="XDQ291" s="118"/>
      <c r="XDR291" s="118"/>
      <c r="XDS291" s="118"/>
      <c r="XDT291" s="118"/>
      <c r="XDU291" s="118"/>
      <c r="XDV291" s="118"/>
      <c r="XDW291" s="118"/>
      <c r="XDX291" s="118"/>
      <c r="XDY291" s="118"/>
      <c r="XDZ291" s="118"/>
      <c r="XEA291" s="118"/>
      <c r="XEB291" s="118"/>
      <c r="XEC291" s="118"/>
      <c r="XED291" s="118"/>
      <c r="XEE291" s="118"/>
      <c r="XEF291" s="118"/>
      <c r="XEG291" s="118"/>
      <c r="XEH291" s="118"/>
      <c r="XEI291" s="118"/>
      <c r="XEJ291" s="118"/>
      <c r="XEK291" s="118"/>
      <c r="XEL291" s="118"/>
      <c r="XEM291" s="118"/>
      <c r="XEN291" s="118"/>
      <c r="XEO291" s="118"/>
      <c r="XEP291" s="118"/>
      <c r="XEQ291" s="118"/>
      <c r="XER291" s="118"/>
      <c r="XES291" s="118"/>
      <c r="XET291" s="118"/>
      <c r="XEU291" s="118"/>
      <c r="XEV291" s="118"/>
      <c r="XEW291" s="118"/>
      <c r="XEX291" s="118"/>
      <c r="XEY291" s="118"/>
      <c r="XEZ291" s="118"/>
      <c r="XFA291" s="118"/>
      <c r="XFB291" s="118"/>
      <c r="XFC291" s="118"/>
      <c r="XFD291" s="118"/>
    </row>
    <row r="292" spans="1:37 16131:16384" ht="12.75" hidden="1" customHeight="1" x14ac:dyDescent="0.3">
      <c r="A292" s="115">
        <v>2510</v>
      </c>
      <c r="B292" s="8" t="s">
        <v>623</v>
      </c>
      <c r="C292" s="65" t="str">
        <f>IFERROR(VLOOKUP(D292,'Target tables'!A:B,2,0),"")</f>
        <v>Договора, для которых не созданы собственные agrmnt</v>
      </c>
      <c r="D292" s="8" t="s">
        <v>136</v>
      </c>
      <c r="E292" s="66" t="str">
        <f>IFERROR(VLOOKUP(D292&amp;J292,'Target columns'!A:J,4,FALSE),"")</f>
        <v>DATE</v>
      </c>
      <c r="F292" s="66" t="str">
        <f>IFERROR(VLOOKUP(D292&amp;J292,'Target columns'!A:J,7,FALSE),"")</f>
        <v>No</v>
      </c>
      <c r="G292" s="66" t="str">
        <f>IFERROR(VLOOKUP(D292&amp;J292,'Target columns'!A:J,8,FALSE),"")</f>
        <v>No</v>
      </c>
      <c r="H292" s="66" t="str">
        <f>IFERROR(VLOOKUP(D292&amp;J292,'Target columns'!A:J,5,FALSE),"")</f>
        <v>NULL</v>
      </c>
      <c r="I292" s="66" t="str">
        <f>IFERROR(VLOOKUP(D292&amp;J292,'Target columns'!A:J,10,FALSE),"")</f>
        <v>Дата закрытия договора</v>
      </c>
      <c r="J292" s="8" t="s">
        <v>275</v>
      </c>
      <c r="K292" s="8" t="s">
        <v>150</v>
      </c>
      <c r="L292" s="66" t="str">
        <f>IFERROR(VLOOKUP(K292&amp;N292,source_columns[[Seek]:[Описание поля]],4,0),"")</f>
        <v>date</v>
      </c>
      <c r="M292" s="66" t="str">
        <f>IFERROR(VLOOKUP(K292&amp;N292,source_columns[[Seek]:[Описание поля]],7,0),"")</f>
        <v>Дата закрытия</v>
      </c>
      <c r="N292" s="8" t="s">
        <v>387</v>
      </c>
      <c r="O292" s="8"/>
      <c r="P292" s="8"/>
      <c r="Q292" s="8"/>
      <c r="R292" s="8"/>
      <c r="S292" s="278"/>
      <c r="T292" s="65"/>
      <c r="U292" s="65"/>
      <c r="V292" s="66" t="str">
        <f>"n308000046_"&amp;IFERROR(VLOOKUP(D292,target_tables[],5,0),"&lt;not found&gt;")</f>
        <v>n308000046_agr_other</v>
      </c>
      <c r="W292" s="65" t="s">
        <v>273</v>
      </c>
      <c r="X292" s="65"/>
      <c r="Y292" s="65"/>
      <c r="Z292" s="65"/>
      <c r="AA292" s="65"/>
      <c r="AB292" s="65"/>
      <c r="AC292" s="65"/>
      <c r="AD292" s="65"/>
      <c r="AE292" s="65"/>
      <c r="AF292" s="299"/>
      <c r="AG292" s="10"/>
      <c r="AH292" s="10"/>
      <c r="AI292" s="10"/>
      <c r="AJ292" s="68"/>
      <c r="AK292" s="69"/>
      <c r="WVK292" s="118"/>
      <c r="WVL292" s="118"/>
      <c r="WVM292" s="118"/>
      <c r="WVN292" s="118"/>
      <c r="WVO292" s="118"/>
      <c r="WVP292" s="118"/>
      <c r="WVQ292" s="118"/>
      <c r="WVR292" s="118"/>
      <c r="WVS292" s="118"/>
      <c r="WVT292" s="118"/>
      <c r="WVU292" s="118"/>
      <c r="WVV292" s="118"/>
      <c r="WVW292" s="118"/>
      <c r="WVX292" s="118"/>
      <c r="WVY292" s="118"/>
      <c r="WVZ292" s="118"/>
      <c r="WWA292" s="118"/>
      <c r="WWB292" s="118"/>
      <c r="WWC292" s="118"/>
      <c r="WWD292" s="118"/>
      <c r="WWE292" s="118"/>
      <c r="WWF292" s="118"/>
      <c r="WWG292" s="118"/>
      <c r="WWH292" s="118"/>
      <c r="WWI292" s="118"/>
      <c r="WWJ292" s="118"/>
      <c r="WWK292" s="118"/>
      <c r="WWL292" s="118"/>
      <c r="WWM292" s="118"/>
      <c r="WWN292" s="118"/>
      <c r="WWO292" s="118"/>
      <c r="WWP292" s="118"/>
      <c r="WWQ292" s="118"/>
      <c r="WWR292" s="118"/>
      <c r="WWS292" s="118"/>
      <c r="WWT292" s="118"/>
      <c r="WWU292" s="118"/>
      <c r="WWV292" s="118"/>
      <c r="WWW292" s="118"/>
      <c r="WWX292" s="118"/>
      <c r="WWY292" s="118"/>
      <c r="WWZ292" s="118"/>
      <c r="WXA292" s="118"/>
      <c r="WXB292" s="118"/>
      <c r="WXC292" s="118"/>
      <c r="WXD292" s="118"/>
      <c r="WXE292" s="118"/>
      <c r="WXF292" s="118"/>
      <c r="WXG292" s="118"/>
      <c r="WXH292" s="118"/>
      <c r="WXI292" s="118"/>
      <c r="WXJ292" s="118"/>
      <c r="WXK292" s="118"/>
      <c r="WXL292" s="118"/>
      <c r="WXM292" s="118"/>
      <c r="WXN292" s="118"/>
      <c r="WXO292" s="118"/>
      <c r="WXP292" s="118"/>
      <c r="WXQ292" s="118"/>
      <c r="WXR292" s="118"/>
      <c r="WXS292" s="118"/>
      <c r="WXT292" s="118"/>
      <c r="WXU292" s="118"/>
      <c r="WXV292" s="118"/>
      <c r="WXW292" s="118"/>
      <c r="WXX292" s="118"/>
      <c r="WXY292" s="118"/>
      <c r="WXZ292" s="118"/>
      <c r="WYA292" s="118"/>
      <c r="WYB292" s="118"/>
      <c r="WYC292" s="118"/>
      <c r="WYD292" s="118"/>
      <c r="WYE292" s="118"/>
      <c r="WYF292" s="118"/>
      <c r="WYG292" s="118"/>
      <c r="WYH292" s="118"/>
      <c r="WYI292" s="118"/>
      <c r="WYJ292" s="118"/>
      <c r="WYK292" s="118"/>
      <c r="WYL292" s="118"/>
      <c r="WYM292" s="118"/>
      <c r="WYN292" s="118"/>
      <c r="WYO292" s="118"/>
      <c r="WYP292" s="118"/>
      <c r="WYQ292" s="118"/>
      <c r="WYR292" s="118"/>
      <c r="WYS292" s="118"/>
      <c r="WYT292" s="118"/>
      <c r="WYU292" s="118"/>
      <c r="WYV292" s="118"/>
      <c r="WYW292" s="118"/>
      <c r="WYX292" s="118"/>
      <c r="WYY292" s="118"/>
      <c r="WYZ292" s="118"/>
      <c r="WZA292" s="118"/>
      <c r="WZB292" s="118"/>
      <c r="WZC292" s="118"/>
      <c r="WZD292" s="118"/>
      <c r="WZE292" s="118"/>
      <c r="WZF292" s="118"/>
      <c r="WZG292" s="118"/>
      <c r="WZH292" s="118"/>
      <c r="WZI292" s="118"/>
      <c r="WZJ292" s="118"/>
      <c r="WZK292" s="118"/>
      <c r="WZL292" s="118"/>
      <c r="WZM292" s="118"/>
      <c r="WZN292" s="118"/>
      <c r="WZO292" s="118"/>
      <c r="WZP292" s="118"/>
      <c r="WZQ292" s="118"/>
      <c r="WZR292" s="118"/>
      <c r="WZS292" s="118"/>
      <c r="WZT292" s="118"/>
      <c r="WZU292" s="118"/>
      <c r="WZV292" s="118"/>
      <c r="WZW292" s="118"/>
      <c r="WZX292" s="118"/>
      <c r="WZY292" s="118"/>
      <c r="WZZ292" s="118"/>
      <c r="XAA292" s="118"/>
      <c r="XAB292" s="118"/>
      <c r="XAC292" s="118"/>
      <c r="XAD292" s="118"/>
      <c r="XAE292" s="118"/>
      <c r="XAF292" s="118"/>
      <c r="XAG292" s="118"/>
      <c r="XAH292" s="118"/>
      <c r="XAI292" s="118"/>
      <c r="XAJ292" s="118"/>
      <c r="XAK292" s="118"/>
      <c r="XAL292" s="118"/>
      <c r="XAM292" s="118"/>
      <c r="XAN292" s="118"/>
      <c r="XAO292" s="118"/>
      <c r="XAP292" s="118"/>
      <c r="XAQ292" s="118"/>
      <c r="XAR292" s="118"/>
      <c r="XAS292" s="118"/>
      <c r="XAT292" s="118"/>
      <c r="XAU292" s="118"/>
      <c r="XAV292" s="118"/>
      <c r="XAW292" s="118"/>
      <c r="XAX292" s="118"/>
      <c r="XAY292" s="118"/>
      <c r="XAZ292" s="118"/>
      <c r="XBA292" s="118"/>
      <c r="XBB292" s="118"/>
      <c r="XBC292" s="118"/>
      <c r="XBD292" s="118"/>
      <c r="XBE292" s="118"/>
      <c r="XBF292" s="118"/>
      <c r="XBG292" s="118"/>
      <c r="XBH292" s="118"/>
      <c r="XBI292" s="118"/>
      <c r="XBJ292" s="118"/>
      <c r="XBK292" s="118"/>
      <c r="XBL292" s="118"/>
      <c r="XBM292" s="118"/>
      <c r="XBN292" s="118"/>
      <c r="XBO292" s="118"/>
      <c r="XBP292" s="118"/>
      <c r="XBQ292" s="118"/>
      <c r="XBR292" s="118"/>
      <c r="XBS292" s="118"/>
      <c r="XBT292" s="118"/>
      <c r="XBU292" s="118"/>
      <c r="XBV292" s="118"/>
      <c r="XBW292" s="118"/>
      <c r="XBX292" s="118"/>
      <c r="XBY292" s="118"/>
      <c r="XBZ292" s="118"/>
      <c r="XCA292" s="118"/>
      <c r="XCB292" s="118"/>
      <c r="XCC292" s="118"/>
      <c r="XCD292" s="118"/>
      <c r="XCE292" s="118"/>
      <c r="XCF292" s="118"/>
      <c r="XCG292" s="118"/>
      <c r="XCH292" s="118"/>
      <c r="XCI292" s="118"/>
      <c r="XCJ292" s="118"/>
      <c r="XCK292" s="118"/>
      <c r="XCL292" s="118"/>
      <c r="XCM292" s="118"/>
      <c r="XCN292" s="118"/>
      <c r="XCO292" s="118"/>
      <c r="XCP292" s="118"/>
      <c r="XCQ292" s="118"/>
      <c r="XCR292" s="118"/>
      <c r="XCS292" s="118"/>
      <c r="XCT292" s="118"/>
      <c r="XCU292" s="118"/>
      <c r="XCV292" s="118"/>
      <c r="XCW292" s="118"/>
      <c r="XCX292" s="118"/>
      <c r="XCY292" s="118"/>
      <c r="XCZ292" s="118"/>
      <c r="XDA292" s="118"/>
      <c r="XDB292" s="118"/>
      <c r="XDC292" s="118"/>
      <c r="XDD292" s="118"/>
      <c r="XDE292" s="118"/>
      <c r="XDF292" s="118"/>
      <c r="XDG292" s="118"/>
      <c r="XDH292" s="118"/>
      <c r="XDI292" s="118"/>
      <c r="XDJ292" s="118"/>
      <c r="XDK292" s="118"/>
      <c r="XDL292" s="118"/>
      <c r="XDM292" s="118"/>
      <c r="XDN292" s="118"/>
      <c r="XDO292" s="118"/>
      <c r="XDP292" s="118"/>
      <c r="XDQ292" s="118"/>
      <c r="XDR292" s="118"/>
      <c r="XDS292" s="118"/>
      <c r="XDT292" s="118"/>
      <c r="XDU292" s="118"/>
      <c r="XDV292" s="118"/>
      <c r="XDW292" s="118"/>
      <c r="XDX292" s="118"/>
      <c r="XDY292" s="118"/>
      <c r="XDZ292" s="118"/>
      <c r="XEA292" s="118"/>
      <c r="XEB292" s="118"/>
      <c r="XEC292" s="118"/>
      <c r="XED292" s="118"/>
      <c r="XEE292" s="118"/>
      <c r="XEF292" s="118"/>
      <c r="XEG292" s="118"/>
      <c r="XEH292" s="118"/>
      <c r="XEI292" s="118"/>
      <c r="XEJ292" s="118"/>
      <c r="XEK292" s="118"/>
      <c r="XEL292" s="118"/>
      <c r="XEM292" s="118"/>
      <c r="XEN292" s="118"/>
      <c r="XEO292" s="118"/>
      <c r="XEP292" s="118"/>
      <c r="XEQ292" s="118"/>
      <c r="XER292" s="118"/>
      <c r="XES292" s="118"/>
      <c r="XET292" s="118"/>
      <c r="XEU292" s="118"/>
      <c r="XEV292" s="118"/>
      <c r="XEW292" s="118"/>
      <c r="XEX292" s="118"/>
      <c r="XEY292" s="118"/>
      <c r="XEZ292" s="118"/>
      <c r="XFA292" s="118"/>
      <c r="XFB292" s="118"/>
      <c r="XFC292" s="118"/>
      <c r="XFD292" s="118"/>
    </row>
    <row r="293" spans="1:37 16131:16384" ht="12.75" hidden="1" customHeight="1" x14ac:dyDescent="0.3">
      <c r="A293" s="115">
        <v>2520</v>
      </c>
      <c r="B293" s="8" t="s">
        <v>623</v>
      </c>
      <c r="C293" s="65" t="str">
        <f>IFERROR(VLOOKUP(D293,'Target tables'!A:B,2,0),"")</f>
        <v>Договора, для которых не созданы собственные agrmnt</v>
      </c>
      <c r="D293" s="8" t="s">
        <v>136</v>
      </c>
      <c r="E293" s="66" t="str">
        <f>IFERROR(VLOOKUP(D293&amp;J293,'Target columns'!A:J,4,FALSE),"")</f>
        <v>TEXT</v>
      </c>
      <c r="F293" s="66" t="str">
        <f>IFERROR(VLOOKUP(D293&amp;J293,'Target columns'!A:J,7,FALSE),"")</f>
        <v>No</v>
      </c>
      <c r="G293" s="66" t="str">
        <f>IFERROR(VLOOKUP(D293&amp;J293,'Target columns'!A:J,8,FALSE),"")</f>
        <v>No</v>
      </c>
      <c r="H293" s="66" t="str">
        <f>IFERROR(VLOOKUP(D293&amp;J293,'Target columns'!A:J,5,FALSE),"")</f>
        <v>NULL</v>
      </c>
      <c r="I293" s="66" t="str">
        <f>IFERROR(VLOOKUP(D293&amp;J293,'Target columns'!A:J,10,FALSE),"")</f>
        <v>Номер договора</v>
      </c>
      <c r="J293" s="8" t="s">
        <v>591</v>
      </c>
      <c r="K293" s="8" t="s">
        <v>150</v>
      </c>
      <c r="L293" s="66" t="str">
        <f>IFERROR(VLOOKUP(K293&amp;N293,source_columns[[Seek]:[Описание поля]],4,0),"")</f>
        <v>text</v>
      </c>
      <c r="M293" s="66" t="str">
        <f>IFERROR(VLOOKUP(K293&amp;N293,source_columns[[Seek]:[Описание поля]],7,0),"")</f>
        <v>Референс сделки</v>
      </c>
      <c r="N293" s="8" t="s">
        <v>388</v>
      </c>
      <c r="O293" s="8"/>
      <c r="P293" s="8"/>
      <c r="Q293" s="8"/>
      <c r="R293" s="8"/>
      <c r="S293" s="278"/>
      <c r="T293" s="65"/>
      <c r="U293" s="65"/>
      <c r="V293" s="66" t="str">
        <f>"n308000046_"&amp;IFERROR(VLOOKUP(D293,target_tables[],5,0),"&lt;not found&gt;")</f>
        <v>n308000046_agr_other</v>
      </c>
      <c r="W293" s="65" t="s">
        <v>273</v>
      </c>
      <c r="X293" s="65"/>
      <c r="Y293" s="65"/>
      <c r="Z293" s="65"/>
      <c r="AA293" s="65"/>
      <c r="AB293" s="65"/>
      <c r="AC293" s="65"/>
      <c r="AD293" s="65"/>
      <c r="AE293" s="65"/>
      <c r="AF293" s="299"/>
      <c r="AG293" s="10"/>
      <c r="AH293" s="10"/>
      <c r="AI293" s="10"/>
      <c r="AJ293" s="68"/>
      <c r="AK293" s="69"/>
      <c r="WVK293" s="118"/>
      <c r="WVL293" s="118"/>
      <c r="WVM293" s="118"/>
      <c r="WVN293" s="118"/>
      <c r="WVO293" s="118"/>
      <c r="WVP293" s="118"/>
      <c r="WVQ293" s="118"/>
      <c r="WVR293" s="118"/>
      <c r="WVS293" s="118"/>
      <c r="WVT293" s="118"/>
      <c r="WVU293" s="118"/>
      <c r="WVV293" s="118"/>
      <c r="WVW293" s="118"/>
      <c r="WVX293" s="118"/>
      <c r="WVY293" s="118"/>
      <c r="WVZ293" s="118"/>
      <c r="WWA293" s="118"/>
      <c r="WWB293" s="118"/>
      <c r="WWC293" s="118"/>
      <c r="WWD293" s="118"/>
      <c r="WWE293" s="118"/>
      <c r="WWF293" s="118"/>
      <c r="WWG293" s="118"/>
      <c r="WWH293" s="118"/>
      <c r="WWI293" s="118"/>
      <c r="WWJ293" s="118"/>
      <c r="WWK293" s="118"/>
      <c r="WWL293" s="118"/>
      <c r="WWM293" s="118"/>
      <c r="WWN293" s="118"/>
      <c r="WWO293" s="118"/>
      <c r="WWP293" s="118"/>
      <c r="WWQ293" s="118"/>
      <c r="WWR293" s="118"/>
      <c r="WWS293" s="118"/>
      <c r="WWT293" s="118"/>
      <c r="WWU293" s="118"/>
      <c r="WWV293" s="118"/>
      <c r="WWW293" s="118"/>
      <c r="WWX293" s="118"/>
      <c r="WWY293" s="118"/>
      <c r="WWZ293" s="118"/>
      <c r="WXA293" s="118"/>
      <c r="WXB293" s="118"/>
      <c r="WXC293" s="118"/>
      <c r="WXD293" s="118"/>
      <c r="WXE293" s="118"/>
      <c r="WXF293" s="118"/>
      <c r="WXG293" s="118"/>
      <c r="WXH293" s="118"/>
      <c r="WXI293" s="118"/>
      <c r="WXJ293" s="118"/>
      <c r="WXK293" s="118"/>
      <c r="WXL293" s="118"/>
      <c r="WXM293" s="118"/>
      <c r="WXN293" s="118"/>
      <c r="WXO293" s="118"/>
      <c r="WXP293" s="118"/>
      <c r="WXQ293" s="118"/>
      <c r="WXR293" s="118"/>
      <c r="WXS293" s="118"/>
      <c r="WXT293" s="118"/>
      <c r="WXU293" s="118"/>
      <c r="WXV293" s="118"/>
      <c r="WXW293" s="118"/>
      <c r="WXX293" s="118"/>
      <c r="WXY293" s="118"/>
      <c r="WXZ293" s="118"/>
      <c r="WYA293" s="118"/>
      <c r="WYB293" s="118"/>
      <c r="WYC293" s="118"/>
      <c r="WYD293" s="118"/>
      <c r="WYE293" s="118"/>
      <c r="WYF293" s="118"/>
      <c r="WYG293" s="118"/>
      <c r="WYH293" s="118"/>
      <c r="WYI293" s="118"/>
      <c r="WYJ293" s="118"/>
      <c r="WYK293" s="118"/>
      <c r="WYL293" s="118"/>
      <c r="WYM293" s="118"/>
      <c r="WYN293" s="118"/>
      <c r="WYO293" s="118"/>
      <c r="WYP293" s="118"/>
      <c r="WYQ293" s="118"/>
      <c r="WYR293" s="118"/>
      <c r="WYS293" s="118"/>
      <c r="WYT293" s="118"/>
      <c r="WYU293" s="118"/>
      <c r="WYV293" s="118"/>
      <c r="WYW293" s="118"/>
      <c r="WYX293" s="118"/>
      <c r="WYY293" s="118"/>
      <c r="WYZ293" s="118"/>
      <c r="WZA293" s="118"/>
      <c r="WZB293" s="118"/>
      <c r="WZC293" s="118"/>
      <c r="WZD293" s="118"/>
      <c r="WZE293" s="118"/>
      <c r="WZF293" s="118"/>
      <c r="WZG293" s="118"/>
      <c r="WZH293" s="118"/>
      <c r="WZI293" s="118"/>
      <c r="WZJ293" s="118"/>
      <c r="WZK293" s="118"/>
      <c r="WZL293" s="118"/>
      <c r="WZM293" s="118"/>
      <c r="WZN293" s="118"/>
      <c r="WZO293" s="118"/>
      <c r="WZP293" s="118"/>
      <c r="WZQ293" s="118"/>
      <c r="WZR293" s="118"/>
      <c r="WZS293" s="118"/>
      <c r="WZT293" s="118"/>
      <c r="WZU293" s="118"/>
      <c r="WZV293" s="118"/>
      <c r="WZW293" s="118"/>
      <c r="WZX293" s="118"/>
      <c r="WZY293" s="118"/>
      <c r="WZZ293" s="118"/>
      <c r="XAA293" s="118"/>
      <c r="XAB293" s="118"/>
      <c r="XAC293" s="118"/>
      <c r="XAD293" s="118"/>
      <c r="XAE293" s="118"/>
      <c r="XAF293" s="118"/>
      <c r="XAG293" s="118"/>
      <c r="XAH293" s="118"/>
      <c r="XAI293" s="118"/>
      <c r="XAJ293" s="118"/>
      <c r="XAK293" s="118"/>
      <c r="XAL293" s="118"/>
      <c r="XAM293" s="118"/>
      <c r="XAN293" s="118"/>
      <c r="XAO293" s="118"/>
      <c r="XAP293" s="118"/>
      <c r="XAQ293" s="118"/>
      <c r="XAR293" s="118"/>
      <c r="XAS293" s="118"/>
      <c r="XAT293" s="118"/>
      <c r="XAU293" s="118"/>
      <c r="XAV293" s="118"/>
      <c r="XAW293" s="118"/>
      <c r="XAX293" s="118"/>
      <c r="XAY293" s="118"/>
      <c r="XAZ293" s="118"/>
      <c r="XBA293" s="118"/>
      <c r="XBB293" s="118"/>
      <c r="XBC293" s="118"/>
      <c r="XBD293" s="118"/>
      <c r="XBE293" s="118"/>
      <c r="XBF293" s="118"/>
      <c r="XBG293" s="118"/>
      <c r="XBH293" s="118"/>
      <c r="XBI293" s="118"/>
      <c r="XBJ293" s="118"/>
      <c r="XBK293" s="118"/>
      <c r="XBL293" s="118"/>
      <c r="XBM293" s="118"/>
      <c r="XBN293" s="118"/>
      <c r="XBO293" s="118"/>
      <c r="XBP293" s="118"/>
      <c r="XBQ293" s="118"/>
      <c r="XBR293" s="118"/>
      <c r="XBS293" s="118"/>
      <c r="XBT293" s="118"/>
      <c r="XBU293" s="118"/>
      <c r="XBV293" s="118"/>
      <c r="XBW293" s="118"/>
      <c r="XBX293" s="118"/>
      <c r="XBY293" s="118"/>
      <c r="XBZ293" s="118"/>
      <c r="XCA293" s="118"/>
      <c r="XCB293" s="118"/>
      <c r="XCC293" s="118"/>
      <c r="XCD293" s="118"/>
      <c r="XCE293" s="118"/>
      <c r="XCF293" s="118"/>
      <c r="XCG293" s="118"/>
      <c r="XCH293" s="118"/>
      <c r="XCI293" s="118"/>
      <c r="XCJ293" s="118"/>
      <c r="XCK293" s="118"/>
      <c r="XCL293" s="118"/>
      <c r="XCM293" s="118"/>
      <c r="XCN293" s="118"/>
      <c r="XCO293" s="118"/>
      <c r="XCP293" s="118"/>
      <c r="XCQ293" s="118"/>
      <c r="XCR293" s="118"/>
      <c r="XCS293" s="118"/>
      <c r="XCT293" s="118"/>
      <c r="XCU293" s="118"/>
      <c r="XCV293" s="118"/>
      <c r="XCW293" s="118"/>
      <c r="XCX293" s="118"/>
      <c r="XCY293" s="118"/>
      <c r="XCZ293" s="118"/>
      <c r="XDA293" s="118"/>
      <c r="XDB293" s="118"/>
      <c r="XDC293" s="118"/>
      <c r="XDD293" s="118"/>
      <c r="XDE293" s="118"/>
      <c r="XDF293" s="118"/>
      <c r="XDG293" s="118"/>
      <c r="XDH293" s="118"/>
      <c r="XDI293" s="118"/>
      <c r="XDJ293" s="118"/>
      <c r="XDK293" s="118"/>
      <c r="XDL293" s="118"/>
      <c r="XDM293" s="118"/>
      <c r="XDN293" s="118"/>
      <c r="XDO293" s="118"/>
      <c r="XDP293" s="118"/>
      <c r="XDQ293" s="118"/>
      <c r="XDR293" s="118"/>
      <c r="XDS293" s="118"/>
      <c r="XDT293" s="118"/>
      <c r="XDU293" s="118"/>
      <c r="XDV293" s="118"/>
      <c r="XDW293" s="118"/>
      <c r="XDX293" s="118"/>
      <c r="XDY293" s="118"/>
      <c r="XDZ293" s="118"/>
      <c r="XEA293" s="118"/>
      <c r="XEB293" s="118"/>
      <c r="XEC293" s="118"/>
      <c r="XED293" s="118"/>
      <c r="XEE293" s="118"/>
      <c r="XEF293" s="118"/>
      <c r="XEG293" s="118"/>
      <c r="XEH293" s="118"/>
      <c r="XEI293" s="118"/>
      <c r="XEJ293" s="118"/>
      <c r="XEK293" s="118"/>
      <c r="XEL293" s="118"/>
      <c r="XEM293" s="118"/>
      <c r="XEN293" s="118"/>
      <c r="XEO293" s="118"/>
      <c r="XEP293" s="118"/>
      <c r="XEQ293" s="118"/>
      <c r="XER293" s="118"/>
      <c r="XES293" s="118"/>
      <c r="XET293" s="118"/>
      <c r="XEU293" s="118"/>
      <c r="XEV293" s="118"/>
      <c r="XEW293" s="118"/>
      <c r="XEX293" s="118"/>
      <c r="XEY293" s="118"/>
      <c r="XEZ293" s="118"/>
      <c r="XFA293" s="118"/>
      <c r="XFB293" s="118"/>
      <c r="XFC293" s="118"/>
      <c r="XFD293" s="118"/>
    </row>
    <row r="294" spans="1:37 16131:16384" ht="12.75" hidden="1" customHeight="1" x14ac:dyDescent="0.3">
      <c r="A294" s="115">
        <v>2530</v>
      </c>
      <c r="B294" s="8" t="s">
        <v>623</v>
      </c>
      <c r="C294" s="65" t="str">
        <f>IFERROR(VLOOKUP(D294,'Target tables'!A:B,2,0),"")</f>
        <v>Договора, для которых не созданы собственные agrmnt</v>
      </c>
      <c r="D294" s="8" t="s">
        <v>136</v>
      </c>
      <c r="E294" s="66" t="str">
        <f>IFERROR(VLOOKUP(D294&amp;J294,'Target columns'!A:J,4,FALSE),"")</f>
        <v>TEXT</v>
      </c>
      <c r="F294" s="66" t="str">
        <f>IFERROR(VLOOKUP(D294&amp;J294,'Target columns'!A:J,7,FALSE),"")</f>
        <v>No</v>
      </c>
      <c r="G294" s="66" t="str">
        <f>IFERROR(VLOOKUP(D294&amp;J294,'Target columns'!A:J,8,FALSE),"")</f>
        <v>No</v>
      </c>
      <c r="H294" s="66" t="str">
        <f>IFERROR(VLOOKUP(D294&amp;J294,'Target columns'!A:J,5,FALSE),"")</f>
        <v>NULL</v>
      </c>
      <c r="I294" s="66" t="str">
        <f>IFERROR(VLOOKUP(D294&amp;J294,'Target columns'!A:J,10,FALSE),"")</f>
        <v>Номер договора банка эмитента</v>
      </c>
      <c r="J294" s="8" t="s">
        <v>506</v>
      </c>
      <c r="K294" s="8" t="s">
        <v>150</v>
      </c>
      <c r="L294" s="66" t="str">
        <f>IFERROR(VLOOKUP(K294&amp;N294,source_columns[[Seek]:[Описание поля]],4,0),"")</f>
        <v>text</v>
      </c>
      <c r="M294" s="66" t="str">
        <f>IFERROR(VLOOKUP(K294&amp;N294,source_columns[[Seek]:[Описание поля]],7,0),"")</f>
        <v>Номер сделки у иностранного банка</v>
      </c>
      <c r="N294" s="8" t="s">
        <v>592</v>
      </c>
      <c r="O294" s="8"/>
      <c r="P294" s="8"/>
      <c r="Q294" s="8"/>
      <c r="R294" s="8"/>
      <c r="S294" s="278"/>
      <c r="T294" s="65"/>
      <c r="U294" s="65"/>
      <c r="V294" s="66" t="str">
        <f>"n308000046_"&amp;IFERROR(VLOOKUP(D294,target_tables[],5,0),"&lt;not found&gt;")</f>
        <v>n308000046_agr_other</v>
      </c>
      <c r="W294" s="65" t="s">
        <v>273</v>
      </c>
      <c r="X294" s="65"/>
      <c r="Y294" s="65"/>
      <c r="Z294" s="65"/>
      <c r="AA294" s="65"/>
      <c r="AB294" s="65"/>
      <c r="AC294" s="65"/>
      <c r="AD294" s="65"/>
      <c r="AE294" s="65"/>
      <c r="AF294" s="299"/>
      <c r="AG294" s="10"/>
      <c r="AH294" s="10"/>
      <c r="AI294" s="10"/>
      <c r="AJ294" s="68"/>
      <c r="AK294" s="69"/>
      <c r="WVK294" s="118"/>
      <c r="WVL294" s="118"/>
      <c r="WVM294" s="118"/>
      <c r="WVN294" s="118"/>
      <c r="WVO294" s="118"/>
      <c r="WVP294" s="118"/>
      <c r="WVQ294" s="118"/>
      <c r="WVR294" s="118"/>
      <c r="WVS294" s="118"/>
      <c r="WVT294" s="118"/>
      <c r="WVU294" s="118"/>
      <c r="WVV294" s="118"/>
      <c r="WVW294" s="118"/>
      <c r="WVX294" s="118"/>
      <c r="WVY294" s="118"/>
      <c r="WVZ294" s="118"/>
      <c r="WWA294" s="118"/>
      <c r="WWB294" s="118"/>
      <c r="WWC294" s="118"/>
      <c r="WWD294" s="118"/>
      <c r="WWE294" s="118"/>
      <c r="WWF294" s="118"/>
      <c r="WWG294" s="118"/>
      <c r="WWH294" s="118"/>
      <c r="WWI294" s="118"/>
      <c r="WWJ294" s="118"/>
      <c r="WWK294" s="118"/>
      <c r="WWL294" s="118"/>
      <c r="WWM294" s="118"/>
      <c r="WWN294" s="118"/>
      <c r="WWO294" s="118"/>
      <c r="WWP294" s="118"/>
      <c r="WWQ294" s="118"/>
      <c r="WWR294" s="118"/>
      <c r="WWS294" s="118"/>
      <c r="WWT294" s="118"/>
      <c r="WWU294" s="118"/>
      <c r="WWV294" s="118"/>
      <c r="WWW294" s="118"/>
      <c r="WWX294" s="118"/>
      <c r="WWY294" s="118"/>
      <c r="WWZ294" s="118"/>
      <c r="WXA294" s="118"/>
      <c r="WXB294" s="118"/>
      <c r="WXC294" s="118"/>
      <c r="WXD294" s="118"/>
      <c r="WXE294" s="118"/>
      <c r="WXF294" s="118"/>
      <c r="WXG294" s="118"/>
      <c r="WXH294" s="118"/>
      <c r="WXI294" s="118"/>
      <c r="WXJ294" s="118"/>
      <c r="WXK294" s="118"/>
      <c r="WXL294" s="118"/>
      <c r="WXM294" s="118"/>
      <c r="WXN294" s="118"/>
      <c r="WXO294" s="118"/>
      <c r="WXP294" s="118"/>
      <c r="WXQ294" s="118"/>
      <c r="WXR294" s="118"/>
      <c r="WXS294" s="118"/>
      <c r="WXT294" s="118"/>
      <c r="WXU294" s="118"/>
      <c r="WXV294" s="118"/>
      <c r="WXW294" s="118"/>
      <c r="WXX294" s="118"/>
      <c r="WXY294" s="118"/>
      <c r="WXZ294" s="118"/>
      <c r="WYA294" s="118"/>
      <c r="WYB294" s="118"/>
      <c r="WYC294" s="118"/>
      <c r="WYD294" s="118"/>
      <c r="WYE294" s="118"/>
      <c r="WYF294" s="118"/>
      <c r="WYG294" s="118"/>
      <c r="WYH294" s="118"/>
      <c r="WYI294" s="118"/>
      <c r="WYJ294" s="118"/>
      <c r="WYK294" s="118"/>
      <c r="WYL294" s="118"/>
      <c r="WYM294" s="118"/>
      <c r="WYN294" s="118"/>
      <c r="WYO294" s="118"/>
      <c r="WYP294" s="118"/>
      <c r="WYQ294" s="118"/>
      <c r="WYR294" s="118"/>
      <c r="WYS294" s="118"/>
      <c r="WYT294" s="118"/>
      <c r="WYU294" s="118"/>
      <c r="WYV294" s="118"/>
      <c r="WYW294" s="118"/>
      <c r="WYX294" s="118"/>
      <c r="WYY294" s="118"/>
      <c r="WYZ294" s="118"/>
      <c r="WZA294" s="118"/>
      <c r="WZB294" s="118"/>
      <c r="WZC294" s="118"/>
      <c r="WZD294" s="118"/>
      <c r="WZE294" s="118"/>
      <c r="WZF294" s="118"/>
      <c r="WZG294" s="118"/>
      <c r="WZH294" s="118"/>
      <c r="WZI294" s="118"/>
      <c r="WZJ294" s="118"/>
      <c r="WZK294" s="118"/>
      <c r="WZL294" s="118"/>
      <c r="WZM294" s="118"/>
      <c r="WZN294" s="118"/>
      <c r="WZO294" s="118"/>
      <c r="WZP294" s="118"/>
      <c r="WZQ294" s="118"/>
      <c r="WZR294" s="118"/>
      <c r="WZS294" s="118"/>
      <c r="WZT294" s="118"/>
      <c r="WZU294" s="118"/>
      <c r="WZV294" s="118"/>
      <c r="WZW294" s="118"/>
      <c r="WZX294" s="118"/>
      <c r="WZY294" s="118"/>
      <c r="WZZ294" s="118"/>
      <c r="XAA294" s="118"/>
      <c r="XAB294" s="118"/>
      <c r="XAC294" s="118"/>
      <c r="XAD294" s="118"/>
      <c r="XAE294" s="118"/>
      <c r="XAF294" s="118"/>
      <c r="XAG294" s="118"/>
      <c r="XAH294" s="118"/>
      <c r="XAI294" s="118"/>
      <c r="XAJ294" s="118"/>
      <c r="XAK294" s="118"/>
      <c r="XAL294" s="118"/>
      <c r="XAM294" s="118"/>
      <c r="XAN294" s="118"/>
      <c r="XAO294" s="118"/>
      <c r="XAP294" s="118"/>
      <c r="XAQ294" s="118"/>
      <c r="XAR294" s="118"/>
      <c r="XAS294" s="118"/>
      <c r="XAT294" s="118"/>
      <c r="XAU294" s="118"/>
      <c r="XAV294" s="118"/>
      <c r="XAW294" s="118"/>
      <c r="XAX294" s="118"/>
      <c r="XAY294" s="118"/>
      <c r="XAZ294" s="118"/>
      <c r="XBA294" s="118"/>
      <c r="XBB294" s="118"/>
      <c r="XBC294" s="118"/>
      <c r="XBD294" s="118"/>
      <c r="XBE294" s="118"/>
      <c r="XBF294" s="118"/>
      <c r="XBG294" s="118"/>
      <c r="XBH294" s="118"/>
      <c r="XBI294" s="118"/>
      <c r="XBJ294" s="118"/>
      <c r="XBK294" s="118"/>
      <c r="XBL294" s="118"/>
      <c r="XBM294" s="118"/>
      <c r="XBN294" s="118"/>
      <c r="XBO294" s="118"/>
      <c r="XBP294" s="118"/>
      <c r="XBQ294" s="118"/>
      <c r="XBR294" s="118"/>
      <c r="XBS294" s="118"/>
      <c r="XBT294" s="118"/>
      <c r="XBU294" s="118"/>
      <c r="XBV294" s="118"/>
      <c r="XBW294" s="118"/>
      <c r="XBX294" s="118"/>
      <c r="XBY294" s="118"/>
      <c r="XBZ294" s="118"/>
      <c r="XCA294" s="118"/>
      <c r="XCB294" s="118"/>
      <c r="XCC294" s="118"/>
      <c r="XCD294" s="118"/>
      <c r="XCE294" s="118"/>
      <c r="XCF294" s="118"/>
      <c r="XCG294" s="118"/>
      <c r="XCH294" s="118"/>
      <c r="XCI294" s="118"/>
      <c r="XCJ294" s="118"/>
      <c r="XCK294" s="118"/>
      <c r="XCL294" s="118"/>
      <c r="XCM294" s="118"/>
      <c r="XCN294" s="118"/>
      <c r="XCO294" s="118"/>
      <c r="XCP294" s="118"/>
      <c r="XCQ294" s="118"/>
      <c r="XCR294" s="118"/>
      <c r="XCS294" s="118"/>
      <c r="XCT294" s="118"/>
      <c r="XCU294" s="118"/>
      <c r="XCV294" s="118"/>
      <c r="XCW294" s="118"/>
      <c r="XCX294" s="118"/>
      <c r="XCY294" s="118"/>
      <c r="XCZ294" s="118"/>
      <c r="XDA294" s="118"/>
      <c r="XDB294" s="118"/>
      <c r="XDC294" s="118"/>
      <c r="XDD294" s="118"/>
      <c r="XDE294" s="118"/>
      <c r="XDF294" s="118"/>
      <c r="XDG294" s="118"/>
      <c r="XDH294" s="118"/>
      <c r="XDI294" s="118"/>
      <c r="XDJ294" s="118"/>
      <c r="XDK294" s="118"/>
      <c r="XDL294" s="118"/>
      <c r="XDM294" s="118"/>
      <c r="XDN294" s="118"/>
      <c r="XDO294" s="118"/>
      <c r="XDP294" s="118"/>
      <c r="XDQ294" s="118"/>
      <c r="XDR294" s="118"/>
      <c r="XDS294" s="118"/>
      <c r="XDT294" s="118"/>
      <c r="XDU294" s="118"/>
      <c r="XDV294" s="118"/>
      <c r="XDW294" s="118"/>
      <c r="XDX294" s="118"/>
      <c r="XDY294" s="118"/>
      <c r="XDZ294" s="118"/>
      <c r="XEA294" s="118"/>
      <c r="XEB294" s="118"/>
      <c r="XEC294" s="118"/>
      <c r="XED294" s="118"/>
      <c r="XEE294" s="118"/>
      <c r="XEF294" s="118"/>
      <c r="XEG294" s="118"/>
      <c r="XEH294" s="118"/>
      <c r="XEI294" s="118"/>
      <c r="XEJ294" s="118"/>
      <c r="XEK294" s="118"/>
      <c r="XEL294" s="118"/>
      <c r="XEM294" s="118"/>
      <c r="XEN294" s="118"/>
      <c r="XEO294" s="118"/>
      <c r="XEP294" s="118"/>
      <c r="XEQ294" s="118"/>
      <c r="XER294" s="118"/>
      <c r="XES294" s="118"/>
      <c r="XET294" s="118"/>
      <c r="XEU294" s="118"/>
      <c r="XEV294" s="118"/>
      <c r="XEW294" s="118"/>
      <c r="XEX294" s="118"/>
      <c r="XEY294" s="118"/>
      <c r="XEZ294" s="118"/>
      <c r="XFA294" s="118"/>
      <c r="XFB294" s="118"/>
      <c r="XFC294" s="118"/>
      <c r="XFD294" s="118"/>
    </row>
    <row r="295" spans="1:37 16131:16384" ht="12.75" hidden="1" customHeight="1" x14ac:dyDescent="0.3">
      <c r="A295" s="115">
        <v>2540</v>
      </c>
      <c r="B295" s="8" t="s">
        <v>623</v>
      </c>
      <c r="C295" s="65" t="str">
        <f>IFERROR(VLOOKUP(D295,'Target tables'!A:B,2,0),"")</f>
        <v>Договора, для которых не созданы собственные agrmnt</v>
      </c>
      <c r="D295" s="8" t="s">
        <v>136</v>
      </c>
      <c r="E295" s="66" t="str">
        <f>IFERROR(VLOOKUP(D295&amp;J295,'Target columns'!A:J,4,FALSE),"")</f>
        <v>UUID</v>
      </c>
      <c r="F295" s="66" t="str">
        <f>IFERROR(VLOOKUP(D295&amp;J295,'Target columns'!A:J,7,FALSE),"")</f>
        <v>No</v>
      </c>
      <c r="G295" s="66" t="str">
        <f>IFERROR(VLOOKUP(D295&amp;J295,'Target columns'!A:J,8,FALSE),"")</f>
        <v>Yes</v>
      </c>
      <c r="H295" s="66" t="str">
        <f>IFERROR(VLOOKUP(D295&amp;J295,'Target columns'!A:J,5,FALSE),"")</f>
        <v>NULL</v>
      </c>
      <c r="I295" s="66" t="str">
        <f>IFERROR(VLOOKUP(D295&amp;J295,'Target columns'!A:J,10,FALSE),"")</f>
        <v>Идентификатор категория договора</v>
      </c>
      <c r="J295" s="8" t="s">
        <v>593</v>
      </c>
      <c r="K295" s="8" t="s">
        <v>150</v>
      </c>
      <c r="L295" s="66" t="str">
        <f>IFERROR(VLOOKUP(K295&amp;N295,source_columns[[Seek]:[Описание поля]],4,0),"")</f>
        <v/>
      </c>
      <c r="M295" s="66" t="str">
        <f>IFERROR(VLOOKUP(K295&amp;N295,source_columns[[Seek]:[Описание поля]],7,0),"")</f>
        <v/>
      </c>
      <c r="N295" s="8" t="s">
        <v>624</v>
      </c>
      <c r="O295" s="8"/>
      <c r="P295" s="8"/>
      <c r="Q295" s="8"/>
      <c r="R295" s="8"/>
      <c r="S295" s="278"/>
      <c r="T295" s="65"/>
      <c r="U295" s="65"/>
      <c r="V295" s="66" t="str">
        <f>"n308000046_"&amp;IFERROR(VLOOKUP(D295,target_tables[],5,0),"&lt;not found&gt;")</f>
        <v>n308000046_agr_other</v>
      </c>
      <c r="W295" s="65" t="s">
        <v>273</v>
      </c>
      <c r="X295" s="65"/>
      <c r="Y295" s="65"/>
      <c r="Z295" s="65"/>
      <c r="AA295" s="65"/>
      <c r="AB295" s="65"/>
      <c r="AC295" s="65"/>
      <c r="AD295" s="65"/>
      <c r="AE295" s="65"/>
      <c r="AF295" s="299"/>
      <c r="AG295" s="10"/>
      <c r="AH295" s="10"/>
      <c r="AI295" s="10"/>
      <c r="AJ295" s="68"/>
      <c r="AK295" s="69"/>
      <c r="WVK295" s="118"/>
      <c r="WVL295" s="118"/>
      <c r="WVM295" s="118"/>
      <c r="WVN295" s="118"/>
      <c r="WVO295" s="118"/>
      <c r="WVP295" s="118"/>
      <c r="WVQ295" s="118"/>
      <c r="WVR295" s="118"/>
      <c r="WVS295" s="118"/>
      <c r="WVT295" s="118"/>
      <c r="WVU295" s="118"/>
      <c r="WVV295" s="118"/>
      <c r="WVW295" s="118"/>
      <c r="WVX295" s="118"/>
      <c r="WVY295" s="118"/>
      <c r="WVZ295" s="118"/>
      <c r="WWA295" s="118"/>
      <c r="WWB295" s="118"/>
      <c r="WWC295" s="118"/>
      <c r="WWD295" s="118"/>
      <c r="WWE295" s="118"/>
      <c r="WWF295" s="118"/>
      <c r="WWG295" s="118"/>
      <c r="WWH295" s="118"/>
      <c r="WWI295" s="118"/>
      <c r="WWJ295" s="118"/>
      <c r="WWK295" s="118"/>
      <c r="WWL295" s="118"/>
      <c r="WWM295" s="118"/>
      <c r="WWN295" s="118"/>
      <c r="WWO295" s="118"/>
      <c r="WWP295" s="118"/>
      <c r="WWQ295" s="118"/>
      <c r="WWR295" s="118"/>
      <c r="WWS295" s="118"/>
      <c r="WWT295" s="118"/>
      <c r="WWU295" s="118"/>
      <c r="WWV295" s="118"/>
      <c r="WWW295" s="118"/>
      <c r="WWX295" s="118"/>
      <c r="WWY295" s="118"/>
      <c r="WWZ295" s="118"/>
      <c r="WXA295" s="118"/>
      <c r="WXB295" s="118"/>
      <c r="WXC295" s="118"/>
      <c r="WXD295" s="118"/>
      <c r="WXE295" s="118"/>
      <c r="WXF295" s="118"/>
      <c r="WXG295" s="118"/>
      <c r="WXH295" s="118"/>
      <c r="WXI295" s="118"/>
      <c r="WXJ295" s="118"/>
      <c r="WXK295" s="118"/>
      <c r="WXL295" s="118"/>
      <c r="WXM295" s="118"/>
      <c r="WXN295" s="118"/>
      <c r="WXO295" s="118"/>
      <c r="WXP295" s="118"/>
      <c r="WXQ295" s="118"/>
      <c r="WXR295" s="118"/>
      <c r="WXS295" s="118"/>
      <c r="WXT295" s="118"/>
      <c r="WXU295" s="118"/>
      <c r="WXV295" s="118"/>
      <c r="WXW295" s="118"/>
      <c r="WXX295" s="118"/>
      <c r="WXY295" s="118"/>
      <c r="WXZ295" s="118"/>
      <c r="WYA295" s="118"/>
      <c r="WYB295" s="118"/>
      <c r="WYC295" s="118"/>
      <c r="WYD295" s="118"/>
      <c r="WYE295" s="118"/>
      <c r="WYF295" s="118"/>
      <c r="WYG295" s="118"/>
      <c r="WYH295" s="118"/>
      <c r="WYI295" s="118"/>
      <c r="WYJ295" s="118"/>
      <c r="WYK295" s="118"/>
      <c r="WYL295" s="118"/>
      <c r="WYM295" s="118"/>
      <c r="WYN295" s="118"/>
      <c r="WYO295" s="118"/>
      <c r="WYP295" s="118"/>
      <c r="WYQ295" s="118"/>
      <c r="WYR295" s="118"/>
      <c r="WYS295" s="118"/>
      <c r="WYT295" s="118"/>
      <c r="WYU295" s="118"/>
      <c r="WYV295" s="118"/>
      <c r="WYW295" s="118"/>
      <c r="WYX295" s="118"/>
      <c r="WYY295" s="118"/>
      <c r="WYZ295" s="118"/>
      <c r="WZA295" s="118"/>
      <c r="WZB295" s="118"/>
      <c r="WZC295" s="118"/>
      <c r="WZD295" s="118"/>
      <c r="WZE295" s="118"/>
      <c r="WZF295" s="118"/>
      <c r="WZG295" s="118"/>
      <c r="WZH295" s="118"/>
      <c r="WZI295" s="118"/>
      <c r="WZJ295" s="118"/>
      <c r="WZK295" s="118"/>
      <c r="WZL295" s="118"/>
      <c r="WZM295" s="118"/>
      <c r="WZN295" s="118"/>
      <c r="WZO295" s="118"/>
      <c r="WZP295" s="118"/>
      <c r="WZQ295" s="118"/>
      <c r="WZR295" s="118"/>
      <c r="WZS295" s="118"/>
      <c r="WZT295" s="118"/>
      <c r="WZU295" s="118"/>
      <c r="WZV295" s="118"/>
      <c r="WZW295" s="118"/>
      <c r="WZX295" s="118"/>
      <c r="WZY295" s="118"/>
      <c r="WZZ295" s="118"/>
      <c r="XAA295" s="118"/>
      <c r="XAB295" s="118"/>
      <c r="XAC295" s="118"/>
      <c r="XAD295" s="118"/>
      <c r="XAE295" s="118"/>
      <c r="XAF295" s="118"/>
      <c r="XAG295" s="118"/>
      <c r="XAH295" s="118"/>
      <c r="XAI295" s="118"/>
      <c r="XAJ295" s="118"/>
      <c r="XAK295" s="118"/>
      <c r="XAL295" s="118"/>
      <c r="XAM295" s="118"/>
      <c r="XAN295" s="118"/>
      <c r="XAO295" s="118"/>
      <c r="XAP295" s="118"/>
      <c r="XAQ295" s="118"/>
      <c r="XAR295" s="118"/>
      <c r="XAS295" s="118"/>
      <c r="XAT295" s="118"/>
      <c r="XAU295" s="118"/>
      <c r="XAV295" s="118"/>
      <c r="XAW295" s="118"/>
      <c r="XAX295" s="118"/>
      <c r="XAY295" s="118"/>
      <c r="XAZ295" s="118"/>
      <c r="XBA295" s="118"/>
      <c r="XBB295" s="118"/>
      <c r="XBC295" s="118"/>
      <c r="XBD295" s="118"/>
      <c r="XBE295" s="118"/>
      <c r="XBF295" s="118"/>
      <c r="XBG295" s="118"/>
      <c r="XBH295" s="118"/>
      <c r="XBI295" s="118"/>
      <c r="XBJ295" s="118"/>
      <c r="XBK295" s="118"/>
      <c r="XBL295" s="118"/>
      <c r="XBM295" s="118"/>
      <c r="XBN295" s="118"/>
      <c r="XBO295" s="118"/>
      <c r="XBP295" s="118"/>
      <c r="XBQ295" s="118"/>
      <c r="XBR295" s="118"/>
      <c r="XBS295" s="118"/>
      <c r="XBT295" s="118"/>
      <c r="XBU295" s="118"/>
      <c r="XBV295" s="118"/>
      <c r="XBW295" s="118"/>
      <c r="XBX295" s="118"/>
      <c r="XBY295" s="118"/>
      <c r="XBZ295" s="118"/>
      <c r="XCA295" s="118"/>
      <c r="XCB295" s="118"/>
      <c r="XCC295" s="118"/>
      <c r="XCD295" s="118"/>
      <c r="XCE295" s="118"/>
      <c r="XCF295" s="118"/>
      <c r="XCG295" s="118"/>
      <c r="XCH295" s="118"/>
      <c r="XCI295" s="118"/>
      <c r="XCJ295" s="118"/>
      <c r="XCK295" s="118"/>
      <c r="XCL295" s="118"/>
      <c r="XCM295" s="118"/>
      <c r="XCN295" s="118"/>
      <c r="XCO295" s="118"/>
      <c r="XCP295" s="118"/>
      <c r="XCQ295" s="118"/>
      <c r="XCR295" s="118"/>
      <c r="XCS295" s="118"/>
      <c r="XCT295" s="118"/>
      <c r="XCU295" s="118"/>
      <c r="XCV295" s="118"/>
      <c r="XCW295" s="118"/>
      <c r="XCX295" s="118"/>
      <c r="XCY295" s="118"/>
      <c r="XCZ295" s="118"/>
      <c r="XDA295" s="118"/>
      <c r="XDB295" s="118"/>
      <c r="XDC295" s="118"/>
      <c r="XDD295" s="118"/>
      <c r="XDE295" s="118"/>
      <c r="XDF295" s="118"/>
      <c r="XDG295" s="118"/>
      <c r="XDH295" s="118"/>
      <c r="XDI295" s="118"/>
      <c r="XDJ295" s="118"/>
      <c r="XDK295" s="118"/>
      <c r="XDL295" s="118"/>
      <c r="XDM295" s="118"/>
      <c r="XDN295" s="118"/>
      <c r="XDO295" s="118"/>
      <c r="XDP295" s="118"/>
      <c r="XDQ295" s="118"/>
      <c r="XDR295" s="118"/>
      <c r="XDS295" s="118"/>
      <c r="XDT295" s="118"/>
      <c r="XDU295" s="118"/>
      <c r="XDV295" s="118"/>
      <c r="XDW295" s="118"/>
      <c r="XDX295" s="118"/>
      <c r="XDY295" s="118"/>
      <c r="XDZ295" s="118"/>
      <c r="XEA295" s="118"/>
      <c r="XEB295" s="118"/>
      <c r="XEC295" s="118"/>
      <c r="XED295" s="118"/>
      <c r="XEE295" s="118"/>
      <c r="XEF295" s="118"/>
      <c r="XEG295" s="118"/>
      <c r="XEH295" s="118"/>
      <c r="XEI295" s="118"/>
      <c r="XEJ295" s="118"/>
      <c r="XEK295" s="118"/>
      <c r="XEL295" s="118"/>
      <c r="XEM295" s="118"/>
      <c r="XEN295" s="118"/>
      <c r="XEO295" s="118"/>
      <c r="XEP295" s="118"/>
      <c r="XEQ295" s="118"/>
      <c r="XER295" s="118"/>
      <c r="XES295" s="118"/>
      <c r="XET295" s="118"/>
      <c r="XEU295" s="118"/>
      <c r="XEV295" s="118"/>
      <c r="XEW295" s="118"/>
      <c r="XEX295" s="118"/>
      <c r="XEY295" s="118"/>
      <c r="XEZ295" s="118"/>
      <c r="XFA295" s="118"/>
      <c r="XFB295" s="118"/>
      <c r="XFC295" s="118"/>
      <c r="XFD295" s="118"/>
    </row>
    <row r="296" spans="1:37 16131:16384" ht="12.75" hidden="1" customHeight="1" x14ac:dyDescent="0.3">
      <c r="A296" s="115">
        <v>2550</v>
      </c>
      <c r="B296" s="8" t="s">
        <v>623</v>
      </c>
      <c r="C296" s="65" t="str">
        <f>IFERROR(VLOOKUP(D296,'Target tables'!A:B,2,0),"")</f>
        <v>Договора, для которых не созданы собственные agrmnt</v>
      </c>
      <c r="D296" s="8" t="s">
        <v>136</v>
      </c>
      <c r="E296" s="66" t="str">
        <f>IFERROR(VLOOKUP(D296&amp;J296,'Target columns'!A:J,4,FALSE),"")</f>
        <v>TEXT</v>
      </c>
      <c r="F296" s="66" t="str">
        <f>IFERROR(VLOOKUP(D296&amp;J296,'Target columns'!A:J,7,FALSE),"")</f>
        <v>No</v>
      </c>
      <c r="G296" s="66" t="str">
        <f>IFERROR(VLOOKUP(D296&amp;J296,'Target columns'!A:J,8,FALSE),"")</f>
        <v>No</v>
      </c>
      <c r="H296" s="66" t="str">
        <f>IFERROR(VLOOKUP(D296&amp;J296,'Target columns'!A:J,5,FALSE),"")</f>
        <v>NULL</v>
      </c>
      <c r="I296" s="66" t="str">
        <f>IFERROR(VLOOKUP(D296&amp;J296,'Target columns'!A:J,10,FALSE),"")</f>
        <v>Идентификатор договора в системе-источнике</v>
      </c>
      <c r="J296" s="8" t="s">
        <v>595</v>
      </c>
      <c r="K296" s="8" t="s">
        <v>150</v>
      </c>
      <c r="L296" s="66" t="str">
        <f>IFERROR(VLOOKUP(K296&amp;N296,source_columns[[Seek]:[Описание поля]],4,0),"")</f>
        <v>text</v>
      </c>
      <c r="M296" s="66" t="str">
        <f>IFERROR(VLOOKUP(K296&amp;N296,source_columns[[Seek]:[Описание поля]],7,0),"")</f>
        <v>Референс сделки</v>
      </c>
      <c r="N296" s="8" t="s">
        <v>388</v>
      </c>
      <c r="O296" s="8"/>
      <c r="P296" s="8"/>
      <c r="Q296" s="8"/>
      <c r="R296" s="8"/>
      <c r="S296" s="278"/>
      <c r="T296" s="65"/>
      <c r="U296" s="65"/>
      <c r="V296" s="66" t="str">
        <f>"n308000046_"&amp;IFERROR(VLOOKUP(D296,target_tables[],5,0),"&lt;not found&gt;")</f>
        <v>n308000046_agr_other</v>
      </c>
      <c r="W296" s="65" t="s">
        <v>273</v>
      </c>
      <c r="X296" s="65"/>
      <c r="Y296" s="65"/>
      <c r="Z296" s="65"/>
      <c r="AA296" s="65"/>
      <c r="AB296" s="65"/>
      <c r="AC296" s="65"/>
      <c r="AD296" s="65"/>
      <c r="AE296" s="65"/>
      <c r="AF296" s="299"/>
      <c r="AG296" s="10"/>
      <c r="AH296" s="10"/>
      <c r="AI296" s="10"/>
      <c r="AJ296" s="68"/>
      <c r="AK296" s="69"/>
      <c r="WVK296" s="118"/>
      <c r="WVL296" s="118"/>
      <c r="WVM296" s="118"/>
      <c r="WVN296" s="118"/>
      <c r="WVO296" s="118"/>
      <c r="WVP296" s="118"/>
      <c r="WVQ296" s="118"/>
      <c r="WVR296" s="118"/>
      <c r="WVS296" s="118"/>
      <c r="WVT296" s="118"/>
      <c r="WVU296" s="118"/>
      <c r="WVV296" s="118"/>
      <c r="WVW296" s="118"/>
      <c r="WVX296" s="118"/>
      <c r="WVY296" s="118"/>
      <c r="WVZ296" s="118"/>
      <c r="WWA296" s="118"/>
      <c r="WWB296" s="118"/>
      <c r="WWC296" s="118"/>
      <c r="WWD296" s="118"/>
      <c r="WWE296" s="118"/>
      <c r="WWF296" s="118"/>
      <c r="WWG296" s="118"/>
      <c r="WWH296" s="118"/>
      <c r="WWI296" s="118"/>
      <c r="WWJ296" s="118"/>
      <c r="WWK296" s="118"/>
      <c r="WWL296" s="118"/>
      <c r="WWM296" s="118"/>
      <c r="WWN296" s="118"/>
      <c r="WWO296" s="118"/>
      <c r="WWP296" s="118"/>
      <c r="WWQ296" s="118"/>
      <c r="WWR296" s="118"/>
      <c r="WWS296" s="118"/>
      <c r="WWT296" s="118"/>
      <c r="WWU296" s="118"/>
      <c r="WWV296" s="118"/>
      <c r="WWW296" s="118"/>
      <c r="WWX296" s="118"/>
      <c r="WWY296" s="118"/>
      <c r="WWZ296" s="118"/>
      <c r="WXA296" s="118"/>
      <c r="WXB296" s="118"/>
      <c r="WXC296" s="118"/>
      <c r="WXD296" s="118"/>
      <c r="WXE296" s="118"/>
      <c r="WXF296" s="118"/>
      <c r="WXG296" s="118"/>
      <c r="WXH296" s="118"/>
      <c r="WXI296" s="118"/>
      <c r="WXJ296" s="118"/>
      <c r="WXK296" s="118"/>
      <c r="WXL296" s="118"/>
      <c r="WXM296" s="118"/>
      <c r="WXN296" s="118"/>
      <c r="WXO296" s="118"/>
      <c r="WXP296" s="118"/>
      <c r="WXQ296" s="118"/>
      <c r="WXR296" s="118"/>
      <c r="WXS296" s="118"/>
      <c r="WXT296" s="118"/>
      <c r="WXU296" s="118"/>
      <c r="WXV296" s="118"/>
      <c r="WXW296" s="118"/>
      <c r="WXX296" s="118"/>
      <c r="WXY296" s="118"/>
      <c r="WXZ296" s="118"/>
      <c r="WYA296" s="118"/>
      <c r="WYB296" s="118"/>
      <c r="WYC296" s="118"/>
      <c r="WYD296" s="118"/>
      <c r="WYE296" s="118"/>
      <c r="WYF296" s="118"/>
      <c r="WYG296" s="118"/>
      <c r="WYH296" s="118"/>
      <c r="WYI296" s="118"/>
      <c r="WYJ296" s="118"/>
      <c r="WYK296" s="118"/>
      <c r="WYL296" s="118"/>
      <c r="WYM296" s="118"/>
      <c r="WYN296" s="118"/>
      <c r="WYO296" s="118"/>
      <c r="WYP296" s="118"/>
      <c r="WYQ296" s="118"/>
      <c r="WYR296" s="118"/>
      <c r="WYS296" s="118"/>
      <c r="WYT296" s="118"/>
      <c r="WYU296" s="118"/>
      <c r="WYV296" s="118"/>
      <c r="WYW296" s="118"/>
      <c r="WYX296" s="118"/>
      <c r="WYY296" s="118"/>
      <c r="WYZ296" s="118"/>
      <c r="WZA296" s="118"/>
      <c r="WZB296" s="118"/>
      <c r="WZC296" s="118"/>
      <c r="WZD296" s="118"/>
      <c r="WZE296" s="118"/>
      <c r="WZF296" s="118"/>
      <c r="WZG296" s="118"/>
      <c r="WZH296" s="118"/>
      <c r="WZI296" s="118"/>
      <c r="WZJ296" s="118"/>
      <c r="WZK296" s="118"/>
      <c r="WZL296" s="118"/>
      <c r="WZM296" s="118"/>
      <c r="WZN296" s="118"/>
      <c r="WZO296" s="118"/>
      <c r="WZP296" s="118"/>
      <c r="WZQ296" s="118"/>
      <c r="WZR296" s="118"/>
      <c r="WZS296" s="118"/>
      <c r="WZT296" s="118"/>
      <c r="WZU296" s="118"/>
      <c r="WZV296" s="118"/>
      <c r="WZW296" s="118"/>
      <c r="WZX296" s="118"/>
      <c r="WZY296" s="118"/>
      <c r="WZZ296" s="118"/>
      <c r="XAA296" s="118"/>
      <c r="XAB296" s="118"/>
      <c r="XAC296" s="118"/>
      <c r="XAD296" s="118"/>
      <c r="XAE296" s="118"/>
      <c r="XAF296" s="118"/>
      <c r="XAG296" s="118"/>
      <c r="XAH296" s="118"/>
      <c r="XAI296" s="118"/>
      <c r="XAJ296" s="118"/>
      <c r="XAK296" s="118"/>
      <c r="XAL296" s="118"/>
      <c r="XAM296" s="118"/>
      <c r="XAN296" s="118"/>
      <c r="XAO296" s="118"/>
      <c r="XAP296" s="118"/>
      <c r="XAQ296" s="118"/>
      <c r="XAR296" s="118"/>
      <c r="XAS296" s="118"/>
      <c r="XAT296" s="118"/>
      <c r="XAU296" s="118"/>
      <c r="XAV296" s="118"/>
      <c r="XAW296" s="118"/>
      <c r="XAX296" s="118"/>
      <c r="XAY296" s="118"/>
      <c r="XAZ296" s="118"/>
      <c r="XBA296" s="118"/>
      <c r="XBB296" s="118"/>
      <c r="XBC296" s="118"/>
      <c r="XBD296" s="118"/>
      <c r="XBE296" s="118"/>
      <c r="XBF296" s="118"/>
      <c r="XBG296" s="118"/>
      <c r="XBH296" s="118"/>
      <c r="XBI296" s="118"/>
      <c r="XBJ296" s="118"/>
      <c r="XBK296" s="118"/>
      <c r="XBL296" s="118"/>
      <c r="XBM296" s="118"/>
      <c r="XBN296" s="118"/>
      <c r="XBO296" s="118"/>
      <c r="XBP296" s="118"/>
      <c r="XBQ296" s="118"/>
      <c r="XBR296" s="118"/>
      <c r="XBS296" s="118"/>
      <c r="XBT296" s="118"/>
      <c r="XBU296" s="118"/>
      <c r="XBV296" s="118"/>
      <c r="XBW296" s="118"/>
      <c r="XBX296" s="118"/>
      <c r="XBY296" s="118"/>
      <c r="XBZ296" s="118"/>
      <c r="XCA296" s="118"/>
      <c r="XCB296" s="118"/>
      <c r="XCC296" s="118"/>
      <c r="XCD296" s="118"/>
      <c r="XCE296" s="118"/>
      <c r="XCF296" s="118"/>
      <c r="XCG296" s="118"/>
      <c r="XCH296" s="118"/>
      <c r="XCI296" s="118"/>
      <c r="XCJ296" s="118"/>
      <c r="XCK296" s="118"/>
      <c r="XCL296" s="118"/>
      <c r="XCM296" s="118"/>
      <c r="XCN296" s="118"/>
      <c r="XCO296" s="118"/>
      <c r="XCP296" s="118"/>
      <c r="XCQ296" s="118"/>
      <c r="XCR296" s="118"/>
      <c r="XCS296" s="118"/>
      <c r="XCT296" s="118"/>
      <c r="XCU296" s="118"/>
      <c r="XCV296" s="118"/>
      <c r="XCW296" s="118"/>
      <c r="XCX296" s="118"/>
      <c r="XCY296" s="118"/>
      <c r="XCZ296" s="118"/>
      <c r="XDA296" s="118"/>
      <c r="XDB296" s="118"/>
      <c r="XDC296" s="118"/>
      <c r="XDD296" s="118"/>
      <c r="XDE296" s="118"/>
      <c r="XDF296" s="118"/>
      <c r="XDG296" s="118"/>
      <c r="XDH296" s="118"/>
      <c r="XDI296" s="118"/>
      <c r="XDJ296" s="118"/>
      <c r="XDK296" s="118"/>
      <c r="XDL296" s="118"/>
      <c r="XDM296" s="118"/>
      <c r="XDN296" s="118"/>
      <c r="XDO296" s="118"/>
      <c r="XDP296" s="118"/>
      <c r="XDQ296" s="118"/>
      <c r="XDR296" s="118"/>
      <c r="XDS296" s="118"/>
      <c r="XDT296" s="118"/>
      <c r="XDU296" s="118"/>
      <c r="XDV296" s="118"/>
      <c r="XDW296" s="118"/>
      <c r="XDX296" s="118"/>
      <c r="XDY296" s="118"/>
      <c r="XDZ296" s="118"/>
      <c r="XEA296" s="118"/>
      <c r="XEB296" s="118"/>
      <c r="XEC296" s="118"/>
      <c r="XED296" s="118"/>
      <c r="XEE296" s="118"/>
      <c r="XEF296" s="118"/>
      <c r="XEG296" s="118"/>
      <c r="XEH296" s="118"/>
      <c r="XEI296" s="118"/>
      <c r="XEJ296" s="118"/>
      <c r="XEK296" s="118"/>
      <c r="XEL296" s="118"/>
      <c r="XEM296" s="118"/>
      <c r="XEN296" s="118"/>
      <c r="XEO296" s="118"/>
      <c r="XEP296" s="118"/>
      <c r="XEQ296" s="118"/>
      <c r="XER296" s="118"/>
      <c r="XES296" s="118"/>
      <c r="XET296" s="118"/>
      <c r="XEU296" s="118"/>
      <c r="XEV296" s="118"/>
      <c r="XEW296" s="118"/>
      <c r="XEX296" s="118"/>
      <c r="XEY296" s="118"/>
      <c r="XEZ296" s="118"/>
      <c r="XFA296" s="118"/>
      <c r="XFB296" s="118"/>
      <c r="XFC296" s="118"/>
      <c r="XFD296" s="118"/>
    </row>
    <row r="297" spans="1:37 16131:16384" ht="12.75" hidden="1" customHeight="1" x14ac:dyDescent="0.3">
      <c r="A297" s="115">
        <v>2560</v>
      </c>
      <c r="B297" s="8" t="s">
        <v>623</v>
      </c>
      <c r="C297" s="65" t="str">
        <f>IFERROR(VLOOKUP(D297,'Target tables'!A:B,2,0),"")</f>
        <v>Договора, для которых не созданы собственные agrmnt</v>
      </c>
      <c r="D297" s="8" t="s">
        <v>136</v>
      </c>
      <c r="E297" s="66" t="str">
        <f>IFERROR(VLOOKUP(D297&amp;J297,'Target columns'!A:J,4,FALSE),"")</f>
        <v>NUMERIC</v>
      </c>
      <c r="F297" s="66" t="str">
        <f>IFERROR(VLOOKUP(D297&amp;J297,'Target columns'!A:J,7,FALSE),"")</f>
        <v>No</v>
      </c>
      <c r="G297" s="66" t="str">
        <f>IFERROR(VLOOKUP(D297&amp;J297,'Target columns'!A:J,8,FALSE),"")</f>
        <v>No</v>
      </c>
      <c r="H297" s="66" t="str">
        <f>IFERROR(VLOOKUP(D297&amp;J297,'Target columns'!A:J,5,FALSE),"")</f>
        <v>NULL</v>
      </c>
      <c r="I297" s="66" t="str">
        <f>IFERROR(VLOOKUP(D297&amp;J297,'Target columns'!A:J,10,FALSE),"")</f>
        <v>Сумма договора</v>
      </c>
      <c r="J297" s="8" t="s">
        <v>283</v>
      </c>
      <c r="K297" s="8" t="s">
        <v>150</v>
      </c>
      <c r="L297" s="66" t="str">
        <f>IFERROR(VLOOKUP(K297&amp;N297,source_columns[[Seek]:[Описание поля]],4,0),"")</f>
        <v>decimal(38,16)</v>
      </c>
      <c r="M297" s="66" t="str">
        <f>IFERROR(VLOOKUP(K297&amp;N297,source_columns[[Seek]:[Описание поля]],7,0),"")</f>
        <v>Сумма сделки</v>
      </c>
      <c r="N297" s="8" t="s">
        <v>596</v>
      </c>
      <c r="O297" s="8"/>
      <c r="P297" s="8"/>
      <c r="Q297" s="8"/>
      <c r="R297" s="8"/>
      <c r="S297" s="278"/>
      <c r="T297" s="65"/>
      <c r="U297" s="65"/>
      <c r="V297" s="66" t="str">
        <f>"n308000046_"&amp;IFERROR(VLOOKUP(D297,target_tables[],5,0),"&lt;not found&gt;")</f>
        <v>n308000046_agr_other</v>
      </c>
      <c r="W297" s="65" t="s">
        <v>273</v>
      </c>
      <c r="X297" s="65"/>
      <c r="Y297" s="65"/>
      <c r="Z297" s="65"/>
      <c r="AA297" s="65"/>
      <c r="AB297" s="65"/>
      <c r="AC297" s="65"/>
      <c r="AD297" s="65"/>
      <c r="AE297" s="65"/>
      <c r="AF297" s="299"/>
      <c r="AG297" s="10"/>
      <c r="AH297" s="10"/>
      <c r="AI297" s="10"/>
      <c r="AJ297" s="68"/>
      <c r="AK297" s="69"/>
      <c r="WVK297" s="118"/>
      <c r="WVL297" s="118"/>
      <c r="WVM297" s="118"/>
      <c r="WVN297" s="118"/>
      <c r="WVO297" s="118"/>
      <c r="WVP297" s="118"/>
      <c r="WVQ297" s="118"/>
      <c r="WVR297" s="118"/>
      <c r="WVS297" s="118"/>
      <c r="WVT297" s="118"/>
      <c r="WVU297" s="118"/>
      <c r="WVV297" s="118"/>
      <c r="WVW297" s="118"/>
      <c r="WVX297" s="118"/>
      <c r="WVY297" s="118"/>
      <c r="WVZ297" s="118"/>
      <c r="WWA297" s="118"/>
      <c r="WWB297" s="118"/>
      <c r="WWC297" s="118"/>
      <c r="WWD297" s="118"/>
      <c r="WWE297" s="118"/>
      <c r="WWF297" s="118"/>
      <c r="WWG297" s="118"/>
      <c r="WWH297" s="118"/>
      <c r="WWI297" s="118"/>
      <c r="WWJ297" s="118"/>
      <c r="WWK297" s="118"/>
      <c r="WWL297" s="118"/>
      <c r="WWM297" s="118"/>
      <c r="WWN297" s="118"/>
      <c r="WWO297" s="118"/>
      <c r="WWP297" s="118"/>
      <c r="WWQ297" s="118"/>
      <c r="WWR297" s="118"/>
      <c r="WWS297" s="118"/>
      <c r="WWT297" s="118"/>
      <c r="WWU297" s="118"/>
      <c r="WWV297" s="118"/>
      <c r="WWW297" s="118"/>
      <c r="WWX297" s="118"/>
      <c r="WWY297" s="118"/>
      <c r="WWZ297" s="118"/>
      <c r="WXA297" s="118"/>
      <c r="WXB297" s="118"/>
      <c r="WXC297" s="118"/>
      <c r="WXD297" s="118"/>
      <c r="WXE297" s="118"/>
      <c r="WXF297" s="118"/>
      <c r="WXG297" s="118"/>
      <c r="WXH297" s="118"/>
      <c r="WXI297" s="118"/>
      <c r="WXJ297" s="118"/>
      <c r="WXK297" s="118"/>
      <c r="WXL297" s="118"/>
      <c r="WXM297" s="118"/>
      <c r="WXN297" s="118"/>
      <c r="WXO297" s="118"/>
      <c r="WXP297" s="118"/>
      <c r="WXQ297" s="118"/>
      <c r="WXR297" s="118"/>
      <c r="WXS297" s="118"/>
      <c r="WXT297" s="118"/>
      <c r="WXU297" s="118"/>
      <c r="WXV297" s="118"/>
      <c r="WXW297" s="118"/>
      <c r="WXX297" s="118"/>
      <c r="WXY297" s="118"/>
      <c r="WXZ297" s="118"/>
      <c r="WYA297" s="118"/>
      <c r="WYB297" s="118"/>
      <c r="WYC297" s="118"/>
      <c r="WYD297" s="118"/>
      <c r="WYE297" s="118"/>
      <c r="WYF297" s="118"/>
      <c r="WYG297" s="118"/>
      <c r="WYH297" s="118"/>
      <c r="WYI297" s="118"/>
      <c r="WYJ297" s="118"/>
      <c r="WYK297" s="118"/>
      <c r="WYL297" s="118"/>
      <c r="WYM297" s="118"/>
      <c r="WYN297" s="118"/>
      <c r="WYO297" s="118"/>
      <c r="WYP297" s="118"/>
      <c r="WYQ297" s="118"/>
      <c r="WYR297" s="118"/>
      <c r="WYS297" s="118"/>
      <c r="WYT297" s="118"/>
      <c r="WYU297" s="118"/>
      <c r="WYV297" s="118"/>
      <c r="WYW297" s="118"/>
      <c r="WYX297" s="118"/>
      <c r="WYY297" s="118"/>
      <c r="WYZ297" s="118"/>
      <c r="WZA297" s="118"/>
      <c r="WZB297" s="118"/>
      <c r="WZC297" s="118"/>
      <c r="WZD297" s="118"/>
      <c r="WZE297" s="118"/>
      <c r="WZF297" s="118"/>
      <c r="WZG297" s="118"/>
      <c r="WZH297" s="118"/>
      <c r="WZI297" s="118"/>
      <c r="WZJ297" s="118"/>
      <c r="WZK297" s="118"/>
      <c r="WZL297" s="118"/>
      <c r="WZM297" s="118"/>
      <c r="WZN297" s="118"/>
      <c r="WZO297" s="118"/>
      <c r="WZP297" s="118"/>
      <c r="WZQ297" s="118"/>
      <c r="WZR297" s="118"/>
      <c r="WZS297" s="118"/>
      <c r="WZT297" s="118"/>
      <c r="WZU297" s="118"/>
      <c r="WZV297" s="118"/>
      <c r="WZW297" s="118"/>
      <c r="WZX297" s="118"/>
      <c r="WZY297" s="118"/>
      <c r="WZZ297" s="118"/>
      <c r="XAA297" s="118"/>
      <c r="XAB297" s="118"/>
      <c r="XAC297" s="118"/>
      <c r="XAD297" s="118"/>
      <c r="XAE297" s="118"/>
      <c r="XAF297" s="118"/>
      <c r="XAG297" s="118"/>
      <c r="XAH297" s="118"/>
      <c r="XAI297" s="118"/>
      <c r="XAJ297" s="118"/>
      <c r="XAK297" s="118"/>
      <c r="XAL297" s="118"/>
      <c r="XAM297" s="118"/>
      <c r="XAN297" s="118"/>
      <c r="XAO297" s="118"/>
      <c r="XAP297" s="118"/>
      <c r="XAQ297" s="118"/>
      <c r="XAR297" s="118"/>
      <c r="XAS297" s="118"/>
      <c r="XAT297" s="118"/>
      <c r="XAU297" s="118"/>
      <c r="XAV297" s="118"/>
      <c r="XAW297" s="118"/>
      <c r="XAX297" s="118"/>
      <c r="XAY297" s="118"/>
      <c r="XAZ297" s="118"/>
      <c r="XBA297" s="118"/>
      <c r="XBB297" s="118"/>
      <c r="XBC297" s="118"/>
      <c r="XBD297" s="118"/>
      <c r="XBE297" s="118"/>
      <c r="XBF297" s="118"/>
      <c r="XBG297" s="118"/>
      <c r="XBH297" s="118"/>
      <c r="XBI297" s="118"/>
      <c r="XBJ297" s="118"/>
      <c r="XBK297" s="118"/>
      <c r="XBL297" s="118"/>
      <c r="XBM297" s="118"/>
      <c r="XBN297" s="118"/>
      <c r="XBO297" s="118"/>
      <c r="XBP297" s="118"/>
      <c r="XBQ297" s="118"/>
      <c r="XBR297" s="118"/>
      <c r="XBS297" s="118"/>
      <c r="XBT297" s="118"/>
      <c r="XBU297" s="118"/>
      <c r="XBV297" s="118"/>
      <c r="XBW297" s="118"/>
      <c r="XBX297" s="118"/>
      <c r="XBY297" s="118"/>
      <c r="XBZ297" s="118"/>
      <c r="XCA297" s="118"/>
      <c r="XCB297" s="118"/>
      <c r="XCC297" s="118"/>
      <c r="XCD297" s="118"/>
      <c r="XCE297" s="118"/>
      <c r="XCF297" s="118"/>
      <c r="XCG297" s="118"/>
      <c r="XCH297" s="118"/>
      <c r="XCI297" s="118"/>
      <c r="XCJ297" s="118"/>
      <c r="XCK297" s="118"/>
      <c r="XCL297" s="118"/>
      <c r="XCM297" s="118"/>
      <c r="XCN297" s="118"/>
      <c r="XCO297" s="118"/>
      <c r="XCP297" s="118"/>
      <c r="XCQ297" s="118"/>
      <c r="XCR297" s="118"/>
      <c r="XCS297" s="118"/>
      <c r="XCT297" s="118"/>
      <c r="XCU297" s="118"/>
      <c r="XCV297" s="118"/>
      <c r="XCW297" s="118"/>
      <c r="XCX297" s="118"/>
      <c r="XCY297" s="118"/>
      <c r="XCZ297" s="118"/>
      <c r="XDA297" s="118"/>
      <c r="XDB297" s="118"/>
      <c r="XDC297" s="118"/>
      <c r="XDD297" s="118"/>
      <c r="XDE297" s="118"/>
      <c r="XDF297" s="118"/>
      <c r="XDG297" s="118"/>
      <c r="XDH297" s="118"/>
      <c r="XDI297" s="118"/>
      <c r="XDJ297" s="118"/>
      <c r="XDK297" s="118"/>
      <c r="XDL297" s="118"/>
      <c r="XDM297" s="118"/>
      <c r="XDN297" s="118"/>
      <c r="XDO297" s="118"/>
      <c r="XDP297" s="118"/>
      <c r="XDQ297" s="118"/>
      <c r="XDR297" s="118"/>
      <c r="XDS297" s="118"/>
      <c r="XDT297" s="118"/>
      <c r="XDU297" s="118"/>
      <c r="XDV297" s="118"/>
      <c r="XDW297" s="118"/>
      <c r="XDX297" s="118"/>
      <c r="XDY297" s="118"/>
      <c r="XDZ297" s="118"/>
      <c r="XEA297" s="118"/>
      <c r="XEB297" s="118"/>
      <c r="XEC297" s="118"/>
      <c r="XED297" s="118"/>
      <c r="XEE297" s="118"/>
      <c r="XEF297" s="118"/>
      <c r="XEG297" s="118"/>
      <c r="XEH297" s="118"/>
      <c r="XEI297" s="118"/>
      <c r="XEJ297" s="118"/>
      <c r="XEK297" s="118"/>
      <c r="XEL297" s="118"/>
      <c r="XEM297" s="118"/>
      <c r="XEN297" s="118"/>
      <c r="XEO297" s="118"/>
      <c r="XEP297" s="118"/>
      <c r="XEQ297" s="118"/>
      <c r="XER297" s="118"/>
      <c r="XES297" s="118"/>
      <c r="XET297" s="118"/>
      <c r="XEU297" s="118"/>
      <c r="XEV297" s="118"/>
      <c r="XEW297" s="118"/>
      <c r="XEX297" s="118"/>
      <c r="XEY297" s="118"/>
      <c r="XEZ297" s="118"/>
      <c r="XFA297" s="118"/>
      <c r="XFB297" s="118"/>
      <c r="XFC297" s="118"/>
      <c r="XFD297" s="118"/>
    </row>
    <row r="298" spans="1:37 16131:16384" ht="12.75" hidden="1" customHeight="1" x14ac:dyDescent="0.3">
      <c r="A298" s="115">
        <v>2570</v>
      </c>
      <c r="B298" s="8" t="s">
        <v>623</v>
      </c>
      <c r="C298" s="65" t="str">
        <f>IFERROR(VLOOKUP(D298,'Target tables'!A:B,2,0),"")</f>
        <v>Договора, для которых не созданы собственные agrmnt</v>
      </c>
      <c r="D298" s="8" t="s">
        <v>136</v>
      </c>
      <c r="E298" s="66" t="str">
        <f>IFERROR(VLOOKUP(D298&amp;J298,'Target columns'!A:J,4,FALSE),"")</f>
        <v>UUID</v>
      </c>
      <c r="F298" s="66" t="str">
        <f>IFERROR(VLOOKUP(D298&amp;J298,'Target columns'!A:J,7,FALSE),"")</f>
        <v>No</v>
      </c>
      <c r="G298" s="66" t="str">
        <f>IFERROR(VLOOKUP(D298&amp;J298,'Target columns'!A:J,8,FALSE),"")</f>
        <v>Yes</v>
      </c>
      <c r="H298" s="66" t="str">
        <f>IFERROR(VLOOKUP(D298&amp;J298,'Target columns'!A:J,5,FALSE),"")</f>
        <v>NULL</v>
      </c>
      <c r="I298" s="66" t="str">
        <f>IFERROR(VLOOKUP(D298&amp;J298,'Target columns'!A:J,10,FALSE),"")</f>
        <v>Идентификатор валюты</v>
      </c>
      <c r="J298" s="8" t="s">
        <v>380</v>
      </c>
      <c r="K298" s="8" t="s">
        <v>150</v>
      </c>
      <c r="L298" s="66" t="str">
        <f>IFERROR(VLOOKUP(K298&amp;N298,source_columns[[Seek]:[Описание поля]],4,0),"")</f>
        <v>uuid</v>
      </c>
      <c r="M298" s="66" t="str">
        <f>IFERROR(VLOOKUP(K298&amp;N298,source_columns[[Seek]:[Описание поля]],7,0),"")</f>
        <v>Валюта сделки</v>
      </c>
      <c r="N298" s="8" t="s">
        <v>597</v>
      </c>
      <c r="O298" s="8"/>
      <c r="P298" s="8"/>
      <c r="Q298" s="8"/>
      <c r="R298" s="8"/>
      <c r="S298" s="278"/>
      <c r="T298" s="65"/>
      <c r="U298" s="65"/>
      <c r="V298" s="66" t="str">
        <f>"n308000046_"&amp;IFERROR(VLOOKUP(D298,target_tables[],5,0),"&lt;not found&gt;")</f>
        <v>n308000046_agr_other</v>
      </c>
      <c r="W298" s="65" t="s">
        <v>273</v>
      </c>
      <c r="X298" s="65"/>
      <c r="Y298" s="65"/>
      <c r="Z298" s="65"/>
      <c r="AA298" s="65"/>
      <c r="AB298" s="65"/>
      <c r="AC298" s="65"/>
      <c r="AD298" s="65"/>
      <c r="AE298" s="65"/>
      <c r="AF298" s="299"/>
      <c r="AG298" s="10"/>
      <c r="AH298" s="10"/>
      <c r="AI298" s="10"/>
      <c r="AJ298" s="68"/>
      <c r="AK298" s="69"/>
      <c r="WVK298" s="118"/>
      <c r="WVL298" s="118"/>
      <c r="WVM298" s="118"/>
      <c r="WVN298" s="118"/>
      <c r="WVO298" s="118"/>
      <c r="WVP298" s="118"/>
      <c r="WVQ298" s="118"/>
      <c r="WVR298" s="118"/>
      <c r="WVS298" s="118"/>
      <c r="WVT298" s="118"/>
      <c r="WVU298" s="118"/>
      <c r="WVV298" s="118"/>
      <c r="WVW298" s="118"/>
      <c r="WVX298" s="118"/>
      <c r="WVY298" s="118"/>
      <c r="WVZ298" s="118"/>
      <c r="WWA298" s="118"/>
      <c r="WWB298" s="118"/>
      <c r="WWC298" s="118"/>
      <c r="WWD298" s="118"/>
      <c r="WWE298" s="118"/>
      <c r="WWF298" s="118"/>
      <c r="WWG298" s="118"/>
      <c r="WWH298" s="118"/>
      <c r="WWI298" s="118"/>
      <c r="WWJ298" s="118"/>
      <c r="WWK298" s="118"/>
      <c r="WWL298" s="118"/>
      <c r="WWM298" s="118"/>
      <c r="WWN298" s="118"/>
      <c r="WWO298" s="118"/>
      <c r="WWP298" s="118"/>
      <c r="WWQ298" s="118"/>
      <c r="WWR298" s="118"/>
      <c r="WWS298" s="118"/>
      <c r="WWT298" s="118"/>
      <c r="WWU298" s="118"/>
      <c r="WWV298" s="118"/>
      <c r="WWW298" s="118"/>
      <c r="WWX298" s="118"/>
      <c r="WWY298" s="118"/>
      <c r="WWZ298" s="118"/>
      <c r="WXA298" s="118"/>
      <c r="WXB298" s="118"/>
      <c r="WXC298" s="118"/>
      <c r="WXD298" s="118"/>
      <c r="WXE298" s="118"/>
      <c r="WXF298" s="118"/>
      <c r="WXG298" s="118"/>
      <c r="WXH298" s="118"/>
      <c r="WXI298" s="118"/>
      <c r="WXJ298" s="118"/>
      <c r="WXK298" s="118"/>
      <c r="WXL298" s="118"/>
      <c r="WXM298" s="118"/>
      <c r="WXN298" s="118"/>
      <c r="WXO298" s="118"/>
      <c r="WXP298" s="118"/>
      <c r="WXQ298" s="118"/>
      <c r="WXR298" s="118"/>
      <c r="WXS298" s="118"/>
      <c r="WXT298" s="118"/>
      <c r="WXU298" s="118"/>
      <c r="WXV298" s="118"/>
      <c r="WXW298" s="118"/>
      <c r="WXX298" s="118"/>
      <c r="WXY298" s="118"/>
      <c r="WXZ298" s="118"/>
      <c r="WYA298" s="118"/>
      <c r="WYB298" s="118"/>
      <c r="WYC298" s="118"/>
      <c r="WYD298" s="118"/>
      <c r="WYE298" s="118"/>
      <c r="WYF298" s="118"/>
      <c r="WYG298" s="118"/>
      <c r="WYH298" s="118"/>
      <c r="WYI298" s="118"/>
      <c r="WYJ298" s="118"/>
      <c r="WYK298" s="118"/>
      <c r="WYL298" s="118"/>
      <c r="WYM298" s="118"/>
      <c r="WYN298" s="118"/>
      <c r="WYO298" s="118"/>
      <c r="WYP298" s="118"/>
      <c r="WYQ298" s="118"/>
      <c r="WYR298" s="118"/>
      <c r="WYS298" s="118"/>
      <c r="WYT298" s="118"/>
      <c r="WYU298" s="118"/>
      <c r="WYV298" s="118"/>
      <c r="WYW298" s="118"/>
      <c r="WYX298" s="118"/>
      <c r="WYY298" s="118"/>
      <c r="WYZ298" s="118"/>
      <c r="WZA298" s="118"/>
      <c r="WZB298" s="118"/>
      <c r="WZC298" s="118"/>
      <c r="WZD298" s="118"/>
      <c r="WZE298" s="118"/>
      <c r="WZF298" s="118"/>
      <c r="WZG298" s="118"/>
      <c r="WZH298" s="118"/>
      <c r="WZI298" s="118"/>
      <c r="WZJ298" s="118"/>
      <c r="WZK298" s="118"/>
      <c r="WZL298" s="118"/>
      <c r="WZM298" s="118"/>
      <c r="WZN298" s="118"/>
      <c r="WZO298" s="118"/>
      <c r="WZP298" s="118"/>
      <c r="WZQ298" s="118"/>
      <c r="WZR298" s="118"/>
      <c r="WZS298" s="118"/>
      <c r="WZT298" s="118"/>
      <c r="WZU298" s="118"/>
      <c r="WZV298" s="118"/>
      <c r="WZW298" s="118"/>
      <c r="WZX298" s="118"/>
      <c r="WZY298" s="118"/>
      <c r="WZZ298" s="118"/>
      <c r="XAA298" s="118"/>
      <c r="XAB298" s="118"/>
      <c r="XAC298" s="118"/>
      <c r="XAD298" s="118"/>
      <c r="XAE298" s="118"/>
      <c r="XAF298" s="118"/>
      <c r="XAG298" s="118"/>
      <c r="XAH298" s="118"/>
      <c r="XAI298" s="118"/>
      <c r="XAJ298" s="118"/>
      <c r="XAK298" s="118"/>
      <c r="XAL298" s="118"/>
      <c r="XAM298" s="118"/>
      <c r="XAN298" s="118"/>
      <c r="XAO298" s="118"/>
      <c r="XAP298" s="118"/>
      <c r="XAQ298" s="118"/>
      <c r="XAR298" s="118"/>
      <c r="XAS298" s="118"/>
      <c r="XAT298" s="118"/>
      <c r="XAU298" s="118"/>
      <c r="XAV298" s="118"/>
      <c r="XAW298" s="118"/>
      <c r="XAX298" s="118"/>
      <c r="XAY298" s="118"/>
      <c r="XAZ298" s="118"/>
      <c r="XBA298" s="118"/>
      <c r="XBB298" s="118"/>
      <c r="XBC298" s="118"/>
      <c r="XBD298" s="118"/>
      <c r="XBE298" s="118"/>
      <c r="XBF298" s="118"/>
      <c r="XBG298" s="118"/>
      <c r="XBH298" s="118"/>
      <c r="XBI298" s="118"/>
      <c r="XBJ298" s="118"/>
      <c r="XBK298" s="118"/>
      <c r="XBL298" s="118"/>
      <c r="XBM298" s="118"/>
      <c r="XBN298" s="118"/>
      <c r="XBO298" s="118"/>
      <c r="XBP298" s="118"/>
      <c r="XBQ298" s="118"/>
      <c r="XBR298" s="118"/>
      <c r="XBS298" s="118"/>
      <c r="XBT298" s="118"/>
      <c r="XBU298" s="118"/>
      <c r="XBV298" s="118"/>
      <c r="XBW298" s="118"/>
      <c r="XBX298" s="118"/>
      <c r="XBY298" s="118"/>
      <c r="XBZ298" s="118"/>
      <c r="XCA298" s="118"/>
      <c r="XCB298" s="118"/>
      <c r="XCC298" s="118"/>
      <c r="XCD298" s="118"/>
      <c r="XCE298" s="118"/>
      <c r="XCF298" s="118"/>
      <c r="XCG298" s="118"/>
      <c r="XCH298" s="118"/>
      <c r="XCI298" s="118"/>
      <c r="XCJ298" s="118"/>
      <c r="XCK298" s="118"/>
      <c r="XCL298" s="118"/>
      <c r="XCM298" s="118"/>
      <c r="XCN298" s="118"/>
      <c r="XCO298" s="118"/>
      <c r="XCP298" s="118"/>
      <c r="XCQ298" s="118"/>
      <c r="XCR298" s="118"/>
      <c r="XCS298" s="118"/>
      <c r="XCT298" s="118"/>
      <c r="XCU298" s="118"/>
      <c r="XCV298" s="118"/>
      <c r="XCW298" s="118"/>
      <c r="XCX298" s="118"/>
      <c r="XCY298" s="118"/>
      <c r="XCZ298" s="118"/>
      <c r="XDA298" s="118"/>
      <c r="XDB298" s="118"/>
      <c r="XDC298" s="118"/>
      <c r="XDD298" s="118"/>
      <c r="XDE298" s="118"/>
      <c r="XDF298" s="118"/>
      <c r="XDG298" s="118"/>
      <c r="XDH298" s="118"/>
      <c r="XDI298" s="118"/>
      <c r="XDJ298" s="118"/>
      <c r="XDK298" s="118"/>
      <c r="XDL298" s="118"/>
      <c r="XDM298" s="118"/>
      <c r="XDN298" s="118"/>
      <c r="XDO298" s="118"/>
      <c r="XDP298" s="118"/>
      <c r="XDQ298" s="118"/>
      <c r="XDR298" s="118"/>
      <c r="XDS298" s="118"/>
      <c r="XDT298" s="118"/>
      <c r="XDU298" s="118"/>
      <c r="XDV298" s="118"/>
      <c r="XDW298" s="118"/>
      <c r="XDX298" s="118"/>
      <c r="XDY298" s="118"/>
      <c r="XDZ298" s="118"/>
      <c r="XEA298" s="118"/>
      <c r="XEB298" s="118"/>
      <c r="XEC298" s="118"/>
      <c r="XED298" s="118"/>
      <c r="XEE298" s="118"/>
      <c r="XEF298" s="118"/>
      <c r="XEG298" s="118"/>
      <c r="XEH298" s="118"/>
      <c r="XEI298" s="118"/>
      <c r="XEJ298" s="118"/>
      <c r="XEK298" s="118"/>
      <c r="XEL298" s="118"/>
      <c r="XEM298" s="118"/>
      <c r="XEN298" s="118"/>
      <c r="XEO298" s="118"/>
      <c r="XEP298" s="118"/>
      <c r="XEQ298" s="118"/>
      <c r="XER298" s="118"/>
      <c r="XES298" s="118"/>
      <c r="XET298" s="118"/>
      <c r="XEU298" s="118"/>
      <c r="XEV298" s="118"/>
      <c r="XEW298" s="118"/>
      <c r="XEX298" s="118"/>
      <c r="XEY298" s="118"/>
      <c r="XEZ298" s="118"/>
      <c r="XFA298" s="118"/>
      <c r="XFB298" s="118"/>
      <c r="XFC298" s="118"/>
      <c r="XFD298" s="118"/>
    </row>
    <row r="299" spans="1:37 16131:16384" ht="12.75" hidden="1" customHeight="1" x14ac:dyDescent="0.3">
      <c r="A299" s="116">
        <v>2580</v>
      </c>
      <c r="B299" s="20" t="s">
        <v>623</v>
      </c>
      <c r="C299" s="71" t="str">
        <f>IFERROR(VLOOKUP(D299,'Target tables'!A:B,2,0),"")</f>
        <v>Договора, для которых не созданы собственные agrmnt</v>
      </c>
      <c r="D299" s="20" t="s">
        <v>136</v>
      </c>
      <c r="E299" s="73" t="str">
        <f>IFERROR(VLOOKUP(D299&amp;J299,'Target columns'!A:J,4,FALSE),"")</f>
        <v>date</v>
      </c>
      <c r="F299" s="73" t="str">
        <f>IFERROR(VLOOKUP(D299&amp;J299,'Target columns'!A:J,7,FALSE),"")</f>
        <v>No</v>
      </c>
      <c r="G299" s="73" t="str">
        <f>IFERROR(VLOOKUP(D299&amp;J299,'Target columns'!A:J,8,FALSE),"")</f>
        <v>No</v>
      </c>
      <c r="H299" s="73" t="str">
        <f>IFERROR(VLOOKUP(D299&amp;J299,'Target columns'!A:J,5,FALSE),"")</f>
        <v>NULL</v>
      </c>
      <c r="I299" s="73" t="str">
        <f>IFERROR(VLOOKUP(D299&amp;J299,'Target columns'!A:J,10,FALSE),"")</f>
        <v>Плановая дата платежа</v>
      </c>
      <c r="J299" s="71" t="s">
        <v>291</v>
      </c>
      <c r="K299" s="20" t="s">
        <v>150</v>
      </c>
      <c r="L299" s="73" t="str">
        <f>IFERROR(VLOOKUP(K299&amp;N299,source_columns[[Seek]:[Описание поля]],4,0),"")</f>
        <v>text</v>
      </c>
      <c r="M299" s="73" t="str">
        <f>IFERROR(VLOOKUP(K299&amp;N299,source_columns[[Seek]:[Описание поля]],7,0),"")</f>
        <v>Плановая дата платежа</v>
      </c>
      <c r="N299" s="71" t="s">
        <v>598</v>
      </c>
      <c r="O299" s="20"/>
      <c r="P299" s="20"/>
      <c r="Q299" s="20"/>
      <c r="R299" s="20"/>
      <c r="S299" s="278"/>
      <c r="T299" s="71"/>
      <c r="U299" s="71"/>
      <c r="V299" s="73" t="str">
        <f>"n308000046_"&amp;IFERROR(VLOOKUP(D299,target_tables[],5,0),"&lt;not found&gt;")</f>
        <v>n308000046_agr_other</v>
      </c>
      <c r="W299" s="71" t="s">
        <v>273</v>
      </c>
      <c r="X299" s="71"/>
      <c r="Y299" s="71"/>
      <c r="Z299" s="71"/>
      <c r="AA299" s="71"/>
      <c r="AB299" s="71"/>
      <c r="AC299" s="71"/>
      <c r="AD299" s="71"/>
      <c r="AE299" s="71"/>
      <c r="AF299" s="299"/>
      <c r="AG299" s="27"/>
      <c r="AH299" s="27"/>
      <c r="AI299" s="27"/>
      <c r="AJ299" s="75"/>
      <c r="AK299" s="69"/>
      <c r="WVK299" s="118"/>
      <c r="WVL299" s="118"/>
      <c r="WVM299" s="118"/>
      <c r="WVN299" s="118"/>
      <c r="WVO299" s="118"/>
      <c r="WVP299" s="118"/>
      <c r="WVQ299" s="118"/>
      <c r="WVR299" s="118"/>
      <c r="WVS299" s="118"/>
      <c r="WVT299" s="118"/>
      <c r="WVU299" s="118"/>
      <c r="WVV299" s="118"/>
      <c r="WVW299" s="118"/>
      <c r="WVX299" s="118"/>
      <c r="WVY299" s="118"/>
      <c r="WVZ299" s="118"/>
      <c r="WWA299" s="118"/>
      <c r="WWB299" s="118"/>
      <c r="WWC299" s="118"/>
      <c r="WWD299" s="118"/>
      <c r="WWE299" s="118"/>
      <c r="WWF299" s="118"/>
      <c r="WWG299" s="118"/>
      <c r="WWH299" s="118"/>
      <c r="WWI299" s="118"/>
      <c r="WWJ299" s="118"/>
      <c r="WWK299" s="118"/>
      <c r="WWL299" s="118"/>
      <c r="WWM299" s="118"/>
      <c r="WWN299" s="118"/>
      <c r="WWO299" s="118"/>
      <c r="WWP299" s="118"/>
      <c r="WWQ299" s="118"/>
      <c r="WWR299" s="118"/>
      <c r="WWS299" s="118"/>
      <c r="WWT299" s="118"/>
      <c r="WWU299" s="118"/>
      <c r="WWV299" s="118"/>
      <c r="WWW299" s="118"/>
      <c r="WWX299" s="118"/>
      <c r="WWY299" s="118"/>
      <c r="WWZ299" s="118"/>
      <c r="WXA299" s="118"/>
      <c r="WXB299" s="118"/>
      <c r="WXC299" s="118"/>
      <c r="WXD299" s="118"/>
      <c r="WXE299" s="118"/>
      <c r="WXF299" s="118"/>
      <c r="WXG299" s="118"/>
      <c r="WXH299" s="118"/>
      <c r="WXI299" s="118"/>
      <c r="WXJ299" s="118"/>
      <c r="WXK299" s="118"/>
      <c r="WXL299" s="118"/>
      <c r="WXM299" s="118"/>
      <c r="WXN299" s="118"/>
      <c r="WXO299" s="118"/>
      <c r="WXP299" s="118"/>
      <c r="WXQ299" s="118"/>
      <c r="WXR299" s="118"/>
      <c r="WXS299" s="118"/>
      <c r="WXT299" s="118"/>
      <c r="WXU299" s="118"/>
      <c r="WXV299" s="118"/>
      <c r="WXW299" s="118"/>
      <c r="WXX299" s="118"/>
      <c r="WXY299" s="118"/>
      <c r="WXZ299" s="118"/>
      <c r="WYA299" s="118"/>
      <c r="WYB299" s="118"/>
      <c r="WYC299" s="118"/>
      <c r="WYD299" s="118"/>
      <c r="WYE299" s="118"/>
      <c r="WYF299" s="118"/>
      <c r="WYG299" s="118"/>
      <c r="WYH299" s="118"/>
      <c r="WYI299" s="118"/>
      <c r="WYJ299" s="118"/>
      <c r="WYK299" s="118"/>
      <c r="WYL299" s="118"/>
      <c r="WYM299" s="118"/>
      <c r="WYN299" s="118"/>
      <c r="WYO299" s="118"/>
      <c r="WYP299" s="118"/>
      <c r="WYQ299" s="118"/>
      <c r="WYR299" s="118"/>
      <c r="WYS299" s="118"/>
      <c r="WYT299" s="118"/>
      <c r="WYU299" s="118"/>
      <c r="WYV299" s="118"/>
      <c r="WYW299" s="118"/>
      <c r="WYX299" s="118"/>
      <c r="WYY299" s="118"/>
      <c r="WYZ299" s="118"/>
      <c r="WZA299" s="118"/>
      <c r="WZB299" s="118"/>
      <c r="WZC299" s="118"/>
      <c r="WZD299" s="118"/>
      <c r="WZE299" s="118"/>
      <c r="WZF299" s="118"/>
      <c r="WZG299" s="118"/>
      <c r="WZH299" s="118"/>
      <c r="WZI299" s="118"/>
      <c r="WZJ299" s="118"/>
      <c r="WZK299" s="118"/>
      <c r="WZL299" s="118"/>
      <c r="WZM299" s="118"/>
      <c r="WZN299" s="118"/>
      <c r="WZO299" s="118"/>
      <c r="WZP299" s="118"/>
      <c r="WZQ299" s="118"/>
      <c r="WZR299" s="118"/>
      <c r="WZS299" s="118"/>
      <c r="WZT299" s="118"/>
      <c r="WZU299" s="118"/>
      <c r="WZV299" s="118"/>
      <c r="WZW299" s="118"/>
      <c r="WZX299" s="118"/>
      <c r="WZY299" s="118"/>
      <c r="WZZ299" s="118"/>
      <c r="XAA299" s="118"/>
      <c r="XAB299" s="118"/>
      <c r="XAC299" s="118"/>
      <c r="XAD299" s="118"/>
      <c r="XAE299" s="118"/>
      <c r="XAF299" s="118"/>
      <c r="XAG299" s="118"/>
      <c r="XAH299" s="118"/>
      <c r="XAI299" s="118"/>
      <c r="XAJ299" s="118"/>
      <c r="XAK299" s="118"/>
      <c r="XAL299" s="118"/>
      <c r="XAM299" s="118"/>
      <c r="XAN299" s="118"/>
      <c r="XAO299" s="118"/>
      <c r="XAP299" s="118"/>
      <c r="XAQ299" s="118"/>
      <c r="XAR299" s="118"/>
      <c r="XAS299" s="118"/>
      <c r="XAT299" s="118"/>
      <c r="XAU299" s="118"/>
      <c r="XAV299" s="118"/>
      <c r="XAW299" s="118"/>
      <c r="XAX299" s="118"/>
      <c r="XAY299" s="118"/>
      <c r="XAZ299" s="118"/>
      <c r="XBA299" s="118"/>
      <c r="XBB299" s="118"/>
      <c r="XBC299" s="118"/>
      <c r="XBD299" s="118"/>
      <c r="XBE299" s="118"/>
      <c r="XBF299" s="118"/>
      <c r="XBG299" s="118"/>
      <c r="XBH299" s="118"/>
      <c r="XBI299" s="118"/>
      <c r="XBJ299" s="118"/>
      <c r="XBK299" s="118"/>
      <c r="XBL299" s="118"/>
      <c r="XBM299" s="118"/>
      <c r="XBN299" s="118"/>
      <c r="XBO299" s="118"/>
      <c r="XBP299" s="118"/>
      <c r="XBQ299" s="118"/>
      <c r="XBR299" s="118"/>
      <c r="XBS299" s="118"/>
      <c r="XBT299" s="118"/>
      <c r="XBU299" s="118"/>
      <c r="XBV299" s="118"/>
      <c r="XBW299" s="118"/>
      <c r="XBX299" s="118"/>
      <c r="XBY299" s="118"/>
      <c r="XBZ299" s="118"/>
      <c r="XCA299" s="118"/>
      <c r="XCB299" s="118"/>
      <c r="XCC299" s="118"/>
      <c r="XCD299" s="118"/>
      <c r="XCE299" s="118"/>
      <c r="XCF299" s="118"/>
      <c r="XCG299" s="118"/>
      <c r="XCH299" s="118"/>
      <c r="XCI299" s="118"/>
      <c r="XCJ299" s="118"/>
      <c r="XCK299" s="118"/>
      <c r="XCL299" s="118"/>
      <c r="XCM299" s="118"/>
      <c r="XCN299" s="118"/>
      <c r="XCO299" s="118"/>
      <c r="XCP299" s="118"/>
      <c r="XCQ299" s="118"/>
      <c r="XCR299" s="118"/>
      <c r="XCS299" s="118"/>
      <c r="XCT299" s="118"/>
      <c r="XCU299" s="118"/>
      <c r="XCV299" s="118"/>
      <c r="XCW299" s="118"/>
      <c r="XCX299" s="118"/>
      <c r="XCY299" s="118"/>
      <c r="XCZ299" s="118"/>
      <c r="XDA299" s="118"/>
      <c r="XDB299" s="118"/>
      <c r="XDC299" s="118"/>
      <c r="XDD299" s="118"/>
      <c r="XDE299" s="118"/>
      <c r="XDF299" s="118"/>
      <c r="XDG299" s="118"/>
      <c r="XDH299" s="118"/>
      <c r="XDI299" s="118"/>
      <c r="XDJ299" s="118"/>
      <c r="XDK299" s="118"/>
      <c r="XDL299" s="118"/>
      <c r="XDM299" s="118"/>
      <c r="XDN299" s="118"/>
      <c r="XDO299" s="118"/>
      <c r="XDP299" s="118"/>
      <c r="XDQ299" s="118"/>
      <c r="XDR299" s="118"/>
      <c r="XDS299" s="118"/>
      <c r="XDT299" s="118"/>
      <c r="XDU299" s="118"/>
      <c r="XDV299" s="118"/>
      <c r="XDW299" s="118"/>
      <c r="XDX299" s="118"/>
      <c r="XDY299" s="118"/>
      <c r="XDZ299" s="118"/>
      <c r="XEA299" s="118"/>
      <c r="XEB299" s="118"/>
      <c r="XEC299" s="118"/>
      <c r="XED299" s="118"/>
      <c r="XEE299" s="118"/>
      <c r="XEF299" s="118"/>
      <c r="XEG299" s="118"/>
      <c r="XEH299" s="118"/>
      <c r="XEI299" s="118"/>
      <c r="XEJ299" s="118"/>
      <c r="XEK299" s="118"/>
      <c r="XEL299" s="118"/>
      <c r="XEM299" s="118"/>
      <c r="XEN299" s="118"/>
      <c r="XEO299" s="118"/>
      <c r="XEP299" s="118"/>
      <c r="XEQ299" s="118"/>
      <c r="XER299" s="118"/>
      <c r="XES299" s="118"/>
      <c r="XET299" s="118"/>
      <c r="XEU299" s="118"/>
      <c r="XEV299" s="118"/>
      <c r="XEW299" s="118"/>
      <c r="XEX299" s="118"/>
      <c r="XEY299" s="118"/>
      <c r="XEZ299" s="118"/>
      <c r="XFA299" s="118"/>
      <c r="XFB299" s="118"/>
      <c r="XFC299" s="118"/>
      <c r="XFD299" s="118"/>
    </row>
    <row r="300" spans="1:37 16131:16384" ht="12.75" hidden="1" customHeight="1" x14ac:dyDescent="0.3">
      <c r="A300" s="114">
        <v>2590</v>
      </c>
      <c r="B300" s="113" t="s">
        <v>623</v>
      </c>
      <c r="C300" s="82" t="str">
        <f>IFERROR(VLOOKUP(D300,'Target tables'!A:B,2,0),"")</f>
        <v>Связь договора и банка</v>
      </c>
      <c r="D300" s="208" t="s">
        <v>144</v>
      </c>
      <c r="E300" s="78" t="str">
        <f>IFERROR(VLOOKUP(D300&amp;J300,'Target columns'!A:J,4,FALSE),"")</f>
        <v>uuid</v>
      </c>
      <c r="F300" s="78" t="str">
        <f>IFERROR(VLOOKUP(D300&amp;J300,'Target columns'!A:J,7,FALSE),"")</f>
        <v>Yes</v>
      </c>
      <c r="G300" s="78" t="str">
        <f>IFERROR(VLOOKUP(D300&amp;J300,'Target columns'!A:J,8,FALSE),"")</f>
        <v>Yes</v>
      </c>
      <c r="H300" s="78" t="str">
        <f>IFERROR(VLOOKUP(D300&amp;J300,'Target columns'!A:J,5,FALSE),"")</f>
        <v>NULL</v>
      </c>
      <c r="I300" s="78" t="str">
        <f>IFERROR(VLOOKUP(D300&amp;J300,'Target columns'!A:J,10,FALSE),"")</f>
        <v>Идентификатор договора</v>
      </c>
      <c r="J300" s="23" t="s">
        <v>589</v>
      </c>
      <c r="K300" s="23" t="s">
        <v>150</v>
      </c>
      <c r="L300" s="78" t="str">
        <f>IFERROR(VLOOKUP(K300&amp;N300,source_columns[[Seek]:[Описание поля]],4,0),"")</f>
        <v>uuid</v>
      </c>
      <c r="M300" s="78" t="str">
        <f>IFERROR(VLOOKUP(K300&amp;N300,source_columns[[Seek]:[Описание поля]],7,0),"")</f>
        <v>Референс сделки</v>
      </c>
      <c r="N300" s="23" t="s">
        <v>496</v>
      </c>
      <c r="O300" s="23"/>
      <c r="P300" s="23"/>
      <c r="Q300" s="23"/>
      <c r="R300" s="23"/>
      <c r="S300" s="270" t="s">
        <v>625</v>
      </c>
      <c r="T300" s="82"/>
      <c r="U300" s="82"/>
      <c r="V300" s="84" t="str">
        <f>"n308000046_"&amp;IFERROR(VLOOKUP(D300,target_tables[],5,0),"&lt;not found&gt;")</f>
        <v>n308000046_agr_other_bank</v>
      </c>
      <c r="W300" s="82" t="s">
        <v>269</v>
      </c>
      <c r="X300" s="82"/>
      <c r="Y300" s="82"/>
      <c r="Z300" s="82"/>
      <c r="AA300" s="82"/>
      <c r="AB300" s="82"/>
      <c r="AC300" s="82"/>
      <c r="AD300" s="82"/>
      <c r="AE300" s="82"/>
      <c r="AF300" s="299" t="s">
        <v>342</v>
      </c>
      <c r="AG300" s="83"/>
      <c r="AH300" s="83"/>
      <c r="AI300" s="83"/>
      <c r="AJ300" s="91"/>
      <c r="AK300" s="69"/>
      <c r="WVK300" s="118"/>
      <c r="WVL300" s="118"/>
      <c r="WVM300" s="118"/>
      <c r="WVN300" s="118"/>
      <c r="WVO300" s="118"/>
      <c r="WVP300" s="118"/>
      <c r="WVQ300" s="118"/>
      <c r="WVR300" s="118"/>
      <c r="WVS300" s="118"/>
      <c r="WVT300" s="118"/>
      <c r="WVU300" s="118"/>
      <c r="WVV300" s="118"/>
      <c r="WVW300" s="118"/>
      <c r="WVX300" s="118"/>
      <c r="WVY300" s="118"/>
      <c r="WVZ300" s="118"/>
      <c r="WWA300" s="118"/>
      <c r="WWB300" s="118"/>
      <c r="WWC300" s="118"/>
      <c r="WWD300" s="118"/>
      <c r="WWE300" s="118"/>
      <c r="WWF300" s="118"/>
      <c r="WWG300" s="118"/>
      <c r="WWH300" s="118"/>
      <c r="WWI300" s="118"/>
      <c r="WWJ300" s="118"/>
      <c r="WWK300" s="118"/>
      <c r="WWL300" s="118"/>
      <c r="WWM300" s="118"/>
      <c r="WWN300" s="118"/>
      <c r="WWO300" s="118"/>
      <c r="WWP300" s="118"/>
      <c r="WWQ300" s="118"/>
      <c r="WWR300" s="118"/>
      <c r="WWS300" s="118"/>
      <c r="WWT300" s="118"/>
      <c r="WWU300" s="118"/>
      <c r="WWV300" s="118"/>
      <c r="WWW300" s="118"/>
      <c r="WWX300" s="118"/>
      <c r="WWY300" s="118"/>
      <c r="WWZ300" s="118"/>
      <c r="WXA300" s="118"/>
      <c r="WXB300" s="118"/>
      <c r="WXC300" s="118"/>
      <c r="WXD300" s="118"/>
      <c r="WXE300" s="118"/>
      <c r="WXF300" s="118"/>
      <c r="WXG300" s="118"/>
      <c r="WXH300" s="118"/>
      <c r="WXI300" s="118"/>
      <c r="WXJ300" s="118"/>
      <c r="WXK300" s="118"/>
      <c r="WXL300" s="118"/>
      <c r="WXM300" s="118"/>
      <c r="WXN300" s="118"/>
      <c r="WXO300" s="118"/>
      <c r="WXP300" s="118"/>
      <c r="WXQ300" s="118"/>
      <c r="WXR300" s="118"/>
      <c r="WXS300" s="118"/>
      <c r="WXT300" s="118"/>
      <c r="WXU300" s="118"/>
      <c r="WXV300" s="118"/>
      <c r="WXW300" s="118"/>
      <c r="WXX300" s="118"/>
      <c r="WXY300" s="118"/>
      <c r="WXZ300" s="118"/>
      <c r="WYA300" s="118"/>
      <c r="WYB300" s="118"/>
      <c r="WYC300" s="118"/>
      <c r="WYD300" s="118"/>
      <c r="WYE300" s="118"/>
      <c r="WYF300" s="118"/>
      <c r="WYG300" s="118"/>
      <c r="WYH300" s="118"/>
      <c r="WYI300" s="118"/>
      <c r="WYJ300" s="118"/>
      <c r="WYK300" s="118"/>
      <c r="WYL300" s="118"/>
      <c r="WYM300" s="118"/>
      <c r="WYN300" s="118"/>
      <c r="WYO300" s="118"/>
      <c r="WYP300" s="118"/>
      <c r="WYQ300" s="118"/>
      <c r="WYR300" s="118"/>
      <c r="WYS300" s="118"/>
      <c r="WYT300" s="118"/>
      <c r="WYU300" s="118"/>
      <c r="WYV300" s="118"/>
      <c r="WYW300" s="118"/>
      <c r="WYX300" s="118"/>
      <c r="WYY300" s="118"/>
      <c r="WYZ300" s="118"/>
      <c r="WZA300" s="118"/>
      <c r="WZB300" s="118"/>
      <c r="WZC300" s="118"/>
      <c r="WZD300" s="118"/>
      <c r="WZE300" s="118"/>
      <c r="WZF300" s="118"/>
      <c r="WZG300" s="118"/>
      <c r="WZH300" s="118"/>
      <c r="WZI300" s="118"/>
      <c r="WZJ300" s="118"/>
      <c r="WZK300" s="118"/>
      <c r="WZL300" s="118"/>
      <c r="WZM300" s="118"/>
      <c r="WZN300" s="118"/>
      <c r="WZO300" s="118"/>
      <c r="WZP300" s="118"/>
      <c r="WZQ300" s="118"/>
      <c r="WZR300" s="118"/>
      <c r="WZS300" s="118"/>
      <c r="WZT300" s="118"/>
      <c r="WZU300" s="118"/>
      <c r="WZV300" s="118"/>
      <c r="WZW300" s="118"/>
      <c r="WZX300" s="118"/>
      <c r="WZY300" s="118"/>
      <c r="WZZ300" s="118"/>
      <c r="XAA300" s="118"/>
      <c r="XAB300" s="118"/>
      <c r="XAC300" s="118"/>
      <c r="XAD300" s="118"/>
      <c r="XAE300" s="118"/>
      <c r="XAF300" s="118"/>
      <c r="XAG300" s="118"/>
      <c r="XAH300" s="118"/>
      <c r="XAI300" s="118"/>
      <c r="XAJ300" s="118"/>
      <c r="XAK300" s="118"/>
      <c r="XAL300" s="118"/>
      <c r="XAM300" s="118"/>
      <c r="XAN300" s="118"/>
      <c r="XAO300" s="118"/>
      <c r="XAP300" s="118"/>
      <c r="XAQ300" s="118"/>
      <c r="XAR300" s="118"/>
      <c r="XAS300" s="118"/>
      <c r="XAT300" s="118"/>
      <c r="XAU300" s="118"/>
      <c r="XAV300" s="118"/>
      <c r="XAW300" s="118"/>
      <c r="XAX300" s="118"/>
      <c r="XAY300" s="118"/>
      <c r="XAZ300" s="118"/>
      <c r="XBA300" s="118"/>
      <c r="XBB300" s="118"/>
      <c r="XBC300" s="118"/>
      <c r="XBD300" s="118"/>
      <c r="XBE300" s="118"/>
      <c r="XBF300" s="118"/>
      <c r="XBG300" s="118"/>
      <c r="XBH300" s="118"/>
      <c r="XBI300" s="118"/>
      <c r="XBJ300" s="118"/>
      <c r="XBK300" s="118"/>
      <c r="XBL300" s="118"/>
      <c r="XBM300" s="118"/>
      <c r="XBN300" s="118"/>
      <c r="XBO300" s="118"/>
      <c r="XBP300" s="118"/>
      <c r="XBQ300" s="118"/>
      <c r="XBR300" s="118"/>
      <c r="XBS300" s="118"/>
      <c r="XBT300" s="118"/>
      <c r="XBU300" s="118"/>
      <c r="XBV300" s="118"/>
      <c r="XBW300" s="118"/>
      <c r="XBX300" s="118"/>
      <c r="XBY300" s="118"/>
      <c r="XBZ300" s="118"/>
      <c r="XCA300" s="118"/>
      <c r="XCB300" s="118"/>
      <c r="XCC300" s="118"/>
      <c r="XCD300" s="118"/>
      <c r="XCE300" s="118"/>
      <c r="XCF300" s="118"/>
      <c r="XCG300" s="118"/>
      <c r="XCH300" s="118"/>
      <c r="XCI300" s="118"/>
      <c r="XCJ300" s="118"/>
      <c r="XCK300" s="118"/>
      <c r="XCL300" s="118"/>
      <c r="XCM300" s="118"/>
      <c r="XCN300" s="118"/>
      <c r="XCO300" s="118"/>
      <c r="XCP300" s="118"/>
      <c r="XCQ300" s="118"/>
      <c r="XCR300" s="118"/>
      <c r="XCS300" s="118"/>
      <c r="XCT300" s="118"/>
      <c r="XCU300" s="118"/>
      <c r="XCV300" s="118"/>
      <c r="XCW300" s="118"/>
      <c r="XCX300" s="118"/>
      <c r="XCY300" s="118"/>
      <c r="XCZ300" s="118"/>
      <c r="XDA300" s="118"/>
      <c r="XDB300" s="118"/>
      <c r="XDC300" s="118"/>
      <c r="XDD300" s="118"/>
      <c r="XDE300" s="118"/>
      <c r="XDF300" s="118"/>
      <c r="XDG300" s="118"/>
      <c r="XDH300" s="118"/>
      <c r="XDI300" s="118"/>
      <c r="XDJ300" s="118"/>
      <c r="XDK300" s="118"/>
      <c r="XDL300" s="118"/>
      <c r="XDM300" s="118"/>
      <c r="XDN300" s="118"/>
      <c r="XDO300" s="118"/>
      <c r="XDP300" s="118"/>
      <c r="XDQ300" s="118"/>
      <c r="XDR300" s="118"/>
      <c r="XDS300" s="118"/>
      <c r="XDT300" s="118"/>
      <c r="XDU300" s="118"/>
      <c r="XDV300" s="118"/>
      <c r="XDW300" s="118"/>
      <c r="XDX300" s="118"/>
      <c r="XDY300" s="118"/>
      <c r="XDZ300" s="118"/>
      <c r="XEA300" s="118"/>
      <c r="XEB300" s="118"/>
      <c r="XEC300" s="118"/>
      <c r="XED300" s="118"/>
      <c r="XEE300" s="118"/>
      <c r="XEF300" s="118"/>
      <c r="XEG300" s="118"/>
      <c r="XEH300" s="118"/>
      <c r="XEI300" s="118"/>
      <c r="XEJ300" s="118"/>
      <c r="XEK300" s="118"/>
      <c r="XEL300" s="118"/>
      <c r="XEM300" s="118"/>
      <c r="XEN300" s="118"/>
      <c r="XEO300" s="118"/>
      <c r="XEP300" s="118"/>
      <c r="XEQ300" s="118"/>
      <c r="XER300" s="118"/>
      <c r="XES300" s="118"/>
      <c r="XET300" s="118"/>
      <c r="XEU300" s="118"/>
      <c r="XEV300" s="118"/>
      <c r="XEW300" s="118"/>
      <c r="XEX300" s="118"/>
      <c r="XEY300" s="118"/>
      <c r="XEZ300" s="118"/>
      <c r="XFA300" s="118"/>
      <c r="XFB300" s="118"/>
      <c r="XFC300" s="118"/>
      <c r="XFD300" s="118"/>
    </row>
    <row r="301" spans="1:37 16131:16384" ht="12.75" hidden="1" customHeight="1" x14ac:dyDescent="0.3">
      <c r="A301" s="115">
        <v>2600</v>
      </c>
      <c r="B301" s="8" t="s">
        <v>623</v>
      </c>
      <c r="C301" s="65" t="str">
        <f>IFERROR(VLOOKUP(D301,'Target tables'!A:B,2,0),"")</f>
        <v>Связь договора и банка</v>
      </c>
      <c r="D301" s="211" t="s">
        <v>144</v>
      </c>
      <c r="E301" s="66" t="str">
        <f>IFERROR(VLOOKUP(D301&amp;J301,'Target columns'!A:J,4,FALSE),"")</f>
        <v>date</v>
      </c>
      <c r="F301" s="66" t="str">
        <f>IFERROR(VLOOKUP(D301&amp;J301,'Target columns'!A:J,7,FALSE),"")</f>
        <v>Yes</v>
      </c>
      <c r="G301" s="66" t="str">
        <f>IFERROR(VLOOKUP(D301&amp;J301,'Target columns'!A:J,8,FALSE),"")</f>
        <v>No</v>
      </c>
      <c r="H301" s="66" t="str">
        <f>IFERROR(VLOOKUP(D301&amp;J301,'Target columns'!A:J,5,FALSE),"")</f>
        <v>NOT NULL</v>
      </c>
      <c r="I301" s="66" t="str">
        <f>IFERROR(VLOOKUP(D301&amp;J301,'Target columns'!A:J,10,FALSE),"")</f>
        <v>Дата начала действия</v>
      </c>
      <c r="J301" s="8" t="s">
        <v>329</v>
      </c>
      <c r="K301" s="8" t="s">
        <v>150</v>
      </c>
      <c r="L301" s="66" t="str">
        <f>IFERROR(VLOOKUP(K301&amp;N301,source_columns[[Seek]:[Описание поля]],4,0),"")</f>
        <v>timestamp</v>
      </c>
      <c r="M301" s="66" t="str">
        <f>IFERROR(VLOOKUP(K301&amp;N301,source_columns[[Seek]:[Описание поля]],7,0),"")</f>
        <v>Дата и время последнего изменения</v>
      </c>
      <c r="N301" s="8" t="s">
        <v>517</v>
      </c>
      <c r="O301" s="8"/>
      <c r="P301" s="8"/>
      <c r="Q301" s="8"/>
      <c r="R301" s="8"/>
      <c r="S301" s="278"/>
      <c r="T301" s="65"/>
      <c r="U301" s="65"/>
      <c r="V301" s="66" t="str">
        <f>"n308000046_"&amp;IFERROR(VLOOKUP(D301,target_tables[],5,0),"&lt;not found&gt;")</f>
        <v>n308000046_agr_other_bank</v>
      </c>
      <c r="W301" s="65" t="s">
        <v>330</v>
      </c>
      <c r="X301" s="65"/>
      <c r="Y301" s="65"/>
      <c r="Z301" s="65"/>
      <c r="AA301" s="65"/>
      <c r="AB301" s="65"/>
      <c r="AC301" s="65"/>
      <c r="AD301" s="65"/>
      <c r="AE301" s="65"/>
      <c r="AF301" s="299"/>
      <c r="AG301" s="10"/>
      <c r="AH301" s="10"/>
      <c r="AI301" s="10"/>
      <c r="AJ301" s="68"/>
      <c r="AK301" s="69"/>
      <c r="WVK301" s="118"/>
      <c r="WVL301" s="118"/>
      <c r="WVM301" s="118"/>
      <c r="WVN301" s="118"/>
      <c r="WVO301" s="118"/>
      <c r="WVP301" s="118"/>
      <c r="WVQ301" s="118"/>
      <c r="WVR301" s="118"/>
      <c r="WVS301" s="118"/>
      <c r="WVT301" s="118"/>
      <c r="WVU301" s="118"/>
      <c r="WVV301" s="118"/>
      <c r="WVW301" s="118"/>
      <c r="WVX301" s="118"/>
      <c r="WVY301" s="118"/>
      <c r="WVZ301" s="118"/>
      <c r="WWA301" s="118"/>
      <c r="WWB301" s="118"/>
      <c r="WWC301" s="118"/>
      <c r="WWD301" s="118"/>
      <c r="WWE301" s="118"/>
      <c r="WWF301" s="118"/>
      <c r="WWG301" s="118"/>
      <c r="WWH301" s="118"/>
      <c r="WWI301" s="118"/>
      <c r="WWJ301" s="118"/>
      <c r="WWK301" s="118"/>
      <c r="WWL301" s="118"/>
      <c r="WWM301" s="118"/>
      <c r="WWN301" s="118"/>
      <c r="WWO301" s="118"/>
      <c r="WWP301" s="118"/>
      <c r="WWQ301" s="118"/>
      <c r="WWR301" s="118"/>
      <c r="WWS301" s="118"/>
      <c r="WWT301" s="118"/>
      <c r="WWU301" s="118"/>
      <c r="WWV301" s="118"/>
      <c r="WWW301" s="118"/>
      <c r="WWX301" s="118"/>
      <c r="WWY301" s="118"/>
      <c r="WWZ301" s="118"/>
      <c r="WXA301" s="118"/>
      <c r="WXB301" s="118"/>
      <c r="WXC301" s="118"/>
      <c r="WXD301" s="118"/>
      <c r="WXE301" s="118"/>
      <c r="WXF301" s="118"/>
      <c r="WXG301" s="118"/>
      <c r="WXH301" s="118"/>
      <c r="WXI301" s="118"/>
      <c r="WXJ301" s="118"/>
      <c r="WXK301" s="118"/>
      <c r="WXL301" s="118"/>
      <c r="WXM301" s="118"/>
      <c r="WXN301" s="118"/>
      <c r="WXO301" s="118"/>
      <c r="WXP301" s="118"/>
      <c r="WXQ301" s="118"/>
      <c r="WXR301" s="118"/>
      <c r="WXS301" s="118"/>
      <c r="WXT301" s="118"/>
      <c r="WXU301" s="118"/>
      <c r="WXV301" s="118"/>
      <c r="WXW301" s="118"/>
      <c r="WXX301" s="118"/>
      <c r="WXY301" s="118"/>
      <c r="WXZ301" s="118"/>
      <c r="WYA301" s="118"/>
      <c r="WYB301" s="118"/>
      <c r="WYC301" s="118"/>
      <c r="WYD301" s="118"/>
      <c r="WYE301" s="118"/>
      <c r="WYF301" s="118"/>
      <c r="WYG301" s="118"/>
      <c r="WYH301" s="118"/>
      <c r="WYI301" s="118"/>
      <c r="WYJ301" s="118"/>
      <c r="WYK301" s="118"/>
      <c r="WYL301" s="118"/>
      <c r="WYM301" s="118"/>
      <c r="WYN301" s="118"/>
      <c r="WYO301" s="118"/>
      <c r="WYP301" s="118"/>
      <c r="WYQ301" s="118"/>
      <c r="WYR301" s="118"/>
      <c r="WYS301" s="118"/>
      <c r="WYT301" s="118"/>
      <c r="WYU301" s="118"/>
      <c r="WYV301" s="118"/>
      <c r="WYW301" s="118"/>
      <c r="WYX301" s="118"/>
      <c r="WYY301" s="118"/>
      <c r="WYZ301" s="118"/>
      <c r="WZA301" s="118"/>
      <c r="WZB301" s="118"/>
      <c r="WZC301" s="118"/>
      <c r="WZD301" s="118"/>
      <c r="WZE301" s="118"/>
      <c r="WZF301" s="118"/>
      <c r="WZG301" s="118"/>
      <c r="WZH301" s="118"/>
      <c r="WZI301" s="118"/>
      <c r="WZJ301" s="118"/>
      <c r="WZK301" s="118"/>
      <c r="WZL301" s="118"/>
      <c r="WZM301" s="118"/>
      <c r="WZN301" s="118"/>
      <c r="WZO301" s="118"/>
      <c r="WZP301" s="118"/>
      <c r="WZQ301" s="118"/>
      <c r="WZR301" s="118"/>
      <c r="WZS301" s="118"/>
      <c r="WZT301" s="118"/>
      <c r="WZU301" s="118"/>
      <c r="WZV301" s="118"/>
      <c r="WZW301" s="118"/>
      <c r="WZX301" s="118"/>
      <c r="WZY301" s="118"/>
      <c r="WZZ301" s="118"/>
      <c r="XAA301" s="118"/>
      <c r="XAB301" s="118"/>
      <c r="XAC301" s="118"/>
      <c r="XAD301" s="118"/>
      <c r="XAE301" s="118"/>
      <c r="XAF301" s="118"/>
      <c r="XAG301" s="118"/>
      <c r="XAH301" s="118"/>
      <c r="XAI301" s="118"/>
      <c r="XAJ301" s="118"/>
      <c r="XAK301" s="118"/>
      <c r="XAL301" s="118"/>
      <c r="XAM301" s="118"/>
      <c r="XAN301" s="118"/>
      <c r="XAO301" s="118"/>
      <c r="XAP301" s="118"/>
      <c r="XAQ301" s="118"/>
      <c r="XAR301" s="118"/>
      <c r="XAS301" s="118"/>
      <c r="XAT301" s="118"/>
      <c r="XAU301" s="118"/>
      <c r="XAV301" s="118"/>
      <c r="XAW301" s="118"/>
      <c r="XAX301" s="118"/>
      <c r="XAY301" s="118"/>
      <c r="XAZ301" s="118"/>
      <c r="XBA301" s="118"/>
      <c r="XBB301" s="118"/>
      <c r="XBC301" s="118"/>
      <c r="XBD301" s="118"/>
      <c r="XBE301" s="118"/>
      <c r="XBF301" s="118"/>
      <c r="XBG301" s="118"/>
      <c r="XBH301" s="118"/>
      <c r="XBI301" s="118"/>
      <c r="XBJ301" s="118"/>
      <c r="XBK301" s="118"/>
      <c r="XBL301" s="118"/>
      <c r="XBM301" s="118"/>
      <c r="XBN301" s="118"/>
      <c r="XBO301" s="118"/>
      <c r="XBP301" s="118"/>
      <c r="XBQ301" s="118"/>
      <c r="XBR301" s="118"/>
      <c r="XBS301" s="118"/>
      <c r="XBT301" s="118"/>
      <c r="XBU301" s="118"/>
      <c r="XBV301" s="118"/>
      <c r="XBW301" s="118"/>
      <c r="XBX301" s="118"/>
      <c r="XBY301" s="118"/>
      <c r="XBZ301" s="118"/>
      <c r="XCA301" s="118"/>
      <c r="XCB301" s="118"/>
      <c r="XCC301" s="118"/>
      <c r="XCD301" s="118"/>
      <c r="XCE301" s="118"/>
      <c r="XCF301" s="118"/>
      <c r="XCG301" s="118"/>
      <c r="XCH301" s="118"/>
      <c r="XCI301" s="118"/>
      <c r="XCJ301" s="118"/>
      <c r="XCK301" s="118"/>
      <c r="XCL301" s="118"/>
      <c r="XCM301" s="118"/>
      <c r="XCN301" s="118"/>
      <c r="XCO301" s="118"/>
      <c r="XCP301" s="118"/>
      <c r="XCQ301" s="118"/>
      <c r="XCR301" s="118"/>
      <c r="XCS301" s="118"/>
      <c r="XCT301" s="118"/>
      <c r="XCU301" s="118"/>
      <c r="XCV301" s="118"/>
      <c r="XCW301" s="118"/>
      <c r="XCX301" s="118"/>
      <c r="XCY301" s="118"/>
      <c r="XCZ301" s="118"/>
      <c r="XDA301" s="118"/>
      <c r="XDB301" s="118"/>
      <c r="XDC301" s="118"/>
      <c r="XDD301" s="118"/>
      <c r="XDE301" s="118"/>
      <c r="XDF301" s="118"/>
      <c r="XDG301" s="118"/>
      <c r="XDH301" s="118"/>
      <c r="XDI301" s="118"/>
      <c r="XDJ301" s="118"/>
      <c r="XDK301" s="118"/>
      <c r="XDL301" s="118"/>
      <c r="XDM301" s="118"/>
      <c r="XDN301" s="118"/>
      <c r="XDO301" s="118"/>
      <c r="XDP301" s="118"/>
      <c r="XDQ301" s="118"/>
      <c r="XDR301" s="118"/>
      <c r="XDS301" s="118"/>
      <c r="XDT301" s="118"/>
      <c r="XDU301" s="118"/>
      <c r="XDV301" s="118"/>
      <c r="XDW301" s="118"/>
      <c r="XDX301" s="118"/>
      <c r="XDY301" s="118"/>
      <c r="XDZ301" s="118"/>
      <c r="XEA301" s="118"/>
      <c r="XEB301" s="118"/>
      <c r="XEC301" s="118"/>
      <c r="XED301" s="118"/>
      <c r="XEE301" s="118"/>
      <c r="XEF301" s="118"/>
      <c r="XEG301" s="118"/>
      <c r="XEH301" s="118"/>
      <c r="XEI301" s="118"/>
      <c r="XEJ301" s="118"/>
      <c r="XEK301" s="118"/>
      <c r="XEL301" s="118"/>
      <c r="XEM301" s="118"/>
      <c r="XEN301" s="118"/>
      <c r="XEO301" s="118"/>
      <c r="XEP301" s="118"/>
      <c r="XEQ301" s="118"/>
      <c r="XER301" s="118"/>
      <c r="XES301" s="118"/>
      <c r="XET301" s="118"/>
      <c r="XEU301" s="118"/>
      <c r="XEV301" s="118"/>
      <c r="XEW301" s="118"/>
      <c r="XEX301" s="118"/>
      <c r="XEY301" s="118"/>
      <c r="XEZ301" s="118"/>
      <c r="XFA301" s="118"/>
      <c r="XFB301" s="118"/>
      <c r="XFC301" s="118"/>
      <c r="XFD301" s="118"/>
    </row>
    <row r="302" spans="1:37 16131:16384" ht="12.75" hidden="1" customHeight="1" x14ac:dyDescent="0.3">
      <c r="A302" s="115">
        <v>2610</v>
      </c>
      <c r="B302" s="8" t="s">
        <v>623</v>
      </c>
      <c r="C302" s="65" t="str">
        <f>IFERROR(VLOOKUP(D302,'Target tables'!A:B,2,0),"")</f>
        <v>Связь договора и банка</v>
      </c>
      <c r="D302" s="211" t="s">
        <v>144</v>
      </c>
      <c r="E302" s="66" t="str">
        <f>IFERROR(VLOOKUP(D302&amp;J302,'Target columns'!A:J,4,FALSE),"")</f>
        <v>uuid</v>
      </c>
      <c r="F302" s="66" t="str">
        <f>IFERROR(VLOOKUP(D302&amp;J302,'Target columns'!A:J,7,FALSE),"")</f>
        <v>Yes</v>
      </c>
      <c r="G302" s="66" t="str">
        <f>IFERROR(VLOOKUP(D302&amp;J302,'Target columns'!A:J,8,FALSE),"")</f>
        <v>Yes</v>
      </c>
      <c r="H302" s="66" t="str">
        <f>IFERROR(VLOOKUP(D302&amp;J302,'Target columns'!A:J,5,FALSE),"")</f>
        <v>NULL</v>
      </c>
      <c r="I302" s="66" t="str">
        <f>IFERROR(VLOOKUP(D302&amp;J302,'Target columns'!A:J,10,FALSE),"")</f>
        <v>Идентификатор типа связи договора и банка</v>
      </c>
      <c r="J302" s="8" t="s">
        <v>600</v>
      </c>
      <c r="K302" s="8" t="s">
        <v>150</v>
      </c>
      <c r="L302" s="66" t="str">
        <f>IFERROR(VLOOKUP(K302&amp;N302,source_columns[[Seek]:[Описание поля]],4,0),"")</f>
        <v/>
      </c>
      <c r="M302" s="66" t="str">
        <f>IFERROR(VLOOKUP(K302&amp;N302,source_columns[[Seek]:[Описание поля]],7,0),"")</f>
        <v/>
      </c>
      <c r="N302" s="8" t="s">
        <v>626</v>
      </c>
      <c r="O302" s="8"/>
      <c r="P302" s="8"/>
      <c r="Q302" s="8"/>
      <c r="R302" s="8"/>
      <c r="S302" s="278"/>
      <c r="T302" s="65"/>
      <c r="U302" s="65"/>
      <c r="V302" s="66" t="str">
        <f>"n308000046_"&amp;IFERROR(VLOOKUP(D302,target_tables[],5,0),"&lt;not found&gt;")</f>
        <v>n308000046_agr_other_bank</v>
      </c>
      <c r="W302" s="65" t="s">
        <v>269</v>
      </c>
      <c r="X302" s="65"/>
      <c r="Y302" s="65"/>
      <c r="Z302" s="65"/>
      <c r="AA302" s="65"/>
      <c r="AB302" s="65"/>
      <c r="AC302" s="65"/>
      <c r="AD302" s="65"/>
      <c r="AE302" s="65"/>
      <c r="AF302" s="299"/>
      <c r="AG302" s="10"/>
      <c r="AH302" s="10"/>
      <c r="AI302" s="10"/>
      <c r="AJ302" s="68"/>
      <c r="AK302" s="69"/>
      <c r="WVK302" s="118"/>
      <c r="WVL302" s="118"/>
      <c r="WVM302" s="118"/>
      <c r="WVN302" s="118"/>
      <c r="WVO302" s="118"/>
      <c r="WVP302" s="118"/>
      <c r="WVQ302" s="118"/>
      <c r="WVR302" s="118"/>
      <c r="WVS302" s="118"/>
      <c r="WVT302" s="118"/>
      <c r="WVU302" s="118"/>
      <c r="WVV302" s="118"/>
      <c r="WVW302" s="118"/>
      <c r="WVX302" s="118"/>
      <c r="WVY302" s="118"/>
      <c r="WVZ302" s="118"/>
      <c r="WWA302" s="118"/>
      <c r="WWB302" s="118"/>
      <c r="WWC302" s="118"/>
      <c r="WWD302" s="118"/>
      <c r="WWE302" s="118"/>
      <c r="WWF302" s="118"/>
      <c r="WWG302" s="118"/>
      <c r="WWH302" s="118"/>
      <c r="WWI302" s="118"/>
      <c r="WWJ302" s="118"/>
      <c r="WWK302" s="118"/>
      <c r="WWL302" s="118"/>
      <c r="WWM302" s="118"/>
      <c r="WWN302" s="118"/>
      <c r="WWO302" s="118"/>
      <c r="WWP302" s="118"/>
      <c r="WWQ302" s="118"/>
      <c r="WWR302" s="118"/>
      <c r="WWS302" s="118"/>
      <c r="WWT302" s="118"/>
      <c r="WWU302" s="118"/>
      <c r="WWV302" s="118"/>
      <c r="WWW302" s="118"/>
      <c r="WWX302" s="118"/>
      <c r="WWY302" s="118"/>
      <c r="WWZ302" s="118"/>
      <c r="WXA302" s="118"/>
      <c r="WXB302" s="118"/>
      <c r="WXC302" s="118"/>
      <c r="WXD302" s="118"/>
      <c r="WXE302" s="118"/>
      <c r="WXF302" s="118"/>
      <c r="WXG302" s="118"/>
      <c r="WXH302" s="118"/>
      <c r="WXI302" s="118"/>
      <c r="WXJ302" s="118"/>
      <c r="WXK302" s="118"/>
      <c r="WXL302" s="118"/>
      <c r="WXM302" s="118"/>
      <c r="WXN302" s="118"/>
      <c r="WXO302" s="118"/>
      <c r="WXP302" s="118"/>
      <c r="WXQ302" s="118"/>
      <c r="WXR302" s="118"/>
      <c r="WXS302" s="118"/>
      <c r="WXT302" s="118"/>
      <c r="WXU302" s="118"/>
      <c r="WXV302" s="118"/>
      <c r="WXW302" s="118"/>
      <c r="WXX302" s="118"/>
      <c r="WXY302" s="118"/>
      <c r="WXZ302" s="118"/>
      <c r="WYA302" s="118"/>
      <c r="WYB302" s="118"/>
      <c r="WYC302" s="118"/>
      <c r="WYD302" s="118"/>
      <c r="WYE302" s="118"/>
      <c r="WYF302" s="118"/>
      <c r="WYG302" s="118"/>
      <c r="WYH302" s="118"/>
      <c r="WYI302" s="118"/>
      <c r="WYJ302" s="118"/>
      <c r="WYK302" s="118"/>
      <c r="WYL302" s="118"/>
      <c r="WYM302" s="118"/>
      <c r="WYN302" s="118"/>
      <c r="WYO302" s="118"/>
      <c r="WYP302" s="118"/>
      <c r="WYQ302" s="118"/>
      <c r="WYR302" s="118"/>
      <c r="WYS302" s="118"/>
      <c r="WYT302" s="118"/>
      <c r="WYU302" s="118"/>
      <c r="WYV302" s="118"/>
      <c r="WYW302" s="118"/>
      <c r="WYX302" s="118"/>
      <c r="WYY302" s="118"/>
      <c r="WYZ302" s="118"/>
      <c r="WZA302" s="118"/>
      <c r="WZB302" s="118"/>
      <c r="WZC302" s="118"/>
      <c r="WZD302" s="118"/>
      <c r="WZE302" s="118"/>
      <c r="WZF302" s="118"/>
      <c r="WZG302" s="118"/>
      <c r="WZH302" s="118"/>
      <c r="WZI302" s="118"/>
      <c r="WZJ302" s="118"/>
      <c r="WZK302" s="118"/>
      <c r="WZL302" s="118"/>
      <c r="WZM302" s="118"/>
      <c r="WZN302" s="118"/>
      <c r="WZO302" s="118"/>
      <c r="WZP302" s="118"/>
      <c r="WZQ302" s="118"/>
      <c r="WZR302" s="118"/>
      <c r="WZS302" s="118"/>
      <c r="WZT302" s="118"/>
      <c r="WZU302" s="118"/>
      <c r="WZV302" s="118"/>
      <c r="WZW302" s="118"/>
      <c r="WZX302" s="118"/>
      <c r="WZY302" s="118"/>
      <c r="WZZ302" s="118"/>
      <c r="XAA302" s="118"/>
      <c r="XAB302" s="118"/>
      <c r="XAC302" s="118"/>
      <c r="XAD302" s="118"/>
      <c r="XAE302" s="118"/>
      <c r="XAF302" s="118"/>
      <c r="XAG302" s="118"/>
      <c r="XAH302" s="118"/>
      <c r="XAI302" s="118"/>
      <c r="XAJ302" s="118"/>
      <c r="XAK302" s="118"/>
      <c r="XAL302" s="118"/>
      <c r="XAM302" s="118"/>
      <c r="XAN302" s="118"/>
      <c r="XAO302" s="118"/>
      <c r="XAP302" s="118"/>
      <c r="XAQ302" s="118"/>
      <c r="XAR302" s="118"/>
      <c r="XAS302" s="118"/>
      <c r="XAT302" s="118"/>
      <c r="XAU302" s="118"/>
      <c r="XAV302" s="118"/>
      <c r="XAW302" s="118"/>
      <c r="XAX302" s="118"/>
      <c r="XAY302" s="118"/>
      <c r="XAZ302" s="118"/>
      <c r="XBA302" s="118"/>
      <c r="XBB302" s="118"/>
      <c r="XBC302" s="118"/>
      <c r="XBD302" s="118"/>
      <c r="XBE302" s="118"/>
      <c r="XBF302" s="118"/>
      <c r="XBG302" s="118"/>
      <c r="XBH302" s="118"/>
      <c r="XBI302" s="118"/>
      <c r="XBJ302" s="118"/>
      <c r="XBK302" s="118"/>
      <c r="XBL302" s="118"/>
      <c r="XBM302" s="118"/>
      <c r="XBN302" s="118"/>
      <c r="XBO302" s="118"/>
      <c r="XBP302" s="118"/>
      <c r="XBQ302" s="118"/>
      <c r="XBR302" s="118"/>
      <c r="XBS302" s="118"/>
      <c r="XBT302" s="118"/>
      <c r="XBU302" s="118"/>
      <c r="XBV302" s="118"/>
      <c r="XBW302" s="118"/>
      <c r="XBX302" s="118"/>
      <c r="XBY302" s="118"/>
      <c r="XBZ302" s="118"/>
      <c r="XCA302" s="118"/>
      <c r="XCB302" s="118"/>
      <c r="XCC302" s="118"/>
      <c r="XCD302" s="118"/>
      <c r="XCE302" s="118"/>
      <c r="XCF302" s="118"/>
      <c r="XCG302" s="118"/>
      <c r="XCH302" s="118"/>
      <c r="XCI302" s="118"/>
      <c r="XCJ302" s="118"/>
      <c r="XCK302" s="118"/>
      <c r="XCL302" s="118"/>
      <c r="XCM302" s="118"/>
      <c r="XCN302" s="118"/>
      <c r="XCO302" s="118"/>
      <c r="XCP302" s="118"/>
      <c r="XCQ302" s="118"/>
      <c r="XCR302" s="118"/>
      <c r="XCS302" s="118"/>
      <c r="XCT302" s="118"/>
      <c r="XCU302" s="118"/>
      <c r="XCV302" s="118"/>
      <c r="XCW302" s="118"/>
      <c r="XCX302" s="118"/>
      <c r="XCY302" s="118"/>
      <c r="XCZ302" s="118"/>
      <c r="XDA302" s="118"/>
      <c r="XDB302" s="118"/>
      <c r="XDC302" s="118"/>
      <c r="XDD302" s="118"/>
      <c r="XDE302" s="118"/>
      <c r="XDF302" s="118"/>
      <c r="XDG302" s="118"/>
      <c r="XDH302" s="118"/>
      <c r="XDI302" s="118"/>
      <c r="XDJ302" s="118"/>
      <c r="XDK302" s="118"/>
      <c r="XDL302" s="118"/>
      <c r="XDM302" s="118"/>
      <c r="XDN302" s="118"/>
      <c r="XDO302" s="118"/>
      <c r="XDP302" s="118"/>
      <c r="XDQ302" s="118"/>
      <c r="XDR302" s="118"/>
      <c r="XDS302" s="118"/>
      <c r="XDT302" s="118"/>
      <c r="XDU302" s="118"/>
      <c r="XDV302" s="118"/>
      <c r="XDW302" s="118"/>
      <c r="XDX302" s="118"/>
      <c r="XDY302" s="118"/>
      <c r="XDZ302" s="118"/>
      <c r="XEA302" s="118"/>
      <c r="XEB302" s="118"/>
      <c r="XEC302" s="118"/>
      <c r="XED302" s="118"/>
      <c r="XEE302" s="118"/>
      <c r="XEF302" s="118"/>
      <c r="XEG302" s="118"/>
      <c r="XEH302" s="118"/>
      <c r="XEI302" s="118"/>
      <c r="XEJ302" s="118"/>
      <c r="XEK302" s="118"/>
      <c r="XEL302" s="118"/>
      <c r="XEM302" s="118"/>
      <c r="XEN302" s="118"/>
      <c r="XEO302" s="118"/>
      <c r="XEP302" s="118"/>
      <c r="XEQ302" s="118"/>
      <c r="XER302" s="118"/>
      <c r="XES302" s="118"/>
      <c r="XET302" s="118"/>
      <c r="XEU302" s="118"/>
      <c r="XEV302" s="118"/>
      <c r="XEW302" s="118"/>
      <c r="XEX302" s="118"/>
      <c r="XEY302" s="118"/>
      <c r="XEZ302" s="118"/>
      <c r="XFA302" s="118"/>
      <c r="XFB302" s="118"/>
      <c r="XFC302" s="118"/>
      <c r="XFD302" s="118"/>
    </row>
    <row r="303" spans="1:37 16131:16384" ht="12.75" hidden="1" customHeight="1" x14ac:dyDescent="0.3">
      <c r="A303" s="115">
        <v>2620</v>
      </c>
      <c r="B303" s="8" t="s">
        <v>623</v>
      </c>
      <c r="C303" s="65" t="str">
        <f>IFERROR(VLOOKUP(D303,'Target tables'!A:B,2,0),"")</f>
        <v>Связь договора и банка</v>
      </c>
      <c r="D303" s="211" t="s">
        <v>144</v>
      </c>
      <c r="E303" s="66" t="str">
        <f>IFERROR(VLOOKUP(D303&amp;J303,'Target columns'!A:J,4,FALSE),"")</f>
        <v>uuid</v>
      </c>
      <c r="F303" s="66" t="str">
        <f>IFERROR(VLOOKUP(D303&amp;J303,'Target columns'!A:J,7,FALSE),"")</f>
        <v>No</v>
      </c>
      <c r="G303" s="66" t="str">
        <f>IFERROR(VLOOKUP(D303&amp;J303,'Target columns'!A:J,8,FALSE),"")</f>
        <v>Yes</v>
      </c>
      <c r="H303" s="66" t="str">
        <f>IFERROR(VLOOKUP(D303&amp;J303,'Target columns'!A:J,5,FALSE),"")</f>
        <v>NULL</v>
      </c>
      <c r="I303" s="66" t="str">
        <f>IFERROR(VLOOKUP(D303&amp;J303,'Target columns'!A:J,10,FALSE),"")</f>
        <v>Идентификатор банка</v>
      </c>
      <c r="J303" s="8" t="s">
        <v>581</v>
      </c>
      <c r="K303" s="8" t="s">
        <v>150</v>
      </c>
      <c r="L303" s="66" t="str">
        <f>IFERROR(VLOOKUP(K303&amp;N303,source_columns[[Seek]:[Описание поля]],4,0),"")</f>
        <v>uuid</v>
      </c>
      <c r="M303" s="66" t="str">
        <f>IFERROR(VLOOKUP(K303&amp;N303,source_columns[[Seek]:[Описание поля]],7,0),"")</f>
        <v>SWIFT код Банка эмитента</v>
      </c>
      <c r="N303" s="8" t="s">
        <v>627</v>
      </c>
      <c r="O303" s="8"/>
      <c r="P303" s="8"/>
      <c r="Q303" s="8"/>
      <c r="R303" s="8"/>
      <c r="S303" s="278"/>
      <c r="T303" s="65"/>
      <c r="U303" s="65"/>
      <c r="V303" s="66" t="str">
        <f>"n308000046_"&amp;IFERROR(VLOOKUP(D303,target_tables[],5,0),"&lt;not found&gt;")</f>
        <v>n308000046_agr_other_bank</v>
      </c>
      <c r="W303" s="65" t="s">
        <v>273</v>
      </c>
      <c r="X303" s="65"/>
      <c r="Y303" s="65"/>
      <c r="Z303" s="65"/>
      <c r="AA303" s="65"/>
      <c r="AB303" s="65"/>
      <c r="AC303" s="65"/>
      <c r="AD303" s="65"/>
      <c r="AE303" s="65"/>
      <c r="AF303" s="299"/>
      <c r="AG303" s="10"/>
      <c r="AH303" s="10"/>
      <c r="AI303" s="10"/>
      <c r="AJ303" s="68"/>
      <c r="AK303" s="69"/>
      <c r="WVK303" s="118"/>
      <c r="WVL303" s="118"/>
      <c r="WVM303" s="118"/>
      <c r="WVN303" s="118"/>
      <c r="WVO303" s="118"/>
      <c r="WVP303" s="118"/>
      <c r="WVQ303" s="118"/>
      <c r="WVR303" s="118"/>
      <c r="WVS303" s="118"/>
      <c r="WVT303" s="118"/>
      <c r="WVU303" s="118"/>
      <c r="WVV303" s="118"/>
      <c r="WVW303" s="118"/>
      <c r="WVX303" s="118"/>
      <c r="WVY303" s="118"/>
      <c r="WVZ303" s="118"/>
      <c r="WWA303" s="118"/>
      <c r="WWB303" s="118"/>
      <c r="WWC303" s="118"/>
      <c r="WWD303" s="118"/>
      <c r="WWE303" s="118"/>
      <c r="WWF303" s="118"/>
      <c r="WWG303" s="118"/>
      <c r="WWH303" s="118"/>
      <c r="WWI303" s="118"/>
      <c r="WWJ303" s="118"/>
      <c r="WWK303" s="118"/>
      <c r="WWL303" s="118"/>
      <c r="WWM303" s="118"/>
      <c r="WWN303" s="118"/>
      <c r="WWO303" s="118"/>
      <c r="WWP303" s="118"/>
      <c r="WWQ303" s="118"/>
      <c r="WWR303" s="118"/>
      <c r="WWS303" s="118"/>
      <c r="WWT303" s="118"/>
      <c r="WWU303" s="118"/>
      <c r="WWV303" s="118"/>
      <c r="WWW303" s="118"/>
      <c r="WWX303" s="118"/>
      <c r="WWY303" s="118"/>
      <c r="WWZ303" s="118"/>
      <c r="WXA303" s="118"/>
      <c r="WXB303" s="118"/>
      <c r="WXC303" s="118"/>
      <c r="WXD303" s="118"/>
      <c r="WXE303" s="118"/>
      <c r="WXF303" s="118"/>
      <c r="WXG303" s="118"/>
      <c r="WXH303" s="118"/>
      <c r="WXI303" s="118"/>
      <c r="WXJ303" s="118"/>
      <c r="WXK303" s="118"/>
      <c r="WXL303" s="118"/>
      <c r="WXM303" s="118"/>
      <c r="WXN303" s="118"/>
      <c r="WXO303" s="118"/>
      <c r="WXP303" s="118"/>
      <c r="WXQ303" s="118"/>
      <c r="WXR303" s="118"/>
      <c r="WXS303" s="118"/>
      <c r="WXT303" s="118"/>
      <c r="WXU303" s="118"/>
      <c r="WXV303" s="118"/>
      <c r="WXW303" s="118"/>
      <c r="WXX303" s="118"/>
      <c r="WXY303" s="118"/>
      <c r="WXZ303" s="118"/>
      <c r="WYA303" s="118"/>
      <c r="WYB303" s="118"/>
      <c r="WYC303" s="118"/>
      <c r="WYD303" s="118"/>
      <c r="WYE303" s="118"/>
      <c r="WYF303" s="118"/>
      <c r="WYG303" s="118"/>
      <c r="WYH303" s="118"/>
      <c r="WYI303" s="118"/>
      <c r="WYJ303" s="118"/>
      <c r="WYK303" s="118"/>
      <c r="WYL303" s="118"/>
      <c r="WYM303" s="118"/>
      <c r="WYN303" s="118"/>
      <c r="WYO303" s="118"/>
      <c r="WYP303" s="118"/>
      <c r="WYQ303" s="118"/>
      <c r="WYR303" s="118"/>
      <c r="WYS303" s="118"/>
      <c r="WYT303" s="118"/>
      <c r="WYU303" s="118"/>
      <c r="WYV303" s="118"/>
      <c r="WYW303" s="118"/>
      <c r="WYX303" s="118"/>
      <c r="WYY303" s="118"/>
      <c r="WYZ303" s="118"/>
      <c r="WZA303" s="118"/>
      <c r="WZB303" s="118"/>
      <c r="WZC303" s="118"/>
      <c r="WZD303" s="118"/>
      <c r="WZE303" s="118"/>
      <c r="WZF303" s="118"/>
      <c r="WZG303" s="118"/>
      <c r="WZH303" s="118"/>
      <c r="WZI303" s="118"/>
      <c r="WZJ303" s="118"/>
      <c r="WZK303" s="118"/>
      <c r="WZL303" s="118"/>
      <c r="WZM303" s="118"/>
      <c r="WZN303" s="118"/>
      <c r="WZO303" s="118"/>
      <c r="WZP303" s="118"/>
      <c r="WZQ303" s="118"/>
      <c r="WZR303" s="118"/>
      <c r="WZS303" s="118"/>
      <c r="WZT303" s="118"/>
      <c r="WZU303" s="118"/>
      <c r="WZV303" s="118"/>
      <c r="WZW303" s="118"/>
      <c r="WZX303" s="118"/>
      <c r="WZY303" s="118"/>
      <c r="WZZ303" s="118"/>
      <c r="XAA303" s="118"/>
      <c r="XAB303" s="118"/>
      <c r="XAC303" s="118"/>
      <c r="XAD303" s="118"/>
      <c r="XAE303" s="118"/>
      <c r="XAF303" s="118"/>
      <c r="XAG303" s="118"/>
      <c r="XAH303" s="118"/>
      <c r="XAI303" s="118"/>
      <c r="XAJ303" s="118"/>
      <c r="XAK303" s="118"/>
      <c r="XAL303" s="118"/>
      <c r="XAM303" s="118"/>
      <c r="XAN303" s="118"/>
      <c r="XAO303" s="118"/>
      <c r="XAP303" s="118"/>
      <c r="XAQ303" s="118"/>
      <c r="XAR303" s="118"/>
      <c r="XAS303" s="118"/>
      <c r="XAT303" s="118"/>
      <c r="XAU303" s="118"/>
      <c r="XAV303" s="118"/>
      <c r="XAW303" s="118"/>
      <c r="XAX303" s="118"/>
      <c r="XAY303" s="118"/>
      <c r="XAZ303" s="118"/>
      <c r="XBA303" s="118"/>
      <c r="XBB303" s="118"/>
      <c r="XBC303" s="118"/>
      <c r="XBD303" s="118"/>
      <c r="XBE303" s="118"/>
      <c r="XBF303" s="118"/>
      <c r="XBG303" s="118"/>
      <c r="XBH303" s="118"/>
      <c r="XBI303" s="118"/>
      <c r="XBJ303" s="118"/>
      <c r="XBK303" s="118"/>
      <c r="XBL303" s="118"/>
      <c r="XBM303" s="118"/>
      <c r="XBN303" s="118"/>
      <c r="XBO303" s="118"/>
      <c r="XBP303" s="118"/>
      <c r="XBQ303" s="118"/>
      <c r="XBR303" s="118"/>
      <c r="XBS303" s="118"/>
      <c r="XBT303" s="118"/>
      <c r="XBU303" s="118"/>
      <c r="XBV303" s="118"/>
      <c r="XBW303" s="118"/>
      <c r="XBX303" s="118"/>
      <c r="XBY303" s="118"/>
      <c r="XBZ303" s="118"/>
      <c r="XCA303" s="118"/>
      <c r="XCB303" s="118"/>
      <c r="XCC303" s="118"/>
      <c r="XCD303" s="118"/>
      <c r="XCE303" s="118"/>
      <c r="XCF303" s="118"/>
      <c r="XCG303" s="118"/>
      <c r="XCH303" s="118"/>
      <c r="XCI303" s="118"/>
      <c r="XCJ303" s="118"/>
      <c r="XCK303" s="118"/>
      <c r="XCL303" s="118"/>
      <c r="XCM303" s="118"/>
      <c r="XCN303" s="118"/>
      <c r="XCO303" s="118"/>
      <c r="XCP303" s="118"/>
      <c r="XCQ303" s="118"/>
      <c r="XCR303" s="118"/>
      <c r="XCS303" s="118"/>
      <c r="XCT303" s="118"/>
      <c r="XCU303" s="118"/>
      <c r="XCV303" s="118"/>
      <c r="XCW303" s="118"/>
      <c r="XCX303" s="118"/>
      <c r="XCY303" s="118"/>
      <c r="XCZ303" s="118"/>
      <c r="XDA303" s="118"/>
      <c r="XDB303" s="118"/>
      <c r="XDC303" s="118"/>
      <c r="XDD303" s="118"/>
      <c r="XDE303" s="118"/>
      <c r="XDF303" s="118"/>
      <c r="XDG303" s="118"/>
      <c r="XDH303" s="118"/>
      <c r="XDI303" s="118"/>
      <c r="XDJ303" s="118"/>
      <c r="XDK303" s="118"/>
      <c r="XDL303" s="118"/>
      <c r="XDM303" s="118"/>
      <c r="XDN303" s="118"/>
      <c r="XDO303" s="118"/>
      <c r="XDP303" s="118"/>
      <c r="XDQ303" s="118"/>
      <c r="XDR303" s="118"/>
      <c r="XDS303" s="118"/>
      <c r="XDT303" s="118"/>
      <c r="XDU303" s="118"/>
      <c r="XDV303" s="118"/>
      <c r="XDW303" s="118"/>
      <c r="XDX303" s="118"/>
      <c r="XDY303" s="118"/>
      <c r="XDZ303" s="118"/>
      <c r="XEA303" s="118"/>
      <c r="XEB303" s="118"/>
      <c r="XEC303" s="118"/>
      <c r="XED303" s="118"/>
      <c r="XEE303" s="118"/>
      <c r="XEF303" s="118"/>
      <c r="XEG303" s="118"/>
      <c r="XEH303" s="118"/>
      <c r="XEI303" s="118"/>
      <c r="XEJ303" s="118"/>
      <c r="XEK303" s="118"/>
      <c r="XEL303" s="118"/>
      <c r="XEM303" s="118"/>
      <c r="XEN303" s="118"/>
      <c r="XEO303" s="118"/>
      <c r="XEP303" s="118"/>
      <c r="XEQ303" s="118"/>
      <c r="XER303" s="118"/>
      <c r="XES303" s="118"/>
      <c r="XET303" s="118"/>
      <c r="XEU303" s="118"/>
      <c r="XEV303" s="118"/>
      <c r="XEW303" s="118"/>
      <c r="XEX303" s="118"/>
      <c r="XEY303" s="118"/>
      <c r="XEZ303" s="118"/>
      <c r="XFA303" s="118"/>
      <c r="XFB303" s="118"/>
      <c r="XFC303" s="118"/>
      <c r="XFD303" s="118"/>
    </row>
    <row r="304" spans="1:37 16131:16384" ht="12.75" hidden="1" customHeight="1" x14ac:dyDescent="0.3">
      <c r="A304" s="116">
        <v>2630</v>
      </c>
      <c r="B304" s="20" t="s">
        <v>623</v>
      </c>
      <c r="C304" s="20" t="str">
        <f>IFERROR(VLOOKUP(D304,'Target tables'!A:B,2,0),"")</f>
        <v>Связь договора и банка</v>
      </c>
      <c r="D304" s="212" t="s">
        <v>144</v>
      </c>
      <c r="E304" s="73" t="str">
        <f>IFERROR(VLOOKUP(D304&amp;J304,'Target columns'!A:J,4,FALSE),"")</f>
        <v>date</v>
      </c>
      <c r="F304" s="73" t="str">
        <f>IFERROR(VLOOKUP(D304&amp;J304,'Target columns'!A:J,7,FALSE),"")</f>
        <v>No</v>
      </c>
      <c r="G304" s="73" t="str">
        <f>IFERROR(VLOOKUP(D304&amp;J304,'Target columns'!A:J,8,FALSE),"")</f>
        <v>No</v>
      </c>
      <c r="H304" s="73" t="str">
        <f>IFERROR(VLOOKUP(D304&amp;J304,'Target columns'!A:J,5,FALSE),"")</f>
        <v>NULL</v>
      </c>
      <c r="I304" s="73" t="str">
        <f>IFERROR(VLOOKUP(D304&amp;J304,'Target columns'!A:J,10,FALSE),"")</f>
        <v>Дата окончания действия</v>
      </c>
      <c r="J304" s="20" t="s">
        <v>331</v>
      </c>
      <c r="K304" s="20" t="s">
        <v>150</v>
      </c>
      <c r="L304" s="73" t="str">
        <f>IFERROR(VLOOKUP(K304&amp;N304,source_columns[[Seek]:[Описание поля]],4,0),"")</f>
        <v/>
      </c>
      <c r="M304" s="73" t="str">
        <f>IFERROR(VLOOKUP(K304&amp;N304,source_columns[[Seek]:[Описание поля]],7,0),"")</f>
        <v/>
      </c>
      <c r="N304" s="20" t="s">
        <v>603</v>
      </c>
      <c r="O304" s="20"/>
      <c r="P304" s="20"/>
      <c r="Q304" s="20"/>
      <c r="R304" s="20"/>
      <c r="S304" s="278"/>
      <c r="T304" s="71"/>
      <c r="U304" s="71"/>
      <c r="V304" s="73" t="str">
        <f>"n308000046_"&amp;IFERROR(VLOOKUP(D304,target_tables[],5,0),"&lt;not found&gt;")</f>
        <v>n308000046_agr_other_bank</v>
      </c>
      <c r="W304" s="71" t="s">
        <v>332</v>
      </c>
      <c r="X304" s="71"/>
      <c r="Y304" s="71"/>
      <c r="Z304" s="71"/>
      <c r="AA304" s="71"/>
      <c r="AB304" s="71"/>
      <c r="AC304" s="71"/>
      <c r="AD304" s="71"/>
      <c r="AE304" s="71"/>
      <c r="AF304" s="299"/>
      <c r="AG304" s="27"/>
      <c r="AH304" s="27"/>
      <c r="AI304" s="27"/>
      <c r="AJ304" s="75"/>
      <c r="AK304" s="69"/>
      <c r="WVK304" s="118"/>
      <c r="WVL304" s="118"/>
      <c r="WVM304" s="118"/>
      <c r="WVN304" s="118"/>
      <c r="WVO304" s="118"/>
      <c r="WVP304" s="118"/>
      <c r="WVQ304" s="118"/>
      <c r="WVR304" s="118"/>
      <c r="WVS304" s="118"/>
      <c r="WVT304" s="118"/>
      <c r="WVU304" s="118"/>
      <c r="WVV304" s="118"/>
      <c r="WVW304" s="118"/>
      <c r="WVX304" s="118"/>
      <c r="WVY304" s="118"/>
      <c r="WVZ304" s="118"/>
      <c r="WWA304" s="118"/>
      <c r="WWB304" s="118"/>
      <c r="WWC304" s="118"/>
      <c r="WWD304" s="118"/>
      <c r="WWE304" s="118"/>
      <c r="WWF304" s="118"/>
      <c r="WWG304" s="118"/>
      <c r="WWH304" s="118"/>
      <c r="WWI304" s="118"/>
      <c r="WWJ304" s="118"/>
      <c r="WWK304" s="118"/>
      <c r="WWL304" s="118"/>
      <c r="WWM304" s="118"/>
      <c r="WWN304" s="118"/>
      <c r="WWO304" s="118"/>
      <c r="WWP304" s="118"/>
      <c r="WWQ304" s="118"/>
      <c r="WWR304" s="118"/>
      <c r="WWS304" s="118"/>
      <c r="WWT304" s="118"/>
      <c r="WWU304" s="118"/>
      <c r="WWV304" s="118"/>
      <c r="WWW304" s="118"/>
      <c r="WWX304" s="118"/>
      <c r="WWY304" s="118"/>
      <c r="WWZ304" s="118"/>
      <c r="WXA304" s="118"/>
      <c r="WXB304" s="118"/>
      <c r="WXC304" s="118"/>
      <c r="WXD304" s="118"/>
      <c r="WXE304" s="118"/>
      <c r="WXF304" s="118"/>
      <c r="WXG304" s="118"/>
      <c r="WXH304" s="118"/>
      <c r="WXI304" s="118"/>
      <c r="WXJ304" s="118"/>
      <c r="WXK304" s="118"/>
      <c r="WXL304" s="118"/>
      <c r="WXM304" s="118"/>
      <c r="WXN304" s="118"/>
      <c r="WXO304" s="118"/>
      <c r="WXP304" s="118"/>
      <c r="WXQ304" s="118"/>
      <c r="WXR304" s="118"/>
      <c r="WXS304" s="118"/>
      <c r="WXT304" s="118"/>
      <c r="WXU304" s="118"/>
      <c r="WXV304" s="118"/>
      <c r="WXW304" s="118"/>
      <c r="WXX304" s="118"/>
      <c r="WXY304" s="118"/>
      <c r="WXZ304" s="118"/>
      <c r="WYA304" s="118"/>
      <c r="WYB304" s="118"/>
      <c r="WYC304" s="118"/>
      <c r="WYD304" s="118"/>
      <c r="WYE304" s="118"/>
      <c r="WYF304" s="118"/>
      <c r="WYG304" s="118"/>
      <c r="WYH304" s="118"/>
      <c r="WYI304" s="118"/>
      <c r="WYJ304" s="118"/>
      <c r="WYK304" s="118"/>
      <c r="WYL304" s="118"/>
      <c r="WYM304" s="118"/>
      <c r="WYN304" s="118"/>
      <c r="WYO304" s="118"/>
      <c r="WYP304" s="118"/>
      <c r="WYQ304" s="118"/>
      <c r="WYR304" s="118"/>
      <c r="WYS304" s="118"/>
      <c r="WYT304" s="118"/>
      <c r="WYU304" s="118"/>
      <c r="WYV304" s="118"/>
      <c r="WYW304" s="118"/>
      <c r="WYX304" s="118"/>
      <c r="WYY304" s="118"/>
      <c r="WYZ304" s="118"/>
      <c r="WZA304" s="118"/>
      <c r="WZB304" s="118"/>
      <c r="WZC304" s="118"/>
      <c r="WZD304" s="118"/>
      <c r="WZE304" s="118"/>
      <c r="WZF304" s="118"/>
      <c r="WZG304" s="118"/>
      <c r="WZH304" s="118"/>
      <c r="WZI304" s="118"/>
      <c r="WZJ304" s="118"/>
      <c r="WZK304" s="118"/>
      <c r="WZL304" s="118"/>
      <c r="WZM304" s="118"/>
      <c r="WZN304" s="118"/>
      <c r="WZO304" s="118"/>
      <c r="WZP304" s="118"/>
      <c r="WZQ304" s="118"/>
      <c r="WZR304" s="118"/>
      <c r="WZS304" s="118"/>
      <c r="WZT304" s="118"/>
      <c r="WZU304" s="118"/>
      <c r="WZV304" s="118"/>
      <c r="WZW304" s="118"/>
      <c r="WZX304" s="118"/>
      <c r="WZY304" s="118"/>
      <c r="WZZ304" s="118"/>
      <c r="XAA304" s="118"/>
      <c r="XAB304" s="118"/>
      <c r="XAC304" s="118"/>
      <c r="XAD304" s="118"/>
      <c r="XAE304" s="118"/>
      <c r="XAF304" s="118"/>
      <c r="XAG304" s="118"/>
      <c r="XAH304" s="118"/>
      <c r="XAI304" s="118"/>
      <c r="XAJ304" s="118"/>
      <c r="XAK304" s="118"/>
      <c r="XAL304" s="118"/>
      <c r="XAM304" s="118"/>
      <c r="XAN304" s="118"/>
      <c r="XAO304" s="118"/>
      <c r="XAP304" s="118"/>
      <c r="XAQ304" s="118"/>
      <c r="XAR304" s="118"/>
      <c r="XAS304" s="118"/>
      <c r="XAT304" s="118"/>
      <c r="XAU304" s="118"/>
      <c r="XAV304" s="118"/>
      <c r="XAW304" s="118"/>
      <c r="XAX304" s="118"/>
      <c r="XAY304" s="118"/>
      <c r="XAZ304" s="118"/>
      <c r="XBA304" s="118"/>
      <c r="XBB304" s="118"/>
      <c r="XBC304" s="118"/>
      <c r="XBD304" s="118"/>
      <c r="XBE304" s="118"/>
      <c r="XBF304" s="118"/>
      <c r="XBG304" s="118"/>
      <c r="XBH304" s="118"/>
      <c r="XBI304" s="118"/>
      <c r="XBJ304" s="118"/>
      <c r="XBK304" s="118"/>
      <c r="XBL304" s="118"/>
      <c r="XBM304" s="118"/>
      <c r="XBN304" s="118"/>
      <c r="XBO304" s="118"/>
      <c r="XBP304" s="118"/>
      <c r="XBQ304" s="118"/>
      <c r="XBR304" s="118"/>
      <c r="XBS304" s="118"/>
      <c r="XBT304" s="118"/>
      <c r="XBU304" s="118"/>
      <c r="XBV304" s="118"/>
      <c r="XBW304" s="118"/>
      <c r="XBX304" s="118"/>
      <c r="XBY304" s="118"/>
      <c r="XBZ304" s="118"/>
      <c r="XCA304" s="118"/>
      <c r="XCB304" s="118"/>
      <c r="XCC304" s="118"/>
      <c r="XCD304" s="118"/>
      <c r="XCE304" s="118"/>
      <c r="XCF304" s="118"/>
      <c r="XCG304" s="118"/>
      <c r="XCH304" s="118"/>
      <c r="XCI304" s="118"/>
      <c r="XCJ304" s="118"/>
      <c r="XCK304" s="118"/>
      <c r="XCL304" s="118"/>
      <c r="XCM304" s="118"/>
      <c r="XCN304" s="118"/>
      <c r="XCO304" s="118"/>
      <c r="XCP304" s="118"/>
      <c r="XCQ304" s="118"/>
      <c r="XCR304" s="118"/>
      <c r="XCS304" s="118"/>
      <c r="XCT304" s="118"/>
      <c r="XCU304" s="118"/>
      <c r="XCV304" s="118"/>
      <c r="XCW304" s="118"/>
      <c r="XCX304" s="118"/>
      <c r="XCY304" s="118"/>
      <c r="XCZ304" s="118"/>
      <c r="XDA304" s="118"/>
      <c r="XDB304" s="118"/>
      <c r="XDC304" s="118"/>
      <c r="XDD304" s="118"/>
      <c r="XDE304" s="118"/>
      <c r="XDF304" s="118"/>
      <c r="XDG304" s="118"/>
      <c r="XDH304" s="118"/>
      <c r="XDI304" s="118"/>
      <c r="XDJ304" s="118"/>
      <c r="XDK304" s="118"/>
      <c r="XDL304" s="118"/>
      <c r="XDM304" s="118"/>
      <c r="XDN304" s="118"/>
      <c r="XDO304" s="118"/>
      <c r="XDP304" s="118"/>
      <c r="XDQ304" s="118"/>
      <c r="XDR304" s="118"/>
      <c r="XDS304" s="118"/>
      <c r="XDT304" s="118"/>
      <c r="XDU304" s="118"/>
      <c r="XDV304" s="118"/>
      <c r="XDW304" s="118"/>
      <c r="XDX304" s="118"/>
      <c r="XDY304" s="118"/>
      <c r="XDZ304" s="118"/>
      <c r="XEA304" s="118"/>
      <c r="XEB304" s="118"/>
      <c r="XEC304" s="118"/>
      <c r="XED304" s="118"/>
      <c r="XEE304" s="118"/>
      <c r="XEF304" s="118"/>
      <c r="XEG304" s="118"/>
      <c r="XEH304" s="118"/>
      <c r="XEI304" s="118"/>
      <c r="XEJ304" s="118"/>
      <c r="XEK304" s="118"/>
      <c r="XEL304" s="118"/>
      <c r="XEM304" s="118"/>
      <c r="XEN304" s="118"/>
      <c r="XEO304" s="118"/>
      <c r="XEP304" s="118"/>
      <c r="XEQ304" s="118"/>
      <c r="XER304" s="118"/>
      <c r="XES304" s="118"/>
      <c r="XET304" s="118"/>
      <c r="XEU304" s="118"/>
      <c r="XEV304" s="118"/>
      <c r="XEW304" s="118"/>
      <c r="XEX304" s="118"/>
      <c r="XEY304" s="118"/>
      <c r="XEZ304" s="118"/>
      <c r="XFA304" s="118"/>
      <c r="XFB304" s="118"/>
      <c r="XFC304" s="118"/>
      <c r="XFD304" s="118"/>
    </row>
    <row r="305" spans="1:37 16131:16384" ht="12.75" hidden="1" customHeight="1" x14ac:dyDescent="0.3">
      <c r="A305" s="114">
        <v>2640</v>
      </c>
      <c r="B305" s="113" t="s">
        <v>623</v>
      </c>
      <c r="C305" s="82" t="str">
        <f>IFERROR(VLOOKUP(D305,'Target tables'!A:B,2,0),"")</f>
        <v>Связь договора с контрагентом</v>
      </c>
      <c r="D305" s="208" t="s">
        <v>138</v>
      </c>
      <c r="E305" s="78" t="str">
        <f>IFERROR(VLOOKUP(D305&amp;J305,'Target columns'!A:J,4,FALSE),"")</f>
        <v>UUID</v>
      </c>
      <c r="F305" s="78" t="str">
        <f>IFERROR(VLOOKUP(D305&amp;J305,'Target columns'!A:J,7,FALSE),"")</f>
        <v>Yes</v>
      </c>
      <c r="G305" s="78" t="str">
        <f>IFERROR(VLOOKUP(D305&amp;J305,'Target columns'!A:J,8,FALSE),"")</f>
        <v>Yes</v>
      </c>
      <c r="H305" s="78" t="str">
        <f>IFERROR(VLOOKUP(D305&amp;J305,'Target columns'!A:J,5,FALSE),"")</f>
        <v>NOT NULL</v>
      </c>
      <c r="I305" s="78" t="str">
        <f>IFERROR(VLOOKUP(D305&amp;J305,'Target columns'!A:J,10,FALSE),"")</f>
        <v>Идентификатор договора</v>
      </c>
      <c r="J305" s="23" t="s">
        <v>589</v>
      </c>
      <c r="K305" s="23" t="s">
        <v>150</v>
      </c>
      <c r="L305" s="78" t="str">
        <f>IFERROR(VLOOKUP(K305&amp;N305,source_columns[[Seek]:[Описание поля]],4,0),"")</f>
        <v>uuid</v>
      </c>
      <c r="M305" s="78" t="str">
        <f>IFERROR(VLOOKUP(K305&amp;N305,source_columns[[Seek]:[Описание поля]],7,0),"")</f>
        <v>Референс сделки</v>
      </c>
      <c r="N305" s="23" t="s">
        <v>496</v>
      </c>
      <c r="O305" s="23"/>
      <c r="P305" s="23"/>
      <c r="Q305" s="23"/>
      <c r="R305" s="23"/>
      <c r="S305" s="270" t="s">
        <v>604</v>
      </c>
      <c r="T305" s="82"/>
      <c r="U305" s="82"/>
      <c r="V305" s="84" t="str">
        <f>"n308000046_"&amp;IFERROR(VLOOKUP(D305,target_tables[],5,0),"&lt;not found&gt;")</f>
        <v>n308000046_agr_other_cust</v>
      </c>
      <c r="W305" s="82" t="s">
        <v>269</v>
      </c>
      <c r="X305" s="82"/>
      <c r="Y305" s="82"/>
      <c r="Z305" s="82"/>
      <c r="AA305" s="82"/>
      <c r="AB305" s="82"/>
      <c r="AC305" s="82"/>
      <c r="AD305" s="82"/>
      <c r="AE305" s="82"/>
      <c r="AF305" s="299" t="s">
        <v>342</v>
      </c>
      <c r="AG305" s="83"/>
      <c r="AH305" s="83"/>
      <c r="AI305" s="83"/>
      <c r="AJ305" s="91"/>
      <c r="AK305" s="69"/>
      <c r="WVK305" s="118"/>
      <c r="WVL305" s="118"/>
      <c r="WVM305" s="118"/>
      <c r="WVN305" s="118"/>
      <c r="WVO305" s="118"/>
      <c r="WVP305" s="118"/>
      <c r="WVQ305" s="118"/>
      <c r="WVR305" s="118"/>
      <c r="WVS305" s="118"/>
      <c r="WVT305" s="118"/>
      <c r="WVU305" s="118"/>
      <c r="WVV305" s="118"/>
      <c r="WVW305" s="118"/>
      <c r="WVX305" s="118"/>
      <c r="WVY305" s="118"/>
      <c r="WVZ305" s="118"/>
      <c r="WWA305" s="118"/>
      <c r="WWB305" s="118"/>
      <c r="WWC305" s="118"/>
      <c r="WWD305" s="118"/>
      <c r="WWE305" s="118"/>
      <c r="WWF305" s="118"/>
      <c r="WWG305" s="118"/>
      <c r="WWH305" s="118"/>
      <c r="WWI305" s="118"/>
      <c r="WWJ305" s="118"/>
      <c r="WWK305" s="118"/>
      <c r="WWL305" s="118"/>
      <c r="WWM305" s="118"/>
      <c r="WWN305" s="118"/>
      <c r="WWO305" s="118"/>
      <c r="WWP305" s="118"/>
      <c r="WWQ305" s="118"/>
      <c r="WWR305" s="118"/>
      <c r="WWS305" s="118"/>
      <c r="WWT305" s="118"/>
      <c r="WWU305" s="118"/>
      <c r="WWV305" s="118"/>
      <c r="WWW305" s="118"/>
      <c r="WWX305" s="118"/>
      <c r="WWY305" s="118"/>
      <c r="WWZ305" s="118"/>
      <c r="WXA305" s="118"/>
      <c r="WXB305" s="118"/>
      <c r="WXC305" s="118"/>
      <c r="WXD305" s="118"/>
      <c r="WXE305" s="118"/>
      <c r="WXF305" s="118"/>
      <c r="WXG305" s="118"/>
      <c r="WXH305" s="118"/>
      <c r="WXI305" s="118"/>
      <c r="WXJ305" s="118"/>
      <c r="WXK305" s="118"/>
      <c r="WXL305" s="118"/>
      <c r="WXM305" s="118"/>
      <c r="WXN305" s="118"/>
      <c r="WXO305" s="118"/>
      <c r="WXP305" s="118"/>
      <c r="WXQ305" s="118"/>
      <c r="WXR305" s="118"/>
      <c r="WXS305" s="118"/>
      <c r="WXT305" s="118"/>
      <c r="WXU305" s="118"/>
      <c r="WXV305" s="118"/>
      <c r="WXW305" s="118"/>
      <c r="WXX305" s="118"/>
      <c r="WXY305" s="118"/>
      <c r="WXZ305" s="118"/>
      <c r="WYA305" s="118"/>
      <c r="WYB305" s="118"/>
      <c r="WYC305" s="118"/>
      <c r="WYD305" s="118"/>
      <c r="WYE305" s="118"/>
      <c r="WYF305" s="118"/>
      <c r="WYG305" s="118"/>
      <c r="WYH305" s="118"/>
      <c r="WYI305" s="118"/>
      <c r="WYJ305" s="118"/>
      <c r="WYK305" s="118"/>
      <c r="WYL305" s="118"/>
      <c r="WYM305" s="118"/>
      <c r="WYN305" s="118"/>
      <c r="WYO305" s="118"/>
      <c r="WYP305" s="118"/>
      <c r="WYQ305" s="118"/>
      <c r="WYR305" s="118"/>
      <c r="WYS305" s="118"/>
      <c r="WYT305" s="118"/>
      <c r="WYU305" s="118"/>
      <c r="WYV305" s="118"/>
      <c r="WYW305" s="118"/>
      <c r="WYX305" s="118"/>
      <c r="WYY305" s="118"/>
      <c r="WYZ305" s="118"/>
      <c r="WZA305" s="118"/>
      <c r="WZB305" s="118"/>
      <c r="WZC305" s="118"/>
      <c r="WZD305" s="118"/>
      <c r="WZE305" s="118"/>
      <c r="WZF305" s="118"/>
      <c r="WZG305" s="118"/>
      <c r="WZH305" s="118"/>
      <c r="WZI305" s="118"/>
      <c r="WZJ305" s="118"/>
      <c r="WZK305" s="118"/>
      <c r="WZL305" s="118"/>
      <c r="WZM305" s="118"/>
      <c r="WZN305" s="118"/>
      <c r="WZO305" s="118"/>
      <c r="WZP305" s="118"/>
      <c r="WZQ305" s="118"/>
      <c r="WZR305" s="118"/>
      <c r="WZS305" s="118"/>
      <c r="WZT305" s="118"/>
      <c r="WZU305" s="118"/>
      <c r="WZV305" s="118"/>
      <c r="WZW305" s="118"/>
      <c r="WZX305" s="118"/>
      <c r="WZY305" s="118"/>
      <c r="WZZ305" s="118"/>
      <c r="XAA305" s="118"/>
      <c r="XAB305" s="118"/>
      <c r="XAC305" s="118"/>
      <c r="XAD305" s="118"/>
      <c r="XAE305" s="118"/>
      <c r="XAF305" s="118"/>
      <c r="XAG305" s="118"/>
      <c r="XAH305" s="118"/>
      <c r="XAI305" s="118"/>
      <c r="XAJ305" s="118"/>
      <c r="XAK305" s="118"/>
      <c r="XAL305" s="118"/>
      <c r="XAM305" s="118"/>
      <c r="XAN305" s="118"/>
      <c r="XAO305" s="118"/>
      <c r="XAP305" s="118"/>
      <c r="XAQ305" s="118"/>
      <c r="XAR305" s="118"/>
      <c r="XAS305" s="118"/>
      <c r="XAT305" s="118"/>
      <c r="XAU305" s="118"/>
      <c r="XAV305" s="118"/>
      <c r="XAW305" s="118"/>
      <c r="XAX305" s="118"/>
      <c r="XAY305" s="118"/>
      <c r="XAZ305" s="118"/>
      <c r="XBA305" s="118"/>
      <c r="XBB305" s="118"/>
      <c r="XBC305" s="118"/>
      <c r="XBD305" s="118"/>
      <c r="XBE305" s="118"/>
      <c r="XBF305" s="118"/>
      <c r="XBG305" s="118"/>
      <c r="XBH305" s="118"/>
      <c r="XBI305" s="118"/>
      <c r="XBJ305" s="118"/>
      <c r="XBK305" s="118"/>
      <c r="XBL305" s="118"/>
      <c r="XBM305" s="118"/>
      <c r="XBN305" s="118"/>
      <c r="XBO305" s="118"/>
      <c r="XBP305" s="118"/>
      <c r="XBQ305" s="118"/>
      <c r="XBR305" s="118"/>
      <c r="XBS305" s="118"/>
      <c r="XBT305" s="118"/>
      <c r="XBU305" s="118"/>
      <c r="XBV305" s="118"/>
      <c r="XBW305" s="118"/>
      <c r="XBX305" s="118"/>
      <c r="XBY305" s="118"/>
      <c r="XBZ305" s="118"/>
      <c r="XCA305" s="118"/>
      <c r="XCB305" s="118"/>
      <c r="XCC305" s="118"/>
      <c r="XCD305" s="118"/>
      <c r="XCE305" s="118"/>
      <c r="XCF305" s="118"/>
      <c r="XCG305" s="118"/>
      <c r="XCH305" s="118"/>
      <c r="XCI305" s="118"/>
      <c r="XCJ305" s="118"/>
      <c r="XCK305" s="118"/>
      <c r="XCL305" s="118"/>
      <c r="XCM305" s="118"/>
      <c r="XCN305" s="118"/>
      <c r="XCO305" s="118"/>
      <c r="XCP305" s="118"/>
      <c r="XCQ305" s="118"/>
      <c r="XCR305" s="118"/>
      <c r="XCS305" s="118"/>
      <c r="XCT305" s="118"/>
      <c r="XCU305" s="118"/>
      <c r="XCV305" s="118"/>
      <c r="XCW305" s="118"/>
      <c r="XCX305" s="118"/>
      <c r="XCY305" s="118"/>
      <c r="XCZ305" s="118"/>
      <c r="XDA305" s="118"/>
      <c r="XDB305" s="118"/>
      <c r="XDC305" s="118"/>
      <c r="XDD305" s="118"/>
      <c r="XDE305" s="118"/>
      <c r="XDF305" s="118"/>
      <c r="XDG305" s="118"/>
      <c r="XDH305" s="118"/>
      <c r="XDI305" s="118"/>
      <c r="XDJ305" s="118"/>
      <c r="XDK305" s="118"/>
      <c r="XDL305" s="118"/>
      <c r="XDM305" s="118"/>
      <c r="XDN305" s="118"/>
      <c r="XDO305" s="118"/>
      <c r="XDP305" s="118"/>
      <c r="XDQ305" s="118"/>
      <c r="XDR305" s="118"/>
      <c r="XDS305" s="118"/>
      <c r="XDT305" s="118"/>
      <c r="XDU305" s="118"/>
      <c r="XDV305" s="118"/>
      <c r="XDW305" s="118"/>
      <c r="XDX305" s="118"/>
      <c r="XDY305" s="118"/>
      <c r="XDZ305" s="118"/>
      <c r="XEA305" s="118"/>
      <c r="XEB305" s="118"/>
      <c r="XEC305" s="118"/>
      <c r="XED305" s="118"/>
      <c r="XEE305" s="118"/>
      <c r="XEF305" s="118"/>
      <c r="XEG305" s="118"/>
      <c r="XEH305" s="118"/>
      <c r="XEI305" s="118"/>
      <c r="XEJ305" s="118"/>
      <c r="XEK305" s="118"/>
      <c r="XEL305" s="118"/>
      <c r="XEM305" s="118"/>
      <c r="XEN305" s="118"/>
      <c r="XEO305" s="118"/>
      <c r="XEP305" s="118"/>
      <c r="XEQ305" s="118"/>
      <c r="XER305" s="118"/>
      <c r="XES305" s="118"/>
      <c r="XET305" s="118"/>
      <c r="XEU305" s="118"/>
      <c r="XEV305" s="118"/>
      <c r="XEW305" s="118"/>
      <c r="XEX305" s="118"/>
      <c r="XEY305" s="118"/>
      <c r="XEZ305" s="118"/>
      <c r="XFA305" s="118"/>
      <c r="XFB305" s="118"/>
      <c r="XFC305" s="118"/>
      <c r="XFD305" s="118"/>
    </row>
    <row r="306" spans="1:37 16131:16384" ht="12.75" hidden="1" customHeight="1" x14ac:dyDescent="0.3">
      <c r="A306" s="115">
        <v>2650</v>
      </c>
      <c r="B306" s="8" t="s">
        <v>623</v>
      </c>
      <c r="C306" s="65" t="str">
        <f>IFERROR(VLOOKUP(D306,'Target tables'!A:B,2,0),"")</f>
        <v>Связь договора с контрагентом</v>
      </c>
      <c r="D306" s="211" t="s">
        <v>138</v>
      </c>
      <c r="E306" s="66" t="str">
        <f>IFERROR(VLOOKUP(D306&amp;J306,'Target columns'!A:J,4,FALSE),"")</f>
        <v>UUID</v>
      </c>
      <c r="F306" s="66" t="str">
        <f>IFERROR(VLOOKUP(D306&amp;J306,'Target columns'!A:J,7,FALSE),"")</f>
        <v>Yes</v>
      </c>
      <c r="G306" s="66" t="str">
        <f>IFERROR(VLOOKUP(D306&amp;J306,'Target columns'!A:J,8,FALSE),"")</f>
        <v>Yes</v>
      </c>
      <c r="H306" s="66" t="str">
        <f>IFERROR(VLOOKUP(D306&amp;J306,'Target columns'!A:J,5,FALSE),"")</f>
        <v>NOT NULL</v>
      </c>
      <c r="I306" s="66" t="str">
        <f>IFERROR(VLOOKUP(D306&amp;J306,'Target columns'!A:J,10,FALSE),"")</f>
        <v>Идентификатор контрагента</v>
      </c>
      <c r="J306" s="8" t="s">
        <v>347</v>
      </c>
      <c r="K306" s="8" t="s">
        <v>150</v>
      </c>
      <c r="L306" s="66" t="str">
        <f>IFERROR(VLOOKUP(K306&amp;N306,source_columns[[Seek]:[Описание поля]],4,0),"")</f>
        <v/>
      </c>
      <c r="M306" s="66" t="str">
        <f>IFERROR(VLOOKUP(K306&amp;N306,source_columns[[Seek]:[Описание поля]],7,0),"")</f>
        <v/>
      </c>
      <c r="N306" s="8" t="s">
        <v>605</v>
      </c>
      <c r="O306" s="8"/>
      <c r="P306" s="8"/>
      <c r="Q306" s="8"/>
      <c r="R306" s="8"/>
      <c r="S306" s="278"/>
      <c r="T306" s="65"/>
      <c r="U306" s="65"/>
      <c r="V306" s="66" t="str">
        <f>"n308000046_"&amp;IFERROR(VLOOKUP(D306,target_tables[],5,0),"&lt;not found&gt;")</f>
        <v>n308000046_agr_other_cust</v>
      </c>
      <c r="W306" s="65" t="s">
        <v>273</v>
      </c>
      <c r="X306" s="65"/>
      <c r="Y306" s="65"/>
      <c r="Z306" s="65"/>
      <c r="AA306" s="65"/>
      <c r="AB306" s="65"/>
      <c r="AC306" s="65"/>
      <c r="AD306" s="65"/>
      <c r="AE306" s="65"/>
      <c r="AF306" s="299"/>
      <c r="AG306" s="10"/>
      <c r="AH306" s="10"/>
      <c r="AI306" s="10"/>
      <c r="AJ306" s="68"/>
      <c r="AK306" s="69"/>
      <c r="WVK306" s="118"/>
      <c r="WVL306" s="118"/>
      <c r="WVM306" s="118"/>
      <c r="WVN306" s="118"/>
      <c r="WVO306" s="118"/>
      <c r="WVP306" s="118"/>
      <c r="WVQ306" s="118"/>
      <c r="WVR306" s="118"/>
      <c r="WVS306" s="118"/>
      <c r="WVT306" s="118"/>
      <c r="WVU306" s="118"/>
      <c r="WVV306" s="118"/>
      <c r="WVW306" s="118"/>
      <c r="WVX306" s="118"/>
      <c r="WVY306" s="118"/>
      <c r="WVZ306" s="118"/>
      <c r="WWA306" s="118"/>
      <c r="WWB306" s="118"/>
      <c r="WWC306" s="118"/>
      <c r="WWD306" s="118"/>
      <c r="WWE306" s="118"/>
      <c r="WWF306" s="118"/>
      <c r="WWG306" s="118"/>
      <c r="WWH306" s="118"/>
      <c r="WWI306" s="118"/>
      <c r="WWJ306" s="118"/>
      <c r="WWK306" s="118"/>
      <c r="WWL306" s="118"/>
      <c r="WWM306" s="118"/>
      <c r="WWN306" s="118"/>
      <c r="WWO306" s="118"/>
      <c r="WWP306" s="118"/>
      <c r="WWQ306" s="118"/>
      <c r="WWR306" s="118"/>
      <c r="WWS306" s="118"/>
      <c r="WWT306" s="118"/>
      <c r="WWU306" s="118"/>
      <c r="WWV306" s="118"/>
      <c r="WWW306" s="118"/>
      <c r="WWX306" s="118"/>
      <c r="WWY306" s="118"/>
      <c r="WWZ306" s="118"/>
      <c r="WXA306" s="118"/>
      <c r="WXB306" s="118"/>
      <c r="WXC306" s="118"/>
      <c r="WXD306" s="118"/>
      <c r="WXE306" s="118"/>
      <c r="WXF306" s="118"/>
      <c r="WXG306" s="118"/>
      <c r="WXH306" s="118"/>
      <c r="WXI306" s="118"/>
      <c r="WXJ306" s="118"/>
      <c r="WXK306" s="118"/>
      <c r="WXL306" s="118"/>
      <c r="WXM306" s="118"/>
      <c r="WXN306" s="118"/>
      <c r="WXO306" s="118"/>
      <c r="WXP306" s="118"/>
      <c r="WXQ306" s="118"/>
      <c r="WXR306" s="118"/>
      <c r="WXS306" s="118"/>
      <c r="WXT306" s="118"/>
      <c r="WXU306" s="118"/>
      <c r="WXV306" s="118"/>
      <c r="WXW306" s="118"/>
      <c r="WXX306" s="118"/>
      <c r="WXY306" s="118"/>
      <c r="WXZ306" s="118"/>
      <c r="WYA306" s="118"/>
      <c r="WYB306" s="118"/>
      <c r="WYC306" s="118"/>
      <c r="WYD306" s="118"/>
      <c r="WYE306" s="118"/>
      <c r="WYF306" s="118"/>
      <c r="WYG306" s="118"/>
      <c r="WYH306" s="118"/>
      <c r="WYI306" s="118"/>
      <c r="WYJ306" s="118"/>
      <c r="WYK306" s="118"/>
      <c r="WYL306" s="118"/>
      <c r="WYM306" s="118"/>
      <c r="WYN306" s="118"/>
      <c r="WYO306" s="118"/>
      <c r="WYP306" s="118"/>
      <c r="WYQ306" s="118"/>
      <c r="WYR306" s="118"/>
      <c r="WYS306" s="118"/>
      <c r="WYT306" s="118"/>
      <c r="WYU306" s="118"/>
      <c r="WYV306" s="118"/>
      <c r="WYW306" s="118"/>
      <c r="WYX306" s="118"/>
      <c r="WYY306" s="118"/>
      <c r="WYZ306" s="118"/>
      <c r="WZA306" s="118"/>
      <c r="WZB306" s="118"/>
      <c r="WZC306" s="118"/>
      <c r="WZD306" s="118"/>
      <c r="WZE306" s="118"/>
      <c r="WZF306" s="118"/>
      <c r="WZG306" s="118"/>
      <c r="WZH306" s="118"/>
      <c r="WZI306" s="118"/>
      <c r="WZJ306" s="118"/>
      <c r="WZK306" s="118"/>
      <c r="WZL306" s="118"/>
      <c r="WZM306" s="118"/>
      <c r="WZN306" s="118"/>
      <c r="WZO306" s="118"/>
      <c r="WZP306" s="118"/>
      <c r="WZQ306" s="118"/>
      <c r="WZR306" s="118"/>
      <c r="WZS306" s="118"/>
      <c r="WZT306" s="118"/>
      <c r="WZU306" s="118"/>
      <c r="WZV306" s="118"/>
      <c r="WZW306" s="118"/>
      <c r="WZX306" s="118"/>
      <c r="WZY306" s="118"/>
      <c r="WZZ306" s="118"/>
      <c r="XAA306" s="118"/>
      <c r="XAB306" s="118"/>
      <c r="XAC306" s="118"/>
      <c r="XAD306" s="118"/>
      <c r="XAE306" s="118"/>
      <c r="XAF306" s="118"/>
      <c r="XAG306" s="118"/>
      <c r="XAH306" s="118"/>
      <c r="XAI306" s="118"/>
      <c r="XAJ306" s="118"/>
      <c r="XAK306" s="118"/>
      <c r="XAL306" s="118"/>
      <c r="XAM306" s="118"/>
      <c r="XAN306" s="118"/>
      <c r="XAO306" s="118"/>
      <c r="XAP306" s="118"/>
      <c r="XAQ306" s="118"/>
      <c r="XAR306" s="118"/>
      <c r="XAS306" s="118"/>
      <c r="XAT306" s="118"/>
      <c r="XAU306" s="118"/>
      <c r="XAV306" s="118"/>
      <c r="XAW306" s="118"/>
      <c r="XAX306" s="118"/>
      <c r="XAY306" s="118"/>
      <c r="XAZ306" s="118"/>
      <c r="XBA306" s="118"/>
      <c r="XBB306" s="118"/>
      <c r="XBC306" s="118"/>
      <c r="XBD306" s="118"/>
      <c r="XBE306" s="118"/>
      <c r="XBF306" s="118"/>
      <c r="XBG306" s="118"/>
      <c r="XBH306" s="118"/>
      <c r="XBI306" s="118"/>
      <c r="XBJ306" s="118"/>
      <c r="XBK306" s="118"/>
      <c r="XBL306" s="118"/>
      <c r="XBM306" s="118"/>
      <c r="XBN306" s="118"/>
      <c r="XBO306" s="118"/>
      <c r="XBP306" s="118"/>
      <c r="XBQ306" s="118"/>
      <c r="XBR306" s="118"/>
      <c r="XBS306" s="118"/>
      <c r="XBT306" s="118"/>
      <c r="XBU306" s="118"/>
      <c r="XBV306" s="118"/>
      <c r="XBW306" s="118"/>
      <c r="XBX306" s="118"/>
      <c r="XBY306" s="118"/>
      <c r="XBZ306" s="118"/>
      <c r="XCA306" s="118"/>
      <c r="XCB306" s="118"/>
      <c r="XCC306" s="118"/>
      <c r="XCD306" s="118"/>
      <c r="XCE306" s="118"/>
      <c r="XCF306" s="118"/>
      <c r="XCG306" s="118"/>
      <c r="XCH306" s="118"/>
      <c r="XCI306" s="118"/>
      <c r="XCJ306" s="118"/>
      <c r="XCK306" s="118"/>
      <c r="XCL306" s="118"/>
      <c r="XCM306" s="118"/>
      <c r="XCN306" s="118"/>
      <c r="XCO306" s="118"/>
      <c r="XCP306" s="118"/>
      <c r="XCQ306" s="118"/>
      <c r="XCR306" s="118"/>
      <c r="XCS306" s="118"/>
      <c r="XCT306" s="118"/>
      <c r="XCU306" s="118"/>
      <c r="XCV306" s="118"/>
      <c r="XCW306" s="118"/>
      <c r="XCX306" s="118"/>
      <c r="XCY306" s="118"/>
      <c r="XCZ306" s="118"/>
      <c r="XDA306" s="118"/>
      <c r="XDB306" s="118"/>
      <c r="XDC306" s="118"/>
      <c r="XDD306" s="118"/>
      <c r="XDE306" s="118"/>
      <c r="XDF306" s="118"/>
      <c r="XDG306" s="118"/>
      <c r="XDH306" s="118"/>
      <c r="XDI306" s="118"/>
      <c r="XDJ306" s="118"/>
      <c r="XDK306" s="118"/>
      <c r="XDL306" s="118"/>
      <c r="XDM306" s="118"/>
      <c r="XDN306" s="118"/>
      <c r="XDO306" s="118"/>
      <c r="XDP306" s="118"/>
      <c r="XDQ306" s="118"/>
      <c r="XDR306" s="118"/>
      <c r="XDS306" s="118"/>
      <c r="XDT306" s="118"/>
      <c r="XDU306" s="118"/>
      <c r="XDV306" s="118"/>
      <c r="XDW306" s="118"/>
      <c r="XDX306" s="118"/>
      <c r="XDY306" s="118"/>
      <c r="XDZ306" s="118"/>
      <c r="XEA306" s="118"/>
      <c r="XEB306" s="118"/>
      <c r="XEC306" s="118"/>
      <c r="XED306" s="118"/>
      <c r="XEE306" s="118"/>
      <c r="XEF306" s="118"/>
      <c r="XEG306" s="118"/>
      <c r="XEH306" s="118"/>
      <c r="XEI306" s="118"/>
      <c r="XEJ306" s="118"/>
      <c r="XEK306" s="118"/>
      <c r="XEL306" s="118"/>
      <c r="XEM306" s="118"/>
      <c r="XEN306" s="118"/>
      <c r="XEO306" s="118"/>
      <c r="XEP306" s="118"/>
      <c r="XEQ306" s="118"/>
      <c r="XER306" s="118"/>
      <c r="XES306" s="118"/>
      <c r="XET306" s="118"/>
      <c r="XEU306" s="118"/>
      <c r="XEV306" s="118"/>
      <c r="XEW306" s="118"/>
      <c r="XEX306" s="118"/>
      <c r="XEY306" s="118"/>
      <c r="XEZ306" s="118"/>
      <c r="XFA306" s="118"/>
      <c r="XFB306" s="118"/>
      <c r="XFC306" s="118"/>
      <c r="XFD306" s="118"/>
    </row>
    <row r="307" spans="1:37 16131:16384" ht="12.75" hidden="1" customHeight="1" x14ac:dyDescent="0.3">
      <c r="A307" s="115">
        <v>2660</v>
      </c>
      <c r="B307" s="8" t="s">
        <v>623</v>
      </c>
      <c r="C307" s="65" t="str">
        <f>IFERROR(VLOOKUP(D307,'Target tables'!A:B,2,0),"")</f>
        <v>Связь договора с контрагентом</v>
      </c>
      <c r="D307" s="211" t="s">
        <v>138</v>
      </c>
      <c r="E307" s="66" t="str">
        <f>IFERROR(VLOOKUP(D307&amp;J307,'Target columns'!A:J,4,FALSE),"")</f>
        <v>DATE</v>
      </c>
      <c r="F307" s="66" t="str">
        <f>IFERROR(VLOOKUP(D307&amp;J307,'Target columns'!A:J,7,FALSE),"")</f>
        <v>Yes</v>
      </c>
      <c r="G307" s="66" t="str">
        <f>IFERROR(VLOOKUP(D307&amp;J307,'Target columns'!A:J,8,FALSE),"")</f>
        <v>No</v>
      </c>
      <c r="H307" s="66" t="str">
        <f>IFERROR(VLOOKUP(D307&amp;J307,'Target columns'!A:J,5,FALSE),"")</f>
        <v>NOT NULL</v>
      </c>
      <c r="I307" s="66" t="str">
        <f>IFERROR(VLOOKUP(D307&amp;J307,'Target columns'!A:J,10,FALSE),"")</f>
        <v>Дата начала действия</v>
      </c>
      <c r="J307" s="8" t="s">
        <v>329</v>
      </c>
      <c r="K307" s="8" t="s">
        <v>150</v>
      </c>
      <c r="L307" s="66" t="str">
        <f>IFERROR(VLOOKUP(K307&amp;N307,source_columns[[Seek]:[Описание поля]],4,0),"")</f>
        <v>timestamp</v>
      </c>
      <c r="M307" s="66" t="str">
        <f>IFERROR(VLOOKUP(K307&amp;N307,source_columns[[Seek]:[Описание поля]],7,0),"")</f>
        <v>Дата и время последнего изменения</v>
      </c>
      <c r="N307" s="8" t="s">
        <v>517</v>
      </c>
      <c r="O307" s="8"/>
      <c r="P307" s="8"/>
      <c r="Q307" s="8"/>
      <c r="R307" s="8"/>
      <c r="S307" s="278"/>
      <c r="T307" s="65"/>
      <c r="U307" s="65"/>
      <c r="V307" s="66" t="str">
        <f>"n308000046_"&amp;IFERROR(VLOOKUP(D307,target_tables[],5,0),"&lt;not found&gt;")</f>
        <v>n308000046_agr_other_cust</v>
      </c>
      <c r="W307" s="65" t="s">
        <v>330</v>
      </c>
      <c r="X307" s="65"/>
      <c r="Y307" s="65"/>
      <c r="Z307" s="65"/>
      <c r="AA307" s="65"/>
      <c r="AB307" s="65"/>
      <c r="AC307" s="65"/>
      <c r="AD307" s="65"/>
      <c r="AE307" s="65"/>
      <c r="AF307" s="299"/>
      <c r="AG307" s="10"/>
      <c r="AH307" s="10"/>
      <c r="AI307" s="10"/>
      <c r="AJ307" s="68"/>
      <c r="AK307" s="69"/>
      <c r="WVK307" s="118"/>
      <c r="WVL307" s="118"/>
      <c r="WVM307" s="118"/>
      <c r="WVN307" s="118"/>
      <c r="WVO307" s="118"/>
      <c r="WVP307" s="118"/>
      <c r="WVQ307" s="118"/>
      <c r="WVR307" s="118"/>
      <c r="WVS307" s="118"/>
      <c r="WVT307" s="118"/>
      <c r="WVU307" s="118"/>
      <c r="WVV307" s="118"/>
      <c r="WVW307" s="118"/>
      <c r="WVX307" s="118"/>
      <c r="WVY307" s="118"/>
      <c r="WVZ307" s="118"/>
      <c r="WWA307" s="118"/>
      <c r="WWB307" s="118"/>
      <c r="WWC307" s="118"/>
      <c r="WWD307" s="118"/>
      <c r="WWE307" s="118"/>
      <c r="WWF307" s="118"/>
      <c r="WWG307" s="118"/>
      <c r="WWH307" s="118"/>
      <c r="WWI307" s="118"/>
      <c r="WWJ307" s="118"/>
      <c r="WWK307" s="118"/>
      <c r="WWL307" s="118"/>
      <c r="WWM307" s="118"/>
      <c r="WWN307" s="118"/>
      <c r="WWO307" s="118"/>
      <c r="WWP307" s="118"/>
      <c r="WWQ307" s="118"/>
      <c r="WWR307" s="118"/>
      <c r="WWS307" s="118"/>
      <c r="WWT307" s="118"/>
      <c r="WWU307" s="118"/>
      <c r="WWV307" s="118"/>
      <c r="WWW307" s="118"/>
      <c r="WWX307" s="118"/>
      <c r="WWY307" s="118"/>
      <c r="WWZ307" s="118"/>
      <c r="WXA307" s="118"/>
      <c r="WXB307" s="118"/>
      <c r="WXC307" s="118"/>
      <c r="WXD307" s="118"/>
      <c r="WXE307" s="118"/>
      <c r="WXF307" s="118"/>
      <c r="WXG307" s="118"/>
      <c r="WXH307" s="118"/>
      <c r="WXI307" s="118"/>
      <c r="WXJ307" s="118"/>
      <c r="WXK307" s="118"/>
      <c r="WXL307" s="118"/>
      <c r="WXM307" s="118"/>
      <c r="WXN307" s="118"/>
      <c r="WXO307" s="118"/>
      <c r="WXP307" s="118"/>
      <c r="WXQ307" s="118"/>
      <c r="WXR307" s="118"/>
      <c r="WXS307" s="118"/>
      <c r="WXT307" s="118"/>
      <c r="WXU307" s="118"/>
      <c r="WXV307" s="118"/>
      <c r="WXW307" s="118"/>
      <c r="WXX307" s="118"/>
      <c r="WXY307" s="118"/>
      <c r="WXZ307" s="118"/>
      <c r="WYA307" s="118"/>
      <c r="WYB307" s="118"/>
      <c r="WYC307" s="118"/>
      <c r="WYD307" s="118"/>
      <c r="WYE307" s="118"/>
      <c r="WYF307" s="118"/>
      <c r="WYG307" s="118"/>
      <c r="WYH307" s="118"/>
      <c r="WYI307" s="118"/>
      <c r="WYJ307" s="118"/>
      <c r="WYK307" s="118"/>
      <c r="WYL307" s="118"/>
      <c r="WYM307" s="118"/>
      <c r="WYN307" s="118"/>
      <c r="WYO307" s="118"/>
      <c r="WYP307" s="118"/>
      <c r="WYQ307" s="118"/>
      <c r="WYR307" s="118"/>
      <c r="WYS307" s="118"/>
      <c r="WYT307" s="118"/>
      <c r="WYU307" s="118"/>
      <c r="WYV307" s="118"/>
      <c r="WYW307" s="118"/>
      <c r="WYX307" s="118"/>
      <c r="WYY307" s="118"/>
      <c r="WYZ307" s="118"/>
      <c r="WZA307" s="118"/>
      <c r="WZB307" s="118"/>
      <c r="WZC307" s="118"/>
      <c r="WZD307" s="118"/>
      <c r="WZE307" s="118"/>
      <c r="WZF307" s="118"/>
      <c r="WZG307" s="118"/>
      <c r="WZH307" s="118"/>
      <c r="WZI307" s="118"/>
      <c r="WZJ307" s="118"/>
      <c r="WZK307" s="118"/>
      <c r="WZL307" s="118"/>
      <c r="WZM307" s="118"/>
      <c r="WZN307" s="118"/>
      <c r="WZO307" s="118"/>
      <c r="WZP307" s="118"/>
      <c r="WZQ307" s="118"/>
      <c r="WZR307" s="118"/>
      <c r="WZS307" s="118"/>
      <c r="WZT307" s="118"/>
      <c r="WZU307" s="118"/>
      <c r="WZV307" s="118"/>
      <c r="WZW307" s="118"/>
      <c r="WZX307" s="118"/>
      <c r="WZY307" s="118"/>
      <c r="WZZ307" s="118"/>
      <c r="XAA307" s="118"/>
      <c r="XAB307" s="118"/>
      <c r="XAC307" s="118"/>
      <c r="XAD307" s="118"/>
      <c r="XAE307" s="118"/>
      <c r="XAF307" s="118"/>
      <c r="XAG307" s="118"/>
      <c r="XAH307" s="118"/>
      <c r="XAI307" s="118"/>
      <c r="XAJ307" s="118"/>
      <c r="XAK307" s="118"/>
      <c r="XAL307" s="118"/>
      <c r="XAM307" s="118"/>
      <c r="XAN307" s="118"/>
      <c r="XAO307" s="118"/>
      <c r="XAP307" s="118"/>
      <c r="XAQ307" s="118"/>
      <c r="XAR307" s="118"/>
      <c r="XAS307" s="118"/>
      <c r="XAT307" s="118"/>
      <c r="XAU307" s="118"/>
      <c r="XAV307" s="118"/>
      <c r="XAW307" s="118"/>
      <c r="XAX307" s="118"/>
      <c r="XAY307" s="118"/>
      <c r="XAZ307" s="118"/>
      <c r="XBA307" s="118"/>
      <c r="XBB307" s="118"/>
      <c r="XBC307" s="118"/>
      <c r="XBD307" s="118"/>
      <c r="XBE307" s="118"/>
      <c r="XBF307" s="118"/>
      <c r="XBG307" s="118"/>
      <c r="XBH307" s="118"/>
      <c r="XBI307" s="118"/>
      <c r="XBJ307" s="118"/>
      <c r="XBK307" s="118"/>
      <c r="XBL307" s="118"/>
      <c r="XBM307" s="118"/>
      <c r="XBN307" s="118"/>
      <c r="XBO307" s="118"/>
      <c r="XBP307" s="118"/>
      <c r="XBQ307" s="118"/>
      <c r="XBR307" s="118"/>
      <c r="XBS307" s="118"/>
      <c r="XBT307" s="118"/>
      <c r="XBU307" s="118"/>
      <c r="XBV307" s="118"/>
      <c r="XBW307" s="118"/>
      <c r="XBX307" s="118"/>
      <c r="XBY307" s="118"/>
      <c r="XBZ307" s="118"/>
      <c r="XCA307" s="118"/>
      <c r="XCB307" s="118"/>
      <c r="XCC307" s="118"/>
      <c r="XCD307" s="118"/>
      <c r="XCE307" s="118"/>
      <c r="XCF307" s="118"/>
      <c r="XCG307" s="118"/>
      <c r="XCH307" s="118"/>
      <c r="XCI307" s="118"/>
      <c r="XCJ307" s="118"/>
      <c r="XCK307" s="118"/>
      <c r="XCL307" s="118"/>
      <c r="XCM307" s="118"/>
      <c r="XCN307" s="118"/>
      <c r="XCO307" s="118"/>
      <c r="XCP307" s="118"/>
      <c r="XCQ307" s="118"/>
      <c r="XCR307" s="118"/>
      <c r="XCS307" s="118"/>
      <c r="XCT307" s="118"/>
      <c r="XCU307" s="118"/>
      <c r="XCV307" s="118"/>
      <c r="XCW307" s="118"/>
      <c r="XCX307" s="118"/>
      <c r="XCY307" s="118"/>
      <c r="XCZ307" s="118"/>
      <c r="XDA307" s="118"/>
      <c r="XDB307" s="118"/>
      <c r="XDC307" s="118"/>
      <c r="XDD307" s="118"/>
      <c r="XDE307" s="118"/>
      <c r="XDF307" s="118"/>
      <c r="XDG307" s="118"/>
      <c r="XDH307" s="118"/>
      <c r="XDI307" s="118"/>
      <c r="XDJ307" s="118"/>
      <c r="XDK307" s="118"/>
      <c r="XDL307" s="118"/>
      <c r="XDM307" s="118"/>
      <c r="XDN307" s="118"/>
      <c r="XDO307" s="118"/>
      <c r="XDP307" s="118"/>
      <c r="XDQ307" s="118"/>
      <c r="XDR307" s="118"/>
      <c r="XDS307" s="118"/>
      <c r="XDT307" s="118"/>
      <c r="XDU307" s="118"/>
      <c r="XDV307" s="118"/>
      <c r="XDW307" s="118"/>
      <c r="XDX307" s="118"/>
      <c r="XDY307" s="118"/>
      <c r="XDZ307" s="118"/>
      <c r="XEA307" s="118"/>
      <c r="XEB307" s="118"/>
      <c r="XEC307" s="118"/>
      <c r="XED307" s="118"/>
      <c r="XEE307" s="118"/>
      <c r="XEF307" s="118"/>
      <c r="XEG307" s="118"/>
      <c r="XEH307" s="118"/>
      <c r="XEI307" s="118"/>
      <c r="XEJ307" s="118"/>
      <c r="XEK307" s="118"/>
      <c r="XEL307" s="118"/>
      <c r="XEM307" s="118"/>
      <c r="XEN307" s="118"/>
      <c r="XEO307" s="118"/>
      <c r="XEP307" s="118"/>
      <c r="XEQ307" s="118"/>
      <c r="XER307" s="118"/>
      <c r="XES307" s="118"/>
      <c r="XET307" s="118"/>
      <c r="XEU307" s="118"/>
      <c r="XEV307" s="118"/>
      <c r="XEW307" s="118"/>
      <c r="XEX307" s="118"/>
      <c r="XEY307" s="118"/>
      <c r="XEZ307" s="118"/>
      <c r="XFA307" s="118"/>
      <c r="XFB307" s="118"/>
      <c r="XFC307" s="118"/>
      <c r="XFD307" s="118"/>
    </row>
    <row r="308" spans="1:37 16131:16384" ht="12.75" hidden="1" customHeight="1" x14ac:dyDescent="0.3">
      <c r="A308" s="115">
        <v>2670</v>
      </c>
      <c r="B308" s="8" t="s">
        <v>623</v>
      </c>
      <c r="C308" s="65" t="str">
        <f>IFERROR(VLOOKUP(D308,'Target tables'!A:B,2,0),"")</f>
        <v>Связь договора с контрагентом</v>
      </c>
      <c r="D308" s="211" t="s">
        <v>138</v>
      </c>
      <c r="E308" s="66" t="str">
        <f>IFERROR(VLOOKUP(D308&amp;J308,'Target columns'!A:J,4,FALSE),"")</f>
        <v>DATE</v>
      </c>
      <c r="F308" s="66" t="str">
        <f>IFERROR(VLOOKUP(D308&amp;J308,'Target columns'!A:J,7,FALSE),"")</f>
        <v>No</v>
      </c>
      <c r="G308" s="66" t="str">
        <f>IFERROR(VLOOKUP(D308&amp;J308,'Target columns'!A:J,8,FALSE),"")</f>
        <v>No</v>
      </c>
      <c r="H308" s="66" t="str">
        <f>IFERROR(VLOOKUP(D308&amp;J308,'Target columns'!A:J,5,FALSE),"")</f>
        <v>NULL</v>
      </c>
      <c r="I308" s="66" t="str">
        <f>IFERROR(VLOOKUP(D308&amp;J308,'Target columns'!A:J,10,FALSE),"")</f>
        <v>Дата окончания действия</v>
      </c>
      <c r="J308" s="8" t="s">
        <v>331</v>
      </c>
      <c r="K308" s="8" t="s">
        <v>150</v>
      </c>
      <c r="L308" s="66" t="str">
        <f>IFERROR(VLOOKUP(K308&amp;N308,source_columns[[Seek]:[Описание поля]],4,0),"")</f>
        <v/>
      </c>
      <c r="M308" s="66" t="str">
        <f>IFERROR(VLOOKUP(K308&amp;N308,source_columns[[Seek]:[Описание поля]],7,0),"")</f>
        <v/>
      </c>
      <c r="N308" s="8" t="s">
        <v>603</v>
      </c>
      <c r="O308" s="8"/>
      <c r="P308" s="8"/>
      <c r="Q308" s="8"/>
      <c r="R308" s="8"/>
      <c r="S308" s="278"/>
      <c r="T308" s="65"/>
      <c r="U308" s="65"/>
      <c r="V308" s="66" t="str">
        <f>"n308000046_"&amp;IFERROR(VLOOKUP(D308,target_tables[],5,0),"&lt;not found&gt;")</f>
        <v>n308000046_agr_other_cust</v>
      </c>
      <c r="W308" s="65" t="s">
        <v>332</v>
      </c>
      <c r="X308" s="65"/>
      <c r="Y308" s="65"/>
      <c r="Z308" s="65"/>
      <c r="AA308" s="65"/>
      <c r="AB308" s="65"/>
      <c r="AC308" s="65"/>
      <c r="AD308" s="65"/>
      <c r="AE308" s="65"/>
      <c r="AF308" s="299"/>
      <c r="AG308" s="10"/>
      <c r="AH308" s="10"/>
      <c r="AI308" s="10"/>
      <c r="AJ308" s="68"/>
      <c r="AK308" s="69"/>
      <c r="WVK308" s="118"/>
      <c r="WVL308" s="118"/>
      <c r="WVM308" s="118"/>
      <c r="WVN308" s="118"/>
      <c r="WVO308" s="118"/>
      <c r="WVP308" s="118"/>
      <c r="WVQ308" s="118"/>
      <c r="WVR308" s="118"/>
      <c r="WVS308" s="118"/>
      <c r="WVT308" s="118"/>
      <c r="WVU308" s="118"/>
      <c r="WVV308" s="118"/>
      <c r="WVW308" s="118"/>
      <c r="WVX308" s="118"/>
      <c r="WVY308" s="118"/>
      <c r="WVZ308" s="118"/>
      <c r="WWA308" s="118"/>
      <c r="WWB308" s="118"/>
      <c r="WWC308" s="118"/>
      <c r="WWD308" s="118"/>
      <c r="WWE308" s="118"/>
      <c r="WWF308" s="118"/>
      <c r="WWG308" s="118"/>
      <c r="WWH308" s="118"/>
      <c r="WWI308" s="118"/>
      <c r="WWJ308" s="118"/>
      <c r="WWK308" s="118"/>
      <c r="WWL308" s="118"/>
      <c r="WWM308" s="118"/>
      <c r="WWN308" s="118"/>
      <c r="WWO308" s="118"/>
      <c r="WWP308" s="118"/>
      <c r="WWQ308" s="118"/>
      <c r="WWR308" s="118"/>
      <c r="WWS308" s="118"/>
      <c r="WWT308" s="118"/>
      <c r="WWU308" s="118"/>
      <c r="WWV308" s="118"/>
      <c r="WWW308" s="118"/>
      <c r="WWX308" s="118"/>
      <c r="WWY308" s="118"/>
      <c r="WWZ308" s="118"/>
      <c r="WXA308" s="118"/>
      <c r="WXB308" s="118"/>
      <c r="WXC308" s="118"/>
      <c r="WXD308" s="118"/>
      <c r="WXE308" s="118"/>
      <c r="WXF308" s="118"/>
      <c r="WXG308" s="118"/>
      <c r="WXH308" s="118"/>
      <c r="WXI308" s="118"/>
      <c r="WXJ308" s="118"/>
      <c r="WXK308" s="118"/>
      <c r="WXL308" s="118"/>
      <c r="WXM308" s="118"/>
      <c r="WXN308" s="118"/>
      <c r="WXO308" s="118"/>
      <c r="WXP308" s="118"/>
      <c r="WXQ308" s="118"/>
      <c r="WXR308" s="118"/>
      <c r="WXS308" s="118"/>
      <c r="WXT308" s="118"/>
      <c r="WXU308" s="118"/>
      <c r="WXV308" s="118"/>
      <c r="WXW308" s="118"/>
      <c r="WXX308" s="118"/>
      <c r="WXY308" s="118"/>
      <c r="WXZ308" s="118"/>
      <c r="WYA308" s="118"/>
      <c r="WYB308" s="118"/>
      <c r="WYC308" s="118"/>
      <c r="WYD308" s="118"/>
      <c r="WYE308" s="118"/>
      <c r="WYF308" s="118"/>
      <c r="WYG308" s="118"/>
      <c r="WYH308" s="118"/>
      <c r="WYI308" s="118"/>
      <c r="WYJ308" s="118"/>
      <c r="WYK308" s="118"/>
      <c r="WYL308" s="118"/>
      <c r="WYM308" s="118"/>
      <c r="WYN308" s="118"/>
      <c r="WYO308" s="118"/>
      <c r="WYP308" s="118"/>
      <c r="WYQ308" s="118"/>
      <c r="WYR308" s="118"/>
      <c r="WYS308" s="118"/>
      <c r="WYT308" s="118"/>
      <c r="WYU308" s="118"/>
      <c r="WYV308" s="118"/>
      <c r="WYW308" s="118"/>
      <c r="WYX308" s="118"/>
      <c r="WYY308" s="118"/>
      <c r="WYZ308" s="118"/>
      <c r="WZA308" s="118"/>
      <c r="WZB308" s="118"/>
      <c r="WZC308" s="118"/>
      <c r="WZD308" s="118"/>
      <c r="WZE308" s="118"/>
      <c r="WZF308" s="118"/>
      <c r="WZG308" s="118"/>
      <c r="WZH308" s="118"/>
      <c r="WZI308" s="118"/>
      <c r="WZJ308" s="118"/>
      <c r="WZK308" s="118"/>
      <c r="WZL308" s="118"/>
      <c r="WZM308" s="118"/>
      <c r="WZN308" s="118"/>
      <c r="WZO308" s="118"/>
      <c r="WZP308" s="118"/>
      <c r="WZQ308" s="118"/>
      <c r="WZR308" s="118"/>
      <c r="WZS308" s="118"/>
      <c r="WZT308" s="118"/>
      <c r="WZU308" s="118"/>
      <c r="WZV308" s="118"/>
      <c r="WZW308" s="118"/>
      <c r="WZX308" s="118"/>
      <c r="WZY308" s="118"/>
      <c r="WZZ308" s="118"/>
      <c r="XAA308" s="118"/>
      <c r="XAB308" s="118"/>
      <c r="XAC308" s="118"/>
      <c r="XAD308" s="118"/>
      <c r="XAE308" s="118"/>
      <c r="XAF308" s="118"/>
      <c r="XAG308" s="118"/>
      <c r="XAH308" s="118"/>
      <c r="XAI308" s="118"/>
      <c r="XAJ308" s="118"/>
      <c r="XAK308" s="118"/>
      <c r="XAL308" s="118"/>
      <c r="XAM308" s="118"/>
      <c r="XAN308" s="118"/>
      <c r="XAO308" s="118"/>
      <c r="XAP308" s="118"/>
      <c r="XAQ308" s="118"/>
      <c r="XAR308" s="118"/>
      <c r="XAS308" s="118"/>
      <c r="XAT308" s="118"/>
      <c r="XAU308" s="118"/>
      <c r="XAV308" s="118"/>
      <c r="XAW308" s="118"/>
      <c r="XAX308" s="118"/>
      <c r="XAY308" s="118"/>
      <c r="XAZ308" s="118"/>
      <c r="XBA308" s="118"/>
      <c r="XBB308" s="118"/>
      <c r="XBC308" s="118"/>
      <c r="XBD308" s="118"/>
      <c r="XBE308" s="118"/>
      <c r="XBF308" s="118"/>
      <c r="XBG308" s="118"/>
      <c r="XBH308" s="118"/>
      <c r="XBI308" s="118"/>
      <c r="XBJ308" s="118"/>
      <c r="XBK308" s="118"/>
      <c r="XBL308" s="118"/>
      <c r="XBM308" s="118"/>
      <c r="XBN308" s="118"/>
      <c r="XBO308" s="118"/>
      <c r="XBP308" s="118"/>
      <c r="XBQ308" s="118"/>
      <c r="XBR308" s="118"/>
      <c r="XBS308" s="118"/>
      <c r="XBT308" s="118"/>
      <c r="XBU308" s="118"/>
      <c r="XBV308" s="118"/>
      <c r="XBW308" s="118"/>
      <c r="XBX308" s="118"/>
      <c r="XBY308" s="118"/>
      <c r="XBZ308" s="118"/>
      <c r="XCA308" s="118"/>
      <c r="XCB308" s="118"/>
      <c r="XCC308" s="118"/>
      <c r="XCD308" s="118"/>
      <c r="XCE308" s="118"/>
      <c r="XCF308" s="118"/>
      <c r="XCG308" s="118"/>
      <c r="XCH308" s="118"/>
      <c r="XCI308" s="118"/>
      <c r="XCJ308" s="118"/>
      <c r="XCK308" s="118"/>
      <c r="XCL308" s="118"/>
      <c r="XCM308" s="118"/>
      <c r="XCN308" s="118"/>
      <c r="XCO308" s="118"/>
      <c r="XCP308" s="118"/>
      <c r="XCQ308" s="118"/>
      <c r="XCR308" s="118"/>
      <c r="XCS308" s="118"/>
      <c r="XCT308" s="118"/>
      <c r="XCU308" s="118"/>
      <c r="XCV308" s="118"/>
      <c r="XCW308" s="118"/>
      <c r="XCX308" s="118"/>
      <c r="XCY308" s="118"/>
      <c r="XCZ308" s="118"/>
      <c r="XDA308" s="118"/>
      <c r="XDB308" s="118"/>
      <c r="XDC308" s="118"/>
      <c r="XDD308" s="118"/>
      <c r="XDE308" s="118"/>
      <c r="XDF308" s="118"/>
      <c r="XDG308" s="118"/>
      <c r="XDH308" s="118"/>
      <c r="XDI308" s="118"/>
      <c r="XDJ308" s="118"/>
      <c r="XDK308" s="118"/>
      <c r="XDL308" s="118"/>
      <c r="XDM308" s="118"/>
      <c r="XDN308" s="118"/>
      <c r="XDO308" s="118"/>
      <c r="XDP308" s="118"/>
      <c r="XDQ308" s="118"/>
      <c r="XDR308" s="118"/>
      <c r="XDS308" s="118"/>
      <c r="XDT308" s="118"/>
      <c r="XDU308" s="118"/>
      <c r="XDV308" s="118"/>
      <c r="XDW308" s="118"/>
      <c r="XDX308" s="118"/>
      <c r="XDY308" s="118"/>
      <c r="XDZ308" s="118"/>
      <c r="XEA308" s="118"/>
      <c r="XEB308" s="118"/>
      <c r="XEC308" s="118"/>
      <c r="XED308" s="118"/>
      <c r="XEE308" s="118"/>
      <c r="XEF308" s="118"/>
      <c r="XEG308" s="118"/>
      <c r="XEH308" s="118"/>
      <c r="XEI308" s="118"/>
      <c r="XEJ308" s="118"/>
      <c r="XEK308" s="118"/>
      <c r="XEL308" s="118"/>
      <c r="XEM308" s="118"/>
      <c r="XEN308" s="118"/>
      <c r="XEO308" s="118"/>
      <c r="XEP308" s="118"/>
      <c r="XEQ308" s="118"/>
      <c r="XER308" s="118"/>
      <c r="XES308" s="118"/>
      <c r="XET308" s="118"/>
      <c r="XEU308" s="118"/>
      <c r="XEV308" s="118"/>
      <c r="XEW308" s="118"/>
      <c r="XEX308" s="118"/>
      <c r="XEY308" s="118"/>
      <c r="XEZ308" s="118"/>
      <c r="XFA308" s="118"/>
      <c r="XFB308" s="118"/>
      <c r="XFC308" s="118"/>
      <c r="XFD308" s="118"/>
    </row>
    <row r="309" spans="1:37 16131:16384" ht="12.75" hidden="1" customHeight="1" x14ac:dyDescent="0.3">
      <c r="A309" s="116">
        <v>2680</v>
      </c>
      <c r="B309" s="20" t="s">
        <v>623</v>
      </c>
      <c r="C309" s="71" t="str">
        <f>IFERROR(VLOOKUP(D309,'Target tables'!A:B,2,0),"")</f>
        <v>Связь договора с контрагентом</v>
      </c>
      <c r="D309" s="212" t="s">
        <v>138</v>
      </c>
      <c r="E309" s="73" t="str">
        <f>IFERROR(VLOOKUP(D309&amp;J309,'Target columns'!A:J,4,FALSE),"")</f>
        <v>UUID</v>
      </c>
      <c r="F309" s="73" t="str">
        <f>IFERROR(VLOOKUP(D309&amp;J309,'Target columns'!A:J,7,FALSE),"")</f>
        <v>Yes</v>
      </c>
      <c r="G309" s="73" t="str">
        <f>IFERROR(VLOOKUP(D309&amp;J309,'Target columns'!A:J,8,FALSE),"")</f>
        <v>Yes</v>
      </c>
      <c r="H309" s="73" t="str">
        <f>IFERROR(VLOOKUP(D309&amp;J309,'Target columns'!A:J,5,FALSE),"")</f>
        <v>NOT NULL</v>
      </c>
      <c r="I309" s="73" t="str">
        <f>IFERROR(VLOOKUP(D309&amp;J309,'Target columns'!A:J,10,FALSE),"")</f>
        <v xml:space="preserve">Тип клиента на договоре </v>
      </c>
      <c r="J309" s="20" t="s">
        <v>607</v>
      </c>
      <c r="K309" s="20" t="s">
        <v>150</v>
      </c>
      <c r="L309" s="73" t="str">
        <f>IFERROR(VLOOKUP(K309&amp;N309,source_columns[[Seek]:[Описание поля]],4,0),"")</f>
        <v/>
      </c>
      <c r="M309" s="73" t="str">
        <f>IFERROR(VLOOKUP(K309&amp;N309,source_columns[[Seek]:[Описание поля]],7,0),"")</f>
        <v/>
      </c>
      <c r="N309" s="20" t="s">
        <v>608</v>
      </c>
      <c r="O309" s="20"/>
      <c r="P309" s="20"/>
      <c r="Q309" s="20"/>
      <c r="R309" s="20"/>
      <c r="S309" s="278"/>
      <c r="T309" s="71"/>
      <c r="U309" s="71"/>
      <c r="V309" s="73" t="str">
        <f>"n308000046_"&amp;IFERROR(VLOOKUP(D309,target_tables[],5,0),"&lt;not found&gt;")</f>
        <v>n308000046_agr_other_cust</v>
      </c>
      <c r="W309" s="71" t="s">
        <v>269</v>
      </c>
      <c r="X309" s="71"/>
      <c r="Y309" s="71"/>
      <c r="Z309" s="71"/>
      <c r="AA309" s="71"/>
      <c r="AB309" s="71"/>
      <c r="AC309" s="71"/>
      <c r="AD309" s="71"/>
      <c r="AE309" s="71"/>
      <c r="AF309" s="299"/>
      <c r="AG309" s="27"/>
      <c r="AH309" s="27"/>
      <c r="AI309" s="27"/>
      <c r="AJ309" s="75"/>
      <c r="AK309" s="69"/>
      <c r="WVK309" s="118"/>
      <c r="WVL309" s="118"/>
      <c r="WVM309" s="118"/>
      <c r="WVN309" s="118"/>
      <c r="WVO309" s="118"/>
      <c r="WVP309" s="118"/>
      <c r="WVQ309" s="118"/>
      <c r="WVR309" s="118"/>
      <c r="WVS309" s="118"/>
      <c r="WVT309" s="118"/>
      <c r="WVU309" s="118"/>
      <c r="WVV309" s="118"/>
      <c r="WVW309" s="118"/>
      <c r="WVX309" s="118"/>
      <c r="WVY309" s="118"/>
      <c r="WVZ309" s="118"/>
      <c r="WWA309" s="118"/>
      <c r="WWB309" s="118"/>
      <c r="WWC309" s="118"/>
      <c r="WWD309" s="118"/>
      <c r="WWE309" s="118"/>
      <c r="WWF309" s="118"/>
      <c r="WWG309" s="118"/>
      <c r="WWH309" s="118"/>
      <c r="WWI309" s="118"/>
      <c r="WWJ309" s="118"/>
      <c r="WWK309" s="118"/>
      <c r="WWL309" s="118"/>
      <c r="WWM309" s="118"/>
      <c r="WWN309" s="118"/>
      <c r="WWO309" s="118"/>
      <c r="WWP309" s="118"/>
      <c r="WWQ309" s="118"/>
      <c r="WWR309" s="118"/>
      <c r="WWS309" s="118"/>
      <c r="WWT309" s="118"/>
      <c r="WWU309" s="118"/>
      <c r="WWV309" s="118"/>
      <c r="WWW309" s="118"/>
      <c r="WWX309" s="118"/>
      <c r="WWY309" s="118"/>
      <c r="WWZ309" s="118"/>
      <c r="WXA309" s="118"/>
      <c r="WXB309" s="118"/>
      <c r="WXC309" s="118"/>
      <c r="WXD309" s="118"/>
      <c r="WXE309" s="118"/>
      <c r="WXF309" s="118"/>
      <c r="WXG309" s="118"/>
      <c r="WXH309" s="118"/>
      <c r="WXI309" s="118"/>
      <c r="WXJ309" s="118"/>
      <c r="WXK309" s="118"/>
      <c r="WXL309" s="118"/>
      <c r="WXM309" s="118"/>
      <c r="WXN309" s="118"/>
      <c r="WXO309" s="118"/>
      <c r="WXP309" s="118"/>
      <c r="WXQ309" s="118"/>
      <c r="WXR309" s="118"/>
      <c r="WXS309" s="118"/>
      <c r="WXT309" s="118"/>
      <c r="WXU309" s="118"/>
      <c r="WXV309" s="118"/>
      <c r="WXW309" s="118"/>
      <c r="WXX309" s="118"/>
      <c r="WXY309" s="118"/>
      <c r="WXZ309" s="118"/>
      <c r="WYA309" s="118"/>
      <c r="WYB309" s="118"/>
      <c r="WYC309" s="118"/>
      <c r="WYD309" s="118"/>
      <c r="WYE309" s="118"/>
      <c r="WYF309" s="118"/>
      <c r="WYG309" s="118"/>
      <c r="WYH309" s="118"/>
      <c r="WYI309" s="118"/>
      <c r="WYJ309" s="118"/>
      <c r="WYK309" s="118"/>
      <c r="WYL309" s="118"/>
      <c r="WYM309" s="118"/>
      <c r="WYN309" s="118"/>
      <c r="WYO309" s="118"/>
      <c r="WYP309" s="118"/>
      <c r="WYQ309" s="118"/>
      <c r="WYR309" s="118"/>
      <c r="WYS309" s="118"/>
      <c r="WYT309" s="118"/>
      <c r="WYU309" s="118"/>
      <c r="WYV309" s="118"/>
      <c r="WYW309" s="118"/>
      <c r="WYX309" s="118"/>
      <c r="WYY309" s="118"/>
      <c r="WYZ309" s="118"/>
      <c r="WZA309" s="118"/>
      <c r="WZB309" s="118"/>
      <c r="WZC309" s="118"/>
      <c r="WZD309" s="118"/>
      <c r="WZE309" s="118"/>
      <c r="WZF309" s="118"/>
      <c r="WZG309" s="118"/>
      <c r="WZH309" s="118"/>
      <c r="WZI309" s="118"/>
      <c r="WZJ309" s="118"/>
      <c r="WZK309" s="118"/>
      <c r="WZL309" s="118"/>
      <c r="WZM309" s="118"/>
      <c r="WZN309" s="118"/>
      <c r="WZO309" s="118"/>
      <c r="WZP309" s="118"/>
      <c r="WZQ309" s="118"/>
      <c r="WZR309" s="118"/>
      <c r="WZS309" s="118"/>
      <c r="WZT309" s="118"/>
      <c r="WZU309" s="118"/>
      <c r="WZV309" s="118"/>
      <c r="WZW309" s="118"/>
      <c r="WZX309" s="118"/>
      <c r="WZY309" s="118"/>
      <c r="WZZ309" s="118"/>
      <c r="XAA309" s="118"/>
      <c r="XAB309" s="118"/>
      <c r="XAC309" s="118"/>
      <c r="XAD309" s="118"/>
      <c r="XAE309" s="118"/>
      <c r="XAF309" s="118"/>
      <c r="XAG309" s="118"/>
      <c r="XAH309" s="118"/>
      <c r="XAI309" s="118"/>
      <c r="XAJ309" s="118"/>
      <c r="XAK309" s="118"/>
      <c r="XAL309" s="118"/>
      <c r="XAM309" s="118"/>
      <c r="XAN309" s="118"/>
      <c r="XAO309" s="118"/>
      <c r="XAP309" s="118"/>
      <c r="XAQ309" s="118"/>
      <c r="XAR309" s="118"/>
      <c r="XAS309" s="118"/>
      <c r="XAT309" s="118"/>
      <c r="XAU309" s="118"/>
      <c r="XAV309" s="118"/>
      <c r="XAW309" s="118"/>
      <c r="XAX309" s="118"/>
      <c r="XAY309" s="118"/>
      <c r="XAZ309" s="118"/>
      <c r="XBA309" s="118"/>
      <c r="XBB309" s="118"/>
      <c r="XBC309" s="118"/>
      <c r="XBD309" s="118"/>
      <c r="XBE309" s="118"/>
      <c r="XBF309" s="118"/>
      <c r="XBG309" s="118"/>
      <c r="XBH309" s="118"/>
      <c r="XBI309" s="118"/>
      <c r="XBJ309" s="118"/>
      <c r="XBK309" s="118"/>
      <c r="XBL309" s="118"/>
      <c r="XBM309" s="118"/>
      <c r="XBN309" s="118"/>
      <c r="XBO309" s="118"/>
      <c r="XBP309" s="118"/>
      <c r="XBQ309" s="118"/>
      <c r="XBR309" s="118"/>
      <c r="XBS309" s="118"/>
      <c r="XBT309" s="118"/>
      <c r="XBU309" s="118"/>
      <c r="XBV309" s="118"/>
      <c r="XBW309" s="118"/>
      <c r="XBX309" s="118"/>
      <c r="XBY309" s="118"/>
      <c r="XBZ309" s="118"/>
      <c r="XCA309" s="118"/>
      <c r="XCB309" s="118"/>
      <c r="XCC309" s="118"/>
      <c r="XCD309" s="118"/>
      <c r="XCE309" s="118"/>
      <c r="XCF309" s="118"/>
      <c r="XCG309" s="118"/>
      <c r="XCH309" s="118"/>
      <c r="XCI309" s="118"/>
      <c r="XCJ309" s="118"/>
      <c r="XCK309" s="118"/>
      <c r="XCL309" s="118"/>
      <c r="XCM309" s="118"/>
      <c r="XCN309" s="118"/>
      <c r="XCO309" s="118"/>
      <c r="XCP309" s="118"/>
      <c r="XCQ309" s="118"/>
      <c r="XCR309" s="118"/>
      <c r="XCS309" s="118"/>
      <c r="XCT309" s="118"/>
      <c r="XCU309" s="118"/>
      <c r="XCV309" s="118"/>
      <c r="XCW309" s="118"/>
      <c r="XCX309" s="118"/>
      <c r="XCY309" s="118"/>
      <c r="XCZ309" s="118"/>
      <c r="XDA309" s="118"/>
      <c r="XDB309" s="118"/>
      <c r="XDC309" s="118"/>
      <c r="XDD309" s="118"/>
      <c r="XDE309" s="118"/>
      <c r="XDF309" s="118"/>
      <c r="XDG309" s="118"/>
      <c r="XDH309" s="118"/>
      <c r="XDI309" s="118"/>
      <c r="XDJ309" s="118"/>
      <c r="XDK309" s="118"/>
      <c r="XDL309" s="118"/>
      <c r="XDM309" s="118"/>
      <c r="XDN309" s="118"/>
      <c r="XDO309" s="118"/>
      <c r="XDP309" s="118"/>
      <c r="XDQ309" s="118"/>
      <c r="XDR309" s="118"/>
      <c r="XDS309" s="118"/>
      <c r="XDT309" s="118"/>
      <c r="XDU309" s="118"/>
      <c r="XDV309" s="118"/>
      <c r="XDW309" s="118"/>
      <c r="XDX309" s="118"/>
      <c r="XDY309" s="118"/>
      <c r="XDZ309" s="118"/>
      <c r="XEA309" s="118"/>
      <c r="XEB309" s="118"/>
      <c r="XEC309" s="118"/>
      <c r="XED309" s="118"/>
      <c r="XEE309" s="118"/>
      <c r="XEF309" s="118"/>
      <c r="XEG309" s="118"/>
      <c r="XEH309" s="118"/>
      <c r="XEI309" s="118"/>
      <c r="XEJ309" s="118"/>
      <c r="XEK309" s="118"/>
      <c r="XEL309" s="118"/>
      <c r="XEM309" s="118"/>
      <c r="XEN309" s="118"/>
      <c r="XEO309" s="118"/>
      <c r="XEP309" s="118"/>
      <c r="XEQ309" s="118"/>
      <c r="XER309" s="118"/>
      <c r="XES309" s="118"/>
      <c r="XET309" s="118"/>
      <c r="XEU309" s="118"/>
      <c r="XEV309" s="118"/>
      <c r="XEW309" s="118"/>
      <c r="XEX309" s="118"/>
      <c r="XEY309" s="118"/>
      <c r="XEZ309" s="118"/>
      <c r="XFA309" s="118"/>
      <c r="XFB309" s="118"/>
      <c r="XFC309" s="118"/>
      <c r="XFD309" s="118"/>
    </row>
    <row r="310" spans="1:37 16131:16384" ht="12.75" hidden="1" customHeight="1" x14ac:dyDescent="0.3">
      <c r="A310" s="114">
        <v>2690</v>
      </c>
      <c r="B310" s="113" t="s">
        <v>623</v>
      </c>
      <c r="C310" s="82" t="str">
        <f>IFERROR(VLOOKUP(D310,'Target tables'!A:B,2,0),"")</f>
        <v>Связь договора с контрагентом</v>
      </c>
      <c r="D310" s="208" t="s">
        <v>138</v>
      </c>
      <c r="E310" s="78" t="str">
        <f>IFERROR(VLOOKUP(D310&amp;J310,'Target columns'!A:J,4,FALSE),"")</f>
        <v>UUID</v>
      </c>
      <c r="F310" s="78" t="str">
        <f>IFERROR(VLOOKUP(D310&amp;J310,'Target columns'!A:J,7,FALSE),"")</f>
        <v>Yes</v>
      </c>
      <c r="G310" s="78" t="str">
        <f>IFERROR(VLOOKUP(D310&amp;J310,'Target columns'!A:J,8,FALSE),"")</f>
        <v>Yes</v>
      </c>
      <c r="H310" s="78" t="str">
        <f>IFERROR(VLOOKUP(D310&amp;J310,'Target columns'!A:J,5,FALSE),"")</f>
        <v>NOT NULL</v>
      </c>
      <c r="I310" s="78" t="str">
        <f>IFERROR(VLOOKUP(D310&amp;J310,'Target columns'!A:J,10,FALSE),"")</f>
        <v>Идентификатор договора</v>
      </c>
      <c r="J310" s="23" t="s">
        <v>589</v>
      </c>
      <c r="K310" s="23" t="s">
        <v>150</v>
      </c>
      <c r="L310" s="78" t="str">
        <f>IFERROR(VLOOKUP(K310&amp;N310,source_columns[[Seek]:[Описание поля]],4,0),"")</f>
        <v>uuid</v>
      </c>
      <c r="M310" s="78" t="str">
        <f>IFERROR(VLOOKUP(K310&amp;N310,source_columns[[Seek]:[Описание поля]],7,0),"")</f>
        <v>Референс сделки</v>
      </c>
      <c r="N310" s="23" t="s">
        <v>496</v>
      </c>
      <c r="O310" s="23"/>
      <c r="P310" s="23"/>
      <c r="Q310" s="23"/>
      <c r="R310" s="23"/>
      <c r="S310" s="270" t="s">
        <v>609</v>
      </c>
      <c r="T310" s="82"/>
      <c r="U310" s="82"/>
      <c r="V310" s="84" t="str">
        <f>"n308000046_"&amp;IFERROR(VLOOKUP(D310,target_tables[],5,0),"&lt;not found&gt;")</f>
        <v>n308000046_agr_other_cust</v>
      </c>
      <c r="W310" s="82" t="s">
        <v>269</v>
      </c>
      <c r="X310" s="82"/>
      <c r="Y310" s="82"/>
      <c r="Z310" s="82"/>
      <c r="AA310" s="82"/>
      <c r="AB310" s="82"/>
      <c r="AC310" s="82"/>
      <c r="AD310" s="82"/>
      <c r="AE310" s="82"/>
      <c r="AF310" s="299" t="s">
        <v>342</v>
      </c>
      <c r="AG310" s="83"/>
      <c r="AH310" s="83"/>
      <c r="AI310" s="83"/>
      <c r="AJ310" s="91"/>
      <c r="AK310" s="69"/>
      <c r="WVK310" s="118"/>
      <c r="WVL310" s="118"/>
      <c r="WVM310" s="118"/>
      <c r="WVN310" s="118"/>
      <c r="WVO310" s="118"/>
      <c r="WVP310" s="118"/>
      <c r="WVQ310" s="118"/>
      <c r="WVR310" s="118"/>
      <c r="WVS310" s="118"/>
      <c r="WVT310" s="118"/>
      <c r="WVU310" s="118"/>
      <c r="WVV310" s="118"/>
      <c r="WVW310" s="118"/>
      <c r="WVX310" s="118"/>
      <c r="WVY310" s="118"/>
      <c r="WVZ310" s="118"/>
      <c r="WWA310" s="118"/>
      <c r="WWB310" s="118"/>
      <c r="WWC310" s="118"/>
      <c r="WWD310" s="118"/>
      <c r="WWE310" s="118"/>
      <c r="WWF310" s="118"/>
      <c r="WWG310" s="118"/>
      <c r="WWH310" s="118"/>
      <c r="WWI310" s="118"/>
      <c r="WWJ310" s="118"/>
      <c r="WWK310" s="118"/>
      <c r="WWL310" s="118"/>
      <c r="WWM310" s="118"/>
      <c r="WWN310" s="118"/>
      <c r="WWO310" s="118"/>
      <c r="WWP310" s="118"/>
      <c r="WWQ310" s="118"/>
      <c r="WWR310" s="118"/>
      <c r="WWS310" s="118"/>
      <c r="WWT310" s="118"/>
      <c r="WWU310" s="118"/>
      <c r="WWV310" s="118"/>
      <c r="WWW310" s="118"/>
      <c r="WWX310" s="118"/>
      <c r="WWY310" s="118"/>
      <c r="WWZ310" s="118"/>
      <c r="WXA310" s="118"/>
      <c r="WXB310" s="118"/>
      <c r="WXC310" s="118"/>
      <c r="WXD310" s="118"/>
      <c r="WXE310" s="118"/>
      <c r="WXF310" s="118"/>
      <c r="WXG310" s="118"/>
      <c r="WXH310" s="118"/>
      <c r="WXI310" s="118"/>
      <c r="WXJ310" s="118"/>
      <c r="WXK310" s="118"/>
      <c r="WXL310" s="118"/>
      <c r="WXM310" s="118"/>
      <c r="WXN310" s="118"/>
      <c r="WXO310" s="118"/>
      <c r="WXP310" s="118"/>
      <c r="WXQ310" s="118"/>
      <c r="WXR310" s="118"/>
      <c r="WXS310" s="118"/>
      <c r="WXT310" s="118"/>
      <c r="WXU310" s="118"/>
      <c r="WXV310" s="118"/>
      <c r="WXW310" s="118"/>
      <c r="WXX310" s="118"/>
      <c r="WXY310" s="118"/>
      <c r="WXZ310" s="118"/>
      <c r="WYA310" s="118"/>
      <c r="WYB310" s="118"/>
      <c r="WYC310" s="118"/>
      <c r="WYD310" s="118"/>
      <c r="WYE310" s="118"/>
      <c r="WYF310" s="118"/>
      <c r="WYG310" s="118"/>
      <c r="WYH310" s="118"/>
      <c r="WYI310" s="118"/>
      <c r="WYJ310" s="118"/>
      <c r="WYK310" s="118"/>
      <c r="WYL310" s="118"/>
      <c r="WYM310" s="118"/>
      <c r="WYN310" s="118"/>
      <c r="WYO310" s="118"/>
      <c r="WYP310" s="118"/>
      <c r="WYQ310" s="118"/>
      <c r="WYR310" s="118"/>
      <c r="WYS310" s="118"/>
      <c r="WYT310" s="118"/>
      <c r="WYU310" s="118"/>
      <c r="WYV310" s="118"/>
      <c r="WYW310" s="118"/>
      <c r="WYX310" s="118"/>
      <c r="WYY310" s="118"/>
      <c r="WYZ310" s="118"/>
      <c r="WZA310" s="118"/>
      <c r="WZB310" s="118"/>
      <c r="WZC310" s="118"/>
      <c r="WZD310" s="118"/>
      <c r="WZE310" s="118"/>
      <c r="WZF310" s="118"/>
      <c r="WZG310" s="118"/>
      <c r="WZH310" s="118"/>
      <c r="WZI310" s="118"/>
      <c r="WZJ310" s="118"/>
      <c r="WZK310" s="118"/>
      <c r="WZL310" s="118"/>
      <c r="WZM310" s="118"/>
      <c r="WZN310" s="118"/>
      <c r="WZO310" s="118"/>
      <c r="WZP310" s="118"/>
      <c r="WZQ310" s="118"/>
      <c r="WZR310" s="118"/>
      <c r="WZS310" s="118"/>
      <c r="WZT310" s="118"/>
      <c r="WZU310" s="118"/>
      <c r="WZV310" s="118"/>
      <c r="WZW310" s="118"/>
      <c r="WZX310" s="118"/>
      <c r="WZY310" s="118"/>
      <c r="WZZ310" s="118"/>
      <c r="XAA310" s="118"/>
      <c r="XAB310" s="118"/>
      <c r="XAC310" s="118"/>
      <c r="XAD310" s="118"/>
      <c r="XAE310" s="118"/>
      <c r="XAF310" s="118"/>
      <c r="XAG310" s="118"/>
      <c r="XAH310" s="118"/>
      <c r="XAI310" s="118"/>
      <c r="XAJ310" s="118"/>
      <c r="XAK310" s="118"/>
      <c r="XAL310" s="118"/>
      <c r="XAM310" s="118"/>
      <c r="XAN310" s="118"/>
      <c r="XAO310" s="118"/>
      <c r="XAP310" s="118"/>
      <c r="XAQ310" s="118"/>
      <c r="XAR310" s="118"/>
      <c r="XAS310" s="118"/>
      <c r="XAT310" s="118"/>
      <c r="XAU310" s="118"/>
      <c r="XAV310" s="118"/>
      <c r="XAW310" s="118"/>
      <c r="XAX310" s="118"/>
      <c r="XAY310" s="118"/>
      <c r="XAZ310" s="118"/>
      <c r="XBA310" s="118"/>
      <c r="XBB310" s="118"/>
      <c r="XBC310" s="118"/>
      <c r="XBD310" s="118"/>
      <c r="XBE310" s="118"/>
      <c r="XBF310" s="118"/>
      <c r="XBG310" s="118"/>
      <c r="XBH310" s="118"/>
      <c r="XBI310" s="118"/>
      <c r="XBJ310" s="118"/>
      <c r="XBK310" s="118"/>
      <c r="XBL310" s="118"/>
      <c r="XBM310" s="118"/>
      <c r="XBN310" s="118"/>
      <c r="XBO310" s="118"/>
      <c r="XBP310" s="118"/>
      <c r="XBQ310" s="118"/>
      <c r="XBR310" s="118"/>
      <c r="XBS310" s="118"/>
      <c r="XBT310" s="118"/>
      <c r="XBU310" s="118"/>
      <c r="XBV310" s="118"/>
      <c r="XBW310" s="118"/>
      <c r="XBX310" s="118"/>
      <c r="XBY310" s="118"/>
      <c r="XBZ310" s="118"/>
      <c r="XCA310" s="118"/>
      <c r="XCB310" s="118"/>
      <c r="XCC310" s="118"/>
      <c r="XCD310" s="118"/>
      <c r="XCE310" s="118"/>
      <c r="XCF310" s="118"/>
      <c r="XCG310" s="118"/>
      <c r="XCH310" s="118"/>
      <c r="XCI310" s="118"/>
      <c r="XCJ310" s="118"/>
      <c r="XCK310" s="118"/>
      <c r="XCL310" s="118"/>
      <c r="XCM310" s="118"/>
      <c r="XCN310" s="118"/>
      <c r="XCO310" s="118"/>
      <c r="XCP310" s="118"/>
      <c r="XCQ310" s="118"/>
      <c r="XCR310" s="118"/>
      <c r="XCS310" s="118"/>
      <c r="XCT310" s="118"/>
      <c r="XCU310" s="118"/>
      <c r="XCV310" s="118"/>
      <c r="XCW310" s="118"/>
      <c r="XCX310" s="118"/>
      <c r="XCY310" s="118"/>
      <c r="XCZ310" s="118"/>
      <c r="XDA310" s="118"/>
      <c r="XDB310" s="118"/>
      <c r="XDC310" s="118"/>
      <c r="XDD310" s="118"/>
      <c r="XDE310" s="118"/>
      <c r="XDF310" s="118"/>
      <c r="XDG310" s="118"/>
      <c r="XDH310" s="118"/>
      <c r="XDI310" s="118"/>
      <c r="XDJ310" s="118"/>
      <c r="XDK310" s="118"/>
      <c r="XDL310" s="118"/>
      <c r="XDM310" s="118"/>
      <c r="XDN310" s="118"/>
      <c r="XDO310" s="118"/>
      <c r="XDP310" s="118"/>
      <c r="XDQ310" s="118"/>
      <c r="XDR310" s="118"/>
      <c r="XDS310" s="118"/>
      <c r="XDT310" s="118"/>
      <c r="XDU310" s="118"/>
      <c r="XDV310" s="118"/>
      <c r="XDW310" s="118"/>
      <c r="XDX310" s="118"/>
      <c r="XDY310" s="118"/>
      <c r="XDZ310" s="118"/>
      <c r="XEA310" s="118"/>
      <c r="XEB310" s="118"/>
      <c r="XEC310" s="118"/>
      <c r="XED310" s="118"/>
      <c r="XEE310" s="118"/>
      <c r="XEF310" s="118"/>
      <c r="XEG310" s="118"/>
      <c r="XEH310" s="118"/>
      <c r="XEI310" s="118"/>
      <c r="XEJ310" s="118"/>
      <c r="XEK310" s="118"/>
      <c r="XEL310" s="118"/>
      <c r="XEM310" s="118"/>
      <c r="XEN310" s="118"/>
      <c r="XEO310" s="118"/>
      <c r="XEP310" s="118"/>
      <c r="XEQ310" s="118"/>
      <c r="XER310" s="118"/>
      <c r="XES310" s="118"/>
      <c r="XET310" s="118"/>
      <c r="XEU310" s="118"/>
      <c r="XEV310" s="118"/>
      <c r="XEW310" s="118"/>
      <c r="XEX310" s="118"/>
      <c r="XEY310" s="118"/>
      <c r="XEZ310" s="118"/>
      <c r="XFA310" s="118"/>
      <c r="XFB310" s="118"/>
      <c r="XFC310" s="118"/>
      <c r="XFD310" s="118"/>
    </row>
    <row r="311" spans="1:37 16131:16384" ht="12.75" hidden="1" customHeight="1" x14ac:dyDescent="0.3">
      <c r="A311" s="115">
        <v>2700</v>
      </c>
      <c r="B311" s="8" t="s">
        <v>623</v>
      </c>
      <c r="C311" s="65" t="str">
        <f>IFERROR(VLOOKUP(D311,'Target tables'!A:B,2,0),"")</f>
        <v>Связь договора с контрагентом</v>
      </c>
      <c r="D311" s="211" t="s">
        <v>138</v>
      </c>
      <c r="E311" s="66" t="str">
        <f>IFERROR(VLOOKUP(D311&amp;J311,'Target columns'!A:J,4,FALSE),"")</f>
        <v>UUID</v>
      </c>
      <c r="F311" s="66" t="str">
        <f>IFERROR(VLOOKUP(D311&amp;J311,'Target columns'!A:J,7,FALSE),"")</f>
        <v>Yes</v>
      </c>
      <c r="G311" s="66" t="str">
        <f>IFERROR(VLOOKUP(D311&amp;J311,'Target columns'!A:J,8,FALSE),"")</f>
        <v>Yes</v>
      </c>
      <c r="H311" s="66" t="str">
        <f>IFERROR(VLOOKUP(D311&amp;J311,'Target columns'!A:J,5,FALSE),"")</f>
        <v>NOT NULL</v>
      </c>
      <c r="I311" s="66" t="str">
        <f>IFERROR(VLOOKUP(D311&amp;J311,'Target columns'!A:J,10,FALSE),"")</f>
        <v>Идентификатор контрагента</v>
      </c>
      <c r="J311" s="8" t="s">
        <v>347</v>
      </c>
      <c r="K311" s="8" t="s">
        <v>150</v>
      </c>
      <c r="L311" s="66" t="str">
        <f>IFERROR(VLOOKUP(K311&amp;N311,source_columns[[Seek]:[Описание поля]],4,0),"")</f>
        <v/>
      </c>
      <c r="M311" s="66" t="str">
        <f>IFERROR(VLOOKUP(K311&amp;N311,source_columns[[Seek]:[Описание поля]],7,0),"")</f>
        <v/>
      </c>
      <c r="N311" s="8" t="s">
        <v>610</v>
      </c>
      <c r="O311" s="8"/>
      <c r="P311" s="8"/>
      <c r="Q311" s="8"/>
      <c r="R311" s="8"/>
      <c r="S311" s="278"/>
      <c r="T311" s="65"/>
      <c r="U311" s="65"/>
      <c r="V311" s="66" t="str">
        <f>"n308000046_"&amp;IFERROR(VLOOKUP(D311,target_tables[],5,0),"&lt;not found&gt;")</f>
        <v>n308000046_agr_other_cust</v>
      </c>
      <c r="W311" s="65" t="s">
        <v>273</v>
      </c>
      <c r="X311" s="65"/>
      <c r="Y311" s="65"/>
      <c r="Z311" s="65"/>
      <c r="AA311" s="65"/>
      <c r="AB311" s="65"/>
      <c r="AC311" s="65"/>
      <c r="AD311" s="65"/>
      <c r="AE311" s="65"/>
      <c r="AF311" s="299"/>
      <c r="AG311" s="10"/>
      <c r="AH311" s="10"/>
      <c r="AI311" s="10"/>
      <c r="AJ311" s="68"/>
      <c r="AK311" s="69"/>
      <c r="WVK311" s="118"/>
      <c r="WVL311" s="118"/>
      <c r="WVM311" s="118"/>
      <c r="WVN311" s="118"/>
      <c r="WVO311" s="118"/>
      <c r="WVP311" s="118"/>
      <c r="WVQ311" s="118"/>
      <c r="WVR311" s="118"/>
      <c r="WVS311" s="118"/>
      <c r="WVT311" s="118"/>
      <c r="WVU311" s="118"/>
      <c r="WVV311" s="118"/>
      <c r="WVW311" s="118"/>
      <c r="WVX311" s="118"/>
      <c r="WVY311" s="118"/>
      <c r="WVZ311" s="118"/>
      <c r="WWA311" s="118"/>
      <c r="WWB311" s="118"/>
      <c r="WWC311" s="118"/>
      <c r="WWD311" s="118"/>
      <c r="WWE311" s="118"/>
      <c r="WWF311" s="118"/>
      <c r="WWG311" s="118"/>
      <c r="WWH311" s="118"/>
      <c r="WWI311" s="118"/>
      <c r="WWJ311" s="118"/>
      <c r="WWK311" s="118"/>
      <c r="WWL311" s="118"/>
      <c r="WWM311" s="118"/>
      <c r="WWN311" s="118"/>
      <c r="WWO311" s="118"/>
      <c r="WWP311" s="118"/>
      <c r="WWQ311" s="118"/>
      <c r="WWR311" s="118"/>
      <c r="WWS311" s="118"/>
      <c r="WWT311" s="118"/>
      <c r="WWU311" s="118"/>
      <c r="WWV311" s="118"/>
      <c r="WWW311" s="118"/>
      <c r="WWX311" s="118"/>
      <c r="WWY311" s="118"/>
      <c r="WWZ311" s="118"/>
      <c r="WXA311" s="118"/>
      <c r="WXB311" s="118"/>
      <c r="WXC311" s="118"/>
      <c r="WXD311" s="118"/>
      <c r="WXE311" s="118"/>
      <c r="WXF311" s="118"/>
      <c r="WXG311" s="118"/>
      <c r="WXH311" s="118"/>
      <c r="WXI311" s="118"/>
      <c r="WXJ311" s="118"/>
      <c r="WXK311" s="118"/>
      <c r="WXL311" s="118"/>
      <c r="WXM311" s="118"/>
      <c r="WXN311" s="118"/>
      <c r="WXO311" s="118"/>
      <c r="WXP311" s="118"/>
      <c r="WXQ311" s="118"/>
      <c r="WXR311" s="118"/>
      <c r="WXS311" s="118"/>
      <c r="WXT311" s="118"/>
      <c r="WXU311" s="118"/>
      <c r="WXV311" s="118"/>
      <c r="WXW311" s="118"/>
      <c r="WXX311" s="118"/>
      <c r="WXY311" s="118"/>
      <c r="WXZ311" s="118"/>
      <c r="WYA311" s="118"/>
      <c r="WYB311" s="118"/>
      <c r="WYC311" s="118"/>
      <c r="WYD311" s="118"/>
      <c r="WYE311" s="118"/>
      <c r="WYF311" s="118"/>
      <c r="WYG311" s="118"/>
      <c r="WYH311" s="118"/>
      <c r="WYI311" s="118"/>
      <c r="WYJ311" s="118"/>
      <c r="WYK311" s="118"/>
      <c r="WYL311" s="118"/>
      <c r="WYM311" s="118"/>
      <c r="WYN311" s="118"/>
      <c r="WYO311" s="118"/>
      <c r="WYP311" s="118"/>
      <c r="WYQ311" s="118"/>
      <c r="WYR311" s="118"/>
      <c r="WYS311" s="118"/>
      <c r="WYT311" s="118"/>
      <c r="WYU311" s="118"/>
      <c r="WYV311" s="118"/>
      <c r="WYW311" s="118"/>
      <c r="WYX311" s="118"/>
      <c r="WYY311" s="118"/>
      <c r="WYZ311" s="118"/>
      <c r="WZA311" s="118"/>
      <c r="WZB311" s="118"/>
      <c r="WZC311" s="118"/>
      <c r="WZD311" s="118"/>
      <c r="WZE311" s="118"/>
      <c r="WZF311" s="118"/>
      <c r="WZG311" s="118"/>
      <c r="WZH311" s="118"/>
      <c r="WZI311" s="118"/>
      <c r="WZJ311" s="118"/>
      <c r="WZK311" s="118"/>
      <c r="WZL311" s="118"/>
      <c r="WZM311" s="118"/>
      <c r="WZN311" s="118"/>
      <c r="WZO311" s="118"/>
      <c r="WZP311" s="118"/>
      <c r="WZQ311" s="118"/>
      <c r="WZR311" s="118"/>
      <c r="WZS311" s="118"/>
      <c r="WZT311" s="118"/>
      <c r="WZU311" s="118"/>
      <c r="WZV311" s="118"/>
      <c r="WZW311" s="118"/>
      <c r="WZX311" s="118"/>
      <c r="WZY311" s="118"/>
      <c r="WZZ311" s="118"/>
      <c r="XAA311" s="118"/>
      <c r="XAB311" s="118"/>
      <c r="XAC311" s="118"/>
      <c r="XAD311" s="118"/>
      <c r="XAE311" s="118"/>
      <c r="XAF311" s="118"/>
      <c r="XAG311" s="118"/>
      <c r="XAH311" s="118"/>
      <c r="XAI311" s="118"/>
      <c r="XAJ311" s="118"/>
      <c r="XAK311" s="118"/>
      <c r="XAL311" s="118"/>
      <c r="XAM311" s="118"/>
      <c r="XAN311" s="118"/>
      <c r="XAO311" s="118"/>
      <c r="XAP311" s="118"/>
      <c r="XAQ311" s="118"/>
      <c r="XAR311" s="118"/>
      <c r="XAS311" s="118"/>
      <c r="XAT311" s="118"/>
      <c r="XAU311" s="118"/>
      <c r="XAV311" s="118"/>
      <c r="XAW311" s="118"/>
      <c r="XAX311" s="118"/>
      <c r="XAY311" s="118"/>
      <c r="XAZ311" s="118"/>
      <c r="XBA311" s="118"/>
      <c r="XBB311" s="118"/>
      <c r="XBC311" s="118"/>
      <c r="XBD311" s="118"/>
      <c r="XBE311" s="118"/>
      <c r="XBF311" s="118"/>
      <c r="XBG311" s="118"/>
      <c r="XBH311" s="118"/>
      <c r="XBI311" s="118"/>
      <c r="XBJ311" s="118"/>
      <c r="XBK311" s="118"/>
      <c r="XBL311" s="118"/>
      <c r="XBM311" s="118"/>
      <c r="XBN311" s="118"/>
      <c r="XBO311" s="118"/>
      <c r="XBP311" s="118"/>
      <c r="XBQ311" s="118"/>
      <c r="XBR311" s="118"/>
      <c r="XBS311" s="118"/>
      <c r="XBT311" s="118"/>
      <c r="XBU311" s="118"/>
      <c r="XBV311" s="118"/>
      <c r="XBW311" s="118"/>
      <c r="XBX311" s="118"/>
      <c r="XBY311" s="118"/>
      <c r="XBZ311" s="118"/>
      <c r="XCA311" s="118"/>
      <c r="XCB311" s="118"/>
      <c r="XCC311" s="118"/>
      <c r="XCD311" s="118"/>
      <c r="XCE311" s="118"/>
      <c r="XCF311" s="118"/>
      <c r="XCG311" s="118"/>
      <c r="XCH311" s="118"/>
      <c r="XCI311" s="118"/>
      <c r="XCJ311" s="118"/>
      <c r="XCK311" s="118"/>
      <c r="XCL311" s="118"/>
      <c r="XCM311" s="118"/>
      <c r="XCN311" s="118"/>
      <c r="XCO311" s="118"/>
      <c r="XCP311" s="118"/>
      <c r="XCQ311" s="118"/>
      <c r="XCR311" s="118"/>
      <c r="XCS311" s="118"/>
      <c r="XCT311" s="118"/>
      <c r="XCU311" s="118"/>
      <c r="XCV311" s="118"/>
      <c r="XCW311" s="118"/>
      <c r="XCX311" s="118"/>
      <c r="XCY311" s="118"/>
      <c r="XCZ311" s="118"/>
      <c r="XDA311" s="118"/>
      <c r="XDB311" s="118"/>
      <c r="XDC311" s="118"/>
      <c r="XDD311" s="118"/>
      <c r="XDE311" s="118"/>
      <c r="XDF311" s="118"/>
      <c r="XDG311" s="118"/>
      <c r="XDH311" s="118"/>
      <c r="XDI311" s="118"/>
      <c r="XDJ311" s="118"/>
      <c r="XDK311" s="118"/>
      <c r="XDL311" s="118"/>
      <c r="XDM311" s="118"/>
      <c r="XDN311" s="118"/>
      <c r="XDO311" s="118"/>
      <c r="XDP311" s="118"/>
      <c r="XDQ311" s="118"/>
      <c r="XDR311" s="118"/>
      <c r="XDS311" s="118"/>
      <c r="XDT311" s="118"/>
      <c r="XDU311" s="118"/>
      <c r="XDV311" s="118"/>
      <c r="XDW311" s="118"/>
      <c r="XDX311" s="118"/>
      <c r="XDY311" s="118"/>
      <c r="XDZ311" s="118"/>
      <c r="XEA311" s="118"/>
      <c r="XEB311" s="118"/>
      <c r="XEC311" s="118"/>
      <c r="XED311" s="118"/>
      <c r="XEE311" s="118"/>
      <c r="XEF311" s="118"/>
      <c r="XEG311" s="118"/>
      <c r="XEH311" s="118"/>
      <c r="XEI311" s="118"/>
      <c r="XEJ311" s="118"/>
      <c r="XEK311" s="118"/>
      <c r="XEL311" s="118"/>
      <c r="XEM311" s="118"/>
      <c r="XEN311" s="118"/>
      <c r="XEO311" s="118"/>
      <c r="XEP311" s="118"/>
      <c r="XEQ311" s="118"/>
      <c r="XER311" s="118"/>
      <c r="XES311" s="118"/>
      <c r="XET311" s="118"/>
      <c r="XEU311" s="118"/>
      <c r="XEV311" s="118"/>
      <c r="XEW311" s="118"/>
      <c r="XEX311" s="118"/>
      <c r="XEY311" s="118"/>
      <c r="XEZ311" s="118"/>
      <c r="XFA311" s="118"/>
      <c r="XFB311" s="118"/>
      <c r="XFC311" s="118"/>
      <c r="XFD311" s="118"/>
    </row>
    <row r="312" spans="1:37 16131:16384" ht="12.75" hidden="1" customHeight="1" x14ac:dyDescent="0.3">
      <c r="A312" s="115">
        <v>2710</v>
      </c>
      <c r="B312" s="8" t="s">
        <v>623</v>
      </c>
      <c r="C312" s="65" t="str">
        <f>IFERROR(VLOOKUP(D312,'Target tables'!A:B,2,0),"")</f>
        <v>Связь договора с контрагентом</v>
      </c>
      <c r="D312" s="211" t="s">
        <v>138</v>
      </c>
      <c r="E312" s="66" t="str">
        <f>IFERROR(VLOOKUP(D312&amp;J312,'Target columns'!A:J,4,FALSE),"")</f>
        <v>DATE</v>
      </c>
      <c r="F312" s="66" t="str">
        <f>IFERROR(VLOOKUP(D312&amp;J312,'Target columns'!A:J,7,FALSE),"")</f>
        <v>Yes</v>
      </c>
      <c r="G312" s="66" t="str">
        <f>IFERROR(VLOOKUP(D312&amp;J312,'Target columns'!A:J,8,FALSE),"")</f>
        <v>No</v>
      </c>
      <c r="H312" s="66" t="str">
        <f>IFERROR(VLOOKUP(D312&amp;J312,'Target columns'!A:J,5,FALSE),"")</f>
        <v>NOT NULL</v>
      </c>
      <c r="I312" s="66" t="str">
        <f>IFERROR(VLOOKUP(D312&amp;J312,'Target columns'!A:J,10,FALSE),"")</f>
        <v>Дата начала действия</v>
      </c>
      <c r="J312" s="8" t="s">
        <v>329</v>
      </c>
      <c r="K312" s="8" t="s">
        <v>150</v>
      </c>
      <c r="L312" s="66" t="str">
        <f>IFERROR(VLOOKUP(K312&amp;N312,source_columns[[Seek]:[Описание поля]],4,0),"")</f>
        <v>timestamp</v>
      </c>
      <c r="M312" s="66" t="str">
        <f>IFERROR(VLOOKUP(K312&amp;N312,source_columns[[Seek]:[Описание поля]],7,0),"")</f>
        <v>Дата и время последнего изменения</v>
      </c>
      <c r="N312" s="8" t="s">
        <v>517</v>
      </c>
      <c r="O312" s="8"/>
      <c r="P312" s="8"/>
      <c r="Q312" s="8"/>
      <c r="R312" s="8"/>
      <c r="S312" s="278"/>
      <c r="T312" s="65"/>
      <c r="U312" s="65"/>
      <c r="V312" s="66" t="str">
        <f>"n308000046_"&amp;IFERROR(VLOOKUP(D312,target_tables[],5,0),"&lt;not found&gt;")</f>
        <v>n308000046_agr_other_cust</v>
      </c>
      <c r="W312" s="65" t="s">
        <v>330</v>
      </c>
      <c r="X312" s="65"/>
      <c r="Y312" s="65"/>
      <c r="Z312" s="65"/>
      <c r="AA312" s="65"/>
      <c r="AB312" s="65"/>
      <c r="AC312" s="65"/>
      <c r="AD312" s="65"/>
      <c r="AE312" s="65"/>
      <c r="AF312" s="299"/>
      <c r="AG312" s="10"/>
      <c r="AH312" s="10"/>
      <c r="AI312" s="10"/>
      <c r="AJ312" s="68"/>
      <c r="AK312" s="69"/>
      <c r="WVK312" s="118"/>
      <c r="WVL312" s="118"/>
      <c r="WVM312" s="118"/>
      <c r="WVN312" s="118"/>
      <c r="WVO312" s="118"/>
      <c r="WVP312" s="118"/>
      <c r="WVQ312" s="118"/>
      <c r="WVR312" s="118"/>
      <c r="WVS312" s="118"/>
      <c r="WVT312" s="118"/>
      <c r="WVU312" s="118"/>
      <c r="WVV312" s="118"/>
      <c r="WVW312" s="118"/>
      <c r="WVX312" s="118"/>
      <c r="WVY312" s="118"/>
      <c r="WVZ312" s="118"/>
      <c r="WWA312" s="118"/>
      <c r="WWB312" s="118"/>
      <c r="WWC312" s="118"/>
      <c r="WWD312" s="118"/>
      <c r="WWE312" s="118"/>
      <c r="WWF312" s="118"/>
      <c r="WWG312" s="118"/>
      <c r="WWH312" s="118"/>
      <c r="WWI312" s="118"/>
      <c r="WWJ312" s="118"/>
      <c r="WWK312" s="118"/>
      <c r="WWL312" s="118"/>
      <c r="WWM312" s="118"/>
      <c r="WWN312" s="118"/>
      <c r="WWO312" s="118"/>
      <c r="WWP312" s="118"/>
      <c r="WWQ312" s="118"/>
      <c r="WWR312" s="118"/>
      <c r="WWS312" s="118"/>
      <c r="WWT312" s="118"/>
      <c r="WWU312" s="118"/>
      <c r="WWV312" s="118"/>
      <c r="WWW312" s="118"/>
      <c r="WWX312" s="118"/>
      <c r="WWY312" s="118"/>
      <c r="WWZ312" s="118"/>
      <c r="WXA312" s="118"/>
      <c r="WXB312" s="118"/>
      <c r="WXC312" s="118"/>
      <c r="WXD312" s="118"/>
      <c r="WXE312" s="118"/>
      <c r="WXF312" s="118"/>
      <c r="WXG312" s="118"/>
      <c r="WXH312" s="118"/>
      <c r="WXI312" s="118"/>
      <c r="WXJ312" s="118"/>
      <c r="WXK312" s="118"/>
      <c r="WXL312" s="118"/>
      <c r="WXM312" s="118"/>
      <c r="WXN312" s="118"/>
      <c r="WXO312" s="118"/>
      <c r="WXP312" s="118"/>
      <c r="WXQ312" s="118"/>
      <c r="WXR312" s="118"/>
      <c r="WXS312" s="118"/>
      <c r="WXT312" s="118"/>
      <c r="WXU312" s="118"/>
      <c r="WXV312" s="118"/>
      <c r="WXW312" s="118"/>
      <c r="WXX312" s="118"/>
      <c r="WXY312" s="118"/>
      <c r="WXZ312" s="118"/>
      <c r="WYA312" s="118"/>
      <c r="WYB312" s="118"/>
      <c r="WYC312" s="118"/>
      <c r="WYD312" s="118"/>
      <c r="WYE312" s="118"/>
      <c r="WYF312" s="118"/>
      <c r="WYG312" s="118"/>
      <c r="WYH312" s="118"/>
      <c r="WYI312" s="118"/>
      <c r="WYJ312" s="118"/>
      <c r="WYK312" s="118"/>
      <c r="WYL312" s="118"/>
      <c r="WYM312" s="118"/>
      <c r="WYN312" s="118"/>
      <c r="WYO312" s="118"/>
      <c r="WYP312" s="118"/>
      <c r="WYQ312" s="118"/>
      <c r="WYR312" s="118"/>
      <c r="WYS312" s="118"/>
      <c r="WYT312" s="118"/>
      <c r="WYU312" s="118"/>
      <c r="WYV312" s="118"/>
      <c r="WYW312" s="118"/>
      <c r="WYX312" s="118"/>
      <c r="WYY312" s="118"/>
      <c r="WYZ312" s="118"/>
      <c r="WZA312" s="118"/>
      <c r="WZB312" s="118"/>
      <c r="WZC312" s="118"/>
      <c r="WZD312" s="118"/>
      <c r="WZE312" s="118"/>
      <c r="WZF312" s="118"/>
      <c r="WZG312" s="118"/>
      <c r="WZH312" s="118"/>
      <c r="WZI312" s="118"/>
      <c r="WZJ312" s="118"/>
      <c r="WZK312" s="118"/>
      <c r="WZL312" s="118"/>
      <c r="WZM312" s="118"/>
      <c r="WZN312" s="118"/>
      <c r="WZO312" s="118"/>
      <c r="WZP312" s="118"/>
      <c r="WZQ312" s="118"/>
      <c r="WZR312" s="118"/>
      <c r="WZS312" s="118"/>
      <c r="WZT312" s="118"/>
      <c r="WZU312" s="118"/>
      <c r="WZV312" s="118"/>
      <c r="WZW312" s="118"/>
      <c r="WZX312" s="118"/>
      <c r="WZY312" s="118"/>
      <c r="WZZ312" s="118"/>
      <c r="XAA312" s="118"/>
      <c r="XAB312" s="118"/>
      <c r="XAC312" s="118"/>
      <c r="XAD312" s="118"/>
      <c r="XAE312" s="118"/>
      <c r="XAF312" s="118"/>
      <c r="XAG312" s="118"/>
      <c r="XAH312" s="118"/>
      <c r="XAI312" s="118"/>
      <c r="XAJ312" s="118"/>
      <c r="XAK312" s="118"/>
      <c r="XAL312" s="118"/>
      <c r="XAM312" s="118"/>
      <c r="XAN312" s="118"/>
      <c r="XAO312" s="118"/>
      <c r="XAP312" s="118"/>
      <c r="XAQ312" s="118"/>
      <c r="XAR312" s="118"/>
      <c r="XAS312" s="118"/>
      <c r="XAT312" s="118"/>
      <c r="XAU312" s="118"/>
      <c r="XAV312" s="118"/>
      <c r="XAW312" s="118"/>
      <c r="XAX312" s="118"/>
      <c r="XAY312" s="118"/>
      <c r="XAZ312" s="118"/>
      <c r="XBA312" s="118"/>
      <c r="XBB312" s="118"/>
      <c r="XBC312" s="118"/>
      <c r="XBD312" s="118"/>
      <c r="XBE312" s="118"/>
      <c r="XBF312" s="118"/>
      <c r="XBG312" s="118"/>
      <c r="XBH312" s="118"/>
      <c r="XBI312" s="118"/>
      <c r="XBJ312" s="118"/>
      <c r="XBK312" s="118"/>
      <c r="XBL312" s="118"/>
      <c r="XBM312" s="118"/>
      <c r="XBN312" s="118"/>
      <c r="XBO312" s="118"/>
      <c r="XBP312" s="118"/>
      <c r="XBQ312" s="118"/>
      <c r="XBR312" s="118"/>
      <c r="XBS312" s="118"/>
      <c r="XBT312" s="118"/>
      <c r="XBU312" s="118"/>
      <c r="XBV312" s="118"/>
      <c r="XBW312" s="118"/>
      <c r="XBX312" s="118"/>
      <c r="XBY312" s="118"/>
      <c r="XBZ312" s="118"/>
      <c r="XCA312" s="118"/>
      <c r="XCB312" s="118"/>
      <c r="XCC312" s="118"/>
      <c r="XCD312" s="118"/>
      <c r="XCE312" s="118"/>
      <c r="XCF312" s="118"/>
      <c r="XCG312" s="118"/>
      <c r="XCH312" s="118"/>
      <c r="XCI312" s="118"/>
      <c r="XCJ312" s="118"/>
      <c r="XCK312" s="118"/>
      <c r="XCL312" s="118"/>
      <c r="XCM312" s="118"/>
      <c r="XCN312" s="118"/>
      <c r="XCO312" s="118"/>
      <c r="XCP312" s="118"/>
      <c r="XCQ312" s="118"/>
      <c r="XCR312" s="118"/>
      <c r="XCS312" s="118"/>
      <c r="XCT312" s="118"/>
      <c r="XCU312" s="118"/>
      <c r="XCV312" s="118"/>
      <c r="XCW312" s="118"/>
      <c r="XCX312" s="118"/>
      <c r="XCY312" s="118"/>
      <c r="XCZ312" s="118"/>
      <c r="XDA312" s="118"/>
      <c r="XDB312" s="118"/>
      <c r="XDC312" s="118"/>
      <c r="XDD312" s="118"/>
      <c r="XDE312" s="118"/>
      <c r="XDF312" s="118"/>
      <c r="XDG312" s="118"/>
      <c r="XDH312" s="118"/>
      <c r="XDI312" s="118"/>
      <c r="XDJ312" s="118"/>
      <c r="XDK312" s="118"/>
      <c r="XDL312" s="118"/>
      <c r="XDM312" s="118"/>
      <c r="XDN312" s="118"/>
      <c r="XDO312" s="118"/>
      <c r="XDP312" s="118"/>
      <c r="XDQ312" s="118"/>
      <c r="XDR312" s="118"/>
      <c r="XDS312" s="118"/>
      <c r="XDT312" s="118"/>
      <c r="XDU312" s="118"/>
      <c r="XDV312" s="118"/>
      <c r="XDW312" s="118"/>
      <c r="XDX312" s="118"/>
      <c r="XDY312" s="118"/>
      <c r="XDZ312" s="118"/>
      <c r="XEA312" s="118"/>
      <c r="XEB312" s="118"/>
      <c r="XEC312" s="118"/>
      <c r="XED312" s="118"/>
      <c r="XEE312" s="118"/>
      <c r="XEF312" s="118"/>
      <c r="XEG312" s="118"/>
      <c r="XEH312" s="118"/>
      <c r="XEI312" s="118"/>
      <c r="XEJ312" s="118"/>
      <c r="XEK312" s="118"/>
      <c r="XEL312" s="118"/>
      <c r="XEM312" s="118"/>
      <c r="XEN312" s="118"/>
      <c r="XEO312" s="118"/>
      <c r="XEP312" s="118"/>
      <c r="XEQ312" s="118"/>
      <c r="XER312" s="118"/>
      <c r="XES312" s="118"/>
      <c r="XET312" s="118"/>
      <c r="XEU312" s="118"/>
      <c r="XEV312" s="118"/>
      <c r="XEW312" s="118"/>
      <c r="XEX312" s="118"/>
      <c r="XEY312" s="118"/>
      <c r="XEZ312" s="118"/>
      <c r="XFA312" s="118"/>
      <c r="XFB312" s="118"/>
      <c r="XFC312" s="118"/>
      <c r="XFD312" s="118"/>
    </row>
    <row r="313" spans="1:37 16131:16384" ht="12.75" hidden="1" customHeight="1" x14ac:dyDescent="0.3">
      <c r="A313" s="115">
        <v>2720</v>
      </c>
      <c r="B313" s="8" t="s">
        <v>623</v>
      </c>
      <c r="C313" s="65" t="str">
        <f>IFERROR(VLOOKUP(D313,'Target tables'!A:B,2,0),"")</f>
        <v>Связь договора с контрагентом</v>
      </c>
      <c r="D313" s="211" t="s">
        <v>138</v>
      </c>
      <c r="E313" s="66" t="str">
        <f>IFERROR(VLOOKUP(D313&amp;J313,'Target columns'!A:J,4,FALSE),"")</f>
        <v>DATE</v>
      </c>
      <c r="F313" s="66" t="str">
        <f>IFERROR(VLOOKUP(D313&amp;J313,'Target columns'!A:J,7,FALSE),"")</f>
        <v>No</v>
      </c>
      <c r="G313" s="66" t="str">
        <f>IFERROR(VLOOKUP(D313&amp;J313,'Target columns'!A:J,8,FALSE),"")</f>
        <v>No</v>
      </c>
      <c r="H313" s="66" t="str">
        <f>IFERROR(VLOOKUP(D313&amp;J313,'Target columns'!A:J,5,FALSE),"")</f>
        <v>NULL</v>
      </c>
      <c r="I313" s="66" t="str">
        <f>IFERROR(VLOOKUP(D313&amp;J313,'Target columns'!A:J,10,FALSE),"")</f>
        <v>Дата окончания действия</v>
      </c>
      <c r="J313" s="8" t="s">
        <v>331</v>
      </c>
      <c r="K313" s="8" t="s">
        <v>150</v>
      </c>
      <c r="L313" s="66" t="str">
        <f>IFERROR(VLOOKUP(K313&amp;N313,source_columns[[Seek]:[Описание поля]],4,0),"")</f>
        <v/>
      </c>
      <c r="M313" s="66" t="str">
        <f>IFERROR(VLOOKUP(K313&amp;N313,source_columns[[Seek]:[Описание поля]],7,0),"")</f>
        <v/>
      </c>
      <c r="N313" s="8" t="s">
        <v>603</v>
      </c>
      <c r="O313" s="8"/>
      <c r="P313" s="8"/>
      <c r="Q313" s="8"/>
      <c r="R313" s="8"/>
      <c r="S313" s="278"/>
      <c r="T313" s="65"/>
      <c r="U313" s="65"/>
      <c r="V313" s="66" t="str">
        <f>"n308000046_"&amp;IFERROR(VLOOKUP(D313,target_tables[],5,0),"&lt;not found&gt;")</f>
        <v>n308000046_agr_other_cust</v>
      </c>
      <c r="W313" s="65" t="s">
        <v>332</v>
      </c>
      <c r="X313" s="65"/>
      <c r="Y313" s="65"/>
      <c r="Z313" s="65"/>
      <c r="AA313" s="65"/>
      <c r="AB313" s="65"/>
      <c r="AC313" s="65"/>
      <c r="AD313" s="65"/>
      <c r="AE313" s="65"/>
      <c r="AF313" s="299"/>
      <c r="AG313" s="10"/>
      <c r="AH313" s="10"/>
      <c r="AI313" s="10"/>
      <c r="AJ313" s="68"/>
      <c r="AK313" s="69"/>
      <c r="WVK313" s="118"/>
      <c r="WVL313" s="118"/>
      <c r="WVM313" s="118"/>
      <c r="WVN313" s="118"/>
      <c r="WVO313" s="118"/>
      <c r="WVP313" s="118"/>
      <c r="WVQ313" s="118"/>
      <c r="WVR313" s="118"/>
      <c r="WVS313" s="118"/>
      <c r="WVT313" s="118"/>
      <c r="WVU313" s="118"/>
      <c r="WVV313" s="118"/>
      <c r="WVW313" s="118"/>
      <c r="WVX313" s="118"/>
      <c r="WVY313" s="118"/>
      <c r="WVZ313" s="118"/>
      <c r="WWA313" s="118"/>
      <c r="WWB313" s="118"/>
      <c r="WWC313" s="118"/>
      <c r="WWD313" s="118"/>
      <c r="WWE313" s="118"/>
      <c r="WWF313" s="118"/>
      <c r="WWG313" s="118"/>
      <c r="WWH313" s="118"/>
      <c r="WWI313" s="118"/>
      <c r="WWJ313" s="118"/>
      <c r="WWK313" s="118"/>
      <c r="WWL313" s="118"/>
      <c r="WWM313" s="118"/>
      <c r="WWN313" s="118"/>
      <c r="WWO313" s="118"/>
      <c r="WWP313" s="118"/>
      <c r="WWQ313" s="118"/>
      <c r="WWR313" s="118"/>
      <c r="WWS313" s="118"/>
      <c r="WWT313" s="118"/>
      <c r="WWU313" s="118"/>
      <c r="WWV313" s="118"/>
      <c r="WWW313" s="118"/>
      <c r="WWX313" s="118"/>
      <c r="WWY313" s="118"/>
      <c r="WWZ313" s="118"/>
      <c r="WXA313" s="118"/>
      <c r="WXB313" s="118"/>
      <c r="WXC313" s="118"/>
      <c r="WXD313" s="118"/>
      <c r="WXE313" s="118"/>
      <c r="WXF313" s="118"/>
      <c r="WXG313" s="118"/>
      <c r="WXH313" s="118"/>
      <c r="WXI313" s="118"/>
      <c r="WXJ313" s="118"/>
      <c r="WXK313" s="118"/>
      <c r="WXL313" s="118"/>
      <c r="WXM313" s="118"/>
      <c r="WXN313" s="118"/>
      <c r="WXO313" s="118"/>
      <c r="WXP313" s="118"/>
      <c r="WXQ313" s="118"/>
      <c r="WXR313" s="118"/>
      <c r="WXS313" s="118"/>
      <c r="WXT313" s="118"/>
      <c r="WXU313" s="118"/>
      <c r="WXV313" s="118"/>
      <c r="WXW313" s="118"/>
      <c r="WXX313" s="118"/>
      <c r="WXY313" s="118"/>
      <c r="WXZ313" s="118"/>
      <c r="WYA313" s="118"/>
      <c r="WYB313" s="118"/>
      <c r="WYC313" s="118"/>
      <c r="WYD313" s="118"/>
      <c r="WYE313" s="118"/>
      <c r="WYF313" s="118"/>
      <c r="WYG313" s="118"/>
      <c r="WYH313" s="118"/>
      <c r="WYI313" s="118"/>
      <c r="WYJ313" s="118"/>
      <c r="WYK313" s="118"/>
      <c r="WYL313" s="118"/>
      <c r="WYM313" s="118"/>
      <c r="WYN313" s="118"/>
      <c r="WYO313" s="118"/>
      <c r="WYP313" s="118"/>
      <c r="WYQ313" s="118"/>
      <c r="WYR313" s="118"/>
      <c r="WYS313" s="118"/>
      <c r="WYT313" s="118"/>
      <c r="WYU313" s="118"/>
      <c r="WYV313" s="118"/>
      <c r="WYW313" s="118"/>
      <c r="WYX313" s="118"/>
      <c r="WYY313" s="118"/>
      <c r="WYZ313" s="118"/>
      <c r="WZA313" s="118"/>
      <c r="WZB313" s="118"/>
      <c r="WZC313" s="118"/>
      <c r="WZD313" s="118"/>
      <c r="WZE313" s="118"/>
      <c r="WZF313" s="118"/>
      <c r="WZG313" s="118"/>
      <c r="WZH313" s="118"/>
      <c r="WZI313" s="118"/>
      <c r="WZJ313" s="118"/>
      <c r="WZK313" s="118"/>
      <c r="WZL313" s="118"/>
      <c r="WZM313" s="118"/>
      <c r="WZN313" s="118"/>
      <c r="WZO313" s="118"/>
      <c r="WZP313" s="118"/>
      <c r="WZQ313" s="118"/>
      <c r="WZR313" s="118"/>
      <c r="WZS313" s="118"/>
      <c r="WZT313" s="118"/>
      <c r="WZU313" s="118"/>
      <c r="WZV313" s="118"/>
      <c r="WZW313" s="118"/>
      <c r="WZX313" s="118"/>
      <c r="WZY313" s="118"/>
      <c r="WZZ313" s="118"/>
      <c r="XAA313" s="118"/>
      <c r="XAB313" s="118"/>
      <c r="XAC313" s="118"/>
      <c r="XAD313" s="118"/>
      <c r="XAE313" s="118"/>
      <c r="XAF313" s="118"/>
      <c r="XAG313" s="118"/>
      <c r="XAH313" s="118"/>
      <c r="XAI313" s="118"/>
      <c r="XAJ313" s="118"/>
      <c r="XAK313" s="118"/>
      <c r="XAL313" s="118"/>
      <c r="XAM313" s="118"/>
      <c r="XAN313" s="118"/>
      <c r="XAO313" s="118"/>
      <c r="XAP313" s="118"/>
      <c r="XAQ313" s="118"/>
      <c r="XAR313" s="118"/>
      <c r="XAS313" s="118"/>
      <c r="XAT313" s="118"/>
      <c r="XAU313" s="118"/>
      <c r="XAV313" s="118"/>
      <c r="XAW313" s="118"/>
      <c r="XAX313" s="118"/>
      <c r="XAY313" s="118"/>
      <c r="XAZ313" s="118"/>
      <c r="XBA313" s="118"/>
      <c r="XBB313" s="118"/>
      <c r="XBC313" s="118"/>
      <c r="XBD313" s="118"/>
      <c r="XBE313" s="118"/>
      <c r="XBF313" s="118"/>
      <c r="XBG313" s="118"/>
      <c r="XBH313" s="118"/>
      <c r="XBI313" s="118"/>
      <c r="XBJ313" s="118"/>
      <c r="XBK313" s="118"/>
      <c r="XBL313" s="118"/>
      <c r="XBM313" s="118"/>
      <c r="XBN313" s="118"/>
      <c r="XBO313" s="118"/>
      <c r="XBP313" s="118"/>
      <c r="XBQ313" s="118"/>
      <c r="XBR313" s="118"/>
      <c r="XBS313" s="118"/>
      <c r="XBT313" s="118"/>
      <c r="XBU313" s="118"/>
      <c r="XBV313" s="118"/>
      <c r="XBW313" s="118"/>
      <c r="XBX313" s="118"/>
      <c r="XBY313" s="118"/>
      <c r="XBZ313" s="118"/>
      <c r="XCA313" s="118"/>
      <c r="XCB313" s="118"/>
      <c r="XCC313" s="118"/>
      <c r="XCD313" s="118"/>
      <c r="XCE313" s="118"/>
      <c r="XCF313" s="118"/>
      <c r="XCG313" s="118"/>
      <c r="XCH313" s="118"/>
      <c r="XCI313" s="118"/>
      <c r="XCJ313" s="118"/>
      <c r="XCK313" s="118"/>
      <c r="XCL313" s="118"/>
      <c r="XCM313" s="118"/>
      <c r="XCN313" s="118"/>
      <c r="XCO313" s="118"/>
      <c r="XCP313" s="118"/>
      <c r="XCQ313" s="118"/>
      <c r="XCR313" s="118"/>
      <c r="XCS313" s="118"/>
      <c r="XCT313" s="118"/>
      <c r="XCU313" s="118"/>
      <c r="XCV313" s="118"/>
      <c r="XCW313" s="118"/>
      <c r="XCX313" s="118"/>
      <c r="XCY313" s="118"/>
      <c r="XCZ313" s="118"/>
      <c r="XDA313" s="118"/>
      <c r="XDB313" s="118"/>
      <c r="XDC313" s="118"/>
      <c r="XDD313" s="118"/>
      <c r="XDE313" s="118"/>
      <c r="XDF313" s="118"/>
      <c r="XDG313" s="118"/>
      <c r="XDH313" s="118"/>
      <c r="XDI313" s="118"/>
      <c r="XDJ313" s="118"/>
      <c r="XDK313" s="118"/>
      <c r="XDL313" s="118"/>
      <c r="XDM313" s="118"/>
      <c r="XDN313" s="118"/>
      <c r="XDO313" s="118"/>
      <c r="XDP313" s="118"/>
      <c r="XDQ313" s="118"/>
      <c r="XDR313" s="118"/>
      <c r="XDS313" s="118"/>
      <c r="XDT313" s="118"/>
      <c r="XDU313" s="118"/>
      <c r="XDV313" s="118"/>
      <c r="XDW313" s="118"/>
      <c r="XDX313" s="118"/>
      <c r="XDY313" s="118"/>
      <c r="XDZ313" s="118"/>
      <c r="XEA313" s="118"/>
      <c r="XEB313" s="118"/>
      <c r="XEC313" s="118"/>
      <c r="XED313" s="118"/>
      <c r="XEE313" s="118"/>
      <c r="XEF313" s="118"/>
      <c r="XEG313" s="118"/>
      <c r="XEH313" s="118"/>
      <c r="XEI313" s="118"/>
      <c r="XEJ313" s="118"/>
      <c r="XEK313" s="118"/>
      <c r="XEL313" s="118"/>
      <c r="XEM313" s="118"/>
      <c r="XEN313" s="118"/>
      <c r="XEO313" s="118"/>
      <c r="XEP313" s="118"/>
      <c r="XEQ313" s="118"/>
      <c r="XER313" s="118"/>
      <c r="XES313" s="118"/>
      <c r="XET313" s="118"/>
      <c r="XEU313" s="118"/>
      <c r="XEV313" s="118"/>
      <c r="XEW313" s="118"/>
      <c r="XEX313" s="118"/>
      <c r="XEY313" s="118"/>
      <c r="XEZ313" s="118"/>
      <c r="XFA313" s="118"/>
      <c r="XFB313" s="118"/>
      <c r="XFC313" s="118"/>
      <c r="XFD313" s="118"/>
    </row>
    <row r="314" spans="1:37 16131:16384" ht="12.75" hidden="1" customHeight="1" x14ac:dyDescent="0.3">
      <c r="A314" s="116">
        <v>2730</v>
      </c>
      <c r="B314" s="20" t="s">
        <v>623</v>
      </c>
      <c r="C314" s="71" t="str">
        <f>IFERROR(VLOOKUP(D314,'Target tables'!A:B,2,0),"")</f>
        <v>Связь договора с контрагентом</v>
      </c>
      <c r="D314" s="212" t="s">
        <v>138</v>
      </c>
      <c r="E314" s="73" t="str">
        <f>IFERROR(VLOOKUP(D314&amp;J314,'Target columns'!A:J,4,FALSE),"")</f>
        <v>UUID</v>
      </c>
      <c r="F314" s="73" t="str">
        <f>IFERROR(VLOOKUP(D314&amp;J314,'Target columns'!A:J,7,FALSE),"")</f>
        <v>Yes</v>
      </c>
      <c r="G314" s="73" t="str">
        <f>IFERROR(VLOOKUP(D314&amp;J314,'Target columns'!A:J,8,FALSE),"")</f>
        <v>Yes</v>
      </c>
      <c r="H314" s="73" t="str">
        <f>IFERROR(VLOOKUP(D314&amp;J314,'Target columns'!A:J,5,FALSE),"")</f>
        <v>NOT NULL</v>
      </c>
      <c r="I314" s="73" t="str">
        <f>IFERROR(VLOOKUP(D314&amp;J314,'Target columns'!A:J,10,FALSE),"")</f>
        <v xml:space="preserve">Тип клиента на договоре </v>
      </c>
      <c r="J314" s="20" t="s">
        <v>607</v>
      </c>
      <c r="K314" s="20" t="s">
        <v>150</v>
      </c>
      <c r="L314" s="73" t="str">
        <f>IFERROR(VLOOKUP(K314&amp;N314,source_columns[[Seek]:[Описание поля]],4,0),"")</f>
        <v/>
      </c>
      <c r="M314" s="73" t="str">
        <f>IFERROR(VLOOKUP(K314&amp;N314,source_columns[[Seek]:[Описание поля]],7,0),"")</f>
        <v/>
      </c>
      <c r="N314" s="20" t="s">
        <v>628</v>
      </c>
      <c r="O314" s="20"/>
      <c r="P314" s="20"/>
      <c r="Q314" s="20"/>
      <c r="R314" s="20"/>
      <c r="S314" s="278"/>
      <c r="T314" s="71"/>
      <c r="U314" s="71"/>
      <c r="V314" s="73" t="str">
        <f>"n308000046_"&amp;IFERROR(VLOOKUP(D314,target_tables[],5,0),"&lt;not found&gt;")</f>
        <v>n308000046_agr_other_cust</v>
      </c>
      <c r="W314" s="71" t="s">
        <v>269</v>
      </c>
      <c r="X314" s="71"/>
      <c r="Y314" s="71"/>
      <c r="Z314" s="71"/>
      <c r="AA314" s="71"/>
      <c r="AB314" s="71"/>
      <c r="AC314" s="71"/>
      <c r="AD314" s="71"/>
      <c r="AE314" s="71"/>
      <c r="AF314" s="299"/>
      <c r="AG314" s="27"/>
      <c r="AH314" s="27"/>
      <c r="AI314" s="27"/>
      <c r="AJ314" s="75"/>
      <c r="AK314" s="69"/>
      <c r="WVK314" s="118"/>
      <c r="WVL314" s="118"/>
      <c r="WVM314" s="118"/>
      <c r="WVN314" s="118"/>
      <c r="WVO314" s="118"/>
      <c r="WVP314" s="118"/>
      <c r="WVQ314" s="118"/>
      <c r="WVR314" s="118"/>
      <c r="WVS314" s="118"/>
      <c r="WVT314" s="118"/>
      <c r="WVU314" s="118"/>
      <c r="WVV314" s="118"/>
      <c r="WVW314" s="118"/>
      <c r="WVX314" s="118"/>
      <c r="WVY314" s="118"/>
      <c r="WVZ314" s="118"/>
      <c r="WWA314" s="118"/>
      <c r="WWB314" s="118"/>
      <c r="WWC314" s="118"/>
      <c r="WWD314" s="118"/>
      <c r="WWE314" s="118"/>
      <c r="WWF314" s="118"/>
      <c r="WWG314" s="118"/>
      <c r="WWH314" s="118"/>
      <c r="WWI314" s="118"/>
      <c r="WWJ314" s="118"/>
      <c r="WWK314" s="118"/>
      <c r="WWL314" s="118"/>
      <c r="WWM314" s="118"/>
      <c r="WWN314" s="118"/>
      <c r="WWO314" s="118"/>
      <c r="WWP314" s="118"/>
      <c r="WWQ314" s="118"/>
      <c r="WWR314" s="118"/>
      <c r="WWS314" s="118"/>
      <c r="WWT314" s="118"/>
      <c r="WWU314" s="118"/>
      <c r="WWV314" s="118"/>
      <c r="WWW314" s="118"/>
      <c r="WWX314" s="118"/>
      <c r="WWY314" s="118"/>
      <c r="WWZ314" s="118"/>
      <c r="WXA314" s="118"/>
      <c r="WXB314" s="118"/>
      <c r="WXC314" s="118"/>
      <c r="WXD314" s="118"/>
      <c r="WXE314" s="118"/>
      <c r="WXF314" s="118"/>
      <c r="WXG314" s="118"/>
      <c r="WXH314" s="118"/>
      <c r="WXI314" s="118"/>
      <c r="WXJ314" s="118"/>
      <c r="WXK314" s="118"/>
      <c r="WXL314" s="118"/>
      <c r="WXM314" s="118"/>
      <c r="WXN314" s="118"/>
      <c r="WXO314" s="118"/>
      <c r="WXP314" s="118"/>
      <c r="WXQ314" s="118"/>
      <c r="WXR314" s="118"/>
      <c r="WXS314" s="118"/>
      <c r="WXT314" s="118"/>
      <c r="WXU314" s="118"/>
      <c r="WXV314" s="118"/>
      <c r="WXW314" s="118"/>
      <c r="WXX314" s="118"/>
      <c r="WXY314" s="118"/>
      <c r="WXZ314" s="118"/>
      <c r="WYA314" s="118"/>
      <c r="WYB314" s="118"/>
      <c r="WYC314" s="118"/>
      <c r="WYD314" s="118"/>
      <c r="WYE314" s="118"/>
      <c r="WYF314" s="118"/>
      <c r="WYG314" s="118"/>
      <c r="WYH314" s="118"/>
      <c r="WYI314" s="118"/>
      <c r="WYJ314" s="118"/>
      <c r="WYK314" s="118"/>
      <c r="WYL314" s="118"/>
      <c r="WYM314" s="118"/>
      <c r="WYN314" s="118"/>
      <c r="WYO314" s="118"/>
      <c r="WYP314" s="118"/>
      <c r="WYQ314" s="118"/>
      <c r="WYR314" s="118"/>
      <c r="WYS314" s="118"/>
      <c r="WYT314" s="118"/>
      <c r="WYU314" s="118"/>
      <c r="WYV314" s="118"/>
      <c r="WYW314" s="118"/>
      <c r="WYX314" s="118"/>
      <c r="WYY314" s="118"/>
      <c r="WYZ314" s="118"/>
      <c r="WZA314" s="118"/>
      <c r="WZB314" s="118"/>
      <c r="WZC314" s="118"/>
      <c r="WZD314" s="118"/>
      <c r="WZE314" s="118"/>
      <c r="WZF314" s="118"/>
      <c r="WZG314" s="118"/>
      <c r="WZH314" s="118"/>
      <c r="WZI314" s="118"/>
      <c r="WZJ314" s="118"/>
      <c r="WZK314" s="118"/>
      <c r="WZL314" s="118"/>
      <c r="WZM314" s="118"/>
      <c r="WZN314" s="118"/>
      <c r="WZO314" s="118"/>
      <c r="WZP314" s="118"/>
      <c r="WZQ314" s="118"/>
      <c r="WZR314" s="118"/>
      <c r="WZS314" s="118"/>
      <c r="WZT314" s="118"/>
      <c r="WZU314" s="118"/>
      <c r="WZV314" s="118"/>
      <c r="WZW314" s="118"/>
      <c r="WZX314" s="118"/>
      <c r="WZY314" s="118"/>
      <c r="WZZ314" s="118"/>
      <c r="XAA314" s="118"/>
      <c r="XAB314" s="118"/>
      <c r="XAC314" s="118"/>
      <c r="XAD314" s="118"/>
      <c r="XAE314" s="118"/>
      <c r="XAF314" s="118"/>
      <c r="XAG314" s="118"/>
      <c r="XAH314" s="118"/>
      <c r="XAI314" s="118"/>
      <c r="XAJ314" s="118"/>
      <c r="XAK314" s="118"/>
      <c r="XAL314" s="118"/>
      <c r="XAM314" s="118"/>
      <c r="XAN314" s="118"/>
      <c r="XAO314" s="118"/>
      <c r="XAP314" s="118"/>
      <c r="XAQ314" s="118"/>
      <c r="XAR314" s="118"/>
      <c r="XAS314" s="118"/>
      <c r="XAT314" s="118"/>
      <c r="XAU314" s="118"/>
      <c r="XAV314" s="118"/>
      <c r="XAW314" s="118"/>
      <c r="XAX314" s="118"/>
      <c r="XAY314" s="118"/>
      <c r="XAZ314" s="118"/>
      <c r="XBA314" s="118"/>
      <c r="XBB314" s="118"/>
      <c r="XBC314" s="118"/>
      <c r="XBD314" s="118"/>
      <c r="XBE314" s="118"/>
      <c r="XBF314" s="118"/>
      <c r="XBG314" s="118"/>
      <c r="XBH314" s="118"/>
      <c r="XBI314" s="118"/>
      <c r="XBJ314" s="118"/>
      <c r="XBK314" s="118"/>
      <c r="XBL314" s="118"/>
      <c r="XBM314" s="118"/>
      <c r="XBN314" s="118"/>
      <c r="XBO314" s="118"/>
      <c r="XBP314" s="118"/>
      <c r="XBQ314" s="118"/>
      <c r="XBR314" s="118"/>
      <c r="XBS314" s="118"/>
      <c r="XBT314" s="118"/>
      <c r="XBU314" s="118"/>
      <c r="XBV314" s="118"/>
      <c r="XBW314" s="118"/>
      <c r="XBX314" s="118"/>
      <c r="XBY314" s="118"/>
      <c r="XBZ314" s="118"/>
      <c r="XCA314" s="118"/>
      <c r="XCB314" s="118"/>
      <c r="XCC314" s="118"/>
      <c r="XCD314" s="118"/>
      <c r="XCE314" s="118"/>
      <c r="XCF314" s="118"/>
      <c r="XCG314" s="118"/>
      <c r="XCH314" s="118"/>
      <c r="XCI314" s="118"/>
      <c r="XCJ314" s="118"/>
      <c r="XCK314" s="118"/>
      <c r="XCL314" s="118"/>
      <c r="XCM314" s="118"/>
      <c r="XCN314" s="118"/>
      <c r="XCO314" s="118"/>
      <c r="XCP314" s="118"/>
      <c r="XCQ314" s="118"/>
      <c r="XCR314" s="118"/>
      <c r="XCS314" s="118"/>
      <c r="XCT314" s="118"/>
      <c r="XCU314" s="118"/>
      <c r="XCV314" s="118"/>
      <c r="XCW314" s="118"/>
      <c r="XCX314" s="118"/>
      <c r="XCY314" s="118"/>
      <c r="XCZ314" s="118"/>
      <c r="XDA314" s="118"/>
      <c r="XDB314" s="118"/>
      <c r="XDC314" s="118"/>
      <c r="XDD314" s="118"/>
      <c r="XDE314" s="118"/>
      <c r="XDF314" s="118"/>
      <c r="XDG314" s="118"/>
      <c r="XDH314" s="118"/>
      <c r="XDI314" s="118"/>
      <c r="XDJ314" s="118"/>
      <c r="XDK314" s="118"/>
      <c r="XDL314" s="118"/>
      <c r="XDM314" s="118"/>
      <c r="XDN314" s="118"/>
      <c r="XDO314" s="118"/>
      <c r="XDP314" s="118"/>
      <c r="XDQ314" s="118"/>
      <c r="XDR314" s="118"/>
      <c r="XDS314" s="118"/>
      <c r="XDT314" s="118"/>
      <c r="XDU314" s="118"/>
      <c r="XDV314" s="118"/>
      <c r="XDW314" s="118"/>
      <c r="XDX314" s="118"/>
      <c r="XDY314" s="118"/>
      <c r="XDZ314" s="118"/>
      <c r="XEA314" s="118"/>
      <c r="XEB314" s="118"/>
      <c r="XEC314" s="118"/>
      <c r="XED314" s="118"/>
      <c r="XEE314" s="118"/>
      <c r="XEF314" s="118"/>
      <c r="XEG314" s="118"/>
      <c r="XEH314" s="118"/>
      <c r="XEI314" s="118"/>
      <c r="XEJ314" s="118"/>
      <c r="XEK314" s="118"/>
      <c r="XEL314" s="118"/>
      <c r="XEM314" s="118"/>
      <c r="XEN314" s="118"/>
      <c r="XEO314" s="118"/>
      <c r="XEP314" s="118"/>
      <c r="XEQ314" s="118"/>
      <c r="XER314" s="118"/>
      <c r="XES314" s="118"/>
      <c r="XET314" s="118"/>
      <c r="XEU314" s="118"/>
      <c r="XEV314" s="118"/>
      <c r="XEW314" s="118"/>
      <c r="XEX314" s="118"/>
      <c r="XEY314" s="118"/>
      <c r="XEZ314" s="118"/>
      <c r="XFA314" s="118"/>
      <c r="XFB314" s="118"/>
      <c r="XFC314" s="118"/>
      <c r="XFD314" s="118"/>
    </row>
    <row r="315" spans="1:37 16131:16384" ht="12.75" hidden="1" customHeight="1" x14ac:dyDescent="0.3">
      <c r="A315" s="114">
        <v>2740</v>
      </c>
      <c r="B315" s="113" t="s">
        <v>623</v>
      </c>
      <c r="C315" s="82" t="str">
        <f>IFERROR(VLOOKUP(D315,'Target tables'!A:B,2,0),"")</f>
        <v>Таблица связей договора эскроу со справочником оргструктуры</v>
      </c>
      <c r="D315" s="208" t="s">
        <v>139</v>
      </c>
      <c r="E315" s="78" t="str">
        <f>IFERROR(VLOOKUP(D315&amp;J315,'Target columns'!A:J,4,FALSE),"")</f>
        <v>UUID</v>
      </c>
      <c r="F315" s="78" t="str">
        <f>IFERROR(VLOOKUP(D315&amp;J315,'Target columns'!A:J,7,FALSE),"")</f>
        <v>Yes</v>
      </c>
      <c r="G315" s="78" t="str">
        <f>IFERROR(VLOOKUP(D315&amp;J315,'Target columns'!A:J,8,FALSE),"")</f>
        <v>Yes</v>
      </c>
      <c r="H315" s="78" t="str">
        <f>IFERROR(VLOOKUP(D315&amp;J315,'Target columns'!A:J,5,FALSE),"")</f>
        <v>NOT NULL</v>
      </c>
      <c r="I315" s="78" t="str">
        <f>IFERROR(VLOOKUP(D315&amp;J315,'Target columns'!A:J,10,FALSE),"")</f>
        <v>Идентификатор договора</v>
      </c>
      <c r="J315" s="23" t="s">
        <v>589</v>
      </c>
      <c r="K315" s="23" t="s">
        <v>150</v>
      </c>
      <c r="L315" s="78" t="str">
        <f>IFERROR(VLOOKUP(K315&amp;N315,source_columns[[Seek]:[Описание поля]],4,0),"")</f>
        <v>uuid</v>
      </c>
      <c r="M315" s="78" t="str">
        <f>IFERROR(VLOOKUP(K315&amp;N315,source_columns[[Seek]:[Описание поля]],7,0),"")</f>
        <v>Референс сделки</v>
      </c>
      <c r="N315" s="23" t="s">
        <v>496</v>
      </c>
      <c r="O315" s="23"/>
      <c r="P315" s="23"/>
      <c r="Q315" s="23"/>
      <c r="R315" s="23"/>
      <c r="S315" s="270" t="s">
        <v>612</v>
      </c>
      <c r="T315" s="82"/>
      <c r="U315" s="82"/>
      <c r="V315" s="84" t="str">
        <f>"n308000046_"&amp;IFERROR(VLOOKUP(D315,target_tables[],5,0),"&lt;not found&gt;")</f>
        <v>n308000046_agr_other_int_org</v>
      </c>
      <c r="W315" s="82" t="s">
        <v>269</v>
      </c>
      <c r="X315" s="82"/>
      <c r="Y315" s="82"/>
      <c r="Z315" s="82"/>
      <c r="AA315" s="82"/>
      <c r="AB315" s="82"/>
      <c r="AC315" s="82"/>
      <c r="AD315" s="82"/>
      <c r="AE315" s="82"/>
      <c r="AF315" s="299" t="s">
        <v>342</v>
      </c>
      <c r="AG315" s="83"/>
      <c r="AH315" s="83"/>
      <c r="AI315" s="83"/>
      <c r="AJ315" s="91"/>
      <c r="AK315" s="69"/>
      <c r="WVK315" s="118"/>
      <c r="WVL315" s="118"/>
      <c r="WVM315" s="118"/>
      <c r="WVN315" s="118"/>
      <c r="WVO315" s="118"/>
      <c r="WVP315" s="118"/>
      <c r="WVQ315" s="118"/>
      <c r="WVR315" s="118"/>
      <c r="WVS315" s="118"/>
      <c r="WVT315" s="118"/>
      <c r="WVU315" s="118"/>
      <c r="WVV315" s="118"/>
      <c r="WVW315" s="118"/>
      <c r="WVX315" s="118"/>
      <c r="WVY315" s="118"/>
      <c r="WVZ315" s="118"/>
      <c r="WWA315" s="118"/>
      <c r="WWB315" s="118"/>
      <c r="WWC315" s="118"/>
      <c r="WWD315" s="118"/>
      <c r="WWE315" s="118"/>
      <c r="WWF315" s="118"/>
      <c r="WWG315" s="118"/>
      <c r="WWH315" s="118"/>
      <c r="WWI315" s="118"/>
      <c r="WWJ315" s="118"/>
      <c r="WWK315" s="118"/>
      <c r="WWL315" s="118"/>
      <c r="WWM315" s="118"/>
      <c r="WWN315" s="118"/>
      <c r="WWO315" s="118"/>
      <c r="WWP315" s="118"/>
      <c r="WWQ315" s="118"/>
      <c r="WWR315" s="118"/>
      <c r="WWS315" s="118"/>
      <c r="WWT315" s="118"/>
      <c r="WWU315" s="118"/>
      <c r="WWV315" s="118"/>
      <c r="WWW315" s="118"/>
      <c r="WWX315" s="118"/>
      <c r="WWY315" s="118"/>
      <c r="WWZ315" s="118"/>
      <c r="WXA315" s="118"/>
      <c r="WXB315" s="118"/>
      <c r="WXC315" s="118"/>
      <c r="WXD315" s="118"/>
      <c r="WXE315" s="118"/>
      <c r="WXF315" s="118"/>
      <c r="WXG315" s="118"/>
      <c r="WXH315" s="118"/>
      <c r="WXI315" s="118"/>
      <c r="WXJ315" s="118"/>
      <c r="WXK315" s="118"/>
      <c r="WXL315" s="118"/>
      <c r="WXM315" s="118"/>
      <c r="WXN315" s="118"/>
      <c r="WXO315" s="118"/>
      <c r="WXP315" s="118"/>
      <c r="WXQ315" s="118"/>
      <c r="WXR315" s="118"/>
      <c r="WXS315" s="118"/>
      <c r="WXT315" s="118"/>
      <c r="WXU315" s="118"/>
      <c r="WXV315" s="118"/>
      <c r="WXW315" s="118"/>
      <c r="WXX315" s="118"/>
      <c r="WXY315" s="118"/>
      <c r="WXZ315" s="118"/>
      <c r="WYA315" s="118"/>
      <c r="WYB315" s="118"/>
      <c r="WYC315" s="118"/>
      <c r="WYD315" s="118"/>
      <c r="WYE315" s="118"/>
      <c r="WYF315" s="118"/>
      <c r="WYG315" s="118"/>
      <c r="WYH315" s="118"/>
      <c r="WYI315" s="118"/>
      <c r="WYJ315" s="118"/>
      <c r="WYK315" s="118"/>
      <c r="WYL315" s="118"/>
      <c r="WYM315" s="118"/>
      <c r="WYN315" s="118"/>
      <c r="WYO315" s="118"/>
      <c r="WYP315" s="118"/>
      <c r="WYQ315" s="118"/>
      <c r="WYR315" s="118"/>
      <c r="WYS315" s="118"/>
      <c r="WYT315" s="118"/>
      <c r="WYU315" s="118"/>
      <c r="WYV315" s="118"/>
      <c r="WYW315" s="118"/>
      <c r="WYX315" s="118"/>
      <c r="WYY315" s="118"/>
      <c r="WYZ315" s="118"/>
      <c r="WZA315" s="118"/>
      <c r="WZB315" s="118"/>
      <c r="WZC315" s="118"/>
      <c r="WZD315" s="118"/>
      <c r="WZE315" s="118"/>
      <c r="WZF315" s="118"/>
      <c r="WZG315" s="118"/>
      <c r="WZH315" s="118"/>
      <c r="WZI315" s="118"/>
      <c r="WZJ315" s="118"/>
      <c r="WZK315" s="118"/>
      <c r="WZL315" s="118"/>
      <c r="WZM315" s="118"/>
      <c r="WZN315" s="118"/>
      <c r="WZO315" s="118"/>
      <c r="WZP315" s="118"/>
      <c r="WZQ315" s="118"/>
      <c r="WZR315" s="118"/>
      <c r="WZS315" s="118"/>
      <c r="WZT315" s="118"/>
      <c r="WZU315" s="118"/>
      <c r="WZV315" s="118"/>
      <c r="WZW315" s="118"/>
      <c r="WZX315" s="118"/>
      <c r="WZY315" s="118"/>
      <c r="WZZ315" s="118"/>
      <c r="XAA315" s="118"/>
      <c r="XAB315" s="118"/>
      <c r="XAC315" s="118"/>
      <c r="XAD315" s="118"/>
      <c r="XAE315" s="118"/>
      <c r="XAF315" s="118"/>
      <c r="XAG315" s="118"/>
      <c r="XAH315" s="118"/>
      <c r="XAI315" s="118"/>
      <c r="XAJ315" s="118"/>
      <c r="XAK315" s="118"/>
      <c r="XAL315" s="118"/>
      <c r="XAM315" s="118"/>
      <c r="XAN315" s="118"/>
      <c r="XAO315" s="118"/>
      <c r="XAP315" s="118"/>
      <c r="XAQ315" s="118"/>
      <c r="XAR315" s="118"/>
      <c r="XAS315" s="118"/>
      <c r="XAT315" s="118"/>
      <c r="XAU315" s="118"/>
      <c r="XAV315" s="118"/>
      <c r="XAW315" s="118"/>
      <c r="XAX315" s="118"/>
      <c r="XAY315" s="118"/>
      <c r="XAZ315" s="118"/>
      <c r="XBA315" s="118"/>
      <c r="XBB315" s="118"/>
      <c r="XBC315" s="118"/>
      <c r="XBD315" s="118"/>
      <c r="XBE315" s="118"/>
      <c r="XBF315" s="118"/>
      <c r="XBG315" s="118"/>
      <c r="XBH315" s="118"/>
      <c r="XBI315" s="118"/>
      <c r="XBJ315" s="118"/>
      <c r="XBK315" s="118"/>
      <c r="XBL315" s="118"/>
      <c r="XBM315" s="118"/>
      <c r="XBN315" s="118"/>
      <c r="XBO315" s="118"/>
      <c r="XBP315" s="118"/>
      <c r="XBQ315" s="118"/>
      <c r="XBR315" s="118"/>
      <c r="XBS315" s="118"/>
      <c r="XBT315" s="118"/>
      <c r="XBU315" s="118"/>
      <c r="XBV315" s="118"/>
      <c r="XBW315" s="118"/>
      <c r="XBX315" s="118"/>
      <c r="XBY315" s="118"/>
      <c r="XBZ315" s="118"/>
      <c r="XCA315" s="118"/>
      <c r="XCB315" s="118"/>
      <c r="XCC315" s="118"/>
      <c r="XCD315" s="118"/>
      <c r="XCE315" s="118"/>
      <c r="XCF315" s="118"/>
      <c r="XCG315" s="118"/>
      <c r="XCH315" s="118"/>
      <c r="XCI315" s="118"/>
      <c r="XCJ315" s="118"/>
      <c r="XCK315" s="118"/>
      <c r="XCL315" s="118"/>
      <c r="XCM315" s="118"/>
      <c r="XCN315" s="118"/>
      <c r="XCO315" s="118"/>
      <c r="XCP315" s="118"/>
      <c r="XCQ315" s="118"/>
      <c r="XCR315" s="118"/>
      <c r="XCS315" s="118"/>
      <c r="XCT315" s="118"/>
      <c r="XCU315" s="118"/>
      <c r="XCV315" s="118"/>
      <c r="XCW315" s="118"/>
      <c r="XCX315" s="118"/>
      <c r="XCY315" s="118"/>
      <c r="XCZ315" s="118"/>
      <c r="XDA315" s="118"/>
      <c r="XDB315" s="118"/>
      <c r="XDC315" s="118"/>
      <c r="XDD315" s="118"/>
      <c r="XDE315" s="118"/>
      <c r="XDF315" s="118"/>
      <c r="XDG315" s="118"/>
      <c r="XDH315" s="118"/>
      <c r="XDI315" s="118"/>
      <c r="XDJ315" s="118"/>
      <c r="XDK315" s="118"/>
      <c r="XDL315" s="118"/>
      <c r="XDM315" s="118"/>
      <c r="XDN315" s="118"/>
      <c r="XDO315" s="118"/>
      <c r="XDP315" s="118"/>
      <c r="XDQ315" s="118"/>
      <c r="XDR315" s="118"/>
      <c r="XDS315" s="118"/>
      <c r="XDT315" s="118"/>
      <c r="XDU315" s="118"/>
      <c r="XDV315" s="118"/>
      <c r="XDW315" s="118"/>
      <c r="XDX315" s="118"/>
      <c r="XDY315" s="118"/>
      <c r="XDZ315" s="118"/>
      <c r="XEA315" s="118"/>
      <c r="XEB315" s="118"/>
      <c r="XEC315" s="118"/>
      <c r="XED315" s="118"/>
      <c r="XEE315" s="118"/>
      <c r="XEF315" s="118"/>
      <c r="XEG315" s="118"/>
      <c r="XEH315" s="118"/>
      <c r="XEI315" s="118"/>
      <c r="XEJ315" s="118"/>
      <c r="XEK315" s="118"/>
      <c r="XEL315" s="118"/>
      <c r="XEM315" s="118"/>
      <c r="XEN315" s="118"/>
      <c r="XEO315" s="118"/>
      <c r="XEP315" s="118"/>
      <c r="XEQ315" s="118"/>
      <c r="XER315" s="118"/>
      <c r="XES315" s="118"/>
      <c r="XET315" s="118"/>
      <c r="XEU315" s="118"/>
      <c r="XEV315" s="118"/>
      <c r="XEW315" s="118"/>
      <c r="XEX315" s="118"/>
      <c r="XEY315" s="118"/>
      <c r="XEZ315" s="118"/>
      <c r="XFA315" s="118"/>
      <c r="XFB315" s="118"/>
      <c r="XFC315" s="118"/>
      <c r="XFD315" s="118"/>
    </row>
    <row r="316" spans="1:37 16131:16384" ht="12.75" hidden="1" customHeight="1" x14ac:dyDescent="0.3">
      <c r="A316" s="115">
        <v>2750</v>
      </c>
      <c r="B316" s="8" t="s">
        <v>623</v>
      </c>
      <c r="C316" s="65" t="str">
        <f>IFERROR(VLOOKUP(D316,'Target tables'!A:B,2,0),"")</f>
        <v>Таблица связей договора эскроу со справочником оргструктуры</v>
      </c>
      <c r="D316" s="211" t="s">
        <v>139</v>
      </c>
      <c r="E316" s="66" t="str">
        <f>IFERROR(VLOOKUP(D316&amp;J316,'Target columns'!A:J,4,FALSE),"")</f>
        <v>UUID</v>
      </c>
      <c r="F316" s="66" t="str">
        <f>IFERROR(VLOOKUP(D316&amp;J316,'Target columns'!A:J,7,FALSE),"")</f>
        <v>Yes</v>
      </c>
      <c r="G316" s="66" t="str">
        <f>IFERROR(VLOOKUP(D316&amp;J316,'Target columns'!A:J,8,FALSE),"")</f>
        <v>Yes</v>
      </c>
      <c r="H316" s="66" t="str">
        <f>IFERROR(VLOOKUP(D316&amp;J316,'Target columns'!A:J,5,FALSE),"")</f>
        <v>NOT NULL</v>
      </c>
      <c r="I316" s="66" t="str">
        <f>IFERROR(VLOOKUP(D316&amp;J316,'Target columns'!A:J,10,FALSE),"")</f>
        <v>Идентификатор терр. структуры</v>
      </c>
      <c r="J316" s="8" t="s">
        <v>364</v>
      </c>
      <c r="K316" s="8" t="s">
        <v>150</v>
      </c>
      <c r="L316" s="66" t="str">
        <f>IFERROR(VLOOKUP(K316&amp;N316,source_columns[[Seek]:[Описание поля]],4,0),"")</f>
        <v>uuid</v>
      </c>
      <c r="M316" s="66" t="str">
        <f>IFERROR(VLOOKUP(K316&amp;N316,source_columns[[Seek]:[Описание поля]],7,0),"")</f>
        <v>Код подразделения - владельца досье</v>
      </c>
      <c r="N316" s="8" t="s">
        <v>613</v>
      </c>
      <c r="O316" s="8"/>
      <c r="P316" s="8"/>
      <c r="Q316" s="8"/>
      <c r="R316" s="8"/>
      <c r="S316" s="278"/>
      <c r="T316" s="65"/>
      <c r="U316" s="65"/>
      <c r="V316" s="66" t="str">
        <f>"n308000046_"&amp;IFERROR(VLOOKUP(D316,target_tables[],5,0),"&lt;not found&gt;")</f>
        <v>n308000046_agr_other_int_org</v>
      </c>
      <c r="W316" s="65" t="s">
        <v>273</v>
      </c>
      <c r="X316" s="65"/>
      <c r="Y316" s="65"/>
      <c r="Z316" s="65"/>
      <c r="AA316" s="65"/>
      <c r="AB316" s="65"/>
      <c r="AC316" s="65"/>
      <c r="AD316" s="65"/>
      <c r="AE316" s="65"/>
      <c r="AF316" s="299"/>
      <c r="AG316" s="10"/>
      <c r="AH316" s="10"/>
      <c r="AI316" s="10"/>
      <c r="AJ316" s="68"/>
      <c r="AK316" s="69"/>
      <c r="WVK316" s="118"/>
      <c r="WVL316" s="118"/>
      <c r="WVM316" s="118"/>
      <c r="WVN316" s="118"/>
      <c r="WVO316" s="118"/>
      <c r="WVP316" s="118"/>
      <c r="WVQ316" s="118"/>
      <c r="WVR316" s="118"/>
      <c r="WVS316" s="118"/>
      <c r="WVT316" s="118"/>
      <c r="WVU316" s="118"/>
      <c r="WVV316" s="118"/>
      <c r="WVW316" s="118"/>
      <c r="WVX316" s="118"/>
      <c r="WVY316" s="118"/>
      <c r="WVZ316" s="118"/>
      <c r="WWA316" s="118"/>
      <c r="WWB316" s="118"/>
      <c r="WWC316" s="118"/>
      <c r="WWD316" s="118"/>
      <c r="WWE316" s="118"/>
      <c r="WWF316" s="118"/>
      <c r="WWG316" s="118"/>
      <c r="WWH316" s="118"/>
      <c r="WWI316" s="118"/>
      <c r="WWJ316" s="118"/>
      <c r="WWK316" s="118"/>
      <c r="WWL316" s="118"/>
      <c r="WWM316" s="118"/>
      <c r="WWN316" s="118"/>
      <c r="WWO316" s="118"/>
      <c r="WWP316" s="118"/>
      <c r="WWQ316" s="118"/>
      <c r="WWR316" s="118"/>
      <c r="WWS316" s="118"/>
      <c r="WWT316" s="118"/>
      <c r="WWU316" s="118"/>
      <c r="WWV316" s="118"/>
      <c r="WWW316" s="118"/>
      <c r="WWX316" s="118"/>
      <c r="WWY316" s="118"/>
      <c r="WWZ316" s="118"/>
      <c r="WXA316" s="118"/>
      <c r="WXB316" s="118"/>
      <c r="WXC316" s="118"/>
      <c r="WXD316" s="118"/>
      <c r="WXE316" s="118"/>
      <c r="WXF316" s="118"/>
      <c r="WXG316" s="118"/>
      <c r="WXH316" s="118"/>
      <c r="WXI316" s="118"/>
      <c r="WXJ316" s="118"/>
      <c r="WXK316" s="118"/>
      <c r="WXL316" s="118"/>
      <c r="WXM316" s="118"/>
      <c r="WXN316" s="118"/>
      <c r="WXO316" s="118"/>
      <c r="WXP316" s="118"/>
      <c r="WXQ316" s="118"/>
      <c r="WXR316" s="118"/>
      <c r="WXS316" s="118"/>
      <c r="WXT316" s="118"/>
      <c r="WXU316" s="118"/>
      <c r="WXV316" s="118"/>
      <c r="WXW316" s="118"/>
      <c r="WXX316" s="118"/>
      <c r="WXY316" s="118"/>
      <c r="WXZ316" s="118"/>
      <c r="WYA316" s="118"/>
      <c r="WYB316" s="118"/>
      <c r="WYC316" s="118"/>
      <c r="WYD316" s="118"/>
      <c r="WYE316" s="118"/>
      <c r="WYF316" s="118"/>
      <c r="WYG316" s="118"/>
      <c r="WYH316" s="118"/>
      <c r="WYI316" s="118"/>
      <c r="WYJ316" s="118"/>
      <c r="WYK316" s="118"/>
      <c r="WYL316" s="118"/>
      <c r="WYM316" s="118"/>
      <c r="WYN316" s="118"/>
      <c r="WYO316" s="118"/>
      <c r="WYP316" s="118"/>
      <c r="WYQ316" s="118"/>
      <c r="WYR316" s="118"/>
      <c r="WYS316" s="118"/>
      <c r="WYT316" s="118"/>
      <c r="WYU316" s="118"/>
      <c r="WYV316" s="118"/>
      <c r="WYW316" s="118"/>
      <c r="WYX316" s="118"/>
      <c r="WYY316" s="118"/>
      <c r="WYZ316" s="118"/>
      <c r="WZA316" s="118"/>
      <c r="WZB316" s="118"/>
      <c r="WZC316" s="118"/>
      <c r="WZD316" s="118"/>
      <c r="WZE316" s="118"/>
      <c r="WZF316" s="118"/>
      <c r="WZG316" s="118"/>
      <c r="WZH316" s="118"/>
      <c r="WZI316" s="118"/>
      <c r="WZJ316" s="118"/>
      <c r="WZK316" s="118"/>
      <c r="WZL316" s="118"/>
      <c r="WZM316" s="118"/>
      <c r="WZN316" s="118"/>
      <c r="WZO316" s="118"/>
      <c r="WZP316" s="118"/>
      <c r="WZQ316" s="118"/>
      <c r="WZR316" s="118"/>
      <c r="WZS316" s="118"/>
      <c r="WZT316" s="118"/>
      <c r="WZU316" s="118"/>
      <c r="WZV316" s="118"/>
      <c r="WZW316" s="118"/>
      <c r="WZX316" s="118"/>
      <c r="WZY316" s="118"/>
      <c r="WZZ316" s="118"/>
      <c r="XAA316" s="118"/>
      <c r="XAB316" s="118"/>
      <c r="XAC316" s="118"/>
      <c r="XAD316" s="118"/>
      <c r="XAE316" s="118"/>
      <c r="XAF316" s="118"/>
      <c r="XAG316" s="118"/>
      <c r="XAH316" s="118"/>
      <c r="XAI316" s="118"/>
      <c r="XAJ316" s="118"/>
      <c r="XAK316" s="118"/>
      <c r="XAL316" s="118"/>
      <c r="XAM316" s="118"/>
      <c r="XAN316" s="118"/>
      <c r="XAO316" s="118"/>
      <c r="XAP316" s="118"/>
      <c r="XAQ316" s="118"/>
      <c r="XAR316" s="118"/>
      <c r="XAS316" s="118"/>
      <c r="XAT316" s="118"/>
      <c r="XAU316" s="118"/>
      <c r="XAV316" s="118"/>
      <c r="XAW316" s="118"/>
      <c r="XAX316" s="118"/>
      <c r="XAY316" s="118"/>
      <c r="XAZ316" s="118"/>
      <c r="XBA316" s="118"/>
      <c r="XBB316" s="118"/>
      <c r="XBC316" s="118"/>
      <c r="XBD316" s="118"/>
      <c r="XBE316" s="118"/>
      <c r="XBF316" s="118"/>
      <c r="XBG316" s="118"/>
      <c r="XBH316" s="118"/>
      <c r="XBI316" s="118"/>
      <c r="XBJ316" s="118"/>
      <c r="XBK316" s="118"/>
      <c r="XBL316" s="118"/>
      <c r="XBM316" s="118"/>
      <c r="XBN316" s="118"/>
      <c r="XBO316" s="118"/>
      <c r="XBP316" s="118"/>
      <c r="XBQ316" s="118"/>
      <c r="XBR316" s="118"/>
      <c r="XBS316" s="118"/>
      <c r="XBT316" s="118"/>
      <c r="XBU316" s="118"/>
      <c r="XBV316" s="118"/>
      <c r="XBW316" s="118"/>
      <c r="XBX316" s="118"/>
      <c r="XBY316" s="118"/>
      <c r="XBZ316" s="118"/>
      <c r="XCA316" s="118"/>
      <c r="XCB316" s="118"/>
      <c r="XCC316" s="118"/>
      <c r="XCD316" s="118"/>
      <c r="XCE316" s="118"/>
      <c r="XCF316" s="118"/>
      <c r="XCG316" s="118"/>
      <c r="XCH316" s="118"/>
      <c r="XCI316" s="118"/>
      <c r="XCJ316" s="118"/>
      <c r="XCK316" s="118"/>
      <c r="XCL316" s="118"/>
      <c r="XCM316" s="118"/>
      <c r="XCN316" s="118"/>
      <c r="XCO316" s="118"/>
      <c r="XCP316" s="118"/>
      <c r="XCQ316" s="118"/>
      <c r="XCR316" s="118"/>
      <c r="XCS316" s="118"/>
      <c r="XCT316" s="118"/>
      <c r="XCU316" s="118"/>
      <c r="XCV316" s="118"/>
      <c r="XCW316" s="118"/>
      <c r="XCX316" s="118"/>
      <c r="XCY316" s="118"/>
      <c r="XCZ316" s="118"/>
      <c r="XDA316" s="118"/>
      <c r="XDB316" s="118"/>
      <c r="XDC316" s="118"/>
      <c r="XDD316" s="118"/>
      <c r="XDE316" s="118"/>
      <c r="XDF316" s="118"/>
      <c r="XDG316" s="118"/>
      <c r="XDH316" s="118"/>
      <c r="XDI316" s="118"/>
      <c r="XDJ316" s="118"/>
      <c r="XDK316" s="118"/>
      <c r="XDL316" s="118"/>
      <c r="XDM316" s="118"/>
      <c r="XDN316" s="118"/>
      <c r="XDO316" s="118"/>
      <c r="XDP316" s="118"/>
      <c r="XDQ316" s="118"/>
      <c r="XDR316" s="118"/>
      <c r="XDS316" s="118"/>
      <c r="XDT316" s="118"/>
      <c r="XDU316" s="118"/>
      <c r="XDV316" s="118"/>
      <c r="XDW316" s="118"/>
      <c r="XDX316" s="118"/>
      <c r="XDY316" s="118"/>
      <c r="XDZ316" s="118"/>
      <c r="XEA316" s="118"/>
      <c r="XEB316" s="118"/>
      <c r="XEC316" s="118"/>
      <c r="XED316" s="118"/>
      <c r="XEE316" s="118"/>
      <c r="XEF316" s="118"/>
      <c r="XEG316" s="118"/>
      <c r="XEH316" s="118"/>
      <c r="XEI316" s="118"/>
      <c r="XEJ316" s="118"/>
      <c r="XEK316" s="118"/>
      <c r="XEL316" s="118"/>
      <c r="XEM316" s="118"/>
      <c r="XEN316" s="118"/>
      <c r="XEO316" s="118"/>
      <c r="XEP316" s="118"/>
      <c r="XEQ316" s="118"/>
      <c r="XER316" s="118"/>
      <c r="XES316" s="118"/>
      <c r="XET316" s="118"/>
      <c r="XEU316" s="118"/>
      <c r="XEV316" s="118"/>
      <c r="XEW316" s="118"/>
      <c r="XEX316" s="118"/>
      <c r="XEY316" s="118"/>
      <c r="XEZ316" s="118"/>
      <c r="XFA316" s="118"/>
      <c r="XFB316" s="118"/>
      <c r="XFC316" s="118"/>
      <c r="XFD316" s="118"/>
    </row>
    <row r="317" spans="1:37 16131:16384" ht="12.75" hidden="1" customHeight="1" x14ac:dyDescent="0.3">
      <c r="A317" s="115">
        <v>2760</v>
      </c>
      <c r="B317" s="8" t="s">
        <v>623</v>
      </c>
      <c r="C317" s="65" t="str">
        <f>IFERROR(VLOOKUP(D317,'Target tables'!A:B,2,0),"")</f>
        <v>Таблица связей договора эскроу со справочником оргструктуры</v>
      </c>
      <c r="D317" s="211" t="s">
        <v>139</v>
      </c>
      <c r="E317" s="66" t="str">
        <f>IFERROR(VLOOKUP(D317&amp;J317,'Target columns'!A:J,4,FALSE),"")</f>
        <v>UUID</v>
      </c>
      <c r="F317" s="66" t="str">
        <f>IFERROR(VLOOKUP(D317&amp;J317,'Target columns'!A:J,7,FALSE),"")</f>
        <v>Yes</v>
      </c>
      <c r="G317" s="66" t="str">
        <f>IFERROR(VLOOKUP(D317&amp;J317,'Target columns'!A:J,8,FALSE),"")</f>
        <v>No</v>
      </c>
      <c r="H317" s="66" t="str">
        <f>IFERROR(VLOOKUP(D317&amp;J317,'Target columns'!A:J,5,FALSE),"")</f>
        <v>NOT NULL</v>
      </c>
      <c r="I317" s="66" t="str">
        <f>IFERROR(VLOOKUP(D317&amp;J317,'Target columns'!A:J,10,FALSE),"")</f>
        <v>Идентификатор типа связи договора с терр. структурой</v>
      </c>
      <c r="J317" s="8" t="s">
        <v>614</v>
      </c>
      <c r="K317" s="8" t="s">
        <v>150</v>
      </c>
      <c r="L317" s="66" t="str">
        <f>IFERROR(VLOOKUP(K317&amp;N317,source_columns[[Seek]:[Описание поля]],4,0),"")</f>
        <v/>
      </c>
      <c r="M317" s="66" t="str">
        <f>IFERROR(VLOOKUP(K317&amp;N317,source_columns[[Seek]:[Описание поля]],7,0),"")</f>
        <v/>
      </c>
      <c r="N317" s="8" t="s">
        <v>615</v>
      </c>
      <c r="O317" s="8"/>
      <c r="P317" s="8"/>
      <c r="Q317" s="8"/>
      <c r="R317" s="8"/>
      <c r="S317" s="278"/>
      <c r="T317" s="65"/>
      <c r="U317" s="65"/>
      <c r="V317" s="66" t="str">
        <f>"n308000046_"&amp;IFERROR(VLOOKUP(D317,target_tables[],5,0),"&lt;not found&gt;")</f>
        <v>n308000046_agr_other_int_org</v>
      </c>
      <c r="W317" s="65" t="s">
        <v>269</v>
      </c>
      <c r="X317" s="65"/>
      <c r="Y317" s="65"/>
      <c r="Z317" s="65"/>
      <c r="AA317" s="65"/>
      <c r="AB317" s="65"/>
      <c r="AC317" s="65"/>
      <c r="AD317" s="65"/>
      <c r="AE317" s="65"/>
      <c r="AF317" s="299"/>
      <c r="AG317" s="10"/>
      <c r="AH317" s="10"/>
      <c r="AI317" s="10"/>
      <c r="AJ317" s="68"/>
      <c r="AK317" s="69"/>
      <c r="WVK317" s="118"/>
      <c r="WVL317" s="118"/>
      <c r="WVM317" s="118"/>
      <c r="WVN317" s="118"/>
      <c r="WVO317" s="118"/>
      <c r="WVP317" s="118"/>
      <c r="WVQ317" s="118"/>
      <c r="WVR317" s="118"/>
      <c r="WVS317" s="118"/>
      <c r="WVT317" s="118"/>
      <c r="WVU317" s="118"/>
      <c r="WVV317" s="118"/>
      <c r="WVW317" s="118"/>
      <c r="WVX317" s="118"/>
      <c r="WVY317" s="118"/>
      <c r="WVZ317" s="118"/>
      <c r="WWA317" s="118"/>
      <c r="WWB317" s="118"/>
      <c r="WWC317" s="118"/>
      <c r="WWD317" s="118"/>
      <c r="WWE317" s="118"/>
      <c r="WWF317" s="118"/>
      <c r="WWG317" s="118"/>
      <c r="WWH317" s="118"/>
      <c r="WWI317" s="118"/>
      <c r="WWJ317" s="118"/>
      <c r="WWK317" s="118"/>
      <c r="WWL317" s="118"/>
      <c r="WWM317" s="118"/>
      <c r="WWN317" s="118"/>
      <c r="WWO317" s="118"/>
      <c r="WWP317" s="118"/>
      <c r="WWQ317" s="118"/>
      <c r="WWR317" s="118"/>
      <c r="WWS317" s="118"/>
      <c r="WWT317" s="118"/>
      <c r="WWU317" s="118"/>
      <c r="WWV317" s="118"/>
      <c r="WWW317" s="118"/>
      <c r="WWX317" s="118"/>
      <c r="WWY317" s="118"/>
      <c r="WWZ317" s="118"/>
      <c r="WXA317" s="118"/>
      <c r="WXB317" s="118"/>
      <c r="WXC317" s="118"/>
      <c r="WXD317" s="118"/>
      <c r="WXE317" s="118"/>
      <c r="WXF317" s="118"/>
      <c r="WXG317" s="118"/>
      <c r="WXH317" s="118"/>
      <c r="WXI317" s="118"/>
      <c r="WXJ317" s="118"/>
      <c r="WXK317" s="118"/>
      <c r="WXL317" s="118"/>
      <c r="WXM317" s="118"/>
      <c r="WXN317" s="118"/>
      <c r="WXO317" s="118"/>
      <c r="WXP317" s="118"/>
      <c r="WXQ317" s="118"/>
      <c r="WXR317" s="118"/>
      <c r="WXS317" s="118"/>
      <c r="WXT317" s="118"/>
      <c r="WXU317" s="118"/>
      <c r="WXV317" s="118"/>
      <c r="WXW317" s="118"/>
      <c r="WXX317" s="118"/>
      <c r="WXY317" s="118"/>
      <c r="WXZ317" s="118"/>
      <c r="WYA317" s="118"/>
      <c r="WYB317" s="118"/>
      <c r="WYC317" s="118"/>
      <c r="WYD317" s="118"/>
      <c r="WYE317" s="118"/>
      <c r="WYF317" s="118"/>
      <c r="WYG317" s="118"/>
      <c r="WYH317" s="118"/>
      <c r="WYI317" s="118"/>
      <c r="WYJ317" s="118"/>
      <c r="WYK317" s="118"/>
      <c r="WYL317" s="118"/>
      <c r="WYM317" s="118"/>
      <c r="WYN317" s="118"/>
      <c r="WYO317" s="118"/>
      <c r="WYP317" s="118"/>
      <c r="WYQ317" s="118"/>
      <c r="WYR317" s="118"/>
      <c r="WYS317" s="118"/>
      <c r="WYT317" s="118"/>
      <c r="WYU317" s="118"/>
      <c r="WYV317" s="118"/>
      <c r="WYW317" s="118"/>
      <c r="WYX317" s="118"/>
      <c r="WYY317" s="118"/>
      <c r="WYZ317" s="118"/>
      <c r="WZA317" s="118"/>
      <c r="WZB317" s="118"/>
      <c r="WZC317" s="118"/>
      <c r="WZD317" s="118"/>
      <c r="WZE317" s="118"/>
      <c r="WZF317" s="118"/>
      <c r="WZG317" s="118"/>
      <c r="WZH317" s="118"/>
      <c r="WZI317" s="118"/>
      <c r="WZJ317" s="118"/>
      <c r="WZK317" s="118"/>
      <c r="WZL317" s="118"/>
      <c r="WZM317" s="118"/>
      <c r="WZN317" s="118"/>
      <c r="WZO317" s="118"/>
      <c r="WZP317" s="118"/>
      <c r="WZQ317" s="118"/>
      <c r="WZR317" s="118"/>
      <c r="WZS317" s="118"/>
      <c r="WZT317" s="118"/>
      <c r="WZU317" s="118"/>
      <c r="WZV317" s="118"/>
      <c r="WZW317" s="118"/>
      <c r="WZX317" s="118"/>
      <c r="WZY317" s="118"/>
      <c r="WZZ317" s="118"/>
      <c r="XAA317" s="118"/>
      <c r="XAB317" s="118"/>
      <c r="XAC317" s="118"/>
      <c r="XAD317" s="118"/>
      <c r="XAE317" s="118"/>
      <c r="XAF317" s="118"/>
      <c r="XAG317" s="118"/>
      <c r="XAH317" s="118"/>
      <c r="XAI317" s="118"/>
      <c r="XAJ317" s="118"/>
      <c r="XAK317" s="118"/>
      <c r="XAL317" s="118"/>
      <c r="XAM317" s="118"/>
      <c r="XAN317" s="118"/>
      <c r="XAO317" s="118"/>
      <c r="XAP317" s="118"/>
      <c r="XAQ317" s="118"/>
      <c r="XAR317" s="118"/>
      <c r="XAS317" s="118"/>
      <c r="XAT317" s="118"/>
      <c r="XAU317" s="118"/>
      <c r="XAV317" s="118"/>
      <c r="XAW317" s="118"/>
      <c r="XAX317" s="118"/>
      <c r="XAY317" s="118"/>
      <c r="XAZ317" s="118"/>
      <c r="XBA317" s="118"/>
      <c r="XBB317" s="118"/>
      <c r="XBC317" s="118"/>
      <c r="XBD317" s="118"/>
      <c r="XBE317" s="118"/>
      <c r="XBF317" s="118"/>
      <c r="XBG317" s="118"/>
      <c r="XBH317" s="118"/>
      <c r="XBI317" s="118"/>
      <c r="XBJ317" s="118"/>
      <c r="XBK317" s="118"/>
      <c r="XBL317" s="118"/>
      <c r="XBM317" s="118"/>
      <c r="XBN317" s="118"/>
      <c r="XBO317" s="118"/>
      <c r="XBP317" s="118"/>
      <c r="XBQ317" s="118"/>
      <c r="XBR317" s="118"/>
      <c r="XBS317" s="118"/>
      <c r="XBT317" s="118"/>
      <c r="XBU317" s="118"/>
      <c r="XBV317" s="118"/>
      <c r="XBW317" s="118"/>
      <c r="XBX317" s="118"/>
      <c r="XBY317" s="118"/>
      <c r="XBZ317" s="118"/>
      <c r="XCA317" s="118"/>
      <c r="XCB317" s="118"/>
      <c r="XCC317" s="118"/>
      <c r="XCD317" s="118"/>
      <c r="XCE317" s="118"/>
      <c r="XCF317" s="118"/>
      <c r="XCG317" s="118"/>
      <c r="XCH317" s="118"/>
      <c r="XCI317" s="118"/>
      <c r="XCJ317" s="118"/>
      <c r="XCK317" s="118"/>
      <c r="XCL317" s="118"/>
      <c r="XCM317" s="118"/>
      <c r="XCN317" s="118"/>
      <c r="XCO317" s="118"/>
      <c r="XCP317" s="118"/>
      <c r="XCQ317" s="118"/>
      <c r="XCR317" s="118"/>
      <c r="XCS317" s="118"/>
      <c r="XCT317" s="118"/>
      <c r="XCU317" s="118"/>
      <c r="XCV317" s="118"/>
      <c r="XCW317" s="118"/>
      <c r="XCX317" s="118"/>
      <c r="XCY317" s="118"/>
      <c r="XCZ317" s="118"/>
      <c r="XDA317" s="118"/>
      <c r="XDB317" s="118"/>
      <c r="XDC317" s="118"/>
      <c r="XDD317" s="118"/>
      <c r="XDE317" s="118"/>
      <c r="XDF317" s="118"/>
      <c r="XDG317" s="118"/>
      <c r="XDH317" s="118"/>
      <c r="XDI317" s="118"/>
      <c r="XDJ317" s="118"/>
      <c r="XDK317" s="118"/>
      <c r="XDL317" s="118"/>
      <c r="XDM317" s="118"/>
      <c r="XDN317" s="118"/>
      <c r="XDO317" s="118"/>
      <c r="XDP317" s="118"/>
      <c r="XDQ317" s="118"/>
      <c r="XDR317" s="118"/>
      <c r="XDS317" s="118"/>
      <c r="XDT317" s="118"/>
      <c r="XDU317" s="118"/>
      <c r="XDV317" s="118"/>
      <c r="XDW317" s="118"/>
      <c r="XDX317" s="118"/>
      <c r="XDY317" s="118"/>
      <c r="XDZ317" s="118"/>
      <c r="XEA317" s="118"/>
      <c r="XEB317" s="118"/>
      <c r="XEC317" s="118"/>
      <c r="XED317" s="118"/>
      <c r="XEE317" s="118"/>
      <c r="XEF317" s="118"/>
      <c r="XEG317" s="118"/>
      <c r="XEH317" s="118"/>
      <c r="XEI317" s="118"/>
      <c r="XEJ317" s="118"/>
      <c r="XEK317" s="118"/>
      <c r="XEL317" s="118"/>
      <c r="XEM317" s="118"/>
      <c r="XEN317" s="118"/>
      <c r="XEO317" s="118"/>
      <c r="XEP317" s="118"/>
      <c r="XEQ317" s="118"/>
      <c r="XER317" s="118"/>
      <c r="XES317" s="118"/>
      <c r="XET317" s="118"/>
      <c r="XEU317" s="118"/>
      <c r="XEV317" s="118"/>
      <c r="XEW317" s="118"/>
      <c r="XEX317" s="118"/>
      <c r="XEY317" s="118"/>
      <c r="XEZ317" s="118"/>
      <c r="XFA317" s="118"/>
      <c r="XFB317" s="118"/>
      <c r="XFC317" s="118"/>
      <c r="XFD317" s="118"/>
    </row>
    <row r="318" spans="1:37 16131:16384" ht="12.75" hidden="1" customHeight="1" x14ac:dyDescent="0.3">
      <c r="A318" s="115">
        <v>2770</v>
      </c>
      <c r="B318" s="8" t="s">
        <v>623</v>
      </c>
      <c r="C318" s="65" t="str">
        <f>IFERROR(VLOOKUP(D318,'Target tables'!A:B,2,0),"")</f>
        <v>Таблица связей договора эскроу со справочником оргструктуры</v>
      </c>
      <c r="D318" s="211" t="s">
        <v>139</v>
      </c>
      <c r="E318" s="66" t="str">
        <f>IFERROR(VLOOKUP(D318&amp;J318,'Target columns'!A:J,4,FALSE),"")</f>
        <v>DATE</v>
      </c>
      <c r="F318" s="66" t="str">
        <f>IFERROR(VLOOKUP(D318&amp;J318,'Target columns'!A:J,7,FALSE),"")</f>
        <v>No</v>
      </c>
      <c r="G318" s="66" t="str">
        <f>IFERROR(VLOOKUP(D318&amp;J318,'Target columns'!A:J,8,FALSE),"")</f>
        <v>No</v>
      </c>
      <c r="H318" s="66" t="str">
        <f>IFERROR(VLOOKUP(D318&amp;J318,'Target columns'!A:J,5,FALSE),"")</f>
        <v>NOT NULL</v>
      </c>
      <c r="I318" s="66" t="str">
        <f>IFERROR(VLOOKUP(D318&amp;J318,'Target columns'!A:J,10,FALSE),"")</f>
        <v>Дата начала действия связи</v>
      </c>
      <c r="J318" s="8" t="s">
        <v>329</v>
      </c>
      <c r="K318" s="8" t="s">
        <v>150</v>
      </c>
      <c r="L318" s="66" t="str">
        <f>IFERROR(VLOOKUP(K318&amp;N318,source_columns[[Seek]:[Описание поля]],4,0),"")</f>
        <v>timestamp</v>
      </c>
      <c r="M318" s="66" t="str">
        <f>IFERROR(VLOOKUP(K318&amp;N318,source_columns[[Seek]:[Описание поля]],7,0),"")</f>
        <v>Дата и время последнего изменения</v>
      </c>
      <c r="N318" s="8" t="s">
        <v>517</v>
      </c>
      <c r="O318" s="8"/>
      <c r="P318" s="8"/>
      <c r="Q318" s="8"/>
      <c r="R318" s="8"/>
      <c r="S318" s="278"/>
      <c r="T318" s="65"/>
      <c r="U318" s="65"/>
      <c r="V318" s="66" t="str">
        <f>"n308000046_"&amp;IFERROR(VLOOKUP(D318,target_tables[],5,0),"&lt;not found&gt;")</f>
        <v>n308000046_agr_other_int_org</v>
      </c>
      <c r="W318" s="65" t="s">
        <v>330</v>
      </c>
      <c r="X318" s="65"/>
      <c r="Y318" s="65"/>
      <c r="Z318" s="65"/>
      <c r="AA318" s="65"/>
      <c r="AB318" s="65"/>
      <c r="AC318" s="65"/>
      <c r="AD318" s="65"/>
      <c r="AE318" s="65"/>
      <c r="AF318" s="299"/>
      <c r="AG318" s="10"/>
      <c r="AH318" s="10"/>
      <c r="AI318" s="10"/>
      <c r="AJ318" s="68"/>
      <c r="AK318" s="69"/>
      <c r="WVK318" s="118"/>
      <c r="WVL318" s="118"/>
      <c r="WVM318" s="118"/>
      <c r="WVN318" s="118"/>
      <c r="WVO318" s="118"/>
      <c r="WVP318" s="118"/>
      <c r="WVQ318" s="118"/>
      <c r="WVR318" s="118"/>
      <c r="WVS318" s="118"/>
      <c r="WVT318" s="118"/>
      <c r="WVU318" s="118"/>
      <c r="WVV318" s="118"/>
      <c r="WVW318" s="118"/>
      <c r="WVX318" s="118"/>
      <c r="WVY318" s="118"/>
      <c r="WVZ318" s="118"/>
      <c r="WWA318" s="118"/>
      <c r="WWB318" s="118"/>
      <c r="WWC318" s="118"/>
      <c r="WWD318" s="118"/>
      <c r="WWE318" s="118"/>
      <c r="WWF318" s="118"/>
      <c r="WWG318" s="118"/>
      <c r="WWH318" s="118"/>
      <c r="WWI318" s="118"/>
      <c r="WWJ318" s="118"/>
      <c r="WWK318" s="118"/>
      <c r="WWL318" s="118"/>
      <c r="WWM318" s="118"/>
      <c r="WWN318" s="118"/>
      <c r="WWO318" s="118"/>
      <c r="WWP318" s="118"/>
      <c r="WWQ318" s="118"/>
      <c r="WWR318" s="118"/>
      <c r="WWS318" s="118"/>
      <c r="WWT318" s="118"/>
      <c r="WWU318" s="118"/>
      <c r="WWV318" s="118"/>
      <c r="WWW318" s="118"/>
      <c r="WWX318" s="118"/>
      <c r="WWY318" s="118"/>
      <c r="WWZ318" s="118"/>
      <c r="WXA318" s="118"/>
      <c r="WXB318" s="118"/>
      <c r="WXC318" s="118"/>
      <c r="WXD318" s="118"/>
      <c r="WXE318" s="118"/>
      <c r="WXF318" s="118"/>
      <c r="WXG318" s="118"/>
      <c r="WXH318" s="118"/>
      <c r="WXI318" s="118"/>
      <c r="WXJ318" s="118"/>
      <c r="WXK318" s="118"/>
      <c r="WXL318" s="118"/>
      <c r="WXM318" s="118"/>
      <c r="WXN318" s="118"/>
      <c r="WXO318" s="118"/>
      <c r="WXP318" s="118"/>
      <c r="WXQ318" s="118"/>
      <c r="WXR318" s="118"/>
      <c r="WXS318" s="118"/>
      <c r="WXT318" s="118"/>
      <c r="WXU318" s="118"/>
      <c r="WXV318" s="118"/>
      <c r="WXW318" s="118"/>
      <c r="WXX318" s="118"/>
      <c r="WXY318" s="118"/>
      <c r="WXZ318" s="118"/>
      <c r="WYA318" s="118"/>
      <c r="WYB318" s="118"/>
      <c r="WYC318" s="118"/>
      <c r="WYD318" s="118"/>
      <c r="WYE318" s="118"/>
      <c r="WYF318" s="118"/>
      <c r="WYG318" s="118"/>
      <c r="WYH318" s="118"/>
      <c r="WYI318" s="118"/>
      <c r="WYJ318" s="118"/>
      <c r="WYK318" s="118"/>
      <c r="WYL318" s="118"/>
      <c r="WYM318" s="118"/>
      <c r="WYN318" s="118"/>
      <c r="WYO318" s="118"/>
      <c r="WYP318" s="118"/>
      <c r="WYQ318" s="118"/>
      <c r="WYR318" s="118"/>
      <c r="WYS318" s="118"/>
      <c r="WYT318" s="118"/>
      <c r="WYU318" s="118"/>
      <c r="WYV318" s="118"/>
      <c r="WYW318" s="118"/>
      <c r="WYX318" s="118"/>
      <c r="WYY318" s="118"/>
      <c r="WYZ318" s="118"/>
      <c r="WZA318" s="118"/>
      <c r="WZB318" s="118"/>
      <c r="WZC318" s="118"/>
      <c r="WZD318" s="118"/>
      <c r="WZE318" s="118"/>
      <c r="WZF318" s="118"/>
      <c r="WZG318" s="118"/>
      <c r="WZH318" s="118"/>
      <c r="WZI318" s="118"/>
      <c r="WZJ318" s="118"/>
      <c r="WZK318" s="118"/>
      <c r="WZL318" s="118"/>
      <c r="WZM318" s="118"/>
      <c r="WZN318" s="118"/>
      <c r="WZO318" s="118"/>
      <c r="WZP318" s="118"/>
      <c r="WZQ318" s="118"/>
      <c r="WZR318" s="118"/>
      <c r="WZS318" s="118"/>
      <c r="WZT318" s="118"/>
      <c r="WZU318" s="118"/>
      <c r="WZV318" s="118"/>
      <c r="WZW318" s="118"/>
      <c r="WZX318" s="118"/>
      <c r="WZY318" s="118"/>
      <c r="WZZ318" s="118"/>
      <c r="XAA318" s="118"/>
      <c r="XAB318" s="118"/>
      <c r="XAC318" s="118"/>
      <c r="XAD318" s="118"/>
      <c r="XAE318" s="118"/>
      <c r="XAF318" s="118"/>
      <c r="XAG318" s="118"/>
      <c r="XAH318" s="118"/>
      <c r="XAI318" s="118"/>
      <c r="XAJ318" s="118"/>
      <c r="XAK318" s="118"/>
      <c r="XAL318" s="118"/>
      <c r="XAM318" s="118"/>
      <c r="XAN318" s="118"/>
      <c r="XAO318" s="118"/>
      <c r="XAP318" s="118"/>
      <c r="XAQ318" s="118"/>
      <c r="XAR318" s="118"/>
      <c r="XAS318" s="118"/>
      <c r="XAT318" s="118"/>
      <c r="XAU318" s="118"/>
      <c r="XAV318" s="118"/>
      <c r="XAW318" s="118"/>
      <c r="XAX318" s="118"/>
      <c r="XAY318" s="118"/>
      <c r="XAZ318" s="118"/>
      <c r="XBA318" s="118"/>
      <c r="XBB318" s="118"/>
      <c r="XBC318" s="118"/>
      <c r="XBD318" s="118"/>
      <c r="XBE318" s="118"/>
      <c r="XBF318" s="118"/>
      <c r="XBG318" s="118"/>
      <c r="XBH318" s="118"/>
      <c r="XBI318" s="118"/>
      <c r="XBJ318" s="118"/>
      <c r="XBK318" s="118"/>
      <c r="XBL318" s="118"/>
      <c r="XBM318" s="118"/>
      <c r="XBN318" s="118"/>
      <c r="XBO318" s="118"/>
      <c r="XBP318" s="118"/>
      <c r="XBQ318" s="118"/>
      <c r="XBR318" s="118"/>
      <c r="XBS318" s="118"/>
      <c r="XBT318" s="118"/>
      <c r="XBU318" s="118"/>
      <c r="XBV318" s="118"/>
      <c r="XBW318" s="118"/>
      <c r="XBX318" s="118"/>
      <c r="XBY318" s="118"/>
      <c r="XBZ318" s="118"/>
      <c r="XCA318" s="118"/>
      <c r="XCB318" s="118"/>
      <c r="XCC318" s="118"/>
      <c r="XCD318" s="118"/>
      <c r="XCE318" s="118"/>
      <c r="XCF318" s="118"/>
      <c r="XCG318" s="118"/>
      <c r="XCH318" s="118"/>
      <c r="XCI318" s="118"/>
      <c r="XCJ318" s="118"/>
      <c r="XCK318" s="118"/>
      <c r="XCL318" s="118"/>
      <c r="XCM318" s="118"/>
      <c r="XCN318" s="118"/>
      <c r="XCO318" s="118"/>
      <c r="XCP318" s="118"/>
      <c r="XCQ318" s="118"/>
      <c r="XCR318" s="118"/>
      <c r="XCS318" s="118"/>
      <c r="XCT318" s="118"/>
      <c r="XCU318" s="118"/>
      <c r="XCV318" s="118"/>
      <c r="XCW318" s="118"/>
      <c r="XCX318" s="118"/>
      <c r="XCY318" s="118"/>
      <c r="XCZ318" s="118"/>
      <c r="XDA318" s="118"/>
      <c r="XDB318" s="118"/>
      <c r="XDC318" s="118"/>
      <c r="XDD318" s="118"/>
      <c r="XDE318" s="118"/>
      <c r="XDF318" s="118"/>
      <c r="XDG318" s="118"/>
      <c r="XDH318" s="118"/>
      <c r="XDI318" s="118"/>
      <c r="XDJ318" s="118"/>
      <c r="XDK318" s="118"/>
      <c r="XDL318" s="118"/>
      <c r="XDM318" s="118"/>
      <c r="XDN318" s="118"/>
      <c r="XDO318" s="118"/>
      <c r="XDP318" s="118"/>
      <c r="XDQ318" s="118"/>
      <c r="XDR318" s="118"/>
      <c r="XDS318" s="118"/>
      <c r="XDT318" s="118"/>
      <c r="XDU318" s="118"/>
      <c r="XDV318" s="118"/>
      <c r="XDW318" s="118"/>
      <c r="XDX318" s="118"/>
      <c r="XDY318" s="118"/>
      <c r="XDZ318" s="118"/>
      <c r="XEA318" s="118"/>
      <c r="XEB318" s="118"/>
      <c r="XEC318" s="118"/>
      <c r="XED318" s="118"/>
      <c r="XEE318" s="118"/>
      <c r="XEF318" s="118"/>
      <c r="XEG318" s="118"/>
      <c r="XEH318" s="118"/>
      <c r="XEI318" s="118"/>
      <c r="XEJ318" s="118"/>
      <c r="XEK318" s="118"/>
      <c r="XEL318" s="118"/>
      <c r="XEM318" s="118"/>
      <c r="XEN318" s="118"/>
      <c r="XEO318" s="118"/>
      <c r="XEP318" s="118"/>
      <c r="XEQ318" s="118"/>
      <c r="XER318" s="118"/>
      <c r="XES318" s="118"/>
      <c r="XET318" s="118"/>
      <c r="XEU318" s="118"/>
      <c r="XEV318" s="118"/>
      <c r="XEW318" s="118"/>
      <c r="XEX318" s="118"/>
      <c r="XEY318" s="118"/>
      <c r="XEZ318" s="118"/>
      <c r="XFA318" s="118"/>
      <c r="XFB318" s="118"/>
      <c r="XFC318" s="118"/>
      <c r="XFD318" s="118"/>
    </row>
    <row r="319" spans="1:37 16131:16384" ht="12.75" hidden="1" customHeight="1" x14ac:dyDescent="0.3">
      <c r="A319" s="116">
        <v>2780</v>
      </c>
      <c r="B319" s="20" t="s">
        <v>623</v>
      </c>
      <c r="C319" s="71" t="str">
        <f>IFERROR(VLOOKUP(D319,'Target tables'!A:B,2,0),"")</f>
        <v>Таблица связей договора эскроу со справочником оргструктуры</v>
      </c>
      <c r="D319" s="212" t="s">
        <v>139</v>
      </c>
      <c r="E319" s="73" t="str">
        <f>IFERROR(VLOOKUP(D319&amp;J319,'Target columns'!A:J,4,FALSE),"")</f>
        <v>DATE</v>
      </c>
      <c r="F319" s="73" t="str">
        <f>IFERROR(VLOOKUP(D319&amp;J319,'Target columns'!A:J,7,FALSE),"")</f>
        <v>Yes</v>
      </c>
      <c r="G319" s="73" t="str">
        <f>IFERROR(VLOOKUP(D319&amp;J319,'Target columns'!A:J,8,FALSE),"")</f>
        <v>Yes</v>
      </c>
      <c r="H319" s="73" t="str">
        <f>IFERROR(VLOOKUP(D319&amp;J319,'Target columns'!A:J,5,FALSE),"")</f>
        <v>NOT NULL</v>
      </c>
      <c r="I319" s="73" t="str">
        <f>IFERROR(VLOOKUP(D319&amp;J319,'Target columns'!A:J,10,FALSE),"")</f>
        <v>Дата окончания действия связи</v>
      </c>
      <c r="J319" s="20" t="s">
        <v>331</v>
      </c>
      <c r="K319" s="20" t="s">
        <v>150</v>
      </c>
      <c r="L319" s="73" t="str">
        <f>IFERROR(VLOOKUP(K319&amp;N319,source_columns[[Seek]:[Описание поля]],4,0),"")</f>
        <v/>
      </c>
      <c r="M319" s="73" t="str">
        <f>IFERROR(VLOOKUP(K319&amp;N319,source_columns[[Seek]:[Описание поля]],7,0),"")</f>
        <v/>
      </c>
      <c r="N319" s="20" t="s">
        <v>603</v>
      </c>
      <c r="O319" s="20"/>
      <c r="P319" s="20"/>
      <c r="Q319" s="20"/>
      <c r="R319" s="20"/>
      <c r="S319" s="278"/>
      <c r="T319" s="71"/>
      <c r="U319" s="71"/>
      <c r="V319" s="73" t="str">
        <f>"n308000046_"&amp;IFERROR(VLOOKUP(D319,target_tables[],5,0),"&lt;not found&gt;")</f>
        <v>n308000046_agr_other_int_org</v>
      </c>
      <c r="W319" s="71" t="s">
        <v>332</v>
      </c>
      <c r="X319" s="71"/>
      <c r="Y319" s="71"/>
      <c r="Z319" s="71"/>
      <c r="AA319" s="71"/>
      <c r="AB319" s="71"/>
      <c r="AC319" s="71"/>
      <c r="AD319" s="71"/>
      <c r="AE319" s="71"/>
      <c r="AF319" s="299"/>
      <c r="AG319" s="27"/>
      <c r="AH319" s="27"/>
      <c r="AI319" s="27"/>
      <c r="AJ319" s="75"/>
      <c r="AK319" s="69"/>
      <c r="WVK319" s="118"/>
      <c r="WVL319" s="118"/>
      <c r="WVM319" s="118"/>
      <c r="WVN319" s="118"/>
      <c r="WVO319" s="118"/>
      <c r="WVP319" s="118"/>
      <c r="WVQ319" s="118"/>
      <c r="WVR319" s="118"/>
      <c r="WVS319" s="118"/>
      <c r="WVT319" s="118"/>
      <c r="WVU319" s="118"/>
      <c r="WVV319" s="118"/>
      <c r="WVW319" s="118"/>
      <c r="WVX319" s="118"/>
      <c r="WVY319" s="118"/>
      <c r="WVZ319" s="118"/>
      <c r="WWA319" s="118"/>
      <c r="WWB319" s="118"/>
      <c r="WWC319" s="118"/>
      <c r="WWD319" s="118"/>
      <c r="WWE319" s="118"/>
      <c r="WWF319" s="118"/>
      <c r="WWG319" s="118"/>
      <c r="WWH319" s="118"/>
      <c r="WWI319" s="118"/>
      <c r="WWJ319" s="118"/>
      <c r="WWK319" s="118"/>
      <c r="WWL319" s="118"/>
      <c r="WWM319" s="118"/>
      <c r="WWN319" s="118"/>
      <c r="WWO319" s="118"/>
      <c r="WWP319" s="118"/>
      <c r="WWQ319" s="118"/>
      <c r="WWR319" s="118"/>
      <c r="WWS319" s="118"/>
      <c r="WWT319" s="118"/>
      <c r="WWU319" s="118"/>
      <c r="WWV319" s="118"/>
      <c r="WWW319" s="118"/>
      <c r="WWX319" s="118"/>
      <c r="WWY319" s="118"/>
      <c r="WWZ319" s="118"/>
      <c r="WXA319" s="118"/>
      <c r="WXB319" s="118"/>
      <c r="WXC319" s="118"/>
      <c r="WXD319" s="118"/>
      <c r="WXE319" s="118"/>
      <c r="WXF319" s="118"/>
      <c r="WXG319" s="118"/>
      <c r="WXH319" s="118"/>
      <c r="WXI319" s="118"/>
      <c r="WXJ319" s="118"/>
      <c r="WXK319" s="118"/>
      <c r="WXL319" s="118"/>
      <c r="WXM319" s="118"/>
      <c r="WXN319" s="118"/>
      <c r="WXO319" s="118"/>
      <c r="WXP319" s="118"/>
      <c r="WXQ319" s="118"/>
      <c r="WXR319" s="118"/>
      <c r="WXS319" s="118"/>
      <c r="WXT319" s="118"/>
      <c r="WXU319" s="118"/>
      <c r="WXV319" s="118"/>
      <c r="WXW319" s="118"/>
      <c r="WXX319" s="118"/>
      <c r="WXY319" s="118"/>
      <c r="WXZ319" s="118"/>
      <c r="WYA319" s="118"/>
      <c r="WYB319" s="118"/>
      <c r="WYC319" s="118"/>
      <c r="WYD319" s="118"/>
      <c r="WYE319" s="118"/>
      <c r="WYF319" s="118"/>
      <c r="WYG319" s="118"/>
      <c r="WYH319" s="118"/>
      <c r="WYI319" s="118"/>
      <c r="WYJ319" s="118"/>
      <c r="WYK319" s="118"/>
      <c r="WYL319" s="118"/>
      <c r="WYM319" s="118"/>
      <c r="WYN319" s="118"/>
      <c r="WYO319" s="118"/>
      <c r="WYP319" s="118"/>
      <c r="WYQ319" s="118"/>
      <c r="WYR319" s="118"/>
      <c r="WYS319" s="118"/>
      <c r="WYT319" s="118"/>
      <c r="WYU319" s="118"/>
      <c r="WYV319" s="118"/>
      <c r="WYW319" s="118"/>
      <c r="WYX319" s="118"/>
      <c r="WYY319" s="118"/>
      <c r="WYZ319" s="118"/>
      <c r="WZA319" s="118"/>
      <c r="WZB319" s="118"/>
      <c r="WZC319" s="118"/>
      <c r="WZD319" s="118"/>
      <c r="WZE319" s="118"/>
      <c r="WZF319" s="118"/>
      <c r="WZG319" s="118"/>
      <c r="WZH319" s="118"/>
      <c r="WZI319" s="118"/>
      <c r="WZJ319" s="118"/>
      <c r="WZK319" s="118"/>
      <c r="WZL319" s="118"/>
      <c r="WZM319" s="118"/>
      <c r="WZN319" s="118"/>
      <c r="WZO319" s="118"/>
      <c r="WZP319" s="118"/>
      <c r="WZQ319" s="118"/>
      <c r="WZR319" s="118"/>
      <c r="WZS319" s="118"/>
      <c r="WZT319" s="118"/>
      <c r="WZU319" s="118"/>
      <c r="WZV319" s="118"/>
      <c r="WZW319" s="118"/>
      <c r="WZX319" s="118"/>
      <c r="WZY319" s="118"/>
      <c r="WZZ319" s="118"/>
      <c r="XAA319" s="118"/>
      <c r="XAB319" s="118"/>
      <c r="XAC319" s="118"/>
      <c r="XAD319" s="118"/>
      <c r="XAE319" s="118"/>
      <c r="XAF319" s="118"/>
      <c r="XAG319" s="118"/>
      <c r="XAH319" s="118"/>
      <c r="XAI319" s="118"/>
      <c r="XAJ319" s="118"/>
      <c r="XAK319" s="118"/>
      <c r="XAL319" s="118"/>
      <c r="XAM319" s="118"/>
      <c r="XAN319" s="118"/>
      <c r="XAO319" s="118"/>
      <c r="XAP319" s="118"/>
      <c r="XAQ319" s="118"/>
      <c r="XAR319" s="118"/>
      <c r="XAS319" s="118"/>
      <c r="XAT319" s="118"/>
      <c r="XAU319" s="118"/>
      <c r="XAV319" s="118"/>
      <c r="XAW319" s="118"/>
      <c r="XAX319" s="118"/>
      <c r="XAY319" s="118"/>
      <c r="XAZ319" s="118"/>
      <c r="XBA319" s="118"/>
      <c r="XBB319" s="118"/>
      <c r="XBC319" s="118"/>
      <c r="XBD319" s="118"/>
      <c r="XBE319" s="118"/>
      <c r="XBF319" s="118"/>
      <c r="XBG319" s="118"/>
      <c r="XBH319" s="118"/>
      <c r="XBI319" s="118"/>
      <c r="XBJ319" s="118"/>
      <c r="XBK319" s="118"/>
      <c r="XBL319" s="118"/>
      <c r="XBM319" s="118"/>
      <c r="XBN319" s="118"/>
      <c r="XBO319" s="118"/>
      <c r="XBP319" s="118"/>
      <c r="XBQ319" s="118"/>
      <c r="XBR319" s="118"/>
      <c r="XBS319" s="118"/>
      <c r="XBT319" s="118"/>
      <c r="XBU319" s="118"/>
      <c r="XBV319" s="118"/>
      <c r="XBW319" s="118"/>
      <c r="XBX319" s="118"/>
      <c r="XBY319" s="118"/>
      <c r="XBZ319" s="118"/>
      <c r="XCA319" s="118"/>
      <c r="XCB319" s="118"/>
      <c r="XCC319" s="118"/>
      <c r="XCD319" s="118"/>
      <c r="XCE319" s="118"/>
      <c r="XCF319" s="118"/>
      <c r="XCG319" s="118"/>
      <c r="XCH319" s="118"/>
      <c r="XCI319" s="118"/>
      <c r="XCJ319" s="118"/>
      <c r="XCK319" s="118"/>
      <c r="XCL319" s="118"/>
      <c r="XCM319" s="118"/>
      <c r="XCN319" s="118"/>
      <c r="XCO319" s="118"/>
      <c r="XCP319" s="118"/>
      <c r="XCQ319" s="118"/>
      <c r="XCR319" s="118"/>
      <c r="XCS319" s="118"/>
      <c r="XCT319" s="118"/>
      <c r="XCU319" s="118"/>
      <c r="XCV319" s="118"/>
      <c r="XCW319" s="118"/>
      <c r="XCX319" s="118"/>
      <c r="XCY319" s="118"/>
      <c r="XCZ319" s="118"/>
      <c r="XDA319" s="118"/>
      <c r="XDB319" s="118"/>
      <c r="XDC319" s="118"/>
      <c r="XDD319" s="118"/>
      <c r="XDE319" s="118"/>
      <c r="XDF319" s="118"/>
      <c r="XDG319" s="118"/>
      <c r="XDH319" s="118"/>
      <c r="XDI319" s="118"/>
      <c r="XDJ319" s="118"/>
      <c r="XDK319" s="118"/>
      <c r="XDL319" s="118"/>
      <c r="XDM319" s="118"/>
      <c r="XDN319" s="118"/>
      <c r="XDO319" s="118"/>
      <c r="XDP319" s="118"/>
      <c r="XDQ319" s="118"/>
      <c r="XDR319" s="118"/>
      <c r="XDS319" s="118"/>
      <c r="XDT319" s="118"/>
      <c r="XDU319" s="118"/>
      <c r="XDV319" s="118"/>
      <c r="XDW319" s="118"/>
      <c r="XDX319" s="118"/>
      <c r="XDY319" s="118"/>
      <c r="XDZ319" s="118"/>
      <c r="XEA319" s="118"/>
      <c r="XEB319" s="118"/>
      <c r="XEC319" s="118"/>
      <c r="XED319" s="118"/>
      <c r="XEE319" s="118"/>
      <c r="XEF319" s="118"/>
      <c r="XEG319" s="118"/>
      <c r="XEH319" s="118"/>
      <c r="XEI319" s="118"/>
      <c r="XEJ319" s="118"/>
      <c r="XEK319" s="118"/>
      <c r="XEL319" s="118"/>
      <c r="XEM319" s="118"/>
      <c r="XEN319" s="118"/>
      <c r="XEO319" s="118"/>
      <c r="XEP319" s="118"/>
      <c r="XEQ319" s="118"/>
      <c r="XER319" s="118"/>
      <c r="XES319" s="118"/>
      <c r="XET319" s="118"/>
      <c r="XEU319" s="118"/>
      <c r="XEV319" s="118"/>
      <c r="XEW319" s="118"/>
      <c r="XEX319" s="118"/>
      <c r="XEY319" s="118"/>
      <c r="XEZ319" s="118"/>
      <c r="XFA319" s="118"/>
      <c r="XFB319" s="118"/>
      <c r="XFC319" s="118"/>
      <c r="XFD319" s="118"/>
    </row>
    <row r="320" spans="1:37 16131:16384" ht="12.75" hidden="1" customHeight="1" x14ac:dyDescent="0.3">
      <c r="A320" s="114">
        <v>2790</v>
      </c>
      <c r="B320" s="113" t="s">
        <v>623</v>
      </c>
      <c r="C320" s="77" t="str">
        <f>IFERROR(VLOOKUP(D320,'Target tables'!A:B,2,0),"")</f>
        <v>Таблица связей договора эскроу со справочником оргструктуры</v>
      </c>
      <c r="D320" s="208" t="s">
        <v>139</v>
      </c>
      <c r="E320" s="78" t="str">
        <f>IFERROR(VLOOKUP(D320&amp;J320,'Target columns'!A:J,4,FALSE),"")</f>
        <v>UUID</v>
      </c>
      <c r="F320" s="78" t="str">
        <f>IFERROR(VLOOKUP(D320&amp;J320,'Target columns'!A:J,7,FALSE),"")</f>
        <v>Yes</v>
      </c>
      <c r="G320" s="78" t="str">
        <f>IFERROR(VLOOKUP(D320&amp;J320,'Target columns'!A:J,8,FALSE),"")</f>
        <v>Yes</v>
      </c>
      <c r="H320" s="78" t="str">
        <f>IFERROR(VLOOKUP(D320&amp;J320,'Target columns'!A:J,5,FALSE),"")</f>
        <v>NOT NULL</v>
      </c>
      <c r="I320" s="78" t="str">
        <f>IFERROR(VLOOKUP(D320&amp;J320,'Target columns'!A:J,10,FALSE),"")</f>
        <v>Идентификатор договора</v>
      </c>
      <c r="J320" s="23" t="s">
        <v>589</v>
      </c>
      <c r="K320" s="23" t="s">
        <v>150</v>
      </c>
      <c r="L320" s="78" t="str">
        <f>IFERROR(VLOOKUP(K320&amp;N320,source_columns[[Seek]:[Описание поля]],4,0),"")</f>
        <v>uuid</v>
      </c>
      <c r="M320" s="78" t="str">
        <f>IFERROR(VLOOKUP(K320&amp;N320,source_columns[[Seek]:[Описание поля]],7,0),"")</f>
        <v>Референс сделки</v>
      </c>
      <c r="N320" s="23" t="s">
        <v>496</v>
      </c>
      <c r="O320" s="23"/>
      <c r="P320" s="23"/>
      <c r="Q320" s="23"/>
      <c r="R320" s="23"/>
      <c r="S320" s="270" t="s">
        <v>629</v>
      </c>
      <c r="T320" s="82"/>
      <c r="U320" s="82"/>
      <c r="V320" s="84" t="str">
        <f>"n308000046_"&amp;IFERROR(VLOOKUP(D320,target_tables[],5,0),"&lt;not found&gt;")</f>
        <v>n308000046_agr_other_int_org</v>
      </c>
      <c r="W320" s="82" t="s">
        <v>269</v>
      </c>
      <c r="X320" s="82"/>
      <c r="Y320" s="82"/>
      <c r="Z320" s="82"/>
      <c r="AA320" s="82"/>
      <c r="AB320" s="82"/>
      <c r="AC320" s="82"/>
      <c r="AD320" s="82"/>
      <c r="AE320" s="82"/>
      <c r="AF320" s="299" t="s">
        <v>342</v>
      </c>
      <c r="AG320" s="83"/>
      <c r="AH320" s="83"/>
      <c r="AI320" s="83"/>
      <c r="AJ320" s="91"/>
      <c r="AK320" s="69"/>
      <c r="WVK320" s="118"/>
      <c r="WVL320" s="118"/>
      <c r="WVM320" s="118"/>
      <c r="WVN320" s="118"/>
      <c r="WVO320" s="118"/>
      <c r="WVP320" s="118"/>
      <c r="WVQ320" s="118"/>
      <c r="WVR320" s="118"/>
      <c r="WVS320" s="118"/>
      <c r="WVT320" s="118"/>
      <c r="WVU320" s="118"/>
      <c r="WVV320" s="118"/>
      <c r="WVW320" s="118"/>
      <c r="WVX320" s="118"/>
      <c r="WVY320" s="118"/>
      <c r="WVZ320" s="118"/>
      <c r="WWA320" s="118"/>
      <c r="WWB320" s="118"/>
      <c r="WWC320" s="118"/>
      <c r="WWD320" s="118"/>
      <c r="WWE320" s="118"/>
      <c r="WWF320" s="118"/>
      <c r="WWG320" s="118"/>
      <c r="WWH320" s="118"/>
      <c r="WWI320" s="118"/>
      <c r="WWJ320" s="118"/>
      <c r="WWK320" s="118"/>
      <c r="WWL320" s="118"/>
      <c r="WWM320" s="118"/>
      <c r="WWN320" s="118"/>
      <c r="WWO320" s="118"/>
      <c r="WWP320" s="118"/>
      <c r="WWQ320" s="118"/>
      <c r="WWR320" s="118"/>
      <c r="WWS320" s="118"/>
      <c r="WWT320" s="118"/>
      <c r="WWU320" s="118"/>
      <c r="WWV320" s="118"/>
      <c r="WWW320" s="118"/>
      <c r="WWX320" s="118"/>
      <c r="WWY320" s="118"/>
      <c r="WWZ320" s="118"/>
      <c r="WXA320" s="118"/>
      <c r="WXB320" s="118"/>
      <c r="WXC320" s="118"/>
      <c r="WXD320" s="118"/>
      <c r="WXE320" s="118"/>
      <c r="WXF320" s="118"/>
      <c r="WXG320" s="118"/>
      <c r="WXH320" s="118"/>
      <c r="WXI320" s="118"/>
      <c r="WXJ320" s="118"/>
      <c r="WXK320" s="118"/>
      <c r="WXL320" s="118"/>
      <c r="WXM320" s="118"/>
      <c r="WXN320" s="118"/>
      <c r="WXO320" s="118"/>
      <c r="WXP320" s="118"/>
      <c r="WXQ320" s="118"/>
      <c r="WXR320" s="118"/>
      <c r="WXS320" s="118"/>
      <c r="WXT320" s="118"/>
      <c r="WXU320" s="118"/>
      <c r="WXV320" s="118"/>
      <c r="WXW320" s="118"/>
      <c r="WXX320" s="118"/>
      <c r="WXY320" s="118"/>
      <c r="WXZ320" s="118"/>
      <c r="WYA320" s="118"/>
      <c r="WYB320" s="118"/>
      <c r="WYC320" s="118"/>
      <c r="WYD320" s="118"/>
      <c r="WYE320" s="118"/>
      <c r="WYF320" s="118"/>
      <c r="WYG320" s="118"/>
      <c r="WYH320" s="118"/>
      <c r="WYI320" s="118"/>
      <c r="WYJ320" s="118"/>
      <c r="WYK320" s="118"/>
      <c r="WYL320" s="118"/>
      <c r="WYM320" s="118"/>
      <c r="WYN320" s="118"/>
      <c r="WYO320" s="118"/>
      <c r="WYP320" s="118"/>
      <c r="WYQ320" s="118"/>
      <c r="WYR320" s="118"/>
      <c r="WYS320" s="118"/>
      <c r="WYT320" s="118"/>
      <c r="WYU320" s="118"/>
      <c r="WYV320" s="118"/>
      <c r="WYW320" s="118"/>
      <c r="WYX320" s="118"/>
      <c r="WYY320" s="118"/>
      <c r="WYZ320" s="118"/>
      <c r="WZA320" s="118"/>
      <c r="WZB320" s="118"/>
      <c r="WZC320" s="118"/>
      <c r="WZD320" s="118"/>
      <c r="WZE320" s="118"/>
      <c r="WZF320" s="118"/>
      <c r="WZG320" s="118"/>
      <c r="WZH320" s="118"/>
      <c r="WZI320" s="118"/>
      <c r="WZJ320" s="118"/>
      <c r="WZK320" s="118"/>
      <c r="WZL320" s="118"/>
      <c r="WZM320" s="118"/>
      <c r="WZN320" s="118"/>
      <c r="WZO320" s="118"/>
      <c r="WZP320" s="118"/>
      <c r="WZQ320" s="118"/>
      <c r="WZR320" s="118"/>
      <c r="WZS320" s="118"/>
      <c r="WZT320" s="118"/>
      <c r="WZU320" s="118"/>
      <c r="WZV320" s="118"/>
      <c r="WZW320" s="118"/>
      <c r="WZX320" s="118"/>
      <c r="WZY320" s="118"/>
      <c r="WZZ320" s="118"/>
      <c r="XAA320" s="118"/>
      <c r="XAB320" s="118"/>
      <c r="XAC320" s="118"/>
      <c r="XAD320" s="118"/>
      <c r="XAE320" s="118"/>
      <c r="XAF320" s="118"/>
      <c r="XAG320" s="118"/>
      <c r="XAH320" s="118"/>
      <c r="XAI320" s="118"/>
      <c r="XAJ320" s="118"/>
      <c r="XAK320" s="118"/>
      <c r="XAL320" s="118"/>
      <c r="XAM320" s="118"/>
      <c r="XAN320" s="118"/>
      <c r="XAO320" s="118"/>
      <c r="XAP320" s="118"/>
      <c r="XAQ320" s="118"/>
      <c r="XAR320" s="118"/>
      <c r="XAS320" s="118"/>
      <c r="XAT320" s="118"/>
      <c r="XAU320" s="118"/>
      <c r="XAV320" s="118"/>
      <c r="XAW320" s="118"/>
      <c r="XAX320" s="118"/>
      <c r="XAY320" s="118"/>
      <c r="XAZ320" s="118"/>
      <c r="XBA320" s="118"/>
      <c r="XBB320" s="118"/>
      <c r="XBC320" s="118"/>
      <c r="XBD320" s="118"/>
      <c r="XBE320" s="118"/>
      <c r="XBF320" s="118"/>
      <c r="XBG320" s="118"/>
      <c r="XBH320" s="118"/>
      <c r="XBI320" s="118"/>
      <c r="XBJ320" s="118"/>
      <c r="XBK320" s="118"/>
      <c r="XBL320" s="118"/>
      <c r="XBM320" s="118"/>
      <c r="XBN320" s="118"/>
      <c r="XBO320" s="118"/>
      <c r="XBP320" s="118"/>
      <c r="XBQ320" s="118"/>
      <c r="XBR320" s="118"/>
      <c r="XBS320" s="118"/>
      <c r="XBT320" s="118"/>
      <c r="XBU320" s="118"/>
      <c r="XBV320" s="118"/>
      <c r="XBW320" s="118"/>
      <c r="XBX320" s="118"/>
      <c r="XBY320" s="118"/>
      <c r="XBZ320" s="118"/>
      <c r="XCA320" s="118"/>
      <c r="XCB320" s="118"/>
      <c r="XCC320" s="118"/>
      <c r="XCD320" s="118"/>
      <c r="XCE320" s="118"/>
      <c r="XCF320" s="118"/>
      <c r="XCG320" s="118"/>
      <c r="XCH320" s="118"/>
      <c r="XCI320" s="118"/>
      <c r="XCJ320" s="118"/>
      <c r="XCK320" s="118"/>
      <c r="XCL320" s="118"/>
      <c r="XCM320" s="118"/>
      <c r="XCN320" s="118"/>
      <c r="XCO320" s="118"/>
      <c r="XCP320" s="118"/>
      <c r="XCQ320" s="118"/>
      <c r="XCR320" s="118"/>
      <c r="XCS320" s="118"/>
      <c r="XCT320" s="118"/>
      <c r="XCU320" s="118"/>
      <c r="XCV320" s="118"/>
      <c r="XCW320" s="118"/>
      <c r="XCX320" s="118"/>
      <c r="XCY320" s="118"/>
      <c r="XCZ320" s="118"/>
      <c r="XDA320" s="118"/>
      <c r="XDB320" s="118"/>
      <c r="XDC320" s="118"/>
      <c r="XDD320" s="118"/>
      <c r="XDE320" s="118"/>
      <c r="XDF320" s="118"/>
      <c r="XDG320" s="118"/>
      <c r="XDH320" s="118"/>
      <c r="XDI320" s="118"/>
      <c r="XDJ320" s="118"/>
      <c r="XDK320" s="118"/>
      <c r="XDL320" s="118"/>
      <c r="XDM320" s="118"/>
      <c r="XDN320" s="118"/>
      <c r="XDO320" s="118"/>
      <c r="XDP320" s="118"/>
      <c r="XDQ320" s="118"/>
      <c r="XDR320" s="118"/>
      <c r="XDS320" s="118"/>
      <c r="XDT320" s="118"/>
      <c r="XDU320" s="118"/>
      <c r="XDV320" s="118"/>
      <c r="XDW320" s="118"/>
      <c r="XDX320" s="118"/>
      <c r="XDY320" s="118"/>
      <c r="XDZ320" s="118"/>
      <c r="XEA320" s="118"/>
      <c r="XEB320" s="118"/>
      <c r="XEC320" s="118"/>
      <c r="XED320" s="118"/>
      <c r="XEE320" s="118"/>
      <c r="XEF320" s="118"/>
      <c r="XEG320" s="118"/>
      <c r="XEH320" s="118"/>
      <c r="XEI320" s="118"/>
      <c r="XEJ320" s="118"/>
      <c r="XEK320" s="118"/>
      <c r="XEL320" s="118"/>
      <c r="XEM320" s="118"/>
      <c r="XEN320" s="118"/>
      <c r="XEO320" s="118"/>
      <c r="XEP320" s="118"/>
      <c r="XEQ320" s="118"/>
      <c r="XER320" s="118"/>
      <c r="XES320" s="118"/>
      <c r="XET320" s="118"/>
      <c r="XEU320" s="118"/>
      <c r="XEV320" s="118"/>
      <c r="XEW320" s="118"/>
      <c r="XEX320" s="118"/>
      <c r="XEY320" s="118"/>
      <c r="XEZ320" s="118"/>
      <c r="XFA320" s="118"/>
      <c r="XFB320" s="118"/>
      <c r="XFC320" s="118"/>
      <c r="XFD320" s="118"/>
    </row>
    <row r="321" spans="1:37 16131:16384" ht="12.75" hidden="1" customHeight="1" x14ac:dyDescent="0.3">
      <c r="A321" s="115">
        <v>2800</v>
      </c>
      <c r="B321" s="8" t="s">
        <v>623</v>
      </c>
      <c r="C321" s="65" t="str">
        <f>IFERROR(VLOOKUP(D321,'Target tables'!A:B,2,0),"")</f>
        <v>Таблица связей договора эскроу со справочником оргструктуры</v>
      </c>
      <c r="D321" s="211" t="s">
        <v>139</v>
      </c>
      <c r="E321" s="66" t="str">
        <f>IFERROR(VLOOKUP(D321&amp;J321,'Target columns'!A:J,4,FALSE),"")</f>
        <v>UUID</v>
      </c>
      <c r="F321" s="66" t="str">
        <f>IFERROR(VLOOKUP(D321&amp;J321,'Target columns'!A:J,7,FALSE),"")</f>
        <v>Yes</v>
      </c>
      <c r="G321" s="66" t="str">
        <f>IFERROR(VLOOKUP(D321&amp;J321,'Target columns'!A:J,8,FALSE),"")</f>
        <v>Yes</v>
      </c>
      <c r="H321" s="66" t="str">
        <f>IFERROR(VLOOKUP(D321&amp;J321,'Target columns'!A:J,5,FALSE),"")</f>
        <v>NOT NULL</v>
      </c>
      <c r="I321" s="66" t="str">
        <f>IFERROR(VLOOKUP(D321&amp;J321,'Target columns'!A:J,10,FALSE),"")</f>
        <v>Идентификатор терр. структуры</v>
      </c>
      <c r="J321" s="8" t="s">
        <v>364</v>
      </c>
      <c r="K321" s="8" t="s">
        <v>150</v>
      </c>
      <c r="L321" s="66" t="str">
        <f>IFERROR(VLOOKUP(K321&amp;N321,source_columns[[Seek]:[Описание поля]],4,0),"")</f>
        <v>uuid</v>
      </c>
      <c r="M321" s="66" t="str">
        <f>IFERROR(VLOOKUP(K321&amp;N321,source_columns[[Seek]:[Описание поля]],7,0),"")</f>
        <v>Код подразделения Банка аппликанта</v>
      </c>
      <c r="N321" s="8" t="s">
        <v>630</v>
      </c>
      <c r="O321" s="8"/>
      <c r="P321" s="8"/>
      <c r="Q321" s="8"/>
      <c r="R321" s="8"/>
      <c r="S321" s="278"/>
      <c r="T321" s="65"/>
      <c r="U321" s="65"/>
      <c r="V321" s="66" t="str">
        <f>"n308000046_"&amp;IFERROR(VLOOKUP(D321,target_tables[],5,0),"&lt;not found&gt;")</f>
        <v>n308000046_agr_other_int_org</v>
      </c>
      <c r="W321" s="65" t="s">
        <v>273</v>
      </c>
      <c r="X321" s="65"/>
      <c r="Y321" s="65"/>
      <c r="Z321" s="65"/>
      <c r="AA321" s="65"/>
      <c r="AB321" s="65"/>
      <c r="AC321" s="65"/>
      <c r="AD321" s="65"/>
      <c r="AE321" s="65"/>
      <c r="AF321" s="299"/>
      <c r="AG321" s="10"/>
      <c r="AH321" s="10"/>
      <c r="AI321" s="10"/>
      <c r="AJ321" s="68"/>
      <c r="AK321" s="69"/>
      <c r="WVK321" s="118"/>
      <c r="WVL321" s="118"/>
      <c r="WVM321" s="118"/>
      <c r="WVN321" s="118"/>
      <c r="WVO321" s="118"/>
      <c r="WVP321" s="118"/>
      <c r="WVQ321" s="118"/>
      <c r="WVR321" s="118"/>
      <c r="WVS321" s="118"/>
      <c r="WVT321" s="118"/>
      <c r="WVU321" s="118"/>
      <c r="WVV321" s="118"/>
      <c r="WVW321" s="118"/>
      <c r="WVX321" s="118"/>
      <c r="WVY321" s="118"/>
      <c r="WVZ321" s="118"/>
      <c r="WWA321" s="118"/>
      <c r="WWB321" s="118"/>
      <c r="WWC321" s="118"/>
      <c r="WWD321" s="118"/>
      <c r="WWE321" s="118"/>
      <c r="WWF321" s="118"/>
      <c r="WWG321" s="118"/>
      <c r="WWH321" s="118"/>
      <c r="WWI321" s="118"/>
      <c r="WWJ321" s="118"/>
      <c r="WWK321" s="118"/>
      <c r="WWL321" s="118"/>
      <c r="WWM321" s="118"/>
      <c r="WWN321" s="118"/>
      <c r="WWO321" s="118"/>
      <c r="WWP321" s="118"/>
      <c r="WWQ321" s="118"/>
      <c r="WWR321" s="118"/>
      <c r="WWS321" s="118"/>
      <c r="WWT321" s="118"/>
      <c r="WWU321" s="118"/>
      <c r="WWV321" s="118"/>
      <c r="WWW321" s="118"/>
      <c r="WWX321" s="118"/>
      <c r="WWY321" s="118"/>
      <c r="WWZ321" s="118"/>
      <c r="WXA321" s="118"/>
      <c r="WXB321" s="118"/>
      <c r="WXC321" s="118"/>
      <c r="WXD321" s="118"/>
      <c r="WXE321" s="118"/>
      <c r="WXF321" s="118"/>
      <c r="WXG321" s="118"/>
      <c r="WXH321" s="118"/>
      <c r="WXI321" s="118"/>
      <c r="WXJ321" s="118"/>
      <c r="WXK321" s="118"/>
      <c r="WXL321" s="118"/>
      <c r="WXM321" s="118"/>
      <c r="WXN321" s="118"/>
      <c r="WXO321" s="118"/>
      <c r="WXP321" s="118"/>
      <c r="WXQ321" s="118"/>
      <c r="WXR321" s="118"/>
      <c r="WXS321" s="118"/>
      <c r="WXT321" s="118"/>
      <c r="WXU321" s="118"/>
      <c r="WXV321" s="118"/>
      <c r="WXW321" s="118"/>
      <c r="WXX321" s="118"/>
      <c r="WXY321" s="118"/>
      <c r="WXZ321" s="118"/>
      <c r="WYA321" s="118"/>
      <c r="WYB321" s="118"/>
      <c r="WYC321" s="118"/>
      <c r="WYD321" s="118"/>
      <c r="WYE321" s="118"/>
      <c r="WYF321" s="118"/>
      <c r="WYG321" s="118"/>
      <c r="WYH321" s="118"/>
      <c r="WYI321" s="118"/>
      <c r="WYJ321" s="118"/>
      <c r="WYK321" s="118"/>
      <c r="WYL321" s="118"/>
      <c r="WYM321" s="118"/>
      <c r="WYN321" s="118"/>
      <c r="WYO321" s="118"/>
      <c r="WYP321" s="118"/>
      <c r="WYQ321" s="118"/>
      <c r="WYR321" s="118"/>
      <c r="WYS321" s="118"/>
      <c r="WYT321" s="118"/>
      <c r="WYU321" s="118"/>
      <c r="WYV321" s="118"/>
      <c r="WYW321" s="118"/>
      <c r="WYX321" s="118"/>
      <c r="WYY321" s="118"/>
      <c r="WYZ321" s="118"/>
      <c r="WZA321" s="118"/>
      <c r="WZB321" s="118"/>
      <c r="WZC321" s="118"/>
      <c r="WZD321" s="118"/>
      <c r="WZE321" s="118"/>
      <c r="WZF321" s="118"/>
      <c r="WZG321" s="118"/>
      <c r="WZH321" s="118"/>
      <c r="WZI321" s="118"/>
      <c r="WZJ321" s="118"/>
      <c r="WZK321" s="118"/>
      <c r="WZL321" s="118"/>
      <c r="WZM321" s="118"/>
      <c r="WZN321" s="118"/>
      <c r="WZO321" s="118"/>
      <c r="WZP321" s="118"/>
      <c r="WZQ321" s="118"/>
      <c r="WZR321" s="118"/>
      <c r="WZS321" s="118"/>
      <c r="WZT321" s="118"/>
      <c r="WZU321" s="118"/>
      <c r="WZV321" s="118"/>
      <c r="WZW321" s="118"/>
      <c r="WZX321" s="118"/>
      <c r="WZY321" s="118"/>
      <c r="WZZ321" s="118"/>
      <c r="XAA321" s="118"/>
      <c r="XAB321" s="118"/>
      <c r="XAC321" s="118"/>
      <c r="XAD321" s="118"/>
      <c r="XAE321" s="118"/>
      <c r="XAF321" s="118"/>
      <c r="XAG321" s="118"/>
      <c r="XAH321" s="118"/>
      <c r="XAI321" s="118"/>
      <c r="XAJ321" s="118"/>
      <c r="XAK321" s="118"/>
      <c r="XAL321" s="118"/>
      <c r="XAM321" s="118"/>
      <c r="XAN321" s="118"/>
      <c r="XAO321" s="118"/>
      <c r="XAP321" s="118"/>
      <c r="XAQ321" s="118"/>
      <c r="XAR321" s="118"/>
      <c r="XAS321" s="118"/>
      <c r="XAT321" s="118"/>
      <c r="XAU321" s="118"/>
      <c r="XAV321" s="118"/>
      <c r="XAW321" s="118"/>
      <c r="XAX321" s="118"/>
      <c r="XAY321" s="118"/>
      <c r="XAZ321" s="118"/>
      <c r="XBA321" s="118"/>
      <c r="XBB321" s="118"/>
      <c r="XBC321" s="118"/>
      <c r="XBD321" s="118"/>
      <c r="XBE321" s="118"/>
      <c r="XBF321" s="118"/>
      <c r="XBG321" s="118"/>
      <c r="XBH321" s="118"/>
      <c r="XBI321" s="118"/>
      <c r="XBJ321" s="118"/>
      <c r="XBK321" s="118"/>
      <c r="XBL321" s="118"/>
      <c r="XBM321" s="118"/>
      <c r="XBN321" s="118"/>
      <c r="XBO321" s="118"/>
      <c r="XBP321" s="118"/>
      <c r="XBQ321" s="118"/>
      <c r="XBR321" s="118"/>
      <c r="XBS321" s="118"/>
      <c r="XBT321" s="118"/>
      <c r="XBU321" s="118"/>
      <c r="XBV321" s="118"/>
      <c r="XBW321" s="118"/>
      <c r="XBX321" s="118"/>
      <c r="XBY321" s="118"/>
      <c r="XBZ321" s="118"/>
      <c r="XCA321" s="118"/>
      <c r="XCB321" s="118"/>
      <c r="XCC321" s="118"/>
      <c r="XCD321" s="118"/>
      <c r="XCE321" s="118"/>
      <c r="XCF321" s="118"/>
      <c r="XCG321" s="118"/>
      <c r="XCH321" s="118"/>
      <c r="XCI321" s="118"/>
      <c r="XCJ321" s="118"/>
      <c r="XCK321" s="118"/>
      <c r="XCL321" s="118"/>
      <c r="XCM321" s="118"/>
      <c r="XCN321" s="118"/>
      <c r="XCO321" s="118"/>
      <c r="XCP321" s="118"/>
      <c r="XCQ321" s="118"/>
      <c r="XCR321" s="118"/>
      <c r="XCS321" s="118"/>
      <c r="XCT321" s="118"/>
      <c r="XCU321" s="118"/>
      <c r="XCV321" s="118"/>
      <c r="XCW321" s="118"/>
      <c r="XCX321" s="118"/>
      <c r="XCY321" s="118"/>
      <c r="XCZ321" s="118"/>
      <c r="XDA321" s="118"/>
      <c r="XDB321" s="118"/>
      <c r="XDC321" s="118"/>
      <c r="XDD321" s="118"/>
      <c r="XDE321" s="118"/>
      <c r="XDF321" s="118"/>
      <c r="XDG321" s="118"/>
      <c r="XDH321" s="118"/>
      <c r="XDI321" s="118"/>
      <c r="XDJ321" s="118"/>
      <c r="XDK321" s="118"/>
      <c r="XDL321" s="118"/>
      <c r="XDM321" s="118"/>
      <c r="XDN321" s="118"/>
      <c r="XDO321" s="118"/>
      <c r="XDP321" s="118"/>
      <c r="XDQ321" s="118"/>
      <c r="XDR321" s="118"/>
      <c r="XDS321" s="118"/>
      <c r="XDT321" s="118"/>
      <c r="XDU321" s="118"/>
      <c r="XDV321" s="118"/>
      <c r="XDW321" s="118"/>
      <c r="XDX321" s="118"/>
      <c r="XDY321" s="118"/>
      <c r="XDZ321" s="118"/>
      <c r="XEA321" s="118"/>
      <c r="XEB321" s="118"/>
      <c r="XEC321" s="118"/>
      <c r="XED321" s="118"/>
      <c r="XEE321" s="118"/>
      <c r="XEF321" s="118"/>
      <c r="XEG321" s="118"/>
      <c r="XEH321" s="118"/>
      <c r="XEI321" s="118"/>
      <c r="XEJ321" s="118"/>
      <c r="XEK321" s="118"/>
      <c r="XEL321" s="118"/>
      <c r="XEM321" s="118"/>
      <c r="XEN321" s="118"/>
      <c r="XEO321" s="118"/>
      <c r="XEP321" s="118"/>
      <c r="XEQ321" s="118"/>
      <c r="XER321" s="118"/>
      <c r="XES321" s="118"/>
      <c r="XET321" s="118"/>
      <c r="XEU321" s="118"/>
      <c r="XEV321" s="118"/>
      <c r="XEW321" s="118"/>
      <c r="XEX321" s="118"/>
      <c r="XEY321" s="118"/>
      <c r="XEZ321" s="118"/>
      <c r="XFA321" s="118"/>
      <c r="XFB321" s="118"/>
      <c r="XFC321" s="118"/>
      <c r="XFD321" s="118"/>
    </row>
    <row r="322" spans="1:37 16131:16384" ht="12.75" hidden="1" customHeight="1" x14ac:dyDescent="0.3">
      <c r="A322" s="115">
        <v>2810</v>
      </c>
      <c r="B322" s="8" t="s">
        <v>623</v>
      </c>
      <c r="C322" s="65" t="str">
        <f>IFERROR(VLOOKUP(D322,'Target tables'!A:B,2,0),"")</f>
        <v>Таблица связей договора эскроу со справочником оргструктуры</v>
      </c>
      <c r="D322" s="211" t="s">
        <v>139</v>
      </c>
      <c r="E322" s="66" t="str">
        <f>IFERROR(VLOOKUP(D322&amp;J322,'Target columns'!A:J,4,FALSE),"")</f>
        <v>UUID</v>
      </c>
      <c r="F322" s="66" t="str">
        <f>IFERROR(VLOOKUP(D322&amp;J322,'Target columns'!A:J,7,FALSE),"")</f>
        <v>Yes</v>
      </c>
      <c r="G322" s="66" t="str">
        <f>IFERROR(VLOOKUP(D322&amp;J322,'Target columns'!A:J,8,FALSE),"")</f>
        <v>No</v>
      </c>
      <c r="H322" s="66" t="str">
        <f>IFERROR(VLOOKUP(D322&amp;J322,'Target columns'!A:J,5,FALSE),"")</f>
        <v>NOT NULL</v>
      </c>
      <c r="I322" s="66" t="str">
        <f>IFERROR(VLOOKUP(D322&amp;J322,'Target columns'!A:J,10,FALSE),"")</f>
        <v>Идентификатор типа связи договора с терр. структурой</v>
      </c>
      <c r="J322" s="8" t="s">
        <v>614</v>
      </c>
      <c r="K322" s="8" t="s">
        <v>150</v>
      </c>
      <c r="L322" s="66" t="str">
        <f>IFERROR(VLOOKUP(K322&amp;N322,source_columns[[Seek]:[Описание поля]],4,0),"")</f>
        <v/>
      </c>
      <c r="M322" s="66" t="str">
        <f>IFERROR(VLOOKUP(K322&amp;N322,source_columns[[Seek]:[Описание поля]],7,0),"")</f>
        <v/>
      </c>
      <c r="N322" s="8" t="s">
        <v>631</v>
      </c>
      <c r="O322" s="8"/>
      <c r="P322" s="8"/>
      <c r="Q322" s="8"/>
      <c r="R322" s="8"/>
      <c r="S322" s="278"/>
      <c r="T322" s="65"/>
      <c r="U322" s="65"/>
      <c r="V322" s="66" t="str">
        <f>"n308000046_"&amp;IFERROR(VLOOKUP(D322,target_tables[],5,0),"&lt;not found&gt;")</f>
        <v>n308000046_agr_other_int_org</v>
      </c>
      <c r="W322" s="65" t="s">
        <v>269</v>
      </c>
      <c r="X322" s="65"/>
      <c r="Y322" s="65"/>
      <c r="Z322" s="65"/>
      <c r="AA322" s="65"/>
      <c r="AB322" s="65"/>
      <c r="AC322" s="65"/>
      <c r="AD322" s="65"/>
      <c r="AE322" s="65"/>
      <c r="AF322" s="299"/>
      <c r="AG322" s="10"/>
      <c r="AH322" s="10"/>
      <c r="AI322" s="10"/>
      <c r="AJ322" s="68"/>
      <c r="AK322" s="69"/>
      <c r="WVK322" s="118"/>
      <c r="WVL322" s="118"/>
      <c r="WVM322" s="118"/>
      <c r="WVN322" s="118"/>
      <c r="WVO322" s="118"/>
      <c r="WVP322" s="118"/>
      <c r="WVQ322" s="118"/>
      <c r="WVR322" s="118"/>
      <c r="WVS322" s="118"/>
      <c r="WVT322" s="118"/>
      <c r="WVU322" s="118"/>
      <c r="WVV322" s="118"/>
      <c r="WVW322" s="118"/>
      <c r="WVX322" s="118"/>
      <c r="WVY322" s="118"/>
      <c r="WVZ322" s="118"/>
      <c r="WWA322" s="118"/>
      <c r="WWB322" s="118"/>
      <c r="WWC322" s="118"/>
      <c r="WWD322" s="118"/>
      <c r="WWE322" s="118"/>
      <c r="WWF322" s="118"/>
      <c r="WWG322" s="118"/>
      <c r="WWH322" s="118"/>
      <c r="WWI322" s="118"/>
      <c r="WWJ322" s="118"/>
      <c r="WWK322" s="118"/>
      <c r="WWL322" s="118"/>
      <c r="WWM322" s="118"/>
      <c r="WWN322" s="118"/>
      <c r="WWO322" s="118"/>
      <c r="WWP322" s="118"/>
      <c r="WWQ322" s="118"/>
      <c r="WWR322" s="118"/>
      <c r="WWS322" s="118"/>
      <c r="WWT322" s="118"/>
      <c r="WWU322" s="118"/>
      <c r="WWV322" s="118"/>
      <c r="WWW322" s="118"/>
      <c r="WWX322" s="118"/>
      <c r="WWY322" s="118"/>
      <c r="WWZ322" s="118"/>
      <c r="WXA322" s="118"/>
      <c r="WXB322" s="118"/>
      <c r="WXC322" s="118"/>
      <c r="WXD322" s="118"/>
      <c r="WXE322" s="118"/>
      <c r="WXF322" s="118"/>
      <c r="WXG322" s="118"/>
      <c r="WXH322" s="118"/>
      <c r="WXI322" s="118"/>
      <c r="WXJ322" s="118"/>
      <c r="WXK322" s="118"/>
      <c r="WXL322" s="118"/>
      <c r="WXM322" s="118"/>
      <c r="WXN322" s="118"/>
      <c r="WXO322" s="118"/>
      <c r="WXP322" s="118"/>
      <c r="WXQ322" s="118"/>
      <c r="WXR322" s="118"/>
      <c r="WXS322" s="118"/>
      <c r="WXT322" s="118"/>
      <c r="WXU322" s="118"/>
      <c r="WXV322" s="118"/>
      <c r="WXW322" s="118"/>
      <c r="WXX322" s="118"/>
      <c r="WXY322" s="118"/>
      <c r="WXZ322" s="118"/>
      <c r="WYA322" s="118"/>
      <c r="WYB322" s="118"/>
      <c r="WYC322" s="118"/>
      <c r="WYD322" s="118"/>
      <c r="WYE322" s="118"/>
      <c r="WYF322" s="118"/>
      <c r="WYG322" s="118"/>
      <c r="WYH322" s="118"/>
      <c r="WYI322" s="118"/>
      <c r="WYJ322" s="118"/>
      <c r="WYK322" s="118"/>
      <c r="WYL322" s="118"/>
      <c r="WYM322" s="118"/>
      <c r="WYN322" s="118"/>
      <c r="WYO322" s="118"/>
      <c r="WYP322" s="118"/>
      <c r="WYQ322" s="118"/>
      <c r="WYR322" s="118"/>
      <c r="WYS322" s="118"/>
      <c r="WYT322" s="118"/>
      <c r="WYU322" s="118"/>
      <c r="WYV322" s="118"/>
      <c r="WYW322" s="118"/>
      <c r="WYX322" s="118"/>
      <c r="WYY322" s="118"/>
      <c r="WYZ322" s="118"/>
      <c r="WZA322" s="118"/>
      <c r="WZB322" s="118"/>
      <c r="WZC322" s="118"/>
      <c r="WZD322" s="118"/>
      <c r="WZE322" s="118"/>
      <c r="WZF322" s="118"/>
      <c r="WZG322" s="118"/>
      <c r="WZH322" s="118"/>
      <c r="WZI322" s="118"/>
      <c r="WZJ322" s="118"/>
      <c r="WZK322" s="118"/>
      <c r="WZL322" s="118"/>
      <c r="WZM322" s="118"/>
      <c r="WZN322" s="118"/>
      <c r="WZO322" s="118"/>
      <c r="WZP322" s="118"/>
      <c r="WZQ322" s="118"/>
      <c r="WZR322" s="118"/>
      <c r="WZS322" s="118"/>
      <c r="WZT322" s="118"/>
      <c r="WZU322" s="118"/>
      <c r="WZV322" s="118"/>
      <c r="WZW322" s="118"/>
      <c r="WZX322" s="118"/>
      <c r="WZY322" s="118"/>
      <c r="WZZ322" s="118"/>
      <c r="XAA322" s="118"/>
      <c r="XAB322" s="118"/>
      <c r="XAC322" s="118"/>
      <c r="XAD322" s="118"/>
      <c r="XAE322" s="118"/>
      <c r="XAF322" s="118"/>
      <c r="XAG322" s="118"/>
      <c r="XAH322" s="118"/>
      <c r="XAI322" s="118"/>
      <c r="XAJ322" s="118"/>
      <c r="XAK322" s="118"/>
      <c r="XAL322" s="118"/>
      <c r="XAM322" s="118"/>
      <c r="XAN322" s="118"/>
      <c r="XAO322" s="118"/>
      <c r="XAP322" s="118"/>
      <c r="XAQ322" s="118"/>
      <c r="XAR322" s="118"/>
      <c r="XAS322" s="118"/>
      <c r="XAT322" s="118"/>
      <c r="XAU322" s="118"/>
      <c r="XAV322" s="118"/>
      <c r="XAW322" s="118"/>
      <c r="XAX322" s="118"/>
      <c r="XAY322" s="118"/>
      <c r="XAZ322" s="118"/>
      <c r="XBA322" s="118"/>
      <c r="XBB322" s="118"/>
      <c r="XBC322" s="118"/>
      <c r="XBD322" s="118"/>
      <c r="XBE322" s="118"/>
      <c r="XBF322" s="118"/>
      <c r="XBG322" s="118"/>
      <c r="XBH322" s="118"/>
      <c r="XBI322" s="118"/>
      <c r="XBJ322" s="118"/>
      <c r="XBK322" s="118"/>
      <c r="XBL322" s="118"/>
      <c r="XBM322" s="118"/>
      <c r="XBN322" s="118"/>
      <c r="XBO322" s="118"/>
      <c r="XBP322" s="118"/>
      <c r="XBQ322" s="118"/>
      <c r="XBR322" s="118"/>
      <c r="XBS322" s="118"/>
      <c r="XBT322" s="118"/>
      <c r="XBU322" s="118"/>
      <c r="XBV322" s="118"/>
      <c r="XBW322" s="118"/>
      <c r="XBX322" s="118"/>
      <c r="XBY322" s="118"/>
      <c r="XBZ322" s="118"/>
      <c r="XCA322" s="118"/>
      <c r="XCB322" s="118"/>
      <c r="XCC322" s="118"/>
      <c r="XCD322" s="118"/>
      <c r="XCE322" s="118"/>
      <c r="XCF322" s="118"/>
      <c r="XCG322" s="118"/>
      <c r="XCH322" s="118"/>
      <c r="XCI322" s="118"/>
      <c r="XCJ322" s="118"/>
      <c r="XCK322" s="118"/>
      <c r="XCL322" s="118"/>
      <c r="XCM322" s="118"/>
      <c r="XCN322" s="118"/>
      <c r="XCO322" s="118"/>
      <c r="XCP322" s="118"/>
      <c r="XCQ322" s="118"/>
      <c r="XCR322" s="118"/>
      <c r="XCS322" s="118"/>
      <c r="XCT322" s="118"/>
      <c r="XCU322" s="118"/>
      <c r="XCV322" s="118"/>
      <c r="XCW322" s="118"/>
      <c r="XCX322" s="118"/>
      <c r="XCY322" s="118"/>
      <c r="XCZ322" s="118"/>
      <c r="XDA322" s="118"/>
      <c r="XDB322" s="118"/>
      <c r="XDC322" s="118"/>
      <c r="XDD322" s="118"/>
      <c r="XDE322" s="118"/>
      <c r="XDF322" s="118"/>
      <c r="XDG322" s="118"/>
      <c r="XDH322" s="118"/>
      <c r="XDI322" s="118"/>
      <c r="XDJ322" s="118"/>
      <c r="XDK322" s="118"/>
      <c r="XDL322" s="118"/>
      <c r="XDM322" s="118"/>
      <c r="XDN322" s="118"/>
      <c r="XDO322" s="118"/>
      <c r="XDP322" s="118"/>
      <c r="XDQ322" s="118"/>
      <c r="XDR322" s="118"/>
      <c r="XDS322" s="118"/>
      <c r="XDT322" s="118"/>
      <c r="XDU322" s="118"/>
      <c r="XDV322" s="118"/>
      <c r="XDW322" s="118"/>
      <c r="XDX322" s="118"/>
      <c r="XDY322" s="118"/>
      <c r="XDZ322" s="118"/>
      <c r="XEA322" s="118"/>
      <c r="XEB322" s="118"/>
      <c r="XEC322" s="118"/>
      <c r="XED322" s="118"/>
      <c r="XEE322" s="118"/>
      <c r="XEF322" s="118"/>
      <c r="XEG322" s="118"/>
      <c r="XEH322" s="118"/>
      <c r="XEI322" s="118"/>
      <c r="XEJ322" s="118"/>
      <c r="XEK322" s="118"/>
      <c r="XEL322" s="118"/>
      <c r="XEM322" s="118"/>
      <c r="XEN322" s="118"/>
      <c r="XEO322" s="118"/>
      <c r="XEP322" s="118"/>
      <c r="XEQ322" s="118"/>
      <c r="XER322" s="118"/>
      <c r="XES322" s="118"/>
      <c r="XET322" s="118"/>
      <c r="XEU322" s="118"/>
      <c r="XEV322" s="118"/>
      <c r="XEW322" s="118"/>
      <c r="XEX322" s="118"/>
      <c r="XEY322" s="118"/>
      <c r="XEZ322" s="118"/>
      <c r="XFA322" s="118"/>
      <c r="XFB322" s="118"/>
      <c r="XFC322" s="118"/>
      <c r="XFD322" s="118"/>
    </row>
    <row r="323" spans="1:37 16131:16384" ht="12.75" hidden="1" customHeight="1" x14ac:dyDescent="0.3">
      <c r="A323" s="115">
        <v>2820</v>
      </c>
      <c r="B323" s="8" t="s">
        <v>623</v>
      </c>
      <c r="C323" s="65" t="str">
        <f>IFERROR(VLOOKUP(D323,'Target tables'!A:B,2,0),"")</f>
        <v>Таблица связей договора эскроу со справочником оргструктуры</v>
      </c>
      <c r="D323" s="211" t="s">
        <v>139</v>
      </c>
      <c r="E323" s="66" t="str">
        <f>IFERROR(VLOOKUP(D323&amp;J323,'Target columns'!A:J,4,FALSE),"")</f>
        <v>DATE</v>
      </c>
      <c r="F323" s="66" t="str">
        <f>IFERROR(VLOOKUP(D323&amp;J323,'Target columns'!A:J,7,FALSE),"")</f>
        <v>No</v>
      </c>
      <c r="G323" s="66" t="str">
        <f>IFERROR(VLOOKUP(D323&amp;J323,'Target columns'!A:J,8,FALSE),"")</f>
        <v>No</v>
      </c>
      <c r="H323" s="66" t="str">
        <f>IFERROR(VLOOKUP(D323&amp;J323,'Target columns'!A:J,5,FALSE),"")</f>
        <v>NOT NULL</v>
      </c>
      <c r="I323" s="66" t="str">
        <f>IFERROR(VLOOKUP(D323&amp;J323,'Target columns'!A:J,10,FALSE),"")</f>
        <v>Дата начала действия связи</v>
      </c>
      <c r="J323" s="8" t="s">
        <v>329</v>
      </c>
      <c r="K323" s="8" t="s">
        <v>150</v>
      </c>
      <c r="L323" s="66" t="str">
        <f>IFERROR(VLOOKUP(K323&amp;N323,source_columns[[Seek]:[Описание поля]],4,0),"")</f>
        <v>timestamp</v>
      </c>
      <c r="M323" s="66" t="str">
        <f>IFERROR(VLOOKUP(K323&amp;N323,source_columns[[Seek]:[Описание поля]],7,0),"")</f>
        <v>Дата и время последнего изменения</v>
      </c>
      <c r="N323" s="8" t="s">
        <v>517</v>
      </c>
      <c r="O323" s="8"/>
      <c r="P323" s="8"/>
      <c r="Q323" s="8"/>
      <c r="R323" s="8"/>
      <c r="S323" s="278"/>
      <c r="T323" s="65"/>
      <c r="U323" s="65"/>
      <c r="V323" s="66" t="str">
        <f>"n308000046_"&amp;IFERROR(VLOOKUP(D323,target_tables[],5,0),"&lt;not found&gt;")</f>
        <v>n308000046_agr_other_int_org</v>
      </c>
      <c r="W323" s="65" t="s">
        <v>330</v>
      </c>
      <c r="X323" s="65"/>
      <c r="Y323" s="65"/>
      <c r="Z323" s="65"/>
      <c r="AA323" s="65"/>
      <c r="AB323" s="65"/>
      <c r="AC323" s="65"/>
      <c r="AD323" s="65"/>
      <c r="AE323" s="65"/>
      <c r="AF323" s="299"/>
      <c r="AG323" s="10"/>
      <c r="AH323" s="10"/>
      <c r="AI323" s="10"/>
      <c r="AJ323" s="68"/>
      <c r="AK323" s="69"/>
      <c r="WVK323" s="118"/>
      <c r="WVL323" s="118"/>
      <c r="WVM323" s="118"/>
      <c r="WVN323" s="118"/>
      <c r="WVO323" s="118"/>
      <c r="WVP323" s="118"/>
      <c r="WVQ323" s="118"/>
      <c r="WVR323" s="118"/>
      <c r="WVS323" s="118"/>
      <c r="WVT323" s="118"/>
      <c r="WVU323" s="118"/>
      <c r="WVV323" s="118"/>
      <c r="WVW323" s="118"/>
      <c r="WVX323" s="118"/>
      <c r="WVY323" s="118"/>
      <c r="WVZ323" s="118"/>
      <c r="WWA323" s="118"/>
      <c r="WWB323" s="118"/>
      <c r="WWC323" s="118"/>
      <c r="WWD323" s="118"/>
      <c r="WWE323" s="118"/>
      <c r="WWF323" s="118"/>
      <c r="WWG323" s="118"/>
      <c r="WWH323" s="118"/>
      <c r="WWI323" s="118"/>
      <c r="WWJ323" s="118"/>
      <c r="WWK323" s="118"/>
      <c r="WWL323" s="118"/>
      <c r="WWM323" s="118"/>
      <c r="WWN323" s="118"/>
      <c r="WWO323" s="118"/>
      <c r="WWP323" s="118"/>
      <c r="WWQ323" s="118"/>
      <c r="WWR323" s="118"/>
      <c r="WWS323" s="118"/>
      <c r="WWT323" s="118"/>
      <c r="WWU323" s="118"/>
      <c r="WWV323" s="118"/>
      <c r="WWW323" s="118"/>
      <c r="WWX323" s="118"/>
      <c r="WWY323" s="118"/>
      <c r="WWZ323" s="118"/>
      <c r="WXA323" s="118"/>
      <c r="WXB323" s="118"/>
      <c r="WXC323" s="118"/>
      <c r="WXD323" s="118"/>
      <c r="WXE323" s="118"/>
      <c r="WXF323" s="118"/>
      <c r="WXG323" s="118"/>
      <c r="WXH323" s="118"/>
      <c r="WXI323" s="118"/>
      <c r="WXJ323" s="118"/>
      <c r="WXK323" s="118"/>
      <c r="WXL323" s="118"/>
      <c r="WXM323" s="118"/>
      <c r="WXN323" s="118"/>
      <c r="WXO323" s="118"/>
      <c r="WXP323" s="118"/>
      <c r="WXQ323" s="118"/>
      <c r="WXR323" s="118"/>
      <c r="WXS323" s="118"/>
      <c r="WXT323" s="118"/>
      <c r="WXU323" s="118"/>
      <c r="WXV323" s="118"/>
      <c r="WXW323" s="118"/>
      <c r="WXX323" s="118"/>
      <c r="WXY323" s="118"/>
      <c r="WXZ323" s="118"/>
      <c r="WYA323" s="118"/>
      <c r="WYB323" s="118"/>
      <c r="WYC323" s="118"/>
      <c r="WYD323" s="118"/>
      <c r="WYE323" s="118"/>
      <c r="WYF323" s="118"/>
      <c r="WYG323" s="118"/>
      <c r="WYH323" s="118"/>
      <c r="WYI323" s="118"/>
      <c r="WYJ323" s="118"/>
      <c r="WYK323" s="118"/>
      <c r="WYL323" s="118"/>
      <c r="WYM323" s="118"/>
      <c r="WYN323" s="118"/>
      <c r="WYO323" s="118"/>
      <c r="WYP323" s="118"/>
      <c r="WYQ323" s="118"/>
      <c r="WYR323" s="118"/>
      <c r="WYS323" s="118"/>
      <c r="WYT323" s="118"/>
      <c r="WYU323" s="118"/>
      <c r="WYV323" s="118"/>
      <c r="WYW323" s="118"/>
      <c r="WYX323" s="118"/>
      <c r="WYY323" s="118"/>
      <c r="WYZ323" s="118"/>
      <c r="WZA323" s="118"/>
      <c r="WZB323" s="118"/>
      <c r="WZC323" s="118"/>
      <c r="WZD323" s="118"/>
      <c r="WZE323" s="118"/>
      <c r="WZF323" s="118"/>
      <c r="WZG323" s="118"/>
      <c r="WZH323" s="118"/>
      <c r="WZI323" s="118"/>
      <c r="WZJ323" s="118"/>
      <c r="WZK323" s="118"/>
      <c r="WZL323" s="118"/>
      <c r="WZM323" s="118"/>
      <c r="WZN323" s="118"/>
      <c r="WZO323" s="118"/>
      <c r="WZP323" s="118"/>
      <c r="WZQ323" s="118"/>
      <c r="WZR323" s="118"/>
      <c r="WZS323" s="118"/>
      <c r="WZT323" s="118"/>
      <c r="WZU323" s="118"/>
      <c r="WZV323" s="118"/>
      <c r="WZW323" s="118"/>
      <c r="WZX323" s="118"/>
      <c r="WZY323" s="118"/>
      <c r="WZZ323" s="118"/>
      <c r="XAA323" s="118"/>
      <c r="XAB323" s="118"/>
      <c r="XAC323" s="118"/>
      <c r="XAD323" s="118"/>
      <c r="XAE323" s="118"/>
      <c r="XAF323" s="118"/>
      <c r="XAG323" s="118"/>
      <c r="XAH323" s="118"/>
      <c r="XAI323" s="118"/>
      <c r="XAJ323" s="118"/>
      <c r="XAK323" s="118"/>
      <c r="XAL323" s="118"/>
      <c r="XAM323" s="118"/>
      <c r="XAN323" s="118"/>
      <c r="XAO323" s="118"/>
      <c r="XAP323" s="118"/>
      <c r="XAQ323" s="118"/>
      <c r="XAR323" s="118"/>
      <c r="XAS323" s="118"/>
      <c r="XAT323" s="118"/>
      <c r="XAU323" s="118"/>
      <c r="XAV323" s="118"/>
      <c r="XAW323" s="118"/>
      <c r="XAX323" s="118"/>
      <c r="XAY323" s="118"/>
      <c r="XAZ323" s="118"/>
      <c r="XBA323" s="118"/>
      <c r="XBB323" s="118"/>
      <c r="XBC323" s="118"/>
      <c r="XBD323" s="118"/>
      <c r="XBE323" s="118"/>
      <c r="XBF323" s="118"/>
      <c r="XBG323" s="118"/>
      <c r="XBH323" s="118"/>
      <c r="XBI323" s="118"/>
      <c r="XBJ323" s="118"/>
      <c r="XBK323" s="118"/>
      <c r="XBL323" s="118"/>
      <c r="XBM323" s="118"/>
      <c r="XBN323" s="118"/>
      <c r="XBO323" s="118"/>
      <c r="XBP323" s="118"/>
      <c r="XBQ323" s="118"/>
      <c r="XBR323" s="118"/>
      <c r="XBS323" s="118"/>
      <c r="XBT323" s="118"/>
      <c r="XBU323" s="118"/>
      <c r="XBV323" s="118"/>
      <c r="XBW323" s="118"/>
      <c r="XBX323" s="118"/>
      <c r="XBY323" s="118"/>
      <c r="XBZ323" s="118"/>
      <c r="XCA323" s="118"/>
      <c r="XCB323" s="118"/>
      <c r="XCC323" s="118"/>
      <c r="XCD323" s="118"/>
      <c r="XCE323" s="118"/>
      <c r="XCF323" s="118"/>
      <c r="XCG323" s="118"/>
      <c r="XCH323" s="118"/>
      <c r="XCI323" s="118"/>
      <c r="XCJ323" s="118"/>
      <c r="XCK323" s="118"/>
      <c r="XCL323" s="118"/>
      <c r="XCM323" s="118"/>
      <c r="XCN323" s="118"/>
      <c r="XCO323" s="118"/>
      <c r="XCP323" s="118"/>
      <c r="XCQ323" s="118"/>
      <c r="XCR323" s="118"/>
      <c r="XCS323" s="118"/>
      <c r="XCT323" s="118"/>
      <c r="XCU323" s="118"/>
      <c r="XCV323" s="118"/>
      <c r="XCW323" s="118"/>
      <c r="XCX323" s="118"/>
      <c r="XCY323" s="118"/>
      <c r="XCZ323" s="118"/>
      <c r="XDA323" s="118"/>
      <c r="XDB323" s="118"/>
      <c r="XDC323" s="118"/>
      <c r="XDD323" s="118"/>
      <c r="XDE323" s="118"/>
      <c r="XDF323" s="118"/>
      <c r="XDG323" s="118"/>
      <c r="XDH323" s="118"/>
      <c r="XDI323" s="118"/>
      <c r="XDJ323" s="118"/>
      <c r="XDK323" s="118"/>
      <c r="XDL323" s="118"/>
      <c r="XDM323" s="118"/>
      <c r="XDN323" s="118"/>
      <c r="XDO323" s="118"/>
      <c r="XDP323" s="118"/>
      <c r="XDQ323" s="118"/>
      <c r="XDR323" s="118"/>
      <c r="XDS323" s="118"/>
      <c r="XDT323" s="118"/>
      <c r="XDU323" s="118"/>
      <c r="XDV323" s="118"/>
      <c r="XDW323" s="118"/>
      <c r="XDX323" s="118"/>
      <c r="XDY323" s="118"/>
      <c r="XDZ323" s="118"/>
      <c r="XEA323" s="118"/>
      <c r="XEB323" s="118"/>
      <c r="XEC323" s="118"/>
      <c r="XED323" s="118"/>
      <c r="XEE323" s="118"/>
      <c r="XEF323" s="118"/>
      <c r="XEG323" s="118"/>
      <c r="XEH323" s="118"/>
      <c r="XEI323" s="118"/>
      <c r="XEJ323" s="118"/>
      <c r="XEK323" s="118"/>
      <c r="XEL323" s="118"/>
      <c r="XEM323" s="118"/>
      <c r="XEN323" s="118"/>
      <c r="XEO323" s="118"/>
      <c r="XEP323" s="118"/>
      <c r="XEQ323" s="118"/>
      <c r="XER323" s="118"/>
      <c r="XES323" s="118"/>
      <c r="XET323" s="118"/>
      <c r="XEU323" s="118"/>
      <c r="XEV323" s="118"/>
      <c r="XEW323" s="118"/>
      <c r="XEX323" s="118"/>
      <c r="XEY323" s="118"/>
      <c r="XEZ323" s="118"/>
      <c r="XFA323" s="118"/>
      <c r="XFB323" s="118"/>
      <c r="XFC323" s="118"/>
      <c r="XFD323" s="118"/>
    </row>
    <row r="324" spans="1:37 16131:16384" ht="12.75" hidden="1" customHeight="1" x14ac:dyDescent="0.3">
      <c r="A324" s="116">
        <v>2830</v>
      </c>
      <c r="B324" s="20" t="s">
        <v>623</v>
      </c>
      <c r="C324" s="71" t="str">
        <f>IFERROR(VLOOKUP(D324,'Target tables'!A:B,2,0),"")</f>
        <v>Таблица связей договора эскроу со справочником оргструктуры</v>
      </c>
      <c r="D324" s="212" t="s">
        <v>139</v>
      </c>
      <c r="E324" s="73" t="str">
        <f>IFERROR(VLOOKUP(D324&amp;J324,'Target columns'!A:J,4,FALSE),"")</f>
        <v>DATE</v>
      </c>
      <c r="F324" s="73" t="str">
        <f>IFERROR(VLOOKUP(D324&amp;J324,'Target columns'!A:J,7,FALSE),"")</f>
        <v>Yes</v>
      </c>
      <c r="G324" s="73" t="str">
        <f>IFERROR(VLOOKUP(D324&amp;J324,'Target columns'!A:J,8,FALSE),"")</f>
        <v>Yes</v>
      </c>
      <c r="H324" s="73" t="str">
        <f>IFERROR(VLOOKUP(D324&amp;J324,'Target columns'!A:J,5,FALSE),"")</f>
        <v>NOT NULL</v>
      </c>
      <c r="I324" s="73" t="str">
        <f>IFERROR(VLOOKUP(D324&amp;J324,'Target columns'!A:J,10,FALSE),"")</f>
        <v>Дата окончания действия связи</v>
      </c>
      <c r="J324" s="20" t="s">
        <v>331</v>
      </c>
      <c r="K324" s="20" t="s">
        <v>150</v>
      </c>
      <c r="L324" s="73" t="str">
        <f>IFERROR(VLOOKUP(K324&amp;N324,source_columns[[Seek]:[Описание поля]],4,0),"")</f>
        <v/>
      </c>
      <c r="M324" s="73" t="str">
        <f>IFERROR(VLOOKUP(K324&amp;N324,source_columns[[Seek]:[Описание поля]],7,0),"")</f>
        <v/>
      </c>
      <c r="N324" s="20" t="s">
        <v>603</v>
      </c>
      <c r="O324" s="20"/>
      <c r="P324" s="20"/>
      <c r="Q324" s="20"/>
      <c r="R324" s="20"/>
      <c r="S324" s="278"/>
      <c r="T324" s="71"/>
      <c r="U324" s="71"/>
      <c r="V324" s="73" t="str">
        <f>"n308000046_"&amp;IFERROR(VLOOKUP(D324,target_tables[],5,0),"&lt;not found&gt;")</f>
        <v>n308000046_agr_other_int_org</v>
      </c>
      <c r="W324" s="71" t="s">
        <v>332</v>
      </c>
      <c r="X324" s="71"/>
      <c r="Y324" s="71"/>
      <c r="Z324" s="71"/>
      <c r="AA324" s="71"/>
      <c r="AB324" s="71"/>
      <c r="AC324" s="71"/>
      <c r="AD324" s="71"/>
      <c r="AE324" s="71"/>
      <c r="AF324" s="299"/>
      <c r="AG324" s="27"/>
      <c r="AH324" s="27"/>
      <c r="AI324" s="27"/>
      <c r="AJ324" s="75"/>
      <c r="AK324" s="69"/>
      <c r="WVK324" s="118"/>
      <c r="WVL324" s="118"/>
      <c r="WVM324" s="118"/>
      <c r="WVN324" s="118"/>
      <c r="WVO324" s="118"/>
      <c r="WVP324" s="118"/>
      <c r="WVQ324" s="118"/>
      <c r="WVR324" s="118"/>
      <c r="WVS324" s="118"/>
      <c r="WVT324" s="118"/>
      <c r="WVU324" s="118"/>
      <c r="WVV324" s="118"/>
      <c r="WVW324" s="118"/>
      <c r="WVX324" s="118"/>
      <c r="WVY324" s="118"/>
      <c r="WVZ324" s="118"/>
      <c r="WWA324" s="118"/>
      <c r="WWB324" s="118"/>
      <c r="WWC324" s="118"/>
      <c r="WWD324" s="118"/>
      <c r="WWE324" s="118"/>
      <c r="WWF324" s="118"/>
      <c r="WWG324" s="118"/>
      <c r="WWH324" s="118"/>
      <c r="WWI324" s="118"/>
      <c r="WWJ324" s="118"/>
      <c r="WWK324" s="118"/>
      <c r="WWL324" s="118"/>
      <c r="WWM324" s="118"/>
      <c r="WWN324" s="118"/>
      <c r="WWO324" s="118"/>
      <c r="WWP324" s="118"/>
      <c r="WWQ324" s="118"/>
      <c r="WWR324" s="118"/>
      <c r="WWS324" s="118"/>
      <c r="WWT324" s="118"/>
      <c r="WWU324" s="118"/>
      <c r="WWV324" s="118"/>
      <c r="WWW324" s="118"/>
      <c r="WWX324" s="118"/>
      <c r="WWY324" s="118"/>
      <c r="WWZ324" s="118"/>
      <c r="WXA324" s="118"/>
      <c r="WXB324" s="118"/>
      <c r="WXC324" s="118"/>
      <c r="WXD324" s="118"/>
      <c r="WXE324" s="118"/>
      <c r="WXF324" s="118"/>
      <c r="WXG324" s="118"/>
      <c r="WXH324" s="118"/>
      <c r="WXI324" s="118"/>
      <c r="WXJ324" s="118"/>
      <c r="WXK324" s="118"/>
      <c r="WXL324" s="118"/>
      <c r="WXM324" s="118"/>
      <c r="WXN324" s="118"/>
      <c r="WXO324" s="118"/>
      <c r="WXP324" s="118"/>
      <c r="WXQ324" s="118"/>
      <c r="WXR324" s="118"/>
      <c r="WXS324" s="118"/>
      <c r="WXT324" s="118"/>
      <c r="WXU324" s="118"/>
      <c r="WXV324" s="118"/>
      <c r="WXW324" s="118"/>
      <c r="WXX324" s="118"/>
      <c r="WXY324" s="118"/>
      <c r="WXZ324" s="118"/>
      <c r="WYA324" s="118"/>
      <c r="WYB324" s="118"/>
      <c r="WYC324" s="118"/>
      <c r="WYD324" s="118"/>
      <c r="WYE324" s="118"/>
      <c r="WYF324" s="118"/>
      <c r="WYG324" s="118"/>
      <c r="WYH324" s="118"/>
      <c r="WYI324" s="118"/>
      <c r="WYJ324" s="118"/>
      <c r="WYK324" s="118"/>
      <c r="WYL324" s="118"/>
      <c r="WYM324" s="118"/>
      <c r="WYN324" s="118"/>
      <c r="WYO324" s="118"/>
      <c r="WYP324" s="118"/>
      <c r="WYQ324" s="118"/>
      <c r="WYR324" s="118"/>
      <c r="WYS324" s="118"/>
      <c r="WYT324" s="118"/>
      <c r="WYU324" s="118"/>
      <c r="WYV324" s="118"/>
      <c r="WYW324" s="118"/>
      <c r="WYX324" s="118"/>
      <c r="WYY324" s="118"/>
      <c r="WYZ324" s="118"/>
      <c r="WZA324" s="118"/>
      <c r="WZB324" s="118"/>
      <c r="WZC324" s="118"/>
      <c r="WZD324" s="118"/>
      <c r="WZE324" s="118"/>
      <c r="WZF324" s="118"/>
      <c r="WZG324" s="118"/>
      <c r="WZH324" s="118"/>
      <c r="WZI324" s="118"/>
      <c r="WZJ324" s="118"/>
      <c r="WZK324" s="118"/>
      <c r="WZL324" s="118"/>
      <c r="WZM324" s="118"/>
      <c r="WZN324" s="118"/>
      <c r="WZO324" s="118"/>
      <c r="WZP324" s="118"/>
      <c r="WZQ324" s="118"/>
      <c r="WZR324" s="118"/>
      <c r="WZS324" s="118"/>
      <c r="WZT324" s="118"/>
      <c r="WZU324" s="118"/>
      <c r="WZV324" s="118"/>
      <c r="WZW324" s="118"/>
      <c r="WZX324" s="118"/>
      <c r="WZY324" s="118"/>
      <c r="WZZ324" s="118"/>
      <c r="XAA324" s="118"/>
      <c r="XAB324" s="118"/>
      <c r="XAC324" s="118"/>
      <c r="XAD324" s="118"/>
      <c r="XAE324" s="118"/>
      <c r="XAF324" s="118"/>
      <c r="XAG324" s="118"/>
      <c r="XAH324" s="118"/>
      <c r="XAI324" s="118"/>
      <c r="XAJ324" s="118"/>
      <c r="XAK324" s="118"/>
      <c r="XAL324" s="118"/>
      <c r="XAM324" s="118"/>
      <c r="XAN324" s="118"/>
      <c r="XAO324" s="118"/>
      <c r="XAP324" s="118"/>
      <c r="XAQ324" s="118"/>
      <c r="XAR324" s="118"/>
      <c r="XAS324" s="118"/>
      <c r="XAT324" s="118"/>
      <c r="XAU324" s="118"/>
      <c r="XAV324" s="118"/>
      <c r="XAW324" s="118"/>
      <c r="XAX324" s="118"/>
      <c r="XAY324" s="118"/>
      <c r="XAZ324" s="118"/>
      <c r="XBA324" s="118"/>
      <c r="XBB324" s="118"/>
      <c r="XBC324" s="118"/>
      <c r="XBD324" s="118"/>
      <c r="XBE324" s="118"/>
      <c r="XBF324" s="118"/>
      <c r="XBG324" s="118"/>
      <c r="XBH324" s="118"/>
      <c r="XBI324" s="118"/>
      <c r="XBJ324" s="118"/>
      <c r="XBK324" s="118"/>
      <c r="XBL324" s="118"/>
      <c r="XBM324" s="118"/>
      <c r="XBN324" s="118"/>
      <c r="XBO324" s="118"/>
      <c r="XBP324" s="118"/>
      <c r="XBQ324" s="118"/>
      <c r="XBR324" s="118"/>
      <c r="XBS324" s="118"/>
      <c r="XBT324" s="118"/>
      <c r="XBU324" s="118"/>
      <c r="XBV324" s="118"/>
      <c r="XBW324" s="118"/>
      <c r="XBX324" s="118"/>
      <c r="XBY324" s="118"/>
      <c r="XBZ324" s="118"/>
      <c r="XCA324" s="118"/>
      <c r="XCB324" s="118"/>
      <c r="XCC324" s="118"/>
      <c r="XCD324" s="118"/>
      <c r="XCE324" s="118"/>
      <c r="XCF324" s="118"/>
      <c r="XCG324" s="118"/>
      <c r="XCH324" s="118"/>
      <c r="XCI324" s="118"/>
      <c r="XCJ324" s="118"/>
      <c r="XCK324" s="118"/>
      <c r="XCL324" s="118"/>
      <c r="XCM324" s="118"/>
      <c r="XCN324" s="118"/>
      <c r="XCO324" s="118"/>
      <c r="XCP324" s="118"/>
      <c r="XCQ324" s="118"/>
      <c r="XCR324" s="118"/>
      <c r="XCS324" s="118"/>
      <c r="XCT324" s="118"/>
      <c r="XCU324" s="118"/>
      <c r="XCV324" s="118"/>
      <c r="XCW324" s="118"/>
      <c r="XCX324" s="118"/>
      <c r="XCY324" s="118"/>
      <c r="XCZ324" s="118"/>
      <c r="XDA324" s="118"/>
      <c r="XDB324" s="118"/>
      <c r="XDC324" s="118"/>
      <c r="XDD324" s="118"/>
      <c r="XDE324" s="118"/>
      <c r="XDF324" s="118"/>
      <c r="XDG324" s="118"/>
      <c r="XDH324" s="118"/>
      <c r="XDI324" s="118"/>
      <c r="XDJ324" s="118"/>
      <c r="XDK324" s="118"/>
      <c r="XDL324" s="118"/>
      <c r="XDM324" s="118"/>
      <c r="XDN324" s="118"/>
      <c r="XDO324" s="118"/>
      <c r="XDP324" s="118"/>
      <c r="XDQ324" s="118"/>
      <c r="XDR324" s="118"/>
      <c r="XDS324" s="118"/>
      <c r="XDT324" s="118"/>
      <c r="XDU324" s="118"/>
      <c r="XDV324" s="118"/>
      <c r="XDW324" s="118"/>
      <c r="XDX324" s="118"/>
      <c r="XDY324" s="118"/>
      <c r="XDZ324" s="118"/>
      <c r="XEA324" s="118"/>
      <c r="XEB324" s="118"/>
      <c r="XEC324" s="118"/>
      <c r="XED324" s="118"/>
      <c r="XEE324" s="118"/>
      <c r="XEF324" s="118"/>
      <c r="XEG324" s="118"/>
      <c r="XEH324" s="118"/>
      <c r="XEI324" s="118"/>
      <c r="XEJ324" s="118"/>
      <c r="XEK324" s="118"/>
      <c r="XEL324" s="118"/>
      <c r="XEM324" s="118"/>
      <c r="XEN324" s="118"/>
      <c r="XEO324" s="118"/>
      <c r="XEP324" s="118"/>
      <c r="XEQ324" s="118"/>
      <c r="XER324" s="118"/>
      <c r="XES324" s="118"/>
      <c r="XET324" s="118"/>
      <c r="XEU324" s="118"/>
      <c r="XEV324" s="118"/>
      <c r="XEW324" s="118"/>
      <c r="XEX324" s="118"/>
      <c r="XEY324" s="118"/>
      <c r="XEZ324" s="118"/>
      <c r="XFA324" s="118"/>
      <c r="XFB324" s="118"/>
      <c r="XFC324" s="118"/>
      <c r="XFD324" s="118"/>
    </row>
    <row r="325" spans="1:37 16131:16384" ht="12.75" hidden="1" customHeight="1" x14ac:dyDescent="0.3">
      <c r="A325" s="114">
        <v>2840</v>
      </c>
      <c r="B325" s="113" t="s">
        <v>623</v>
      </c>
      <c r="C325" s="82" t="str">
        <f>IFERROR(VLOOKUP(D325,'Target tables'!A:B,2,0),"")</f>
        <v>Связь договора и счета</v>
      </c>
      <c r="D325" s="208" t="s">
        <v>147</v>
      </c>
      <c r="E325" s="78" t="str">
        <f>IFERROR(VLOOKUP(D325&amp;J325,'Target columns'!A:J,4,FALSE),"")</f>
        <v>uuid</v>
      </c>
      <c r="F325" s="78" t="str">
        <f>IFERROR(VLOOKUP(D325&amp;J325,'Target columns'!A:J,7,FALSE),"")</f>
        <v>Yes</v>
      </c>
      <c r="G325" s="78" t="str">
        <f>IFERROR(VLOOKUP(D325&amp;J325,'Target columns'!A:J,8,FALSE),"")</f>
        <v>Yes</v>
      </c>
      <c r="H325" s="78" t="str">
        <f>IFERROR(VLOOKUP(D325&amp;J325,'Target columns'!A:J,5,FALSE),"")</f>
        <v>NOT NULL</v>
      </c>
      <c r="I325" s="78" t="str">
        <f>IFERROR(VLOOKUP(D325&amp;J325,'Target columns'!A:J,10,FALSE),"")</f>
        <v>Идентификатор договора</v>
      </c>
      <c r="J325" s="23" t="s">
        <v>589</v>
      </c>
      <c r="K325" s="23" t="s">
        <v>150</v>
      </c>
      <c r="L325" s="78" t="str">
        <f>IFERROR(VLOOKUP(K325&amp;N325,source_columns[[Seek]:[Описание поля]],4,0),"")</f>
        <v>uuid</v>
      </c>
      <c r="M325" s="78" t="str">
        <f>IFERROR(VLOOKUP(K325&amp;N325,source_columns[[Seek]:[Описание поля]],7,0),"")</f>
        <v>Референс сделки</v>
      </c>
      <c r="N325" s="23" t="s">
        <v>496</v>
      </c>
      <c r="O325" s="113"/>
      <c r="P325" s="113"/>
      <c r="Q325" s="113"/>
      <c r="R325" s="113"/>
      <c r="S325" s="278" t="s">
        <v>619</v>
      </c>
      <c r="T325" s="82"/>
      <c r="U325" s="82"/>
      <c r="V325" s="84" t="str">
        <f>"n308000046_"&amp;IFERROR(VLOOKUP(D325,target_tables[],5,0),"&lt;not found&gt;")</f>
        <v>n308000046_agr_other_coa</v>
      </c>
      <c r="W325" s="65" t="s">
        <v>269</v>
      </c>
      <c r="X325" s="82"/>
      <c r="Y325" s="82"/>
      <c r="Z325" s="82"/>
      <c r="AA325" s="82"/>
      <c r="AB325" s="82"/>
      <c r="AC325" s="82"/>
      <c r="AD325" s="82"/>
      <c r="AE325" s="82"/>
      <c r="AF325" s="299" t="s">
        <v>342</v>
      </c>
      <c r="AG325" s="83"/>
      <c r="AH325" s="83"/>
      <c r="AI325" s="83"/>
      <c r="AJ325" s="91"/>
      <c r="AK325" s="69"/>
      <c r="WVK325" s="118"/>
      <c r="WVL325" s="118"/>
      <c r="WVM325" s="118"/>
      <c r="WVN325" s="118"/>
      <c r="WVO325" s="118"/>
      <c r="WVP325" s="118"/>
      <c r="WVQ325" s="118"/>
      <c r="WVR325" s="118"/>
      <c r="WVS325" s="118"/>
      <c r="WVT325" s="118"/>
      <c r="WVU325" s="118"/>
      <c r="WVV325" s="118"/>
      <c r="WVW325" s="118"/>
      <c r="WVX325" s="118"/>
      <c r="WVY325" s="118"/>
      <c r="WVZ325" s="118"/>
      <c r="WWA325" s="118"/>
      <c r="WWB325" s="118"/>
      <c r="WWC325" s="118"/>
      <c r="WWD325" s="118"/>
      <c r="WWE325" s="118"/>
      <c r="WWF325" s="118"/>
      <c r="WWG325" s="118"/>
      <c r="WWH325" s="118"/>
      <c r="WWI325" s="118"/>
      <c r="WWJ325" s="118"/>
      <c r="WWK325" s="118"/>
      <c r="WWL325" s="118"/>
      <c r="WWM325" s="118"/>
      <c r="WWN325" s="118"/>
      <c r="WWO325" s="118"/>
      <c r="WWP325" s="118"/>
      <c r="WWQ325" s="118"/>
      <c r="WWR325" s="118"/>
      <c r="WWS325" s="118"/>
      <c r="WWT325" s="118"/>
      <c r="WWU325" s="118"/>
      <c r="WWV325" s="118"/>
      <c r="WWW325" s="118"/>
      <c r="WWX325" s="118"/>
      <c r="WWY325" s="118"/>
      <c r="WWZ325" s="118"/>
      <c r="WXA325" s="118"/>
      <c r="WXB325" s="118"/>
      <c r="WXC325" s="118"/>
      <c r="WXD325" s="118"/>
      <c r="WXE325" s="118"/>
      <c r="WXF325" s="118"/>
      <c r="WXG325" s="118"/>
      <c r="WXH325" s="118"/>
      <c r="WXI325" s="118"/>
      <c r="WXJ325" s="118"/>
      <c r="WXK325" s="118"/>
      <c r="WXL325" s="118"/>
      <c r="WXM325" s="118"/>
      <c r="WXN325" s="118"/>
      <c r="WXO325" s="118"/>
      <c r="WXP325" s="118"/>
      <c r="WXQ325" s="118"/>
      <c r="WXR325" s="118"/>
      <c r="WXS325" s="118"/>
      <c r="WXT325" s="118"/>
      <c r="WXU325" s="118"/>
      <c r="WXV325" s="118"/>
      <c r="WXW325" s="118"/>
      <c r="WXX325" s="118"/>
      <c r="WXY325" s="118"/>
      <c r="WXZ325" s="118"/>
      <c r="WYA325" s="118"/>
      <c r="WYB325" s="118"/>
      <c r="WYC325" s="118"/>
      <c r="WYD325" s="118"/>
      <c r="WYE325" s="118"/>
      <c r="WYF325" s="118"/>
      <c r="WYG325" s="118"/>
      <c r="WYH325" s="118"/>
      <c r="WYI325" s="118"/>
      <c r="WYJ325" s="118"/>
      <c r="WYK325" s="118"/>
      <c r="WYL325" s="118"/>
      <c r="WYM325" s="118"/>
      <c r="WYN325" s="118"/>
      <c r="WYO325" s="118"/>
      <c r="WYP325" s="118"/>
      <c r="WYQ325" s="118"/>
      <c r="WYR325" s="118"/>
      <c r="WYS325" s="118"/>
      <c r="WYT325" s="118"/>
      <c r="WYU325" s="118"/>
      <c r="WYV325" s="118"/>
      <c r="WYW325" s="118"/>
      <c r="WYX325" s="118"/>
      <c r="WYY325" s="118"/>
      <c r="WYZ325" s="118"/>
      <c r="WZA325" s="118"/>
      <c r="WZB325" s="118"/>
      <c r="WZC325" s="118"/>
      <c r="WZD325" s="118"/>
      <c r="WZE325" s="118"/>
      <c r="WZF325" s="118"/>
      <c r="WZG325" s="118"/>
      <c r="WZH325" s="118"/>
      <c r="WZI325" s="118"/>
      <c r="WZJ325" s="118"/>
      <c r="WZK325" s="118"/>
      <c r="WZL325" s="118"/>
      <c r="WZM325" s="118"/>
      <c r="WZN325" s="118"/>
      <c r="WZO325" s="118"/>
      <c r="WZP325" s="118"/>
      <c r="WZQ325" s="118"/>
      <c r="WZR325" s="118"/>
      <c r="WZS325" s="118"/>
      <c r="WZT325" s="118"/>
      <c r="WZU325" s="118"/>
      <c r="WZV325" s="118"/>
      <c r="WZW325" s="118"/>
      <c r="WZX325" s="118"/>
      <c r="WZY325" s="118"/>
      <c r="WZZ325" s="118"/>
      <c r="XAA325" s="118"/>
      <c r="XAB325" s="118"/>
      <c r="XAC325" s="118"/>
      <c r="XAD325" s="118"/>
      <c r="XAE325" s="118"/>
      <c r="XAF325" s="118"/>
      <c r="XAG325" s="118"/>
      <c r="XAH325" s="118"/>
      <c r="XAI325" s="118"/>
      <c r="XAJ325" s="118"/>
      <c r="XAK325" s="118"/>
      <c r="XAL325" s="118"/>
      <c r="XAM325" s="118"/>
      <c r="XAN325" s="118"/>
      <c r="XAO325" s="118"/>
      <c r="XAP325" s="118"/>
      <c r="XAQ325" s="118"/>
      <c r="XAR325" s="118"/>
      <c r="XAS325" s="118"/>
      <c r="XAT325" s="118"/>
      <c r="XAU325" s="118"/>
      <c r="XAV325" s="118"/>
      <c r="XAW325" s="118"/>
      <c r="XAX325" s="118"/>
      <c r="XAY325" s="118"/>
      <c r="XAZ325" s="118"/>
      <c r="XBA325" s="118"/>
      <c r="XBB325" s="118"/>
      <c r="XBC325" s="118"/>
      <c r="XBD325" s="118"/>
      <c r="XBE325" s="118"/>
      <c r="XBF325" s="118"/>
      <c r="XBG325" s="118"/>
      <c r="XBH325" s="118"/>
      <c r="XBI325" s="118"/>
      <c r="XBJ325" s="118"/>
      <c r="XBK325" s="118"/>
      <c r="XBL325" s="118"/>
      <c r="XBM325" s="118"/>
      <c r="XBN325" s="118"/>
      <c r="XBO325" s="118"/>
      <c r="XBP325" s="118"/>
      <c r="XBQ325" s="118"/>
      <c r="XBR325" s="118"/>
      <c r="XBS325" s="118"/>
      <c r="XBT325" s="118"/>
      <c r="XBU325" s="118"/>
      <c r="XBV325" s="118"/>
      <c r="XBW325" s="118"/>
      <c r="XBX325" s="118"/>
      <c r="XBY325" s="118"/>
      <c r="XBZ325" s="118"/>
      <c r="XCA325" s="118"/>
      <c r="XCB325" s="118"/>
      <c r="XCC325" s="118"/>
      <c r="XCD325" s="118"/>
      <c r="XCE325" s="118"/>
      <c r="XCF325" s="118"/>
      <c r="XCG325" s="118"/>
      <c r="XCH325" s="118"/>
      <c r="XCI325" s="118"/>
      <c r="XCJ325" s="118"/>
      <c r="XCK325" s="118"/>
      <c r="XCL325" s="118"/>
      <c r="XCM325" s="118"/>
      <c r="XCN325" s="118"/>
      <c r="XCO325" s="118"/>
      <c r="XCP325" s="118"/>
      <c r="XCQ325" s="118"/>
      <c r="XCR325" s="118"/>
      <c r="XCS325" s="118"/>
      <c r="XCT325" s="118"/>
      <c r="XCU325" s="118"/>
      <c r="XCV325" s="118"/>
      <c r="XCW325" s="118"/>
      <c r="XCX325" s="118"/>
      <c r="XCY325" s="118"/>
      <c r="XCZ325" s="118"/>
      <c r="XDA325" s="118"/>
      <c r="XDB325" s="118"/>
      <c r="XDC325" s="118"/>
      <c r="XDD325" s="118"/>
      <c r="XDE325" s="118"/>
      <c r="XDF325" s="118"/>
      <c r="XDG325" s="118"/>
      <c r="XDH325" s="118"/>
      <c r="XDI325" s="118"/>
      <c r="XDJ325" s="118"/>
      <c r="XDK325" s="118"/>
      <c r="XDL325" s="118"/>
      <c r="XDM325" s="118"/>
      <c r="XDN325" s="118"/>
      <c r="XDO325" s="118"/>
      <c r="XDP325" s="118"/>
      <c r="XDQ325" s="118"/>
      <c r="XDR325" s="118"/>
      <c r="XDS325" s="118"/>
      <c r="XDT325" s="118"/>
      <c r="XDU325" s="118"/>
      <c r="XDV325" s="118"/>
      <c r="XDW325" s="118"/>
      <c r="XDX325" s="118"/>
      <c r="XDY325" s="118"/>
      <c r="XDZ325" s="118"/>
      <c r="XEA325" s="118"/>
      <c r="XEB325" s="118"/>
      <c r="XEC325" s="118"/>
      <c r="XED325" s="118"/>
      <c r="XEE325" s="118"/>
      <c r="XEF325" s="118"/>
      <c r="XEG325" s="118"/>
      <c r="XEH325" s="118"/>
      <c r="XEI325" s="118"/>
      <c r="XEJ325" s="118"/>
      <c r="XEK325" s="118"/>
      <c r="XEL325" s="118"/>
      <c r="XEM325" s="118"/>
      <c r="XEN325" s="118"/>
      <c r="XEO325" s="118"/>
      <c r="XEP325" s="118"/>
      <c r="XEQ325" s="118"/>
      <c r="XER325" s="118"/>
      <c r="XES325" s="118"/>
      <c r="XET325" s="118"/>
      <c r="XEU325" s="118"/>
      <c r="XEV325" s="118"/>
      <c r="XEW325" s="118"/>
      <c r="XEX325" s="118"/>
      <c r="XEY325" s="118"/>
      <c r="XEZ325" s="118"/>
      <c r="XFA325" s="118"/>
      <c r="XFB325" s="118"/>
      <c r="XFC325" s="118"/>
      <c r="XFD325" s="118"/>
    </row>
    <row r="326" spans="1:37 16131:16384" ht="12.75" hidden="1" customHeight="1" x14ac:dyDescent="0.3">
      <c r="A326" s="115">
        <v>2850</v>
      </c>
      <c r="B326" s="8" t="s">
        <v>623</v>
      </c>
      <c r="C326" s="65" t="str">
        <f>IFERROR(VLOOKUP(D326,'Target tables'!A:B,2,0),"")</f>
        <v>Связь договора и счета</v>
      </c>
      <c r="D326" s="211" t="s">
        <v>147</v>
      </c>
      <c r="E326" s="66" t="str">
        <f>IFERROR(VLOOKUP(D326&amp;J326,'Target columns'!A:J,4,FALSE),"")</f>
        <v>date</v>
      </c>
      <c r="F326" s="66" t="str">
        <f>IFERROR(VLOOKUP(D326&amp;J326,'Target columns'!A:J,7,FALSE),"")</f>
        <v>Yes</v>
      </c>
      <c r="G326" s="66" t="str">
        <f>IFERROR(VLOOKUP(D326&amp;J326,'Target columns'!A:J,8,FALSE),"")</f>
        <v>No</v>
      </c>
      <c r="H326" s="66" t="str">
        <f>IFERROR(VLOOKUP(D326&amp;J326,'Target columns'!A:J,5,FALSE),"")</f>
        <v>NOT NULL</v>
      </c>
      <c r="I326" s="66" t="str">
        <f>IFERROR(VLOOKUP(D326&amp;J326,'Target columns'!A:J,10,FALSE),"")</f>
        <v>Дата начала действия</v>
      </c>
      <c r="J326" s="8" t="s">
        <v>329</v>
      </c>
      <c r="K326" s="8" t="s">
        <v>150</v>
      </c>
      <c r="L326" s="66" t="str">
        <f>IFERROR(VLOOKUP(K326&amp;N326,source_columns[[Seek]:[Описание поля]],4,0),"")</f>
        <v>timestamp</v>
      </c>
      <c r="M326" s="66" t="str">
        <f>IFERROR(VLOOKUP(K326&amp;N326,source_columns[[Seek]:[Описание поля]],7,0),"")</f>
        <v>Дата и время последнего изменения</v>
      </c>
      <c r="N326" s="8" t="s">
        <v>517</v>
      </c>
      <c r="O326" s="8"/>
      <c r="P326" s="8"/>
      <c r="Q326" s="8"/>
      <c r="R326" s="8"/>
      <c r="S326" s="278"/>
      <c r="T326" s="65"/>
      <c r="U326" s="65"/>
      <c r="V326" s="66" t="str">
        <f>"n308000046_"&amp;IFERROR(VLOOKUP(D326,target_tables[],5,0),"&lt;not found&gt;")</f>
        <v>n308000046_agr_other_coa</v>
      </c>
      <c r="W326" s="65" t="s">
        <v>330</v>
      </c>
      <c r="X326" s="65"/>
      <c r="Y326" s="65"/>
      <c r="Z326" s="65"/>
      <c r="AA326" s="65"/>
      <c r="AB326" s="65"/>
      <c r="AC326" s="65"/>
      <c r="AD326" s="65"/>
      <c r="AE326" s="65"/>
      <c r="AF326" s="299"/>
      <c r="AG326" s="10"/>
      <c r="AH326" s="10"/>
      <c r="AI326" s="10"/>
      <c r="AJ326" s="68"/>
      <c r="AK326" s="69"/>
      <c r="WVK326" s="118"/>
      <c r="WVL326" s="118"/>
      <c r="WVM326" s="118"/>
      <c r="WVN326" s="118"/>
      <c r="WVO326" s="118"/>
      <c r="WVP326" s="118"/>
      <c r="WVQ326" s="118"/>
      <c r="WVR326" s="118"/>
      <c r="WVS326" s="118"/>
      <c r="WVT326" s="118"/>
      <c r="WVU326" s="118"/>
      <c r="WVV326" s="118"/>
      <c r="WVW326" s="118"/>
      <c r="WVX326" s="118"/>
      <c r="WVY326" s="118"/>
      <c r="WVZ326" s="118"/>
      <c r="WWA326" s="118"/>
      <c r="WWB326" s="118"/>
      <c r="WWC326" s="118"/>
      <c r="WWD326" s="118"/>
      <c r="WWE326" s="118"/>
      <c r="WWF326" s="118"/>
      <c r="WWG326" s="118"/>
      <c r="WWH326" s="118"/>
      <c r="WWI326" s="118"/>
      <c r="WWJ326" s="118"/>
      <c r="WWK326" s="118"/>
      <c r="WWL326" s="118"/>
      <c r="WWM326" s="118"/>
      <c r="WWN326" s="118"/>
      <c r="WWO326" s="118"/>
      <c r="WWP326" s="118"/>
      <c r="WWQ326" s="118"/>
      <c r="WWR326" s="118"/>
      <c r="WWS326" s="118"/>
      <c r="WWT326" s="118"/>
      <c r="WWU326" s="118"/>
      <c r="WWV326" s="118"/>
      <c r="WWW326" s="118"/>
      <c r="WWX326" s="118"/>
      <c r="WWY326" s="118"/>
      <c r="WWZ326" s="118"/>
      <c r="WXA326" s="118"/>
      <c r="WXB326" s="118"/>
      <c r="WXC326" s="118"/>
      <c r="WXD326" s="118"/>
      <c r="WXE326" s="118"/>
      <c r="WXF326" s="118"/>
      <c r="WXG326" s="118"/>
      <c r="WXH326" s="118"/>
      <c r="WXI326" s="118"/>
      <c r="WXJ326" s="118"/>
      <c r="WXK326" s="118"/>
      <c r="WXL326" s="118"/>
      <c r="WXM326" s="118"/>
      <c r="WXN326" s="118"/>
      <c r="WXO326" s="118"/>
      <c r="WXP326" s="118"/>
      <c r="WXQ326" s="118"/>
      <c r="WXR326" s="118"/>
      <c r="WXS326" s="118"/>
      <c r="WXT326" s="118"/>
      <c r="WXU326" s="118"/>
      <c r="WXV326" s="118"/>
      <c r="WXW326" s="118"/>
      <c r="WXX326" s="118"/>
      <c r="WXY326" s="118"/>
      <c r="WXZ326" s="118"/>
      <c r="WYA326" s="118"/>
      <c r="WYB326" s="118"/>
      <c r="WYC326" s="118"/>
      <c r="WYD326" s="118"/>
      <c r="WYE326" s="118"/>
      <c r="WYF326" s="118"/>
      <c r="WYG326" s="118"/>
      <c r="WYH326" s="118"/>
      <c r="WYI326" s="118"/>
      <c r="WYJ326" s="118"/>
      <c r="WYK326" s="118"/>
      <c r="WYL326" s="118"/>
      <c r="WYM326" s="118"/>
      <c r="WYN326" s="118"/>
      <c r="WYO326" s="118"/>
      <c r="WYP326" s="118"/>
      <c r="WYQ326" s="118"/>
      <c r="WYR326" s="118"/>
      <c r="WYS326" s="118"/>
      <c r="WYT326" s="118"/>
      <c r="WYU326" s="118"/>
      <c r="WYV326" s="118"/>
      <c r="WYW326" s="118"/>
      <c r="WYX326" s="118"/>
      <c r="WYY326" s="118"/>
      <c r="WYZ326" s="118"/>
      <c r="WZA326" s="118"/>
      <c r="WZB326" s="118"/>
      <c r="WZC326" s="118"/>
      <c r="WZD326" s="118"/>
      <c r="WZE326" s="118"/>
      <c r="WZF326" s="118"/>
      <c r="WZG326" s="118"/>
      <c r="WZH326" s="118"/>
      <c r="WZI326" s="118"/>
      <c r="WZJ326" s="118"/>
      <c r="WZK326" s="118"/>
      <c r="WZL326" s="118"/>
      <c r="WZM326" s="118"/>
      <c r="WZN326" s="118"/>
      <c r="WZO326" s="118"/>
      <c r="WZP326" s="118"/>
      <c r="WZQ326" s="118"/>
      <c r="WZR326" s="118"/>
      <c r="WZS326" s="118"/>
      <c r="WZT326" s="118"/>
      <c r="WZU326" s="118"/>
      <c r="WZV326" s="118"/>
      <c r="WZW326" s="118"/>
      <c r="WZX326" s="118"/>
      <c r="WZY326" s="118"/>
      <c r="WZZ326" s="118"/>
      <c r="XAA326" s="118"/>
      <c r="XAB326" s="118"/>
      <c r="XAC326" s="118"/>
      <c r="XAD326" s="118"/>
      <c r="XAE326" s="118"/>
      <c r="XAF326" s="118"/>
      <c r="XAG326" s="118"/>
      <c r="XAH326" s="118"/>
      <c r="XAI326" s="118"/>
      <c r="XAJ326" s="118"/>
      <c r="XAK326" s="118"/>
      <c r="XAL326" s="118"/>
      <c r="XAM326" s="118"/>
      <c r="XAN326" s="118"/>
      <c r="XAO326" s="118"/>
      <c r="XAP326" s="118"/>
      <c r="XAQ326" s="118"/>
      <c r="XAR326" s="118"/>
      <c r="XAS326" s="118"/>
      <c r="XAT326" s="118"/>
      <c r="XAU326" s="118"/>
      <c r="XAV326" s="118"/>
      <c r="XAW326" s="118"/>
      <c r="XAX326" s="118"/>
      <c r="XAY326" s="118"/>
      <c r="XAZ326" s="118"/>
      <c r="XBA326" s="118"/>
      <c r="XBB326" s="118"/>
      <c r="XBC326" s="118"/>
      <c r="XBD326" s="118"/>
      <c r="XBE326" s="118"/>
      <c r="XBF326" s="118"/>
      <c r="XBG326" s="118"/>
      <c r="XBH326" s="118"/>
      <c r="XBI326" s="118"/>
      <c r="XBJ326" s="118"/>
      <c r="XBK326" s="118"/>
      <c r="XBL326" s="118"/>
      <c r="XBM326" s="118"/>
      <c r="XBN326" s="118"/>
      <c r="XBO326" s="118"/>
      <c r="XBP326" s="118"/>
      <c r="XBQ326" s="118"/>
      <c r="XBR326" s="118"/>
      <c r="XBS326" s="118"/>
      <c r="XBT326" s="118"/>
      <c r="XBU326" s="118"/>
      <c r="XBV326" s="118"/>
      <c r="XBW326" s="118"/>
      <c r="XBX326" s="118"/>
      <c r="XBY326" s="118"/>
      <c r="XBZ326" s="118"/>
      <c r="XCA326" s="118"/>
      <c r="XCB326" s="118"/>
      <c r="XCC326" s="118"/>
      <c r="XCD326" s="118"/>
      <c r="XCE326" s="118"/>
      <c r="XCF326" s="118"/>
      <c r="XCG326" s="118"/>
      <c r="XCH326" s="118"/>
      <c r="XCI326" s="118"/>
      <c r="XCJ326" s="118"/>
      <c r="XCK326" s="118"/>
      <c r="XCL326" s="118"/>
      <c r="XCM326" s="118"/>
      <c r="XCN326" s="118"/>
      <c r="XCO326" s="118"/>
      <c r="XCP326" s="118"/>
      <c r="XCQ326" s="118"/>
      <c r="XCR326" s="118"/>
      <c r="XCS326" s="118"/>
      <c r="XCT326" s="118"/>
      <c r="XCU326" s="118"/>
      <c r="XCV326" s="118"/>
      <c r="XCW326" s="118"/>
      <c r="XCX326" s="118"/>
      <c r="XCY326" s="118"/>
      <c r="XCZ326" s="118"/>
      <c r="XDA326" s="118"/>
      <c r="XDB326" s="118"/>
      <c r="XDC326" s="118"/>
      <c r="XDD326" s="118"/>
      <c r="XDE326" s="118"/>
      <c r="XDF326" s="118"/>
      <c r="XDG326" s="118"/>
      <c r="XDH326" s="118"/>
      <c r="XDI326" s="118"/>
      <c r="XDJ326" s="118"/>
      <c r="XDK326" s="118"/>
      <c r="XDL326" s="118"/>
      <c r="XDM326" s="118"/>
      <c r="XDN326" s="118"/>
      <c r="XDO326" s="118"/>
      <c r="XDP326" s="118"/>
      <c r="XDQ326" s="118"/>
      <c r="XDR326" s="118"/>
      <c r="XDS326" s="118"/>
      <c r="XDT326" s="118"/>
      <c r="XDU326" s="118"/>
      <c r="XDV326" s="118"/>
      <c r="XDW326" s="118"/>
      <c r="XDX326" s="118"/>
      <c r="XDY326" s="118"/>
      <c r="XDZ326" s="118"/>
      <c r="XEA326" s="118"/>
      <c r="XEB326" s="118"/>
      <c r="XEC326" s="118"/>
      <c r="XED326" s="118"/>
      <c r="XEE326" s="118"/>
      <c r="XEF326" s="118"/>
      <c r="XEG326" s="118"/>
      <c r="XEH326" s="118"/>
      <c r="XEI326" s="118"/>
      <c r="XEJ326" s="118"/>
      <c r="XEK326" s="118"/>
      <c r="XEL326" s="118"/>
      <c r="XEM326" s="118"/>
      <c r="XEN326" s="118"/>
      <c r="XEO326" s="118"/>
      <c r="XEP326" s="118"/>
      <c r="XEQ326" s="118"/>
      <c r="XER326" s="118"/>
      <c r="XES326" s="118"/>
      <c r="XET326" s="118"/>
      <c r="XEU326" s="118"/>
      <c r="XEV326" s="118"/>
      <c r="XEW326" s="118"/>
      <c r="XEX326" s="118"/>
      <c r="XEY326" s="118"/>
      <c r="XEZ326" s="118"/>
      <c r="XFA326" s="118"/>
      <c r="XFB326" s="118"/>
      <c r="XFC326" s="118"/>
      <c r="XFD326" s="118"/>
    </row>
    <row r="327" spans="1:37 16131:16384" ht="12.75" hidden="1" customHeight="1" x14ac:dyDescent="0.3">
      <c r="A327" s="115">
        <v>2860</v>
      </c>
      <c r="B327" s="8" t="s">
        <v>623</v>
      </c>
      <c r="C327" s="65" t="str">
        <f>IFERROR(VLOOKUP(D327,'Target tables'!A:B,2,0),"")</f>
        <v>Связь договора и счета</v>
      </c>
      <c r="D327" s="211" t="s">
        <v>147</v>
      </c>
      <c r="E327" s="66" t="str">
        <f>IFERROR(VLOOKUP(D327&amp;J327,'Target columns'!A:J,4,FALSE),"")</f>
        <v>uuid</v>
      </c>
      <c r="F327" s="66" t="str">
        <f>IFERROR(VLOOKUP(D327&amp;J327,'Target columns'!A:J,7,FALSE),"")</f>
        <v>Yes</v>
      </c>
      <c r="G327" s="66" t="str">
        <f>IFERROR(VLOOKUP(D327&amp;J327,'Target columns'!A:J,8,FALSE),"")</f>
        <v>Yes</v>
      </c>
      <c r="H327" s="66" t="str">
        <f>IFERROR(VLOOKUP(D327&amp;J327,'Target columns'!A:J,5,FALSE),"")</f>
        <v>NOT NULL</v>
      </c>
      <c r="I327" s="66" t="str">
        <f>IFERROR(VLOOKUP(D327&amp;J327,'Target columns'!A:J,10,FALSE),"")</f>
        <v>Идентификатор типа связи договора и счета</v>
      </c>
      <c r="J327" s="8" t="s">
        <v>620</v>
      </c>
      <c r="K327" s="8" t="s">
        <v>150</v>
      </c>
      <c r="L327" s="66" t="str">
        <f>IFERROR(VLOOKUP(K327&amp;N327,source_columns[[Seek]:[Описание поля]],4,0),"")</f>
        <v/>
      </c>
      <c r="M327" s="66" t="str">
        <f>IFERROR(VLOOKUP(K327&amp;N327,source_columns[[Seek]:[Описание поля]],7,0),"")</f>
        <v/>
      </c>
      <c r="N327" s="8" t="s">
        <v>632</v>
      </c>
      <c r="O327" s="8"/>
      <c r="P327" s="8"/>
      <c r="Q327" s="8"/>
      <c r="R327" s="8"/>
      <c r="S327" s="278"/>
      <c r="T327" s="65"/>
      <c r="U327" s="65"/>
      <c r="V327" s="66" t="str">
        <f>"n308000046_"&amp;IFERROR(VLOOKUP(D327,target_tables[],5,0),"&lt;not found&gt;")</f>
        <v>n308000046_agr_other_coa</v>
      </c>
      <c r="W327" s="65" t="s">
        <v>269</v>
      </c>
      <c r="X327" s="65"/>
      <c r="Y327" s="65"/>
      <c r="Z327" s="65"/>
      <c r="AA327" s="65"/>
      <c r="AB327" s="65"/>
      <c r="AC327" s="65"/>
      <c r="AD327" s="65"/>
      <c r="AE327" s="65"/>
      <c r="AF327" s="299"/>
      <c r="AG327" s="10"/>
      <c r="AH327" s="10"/>
      <c r="AI327" s="10"/>
      <c r="AJ327" s="68"/>
      <c r="AK327" s="69"/>
      <c r="WVK327" s="118"/>
      <c r="WVL327" s="118"/>
      <c r="WVM327" s="118"/>
      <c r="WVN327" s="118"/>
      <c r="WVO327" s="118"/>
      <c r="WVP327" s="118"/>
      <c r="WVQ327" s="118"/>
      <c r="WVR327" s="118"/>
      <c r="WVS327" s="118"/>
      <c r="WVT327" s="118"/>
      <c r="WVU327" s="118"/>
      <c r="WVV327" s="118"/>
      <c r="WVW327" s="118"/>
      <c r="WVX327" s="118"/>
      <c r="WVY327" s="118"/>
      <c r="WVZ327" s="118"/>
      <c r="WWA327" s="118"/>
      <c r="WWB327" s="118"/>
      <c r="WWC327" s="118"/>
      <c r="WWD327" s="118"/>
      <c r="WWE327" s="118"/>
      <c r="WWF327" s="118"/>
      <c r="WWG327" s="118"/>
      <c r="WWH327" s="118"/>
      <c r="WWI327" s="118"/>
      <c r="WWJ327" s="118"/>
      <c r="WWK327" s="118"/>
      <c r="WWL327" s="118"/>
      <c r="WWM327" s="118"/>
      <c r="WWN327" s="118"/>
      <c r="WWO327" s="118"/>
      <c r="WWP327" s="118"/>
      <c r="WWQ327" s="118"/>
      <c r="WWR327" s="118"/>
      <c r="WWS327" s="118"/>
      <c r="WWT327" s="118"/>
      <c r="WWU327" s="118"/>
      <c r="WWV327" s="118"/>
      <c r="WWW327" s="118"/>
      <c r="WWX327" s="118"/>
      <c r="WWY327" s="118"/>
      <c r="WWZ327" s="118"/>
      <c r="WXA327" s="118"/>
      <c r="WXB327" s="118"/>
      <c r="WXC327" s="118"/>
      <c r="WXD327" s="118"/>
      <c r="WXE327" s="118"/>
      <c r="WXF327" s="118"/>
      <c r="WXG327" s="118"/>
      <c r="WXH327" s="118"/>
      <c r="WXI327" s="118"/>
      <c r="WXJ327" s="118"/>
      <c r="WXK327" s="118"/>
      <c r="WXL327" s="118"/>
      <c r="WXM327" s="118"/>
      <c r="WXN327" s="118"/>
      <c r="WXO327" s="118"/>
      <c r="WXP327" s="118"/>
      <c r="WXQ327" s="118"/>
      <c r="WXR327" s="118"/>
      <c r="WXS327" s="118"/>
      <c r="WXT327" s="118"/>
      <c r="WXU327" s="118"/>
      <c r="WXV327" s="118"/>
      <c r="WXW327" s="118"/>
      <c r="WXX327" s="118"/>
      <c r="WXY327" s="118"/>
      <c r="WXZ327" s="118"/>
      <c r="WYA327" s="118"/>
      <c r="WYB327" s="118"/>
      <c r="WYC327" s="118"/>
      <c r="WYD327" s="118"/>
      <c r="WYE327" s="118"/>
      <c r="WYF327" s="118"/>
      <c r="WYG327" s="118"/>
      <c r="WYH327" s="118"/>
      <c r="WYI327" s="118"/>
      <c r="WYJ327" s="118"/>
      <c r="WYK327" s="118"/>
      <c r="WYL327" s="118"/>
      <c r="WYM327" s="118"/>
      <c r="WYN327" s="118"/>
      <c r="WYO327" s="118"/>
      <c r="WYP327" s="118"/>
      <c r="WYQ327" s="118"/>
      <c r="WYR327" s="118"/>
      <c r="WYS327" s="118"/>
      <c r="WYT327" s="118"/>
      <c r="WYU327" s="118"/>
      <c r="WYV327" s="118"/>
      <c r="WYW327" s="118"/>
      <c r="WYX327" s="118"/>
      <c r="WYY327" s="118"/>
      <c r="WYZ327" s="118"/>
      <c r="WZA327" s="118"/>
      <c r="WZB327" s="118"/>
      <c r="WZC327" s="118"/>
      <c r="WZD327" s="118"/>
      <c r="WZE327" s="118"/>
      <c r="WZF327" s="118"/>
      <c r="WZG327" s="118"/>
      <c r="WZH327" s="118"/>
      <c r="WZI327" s="118"/>
      <c r="WZJ327" s="118"/>
      <c r="WZK327" s="118"/>
      <c r="WZL327" s="118"/>
      <c r="WZM327" s="118"/>
      <c r="WZN327" s="118"/>
      <c r="WZO327" s="118"/>
      <c r="WZP327" s="118"/>
      <c r="WZQ327" s="118"/>
      <c r="WZR327" s="118"/>
      <c r="WZS327" s="118"/>
      <c r="WZT327" s="118"/>
      <c r="WZU327" s="118"/>
      <c r="WZV327" s="118"/>
      <c r="WZW327" s="118"/>
      <c r="WZX327" s="118"/>
      <c r="WZY327" s="118"/>
      <c r="WZZ327" s="118"/>
      <c r="XAA327" s="118"/>
      <c r="XAB327" s="118"/>
      <c r="XAC327" s="118"/>
      <c r="XAD327" s="118"/>
      <c r="XAE327" s="118"/>
      <c r="XAF327" s="118"/>
      <c r="XAG327" s="118"/>
      <c r="XAH327" s="118"/>
      <c r="XAI327" s="118"/>
      <c r="XAJ327" s="118"/>
      <c r="XAK327" s="118"/>
      <c r="XAL327" s="118"/>
      <c r="XAM327" s="118"/>
      <c r="XAN327" s="118"/>
      <c r="XAO327" s="118"/>
      <c r="XAP327" s="118"/>
      <c r="XAQ327" s="118"/>
      <c r="XAR327" s="118"/>
      <c r="XAS327" s="118"/>
      <c r="XAT327" s="118"/>
      <c r="XAU327" s="118"/>
      <c r="XAV327" s="118"/>
      <c r="XAW327" s="118"/>
      <c r="XAX327" s="118"/>
      <c r="XAY327" s="118"/>
      <c r="XAZ327" s="118"/>
      <c r="XBA327" s="118"/>
      <c r="XBB327" s="118"/>
      <c r="XBC327" s="118"/>
      <c r="XBD327" s="118"/>
      <c r="XBE327" s="118"/>
      <c r="XBF327" s="118"/>
      <c r="XBG327" s="118"/>
      <c r="XBH327" s="118"/>
      <c r="XBI327" s="118"/>
      <c r="XBJ327" s="118"/>
      <c r="XBK327" s="118"/>
      <c r="XBL327" s="118"/>
      <c r="XBM327" s="118"/>
      <c r="XBN327" s="118"/>
      <c r="XBO327" s="118"/>
      <c r="XBP327" s="118"/>
      <c r="XBQ327" s="118"/>
      <c r="XBR327" s="118"/>
      <c r="XBS327" s="118"/>
      <c r="XBT327" s="118"/>
      <c r="XBU327" s="118"/>
      <c r="XBV327" s="118"/>
      <c r="XBW327" s="118"/>
      <c r="XBX327" s="118"/>
      <c r="XBY327" s="118"/>
      <c r="XBZ327" s="118"/>
      <c r="XCA327" s="118"/>
      <c r="XCB327" s="118"/>
      <c r="XCC327" s="118"/>
      <c r="XCD327" s="118"/>
      <c r="XCE327" s="118"/>
      <c r="XCF327" s="118"/>
      <c r="XCG327" s="118"/>
      <c r="XCH327" s="118"/>
      <c r="XCI327" s="118"/>
      <c r="XCJ327" s="118"/>
      <c r="XCK327" s="118"/>
      <c r="XCL327" s="118"/>
      <c r="XCM327" s="118"/>
      <c r="XCN327" s="118"/>
      <c r="XCO327" s="118"/>
      <c r="XCP327" s="118"/>
      <c r="XCQ327" s="118"/>
      <c r="XCR327" s="118"/>
      <c r="XCS327" s="118"/>
      <c r="XCT327" s="118"/>
      <c r="XCU327" s="118"/>
      <c r="XCV327" s="118"/>
      <c r="XCW327" s="118"/>
      <c r="XCX327" s="118"/>
      <c r="XCY327" s="118"/>
      <c r="XCZ327" s="118"/>
      <c r="XDA327" s="118"/>
      <c r="XDB327" s="118"/>
      <c r="XDC327" s="118"/>
      <c r="XDD327" s="118"/>
      <c r="XDE327" s="118"/>
      <c r="XDF327" s="118"/>
      <c r="XDG327" s="118"/>
      <c r="XDH327" s="118"/>
      <c r="XDI327" s="118"/>
      <c r="XDJ327" s="118"/>
      <c r="XDK327" s="118"/>
      <c r="XDL327" s="118"/>
      <c r="XDM327" s="118"/>
      <c r="XDN327" s="118"/>
      <c r="XDO327" s="118"/>
      <c r="XDP327" s="118"/>
      <c r="XDQ327" s="118"/>
      <c r="XDR327" s="118"/>
      <c r="XDS327" s="118"/>
      <c r="XDT327" s="118"/>
      <c r="XDU327" s="118"/>
      <c r="XDV327" s="118"/>
      <c r="XDW327" s="118"/>
      <c r="XDX327" s="118"/>
      <c r="XDY327" s="118"/>
      <c r="XDZ327" s="118"/>
      <c r="XEA327" s="118"/>
      <c r="XEB327" s="118"/>
      <c r="XEC327" s="118"/>
      <c r="XED327" s="118"/>
      <c r="XEE327" s="118"/>
      <c r="XEF327" s="118"/>
      <c r="XEG327" s="118"/>
      <c r="XEH327" s="118"/>
      <c r="XEI327" s="118"/>
      <c r="XEJ327" s="118"/>
      <c r="XEK327" s="118"/>
      <c r="XEL327" s="118"/>
      <c r="XEM327" s="118"/>
      <c r="XEN327" s="118"/>
      <c r="XEO327" s="118"/>
      <c r="XEP327" s="118"/>
      <c r="XEQ327" s="118"/>
      <c r="XER327" s="118"/>
      <c r="XES327" s="118"/>
      <c r="XET327" s="118"/>
      <c r="XEU327" s="118"/>
      <c r="XEV327" s="118"/>
      <c r="XEW327" s="118"/>
      <c r="XEX327" s="118"/>
      <c r="XEY327" s="118"/>
      <c r="XEZ327" s="118"/>
      <c r="XFA327" s="118"/>
      <c r="XFB327" s="118"/>
      <c r="XFC327" s="118"/>
      <c r="XFD327" s="118"/>
    </row>
    <row r="328" spans="1:37 16131:16384" ht="12.75" hidden="1" customHeight="1" x14ac:dyDescent="0.3">
      <c r="A328" s="115">
        <v>2870</v>
      </c>
      <c r="B328" s="8" t="s">
        <v>623</v>
      </c>
      <c r="C328" s="65" t="str">
        <f>IFERROR(VLOOKUP(D328,'Target tables'!A:B,2,0),"")</f>
        <v>Связь договора и счета</v>
      </c>
      <c r="D328" s="211" t="s">
        <v>147</v>
      </c>
      <c r="E328" s="66" t="str">
        <f>IFERROR(VLOOKUP(D328&amp;J328,'Target columns'!A:J,4,FALSE),"")</f>
        <v>uuid</v>
      </c>
      <c r="F328" s="66" t="str">
        <f>IFERROR(VLOOKUP(D328&amp;J328,'Target columns'!A:J,7,FALSE),"")</f>
        <v>No</v>
      </c>
      <c r="G328" s="66" t="str">
        <f>IFERROR(VLOOKUP(D328&amp;J328,'Target columns'!A:J,8,FALSE),"")</f>
        <v>Yes</v>
      </c>
      <c r="H328" s="66" t="str">
        <f>IFERROR(VLOOKUP(D328&amp;J328,'Target columns'!A:J,5,FALSE),"")</f>
        <v>NOT NULL</v>
      </c>
      <c r="I328" s="66" t="str">
        <f>IFERROR(VLOOKUP(D328&amp;J328,'Target columns'!A:J,10,FALSE),"")</f>
        <v>Идентификатор счета</v>
      </c>
      <c r="J328" s="8" t="s">
        <v>564</v>
      </c>
      <c r="K328" s="8" t="s">
        <v>150</v>
      </c>
      <c r="L328" s="66" t="str">
        <f>IFERROR(VLOOKUP(K328&amp;N328,source_columns[[Seek]:[Описание поля]],4,0),"")</f>
        <v>uuid</v>
      </c>
      <c r="M328" s="66" t="str">
        <f>IFERROR(VLOOKUP(K328&amp;N328,source_columns[[Seek]:[Описание поля]],7,0),"")</f>
        <v>Счет плательщика для списания комиссий</v>
      </c>
      <c r="N328" s="8" t="s">
        <v>633</v>
      </c>
      <c r="O328" s="8"/>
      <c r="P328" s="8"/>
      <c r="Q328" s="8"/>
      <c r="R328" s="8"/>
      <c r="S328" s="278"/>
      <c r="T328" s="65"/>
      <c r="U328" s="65"/>
      <c r="V328" s="66" t="str">
        <f>"n308000046_"&amp;IFERROR(VLOOKUP(D328,target_tables[],5,0),"&lt;not found&gt;")</f>
        <v>n308000046_agr_other_coa</v>
      </c>
      <c r="W328" s="65" t="s">
        <v>273</v>
      </c>
      <c r="X328" s="65"/>
      <c r="Y328" s="65"/>
      <c r="Z328" s="65"/>
      <c r="AA328" s="65"/>
      <c r="AB328" s="65"/>
      <c r="AC328" s="65"/>
      <c r="AD328" s="65"/>
      <c r="AE328" s="65"/>
      <c r="AF328" s="299"/>
      <c r="AG328" s="10"/>
      <c r="AH328" s="10"/>
      <c r="AI328" s="10"/>
      <c r="AJ328" s="68"/>
      <c r="AK328" s="69"/>
      <c r="WVK328" s="118"/>
      <c r="WVL328" s="118"/>
      <c r="WVM328" s="118"/>
      <c r="WVN328" s="118"/>
      <c r="WVO328" s="118"/>
      <c r="WVP328" s="118"/>
      <c r="WVQ328" s="118"/>
      <c r="WVR328" s="118"/>
      <c r="WVS328" s="118"/>
      <c r="WVT328" s="118"/>
      <c r="WVU328" s="118"/>
      <c r="WVV328" s="118"/>
      <c r="WVW328" s="118"/>
      <c r="WVX328" s="118"/>
      <c r="WVY328" s="118"/>
      <c r="WVZ328" s="118"/>
      <c r="WWA328" s="118"/>
      <c r="WWB328" s="118"/>
      <c r="WWC328" s="118"/>
      <c r="WWD328" s="118"/>
      <c r="WWE328" s="118"/>
      <c r="WWF328" s="118"/>
      <c r="WWG328" s="118"/>
      <c r="WWH328" s="118"/>
      <c r="WWI328" s="118"/>
      <c r="WWJ328" s="118"/>
      <c r="WWK328" s="118"/>
      <c r="WWL328" s="118"/>
      <c r="WWM328" s="118"/>
      <c r="WWN328" s="118"/>
      <c r="WWO328" s="118"/>
      <c r="WWP328" s="118"/>
      <c r="WWQ328" s="118"/>
      <c r="WWR328" s="118"/>
      <c r="WWS328" s="118"/>
      <c r="WWT328" s="118"/>
      <c r="WWU328" s="118"/>
      <c r="WWV328" s="118"/>
      <c r="WWW328" s="118"/>
      <c r="WWX328" s="118"/>
      <c r="WWY328" s="118"/>
      <c r="WWZ328" s="118"/>
      <c r="WXA328" s="118"/>
      <c r="WXB328" s="118"/>
      <c r="WXC328" s="118"/>
      <c r="WXD328" s="118"/>
      <c r="WXE328" s="118"/>
      <c r="WXF328" s="118"/>
      <c r="WXG328" s="118"/>
      <c r="WXH328" s="118"/>
      <c r="WXI328" s="118"/>
      <c r="WXJ328" s="118"/>
      <c r="WXK328" s="118"/>
      <c r="WXL328" s="118"/>
      <c r="WXM328" s="118"/>
      <c r="WXN328" s="118"/>
      <c r="WXO328" s="118"/>
      <c r="WXP328" s="118"/>
      <c r="WXQ328" s="118"/>
      <c r="WXR328" s="118"/>
      <c r="WXS328" s="118"/>
      <c r="WXT328" s="118"/>
      <c r="WXU328" s="118"/>
      <c r="WXV328" s="118"/>
      <c r="WXW328" s="118"/>
      <c r="WXX328" s="118"/>
      <c r="WXY328" s="118"/>
      <c r="WXZ328" s="118"/>
      <c r="WYA328" s="118"/>
      <c r="WYB328" s="118"/>
      <c r="WYC328" s="118"/>
      <c r="WYD328" s="118"/>
      <c r="WYE328" s="118"/>
      <c r="WYF328" s="118"/>
      <c r="WYG328" s="118"/>
      <c r="WYH328" s="118"/>
      <c r="WYI328" s="118"/>
      <c r="WYJ328" s="118"/>
      <c r="WYK328" s="118"/>
      <c r="WYL328" s="118"/>
      <c r="WYM328" s="118"/>
      <c r="WYN328" s="118"/>
      <c r="WYO328" s="118"/>
      <c r="WYP328" s="118"/>
      <c r="WYQ328" s="118"/>
      <c r="WYR328" s="118"/>
      <c r="WYS328" s="118"/>
      <c r="WYT328" s="118"/>
      <c r="WYU328" s="118"/>
      <c r="WYV328" s="118"/>
      <c r="WYW328" s="118"/>
      <c r="WYX328" s="118"/>
      <c r="WYY328" s="118"/>
      <c r="WYZ328" s="118"/>
      <c r="WZA328" s="118"/>
      <c r="WZB328" s="118"/>
      <c r="WZC328" s="118"/>
      <c r="WZD328" s="118"/>
      <c r="WZE328" s="118"/>
      <c r="WZF328" s="118"/>
      <c r="WZG328" s="118"/>
      <c r="WZH328" s="118"/>
      <c r="WZI328" s="118"/>
      <c r="WZJ328" s="118"/>
      <c r="WZK328" s="118"/>
      <c r="WZL328" s="118"/>
      <c r="WZM328" s="118"/>
      <c r="WZN328" s="118"/>
      <c r="WZO328" s="118"/>
      <c r="WZP328" s="118"/>
      <c r="WZQ328" s="118"/>
      <c r="WZR328" s="118"/>
      <c r="WZS328" s="118"/>
      <c r="WZT328" s="118"/>
      <c r="WZU328" s="118"/>
      <c r="WZV328" s="118"/>
      <c r="WZW328" s="118"/>
      <c r="WZX328" s="118"/>
      <c r="WZY328" s="118"/>
      <c r="WZZ328" s="118"/>
      <c r="XAA328" s="118"/>
      <c r="XAB328" s="118"/>
      <c r="XAC328" s="118"/>
      <c r="XAD328" s="118"/>
      <c r="XAE328" s="118"/>
      <c r="XAF328" s="118"/>
      <c r="XAG328" s="118"/>
      <c r="XAH328" s="118"/>
      <c r="XAI328" s="118"/>
      <c r="XAJ328" s="118"/>
      <c r="XAK328" s="118"/>
      <c r="XAL328" s="118"/>
      <c r="XAM328" s="118"/>
      <c r="XAN328" s="118"/>
      <c r="XAO328" s="118"/>
      <c r="XAP328" s="118"/>
      <c r="XAQ328" s="118"/>
      <c r="XAR328" s="118"/>
      <c r="XAS328" s="118"/>
      <c r="XAT328" s="118"/>
      <c r="XAU328" s="118"/>
      <c r="XAV328" s="118"/>
      <c r="XAW328" s="118"/>
      <c r="XAX328" s="118"/>
      <c r="XAY328" s="118"/>
      <c r="XAZ328" s="118"/>
      <c r="XBA328" s="118"/>
      <c r="XBB328" s="118"/>
      <c r="XBC328" s="118"/>
      <c r="XBD328" s="118"/>
      <c r="XBE328" s="118"/>
      <c r="XBF328" s="118"/>
      <c r="XBG328" s="118"/>
      <c r="XBH328" s="118"/>
      <c r="XBI328" s="118"/>
      <c r="XBJ328" s="118"/>
      <c r="XBK328" s="118"/>
      <c r="XBL328" s="118"/>
      <c r="XBM328" s="118"/>
      <c r="XBN328" s="118"/>
      <c r="XBO328" s="118"/>
      <c r="XBP328" s="118"/>
      <c r="XBQ328" s="118"/>
      <c r="XBR328" s="118"/>
      <c r="XBS328" s="118"/>
      <c r="XBT328" s="118"/>
      <c r="XBU328" s="118"/>
      <c r="XBV328" s="118"/>
      <c r="XBW328" s="118"/>
      <c r="XBX328" s="118"/>
      <c r="XBY328" s="118"/>
      <c r="XBZ328" s="118"/>
      <c r="XCA328" s="118"/>
      <c r="XCB328" s="118"/>
      <c r="XCC328" s="118"/>
      <c r="XCD328" s="118"/>
      <c r="XCE328" s="118"/>
      <c r="XCF328" s="118"/>
      <c r="XCG328" s="118"/>
      <c r="XCH328" s="118"/>
      <c r="XCI328" s="118"/>
      <c r="XCJ328" s="118"/>
      <c r="XCK328" s="118"/>
      <c r="XCL328" s="118"/>
      <c r="XCM328" s="118"/>
      <c r="XCN328" s="118"/>
      <c r="XCO328" s="118"/>
      <c r="XCP328" s="118"/>
      <c r="XCQ328" s="118"/>
      <c r="XCR328" s="118"/>
      <c r="XCS328" s="118"/>
      <c r="XCT328" s="118"/>
      <c r="XCU328" s="118"/>
      <c r="XCV328" s="118"/>
      <c r="XCW328" s="118"/>
      <c r="XCX328" s="118"/>
      <c r="XCY328" s="118"/>
      <c r="XCZ328" s="118"/>
      <c r="XDA328" s="118"/>
      <c r="XDB328" s="118"/>
      <c r="XDC328" s="118"/>
      <c r="XDD328" s="118"/>
      <c r="XDE328" s="118"/>
      <c r="XDF328" s="118"/>
      <c r="XDG328" s="118"/>
      <c r="XDH328" s="118"/>
      <c r="XDI328" s="118"/>
      <c r="XDJ328" s="118"/>
      <c r="XDK328" s="118"/>
      <c r="XDL328" s="118"/>
      <c r="XDM328" s="118"/>
      <c r="XDN328" s="118"/>
      <c r="XDO328" s="118"/>
      <c r="XDP328" s="118"/>
      <c r="XDQ328" s="118"/>
      <c r="XDR328" s="118"/>
      <c r="XDS328" s="118"/>
      <c r="XDT328" s="118"/>
      <c r="XDU328" s="118"/>
      <c r="XDV328" s="118"/>
      <c r="XDW328" s="118"/>
      <c r="XDX328" s="118"/>
      <c r="XDY328" s="118"/>
      <c r="XDZ328" s="118"/>
      <c r="XEA328" s="118"/>
      <c r="XEB328" s="118"/>
      <c r="XEC328" s="118"/>
      <c r="XED328" s="118"/>
      <c r="XEE328" s="118"/>
      <c r="XEF328" s="118"/>
      <c r="XEG328" s="118"/>
      <c r="XEH328" s="118"/>
      <c r="XEI328" s="118"/>
      <c r="XEJ328" s="118"/>
      <c r="XEK328" s="118"/>
      <c r="XEL328" s="118"/>
      <c r="XEM328" s="118"/>
      <c r="XEN328" s="118"/>
      <c r="XEO328" s="118"/>
      <c r="XEP328" s="118"/>
      <c r="XEQ328" s="118"/>
      <c r="XER328" s="118"/>
      <c r="XES328" s="118"/>
      <c r="XET328" s="118"/>
      <c r="XEU328" s="118"/>
      <c r="XEV328" s="118"/>
      <c r="XEW328" s="118"/>
      <c r="XEX328" s="118"/>
      <c r="XEY328" s="118"/>
      <c r="XEZ328" s="118"/>
      <c r="XFA328" s="118"/>
      <c r="XFB328" s="118"/>
      <c r="XFC328" s="118"/>
      <c r="XFD328" s="118"/>
    </row>
    <row r="329" spans="1:37 16131:16384" ht="12.75" hidden="1" customHeight="1" x14ac:dyDescent="0.3">
      <c r="A329" s="116">
        <v>2880</v>
      </c>
      <c r="B329" s="20" t="s">
        <v>623</v>
      </c>
      <c r="C329" s="71" t="str">
        <f>IFERROR(VLOOKUP(D329,'Target tables'!A:B,2,0),"")</f>
        <v>Связь договора и счета</v>
      </c>
      <c r="D329" s="212" t="s">
        <v>147</v>
      </c>
      <c r="E329" s="73" t="str">
        <f>IFERROR(VLOOKUP(D329&amp;J329,'Target columns'!A:J,4,FALSE),"")</f>
        <v>date</v>
      </c>
      <c r="F329" s="73" t="str">
        <f>IFERROR(VLOOKUP(D329&amp;J329,'Target columns'!A:J,7,FALSE),"")</f>
        <v>No</v>
      </c>
      <c r="G329" s="73" t="str">
        <f>IFERROR(VLOOKUP(D329&amp;J329,'Target columns'!A:J,8,FALSE),"")</f>
        <v>No</v>
      </c>
      <c r="H329" s="73" t="str">
        <f>IFERROR(VLOOKUP(D329&amp;J329,'Target columns'!A:J,5,FALSE),"")</f>
        <v>NULL</v>
      </c>
      <c r="I329" s="73" t="str">
        <f>IFERROR(VLOOKUP(D329&amp;J329,'Target columns'!A:J,10,FALSE),"")</f>
        <v>Дата окончания действия</v>
      </c>
      <c r="J329" s="20" t="s">
        <v>331</v>
      </c>
      <c r="K329" s="20" t="s">
        <v>150</v>
      </c>
      <c r="L329" s="73" t="str">
        <f>IFERROR(VLOOKUP(K329&amp;N329,source_columns[[Seek]:[Описание поля]],4,0),"")</f>
        <v/>
      </c>
      <c r="M329" s="73" t="str">
        <f>IFERROR(VLOOKUP(K329&amp;N329,source_columns[[Seek]:[Описание поля]],7,0),"")</f>
        <v/>
      </c>
      <c r="N329" s="20" t="s">
        <v>603</v>
      </c>
      <c r="O329" s="20"/>
      <c r="P329" s="20"/>
      <c r="Q329" s="20"/>
      <c r="R329" s="20"/>
      <c r="S329" s="278"/>
      <c r="T329" s="71"/>
      <c r="U329" s="71"/>
      <c r="V329" s="73" t="str">
        <f>"n308000046_"&amp;IFERROR(VLOOKUP(D329,target_tables[],5,0),"&lt;not found&gt;")</f>
        <v>n308000046_agr_other_coa</v>
      </c>
      <c r="W329" s="65" t="s">
        <v>332</v>
      </c>
      <c r="X329" s="71"/>
      <c r="Y329" s="71"/>
      <c r="Z329" s="71"/>
      <c r="AA329" s="71"/>
      <c r="AB329" s="71"/>
      <c r="AC329" s="71"/>
      <c r="AD329" s="71"/>
      <c r="AE329" s="71"/>
      <c r="AF329" s="299"/>
      <c r="AG329" s="27"/>
      <c r="AH329" s="27"/>
      <c r="AI329" s="27"/>
      <c r="AJ329" s="75"/>
      <c r="AK329" s="69"/>
      <c r="WVK329" s="118"/>
      <c r="WVL329" s="118"/>
      <c r="WVM329" s="118"/>
      <c r="WVN329" s="118"/>
      <c r="WVO329" s="118"/>
      <c r="WVP329" s="118"/>
      <c r="WVQ329" s="118"/>
      <c r="WVR329" s="118"/>
      <c r="WVS329" s="118"/>
      <c r="WVT329" s="118"/>
      <c r="WVU329" s="118"/>
      <c r="WVV329" s="118"/>
      <c r="WVW329" s="118"/>
      <c r="WVX329" s="118"/>
      <c r="WVY329" s="118"/>
      <c r="WVZ329" s="118"/>
      <c r="WWA329" s="118"/>
      <c r="WWB329" s="118"/>
      <c r="WWC329" s="118"/>
      <c r="WWD329" s="118"/>
      <c r="WWE329" s="118"/>
      <c r="WWF329" s="118"/>
      <c r="WWG329" s="118"/>
      <c r="WWH329" s="118"/>
      <c r="WWI329" s="118"/>
      <c r="WWJ329" s="118"/>
      <c r="WWK329" s="118"/>
      <c r="WWL329" s="118"/>
      <c r="WWM329" s="118"/>
      <c r="WWN329" s="118"/>
      <c r="WWO329" s="118"/>
      <c r="WWP329" s="118"/>
      <c r="WWQ329" s="118"/>
      <c r="WWR329" s="118"/>
      <c r="WWS329" s="118"/>
      <c r="WWT329" s="118"/>
      <c r="WWU329" s="118"/>
      <c r="WWV329" s="118"/>
      <c r="WWW329" s="118"/>
      <c r="WWX329" s="118"/>
      <c r="WWY329" s="118"/>
      <c r="WWZ329" s="118"/>
      <c r="WXA329" s="118"/>
      <c r="WXB329" s="118"/>
      <c r="WXC329" s="118"/>
      <c r="WXD329" s="118"/>
      <c r="WXE329" s="118"/>
      <c r="WXF329" s="118"/>
      <c r="WXG329" s="118"/>
      <c r="WXH329" s="118"/>
      <c r="WXI329" s="118"/>
      <c r="WXJ329" s="118"/>
      <c r="WXK329" s="118"/>
      <c r="WXL329" s="118"/>
      <c r="WXM329" s="118"/>
      <c r="WXN329" s="118"/>
      <c r="WXO329" s="118"/>
      <c r="WXP329" s="118"/>
      <c r="WXQ329" s="118"/>
      <c r="WXR329" s="118"/>
      <c r="WXS329" s="118"/>
      <c r="WXT329" s="118"/>
      <c r="WXU329" s="118"/>
      <c r="WXV329" s="118"/>
      <c r="WXW329" s="118"/>
      <c r="WXX329" s="118"/>
      <c r="WXY329" s="118"/>
      <c r="WXZ329" s="118"/>
      <c r="WYA329" s="118"/>
      <c r="WYB329" s="118"/>
      <c r="WYC329" s="118"/>
      <c r="WYD329" s="118"/>
      <c r="WYE329" s="118"/>
      <c r="WYF329" s="118"/>
      <c r="WYG329" s="118"/>
      <c r="WYH329" s="118"/>
      <c r="WYI329" s="118"/>
      <c r="WYJ329" s="118"/>
      <c r="WYK329" s="118"/>
      <c r="WYL329" s="118"/>
      <c r="WYM329" s="118"/>
      <c r="WYN329" s="118"/>
      <c r="WYO329" s="118"/>
      <c r="WYP329" s="118"/>
      <c r="WYQ329" s="118"/>
      <c r="WYR329" s="118"/>
      <c r="WYS329" s="118"/>
      <c r="WYT329" s="118"/>
      <c r="WYU329" s="118"/>
      <c r="WYV329" s="118"/>
      <c r="WYW329" s="118"/>
      <c r="WYX329" s="118"/>
      <c r="WYY329" s="118"/>
      <c r="WYZ329" s="118"/>
      <c r="WZA329" s="118"/>
      <c r="WZB329" s="118"/>
      <c r="WZC329" s="118"/>
      <c r="WZD329" s="118"/>
      <c r="WZE329" s="118"/>
      <c r="WZF329" s="118"/>
      <c r="WZG329" s="118"/>
      <c r="WZH329" s="118"/>
      <c r="WZI329" s="118"/>
      <c r="WZJ329" s="118"/>
      <c r="WZK329" s="118"/>
      <c r="WZL329" s="118"/>
      <c r="WZM329" s="118"/>
      <c r="WZN329" s="118"/>
      <c r="WZO329" s="118"/>
      <c r="WZP329" s="118"/>
      <c r="WZQ329" s="118"/>
      <c r="WZR329" s="118"/>
      <c r="WZS329" s="118"/>
      <c r="WZT329" s="118"/>
      <c r="WZU329" s="118"/>
      <c r="WZV329" s="118"/>
      <c r="WZW329" s="118"/>
      <c r="WZX329" s="118"/>
      <c r="WZY329" s="118"/>
      <c r="WZZ329" s="118"/>
      <c r="XAA329" s="118"/>
      <c r="XAB329" s="118"/>
      <c r="XAC329" s="118"/>
      <c r="XAD329" s="118"/>
      <c r="XAE329" s="118"/>
      <c r="XAF329" s="118"/>
      <c r="XAG329" s="118"/>
      <c r="XAH329" s="118"/>
      <c r="XAI329" s="118"/>
      <c r="XAJ329" s="118"/>
      <c r="XAK329" s="118"/>
      <c r="XAL329" s="118"/>
      <c r="XAM329" s="118"/>
      <c r="XAN329" s="118"/>
      <c r="XAO329" s="118"/>
      <c r="XAP329" s="118"/>
      <c r="XAQ329" s="118"/>
      <c r="XAR329" s="118"/>
      <c r="XAS329" s="118"/>
      <c r="XAT329" s="118"/>
      <c r="XAU329" s="118"/>
      <c r="XAV329" s="118"/>
      <c r="XAW329" s="118"/>
      <c r="XAX329" s="118"/>
      <c r="XAY329" s="118"/>
      <c r="XAZ329" s="118"/>
      <c r="XBA329" s="118"/>
      <c r="XBB329" s="118"/>
      <c r="XBC329" s="118"/>
      <c r="XBD329" s="118"/>
      <c r="XBE329" s="118"/>
      <c r="XBF329" s="118"/>
      <c r="XBG329" s="118"/>
      <c r="XBH329" s="118"/>
      <c r="XBI329" s="118"/>
      <c r="XBJ329" s="118"/>
      <c r="XBK329" s="118"/>
      <c r="XBL329" s="118"/>
      <c r="XBM329" s="118"/>
      <c r="XBN329" s="118"/>
      <c r="XBO329" s="118"/>
      <c r="XBP329" s="118"/>
      <c r="XBQ329" s="118"/>
      <c r="XBR329" s="118"/>
      <c r="XBS329" s="118"/>
      <c r="XBT329" s="118"/>
      <c r="XBU329" s="118"/>
      <c r="XBV329" s="118"/>
      <c r="XBW329" s="118"/>
      <c r="XBX329" s="118"/>
      <c r="XBY329" s="118"/>
      <c r="XBZ329" s="118"/>
      <c r="XCA329" s="118"/>
      <c r="XCB329" s="118"/>
      <c r="XCC329" s="118"/>
      <c r="XCD329" s="118"/>
      <c r="XCE329" s="118"/>
      <c r="XCF329" s="118"/>
      <c r="XCG329" s="118"/>
      <c r="XCH329" s="118"/>
      <c r="XCI329" s="118"/>
      <c r="XCJ329" s="118"/>
      <c r="XCK329" s="118"/>
      <c r="XCL329" s="118"/>
      <c r="XCM329" s="118"/>
      <c r="XCN329" s="118"/>
      <c r="XCO329" s="118"/>
      <c r="XCP329" s="118"/>
      <c r="XCQ329" s="118"/>
      <c r="XCR329" s="118"/>
      <c r="XCS329" s="118"/>
      <c r="XCT329" s="118"/>
      <c r="XCU329" s="118"/>
      <c r="XCV329" s="118"/>
      <c r="XCW329" s="118"/>
      <c r="XCX329" s="118"/>
      <c r="XCY329" s="118"/>
      <c r="XCZ329" s="118"/>
      <c r="XDA329" s="118"/>
      <c r="XDB329" s="118"/>
      <c r="XDC329" s="118"/>
      <c r="XDD329" s="118"/>
      <c r="XDE329" s="118"/>
      <c r="XDF329" s="118"/>
      <c r="XDG329" s="118"/>
      <c r="XDH329" s="118"/>
      <c r="XDI329" s="118"/>
      <c r="XDJ329" s="118"/>
      <c r="XDK329" s="118"/>
      <c r="XDL329" s="118"/>
      <c r="XDM329" s="118"/>
      <c r="XDN329" s="118"/>
      <c r="XDO329" s="118"/>
      <c r="XDP329" s="118"/>
      <c r="XDQ329" s="118"/>
      <c r="XDR329" s="118"/>
      <c r="XDS329" s="118"/>
      <c r="XDT329" s="118"/>
      <c r="XDU329" s="118"/>
      <c r="XDV329" s="118"/>
      <c r="XDW329" s="118"/>
      <c r="XDX329" s="118"/>
      <c r="XDY329" s="118"/>
      <c r="XDZ329" s="118"/>
      <c r="XEA329" s="118"/>
      <c r="XEB329" s="118"/>
      <c r="XEC329" s="118"/>
      <c r="XED329" s="118"/>
      <c r="XEE329" s="118"/>
      <c r="XEF329" s="118"/>
      <c r="XEG329" s="118"/>
      <c r="XEH329" s="118"/>
      <c r="XEI329" s="118"/>
      <c r="XEJ329" s="118"/>
      <c r="XEK329" s="118"/>
      <c r="XEL329" s="118"/>
      <c r="XEM329" s="118"/>
      <c r="XEN329" s="118"/>
      <c r="XEO329" s="118"/>
      <c r="XEP329" s="118"/>
      <c r="XEQ329" s="118"/>
      <c r="XER329" s="118"/>
      <c r="XES329" s="118"/>
      <c r="XET329" s="118"/>
      <c r="XEU329" s="118"/>
      <c r="XEV329" s="118"/>
      <c r="XEW329" s="118"/>
      <c r="XEX329" s="118"/>
      <c r="XEY329" s="118"/>
      <c r="XEZ329" s="118"/>
      <c r="XFA329" s="118"/>
      <c r="XFB329" s="118"/>
      <c r="XFC329" s="118"/>
      <c r="XFD329" s="118"/>
    </row>
    <row r="330" spans="1:37 16131:16384" ht="12.75" hidden="1" customHeight="1" x14ac:dyDescent="0.3">
      <c r="A330" s="114">
        <v>2890</v>
      </c>
      <c r="B330" s="113" t="s">
        <v>634</v>
      </c>
      <c r="C330" s="82" t="str">
        <f>IFERROR(VLOOKUP(D330,'Target tables'!A:B,2,0),"")</f>
        <v>Договора, для которых не созданы собственные agrmnt</v>
      </c>
      <c r="D330" s="210" t="s">
        <v>136</v>
      </c>
      <c r="E330" s="78" t="str">
        <f>IFERROR(VLOOKUP(D330&amp;J330,'Target columns'!A:J,4,FALSE),"")</f>
        <v>UUID</v>
      </c>
      <c r="F330" s="78" t="str">
        <f>IFERROR(VLOOKUP(D330&amp;J330,'Target columns'!A:J,7,FALSE),"")</f>
        <v>Yes</v>
      </c>
      <c r="G330" s="78" t="str">
        <f>IFERROR(VLOOKUP(D330&amp;J330,'Target columns'!A:J,8,FALSE),"")</f>
        <v>No</v>
      </c>
      <c r="H330" s="78" t="str">
        <f>IFERROR(VLOOKUP(D330&amp;J330,'Target columns'!A:J,5,FALSE),"")</f>
        <v>NOT NULL</v>
      </c>
      <c r="I330" s="78" t="str">
        <f>IFERROR(VLOOKUP(D330&amp;J330,'Target columns'!A:J,10,FALSE),"")</f>
        <v>Идентификатор договора</v>
      </c>
      <c r="J330" s="23" t="s">
        <v>589</v>
      </c>
      <c r="K330" s="23" t="s">
        <v>151</v>
      </c>
      <c r="L330" s="78" t="str">
        <f>IFERROR(VLOOKUP(K330&amp;N330,source_columns[[Seek]:[Описание поля]],4,0),"")</f>
        <v>uuid</v>
      </c>
      <c r="M330" s="78" t="str">
        <f>IFERROR(VLOOKUP(K330&amp;N330,source_columns[[Seek]:[Описание поля]],7,0),"")</f>
        <v>Референс сделки</v>
      </c>
      <c r="N330" s="23" t="s">
        <v>496</v>
      </c>
      <c r="O330" s="23"/>
      <c r="P330" s="23"/>
      <c r="Q330" s="113"/>
      <c r="R330" s="113"/>
      <c r="S330" s="278"/>
      <c r="T330" s="82"/>
      <c r="U330" s="82"/>
      <c r="V330" s="84" t="str">
        <f>"n308000046_"&amp;IFERROR(VLOOKUP(D330,target_tables[],5,0),"&lt;not found&gt;")</f>
        <v>n308000046_agr_other</v>
      </c>
      <c r="W330" s="82" t="s">
        <v>269</v>
      </c>
      <c r="X330" s="82"/>
      <c r="Y330" s="82"/>
      <c r="Z330" s="82"/>
      <c r="AA330" s="82"/>
      <c r="AB330" s="82"/>
      <c r="AC330" s="82"/>
      <c r="AD330" s="82"/>
      <c r="AE330" s="82"/>
      <c r="AF330" s="303" t="s">
        <v>270</v>
      </c>
      <c r="AG330" s="83"/>
      <c r="AH330" s="83"/>
      <c r="AI330" s="83"/>
      <c r="AJ330" s="91"/>
      <c r="AK330" s="69"/>
      <c r="WVK330" s="118"/>
      <c r="WVL330" s="118"/>
      <c r="WVM330" s="118"/>
      <c r="WVN330" s="118"/>
      <c r="WVO330" s="118"/>
      <c r="WVP330" s="118"/>
      <c r="WVQ330" s="118"/>
      <c r="WVR330" s="118"/>
      <c r="WVS330" s="118"/>
      <c r="WVT330" s="118"/>
      <c r="WVU330" s="118"/>
      <c r="WVV330" s="118"/>
      <c r="WVW330" s="118"/>
      <c r="WVX330" s="118"/>
      <c r="WVY330" s="118"/>
      <c r="WVZ330" s="118"/>
      <c r="WWA330" s="118"/>
      <c r="WWB330" s="118"/>
      <c r="WWC330" s="118"/>
      <c r="WWD330" s="118"/>
      <c r="WWE330" s="118"/>
      <c r="WWF330" s="118"/>
      <c r="WWG330" s="118"/>
      <c r="WWH330" s="118"/>
      <c r="WWI330" s="118"/>
      <c r="WWJ330" s="118"/>
      <c r="WWK330" s="118"/>
      <c r="WWL330" s="118"/>
      <c r="WWM330" s="118"/>
      <c r="WWN330" s="118"/>
      <c r="WWO330" s="118"/>
      <c r="WWP330" s="118"/>
      <c r="WWQ330" s="118"/>
      <c r="WWR330" s="118"/>
      <c r="WWS330" s="118"/>
      <c r="WWT330" s="118"/>
      <c r="WWU330" s="118"/>
      <c r="WWV330" s="118"/>
      <c r="WWW330" s="118"/>
      <c r="WWX330" s="118"/>
      <c r="WWY330" s="118"/>
      <c r="WWZ330" s="118"/>
      <c r="WXA330" s="118"/>
      <c r="WXB330" s="118"/>
      <c r="WXC330" s="118"/>
      <c r="WXD330" s="118"/>
      <c r="WXE330" s="118"/>
      <c r="WXF330" s="118"/>
      <c r="WXG330" s="118"/>
      <c r="WXH330" s="118"/>
      <c r="WXI330" s="118"/>
      <c r="WXJ330" s="118"/>
      <c r="WXK330" s="118"/>
      <c r="WXL330" s="118"/>
      <c r="WXM330" s="118"/>
      <c r="WXN330" s="118"/>
      <c r="WXO330" s="118"/>
      <c r="WXP330" s="118"/>
      <c r="WXQ330" s="118"/>
      <c r="WXR330" s="118"/>
      <c r="WXS330" s="118"/>
      <c r="WXT330" s="118"/>
      <c r="WXU330" s="118"/>
      <c r="WXV330" s="118"/>
      <c r="WXW330" s="118"/>
      <c r="WXX330" s="118"/>
      <c r="WXY330" s="118"/>
      <c r="WXZ330" s="118"/>
      <c r="WYA330" s="118"/>
      <c r="WYB330" s="118"/>
      <c r="WYC330" s="118"/>
      <c r="WYD330" s="118"/>
      <c r="WYE330" s="118"/>
      <c r="WYF330" s="118"/>
      <c r="WYG330" s="118"/>
      <c r="WYH330" s="118"/>
      <c r="WYI330" s="118"/>
      <c r="WYJ330" s="118"/>
      <c r="WYK330" s="118"/>
      <c r="WYL330" s="118"/>
      <c r="WYM330" s="118"/>
      <c r="WYN330" s="118"/>
      <c r="WYO330" s="118"/>
      <c r="WYP330" s="118"/>
      <c r="WYQ330" s="118"/>
      <c r="WYR330" s="118"/>
      <c r="WYS330" s="118"/>
      <c r="WYT330" s="118"/>
      <c r="WYU330" s="118"/>
      <c r="WYV330" s="118"/>
      <c r="WYW330" s="118"/>
      <c r="WYX330" s="118"/>
      <c r="WYY330" s="118"/>
      <c r="WYZ330" s="118"/>
      <c r="WZA330" s="118"/>
      <c r="WZB330" s="118"/>
      <c r="WZC330" s="118"/>
      <c r="WZD330" s="118"/>
      <c r="WZE330" s="118"/>
      <c r="WZF330" s="118"/>
      <c r="WZG330" s="118"/>
      <c r="WZH330" s="118"/>
      <c r="WZI330" s="118"/>
      <c r="WZJ330" s="118"/>
      <c r="WZK330" s="118"/>
      <c r="WZL330" s="118"/>
      <c r="WZM330" s="118"/>
      <c r="WZN330" s="118"/>
      <c r="WZO330" s="118"/>
      <c r="WZP330" s="118"/>
      <c r="WZQ330" s="118"/>
      <c r="WZR330" s="118"/>
      <c r="WZS330" s="118"/>
      <c r="WZT330" s="118"/>
      <c r="WZU330" s="118"/>
      <c r="WZV330" s="118"/>
      <c r="WZW330" s="118"/>
      <c r="WZX330" s="118"/>
      <c r="WZY330" s="118"/>
      <c r="WZZ330" s="118"/>
      <c r="XAA330" s="118"/>
      <c r="XAB330" s="118"/>
      <c r="XAC330" s="118"/>
      <c r="XAD330" s="118"/>
      <c r="XAE330" s="118"/>
      <c r="XAF330" s="118"/>
      <c r="XAG330" s="118"/>
      <c r="XAH330" s="118"/>
      <c r="XAI330" s="118"/>
      <c r="XAJ330" s="118"/>
      <c r="XAK330" s="118"/>
      <c r="XAL330" s="118"/>
      <c r="XAM330" s="118"/>
      <c r="XAN330" s="118"/>
      <c r="XAO330" s="118"/>
      <c r="XAP330" s="118"/>
      <c r="XAQ330" s="118"/>
      <c r="XAR330" s="118"/>
      <c r="XAS330" s="118"/>
      <c r="XAT330" s="118"/>
      <c r="XAU330" s="118"/>
      <c r="XAV330" s="118"/>
      <c r="XAW330" s="118"/>
      <c r="XAX330" s="118"/>
      <c r="XAY330" s="118"/>
      <c r="XAZ330" s="118"/>
      <c r="XBA330" s="118"/>
      <c r="XBB330" s="118"/>
      <c r="XBC330" s="118"/>
      <c r="XBD330" s="118"/>
      <c r="XBE330" s="118"/>
      <c r="XBF330" s="118"/>
      <c r="XBG330" s="118"/>
      <c r="XBH330" s="118"/>
      <c r="XBI330" s="118"/>
      <c r="XBJ330" s="118"/>
      <c r="XBK330" s="118"/>
      <c r="XBL330" s="118"/>
      <c r="XBM330" s="118"/>
      <c r="XBN330" s="118"/>
      <c r="XBO330" s="118"/>
      <c r="XBP330" s="118"/>
      <c r="XBQ330" s="118"/>
      <c r="XBR330" s="118"/>
      <c r="XBS330" s="118"/>
      <c r="XBT330" s="118"/>
      <c r="XBU330" s="118"/>
      <c r="XBV330" s="118"/>
      <c r="XBW330" s="118"/>
      <c r="XBX330" s="118"/>
      <c r="XBY330" s="118"/>
      <c r="XBZ330" s="118"/>
      <c r="XCA330" s="118"/>
      <c r="XCB330" s="118"/>
      <c r="XCC330" s="118"/>
      <c r="XCD330" s="118"/>
      <c r="XCE330" s="118"/>
      <c r="XCF330" s="118"/>
      <c r="XCG330" s="118"/>
      <c r="XCH330" s="118"/>
      <c r="XCI330" s="118"/>
      <c r="XCJ330" s="118"/>
      <c r="XCK330" s="118"/>
      <c r="XCL330" s="118"/>
      <c r="XCM330" s="118"/>
      <c r="XCN330" s="118"/>
      <c r="XCO330" s="118"/>
      <c r="XCP330" s="118"/>
      <c r="XCQ330" s="118"/>
      <c r="XCR330" s="118"/>
      <c r="XCS330" s="118"/>
      <c r="XCT330" s="118"/>
      <c r="XCU330" s="118"/>
      <c r="XCV330" s="118"/>
      <c r="XCW330" s="118"/>
      <c r="XCX330" s="118"/>
      <c r="XCY330" s="118"/>
      <c r="XCZ330" s="118"/>
      <c r="XDA330" s="118"/>
      <c r="XDB330" s="118"/>
      <c r="XDC330" s="118"/>
      <c r="XDD330" s="118"/>
      <c r="XDE330" s="118"/>
      <c r="XDF330" s="118"/>
      <c r="XDG330" s="118"/>
      <c r="XDH330" s="118"/>
      <c r="XDI330" s="118"/>
      <c r="XDJ330" s="118"/>
      <c r="XDK330" s="118"/>
      <c r="XDL330" s="118"/>
      <c r="XDM330" s="118"/>
      <c r="XDN330" s="118"/>
      <c r="XDO330" s="118"/>
      <c r="XDP330" s="118"/>
      <c r="XDQ330" s="118"/>
      <c r="XDR330" s="118"/>
      <c r="XDS330" s="118"/>
      <c r="XDT330" s="118"/>
      <c r="XDU330" s="118"/>
      <c r="XDV330" s="118"/>
      <c r="XDW330" s="118"/>
      <c r="XDX330" s="118"/>
      <c r="XDY330" s="118"/>
      <c r="XDZ330" s="118"/>
      <c r="XEA330" s="118"/>
      <c r="XEB330" s="118"/>
      <c r="XEC330" s="118"/>
      <c r="XED330" s="118"/>
      <c r="XEE330" s="118"/>
      <c r="XEF330" s="118"/>
      <c r="XEG330" s="118"/>
      <c r="XEH330" s="118"/>
      <c r="XEI330" s="118"/>
      <c r="XEJ330" s="118"/>
      <c r="XEK330" s="118"/>
      <c r="XEL330" s="118"/>
      <c r="XEM330" s="118"/>
      <c r="XEN330" s="118"/>
      <c r="XEO330" s="118"/>
      <c r="XEP330" s="118"/>
      <c r="XEQ330" s="118"/>
      <c r="XER330" s="118"/>
      <c r="XES330" s="118"/>
      <c r="XET330" s="118"/>
      <c r="XEU330" s="118"/>
      <c r="XEV330" s="118"/>
      <c r="XEW330" s="118"/>
      <c r="XEX330" s="118"/>
      <c r="XEY330" s="118"/>
      <c r="XEZ330" s="118"/>
      <c r="XFA330" s="118"/>
      <c r="XFB330" s="118"/>
      <c r="XFC330" s="118"/>
      <c r="XFD330" s="118"/>
    </row>
    <row r="331" spans="1:37 16131:16384" ht="12.75" hidden="1" customHeight="1" x14ac:dyDescent="0.3">
      <c r="A331" s="115">
        <v>2900</v>
      </c>
      <c r="B331" s="8" t="s">
        <v>634</v>
      </c>
      <c r="C331" s="65" t="str">
        <f>IFERROR(VLOOKUP(D331,'Target tables'!A:B,2,0),"")</f>
        <v>Договора, для которых не созданы собственные agrmnt</v>
      </c>
      <c r="D331" s="211" t="s">
        <v>136</v>
      </c>
      <c r="E331" s="66" t="str">
        <f>IFERROR(VLOOKUP(D331&amp;J331,'Target columns'!A:J,4,FALSE),"")</f>
        <v>DATE</v>
      </c>
      <c r="F331" s="66" t="str">
        <f>IFERROR(VLOOKUP(D331&amp;J331,'Target columns'!A:J,7,FALSE),"")</f>
        <v>No</v>
      </c>
      <c r="G331" s="66" t="str">
        <f>IFERROR(VLOOKUP(D331&amp;J331,'Target columns'!A:J,8,FALSE),"")</f>
        <v>No</v>
      </c>
      <c r="H331" s="66" t="str">
        <f>IFERROR(VLOOKUP(D331&amp;J331,'Target columns'!A:J,5,FALSE),"")</f>
        <v>NULL</v>
      </c>
      <c r="I331" s="66" t="str">
        <f>IFERROR(VLOOKUP(D331&amp;J331,'Target columns'!A:J,10,FALSE),"")</f>
        <v>Дата открытия договора</v>
      </c>
      <c r="J331" s="8" t="s">
        <v>271</v>
      </c>
      <c r="K331" s="8" t="s">
        <v>151</v>
      </c>
      <c r="L331" s="66" t="str">
        <f>IFERROR(VLOOKUP(K331&amp;N331,source_columns[[Seek]:[Описание поля]],4,0),"")</f>
        <v>date</v>
      </c>
      <c r="M331" s="66" t="str">
        <f>IFERROR(VLOOKUP(K331&amp;N331,source_columns[[Seek]:[Описание поля]],7,0),"")</f>
        <v>Дата заключения сделки</v>
      </c>
      <c r="N331" s="8" t="s">
        <v>385</v>
      </c>
      <c r="O331" s="8"/>
      <c r="P331" s="8"/>
      <c r="Q331" s="8"/>
      <c r="R331" s="8"/>
      <c r="S331" s="278"/>
      <c r="T331" s="65"/>
      <c r="U331" s="65"/>
      <c r="V331" s="66" t="str">
        <f>"n308000046_"&amp;IFERROR(VLOOKUP(D331,target_tables[],5,0),"&lt;not found&gt;")</f>
        <v>n308000046_agr_other</v>
      </c>
      <c r="W331" s="65" t="s">
        <v>273</v>
      </c>
      <c r="X331" s="65"/>
      <c r="Y331" s="65"/>
      <c r="Z331" s="65"/>
      <c r="AA331" s="65"/>
      <c r="AB331" s="65"/>
      <c r="AC331" s="65"/>
      <c r="AD331" s="65"/>
      <c r="AE331" s="65"/>
      <c r="AF331" s="303"/>
      <c r="AG331" s="10"/>
      <c r="AH331" s="10"/>
      <c r="AI331" s="10"/>
      <c r="AJ331" s="68"/>
      <c r="AK331" s="69"/>
      <c r="WVK331" s="118"/>
      <c r="WVL331" s="118"/>
      <c r="WVM331" s="118"/>
      <c r="WVN331" s="118"/>
      <c r="WVO331" s="118"/>
      <c r="WVP331" s="118"/>
      <c r="WVQ331" s="118"/>
      <c r="WVR331" s="118"/>
      <c r="WVS331" s="118"/>
      <c r="WVT331" s="118"/>
      <c r="WVU331" s="118"/>
      <c r="WVV331" s="118"/>
      <c r="WVW331" s="118"/>
      <c r="WVX331" s="118"/>
      <c r="WVY331" s="118"/>
      <c r="WVZ331" s="118"/>
      <c r="WWA331" s="118"/>
      <c r="WWB331" s="118"/>
      <c r="WWC331" s="118"/>
      <c r="WWD331" s="118"/>
      <c r="WWE331" s="118"/>
      <c r="WWF331" s="118"/>
      <c r="WWG331" s="118"/>
      <c r="WWH331" s="118"/>
      <c r="WWI331" s="118"/>
      <c r="WWJ331" s="118"/>
      <c r="WWK331" s="118"/>
      <c r="WWL331" s="118"/>
      <c r="WWM331" s="118"/>
      <c r="WWN331" s="118"/>
      <c r="WWO331" s="118"/>
      <c r="WWP331" s="118"/>
      <c r="WWQ331" s="118"/>
      <c r="WWR331" s="118"/>
      <c r="WWS331" s="118"/>
      <c r="WWT331" s="118"/>
      <c r="WWU331" s="118"/>
      <c r="WWV331" s="118"/>
      <c r="WWW331" s="118"/>
      <c r="WWX331" s="118"/>
      <c r="WWY331" s="118"/>
      <c r="WWZ331" s="118"/>
      <c r="WXA331" s="118"/>
      <c r="WXB331" s="118"/>
      <c r="WXC331" s="118"/>
      <c r="WXD331" s="118"/>
      <c r="WXE331" s="118"/>
      <c r="WXF331" s="118"/>
      <c r="WXG331" s="118"/>
      <c r="WXH331" s="118"/>
      <c r="WXI331" s="118"/>
      <c r="WXJ331" s="118"/>
      <c r="WXK331" s="118"/>
      <c r="WXL331" s="118"/>
      <c r="WXM331" s="118"/>
      <c r="WXN331" s="118"/>
      <c r="WXO331" s="118"/>
      <c r="WXP331" s="118"/>
      <c r="WXQ331" s="118"/>
      <c r="WXR331" s="118"/>
      <c r="WXS331" s="118"/>
      <c r="WXT331" s="118"/>
      <c r="WXU331" s="118"/>
      <c r="WXV331" s="118"/>
      <c r="WXW331" s="118"/>
      <c r="WXX331" s="118"/>
      <c r="WXY331" s="118"/>
      <c r="WXZ331" s="118"/>
      <c r="WYA331" s="118"/>
      <c r="WYB331" s="118"/>
      <c r="WYC331" s="118"/>
      <c r="WYD331" s="118"/>
      <c r="WYE331" s="118"/>
      <c r="WYF331" s="118"/>
      <c r="WYG331" s="118"/>
      <c r="WYH331" s="118"/>
      <c r="WYI331" s="118"/>
      <c r="WYJ331" s="118"/>
      <c r="WYK331" s="118"/>
      <c r="WYL331" s="118"/>
      <c r="WYM331" s="118"/>
      <c r="WYN331" s="118"/>
      <c r="WYO331" s="118"/>
      <c r="WYP331" s="118"/>
      <c r="WYQ331" s="118"/>
      <c r="WYR331" s="118"/>
      <c r="WYS331" s="118"/>
      <c r="WYT331" s="118"/>
      <c r="WYU331" s="118"/>
      <c r="WYV331" s="118"/>
      <c r="WYW331" s="118"/>
      <c r="WYX331" s="118"/>
      <c r="WYY331" s="118"/>
      <c r="WYZ331" s="118"/>
      <c r="WZA331" s="118"/>
      <c r="WZB331" s="118"/>
      <c r="WZC331" s="118"/>
      <c r="WZD331" s="118"/>
      <c r="WZE331" s="118"/>
      <c r="WZF331" s="118"/>
      <c r="WZG331" s="118"/>
      <c r="WZH331" s="118"/>
      <c r="WZI331" s="118"/>
      <c r="WZJ331" s="118"/>
      <c r="WZK331" s="118"/>
      <c r="WZL331" s="118"/>
      <c r="WZM331" s="118"/>
      <c r="WZN331" s="118"/>
      <c r="WZO331" s="118"/>
      <c r="WZP331" s="118"/>
      <c r="WZQ331" s="118"/>
      <c r="WZR331" s="118"/>
      <c r="WZS331" s="118"/>
      <c r="WZT331" s="118"/>
      <c r="WZU331" s="118"/>
      <c r="WZV331" s="118"/>
      <c r="WZW331" s="118"/>
      <c r="WZX331" s="118"/>
      <c r="WZY331" s="118"/>
      <c r="WZZ331" s="118"/>
      <c r="XAA331" s="118"/>
      <c r="XAB331" s="118"/>
      <c r="XAC331" s="118"/>
      <c r="XAD331" s="118"/>
      <c r="XAE331" s="118"/>
      <c r="XAF331" s="118"/>
      <c r="XAG331" s="118"/>
      <c r="XAH331" s="118"/>
      <c r="XAI331" s="118"/>
      <c r="XAJ331" s="118"/>
      <c r="XAK331" s="118"/>
      <c r="XAL331" s="118"/>
      <c r="XAM331" s="118"/>
      <c r="XAN331" s="118"/>
      <c r="XAO331" s="118"/>
      <c r="XAP331" s="118"/>
      <c r="XAQ331" s="118"/>
      <c r="XAR331" s="118"/>
      <c r="XAS331" s="118"/>
      <c r="XAT331" s="118"/>
      <c r="XAU331" s="118"/>
      <c r="XAV331" s="118"/>
      <c r="XAW331" s="118"/>
      <c r="XAX331" s="118"/>
      <c r="XAY331" s="118"/>
      <c r="XAZ331" s="118"/>
      <c r="XBA331" s="118"/>
      <c r="XBB331" s="118"/>
      <c r="XBC331" s="118"/>
      <c r="XBD331" s="118"/>
      <c r="XBE331" s="118"/>
      <c r="XBF331" s="118"/>
      <c r="XBG331" s="118"/>
      <c r="XBH331" s="118"/>
      <c r="XBI331" s="118"/>
      <c r="XBJ331" s="118"/>
      <c r="XBK331" s="118"/>
      <c r="XBL331" s="118"/>
      <c r="XBM331" s="118"/>
      <c r="XBN331" s="118"/>
      <c r="XBO331" s="118"/>
      <c r="XBP331" s="118"/>
      <c r="XBQ331" s="118"/>
      <c r="XBR331" s="118"/>
      <c r="XBS331" s="118"/>
      <c r="XBT331" s="118"/>
      <c r="XBU331" s="118"/>
      <c r="XBV331" s="118"/>
      <c r="XBW331" s="118"/>
      <c r="XBX331" s="118"/>
      <c r="XBY331" s="118"/>
      <c r="XBZ331" s="118"/>
      <c r="XCA331" s="118"/>
      <c r="XCB331" s="118"/>
      <c r="XCC331" s="118"/>
      <c r="XCD331" s="118"/>
      <c r="XCE331" s="118"/>
      <c r="XCF331" s="118"/>
      <c r="XCG331" s="118"/>
      <c r="XCH331" s="118"/>
      <c r="XCI331" s="118"/>
      <c r="XCJ331" s="118"/>
      <c r="XCK331" s="118"/>
      <c r="XCL331" s="118"/>
      <c r="XCM331" s="118"/>
      <c r="XCN331" s="118"/>
      <c r="XCO331" s="118"/>
      <c r="XCP331" s="118"/>
      <c r="XCQ331" s="118"/>
      <c r="XCR331" s="118"/>
      <c r="XCS331" s="118"/>
      <c r="XCT331" s="118"/>
      <c r="XCU331" s="118"/>
      <c r="XCV331" s="118"/>
      <c r="XCW331" s="118"/>
      <c r="XCX331" s="118"/>
      <c r="XCY331" s="118"/>
      <c r="XCZ331" s="118"/>
      <c r="XDA331" s="118"/>
      <c r="XDB331" s="118"/>
      <c r="XDC331" s="118"/>
      <c r="XDD331" s="118"/>
      <c r="XDE331" s="118"/>
      <c r="XDF331" s="118"/>
      <c r="XDG331" s="118"/>
      <c r="XDH331" s="118"/>
      <c r="XDI331" s="118"/>
      <c r="XDJ331" s="118"/>
      <c r="XDK331" s="118"/>
      <c r="XDL331" s="118"/>
      <c r="XDM331" s="118"/>
      <c r="XDN331" s="118"/>
      <c r="XDO331" s="118"/>
      <c r="XDP331" s="118"/>
      <c r="XDQ331" s="118"/>
      <c r="XDR331" s="118"/>
      <c r="XDS331" s="118"/>
      <c r="XDT331" s="118"/>
      <c r="XDU331" s="118"/>
      <c r="XDV331" s="118"/>
      <c r="XDW331" s="118"/>
      <c r="XDX331" s="118"/>
      <c r="XDY331" s="118"/>
      <c r="XDZ331" s="118"/>
      <c r="XEA331" s="118"/>
      <c r="XEB331" s="118"/>
      <c r="XEC331" s="118"/>
      <c r="XED331" s="118"/>
      <c r="XEE331" s="118"/>
      <c r="XEF331" s="118"/>
      <c r="XEG331" s="118"/>
      <c r="XEH331" s="118"/>
      <c r="XEI331" s="118"/>
      <c r="XEJ331" s="118"/>
      <c r="XEK331" s="118"/>
      <c r="XEL331" s="118"/>
      <c r="XEM331" s="118"/>
      <c r="XEN331" s="118"/>
      <c r="XEO331" s="118"/>
      <c r="XEP331" s="118"/>
      <c r="XEQ331" s="118"/>
      <c r="XER331" s="118"/>
      <c r="XES331" s="118"/>
      <c r="XET331" s="118"/>
      <c r="XEU331" s="118"/>
      <c r="XEV331" s="118"/>
      <c r="XEW331" s="118"/>
      <c r="XEX331" s="118"/>
      <c r="XEY331" s="118"/>
      <c r="XEZ331" s="118"/>
      <c r="XFA331" s="118"/>
      <c r="XFB331" s="118"/>
      <c r="XFC331" s="118"/>
      <c r="XFD331" s="118"/>
    </row>
    <row r="332" spans="1:37 16131:16384" ht="12.75" hidden="1" customHeight="1" x14ac:dyDescent="0.3">
      <c r="A332" s="115">
        <v>2910</v>
      </c>
      <c r="B332" s="8" t="s">
        <v>634</v>
      </c>
      <c r="C332" s="65" t="str">
        <f>IFERROR(VLOOKUP(D332,'Target tables'!A:B,2,0),"")</f>
        <v>Договора, для которых не созданы собственные agrmnt</v>
      </c>
      <c r="D332" s="211" t="s">
        <v>136</v>
      </c>
      <c r="E332" s="66" t="str">
        <f>IFERROR(VLOOKUP(D332&amp;J332,'Target columns'!A:J,4,FALSE),"")</f>
        <v>DATE</v>
      </c>
      <c r="F332" s="66" t="str">
        <f>IFERROR(VLOOKUP(D332&amp;J332,'Target columns'!A:J,7,FALSE),"")</f>
        <v>No</v>
      </c>
      <c r="G332" s="66" t="str">
        <f>IFERROR(VLOOKUP(D332&amp;J332,'Target columns'!A:J,8,FALSE),"")</f>
        <v>No</v>
      </c>
      <c r="H332" s="66" t="str">
        <f>IFERROR(VLOOKUP(D332&amp;J332,'Target columns'!A:J,5,FALSE),"")</f>
        <v>NULL</v>
      </c>
      <c r="I332" s="66" t="str">
        <f>IFERROR(VLOOKUP(D332&amp;J332,'Target columns'!A:J,10,FALSE),"")</f>
        <v>Дата подписания договора</v>
      </c>
      <c r="J332" s="8" t="s">
        <v>274</v>
      </c>
      <c r="K332" s="8" t="s">
        <v>151</v>
      </c>
      <c r="L332" s="66" t="str">
        <f>IFERROR(VLOOKUP(K332&amp;N332,source_columns[[Seek]:[Описание поля]],4,0),"")</f>
        <v>date</v>
      </c>
      <c r="M332" s="66" t="str">
        <f>IFERROR(VLOOKUP(K332&amp;N332,source_columns[[Seek]:[Описание поля]],7,0),"")</f>
        <v>Дата заключения сделки</v>
      </c>
      <c r="N332" s="8" t="s">
        <v>385</v>
      </c>
      <c r="O332" s="8"/>
      <c r="P332" s="8"/>
      <c r="Q332" s="8"/>
      <c r="R332" s="8"/>
      <c r="S332" s="278"/>
      <c r="T332" s="65"/>
      <c r="U332" s="65"/>
      <c r="V332" s="66" t="str">
        <f>"n308000046_"&amp;IFERROR(VLOOKUP(D332,target_tables[],5,0),"&lt;not found&gt;")</f>
        <v>n308000046_agr_other</v>
      </c>
      <c r="W332" s="65" t="s">
        <v>273</v>
      </c>
      <c r="X332" s="65"/>
      <c r="Y332" s="65"/>
      <c r="Z332" s="65"/>
      <c r="AA332" s="65"/>
      <c r="AB332" s="65"/>
      <c r="AC332" s="65"/>
      <c r="AD332" s="65"/>
      <c r="AE332" s="65"/>
      <c r="AF332" s="303"/>
      <c r="AG332" s="10"/>
      <c r="AH332" s="10"/>
      <c r="AI332" s="10"/>
      <c r="AJ332" s="68"/>
      <c r="AK332" s="69"/>
      <c r="WVK332" s="118"/>
      <c r="WVL332" s="118"/>
      <c r="WVM332" s="118"/>
      <c r="WVN332" s="118"/>
      <c r="WVO332" s="118"/>
      <c r="WVP332" s="118"/>
      <c r="WVQ332" s="118"/>
      <c r="WVR332" s="118"/>
      <c r="WVS332" s="118"/>
      <c r="WVT332" s="118"/>
      <c r="WVU332" s="118"/>
      <c r="WVV332" s="118"/>
      <c r="WVW332" s="118"/>
      <c r="WVX332" s="118"/>
      <c r="WVY332" s="118"/>
      <c r="WVZ332" s="118"/>
      <c r="WWA332" s="118"/>
      <c r="WWB332" s="118"/>
      <c r="WWC332" s="118"/>
      <c r="WWD332" s="118"/>
      <c r="WWE332" s="118"/>
      <c r="WWF332" s="118"/>
      <c r="WWG332" s="118"/>
      <c r="WWH332" s="118"/>
      <c r="WWI332" s="118"/>
      <c r="WWJ332" s="118"/>
      <c r="WWK332" s="118"/>
      <c r="WWL332" s="118"/>
      <c r="WWM332" s="118"/>
      <c r="WWN332" s="118"/>
      <c r="WWO332" s="118"/>
      <c r="WWP332" s="118"/>
      <c r="WWQ332" s="118"/>
      <c r="WWR332" s="118"/>
      <c r="WWS332" s="118"/>
      <c r="WWT332" s="118"/>
      <c r="WWU332" s="118"/>
      <c r="WWV332" s="118"/>
      <c r="WWW332" s="118"/>
      <c r="WWX332" s="118"/>
      <c r="WWY332" s="118"/>
      <c r="WWZ332" s="118"/>
      <c r="WXA332" s="118"/>
      <c r="WXB332" s="118"/>
      <c r="WXC332" s="118"/>
      <c r="WXD332" s="118"/>
      <c r="WXE332" s="118"/>
      <c r="WXF332" s="118"/>
      <c r="WXG332" s="118"/>
      <c r="WXH332" s="118"/>
      <c r="WXI332" s="118"/>
      <c r="WXJ332" s="118"/>
      <c r="WXK332" s="118"/>
      <c r="WXL332" s="118"/>
      <c r="WXM332" s="118"/>
      <c r="WXN332" s="118"/>
      <c r="WXO332" s="118"/>
      <c r="WXP332" s="118"/>
      <c r="WXQ332" s="118"/>
      <c r="WXR332" s="118"/>
      <c r="WXS332" s="118"/>
      <c r="WXT332" s="118"/>
      <c r="WXU332" s="118"/>
      <c r="WXV332" s="118"/>
      <c r="WXW332" s="118"/>
      <c r="WXX332" s="118"/>
      <c r="WXY332" s="118"/>
      <c r="WXZ332" s="118"/>
      <c r="WYA332" s="118"/>
      <c r="WYB332" s="118"/>
      <c r="WYC332" s="118"/>
      <c r="WYD332" s="118"/>
      <c r="WYE332" s="118"/>
      <c r="WYF332" s="118"/>
      <c r="WYG332" s="118"/>
      <c r="WYH332" s="118"/>
      <c r="WYI332" s="118"/>
      <c r="WYJ332" s="118"/>
      <c r="WYK332" s="118"/>
      <c r="WYL332" s="118"/>
      <c r="WYM332" s="118"/>
      <c r="WYN332" s="118"/>
      <c r="WYO332" s="118"/>
      <c r="WYP332" s="118"/>
      <c r="WYQ332" s="118"/>
      <c r="WYR332" s="118"/>
      <c r="WYS332" s="118"/>
      <c r="WYT332" s="118"/>
      <c r="WYU332" s="118"/>
      <c r="WYV332" s="118"/>
      <c r="WYW332" s="118"/>
      <c r="WYX332" s="118"/>
      <c r="WYY332" s="118"/>
      <c r="WYZ332" s="118"/>
      <c r="WZA332" s="118"/>
      <c r="WZB332" s="118"/>
      <c r="WZC332" s="118"/>
      <c r="WZD332" s="118"/>
      <c r="WZE332" s="118"/>
      <c r="WZF332" s="118"/>
      <c r="WZG332" s="118"/>
      <c r="WZH332" s="118"/>
      <c r="WZI332" s="118"/>
      <c r="WZJ332" s="118"/>
      <c r="WZK332" s="118"/>
      <c r="WZL332" s="118"/>
      <c r="WZM332" s="118"/>
      <c r="WZN332" s="118"/>
      <c r="WZO332" s="118"/>
      <c r="WZP332" s="118"/>
      <c r="WZQ332" s="118"/>
      <c r="WZR332" s="118"/>
      <c r="WZS332" s="118"/>
      <c r="WZT332" s="118"/>
      <c r="WZU332" s="118"/>
      <c r="WZV332" s="118"/>
      <c r="WZW332" s="118"/>
      <c r="WZX332" s="118"/>
      <c r="WZY332" s="118"/>
      <c r="WZZ332" s="118"/>
      <c r="XAA332" s="118"/>
      <c r="XAB332" s="118"/>
      <c r="XAC332" s="118"/>
      <c r="XAD332" s="118"/>
      <c r="XAE332" s="118"/>
      <c r="XAF332" s="118"/>
      <c r="XAG332" s="118"/>
      <c r="XAH332" s="118"/>
      <c r="XAI332" s="118"/>
      <c r="XAJ332" s="118"/>
      <c r="XAK332" s="118"/>
      <c r="XAL332" s="118"/>
      <c r="XAM332" s="118"/>
      <c r="XAN332" s="118"/>
      <c r="XAO332" s="118"/>
      <c r="XAP332" s="118"/>
      <c r="XAQ332" s="118"/>
      <c r="XAR332" s="118"/>
      <c r="XAS332" s="118"/>
      <c r="XAT332" s="118"/>
      <c r="XAU332" s="118"/>
      <c r="XAV332" s="118"/>
      <c r="XAW332" s="118"/>
      <c r="XAX332" s="118"/>
      <c r="XAY332" s="118"/>
      <c r="XAZ332" s="118"/>
      <c r="XBA332" s="118"/>
      <c r="XBB332" s="118"/>
      <c r="XBC332" s="118"/>
      <c r="XBD332" s="118"/>
      <c r="XBE332" s="118"/>
      <c r="XBF332" s="118"/>
      <c r="XBG332" s="118"/>
      <c r="XBH332" s="118"/>
      <c r="XBI332" s="118"/>
      <c r="XBJ332" s="118"/>
      <c r="XBK332" s="118"/>
      <c r="XBL332" s="118"/>
      <c r="XBM332" s="118"/>
      <c r="XBN332" s="118"/>
      <c r="XBO332" s="118"/>
      <c r="XBP332" s="118"/>
      <c r="XBQ332" s="118"/>
      <c r="XBR332" s="118"/>
      <c r="XBS332" s="118"/>
      <c r="XBT332" s="118"/>
      <c r="XBU332" s="118"/>
      <c r="XBV332" s="118"/>
      <c r="XBW332" s="118"/>
      <c r="XBX332" s="118"/>
      <c r="XBY332" s="118"/>
      <c r="XBZ332" s="118"/>
      <c r="XCA332" s="118"/>
      <c r="XCB332" s="118"/>
      <c r="XCC332" s="118"/>
      <c r="XCD332" s="118"/>
      <c r="XCE332" s="118"/>
      <c r="XCF332" s="118"/>
      <c r="XCG332" s="118"/>
      <c r="XCH332" s="118"/>
      <c r="XCI332" s="118"/>
      <c r="XCJ332" s="118"/>
      <c r="XCK332" s="118"/>
      <c r="XCL332" s="118"/>
      <c r="XCM332" s="118"/>
      <c r="XCN332" s="118"/>
      <c r="XCO332" s="118"/>
      <c r="XCP332" s="118"/>
      <c r="XCQ332" s="118"/>
      <c r="XCR332" s="118"/>
      <c r="XCS332" s="118"/>
      <c r="XCT332" s="118"/>
      <c r="XCU332" s="118"/>
      <c r="XCV332" s="118"/>
      <c r="XCW332" s="118"/>
      <c r="XCX332" s="118"/>
      <c r="XCY332" s="118"/>
      <c r="XCZ332" s="118"/>
      <c r="XDA332" s="118"/>
      <c r="XDB332" s="118"/>
      <c r="XDC332" s="118"/>
      <c r="XDD332" s="118"/>
      <c r="XDE332" s="118"/>
      <c r="XDF332" s="118"/>
      <c r="XDG332" s="118"/>
      <c r="XDH332" s="118"/>
      <c r="XDI332" s="118"/>
      <c r="XDJ332" s="118"/>
      <c r="XDK332" s="118"/>
      <c r="XDL332" s="118"/>
      <c r="XDM332" s="118"/>
      <c r="XDN332" s="118"/>
      <c r="XDO332" s="118"/>
      <c r="XDP332" s="118"/>
      <c r="XDQ332" s="118"/>
      <c r="XDR332" s="118"/>
      <c r="XDS332" s="118"/>
      <c r="XDT332" s="118"/>
      <c r="XDU332" s="118"/>
      <c r="XDV332" s="118"/>
      <c r="XDW332" s="118"/>
      <c r="XDX332" s="118"/>
      <c r="XDY332" s="118"/>
      <c r="XDZ332" s="118"/>
      <c r="XEA332" s="118"/>
      <c r="XEB332" s="118"/>
      <c r="XEC332" s="118"/>
      <c r="XED332" s="118"/>
      <c r="XEE332" s="118"/>
      <c r="XEF332" s="118"/>
      <c r="XEG332" s="118"/>
      <c r="XEH332" s="118"/>
      <c r="XEI332" s="118"/>
      <c r="XEJ332" s="118"/>
      <c r="XEK332" s="118"/>
      <c r="XEL332" s="118"/>
      <c r="XEM332" s="118"/>
      <c r="XEN332" s="118"/>
      <c r="XEO332" s="118"/>
      <c r="XEP332" s="118"/>
      <c r="XEQ332" s="118"/>
      <c r="XER332" s="118"/>
      <c r="XES332" s="118"/>
      <c r="XET332" s="118"/>
      <c r="XEU332" s="118"/>
      <c r="XEV332" s="118"/>
      <c r="XEW332" s="118"/>
      <c r="XEX332" s="118"/>
      <c r="XEY332" s="118"/>
      <c r="XEZ332" s="118"/>
      <c r="XFA332" s="118"/>
      <c r="XFB332" s="118"/>
      <c r="XFC332" s="118"/>
      <c r="XFD332" s="118"/>
    </row>
    <row r="333" spans="1:37 16131:16384" ht="12.75" hidden="1" customHeight="1" x14ac:dyDescent="0.3">
      <c r="A333" s="115">
        <v>2920</v>
      </c>
      <c r="B333" s="8" t="s">
        <v>634</v>
      </c>
      <c r="C333" s="65" t="str">
        <f>IFERROR(VLOOKUP(D333,'Target tables'!A:B,2,0),"")</f>
        <v>Договора, для которых не созданы собственные agrmnt</v>
      </c>
      <c r="D333" s="211" t="s">
        <v>136</v>
      </c>
      <c r="E333" s="66" t="str">
        <f>IFERROR(VLOOKUP(D333&amp;J333,'Target columns'!A:J,4,FALSE),"")</f>
        <v>DATE</v>
      </c>
      <c r="F333" s="66" t="str">
        <f>IFERROR(VLOOKUP(D333&amp;J333,'Target columns'!A:J,7,FALSE),"")</f>
        <v>No</v>
      </c>
      <c r="G333" s="66" t="str">
        <f>IFERROR(VLOOKUP(D333&amp;J333,'Target columns'!A:J,8,FALSE),"")</f>
        <v>No</v>
      </c>
      <c r="H333" s="66" t="str">
        <f>IFERROR(VLOOKUP(D333&amp;J333,'Target columns'!A:J,5,FALSE),"")</f>
        <v>NULL</v>
      </c>
      <c r="I333" s="66" t="str">
        <f>IFERROR(VLOOKUP(D333&amp;J333,'Target columns'!A:J,10,FALSE),"")</f>
        <v>Дата закрытия договора</v>
      </c>
      <c r="J333" s="8" t="s">
        <v>275</v>
      </c>
      <c r="K333" s="8" t="s">
        <v>151</v>
      </c>
      <c r="L333" s="66" t="str">
        <f>IFERROR(VLOOKUP(K333&amp;N333,source_columns[[Seek]:[Описание поля]],4,0),"")</f>
        <v>date</v>
      </c>
      <c r="M333" s="66" t="str">
        <f>IFERROR(VLOOKUP(K333&amp;N333,source_columns[[Seek]:[Описание поля]],7,0),"")</f>
        <v>Дата закрытия</v>
      </c>
      <c r="N333" s="8" t="s">
        <v>387</v>
      </c>
      <c r="O333" s="8"/>
      <c r="P333" s="8"/>
      <c r="Q333" s="8"/>
      <c r="R333" s="8"/>
      <c r="S333" s="278"/>
      <c r="T333" s="65"/>
      <c r="U333" s="65"/>
      <c r="V333" s="66" t="str">
        <f>"n308000046_"&amp;IFERROR(VLOOKUP(D333,target_tables[],5,0),"&lt;not found&gt;")</f>
        <v>n308000046_agr_other</v>
      </c>
      <c r="W333" s="65" t="s">
        <v>273</v>
      </c>
      <c r="X333" s="65"/>
      <c r="Y333" s="65"/>
      <c r="Z333" s="65"/>
      <c r="AA333" s="65"/>
      <c r="AB333" s="65"/>
      <c r="AC333" s="65"/>
      <c r="AD333" s="65"/>
      <c r="AE333" s="65"/>
      <c r="AF333" s="303"/>
      <c r="AG333" s="10"/>
      <c r="AH333" s="10"/>
      <c r="AI333" s="10"/>
      <c r="AJ333" s="68"/>
      <c r="AK333" s="69"/>
      <c r="WVK333" s="118"/>
      <c r="WVL333" s="118"/>
      <c r="WVM333" s="118"/>
      <c r="WVN333" s="118"/>
      <c r="WVO333" s="118"/>
      <c r="WVP333" s="118"/>
      <c r="WVQ333" s="118"/>
      <c r="WVR333" s="118"/>
      <c r="WVS333" s="118"/>
      <c r="WVT333" s="118"/>
      <c r="WVU333" s="118"/>
      <c r="WVV333" s="118"/>
      <c r="WVW333" s="118"/>
      <c r="WVX333" s="118"/>
      <c r="WVY333" s="118"/>
      <c r="WVZ333" s="118"/>
      <c r="WWA333" s="118"/>
      <c r="WWB333" s="118"/>
      <c r="WWC333" s="118"/>
      <c r="WWD333" s="118"/>
      <c r="WWE333" s="118"/>
      <c r="WWF333" s="118"/>
      <c r="WWG333" s="118"/>
      <c r="WWH333" s="118"/>
      <c r="WWI333" s="118"/>
      <c r="WWJ333" s="118"/>
      <c r="WWK333" s="118"/>
      <c r="WWL333" s="118"/>
      <c r="WWM333" s="118"/>
      <c r="WWN333" s="118"/>
      <c r="WWO333" s="118"/>
      <c r="WWP333" s="118"/>
      <c r="WWQ333" s="118"/>
      <c r="WWR333" s="118"/>
      <c r="WWS333" s="118"/>
      <c r="WWT333" s="118"/>
      <c r="WWU333" s="118"/>
      <c r="WWV333" s="118"/>
      <c r="WWW333" s="118"/>
      <c r="WWX333" s="118"/>
      <c r="WWY333" s="118"/>
      <c r="WWZ333" s="118"/>
      <c r="WXA333" s="118"/>
      <c r="WXB333" s="118"/>
      <c r="WXC333" s="118"/>
      <c r="WXD333" s="118"/>
      <c r="WXE333" s="118"/>
      <c r="WXF333" s="118"/>
      <c r="WXG333" s="118"/>
      <c r="WXH333" s="118"/>
      <c r="WXI333" s="118"/>
      <c r="WXJ333" s="118"/>
      <c r="WXK333" s="118"/>
      <c r="WXL333" s="118"/>
      <c r="WXM333" s="118"/>
      <c r="WXN333" s="118"/>
      <c r="WXO333" s="118"/>
      <c r="WXP333" s="118"/>
      <c r="WXQ333" s="118"/>
      <c r="WXR333" s="118"/>
      <c r="WXS333" s="118"/>
      <c r="WXT333" s="118"/>
      <c r="WXU333" s="118"/>
      <c r="WXV333" s="118"/>
      <c r="WXW333" s="118"/>
      <c r="WXX333" s="118"/>
      <c r="WXY333" s="118"/>
      <c r="WXZ333" s="118"/>
      <c r="WYA333" s="118"/>
      <c r="WYB333" s="118"/>
      <c r="WYC333" s="118"/>
      <c r="WYD333" s="118"/>
      <c r="WYE333" s="118"/>
      <c r="WYF333" s="118"/>
      <c r="WYG333" s="118"/>
      <c r="WYH333" s="118"/>
      <c r="WYI333" s="118"/>
      <c r="WYJ333" s="118"/>
      <c r="WYK333" s="118"/>
      <c r="WYL333" s="118"/>
      <c r="WYM333" s="118"/>
      <c r="WYN333" s="118"/>
      <c r="WYO333" s="118"/>
      <c r="WYP333" s="118"/>
      <c r="WYQ333" s="118"/>
      <c r="WYR333" s="118"/>
      <c r="WYS333" s="118"/>
      <c r="WYT333" s="118"/>
      <c r="WYU333" s="118"/>
      <c r="WYV333" s="118"/>
      <c r="WYW333" s="118"/>
      <c r="WYX333" s="118"/>
      <c r="WYY333" s="118"/>
      <c r="WYZ333" s="118"/>
      <c r="WZA333" s="118"/>
      <c r="WZB333" s="118"/>
      <c r="WZC333" s="118"/>
      <c r="WZD333" s="118"/>
      <c r="WZE333" s="118"/>
      <c r="WZF333" s="118"/>
      <c r="WZG333" s="118"/>
      <c r="WZH333" s="118"/>
      <c r="WZI333" s="118"/>
      <c r="WZJ333" s="118"/>
      <c r="WZK333" s="118"/>
      <c r="WZL333" s="118"/>
      <c r="WZM333" s="118"/>
      <c r="WZN333" s="118"/>
      <c r="WZO333" s="118"/>
      <c r="WZP333" s="118"/>
      <c r="WZQ333" s="118"/>
      <c r="WZR333" s="118"/>
      <c r="WZS333" s="118"/>
      <c r="WZT333" s="118"/>
      <c r="WZU333" s="118"/>
      <c r="WZV333" s="118"/>
      <c r="WZW333" s="118"/>
      <c r="WZX333" s="118"/>
      <c r="WZY333" s="118"/>
      <c r="WZZ333" s="118"/>
      <c r="XAA333" s="118"/>
      <c r="XAB333" s="118"/>
      <c r="XAC333" s="118"/>
      <c r="XAD333" s="118"/>
      <c r="XAE333" s="118"/>
      <c r="XAF333" s="118"/>
      <c r="XAG333" s="118"/>
      <c r="XAH333" s="118"/>
      <c r="XAI333" s="118"/>
      <c r="XAJ333" s="118"/>
      <c r="XAK333" s="118"/>
      <c r="XAL333" s="118"/>
      <c r="XAM333" s="118"/>
      <c r="XAN333" s="118"/>
      <c r="XAO333" s="118"/>
      <c r="XAP333" s="118"/>
      <c r="XAQ333" s="118"/>
      <c r="XAR333" s="118"/>
      <c r="XAS333" s="118"/>
      <c r="XAT333" s="118"/>
      <c r="XAU333" s="118"/>
      <c r="XAV333" s="118"/>
      <c r="XAW333" s="118"/>
      <c r="XAX333" s="118"/>
      <c r="XAY333" s="118"/>
      <c r="XAZ333" s="118"/>
      <c r="XBA333" s="118"/>
      <c r="XBB333" s="118"/>
      <c r="XBC333" s="118"/>
      <c r="XBD333" s="118"/>
      <c r="XBE333" s="118"/>
      <c r="XBF333" s="118"/>
      <c r="XBG333" s="118"/>
      <c r="XBH333" s="118"/>
      <c r="XBI333" s="118"/>
      <c r="XBJ333" s="118"/>
      <c r="XBK333" s="118"/>
      <c r="XBL333" s="118"/>
      <c r="XBM333" s="118"/>
      <c r="XBN333" s="118"/>
      <c r="XBO333" s="118"/>
      <c r="XBP333" s="118"/>
      <c r="XBQ333" s="118"/>
      <c r="XBR333" s="118"/>
      <c r="XBS333" s="118"/>
      <c r="XBT333" s="118"/>
      <c r="XBU333" s="118"/>
      <c r="XBV333" s="118"/>
      <c r="XBW333" s="118"/>
      <c r="XBX333" s="118"/>
      <c r="XBY333" s="118"/>
      <c r="XBZ333" s="118"/>
      <c r="XCA333" s="118"/>
      <c r="XCB333" s="118"/>
      <c r="XCC333" s="118"/>
      <c r="XCD333" s="118"/>
      <c r="XCE333" s="118"/>
      <c r="XCF333" s="118"/>
      <c r="XCG333" s="118"/>
      <c r="XCH333" s="118"/>
      <c r="XCI333" s="118"/>
      <c r="XCJ333" s="118"/>
      <c r="XCK333" s="118"/>
      <c r="XCL333" s="118"/>
      <c r="XCM333" s="118"/>
      <c r="XCN333" s="118"/>
      <c r="XCO333" s="118"/>
      <c r="XCP333" s="118"/>
      <c r="XCQ333" s="118"/>
      <c r="XCR333" s="118"/>
      <c r="XCS333" s="118"/>
      <c r="XCT333" s="118"/>
      <c r="XCU333" s="118"/>
      <c r="XCV333" s="118"/>
      <c r="XCW333" s="118"/>
      <c r="XCX333" s="118"/>
      <c r="XCY333" s="118"/>
      <c r="XCZ333" s="118"/>
      <c r="XDA333" s="118"/>
      <c r="XDB333" s="118"/>
      <c r="XDC333" s="118"/>
      <c r="XDD333" s="118"/>
      <c r="XDE333" s="118"/>
      <c r="XDF333" s="118"/>
      <c r="XDG333" s="118"/>
      <c r="XDH333" s="118"/>
      <c r="XDI333" s="118"/>
      <c r="XDJ333" s="118"/>
      <c r="XDK333" s="118"/>
      <c r="XDL333" s="118"/>
      <c r="XDM333" s="118"/>
      <c r="XDN333" s="118"/>
      <c r="XDO333" s="118"/>
      <c r="XDP333" s="118"/>
      <c r="XDQ333" s="118"/>
      <c r="XDR333" s="118"/>
      <c r="XDS333" s="118"/>
      <c r="XDT333" s="118"/>
      <c r="XDU333" s="118"/>
      <c r="XDV333" s="118"/>
      <c r="XDW333" s="118"/>
      <c r="XDX333" s="118"/>
      <c r="XDY333" s="118"/>
      <c r="XDZ333" s="118"/>
      <c r="XEA333" s="118"/>
      <c r="XEB333" s="118"/>
      <c r="XEC333" s="118"/>
      <c r="XED333" s="118"/>
      <c r="XEE333" s="118"/>
      <c r="XEF333" s="118"/>
      <c r="XEG333" s="118"/>
      <c r="XEH333" s="118"/>
      <c r="XEI333" s="118"/>
      <c r="XEJ333" s="118"/>
      <c r="XEK333" s="118"/>
      <c r="XEL333" s="118"/>
      <c r="XEM333" s="118"/>
      <c r="XEN333" s="118"/>
      <c r="XEO333" s="118"/>
      <c r="XEP333" s="118"/>
      <c r="XEQ333" s="118"/>
      <c r="XER333" s="118"/>
      <c r="XES333" s="118"/>
      <c r="XET333" s="118"/>
      <c r="XEU333" s="118"/>
      <c r="XEV333" s="118"/>
      <c r="XEW333" s="118"/>
      <c r="XEX333" s="118"/>
      <c r="XEY333" s="118"/>
      <c r="XEZ333" s="118"/>
      <c r="XFA333" s="118"/>
      <c r="XFB333" s="118"/>
      <c r="XFC333" s="118"/>
      <c r="XFD333" s="118"/>
    </row>
    <row r="334" spans="1:37 16131:16384" ht="12.75" hidden="1" customHeight="1" x14ac:dyDescent="0.3">
      <c r="A334" s="115">
        <v>2930</v>
      </c>
      <c r="B334" s="8" t="s">
        <v>634</v>
      </c>
      <c r="C334" s="65" t="str">
        <f>IFERROR(VLOOKUP(D334,'Target tables'!A:B,2,0),"")</f>
        <v>Договора, для которых не созданы собственные agrmnt</v>
      </c>
      <c r="D334" s="211" t="s">
        <v>136</v>
      </c>
      <c r="E334" s="66" t="str">
        <f>IFERROR(VLOOKUP(D334&amp;J334,'Target columns'!A:J,4,FALSE),"")</f>
        <v>TEXT</v>
      </c>
      <c r="F334" s="66" t="str">
        <f>IFERROR(VLOOKUP(D334&amp;J334,'Target columns'!A:J,7,FALSE),"")</f>
        <v>No</v>
      </c>
      <c r="G334" s="66" t="str">
        <f>IFERROR(VLOOKUP(D334&amp;J334,'Target columns'!A:J,8,FALSE),"")</f>
        <v>No</v>
      </c>
      <c r="H334" s="66" t="str">
        <f>IFERROR(VLOOKUP(D334&amp;J334,'Target columns'!A:J,5,FALSE),"")</f>
        <v>NULL</v>
      </c>
      <c r="I334" s="66" t="str">
        <f>IFERROR(VLOOKUP(D334&amp;J334,'Target columns'!A:J,10,FALSE),"")</f>
        <v>Номер договора</v>
      </c>
      <c r="J334" s="8" t="s">
        <v>591</v>
      </c>
      <c r="K334" s="8" t="s">
        <v>151</v>
      </c>
      <c r="L334" s="66" t="str">
        <f>IFERROR(VLOOKUP(K334&amp;N334,source_columns[[Seek]:[Описание поля]],4,0),"")</f>
        <v>text</v>
      </c>
      <c r="M334" s="66" t="str">
        <f>IFERROR(VLOOKUP(K334&amp;N334,source_columns[[Seek]:[Описание поля]],7,0),"")</f>
        <v>Референс сделки</v>
      </c>
      <c r="N334" s="8" t="s">
        <v>388</v>
      </c>
      <c r="O334" s="8"/>
      <c r="P334" s="8"/>
      <c r="Q334" s="8"/>
      <c r="R334" s="8"/>
      <c r="S334" s="278"/>
      <c r="T334" s="65"/>
      <c r="U334" s="65"/>
      <c r="V334" s="66" t="str">
        <f>"n308000046_"&amp;IFERROR(VLOOKUP(D334,target_tables[],5,0),"&lt;not found&gt;")</f>
        <v>n308000046_agr_other</v>
      </c>
      <c r="W334" s="65" t="s">
        <v>273</v>
      </c>
      <c r="X334" s="65"/>
      <c r="Y334" s="65"/>
      <c r="Z334" s="65"/>
      <c r="AA334" s="65"/>
      <c r="AB334" s="65"/>
      <c r="AC334" s="65"/>
      <c r="AD334" s="65"/>
      <c r="AE334" s="65"/>
      <c r="AF334" s="303"/>
      <c r="AG334" s="10"/>
      <c r="AH334" s="10"/>
      <c r="AI334" s="10"/>
      <c r="AJ334" s="68"/>
      <c r="AK334" s="69"/>
      <c r="WVK334" s="118"/>
      <c r="WVL334" s="118"/>
      <c r="WVM334" s="118"/>
      <c r="WVN334" s="118"/>
      <c r="WVO334" s="118"/>
      <c r="WVP334" s="118"/>
      <c r="WVQ334" s="118"/>
      <c r="WVR334" s="118"/>
      <c r="WVS334" s="118"/>
      <c r="WVT334" s="118"/>
      <c r="WVU334" s="118"/>
      <c r="WVV334" s="118"/>
      <c r="WVW334" s="118"/>
      <c r="WVX334" s="118"/>
      <c r="WVY334" s="118"/>
      <c r="WVZ334" s="118"/>
      <c r="WWA334" s="118"/>
      <c r="WWB334" s="118"/>
      <c r="WWC334" s="118"/>
      <c r="WWD334" s="118"/>
      <c r="WWE334" s="118"/>
      <c r="WWF334" s="118"/>
      <c r="WWG334" s="118"/>
      <c r="WWH334" s="118"/>
      <c r="WWI334" s="118"/>
      <c r="WWJ334" s="118"/>
      <c r="WWK334" s="118"/>
      <c r="WWL334" s="118"/>
      <c r="WWM334" s="118"/>
      <c r="WWN334" s="118"/>
      <c r="WWO334" s="118"/>
      <c r="WWP334" s="118"/>
      <c r="WWQ334" s="118"/>
      <c r="WWR334" s="118"/>
      <c r="WWS334" s="118"/>
      <c r="WWT334" s="118"/>
      <c r="WWU334" s="118"/>
      <c r="WWV334" s="118"/>
      <c r="WWW334" s="118"/>
      <c r="WWX334" s="118"/>
      <c r="WWY334" s="118"/>
      <c r="WWZ334" s="118"/>
      <c r="WXA334" s="118"/>
      <c r="WXB334" s="118"/>
      <c r="WXC334" s="118"/>
      <c r="WXD334" s="118"/>
      <c r="WXE334" s="118"/>
      <c r="WXF334" s="118"/>
      <c r="WXG334" s="118"/>
      <c r="WXH334" s="118"/>
      <c r="WXI334" s="118"/>
      <c r="WXJ334" s="118"/>
      <c r="WXK334" s="118"/>
      <c r="WXL334" s="118"/>
      <c r="WXM334" s="118"/>
      <c r="WXN334" s="118"/>
      <c r="WXO334" s="118"/>
      <c r="WXP334" s="118"/>
      <c r="WXQ334" s="118"/>
      <c r="WXR334" s="118"/>
      <c r="WXS334" s="118"/>
      <c r="WXT334" s="118"/>
      <c r="WXU334" s="118"/>
      <c r="WXV334" s="118"/>
      <c r="WXW334" s="118"/>
      <c r="WXX334" s="118"/>
      <c r="WXY334" s="118"/>
      <c r="WXZ334" s="118"/>
      <c r="WYA334" s="118"/>
      <c r="WYB334" s="118"/>
      <c r="WYC334" s="118"/>
      <c r="WYD334" s="118"/>
      <c r="WYE334" s="118"/>
      <c r="WYF334" s="118"/>
      <c r="WYG334" s="118"/>
      <c r="WYH334" s="118"/>
      <c r="WYI334" s="118"/>
      <c r="WYJ334" s="118"/>
      <c r="WYK334" s="118"/>
      <c r="WYL334" s="118"/>
      <c r="WYM334" s="118"/>
      <c r="WYN334" s="118"/>
      <c r="WYO334" s="118"/>
      <c r="WYP334" s="118"/>
      <c r="WYQ334" s="118"/>
      <c r="WYR334" s="118"/>
      <c r="WYS334" s="118"/>
      <c r="WYT334" s="118"/>
      <c r="WYU334" s="118"/>
      <c r="WYV334" s="118"/>
      <c r="WYW334" s="118"/>
      <c r="WYX334" s="118"/>
      <c r="WYY334" s="118"/>
      <c r="WYZ334" s="118"/>
      <c r="WZA334" s="118"/>
      <c r="WZB334" s="118"/>
      <c r="WZC334" s="118"/>
      <c r="WZD334" s="118"/>
      <c r="WZE334" s="118"/>
      <c r="WZF334" s="118"/>
      <c r="WZG334" s="118"/>
      <c r="WZH334" s="118"/>
      <c r="WZI334" s="118"/>
      <c r="WZJ334" s="118"/>
      <c r="WZK334" s="118"/>
      <c r="WZL334" s="118"/>
      <c r="WZM334" s="118"/>
      <c r="WZN334" s="118"/>
      <c r="WZO334" s="118"/>
      <c r="WZP334" s="118"/>
      <c r="WZQ334" s="118"/>
      <c r="WZR334" s="118"/>
      <c r="WZS334" s="118"/>
      <c r="WZT334" s="118"/>
      <c r="WZU334" s="118"/>
      <c r="WZV334" s="118"/>
      <c r="WZW334" s="118"/>
      <c r="WZX334" s="118"/>
      <c r="WZY334" s="118"/>
      <c r="WZZ334" s="118"/>
      <c r="XAA334" s="118"/>
      <c r="XAB334" s="118"/>
      <c r="XAC334" s="118"/>
      <c r="XAD334" s="118"/>
      <c r="XAE334" s="118"/>
      <c r="XAF334" s="118"/>
      <c r="XAG334" s="118"/>
      <c r="XAH334" s="118"/>
      <c r="XAI334" s="118"/>
      <c r="XAJ334" s="118"/>
      <c r="XAK334" s="118"/>
      <c r="XAL334" s="118"/>
      <c r="XAM334" s="118"/>
      <c r="XAN334" s="118"/>
      <c r="XAO334" s="118"/>
      <c r="XAP334" s="118"/>
      <c r="XAQ334" s="118"/>
      <c r="XAR334" s="118"/>
      <c r="XAS334" s="118"/>
      <c r="XAT334" s="118"/>
      <c r="XAU334" s="118"/>
      <c r="XAV334" s="118"/>
      <c r="XAW334" s="118"/>
      <c r="XAX334" s="118"/>
      <c r="XAY334" s="118"/>
      <c r="XAZ334" s="118"/>
      <c r="XBA334" s="118"/>
      <c r="XBB334" s="118"/>
      <c r="XBC334" s="118"/>
      <c r="XBD334" s="118"/>
      <c r="XBE334" s="118"/>
      <c r="XBF334" s="118"/>
      <c r="XBG334" s="118"/>
      <c r="XBH334" s="118"/>
      <c r="XBI334" s="118"/>
      <c r="XBJ334" s="118"/>
      <c r="XBK334" s="118"/>
      <c r="XBL334" s="118"/>
      <c r="XBM334" s="118"/>
      <c r="XBN334" s="118"/>
      <c r="XBO334" s="118"/>
      <c r="XBP334" s="118"/>
      <c r="XBQ334" s="118"/>
      <c r="XBR334" s="118"/>
      <c r="XBS334" s="118"/>
      <c r="XBT334" s="118"/>
      <c r="XBU334" s="118"/>
      <c r="XBV334" s="118"/>
      <c r="XBW334" s="118"/>
      <c r="XBX334" s="118"/>
      <c r="XBY334" s="118"/>
      <c r="XBZ334" s="118"/>
      <c r="XCA334" s="118"/>
      <c r="XCB334" s="118"/>
      <c r="XCC334" s="118"/>
      <c r="XCD334" s="118"/>
      <c r="XCE334" s="118"/>
      <c r="XCF334" s="118"/>
      <c r="XCG334" s="118"/>
      <c r="XCH334" s="118"/>
      <c r="XCI334" s="118"/>
      <c r="XCJ334" s="118"/>
      <c r="XCK334" s="118"/>
      <c r="XCL334" s="118"/>
      <c r="XCM334" s="118"/>
      <c r="XCN334" s="118"/>
      <c r="XCO334" s="118"/>
      <c r="XCP334" s="118"/>
      <c r="XCQ334" s="118"/>
      <c r="XCR334" s="118"/>
      <c r="XCS334" s="118"/>
      <c r="XCT334" s="118"/>
      <c r="XCU334" s="118"/>
      <c r="XCV334" s="118"/>
      <c r="XCW334" s="118"/>
      <c r="XCX334" s="118"/>
      <c r="XCY334" s="118"/>
      <c r="XCZ334" s="118"/>
      <c r="XDA334" s="118"/>
      <c r="XDB334" s="118"/>
      <c r="XDC334" s="118"/>
      <c r="XDD334" s="118"/>
      <c r="XDE334" s="118"/>
      <c r="XDF334" s="118"/>
      <c r="XDG334" s="118"/>
      <c r="XDH334" s="118"/>
      <c r="XDI334" s="118"/>
      <c r="XDJ334" s="118"/>
      <c r="XDK334" s="118"/>
      <c r="XDL334" s="118"/>
      <c r="XDM334" s="118"/>
      <c r="XDN334" s="118"/>
      <c r="XDO334" s="118"/>
      <c r="XDP334" s="118"/>
      <c r="XDQ334" s="118"/>
      <c r="XDR334" s="118"/>
      <c r="XDS334" s="118"/>
      <c r="XDT334" s="118"/>
      <c r="XDU334" s="118"/>
      <c r="XDV334" s="118"/>
      <c r="XDW334" s="118"/>
      <c r="XDX334" s="118"/>
      <c r="XDY334" s="118"/>
      <c r="XDZ334" s="118"/>
      <c r="XEA334" s="118"/>
      <c r="XEB334" s="118"/>
      <c r="XEC334" s="118"/>
      <c r="XED334" s="118"/>
      <c r="XEE334" s="118"/>
      <c r="XEF334" s="118"/>
      <c r="XEG334" s="118"/>
      <c r="XEH334" s="118"/>
      <c r="XEI334" s="118"/>
      <c r="XEJ334" s="118"/>
      <c r="XEK334" s="118"/>
      <c r="XEL334" s="118"/>
      <c r="XEM334" s="118"/>
      <c r="XEN334" s="118"/>
      <c r="XEO334" s="118"/>
      <c r="XEP334" s="118"/>
      <c r="XEQ334" s="118"/>
      <c r="XER334" s="118"/>
      <c r="XES334" s="118"/>
      <c r="XET334" s="118"/>
      <c r="XEU334" s="118"/>
      <c r="XEV334" s="118"/>
      <c r="XEW334" s="118"/>
      <c r="XEX334" s="118"/>
      <c r="XEY334" s="118"/>
      <c r="XEZ334" s="118"/>
      <c r="XFA334" s="118"/>
      <c r="XFB334" s="118"/>
      <c r="XFC334" s="118"/>
      <c r="XFD334" s="118"/>
    </row>
    <row r="335" spans="1:37 16131:16384" ht="12.75" hidden="1" customHeight="1" x14ac:dyDescent="0.3">
      <c r="A335" s="115">
        <v>2940</v>
      </c>
      <c r="B335" s="8" t="s">
        <v>634</v>
      </c>
      <c r="C335" s="65" t="str">
        <f>IFERROR(VLOOKUP(D335,'Target tables'!A:B,2,0),"")</f>
        <v>Договора, для которых не созданы собственные agrmnt</v>
      </c>
      <c r="D335" s="211" t="s">
        <v>136</v>
      </c>
      <c r="E335" s="66" t="str">
        <f>IFERROR(VLOOKUP(D335&amp;J335,'Target columns'!A:J,4,FALSE),"")</f>
        <v>TEXT</v>
      </c>
      <c r="F335" s="66" t="str">
        <f>IFERROR(VLOOKUP(D335&amp;J335,'Target columns'!A:J,7,FALSE),"")</f>
        <v>No</v>
      </c>
      <c r="G335" s="66" t="str">
        <f>IFERROR(VLOOKUP(D335&amp;J335,'Target columns'!A:J,8,FALSE),"")</f>
        <v>No</v>
      </c>
      <c r="H335" s="66" t="str">
        <f>IFERROR(VLOOKUP(D335&amp;J335,'Target columns'!A:J,5,FALSE),"")</f>
        <v>NULL</v>
      </c>
      <c r="I335" s="66" t="str">
        <f>IFERROR(VLOOKUP(D335&amp;J335,'Target columns'!A:J,10,FALSE),"")</f>
        <v>Номер договора банка эмитента</v>
      </c>
      <c r="J335" s="8" t="s">
        <v>506</v>
      </c>
      <c r="K335" s="8" t="s">
        <v>151</v>
      </c>
      <c r="L335" s="66" t="str">
        <f>IFERROR(VLOOKUP(K335&amp;N335,source_columns[[Seek]:[Описание поля]],4,0),"")</f>
        <v>text</v>
      </c>
      <c r="M335" s="66" t="str">
        <f>IFERROR(VLOOKUP(K335&amp;N335,source_columns[[Seek]:[Описание поля]],7,0),"")</f>
        <v>Номер сделки у иностранного банка</v>
      </c>
      <c r="N335" s="8" t="s">
        <v>635</v>
      </c>
      <c r="O335" s="8"/>
      <c r="P335" s="8"/>
      <c r="Q335" s="8"/>
      <c r="R335" s="8"/>
      <c r="S335" s="278"/>
      <c r="T335" s="65"/>
      <c r="U335" s="65"/>
      <c r="V335" s="66" t="str">
        <f>"n308000046_"&amp;IFERROR(VLOOKUP(D335,target_tables[],5,0),"&lt;not found&gt;")</f>
        <v>n308000046_agr_other</v>
      </c>
      <c r="W335" s="65" t="s">
        <v>273</v>
      </c>
      <c r="X335" s="65"/>
      <c r="Y335" s="65"/>
      <c r="Z335" s="65"/>
      <c r="AA335" s="65"/>
      <c r="AB335" s="65"/>
      <c r="AC335" s="65"/>
      <c r="AD335" s="65"/>
      <c r="AE335" s="65"/>
      <c r="AF335" s="303"/>
      <c r="AG335" s="10"/>
      <c r="AH335" s="10"/>
      <c r="AI335" s="10"/>
      <c r="AJ335" s="68"/>
      <c r="AK335" s="69"/>
      <c r="WVK335" s="118"/>
      <c r="WVL335" s="118"/>
      <c r="WVM335" s="118"/>
      <c r="WVN335" s="118"/>
      <c r="WVO335" s="118"/>
      <c r="WVP335" s="118"/>
      <c r="WVQ335" s="118"/>
      <c r="WVR335" s="118"/>
      <c r="WVS335" s="118"/>
      <c r="WVT335" s="118"/>
      <c r="WVU335" s="118"/>
      <c r="WVV335" s="118"/>
      <c r="WVW335" s="118"/>
      <c r="WVX335" s="118"/>
      <c r="WVY335" s="118"/>
      <c r="WVZ335" s="118"/>
      <c r="WWA335" s="118"/>
      <c r="WWB335" s="118"/>
      <c r="WWC335" s="118"/>
      <c r="WWD335" s="118"/>
      <c r="WWE335" s="118"/>
      <c r="WWF335" s="118"/>
      <c r="WWG335" s="118"/>
      <c r="WWH335" s="118"/>
      <c r="WWI335" s="118"/>
      <c r="WWJ335" s="118"/>
      <c r="WWK335" s="118"/>
      <c r="WWL335" s="118"/>
      <c r="WWM335" s="118"/>
      <c r="WWN335" s="118"/>
      <c r="WWO335" s="118"/>
      <c r="WWP335" s="118"/>
      <c r="WWQ335" s="118"/>
      <c r="WWR335" s="118"/>
      <c r="WWS335" s="118"/>
      <c r="WWT335" s="118"/>
      <c r="WWU335" s="118"/>
      <c r="WWV335" s="118"/>
      <c r="WWW335" s="118"/>
      <c r="WWX335" s="118"/>
      <c r="WWY335" s="118"/>
      <c r="WWZ335" s="118"/>
      <c r="WXA335" s="118"/>
      <c r="WXB335" s="118"/>
      <c r="WXC335" s="118"/>
      <c r="WXD335" s="118"/>
      <c r="WXE335" s="118"/>
      <c r="WXF335" s="118"/>
      <c r="WXG335" s="118"/>
      <c r="WXH335" s="118"/>
      <c r="WXI335" s="118"/>
      <c r="WXJ335" s="118"/>
      <c r="WXK335" s="118"/>
      <c r="WXL335" s="118"/>
      <c r="WXM335" s="118"/>
      <c r="WXN335" s="118"/>
      <c r="WXO335" s="118"/>
      <c r="WXP335" s="118"/>
      <c r="WXQ335" s="118"/>
      <c r="WXR335" s="118"/>
      <c r="WXS335" s="118"/>
      <c r="WXT335" s="118"/>
      <c r="WXU335" s="118"/>
      <c r="WXV335" s="118"/>
      <c r="WXW335" s="118"/>
      <c r="WXX335" s="118"/>
      <c r="WXY335" s="118"/>
      <c r="WXZ335" s="118"/>
      <c r="WYA335" s="118"/>
      <c r="WYB335" s="118"/>
      <c r="WYC335" s="118"/>
      <c r="WYD335" s="118"/>
      <c r="WYE335" s="118"/>
      <c r="WYF335" s="118"/>
      <c r="WYG335" s="118"/>
      <c r="WYH335" s="118"/>
      <c r="WYI335" s="118"/>
      <c r="WYJ335" s="118"/>
      <c r="WYK335" s="118"/>
      <c r="WYL335" s="118"/>
      <c r="WYM335" s="118"/>
      <c r="WYN335" s="118"/>
      <c r="WYO335" s="118"/>
      <c r="WYP335" s="118"/>
      <c r="WYQ335" s="118"/>
      <c r="WYR335" s="118"/>
      <c r="WYS335" s="118"/>
      <c r="WYT335" s="118"/>
      <c r="WYU335" s="118"/>
      <c r="WYV335" s="118"/>
      <c r="WYW335" s="118"/>
      <c r="WYX335" s="118"/>
      <c r="WYY335" s="118"/>
      <c r="WYZ335" s="118"/>
      <c r="WZA335" s="118"/>
      <c r="WZB335" s="118"/>
      <c r="WZC335" s="118"/>
      <c r="WZD335" s="118"/>
      <c r="WZE335" s="118"/>
      <c r="WZF335" s="118"/>
      <c r="WZG335" s="118"/>
      <c r="WZH335" s="118"/>
      <c r="WZI335" s="118"/>
      <c r="WZJ335" s="118"/>
      <c r="WZK335" s="118"/>
      <c r="WZL335" s="118"/>
      <c r="WZM335" s="118"/>
      <c r="WZN335" s="118"/>
      <c r="WZO335" s="118"/>
      <c r="WZP335" s="118"/>
      <c r="WZQ335" s="118"/>
      <c r="WZR335" s="118"/>
      <c r="WZS335" s="118"/>
      <c r="WZT335" s="118"/>
      <c r="WZU335" s="118"/>
      <c r="WZV335" s="118"/>
      <c r="WZW335" s="118"/>
      <c r="WZX335" s="118"/>
      <c r="WZY335" s="118"/>
      <c r="WZZ335" s="118"/>
      <c r="XAA335" s="118"/>
      <c r="XAB335" s="118"/>
      <c r="XAC335" s="118"/>
      <c r="XAD335" s="118"/>
      <c r="XAE335" s="118"/>
      <c r="XAF335" s="118"/>
      <c r="XAG335" s="118"/>
      <c r="XAH335" s="118"/>
      <c r="XAI335" s="118"/>
      <c r="XAJ335" s="118"/>
      <c r="XAK335" s="118"/>
      <c r="XAL335" s="118"/>
      <c r="XAM335" s="118"/>
      <c r="XAN335" s="118"/>
      <c r="XAO335" s="118"/>
      <c r="XAP335" s="118"/>
      <c r="XAQ335" s="118"/>
      <c r="XAR335" s="118"/>
      <c r="XAS335" s="118"/>
      <c r="XAT335" s="118"/>
      <c r="XAU335" s="118"/>
      <c r="XAV335" s="118"/>
      <c r="XAW335" s="118"/>
      <c r="XAX335" s="118"/>
      <c r="XAY335" s="118"/>
      <c r="XAZ335" s="118"/>
      <c r="XBA335" s="118"/>
      <c r="XBB335" s="118"/>
      <c r="XBC335" s="118"/>
      <c r="XBD335" s="118"/>
      <c r="XBE335" s="118"/>
      <c r="XBF335" s="118"/>
      <c r="XBG335" s="118"/>
      <c r="XBH335" s="118"/>
      <c r="XBI335" s="118"/>
      <c r="XBJ335" s="118"/>
      <c r="XBK335" s="118"/>
      <c r="XBL335" s="118"/>
      <c r="XBM335" s="118"/>
      <c r="XBN335" s="118"/>
      <c r="XBO335" s="118"/>
      <c r="XBP335" s="118"/>
      <c r="XBQ335" s="118"/>
      <c r="XBR335" s="118"/>
      <c r="XBS335" s="118"/>
      <c r="XBT335" s="118"/>
      <c r="XBU335" s="118"/>
      <c r="XBV335" s="118"/>
      <c r="XBW335" s="118"/>
      <c r="XBX335" s="118"/>
      <c r="XBY335" s="118"/>
      <c r="XBZ335" s="118"/>
      <c r="XCA335" s="118"/>
      <c r="XCB335" s="118"/>
      <c r="XCC335" s="118"/>
      <c r="XCD335" s="118"/>
      <c r="XCE335" s="118"/>
      <c r="XCF335" s="118"/>
      <c r="XCG335" s="118"/>
      <c r="XCH335" s="118"/>
      <c r="XCI335" s="118"/>
      <c r="XCJ335" s="118"/>
      <c r="XCK335" s="118"/>
      <c r="XCL335" s="118"/>
      <c r="XCM335" s="118"/>
      <c r="XCN335" s="118"/>
      <c r="XCO335" s="118"/>
      <c r="XCP335" s="118"/>
      <c r="XCQ335" s="118"/>
      <c r="XCR335" s="118"/>
      <c r="XCS335" s="118"/>
      <c r="XCT335" s="118"/>
      <c r="XCU335" s="118"/>
      <c r="XCV335" s="118"/>
      <c r="XCW335" s="118"/>
      <c r="XCX335" s="118"/>
      <c r="XCY335" s="118"/>
      <c r="XCZ335" s="118"/>
      <c r="XDA335" s="118"/>
      <c r="XDB335" s="118"/>
      <c r="XDC335" s="118"/>
      <c r="XDD335" s="118"/>
      <c r="XDE335" s="118"/>
      <c r="XDF335" s="118"/>
      <c r="XDG335" s="118"/>
      <c r="XDH335" s="118"/>
      <c r="XDI335" s="118"/>
      <c r="XDJ335" s="118"/>
      <c r="XDK335" s="118"/>
      <c r="XDL335" s="118"/>
      <c r="XDM335" s="118"/>
      <c r="XDN335" s="118"/>
      <c r="XDO335" s="118"/>
      <c r="XDP335" s="118"/>
      <c r="XDQ335" s="118"/>
      <c r="XDR335" s="118"/>
      <c r="XDS335" s="118"/>
      <c r="XDT335" s="118"/>
      <c r="XDU335" s="118"/>
      <c r="XDV335" s="118"/>
      <c r="XDW335" s="118"/>
      <c r="XDX335" s="118"/>
      <c r="XDY335" s="118"/>
      <c r="XDZ335" s="118"/>
      <c r="XEA335" s="118"/>
      <c r="XEB335" s="118"/>
      <c r="XEC335" s="118"/>
      <c r="XED335" s="118"/>
      <c r="XEE335" s="118"/>
      <c r="XEF335" s="118"/>
      <c r="XEG335" s="118"/>
      <c r="XEH335" s="118"/>
      <c r="XEI335" s="118"/>
      <c r="XEJ335" s="118"/>
      <c r="XEK335" s="118"/>
      <c r="XEL335" s="118"/>
      <c r="XEM335" s="118"/>
      <c r="XEN335" s="118"/>
      <c r="XEO335" s="118"/>
      <c r="XEP335" s="118"/>
      <c r="XEQ335" s="118"/>
      <c r="XER335" s="118"/>
      <c r="XES335" s="118"/>
      <c r="XET335" s="118"/>
      <c r="XEU335" s="118"/>
      <c r="XEV335" s="118"/>
      <c r="XEW335" s="118"/>
      <c r="XEX335" s="118"/>
      <c r="XEY335" s="118"/>
      <c r="XEZ335" s="118"/>
      <c r="XFA335" s="118"/>
      <c r="XFB335" s="118"/>
      <c r="XFC335" s="118"/>
      <c r="XFD335" s="118"/>
    </row>
    <row r="336" spans="1:37 16131:16384" ht="12.75" hidden="1" customHeight="1" x14ac:dyDescent="0.3">
      <c r="A336" s="115">
        <v>2950</v>
      </c>
      <c r="B336" s="8" t="s">
        <v>634</v>
      </c>
      <c r="C336" s="65" t="str">
        <f>IFERROR(VLOOKUP(D336,'Target tables'!A:B,2,0),"")</f>
        <v>Договора, для которых не созданы собственные agrmnt</v>
      </c>
      <c r="D336" s="211" t="s">
        <v>136</v>
      </c>
      <c r="E336" s="66" t="str">
        <f>IFERROR(VLOOKUP(D336&amp;J336,'Target columns'!A:J,4,FALSE),"")</f>
        <v>UUID</v>
      </c>
      <c r="F336" s="66" t="str">
        <f>IFERROR(VLOOKUP(D336&amp;J336,'Target columns'!A:J,7,FALSE),"")</f>
        <v>No</v>
      </c>
      <c r="G336" s="66" t="str">
        <f>IFERROR(VLOOKUP(D336&amp;J336,'Target columns'!A:J,8,FALSE),"")</f>
        <v>Yes</v>
      </c>
      <c r="H336" s="66" t="str">
        <f>IFERROR(VLOOKUP(D336&amp;J336,'Target columns'!A:J,5,FALSE),"")</f>
        <v>NULL</v>
      </c>
      <c r="I336" s="66" t="str">
        <f>IFERROR(VLOOKUP(D336&amp;J336,'Target columns'!A:J,10,FALSE),"")</f>
        <v>Идентификатор категория договора</v>
      </c>
      <c r="J336" s="8" t="s">
        <v>593</v>
      </c>
      <c r="K336" s="8" t="s">
        <v>151</v>
      </c>
      <c r="L336" s="66" t="str">
        <f>IFERROR(VLOOKUP(K336&amp;N336,source_columns[[Seek]:[Описание поля]],4,0),"")</f>
        <v/>
      </c>
      <c r="M336" s="66" t="str">
        <f>IFERROR(VLOOKUP(K336&amp;N336,source_columns[[Seek]:[Описание поля]],7,0),"")</f>
        <v/>
      </c>
      <c r="N336" s="8" t="s">
        <v>636</v>
      </c>
      <c r="O336" s="8"/>
      <c r="P336" s="8"/>
      <c r="Q336" s="8"/>
      <c r="R336" s="8"/>
      <c r="S336" s="278"/>
      <c r="T336" s="65"/>
      <c r="U336" s="65"/>
      <c r="V336" s="66" t="str">
        <f>"n308000046_"&amp;IFERROR(VLOOKUP(D336,target_tables[],5,0),"&lt;not found&gt;")</f>
        <v>n308000046_agr_other</v>
      </c>
      <c r="W336" s="65" t="s">
        <v>273</v>
      </c>
      <c r="X336" s="65"/>
      <c r="Y336" s="65"/>
      <c r="Z336" s="65"/>
      <c r="AA336" s="65"/>
      <c r="AB336" s="65"/>
      <c r="AC336" s="65"/>
      <c r="AD336" s="65"/>
      <c r="AE336" s="65"/>
      <c r="AF336" s="303"/>
      <c r="AG336" s="10"/>
      <c r="AH336" s="10"/>
      <c r="AI336" s="10"/>
      <c r="AJ336" s="68"/>
      <c r="AK336" s="69"/>
      <c r="WVK336" s="118"/>
      <c r="WVL336" s="118"/>
      <c r="WVM336" s="118"/>
      <c r="WVN336" s="118"/>
      <c r="WVO336" s="118"/>
      <c r="WVP336" s="118"/>
      <c r="WVQ336" s="118"/>
      <c r="WVR336" s="118"/>
      <c r="WVS336" s="118"/>
      <c r="WVT336" s="118"/>
      <c r="WVU336" s="118"/>
      <c r="WVV336" s="118"/>
      <c r="WVW336" s="118"/>
      <c r="WVX336" s="118"/>
      <c r="WVY336" s="118"/>
      <c r="WVZ336" s="118"/>
      <c r="WWA336" s="118"/>
      <c r="WWB336" s="118"/>
      <c r="WWC336" s="118"/>
      <c r="WWD336" s="118"/>
      <c r="WWE336" s="118"/>
      <c r="WWF336" s="118"/>
      <c r="WWG336" s="118"/>
      <c r="WWH336" s="118"/>
      <c r="WWI336" s="118"/>
      <c r="WWJ336" s="118"/>
      <c r="WWK336" s="118"/>
      <c r="WWL336" s="118"/>
      <c r="WWM336" s="118"/>
      <c r="WWN336" s="118"/>
      <c r="WWO336" s="118"/>
      <c r="WWP336" s="118"/>
      <c r="WWQ336" s="118"/>
      <c r="WWR336" s="118"/>
      <c r="WWS336" s="118"/>
      <c r="WWT336" s="118"/>
      <c r="WWU336" s="118"/>
      <c r="WWV336" s="118"/>
      <c r="WWW336" s="118"/>
      <c r="WWX336" s="118"/>
      <c r="WWY336" s="118"/>
      <c r="WWZ336" s="118"/>
      <c r="WXA336" s="118"/>
      <c r="WXB336" s="118"/>
      <c r="WXC336" s="118"/>
      <c r="WXD336" s="118"/>
      <c r="WXE336" s="118"/>
      <c r="WXF336" s="118"/>
      <c r="WXG336" s="118"/>
      <c r="WXH336" s="118"/>
      <c r="WXI336" s="118"/>
      <c r="WXJ336" s="118"/>
      <c r="WXK336" s="118"/>
      <c r="WXL336" s="118"/>
      <c r="WXM336" s="118"/>
      <c r="WXN336" s="118"/>
      <c r="WXO336" s="118"/>
      <c r="WXP336" s="118"/>
      <c r="WXQ336" s="118"/>
      <c r="WXR336" s="118"/>
      <c r="WXS336" s="118"/>
      <c r="WXT336" s="118"/>
      <c r="WXU336" s="118"/>
      <c r="WXV336" s="118"/>
      <c r="WXW336" s="118"/>
      <c r="WXX336" s="118"/>
      <c r="WXY336" s="118"/>
      <c r="WXZ336" s="118"/>
      <c r="WYA336" s="118"/>
      <c r="WYB336" s="118"/>
      <c r="WYC336" s="118"/>
      <c r="WYD336" s="118"/>
      <c r="WYE336" s="118"/>
      <c r="WYF336" s="118"/>
      <c r="WYG336" s="118"/>
      <c r="WYH336" s="118"/>
      <c r="WYI336" s="118"/>
      <c r="WYJ336" s="118"/>
      <c r="WYK336" s="118"/>
      <c r="WYL336" s="118"/>
      <c r="WYM336" s="118"/>
      <c r="WYN336" s="118"/>
      <c r="WYO336" s="118"/>
      <c r="WYP336" s="118"/>
      <c r="WYQ336" s="118"/>
      <c r="WYR336" s="118"/>
      <c r="WYS336" s="118"/>
      <c r="WYT336" s="118"/>
      <c r="WYU336" s="118"/>
      <c r="WYV336" s="118"/>
      <c r="WYW336" s="118"/>
      <c r="WYX336" s="118"/>
      <c r="WYY336" s="118"/>
      <c r="WYZ336" s="118"/>
      <c r="WZA336" s="118"/>
      <c r="WZB336" s="118"/>
      <c r="WZC336" s="118"/>
      <c r="WZD336" s="118"/>
      <c r="WZE336" s="118"/>
      <c r="WZF336" s="118"/>
      <c r="WZG336" s="118"/>
      <c r="WZH336" s="118"/>
      <c r="WZI336" s="118"/>
      <c r="WZJ336" s="118"/>
      <c r="WZK336" s="118"/>
      <c r="WZL336" s="118"/>
      <c r="WZM336" s="118"/>
      <c r="WZN336" s="118"/>
      <c r="WZO336" s="118"/>
      <c r="WZP336" s="118"/>
      <c r="WZQ336" s="118"/>
      <c r="WZR336" s="118"/>
      <c r="WZS336" s="118"/>
      <c r="WZT336" s="118"/>
      <c r="WZU336" s="118"/>
      <c r="WZV336" s="118"/>
      <c r="WZW336" s="118"/>
      <c r="WZX336" s="118"/>
      <c r="WZY336" s="118"/>
      <c r="WZZ336" s="118"/>
      <c r="XAA336" s="118"/>
      <c r="XAB336" s="118"/>
      <c r="XAC336" s="118"/>
      <c r="XAD336" s="118"/>
      <c r="XAE336" s="118"/>
      <c r="XAF336" s="118"/>
      <c r="XAG336" s="118"/>
      <c r="XAH336" s="118"/>
      <c r="XAI336" s="118"/>
      <c r="XAJ336" s="118"/>
      <c r="XAK336" s="118"/>
      <c r="XAL336" s="118"/>
      <c r="XAM336" s="118"/>
      <c r="XAN336" s="118"/>
      <c r="XAO336" s="118"/>
      <c r="XAP336" s="118"/>
      <c r="XAQ336" s="118"/>
      <c r="XAR336" s="118"/>
      <c r="XAS336" s="118"/>
      <c r="XAT336" s="118"/>
      <c r="XAU336" s="118"/>
      <c r="XAV336" s="118"/>
      <c r="XAW336" s="118"/>
      <c r="XAX336" s="118"/>
      <c r="XAY336" s="118"/>
      <c r="XAZ336" s="118"/>
      <c r="XBA336" s="118"/>
      <c r="XBB336" s="118"/>
      <c r="XBC336" s="118"/>
      <c r="XBD336" s="118"/>
      <c r="XBE336" s="118"/>
      <c r="XBF336" s="118"/>
      <c r="XBG336" s="118"/>
      <c r="XBH336" s="118"/>
      <c r="XBI336" s="118"/>
      <c r="XBJ336" s="118"/>
      <c r="XBK336" s="118"/>
      <c r="XBL336" s="118"/>
      <c r="XBM336" s="118"/>
      <c r="XBN336" s="118"/>
      <c r="XBO336" s="118"/>
      <c r="XBP336" s="118"/>
      <c r="XBQ336" s="118"/>
      <c r="XBR336" s="118"/>
      <c r="XBS336" s="118"/>
      <c r="XBT336" s="118"/>
      <c r="XBU336" s="118"/>
      <c r="XBV336" s="118"/>
      <c r="XBW336" s="118"/>
      <c r="XBX336" s="118"/>
      <c r="XBY336" s="118"/>
      <c r="XBZ336" s="118"/>
      <c r="XCA336" s="118"/>
      <c r="XCB336" s="118"/>
      <c r="XCC336" s="118"/>
      <c r="XCD336" s="118"/>
      <c r="XCE336" s="118"/>
      <c r="XCF336" s="118"/>
      <c r="XCG336" s="118"/>
      <c r="XCH336" s="118"/>
      <c r="XCI336" s="118"/>
      <c r="XCJ336" s="118"/>
      <c r="XCK336" s="118"/>
      <c r="XCL336" s="118"/>
      <c r="XCM336" s="118"/>
      <c r="XCN336" s="118"/>
      <c r="XCO336" s="118"/>
      <c r="XCP336" s="118"/>
      <c r="XCQ336" s="118"/>
      <c r="XCR336" s="118"/>
      <c r="XCS336" s="118"/>
      <c r="XCT336" s="118"/>
      <c r="XCU336" s="118"/>
      <c r="XCV336" s="118"/>
      <c r="XCW336" s="118"/>
      <c r="XCX336" s="118"/>
      <c r="XCY336" s="118"/>
      <c r="XCZ336" s="118"/>
      <c r="XDA336" s="118"/>
      <c r="XDB336" s="118"/>
      <c r="XDC336" s="118"/>
      <c r="XDD336" s="118"/>
      <c r="XDE336" s="118"/>
      <c r="XDF336" s="118"/>
      <c r="XDG336" s="118"/>
      <c r="XDH336" s="118"/>
      <c r="XDI336" s="118"/>
      <c r="XDJ336" s="118"/>
      <c r="XDK336" s="118"/>
      <c r="XDL336" s="118"/>
      <c r="XDM336" s="118"/>
      <c r="XDN336" s="118"/>
      <c r="XDO336" s="118"/>
      <c r="XDP336" s="118"/>
      <c r="XDQ336" s="118"/>
      <c r="XDR336" s="118"/>
      <c r="XDS336" s="118"/>
      <c r="XDT336" s="118"/>
      <c r="XDU336" s="118"/>
      <c r="XDV336" s="118"/>
      <c r="XDW336" s="118"/>
      <c r="XDX336" s="118"/>
      <c r="XDY336" s="118"/>
      <c r="XDZ336" s="118"/>
      <c r="XEA336" s="118"/>
      <c r="XEB336" s="118"/>
      <c r="XEC336" s="118"/>
      <c r="XED336" s="118"/>
      <c r="XEE336" s="118"/>
      <c r="XEF336" s="118"/>
      <c r="XEG336" s="118"/>
      <c r="XEH336" s="118"/>
      <c r="XEI336" s="118"/>
      <c r="XEJ336" s="118"/>
      <c r="XEK336" s="118"/>
      <c r="XEL336" s="118"/>
      <c r="XEM336" s="118"/>
      <c r="XEN336" s="118"/>
      <c r="XEO336" s="118"/>
      <c r="XEP336" s="118"/>
      <c r="XEQ336" s="118"/>
      <c r="XER336" s="118"/>
      <c r="XES336" s="118"/>
      <c r="XET336" s="118"/>
      <c r="XEU336" s="118"/>
      <c r="XEV336" s="118"/>
      <c r="XEW336" s="118"/>
      <c r="XEX336" s="118"/>
      <c r="XEY336" s="118"/>
      <c r="XEZ336" s="118"/>
      <c r="XFA336" s="118"/>
      <c r="XFB336" s="118"/>
      <c r="XFC336" s="118"/>
      <c r="XFD336" s="118"/>
    </row>
    <row r="337" spans="1:37 16131:16384" ht="12.75" hidden="1" customHeight="1" x14ac:dyDescent="0.3">
      <c r="A337" s="115">
        <v>2960</v>
      </c>
      <c r="B337" s="8" t="s">
        <v>634</v>
      </c>
      <c r="C337" s="65" t="str">
        <f>IFERROR(VLOOKUP(D337,'Target tables'!A:B,2,0),"")</f>
        <v>Договора, для которых не созданы собственные agrmnt</v>
      </c>
      <c r="D337" s="211" t="s">
        <v>136</v>
      </c>
      <c r="E337" s="66" t="str">
        <f>IFERROR(VLOOKUP(D337&amp;J337,'Target columns'!A:J,4,FALSE),"")</f>
        <v>TEXT</v>
      </c>
      <c r="F337" s="66" t="str">
        <f>IFERROR(VLOOKUP(D337&amp;J337,'Target columns'!A:J,7,FALSE),"")</f>
        <v>No</v>
      </c>
      <c r="G337" s="66" t="str">
        <f>IFERROR(VLOOKUP(D337&amp;J337,'Target columns'!A:J,8,FALSE),"")</f>
        <v>No</v>
      </c>
      <c r="H337" s="66" t="str">
        <f>IFERROR(VLOOKUP(D337&amp;J337,'Target columns'!A:J,5,FALSE),"")</f>
        <v>NULL</v>
      </c>
      <c r="I337" s="66" t="str">
        <f>IFERROR(VLOOKUP(D337&amp;J337,'Target columns'!A:J,10,FALSE),"")</f>
        <v>Идентификатор договора в системе-источнике</v>
      </c>
      <c r="J337" s="8" t="s">
        <v>595</v>
      </c>
      <c r="K337" s="8" t="s">
        <v>151</v>
      </c>
      <c r="L337" s="66" t="str">
        <f>IFERROR(VLOOKUP(K337&amp;N337,source_columns[[Seek]:[Описание поля]],4,0),"")</f>
        <v>text</v>
      </c>
      <c r="M337" s="66" t="str">
        <f>IFERROR(VLOOKUP(K337&amp;N337,source_columns[[Seek]:[Описание поля]],7,0),"")</f>
        <v>Референс сделки</v>
      </c>
      <c r="N337" s="8" t="s">
        <v>388</v>
      </c>
      <c r="O337" s="8"/>
      <c r="P337" s="8"/>
      <c r="Q337" s="8"/>
      <c r="R337" s="8"/>
      <c r="S337" s="278"/>
      <c r="T337" s="65"/>
      <c r="U337" s="65"/>
      <c r="V337" s="66" t="str">
        <f>"n308000046_"&amp;IFERROR(VLOOKUP(D337,target_tables[],5,0),"&lt;not found&gt;")</f>
        <v>n308000046_agr_other</v>
      </c>
      <c r="W337" s="65" t="s">
        <v>273</v>
      </c>
      <c r="X337" s="65"/>
      <c r="Y337" s="65"/>
      <c r="Z337" s="65"/>
      <c r="AA337" s="65"/>
      <c r="AB337" s="65"/>
      <c r="AC337" s="65"/>
      <c r="AD337" s="65"/>
      <c r="AE337" s="65"/>
      <c r="AF337" s="303"/>
      <c r="AG337" s="10"/>
      <c r="AH337" s="10"/>
      <c r="AI337" s="10"/>
      <c r="AJ337" s="68"/>
      <c r="AK337" s="69"/>
      <c r="WVK337" s="118"/>
      <c r="WVL337" s="118"/>
      <c r="WVM337" s="118"/>
      <c r="WVN337" s="118"/>
      <c r="WVO337" s="118"/>
      <c r="WVP337" s="118"/>
      <c r="WVQ337" s="118"/>
      <c r="WVR337" s="118"/>
      <c r="WVS337" s="118"/>
      <c r="WVT337" s="118"/>
      <c r="WVU337" s="118"/>
      <c r="WVV337" s="118"/>
      <c r="WVW337" s="118"/>
      <c r="WVX337" s="118"/>
      <c r="WVY337" s="118"/>
      <c r="WVZ337" s="118"/>
      <c r="WWA337" s="118"/>
      <c r="WWB337" s="118"/>
      <c r="WWC337" s="118"/>
      <c r="WWD337" s="118"/>
      <c r="WWE337" s="118"/>
      <c r="WWF337" s="118"/>
      <c r="WWG337" s="118"/>
      <c r="WWH337" s="118"/>
      <c r="WWI337" s="118"/>
      <c r="WWJ337" s="118"/>
      <c r="WWK337" s="118"/>
      <c r="WWL337" s="118"/>
      <c r="WWM337" s="118"/>
      <c r="WWN337" s="118"/>
      <c r="WWO337" s="118"/>
      <c r="WWP337" s="118"/>
      <c r="WWQ337" s="118"/>
      <c r="WWR337" s="118"/>
      <c r="WWS337" s="118"/>
      <c r="WWT337" s="118"/>
      <c r="WWU337" s="118"/>
      <c r="WWV337" s="118"/>
      <c r="WWW337" s="118"/>
      <c r="WWX337" s="118"/>
      <c r="WWY337" s="118"/>
      <c r="WWZ337" s="118"/>
      <c r="WXA337" s="118"/>
      <c r="WXB337" s="118"/>
      <c r="WXC337" s="118"/>
      <c r="WXD337" s="118"/>
      <c r="WXE337" s="118"/>
      <c r="WXF337" s="118"/>
      <c r="WXG337" s="118"/>
      <c r="WXH337" s="118"/>
      <c r="WXI337" s="118"/>
      <c r="WXJ337" s="118"/>
      <c r="WXK337" s="118"/>
      <c r="WXL337" s="118"/>
      <c r="WXM337" s="118"/>
      <c r="WXN337" s="118"/>
      <c r="WXO337" s="118"/>
      <c r="WXP337" s="118"/>
      <c r="WXQ337" s="118"/>
      <c r="WXR337" s="118"/>
      <c r="WXS337" s="118"/>
      <c r="WXT337" s="118"/>
      <c r="WXU337" s="118"/>
      <c r="WXV337" s="118"/>
      <c r="WXW337" s="118"/>
      <c r="WXX337" s="118"/>
      <c r="WXY337" s="118"/>
      <c r="WXZ337" s="118"/>
      <c r="WYA337" s="118"/>
      <c r="WYB337" s="118"/>
      <c r="WYC337" s="118"/>
      <c r="WYD337" s="118"/>
      <c r="WYE337" s="118"/>
      <c r="WYF337" s="118"/>
      <c r="WYG337" s="118"/>
      <c r="WYH337" s="118"/>
      <c r="WYI337" s="118"/>
      <c r="WYJ337" s="118"/>
      <c r="WYK337" s="118"/>
      <c r="WYL337" s="118"/>
      <c r="WYM337" s="118"/>
      <c r="WYN337" s="118"/>
      <c r="WYO337" s="118"/>
      <c r="WYP337" s="118"/>
      <c r="WYQ337" s="118"/>
      <c r="WYR337" s="118"/>
      <c r="WYS337" s="118"/>
      <c r="WYT337" s="118"/>
      <c r="WYU337" s="118"/>
      <c r="WYV337" s="118"/>
      <c r="WYW337" s="118"/>
      <c r="WYX337" s="118"/>
      <c r="WYY337" s="118"/>
      <c r="WYZ337" s="118"/>
      <c r="WZA337" s="118"/>
      <c r="WZB337" s="118"/>
      <c r="WZC337" s="118"/>
      <c r="WZD337" s="118"/>
      <c r="WZE337" s="118"/>
      <c r="WZF337" s="118"/>
      <c r="WZG337" s="118"/>
      <c r="WZH337" s="118"/>
      <c r="WZI337" s="118"/>
      <c r="WZJ337" s="118"/>
      <c r="WZK337" s="118"/>
      <c r="WZL337" s="118"/>
      <c r="WZM337" s="118"/>
      <c r="WZN337" s="118"/>
      <c r="WZO337" s="118"/>
      <c r="WZP337" s="118"/>
      <c r="WZQ337" s="118"/>
      <c r="WZR337" s="118"/>
      <c r="WZS337" s="118"/>
      <c r="WZT337" s="118"/>
      <c r="WZU337" s="118"/>
      <c r="WZV337" s="118"/>
      <c r="WZW337" s="118"/>
      <c r="WZX337" s="118"/>
      <c r="WZY337" s="118"/>
      <c r="WZZ337" s="118"/>
      <c r="XAA337" s="118"/>
      <c r="XAB337" s="118"/>
      <c r="XAC337" s="118"/>
      <c r="XAD337" s="118"/>
      <c r="XAE337" s="118"/>
      <c r="XAF337" s="118"/>
      <c r="XAG337" s="118"/>
      <c r="XAH337" s="118"/>
      <c r="XAI337" s="118"/>
      <c r="XAJ337" s="118"/>
      <c r="XAK337" s="118"/>
      <c r="XAL337" s="118"/>
      <c r="XAM337" s="118"/>
      <c r="XAN337" s="118"/>
      <c r="XAO337" s="118"/>
      <c r="XAP337" s="118"/>
      <c r="XAQ337" s="118"/>
      <c r="XAR337" s="118"/>
      <c r="XAS337" s="118"/>
      <c r="XAT337" s="118"/>
      <c r="XAU337" s="118"/>
      <c r="XAV337" s="118"/>
      <c r="XAW337" s="118"/>
      <c r="XAX337" s="118"/>
      <c r="XAY337" s="118"/>
      <c r="XAZ337" s="118"/>
      <c r="XBA337" s="118"/>
      <c r="XBB337" s="118"/>
      <c r="XBC337" s="118"/>
      <c r="XBD337" s="118"/>
      <c r="XBE337" s="118"/>
      <c r="XBF337" s="118"/>
      <c r="XBG337" s="118"/>
      <c r="XBH337" s="118"/>
      <c r="XBI337" s="118"/>
      <c r="XBJ337" s="118"/>
      <c r="XBK337" s="118"/>
      <c r="XBL337" s="118"/>
      <c r="XBM337" s="118"/>
      <c r="XBN337" s="118"/>
      <c r="XBO337" s="118"/>
      <c r="XBP337" s="118"/>
      <c r="XBQ337" s="118"/>
      <c r="XBR337" s="118"/>
      <c r="XBS337" s="118"/>
      <c r="XBT337" s="118"/>
      <c r="XBU337" s="118"/>
      <c r="XBV337" s="118"/>
      <c r="XBW337" s="118"/>
      <c r="XBX337" s="118"/>
      <c r="XBY337" s="118"/>
      <c r="XBZ337" s="118"/>
      <c r="XCA337" s="118"/>
      <c r="XCB337" s="118"/>
      <c r="XCC337" s="118"/>
      <c r="XCD337" s="118"/>
      <c r="XCE337" s="118"/>
      <c r="XCF337" s="118"/>
      <c r="XCG337" s="118"/>
      <c r="XCH337" s="118"/>
      <c r="XCI337" s="118"/>
      <c r="XCJ337" s="118"/>
      <c r="XCK337" s="118"/>
      <c r="XCL337" s="118"/>
      <c r="XCM337" s="118"/>
      <c r="XCN337" s="118"/>
      <c r="XCO337" s="118"/>
      <c r="XCP337" s="118"/>
      <c r="XCQ337" s="118"/>
      <c r="XCR337" s="118"/>
      <c r="XCS337" s="118"/>
      <c r="XCT337" s="118"/>
      <c r="XCU337" s="118"/>
      <c r="XCV337" s="118"/>
      <c r="XCW337" s="118"/>
      <c r="XCX337" s="118"/>
      <c r="XCY337" s="118"/>
      <c r="XCZ337" s="118"/>
      <c r="XDA337" s="118"/>
      <c r="XDB337" s="118"/>
      <c r="XDC337" s="118"/>
      <c r="XDD337" s="118"/>
      <c r="XDE337" s="118"/>
      <c r="XDF337" s="118"/>
      <c r="XDG337" s="118"/>
      <c r="XDH337" s="118"/>
      <c r="XDI337" s="118"/>
      <c r="XDJ337" s="118"/>
      <c r="XDK337" s="118"/>
      <c r="XDL337" s="118"/>
      <c r="XDM337" s="118"/>
      <c r="XDN337" s="118"/>
      <c r="XDO337" s="118"/>
      <c r="XDP337" s="118"/>
      <c r="XDQ337" s="118"/>
      <c r="XDR337" s="118"/>
      <c r="XDS337" s="118"/>
      <c r="XDT337" s="118"/>
      <c r="XDU337" s="118"/>
      <c r="XDV337" s="118"/>
      <c r="XDW337" s="118"/>
      <c r="XDX337" s="118"/>
      <c r="XDY337" s="118"/>
      <c r="XDZ337" s="118"/>
      <c r="XEA337" s="118"/>
      <c r="XEB337" s="118"/>
      <c r="XEC337" s="118"/>
      <c r="XED337" s="118"/>
      <c r="XEE337" s="118"/>
      <c r="XEF337" s="118"/>
      <c r="XEG337" s="118"/>
      <c r="XEH337" s="118"/>
      <c r="XEI337" s="118"/>
      <c r="XEJ337" s="118"/>
      <c r="XEK337" s="118"/>
      <c r="XEL337" s="118"/>
      <c r="XEM337" s="118"/>
      <c r="XEN337" s="118"/>
      <c r="XEO337" s="118"/>
      <c r="XEP337" s="118"/>
      <c r="XEQ337" s="118"/>
      <c r="XER337" s="118"/>
      <c r="XES337" s="118"/>
      <c r="XET337" s="118"/>
      <c r="XEU337" s="118"/>
      <c r="XEV337" s="118"/>
      <c r="XEW337" s="118"/>
      <c r="XEX337" s="118"/>
      <c r="XEY337" s="118"/>
      <c r="XEZ337" s="118"/>
      <c r="XFA337" s="118"/>
      <c r="XFB337" s="118"/>
      <c r="XFC337" s="118"/>
      <c r="XFD337" s="118"/>
    </row>
    <row r="338" spans="1:37 16131:16384" ht="12.75" hidden="1" customHeight="1" x14ac:dyDescent="0.3">
      <c r="A338" s="115">
        <v>2970</v>
      </c>
      <c r="B338" s="8" t="s">
        <v>634</v>
      </c>
      <c r="C338" s="65" t="str">
        <f>IFERROR(VLOOKUP(D338,'Target tables'!A:B,2,0),"")</f>
        <v>Договора, для которых не созданы собственные agrmnt</v>
      </c>
      <c r="D338" s="211" t="s">
        <v>136</v>
      </c>
      <c r="E338" s="66" t="str">
        <f>IFERROR(VLOOKUP(D338&amp;J338,'Target columns'!A:J,4,FALSE),"")</f>
        <v>NUMERIC</v>
      </c>
      <c r="F338" s="66" t="str">
        <f>IFERROR(VLOOKUP(D338&amp;J338,'Target columns'!A:J,7,FALSE),"")</f>
        <v>No</v>
      </c>
      <c r="G338" s="66" t="str">
        <f>IFERROR(VLOOKUP(D338&amp;J338,'Target columns'!A:J,8,FALSE),"")</f>
        <v>No</v>
      </c>
      <c r="H338" s="66" t="str">
        <f>IFERROR(VLOOKUP(D338&amp;J338,'Target columns'!A:J,5,FALSE),"")</f>
        <v>NULL</v>
      </c>
      <c r="I338" s="66" t="str">
        <f>IFERROR(VLOOKUP(D338&amp;J338,'Target columns'!A:J,10,FALSE),"")</f>
        <v>Сумма договора</v>
      </c>
      <c r="J338" s="8" t="s">
        <v>283</v>
      </c>
      <c r="K338" s="8" t="s">
        <v>151</v>
      </c>
      <c r="L338" s="66" t="str">
        <f>IFERROR(VLOOKUP(K338&amp;N338,source_columns[[Seek]:[Описание поля]],4,0),"")</f>
        <v>decimal(38,16)</v>
      </c>
      <c r="M338" s="66" t="str">
        <f>IFERROR(VLOOKUP(K338&amp;N338,source_columns[[Seek]:[Описание поля]],7,0),"")</f>
        <v>Сумма сделки</v>
      </c>
      <c r="N338" s="8" t="s">
        <v>519</v>
      </c>
      <c r="O338" s="8"/>
      <c r="P338" s="8"/>
      <c r="Q338" s="8"/>
      <c r="R338" s="8"/>
      <c r="S338" s="278"/>
      <c r="T338" s="65"/>
      <c r="U338" s="65"/>
      <c r="V338" s="66" t="str">
        <f>"n308000046_"&amp;IFERROR(VLOOKUP(D338,target_tables[],5,0),"&lt;not found&gt;")</f>
        <v>n308000046_agr_other</v>
      </c>
      <c r="W338" s="65" t="s">
        <v>273</v>
      </c>
      <c r="X338" s="65"/>
      <c r="Y338" s="65"/>
      <c r="Z338" s="65"/>
      <c r="AA338" s="65"/>
      <c r="AB338" s="65"/>
      <c r="AC338" s="65"/>
      <c r="AD338" s="65"/>
      <c r="AE338" s="65"/>
      <c r="AF338" s="303"/>
      <c r="AG338" s="10"/>
      <c r="AH338" s="10"/>
      <c r="AI338" s="10"/>
      <c r="AJ338" s="68"/>
      <c r="AK338" s="69"/>
      <c r="WVK338" s="118"/>
      <c r="WVL338" s="118"/>
      <c r="WVM338" s="118"/>
      <c r="WVN338" s="118"/>
      <c r="WVO338" s="118"/>
      <c r="WVP338" s="118"/>
      <c r="WVQ338" s="118"/>
      <c r="WVR338" s="118"/>
      <c r="WVS338" s="118"/>
      <c r="WVT338" s="118"/>
      <c r="WVU338" s="118"/>
      <c r="WVV338" s="118"/>
      <c r="WVW338" s="118"/>
      <c r="WVX338" s="118"/>
      <c r="WVY338" s="118"/>
      <c r="WVZ338" s="118"/>
      <c r="WWA338" s="118"/>
      <c r="WWB338" s="118"/>
      <c r="WWC338" s="118"/>
      <c r="WWD338" s="118"/>
      <c r="WWE338" s="118"/>
      <c r="WWF338" s="118"/>
      <c r="WWG338" s="118"/>
      <c r="WWH338" s="118"/>
      <c r="WWI338" s="118"/>
      <c r="WWJ338" s="118"/>
      <c r="WWK338" s="118"/>
      <c r="WWL338" s="118"/>
      <c r="WWM338" s="118"/>
      <c r="WWN338" s="118"/>
      <c r="WWO338" s="118"/>
      <c r="WWP338" s="118"/>
      <c r="WWQ338" s="118"/>
      <c r="WWR338" s="118"/>
      <c r="WWS338" s="118"/>
      <c r="WWT338" s="118"/>
      <c r="WWU338" s="118"/>
      <c r="WWV338" s="118"/>
      <c r="WWW338" s="118"/>
      <c r="WWX338" s="118"/>
      <c r="WWY338" s="118"/>
      <c r="WWZ338" s="118"/>
      <c r="WXA338" s="118"/>
      <c r="WXB338" s="118"/>
      <c r="WXC338" s="118"/>
      <c r="WXD338" s="118"/>
      <c r="WXE338" s="118"/>
      <c r="WXF338" s="118"/>
      <c r="WXG338" s="118"/>
      <c r="WXH338" s="118"/>
      <c r="WXI338" s="118"/>
      <c r="WXJ338" s="118"/>
      <c r="WXK338" s="118"/>
      <c r="WXL338" s="118"/>
      <c r="WXM338" s="118"/>
      <c r="WXN338" s="118"/>
      <c r="WXO338" s="118"/>
      <c r="WXP338" s="118"/>
      <c r="WXQ338" s="118"/>
      <c r="WXR338" s="118"/>
      <c r="WXS338" s="118"/>
      <c r="WXT338" s="118"/>
      <c r="WXU338" s="118"/>
      <c r="WXV338" s="118"/>
      <c r="WXW338" s="118"/>
      <c r="WXX338" s="118"/>
      <c r="WXY338" s="118"/>
      <c r="WXZ338" s="118"/>
      <c r="WYA338" s="118"/>
      <c r="WYB338" s="118"/>
      <c r="WYC338" s="118"/>
      <c r="WYD338" s="118"/>
      <c r="WYE338" s="118"/>
      <c r="WYF338" s="118"/>
      <c r="WYG338" s="118"/>
      <c r="WYH338" s="118"/>
      <c r="WYI338" s="118"/>
      <c r="WYJ338" s="118"/>
      <c r="WYK338" s="118"/>
      <c r="WYL338" s="118"/>
      <c r="WYM338" s="118"/>
      <c r="WYN338" s="118"/>
      <c r="WYO338" s="118"/>
      <c r="WYP338" s="118"/>
      <c r="WYQ338" s="118"/>
      <c r="WYR338" s="118"/>
      <c r="WYS338" s="118"/>
      <c r="WYT338" s="118"/>
      <c r="WYU338" s="118"/>
      <c r="WYV338" s="118"/>
      <c r="WYW338" s="118"/>
      <c r="WYX338" s="118"/>
      <c r="WYY338" s="118"/>
      <c r="WYZ338" s="118"/>
      <c r="WZA338" s="118"/>
      <c r="WZB338" s="118"/>
      <c r="WZC338" s="118"/>
      <c r="WZD338" s="118"/>
      <c r="WZE338" s="118"/>
      <c r="WZF338" s="118"/>
      <c r="WZG338" s="118"/>
      <c r="WZH338" s="118"/>
      <c r="WZI338" s="118"/>
      <c r="WZJ338" s="118"/>
      <c r="WZK338" s="118"/>
      <c r="WZL338" s="118"/>
      <c r="WZM338" s="118"/>
      <c r="WZN338" s="118"/>
      <c r="WZO338" s="118"/>
      <c r="WZP338" s="118"/>
      <c r="WZQ338" s="118"/>
      <c r="WZR338" s="118"/>
      <c r="WZS338" s="118"/>
      <c r="WZT338" s="118"/>
      <c r="WZU338" s="118"/>
      <c r="WZV338" s="118"/>
      <c r="WZW338" s="118"/>
      <c r="WZX338" s="118"/>
      <c r="WZY338" s="118"/>
      <c r="WZZ338" s="118"/>
      <c r="XAA338" s="118"/>
      <c r="XAB338" s="118"/>
      <c r="XAC338" s="118"/>
      <c r="XAD338" s="118"/>
      <c r="XAE338" s="118"/>
      <c r="XAF338" s="118"/>
      <c r="XAG338" s="118"/>
      <c r="XAH338" s="118"/>
      <c r="XAI338" s="118"/>
      <c r="XAJ338" s="118"/>
      <c r="XAK338" s="118"/>
      <c r="XAL338" s="118"/>
      <c r="XAM338" s="118"/>
      <c r="XAN338" s="118"/>
      <c r="XAO338" s="118"/>
      <c r="XAP338" s="118"/>
      <c r="XAQ338" s="118"/>
      <c r="XAR338" s="118"/>
      <c r="XAS338" s="118"/>
      <c r="XAT338" s="118"/>
      <c r="XAU338" s="118"/>
      <c r="XAV338" s="118"/>
      <c r="XAW338" s="118"/>
      <c r="XAX338" s="118"/>
      <c r="XAY338" s="118"/>
      <c r="XAZ338" s="118"/>
      <c r="XBA338" s="118"/>
      <c r="XBB338" s="118"/>
      <c r="XBC338" s="118"/>
      <c r="XBD338" s="118"/>
      <c r="XBE338" s="118"/>
      <c r="XBF338" s="118"/>
      <c r="XBG338" s="118"/>
      <c r="XBH338" s="118"/>
      <c r="XBI338" s="118"/>
      <c r="XBJ338" s="118"/>
      <c r="XBK338" s="118"/>
      <c r="XBL338" s="118"/>
      <c r="XBM338" s="118"/>
      <c r="XBN338" s="118"/>
      <c r="XBO338" s="118"/>
      <c r="XBP338" s="118"/>
      <c r="XBQ338" s="118"/>
      <c r="XBR338" s="118"/>
      <c r="XBS338" s="118"/>
      <c r="XBT338" s="118"/>
      <c r="XBU338" s="118"/>
      <c r="XBV338" s="118"/>
      <c r="XBW338" s="118"/>
      <c r="XBX338" s="118"/>
      <c r="XBY338" s="118"/>
      <c r="XBZ338" s="118"/>
      <c r="XCA338" s="118"/>
      <c r="XCB338" s="118"/>
      <c r="XCC338" s="118"/>
      <c r="XCD338" s="118"/>
      <c r="XCE338" s="118"/>
      <c r="XCF338" s="118"/>
      <c r="XCG338" s="118"/>
      <c r="XCH338" s="118"/>
      <c r="XCI338" s="118"/>
      <c r="XCJ338" s="118"/>
      <c r="XCK338" s="118"/>
      <c r="XCL338" s="118"/>
      <c r="XCM338" s="118"/>
      <c r="XCN338" s="118"/>
      <c r="XCO338" s="118"/>
      <c r="XCP338" s="118"/>
      <c r="XCQ338" s="118"/>
      <c r="XCR338" s="118"/>
      <c r="XCS338" s="118"/>
      <c r="XCT338" s="118"/>
      <c r="XCU338" s="118"/>
      <c r="XCV338" s="118"/>
      <c r="XCW338" s="118"/>
      <c r="XCX338" s="118"/>
      <c r="XCY338" s="118"/>
      <c r="XCZ338" s="118"/>
      <c r="XDA338" s="118"/>
      <c r="XDB338" s="118"/>
      <c r="XDC338" s="118"/>
      <c r="XDD338" s="118"/>
      <c r="XDE338" s="118"/>
      <c r="XDF338" s="118"/>
      <c r="XDG338" s="118"/>
      <c r="XDH338" s="118"/>
      <c r="XDI338" s="118"/>
      <c r="XDJ338" s="118"/>
      <c r="XDK338" s="118"/>
      <c r="XDL338" s="118"/>
      <c r="XDM338" s="118"/>
      <c r="XDN338" s="118"/>
      <c r="XDO338" s="118"/>
      <c r="XDP338" s="118"/>
      <c r="XDQ338" s="118"/>
      <c r="XDR338" s="118"/>
      <c r="XDS338" s="118"/>
      <c r="XDT338" s="118"/>
      <c r="XDU338" s="118"/>
      <c r="XDV338" s="118"/>
      <c r="XDW338" s="118"/>
      <c r="XDX338" s="118"/>
      <c r="XDY338" s="118"/>
      <c r="XDZ338" s="118"/>
      <c r="XEA338" s="118"/>
      <c r="XEB338" s="118"/>
      <c r="XEC338" s="118"/>
      <c r="XED338" s="118"/>
      <c r="XEE338" s="118"/>
      <c r="XEF338" s="118"/>
      <c r="XEG338" s="118"/>
      <c r="XEH338" s="118"/>
      <c r="XEI338" s="118"/>
      <c r="XEJ338" s="118"/>
      <c r="XEK338" s="118"/>
      <c r="XEL338" s="118"/>
      <c r="XEM338" s="118"/>
      <c r="XEN338" s="118"/>
      <c r="XEO338" s="118"/>
      <c r="XEP338" s="118"/>
      <c r="XEQ338" s="118"/>
      <c r="XER338" s="118"/>
      <c r="XES338" s="118"/>
      <c r="XET338" s="118"/>
      <c r="XEU338" s="118"/>
      <c r="XEV338" s="118"/>
      <c r="XEW338" s="118"/>
      <c r="XEX338" s="118"/>
      <c r="XEY338" s="118"/>
      <c r="XEZ338" s="118"/>
      <c r="XFA338" s="118"/>
      <c r="XFB338" s="118"/>
      <c r="XFC338" s="118"/>
      <c r="XFD338" s="118"/>
    </row>
    <row r="339" spans="1:37 16131:16384" ht="12.75" hidden="1" customHeight="1" x14ac:dyDescent="0.3">
      <c r="A339" s="115">
        <v>2980</v>
      </c>
      <c r="B339" s="8" t="s">
        <v>634</v>
      </c>
      <c r="C339" s="65" t="str">
        <f>IFERROR(VLOOKUP(D339,'Target tables'!A:B,2,0),"")</f>
        <v>Договора, для которых не созданы собственные agrmnt</v>
      </c>
      <c r="D339" s="211" t="s">
        <v>136</v>
      </c>
      <c r="E339" s="66" t="str">
        <f>IFERROR(VLOOKUP(D339&amp;J339,'Target columns'!A:J,4,FALSE),"")</f>
        <v>UUID</v>
      </c>
      <c r="F339" s="66" t="str">
        <f>IFERROR(VLOOKUP(D339&amp;J339,'Target columns'!A:J,7,FALSE),"")</f>
        <v>No</v>
      </c>
      <c r="G339" s="66" t="str">
        <f>IFERROR(VLOOKUP(D339&amp;J339,'Target columns'!A:J,8,FALSE),"")</f>
        <v>Yes</v>
      </c>
      <c r="H339" s="66" t="str">
        <f>IFERROR(VLOOKUP(D339&amp;J339,'Target columns'!A:J,5,FALSE),"")</f>
        <v>NULL</v>
      </c>
      <c r="I339" s="66" t="str">
        <f>IFERROR(VLOOKUP(D339&amp;J339,'Target columns'!A:J,10,FALSE),"")</f>
        <v>Идентификатор валюты</v>
      </c>
      <c r="J339" s="8" t="s">
        <v>380</v>
      </c>
      <c r="K339" s="8" t="s">
        <v>151</v>
      </c>
      <c r="L339" s="66" t="str">
        <f>IFERROR(VLOOKUP(K339&amp;N339,source_columns[[Seek]:[Описание поля]],4,0),"")</f>
        <v>uuid</v>
      </c>
      <c r="M339" s="66" t="str">
        <f>IFERROR(VLOOKUP(K339&amp;N339,source_columns[[Seek]:[Описание поля]],7,0),"")</f>
        <v>Валюта сделки</v>
      </c>
      <c r="N339" s="8" t="s">
        <v>637</v>
      </c>
      <c r="O339" s="8"/>
      <c r="P339" s="8"/>
      <c r="Q339" s="8"/>
      <c r="R339" s="8"/>
      <c r="S339" s="278"/>
      <c r="T339" s="65"/>
      <c r="U339" s="65"/>
      <c r="V339" s="66" t="str">
        <f>"n308000046_"&amp;IFERROR(VLOOKUP(D339,target_tables[],5,0),"&lt;not found&gt;")</f>
        <v>n308000046_agr_other</v>
      </c>
      <c r="W339" s="65" t="s">
        <v>273</v>
      </c>
      <c r="X339" s="65"/>
      <c r="Y339" s="65"/>
      <c r="Z339" s="65"/>
      <c r="AA339" s="65"/>
      <c r="AB339" s="65"/>
      <c r="AC339" s="65"/>
      <c r="AD339" s="65"/>
      <c r="AE339" s="65"/>
      <c r="AF339" s="303"/>
      <c r="AG339" s="10"/>
      <c r="AH339" s="10"/>
      <c r="AI339" s="10"/>
      <c r="AJ339" s="68"/>
      <c r="AK339" s="69"/>
      <c r="WVK339" s="118"/>
      <c r="WVL339" s="118"/>
      <c r="WVM339" s="118"/>
      <c r="WVN339" s="118"/>
      <c r="WVO339" s="118"/>
      <c r="WVP339" s="118"/>
      <c r="WVQ339" s="118"/>
      <c r="WVR339" s="118"/>
      <c r="WVS339" s="118"/>
      <c r="WVT339" s="118"/>
      <c r="WVU339" s="118"/>
      <c r="WVV339" s="118"/>
      <c r="WVW339" s="118"/>
      <c r="WVX339" s="118"/>
      <c r="WVY339" s="118"/>
      <c r="WVZ339" s="118"/>
      <c r="WWA339" s="118"/>
      <c r="WWB339" s="118"/>
      <c r="WWC339" s="118"/>
      <c r="WWD339" s="118"/>
      <c r="WWE339" s="118"/>
      <c r="WWF339" s="118"/>
      <c r="WWG339" s="118"/>
      <c r="WWH339" s="118"/>
      <c r="WWI339" s="118"/>
      <c r="WWJ339" s="118"/>
      <c r="WWK339" s="118"/>
      <c r="WWL339" s="118"/>
      <c r="WWM339" s="118"/>
      <c r="WWN339" s="118"/>
      <c r="WWO339" s="118"/>
      <c r="WWP339" s="118"/>
      <c r="WWQ339" s="118"/>
      <c r="WWR339" s="118"/>
      <c r="WWS339" s="118"/>
      <c r="WWT339" s="118"/>
      <c r="WWU339" s="118"/>
      <c r="WWV339" s="118"/>
      <c r="WWW339" s="118"/>
      <c r="WWX339" s="118"/>
      <c r="WWY339" s="118"/>
      <c r="WWZ339" s="118"/>
      <c r="WXA339" s="118"/>
      <c r="WXB339" s="118"/>
      <c r="WXC339" s="118"/>
      <c r="WXD339" s="118"/>
      <c r="WXE339" s="118"/>
      <c r="WXF339" s="118"/>
      <c r="WXG339" s="118"/>
      <c r="WXH339" s="118"/>
      <c r="WXI339" s="118"/>
      <c r="WXJ339" s="118"/>
      <c r="WXK339" s="118"/>
      <c r="WXL339" s="118"/>
      <c r="WXM339" s="118"/>
      <c r="WXN339" s="118"/>
      <c r="WXO339" s="118"/>
      <c r="WXP339" s="118"/>
      <c r="WXQ339" s="118"/>
      <c r="WXR339" s="118"/>
      <c r="WXS339" s="118"/>
      <c r="WXT339" s="118"/>
      <c r="WXU339" s="118"/>
      <c r="WXV339" s="118"/>
      <c r="WXW339" s="118"/>
      <c r="WXX339" s="118"/>
      <c r="WXY339" s="118"/>
      <c r="WXZ339" s="118"/>
      <c r="WYA339" s="118"/>
      <c r="WYB339" s="118"/>
      <c r="WYC339" s="118"/>
      <c r="WYD339" s="118"/>
      <c r="WYE339" s="118"/>
      <c r="WYF339" s="118"/>
      <c r="WYG339" s="118"/>
      <c r="WYH339" s="118"/>
      <c r="WYI339" s="118"/>
      <c r="WYJ339" s="118"/>
      <c r="WYK339" s="118"/>
      <c r="WYL339" s="118"/>
      <c r="WYM339" s="118"/>
      <c r="WYN339" s="118"/>
      <c r="WYO339" s="118"/>
      <c r="WYP339" s="118"/>
      <c r="WYQ339" s="118"/>
      <c r="WYR339" s="118"/>
      <c r="WYS339" s="118"/>
      <c r="WYT339" s="118"/>
      <c r="WYU339" s="118"/>
      <c r="WYV339" s="118"/>
      <c r="WYW339" s="118"/>
      <c r="WYX339" s="118"/>
      <c r="WYY339" s="118"/>
      <c r="WYZ339" s="118"/>
      <c r="WZA339" s="118"/>
      <c r="WZB339" s="118"/>
      <c r="WZC339" s="118"/>
      <c r="WZD339" s="118"/>
      <c r="WZE339" s="118"/>
      <c r="WZF339" s="118"/>
      <c r="WZG339" s="118"/>
      <c r="WZH339" s="118"/>
      <c r="WZI339" s="118"/>
      <c r="WZJ339" s="118"/>
      <c r="WZK339" s="118"/>
      <c r="WZL339" s="118"/>
      <c r="WZM339" s="118"/>
      <c r="WZN339" s="118"/>
      <c r="WZO339" s="118"/>
      <c r="WZP339" s="118"/>
      <c r="WZQ339" s="118"/>
      <c r="WZR339" s="118"/>
      <c r="WZS339" s="118"/>
      <c r="WZT339" s="118"/>
      <c r="WZU339" s="118"/>
      <c r="WZV339" s="118"/>
      <c r="WZW339" s="118"/>
      <c r="WZX339" s="118"/>
      <c r="WZY339" s="118"/>
      <c r="WZZ339" s="118"/>
      <c r="XAA339" s="118"/>
      <c r="XAB339" s="118"/>
      <c r="XAC339" s="118"/>
      <c r="XAD339" s="118"/>
      <c r="XAE339" s="118"/>
      <c r="XAF339" s="118"/>
      <c r="XAG339" s="118"/>
      <c r="XAH339" s="118"/>
      <c r="XAI339" s="118"/>
      <c r="XAJ339" s="118"/>
      <c r="XAK339" s="118"/>
      <c r="XAL339" s="118"/>
      <c r="XAM339" s="118"/>
      <c r="XAN339" s="118"/>
      <c r="XAO339" s="118"/>
      <c r="XAP339" s="118"/>
      <c r="XAQ339" s="118"/>
      <c r="XAR339" s="118"/>
      <c r="XAS339" s="118"/>
      <c r="XAT339" s="118"/>
      <c r="XAU339" s="118"/>
      <c r="XAV339" s="118"/>
      <c r="XAW339" s="118"/>
      <c r="XAX339" s="118"/>
      <c r="XAY339" s="118"/>
      <c r="XAZ339" s="118"/>
      <c r="XBA339" s="118"/>
      <c r="XBB339" s="118"/>
      <c r="XBC339" s="118"/>
      <c r="XBD339" s="118"/>
      <c r="XBE339" s="118"/>
      <c r="XBF339" s="118"/>
      <c r="XBG339" s="118"/>
      <c r="XBH339" s="118"/>
      <c r="XBI339" s="118"/>
      <c r="XBJ339" s="118"/>
      <c r="XBK339" s="118"/>
      <c r="XBL339" s="118"/>
      <c r="XBM339" s="118"/>
      <c r="XBN339" s="118"/>
      <c r="XBO339" s="118"/>
      <c r="XBP339" s="118"/>
      <c r="XBQ339" s="118"/>
      <c r="XBR339" s="118"/>
      <c r="XBS339" s="118"/>
      <c r="XBT339" s="118"/>
      <c r="XBU339" s="118"/>
      <c r="XBV339" s="118"/>
      <c r="XBW339" s="118"/>
      <c r="XBX339" s="118"/>
      <c r="XBY339" s="118"/>
      <c r="XBZ339" s="118"/>
      <c r="XCA339" s="118"/>
      <c r="XCB339" s="118"/>
      <c r="XCC339" s="118"/>
      <c r="XCD339" s="118"/>
      <c r="XCE339" s="118"/>
      <c r="XCF339" s="118"/>
      <c r="XCG339" s="118"/>
      <c r="XCH339" s="118"/>
      <c r="XCI339" s="118"/>
      <c r="XCJ339" s="118"/>
      <c r="XCK339" s="118"/>
      <c r="XCL339" s="118"/>
      <c r="XCM339" s="118"/>
      <c r="XCN339" s="118"/>
      <c r="XCO339" s="118"/>
      <c r="XCP339" s="118"/>
      <c r="XCQ339" s="118"/>
      <c r="XCR339" s="118"/>
      <c r="XCS339" s="118"/>
      <c r="XCT339" s="118"/>
      <c r="XCU339" s="118"/>
      <c r="XCV339" s="118"/>
      <c r="XCW339" s="118"/>
      <c r="XCX339" s="118"/>
      <c r="XCY339" s="118"/>
      <c r="XCZ339" s="118"/>
      <c r="XDA339" s="118"/>
      <c r="XDB339" s="118"/>
      <c r="XDC339" s="118"/>
      <c r="XDD339" s="118"/>
      <c r="XDE339" s="118"/>
      <c r="XDF339" s="118"/>
      <c r="XDG339" s="118"/>
      <c r="XDH339" s="118"/>
      <c r="XDI339" s="118"/>
      <c r="XDJ339" s="118"/>
      <c r="XDK339" s="118"/>
      <c r="XDL339" s="118"/>
      <c r="XDM339" s="118"/>
      <c r="XDN339" s="118"/>
      <c r="XDO339" s="118"/>
      <c r="XDP339" s="118"/>
      <c r="XDQ339" s="118"/>
      <c r="XDR339" s="118"/>
      <c r="XDS339" s="118"/>
      <c r="XDT339" s="118"/>
      <c r="XDU339" s="118"/>
      <c r="XDV339" s="118"/>
      <c r="XDW339" s="118"/>
      <c r="XDX339" s="118"/>
      <c r="XDY339" s="118"/>
      <c r="XDZ339" s="118"/>
      <c r="XEA339" s="118"/>
      <c r="XEB339" s="118"/>
      <c r="XEC339" s="118"/>
      <c r="XED339" s="118"/>
      <c r="XEE339" s="118"/>
      <c r="XEF339" s="118"/>
      <c r="XEG339" s="118"/>
      <c r="XEH339" s="118"/>
      <c r="XEI339" s="118"/>
      <c r="XEJ339" s="118"/>
      <c r="XEK339" s="118"/>
      <c r="XEL339" s="118"/>
      <c r="XEM339" s="118"/>
      <c r="XEN339" s="118"/>
      <c r="XEO339" s="118"/>
      <c r="XEP339" s="118"/>
      <c r="XEQ339" s="118"/>
      <c r="XER339" s="118"/>
      <c r="XES339" s="118"/>
      <c r="XET339" s="118"/>
      <c r="XEU339" s="118"/>
      <c r="XEV339" s="118"/>
      <c r="XEW339" s="118"/>
      <c r="XEX339" s="118"/>
      <c r="XEY339" s="118"/>
      <c r="XEZ339" s="118"/>
      <c r="XFA339" s="118"/>
      <c r="XFB339" s="118"/>
      <c r="XFC339" s="118"/>
      <c r="XFD339" s="118"/>
    </row>
    <row r="340" spans="1:37 16131:16384" ht="12.75" hidden="1" customHeight="1" x14ac:dyDescent="0.3">
      <c r="A340" s="116">
        <v>2990</v>
      </c>
      <c r="B340" s="20" t="s">
        <v>634</v>
      </c>
      <c r="C340" s="71" t="str">
        <f>IFERROR(VLOOKUP(D340,'Target tables'!A:B,2,0),"")</f>
        <v>Договора, для которых не созданы собственные agrmnt</v>
      </c>
      <c r="D340" s="212" t="s">
        <v>136</v>
      </c>
      <c r="E340" s="73" t="str">
        <f>IFERROR(VLOOKUP(D340&amp;J340,'Target columns'!A:J,4,FALSE),"")</f>
        <v>date</v>
      </c>
      <c r="F340" s="73" t="str">
        <f>IFERROR(VLOOKUP(D340&amp;J340,'Target columns'!A:J,7,FALSE),"")</f>
        <v>No</v>
      </c>
      <c r="G340" s="73" t="str">
        <f>IFERROR(VLOOKUP(D340&amp;J340,'Target columns'!A:J,8,FALSE),"")</f>
        <v>No</v>
      </c>
      <c r="H340" s="73" t="str">
        <f>IFERROR(VLOOKUP(D340&amp;J340,'Target columns'!A:J,5,FALSE),"")</f>
        <v>NULL</v>
      </c>
      <c r="I340" s="73" t="str">
        <f>IFERROR(VLOOKUP(D340&amp;J340,'Target columns'!A:J,10,FALSE),"")</f>
        <v>Плановая дата платежа</v>
      </c>
      <c r="J340" s="20" t="s">
        <v>291</v>
      </c>
      <c r="K340" s="20" t="s">
        <v>151</v>
      </c>
      <c r="L340" s="73" t="str">
        <f>IFERROR(VLOOKUP(K340&amp;N340,source_columns[[Seek]:[Описание поля]],4,0),"")</f>
        <v>date</v>
      </c>
      <c r="M340" s="73" t="str">
        <f>IFERROR(VLOOKUP(K340&amp;N340,source_columns[[Seek]:[Описание поля]],7,0),"")</f>
        <v>Плановая дата платежа</v>
      </c>
      <c r="N340" s="20" t="s">
        <v>638</v>
      </c>
      <c r="O340" s="20"/>
      <c r="P340" s="20"/>
      <c r="Q340" s="20"/>
      <c r="R340" s="20"/>
      <c r="S340" s="278"/>
      <c r="T340" s="71"/>
      <c r="U340" s="71"/>
      <c r="V340" s="73" t="str">
        <f>"n308000046_"&amp;IFERROR(VLOOKUP(D340,target_tables[],5,0),"&lt;not found&gt;")</f>
        <v>n308000046_agr_other</v>
      </c>
      <c r="W340" s="71" t="s">
        <v>273</v>
      </c>
      <c r="X340" s="71"/>
      <c r="Y340" s="71"/>
      <c r="Z340" s="71"/>
      <c r="AA340" s="71"/>
      <c r="AB340" s="71"/>
      <c r="AC340" s="71"/>
      <c r="AD340" s="71"/>
      <c r="AE340" s="71"/>
      <c r="AF340" s="303"/>
      <c r="AG340" s="27"/>
      <c r="AH340" s="27"/>
      <c r="AI340" s="27"/>
      <c r="AJ340" s="75"/>
      <c r="AK340" s="69"/>
      <c r="WVK340" s="118"/>
      <c r="WVL340" s="118"/>
      <c r="WVM340" s="118"/>
      <c r="WVN340" s="118"/>
      <c r="WVO340" s="118"/>
      <c r="WVP340" s="118"/>
      <c r="WVQ340" s="118"/>
      <c r="WVR340" s="118"/>
      <c r="WVS340" s="118"/>
      <c r="WVT340" s="118"/>
      <c r="WVU340" s="118"/>
      <c r="WVV340" s="118"/>
      <c r="WVW340" s="118"/>
      <c r="WVX340" s="118"/>
      <c r="WVY340" s="118"/>
      <c r="WVZ340" s="118"/>
      <c r="WWA340" s="118"/>
      <c r="WWB340" s="118"/>
      <c r="WWC340" s="118"/>
      <c r="WWD340" s="118"/>
      <c r="WWE340" s="118"/>
      <c r="WWF340" s="118"/>
      <c r="WWG340" s="118"/>
      <c r="WWH340" s="118"/>
      <c r="WWI340" s="118"/>
      <c r="WWJ340" s="118"/>
      <c r="WWK340" s="118"/>
      <c r="WWL340" s="118"/>
      <c r="WWM340" s="118"/>
      <c r="WWN340" s="118"/>
      <c r="WWO340" s="118"/>
      <c r="WWP340" s="118"/>
      <c r="WWQ340" s="118"/>
      <c r="WWR340" s="118"/>
      <c r="WWS340" s="118"/>
      <c r="WWT340" s="118"/>
      <c r="WWU340" s="118"/>
      <c r="WWV340" s="118"/>
      <c r="WWW340" s="118"/>
      <c r="WWX340" s="118"/>
      <c r="WWY340" s="118"/>
      <c r="WWZ340" s="118"/>
      <c r="WXA340" s="118"/>
      <c r="WXB340" s="118"/>
      <c r="WXC340" s="118"/>
      <c r="WXD340" s="118"/>
      <c r="WXE340" s="118"/>
      <c r="WXF340" s="118"/>
      <c r="WXG340" s="118"/>
      <c r="WXH340" s="118"/>
      <c r="WXI340" s="118"/>
      <c r="WXJ340" s="118"/>
      <c r="WXK340" s="118"/>
      <c r="WXL340" s="118"/>
      <c r="WXM340" s="118"/>
      <c r="WXN340" s="118"/>
      <c r="WXO340" s="118"/>
      <c r="WXP340" s="118"/>
      <c r="WXQ340" s="118"/>
      <c r="WXR340" s="118"/>
      <c r="WXS340" s="118"/>
      <c r="WXT340" s="118"/>
      <c r="WXU340" s="118"/>
      <c r="WXV340" s="118"/>
      <c r="WXW340" s="118"/>
      <c r="WXX340" s="118"/>
      <c r="WXY340" s="118"/>
      <c r="WXZ340" s="118"/>
      <c r="WYA340" s="118"/>
      <c r="WYB340" s="118"/>
      <c r="WYC340" s="118"/>
      <c r="WYD340" s="118"/>
      <c r="WYE340" s="118"/>
      <c r="WYF340" s="118"/>
      <c r="WYG340" s="118"/>
      <c r="WYH340" s="118"/>
      <c r="WYI340" s="118"/>
      <c r="WYJ340" s="118"/>
      <c r="WYK340" s="118"/>
      <c r="WYL340" s="118"/>
      <c r="WYM340" s="118"/>
      <c r="WYN340" s="118"/>
      <c r="WYO340" s="118"/>
      <c r="WYP340" s="118"/>
      <c r="WYQ340" s="118"/>
      <c r="WYR340" s="118"/>
      <c r="WYS340" s="118"/>
      <c r="WYT340" s="118"/>
      <c r="WYU340" s="118"/>
      <c r="WYV340" s="118"/>
      <c r="WYW340" s="118"/>
      <c r="WYX340" s="118"/>
      <c r="WYY340" s="118"/>
      <c r="WYZ340" s="118"/>
      <c r="WZA340" s="118"/>
      <c r="WZB340" s="118"/>
      <c r="WZC340" s="118"/>
      <c r="WZD340" s="118"/>
      <c r="WZE340" s="118"/>
      <c r="WZF340" s="118"/>
      <c r="WZG340" s="118"/>
      <c r="WZH340" s="118"/>
      <c r="WZI340" s="118"/>
      <c r="WZJ340" s="118"/>
      <c r="WZK340" s="118"/>
      <c r="WZL340" s="118"/>
      <c r="WZM340" s="118"/>
      <c r="WZN340" s="118"/>
      <c r="WZO340" s="118"/>
      <c r="WZP340" s="118"/>
      <c r="WZQ340" s="118"/>
      <c r="WZR340" s="118"/>
      <c r="WZS340" s="118"/>
      <c r="WZT340" s="118"/>
      <c r="WZU340" s="118"/>
      <c r="WZV340" s="118"/>
      <c r="WZW340" s="118"/>
      <c r="WZX340" s="118"/>
      <c r="WZY340" s="118"/>
      <c r="WZZ340" s="118"/>
      <c r="XAA340" s="118"/>
      <c r="XAB340" s="118"/>
      <c r="XAC340" s="118"/>
      <c r="XAD340" s="118"/>
      <c r="XAE340" s="118"/>
      <c r="XAF340" s="118"/>
      <c r="XAG340" s="118"/>
      <c r="XAH340" s="118"/>
      <c r="XAI340" s="118"/>
      <c r="XAJ340" s="118"/>
      <c r="XAK340" s="118"/>
      <c r="XAL340" s="118"/>
      <c r="XAM340" s="118"/>
      <c r="XAN340" s="118"/>
      <c r="XAO340" s="118"/>
      <c r="XAP340" s="118"/>
      <c r="XAQ340" s="118"/>
      <c r="XAR340" s="118"/>
      <c r="XAS340" s="118"/>
      <c r="XAT340" s="118"/>
      <c r="XAU340" s="118"/>
      <c r="XAV340" s="118"/>
      <c r="XAW340" s="118"/>
      <c r="XAX340" s="118"/>
      <c r="XAY340" s="118"/>
      <c r="XAZ340" s="118"/>
      <c r="XBA340" s="118"/>
      <c r="XBB340" s="118"/>
      <c r="XBC340" s="118"/>
      <c r="XBD340" s="118"/>
      <c r="XBE340" s="118"/>
      <c r="XBF340" s="118"/>
      <c r="XBG340" s="118"/>
      <c r="XBH340" s="118"/>
      <c r="XBI340" s="118"/>
      <c r="XBJ340" s="118"/>
      <c r="XBK340" s="118"/>
      <c r="XBL340" s="118"/>
      <c r="XBM340" s="118"/>
      <c r="XBN340" s="118"/>
      <c r="XBO340" s="118"/>
      <c r="XBP340" s="118"/>
      <c r="XBQ340" s="118"/>
      <c r="XBR340" s="118"/>
      <c r="XBS340" s="118"/>
      <c r="XBT340" s="118"/>
      <c r="XBU340" s="118"/>
      <c r="XBV340" s="118"/>
      <c r="XBW340" s="118"/>
      <c r="XBX340" s="118"/>
      <c r="XBY340" s="118"/>
      <c r="XBZ340" s="118"/>
      <c r="XCA340" s="118"/>
      <c r="XCB340" s="118"/>
      <c r="XCC340" s="118"/>
      <c r="XCD340" s="118"/>
      <c r="XCE340" s="118"/>
      <c r="XCF340" s="118"/>
      <c r="XCG340" s="118"/>
      <c r="XCH340" s="118"/>
      <c r="XCI340" s="118"/>
      <c r="XCJ340" s="118"/>
      <c r="XCK340" s="118"/>
      <c r="XCL340" s="118"/>
      <c r="XCM340" s="118"/>
      <c r="XCN340" s="118"/>
      <c r="XCO340" s="118"/>
      <c r="XCP340" s="118"/>
      <c r="XCQ340" s="118"/>
      <c r="XCR340" s="118"/>
      <c r="XCS340" s="118"/>
      <c r="XCT340" s="118"/>
      <c r="XCU340" s="118"/>
      <c r="XCV340" s="118"/>
      <c r="XCW340" s="118"/>
      <c r="XCX340" s="118"/>
      <c r="XCY340" s="118"/>
      <c r="XCZ340" s="118"/>
      <c r="XDA340" s="118"/>
      <c r="XDB340" s="118"/>
      <c r="XDC340" s="118"/>
      <c r="XDD340" s="118"/>
      <c r="XDE340" s="118"/>
      <c r="XDF340" s="118"/>
      <c r="XDG340" s="118"/>
      <c r="XDH340" s="118"/>
      <c r="XDI340" s="118"/>
      <c r="XDJ340" s="118"/>
      <c r="XDK340" s="118"/>
      <c r="XDL340" s="118"/>
      <c r="XDM340" s="118"/>
      <c r="XDN340" s="118"/>
      <c r="XDO340" s="118"/>
      <c r="XDP340" s="118"/>
      <c r="XDQ340" s="118"/>
      <c r="XDR340" s="118"/>
      <c r="XDS340" s="118"/>
      <c r="XDT340" s="118"/>
      <c r="XDU340" s="118"/>
      <c r="XDV340" s="118"/>
      <c r="XDW340" s="118"/>
      <c r="XDX340" s="118"/>
      <c r="XDY340" s="118"/>
      <c r="XDZ340" s="118"/>
      <c r="XEA340" s="118"/>
      <c r="XEB340" s="118"/>
      <c r="XEC340" s="118"/>
      <c r="XED340" s="118"/>
      <c r="XEE340" s="118"/>
      <c r="XEF340" s="118"/>
      <c r="XEG340" s="118"/>
      <c r="XEH340" s="118"/>
      <c r="XEI340" s="118"/>
      <c r="XEJ340" s="118"/>
      <c r="XEK340" s="118"/>
      <c r="XEL340" s="118"/>
      <c r="XEM340" s="118"/>
      <c r="XEN340" s="118"/>
      <c r="XEO340" s="118"/>
      <c r="XEP340" s="118"/>
      <c r="XEQ340" s="118"/>
      <c r="XER340" s="118"/>
      <c r="XES340" s="118"/>
      <c r="XET340" s="118"/>
      <c r="XEU340" s="118"/>
      <c r="XEV340" s="118"/>
      <c r="XEW340" s="118"/>
      <c r="XEX340" s="118"/>
      <c r="XEY340" s="118"/>
      <c r="XEZ340" s="118"/>
      <c r="XFA340" s="118"/>
      <c r="XFB340" s="118"/>
      <c r="XFC340" s="118"/>
      <c r="XFD340" s="118"/>
    </row>
    <row r="341" spans="1:37 16131:16384" ht="12.75" hidden="1" customHeight="1" x14ac:dyDescent="0.3">
      <c r="A341" s="114">
        <v>3000</v>
      </c>
      <c r="B341" s="113" t="s">
        <v>634</v>
      </c>
      <c r="C341" s="82" t="str">
        <f>IFERROR(VLOOKUP(D341,'Target tables'!A:B,2,0),"")</f>
        <v>Связь договора и банка</v>
      </c>
      <c r="D341" s="208" t="s">
        <v>144</v>
      </c>
      <c r="E341" s="78" t="str">
        <f>IFERROR(VLOOKUP(D341&amp;J341,'Target columns'!A:J,4,FALSE),"")</f>
        <v>uuid</v>
      </c>
      <c r="F341" s="78" t="str">
        <f>IFERROR(VLOOKUP(D341&amp;J341,'Target columns'!A:J,7,FALSE),"")</f>
        <v>Yes</v>
      </c>
      <c r="G341" s="78" t="str">
        <f>IFERROR(VLOOKUP(D341&amp;J341,'Target columns'!A:J,8,FALSE),"")</f>
        <v>Yes</v>
      </c>
      <c r="H341" s="78" t="str">
        <f>IFERROR(VLOOKUP(D341&amp;J341,'Target columns'!A:J,5,FALSE),"")</f>
        <v>NULL</v>
      </c>
      <c r="I341" s="78" t="str">
        <f>IFERROR(VLOOKUP(D341&amp;J341,'Target columns'!A:J,10,FALSE),"")</f>
        <v>Идентификатор договора</v>
      </c>
      <c r="J341" s="23" t="s">
        <v>589</v>
      </c>
      <c r="K341" s="23" t="s">
        <v>151</v>
      </c>
      <c r="L341" s="78" t="str">
        <f>IFERROR(VLOOKUP(K341&amp;N341,source_columns[[Seek]:[Описание поля]],4,0),"")</f>
        <v>uuid</v>
      </c>
      <c r="M341" s="78" t="str">
        <f>IFERROR(VLOOKUP(K341&amp;N341,source_columns[[Seek]:[Описание поля]],7,0),"")</f>
        <v>Референс сделки</v>
      </c>
      <c r="N341" s="23" t="s">
        <v>496</v>
      </c>
      <c r="O341" s="23"/>
      <c r="P341" s="23"/>
      <c r="Q341" s="113"/>
      <c r="R341" s="113"/>
      <c r="S341" s="278" t="s">
        <v>639</v>
      </c>
      <c r="T341" s="82"/>
      <c r="U341" s="82"/>
      <c r="V341" s="84" t="str">
        <f>"n308000046_"&amp;IFERROR(VLOOKUP(D341,target_tables[],5,0),"&lt;not found&gt;")</f>
        <v>n308000046_agr_other_bank</v>
      </c>
      <c r="W341" s="82" t="s">
        <v>269</v>
      </c>
      <c r="X341" s="82"/>
      <c r="Y341" s="82"/>
      <c r="Z341" s="82"/>
      <c r="AA341" s="82"/>
      <c r="AB341" s="82"/>
      <c r="AC341" s="82"/>
      <c r="AD341" s="82"/>
      <c r="AE341" s="82"/>
      <c r="AF341" s="299" t="s">
        <v>342</v>
      </c>
      <c r="AG341" s="83"/>
      <c r="AH341" s="83"/>
      <c r="AI341" s="83"/>
      <c r="AJ341" s="91"/>
      <c r="AK341" s="69"/>
      <c r="WVK341" s="118"/>
      <c r="WVL341" s="118"/>
      <c r="WVM341" s="118"/>
      <c r="WVN341" s="118"/>
      <c r="WVO341" s="118"/>
      <c r="WVP341" s="118"/>
      <c r="WVQ341" s="118"/>
      <c r="WVR341" s="118"/>
      <c r="WVS341" s="118"/>
      <c r="WVT341" s="118"/>
      <c r="WVU341" s="118"/>
      <c r="WVV341" s="118"/>
      <c r="WVW341" s="118"/>
      <c r="WVX341" s="118"/>
      <c r="WVY341" s="118"/>
      <c r="WVZ341" s="118"/>
      <c r="WWA341" s="118"/>
      <c r="WWB341" s="118"/>
      <c r="WWC341" s="118"/>
      <c r="WWD341" s="118"/>
      <c r="WWE341" s="118"/>
      <c r="WWF341" s="118"/>
      <c r="WWG341" s="118"/>
      <c r="WWH341" s="118"/>
      <c r="WWI341" s="118"/>
      <c r="WWJ341" s="118"/>
      <c r="WWK341" s="118"/>
      <c r="WWL341" s="118"/>
      <c r="WWM341" s="118"/>
      <c r="WWN341" s="118"/>
      <c r="WWO341" s="118"/>
      <c r="WWP341" s="118"/>
      <c r="WWQ341" s="118"/>
      <c r="WWR341" s="118"/>
      <c r="WWS341" s="118"/>
      <c r="WWT341" s="118"/>
      <c r="WWU341" s="118"/>
      <c r="WWV341" s="118"/>
      <c r="WWW341" s="118"/>
      <c r="WWX341" s="118"/>
      <c r="WWY341" s="118"/>
      <c r="WWZ341" s="118"/>
      <c r="WXA341" s="118"/>
      <c r="WXB341" s="118"/>
      <c r="WXC341" s="118"/>
      <c r="WXD341" s="118"/>
      <c r="WXE341" s="118"/>
      <c r="WXF341" s="118"/>
      <c r="WXG341" s="118"/>
      <c r="WXH341" s="118"/>
      <c r="WXI341" s="118"/>
      <c r="WXJ341" s="118"/>
      <c r="WXK341" s="118"/>
      <c r="WXL341" s="118"/>
      <c r="WXM341" s="118"/>
      <c r="WXN341" s="118"/>
      <c r="WXO341" s="118"/>
      <c r="WXP341" s="118"/>
      <c r="WXQ341" s="118"/>
      <c r="WXR341" s="118"/>
      <c r="WXS341" s="118"/>
      <c r="WXT341" s="118"/>
      <c r="WXU341" s="118"/>
      <c r="WXV341" s="118"/>
      <c r="WXW341" s="118"/>
      <c r="WXX341" s="118"/>
      <c r="WXY341" s="118"/>
      <c r="WXZ341" s="118"/>
      <c r="WYA341" s="118"/>
      <c r="WYB341" s="118"/>
      <c r="WYC341" s="118"/>
      <c r="WYD341" s="118"/>
      <c r="WYE341" s="118"/>
      <c r="WYF341" s="118"/>
      <c r="WYG341" s="118"/>
      <c r="WYH341" s="118"/>
      <c r="WYI341" s="118"/>
      <c r="WYJ341" s="118"/>
      <c r="WYK341" s="118"/>
      <c r="WYL341" s="118"/>
      <c r="WYM341" s="118"/>
      <c r="WYN341" s="118"/>
      <c r="WYO341" s="118"/>
      <c r="WYP341" s="118"/>
      <c r="WYQ341" s="118"/>
      <c r="WYR341" s="118"/>
      <c r="WYS341" s="118"/>
      <c r="WYT341" s="118"/>
      <c r="WYU341" s="118"/>
      <c r="WYV341" s="118"/>
      <c r="WYW341" s="118"/>
      <c r="WYX341" s="118"/>
      <c r="WYY341" s="118"/>
      <c r="WYZ341" s="118"/>
      <c r="WZA341" s="118"/>
      <c r="WZB341" s="118"/>
      <c r="WZC341" s="118"/>
      <c r="WZD341" s="118"/>
      <c r="WZE341" s="118"/>
      <c r="WZF341" s="118"/>
      <c r="WZG341" s="118"/>
      <c r="WZH341" s="118"/>
      <c r="WZI341" s="118"/>
      <c r="WZJ341" s="118"/>
      <c r="WZK341" s="118"/>
      <c r="WZL341" s="118"/>
      <c r="WZM341" s="118"/>
      <c r="WZN341" s="118"/>
      <c r="WZO341" s="118"/>
      <c r="WZP341" s="118"/>
      <c r="WZQ341" s="118"/>
      <c r="WZR341" s="118"/>
      <c r="WZS341" s="118"/>
      <c r="WZT341" s="118"/>
      <c r="WZU341" s="118"/>
      <c r="WZV341" s="118"/>
      <c r="WZW341" s="118"/>
      <c r="WZX341" s="118"/>
      <c r="WZY341" s="118"/>
      <c r="WZZ341" s="118"/>
      <c r="XAA341" s="118"/>
      <c r="XAB341" s="118"/>
      <c r="XAC341" s="118"/>
      <c r="XAD341" s="118"/>
      <c r="XAE341" s="118"/>
      <c r="XAF341" s="118"/>
      <c r="XAG341" s="118"/>
      <c r="XAH341" s="118"/>
      <c r="XAI341" s="118"/>
      <c r="XAJ341" s="118"/>
      <c r="XAK341" s="118"/>
      <c r="XAL341" s="118"/>
      <c r="XAM341" s="118"/>
      <c r="XAN341" s="118"/>
      <c r="XAO341" s="118"/>
      <c r="XAP341" s="118"/>
      <c r="XAQ341" s="118"/>
      <c r="XAR341" s="118"/>
      <c r="XAS341" s="118"/>
      <c r="XAT341" s="118"/>
      <c r="XAU341" s="118"/>
      <c r="XAV341" s="118"/>
      <c r="XAW341" s="118"/>
      <c r="XAX341" s="118"/>
      <c r="XAY341" s="118"/>
      <c r="XAZ341" s="118"/>
      <c r="XBA341" s="118"/>
      <c r="XBB341" s="118"/>
      <c r="XBC341" s="118"/>
      <c r="XBD341" s="118"/>
      <c r="XBE341" s="118"/>
      <c r="XBF341" s="118"/>
      <c r="XBG341" s="118"/>
      <c r="XBH341" s="118"/>
      <c r="XBI341" s="118"/>
      <c r="XBJ341" s="118"/>
      <c r="XBK341" s="118"/>
      <c r="XBL341" s="118"/>
      <c r="XBM341" s="118"/>
      <c r="XBN341" s="118"/>
      <c r="XBO341" s="118"/>
      <c r="XBP341" s="118"/>
      <c r="XBQ341" s="118"/>
      <c r="XBR341" s="118"/>
      <c r="XBS341" s="118"/>
      <c r="XBT341" s="118"/>
      <c r="XBU341" s="118"/>
      <c r="XBV341" s="118"/>
      <c r="XBW341" s="118"/>
      <c r="XBX341" s="118"/>
      <c r="XBY341" s="118"/>
      <c r="XBZ341" s="118"/>
      <c r="XCA341" s="118"/>
      <c r="XCB341" s="118"/>
      <c r="XCC341" s="118"/>
      <c r="XCD341" s="118"/>
      <c r="XCE341" s="118"/>
      <c r="XCF341" s="118"/>
      <c r="XCG341" s="118"/>
      <c r="XCH341" s="118"/>
      <c r="XCI341" s="118"/>
      <c r="XCJ341" s="118"/>
      <c r="XCK341" s="118"/>
      <c r="XCL341" s="118"/>
      <c r="XCM341" s="118"/>
      <c r="XCN341" s="118"/>
      <c r="XCO341" s="118"/>
      <c r="XCP341" s="118"/>
      <c r="XCQ341" s="118"/>
      <c r="XCR341" s="118"/>
      <c r="XCS341" s="118"/>
      <c r="XCT341" s="118"/>
      <c r="XCU341" s="118"/>
      <c r="XCV341" s="118"/>
      <c r="XCW341" s="118"/>
      <c r="XCX341" s="118"/>
      <c r="XCY341" s="118"/>
      <c r="XCZ341" s="118"/>
      <c r="XDA341" s="118"/>
      <c r="XDB341" s="118"/>
      <c r="XDC341" s="118"/>
      <c r="XDD341" s="118"/>
      <c r="XDE341" s="118"/>
      <c r="XDF341" s="118"/>
      <c r="XDG341" s="118"/>
      <c r="XDH341" s="118"/>
      <c r="XDI341" s="118"/>
      <c r="XDJ341" s="118"/>
      <c r="XDK341" s="118"/>
      <c r="XDL341" s="118"/>
      <c r="XDM341" s="118"/>
      <c r="XDN341" s="118"/>
      <c r="XDO341" s="118"/>
      <c r="XDP341" s="118"/>
      <c r="XDQ341" s="118"/>
      <c r="XDR341" s="118"/>
      <c r="XDS341" s="118"/>
      <c r="XDT341" s="118"/>
      <c r="XDU341" s="118"/>
      <c r="XDV341" s="118"/>
      <c r="XDW341" s="118"/>
      <c r="XDX341" s="118"/>
      <c r="XDY341" s="118"/>
      <c r="XDZ341" s="118"/>
      <c r="XEA341" s="118"/>
      <c r="XEB341" s="118"/>
      <c r="XEC341" s="118"/>
      <c r="XED341" s="118"/>
      <c r="XEE341" s="118"/>
      <c r="XEF341" s="118"/>
      <c r="XEG341" s="118"/>
      <c r="XEH341" s="118"/>
      <c r="XEI341" s="118"/>
      <c r="XEJ341" s="118"/>
      <c r="XEK341" s="118"/>
      <c r="XEL341" s="118"/>
      <c r="XEM341" s="118"/>
      <c r="XEN341" s="118"/>
      <c r="XEO341" s="118"/>
      <c r="XEP341" s="118"/>
      <c r="XEQ341" s="118"/>
      <c r="XER341" s="118"/>
      <c r="XES341" s="118"/>
      <c r="XET341" s="118"/>
      <c r="XEU341" s="118"/>
      <c r="XEV341" s="118"/>
      <c r="XEW341" s="118"/>
      <c r="XEX341" s="118"/>
      <c r="XEY341" s="118"/>
      <c r="XEZ341" s="118"/>
      <c r="XFA341" s="118"/>
      <c r="XFB341" s="118"/>
      <c r="XFC341" s="118"/>
      <c r="XFD341" s="118"/>
    </row>
    <row r="342" spans="1:37 16131:16384" ht="12.75" hidden="1" customHeight="1" x14ac:dyDescent="0.3">
      <c r="A342" s="115">
        <v>3010</v>
      </c>
      <c r="B342" s="8" t="s">
        <v>634</v>
      </c>
      <c r="C342" s="65" t="str">
        <f>IFERROR(VLOOKUP(D342,'Target tables'!A:B,2,0),"")</f>
        <v>Связь договора и банка</v>
      </c>
      <c r="D342" s="211" t="s">
        <v>144</v>
      </c>
      <c r="E342" s="66" t="str">
        <f>IFERROR(VLOOKUP(D342&amp;J342,'Target columns'!A:J,4,FALSE),"")</f>
        <v>date</v>
      </c>
      <c r="F342" s="66" t="str">
        <f>IFERROR(VLOOKUP(D342&amp;J342,'Target columns'!A:J,7,FALSE),"")</f>
        <v>Yes</v>
      </c>
      <c r="G342" s="66" t="str">
        <f>IFERROR(VLOOKUP(D342&amp;J342,'Target columns'!A:J,8,FALSE),"")</f>
        <v>No</v>
      </c>
      <c r="H342" s="66" t="str">
        <f>IFERROR(VLOOKUP(D342&amp;J342,'Target columns'!A:J,5,FALSE),"")</f>
        <v>NOT NULL</v>
      </c>
      <c r="I342" s="66" t="str">
        <f>IFERROR(VLOOKUP(D342&amp;J342,'Target columns'!A:J,10,FALSE),"")</f>
        <v>Дата начала действия</v>
      </c>
      <c r="J342" s="8" t="s">
        <v>329</v>
      </c>
      <c r="K342" s="8" t="s">
        <v>151</v>
      </c>
      <c r="L342" s="66" t="str">
        <f>IFERROR(VLOOKUP(K342&amp;N342,source_columns[[Seek]:[Описание поля]],4,0),"")</f>
        <v>timestamp</v>
      </c>
      <c r="M342" s="66" t="str">
        <f>IFERROR(VLOOKUP(K342&amp;N342,source_columns[[Seek]:[Описание поля]],7,0),"")</f>
        <v>Дата и время последнего изменения</v>
      </c>
      <c r="N342" s="8" t="s">
        <v>517</v>
      </c>
      <c r="O342" s="8"/>
      <c r="P342" s="8"/>
      <c r="Q342" s="8"/>
      <c r="R342" s="8"/>
      <c r="S342" s="278"/>
      <c r="T342" s="65"/>
      <c r="U342" s="65"/>
      <c r="V342" s="66" t="str">
        <f>"n308000046_"&amp;IFERROR(VLOOKUP(D342,target_tables[],5,0),"&lt;not found&gt;")</f>
        <v>n308000046_agr_other_bank</v>
      </c>
      <c r="W342" s="65" t="s">
        <v>330</v>
      </c>
      <c r="X342" s="65"/>
      <c r="Y342" s="65"/>
      <c r="Z342" s="65"/>
      <c r="AA342" s="65"/>
      <c r="AB342" s="65"/>
      <c r="AC342" s="65"/>
      <c r="AD342" s="65"/>
      <c r="AE342" s="65"/>
      <c r="AF342" s="299"/>
      <c r="AG342" s="10"/>
      <c r="AH342" s="10"/>
      <c r="AI342" s="10"/>
      <c r="AJ342" s="68"/>
      <c r="AK342" s="69"/>
      <c r="WVK342" s="118"/>
      <c r="WVL342" s="118"/>
      <c r="WVM342" s="118"/>
      <c r="WVN342" s="118"/>
      <c r="WVO342" s="118"/>
      <c r="WVP342" s="118"/>
      <c r="WVQ342" s="118"/>
      <c r="WVR342" s="118"/>
      <c r="WVS342" s="118"/>
      <c r="WVT342" s="118"/>
      <c r="WVU342" s="118"/>
      <c r="WVV342" s="118"/>
      <c r="WVW342" s="118"/>
      <c r="WVX342" s="118"/>
      <c r="WVY342" s="118"/>
      <c r="WVZ342" s="118"/>
      <c r="WWA342" s="118"/>
      <c r="WWB342" s="118"/>
      <c r="WWC342" s="118"/>
      <c r="WWD342" s="118"/>
      <c r="WWE342" s="118"/>
      <c r="WWF342" s="118"/>
      <c r="WWG342" s="118"/>
      <c r="WWH342" s="118"/>
      <c r="WWI342" s="118"/>
      <c r="WWJ342" s="118"/>
      <c r="WWK342" s="118"/>
      <c r="WWL342" s="118"/>
      <c r="WWM342" s="118"/>
      <c r="WWN342" s="118"/>
      <c r="WWO342" s="118"/>
      <c r="WWP342" s="118"/>
      <c r="WWQ342" s="118"/>
      <c r="WWR342" s="118"/>
      <c r="WWS342" s="118"/>
      <c r="WWT342" s="118"/>
      <c r="WWU342" s="118"/>
      <c r="WWV342" s="118"/>
      <c r="WWW342" s="118"/>
      <c r="WWX342" s="118"/>
      <c r="WWY342" s="118"/>
      <c r="WWZ342" s="118"/>
      <c r="WXA342" s="118"/>
      <c r="WXB342" s="118"/>
      <c r="WXC342" s="118"/>
      <c r="WXD342" s="118"/>
      <c r="WXE342" s="118"/>
      <c r="WXF342" s="118"/>
      <c r="WXG342" s="118"/>
      <c r="WXH342" s="118"/>
      <c r="WXI342" s="118"/>
      <c r="WXJ342" s="118"/>
      <c r="WXK342" s="118"/>
      <c r="WXL342" s="118"/>
      <c r="WXM342" s="118"/>
      <c r="WXN342" s="118"/>
      <c r="WXO342" s="118"/>
      <c r="WXP342" s="118"/>
      <c r="WXQ342" s="118"/>
      <c r="WXR342" s="118"/>
      <c r="WXS342" s="118"/>
      <c r="WXT342" s="118"/>
      <c r="WXU342" s="118"/>
      <c r="WXV342" s="118"/>
      <c r="WXW342" s="118"/>
      <c r="WXX342" s="118"/>
      <c r="WXY342" s="118"/>
      <c r="WXZ342" s="118"/>
      <c r="WYA342" s="118"/>
      <c r="WYB342" s="118"/>
      <c r="WYC342" s="118"/>
      <c r="WYD342" s="118"/>
      <c r="WYE342" s="118"/>
      <c r="WYF342" s="118"/>
      <c r="WYG342" s="118"/>
      <c r="WYH342" s="118"/>
      <c r="WYI342" s="118"/>
      <c r="WYJ342" s="118"/>
      <c r="WYK342" s="118"/>
      <c r="WYL342" s="118"/>
      <c r="WYM342" s="118"/>
      <c r="WYN342" s="118"/>
      <c r="WYO342" s="118"/>
      <c r="WYP342" s="118"/>
      <c r="WYQ342" s="118"/>
      <c r="WYR342" s="118"/>
      <c r="WYS342" s="118"/>
      <c r="WYT342" s="118"/>
      <c r="WYU342" s="118"/>
      <c r="WYV342" s="118"/>
      <c r="WYW342" s="118"/>
      <c r="WYX342" s="118"/>
      <c r="WYY342" s="118"/>
      <c r="WYZ342" s="118"/>
      <c r="WZA342" s="118"/>
      <c r="WZB342" s="118"/>
      <c r="WZC342" s="118"/>
      <c r="WZD342" s="118"/>
      <c r="WZE342" s="118"/>
      <c r="WZF342" s="118"/>
      <c r="WZG342" s="118"/>
      <c r="WZH342" s="118"/>
      <c r="WZI342" s="118"/>
      <c r="WZJ342" s="118"/>
      <c r="WZK342" s="118"/>
      <c r="WZL342" s="118"/>
      <c r="WZM342" s="118"/>
      <c r="WZN342" s="118"/>
      <c r="WZO342" s="118"/>
      <c r="WZP342" s="118"/>
      <c r="WZQ342" s="118"/>
      <c r="WZR342" s="118"/>
      <c r="WZS342" s="118"/>
      <c r="WZT342" s="118"/>
      <c r="WZU342" s="118"/>
      <c r="WZV342" s="118"/>
      <c r="WZW342" s="118"/>
      <c r="WZX342" s="118"/>
      <c r="WZY342" s="118"/>
      <c r="WZZ342" s="118"/>
      <c r="XAA342" s="118"/>
      <c r="XAB342" s="118"/>
      <c r="XAC342" s="118"/>
      <c r="XAD342" s="118"/>
      <c r="XAE342" s="118"/>
      <c r="XAF342" s="118"/>
      <c r="XAG342" s="118"/>
      <c r="XAH342" s="118"/>
      <c r="XAI342" s="118"/>
      <c r="XAJ342" s="118"/>
      <c r="XAK342" s="118"/>
      <c r="XAL342" s="118"/>
      <c r="XAM342" s="118"/>
      <c r="XAN342" s="118"/>
      <c r="XAO342" s="118"/>
      <c r="XAP342" s="118"/>
      <c r="XAQ342" s="118"/>
      <c r="XAR342" s="118"/>
      <c r="XAS342" s="118"/>
      <c r="XAT342" s="118"/>
      <c r="XAU342" s="118"/>
      <c r="XAV342" s="118"/>
      <c r="XAW342" s="118"/>
      <c r="XAX342" s="118"/>
      <c r="XAY342" s="118"/>
      <c r="XAZ342" s="118"/>
      <c r="XBA342" s="118"/>
      <c r="XBB342" s="118"/>
      <c r="XBC342" s="118"/>
      <c r="XBD342" s="118"/>
      <c r="XBE342" s="118"/>
      <c r="XBF342" s="118"/>
      <c r="XBG342" s="118"/>
      <c r="XBH342" s="118"/>
      <c r="XBI342" s="118"/>
      <c r="XBJ342" s="118"/>
      <c r="XBK342" s="118"/>
      <c r="XBL342" s="118"/>
      <c r="XBM342" s="118"/>
      <c r="XBN342" s="118"/>
      <c r="XBO342" s="118"/>
      <c r="XBP342" s="118"/>
      <c r="XBQ342" s="118"/>
      <c r="XBR342" s="118"/>
      <c r="XBS342" s="118"/>
      <c r="XBT342" s="118"/>
      <c r="XBU342" s="118"/>
      <c r="XBV342" s="118"/>
      <c r="XBW342" s="118"/>
      <c r="XBX342" s="118"/>
      <c r="XBY342" s="118"/>
      <c r="XBZ342" s="118"/>
      <c r="XCA342" s="118"/>
      <c r="XCB342" s="118"/>
      <c r="XCC342" s="118"/>
      <c r="XCD342" s="118"/>
      <c r="XCE342" s="118"/>
      <c r="XCF342" s="118"/>
      <c r="XCG342" s="118"/>
      <c r="XCH342" s="118"/>
      <c r="XCI342" s="118"/>
      <c r="XCJ342" s="118"/>
      <c r="XCK342" s="118"/>
      <c r="XCL342" s="118"/>
      <c r="XCM342" s="118"/>
      <c r="XCN342" s="118"/>
      <c r="XCO342" s="118"/>
      <c r="XCP342" s="118"/>
      <c r="XCQ342" s="118"/>
      <c r="XCR342" s="118"/>
      <c r="XCS342" s="118"/>
      <c r="XCT342" s="118"/>
      <c r="XCU342" s="118"/>
      <c r="XCV342" s="118"/>
      <c r="XCW342" s="118"/>
      <c r="XCX342" s="118"/>
      <c r="XCY342" s="118"/>
      <c r="XCZ342" s="118"/>
      <c r="XDA342" s="118"/>
      <c r="XDB342" s="118"/>
      <c r="XDC342" s="118"/>
      <c r="XDD342" s="118"/>
      <c r="XDE342" s="118"/>
      <c r="XDF342" s="118"/>
      <c r="XDG342" s="118"/>
      <c r="XDH342" s="118"/>
      <c r="XDI342" s="118"/>
      <c r="XDJ342" s="118"/>
      <c r="XDK342" s="118"/>
      <c r="XDL342" s="118"/>
      <c r="XDM342" s="118"/>
      <c r="XDN342" s="118"/>
      <c r="XDO342" s="118"/>
      <c r="XDP342" s="118"/>
      <c r="XDQ342" s="118"/>
      <c r="XDR342" s="118"/>
      <c r="XDS342" s="118"/>
      <c r="XDT342" s="118"/>
      <c r="XDU342" s="118"/>
      <c r="XDV342" s="118"/>
      <c r="XDW342" s="118"/>
      <c r="XDX342" s="118"/>
      <c r="XDY342" s="118"/>
      <c r="XDZ342" s="118"/>
      <c r="XEA342" s="118"/>
      <c r="XEB342" s="118"/>
      <c r="XEC342" s="118"/>
      <c r="XED342" s="118"/>
      <c r="XEE342" s="118"/>
      <c r="XEF342" s="118"/>
      <c r="XEG342" s="118"/>
      <c r="XEH342" s="118"/>
      <c r="XEI342" s="118"/>
      <c r="XEJ342" s="118"/>
      <c r="XEK342" s="118"/>
      <c r="XEL342" s="118"/>
      <c r="XEM342" s="118"/>
      <c r="XEN342" s="118"/>
      <c r="XEO342" s="118"/>
      <c r="XEP342" s="118"/>
      <c r="XEQ342" s="118"/>
      <c r="XER342" s="118"/>
      <c r="XES342" s="118"/>
      <c r="XET342" s="118"/>
      <c r="XEU342" s="118"/>
      <c r="XEV342" s="118"/>
      <c r="XEW342" s="118"/>
      <c r="XEX342" s="118"/>
      <c r="XEY342" s="118"/>
      <c r="XEZ342" s="118"/>
      <c r="XFA342" s="118"/>
      <c r="XFB342" s="118"/>
      <c r="XFC342" s="118"/>
      <c r="XFD342" s="118"/>
    </row>
    <row r="343" spans="1:37 16131:16384" ht="12.75" hidden="1" customHeight="1" x14ac:dyDescent="0.3">
      <c r="A343" s="115">
        <v>3020</v>
      </c>
      <c r="B343" s="8" t="s">
        <v>634</v>
      </c>
      <c r="C343" s="65" t="str">
        <f>IFERROR(VLOOKUP(D343,'Target tables'!A:B,2,0),"")</f>
        <v>Связь договора и банка</v>
      </c>
      <c r="D343" s="211" t="s">
        <v>144</v>
      </c>
      <c r="E343" s="66" t="str">
        <f>IFERROR(VLOOKUP(D343&amp;J343,'Target columns'!A:J,4,FALSE),"")</f>
        <v>uuid</v>
      </c>
      <c r="F343" s="66" t="str">
        <f>IFERROR(VLOOKUP(D343&amp;J343,'Target columns'!A:J,7,FALSE),"")</f>
        <v>Yes</v>
      </c>
      <c r="G343" s="66" t="str">
        <f>IFERROR(VLOOKUP(D343&amp;J343,'Target columns'!A:J,8,FALSE),"")</f>
        <v>Yes</v>
      </c>
      <c r="H343" s="66" t="str">
        <f>IFERROR(VLOOKUP(D343&amp;J343,'Target columns'!A:J,5,FALSE),"")</f>
        <v>NULL</v>
      </c>
      <c r="I343" s="66" t="str">
        <f>IFERROR(VLOOKUP(D343&amp;J343,'Target columns'!A:J,10,FALSE),"")</f>
        <v>Идентификатор типа связи договора и банка</v>
      </c>
      <c r="J343" s="8" t="s">
        <v>600</v>
      </c>
      <c r="K343" s="8" t="s">
        <v>151</v>
      </c>
      <c r="L343" s="66" t="str">
        <f>IFERROR(VLOOKUP(K343&amp;N343,source_columns[[Seek]:[Описание поля]],4,0),"")</f>
        <v/>
      </c>
      <c r="M343" s="66" t="str">
        <f>IFERROR(VLOOKUP(K343&amp;N343,source_columns[[Seek]:[Описание поля]],7,0),"")</f>
        <v/>
      </c>
      <c r="N343" s="8" t="s">
        <v>626</v>
      </c>
      <c r="O343" s="8"/>
      <c r="P343" s="8"/>
      <c r="Q343" s="8"/>
      <c r="R343" s="8"/>
      <c r="S343" s="278"/>
      <c r="T343" s="65"/>
      <c r="U343" s="65"/>
      <c r="V343" s="66" t="str">
        <f>"n308000046_"&amp;IFERROR(VLOOKUP(D343,target_tables[],5,0),"&lt;not found&gt;")</f>
        <v>n308000046_agr_other_bank</v>
      </c>
      <c r="W343" s="65" t="s">
        <v>269</v>
      </c>
      <c r="X343" s="65"/>
      <c r="Y343" s="65"/>
      <c r="Z343" s="65"/>
      <c r="AA343" s="65"/>
      <c r="AB343" s="65"/>
      <c r="AC343" s="65"/>
      <c r="AD343" s="65"/>
      <c r="AE343" s="65"/>
      <c r="AF343" s="299"/>
      <c r="AG343" s="10"/>
      <c r="AH343" s="10"/>
      <c r="AI343" s="10"/>
      <c r="AJ343" s="68"/>
      <c r="AK343" s="69"/>
      <c r="WVK343" s="118"/>
      <c r="WVL343" s="118"/>
      <c r="WVM343" s="118"/>
      <c r="WVN343" s="118"/>
      <c r="WVO343" s="118"/>
      <c r="WVP343" s="118"/>
      <c r="WVQ343" s="118"/>
      <c r="WVR343" s="118"/>
      <c r="WVS343" s="118"/>
      <c r="WVT343" s="118"/>
      <c r="WVU343" s="118"/>
      <c r="WVV343" s="118"/>
      <c r="WVW343" s="118"/>
      <c r="WVX343" s="118"/>
      <c r="WVY343" s="118"/>
      <c r="WVZ343" s="118"/>
      <c r="WWA343" s="118"/>
      <c r="WWB343" s="118"/>
      <c r="WWC343" s="118"/>
      <c r="WWD343" s="118"/>
      <c r="WWE343" s="118"/>
      <c r="WWF343" s="118"/>
      <c r="WWG343" s="118"/>
      <c r="WWH343" s="118"/>
      <c r="WWI343" s="118"/>
      <c r="WWJ343" s="118"/>
      <c r="WWK343" s="118"/>
      <c r="WWL343" s="118"/>
      <c r="WWM343" s="118"/>
      <c r="WWN343" s="118"/>
      <c r="WWO343" s="118"/>
      <c r="WWP343" s="118"/>
      <c r="WWQ343" s="118"/>
      <c r="WWR343" s="118"/>
      <c r="WWS343" s="118"/>
      <c r="WWT343" s="118"/>
      <c r="WWU343" s="118"/>
      <c r="WWV343" s="118"/>
      <c r="WWW343" s="118"/>
      <c r="WWX343" s="118"/>
      <c r="WWY343" s="118"/>
      <c r="WWZ343" s="118"/>
      <c r="WXA343" s="118"/>
      <c r="WXB343" s="118"/>
      <c r="WXC343" s="118"/>
      <c r="WXD343" s="118"/>
      <c r="WXE343" s="118"/>
      <c r="WXF343" s="118"/>
      <c r="WXG343" s="118"/>
      <c r="WXH343" s="118"/>
      <c r="WXI343" s="118"/>
      <c r="WXJ343" s="118"/>
      <c r="WXK343" s="118"/>
      <c r="WXL343" s="118"/>
      <c r="WXM343" s="118"/>
      <c r="WXN343" s="118"/>
      <c r="WXO343" s="118"/>
      <c r="WXP343" s="118"/>
      <c r="WXQ343" s="118"/>
      <c r="WXR343" s="118"/>
      <c r="WXS343" s="118"/>
      <c r="WXT343" s="118"/>
      <c r="WXU343" s="118"/>
      <c r="WXV343" s="118"/>
      <c r="WXW343" s="118"/>
      <c r="WXX343" s="118"/>
      <c r="WXY343" s="118"/>
      <c r="WXZ343" s="118"/>
      <c r="WYA343" s="118"/>
      <c r="WYB343" s="118"/>
      <c r="WYC343" s="118"/>
      <c r="WYD343" s="118"/>
      <c r="WYE343" s="118"/>
      <c r="WYF343" s="118"/>
      <c r="WYG343" s="118"/>
      <c r="WYH343" s="118"/>
      <c r="WYI343" s="118"/>
      <c r="WYJ343" s="118"/>
      <c r="WYK343" s="118"/>
      <c r="WYL343" s="118"/>
      <c r="WYM343" s="118"/>
      <c r="WYN343" s="118"/>
      <c r="WYO343" s="118"/>
      <c r="WYP343" s="118"/>
      <c r="WYQ343" s="118"/>
      <c r="WYR343" s="118"/>
      <c r="WYS343" s="118"/>
      <c r="WYT343" s="118"/>
      <c r="WYU343" s="118"/>
      <c r="WYV343" s="118"/>
      <c r="WYW343" s="118"/>
      <c r="WYX343" s="118"/>
      <c r="WYY343" s="118"/>
      <c r="WYZ343" s="118"/>
      <c r="WZA343" s="118"/>
      <c r="WZB343" s="118"/>
      <c r="WZC343" s="118"/>
      <c r="WZD343" s="118"/>
      <c r="WZE343" s="118"/>
      <c r="WZF343" s="118"/>
      <c r="WZG343" s="118"/>
      <c r="WZH343" s="118"/>
      <c r="WZI343" s="118"/>
      <c r="WZJ343" s="118"/>
      <c r="WZK343" s="118"/>
      <c r="WZL343" s="118"/>
      <c r="WZM343" s="118"/>
      <c r="WZN343" s="118"/>
      <c r="WZO343" s="118"/>
      <c r="WZP343" s="118"/>
      <c r="WZQ343" s="118"/>
      <c r="WZR343" s="118"/>
      <c r="WZS343" s="118"/>
      <c r="WZT343" s="118"/>
      <c r="WZU343" s="118"/>
      <c r="WZV343" s="118"/>
      <c r="WZW343" s="118"/>
      <c r="WZX343" s="118"/>
      <c r="WZY343" s="118"/>
      <c r="WZZ343" s="118"/>
      <c r="XAA343" s="118"/>
      <c r="XAB343" s="118"/>
      <c r="XAC343" s="118"/>
      <c r="XAD343" s="118"/>
      <c r="XAE343" s="118"/>
      <c r="XAF343" s="118"/>
      <c r="XAG343" s="118"/>
      <c r="XAH343" s="118"/>
      <c r="XAI343" s="118"/>
      <c r="XAJ343" s="118"/>
      <c r="XAK343" s="118"/>
      <c r="XAL343" s="118"/>
      <c r="XAM343" s="118"/>
      <c r="XAN343" s="118"/>
      <c r="XAO343" s="118"/>
      <c r="XAP343" s="118"/>
      <c r="XAQ343" s="118"/>
      <c r="XAR343" s="118"/>
      <c r="XAS343" s="118"/>
      <c r="XAT343" s="118"/>
      <c r="XAU343" s="118"/>
      <c r="XAV343" s="118"/>
      <c r="XAW343" s="118"/>
      <c r="XAX343" s="118"/>
      <c r="XAY343" s="118"/>
      <c r="XAZ343" s="118"/>
      <c r="XBA343" s="118"/>
      <c r="XBB343" s="118"/>
      <c r="XBC343" s="118"/>
      <c r="XBD343" s="118"/>
      <c r="XBE343" s="118"/>
      <c r="XBF343" s="118"/>
      <c r="XBG343" s="118"/>
      <c r="XBH343" s="118"/>
      <c r="XBI343" s="118"/>
      <c r="XBJ343" s="118"/>
      <c r="XBK343" s="118"/>
      <c r="XBL343" s="118"/>
      <c r="XBM343" s="118"/>
      <c r="XBN343" s="118"/>
      <c r="XBO343" s="118"/>
      <c r="XBP343" s="118"/>
      <c r="XBQ343" s="118"/>
      <c r="XBR343" s="118"/>
      <c r="XBS343" s="118"/>
      <c r="XBT343" s="118"/>
      <c r="XBU343" s="118"/>
      <c r="XBV343" s="118"/>
      <c r="XBW343" s="118"/>
      <c r="XBX343" s="118"/>
      <c r="XBY343" s="118"/>
      <c r="XBZ343" s="118"/>
      <c r="XCA343" s="118"/>
      <c r="XCB343" s="118"/>
      <c r="XCC343" s="118"/>
      <c r="XCD343" s="118"/>
      <c r="XCE343" s="118"/>
      <c r="XCF343" s="118"/>
      <c r="XCG343" s="118"/>
      <c r="XCH343" s="118"/>
      <c r="XCI343" s="118"/>
      <c r="XCJ343" s="118"/>
      <c r="XCK343" s="118"/>
      <c r="XCL343" s="118"/>
      <c r="XCM343" s="118"/>
      <c r="XCN343" s="118"/>
      <c r="XCO343" s="118"/>
      <c r="XCP343" s="118"/>
      <c r="XCQ343" s="118"/>
      <c r="XCR343" s="118"/>
      <c r="XCS343" s="118"/>
      <c r="XCT343" s="118"/>
      <c r="XCU343" s="118"/>
      <c r="XCV343" s="118"/>
      <c r="XCW343" s="118"/>
      <c r="XCX343" s="118"/>
      <c r="XCY343" s="118"/>
      <c r="XCZ343" s="118"/>
      <c r="XDA343" s="118"/>
      <c r="XDB343" s="118"/>
      <c r="XDC343" s="118"/>
      <c r="XDD343" s="118"/>
      <c r="XDE343" s="118"/>
      <c r="XDF343" s="118"/>
      <c r="XDG343" s="118"/>
      <c r="XDH343" s="118"/>
      <c r="XDI343" s="118"/>
      <c r="XDJ343" s="118"/>
      <c r="XDK343" s="118"/>
      <c r="XDL343" s="118"/>
      <c r="XDM343" s="118"/>
      <c r="XDN343" s="118"/>
      <c r="XDO343" s="118"/>
      <c r="XDP343" s="118"/>
      <c r="XDQ343" s="118"/>
      <c r="XDR343" s="118"/>
      <c r="XDS343" s="118"/>
      <c r="XDT343" s="118"/>
      <c r="XDU343" s="118"/>
      <c r="XDV343" s="118"/>
      <c r="XDW343" s="118"/>
      <c r="XDX343" s="118"/>
      <c r="XDY343" s="118"/>
      <c r="XDZ343" s="118"/>
      <c r="XEA343" s="118"/>
      <c r="XEB343" s="118"/>
      <c r="XEC343" s="118"/>
      <c r="XED343" s="118"/>
      <c r="XEE343" s="118"/>
      <c r="XEF343" s="118"/>
      <c r="XEG343" s="118"/>
      <c r="XEH343" s="118"/>
      <c r="XEI343" s="118"/>
      <c r="XEJ343" s="118"/>
      <c r="XEK343" s="118"/>
      <c r="XEL343" s="118"/>
      <c r="XEM343" s="118"/>
      <c r="XEN343" s="118"/>
      <c r="XEO343" s="118"/>
      <c r="XEP343" s="118"/>
      <c r="XEQ343" s="118"/>
      <c r="XER343" s="118"/>
      <c r="XES343" s="118"/>
      <c r="XET343" s="118"/>
      <c r="XEU343" s="118"/>
      <c r="XEV343" s="118"/>
      <c r="XEW343" s="118"/>
      <c r="XEX343" s="118"/>
      <c r="XEY343" s="118"/>
      <c r="XEZ343" s="118"/>
      <c r="XFA343" s="118"/>
      <c r="XFB343" s="118"/>
      <c r="XFC343" s="118"/>
      <c r="XFD343" s="118"/>
    </row>
    <row r="344" spans="1:37 16131:16384" ht="12.75" hidden="1" customHeight="1" x14ac:dyDescent="0.3">
      <c r="A344" s="115">
        <v>3030</v>
      </c>
      <c r="B344" s="8" t="s">
        <v>634</v>
      </c>
      <c r="C344" s="65" t="str">
        <f>IFERROR(VLOOKUP(D344,'Target tables'!A:B,2,0),"")</f>
        <v>Связь договора и банка</v>
      </c>
      <c r="D344" s="211" t="s">
        <v>144</v>
      </c>
      <c r="E344" s="66" t="str">
        <f>IFERROR(VLOOKUP(D344&amp;J344,'Target columns'!A:J,4,FALSE),"")</f>
        <v>uuid</v>
      </c>
      <c r="F344" s="66" t="str">
        <f>IFERROR(VLOOKUP(D344&amp;J344,'Target columns'!A:J,7,FALSE),"")</f>
        <v>No</v>
      </c>
      <c r="G344" s="66" t="str">
        <f>IFERROR(VLOOKUP(D344&amp;J344,'Target columns'!A:J,8,FALSE),"")</f>
        <v>Yes</v>
      </c>
      <c r="H344" s="66" t="str">
        <f>IFERROR(VLOOKUP(D344&amp;J344,'Target columns'!A:J,5,FALSE),"")</f>
        <v>NULL</v>
      </c>
      <c r="I344" s="66" t="str">
        <f>IFERROR(VLOOKUP(D344&amp;J344,'Target columns'!A:J,10,FALSE),"")</f>
        <v>Идентификатор банка</v>
      </c>
      <c r="J344" s="8" t="s">
        <v>581</v>
      </c>
      <c r="K344" s="8" t="s">
        <v>151</v>
      </c>
      <c r="L344" s="66" t="str">
        <f>IFERROR(VLOOKUP(K344&amp;N344,source_columns[[Seek]:[Описание поля]],4,0),"")</f>
        <v>uuid</v>
      </c>
      <c r="M344" s="66" t="str">
        <f>IFERROR(VLOOKUP(K344&amp;N344,source_columns[[Seek]:[Описание поля]],7,0),"")</f>
        <v>SWIFT код Банка эмитента</v>
      </c>
      <c r="N344" s="8" t="s">
        <v>640</v>
      </c>
      <c r="O344" s="8"/>
      <c r="P344" s="8"/>
      <c r="Q344" s="8"/>
      <c r="R344" s="8"/>
      <c r="S344" s="278"/>
      <c r="T344" s="65"/>
      <c r="U344" s="65"/>
      <c r="V344" s="66" t="str">
        <f>"n308000046_"&amp;IFERROR(VLOOKUP(D344,target_tables[],5,0),"&lt;not found&gt;")</f>
        <v>n308000046_agr_other_bank</v>
      </c>
      <c r="W344" s="65" t="s">
        <v>273</v>
      </c>
      <c r="X344" s="65"/>
      <c r="Y344" s="65"/>
      <c r="Z344" s="65"/>
      <c r="AA344" s="65"/>
      <c r="AB344" s="65"/>
      <c r="AC344" s="65"/>
      <c r="AD344" s="65"/>
      <c r="AE344" s="65"/>
      <c r="AF344" s="299"/>
      <c r="AG344" s="10"/>
      <c r="AH344" s="10"/>
      <c r="AI344" s="10"/>
      <c r="AJ344" s="68"/>
      <c r="AK344" s="69"/>
      <c r="WVK344" s="118"/>
      <c r="WVL344" s="118"/>
      <c r="WVM344" s="118"/>
      <c r="WVN344" s="118"/>
      <c r="WVO344" s="118"/>
      <c r="WVP344" s="118"/>
      <c r="WVQ344" s="118"/>
      <c r="WVR344" s="118"/>
      <c r="WVS344" s="118"/>
      <c r="WVT344" s="118"/>
      <c r="WVU344" s="118"/>
      <c r="WVV344" s="118"/>
      <c r="WVW344" s="118"/>
      <c r="WVX344" s="118"/>
      <c r="WVY344" s="118"/>
      <c r="WVZ344" s="118"/>
      <c r="WWA344" s="118"/>
      <c r="WWB344" s="118"/>
      <c r="WWC344" s="118"/>
      <c r="WWD344" s="118"/>
      <c r="WWE344" s="118"/>
      <c r="WWF344" s="118"/>
      <c r="WWG344" s="118"/>
      <c r="WWH344" s="118"/>
      <c r="WWI344" s="118"/>
      <c r="WWJ344" s="118"/>
      <c r="WWK344" s="118"/>
      <c r="WWL344" s="118"/>
      <c r="WWM344" s="118"/>
      <c r="WWN344" s="118"/>
      <c r="WWO344" s="118"/>
      <c r="WWP344" s="118"/>
      <c r="WWQ344" s="118"/>
      <c r="WWR344" s="118"/>
      <c r="WWS344" s="118"/>
      <c r="WWT344" s="118"/>
      <c r="WWU344" s="118"/>
      <c r="WWV344" s="118"/>
      <c r="WWW344" s="118"/>
      <c r="WWX344" s="118"/>
      <c r="WWY344" s="118"/>
      <c r="WWZ344" s="118"/>
      <c r="WXA344" s="118"/>
      <c r="WXB344" s="118"/>
      <c r="WXC344" s="118"/>
      <c r="WXD344" s="118"/>
      <c r="WXE344" s="118"/>
      <c r="WXF344" s="118"/>
      <c r="WXG344" s="118"/>
      <c r="WXH344" s="118"/>
      <c r="WXI344" s="118"/>
      <c r="WXJ344" s="118"/>
      <c r="WXK344" s="118"/>
      <c r="WXL344" s="118"/>
      <c r="WXM344" s="118"/>
      <c r="WXN344" s="118"/>
      <c r="WXO344" s="118"/>
      <c r="WXP344" s="118"/>
      <c r="WXQ344" s="118"/>
      <c r="WXR344" s="118"/>
      <c r="WXS344" s="118"/>
      <c r="WXT344" s="118"/>
      <c r="WXU344" s="118"/>
      <c r="WXV344" s="118"/>
      <c r="WXW344" s="118"/>
      <c r="WXX344" s="118"/>
      <c r="WXY344" s="118"/>
      <c r="WXZ344" s="118"/>
      <c r="WYA344" s="118"/>
      <c r="WYB344" s="118"/>
      <c r="WYC344" s="118"/>
      <c r="WYD344" s="118"/>
      <c r="WYE344" s="118"/>
      <c r="WYF344" s="118"/>
      <c r="WYG344" s="118"/>
      <c r="WYH344" s="118"/>
      <c r="WYI344" s="118"/>
      <c r="WYJ344" s="118"/>
      <c r="WYK344" s="118"/>
      <c r="WYL344" s="118"/>
      <c r="WYM344" s="118"/>
      <c r="WYN344" s="118"/>
      <c r="WYO344" s="118"/>
      <c r="WYP344" s="118"/>
      <c r="WYQ344" s="118"/>
      <c r="WYR344" s="118"/>
      <c r="WYS344" s="118"/>
      <c r="WYT344" s="118"/>
      <c r="WYU344" s="118"/>
      <c r="WYV344" s="118"/>
      <c r="WYW344" s="118"/>
      <c r="WYX344" s="118"/>
      <c r="WYY344" s="118"/>
      <c r="WYZ344" s="118"/>
      <c r="WZA344" s="118"/>
      <c r="WZB344" s="118"/>
      <c r="WZC344" s="118"/>
      <c r="WZD344" s="118"/>
      <c r="WZE344" s="118"/>
      <c r="WZF344" s="118"/>
      <c r="WZG344" s="118"/>
      <c r="WZH344" s="118"/>
      <c r="WZI344" s="118"/>
      <c r="WZJ344" s="118"/>
      <c r="WZK344" s="118"/>
      <c r="WZL344" s="118"/>
      <c r="WZM344" s="118"/>
      <c r="WZN344" s="118"/>
      <c r="WZO344" s="118"/>
      <c r="WZP344" s="118"/>
      <c r="WZQ344" s="118"/>
      <c r="WZR344" s="118"/>
      <c r="WZS344" s="118"/>
      <c r="WZT344" s="118"/>
      <c r="WZU344" s="118"/>
      <c r="WZV344" s="118"/>
      <c r="WZW344" s="118"/>
      <c r="WZX344" s="118"/>
      <c r="WZY344" s="118"/>
      <c r="WZZ344" s="118"/>
      <c r="XAA344" s="118"/>
      <c r="XAB344" s="118"/>
      <c r="XAC344" s="118"/>
      <c r="XAD344" s="118"/>
      <c r="XAE344" s="118"/>
      <c r="XAF344" s="118"/>
      <c r="XAG344" s="118"/>
      <c r="XAH344" s="118"/>
      <c r="XAI344" s="118"/>
      <c r="XAJ344" s="118"/>
      <c r="XAK344" s="118"/>
      <c r="XAL344" s="118"/>
      <c r="XAM344" s="118"/>
      <c r="XAN344" s="118"/>
      <c r="XAO344" s="118"/>
      <c r="XAP344" s="118"/>
      <c r="XAQ344" s="118"/>
      <c r="XAR344" s="118"/>
      <c r="XAS344" s="118"/>
      <c r="XAT344" s="118"/>
      <c r="XAU344" s="118"/>
      <c r="XAV344" s="118"/>
      <c r="XAW344" s="118"/>
      <c r="XAX344" s="118"/>
      <c r="XAY344" s="118"/>
      <c r="XAZ344" s="118"/>
      <c r="XBA344" s="118"/>
      <c r="XBB344" s="118"/>
      <c r="XBC344" s="118"/>
      <c r="XBD344" s="118"/>
      <c r="XBE344" s="118"/>
      <c r="XBF344" s="118"/>
      <c r="XBG344" s="118"/>
      <c r="XBH344" s="118"/>
      <c r="XBI344" s="118"/>
      <c r="XBJ344" s="118"/>
      <c r="XBK344" s="118"/>
      <c r="XBL344" s="118"/>
      <c r="XBM344" s="118"/>
      <c r="XBN344" s="118"/>
      <c r="XBO344" s="118"/>
      <c r="XBP344" s="118"/>
      <c r="XBQ344" s="118"/>
      <c r="XBR344" s="118"/>
      <c r="XBS344" s="118"/>
      <c r="XBT344" s="118"/>
      <c r="XBU344" s="118"/>
      <c r="XBV344" s="118"/>
      <c r="XBW344" s="118"/>
      <c r="XBX344" s="118"/>
      <c r="XBY344" s="118"/>
      <c r="XBZ344" s="118"/>
      <c r="XCA344" s="118"/>
      <c r="XCB344" s="118"/>
      <c r="XCC344" s="118"/>
      <c r="XCD344" s="118"/>
      <c r="XCE344" s="118"/>
      <c r="XCF344" s="118"/>
      <c r="XCG344" s="118"/>
      <c r="XCH344" s="118"/>
      <c r="XCI344" s="118"/>
      <c r="XCJ344" s="118"/>
      <c r="XCK344" s="118"/>
      <c r="XCL344" s="118"/>
      <c r="XCM344" s="118"/>
      <c r="XCN344" s="118"/>
      <c r="XCO344" s="118"/>
      <c r="XCP344" s="118"/>
      <c r="XCQ344" s="118"/>
      <c r="XCR344" s="118"/>
      <c r="XCS344" s="118"/>
      <c r="XCT344" s="118"/>
      <c r="XCU344" s="118"/>
      <c r="XCV344" s="118"/>
      <c r="XCW344" s="118"/>
      <c r="XCX344" s="118"/>
      <c r="XCY344" s="118"/>
      <c r="XCZ344" s="118"/>
      <c r="XDA344" s="118"/>
      <c r="XDB344" s="118"/>
      <c r="XDC344" s="118"/>
      <c r="XDD344" s="118"/>
      <c r="XDE344" s="118"/>
      <c r="XDF344" s="118"/>
      <c r="XDG344" s="118"/>
      <c r="XDH344" s="118"/>
      <c r="XDI344" s="118"/>
      <c r="XDJ344" s="118"/>
      <c r="XDK344" s="118"/>
      <c r="XDL344" s="118"/>
      <c r="XDM344" s="118"/>
      <c r="XDN344" s="118"/>
      <c r="XDO344" s="118"/>
      <c r="XDP344" s="118"/>
      <c r="XDQ344" s="118"/>
      <c r="XDR344" s="118"/>
      <c r="XDS344" s="118"/>
      <c r="XDT344" s="118"/>
      <c r="XDU344" s="118"/>
      <c r="XDV344" s="118"/>
      <c r="XDW344" s="118"/>
      <c r="XDX344" s="118"/>
      <c r="XDY344" s="118"/>
      <c r="XDZ344" s="118"/>
      <c r="XEA344" s="118"/>
      <c r="XEB344" s="118"/>
      <c r="XEC344" s="118"/>
      <c r="XED344" s="118"/>
      <c r="XEE344" s="118"/>
      <c r="XEF344" s="118"/>
      <c r="XEG344" s="118"/>
      <c r="XEH344" s="118"/>
      <c r="XEI344" s="118"/>
      <c r="XEJ344" s="118"/>
      <c r="XEK344" s="118"/>
      <c r="XEL344" s="118"/>
      <c r="XEM344" s="118"/>
      <c r="XEN344" s="118"/>
      <c r="XEO344" s="118"/>
      <c r="XEP344" s="118"/>
      <c r="XEQ344" s="118"/>
      <c r="XER344" s="118"/>
      <c r="XES344" s="118"/>
      <c r="XET344" s="118"/>
      <c r="XEU344" s="118"/>
      <c r="XEV344" s="118"/>
      <c r="XEW344" s="118"/>
      <c r="XEX344" s="118"/>
      <c r="XEY344" s="118"/>
      <c r="XEZ344" s="118"/>
      <c r="XFA344" s="118"/>
      <c r="XFB344" s="118"/>
      <c r="XFC344" s="118"/>
      <c r="XFD344" s="118"/>
    </row>
    <row r="345" spans="1:37 16131:16384" ht="12.75" hidden="1" customHeight="1" x14ac:dyDescent="0.3">
      <c r="A345" s="116">
        <v>3040</v>
      </c>
      <c r="B345" s="20" t="s">
        <v>634</v>
      </c>
      <c r="C345" s="71" t="str">
        <f>IFERROR(VLOOKUP(D345,'Target tables'!A:B,2,0),"")</f>
        <v>Связь договора и банка</v>
      </c>
      <c r="D345" s="212" t="s">
        <v>144</v>
      </c>
      <c r="E345" s="73" t="str">
        <f>IFERROR(VLOOKUP(D345&amp;J345,'Target columns'!A:J,4,FALSE),"")</f>
        <v>date</v>
      </c>
      <c r="F345" s="73" t="str">
        <f>IFERROR(VLOOKUP(D345&amp;J345,'Target columns'!A:J,7,FALSE),"")</f>
        <v>No</v>
      </c>
      <c r="G345" s="73" t="str">
        <f>IFERROR(VLOOKUP(D345&amp;J345,'Target columns'!A:J,8,FALSE),"")</f>
        <v>No</v>
      </c>
      <c r="H345" s="73" t="str">
        <f>IFERROR(VLOOKUP(D345&amp;J345,'Target columns'!A:J,5,FALSE),"")</f>
        <v>NULL</v>
      </c>
      <c r="I345" s="73" t="str">
        <f>IFERROR(VLOOKUP(D345&amp;J345,'Target columns'!A:J,10,FALSE),"")</f>
        <v>Дата окончания действия</v>
      </c>
      <c r="J345" s="20" t="s">
        <v>331</v>
      </c>
      <c r="K345" s="20" t="s">
        <v>151</v>
      </c>
      <c r="L345" s="73" t="str">
        <f>IFERROR(VLOOKUP(K345&amp;N345,source_columns[[Seek]:[Описание поля]],4,0),"")</f>
        <v/>
      </c>
      <c r="M345" s="73" t="str">
        <f>IFERROR(VLOOKUP(K345&amp;N345,source_columns[[Seek]:[Описание поля]],7,0),"")</f>
        <v/>
      </c>
      <c r="N345" s="20" t="s">
        <v>603</v>
      </c>
      <c r="O345" s="20"/>
      <c r="P345" s="20"/>
      <c r="Q345" s="20"/>
      <c r="R345" s="20"/>
      <c r="S345" s="278"/>
      <c r="T345" s="71"/>
      <c r="U345" s="71"/>
      <c r="V345" s="73" t="str">
        <f>"n308000046_"&amp;IFERROR(VLOOKUP(D345,target_tables[],5,0),"&lt;not found&gt;")</f>
        <v>n308000046_agr_other_bank</v>
      </c>
      <c r="W345" s="71" t="s">
        <v>332</v>
      </c>
      <c r="X345" s="71"/>
      <c r="Y345" s="71"/>
      <c r="Z345" s="71"/>
      <c r="AA345" s="71"/>
      <c r="AB345" s="71"/>
      <c r="AC345" s="71"/>
      <c r="AD345" s="71"/>
      <c r="AE345" s="71"/>
      <c r="AF345" s="299"/>
      <c r="AG345" s="27"/>
      <c r="AH345" s="27"/>
      <c r="AI345" s="27"/>
      <c r="AJ345" s="75"/>
      <c r="AK345" s="69"/>
      <c r="WVK345" s="118"/>
      <c r="WVL345" s="118"/>
      <c r="WVM345" s="118"/>
      <c r="WVN345" s="118"/>
      <c r="WVO345" s="118"/>
      <c r="WVP345" s="118"/>
      <c r="WVQ345" s="118"/>
      <c r="WVR345" s="118"/>
      <c r="WVS345" s="118"/>
      <c r="WVT345" s="118"/>
      <c r="WVU345" s="118"/>
      <c r="WVV345" s="118"/>
      <c r="WVW345" s="118"/>
      <c r="WVX345" s="118"/>
      <c r="WVY345" s="118"/>
      <c r="WVZ345" s="118"/>
      <c r="WWA345" s="118"/>
      <c r="WWB345" s="118"/>
      <c r="WWC345" s="118"/>
      <c r="WWD345" s="118"/>
      <c r="WWE345" s="118"/>
      <c r="WWF345" s="118"/>
      <c r="WWG345" s="118"/>
      <c r="WWH345" s="118"/>
      <c r="WWI345" s="118"/>
      <c r="WWJ345" s="118"/>
      <c r="WWK345" s="118"/>
      <c r="WWL345" s="118"/>
      <c r="WWM345" s="118"/>
      <c r="WWN345" s="118"/>
      <c r="WWO345" s="118"/>
      <c r="WWP345" s="118"/>
      <c r="WWQ345" s="118"/>
      <c r="WWR345" s="118"/>
      <c r="WWS345" s="118"/>
      <c r="WWT345" s="118"/>
      <c r="WWU345" s="118"/>
      <c r="WWV345" s="118"/>
      <c r="WWW345" s="118"/>
      <c r="WWX345" s="118"/>
      <c r="WWY345" s="118"/>
      <c r="WWZ345" s="118"/>
      <c r="WXA345" s="118"/>
      <c r="WXB345" s="118"/>
      <c r="WXC345" s="118"/>
      <c r="WXD345" s="118"/>
      <c r="WXE345" s="118"/>
      <c r="WXF345" s="118"/>
      <c r="WXG345" s="118"/>
      <c r="WXH345" s="118"/>
      <c r="WXI345" s="118"/>
      <c r="WXJ345" s="118"/>
      <c r="WXK345" s="118"/>
      <c r="WXL345" s="118"/>
      <c r="WXM345" s="118"/>
      <c r="WXN345" s="118"/>
      <c r="WXO345" s="118"/>
      <c r="WXP345" s="118"/>
      <c r="WXQ345" s="118"/>
      <c r="WXR345" s="118"/>
      <c r="WXS345" s="118"/>
      <c r="WXT345" s="118"/>
      <c r="WXU345" s="118"/>
      <c r="WXV345" s="118"/>
      <c r="WXW345" s="118"/>
      <c r="WXX345" s="118"/>
      <c r="WXY345" s="118"/>
      <c r="WXZ345" s="118"/>
      <c r="WYA345" s="118"/>
      <c r="WYB345" s="118"/>
      <c r="WYC345" s="118"/>
      <c r="WYD345" s="118"/>
      <c r="WYE345" s="118"/>
      <c r="WYF345" s="118"/>
      <c r="WYG345" s="118"/>
      <c r="WYH345" s="118"/>
      <c r="WYI345" s="118"/>
      <c r="WYJ345" s="118"/>
      <c r="WYK345" s="118"/>
      <c r="WYL345" s="118"/>
      <c r="WYM345" s="118"/>
      <c r="WYN345" s="118"/>
      <c r="WYO345" s="118"/>
      <c r="WYP345" s="118"/>
      <c r="WYQ345" s="118"/>
      <c r="WYR345" s="118"/>
      <c r="WYS345" s="118"/>
      <c r="WYT345" s="118"/>
      <c r="WYU345" s="118"/>
      <c r="WYV345" s="118"/>
      <c r="WYW345" s="118"/>
      <c r="WYX345" s="118"/>
      <c r="WYY345" s="118"/>
      <c r="WYZ345" s="118"/>
      <c r="WZA345" s="118"/>
      <c r="WZB345" s="118"/>
      <c r="WZC345" s="118"/>
      <c r="WZD345" s="118"/>
      <c r="WZE345" s="118"/>
      <c r="WZF345" s="118"/>
      <c r="WZG345" s="118"/>
      <c r="WZH345" s="118"/>
      <c r="WZI345" s="118"/>
      <c r="WZJ345" s="118"/>
      <c r="WZK345" s="118"/>
      <c r="WZL345" s="118"/>
      <c r="WZM345" s="118"/>
      <c r="WZN345" s="118"/>
      <c r="WZO345" s="118"/>
      <c r="WZP345" s="118"/>
      <c r="WZQ345" s="118"/>
      <c r="WZR345" s="118"/>
      <c r="WZS345" s="118"/>
      <c r="WZT345" s="118"/>
      <c r="WZU345" s="118"/>
      <c r="WZV345" s="118"/>
      <c r="WZW345" s="118"/>
      <c r="WZX345" s="118"/>
      <c r="WZY345" s="118"/>
      <c r="WZZ345" s="118"/>
      <c r="XAA345" s="118"/>
      <c r="XAB345" s="118"/>
      <c r="XAC345" s="118"/>
      <c r="XAD345" s="118"/>
      <c r="XAE345" s="118"/>
      <c r="XAF345" s="118"/>
      <c r="XAG345" s="118"/>
      <c r="XAH345" s="118"/>
      <c r="XAI345" s="118"/>
      <c r="XAJ345" s="118"/>
      <c r="XAK345" s="118"/>
      <c r="XAL345" s="118"/>
      <c r="XAM345" s="118"/>
      <c r="XAN345" s="118"/>
      <c r="XAO345" s="118"/>
      <c r="XAP345" s="118"/>
      <c r="XAQ345" s="118"/>
      <c r="XAR345" s="118"/>
      <c r="XAS345" s="118"/>
      <c r="XAT345" s="118"/>
      <c r="XAU345" s="118"/>
      <c r="XAV345" s="118"/>
      <c r="XAW345" s="118"/>
      <c r="XAX345" s="118"/>
      <c r="XAY345" s="118"/>
      <c r="XAZ345" s="118"/>
      <c r="XBA345" s="118"/>
      <c r="XBB345" s="118"/>
      <c r="XBC345" s="118"/>
      <c r="XBD345" s="118"/>
      <c r="XBE345" s="118"/>
      <c r="XBF345" s="118"/>
      <c r="XBG345" s="118"/>
      <c r="XBH345" s="118"/>
      <c r="XBI345" s="118"/>
      <c r="XBJ345" s="118"/>
      <c r="XBK345" s="118"/>
      <c r="XBL345" s="118"/>
      <c r="XBM345" s="118"/>
      <c r="XBN345" s="118"/>
      <c r="XBO345" s="118"/>
      <c r="XBP345" s="118"/>
      <c r="XBQ345" s="118"/>
      <c r="XBR345" s="118"/>
      <c r="XBS345" s="118"/>
      <c r="XBT345" s="118"/>
      <c r="XBU345" s="118"/>
      <c r="XBV345" s="118"/>
      <c r="XBW345" s="118"/>
      <c r="XBX345" s="118"/>
      <c r="XBY345" s="118"/>
      <c r="XBZ345" s="118"/>
      <c r="XCA345" s="118"/>
      <c r="XCB345" s="118"/>
      <c r="XCC345" s="118"/>
      <c r="XCD345" s="118"/>
      <c r="XCE345" s="118"/>
      <c r="XCF345" s="118"/>
      <c r="XCG345" s="118"/>
      <c r="XCH345" s="118"/>
      <c r="XCI345" s="118"/>
      <c r="XCJ345" s="118"/>
      <c r="XCK345" s="118"/>
      <c r="XCL345" s="118"/>
      <c r="XCM345" s="118"/>
      <c r="XCN345" s="118"/>
      <c r="XCO345" s="118"/>
      <c r="XCP345" s="118"/>
      <c r="XCQ345" s="118"/>
      <c r="XCR345" s="118"/>
      <c r="XCS345" s="118"/>
      <c r="XCT345" s="118"/>
      <c r="XCU345" s="118"/>
      <c r="XCV345" s="118"/>
      <c r="XCW345" s="118"/>
      <c r="XCX345" s="118"/>
      <c r="XCY345" s="118"/>
      <c r="XCZ345" s="118"/>
      <c r="XDA345" s="118"/>
      <c r="XDB345" s="118"/>
      <c r="XDC345" s="118"/>
      <c r="XDD345" s="118"/>
      <c r="XDE345" s="118"/>
      <c r="XDF345" s="118"/>
      <c r="XDG345" s="118"/>
      <c r="XDH345" s="118"/>
      <c r="XDI345" s="118"/>
      <c r="XDJ345" s="118"/>
      <c r="XDK345" s="118"/>
      <c r="XDL345" s="118"/>
      <c r="XDM345" s="118"/>
      <c r="XDN345" s="118"/>
      <c r="XDO345" s="118"/>
      <c r="XDP345" s="118"/>
      <c r="XDQ345" s="118"/>
      <c r="XDR345" s="118"/>
      <c r="XDS345" s="118"/>
      <c r="XDT345" s="118"/>
      <c r="XDU345" s="118"/>
      <c r="XDV345" s="118"/>
      <c r="XDW345" s="118"/>
      <c r="XDX345" s="118"/>
      <c r="XDY345" s="118"/>
      <c r="XDZ345" s="118"/>
      <c r="XEA345" s="118"/>
      <c r="XEB345" s="118"/>
      <c r="XEC345" s="118"/>
      <c r="XED345" s="118"/>
      <c r="XEE345" s="118"/>
      <c r="XEF345" s="118"/>
      <c r="XEG345" s="118"/>
      <c r="XEH345" s="118"/>
      <c r="XEI345" s="118"/>
      <c r="XEJ345" s="118"/>
      <c r="XEK345" s="118"/>
      <c r="XEL345" s="118"/>
      <c r="XEM345" s="118"/>
      <c r="XEN345" s="118"/>
      <c r="XEO345" s="118"/>
      <c r="XEP345" s="118"/>
      <c r="XEQ345" s="118"/>
      <c r="XER345" s="118"/>
      <c r="XES345" s="118"/>
      <c r="XET345" s="118"/>
      <c r="XEU345" s="118"/>
      <c r="XEV345" s="118"/>
      <c r="XEW345" s="118"/>
      <c r="XEX345" s="118"/>
      <c r="XEY345" s="118"/>
      <c r="XEZ345" s="118"/>
      <c r="XFA345" s="118"/>
      <c r="XFB345" s="118"/>
      <c r="XFC345" s="118"/>
      <c r="XFD345" s="118"/>
    </row>
    <row r="346" spans="1:37 16131:16384" ht="12.75" hidden="1" customHeight="1" x14ac:dyDescent="0.3">
      <c r="A346" s="114">
        <v>3050</v>
      </c>
      <c r="B346" s="113" t="s">
        <v>634</v>
      </c>
      <c r="C346" s="82" t="str">
        <f>IFERROR(VLOOKUP(D346,'Target tables'!A:B,2,0),"")</f>
        <v>Связь договора и банка</v>
      </c>
      <c r="D346" s="208" t="s">
        <v>144</v>
      </c>
      <c r="E346" s="78" t="str">
        <f>IFERROR(VLOOKUP(D346&amp;J346,'Target columns'!A:J,4,FALSE),"")</f>
        <v>uuid</v>
      </c>
      <c r="F346" s="78" t="str">
        <f>IFERROR(VLOOKUP(D346&amp;J346,'Target columns'!A:J,7,FALSE),"")</f>
        <v>Yes</v>
      </c>
      <c r="G346" s="78" t="str">
        <f>IFERROR(VLOOKUP(D346&amp;J346,'Target columns'!A:J,8,FALSE),"")</f>
        <v>Yes</v>
      </c>
      <c r="H346" s="78" t="str">
        <f>IFERROR(VLOOKUP(D346&amp;J346,'Target columns'!A:J,5,FALSE),"")</f>
        <v>NULL</v>
      </c>
      <c r="I346" s="78" t="str">
        <f>IFERROR(VLOOKUP(D346&amp;J346,'Target columns'!A:J,10,FALSE),"")</f>
        <v>Идентификатор договора</v>
      </c>
      <c r="J346" s="23" t="s">
        <v>589</v>
      </c>
      <c r="K346" s="23" t="s">
        <v>151</v>
      </c>
      <c r="L346" s="78" t="str">
        <f>IFERROR(VLOOKUP(K346&amp;N346,source_columns[[Seek]:[Описание поля]],4,0),"")</f>
        <v>uuid</v>
      </c>
      <c r="M346" s="78" t="str">
        <f>IFERROR(VLOOKUP(K346&amp;N346,source_columns[[Seek]:[Описание поля]],7,0),"")</f>
        <v>Референс сделки</v>
      </c>
      <c r="N346" s="23" t="s">
        <v>496</v>
      </c>
      <c r="O346" s="23"/>
      <c r="P346" s="113"/>
      <c r="Q346" s="113"/>
      <c r="R346" s="113"/>
      <c r="S346" s="278" t="s">
        <v>641</v>
      </c>
      <c r="T346" s="82"/>
      <c r="U346" s="82"/>
      <c r="V346" s="84" t="str">
        <f>"n308000046_"&amp;IFERROR(VLOOKUP(D346,target_tables[],5,0),"&lt;not found&gt;")</f>
        <v>n308000046_agr_other_bank</v>
      </c>
      <c r="W346" s="82" t="s">
        <v>269</v>
      </c>
      <c r="X346" s="82"/>
      <c r="Y346" s="82"/>
      <c r="Z346" s="82"/>
      <c r="AA346" s="82"/>
      <c r="AB346" s="82"/>
      <c r="AC346" s="82"/>
      <c r="AD346" s="82"/>
      <c r="AE346" s="82"/>
      <c r="AF346" s="299" t="s">
        <v>342</v>
      </c>
      <c r="AG346" s="83"/>
      <c r="AH346" s="83"/>
      <c r="AI346" s="83"/>
      <c r="AJ346" s="91"/>
      <c r="AK346" s="69"/>
      <c r="WVK346" s="118"/>
      <c r="WVL346" s="118"/>
      <c r="WVM346" s="118"/>
      <c r="WVN346" s="118"/>
      <c r="WVO346" s="118"/>
      <c r="WVP346" s="118"/>
      <c r="WVQ346" s="118"/>
      <c r="WVR346" s="118"/>
      <c r="WVS346" s="118"/>
      <c r="WVT346" s="118"/>
      <c r="WVU346" s="118"/>
      <c r="WVV346" s="118"/>
      <c r="WVW346" s="118"/>
      <c r="WVX346" s="118"/>
      <c r="WVY346" s="118"/>
      <c r="WVZ346" s="118"/>
      <c r="WWA346" s="118"/>
      <c r="WWB346" s="118"/>
      <c r="WWC346" s="118"/>
      <c r="WWD346" s="118"/>
      <c r="WWE346" s="118"/>
      <c r="WWF346" s="118"/>
      <c r="WWG346" s="118"/>
      <c r="WWH346" s="118"/>
      <c r="WWI346" s="118"/>
      <c r="WWJ346" s="118"/>
      <c r="WWK346" s="118"/>
      <c r="WWL346" s="118"/>
      <c r="WWM346" s="118"/>
      <c r="WWN346" s="118"/>
      <c r="WWO346" s="118"/>
      <c r="WWP346" s="118"/>
      <c r="WWQ346" s="118"/>
      <c r="WWR346" s="118"/>
      <c r="WWS346" s="118"/>
      <c r="WWT346" s="118"/>
      <c r="WWU346" s="118"/>
      <c r="WWV346" s="118"/>
      <c r="WWW346" s="118"/>
      <c r="WWX346" s="118"/>
      <c r="WWY346" s="118"/>
      <c r="WWZ346" s="118"/>
      <c r="WXA346" s="118"/>
      <c r="WXB346" s="118"/>
      <c r="WXC346" s="118"/>
      <c r="WXD346" s="118"/>
      <c r="WXE346" s="118"/>
      <c r="WXF346" s="118"/>
      <c r="WXG346" s="118"/>
      <c r="WXH346" s="118"/>
      <c r="WXI346" s="118"/>
      <c r="WXJ346" s="118"/>
      <c r="WXK346" s="118"/>
      <c r="WXL346" s="118"/>
      <c r="WXM346" s="118"/>
      <c r="WXN346" s="118"/>
      <c r="WXO346" s="118"/>
      <c r="WXP346" s="118"/>
      <c r="WXQ346" s="118"/>
      <c r="WXR346" s="118"/>
      <c r="WXS346" s="118"/>
      <c r="WXT346" s="118"/>
      <c r="WXU346" s="118"/>
      <c r="WXV346" s="118"/>
      <c r="WXW346" s="118"/>
      <c r="WXX346" s="118"/>
      <c r="WXY346" s="118"/>
      <c r="WXZ346" s="118"/>
      <c r="WYA346" s="118"/>
      <c r="WYB346" s="118"/>
      <c r="WYC346" s="118"/>
      <c r="WYD346" s="118"/>
      <c r="WYE346" s="118"/>
      <c r="WYF346" s="118"/>
      <c r="WYG346" s="118"/>
      <c r="WYH346" s="118"/>
      <c r="WYI346" s="118"/>
      <c r="WYJ346" s="118"/>
      <c r="WYK346" s="118"/>
      <c r="WYL346" s="118"/>
      <c r="WYM346" s="118"/>
      <c r="WYN346" s="118"/>
      <c r="WYO346" s="118"/>
      <c r="WYP346" s="118"/>
      <c r="WYQ346" s="118"/>
      <c r="WYR346" s="118"/>
      <c r="WYS346" s="118"/>
      <c r="WYT346" s="118"/>
      <c r="WYU346" s="118"/>
      <c r="WYV346" s="118"/>
      <c r="WYW346" s="118"/>
      <c r="WYX346" s="118"/>
      <c r="WYY346" s="118"/>
      <c r="WYZ346" s="118"/>
      <c r="WZA346" s="118"/>
      <c r="WZB346" s="118"/>
      <c r="WZC346" s="118"/>
      <c r="WZD346" s="118"/>
      <c r="WZE346" s="118"/>
      <c r="WZF346" s="118"/>
      <c r="WZG346" s="118"/>
      <c r="WZH346" s="118"/>
      <c r="WZI346" s="118"/>
      <c r="WZJ346" s="118"/>
      <c r="WZK346" s="118"/>
      <c r="WZL346" s="118"/>
      <c r="WZM346" s="118"/>
      <c r="WZN346" s="118"/>
      <c r="WZO346" s="118"/>
      <c r="WZP346" s="118"/>
      <c r="WZQ346" s="118"/>
      <c r="WZR346" s="118"/>
      <c r="WZS346" s="118"/>
      <c r="WZT346" s="118"/>
      <c r="WZU346" s="118"/>
      <c r="WZV346" s="118"/>
      <c r="WZW346" s="118"/>
      <c r="WZX346" s="118"/>
      <c r="WZY346" s="118"/>
      <c r="WZZ346" s="118"/>
      <c r="XAA346" s="118"/>
      <c r="XAB346" s="118"/>
      <c r="XAC346" s="118"/>
      <c r="XAD346" s="118"/>
      <c r="XAE346" s="118"/>
      <c r="XAF346" s="118"/>
      <c r="XAG346" s="118"/>
      <c r="XAH346" s="118"/>
      <c r="XAI346" s="118"/>
      <c r="XAJ346" s="118"/>
      <c r="XAK346" s="118"/>
      <c r="XAL346" s="118"/>
      <c r="XAM346" s="118"/>
      <c r="XAN346" s="118"/>
      <c r="XAO346" s="118"/>
      <c r="XAP346" s="118"/>
      <c r="XAQ346" s="118"/>
      <c r="XAR346" s="118"/>
      <c r="XAS346" s="118"/>
      <c r="XAT346" s="118"/>
      <c r="XAU346" s="118"/>
      <c r="XAV346" s="118"/>
      <c r="XAW346" s="118"/>
      <c r="XAX346" s="118"/>
      <c r="XAY346" s="118"/>
      <c r="XAZ346" s="118"/>
      <c r="XBA346" s="118"/>
      <c r="XBB346" s="118"/>
      <c r="XBC346" s="118"/>
      <c r="XBD346" s="118"/>
      <c r="XBE346" s="118"/>
      <c r="XBF346" s="118"/>
      <c r="XBG346" s="118"/>
      <c r="XBH346" s="118"/>
      <c r="XBI346" s="118"/>
      <c r="XBJ346" s="118"/>
      <c r="XBK346" s="118"/>
      <c r="XBL346" s="118"/>
      <c r="XBM346" s="118"/>
      <c r="XBN346" s="118"/>
      <c r="XBO346" s="118"/>
      <c r="XBP346" s="118"/>
      <c r="XBQ346" s="118"/>
      <c r="XBR346" s="118"/>
      <c r="XBS346" s="118"/>
      <c r="XBT346" s="118"/>
      <c r="XBU346" s="118"/>
      <c r="XBV346" s="118"/>
      <c r="XBW346" s="118"/>
      <c r="XBX346" s="118"/>
      <c r="XBY346" s="118"/>
      <c r="XBZ346" s="118"/>
      <c r="XCA346" s="118"/>
      <c r="XCB346" s="118"/>
      <c r="XCC346" s="118"/>
      <c r="XCD346" s="118"/>
      <c r="XCE346" s="118"/>
      <c r="XCF346" s="118"/>
      <c r="XCG346" s="118"/>
      <c r="XCH346" s="118"/>
      <c r="XCI346" s="118"/>
      <c r="XCJ346" s="118"/>
      <c r="XCK346" s="118"/>
      <c r="XCL346" s="118"/>
      <c r="XCM346" s="118"/>
      <c r="XCN346" s="118"/>
      <c r="XCO346" s="118"/>
      <c r="XCP346" s="118"/>
      <c r="XCQ346" s="118"/>
      <c r="XCR346" s="118"/>
      <c r="XCS346" s="118"/>
      <c r="XCT346" s="118"/>
      <c r="XCU346" s="118"/>
      <c r="XCV346" s="118"/>
      <c r="XCW346" s="118"/>
      <c r="XCX346" s="118"/>
      <c r="XCY346" s="118"/>
      <c r="XCZ346" s="118"/>
      <c r="XDA346" s="118"/>
      <c r="XDB346" s="118"/>
      <c r="XDC346" s="118"/>
      <c r="XDD346" s="118"/>
      <c r="XDE346" s="118"/>
      <c r="XDF346" s="118"/>
      <c r="XDG346" s="118"/>
      <c r="XDH346" s="118"/>
      <c r="XDI346" s="118"/>
      <c r="XDJ346" s="118"/>
      <c r="XDK346" s="118"/>
      <c r="XDL346" s="118"/>
      <c r="XDM346" s="118"/>
      <c r="XDN346" s="118"/>
      <c r="XDO346" s="118"/>
      <c r="XDP346" s="118"/>
      <c r="XDQ346" s="118"/>
      <c r="XDR346" s="118"/>
      <c r="XDS346" s="118"/>
      <c r="XDT346" s="118"/>
      <c r="XDU346" s="118"/>
      <c r="XDV346" s="118"/>
      <c r="XDW346" s="118"/>
      <c r="XDX346" s="118"/>
      <c r="XDY346" s="118"/>
      <c r="XDZ346" s="118"/>
      <c r="XEA346" s="118"/>
      <c r="XEB346" s="118"/>
      <c r="XEC346" s="118"/>
      <c r="XED346" s="118"/>
      <c r="XEE346" s="118"/>
      <c r="XEF346" s="118"/>
      <c r="XEG346" s="118"/>
      <c r="XEH346" s="118"/>
      <c r="XEI346" s="118"/>
      <c r="XEJ346" s="118"/>
      <c r="XEK346" s="118"/>
      <c r="XEL346" s="118"/>
      <c r="XEM346" s="118"/>
      <c r="XEN346" s="118"/>
      <c r="XEO346" s="118"/>
      <c r="XEP346" s="118"/>
      <c r="XEQ346" s="118"/>
      <c r="XER346" s="118"/>
      <c r="XES346" s="118"/>
      <c r="XET346" s="118"/>
      <c r="XEU346" s="118"/>
      <c r="XEV346" s="118"/>
      <c r="XEW346" s="118"/>
      <c r="XEX346" s="118"/>
      <c r="XEY346" s="118"/>
      <c r="XEZ346" s="118"/>
      <c r="XFA346" s="118"/>
      <c r="XFB346" s="118"/>
      <c r="XFC346" s="118"/>
      <c r="XFD346" s="118"/>
    </row>
    <row r="347" spans="1:37 16131:16384" ht="12.75" hidden="1" customHeight="1" x14ac:dyDescent="0.3">
      <c r="A347" s="115">
        <v>3060</v>
      </c>
      <c r="B347" s="8" t="s">
        <v>634</v>
      </c>
      <c r="C347" s="65" t="str">
        <f>IFERROR(VLOOKUP(D347,'Target tables'!A:B,2,0),"")</f>
        <v>Связь договора и банка</v>
      </c>
      <c r="D347" s="211" t="s">
        <v>144</v>
      </c>
      <c r="E347" s="66" t="str">
        <f>IFERROR(VLOOKUP(D347&amp;J347,'Target columns'!A:J,4,FALSE),"")</f>
        <v>date</v>
      </c>
      <c r="F347" s="66" t="str">
        <f>IFERROR(VLOOKUP(D347&amp;J347,'Target columns'!A:J,7,FALSE),"")</f>
        <v>Yes</v>
      </c>
      <c r="G347" s="66" t="str">
        <f>IFERROR(VLOOKUP(D347&amp;J347,'Target columns'!A:J,8,FALSE),"")</f>
        <v>No</v>
      </c>
      <c r="H347" s="66" t="str">
        <f>IFERROR(VLOOKUP(D347&amp;J347,'Target columns'!A:J,5,FALSE),"")</f>
        <v>NOT NULL</v>
      </c>
      <c r="I347" s="66" t="str">
        <f>IFERROR(VLOOKUP(D347&amp;J347,'Target columns'!A:J,10,FALSE),"")</f>
        <v>Дата начала действия</v>
      </c>
      <c r="J347" s="8" t="s">
        <v>329</v>
      </c>
      <c r="K347" s="8" t="s">
        <v>151</v>
      </c>
      <c r="L347" s="66" t="str">
        <f>IFERROR(VLOOKUP(K347&amp;N347,source_columns[[Seek]:[Описание поля]],4,0),"")</f>
        <v>timestamp</v>
      </c>
      <c r="M347" s="66" t="str">
        <f>IFERROR(VLOOKUP(K347&amp;N347,source_columns[[Seek]:[Описание поля]],7,0),"")</f>
        <v>Дата и время последнего изменения</v>
      </c>
      <c r="N347" s="8" t="s">
        <v>517</v>
      </c>
      <c r="O347" s="8"/>
      <c r="P347" s="8"/>
      <c r="Q347" s="8"/>
      <c r="R347" s="8"/>
      <c r="S347" s="278"/>
      <c r="T347" s="65"/>
      <c r="U347" s="65"/>
      <c r="V347" s="66" t="str">
        <f>"n308000046_"&amp;IFERROR(VLOOKUP(D347,target_tables[],5,0),"&lt;not found&gt;")</f>
        <v>n308000046_agr_other_bank</v>
      </c>
      <c r="W347" s="65" t="s">
        <v>330</v>
      </c>
      <c r="X347" s="65"/>
      <c r="Y347" s="65"/>
      <c r="Z347" s="65"/>
      <c r="AA347" s="65"/>
      <c r="AB347" s="65"/>
      <c r="AC347" s="65"/>
      <c r="AD347" s="65"/>
      <c r="AE347" s="65"/>
      <c r="AF347" s="299"/>
      <c r="AG347" s="10"/>
      <c r="AH347" s="10"/>
      <c r="AI347" s="10"/>
      <c r="AJ347" s="68"/>
      <c r="AK347" s="69"/>
      <c r="WVK347" s="118"/>
      <c r="WVL347" s="118"/>
      <c r="WVM347" s="118"/>
      <c r="WVN347" s="118"/>
      <c r="WVO347" s="118"/>
      <c r="WVP347" s="118"/>
      <c r="WVQ347" s="118"/>
      <c r="WVR347" s="118"/>
      <c r="WVS347" s="118"/>
      <c r="WVT347" s="118"/>
      <c r="WVU347" s="118"/>
      <c r="WVV347" s="118"/>
      <c r="WVW347" s="118"/>
      <c r="WVX347" s="118"/>
      <c r="WVY347" s="118"/>
      <c r="WVZ347" s="118"/>
      <c r="WWA347" s="118"/>
      <c r="WWB347" s="118"/>
      <c r="WWC347" s="118"/>
      <c r="WWD347" s="118"/>
      <c r="WWE347" s="118"/>
      <c r="WWF347" s="118"/>
      <c r="WWG347" s="118"/>
      <c r="WWH347" s="118"/>
      <c r="WWI347" s="118"/>
      <c r="WWJ347" s="118"/>
      <c r="WWK347" s="118"/>
      <c r="WWL347" s="118"/>
      <c r="WWM347" s="118"/>
      <c r="WWN347" s="118"/>
      <c r="WWO347" s="118"/>
      <c r="WWP347" s="118"/>
      <c r="WWQ347" s="118"/>
      <c r="WWR347" s="118"/>
      <c r="WWS347" s="118"/>
      <c r="WWT347" s="118"/>
      <c r="WWU347" s="118"/>
      <c r="WWV347" s="118"/>
      <c r="WWW347" s="118"/>
      <c r="WWX347" s="118"/>
      <c r="WWY347" s="118"/>
      <c r="WWZ347" s="118"/>
      <c r="WXA347" s="118"/>
      <c r="WXB347" s="118"/>
      <c r="WXC347" s="118"/>
      <c r="WXD347" s="118"/>
      <c r="WXE347" s="118"/>
      <c r="WXF347" s="118"/>
      <c r="WXG347" s="118"/>
      <c r="WXH347" s="118"/>
      <c r="WXI347" s="118"/>
      <c r="WXJ347" s="118"/>
      <c r="WXK347" s="118"/>
      <c r="WXL347" s="118"/>
      <c r="WXM347" s="118"/>
      <c r="WXN347" s="118"/>
      <c r="WXO347" s="118"/>
      <c r="WXP347" s="118"/>
      <c r="WXQ347" s="118"/>
      <c r="WXR347" s="118"/>
      <c r="WXS347" s="118"/>
      <c r="WXT347" s="118"/>
      <c r="WXU347" s="118"/>
      <c r="WXV347" s="118"/>
      <c r="WXW347" s="118"/>
      <c r="WXX347" s="118"/>
      <c r="WXY347" s="118"/>
      <c r="WXZ347" s="118"/>
      <c r="WYA347" s="118"/>
      <c r="WYB347" s="118"/>
      <c r="WYC347" s="118"/>
      <c r="WYD347" s="118"/>
      <c r="WYE347" s="118"/>
      <c r="WYF347" s="118"/>
      <c r="WYG347" s="118"/>
      <c r="WYH347" s="118"/>
      <c r="WYI347" s="118"/>
      <c r="WYJ347" s="118"/>
      <c r="WYK347" s="118"/>
      <c r="WYL347" s="118"/>
      <c r="WYM347" s="118"/>
      <c r="WYN347" s="118"/>
      <c r="WYO347" s="118"/>
      <c r="WYP347" s="118"/>
      <c r="WYQ347" s="118"/>
      <c r="WYR347" s="118"/>
      <c r="WYS347" s="118"/>
      <c r="WYT347" s="118"/>
      <c r="WYU347" s="118"/>
      <c r="WYV347" s="118"/>
      <c r="WYW347" s="118"/>
      <c r="WYX347" s="118"/>
      <c r="WYY347" s="118"/>
      <c r="WYZ347" s="118"/>
      <c r="WZA347" s="118"/>
      <c r="WZB347" s="118"/>
      <c r="WZC347" s="118"/>
      <c r="WZD347" s="118"/>
      <c r="WZE347" s="118"/>
      <c r="WZF347" s="118"/>
      <c r="WZG347" s="118"/>
      <c r="WZH347" s="118"/>
      <c r="WZI347" s="118"/>
      <c r="WZJ347" s="118"/>
      <c r="WZK347" s="118"/>
      <c r="WZL347" s="118"/>
      <c r="WZM347" s="118"/>
      <c r="WZN347" s="118"/>
      <c r="WZO347" s="118"/>
      <c r="WZP347" s="118"/>
      <c r="WZQ347" s="118"/>
      <c r="WZR347" s="118"/>
      <c r="WZS347" s="118"/>
      <c r="WZT347" s="118"/>
      <c r="WZU347" s="118"/>
      <c r="WZV347" s="118"/>
      <c r="WZW347" s="118"/>
      <c r="WZX347" s="118"/>
      <c r="WZY347" s="118"/>
      <c r="WZZ347" s="118"/>
      <c r="XAA347" s="118"/>
      <c r="XAB347" s="118"/>
      <c r="XAC347" s="118"/>
      <c r="XAD347" s="118"/>
      <c r="XAE347" s="118"/>
      <c r="XAF347" s="118"/>
      <c r="XAG347" s="118"/>
      <c r="XAH347" s="118"/>
      <c r="XAI347" s="118"/>
      <c r="XAJ347" s="118"/>
      <c r="XAK347" s="118"/>
      <c r="XAL347" s="118"/>
      <c r="XAM347" s="118"/>
      <c r="XAN347" s="118"/>
      <c r="XAO347" s="118"/>
      <c r="XAP347" s="118"/>
      <c r="XAQ347" s="118"/>
      <c r="XAR347" s="118"/>
      <c r="XAS347" s="118"/>
      <c r="XAT347" s="118"/>
      <c r="XAU347" s="118"/>
      <c r="XAV347" s="118"/>
      <c r="XAW347" s="118"/>
      <c r="XAX347" s="118"/>
      <c r="XAY347" s="118"/>
      <c r="XAZ347" s="118"/>
      <c r="XBA347" s="118"/>
      <c r="XBB347" s="118"/>
      <c r="XBC347" s="118"/>
      <c r="XBD347" s="118"/>
      <c r="XBE347" s="118"/>
      <c r="XBF347" s="118"/>
      <c r="XBG347" s="118"/>
      <c r="XBH347" s="118"/>
      <c r="XBI347" s="118"/>
      <c r="XBJ347" s="118"/>
      <c r="XBK347" s="118"/>
      <c r="XBL347" s="118"/>
      <c r="XBM347" s="118"/>
      <c r="XBN347" s="118"/>
      <c r="XBO347" s="118"/>
      <c r="XBP347" s="118"/>
      <c r="XBQ347" s="118"/>
      <c r="XBR347" s="118"/>
      <c r="XBS347" s="118"/>
      <c r="XBT347" s="118"/>
      <c r="XBU347" s="118"/>
      <c r="XBV347" s="118"/>
      <c r="XBW347" s="118"/>
      <c r="XBX347" s="118"/>
      <c r="XBY347" s="118"/>
      <c r="XBZ347" s="118"/>
      <c r="XCA347" s="118"/>
      <c r="XCB347" s="118"/>
      <c r="XCC347" s="118"/>
      <c r="XCD347" s="118"/>
      <c r="XCE347" s="118"/>
      <c r="XCF347" s="118"/>
      <c r="XCG347" s="118"/>
      <c r="XCH347" s="118"/>
      <c r="XCI347" s="118"/>
      <c r="XCJ347" s="118"/>
      <c r="XCK347" s="118"/>
      <c r="XCL347" s="118"/>
      <c r="XCM347" s="118"/>
      <c r="XCN347" s="118"/>
      <c r="XCO347" s="118"/>
      <c r="XCP347" s="118"/>
      <c r="XCQ347" s="118"/>
      <c r="XCR347" s="118"/>
      <c r="XCS347" s="118"/>
      <c r="XCT347" s="118"/>
      <c r="XCU347" s="118"/>
      <c r="XCV347" s="118"/>
      <c r="XCW347" s="118"/>
      <c r="XCX347" s="118"/>
      <c r="XCY347" s="118"/>
      <c r="XCZ347" s="118"/>
      <c r="XDA347" s="118"/>
      <c r="XDB347" s="118"/>
      <c r="XDC347" s="118"/>
      <c r="XDD347" s="118"/>
      <c r="XDE347" s="118"/>
      <c r="XDF347" s="118"/>
      <c r="XDG347" s="118"/>
      <c r="XDH347" s="118"/>
      <c r="XDI347" s="118"/>
      <c r="XDJ347" s="118"/>
      <c r="XDK347" s="118"/>
      <c r="XDL347" s="118"/>
      <c r="XDM347" s="118"/>
      <c r="XDN347" s="118"/>
      <c r="XDO347" s="118"/>
      <c r="XDP347" s="118"/>
      <c r="XDQ347" s="118"/>
      <c r="XDR347" s="118"/>
      <c r="XDS347" s="118"/>
      <c r="XDT347" s="118"/>
      <c r="XDU347" s="118"/>
      <c r="XDV347" s="118"/>
      <c r="XDW347" s="118"/>
      <c r="XDX347" s="118"/>
      <c r="XDY347" s="118"/>
      <c r="XDZ347" s="118"/>
      <c r="XEA347" s="118"/>
      <c r="XEB347" s="118"/>
      <c r="XEC347" s="118"/>
      <c r="XED347" s="118"/>
      <c r="XEE347" s="118"/>
      <c r="XEF347" s="118"/>
      <c r="XEG347" s="118"/>
      <c r="XEH347" s="118"/>
      <c r="XEI347" s="118"/>
      <c r="XEJ347" s="118"/>
      <c r="XEK347" s="118"/>
      <c r="XEL347" s="118"/>
      <c r="XEM347" s="118"/>
      <c r="XEN347" s="118"/>
      <c r="XEO347" s="118"/>
      <c r="XEP347" s="118"/>
      <c r="XEQ347" s="118"/>
      <c r="XER347" s="118"/>
      <c r="XES347" s="118"/>
      <c r="XET347" s="118"/>
      <c r="XEU347" s="118"/>
      <c r="XEV347" s="118"/>
      <c r="XEW347" s="118"/>
      <c r="XEX347" s="118"/>
      <c r="XEY347" s="118"/>
      <c r="XEZ347" s="118"/>
      <c r="XFA347" s="118"/>
      <c r="XFB347" s="118"/>
      <c r="XFC347" s="118"/>
      <c r="XFD347" s="118"/>
    </row>
    <row r="348" spans="1:37 16131:16384" ht="12.75" hidden="1" customHeight="1" x14ac:dyDescent="0.3">
      <c r="A348" s="115">
        <v>3070</v>
      </c>
      <c r="B348" s="8" t="s">
        <v>634</v>
      </c>
      <c r="C348" s="65" t="str">
        <f>IFERROR(VLOOKUP(D348,'Target tables'!A:B,2,0),"")</f>
        <v>Связь договора и банка</v>
      </c>
      <c r="D348" s="211" t="s">
        <v>144</v>
      </c>
      <c r="E348" s="66" t="str">
        <f>IFERROR(VLOOKUP(D348&amp;J348,'Target columns'!A:J,4,FALSE),"")</f>
        <v>uuid</v>
      </c>
      <c r="F348" s="66" t="str">
        <f>IFERROR(VLOOKUP(D348&amp;J348,'Target columns'!A:J,7,FALSE),"")</f>
        <v>Yes</v>
      </c>
      <c r="G348" s="66" t="str">
        <f>IFERROR(VLOOKUP(D348&amp;J348,'Target columns'!A:J,8,FALSE),"")</f>
        <v>Yes</v>
      </c>
      <c r="H348" s="66" t="str">
        <f>IFERROR(VLOOKUP(D348&amp;J348,'Target columns'!A:J,5,FALSE),"")</f>
        <v>NULL</v>
      </c>
      <c r="I348" s="66" t="str">
        <f>IFERROR(VLOOKUP(D348&amp;J348,'Target columns'!A:J,10,FALSE),"")</f>
        <v>Идентификатор типа связи договора и банка</v>
      </c>
      <c r="J348" s="8" t="s">
        <v>600</v>
      </c>
      <c r="K348" s="8" t="s">
        <v>151</v>
      </c>
      <c r="L348" s="66" t="str">
        <f>IFERROR(VLOOKUP(K348&amp;N348,source_columns[[Seek]:[Описание поля]],4,0),"")</f>
        <v/>
      </c>
      <c r="M348" s="66" t="str">
        <f>IFERROR(VLOOKUP(K348&amp;N348,source_columns[[Seek]:[Описание поля]],7,0),"")</f>
        <v/>
      </c>
      <c r="N348" s="8" t="s">
        <v>642</v>
      </c>
      <c r="O348" s="8"/>
      <c r="P348" s="8"/>
      <c r="Q348" s="8"/>
      <c r="R348" s="8"/>
      <c r="S348" s="278"/>
      <c r="T348" s="65"/>
      <c r="U348" s="65"/>
      <c r="V348" s="66" t="str">
        <f>"n308000046_"&amp;IFERROR(VLOOKUP(D348,target_tables[],5,0),"&lt;not found&gt;")</f>
        <v>n308000046_agr_other_bank</v>
      </c>
      <c r="W348" s="65" t="s">
        <v>269</v>
      </c>
      <c r="X348" s="65"/>
      <c r="Y348" s="65"/>
      <c r="Z348" s="65"/>
      <c r="AA348" s="65"/>
      <c r="AB348" s="65"/>
      <c r="AC348" s="65"/>
      <c r="AD348" s="65"/>
      <c r="AE348" s="65"/>
      <c r="AF348" s="299"/>
      <c r="AG348" s="10"/>
      <c r="AH348" s="10"/>
      <c r="AI348" s="10"/>
      <c r="AJ348" s="68"/>
      <c r="AK348" s="69"/>
      <c r="WVK348" s="118"/>
      <c r="WVL348" s="118"/>
      <c r="WVM348" s="118"/>
      <c r="WVN348" s="118"/>
      <c r="WVO348" s="118"/>
      <c r="WVP348" s="118"/>
      <c r="WVQ348" s="118"/>
      <c r="WVR348" s="118"/>
      <c r="WVS348" s="118"/>
      <c r="WVT348" s="118"/>
      <c r="WVU348" s="118"/>
      <c r="WVV348" s="118"/>
      <c r="WVW348" s="118"/>
      <c r="WVX348" s="118"/>
      <c r="WVY348" s="118"/>
      <c r="WVZ348" s="118"/>
      <c r="WWA348" s="118"/>
      <c r="WWB348" s="118"/>
      <c r="WWC348" s="118"/>
      <c r="WWD348" s="118"/>
      <c r="WWE348" s="118"/>
      <c r="WWF348" s="118"/>
      <c r="WWG348" s="118"/>
      <c r="WWH348" s="118"/>
      <c r="WWI348" s="118"/>
      <c r="WWJ348" s="118"/>
      <c r="WWK348" s="118"/>
      <c r="WWL348" s="118"/>
      <c r="WWM348" s="118"/>
      <c r="WWN348" s="118"/>
      <c r="WWO348" s="118"/>
      <c r="WWP348" s="118"/>
      <c r="WWQ348" s="118"/>
      <c r="WWR348" s="118"/>
      <c r="WWS348" s="118"/>
      <c r="WWT348" s="118"/>
      <c r="WWU348" s="118"/>
      <c r="WWV348" s="118"/>
      <c r="WWW348" s="118"/>
      <c r="WWX348" s="118"/>
      <c r="WWY348" s="118"/>
      <c r="WWZ348" s="118"/>
      <c r="WXA348" s="118"/>
      <c r="WXB348" s="118"/>
      <c r="WXC348" s="118"/>
      <c r="WXD348" s="118"/>
      <c r="WXE348" s="118"/>
      <c r="WXF348" s="118"/>
      <c r="WXG348" s="118"/>
      <c r="WXH348" s="118"/>
      <c r="WXI348" s="118"/>
      <c r="WXJ348" s="118"/>
      <c r="WXK348" s="118"/>
      <c r="WXL348" s="118"/>
      <c r="WXM348" s="118"/>
      <c r="WXN348" s="118"/>
      <c r="WXO348" s="118"/>
      <c r="WXP348" s="118"/>
      <c r="WXQ348" s="118"/>
      <c r="WXR348" s="118"/>
      <c r="WXS348" s="118"/>
      <c r="WXT348" s="118"/>
      <c r="WXU348" s="118"/>
      <c r="WXV348" s="118"/>
      <c r="WXW348" s="118"/>
      <c r="WXX348" s="118"/>
      <c r="WXY348" s="118"/>
      <c r="WXZ348" s="118"/>
      <c r="WYA348" s="118"/>
      <c r="WYB348" s="118"/>
      <c r="WYC348" s="118"/>
      <c r="WYD348" s="118"/>
      <c r="WYE348" s="118"/>
      <c r="WYF348" s="118"/>
      <c r="WYG348" s="118"/>
      <c r="WYH348" s="118"/>
      <c r="WYI348" s="118"/>
      <c r="WYJ348" s="118"/>
      <c r="WYK348" s="118"/>
      <c r="WYL348" s="118"/>
      <c r="WYM348" s="118"/>
      <c r="WYN348" s="118"/>
      <c r="WYO348" s="118"/>
      <c r="WYP348" s="118"/>
      <c r="WYQ348" s="118"/>
      <c r="WYR348" s="118"/>
      <c r="WYS348" s="118"/>
      <c r="WYT348" s="118"/>
      <c r="WYU348" s="118"/>
      <c r="WYV348" s="118"/>
      <c r="WYW348" s="118"/>
      <c r="WYX348" s="118"/>
      <c r="WYY348" s="118"/>
      <c r="WYZ348" s="118"/>
      <c r="WZA348" s="118"/>
      <c r="WZB348" s="118"/>
      <c r="WZC348" s="118"/>
      <c r="WZD348" s="118"/>
      <c r="WZE348" s="118"/>
      <c r="WZF348" s="118"/>
      <c r="WZG348" s="118"/>
      <c r="WZH348" s="118"/>
      <c r="WZI348" s="118"/>
      <c r="WZJ348" s="118"/>
      <c r="WZK348" s="118"/>
      <c r="WZL348" s="118"/>
      <c r="WZM348" s="118"/>
      <c r="WZN348" s="118"/>
      <c r="WZO348" s="118"/>
      <c r="WZP348" s="118"/>
      <c r="WZQ348" s="118"/>
      <c r="WZR348" s="118"/>
      <c r="WZS348" s="118"/>
      <c r="WZT348" s="118"/>
      <c r="WZU348" s="118"/>
      <c r="WZV348" s="118"/>
      <c r="WZW348" s="118"/>
      <c r="WZX348" s="118"/>
      <c r="WZY348" s="118"/>
      <c r="WZZ348" s="118"/>
      <c r="XAA348" s="118"/>
      <c r="XAB348" s="118"/>
      <c r="XAC348" s="118"/>
      <c r="XAD348" s="118"/>
      <c r="XAE348" s="118"/>
      <c r="XAF348" s="118"/>
      <c r="XAG348" s="118"/>
      <c r="XAH348" s="118"/>
      <c r="XAI348" s="118"/>
      <c r="XAJ348" s="118"/>
      <c r="XAK348" s="118"/>
      <c r="XAL348" s="118"/>
      <c r="XAM348" s="118"/>
      <c r="XAN348" s="118"/>
      <c r="XAO348" s="118"/>
      <c r="XAP348" s="118"/>
      <c r="XAQ348" s="118"/>
      <c r="XAR348" s="118"/>
      <c r="XAS348" s="118"/>
      <c r="XAT348" s="118"/>
      <c r="XAU348" s="118"/>
      <c r="XAV348" s="118"/>
      <c r="XAW348" s="118"/>
      <c r="XAX348" s="118"/>
      <c r="XAY348" s="118"/>
      <c r="XAZ348" s="118"/>
      <c r="XBA348" s="118"/>
      <c r="XBB348" s="118"/>
      <c r="XBC348" s="118"/>
      <c r="XBD348" s="118"/>
      <c r="XBE348" s="118"/>
      <c r="XBF348" s="118"/>
      <c r="XBG348" s="118"/>
      <c r="XBH348" s="118"/>
      <c r="XBI348" s="118"/>
      <c r="XBJ348" s="118"/>
      <c r="XBK348" s="118"/>
      <c r="XBL348" s="118"/>
      <c r="XBM348" s="118"/>
      <c r="XBN348" s="118"/>
      <c r="XBO348" s="118"/>
      <c r="XBP348" s="118"/>
      <c r="XBQ348" s="118"/>
      <c r="XBR348" s="118"/>
      <c r="XBS348" s="118"/>
      <c r="XBT348" s="118"/>
      <c r="XBU348" s="118"/>
      <c r="XBV348" s="118"/>
      <c r="XBW348" s="118"/>
      <c r="XBX348" s="118"/>
      <c r="XBY348" s="118"/>
      <c r="XBZ348" s="118"/>
      <c r="XCA348" s="118"/>
      <c r="XCB348" s="118"/>
      <c r="XCC348" s="118"/>
      <c r="XCD348" s="118"/>
      <c r="XCE348" s="118"/>
      <c r="XCF348" s="118"/>
      <c r="XCG348" s="118"/>
      <c r="XCH348" s="118"/>
      <c r="XCI348" s="118"/>
      <c r="XCJ348" s="118"/>
      <c r="XCK348" s="118"/>
      <c r="XCL348" s="118"/>
      <c r="XCM348" s="118"/>
      <c r="XCN348" s="118"/>
      <c r="XCO348" s="118"/>
      <c r="XCP348" s="118"/>
      <c r="XCQ348" s="118"/>
      <c r="XCR348" s="118"/>
      <c r="XCS348" s="118"/>
      <c r="XCT348" s="118"/>
      <c r="XCU348" s="118"/>
      <c r="XCV348" s="118"/>
      <c r="XCW348" s="118"/>
      <c r="XCX348" s="118"/>
      <c r="XCY348" s="118"/>
      <c r="XCZ348" s="118"/>
      <c r="XDA348" s="118"/>
      <c r="XDB348" s="118"/>
      <c r="XDC348" s="118"/>
      <c r="XDD348" s="118"/>
      <c r="XDE348" s="118"/>
      <c r="XDF348" s="118"/>
      <c r="XDG348" s="118"/>
      <c r="XDH348" s="118"/>
      <c r="XDI348" s="118"/>
      <c r="XDJ348" s="118"/>
      <c r="XDK348" s="118"/>
      <c r="XDL348" s="118"/>
      <c r="XDM348" s="118"/>
      <c r="XDN348" s="118"/>
      <c r="XDO348" s="118"/>
      <c r="XDP348" s="118"/>
      <c r="XDQ348" s="118"/>
      <c r="XDR348" s="118"/>
      <c r="XDS348" s="118"/>
      <c r="XDT348" s="118"/>
      <c r="XDU348" s="118"/>
      <c r="XDV348" s="118"/>
      <c r="XDW348" s="118"/>
      <c r="XDX348" s="118"/>
      <c r="XDY348" s="118"/>
      <c r="XDZ348" s="118"/>
      <c r="XEA348" s="118"/>
      <c r="XEB348" s="118"/>
      <c r="XEC348" s="118"/>
      <c r="XED348" s="118"/>
      <c r="XEE348" s="118"/>
      <c r="XEF348" s="118"/>
      <c r="XEG348" s="118"/>
      <c r="XEH348" s="118"/>
      <c r="XEI348" s="118"/>
      <c r="XEJ348" s="118"/>
      <c r="XEK348" s="118"/>
      <c r="XEL348" s="118"/>
      <c r="XEM348" s="118"/>
      <c r="XEN348" s="118"/>
      <c r="XEO348" s="118"/>
      <c r="XEP348" s="118"/>
      <c r="XEQ348" s="118"/>
      <c r="XER348" s="118"/>
      <c r="XES348" s="118"/>
      <c r="XET348" s="118"/>
      <c r="XEU348" s="118"/>
      <c r="XEV348" s="118"/>
      <c r="XEW348" s="118"/>
      <c r="XEX348" s="118"/>
      <c r="XEY348" s="118"/>
      <c r="XEZ348" s="118"/>
      <c r="XFA348" s="118"/>
      <c r="XFB348" s="118"/>
      <c r="XFC348" s="118"/>
      <c r="XFD348" s="118"/>
    </row>
    <row r="349" spans="1:37 16131:16384" ht="12.75" hidden="1" customHeight="1" x14ac:dyDescent="0.3">
      <c r="A349" s="115">
        <v>3080</v>
      </c>
      <c r="B349" s="8" t="s">
        <v>634</v>
      </c>
      <c r="C349" s="65" t="str">
        <f>IFERROR(VLOOKUP(D349,'Target tables'!A:B,2,0),"")</f>
        <v>Связь договора и банка</v>
      </c>
      <c r="D349" s="211" t="s">
        <v>144</v>
      </c>
      <c r="E349" s="66" t="str">
        <f>IFERROR(VLOOKUP(D349&amp;J349,'Target columns'!A:J,4,FALSE),"")</f>
        <v>uuid</v>
      </c>
      <c r="F349" s="66" t="str">
        <f>IFERROR(VLOOKUP(D349&amp;J349,'Target columns'!A:J,7,FALSE),"")</f>
        <v>No</v>
      </c>
      <c r="G349" s="66" t="str">
        <f>IFERROR(VLOOKUP(D349&amp;J349,'Target columns'!A:J,8,FALSE),"")</f>
        <v>Yes</v>
      </c>
      <c r="H349" s="66" t="str">
        <f>IFERROR(VLOOKUP(D349&amp;J349,'Target columns'!A:J,5,FALSE),"")</f>
        <v>NULL</v>
      </c>
      <c r="I349" s="66" t="str">
        <f>IFERROR(VLOOKUP(D349&amp;J349,'Target columns'!A:J,10,FALSE),"")</f>
        <v>Идентификатор банка</v>
      </c>
      <c r="J349" s="8" t="s">
        <v>581</v>
      </c>
      <c r="K349" s="8" t="s">
        <v>151</v>
      </c>
      <c r="L349" s="66" t="str">
        <f>IFERROR(VLOOKUP(K349&amp;N349,source_columns[[Seek]:[Описание поля]],4,0),"")</f>
        <v>uuid</v>
      </c>
      <c r="M349" s="66" t="str">
        <f>IFERROR(VLOOKUP(K349&amp;N349,source_columns[[Seek]:[Описание поля]],7,0),"")</f>
        <v>SWIFT код Рамбурсирующего банка</v>
      </c>
      <c r="N349" s="8" t="s">
        <v>643</v>
      </c>
      <c r="O349" s="8"/>
      <c r="P349" s="8"/>
      <c r="Q349" s="8"/>
      <c r="R349" s="8"/>
      <c r="S349" s="278"/>
      <c r="T349" s="65"/>
      <c r="U349" s="65"/>
      <c r="V349" s="66" t="str">
        <f>"n308000046_"&amp;IFERROR(VLOOKUP(D349,target_tables[],5,0),"&lt;not found&gt;")</f>
        <v>n308000046_agr_other_bank</v>
      </c>
      <c r="W349" s="65" t="s">
        <v>273</v>
      </c>
      <c r="X349" s="65"/>
      <c r="Y349" s="65"/>
      <c r="Z349" s="65"/>
      <c r="AA349" s="65"/>
      <c r="AB349" s="65"/>
      <c r="AC349" s="65"/>
      <c r="AD349" s="65"/>
      <c r="AE349" s="65"/>
      <c r="AF349" s="299"/>
      <c r="AG349" s="10"/>
      <c r="AH349" s="10"/>
      <c r="AI349" s="10"/>
      <c r="AJ349" s="68"/>
      <c r="AK349" s="69"/>
      <c r="WVK349" s="118"/>
      <c r="WVL349" s="118"/>
      <c r="WVM349" s="118"/>
      <c r="WVN349" s="118"/>
      <c r="WVO349" s="118"/>
      <c r="WVP349" s="118"/>
      <c r="WVQ349" s="118"/>
      <c r="WVR349" s="118"/>
      <c r="WVS349" s="118"/>
      <c r="WVT349" s="118"/>
      <c r="WVU349" s="118"/>
      <c r="WVV349" s="118"/>
      <c r="WVW349" s="118"/>
      <c r="WVX349" s="118"/>
      <c r="WVY349" s="118"/>
      <c r="WVZ349" s="118"/>
      <c r="WWA349" s="118"/>
      <c r="WWB349" s="118"/>
      <c r="WWC349" s="118"/>
      <c r="WWD349" s="118"/>
      <c r="WWE349" s="118"/>
      <c r="WWF349" s="118"/>
      <c r="WWG349" s="118"/>
      <c r="WWH349" s="118"/>
      <c r="WWI349" s="118"/>
      <c r="WWJ349" s="118"/>
      <c r="WWK349" s="118"/>
      <c r="WWL349" s="118"/>
      <c r="WWM349" s="118"/>
      <c r="WWN349" s="118"/>
      <c r="WWO349" s="118"/>
      <c r="WWP349" s="118"/>
      <c r="WWQ349" s="118"/>
      <c r="WWR349" s="118"/>
      <c r="WWS349" s="118"/>
      <c r="WWT349" s="118"/>
      <c r="WWU349" s="118"/>
      <c r="WWV349" s="118"/>
      <c r="WWW349" s="118"/>
      <c r="WWX349" s="118"/>
      <c r="WWY349" s="118"/>
      <c r="WWZ349" s="118"/>
      <c r="WXA349" s="118"/>
      <c r="WXB349" s="118"/>
      <c r="WXC349" s="118"/>
      <c r="WXD349" s="118"/>
      <c r="WXE349" s="118"/>
      <c r="WXF349" s="118"/>
      <c r="WXG349" s="118"/>
      <c r="WXH349" s="118"/>
      <c r="WXI349" s="118"/>
      <c r="WXJ349" s="118"/>
      <c r="WXK349" s="118"/>
      <c r="WXL349" s="118"/>
      <c r="WXM349" s="118"/>
      <c r="WXN349" s="118"/>
      <c r="WXO349" s="118"/>
      <c r="WXP349" s="118"/>
      <c r="WXQ349" s="118"/>
      <c r="WXR349" s="118"/>
      <c r="WXS349" s="118"/>
      <c r="WXT349" s="118"/>
      <c r="WXU349" s="118"/>
      <c r="WXV349" s="118"/>
      <c r="WXW349" s="118"/>
      <c r="WXX349" s="118"/>
      <c r="WXY349" s="118"/>
      <c r="WXZ349" s="118"/>
      <c r="WYA349" s="118"/>
      <c r="WYB349" s="118"/>
      <c r="WYC349" s="118"/>
      <c r="WYD349" s="118"/>
      <c r="WYE349" s="118"/>
      <c r="WYF349" s="118"/>
      <c r="WYG349" s="118"/>
      <c r="WYH349" s="118"/>
      <c r="WYI349" s="118"/>
      <c r="WYJ349" s="118"/>
      <c r="WYK349" s="118"/>
      <c r="WYL349" s="118"/>
      <c r="WYM349" s="118"/>
      <c r="WYN349" s="118"/>
      <c r="WYO349" s="118"/>
      <c r="WYP349" s="118"/>
      <c r="WYQ349" s="118"/>
      <c r="WYR349" s="118"/>
      <c r="WYS349" s="118"/>
      <c r="WYT349" s="118"/>
      <c r="WYU349" s="118"/>
      <c r="WYV349" s="118"/>
      <c r="WYW349" s="118"/>
      <c r="WYX349" s="118"/>
      <c r="WYY349" s="118"/>
      <c r="WYZ349" s="118"/>
      <c r="WZA349" s="118"/>
      <c r="WZB349" s="118"/>
      <c r="WZC349" s="118"/>
      <c r="WZD349" s="118"/>
      <c r="WZE349" s="118"/>
      <c r="WZF349" s="118"/>
      <c r="WZG349" s="118"/>
      <c r="WZH349" s="118"/>
      <c r="WZI349" s="118"/>
      <c r="WZJ349" s="118"/>
      <c r="WZK349" s="118"/>
      <c r="WZL349" s="118"/>
      <c r="WZM349" s="118"/>
      <c r="WZN349" s="118"/>
      <c r="WZO349" s="118"/>
      <c r="WZP349" s="118"/>
      <c r="WZQ349" s="118"/>
      <c r="WZR349" s="118"/>
      <c r="WZS349" s="118"/>
      <c r="WZT349" s="118"/>
      <c r="WZU349" s="118"/>
      <c r="WZV349" s="118"/>
      <c r="WZW349" s="118"/>
      <c r="WZX349" s="118"/>
      <c r="WZY349" s="118"/>
      <c r="WZZ349" s="118"/>
      <c r="XAA349" s="118"/>
      <c r="XAB349" s="118"/>
      <c r="XAC349" s="118"/>
      <c r="XAD349" s="118"/>
      <c r="XAE349" s="118"/>
      <c r="XAF349" s="118"/>
      <c r="XAG349" s="118"/>
      <c r="XAH349" s="118"/>
      <c r="XAI349" s="118"/>
      <c r="XAJ349" s="118"/>
      <c r="XAK349" s="118"/>
      <c r="XAL349" s="118"/>
      <c r="XAM349" s="118"/>
      <c r="XAN349" s="118"/>
      <c r="XAO349" s="118"/>
      <c r="XAP349" s="118"/>
      <c r="XAQ349" s="118"/>
      <c r="XAR349" s="118"/>
      <c r="XAS349" s="118"/>
      <c r="XAT349" s="118"/>
      <c r="XAU349" s="118"/>
      <c r="XAV349" s="118"/>
      <c r="XAW349" s="118"/>
      <c r="XAX349" s="118"/>
      <c r="XAY349" s="118"/>
      <c r="XAZ349" s="118"/>
      <c r="XBA349" s="118"/>
      <c r="XBB349" s="118"/>
      <c r="XBC349" s="118"/>
      <c r="XBD349" s="118"/>
      <c r="XBE349" s="118"/>
      <c r="XBF349" s="118"/>
      <c r="XBG349" s="118"/>
      <c r="XBH349" s="118"/>
      <c r="XBI349" s="118"/>
      <c r="XBJ349" s="118"/>
      <c r="XBK349" s="118"/>
      <c r="XBL349" s="118"/>
      <c r="XBM349" s="118"/>
      <c r="XBN349" s="118"/>
      <c r="XBO349" s="118"/>
      <c r="XBP349" s="118"/>
      <c r="XBQ349" s="118"/>
      <c r="XBR349" s="118"/>
      <c r="XBS349" s="118"/>
      <c r="XBT349" s="118"/>
      <c r="XBU349" s="118"/>
      <c r="XBV349" s="118"/>
      <c r="XBW349" s="118"/>
      <c r="XBX349" s="118"/>
      <c r="XBY349" s="118"/>
      <c r="XBZ349" s="118"/>
      <c r="XCA349" s="118"/>
      <c r="XCB349" s="118"/>
      <c r="XCC349" s="118"/>
      <c r="XCD349" s="118"/>
      <c r="XCE349" s="118"/>
      <c r="XCF349" s="118"/>
      <c r="XCG349" s="118"/>
      <c r="XCH349" s="118"/>
      <c r="XCI349" s="118"/>
      <c r="XCJ349" s="118"/>
      <c r="XCK349" s="118"/>
      <c r="XCL349" s="118"/>
      <c r="XCM349" s="118"/>
      <c r="XCN349" s="118"/>
      <c r="XCO349" s="118"/>
      <c r="XCP349" s="118"/>
      <c r="XCQ349" s="118"/>
      <c r="XCR349" s="118"/>
      <c r="XCS349" s="118"/>
      <c r="XCT349" s="118"/>
      <c r="XCU349" s="118"/>
      <c r="XCV349" s="118"/>
      <c r="XCW349" s="118"/>
      <c r="XCX349" s="118"/>
      <c r="XCY349" s="118"/>
      <c r="XCZ349" s="118"/>
      <c r="XDA349" s="118"/>
      <c r="XDB349" s="118"/>
      <c r="XDC349" s="118"/>
      <c r="XDD349" s="118"/>
      <c r="XDE349" s="118"/>
      <c r="XDF349" s="118"/>
      <c r="XDG349" s="118"/>
      <c r="XDH349" s="118"/>
      <c r="XDI349" s="118"/>
      <c r="XDJ349" s="118"/>
      <c r="XDK349" s="118"/>
      <c r="XDL349" s="118"/>
      <c r="XDM349" s="118"/>
      <c r="XDN349" s="118"/>
      <c r="XDO349" s="118"/>
      <c r="XDP349" s="118"/>
      <c r="XDQ349" s="118"/>
      <c r="XDR349" s="118"/>
      <c r="XDS349" s="118"/>
      <c r="XDT349" s="118"/>
      <c r="XDU349" s="118"/>
      <c r="XDV349" s="118"/>
      <c r="XDW349" s="118"/>
      <c r="XDX349" s="118"/>
      <c r="XDY349" s="118"/>
      <c r="XDZ349" s="118"/>
      <c r="XEA349" s="118"/>
      <c r="XEB349" s="118"/>
      <c r="XEC349" s="118"/>
      <c r="XED349" s="118"/>
      <c r="XEE349" s="118"/>
      <c r="XEF349" s="118"/>
      <c r="XEG349" s="118"/>
      <c r="XEH349" s="118"/>
      <c r="XEI349" s="118"/>
      <c r="XEJ349" s="118"/>
      <c r="XEK349" s="118"/>
      <c r="XEL349" s="118"/>
      <c r="XEM349" s="118"/>
      <c r="XEN349" s="118"/>
      <c r="XEO349" s="118"/>
      <c r="XEP349" s="118"/>
      <c r="XEQ349" s="118"/>
      <c r="XER349" s="118"/>
      <c r="XES349" s="118"/>
      <c r="XET349" s="118"/>
      <c r="XEU349" s="118"/>
      <c r="XEV349" s="118"/>
      <c r="XEW349" s="118"/>
      <c r="XEX349" s="118"/>
      <c r="XEY349" s="118"/>
      <c r="XEZ349" s="118"/>
      <c r="XFA349" s="118"/>
      <c r="XFB349" s="118"/>
      <c r="XFC349" s="118"/>
      <c r="XFD349" s="118"/>
    </row>
    <row r="350" spans="1:37 16131:16384" ht="12.75" hidden="1" customHeight="1" x14ac:dyDescent="0.3">
      <c r="A350" s="116">
        <v>3090</v>
      </c>
      <c r="B350" s="20" t="s">
        <v>634</v>
      </c>
      <c r="C350" s="71" t="str">
        <f>IFERROR(VLOOKUP(D350,'Target tables'!A:B,2,0),"")</f>
        <v>Связь договора и банка</v>
      </c>
      <c r="D350" s="212" t="s">
        <v>144</v>
      </c>
      <c r="E350" s="73" t="str">
        <f>IFERROR(VLOOKUP(D350&amp;J350,'Target columns'!A:J,4,FALSE),"")</f>
        <v>date</v>
      </c>
      <c r="F350" s="73" t="str">
        <f>IFERROR(VLOOKUP(D350&amp;J350,'Target columns'!A:J,7,FALSE),"")</f>
        <v>No</v>
      </c>
      <c r="G350" s="73" t="str">
        <f>IFERROR(VLOOKUP(D350&amp;J350,'Target columns'!A:J,8,FALSE),"")</f>
        <v>No</v>
      </c>
      <c r="H350" s="73" t="str">
        <f>IFERROR(VLOOKUP(D350&amp;J350,'Target columns'!A:J,5,FALSE),"")</f>
        <v>NULL</v>
      </c>
      <c r="I350" s="73" t="str">
        <f>IFERROR(VLOOKUP(D350&amp;J350,'Target columns'!A:J,10,FALSE),"")</f>
        <v>Дата окончания действия</v>
      </c>
      <c r="J350" s="20" t="s">
        <v>331</v>
      </c>
      <c r="K350" s="20" t="s">
        <v>151</v>
      </c>
      <c r="L350" s="73" t="str">
        <f>IFERROR(VLOOKUP(K350&amp;N350,source_columns[[Seek]:[Описание поля]],4,0),"")</f>
        <v/>
      </c>
      <c r="M350" s="73" t="str">
        <f>IFERROR(VLOOKUP(K350&amp;N350,source_columns[[Seek]:[Описание поля]],7,0),"")</f>
        <v/>
      </c>
      <c r="N350" s="20" t="s">
        <v>603</v>
      </c>
      <c r="O350" s="20"/>
      <c r="P350" s="20"/>
      <c r="Q350" s="20"/>
      <c r="R350" s="20"/>
      <c r="S350" s="278"/>
      <c r="T350" s="71"/>
      <c r="U350" s="71"/>
      <c r="V350" s="73" t="str">
        <f>"n308000046_"&amp;IFERROR(VLOOKUP(D350,target_tables[],5,0),"&lt;not found&gt;")</f>
        <v>n308000046_agr_other_bank</v>
      </c>
      <c r="W350" s="71" t="s">
        <v>332</v>
      </c>
      <c r="X350" s="71"/>
      <c r="Y350" s="71"/>
      <c r="Z350" s="71"/>
      <c r="AA350" s="71"/>
      <c r="AB350" s="71"/>
      <c r="AC350" s="71"/>
      <c r="AD350" s="71"/>
      <c r="AE350" s="71"/>
      <c r="AF350" s="299"/>
      <c r="AG350" s="27"/>
      <c r="AH350" s="27"/>
      <c r="AI350" s="27"/>
      <c r="AJ350" s="75"/>
      <c r="AK350" s="69"/>
      <c r="WVK350" s="118"/>
      <c r="WVL350" s="118"/>
      <c r="WVM350" s="118"/>
      <c r="WVN350" s="118"/>
      <c r="WVO350" s="118"/>
      <c r="WVP350" s="118"/>
      <c r="WVQ350" s="118"/>
      <c r="WVR350" s="118"/>
      <c r="WVS350" s="118"/>
      <c r="WVT350" s="118"/>
      <c r="WVU350" s="118"/>
      <c r="WVV350" s="118"/>
      <c r="WVW350" s="118"/>
      <c r="WVX350" s="118"/>
      <c r="WVY350" s="118"/>
      <c r="WVZ350" s="118"/>
      <c r="WWA350" s="118"/>
      <c r="WWB350" s="118"/>
      <c r="WWC350" s="118"/>
      <c r="WWD350" s="118"/>
      <c r="WWE350" s="118"/>
      <c r="WWF350" s="118"/>
      <c r="WWG350" s="118"/>
      <c r="WWH350" s="118"/>
      <c r="WWI350" s="118"/>
      <c r="WWJ350" s="118"/>
      <c r="WWK350" s="118"/>
      <c r="WWL350" s="118"/>
      <c r="WWM350" s="118"/>
      <c r="WWN350" s="118"/>
      <c r="WWO350" s="118"/>
      <c r="WWP350" s="118"/>
      <c r="WWQ350" s="118"/>
      <c r="WWR350" s="118"/>
      <c r="WWS350" s="118"/>
      <c r="WWT350" s="118"/>
      <c r="WWU350" s="118"/>
      <c r="WWV350" s="118"/>
      <c r="WWW350" s="118"/>
      <c r="WWX350" s="118"/>
      <c r="WWY350" s="118"/>
      <c r="WWZ350" s="118"/>
      <c r="WXA350" s="118"/>
      <c r="WXB350" s="118"/>
      <c r="WXC350" s="118"/>
      <c r="WXD350" s="118"/>
      <c r="WXE350" s="118"/>
      <c r="WXF350" s="118"/>
      <c r="WXG350" s="118"/>
      <c r="WXH350" s="118"/>
      <c r="WXI350" s="118"/>
      <c r="WXJ350" s="118"/>
      <c r="WXK350" s="118"/>
      <c r="WXL350" s="118"/>
      <c r="WXM350" s="118"/>
      <c r="WXN350" s="118"/>
      <c r="WXO350" s="118"/>
      <c r="WXP350" s="118"/>
      <c r="WXQ350" s="118"/>
      <c r="WXR350" s="118"/>
      <c r="WXS350" s="118"/>
      <c r="WXT350" s="118"/>
      <c r="WXU350" s="118"/>
      <c r="WXV350" s="118"/>
      <c r="WXW350" s="118"/>
      <c r="WXX350" s="118"/>
      <c r="WXY350" s="118"/>
      <c r="WXZ350" s="118"/>
      <c r="WYA350" s="118"/>
      <c r="WYB350" s="118"/>
      <c r="WYC350" s="118"/>
      <c r="WYD350" s="118"/>
      <c r="WYE350" s="118"/>
      <c r="WYF350" s="118"/>
      <c r="WYG350" s="118"/>
      <c r="WYH350" s="118"/>
      <c r="WYI350" s="118"/>
      <c r="WYJ350" s="118"/>
      <c r="WYK350" s="118"/>
      <c r="WYL350" s="118"/>
      <c r="WYM350" s="118"/>
      <c r="WYN350" s="118"/>
      <c r="WYO350" s="118"/>
      <c r="WYP350" s="118"/>
      <c r="WYQ350" s="118"/>
      <c r="WYR350" s="118"/>
      <c r="WYS350" s="118"/>
      <c r="WYT350" s="118"/>
      <c r="WYU350" s="118"/>
      <c r="WYV350" s="118"/>
      <c r="WYW350" s="118"/>
      <c r="WYX350" s="118"/>
      <c r="WYY350" s="118"/>
      <c r="WYZ350" s="118"/>
      <c r="WZA350" s="118"/>
      <c r="WZB350" s="118"/>
      <c r="WZC350" s="118"/>
      <c r="WZD350" s="118"/>
      <c r="WZE350" s="118"/>
      <c r="WZF350" s="118"/>
      <c r="WZG350" s="118"/>
      <c r="WZH350" s="118"/>
      <c r="WZI350" s="118"/>
      <c r="WZJ350" s="118"/>
      <c r="WZK350" s="118"/>
      <c r="WZL350" s="118"/>
      <c r="WZM350" s="118"/>
      <c r="WZN350" s="118"/>
      <c r="WZO350" s="118"/>
      <c r="WZP350" s="118"/>
      <c r="WZQ350" s="118"/>
      <c r="WZR350" s="118"/>
      <c r="WZS350" s="118"/>
      <c r="WZT350" s="118"/>
      <c r="WZU350" s="118"/>
      <c r="WZV350" s="118"/>
      <c r="WZW350" s="118"/>
      <c r="WZX350" s="118"/>
      <c r="WZY350" s="118"/>
      <c r="WZZ350" s="118"/>
      <c r="XAA350" s="118"/>
      <c r="XAB350" s="118"/>
      <c r="XAC350" s="118"/>
      <c r="XAD350" s="118"/>
      <c r="XAE350" s="118"/>
      <c r="XAF350" s="118"/>
      <c r="XAG350" s="118"/>
      <c r="XAH350" s="118"/>
      <c r="XAI350" s="118"/>
      <c r="XAJ350" s="118"/>
      <c r="XAK350" s="118"/>
      <c r="XAL350" s="118"/>
      <c r="XAM350" s="118"/>
      <c r="XAN350" s="118"/>
      <c r="XAO350" s="118"/>
      <c r="XAP350" s="118"/>
      <c r="XAQ350" s="118"/>
      <c r="XAR350" s="118"/>
      <c r="XAS350" s="118"/>
      <c r="XAT350" s="118"/>
      <c r="XAU350" s="118"/>
      <c r="XAV350" s="118"/>
      <c r="XAW350" s="118"/>
      <c r="XAX350" s="118"/>
      <c r="XAY350" s="118"/>
      <c r="XAZ350" s="118"/>
      <c r="XBA350" s="118"/>
      <c r="XBB350" s="118"/>
      <c r="XBC350" s="118"/>
      <c r="XBD350" s="118"/>
      <c r="XBE350" s="118"/>
      <c r="XBF350" s="118"/>
      <c r="XBG350" s="118"/>
      <c r="XBH350" s="118"/>
      <c r="XBI350" s="118"/>
      <c r="XBJ350" s="118"/>
      <c r="XBK350" s="118"/>
      <c r="XBL350" s="118"/>
      <c r="XBM350" s="118"/>
      <c r="XBN350" s="118"/>
      <c r="XBO350" s="118"/>
      <c r="XBP350" s="118"/>
      <c r="XBQ350" s="118"/>
      <c r="XBR350" s="118"/>
      <c r="XBS350" s="118"/>
      <c r="XBT350" s="118"/>
      <c r="XBU350" s="118"/>
      <c r="XBV350" s="118"/>
      <c r="XBW350" s="118"/>
      <c r="XBX350" s="118"/>
      <c r="XBY350" s="118"/>
      <c r="XBZ350" s="118"/>
      <c r="XCA350" s="118"/>
      <c r="XCB350" s="118"/>
      <c r="XCC350" s="118"/>
      <c r="XCD350" s="118"/>
      <c r="XCE350" s="118"/>
      <c r="XCF350" s="118"/>
      <c r="XCG350" s="118"/>
      <c r="XCH350" s="118"/>
      <c r="XCI350" s="118"/>
      <c r="XCJ350" s="118"/>
      <c r="XCK350" s="118"/>
      <c r="XCL350" s="118"/>
      <c r="XCM350" s="118"/>
      <c r="XCN350" s="118"/>
      <c r="XCO350" s="118"/>
      <c r="XCP350" s="118"/>
      <c r="XCQ350" s="118"/>
      <c r="XCR350" s="118"/>
      <c r="XCS350" s="118"/>
      <c r="XCT350" s="118"/>
      <c r="XCU350" s="118"/>
      <c r="XCV350" s="118"/>
      <c r="XCW350" s="118"/>
      <c r="XCX350" s="118"/>
      <c r="XCY350" s="118"/>
      <c r="XCZ350" s="118"/>
      <c r="XDA350" s="118"/>
      <c r="XDB350" s="118"/>
      <c r="XDC350" s="118"/>
      <c r="XDD350" s="118"/>
      <c r="XDE350" s="118"/>
      <c r="XDF350" s="118"/>
      <c r="XDG350" s="118"/>
      <c r="XDH350" s="118"/>
      <c r="XDI350" s="118"/>
      <c r="XDJ350" s="118"/>
      <c r="XDK350" s="118"/>
      <c r="XDL350" s="118"/>
      <c r="XDM350" s="118"/>
      <c r="XDN350" s="118"/>
      <c r="XDO350" s="118"/>
      <c r="XDP350" s="118"/>
      <c r="XDQ350" s="118"/>
      <c r="XDR350" s="118"/>
      <c r="XDS350" s="118"/>
      <c r="XDT350" s="118"/>
      <c r="XDU350" s="118"/>
      <c r="XDV350" s="118"/>
      <c r="XDW350" s="118"/>
      <c r="XDX350" s="118"/>
      <c r="XDY350" s="118"/>
      <c r="XDZ350" s="118"/>
      <c r="XEA350" s="118"/>
      <c r="XEB350" s="118"/>
      <c r="XEC350" s="118"/>
      <c r="XED350" s="118"/>
      <c r="XEE350" s="118"/>
      <c r="XEF350" s="118"/>
      <c r="XEG350" s="118"/>
      <c r="XEH350" s="118"/>
      <c r="XEI350" s="118"/>
      <c r="XEJ350" s="118"/>
      <c r="XEK350" s="118"/>
      <c r="XEL350" s="118"/>
      <c r="XEM350" s="118"/>
      <c r="XEN350" s="118"/>
      <c r="XEO350" s="118"/>
      <c r="XEP350" s="118"/>
      <c r="XEQ350" s="118"/>
      <c r="XER350" s="118"/>
      <c r="XES350" s="118"/>
      <c r="XET350" s="118"/>
      <c r="XEU350" s="118"/>
      <c r="XEV350" s="118"/>
      <c r="XEW350" s="118"/>
      <c r="XEX350" s="118"/>
      <c r="XEY350" s="118"/>
      <c r="XEZ350" s="118"/>
      <c r="XFA350" s="118"/>
      <c r="XFB350" s="118"/>
      <c r="XFC350" s="118"/>
      <c r="XFD350" s="118"/>
    </row>
    <row r="351" spans="1:37 16131:16384" ht="12.75" hidden="1" customHeight="1" x14ac:dyDescent="0.3">
      <c r="A351" s="114">
        <v>3100</v>
      </c>
      <c r="B351" s="113" t="s">
        <v>634</v>
      </c>
      <c r="C351" s="82" t="str">
        <f>IFERROR(VLOOKUP(D351,'Target tables'!A:B,2,0),"")</f>
        <v>Связь договора и банка</v>
      </c>
      <c r="D351" s="208" t="s">
        <v>144</v>
      </c>
      <c r="E351" s="78" t="str">
        <f>IFERROR(VLOOKUP(D351&amp;J351,'Target columns'!A:J,4,FALSE),"")</f>
        <v>uuid</v>
      </c>
      <c r="F351" s="78" t="str">
        <f>IFERROR(VLOOKUP(D351&amp;J351,'Target columns'!A:J,7,FALSE),"")</f>
        <v>Yes</v>
      </c>
      <c r="G351" s="78" t="str">
        <f>IFERROR(VLOOKUP(D351&amp;J351,'Target columns'!A:J,8,FALSE),"")</f>
        <v>Yes</v>
      </c>
      <c r="H351" s="78" t="str">
        <f>IFERROR(VLOOKUP(D351&amp;J351,'Target columns'!A:J,5,FALSE),"")</f>
        <v>NULL</v>
      </c>
      <c r="I351" s="78" t="str">
        <f>IFERROR(VLOOKUP(D351&amp;J351,'Target columns'!A:J,10,FALSE),"")</f>
        <v>Идентификатор договора</v>
      </c>
      <c r="J351" s="23" t="s">
        <v>589</v>
      </c>
      <c r="K351" s="23" t="s">
        <v>151</v>
      </c>
      <c r="L351" s="78" t="str">
        <f>IFERROR(VLOOKUP(K351&amp;N351,source_columns[[Seek]:[Описание поля]],4,0),"")</f>
        <v>uuid</v>
      </c>
      <c r="M351" s="78" t="str">
        <f>IFERROR(VLOOKUP(K351&amp;N351,source_columns[[Seek]:[Описание поля]],7,0),"")</f>
        <v>Референс сделки</v>
      </c>
      <c r="N351" s="23" t="s">
        <v>496</v>
      </c>
      <c r="O351" s="113"/>
      <c r="P351" s="113"/>
      <c r="Q351" s="113"/>
      <c r="R351" s="113"/>
      <c r="S351" s="278" t="s">
        <v>644</v>
      </c>
      <c r="T351" s="82"/>
      <c r="U351" s="82"/>
      <c r="V351" s="84" t="str">
        <f>"n308000046_"&amp;IFERROR(VLOOKUP(D351,target_tables[],5,0),"&lt;not found&gt;")</f>
        <v>n308000046_agr_other_bank</v>
      </c>
      <c r="W351" s="82" t="s">
        <v>269</v>
      </c>
      <c r="X351" s="82"/>
      <c r="Y351" s="82"/>
      <c r="Z351" s="82"/>
      <c r="AA351" s="82"/>
      <c r="AB351" s="82"/>
      <c r="AC351" s="82"/>
      <c r="AD351" s="82"/>
      <c r="AE351" s="82"/>
      <c r="AF351" s="299" t="s">
        <v>342</v>
      </c>
      <c r="AG351" s="83"/>
      <c r="AH351" s="83"/>
      <c r="AI351" s="83"/>
      <c r="AJ351" s="91"/>
      <c r="AK351" s="69"/>
      <c r="WVK351" s="118"/>
      <c r="WVL351" s="118"/>
      <c r="WVM351" s="118"/>
      <c r="WVN351" s="118"/>
      <c r="WVO351" s="118"/>
      <c r="WVP351" s="118"/>
      <c r="WVQ351" s="118"/>
      <c r="WVR351" s="118"/>
      <c r="WVS351" s="118"/>
      <c r="WVT351" s="118"/>
      <c r="WVU351" s="118"/>
      <c r="WVV351" s="118"/>
      <c r="WVW351" s="118"/>
      <c r="WVX351" s="118"/>
      <c r="WVY351" s="118"/>
      <c r="WVZ351" s="118"/>
      <c r="WWA351" s="118"/>
      <c r="WWB351" s="118"/>
      <c r="WWC351" s="118"/>
      <c r="WWD351" s="118"/>
      <c r="WWE351" s="118"/>
      <c r="WWF351" s="118"/>
      <c r="WWG351" s="118"/>
      <c r="WWH351" s="118"/>
      <c r="WWI351" s="118"/>
      <c r="WWJ351" s="118"/>
      <c r="WWK351" s="118"/>
      <c r="WWL351" s="118"/>
      <c r="WWM351" s="118"/>
      <c r="WWN351" s="118"/>
      <c r="WWO351" s="118"/>
      <c r="WWP351" s="118"/>
      <c r="WWQ351" s="118"/>
      <c r="WWR351" s="118"/>
      <c r="WWS351" s="118"/>
      <c r="WWT351" s="118"/>
      <c r="WWU351" s="118"/>
      <c r="WWV351" s="118"/>
      <c r="WWW351" s="118"/>
      <c r="WWX351" s="118"/>
      <c r="WWY351" s="118"/>
      <c r="WWZ351" s="118"/>
      <c r="WXA351" s="118"/>
      <c r="WXB351" s="118"/>
      <c r="WXC351" s="118"/>
      <c r="WXD351" s="118"/>
      <c r="WXE351" s="118"/>
      <c r="WXF351" s="118"/>
      <c r="WXG351" s="118"/>
      <c r="WXH351" s="118"/>
      <c r="WXI351" s="118"/>
      <c r="WXJ351" s="118"/>
      <c r="WXK351" s="118"/>
      <c r="WXL351" s="118"/>
      <c r="WXM351" s="118"/>
      <c r="WXN351" s="118"/>
      <c r="WXO351" s="118"/>
      <c r="WXP351" s="118"/>
      <c r="WXQ351" s="118"/>
      <c r="WXR351" s="118"/>
      <c r="WXS351" s="118"/>
      <c r="WXT351" s="118"/>
      <c r="WXU351" s="118"/>
      <c r="WXV351" s="118"/>
      <c r="WXW351" s="118"/>
      <c r="WXX351" s="118"/>
      <c r="WXY351" s="118"/>
      <c r="WXZ351" s="118"/>
      <c r="WYA351" s="118"/>
      <c r="WYB351" s="118"/>
      <c r="WYC351" s="118"/>
      <c r="WYD351" s="118"/>
      <c r="WYE351" s="118"/>
      <c r="WYF351" s="118"/>
      <c r="WYG351" s="118"/>
      <c r="WYH351" s="118"/>
      <c r="WYI351" s="118"/>
      <c r="WYJ351" s="118"/>
      <c r="WYK351" s="118"/>
      <c r="WYL351" s="118"/>
      <c r="WYM351" s="118"/>
      <c r="WYN351" s="118"/>
      <c r="WYO351" s="118"/>
      <c r="WYP351" s="118"/>
      <c r="WYQ351" s="118"/>
      <c r="WYR351" s="118"/>
      <c r="WYS351" s="118"/>
      <c r="WYT351" s="118"/>
      <c r="WYU351" s="118"/>
      <c r="WYV351" s="118"/>
      <c r="WYW351" s="118"/>
      <c r="WYX351" s="118"/>
      <c r="WYY351" s="118"/>
      <c r="WYZ351" s="118"/>
      <c r="WZA351" s="118"/>
      <c r="WZB351" s="118"/>
      <c r="WZC351" s="118"/>
      <c r="WZD351" s="118"/>
      <c r="WZE351" s="118"/>
      <c r="WZF351" s="118"/>
      <c r="WZG351" s="118"/>
      <c r="WZH351" s="118"/>
      <c r="WZI351" s="118"/>
      <c r="WZJ351" s="118"/>
      <c r="WZK351" s="118"/>
      <c r="WZL351" s="118"/>
      <c r="WZM351" s="118"/>
      <c r="WZN351" s="118"/>
      <c r="WZO351" s="118"/>
      <c r="WZP351" s="118"/>
      <c r="WZQ351" s="118"/>
      <c r="WZR351" s="118"/>
      <c r="WZS351" s="118"/>
      <c r="WZT351" s="118"/>
      <c r="WZU351" s="118"/>
      <c r="WZV351" s="118"/>
      <c r="WZW351" s="118"/>
      <c r="WZX351" s="118"/>
      <c r="WZY351" s="118"/>
      <c r="WZZ351" s="118"/>
      <c r="XAA351" s="118"/>
      <c r="XAB351" s="118"/>
      <c r="XAC351" s="118"/>
      <c r="XAD351" s="118"/>
      <c r="XAE351" s="118"/>
      <c r="XAF351" s="118"/>
      <c r="XAG351" s="118"/>
      <c r="XAH351" s="118"/>
      <c r="XAI351" s="118"/>
      <c r="XAJ351" s="118"/>
      <c r="XAK351" s="118"/>
      <c r="XAL351" s="118"/>
      <c r="XAM351" s="118"/>
      <c r="XAN351" s="118"/>
      <c r="XAO351" s="118"/>
      <c r="XAP351" s="118"/>
      <c r="XAQ351" s="118"/>
      <c r="XAR351" s="118"/>
      <c r="XAS351" s="118"/>
      <c r="XAT351" s="118"/>
      <c r="XAU351" s="118"/>
      <c r="XAV351" s="118"/>
      <c r="XAW351" s="118"/>
      <c r="XAX351" s="118"/>
      <c r="XAY351" s="118"/>
      <c r="XAZ351" s="118"/>
      <c r="XBA351" s="118"/>
      <c r="XBB351" s="118"/>
      <c r="XBC351" s="118"/>
      <c r="XBD351" s="118"/>
      <c r="XBE351" s="118"/>
      <c r="XBF351" s="118"/>
      <c r="XBG351" s="118"/>
      <c r="XBH351" s="118"/>
      <c r="XBI351" s="118"/>
      <c r="XBJ351" s="118"/>
      <c r="XBK351" s="118"/>
      <c r="XBL351" s="118"/>
      <c r="XBM351" s="118"/>
      <c r="XBN351" s="118"/>
      <c r="XBO351" s="118"/>
      <c r="XBP351" s="118"/>
      <c r="XBQ351" s="118"/>
      <c r="XBR351" s="118"/>
      <c r="XBS351" s="118"/>
      <c r="XBT351" s="118"/>
      <c r="XBU351" s="118"/>
      <c r="XBV351" s="118"/>
      <c r="XBW351" s="118"/>
      <c r="XBX351" s="118"/>
      <c r="XBY351" s="118"/>
      <c r="XBZ351" s="118"/>
      <c r="XCA351" s="118"/>
      <c r="XCB351" s="118"/>
      <c r="XCC351" s="118"/>
      <c r="XCD351" s="118"/>
      <c r="XCE351" s="118"/>
      <c r="XCF351" s="118"/>
      <c r="XCG351" s="118"/>
      <c r="XCH351" s="118"/>
      <c r="XCI351" s="118"/>
      <c r="XCJ351" s="118"/>
      <c r="XCK351" s="118"/>
      <c r="XCL351" s="118"/>
      <c r="XCM351" s="118"/>
      <c r="XCN351" s="118"/>
      <c r="XCO351" s="118"/>
      <c r="XCP351" s="118"/>
      <c r="XCQ351" s="118"/>
      <c r="XCR351" s="118"/>
      <c r="XCS351" s="118"/>
      <c r="XCT351" s="118"/>
      <c r="XCU351" s="118"/>
      <c r="XCV351" s="118"/>
      <c r="XCW351" s="118"/>
      <c r="XCX351" s="118"/>
      <c r="XCY351" s="118"/>
      <c r="XCZ351" s="118"/>
      <c r="XDA351" s="118"/>
      <c r="XDB351" s="118"/>
      <c r="XDC351" s="118"/>
      <c r="XDD351" s="118"/>
      <c r="XDE351" s="118"/>
      <c r="XDF351" s="118"/>
      <c r="XDG351" s="118"/>
      <c r="XDH351" s="118"/>
      <c r="XDI351" s="118"/>
      <c r="XDJ351" s="118"/>
      <c r="XDK351" s="118"/>
      <c r="XDL351" s="118"/>
      <c r="XDM351" s="118"/>
      <c r="XDN351" s="118"/>
      <c r="XDO351" s="118"/>
      <c r="XDP351" s="118"/>
      <c r="XDQ351" s="118"/>
      <c r="XDR351" s="118"/>
      <c r="XDS351" s="118"/>
      <c r="XDT351" s="118"/>
      <c r="XDU351" s="118"/>
      <c r="XDV351" s="118"/>
      <c r="XDW351" s="118"/>
      <c r="XDX351" s="118"/>
      <c r="XDY351" s="118"/>
      <c r="XDZ351" s="118"/>
      <c r="XEA351" s="118"/>
      <c r="XEB351" s="118"/>
      <c r="XEC351" s="118"/>
      <c r="XED351" s="118"/>
      <c r="XEE351" s="118"/>
      <c r="XEF351" s="118"/>
      <c r="XEG351" s="118"/>
      <c r="XEH351" s="118"/>
      <c r="XEI351" s="118"/>
      <c r="XEJ351" s="118"/>
      <c r="XEK351" s="118"/>
      <c r="XEL351" s="118"/>
      <c r="XEM351" s="118"/>
      <c r="XEN351" s="118"/>
      <c r="XEO351" s="118"/>
      <c r="XEP351" s="118"/>
      <c r="XEQ351" s="118"/>
      <c r="XER351" s="118"/>
      <c r="XES351" s="118"/>
      <c r="XET351" s="118"/>
      <c r="XEU351" s="118"/>
      <c r="XEV351" s="118"/>
      <c r="XEW351" s="118"/>
      <c r="XEX351" s="118"/>
      <c r="XEY351" s="118"/>
      <c r="XEZ351" s="118"/>
      <c r="XFA351" s="118"/>
      <c r="XFB351" s="118"/>
      <c r="XFC351" s="118"/>
      <c r="XFD351" s="118"/>
    </row>
    <row r="352" spans="1:37 16131:16384" ht="12.75" hidden="1" customHeight="1" x14ac:dyDescent="0.3">
      <c r="A352" s="115">
        <v>3110</v>
      </c>
      <c r="B352" s="8" t="s">
        <v>634</v>
      </c>
      <c r="C352" s="65" t="str">
        <f>IFERROR(VLOOKUP(D352,'Target tables'!A:B,2,0),"")</f>
        <v>Связь договора и банка</v>
      </c>
      <c r="D352" s="211" t="s">
        <v>144</v>
      </c>
      <c r="E352" s="66" t="str">
        <f>IFERROR(VLOOKUP(D352&amp;J352,'Target columns'!A:J,4,FALSE),"")</f>
        <v>date</v>
      </c>
      <c r="F352" s="66" t="str">
        <f>IFERROR(VLOOKUP(D352&amp;J352,'Target columns'!A:J,7,FALSE),"")</f>
        <v>Yes</v>
      </c>
      <c r="G352" s="66" t="str">
        <f>IFERROR(VLOOKUP(D352&amp;J352,'Target columns'!A:J,8,FALSE),"")</f>
        <v>No</v>
      </c>
      <c r="H352" s="66" t="str">
        <f>IFERROR(VLOOKUP(D352&amp;J352,'Target columns'!A:J,5,FALSE),"")</f>
        <v>NOT NULL</v>
      </c>
      <c r="I352" s="66" t="str">
        <f>IFERROR(VLOOKUP(D352&amp;J352,'Target columns'!A:J,10,FALSE),"")</f>
        <v>Дата начала действия</v>
      </c>
      <c r="J352" s="8" t="s">
        <v>329</v>
      </c>
      <c r="K352" s="8" t="s">
        <v>151</v>
      </c>
      <c r="L352" s="66" t="str">
        <f>IFERROR(VLOOKUP(K352&amp;N352,source_columns[[Seek]:[Описание поля]],4,0),"")</f>
        <v>timestamp</v>
      </c>
      <c r="M352" s="66" t="str">
        <f>IFERROR(VLOOKUP(K352&amp;N352,source_columns[[Seek]:[Описание поля]],7,0),"")</f>
        <v>Дата и время последнего изменения</v>
      </c>
      <c r="N352" s="8" t="s">
        <v>517</v>
      </c>
      <c r="O352" s="8"/>
      <c r="P352" s="8"/>
      <c r="Q352" s="8"/>
      <c r="R352" s="8"/>
      <c r="S352" s="278"/>
      <c r="T352" s="65"/>
      <c r="U352" s="65"/>
      <c r="V352" s="66" t="str">
        <f>"n308000046_"&amp;IFERROR(VLOOKUP(D352,target_tables[],5,0),"&lt;not found&gt;")</f>
        <v>n308000046_agr_other_bank</v>
      </c>
      <c r="W352" s="65" t="s">
        <v>330</v>
      </c>
      <c r="X352" s="65"/>
      <c r="Y352" s="65"/>
      <c r="Z352" s="65"/>
      <c r="AA352" s="65"/>
      <c r="AB352" s="65"/>
      <c r="AC352" s="65"/>
      <c r="AD352" s="65"/>
      <c r="AE352" s="65"/>
      <c r="AF352" s="299"/>
      <c r="AG352" s="10"/>
      <c r="AH352" s="10"/>
      <c r="AI352" s="10"/>
      <c r="AJ352" s="68"/>
      <c r="AK352" s="69"/>
      <c r="WVK352" s="118"/>
      <c r="WVL352" s="118"/>
      <c r="WVM352" s="118"/>
      <c r="WVN352" s="118"/>
      <c r="WVO352" s="118"/>
      <c r="WVP352" s="118"/>
      <c r="WVQ352" s="118"/>
      <c r="WVR352" s="118"/>
      <c r="WVS352" s="118"/>
      <c r="WVT352" s="118"/>
      <c r="WVU352" s="118"/>
      <c r="WVV352" s="118"/>
      <c r="WVW352" s="118"/>
      <c r="WVX352" s="118"/>
      <c r="WVY352" s="118"/>
      <c r="WVZ352" s="118"/>
      <c r="WWA352" s="118"/>
      <c r="WWB352" s="118"/>
      <c r="WWC352" s="118"/>
      <c r="WWD352" s="118"/>
      <c r="WWE352" s="118"/>
      <c r="WWF352" s="118"/>
      <c r="WWG352" s="118"/>
      <c r="WWH352" s="118"/>
      <c r="WWI352" s="118"/>
      <c r="WWJ352" s="118"/>
      <c r="WWK352" s="118"/>
      <c r="WWL352" s="118"/>
      <c r="WWM352" s="118"/>
      <c r="WWN352" s="118"/>
      <c r="WWO352" s="118"/>
      <c r="WWP352" s="118"/>
      <c r="WWQ352" s="118"/>
      <c r="WWR352" s="118"/>
      <c r="WWS352" s="118"/>
      <c r="WWT352" s="118"/>
      <c r="WWU352" s="118"/>
      <c r="WWV352" s="118"/>
      <c r="WWW352" s="118"/>
      <c r="WWX352" s="118"/>
      <c r="WWY352" s="118"/>
      <c r="WWZ352" s="118"/>
      <c r="WXA352" s="118"/>
      <c r="WXB352" s="118"/>
      <c r="WXC352" s="118"/>
      <c r="WXD352" s="118"/>
      <c r="WXE352" s="118"/>
      <c r="WXF352" s="118"/>
      <c r="WXG352" s="118"/>
      <c r="WXH352" s="118"/>
      <c r="WXI352" s="118"/>
      <c r="WXJ352" s="118"/>
      <c r="WXK352" s="118"/>
      <c r="WXL352" s="118"/>
      <c r="WXM352" s="118"/>
      <c r="WXN352" s="118"/>
      <c r="WXO352" s="118"/>
      <c r="WXP352" s="118"/>
      <c r="WXQ352" s="118"/>
      <c r="WXR352" s="118"/>
      <c r="WXS352" s="118"/>
      <c r="WXT352" s="118"/>
      <c r="WXU352" s="118"/>
      <c r="WXV352" s="118"/>
      <c r="WXW352" s="118"/>
      <c r="WXX352" s="118"/>
      <c r="WXY352" s="118"/>
      <c r="WXZ352" s="118"/>
      <c r="WYA352" s="118"/>
      <c r="WYB352" s="118"/>
      <c r="WYC352" s="118"/>
      <c r="WYD352" s="118"/>
      <c r="WYE352" s="118"/>
      <c r="WYF352" s="118"/>
      <c r="WYG352" s="118"/>
      <c r="WYH352" s="118"/>
      <c r="WYI352" s="118"/>
      <c r="WYJ352" s="118"/>
      <c r="WYK352" s="118"/>
      <c r="WYL352" s="118"/>
      <c r="WYM352" s="118"/>
      <c r="WYN352" s="118"/>
      <c r="WYO352" s="118"/>
      <c r="WYP352" s="118"/>
      <c r="WYQ352" s="118"/>
      <c r="WYR352" s="118"/>
      <c r="WYS352" s="118"/>
      <c r="WYT352" s="118"/>
      <c r="WYU352" s="118"/>
      <c r="WYV352" s="118"/>
      <c r="WYW352" s="118"/>
      <c r="WYX352" s="118"/>
      <c r="WYY352" s="118"/>
      <c r="WYZ352" s="118"/>
      <c r="WZA352" s="118"/>
      <c r="WZB352" s="118"/>
      <c r="WZC352" s="118"/>
      <c r="WZD352" s="118"/>
      <c r="WZE352" s="118"/>
      <c r="WZF352" s="118"/>
      <c r="WZG352" s="118"/>
      <c r="WZH352" s="118"/>
      <c r="WZI352" s="118"/>
      <c r="WZJ352" s="118"/>
      <c r="WZK352" s="118"/>
      <c r="WZL352" s="118"/>
      <c r="WZM352" s="118"/>
      <c r="WZN352" s="118"/>
      <c r="WZO352" s="118"/>
      <c r="WZP352" s="118"/>
      <c r="WZQ352" s="118"/>
      <c r="WZR352" s="118"/>
      <c r="WZS352" s="118"/>
      <c r="WZT352" s="118"/>
      <c r="WZU352" s="118"/>
      <c r="WZV352" s="118"/>
      <c r="WZW352" s="118"/>
      <c r="WZX352" s="118"/>
      <c r="WZY352" s="118"/>
      <c r="WZZ352" s="118"/>
      <c r="XAA352" s="118"/>
      <c r="XAB352" s="118"/>
      <c r="XAC352" s="118"/>
      <c r="XAD352" s="118"/>
      <c r="XAE352" s="118"/>
      <c r="XAF352" s="118"/>
      <c r="XAG352" s="118"/>
      <c r="XAH352" s="118"/>
      <c r="XAI352" s="118"/>
      <c r="XAJ352" s="118"/>
      <c r="XAK352" s="118"/>
      <c r="XAL352" s="118"/>
      <c r="XAM352" s="118"/>
      <c r="XAN352" s="118"/>
      <c r="XAO352" s="118"/>
      <c r="XAP352" s="118"/>
      <c r="XAQ352" s="118"/>
      <c r="XAR352" s="118"/>
      <c r="XAS352" s="118"/>
      <c r="XAT352" s="118"/>
      <c r="XAU352" s="118"/>
      <c r="XAV352" s="118"/>
      <c r="XAW352" s="118"/>
      <c r="XAX352" s="118"/>
      <c r="XAY352" s="118"/>
      <c r="XAZ352" s="118"/>
      <c r="XBA352" s="118"/>
      <c r="XBB352" s="118"/>
      <c r="XBC352" s="118"/>
      <c r="XBD352" s="118"/>
      <c r="XBE352" s="118"/>
      <c r="XBF352" s="118"/>
      <c r="XBG352" s="118"/>
      <c r="XBH352" s="118"/>
      <c r="XBI352" s="118"/>
      <c r="XBJ352" s="118"/>
      <c r="XBK352" s="118"/>
      <c r="XBL352" s="118"/>
      <c r="XBM352" s="118"/>
      <c r="XBN352" s="118"/>
      <c r="XBO352" s="118"/>
      <c r="XBP352" s="118"/>
      <c r="XBQ352" s="118"/>
      <c r="XBR352" s="118"/>
      <c r="XBS352" s="118"/>
      <c r="XBT352" s="118"/>
      <c r="XBU352" s="118"/>
      <c r="XBV352" s="118"/>
      <c r="XBW352" s="118"/>
      <c r="XBX352" s="118"/>
      <c r="XBY352" s="118"/>
      <c r="XBZ352" s="118"/>
      <c r="XCA352" s="118"/>
      <c r="XCB352" s="118"/>
      <c r="XCC352" s="118"/>
      <c r="XCD352" s="118"/>
      <c r="XCE352" s="118"/>
      <c r="XCF352" s="118"/>
      <c r="XCG352" s="118"/>
      <c r="XCH352" s="118"/>
      <c r="XCI352" s="118"/>
      <c r="XCJ352" s="118"/>
      <c r="XCK352" s="118"/>
      <c r="XCL352" s="118"/>
      <c r="XCM352" s="118"/>
      <c r="XCN352" s="118"/>
      <c r="XCO352" s="118"/>
      <c r="XCP352" s="118"/>
      <c r="XCQ352" s="118"/>
      <c r="XCR352" s="118"/>
      <c r="XCS352" s="118"/>
      <c r="XCT352" s="118"/>
      <c r="XCU352" s="118"/>
      <c r="XCV352" s="118"/>
      <c r="XCW352" s="118"/>
      <c r="XCX352" s="118"/>
      <c r="XCY352" s="118"/>
      <c r="XCZ352" s="118"/>
      <c r="XDA352" s="118"/>
      <c r="XDB352" s="118"/>
      <c r="XDC352" s="118"/>
      <c r="XDD352" s="118"/>
      <c r="XDE352" s="118"/>
      <c r="XDF352" s="118"/>
      <c r="XDG352" s="118"/>
      <c r="XDH352" s="118"/>
      <c r="XDI352" s="118"/>
      <c r="XDJ352" s="118"/>
      <c r="XDK352" s="118"/>
      <c r="XDL352" s="118"/>
      <c r="XDM352" s="118"/>
      <c r="XDN352" s="118"/>
      <c r="XDO352" s="118"/>
      <c r="XDP352" s="118"/>
      <c r="XDQ352" s="118"/>
      <c r="XDR352" s="118"/>
      <c r="XDS352" s="118"/>
      <c r="XDT352" s="118"/>
      <c r="XDU352" s="118"/>
      <c r="XDV352" s="118"/>
      <c r="XDW352" s="118"/>
      <c r="XDX352" s="118"/>
      <c r="XDY352" s="118"/>
      <c r="XDZ352" s="118"/>
      <c r="XEA352" s="118"/>
      <c r="XEB352" s="118"/>
      <c r="XEC352" s="118"/>
      <c r="XED352" s="118"/>
      <c r="XEE352" s="118"/>
      <c r="XEF352" s="118"/>
      <c r="XEG352" s="118"/>
      <c r="XEH352" s="118"/>
      <c r="XEI352" s="118"/>
      <c r="XEJ352" s="118"/>
      <c r="XEK352" s="118"/>
      <c r="XEL352" s="118"/>
      <c r="XEM352" s="118"/>
      <c r="XEN352" s="118"/>
      <c r="XEO352" s="118"/>
      <c r="XEP352" s="118"/>
      <c r="XEQ352" s="118"/>
      <c r="XER352" s="118"/>
      <c r="XES352" s="118"/>
      <c r="XET352" s="118"/>
      <c r="XEU352" s="118"/>
      <c r="XEV352" s="118"/>
      <c r="XEW352" s="118"/>
      <c r="XEX352" s="118"/>
      <c r="XEY352" s="118"/>
      <c r="XEZ352" s="118"/>
      <c r="XFA352" s="118"/>
      <c r="XFB352" s="118"/>
      <c r="XFC352" s="118"/>
      <c r="XFD352" s="118"/>
    </row>
    <row r="353" spans="1:37 16131:16384" ht="12.75" hidden="1" customHeight="1" x14ac:dyDescent="0.3">
      <c r="A353" s="115">
        <v>3120</v>
      </c>
      <c r="B353" s="8" t="s">
        <v>634</v>
      </c>
      <c r="C353" s="65" t="str">
        <f>IFERROR(VLOOKUP(D353,'Target tables'!A:B,2,0),"")</f>
        <v>Связь договора и банка</v>
      </c>
      <c r="D353" s="211" t="s">
        <v>144</v>
      </c>
      <c r="E353" s="66" t="str">
        <f>IFERROR(VLOOKUP(D353&amp;J353,'Target columns'!A:J,4,FALSE),"")</f>
        <v>uuid</v>
      </c>
      <c r="F353" s="66" t="str">
        <f>IFERROR(VLOOKUP(D353&amp;J353,'Target columns'!A:J,7,FALSE),"")</f>
        <v>Yes</v>
      </c>
      <c r="G353" s="66" t="str">
        <f>IFERROR(VLOOKUP(D353&amp;J353,'Target columns'!A:J,8,FALSE),"")</f>
        <v>Yes</v>
      </c>
      <c r="H353" s="66" t="str">
        <f>IFERROR(VLOOKUP(D353&amp;J353,'Target columns'!A:J,5,FALSE),"")</f>
        <v>NULL</v>
      </c>
      <c r="I353" s="66" t="str">
        <f>IFERROR(VLOOKUP(D353&amp;J353,'Target columns'!A:J,10,FALSE),"")</f>
        <v>Идентификатор типа связи договора и банка</v>
      </c>
      <c r="J353" s="8" t="s">
        <v>600</v>
      </c>
      <c r="K353" s="8" t="s">
        <v>151</v>
      </c>
      <c r="L353" s="66" t="str">
        <f>IFERROR(VLOOKUP(K353&amp;N353,source_columns[[Seek]:[Описание поля]],4,0),"")</f>
        <v/>
      </c>
      <c r="M353" s="66" t="str">
        <f>IFERROR(VLOOKUP(K353&amp;N353,source_columns[[Seek]:[Описание поля]],7,0),"")</f>
        <v/>
      </c>
      <c r="N353" s="8" t="s">
        <v>645</v>
      </c>
      <c r="O353" s="8"/>
      <c r="P353" s="8"/>
      <c r="Q353" s="8"/>
      <c r="R353" s="8"/>
      <c r="S353" s="278"/>
      <c r="T353" s="65"/>
      <c r="U353" s="65"/>
      <c r="V353" s="66" t="str">
        <f>"n308000046_"&amp;IFERROR(VLOOKUP(D353,target_tables[],5,0),"&lt;not found&gt;")</f>
        <v>n308000046_agr_other_bank</v>
      </c>
      <c r="W353" s="65" t="s">
        <v>269</v>
      </c>
      <c r="X353" s="65"/>
      <c r="Y353" s="65"/>
      <c r="Z353" s="65"/>
      <c r="AA353" s="65"/>
      <c r="AB353" s="65"/>
      <c r="AC353" s="65"/>
      <c r="AD353" s="65"/>
      <c r="AE353" s="65"/>
      <c r="AF353" s="299"/>
      <c r="AG353" s="10"/>
      <c r="AH353" s="10"/>
      <c r="AI353" s="10"/>
      <c r="AJ353" s="68"/>
      <c r="AK353" s="69"/>
      <c r="WVK353" s="118"/>
      <c r="WVL353" s="118"/>
      <c r="WVM353" s="118"/>
      <c r="WVN353" s="118"/>
      <c r="WVO353" s="118"/>
      <c r="WVP353" s="118"/>
      <c r="WVQ353" s="118"/>
      <c r="WVR353" s="118"/>
      <c r="WVS353" s="118"/>
      <c r="WVT353" s="118"/>
      <c r="WVU353" s="118"/>
      <c r="WVV353" s="118"/>
      <c r="WVW353" s="118"/>
      <c r="WVX353" s="118"/>
      <c r="WVY353" s="118"/>
      <c r="WVZ353" s="118"/>
      <c r="WWA353" s="118"/>
      <c r="WWB353" s="118"/>
      <c r="WWC353" s="118"/>
      <c r="WWD353" s="118"/>
      <c r="WWE353" s="118"/>
      <c r="WWF353" s="118"/>
      <c r="WWG353" s="118"/>
      <c r="WWH353" s="118"/>
      <c r="WWI353" s="118"/>
      <c r="WWJ353" s="118"/>
      <c r="WWK353" s="118"/>
      <c r="WWL353" s="118"/>
      <c r="WWM353" s="118"/>
      <c r="WWN353" s="118"/>
      <c r="WWO353" s="118"/>
      <c r="WWP353" s="118"/>
      <c r="WWQ353" s="118"/>
      <c r="WWR353" s="118"/>
      <c r="WWS353" s="118"/>
      <c r="WWT353" s="118"/>
      <c r="WWU353" s="118"/>
      <c r="WWV353" s="118"/>
      <c r="WWW353" s="118"/>
      <c r="WWX353" s="118"/>
      <c r="WWY353" s="118"/>
      <c r="WWZ353" s="118"/>
      <c r="WXA353" s="118"/>
      <c r="WXB353" s="118"/>
      <c r="WXC353" s="118"/>
      <c r="WXD353" s="118"/>
      <c r="WXE353" s="118"/>
      <c r="WXF353" s="118"/>
      <c r="WXG353" s="118"/>
      <c r="WXH353" s="118"/>
      <c r="WXI353" s="118"/>
      <c r="WXJ353" s="118"/>
      <c r="WXK353" s="118"/>
      <c r="WXL353" s="118"/>
      <c r="WXM353" s="118"/>
      <c r="WXN353" s="118"/>
      <c r="WXO353" s="118"/>
      <c r="WXP353" s="118"/>
      <c r="WXQ353" s="118"/>
      <c r="WXR353" s="118"/>
      <c r="WXS353" s="118"/>
      <c r="WXT353" s="118"/>
      <c r="WXU353" s="118"/>
      <c r="WXV353" s="118"/>
      <c r="WXW353" s="118"/>
      <c r="WXX353" s="118"/>
      <c r="WXY353" s="118"/>
      <c r="WXZ353" s="118"/>
      <c r="WYA353" s="118"/>
      <c r="WYB353" s="118"/>
      <c r="WYC353" s="118"/>
      <c r="WYD353" s="118"/>
      <c r="WYE353" s="118"/>
      <c r="WYF353" s="118"/>
      <c r="WYG353" s="118"/>
      <c r="WYH353" s="118"/>
      <c r="WYI353" s="118"/>
      <c r="WYJ353" s="118"/>
      <c r="WYK353" s="118"/>
      <c r="WYL353" s="118"/>
      <c r="WYM353" s="118"/>
      <c r="WYN353" s="118"/>
      <c r="WYO353" s="118"/>
      <c r="WYP353" s="118"/>
      <c r="WYQ353" s="118"/>
      <c r="WYR353" s="118"/>
      <c r="WYS353" s="118"/>
      <c r="WYT353" s="118"/>
      <c r="WYU353" s="118"/>
      <c r="WYV353" s="118"/>
      <c r="WYW353" s="118"/>
      <c r="WYX353" s="118"/>
      <c r="WYY353" s="118"/>
      <c r="WYZ353" s="118"/>
      <c r="WZA353" s="118"/>
      <c r="WZB353" s="118"/>
      <c r="WZC353" s="118"/>
      <c r="WZD353" s="118"/>
      <c r="WZE353" s="118"/>
      <c r="WZF353" s="118"/>
      <c r="WZG353" s="118"/>
      <c r="WZH353" s="118"/>
      <c r="WZI353" s="118"/>
      <c r="WZJ353" s="118"/>
      <c r="WZK353" s="118"/>
      <c r="WZL353" s="118"/>
      <c r="WZM353" s="118"/>
      <c r="WZN353" s="118"/>
      <c r="WZO353" s="118"/>
      <c r="WZP353" s="118"/>
      <c r="WZQ353" s="118"/>
      <c r="WZR353" s="118"/>
      <c r="WZS353" s="118"/>
      <c r="WZT353" s="118"/>
      <c r="WZU353" s="118"/>
      <c r="WZV353" s="118"/>
      <c r="WZW353" s="118"/>
      <c r="WZX353" s="118"/>
      <c r="WZY353" s="118"/>
      <c r="WZZ353" s="118"/>
      <c r="XAA353" s="118"/>
      <c r="XAB353" s="118"/>
      <c r="XAC353" s="118"/>
      <c r="XAD353" s="118"/>
      <c r="XAE353" s="118"/>
      <c r="XAF353" s="118"/>
      <c r="XAG353" s="118"/>
      <c r="XAH353" s="118"/>
      <c r="XAI353" s="118"/>
      <c r="XAJ353" s="118"/>
      <c r="XAK353" s="118"/>
      <c r="XAL353" s="118"/>
      <c r="XAM353" s="118"/>
      <c r="XAN353" s="118"/>
      <c r="XAO353" s="118"/>
      <c r="XAP353" s="118"/>
      <c r="XAQ353" s="118"/>
      <c r="XAR353" s="118"/>
      <c r="XAS353" s="118"/>
      <c r="XAT353" s="118"/>
      <c r="XAU353" s="118"/>
      <c r="XAV353" s="118"/>
      <c r="XAW353" s="118"/>
      <c r="XAX353" s="118"/>
      <c r="XAY353" s="118"/>
      <c r="XAZ353" s="118"/>
      <c r="XBA353" s="118"/>
      <c r="XBB353" s="118"/>
      <c r="XBC353" s="118"/>
      <c r="XBD353" s="118"/>
      <c r="XBE353" s="118"/>
      <c r="XBF353" s="118"/>
      <c r="XBG353" s="118"/>
      <c r="XBH353" s="118"/>
      <c r="XBI353" s="118"/>
      <c r="XBJ353" s="118"/>
      <c r="XBK353" s="118"/>
      <c r="XBL353" s="118"/>
      <c r="XBM353" s="118"/>
      <c r="XBN353" s="118"/>
      <c r="XBO353" s="118"/>
      <c r="XBP353" s="118"/>
      <c r="XBQ353" s="118"/>
      <c r="XBR353" s="118"/>
      <c r="XBS353" s="118"/>
      <c r="XBT353" s="118"/>
      <c r="XBU353" s="118"/>
      <c r="XBV353" s="118"/>
      <c r="XBW353" s="118"/>
      <c r="XBX353" s="118"/>
      <c r="XBY353" s="118"/>
      <c r="XBZ353" s="118"/>
      <c r="XCA353" s="118"/>
      <c r="XCB353" s="118"/>
      <c r="XCC353" s="118"/>
      <c r="XCD353" s="118"/>
      <c r="XCE353" s="118"/>
      <c r="XCF353" s="118"/>
      <c r="XCG353" s="118"/>
      <c r="XCH353" s="118"/>
      <c r="XCI353" s="118"/>
      <c r="XCJ353" s="118"/>
      <c r="XCK353" s="118"/>
      <c r="XCL353" s="118"/>
      <c r="XCM353" s="118"/>
      <c r="XCN353" s="118"/>
      <c r="XCO353" s="118"/>
      <c r="XCP353" s="118"/>
      <c r="XCQ353" s="118"/>
      <c r="XCR353" s="118"/>
      <c r="XCS353" s="118"/>
      <c r="XCT353" s="118"/>
      <c r="XCU353" s="118"/>
      <c r="XCV353" s="118"/>
      <c r="XCW353" s="118"/>
      <c r="XCX353" s="118"/>
      <c r="XCY353" s="118"/>
      <c r="XCZ353" s="118"/>
      <c r="XDA353" s="118"/>
      <c r="XDB353" s="118"/>
      <c r="XDC353" s="118"/>
      <c r="XDD353" s="118"/>
      <c r="XDE353" s="118"/>
      <c r="XDF353" s="118"/>
      <c r="XDG353" s="118"/>
      <c r="XDH353" s="118"/>
      <c r="XDI353" s="118"/>
      <c r="XDJ353" s="118"/>
      <c r="XDK353" s="118"/>
      <c r="XDL353" s="118"/>
      <c r="XDM353" s="118"/>
      <c r="XDN353" s="118"/>
      <c r="XDO353" s="118"/>
      <c r="XDP353" s="118"/>
      <c r="XDQ353" s="118"/>
      <c r="XDR353" s="118"/>
      <c r="XDS353" s="118"/>
      <c r="XDT353" s="118"/>
      <c r="XDU353" s="118"/>
      <c r="XDV353" s="118"/>
      <c r="XDW353" s="118"/>
      <c r="XDX353" s="118"/>
      <c r="XDY353" s="118"/>
      <c r="XDZ353" s="118"/>
      <c r="XEA353" s="118"/>
      <c r="XEB353" s="118"/>
      <c r="XEC353" s="118"/>
      <c r="XED353" s="118"/>
      <c r="XEE353" s="118"/>
      <c r="XEF353" s="118"/>
      <c r="XEG353" s="118"/>
      <c r="XEH353" s="118"/>
      <c r="XEI353" s="118"/>
      <c r="XEJ353" s="118"/>
      <c r="XEK353" s="118"/>
      <c r="XEL353" s="118"/>
      <c r="XEM353" s="118"/>
      <c r="XEN353" s="118"/>
      <c r="XEO353" s="118"/>
      <c r="XEP353" s="118"/>
      <c r="XEQ353" s="118"/>
      <c r="XER353" s="118"/>
      <c r="XES353" s="118"/>
      <c r="XET353" s="118"/>
      <c r="XEU353" s="118"/>
      <c r="XEV353" s="118"/>
      <c r="XEW353" s="118"/>
      <c r="XEX353" s="118"/>
      <c r="XEY353" s="118"/>
      <c r="XEZ353" s="118"/>
      <c r="XFA353" s="118"/>
      <c r="XFB353" s="118"/>
      <c r="XFC353" s="118"/>
      <c r="XFD353" s="118"/>
    </row>
    <row r="354" spans="1:37 16131:16384" ht="12.75" hidden="1" customHeight="1" x14ac:dyDescent="0.3">
      <c r="A354" s="115">
        <v>3130</v>
      </c>
      <c r="B354" s="8" t="s">
        <v>634</v>
      </c>
      <c r="C354" s="65" t="str">
        <f>IFERROR(VLOOKUP(D354,'Target tables'!A:B,2,0),"")</f>
        <v>Связь договора и банка</v>
      </c>
      <c r="D354" s="211" t="s">
        <v>144</v>
      </c>
      <c r="E354" s="66" t="str">
        <f>IFERROR(VLOOKUP(D354&amp;J354,'Target columns'!A:J,4,FALSE),"")</f>
        <v>uuid</v>
      </c>
      <c r="F354" s="66" t="str">
        <f>IFERROR(VLOOKUP(D354&amp;J354,'Target columns'!A:J,7,FALSE),"")</f>
        <v>No</v>
      </c>
      <c r="G354" s="66" t="str">
        <f>IFERROR(VLOOKUP(D354&amp;J354,'Target columns'!A:J,8,FALSE),"")</f>
        <v>Yes</v>
      </c>
      <c r="H354" s="66" t="str">
        <f>IFERROR(VLOOKUP(D354&amp;J354,'Target columns'!A:J,5,FALSE),"")</f>
        <v>NULL</v>
      </c>
      <c r="I354" s="66" t="str">
        <f>IFERROR(VLOOKUP(D354&amp;J354,'Target columns'!A:J,10,FALSE),"")</f>
        <v>Идентификатор банка</v>
      </c>
      <c r="J354" s="8" t="s">
        <v>581</v>
      </c>
      <c r="K354" s="8" t="s">
        <v>151</v>
      </c>
      <c r="L354" s="66" t="str">
        <f>IFERROR(VLOOKUP(K354&amp;N354,source_columns[[Seek]:[Описание поля]],4,0),"")</f>
        <v>uuid</v>
      </c>
      <c r="M354" s="66" t="str">
        <f>IFERROR(VLOOKUP(K354&amp;N354,source_columns[[Seek]:[Описание поля]],7,0),"")</f>
        <v>SWIFT код Банка бенефициара</v>
      </c>
      <c r="N354" s="8" t="s">
        <v>646</v>
      </c>
      <c r="O354" s="8"/>
      <c r="P354" s="8"/>
      <c r="Q354" s="8"/>
      <c r="R354" s="8"/>
      <c r="S354" s="278"/>
      <c r="T354" s="65"/>
      <c r="U354" s="65"/>
      <c r="V354" s="66" t="str">
        <f>"n308000046_"&amp;IFERROR(VLOOKUP(D354,target_tables[],5,0),"&lt;not found&gt;")</f>
        <v>n308000046_agr_other_bank</v>
      </c>
      <c r="W354" s="65" t="s">
        <v>273</v>
      </c>
      <c r="X354" s="65"/>
      <c r="Y354" s="65"/>
      <c r="Z354" s="65"/>
      <c r="AA354" s="65"/>
      <c r="AB354" s="65"/>
      <c r="AC354" s="65"/>
      <c r="AD354" s="65"/>
      <c r="AE354" s="65"/>
      <c r="AF354" s="299"/>
      <c r="AG354" s="10"/>
      <c r="AH354" s="10"/>
      <c r="AI354" s="10"/>
      <c r="AJ354" s="68"/>
      <c r="AK354" s="69"/>
      <c r="WVK354" s="118"/>
      <c r="WVL354" s="118"/>
      <c r="WVM354" s="118"/>
      <c r="WVN354" s="118"/>
      <c r="WVO354" s="118"/>
      <c r="WVP354" s="118"/>
      <c r="WVQ354" s="118"/>
      <c r="WVR354" s="118"/>
      <c r="WVS354" s="118"/>
      <c r="WVT354" s="118"/>
      <c r="WVU354" s="118"/>
      <c r="WVV354" s="118"/>
      <c r="WVW354" s="118"/>
      <c r="WVX354" s="118"/>
      <c r="WVY354" s="118"/>
      <c r="WVZ354" s="118"/>
      <c r="WWA354" s="118"/>
      <c r="WWB354" s="118"/>
      <c r="WWC354" s="118"/>
      <c r="WWD354" s="118"/>
      <c r="WWE354" s="118"/>
      <c r="WWF354" s="118"/>
      <c r="WWG354" s="118"/>
      <c r="WWH354" s="118"/>
      <c r="WWI354" s="118"/>
      <c r="WWJ354" s="118"/>
      <c r="WWK354" s="118"/>
      <c r="WWL354" s="118"/>
      <c r="WWM354" s="118"/>
      <c r="WWN354" s="118"/>
      <c r="WWO354" s="118"/>
      <c r="WWP354" s="118"/>
      <c r="WWQ354" s="118"/>
      <c r="WWR354" s="118"/>
      <c r="WWS354" s="118"/>
      <c r="WWT354" s="118"/>
      <c r="WWU354" s="118"/>
      <c r="WWV354" s="118"/>
      <c r="WWW354" s="118"/>
      <c r="WWX354" s="118"/>
      <c r="WWY354" s="118"/>
      <c r="WWZ354" s="118"/>
      <c r="WXA354" s="118"/>
      <c r="WXB354" s="118"/>
      <c r="WXC354" s="118"/>
      <c r="WXD354" s="118"/>
      <c r="WXE354" s="118"/>
      <c r="WXF354" s="118"/>
      <c r="WXG354" s="118"/>
      <c r="WXH354" s="118"/>
      <c r="WXI354" s="118"/>
      <c r="WXJ354" s="118"/>
      <c r="WXK354" s="118"/>
      <c r="WXL354" s="118"/>
      <c r="WXM354" s="118"/>
      <c r="WXN354" s="118"/>
      <c r="WXO354" s="118"/>
      <c r="WXP354" s="118"/>
      <c r="WXQ354" s="118"/>
      <c r="WXR354" s="118"/>
      <c r="WXS354" s="118"/>
      <c r="WXT354" s="118"/>
      <c r="WXU354" s="118"/>
      <c r="WXV354" s="118"/>
      <c r="WXW354" s="118"/>
      <c r="WXX354" s="118"/>
      <c r="WXY354" s="118"/>
      <c r="WXZ354" s="118"/>
      <c r="WYA354" s="118"/>
      <c r="WYB354" s="118"/>
      <c r="WYC354" s="118"/>
      <c r="WYD354" s="118"/>
      <c r="WYE354" s="118"/>
      <c r="WYF354" s="118"/>
      <c r="WYG354" s="118"/>
      <c r="WYH354" s="118"/>
      <c r="WYI354" s="118"/>
      <c r="WYJ354" s="118"/>
      <c r="WYK354" s="118"/>
      <c r="WYL354" s="118"/>
      <c r="WYM354" s="118"/>
      <c r="WYN354" s="118"/>
      <c r="WYO354" s="118"/>
      <c r="WYP354" s="118"/>
      <c r="WYQ354" s="118"/>
      <c r="WYR354" s="118"/>
      <c r="WYS354" s="118"/>
      <c r="WYT354" s="118"/>
      <c r="WYU354" s="118"/>
      <c r="WYV354" s="118"/>
      <c r="WYW354" s="118"/>
      <c r="WYX354" s="118"/>
      <c r="WYY354" s="118"/>
      <c r="WYZ354" s="118"/>
      <c r="WZA354" s="118"/>
      <c r="WZB354" s="118"/>
      <c r="WZC354" s="118"/>
      <c r="WZD354" s="118"/>
      <c r="WZE354" s="118"/>
      <c r="WZF354" s="118"/>
      <c r="WZG354" s="118"/>
      <c r="WZH354" s="118"/>
      <c r="WZI354" s="118"/>
      <c r="WZJ354" s="118"/>
      <c r="WZK354" s="118"/>
      <c r="WZL354" s="118"/>
      <c r="WZM354" s="118"/>
      <c r="WZN354" s="118"/>
      <c r="WZO354" s="118"/>
      <c r="WZP354" s="118"/>
      <c r="WZQ354" s="118"/>
      <c r="WZR354" s="118"/>
      <c r="WZS354" s="118"/>
      <c r="WZT354" s="118"/>
      <c r="WZU354" s="118"/>
      <c r="WZV354" s="118"/>
      <c r="WZW354" s="118"/>
      <c r="WZX354" s="118"/>
      <c r="WZY354" s="118"/>
      <c r="WZZ354" s="118"/>
      <c r="XAA354" s="118"/>
      <c r="XAB354" s="118"/>
      <c r="XAC354" s="118"/>
      <c r="XAD354" s="118"/>
      <c r="XAE354" s="118"/>
      <c r="XAF354" s="118"/>
      <c r="XAG354" s="118"/>
      <c r="XAH354" s="118"/>
      <c r="XAI354" s="118"/>
      <c r="XAJ354" s="118"/>
      <c r="XAK354" s="118"/>
      <c r="XAL354" s="118"/>
      <c r="XAM354" s="118"/>
      <c r="XAN354" s="118"/>
      <c r="XAO354" s="118"/>
      <c r="XAP354" s="118"/>
      <c r="XAQ354" s="118"/>
      <c r="XAR354" s="118"/>
      <c r="XAS354" s="118"/>
      <c r="XAT354" s="118"/>
      <c r="XAU354" s="118"/>
      <c r="XAV354" s="118"/>
      <c r="XAW354" s="118"/>
      <c r="XAX354" s="118"/>
      <c r="XAY354" s="118"/>
      <c r="XAZ354" s="118"/>
      <c r="XBA354" s="118"/>
      <c r="XBB354" s="118"/>
      <c r="XBC354" s="118"/>
      <c r="XBD354" s="118"/>
      <c r="XBE354" s="118"/>
      <c r="XBF354" s="118"/>
      <c r="XBG354" s="118"/>
      <c r="XBH354" s="118"/>
      <c r="XBI354" s="118"/>
      <c r="XBJ354" s="118"/>
      <c r="XBK354" s="118"/>
      <c r="XBL354" s="118"/>
      <c r="XBM354" s="118"/>
      <c r="XBN354" s="118"/>
      <c r="XBO354" s="118"/>
      <c r="XBP354" s="118"/>
      <c r="XBQ354" s="118"/>
      <c r="XBR354" s="118"/>
      <c r="XBS354" s="118"/>
      <c r="XBT354" s="118"/>
      <c r="XBU354" s="118"/>
      <c r="XBV354" s="118"/>
      <c r="XBW354" s="118"/>
      <c r="XBX354" s="118"/>
      <c r="XBY354" s="118"/>
      <c r="XBZ354" s="118"/>
      <c r="XCA354" s="118"/>
      <c r="XCB354" s="118"/>
      <c r="XCC354" s="118"/>
      <c r="XCD354" s="118"/>
      <c r="XCE354" s="118"/>
      <c r="XCF354" s="118"/>
      <c r="XCG354" s="118"/>
      <c r="XCH354" s="118"/>
      <c r="XCI354" s="118"/>
      <c r="XCJ354" s="118"/>
      <c r="XCK354" s="118"/>
      <c r="XCL354" s="118"/>
      <c r="XCM354" s="118"/>
      <c r="XCN354" s="118"/>
      <c r="XCO354" s="118"/>
      <c r="XCP354" s="118"/>
      <c r="XCQ354" s="118"/>
      <c r="XCR354" s="118"/>
      <c r="XCS354" s="118"/>
      <c r="XCT354" s="118"/>
      <c r="XCU354" s="118"/>
      <c r="XCV354" s="118"/>
      <c r="XCW354" s="118"/>
      <c r="XCX354" s="118"/>
      <c r="XCY354" s="118"/>
      <c r="XCZ354" s="118"/>
      <c r="XDA354" s="118"/>
      <c r="XDB354" s="118"/>
      <c r="XDC354" s="118"/>
      <c r="XDD354" s="118"/>
      <c r="XDE354" s="118"/>
      <c r="XDF354" s="118"/>
      <c r="XDG354" s="118"/>
      <c r="XDH354" s="118"/>
      <c r="XDI354" s="118"/>
      <c r="XDJ354" s="118"/>
      <c r="XDK354" s="118"/>
      <c r="XDL354" s="118"/>
      <c r="XDM354" s="118"/>
      <c r="XDN354" s="118"/>
      <c r="XDO354" s="118"/>
      <c r="XDP354" s="118"/>
      <c r="XDQ354" s="118"/>
      <c r="XDR354" s="118"/>
      <c r="XDS354" s="118"/>
      <c r="XDT354" s="118"/>
      <c r="XDU354" s="118"/>
      <c r="XDV354" s="118"/>
      <c r="XDW354" s="118"/>
      <c r="XDX354" s="118"/>
      <c r="XDY354" s="118"/>
      <c r="XDZ354" s="118"/>
      <c r="XEA354" s="118"/>
      <c r="XEB354" s="118"/>
      <c r="XEC354" s="118"/>
      <c r="XED354" s="118"/>
      <c r="XEE354" s="118"/>
      <c r="XEF354" s="118"/>
      <c r="XEG354" s="118"/>
      <c r="XEH354" s="118"/>
      <c r="XEI354" s="118"/>
      <c r="XEJ354" s="118"/>
      <c r="XEK354" s="118"/>
      <c r="XEL354" s="118"/>
      <c r="XEM354" s="118"/>
      <c r="XEN354" s="118"/>
      <c r="XEO354" s="118"/>
      <c r="XEP354" s="118"/>
      <c r="XEQ354" s="118"/>
      <c r="XER354" s="118"/>
      <c r="XES354" s="118"/>
      <c r="XET354" s="118"/>
      <c r="XEU354" s="118"/>
      <c r="XEV354" s="118"/>
      <c r="XEW354" s="118"/>
      <c r="XEX354" s="118"/>
      <c r="XEY354" s="118"/>
      <c r="XEZ354" s="118"/>
      <c r="XFA354" s="118"/>
      <c r="XFB354" s="118"/>
      <c r="XFC354" s="118"/>
      <c r="XFD354" s="118"/>
    </row>
    <row r="355" spans="1:37 16131:16384" ht="12.75" hidden="1" customHeight="1" x14ac:dyDescent="0.3">
      <c r="A355" s="116">
        <v>3140</v>
      </c>
      <c r="B355" s="20" t="s">
        <v>634</v>
      </c>
      <c r="C355" s="71" t="str">
        <f>IFERROR(VLOOKUP(D355,'Target tables'!A:B,2,0),"")</f>
        <v>Связь договора и банка</v>
      </c>
      <c r="D355" s="212" t="s">
        <v>144</v>
      </c>
      <c r="E355" s="73" t="str">
        <f>IFERROR(VLOOKUP(D355&amp;J355,'Target columns'!A:J,4,FALSE),"")</f>
        <v>date</v>
      </c>
      <c r="F355" s="73" t="str">
        <f>IFERROR(VLOOKUP(D355&amp;J355,'Target columns'!A:J,7,FALSE),"")</f>
        <v>No</v>
      </c>
      <c r="G355" s="73" t="str">
        <f>IFERROR(VLOOKUP(D355&amp;J355,'Target columns'!A:J,8,FALSE),"")</f>
        <v>No</v>
      </c>
      <c r="H355" s="73" t="str">
        <f>IFERROR(VLOOKUP(D355&amp;J355,'Target columns'!A:J,5,FALSE),"")</f>
        <v>NULL</v>
      </c>
      <c r="I355" s="73" t="str">
        <f>IFERROR(VLOOKUP(D355&amp;J355,'Target columns'!A:J,10,FALSE),"")</f>
        <v>Дата окончания действия</v>
      </c>
      <c r="J355" s="20" t="s">
        <v>331</v>
      </c>
      <c r="K355" s="20" t="s">
        <v>151</v>
      </c>
      <c r="L355" s="73" t="str">
        <f>IFERROR(VLOOKUP(K355&amp;N355,source_columns[[Seek]:[Описание поля]],4,0),"")</f>
        <v/>
      </c>
      <c r="M355" s="73" t="str">
        <f>IFERROR(VLOOKUP(K355&amp;N355,source_columns[[Seek]:[Описание поля]],7,0),"")</f>
        <v/>
      </c>
      <c r="N355" s="20" t="s">
        <v>603</v>
      </c>
      <c r="O355" s="20"/>
      <c r="P355" s="20"/>
      <c r="Q355" s="20"/>
      <c r="R355" s="20"/>
      <c r="S355" s="278"/>
      <c r="T355" s="71"/>
      <c r="U355" s="71"/>
      <c r="V355" s="73" t="str">
        <f>"n308000046_"&amp;IFERROR(VLOOKUP(D355,target_tables[],5,0),"&lt;not found&gt;")</f>
        <v>n308000046_agr_other_bank</v>
      </c>
      <c r="W355" s="71" t="s">
        <v>332</v>
      </c>
      <c r="X355" s="71"/>
      <c r="Y355" s="71"/>
      <c r="Z355" s="71"/>
      <c r="AA355" s="71"/>
      <c r="AB355" s="71"/>
      <c r="AC355" s="71"/>
      <c r="AD355" s="71"/>
      <c r="AE355" s="71"/>
      <c r="AF355" s="299"/>
      <c r="AG355" s="27"/>
      <c r="AH355" s="27"/>
      <c r="AI355" s="27"/>
      <c r="AJ355" s="75"/>
      <c r="AK355" s="69"/>
      <c r="WVK355" s="118"/>
      <c r="WVL355" s="118"/>
      <c r="WVM355" s="118"/>
      <c r="WVN355" s="118"/>
      <c r="WVO355" s="118"/>
      <c r="WVP355" s="118"/>
      <c r="WVQ355" s="118"/>
      <c r="WVR355" s="118"/>
      <c r="WVS355" s="118"/>
      <c r="WVT355" s="118"/>
      <c r="WVU355" s="118"/>
      <c r="WVV355" s="118"/>
      <c r="WVW355" s="118"/>
      <c r="WVX355" s="118"/>
      <c r="WVY355" s="118"/>
      <c r="WVZ355" s="118"/>
      <c r="WWA355" s="118"/>
      <c r="WWB355" s="118"/>
      <c r="WWC355" s="118"/>
      <c r="WWD355" s="118"/>
      <c r="WWE355" s="118"/>
      <c r="WWF355" s="118"/>
      <c r="WWG355" s="118"/>
      <c r="WWH355" s="118"/>
      <c r="WWI355" s="118"/>
      <c r="WWJ355" s="118"/>
      <c r="WWK355" s="118"/>
      <c r="WWL355" s="118"/>
      <c r="WWM355" s="118"/>
      <c r="WWN355" s="118"/>
      <c r="WWO355" s="118"/>
      <c r="WWP355" s="118"/>
      <c r="WWQ355" s="118"/>
      <c r="WWR355" s="118"/>
      <c r="WWS355" s="118"/>
      <c r="WWT355" s="118"/>
      <c r="WWU355" s="118"/>
      <c r="WWV355" s="118"/>
      <c r="WWW355" s="118"/>
      <c r="WWX355" s="118"/>
      <c r="WWY355" s="118"/>
      <c r="WWZ355" s="118"/>
      <c r="WXA355" s="118"/>
      <c r="WXB355" s="118"/>
      <c r="WXC355" s="118"/>
      <c r="WXD355" s="118"/>
      <c r="WXE355" s="118"/>
      <c r="WXF355" s="118"/>
      <c r="WXG355" s="118"/>
      <c r="WXH355" s="118"/>
      <c r="WXI355" s="118"/>
      <c r="WXJ355" s="118"/>
      <c r="WXK355" s="118"/>
      <c r="WXL355" s="118"/>
      <c r="WXM355" s="118"/>
      <c r="WXN355" s="118"/>
      <c r="WXO355" s="118"/>
      <c r="WXP355" s="118"/>
      <c r="WXQ355" s="118"/>
      <c r="WXR355" s="118"/>
      <c r="WXS355" s="118"/>
      <c r="WXT355" s="118"/>
      <c r="WXU355" s="118"/>
      <c r="WXV355" s="118"/>
      <c r="WXW355" s="118"/>
      <c r="WXX355" s="118"/>
      <c r="WXY355" s="118"/>
      <c r="WXZ355" s="118"/>
      <c r="WYA355" s="118"/>
      <c r="WYB355" s="118"/>
      <c r="WYC355" s="118"/>
      <c r="WYD355" s="118"/>
      <c r="WYE355" s="118"/>
      <c r="WYF355" s="118"/>
      <c r="WYG355" s="118"/>
      <c r="WYH355" s="118"/>
      <c r="WYI355" s="118"/>
      <c r="WYJ355" s="118"/>
      <c r="WYK355" s="118"/>
      <c r="WYL355" s="118"/>
      <c r="WYM355" s="118"/>
      <c r="WYN355" s="118"/>
      <c r="WYO355" s="118"/>
      <c r="WYP355" s="118"/>
      <c r="WYQ355" s="118"/>
      <c r="WYR355" s="118"/>
      <c r="WYS355" s="118"/>
      <c r="WYT355" s="118"/>
      <c r="WYU355" s="118"/>
      <c r="WYV355" s="118"/>
      <c r="WYW355" s="118"/>
      <c r="WYX355" s="118"/>
      <c r="WYY355" s="118"/>
      <c r="WYZ355" s="118"/>
      <c r="WZA355" s="118"/>
      <c r="WZB355" s="118"/>
      <c r="WZC355" s="118"/>
      <c r="WZD355" s="118"/>
      <c r="WZE355" s="118"/>
      <c r="WZF355" s="118"/>
      <c r="WZG355" s="118"/>
      <c r="WZH355" s="118"/>
      <c r="WZI355" s="118"/>
      <c r="WZJ355" s="118"/>
      <c r="WZK355" s="118"/>
      <c r="WZL355" s="118"/>
      <c r="WZM355" s="118"/>
      <c r="WZN355" s="118"/>
      <c r="WZO355" s="118"/>
      <c r="WZP355" s="118"/>
      <c r="WZQ355" s="118"/>
      <c r="WZR355" s="118"/>
      <c r="WZS355" s="118"/>
      <c r="WZT355" s="118"/>
      <c r="WZU355" s="118"/>
      <c r="WZV355" s="118"/>
      <c r="WZW355" s="118"/>
      <c r="WZX355" s="118"/>
      <c r="WZY355" s="118"/>
      <c r="WZZ355" s="118"/>
      <c r="XAA355" s="118"/>
      <c r="XAB355" s="118"/>
      <c r="XAC355" s="118"/>
      <c r="XAD355" s="118"/>
      <c r="XAE355" s="118"/>
      <c r="XAF355" s="118"/>
      <c r="XAG355" s="118"/>
      <c r="XAH355" s="118"/>
      <c r="XAI355" s="118"/>
      <c r="XAJ355" s="118"/>
      <c r="XAK355" s="118"/>
      <c r="XAL355" s="118"/>
      <c r="XAM355" s="118"/>
      <c r="XAN355" s="118"/>
      <c r="XAO355" s="118"/>
      <c r="XAP355" s="118"/>
      <c r="XAQ355" s="118"/>
      <c r="XAR355" s="118"/>
      <c r="XAS355" s="118"/>
      <c r="XAT355" s="118"/>
      <c r="XAU355" s="118"/>
      <c r="XAV355" s="118"/>
      <c r="XAW355" s="118"/>
      <c r="XAX355" s="118"/>
      <c r="XAY355" s="118"/>
      <c r="XAZ355" s="118"/>
      <c r="XBA355" s="118"/>
      <c r="XBB355" s="118"/>
      <c r="XBC355" s="118"/>
      <c r="XBD355" s="118"/>
      <c r="XBE355" s="118"/>
      <c r="XBF355" s="118"/>
      <c r="XBG355" s="118"/>
      <c r="XBH355" s="118"/>
      <c r="XBI355" s="118"/>
      <c r="XBJ355" s="118"/>
      <c r="XBK355" s="118"/>
      <c r="XBL355" s="118"/>
      <c r="XBM355" s="118"/>
      <c r="XBN355" s="118"/>
      <c r="XBO355" s="118"/>
      <c r="XBP355" s="118"/>
      <c r="XBQ355" s="118"/>
      <c r="XBR355" s="118"/>
      <c r="XBS355" s="118"/>
      <c r="XBT355" s="118"/>
      <c r="XBU355" s="118"/>
      <c r="XBV355" s="118"/>
      <c r="XBW355" s="118"/>
      <c r="XBX355" s="118"/>
      <c r="XBY355" s="118"/>
      <c r="XBZ355" s="118"/>
      <c r="XCA355" s="118"/>
      <c r="XCB355" s="118"/>
      <c r="XCC355" s="118"/>
      <c r="XCD355" s="118"/>
      <c r="XCE355" s="118"/>
      <c r="XCF355" s="118"/>
      <c r="XCG355" s="118"/>
      <c r="XCH355" s="118"/>
      <c r="XCI355" s="118"/>
      <c r="XCJ355" s="118"/>
      <c r="XCK355" s="118"/>
      <c r="XCL355" s="118"/>
      <c r="XCM355" s="118"/>
      <c r="XCN355" s="118"/>
      <c r="XCO355" s="118"/>
      <c r="XCP355" s="118"/>
      <c r="XCQ355" s="118"/>
      <c r="XCR355" s="118"/>
      <c r="XCS355" s="118"/>
      <c r="XCT355" s="118"/>
      <c r="XCU355" s="118"/>
      <c r="XCV355" s="118"/>
      <c r="XCW355" s="118"/>
      <c r="XCX355" s="118"/>
      <c r="XCY355" s="118"/>
      <c r="XCZ355" s="118"/>
      <c r="XDA355" s="118"/>
      <c r="XDB355" s="118"/>
      <c r="XDC355" s="118"/>
      <c r="XDD355" s="118"/>
      <c r="XDE355" s="118"/>
      <c r="XDF355" s="118"/>
      <c r="XDG355" s="118"/>
      <c r="XDH355" s="118"/>
      <c r="XDI355" s="118"/>
      <c r="XDJ355" s="118"/>
      <c r="XDK355" s="118"/>
      <c r="XDL355" s="118"/>
      <c r="XDM355" s="118"/>
      <c r="XDN355" s="118"/>
      <c r="XDO355" s="118"/>
      <c r="XDP355" s="118"/>
      <c r="XDQ355" s="118"/>
      <c r="XDR355" s="118"/>
      <c r="XDS355" s="118"/>
      <c r="XDT355" s="118"/>
      <c r="XDU355" s="118"/>
      <c r="XDV355" s="118"/>
      <c r="XDW355" s="118"/>
      <c r="XDX355" s="118"/>
      <c r="XDY355" s="118"/>
      <c r="XDZ355" s="118"/>
      <c r="XEA355" s="118"/>
      <c r="XEB355" s="118"/>
      <c r="XEC355" s="118"/>
      <c r="XED355" s="118"/>
      <c r="XEE355" s="118"/>
      <c r="XEF355" s="118"/>
      <c r="XEG355" s="118"/>
      <c r="XEH355" s="118"/>
      <c r="XEI355" s="118"/>
      <c r="XEJ355" s="118"/>
      <c r="XEK355" s="118"/>
      <c r="XEL355" s="118"/>
      <c r="XEM355" s="118"/>
      <c r="XEN355" s="118"/>
      <c r="XEO355" s="118"/>
      <c r="XEP355" s="118"/>
      <c r="XEQ355" s="118"/>
      <c r="XER355" s="118"/>
      <c r="XES355" s="118"/>
      <c r="XET355" s="118"/>
      <c r="XEU355" s="118"/>
      <c r="XEV355" s="118"/>
      <c r="XEW355" s="118"/>
      <c r="XEX355" s="118"/>
      <c r="XEY355" s="118"/>
      <c r="XEZ355" s="118"/>
      <c r="XFA355" s="118"/>
      <c r="XFB355" s="118"/>
      <c r="XFC355" s="118"/>
      <c r="XFD355" s="118"/>
    </row>
    <row r="356" spans="1:37 16131:16384" ht="12.75" hidden="1" customHeight="1" x14ac:dyDescent="0.3">
      <c r="A356" s="114">
        <v>3150</v>
      </c>
      <c r="B356" s="113" t="s">
        <v>634</v>
      </c>
      <c r="C356" s="82" t="str">
        <f>IFERROR(VLOOKUP(D356,'Target tables'!A:B,2,0),"")</f>
        <v>Таблица связей договора эскроу со справочником оргструктуры</v>
      </c>
      <c r="D356" s="208" t="s">
        <v>139</v>
      </c>
      <c r="E356" s="78" t="str">
        <f>IFERROR(VLOOKUP(D356&amp;J356,'Target columns'!A:J,4,FALSE),"")</f>
        <v>UUID</v>
      </c>
      <c r="F356" s="78" t="str">
        <f>IFERROR(VLOOKUP(D356&amp;J356,'Target columns'!A:J,7,FALSE),"")</f>
        <v>Yes</v>
      </c>
      <c r="G356" s="78" t="str">
        <f>IFERROR(VLOOKUP(D356&amp;J356,'Target columns'!A:J,8,FALSE),"")</f>
        <v>Yes</v>
      </c>
      <c r="H356" s="78" t="str">
        <f>IFERROR(VLOOKUP(D356&amp;J356,'Target columns'!A:J,5,FALSE),"")</f>
        <v>NOT NULL</v>
      </c>
      <c r="I356" s="78" t="str">
        <f>IFERROR(VLOOKUP(D356&amp;J356,'Target columns'!A:J,10,FALSE),"")</f>
        <v>Идентификатор договора</v>
      </c>
      <c r="J356" s="23" t="s">
        <v>589</v>
      </c>
      <c r="K356" s="23" t="s">
        <v>151</v>
      </c>
      <c r="L356" s="78" t="str">
        <f>IFERROR(VLOOKUP(K356&amp;N356,source_columns[[Seek]:[Описание поля]],4,0),"")</f>
        <v>uuid</v>
      </c>
      <c r="M356" s="78" t="str">
        <f>IFERROR(VLOOKUP(K356&amp;N356,source_columns[[Seek]:[Описание поля]],7,0),"")</f>
        <v>Референс сделки</v>
      </c>
      <c r="N356" s="23" t="s">
        <v>496</v>
      </c>
      <c r="O356" s="113"/>
      <c r="P356" s="113"/>
      <c r="Q356" s="113"/>
      <c r="R356" s="113"/>
      <c r="S356" s="278" t="s">
        <v>647</v>
      </c>
      <c r="T356" s="82"/>
      <c r="U356" s="82"/>
      <c r="V356" s="84" t="str">
        <f>"n308000046_"&amp;IFERROR(VLOOKUP(D356,target_tables[],5,0),"&lt;not found&gt;")</f>
        <v>n308000046_agr_other_int_org</v>
      </c>
      <c r="W356" s="82" t="s">
        <v>269</v>
      </c>
      <c r="X356" s="82"/>
      <c r="Y356" s="82"/>
      <c r="Z356" s="82"/>
      <c r="AA356" s="82"/>
      <c r="AB356" s="82"/>
      <c r="AC356" s="82"/>
      <c r="AD356" s="82"/>
      <c r="AE356" s="82"/>
      <c r="AF356" s="299" t="s">
        <v>342</v>
      </c>
      <c r="AG356" s="83"/>
      <c r="AH356" s="83"/>
      <c r="AI356" s="83"/>
      <c r="AJ356" s="91"/>
      <c r="AK356" s="69"/>
      <c r="WVK356" s="118"/>
      <c r="WVL356" s="118"/>
      <c r="WVM356" s="118"/>
      <c r="WVN356" s="118"/>
      <c r="WVO356" s="118"/>
      <c r="WVP356" s="118"/>
      <c r="WVQ356" s="118"/>
      <c r="WVR356" s="118"/>
      <c r="WVS356" s="118"/>
      <c r="WVT356" s="118"/>
      <c r="WVU356" s="118"/>
      <c r="WVV356" s="118"/>
      <c r="WVW356" s="118"/>
      <c r="WVX356" s="118"/>
      <c r="WVY356" s="118"/>
      <c r="WVZ356" s="118"/>
      <c r="WWA356" s="118"/>
      <c r="WWB356" s="118"/>
      <c r="WWC356" s="118"/>
      <c r="WWD356" s="118"/>
      <c r="WWE356" s="118"/>
      <c r="WWF356" s="118"/>
      <c r="WWG356" s="118"/>
      <c r="WWH356" s="118"/>
      <c r="WWI356" s="118"/>
      <c r="WWJ356" s="118"/>
      <c r="WWK356" s="118"/>
      <c r="WWL356" s="118"/>
      <c r="WWM356" s="118"/>
      <c r="WWN356" s="118"/>
      <c r="WWO356" s="118"/>
      <c r="WWP356" s="118"/>
      <c r="WWQ356" s="118"/>
      <c r="WWR356" s="118"/>
      <c r="WWS356" s="118"/>
      <c r="WWT356" s="118"/>
      <c r="WWU356" s="118"/>
      <c r="WWV356" s="118"/>
      <c r="WWW356" s="118"/>
      <c r="WWX356" s="118"/>
      <c r="WWY356" s="118"/>
      <c r="WWZ356" s="118"/>
      <c r="WXA356" s="118"/>
      <c r="WXB356" s="118"/>
      <c r="WXC356" s="118"/>
      <c r="WXD356" s="118"/>
      <c r="WXE356" s="118"/>
      <c r="WXF356" s="118"/>
      <c r="WXG356" s="118"/>
      <c r="WXH356" s="118"/>
      <c r="WXI356" s="118"/>
      <c r="WXJ356" s="118"/>
      <c r="WXK356" s="118"/>
      <c r="WXL356" s="118"/>
      <c r="WXM356" s="118"/>
      <c r="WXN356" s="118"/>
      <c r="WXO356" s="118"/>
      <c r="WXP356" s="118"/>
      <c r="WXQ356" s="118"/>
      <c r="WXR356" s="118"/>
      <c r="WXS356" s="118"/>
      <c r="WXT356" s="118"/>
      <c r="WXU356" s="118"/>
      <c r="WXV356" s="118"/>
      <c r="WXW356" s="118"/>
      <c r="WXX356" s="118"/>
      <c r="WXY356" s="118"/>
      <c r="WXZ356" s="118"/>
      <c r="WYA356" s="118"/>
      <c r="WYB356" s="118"/>
      <c r="WYC356" s="118"/>
      <c r="WYD356" s="118"/>
      <c r="WYE356" s="118"/>
      <c r="WYF356" s="118"/>
      <c r="WYG356" s="118"/>
      <c r="WYH356" s="118"/>
      <c r="WYI356" s="118"/>
      <c r="WYJ356" s="118"/>
      <c r="WYK356" s="118"/>
      <c r="WYL356" s="118"/>
      <c r="WYM356" s="118"/>
      <c r="WYN356" s="118"/>
      <c r="WYO356" s="118"/>
      <c r="WYP356" s="118"/>
      <c r="WYQ356" s="118"/>
      <c r="WYR356" s="118"/>
      <c r="WYS356" s="118"/>
      <c r="WYT356" s="118"/>
      <c r="WYU356" s="118"/>
      <c r="WYV356" s="118"/>
      <c r="WYW356" s="118"/>
      <c r="WYX356" s="118"/>
      <c r="WYY356" s="118"/>
      <c r="WYZ356" s="118"/>
      <c r="WZA356" s="118"/>
      <c r="WZB356" s="118"/>
      <c r="WZC356" s="118"/>
      <c r="WZD356" s="118"/>
      <c r="WZE356" s="118"/>
      <c r="WZF356" s="118"/>
      <c r="WZG356" s="118"/>
      <c r="WZH356" s="118"/>
      <c r="WZI356" s="118"/>
      <c r="WZJ356" s="118"/>
      <c r="WZK356" s="118"/>
      <c r="WZL356" s="118"/>
      <c r="WZM356" s="118"/>
      <c r="WZN356" s="118"/>
      <c r="WZO356" s="118"/>
      <c r="WZP356" s="118"/>
      <c r="WZQ356" s="118"/>
      <c r="WZR356" s="118"/>
      <c r="WZS356" s="118"/>
      <c r="WZT356" s="118"/>
      <c r="WZU356" s="118"/>
      <c r="WZV356" s="118"/>
      <c r="WZW356" s="118"/>
      <c r="WZX356" s="118"/>
      <c r="WZY356" s="118"/>
      <c r="WZZ356" s="118"/>
      <c r="XAA356" s="118"/>
      <c r="XAB356" s="118"/>
      <c r="XAC356" s="118"/>
      <c r="XAD356" s="118"/>
      <c r="XAE356" s="118"/>
      <c r="XAF356" s="118"/>
      <c r="XAG356" s="118"/>
      <c r="XAH356" s="118"/>
      <c r="XAI356" s="118"/>
      <c r="XAJ356" s="118"/>
      <c r="XAK356" s="118"/>
      <c r="XAL356" s="118"/>
      <c r="XAM356" s="118"/>
      <c r="XAN356" s="118"/>
      <c r="XAO356" s="118"/>
      <c r="XAP356" s="118"/>
      <c r="XAQ356" s="118"/>
      <c r="XAR356" s="118"/>
      <c r="XAS356" s="118"/>
      <c r="XAT356" s="118"/>
      <c r="XAU356" s="118"/>
      <c r="XAV356" s="118"/>
      <c r="XAW356" s="118"/>
      <c r="XAX356" s="118"/>
      <c r="XAY356" s="118"/>
      <c r="XAZ356" s="118"/>
      <c r="XBA356" s="118"/>
      <c r="XBB356" s="118"/>
      <c r="XBC356" s="118"/>
      <c r="XBD356" s="118"/>
      <c r="XBE356" s="118"/>
      <c r="XBF356" s="118"/>
      <c r="XBG356" s="118"/>
      <c r="XBH356" s="118"/>
      <c r="XBI356" s="118"/>
      <c r="XBJ356" s="118"/>
      <c r="XBK356" s="118"/>
      <c r="XBL356" s="118"/>
      <c r="XBM356" s="118"/>
      <c r="XBN356" s="118"/>
      <c r="XBO356" s="118"/>
      <c r="XBP356" s="118"/>
      <c r="XBQ356" s="118"/>
      <c r="XBR356" s="118"/>
      <c r="XBS356" s="118"/>
      <c r="XBT356" s="118"/>
      <c r="XBU356" s="118"/>
      <c r="XBV356" s="118"/>
      <c r="XBW356" s="118"/>
      <c r="XBX356" s="118"/>
      <c r="XBY356" s="118"/>
      <c r="XBZ356" s="118"/>
      <c r="XCA356" s="118"/>
      <c r="XCB356" s="118"/>
      <c r="XCC356" s="118"/>
      <c r="XCD356" s="118"/>
      <c r="XCE356" s="118"/>
      <c r="XCF356" s="118"/>
      <c r="XCG356" s="118"/>
      <c r="XCH356" s="118"/>
      <c r="XCI356" s="118"/>
      <c r="XCJ356" s="118"/>
      <c r="XCK356" s="118"/>
      <c r="XCL356" s="118"/>
      <c r="XCM356" s="118"/>
      <c r="XCN356" s="118"/>
      <c r="XCO356" s="118"/>
      <c r="XCP356" s="118"/>
      <c r="XCQ356" s="118"/>
      <c r="XCR356" s="118"/>
      <c r="XCS356" s="118"/>
      <c r="XCT356" s="118"/>
      <c r="XCU356" s="118"/>
      <c r="XCV356" s="118"/>
      <c r="XCW356" s="118"/>
      <c r="XCX356" s="118"/>
      <c r="XCY356" s="118"/>
      <c r="XCZ356" s="118"/>
      <c r="XDA356" s="118"/>
      <c r="XDB356" s="118"/>
      <c r="XDC356" s="118"/>
      <c r="XDD356" s="118"/>
      <c r="XDE356" s="118"/>
      <c r="XDF356" s="118"/>
      <c r="XDG356" s="118"/>
      <c r="XDH356" s="118"/>
      <c r="XDI356" s="118"/>
      <c r="XDJ356" s="118"/>
      <c r="XDK356" s="118"/>
      <c r="XDL356" s="118"/>
      <c r="XDM356" s="118"/>
      <c r="XDN356" s="118"/>
      <c r="XDO356" s="118"/>
      <c r="XDP356" s="118"/>
      <c r="XDQ356" s="118"/>
      <c r="XDR356" s="118"/>
      <c r="XDS356" s="118"/>
      <c r="XDT356" s="118"/>
      <c r="XDU356" s="118"/>
      <c r="XDV356" s="118"/>
      <c r="XDW356" s="118"/>
      <c r="XDX356" s="118"/>
      <c r="XDY356" s="118"/>
      <c r="XDZ356" s="118"/>
      <c r="XEA356" s="118"/>
      <c r="XEB356" s="118"/>
      <c r="XEC356" s="118"/>
      <c r="XED356" s="118"/>
      <c r="XEE356" s="118"/>
      <c r="XEF356" s="118"/>
      <c r="XEG356" s="118"/>
      <c r="XEH356" s="118"/>
      <c r="XEI356" s="118"/>
      <c r="XEJ356" s="118"/>
      <c r="XEK356" s="118"/>
      <c r="XEL356" s="118"/>
      <c r="XEM356" s="118"/>
      <c r="XEN356" s="118"/>
      <c r="XEO356" s="118"/>
      <c r="XEP356" s="118"/>
      <c r="XEQ356" s="118"/>
      <c r="XER356" s="118"/>
      <c r="XES356" s="118"/>
      <c r="XET356" s="118"/>
      <c r="XEU356" s="118"/>
      <c r="XEV356" s="118"/>
      <c r="XEW356" s="118"/>
      <c r="XEX356" s="118"/>
      <c r="XEY356" s="118"/>
      <c r="XEZ356" s="118"/>
      <c r="XFA356" s="118"/>
      <c r="XFB356" s="118"/>
      <c r="XFC356" s="118"/>
      <c r="XFD356" s="118"/>
    </row>
    <row r="357" spans="1:37 16131:16384" ht="12.75" hidden="1" customHeight="1" x14ac:dyDescent="0.3">
      <c r="A357" s="115">
        <v>3160</v>
      </c>
      <c r="B357" s="8" t="s">
        <v>634</v>
      </c>
      <c r="C357" s="65" t="str">
        <f>IFERROR(VLOOKUP(D357,'Target tables'!A:B,2,0),"")</f>
        <v>Таблица связей договора эскроу со справочником оргструктуры</v>
      </c>
      <c r="D357" s="211" t="s">
        <v>139</v>
      </c>
      <c r="E357" s="66" t="str">
        <f>IFERROR(VLOOKUP(D357&amp;J357,'Target columns'!A:J,4,FALSE),"")</f>
        <v>UUID</v>
      </c>
      <c r="F357" s="66" t="str">
        <f>IFERROR(VLOOKUP(D357&amp;J357,'Target columns'!A:J,7,FALSE),"")</f>
        <v>Yes</v>
      </c>
      <c r="G357" s="66" t="str">
        <f>IFERROR(VLOOKUP(D357&amp;J357,'Target columns'!A:J,8,FALSE),"")</f>
        <v>Yes</v>
      </c>
      <c r="H357" s="66" t="str">
        <f>IFERROR(VLOOKUP(D357&amp;J357,'Target columns'!A:J,5,FALSE),"")</f>
        <v>NOT NULL</v>
      </c>
      <c r="I357" s="66" t="str">
        <f>IFERROR(VLOOKUP(D357&amp;J357,'Target columns'!A:J,10,FALSE),"")</f>
        <v>Идентификатор терр. структуры</v>
      </c>
      <c r="J357" s="8" t="s">
        <v>364</v>
      </c>
      <c r="K357" s="8" t="s">
        <v>151</v>
      </c>
      <c r="L357" s="66" t="str">
        <f>IFERROR(VLOOKUP(K357&amp;N357,source_columns[[Seek]:[Описание поля]],4,0),"")</f>
        <v>uuid</v>
      </c>
      <c r="M357" s="66" t="str">
        <f>IFERROR(VLOOKUP(K357&amp;N357,source_columns[[Seek]:[Описание поля]],7,0),"")</f>
        <v>Код подразделения - владельца досье</v>
      </c>
      <c r="N357" s="8" t="s">
        <v>648</v>
      </c>
      <c r="O357" s="8"/>
      <c r="P357" s="8"/>
      <c r="Q357" s="8"/>
      <c r="R357" s="8"/>
      <c r="S357" s="278"/>
      <c r="T357" s="65"/>
      <c r="U357" s="65"/>
      <c r="V357" s="66" t="str">
        <f>"n308000046_"&amp;IFERROR(VLOOKUP(D357,target_tables[],5,0),"&lt;not found&gt;")</f>
        <v>n308000046_agr_other_int_org</v>
      </c>
      <c r="W357" s="65" t="s">
        <v>273</v>
      </c>
      <c r="X357" s="65"/>
      <c r="Y357" s="65"/>
      <c r="Z357" s="65"/>
      <c r="AA357" s="65"/>
      <c r="AB357" s="65"/>
      <c r="AC357" s="65"/>
      <c r="AD357" s="65"/>
      <c r="AE357" s="65"/>
      <c r="AF357" s="299"/>
      <c r="AG357" s="10"/>
      <c r="AH357" s="10"/>
      <c r="AI357" s="10"/>
      <c r="AJ357" s="68"/>
      <c r="AK357" s="69"/>
      <c r="WVK357" s="118"/>
      <c r="WVL357" s="118"/>
      <c r="WVM357" s="118"/>
      <c r="WVN357" s="118"/>
      <c r="WVO357" s="118"/>
      <c r="WVP357" s="118"/>
      <c r="WVQ357" s="118"/>
      <c r="WVR357" s="118"/>
      <c r="WVS357" s="118"/>
      <c r="WVT357" s="118"/>
      <c r="WVU357" s="118"/>
      <c r="WVV357" s="118"/>
      <c r="WVW357" s="118"/>
      <c r="WVX357" s="118"/>
      <c r="WVY357" s="118"/>
      <c r="WVZ357" s="118"/>
      <c r="WWA357" s="118"/>
      <c r="WWB357" s="118"/>
      <c r="WWC357" s="118"/>
      <c r="WWD357" s="118"/>
      <c r="WWE357" s="118"/>
      <c r="WWF357" s="118"/>
      <c r="WWG357" s="118"/>
      <c r="WWH357" s="118"/>
      <c r="WWI357" s="118"/>
      <c r="WWJ357" s="118"/>
      <c r="WWK357" s="118"/>
      <c r="WWL357" s="118"/>
      <c r="WWM357" s="118"/>
      <c r="WWN357" s="118"/>
      <c r="WWO357" s="118"/>
      <c r="WWP357" s="118"/>
      <c r="WWQ357" s="118"/>
      <c r="WWR357" s="118"/>
      <c r="WWS357" s="118"/>
      <c r="WWT357" s="118"/>
      <c r="WWU357" s="118"/>
      <c r="WWV357" s="118"/>
      <c r="WWW357" s="118"/>
      <c r="WWX357" s="118"/>
      <c r="WWY357" s="118"/>
      <c r="WWZ357" s="118"/>
      <c r="WXA357" s="118"/>
      <c r="WXB357" s="118"/>
      <c r="WXC357" s="118"/>
      <c r="WXD357" s="118"/>
      <c r="WXE357" s="118"/>
      <c r="WXF357" s="118"/>
      <c r="WXG357" s="118"/>
      <c r="WXH357" s="118"/>
      <c r="WXI357" s="118"/>
      <c r="WXJ357" s="118"/>
      <c r="WXK357" s="118"/>
      <c r="WXL357" s="118"/>
      <c r="WXM357" s="118"/>
      <c r="WXN357" s="118"/>
      <c r="WXO357" s="118"/>
      <c r="WXP357" s="118"/>
      <c r="WXQ357" s="118"/>
      <c r="WXR357" s="118"/>
      <c r="WXS357" s="118"/>
      <c r="WXT357" s="118"/>
      <c r="WXU357" s="118"/>
      <c r="WXV357" s="118"/>
      <c r="WXW357" s="118"/>
      <c r="WXX357" s="118"/>
      <c r="WXY357" s="118"/>
      <c r="WXZ357" s="118"/>
      <c r="WYA357" s="118"/>
      <c r="WYB357" s="118"/>
      <c r="WYC357" s="118"/>
      <c r="WYD357" s="118"/>
      <c r="WYE357" s="118"/>
      <c r="WYF357" s="118"/>
      <c r="WYG357" s="118"/>
      <c r="WYH357" s="118"/>
      <c r="WYI357" s="118"/>
      <c r="WYJ357" s="118"/>
      <c r="WYK357" s="118"/>
      <c r="WYL357" s="118"/>
      <c r="WYM357" s="118"/>
      <c r="WYN357" s="118"/>
      <c r="WYO357" s="118"/>
      <c r="WYP357" s="118"/>
      <c r="WYQ357" s="118"/>
      <c r="WYR357" s="118"/>
      <c r="WYS357" s="118"/>
      <c r="WYT357" s="118"/>
      <c r="WYU357" s="118"/>
      <c r="WYV357" s="118"/>
      <c r="WYW357" s="118"/>
      <c r="WYX357" s="118"/>
      <c r="WYY357" s="118"/>
      <c r="WYZ357" s="118"/>
      <c r="WZA357" s="118"/>
      <c r="WZB357" s="118"/>
      <c r="WZC357" s="118"/>
      <c r="WZD357" s="118"/>
      <c r="WZE357" s="118"/>
      <c r="WZF357" s="118"/>
      <c r="WZG357" s="118"/>
      <c r="WZH357" s="118"/>
      <c r="WZI357" s="118"/>
      <c r="WZJ357" s="118"/>
      <c r="WZK357" s="118"/>
      <c r="WZL357" s="118"/>
      <c r="WZM357" s="118"/>
      <c r="WZN357" s="118"/>
      <c r="WZO357" s="118"/>
      <c r="WZP357" s="118"/>
      <c r="WZQ357" s="118"/>
      <c r="WZR357" s="118"/>
      <c r="WZS357" s="118"/>
      <c r="WZT357" s="118"/>
      <c r="WZU357" s="118"/>
      <c r="WZV357" s="118"/>
      <c r="WZW357" s="118"/>
      <c r="WZX357" s="118"/>
      <c r="WZY357" s="118"/>
      <c r="WZZ357" s="118"/>
      <c r="XAA357" s="118"/>
      <c r="XAB357" s="118"/>
      <c r="XAC357" s="118"/>
      <c r="XAD357" s="118"/>
      <c r="XAE357" s="118"/>
      <c r="XAF357" s="118"/>
      <c r="XAG357" s="118"/>
      <c r="XAH357" s="118"/>
      <c r="XAI357" s="118"/>
      <c r="XAJ357" s="118"/>
      <c r="XAK357" s="118"/>
      <c r="XAL357" s="118"/>
      <c r="XAM357" s="118"/>
      <c r="XAN357" s="118"/>
      <c r="XAO357" s="118"/>
      <c r="XAP357" s="118"/>
      <c r="XAQ357" s="118"/>
      <c r="XAR357" s="118"/>
      <c r="XAS357" s="118"/>
      <c r="XAT357" s="118"/>
      <c r="XAU357" s="118"/>
      <c r="XAV357" s="118"/>
      <c r="XAW357" s="118"/>
      <c r="XAX357" s="118"/>
      <c r="XAY357" s="118"/>
      <c r="XAZ357" s="118"/>
      <c r="XBA357" s="118"/>
      <c r="XBB357" s="118"/>
      <c r="XBC357" s="118"/>
      <c r="XBD357" s="118"/>
      <c r="XBE357" s="118"/>
      <c r="XBF357" s="118"/>
      <c r="XBG357" s="118"/>
      <c r="XBH357" s="118"/>
      <c r="XBI357" s="118"/>
      <c r="XBJ357" s="118"/>
      <c r="XBK357" s="118"/>
      <c r="XBL357" s="118"/>
      <c r="XBM357" s="118"/>
      <c r="XBN357" s="118"/>
      <c r="XBO357" s="118"/>
      <c r="XBP357" s="118"/>
      <c r="XBQ357" s="118"/>
      <c r="XBR357" s="118"/>
      <c r="XBS357" s="118"/>
      <c r="XBT357" s="118"/>
      <c r="XBU357" s="118"/>
      <c r="XBV357" s="118"/>
      <c r="XBW357" s="118"/>
      <c r="XBX357" s="118"/>
      <c r="XBY357" s="118"/>
      <c r="XBZ357" s="118"/>
      <c r="XCA357" s="118"/>
      <c r="XCB357" s="118"/>
      <c r="XCC357" s="118"/>
      <c r="XCD357" s="118"/>
      <c r="XCE357" s="118"/>
      <c r="XCF357" s="118"/>
      <c r="XCG357" s="118"/>
      <c r="XCH357" s="118"/>
      <c r="XCI357" s="118"/>
      <c r="XCJ357" s="118"/>
      <c r="XCK357" s="118"/>
      <c r="XCL357" s="118"/>
      <c r="XCM357" s="118"/>
      <c r="XCN357" s="118"/>
      <c r="XCO357" s="118"/>
      <c r="XCP357" s="118"/>
      <c r="XCQ357" s="118"/>
      <c r="XCR357" s="118"/>
      <c r="XCS357" s="118"/>
      <c r="XCT357" s="118"/>
      <c r="XCU357" s="118"/>
      <c r="XCV357" s="118"/>
      <c r="XCW357" s="118"/>
      <c r="XCX357" s="118"/>
      <c r="XCY357" s="118"/>
      <c r="XCZ357" s="118"/>
      <c r="XDA357" s="118"/>
      <c r="XDB357" s="118"/>
      <c r="XDC357" s="118"/>
      <c r="XDD357" s="118"/>
      <c r="XDE357" s="118"/>
      <c r="XDF357" s="118"/>
      <c r="XDG357" s="118"/>
      <c r="XDH357" s="118"/>
      <c r="XDI357" s="118"/>
      <c r="XDJ357" s="118"/>
      <c r="XDK357" s="118"/>
      <c r="XDL357" s="118"/>
      <c r="XDM357" s="118"/>
      <c r="XDN357" s="118"/>
      <c r="XDO357" s="118"/>
      <c r="XDP357" s="118"/>
      <c r="XDQ357" s="118"/>
      <c r="XDR357" s="118"/>
      <c r="XDS357" s="118"/>
      <c r="XDT357" s="118"/>
      <c r="XDU357" s="118"/>
      <c r="XDV357" s="118"/>
      <c r="XDW357" s="118"/>
      <c r="XDX357" s="118"/>
      <c r="XDY357" s="118"/>
      <c r="XDZ357" s="118"/>
      <c r="XEA357" s="118"/>
      <c r="XEB357" s="118"/>
      <c r="XEC357" s="118"/>
      <c r="XED357" s="118"/>
      <c r="XEE357" s="118"/>
      <c r="XEF357" s="118"/>
      <c r="XEG357" s="118"/>
      <c r="XEH357" s="118"/>
      <c r="XEI357" s="118"/>
      <c r="XEJ357" s="118"/>
      <c r="XEK357" s="118"/>
      <c r="XEL357" s="118"/>
      <c r="XEM357" s="118"/>
      <c r="XEN357" s="118"/>
      <c r="XEO357" s="118"/>
      <c r="XEP357" s="118"/>
      <c r="XEQ357" s="118"/>
      <c r="XER357" s="118"/>
      <c r="XES357" s="118"/>
      <c r="XET357" s="118"/>
      <c r="XEU357" s="118"/>
      <c r="XEV357" s="118"/>
      <c r="XEW357" s="118"/>
      <c r="XEX357" s="118"/>
      <c r="XEY357" s="118"/>
      <c r="XEZ357" s="118"/>
      <c r="XFA357" s="118"/>
      <c r="XFB357" s="118"/>
      <c r="XFC357" s="118"/>
      <c r="XFD357" s="118"/>
    </row>
    <row r="358" spans="1:37 16131:16384" ht="12.75" hidden="1" customHeight="1" x14ac:dyDescent="0.25">
      <c r="A358" s="115">
        <v>3170</v>
      </c>
      <c r="B358" s="8" t="s">
        <v>634</v>
      </c>
      <c r="C358" s="65" t="str">
        <f>IFERROR(VLOOKUP(D358,'Target tables'!A:B,2,0),"")</f>
        <v>Таблица связей договора эскроу со справочником оргструктуры</v>
      </c>
      <c r="D358" s="211" t="s">
        <v>139</v>
      </c>
      <c r="E358" s="66" t="str">
        <f>IFERROR(VLOOKUP(D358&amp;J358,'Target columns'!A:J,4,FALSE),"")</f>
        <v>UUID</v>
      </c>
      <c r="F358" s="66" t="str">
        <f>IFERROR(VLOOKUP(D358&amp;J358,'Target columns'!A:J,7,FALSE),"")</f>
        <v>Yes</v>
      </c>
      <c r="G358" s="66" t="str">
        <f>IFERROR(VLOOKUP(D358&amp;J358,'Target columns'!A:J,8,FALSE),"")</f>
        <v>No</v>
      </c>
      <c r="H358" s="66" t="str">
        <f>IFERROR(VLOOKUP(D358&amp;J358,'Target columns'!A:J,5,FALSE),"")</f>
        <v>NOT NULL</v>
      </c>
      <c r="I358" s="66" t="str">
        <f>IFERROR(VLOOKUP(D358&amp;J358,'Target columns'!A:J,10,FALSE),"")</f>
        <v>Идентификатор типа связи договора с терр. структурой</v>
      </c>
      <c r="J358" s="8" t="s">
        <v>614</v>
      </c>
      <c r="K358" s="8" t="s">
        <v>151</v>
      </c>
      <c r="L358" s="66" t="str">
        <f>IFERROR(VLOOKUP(K358&amp;N358,source_columns[[Seek]:[Описание поля]],4,0),"")</f>
        <v/>
      </c>
      <c r="M358" s="66" t="str">
        <f>IFERROR(VLOOKUP(K358&amp;N358,source_columns[[Seek]:[Описание поля]],7,0),"")</f>
        <v/>
      </c>
      <c r="N358" s="8" t="s">
        <v>615</v>
      </c>
      <c r="O358" s="8"/>
      <c r="P358" s="8"/>
      <c r="Q358" s="8"/>
      <c r="R358" s="8"/>
      <c r="S358" s="278"/>
      <c r="T358" s="65"/>
      <c r="U358" s="65"/>
      <c r="V358" s="66" t="str">
        <f>"n308000046_"&amp;IFERROR(VLOOKUP(D358,target_tables[],5,0),"&lt;not found&gt;")</f>
        <v>n308000046_agr_other_int_org</v>
      </c>
      <c r="W358" s="65" t="s">
        <v>269</v>
      </c>
      <c r="X358" s="65"/>
      <c r="Y358" s="65"/>
      <c r="Z358" s="65"/>
      <c r="AA358" s="65"/>
      <c r="AB358" s="65"/>
      <c r="AC358" s="65"/>
      <c r="AD358" s="65"/>
      <c r="AE358" s="65"/>
      <c r="AF358" s="299"/>
      <c r="AG358" s="10"/>
      <c r="AH358" s="10"/>
      <c r="AI358" s="10"/>
      <c r="AJ358" s="68"/>
      <c r="AK358" s="69"/>
    </row>
    <row r="359" spans="1:37 16131:16384" ht="12.75" hidden="1" customHeight="1" x14ac:dyDescent="0.25">
      <c r="A359" s="115">
        <v>3180</v>
      </c>
      <c r="B359" s="8" t="s">
        <v>634</v>
      </c>
      <c r="C359" s="65" t="str">
        <f>IFERROR(VLOOKUP(D359,'Target tables'!A:B,2,0),"")</f>
        <v>Таблица связей договора эскроу со справочником оргструктуры</v>
      </c>
      <c r="D359" s="211" t="s">
        <v>139</v>
      </c>
      <c r="E359" s="66" t="str">
        <f>IFERROR(VLOOKUP(D359&amp;J359,'Target columns'!A:J,4,FALSE),"")</f>
        <v>DATE</v>
      </c>
      <c r="F359" s="66" t="str">
        <f>IFERROR(VLOOKUP(D359&amp;J359,'Target columns'!A:J,7,FALSE),"")</f>
        <v>No</v>
      </c>
      <c r="G359" s="66" t="str">
        <f>IFERROR(VLOOKUP(D359&amp;J359,'Target columns'!A:J,8,FALSE),"")</f>
        <v>No</v>
      </c>
      <c r="H359" s="66" t="str">
        <f>IFERROR(VLOOKUP(D359&amp;J359,'Target columns'!A:J,5,FALSE),"")</f>
        <v>NOT NULL</v>
      </c>
      <c r="I359" s="66" t="str">
        <f>IFERROR(VLOOKUP(D359&amp;J359,'Target columns'!A:J,10,FALSE),"")</f>
        <v>Дата начала действия связи</v>
      </c>
      <c r="J359" s="8" t="s">
        <v>329</v>
      </c>
      <c r="K359" s="8" t="s">
        <v>151</v>
      </c>
      <c r="L359" s="66" t="str">
        <f>IFERROR(VLOOKUP(K359&amp;N359,source_columns[[Seek]:[Описание поля]],4,0),"")</f>
        <v>timestamp</v>
      </c>
      <c r="M359" s="66" t="str">
        <f>IFERROR(VLOOKUP(K359&amp;N359,source_columns[[Seek]:[Описание поля]],7,0),"")</f>
        <v>Дата и время последнего изменения</v>
      </c>
      <c r="N359" s="8" t="s">
        <v>517</v>
      </c>
      <c r="O359" s="8"/>
      <c r="P359" s="8"/>
      <c r="Q359" s="8"/>
      <c r="R359" s="8"/>
      <c r="S359" s="278"/>
      <c r="T359" s="65"/>
      <c r="U359" s="65"/>
      <c r="V359" s="66" t="str">
        <f>"n308000046_"&amp;IFERROR(VLOOKUP(D359,target_tables[],5,0),"&lt;not found&gt;")</f>
        <v>n308000046_agr_other_int_org</v>
      </c>
      <c r="W359" s="65" t="s">
        <v>330</v>
      </c>
      <c r="X359" s="65"/>
      <c r="Y359" s="65"/>
      <c r="Z359" s="65"/>
      <c r="AA359" s="65"/>
      <c r="AB359" s="65"/>
      <c r="AC359" s="65"/>
      <c r="AD359" s="65"/>
      <c r="AE359" s="65"/>
      <c r="AF359" s="299"/>
      <c r="AG359" s="10"/>
      <c r="AH359" s="10"/>
      <c r="AI359" s="10"/>
      <c r="AJ359" s="68"/>
      <c r="AK359" s="69"/>
    </row>
    <row r="360" spans="1:37 16131:16384" ht="12.75" hidden="1" customHeight="1" x14ac:dyDescent="0.25">
      <c r="A360" s="116">
        <v>3190</v>
      </c>
      <c r="B360" s="119" t="s">
        <v>634</v>
      </c>
      <c r="C360" s="214" t="str">
        <f>IFERROR(VLOOKUP(D360,'Target tables'!A:B,2,0),"")</f>
        <v>Таблица связей договора эскроу со справочником оргструктуры</v>
      </c>
      <c r="D360" s="120" t="s">
        <v>139</v>
      </c>
      <c r="E360" s="101" t="str">
        <f>IFERROR(VLOOKUP(D360&amp;J360,'Target columns'!A:J,4,FALSE),"")</f>
        <v>DATE</v>
      </c>
      <c r="F360" s="101" t="str">
        <f>IFERROR(VLOOKUP(D360&amp;J360,'Target columns'!A:J,7,FALSE),"")</f>
        <v>Yes</v>
      </c>
      <c r="G360" s="101" t="str">
        <f>IFERROR(VLOOKUP(D360&amp;J360,'Target columns'!A:J,8,FALSE),"")</f>
        <v>Yes</v>
      </c>
      <c r="H360" s="101" t="str">
        <f>IFERROR(VLOOKUP(D360&amp;J360,'Target columns'!A:J,5,FALSE),"")</f>
        <v>NOT NULL</v>
      </c>
      <c r="I360" s="101" t="str">
        <f>IFERROR(VLOOKUP(D360&amp;J360,'Target columns'!A:J,10,FALSE),"")</f>
        <v>Дата окончания действия связи</v>
      </c>
      <c r="J360" s="119" t="s">
        <v>331</v>
      </c>
      <c r="K360" s="119" t="s">
        <v>151</v>
      </c>
      <c r="L360" s="101" t="str">
        <f>IFERROR(VLOOKUP(K360&amp;N360,source_columns[[Seek]:[Описание поля]],4,0),"")</f>
        <v/>
      </c>
      <c r="M360" s="101" t="str">
        <f>IFERROR(VLOOKUP(K360&amp;N360,source_columns[[Seek]:[Описание поля]],7,0),"")</f>
        <v/>
      </c>
      <c r="N360" s="119" t="s">
        <v>603</v>
      </c>
      <c r="O360" s="119"/>
      <c r="P360" s="119"/>
      <c r="Q360" s="119"/>
      <c r="R360" s="119"/>
      <c r="S360" s="272"/>
      <c r="T360" s="214"/>
      <c r="U360" s="214"/>
      <c r="V360" s="101" t="str">
        <f>"n308000046_"&amp;IFERROR(VLOOKUP(D360,target_tables[],5,0),"&lt;not found&gt;")</f>
        <v>n308000046_agr_other_int_org</v>
      </c>
      <c r="W360" s="214" t="s">
        <v>332</v>
      </c>
      <c r="X360" s="214"/>
      <c r="Y360" s="214"/>
      <c r="Z360" s="214"/>
      <c r="AA360" s="214"/>
      <c r="AB360" s="214"/>
      <c r="AC360" s="214"/>
      <c r="AD360" s="214"/>
      <c r="AE360" s="214"/>
      <c r="AF360" s="304"/>
      <c r="AG360" s="105"/>
      <c r="AH360" s="105"/>
      <c r="AI360" s="105"/>
      <c r="AJ360" s="100"/>
      <c r="AK360" s="69"/>
    </row>
    <row r="361" spans="1:37 16131:16384" s="118" customFormat="1" ht="12.75" hidden="1" customHeight="1" x14ac:dyDescent="0.3">
      <c r="A361" s="76">
        <f t="shared" ref="A361:A424" si="0">A360+10</f>
        <v>3200</v>
      </c>
      <c r="B361" s="82" t="s">
        <v>125</v>
      </c>
      <c r="C361" s="82" t="s">
        <v>462</v>
      </c>
      <c r="D361" s="113" t="s">
        <v>49</v>
      </c>
      <c r="E361" s="84" t="str">
        <f>IFERROR(VLOOKUP(D361&amp;J361,'Target columns'!A:J,4,FALSE),"")</f>
        <v>UUID</v>
      </c>
      <c r="F361" s="84" t="str">
        <f>IFERROR(VLOOKUP(D361&amp;J361,'Target columns'!A:J,7,FALSE),"")</f>
        <v>Yes</v>
      </c>
      <c r="G361" s="84" t="str">
        <f>IFERROR(VLOOKUP(D361&amp;J361,'Target columns'!A:J,8,FALSE),"")</f>
        <v>No</v>
      </c>
      <c r="H361" s="84" t="str">
        <f>IFERROR(VLOOKUP(D361&amp;J361,'Target columns'!A:J,5,FALSE),"")</f>
        <v>NOT NULL</v>
      </c>
      <c r="I361" s="84" t="str">
        <f>IFERROR(VLOOKUP(D361&amp;J361,'Target columns'!A:J,10,FALSE),"")</f>
        <v>Идентификатор схемы заведения договора</v>
      </c>
      <c r="J361" s="83" t="s">
        <v>457</v>
      </c>
      <c r="K361" s="121" t="s">
        <v>296</v>
      </c>
      <c r="L361" s="84" t="s">
        <v>316</v>
      </c>
      <c r="M361" s="84" t="s">
        <v>649</v>
      </c>
      <c r="N361" s="82" t="s">
        <v>650</v>
      </c>
      <c r="O361" s="82"/>
      <c r="P361" s="82"/>
      <c r="Q361" s="82"/>
      <c r="R361" s="82"/>
      <c r="S361" s="305" t="s">
        <v>651</v>
      </c>
      <c r="T361" s="122"/>
      <c r="U361" s="122"/>
      <c r="V361" s="84" t="s">
        <v>652</v>
      </c>
      <c r="W361" s="82" t="s">
        <v>269</v>
      </c>
      <c r="X361" s="308" t="s">
        <v>270</v>
      </c>
      <c r="Y361" s="89"/>
      <c r="Z361" s="82"/>
      <c r="AA361" s="90"/>
      <c r="AB361" s="82"/>
      <c r="AC361" s="122"/>
      <c r="AD361" s="122"/>
      <c r="AE361" s="122"/>
      <c r="AF361" s="122"/>
      <c r="AG361" s="122"/>
      <c r="AH361" s="122"/>
      <c r="AI361" s="122"/>
      <c r="AJ361" s="123"/>
      <c r="AK361" s="124"/>
      <c r="WVK361" s="47"/>
      <c r="WVL361" s="47"/>
      <c r="WVM361" s="47"/>
      <c r="WVN361" s="47"/>
      <c r="WVO361" s="47"/>
      <c r="WVP361" s="47"/>
      <c r="WVQ361" s="47"/>
      <c r="WVR361" s="47"/>
      <c r="WVS361" s="47"/>
      <c r="WVT361" s="47"/>
      <c r="WVU361" s="47"/>
      <c r="WVV361" s="47"/>
      <c r="WVW361" s="47"/>
      <c r="WVX361" s="47"/>
      <c r="WVY361" s="47"/>
      <c r="WVZ361" s="47"/>
      <c r="WWA361" s="47"/>
      <c r="WWB361" s="47"/>
      <c r="WWC361" s="47"/>
      <c r="WWD361" s="47"/>
      <c r="WWE361" s="47"/>
      <c r="WWF361" s="47"/>
      <c r="WWG361" s="47"/>
      <c r="WWH361" s="47"/>
      <c r="WWI361" s="47"/>
      <c r="WWJ361" s="47"/>
      <c r="WWK361" s="47"/>
      <c r="WWL361" s="47"/>
      <c r="WWM361" s="47"/>
      <c r="WWN361" s="47"/>
      <c r="WWO361" s="47"/>
      <c r="WWP361" s="47"/>
      <c r="WWQ361" s="47"/>
      <c r="WWR361" s="47"/>
      <c r="WWS361" s="47"/>
      <c r="WWT361" s="47"/>
      <c r="WWU361" s="47"/>
      <c r="WWV361" s="47"/>
      <c r="WWW361" s="47"/>
      <c r="WWX361" s="47"/>
      <c r="WWY361" s="47"/>
      <c r="WWZ361" s="47"/>
      <c r="WXA361" s="47"/>
      <c r="WXB361" s="47"/>
      <c r="WXC361" s="47"/>
      <c r="WXD361" s="47"/>
      <c r="WXE361" s="47"/>
      <c r="WXF361" s="47"/>
      <c r="WXG361" s="47"/>
      <c r="WXH361" s="47"/>
      <c r="WXI361" s="47"/>
      <c r="WXJ361" s="47"/>
      <c r="WXK361" s="47"/>
      <c r="WXL361" s="47"/>
      <c r="WXM361" s="47"/>
      <c r="WXN361" s="47"/>
      <c r="WXO361" s="47"/>
      <c r="WXP361" s="47"/>
      <c r="WXQ361" s="47"/>
      <c r="WXR361" s="47"/>
      <c r="WXS361" s="47"/>
      <c r="WXT361" s="47"/>
      <c r="WXU361" s="47"/>
      <c r="WXV361" s="47"/>
      <c r="WXW361" s="47"/>
      <c r="WXX361" s="47"/>
      <c r="WXY361" s="47"/>
      <c r="WXZ361" s="47"/>
      <c r="WYA361" s="47"/>
      <c r="WYB361" s="47"/>
      <c r="WYC361" s="47"/>
      <c r="WYD361" s="47"/>
      <c r="WYE361" s="47"/>
      <c r="WYF361" s="47"/>
      <c r="WYG361" s="47"/>
      <c r="WYH361" s="47"/>
      <c r="WYI361" s="47"/>
      <c r="WYJ361" s="47"/>
      <c r="WYK361" s="47"/>
      <c r="WYL361" s="47"/>
      <c r="WYM361" s="47"/>
      <c r="WYN361" s="47"/>
      <c r="WYO361" s="47"/>
      <c r="WYP361" s="47"/>
      <c r="WYQ361" s="47"/>
      <c r="WYR361" s="47"/>
      <c r="WYS361" s="47"/>
      <c r="WYT361" s="47"/>
      <c r="WYU361" s="47"/>
      <c r="WYV361" s="47"/>
      <c r="WYW361" s="47"/>
      <c r="WYX361" s="47"/>
      <c r="WYY361" s="47"/>
      <c r="WYZ361" s="47"/>
      <c r="WZA361" s="47"/>
      <c r="WZB361" s="47"/>
      <c r="WZC361" s="47"/>
      <c r="WZD361" s="47"/>
      <c r="WZE361" s="47"/>
      <c r="WZF361" s="47"/>
      <c r="WZG361" s="47"/>
      <c r="WZH361" s="47"/>
      <c r="WZI361" s="47"/>
      <c r="WZJ361" s="47"/>
      <c r="WZK361" s="47"/>
      <c r="WZL361" s="47"/>
      <c r="WZM361" s="47"/>
      <c r="WZN361" s="47"/>
      <c r="WZO361" s="47"/>
      <c r="WZP361" s="47"/>
      <c r="WZQ361" s="47"/>
      <c r="WZR361" s="47"/>
      <c r="WZS361" s="47"/>
      <c r="WZT361" s="47"/>
      <c r="WZU361" s="47"/>
      <c r="WZV361" s="47"/>
      <c r="WZW361" s="47"/>
      <c r="WZX361" s="47"/>
      <c r="WZY361" s="47"/>
      <c r="WZZ361" s="47"/>
      <c r="XAA361" s="47"/>
      <c r="XAB361" s="47"/>
      <c r="XAC361" s="47"/>
      <c r="XAD361" s="47"/>
      <c r="XAE361" s="47"/>
      <c r="XAF361" s="47"/>
      <c r="XAG361" s="47"/>
      <c r="XAH361" s="47"/>
      <c r="XAI361" s="47"/>
      <c r="XAJ361" s="47"/>
      <c r="XAK361" s="47"/>
      <c r="XAL361" s="47"/>
      <c r="XAM361" s="47"/>
      <c r="XAN361" s="47"/>
      <c r="XAO361" s="47"/>
      <c r="XAP361" s="47"/>
      <c r="XAQ361" s="47"/>
      <c r="XAR361" s="47"/>
      <c r="XAS361" s="47"/>
      <c r="XAT361" s="47"/>
      <c r="XAU361" s="47"/>
      <c r="XAV361" s="47"/>
      <c r="XAW361" s="47"/>
      <c r="XAX361" s="47"/>
      <c r="XAY361" s="47"/>
      <c r="XAZ361" s="47"/>
      <c r="XBA361" s="47"/>
      <c r="XBB361" s="47"/>
      <c r="XBC361" s="47"/>
      <c r="XBD361" s="47"/>
      <c r="XBE361" s="47"/>
      <c r="XBF361" s="47"/>
      <c r="XBG361" s="47"/>
      <c r="XBH361" s="47"/>
      <c r="XBI361" s="47"/>
      <c r="XBJ361" s="47"/>
      <c r="XBK361" s="47"/>
      <c r="XBL361" s="47"/>
      <c r="XBM361" s="47"/>
      <c r="XBN361" s="47"/>
      <c r="XBO361" s="47"/>
      <c r="XBP361" s="47"/>
      <c r="XBQ361" s="47"/>
      <c r="XBR361" s="47"/>
      <c r="XBS361" s="47"/>
      <c r="XBT361" s="47"/>
      <c r="XBU361" s="47"/>
      <c r="XBV361" s="47"/>
      <c r="XBW361" s="47"/>
      <c r="XBX361" s="47"/>
      <c r="XBY361" s="47"/>
      <c r="XBZ361" s="47"/>
      <c r="XCA361" s="47"/>
      <c r="XCB361" s="47"/>
      <c r="XCC361" s="47"/>
      <c r="XCD361" s="47"/>
      <c r="XCE361" s="47"/>
      <c r="XCF361" s="47"/>
      <c r="XCG361" s="47"/>
      <c r="XCH361" s="47"/>
      <c r="XCI361" s="47"/>
      <c r="XCJ361" s="47"/>
      <c r="XCK361" s="47"/>
      <c r="XCL361" s="47"/>
      <c r="XCM361" s="47"/>
      <c r="XCN361" s="47"/>
      <c r="XCO361" s="47"/>
      <c r="XCP361" s="47"/>
      <c r="XCQ361" s="47"/>
      <c r="XCR361" s="47"/>
      <c r="XCS361" s="47"/>
      <c r="XCT361" s="47"/>
      <c r="XCU361" s="47"/>
      <c r="XCV361" s="47"/>
      <c r="XCW361" s="47"/>
      <c r="XCX361" s="47"/>
      <c r="XCY361" s="47"/>
      <c r="XCZ361" s="47"/>
      <c r="XDA361" s="47"/>
      <c r="XDB361" s="47"/>
      <c r="XDC361" s="47"/>
      <c r="XDD361" s="47"/>
      <c r="XDE361" s="47"/>
      <c r="XDF361" s="47"/>
      <c r="XDG361" s="47"/>
      <c r="XDH361" s="47"/>
      <c r="XDI361" s="47"/>
      <c r="XDJ361" s="47"/>
      <c r="XDK361" s="47"/>
      <c r="XDL361" s="47"/>
      <c r="XDM361" s="47"/>
      <c r="XDN361" s="47"/>
      <c r="XDO361" s="47"/>
      <c r="XDP361" s="47"/>
      <c r="XDQ361" s="47"/>
      <c r="XDR361" s="47"/>
      <c r="XDS361" s="47"/>
      <c r="XDT361" s="47"/>
      <c r="XDU361" s="47"/>
      <c r="XDV361" s="47"/>
      <c r="XDW361" s="47"/>
      <c r="XDX361" s="47"/>
      <c r="XDY361" s="47"/>
      <c r="XDZ361" s="47"/>
      <c r="XEA361" s="47"/>
      <c r="XEB361" s="47"/>
      <c r="XEC361" s="47"/>
      <c r="XED361" s="47"/>
      <c r="XEE361" s="47"/>
      <c r="XEF361" s="47"/>
      <c r="XEG361" s="47"/>
      <c r="XEH361" s="47"/>
      <c r="XEI361" s="47"/>
      <c r="XEJ361" s="47"/>
      <c r="XEK361" s="47"/>
      <c r="XEL361" s="47"/>
      <c r="XEM361" s="47"/>
      <c r="XEN361" s="47"/>
      <c r="XEO361" s="47"/>
      <c r="XEP361" s="47"/>
      <c r="XEQ361" s="47"/>
      <c r="XER361" s="47"/>
      <c r="XES361" s="47"/>
      <c r="XET361" s="47"/>
      <c r="XEU361" s="47"/>
      <c r="XEV361" s="47"/>
      <c r="XEW361" s="47"/>
      <c r="XEX361" s="47"/>
      <c r="XEY361" s="47"/>
      <c r="XEZ361" s="47"/>
      <c r="XFA361" s="47"/>
      <c r="XFB361" s="47"/>
      <c r="XFC361" s="47"/>
      <c r="XFD361" s="47"/>
    </row>
    <row r="362" spans="1:37 16131:16384" s="118" customFormat="1" ht="12.75" hidden="1" customHeight="1" x14ac:dyDescent="0.3">
      <c r="A362" s="64">
        <f t="shared" si="0"/>
        <v>3210</v>
      </c>
      <c r="B362" s="65" t="s">
        <v>125</v>
      </c>
      <c r="C362" s="65" t="s">
        <v>462</v>
      </c>
      <c r="D362" s="8" t="s">
        <v>49</v>
      </c>
      <c r="E362" s="66" t="str">
        <f>IFERROR(VLOOKUP(D362&amp;J362,'Target columns'!A:J,4,FALSE),"")</f>
        <v>TEXT</v>
      </c>
      <c r="F362" s="66" t="str">
        <f>IFERROR(VLOOKUP(D362&amp;J362,'Target columns'!A:J,7,FALSE),"")</f>
        <v>No</v>
      </c>
      <c r="G362" s="66" t="str">
        <f>IFERROR(VLOOKUP(D362&amp;J362,'Target columns'!A:J,8,FALSE),"")</f>
        <v>No</v>
      </c>
      <c r="H362" s="66" t="str">
        <f>IFERROR(VLOOKUP(D362&amp;J362,'Target columns'!A:J,5,FALSE),"")</f>
        <v>NULL</v>
      </c>
      <c r="I362" s="66" t="str">
        <f>IFERROR(VLOOKUP(D362&amp;J362,'Target columns'!A:J,10,FALSE),"")</f>
        <v>Код схемы заведения договора</v>
      </c>
      <c r="J362" s="10" t="s">
        <v>466</v>
      </c>
      <c r="K362" s="6" t="s">
        <v>296</v>
      </c>
      <c r="L362" s="66" t="s">
        <v>320</v>
      </c>
      <c r="M362" s="66" t="s">
        <v>649</v>
      </c>
      <c r="N362" s="65" t="s">
        <v>653</v>
      </c>
      <c r="O362" s="65"/>
      <c r="P362" s="65"/>
      <c r="Q362" s="65"/>
      <c r="R362" s="65"/>
      <c r="S362" s="306"/>
      <c r="T362" s="125"/>
      <c r="U362" s="125"/>
      <c r="V362" s="66" t="s">
        <v>652</v>
      </c>
      <c r="W362" s="65" t="s">
        <v>273</v>
      </c>
      <c r="X362" s="296"/>
      <c r="Y362" s="202"/>
      <c r="Z362" s="65"/>
      <c r="AA362" s="67"/>
      <c r="AB362" s="65"/>
      <c r="AC362" s="125"/>
      <c r="AD362" s="125"/>
      <c r="AE362" s="125"/>
      <c r="AF362" s="125"/>
      <c r="AG362" s="125"/>
      <c r="AH362" s="125"/>
      <c r="AI362" s="125"/>
      <c r="AJ362" s="126"/>
      <c r="AK362" s="124"/>
      <c r="WVK362" s="47"/>
      <c r="WVL362" s="47"/>
      <c r="WVM362" s="47"/>
      <c r="WVN362" s="47"/>
      <c r="WVO362" s="47"/>
      <c r="WVP362" s="47"/>
      <c r="WVQ362" s="47"/>
      <c r="WVR362" s="47"/>
      <c r="WVS362" s="47"/>
      <c r="WVT362" s="47"/>
      <c r="WVU362" s="47"/>
      <c r="WVV362" s="47"/>
      <c r="WVW362" s="47"/>
      <c r="WVX362" s="47"/>
      <c r="WVY362" s="47"/>
      <c r="WVZ362" s="47"/>
      <c r="WWA362" s="47"/>
      <c r="WWB362" s="47"/>
      <c r="WWC362" s="47"/>
      <c r="WWD362" s="47"/>
      <c r="WWE362" s="47"/>
      <c r="WWF362" s="47"/>
      <c r="WWG362" s="47"/>
      <c r="WWH362" s="47"/>
      <c r="WWI362" s="47"/>
      <c r="WWJ362" s="47"/>
      <c r="WWK362" s="47"/>
      <c r="WWL362" s="47"/>
      <c r="WWM362" s="47"/>
      <c r="WWN362" s="47"/>
      <c r="WWO362" s="47"/>
      <c r="WWP362" s="47"/>
      <c r="WWQ362" s="47"/>
      <c r="WWR362" s="47"/>
      <c r="WWS362" s="47"/>
      <c r="WWT362" s="47"/>
      <c r="WWU362" s="47"/>
      <c r="WWV362" s="47"/>
      <c r="WWW362" s="47"/>
      <c r="WWX362" s="47"/>
      <c r="WWY362" s="47"/>
      <c r="WWZ362" s="47"/>
      <c r="WXA362" s="47"/>
      <c r="WXB362" s="47"/>
      <c r="WXC362" s="47"/>
      <c r="WXD362" s="47"/>
      <c r="WXE362" s="47"/>
      <c r="WXF362" s="47"/>
      <c r="WXG362" s="47"/>
      <c r="WXH362" s="47"/>
      <c r="WXI362" s="47"/>
      <c r="WXJ362" s="47"/>
      <c r="WXK362" s="47"/>
      <c r="WXL362" s="47"/>
      <c r="WXM362" s="47"/>
      <c r="WXN362" s="47"/>
      <c r="WXO362" s="47"/>
      <c r="WXP362" s="47"/>
      <c r="WXQ362" s="47"/>
      <c r="WXR362" s="47"/>
      <c r="WXS362" s="47"/>
      <c r="WXT362" s="47"/>
      <c r="WXU362" s="47"/>
      <c r="WXV362" s="47"/>
      <c r="WXW362" s="47"/>
      <c r="WXX362" s="47"/>
      <c r="WXY362" s="47"/>
      <c r="WXZ362" s="47"/>
      <c r="WYA362" s="47"/>
      <c r="WYB362" s="47"/>
      <c r="WYC362" s="47"/>
      <c r="WYD362" s="47"/>
      <c r="WYE362" s="47"/>
      <c r="WYF362" s="47"/>
      <c r="WYG362" s="47"/>
      <c r="WYH362" s="47"/>
      <c r="WYI362" s="47"/>
      <c r="WYJ362" s="47"/>
      <c r="WYK362" s="47"/>
      <c r="WYL362" s="47"/>
      <c r="WYM362" s="47"/>
      <c r="WYN362" s="47"/>
      <c r="WYO362" s="47"/>
      <c r="WYP362" s="47"/>
      <c r="WYQ362" s="47"/>
      <c r="WYR362" s="47"/>
      <c r="WYS362" s="47"/>
      <c r="WYT362" s="47"/>
      <c r="WYU362" s="47"/>
      <c r="WYV362" s="47"/>
      <c r="WYW362" s="47"/>
      <c r="WYX362" s="47"/>
      <c r="WYY362" s="47"/>
      <c r="WYZ362" s="47"/>
      <c r="WZA362" s="47"/>
      <c r="WZB362" s="47"/>
      <c r="WZC362" s="47"/>
      <c r="WZD362" s="47"/>
      <c r="WZE362" s="47"/>
      <c r="WZF362" s="47"/>
      <c r="WZG362" s="47"/>
      <c r="WZH362" s="47"/>
      <c r="WZI362" s="47"/>
      <c r="WZJ362" s="47"/>
      <c r="WZK362" s="47"/>
      <c r="WZL362" s="47"/>
      <c r="WZM362" s="47"/>
      <c r="WZN362" s="47"/>
      <c r="WZO362" s="47"/>
      <c r="WZP362" s="47"/>
      <c r="WZQ362" s="47"/>
      <c r="WZR362" s="47"/>
      <c r="WZS362" s="47"/>
      <c r="WZT362" s="47"/>
      <c r="WZU362" s="47"/>
      <c r="WZV362" s="47"/>
      <c r="WZW362" s="47"/>
      <c r="WZX362" s="47"/>
      <c r="WZY362" s="47"/>
      <c r="WZZ362" s="47"/>
      <c r="XAA362" s="47"/>
      <c r="XAB362" s="47"/>
      <c r="XAC362" s="47"/>
      <c r="XAD362" s="47"/>
      <c r="XAE362" s="47"/>
      <c r="XAF362" s="47"/>
      <c r="XAG362" s="47"/>
      <c r="XAH362" s="47"/>
      <c r="XAI362" s="47"/>
      <c r="XAJ362" s="47"/>
      <c r="XAK362" s="47"/>
      <c r="XAL362" s="47"/>
      <c r="XAM362" s="47"/>
      <c r="XAN362" s="47"/>
      <c r="XAO362" s="47"/>
      <c r="XAP362" s="47"/>
      <c r="XAQ362" s="47"/>
      <c r="XAR362" s="47"/>
      <c r="XAS362" s="47"/>
      <c r="XAT362" s="47"/>
      <c r="XAU362" s="47"/>
      <c r="XAV362" s="47"/>
      <c r="XAW362" s="47"/>
      <c r="XAX362" s="47"/>
      <c r="XAY362" s="47"/>
      <c r="XAZ362" s="47"/>
      <c r="XBA362" s="47"/>
      <c r="XBB362" s="47"/>
      <c r="XBC362" s="47"/>
      <c r="XBD362" s="47"/>
      <c r="XBE362" s="47"/>
      <c r="XBF362" s="47"/>
      <c r="XBG362" s="47"/>
      <c r="XBH362" s="47"/>
      <c r="XBI362" s="47"/>
      <c r="XBJ362" s="47"/>
      <c r="XBK362" s="47"/>
      <c r="XBL362" s="47"/>
      <c r="XBM362" s="47"/>
      <c r="XBN362" s="47"/>
      <c r="XBO362" s="47"/>
      <c r="XBP362" s="47"/>
      <c r="XBQ362" s="47"/>
      <c r="XBR362" s="47"/>
      <c r="XBS362" s="47"/>
      <c r="XBT362" s="47"/>
      <c r="XBU362" s="47"/>
      <c r="XBV362" s="47"/>
      <c r="XBW362" s="47"/>
      <c r="XBX362" s="47"/>
      <c r="XBY362" s="47"/>
      <c r="XBZ362" s="47"/>
      <c r="XCA362" s="47"/>
      <c r="XCB362" s="47"/>
      <c r="XCC362" s="47"/>
      <c r="XCD362" s="47"/>
      <c r="XCE362" s="47"/>
      <c r="XCF362" s="47"/>
      <c r="XCG362" s="47"/>
      <c r="XCH362" s="47"/>
      <c r="XCI362" s="47"/>
      <c r="XCJ362" s="47"/>
      <c r="XCK362" s="47"/>
      <c r="XCL362" s="47"/>
      <c r="XCM362" s="47"/>
      <c r="XCN362" s="47"/>
      <c r="XCO362" s="47"/>
      <c r="XCP362" s="47"/>
      <c r="XCQ362" s="47"/>
      <c r="XCR362" s="47"/>
      <c r="XCS362" s="47"/>
      <c r="XCT362" s="47"/>
      <c r="XCU362" s="47"/>
      <c r="XCV362" s="47"/>
      <c r="XCW362" s="47"/>
      <c r="XCX362" s="47"/>
      <c r="XCY362" s="47"/>
      <c r="XCZ362" s="47"/>
      <c r="XDA362" s="47"/>
      <c r="XDB362" s="47"/>
      <c r="XDC362" s="47"/>
      <c r="XDD362" s="47"/>
      <c r="XDE362" s="47"/>
      <c r="XDF362" s="47"/>
      <c r="XDG362" s="47"/>
      <c r="XDH362" s="47"/>
      <c r="XDI362" s="47"/>
      <c r="XDJ362" s="47"/>
      <c r="XDK362" s="47"/>
      <c r="XDL362" s="47"/>
      <c r="XDM362" s="47"/>
      <c r="XDN362" s="47"/>
      <c r="XDO362" s="47"/>
      <c r="XDP362" s="47"/>
      <c r="XDQ362" s="47"/>
      <c r="XDR362" s="47"/>
      <c r="XDS362" s="47"/>
      <c r="XDT362" s="47"/>
      <c r="XDU362" s="47"/>
      <c r="XDV362" s="47"/>
      <c r="XDW362" s="47"/>
      <c r="XDX362" s="47"/>
      <c r="XDY362" s="47"/>
      <c r="XDZ362" s="47"/>
      <c r="XEA362" s="47"/>
      <c r="XEB362" s="47"/>
      <c r="XEC362" s="47"/>
      <c r="XED362" s="47"/>
      <c r="XEE362" s="47"/>
      <c r="XEF362" s="47"/>
      <c r="XEG362" s="47"/>
      <c r="XEH362" s="47"/>
      <c r="XEI362" s="47"/>
      <c r="XEJ362" s="47"/>
      <c r="XEK362" s="47"/>
      <c r="XEL362" s="47"/>
      <c r="XEM362" s="47"/>
      <c r="XEN362" s="47"/>
      <c r="XEO362" s="47"/>
      <c r="XEP362" s="47"/>
      <c r="XEQ362" s="47"/>
      <c r="XER362" s="47"/>
      <c r="XES362" s="47"/>
      <c r="XET362" s="47"/>
      <c r="XEU362" s="47"/>
      <c r="XEV362" s="47"/>
      <c r="XEW362" s="47"/>
      <c r="XEX362" s="47"/>
      <c r="XEY362" s="47"/>
      <c r="XEZ362" s="47"/>
      <c r="XFA362" s="47"/>
      <c r="XFB362" s="47"/>
      <c r="XFC362" s="47"/>
      <c r="XFD362" s="47"/>
    </row>
    <row r="363" spans="1:37 16131:16384" s="118" customFormat="1" ht="12.75" hidden="1" customHeight="1" x14ac:dyDescent="0.3">
      <c r="A363" s="64">
        <f t="shared" si="0"/>
        <v>3220</v>
      </c>
      <c r="B363" s="65" t="s">
        <v>125</v>
      </c>
      <c r="C363" s="65" t="s">
        <v>462</v>
      </c>
      <c r="D363" s="8" t="s">
        <v>49</v>
      </c>
      <c r="E363" s="66" t="str">
        <f>IFERROR(VLOOKUP(D363&amp;J363,'Target columns'!A:J,4,FALSE),"")</f>
        <v>UUID</v>
      </c>
      <c r="F363" s="66" t="str">
        <f>IFERROR(VLOOKUP(D363&amp;J363,'Target columns'!A:J,7,FALSE),"")</f>
        <v>No</v>
      </c>
      <c r="G363" s="66" t="str">
        <f>IFERROR(VLOOKUP(D363&amp;J363,'Target columns'!A:J,8,FALSE),"")</f>
        <v>Yes</v>
      </c>
      <c r="H363" s="66" t="str">
        <f>IFERROR(VLOOKUP(D363&amp;J363,'Target columns'!A:J,5,FALSE),"")</f>
        <v>NOT NULL</v>
      </c>
      <c r="I363" s="66" t="str">
        <f>IFERROR(VLOOKUP(D363&amp;J363,'Target columns'!A:J,10,FALSE),"")</f>
        <v xml:space="preserve">Идентификатор категории схем </v>
      </c>
      <c r="J363" s="127" t="s">
        <v>654</v>
      </c>
      <c r="K363" s="6" t="s">
        <v>296</v>
      </c>
      <c r="L363" s="66" t="s">
        <v>320</v>
      </c>
      <c r="M363" s="66" t="s">
        <v>655</v>
      </c>
      <c r="N363" s="31" t="s">
        <v>656</v>
      </c>
      <c r="O363" s="65"/>
      <c r="P363" s="65"/>
      <c r="Q363" s="65"/>
      <c r="R363" s="65"/>
      <c r="S363" s="306"/>
      <c r="T363" s="125"/>
      <c r="U363" s="125"/>
      <c r="V363" s="66" t="s">
        <v>652</v>
      </c>
      <c r="W363" s="65" t="s">
        <v>273</v>
      </c>
      <c r="X363" s="296"/>
      <c r="Y363" s="202"/>
      <c r="Z363" s="65"/>
      <c r="AA363" s="67"/>
      <c r="AB363" s="65"/>
      <c r="AC363" s="125"/>
      <c r="AD363" s="125"/>
      <c r="AE363" s="125"/>
      <c r="AF363" s="125"/>
      <c r="AG363" s="125"/>
      <c r="AH363" s="125"/>
      <c r="AI363" s="125"/>
      <c r="AJ363" s="126"/>
      <c r="AK363" s="124"/>
      <c r="WVK363" s="47"/>
      <c r="WVL363" s="47"/>
      <c r="WVM363" s="47"/>
      <c r="WVN363" s="47"/>
      <c r="WVO363" s="47"/>
      <c r="WVP363" s="47"/>
      <c r="WVQ363" s="47"/>
      <c r="WVR363" s="47"/>
      <c r="WVS363" s="47"/>
      <c r="WVT363" s="47"/>
      <c r="WVU363" s="47"/>
      <c r="WVV363" s="47"/>
      <c r="WVW363" s="47"/>
      <c r="WVX363" s="47"/>
      <c r="WVY363" s="47"/>
      <c r="WVZ363" s="47"/>
      <c r="WWA363" s="47"/>
      <c r="WWB363" s="47"/>
      <c r="WWC363" s="47"/>
      <c r="WWD363" s="47"/>
      <c r="WWE363" s="47"/>
      <c r="WWF363" s="47"/>
      <c r="WWG363" s="47"/>
      <c r="WWH363" s="47"/>
      <c r="WWI363" s="47"/>
      <c r="WWJ363" s="47"/>
      <c r="WWK363" s="47"/>
      <c r="WWL363" s="47"/>
      <c r="WWM363" s="47"/>
      <c r="WWN363" s="47"/>
      <c r="WWO363" s="47"/>
      <c r="WWP363" s="47"/>
      <c r="WWQ363" s="47"/>
      <c r="WWR363" s="47"/>
      <c r="WWS363" s="47"/>
      <c r="WWT363" s="47"/>
      <c r="WWU363" s="47"/>
      <c r="WWV363" s="47"/>
      <c r="WWW363" s="47"/>
      <c r="WWX363" s="47"/>
      <c r="WWY363" s="47"/>
      <c r="WWZ363" s="47"/>
      <c r="WXA363" s="47"/>
      <c r="WXB363" s="47"/>
      <c r="WXC363" s="47"/>
      <c r="WXD363" s="47"/>
      <c r="WXE363" s="47"/>
      <c r="WXF363" s="47"/>
      <c r="WXG363" s="47"/>
      <c r="WXH363" s="47"/>
      <c r="WXI363" s="47"/>
      <c r="WXJ363" s="47"/>
      <c r="WXK363" s="47"/>
      <c r="WXL363" s="47"/>
      <c r="WXM363" s="47"/>
      <c r="WXN363" s="47"/>
      <c r="WXO363" s="47"/>
      <c r="WXP363" s="47"/>
      <c r="WXQ363" s="47"/>
      <c r="WXR363" s="47"/>
      <c r="WXS363" s="47"/>
      <c r="WXT363" s="47"/>
      <c r="WXU363" s="47"/>
      <c r="WXV363" s="47"/>
      <c r="WXW363" s="47"/>
      <c r="WXX363" s="47"/>
      <c r="WXY363" s="47"/>
      <c r="WXZ363" s="47"/>
      <c r="WYA363" s="47"/>
      <c r="WYB363" s="47"/>
      <c r="WYC363" s="47"/>
      <c r="WYD363" s="47"/>
      <c r="WYE363" s="47"/>
      <c r="WYF363" s="47"/>
      <c r="WYG363" s="47"/>
      <c r="WYH363" s="47"/>
      <c r="WYI363" s="47"/>
      <c r="WYJ363" s="47"/>
      <c r="WYK363" s="47"/>
      <c r="WYL363" s="47"/>
      <c r="WYM363" s="47"/>
      <c r="WYN363" s="47"/>
      <c r="WYO363" s="47"/>
      <c r="WYP363" s="47"/>
      <c r="WYQ363" s="47"/>
      <c r="WYR363" s="47"/>
      <c r="WYS363" s="47"/>
      <c r="WYT363" s="47"/>
      <c r="WYU363" s="47"/>
      <c r="WYV363" s="47"/>
      <c r="WYW363" s="47"/>
      <c r="WYX363" s="47"/>
      <c r="WYY363" s="47"/>
      <c r="WYZ363" s="47"/>
      <c r="WZA363" s="47"/>
      <c r="WZB363" s="47"/>
      <c r="WZC363" s="47"/>
      <c r="WZD363" s="47"/>
      <c r="WZE363" s="47"/>
      <c r="WZF363" s="47"/>
      <c r="WZG363" s="47"/>
      <c r="WZH363" s="47"/>
      <c r="WZI363" s="47"/>
      <c r="WZJ363" s="47"/>
      <c r="WZK363" s="47"/>
      <c r="WZL363" s="47"/>
      <c r="WZM363" s="47"/>
      <c r="WZN363" s="47"/>
      <c r="WZO363" s="47"/>
      <c r="WZP363" s="47"/>
      <c r="WZQ363" s="47"/>
      <c r="WZR363" s="47"/>
      <c r="WZS363" s="47"/>
      <c r="WZT363" s="47"/>
      <c r="WZU363" s="47"/>
      <c r="WZV363" s="47"/>
      <c r="WZW363" s="47"/>
      <c r="WZX363" s="47"/>
      <c r="WZY363" s="47"/>
      <c r="WZZ363" s="47"/>
      <c r="XAA363" s="47"/>
      <c r="XAB363" s="47"/>
      <c r="XAC363" s="47"/>
      <c r="XAD363" s="47"/>
      <c r="XAE363" s="47"/>
      <c r="XAF363" s="47"/>
      <c r="XAG363" s="47"/>
      <c r="XAH363" s="47"/>
      <c r="XAI363" s="47"/>
      <c r="XAJ363" s="47"/>
      <c r="XAK363" s="47"/>
      <c r="XAL363" s="47"/>
      <c r="XAM363" s="47"/>
      <c r="XAN363" s="47"/>
      <c r="XAO363" s="47"/>
      <c r="XAP363" s="47"/>
      <c r="XAQ363" s="47"/>
      <c r="XAR363" s="47"/>
      <c r="XAS363" s="47"/>
      <c r="XAT363" s="47"/>
      <c r="XAU363" s="47"/>
      <c r="XAV363" s="47"/>
      <c r="XAW363" s="47"/>
      <c r="XAX363" s="47"/>
      <c r="XAY363" s="47"/>
      <c r="XAZ363" s="47"/>
      <c r="XBA363" s="47"/>
      <c r="XBB363" s="47"/>
      <c r="XBC363" s="47"/>
      <c r="XBD363" s="47"/>
      <c r="XBE363" s="47"/>
      <c r="XBF363" s="47"/>
      <c r="XBG363" s="47"/>
      <c r="XBH363" s="47"/>
      <c r="XBI363" s="47"/>
      <c r="XBJ363" s="47"/>
      <c r="XBK363" s="47"/>
      <c r="XBL363" s="47"/>
      <c r="XBM363" s="47"/>
      <c r="XBN363" s="47"/>
      <c r="XBO363" s="47"/>
      <c r="XBP363" s="47"/>
      <c r="XBQ363" s="47"/>
      <c r="XBR363" s="47"/>
      <c r="XBS363" s="47"/>
      <c r="XBT363" s="47"/>
      <c r="XBU363" s="47"/>
      <c r="XBV363" s="47"/>
      <c r="XBW363" s="47"/>
      <c r="XBX363" s="47"/>
      <c r="XBY363" s="47"/>
      <c r="XBZ363" s="47"/>
      <c r="XCA363" s="47"/>
      <c r="XCB363" s="47"/>
      <c r="XCC363" s="47"/>
      <c r="XCD363" s="47"/>
      <c r="XCE363" s="47"/>
      <c r="XCF363" s="47"/>
      <c r="XCG363" s="47"/>
      <c r="XCH363" s="47"/>
      <c r="XCI363" s="47"/>
      <c r="XCJ363" s="47"/>
      <c r="XCK363" s="47"/>
      <c r="XCL363" s="47"/>
      <c r="XCM363" s="47"/>
      <c r="XCN363" s="47"/>
      <c r="XCO363" s="47"/>
      <c r="XCP363" s="47"/>
      <c r="XCQ363" s="47"/>
      <c r="XCR363" s="47"/>
      <c r="XCS363" s="47"/>
      <c r="XCT363" s="47"/>
      <c r="XCU363" s="47"/>
      <c r="XCV363" s="47"/>
      <c r="XCW363" s="47"/>
      <c r="XCX363" s="47"/>
      <c r="XCY363" s="47"/>
      <c r="XCZ363" s="47"/>
      <c r="XDA363" s="47"/>
      <c r="XDB363" s="47"/>
      <c r="XDC363" s="47"/>
      <c r="XDD363" s="47"/>
      <c r="XDE363" s="47"/>
      <c r="XDF363" s="47"/>
      <c r="XDG363" s="47"/>
      <c r="XDH363" s="47"/>
      <c r="XDI363" s="47"/>
      <c r="XDJ363" s="47"/>
      <c r="XDK363" s="47"/>
      <c r="XDL363" s="47"/>
      <c r="XDM363" s="47"/>
      <c r="XDN363" s="47"/>
      <c r="XDO363" s="47"/>
      <c r="XDP363" s="47"/>
      <c r="XDQ363" s="47"/>
      <c r="XDR363" s="47"/>
      <c r="XDS363" s="47"/>
      <c r="XDT363" s="47"/>
      <c r="XDU363" s="47"/>
      <c r="XDV363" s="47"/>
      <c r="XDW363" s="47"/>
      <c r="XDX363" s="47"/>
      <c r="XDY363" s="47"/>
      <c r="XDZ363" s="47"/>
      <c r="XEA363" s="47"/>
      <c r="XEB363" s="47"/>
      <c r="XEC363" s="47"/>
      <c r="XED363" s="47"/>
      <c r="XEE363" s="47"/>
      <c r="XEF363" s="47"/>
      <c r="XEG363" s="47"/>
      <c r="XEH363" s="47"/>
      <c r="XEI363" s="47"/>
      <c r="XEJ363" s="47"/>
      <c r="XEK363" s="47"/>
      <c r="XEL363" s="47"/>
      <c r="XEM363" s="47"/>
      <c r="XEN363" s="47"/>
      <c r="XEO363" s="47"/>
      <c r="XEP363" s="47"/>
      <c r="XEQ363" s="47"/>
      <c r="XER363" s="47"/>
      <c r="XES363" s="47"/>
      <c r="XET363" s="47"/>
      <c r="XEU363" s="47"/>
      <c r="XEV363" s="47"/>
      <c r="XEW363" s="47"/>
      <c r="XEX363" s="47"/>
      <c r="XEY363" s="47"/>
      <c r="XEZ363" s="47"/>
      <c r="XFA363" s="47"/>
      <c r="XFB363" s="47"/>
      <c r="XFC363" s="47"/>
      <c r="XFD363" s="47"/>
    </row>
    <row r="364" spans="1:37 16131:16384" s="118" customFormat="1" ht="12.75" hidden="1" customHeight="1" x14ac:dyDescent="0.3">
      <c r="A364" s="70">
        <f t="shared" si="0"/>
        <v>3230</v>
      </c>
      <c r="B364" s="71" t="s">
        <v>125</v>
      </c>
      <c r="C364" s="71" t="s">
        <v>462</v>
      </c>
      <c r="D364" s="27" t="s">
        <v>49</v>
      </c>
      <c r="E364" s="73" t="str">
        <f>IFERROR(VLOOKUP(D364&amp;J364,'Target columns'!A:J,4,FALSE),"")</f>
        <v>TEXT</v>
      </c>
      <c r="F364" s="73" t="str">
        <f>IFERROR(VLOOKUP(D364&amp;J364,'Target columns'!A:J,7,FALSE),"")</f>
        <v>No</v>
      </c>
      <c r="G364" s="73" t="str">
        <f>IFERROR(VLOOKUP(D364&amp;J364,'Target columns'!A:J,8,FALSE),"")</f>
        <v>No</v>
      </c>
      <c r="H364" s="73" t="str">
        <f>IFERROR(VLOOKUP(D364&amp;J364,'Target columns'!A:J,5,FALSE),"")</f>
        <v>NULL</v>
      </c>
      <c r="I364" s="73" t="str">
        <f>IFERROR(VLOOKUP(D364&amp;J364,'Target columns'!A:J,10,FALSE),"")</f>
        <v>Наименование схемы заведения договора</v>
      </c>
      <c r="J364" s="27" t="s">
        <v>464</v>
      </c>
      <c r="K364" s="72" t="s">
        <v>296</v>
      </c>
      <c r="L364" s="73" t="s">
        <v>320</v>
      </c>
      <c r="M364" s="73" t="s">
        <v>657</v>
      </c>
      <c r="N364" s="27" t="s">
        <v>658</v>
      </c>
      <c r="O364" s="71"/>
      <c r="P364" s="71"/>
      <c r="Q364" s="71"/>
      <c r="R364" s="71"/>
      <c r="S364" s="307"/>
      <c r="T364" s="128"/>
      <c r="U364" s="128"/>
      <c r="V364" s="73" t="s">
        <v>652</v>
      </c>
      <c r="W364" s="71" t="s">
        <v>273</v>
      </c>
      <c r="X364" s="269"/>
      <c r="Y364" s="203"/>
      <c r="Z364" s="71"/>
      <c r="AA364" s="74"/>
      <c r="AB364" s="71"/>
      <c r="AC364" s="128"/>
      <c r="AD364" s="128"/>
      <c r="AE364" s="128"/>
      <c r="AF364" s="128"/>
      <c r="AG364" s="128"/>
      <c r="AH364" s="128"/>
      <c r="AI364" s="128"/>
      <c r="AJ364" s="129"/>
      <c r="AK364" s="124"/>
      <c r="WVK364" s="47"/>
      <c r="WVL364" s="47"/>
      <c r="WVM364" s="47"/>
      <c r="WVN364" s="47"/>
      <c r="WVO364" s="47"/>
      <c r="WVP364" s="47"/>
      <c r="WVQ364" s="47"/>
      <c r="WVR364" s="47"/>
      <c r="WVS364" s="47"/>
      <c r="WVT364" s="47"/>
      <c r="WVU364" s="47"/>
      <c r="WVV364" s="47"/>
      <c r="WVW364" s="47"/>
      <c r="WVX364" s="47"/>
      <c r="WVY364" s="47"/>
      <c r="WVZ364" s="47"/>
      <c r="WWA364" s="47"/>
      <c r="WWB364" s="47"/>
      <c r="WWC364" s="47"/>
      <c r="WWD364" s="47"/>
      <c r="WWE364" s="47"/>
      <c r="WWF364" s="47"/>
      <c r="WWG364" s="47"/>
      <c r="WWH364" s="47"/>
      <c r="WWI364" s="47"/>
      <c r="WWJ364" s="47"/>
      <c r="WWK364" s="47"/>
      <c r="WWL364" s="47"/>
      <c r="WWM364" s="47"/>
      <c r="WWN364" s="47"/>
      <c r="WWO364" s="47"/>
      <c r="WWP364" s="47"/>
      <c r="WWQ364" s="47"/>
      <c r="WWR364" s="47"/>
      <c r="WWS364" s="47"/>
      <c r="WWT364" s="47"/>
      <c r="WWU364" s="47"/>
      <c r="WWV364" s="47"/>
      <c r="WWW364" s="47"/>
      <c r="WWX364" s="47"/>
      <c r="WWY364" s="47"/>
      <c r="WWZ364" s="47"/>
      <c r="WXA364" s="47"/>
      <c r="WXB364" s="47"/>
      <c r="WXC364" s="47"/>
      <c r="WXD364" s="47"/>
      <c r="WXE364" s="47"/>
      <c r="WXF364" s="47"/>
      <c r="WXG364" s="47"/>
      <c r="WXH364" s="47"/>
      <c r="WXI364" s="47"/>
      <c r="WXJ364" s="47"/>
      <c r="WXK364" s="47"/>
      <c r="WXL364" s="47"/>
      <c r="WXM364" s="47"/>
      <c r="WXN364" s="47"/>
      <c r="WXO364" s="47"/>
      <c r="WXP364" s="47"/>
      <c r="WXQ364" s="47"/>
      <c r="WXR364" s="47"/>
      <c r="WXS364" s="47"/>
      <c r="WXT364" s="47"/>
      <c r="WXU364" s="47"/>
      <c r="WXV364" s="47"/>
      <c r="WXW364" s="47"/>
      <c r="WXX364" s="47"/>
      <c r="WXY364" s="47"/>
      <c r="WXZ364" s="47"/>
      <c r="WYA364" s="47"/>
      <c r="WYB364" s="47"/>
      <c r="WYC364" s="47"/>
      <c r="WYD364" s="47"/>
      <c r="WYE364" s="47"/>
      <c r="WYF364" s="47"/>
      <c r="WYG364" s="47"/>
      <c r="WYH364" s="47"/>
      <c r="WYI364" s="47"/>
      <c r="WYJ364" s="47"/>
      <c r="WYK364" s="47"/>
      <c r="WYL364" s="47"/>
      <c r="WYM364" s="47"/>
      <c r="WYN364" s="47"/>
      <c r="WYO364" s="47"/>
      <c r="WYP364" s="47"/>
      <c r="WYQ364" s="47"/>
      <c r="WYR364" s="47"/>
      <c r="WYS364" s="47"/>
      <c r="WYT364" s="47"/>
      <c r="WYU364" s="47"/>
      <c r="WYV364" s="47"/>
      <c r="WYW364" s="47"/>
      <c r="WYX364" s="47"/>
      <c r="WYY364" s="47"/>
      <c r="WYZ364" s="47"/>
      <c r="WZA364" s="47"/>
      <c r="WZB364" s="47"/>
      <c r="WZC364" s="47"/>
      <c r="WZD364" s="47"/>
      <c r="WZE364" s="47"/>
      <c r="WZF364" s="47"/>
      <c r="WZG364" s="47"/>
      <c r="WZH364" s="47"/>
      <c r="WZI364" s="47"/>
      <c r="WZJ364" s="47"/>
      <c r="WZK364" s="47"/>
      <c r="WZL364" s="47"/>
      <c r="WZM364" s="47"/>
      <c r="WZN364" s="47"/>
      <c r="WZO364" s="47"/>
      <c r="WZP364" s="47"/>
      <c r="WZQ364" s="47"/>
      <c r="WZR364" s="47"/>
      <c r="WZS364" s="47"/>
      <c r="WZT364" s="47"/>
      <c r="WZU364" s="47"/>
      <c r="WZV364" s="47"/>
      <c r="WZW364" s="47"/>
      <c r="WZX364" s="47"/>
      <c r="WZY364" s="47"/>
      <c r="WZZ364" s="47"/>
      <c r="XAA364" s="47"/>
      <c r="XAB364" s="47"/>
      <c r="XAC364" s="47"/>
      <c r="XAD364" s="47"/>
      <c r="XAE364" s="47"/>
      <c r="XAF364" s="47"/>
      <c r="XAG364" s="47"/>
      <c r="XAH364" s="47"/>
      <c r="XAI364" s="47"/>
      <c r="XAJ364" s="47"/>
      <c r="XAK364" s="47"/>
      <c r="XAL364" s="47"/>
      <c r="XAM364" s="47"/>
      <c r="XAN364" s="47"/>
      <c r="XAO364" s="47"/>
      <c r="XAP364" s="47"/>
      <c r="XAQ364" s="47"/>
      <c r="XAR364" s="47"/>
      <c r="XAS364" s="47"/>
      <c r="XAT364" s="47"/>
      <c r="XAU364" s="47"/>
      <c r="XAV364" s="47"/>
      <c r="XAW364" s="47"/>
      <c r="XAX364" s="47"/>
      <c r="XAY364" s="47"/>
      <c r="XAZ364" s="47"/>
      <c r="XBA364" s="47"/>
      <c r="XBB364" s="47"/>
      <c r="XBC364" s="47"/>
      <c r="XBD364" s="47"/>
      <c r="XBE364" s="47"/>
      <c r="XBF364" s="47"/>
      <c r="XBG364" s="47"/>
      <c r="XBH364" s="47"/>
      <c r="XBI364" s="47"/>
      <c r="XBJ364" s="47"/>
      <c r="XBK364" s="47"/>
      <c r="XBL364" s="47"/>
      <c r="XBM364" s="47"/>
      <c r="XBN364" s="47"/>
      <c r="XBO364" s="47"/>
      <c r="XBP364" s="47"/>
      <c r="XBQ364" s="47"/>
      <c r="XBR364" s="47"/>
      <c r="XBS364" s="47"/>
      <c r="XBT364" s="47"/>
      <c r="XBU364" s="47"/>
      <c r="XBV364" s="47"/>
      <c r="XBW364" s="47"/>
      <c r="XBX364" s="47"/>
      <c r="XBY364" s="47"/>
      <c r="XBZ364" s="47"/>
      <c r="XCA364" s="47"/>
      <c r="XCB364" s="47"/>
      <c r="XCC364" s="47"/>
      <c r="XCD364" s="47"/>
      <c r="XCE364" s="47"/>
      <c r="XCF364" s="47"/>
      <c r="XCG364" s="47"/>
      <c r="XCH364" s="47"/>
      <c r="XCI364" s="47"/>
      <c r="XCJ364" s="47"/>
      <c r="XCK364" s="47"/>
      <c r="XCL364" s="47"/>
      <c r="XCM364" s="47"/>
      <c r="XCN364" s="47"/>
      <c r="XCO364" s="47"/>
      <c r="XCP364" s="47"/>
      <c r="XCQ364" s="47"/>
      <c r="XCR364" s="47"/>
      <c r="XCS364" s="47"/>
      <c r="XCT364" s="47"/>
      <c r="XCU364" s="47"/>
      <c r="XCV364" s="47"/>
      <c r="XCW364" s="47"/>
      <c r="XCX364" s="47"/>
      <c r="XCY364" s="47"/>
      <c r="XCZ364" s="47"/>
      <c r="XDA364" s="47"/>
      <c r="XDB364" s="47"/>
      <c r="XDC364" s="47"/>
      <c r="XDD364" s="47"/>
      <c r="XDE364" s="47"/>
      <c r="XDF364" s="47"/>
      <c r="XDG364" s="47"/>
      <c r="XDH364" s="47"/>
      <c r="XDI364" s="47"/>
      <c r="XDJ364" s="47"/>
      <c r="XDK364" s="47"/>
      <c r="XDL364" s="47"/>
      <c r="XDM364" s="47"/>
      <c r="XDN364" s="47"/>
      <c r="XDO364" s="47"/>
      <c r="XDP364" s="47"/>
      <c r="XDQ364" s="47"/>
      <c r="XDR364" s="47"/>
      <c r="XDS364" s="47"/>
      <c r="XDT364" s="47"/>
      <c r="XDU364" s="47"/>
      <c r="XDV364" s="47"/>
      <c r="XDW364" s="47"/>
      <c r="XDX364" s="47"/>
      <c r="XDY364" s="47"/>
      <c r="XDZ364" s="47"/>
      <c r="XEA364" s="47"/>
      <c r="XEB364" s="47"/>
      <c r="XEC364" s="47"/>
      <c r="XED364" s="47"/>
      <c r="XEE364" s="47"/>
      <c r="XEF364" s="47"/>
      <c r="XEG364" s="47"/>
      <c r="XEH364" s="47"/>
      <c r="XEI364" s="47"/>
      <c r="XEJ364" s="47"/>
      <c r="XEK364" s="47"/>
      <c r="XEL364" s="47"/>
      <c r="XEM364" s="47"/>
      <c r="XEN364" s="47"/>
      <c r="XEO364" s="47"/>
      <c r="XEP364" s="47"/>
      <c r="XEQ364" s="47"/>
      <c r="XER364" s="47"/>
      <c r="XES364" s="47"/>
      <c r="XET364" s="47"/>
      <c r="XEU364" s="47"/>
      <c r="XEV364" s="47"/>
      <c r="XEW364" s="47"/>
      <c r="XEX364" s="47"/>
      <c r="XEY364" s="47"/>
      <c r="XEZ364" s="47"/>
      <c r="XFA364" s="47"/>
      <c r="XFB364" s="47"/>
      <c r="XFC364" s="47"/>
      <c r="XFD364" s="47"/>
    </row>
    <row r="365" spans="1:37 16131:16384" s="118" customFormat="1" ht="12.75" hidden="1" customHeight="1" x14ac:dyDescent="0.3">
      <c r="A365" s="76">
        <f t="shared" si="0"/>
        <v>3240</v>
      </c>
      <c r="B365" s="77" t="s">
        <v>125</v>
      </c>
      <c r="C365" s="77" t="str">
        <f>IFERROR(VLOOKUP(D365,'Target tables'!A:B,2,0),"")</f>
        <v>Связь договора со схемами</v>
      </c>
      <c r="D365" s="208" t="s">
        <v>174</v>
      </c>
      <c r="E365" s="78" t="str">
        <f>IFERROR(VLOOKUP(D365&amp;J365,'Target columns'!A:J,4,FALSE),"")</f>
        <v>uuid</v>
      </c>
      <c r="F365" s="78" t="str">
        <f>IFERROR(VLOOKUP(D365&amp;J365,'Target columns'!A:J,7,FALSE),"")</f>
        <v>Yes</v>
      </c>
      <c r="G365" s="78" t="str">
        <f>IFERROR(VLOOKUP(D365&amp;J365,'Target columns'!A:J,8,FALSE),"")</f>
        <v>Yes</v>
      </c>
      <c r="H365" s="78" t="str">
        <f>IFERROR(VLOOKUP(D365&amp;J365,'Target columns'!A:J,5,FALSE),"")</f>
        <v>NOT NULL</v>
      </c>
      <c r="I365" s="78" t="str">
        <f>IFERROR(VLOOKUP(D365&amp;J365,'Target columns'!A:J,10,FALSE),"")</f>
        <v>Идентификатор договора</v>
      </c>
      <c r="J365" s="130" t="s">
        <v>324</v>
      </c>
      <c r="K365" s="28" t="s">
        <v>175</v>
      </c>
      <c r="L365" s="78" t="str">
        <f>IFERROR(VLOOKUP(K365&amp;N365,source_columns[[Seek]:[Описание поля]],4,0),"")</f>
        <v>uuid</v>
      </c>
      <c r="M365" s="78" t="str">
        <f>IFERROR(VLOOKUP(K365&amp;N365,source_columns[[Seek]:[Описание поля]],7,0),"")</f>
        <v>СК Аккредитив</v>
      </c>
      <c r="N365" s="23" t="s">
        <v>496</v>
      </c>
      <c r="O365" s="23"/>
      <c r="P365" s="23"/>
      <c r="Q365" s="23"/>
      <c r="R365" s="23"/>
      <c r="S365" s="309" t="s">
        <v>659</v>
      </c>
      <c r="T365" s="131"/>
      <c r="U365" s="131"/>
      <c r="V365" s="78" t="s">
        <v>660</v>
      </c>
      <c r="W365" s="77" t="s">
        <v>269</v>
      </c>
      <c r="X365" s="312" t="s">
        <v>342</v>
      </c>
      <c r="Y365" s="24"/>
      <c r="Z365" s="24"/>
      <c r="AA365" s="24"/>
      <c r="AB365" s="77"/>
      <c r="AC365" s="131"/>
      <c r="AD365" s="131"/>
      <c r="AE365" s="131"/>
      <c r="AF365" s="131"/>
      <c r="AG365" s="131"/>
      <c r="AH365" s="131"/>
      <c r="AI365" s="131"/>
      <c r="AJ365" s="132"/>
      <c r="AK365" s="124"/>
      <c r="WVK365" s="47"/>
      <c r="WVL365" s="47"/>
      <c r="WVM365" s="47"/>
      <c r="WVN365" s="47"/>
      <c r="WVO365" s="47"/>
      <c r="WVP365" s="47"/>
      <c r="WVQ365" s="47"/>
      <c r="WVR365" s="47"/>
      <c r="WVS365" s="47"/>
      <c r="WVT365" s="47"/>
      <c r="WVU365" s="47"/>
      <c r="WVV365" s="47"/>
      <c r="WVW365" s="47"/>
      <c r="WVX365" s="47"/>
      <c r="WVY365" s="47"/>
      <c r="WVZ365" s="47"/>
      <c r="WWA365" s="47"/>
      <c r="WWB365" s="47"/>
      <c r="WWC365" s="47"/>
      <c r="WWD365" s="47"/>
      <c r="WWE365" s="47"/>
      <c r="WWF365" s="47"/>
      <c r="WWG365" s="47"/>
      <c r="WWH365" s="47"/>
      <c r="WWI365" s="47"/>
      <c r="WWJ365" s="47"/>
      <c r="WWK365" s="47"/>
      <c r="WWL365" s="47"/>
      <c r="WWM365" s="47"/>
      <c r="WWN365" s="47"/>
      <c r="WWO365" s="47"/>
      <c r="WWP365" s="47"/>
      <c r="WWQ365" s="47"/>
      <c r="WWR365" s="47"/>
      <c r="WWS365" s="47"/>
      <c r="WWT365" s="47"/>
      <c r="WWU365" s="47"/>
      <c r="WWV365" s="47"/>
      <c r="WWW365" s="47"/>
      <c r="WWX365" s="47"/>
      <c r="WWY365" s="47"/>
      <c r="WWZ365" s="47"/>
      <c r="WXA365" s="47"/>
      <c r="WXB365" s="47"/>
      <c r="WXC365" s="47"/>
      <c r="WXD365" s="47"/>
      <c r="WXE365" s="47"/>
      <c r="WXF365" s="47"/>
      <c r="WXG365" s="47"/>
      <c r="WXH365" s="47"/>
      <c r="WXI365" s="47"/>
      <c r="WXJ365" s="47"/>
      <c r="WXK365" s="47"/>
      <c r="WXL365" s="47"/>
      <c r="WXM365" s="47"/>
      <c r="WXN365" s="47"/>
      <c r="WXO365" s="47"/>
      <c r="WXP365" s="47"/>
      <c r="WXQ365" s="47"/>
      <c r="WXR365" s="47"/>
      <c r="WXS365" s="47"/>
      <c r="WXT365" s="47"/>
      <c r="WXU365" s="47"/>
      <c r="WXV365" s="47"/>
      <c r="WXW365" s="47"/>
      <c r="WXX365" s="47"/>
      <c r="WXY365" s="47"/>
      <c r="WXZ365" s="47"/>
      <c r="WYA365" s="47"/>
      <c r="WYB365" s="47"/>
      <c r="WYC365" s="47"/>
      <c r="WYD365" s="47"/>
      <c r="WYE365" s="47"/>
      <c r="WYF365" s="47"/>
      <c r="WYG365" s="47"/>
      <c r="WYH365" s="47"/>
      <c r="WYI365" s="47"/>
      <c r="WYJ365" s="47"/>
      <c r="WYK365" s="47"/>
      <c r="WYL365" s="47"/>
      <c r="WYM365" s="47"/>
      <c r="WYN365" s="47"/>
      <c r="WYO365" s="47"/>
      <c r="WYP365" s="47"/>
      <c r="WYQ365" s="47"/>
      <c r="WYR365" s="47"/>
      <c r="WYS365" s="47"/>
      <c r="WYT365" s="47"/>
      <c r="WYU365" s="47"/>
      <c r="WYV365" s="47"/>
      <c r="WYW365" s="47"/>
      <c r="WYX365" s="47"/>
      <c r="WYY365" s="47"/>
      <c r="WYZ365" s="47"/>
      <c r="WZA365" s="47"/>
      <c r="WZB365" s="47"/>
      <c r="WZC365" s="47"/>
      <c r="WZD365" s="47"/>
      <c r="WZE365" s="47"/>
      <c r="WZF365" s="47"/>
      <c r="WZG365" s="47"/>
      <c r="WZH365" s="47"/>
      <c r="WZI365" s="47"/>
      <c r="WZJ365" s="47"/>
      <c r="WZK365" s="47"/>
      <c r="WZL365" s="47"/>
      <c r="WZM365" s="47"/>
      <c r="WZN365" s="47"/>
      <c r="WZO365" s="47"/>
      <c r="WZP365" s="47"/>
      <c r="WZQ365" s="47"/>
      <c r="WZR365" s="47"/>
      <c r="WZS365" s="47"/>
      <c r="WZT365" s="47"/>
      <c r="WZU365" s="47"/>
      <c r="WZV365" s="47"/>
      <c r="WZW365" s="47"/>
      <c r="WZX365" s="47"/>
      <c r="WZY365" s="47"/>
      <c r="WZZ365" s="47"/>
      <c r="XAA365" s="47"/>
      <c r="XAB365" s="47"/>
      <c r="XAC365" s="47"/>
      <c r="XAD365" s="47"/>
      <c r="XAE365" s="47"/>
      <c r="XAF365" s="47"/>
      <c r="XAG365" s="47"/>
      <c r="XAH365" s="47"/>
      <c r="XAI365" s="47"/>
      <c r="XAJ365" s="47"/>
      <c r="XAK365" s="47"/>
      <c r="XAL365" s="47"/>
      <c r="XAM365" s="47"/>
      <c r="XAN365" s="47"/>
      <c r="XAO365" s="47"/>
      <c r="XAP365" s="47"/>
      <c r="XAQ365" s="47"/>
      <c r="XAR365" s="47"/>
      <c r="XAS365" s="47"/>
      <c r="XAT365" s="47"/>
      <c r="XAU365" s="47"/>
      <c r="XAV365" s="47"/>
      <c r="XAW365" s="47"/>
      <c r="XAX365" s="47"/>
      <c r="XAY365" s="47"/>
      <c r="XAZ365" s="47"/>
      <c r="XBA365" s="47"/>
      <c r="XBB365" s="47"/>
      <c r="XBC365" s="47"/>
      <c r="XBD365" s="47"/>
      <c r="XBE365" s="47"/>
      <c r="XBF365" s="47"/>
      <c r="XBG365" s="47"/>
      <c r="XBH365" s="47"/>
      <c r="XBI365" s="47"/>
      <c r="XBJ365" s="47"/>
      <c r="XBK365" s="47"/>
      <c r="XBL365" s="47"/>
      <c r="XBM365" s="47"/>
      <c r="XBN365" s="47"/>
      <c r="XBO365" s="47"/>
      <c r="XBP365" s="47"/>
      <c r="XBQ365" s="47"/>
      <c r="XBR365" s="47"/>
      <c r="XBS365" s="47"/>
      <c r="XBT365" s="47"/>
      <c r="XBU365" s="47"/>
      <c r="XBV365" s="47"/>
      <c r="XBW365" s="47"/>
      <c r="XBX365" s="47"/>
      <c r="XBY365" s="47"/>
      <c r="XBZ365" s="47"/>
      <c r="XCA365" s="47"/>
      <c r="XCB365" s="47"/>
      <c r="XCC365" s="47"/>
      <c r="XCD365" s="47"/>
      <c r="XCE365" s="47"/>
      <c r="XCF365" s="47"/>
      <c r="XCG365" s="47"/>
      <c r="XCH365" s="47"/>
      <c r="XCI365" s="47"/>
      <c r="XCJ365" s="47"/>
      <c r="XCK365" s="47"/>
      <c r="XCL365" s="47"/>
      <c r="XCM365" s="47"/>
      <c r="XCN365" s="47"/>
      <c r="XCO365" s="47"/>
      <c r="XCP365" s="47"/>
      <c r="XCQ365" s="47"/>
      <c r="XCR365" s="47"/>
      <c r="XCS365" s="47"/>
      <c r="XCT365" s="47"/>
      <c r="XCU365" s="47"/>
      <c r="XCV365" s="47"/>
      <c r="XCW365" s="47"/>
      <c r="XCX365" s="47"/>
      <c r="XCY365" s="47"/>
      <c r="XCZ365" s="47"/>
      <c r="XDA365" s="47"/>
      <c r="XDB365" s="47"/>
      <c r="XDC365" s="47"/>
      <c r="XDD365" s="47"/>
      <c r="XDE365" s="47"/>
      <c r="XDF365" s="47"/>
      <c r="XDG365" s="47"/>
      <c r="XDH365" s="47"/>
      <c r="XDI365" s="47"/>
      <c r="XDJ365" s="47"/>
      <c r="XDK365" s="47"/>
      <c r="XDL365" s="47"/>
      <c r="XDM365" s="47"/>
      <c r="XDN365" s="47"/>
      <c r="XDO365" s="47"/>
      <c r="XDP365" s="47"/>
      <c r="XDQ365" s="47"/>
      <c r="XDR365" s="47"/>
      <c r="XDS365" s="47"/>
      <c r="XDT365" s="47"/>
      <c r="XDU365" s="47"/>
      <c r="XDV365" s="47"/>
      <c r="XDW365" s="47"/>
      <c r="XDX365" s="47"/>
      <c r="XDY365" s="47"/>
      <c r="XDZ365" s="47"/>
      <c r="XEA365" s="47"/>
      <c r="XEB365" s="47"/>
      <c r="XEC365" s="47"/>
      <c r="XED365" s="47"/>
      <c r="XEE365" s="47"/>
      <c r="XEF365" s="47"/>
      <c r="XEG365" s="47"/>
      <c r="XEH365" s="47"/>
      <c r="XEI365" s="47"/>
      <c r="XEJ365" s="47"/>
      <c r="XEK365" s="47"/>
      <c r="XEL365" s="47"/>
      <c r="XEM365" s="47"/>
      <c r="XEN365" s="47"/>
      <c r="XEO365" s="47"/>
      <c r="XEP365" s="47"/>
      <c r="XEQ365" s="47"/>
      <c r="XER365" s="47"/>
      <c r="XES365" s="47"/>
      <c r="XET365" s="47"/>
      <c r="XEU365" s="47"/>
      <c r="XEV365" s="47"/>
      <c r="XEW365" s="47"/>
      <c r="XEX365" s="47"/>
      <c r="XEY365" s="47"/>
      <c r="XEZ365" s="47"/>
      <c r="XFA365" s="47"/>
      <c r="XFB365" s="47"/>
      <c r="XFC365" s="47"/>
      <c r="XFD365" s="47"/>
    </row>
    <row r="366" spans="1:37 16131:16384" ht="12.75" hidden="1" customHeight="1" x14ac:dyDescent="0.25">
      <c r="A366" s="64">
        <f t="shared" si="0"/>
        <v>3250</v>
      </c>
      <c r="B366" s="65" t="s">
        <v>125</v>
      </c>
      <c r="C366" s="65" t="str">
        <f>IFERROR(VLOOKUP(D366,'Target tables'!A:B,2,0),"")</f>
        <v>Связь договора со схемами</v>
      </c>
      <c r="D366" s="211" t="s">
        <v>174</v>
      </c>
      <c r="E366" s="66" t="str">
        <f>IFERROR(VLOOKUP(D366&amp;J366,'Target columns'!A:J,4,FALSE),"")</f>
        <v>uuid</v>
      </c>
      <c r="F366" s="66" t="str">
        <f>IFERROR(VLOOKUP(D366&amp;J366,'Target columns'!A:J,7,FALSE),"")</f>
        <v>Yes</v>
      </c>
      <c r="G366" s="66" t="str">
        <f>IFERROR(VLOOKUP(D366&amp;J366,'Target columns'!A:J,8,FALSE),"")</f>
        <v>Yes</v>
      </c>
      <c r="H366" s="66" t="str">
        <f>IFERROR(VLOOKUP(D366&amp;J366,'Target columns'!A:J,5,FALSE),"")</f>
        <v>NOT NULL</v>
      </c>
      <c r="I366" s="66" t="str">
        <f>IFERROR(VLOOKUP(D366&amp;J366,'Target columns'!A:J,10,FALSE),"")</f>
        <v>Идентификатор схемы</v>
      </c>
      <c r="J366" s="127" t="s">
        <v>457</v>
      </c>
      <c r="K366" s="30" t="s">
        <v>175</v>
      </c>
      <c r="L366" s="66" t="str">
        <f>IFERROR(VLOOKUP(K366&amp;N366,source_columns[[Seek]:[Описание поля]],4,0),"")</f>
        <v>uuid</v>
      </c>
      <c r="M366" s="66" t="str">
        <f>IFERROR(VLOOKUP(K366&amp;N366,source_columns[[Seek]:[Описание поля]],7,0),"")</f>
        <v>СК ВНД</v>
      </c>
      <c r="N366" s="65" t="s">
        <v>650</v>
      </c>
      <c r="O366" s="8"/>
      <c r="P366" s="8"/>
      <c r="Q366" s="8"/>
      <c r="R366" s="8"/>
      <c r="S366" s="310"/>
      <c r="T366" s="65"/>
      <c r="U366" s="65"/>
      <c r="V366" s="66" t="s">
        <v>660</v>
      </c>
      <c r="W366" s="65" t="s">
        <v>269</v>
      </c>
      <c r="X366" s="313"/>
      <c r="Y366" s="10"/>
      <c r="Z366" s="10"/>
      <c r="AA366" s="10"/>
      <c r="AB366" s="65"/>
      <c r="AC366" s="65"/>
      <c r="AD366" s="65"/>
      <c r="AE366" s="65"/>
      <c r="AF366" s="202"/>
      <c r="AG366" s="202"/>
      <c r="AH366" s="64"/>
      <c r="AI366" s="133"/>
      <c r="AJ366" s="68"/>
      <c r="AK366" s="69"/>
    </row>
    <row r="367" spans="1:37 16131:16384" ht="12.75" hidden="1" customHeight="1" x14ac:dyDescent="0.25">
      <c r="A367" s="70">
        <f t="shared" si="0"/>
        <v>3260</v>
      </c>
      <c r="B367" s="71" t="s">
        <v>125</v>
      </c>
      <c r="C367" s="71" t="str">
        <f>IFERROR(VLOOKUP(D367,'Target tables'!A:B,2,0),"")</f>
        <v>Связь договора со схемами</v>
      </c>
      <c r="D367" s="212" t="s">
        <v>174</v>
      </c>
      <c r="E367" s="73" t="str">
        <f>IFERROR(VLOOKUP(D367&amp;J367,'Target columns'!A:J,4,FALSE),"")</f>
        <v>uuid</v>
      </c>
      <c r="F367" s="73" t="str">
        <f>IFERROR(VLOOKUP(D367&amp;J367,'Target columns'!A:J,7,FALSE),"")</f>
        <v>Yes</v>
      </c>
      <c r="G367" s="73" t="str">
        <f>IFERROR(VLOOKUP(D367&amp;J367,'Target columns'!A:J,8,FALSE),"")</f>
        <v>Yes</v>
      </c>
      <c r="H367" s="73" t="str">
        <f>IFERROR(VLOOKUP(D367&amp;J367,'Target columns'!A:J,5,FALSE),"")</f>
        <v>NOT NULL</v>
      </c>
      <c r="I367" s="73" t="str">
        <f>IFERROR(VLOOKUP(D367&amp;J367,'Target columns'!A:J,10,FALSE),"")</f>
        <v xml:space="preserve">Тип схемы на договоре </v>
      </c>
      <c r="J367" s="134" t="s">
        <v>661</v>
      </c>
      <c r="K367" s="135" t="s">
        <v>175</v>
      </c>
      <c r="L367" s="73" t="str">
        <f>IFERROR(VLOOKUP(K367&amp;N367,source_columns[[Seek]:[Описание поля]],4,0),"")</f>
        <v/>
      </c>
      <c r="M367" s="73" t="str">
        <f>IFERROR(VLOOKUP(K367&amp;N367,source_columns[[Seek]:[Описание поля]],7,0),"")</f>
        <v/>
      </c>
      <c r="N367" s="136" t="s">
        <v>662</v>
      </c>
      <c r="O367" s="20"/>
      <c r="P367" s="20"/>
      <c r="Q367" s="20"/>
      <c r="R367" s="20"/>
      <c r="S367" s="311"/>
      <c r="T367" s="71"/>
      <c r="U367" s="71"/>
      <c r="V367" s="73" t="s">
        <v>660</v>
      </c>
      <c r="W367" s="71" t="s">
        <v>269</v>
      </c>
      <c r="X367" s="314"/>
      <c r="Y367" s="27"/>
      <c r="Z367" s="27"/>
      <c r="AA367" s="27"/>
      <c r="AB367" s="71"/>
      <c r="AC367" s="71"/>
      <c r="AD367" s="71"/>
      <c r="AE367" s="71"/>
      <c r="AF367" s="203"/>
      <c r="AG367" s="203"/>
      <c r="AH367" s="70"/>
      <c r="AI367" s="137"/>
      <c r="AJ367" s="75"/>
      <c r="AK367" s="69"/>
    </row>
    <row r="368" spans="1:37 16131:16384" ht="12.75" hidden="1" customHeight="1" x14ac:dyDescent="0.25">
      <c r="A368" s="76">
        <f t="shared" si="0"/>
        <v>3270</v>
      </c>
      <c r="B368" s="113" t="s">
        <v>663</v>
      </c>
      <c r="C368" s="82" t="str">
        <f>IFERROR(VLOOKUP(D368,'Target tables'!A:B,2,0),"")</f>
        <v>Гарантии</v>
      </c>
      <c r="D368" s="23" t="s">
        <v>189</v>
      </c>
      <c r="E368" s="78" t="str">
        <f>IFERROR(VLOOKUP(D368&amp;J368,'Target columns'!A:J,4,FALSE),"")</f>
        <v>uuid</v>
      </c>
      <c r="F368" s="78" t="str">
        <f>IFERROR(VLOOKUP(D368&amp;J368,'Target columns'!A:J,7,FALSE),"")</f>
        <v>Yes</v>
      </c>
      <c r="G368" s="78" t="str">
        <f>IFERROR(VLOOKUP(D368&amp;J368,'Target columns'!A:J,8,FALSE),"")</f>
        <v>No</v>
      </c>
      <c r="H368" s="78" t="str">
        <f>IFERROR(VLOOKUP(D368&amp;J368,'Target columns'!A:J,5,FALSE),"")</f>
        <v>NOT NULL</v>
      </c>
      <c r="I368" s="78" t="str">
        <f>IFERROR(VLOOKUP(D368&amp;J368,'Target columns'!A:J,10,FALSE),"")</f>
        <v>Идентификатор договора гарантии</v>
      </c>
      <c r="J368" s="23" t="s">
        <v>664</v>
      </c>
      <c r="K368" s="23" t="s">
        <v>186</v>
      </c>
      <c r="L368" s="78" t="str">
        <f>IFERROR(VLOOKUP(K368&amp;N368,source_columns[[Seek]:[Описание поля]],4,0),"")</f>
        <v>uuid</v>
      </c>
      <c r="M368" s="78" t="str">
        <f>IFERROR(VLOOKUP(K368&amp;N368,source_columns[[Seek]:[Описание поля]],7,0),"")</f>
        <v>ID договора в источнике</v>
      </c>
      <c r="N368" s="24" t="s">
        <v>665</v>
      </c>
      <c r="O368" s="23"/>
      <c r="P368" s="23"/>
      <c r="Q368" s="23"/>
      <c r="R368" s="23"/>
      <c r="S368" s="270" t="s">
        <v>666</v>
      </c>
      <c r="U368" s="82"/>
      <c r="V368" s="84" t="str">
        <f>"n308000046_"&amp;IFERROR(VLOOKUP(D368,target_tables[],5,0),"&lt;not found&gt;")</f>
        <v>n308000046_agr_grntee</v>
      </c>
      <c r="W368" s="82" t="s">
        <v>269</v>
      </c>
      <c r="AF368" s="299" t="s">
        <v>270</v>
      </c>
      <c r="AG368" s="83"/>
      <c r="AH368" s="83"/>
      <c r="AI368" s="83"/>
      <c r="AJ368" s="91"/>
      <c r="AK368" s="69"/>
    </row>
    <row r="369" spans="1:37" ht="12.75" hidden="1" customHeight="1" x14ac:dyDescent="0.25">
      <c r="A369" s="64">
        <f t="shared" si="0"/>
        <v>3280</v>
      </c>
      <c r="B369" s="8" t="s">
        <v>663</v>
      </c>
      <c r="C369" s="65" t="str">
        <f>IFERROR(VLOOKUP(D369,'Target tables'!A:B,2,0),"")</f>
        <v>Гарантии</v>
      </c>
      <c r="D369" s="8" t="s">
        <v>189</v>
      </c>
      <c r="E369" s="66" t="str">
        <f>IFERROR(VLOOKUP(D369&amp;J369,'Target columns'!A:J,4,FALSE),"")</f>
        <v>date</v>
      </c>
      <c r="F369" s="66" t="str">
        <f>IFERROR(VLOOKUP(D369&amp;J369,'Target columns'!A:J,7,FALSE),"")</f>
        <v>No</v>
      </c>
      <c r="G369" s="66" t="str">
        <f>IFERROR(VLOOKUP(D369&amp;J369,'Target columns'!A:J,8,FALSE),"")</f>
        <v>No</v>
      </c>
      <c r="H369" s="66" t="str">
        <f>IFERROR(VLOOKUP(D369&amp;J369,'Target columns'!A:J,5,FALSE),"")</f>
        <v>NULL</v>
      </c>
      <c r="I369" s="66" t="str">
        <f>IFERROR(VLOOKUP(D369&amp;J369,'Target columns'!A:J,10,FALSE),"")</f>
        <v>Дата открытия договора гарантии</v>
      </c>
      <c r="J369" s="8" t="s">
        <v>271</v>
      </c>
      <c r="K369" s="8" t="s">
        <v>186</v>
      </c>
      <c r="L369" s="66" t="str">
        <f>IFERROR(VLOOKUP(K369&amp;N369,source_columns[[Seek]:[Описание поля]],4,0),"")</f>
        <v>date</v>
      </c>
      <c r="M369" s="66" t="str">
        <f>IFERROR(VLOOKUP(K369&amp;N369,source_columns[[Seek]:[Описание поля]],7,0),"")</f>
        <v>Дата заключения договора</v>
      </c>
      <c r="N369" s="10" t="s">
        <v>667</v>
      </c>
      <c r="O369" s="8"/>
      <c r="P369" s="8"/>
      <c r="Q369" s="8"/>
      <c r="R369" s="8"/>
      <c r="S369" s="278"/>
      <c r="U369" s="65"/>
      <c r="V369" s="66" t="str">
        <f>"n308000046_"&amp;IFERROR(VLOOKUP(D369,target_tables[],5,0),"&lt;not found&gt;")</f>
        <v>n308000046_agr_grntee</v>
      </c>
      <c r="W369" s="65" t="s">
        <v>273</v>
      </c>
      <c r="AF369" s="299"/>
      <c r="AG369" s="10"/>
      <c r="AH369" s="10"/>
      <c r="AI369" s="10"/>
      <c r="AJ369" s="68"/>
      <c r="AK369" s="69"/>
    </row>
    <row r="370" spans="1:37" ht="12.75" hidden="1" customHeight="1" x14ac:dyDescent="0.25">
      <c r="A370" s="64">
        <f t="shared" si="0"/>
        <v>3290</v>
      </c>
      <c r="B370" s="8" t="s">
        <v>663</v>
      </c>
      <c r="C370" s="65" t="str">
        <f>IFERROR(VLOOKUP(D370,'Target tables'!A:B,2,0),"")</f>
        <v>Гарантии</v>
      </c>
      <c r="D370" s="8" t="s">
        <v>189</v>
      </c>
      <c r="E370" s="66" t="str">
        <f>IFERROR(VLOOKUP(D370&amp;J370,'Target columns'!A:J,4,FALSE),"")</f>
        <v>date</v>
      </c>
      <c r="F370" s="66" t="str">
        <f>IFERROR(VLOOKUP(D370&amp;J370,'Target columns'!A:J,7,FALSE),"")</f>
        <v>No</v>
      </c>
      <c r="G370" s="66" t="str">
        <f>IFERROR(VLOOKUP(D370&amp;J370,'Target columns'!A:J,8,FALSE),"")</f>
        <v>No</v>
      </c>
      <c r="H370" s="66" t="str">
        <f>IFERROR(VLOOKUP(D370&amp;J370,'Target columns'!A:J,5,FALSE),"")</f>
        <v>NULL</v>
      </c>
      <c r="I370" s="66" t="str">
        <f>IFERROR(VLOOKUP(D370&amp;J370,'Target columns'!A:J,10,FALSE),"")</f>
        <v>Дата подписания договора гарантии</v>
      </c>
      <c r="J370" s="8" t="s">
        <v>274</v>
      </c>
      <c r="K370" s="8" t="s">
        <v>186</v>
      </c>
      <c r="L370" s="66" t="str">
        <f>IFERROR(VLOOKUP(K370&amp;N370,source_columns[[Seek]:[Описание поля]],4,0),"")</f>
        <v>date</v>
      </c>
      <c r="M370" s="66" t="str">
        <f>IFERROR(VLOOKUP(K370&amp;N370,source_columns[[Seek]:[Описание поля]],7,0),"")</f>
        <v>Дата заключения договора</v>
      </c>
      <c r="N370" s="10" t="s">
        <v>667</v>
      </c>
      <c r="O370" s="8"/>
      <c r="P370" s="8"/>
      <c r="Q370" s="8"/>
      <c r="R370" s="8"/>
      <c r="S370" s="278"/>
      <c r="U370" s="65"/>
      <c r="V370" s="66" t="str">
        <f>"n308000046_"&amp;IFERROR(VLOOKUP(D370,target_tables[],5,0),"&lt;not found&gt;")</f>
        <v>n308000046_agr_grntee</v>
      </c>
      <c r="W370" s="65" t="s">
        <v>273</v>
      </c>
      <c r="AF370" s="299"/>
      <c r="AG370" s="10"/>
      <c r="AH370" s="10"/>
      <c r="AI370" s="10"/>
      <c r="AJ370" s="68"/>
      <c r="AK370" s="69"/>
    </row>
    <row r="371" spans="1:37" ht="12.75" hidden="1" customHeight="1" x14ac:dyDescent="0.25">
      <c r="A371" s="64">
        <f t="shared" si="0"/>
        <v>3300</v>
      </c>
      <c r="B371" s="8" t="s">
        <v>663</v>
      </c>
      <c r="C371" s="65" t="str">
        <f>IFERROR(VLOOKUP(D371,'Target tables'!A:B,2,0),"")</f>
        <v>Гарантии</v>
      </c>
      <c r="D371" s="8" t="s">
        <v>189</v>
      </c>
      <c r="E371" s="66" t="str">
        <f>IFERROR(VLOOKUP(D371&amp;J371,'Target columns'!A:J,4,FALSE),"")</f>
        <v>date</v>
      </c>
      <c r="F371" s="66" t="str">
        <f>IFERROR(VLOOKUP(D371&amp;J371,'Target columns'!A:J,7,FALSE),"")</f>
        <v>No</v>
      </c>
      <c r="G371" s="66" t="str">
        <f>IFERROR(VLOOKUP(D371&amp;J371,'Target columns'!A:J,8,FALSE),"")</f>
        <v>No</v>
      </c>
      <c r="H371" s="66" t="str">
        <f>IFERROR(VLOOKUP(D371&amp;J371,'Target columns'!A:J,5,FALSE),"")</f>
        <v>NULL</v>
      </c>
      <c r="I371" s="66" t="str">
        <f>IFERROR(VLOOKUP(D371&amp;J371,'Target columns'!A:J,10,FALSE),"")</f>
        <v>Дата закрытия договора гарантии</v>
      </c>
      <c r="J371" s="8" t="s">
        <v>275</v>
      </c>
      <c r="K371" s="8" t="s">
        <v>186</v>
      </c>
      <c r="L371" s="66" t="str">
        <f>IFERROR(VLOOKUP(K371&amp;N371,source_columns[[Seek]:[Описание поля]],4,0),"")</f>
        <v>date</v>
      </c>
      <c r="M371" s="66" t="str">
        <f>IFERROR(VLOOKUP(K371&amp;N371,source_columns[[Seek]:[Описание поля]],7,0),"")</f>
        <v>Дата закрытия договора</v>
      </c>
      <c r="N371" s="10" t="s">
        <v>668</v>
      </c>
      <c r="O371" s="8"/>
      <c r="P371" s="8"/>
      <c r="Q371" s="8"/>
      <c r="R371" s="8"/>
      <c r="S371" s="278"/>
      <c r="U371" s="65"/>
      <c r="V371" s="66" t="str">
        <f>"n308000046_"&amp;IFERROR(VLOOKUP(D371,target_tables[],5,0),"&lt;not found&gt;")</f>
        <v>n308000046_agr_grntee</v>
      </c>
      <c r="W371" s="65" t="s">
        <v>273</v>
      </c>
      <c r="AF371" s="299"/>
      <c r="AG371" s="10"/>
      <c r="AH371" s="10"/>
      <c r="AI371" s="10"/>
      <c r="AJ371" s="68"/>
      <c r="AK371" s="69"/>
    </row>
    <row r="372" spans="1:37" ht="12.75" hidden="1" customHeight="1" x14ac:dyDescent="0.25">
      <c r="A372" s="64">
        <f t="shared" si="0"/>
        <v>3310</v>
      </c>
      <c r="B372" s="8" t="s">
        <v>663</v>
      </c>
      <c r="C372" s="65" t="str">
        <f>IFERROR(VLOOKUP(D372,'Target tables'!A:B,2,0),"")</f>
        <v>Гарантии</v>
      </c>
      <c r="D372" s="8" t="s">
        <v>189</v>
      </c>
      <c r="E372" s="66" t="str">
        <f>IFERROR(VLOOKUP(D372&amp;J372,'Target columns'!A:J,4,FALSE),"")</f>
        <v>text</v>
      </c>
      <c r="F372" s="66" t="str">
        <f>IFERROR(VLOOKUP(D372&amp;J372,'Target columns'!A:J,7,FALSE),"")</f>
        <v>No</v>
      </c>
      <c r="G372" s="66" t="str">
        <f>IFERROR(VLOOKUP(D372&amp;J372,'Target columns'!A:J,8,FALSE),"")</f>
        <v>No</v>
      </c>
      <c r="H372" s="66" t="str">
        <f>IFERROR(VLOOKUP(D372&amp;J372,'Target columns'!A:J,5,FALSE),"")</f>
        <v>NULL</v>
      </c>
      <c r="I372" s="66" t="str">
        <f>IFERROR(VLOOKUP(D372&amp;J372,'Target columns'!A:J,10,FALSE),"")</f>
        <v>Номер договора гарантии</v>
      </c>
      <c r="J372" s="8" t="s">
        <v>669</v>
      </c>
      <c r="K372" s="8" t="s">
        <v>186</v>
      </c>
      <c r="L372" s="66" t="str">
        <f>IFERROR(VLOOKUP(K372&amp;N372,source_columns[[Seek]:[Описание поля]],4,0),"")</f>
        <v>text</v>
      </c>
      <c r="M372" s="66" t="str">
        <f>IFERROR(VLOOKUP(K372&amp;N372,source_columns[[Seek]:[Описание поля]],7,0),"")</f>
        <v>Референс сделки</v>
      </c>
      <c r="N372" s="10" t="s">
        <v>388</v>
      </c>
      <c r="O372" s="8"/>
      <c r="P372" s="8"/>
      <c r="Q372" s="8"/>
      <c r="R372" s="8"/>
      <c r="S372" s="278"/>
      <c r="U372" s="65"/>
      <c r="V372" s="66" t="str">
        <f>"n308000046_"&amp;IFERROR(VLOOKUP(D372,target_tables[],5,0),"&lt;not found&gt;")</f>
        <v>n308000046_agr_grntee</v>
      </c>
      <c r="W372" s="65" t="s">
        <v>273</v>
      </c>
      <c r="AF372" s="299"/>
      <c r="AG372" s="10"/>
      <c r="AH372" s="10"/>
      <c r="AI372" s="10"/>
      <c r="AJ372" s="68"/>
      <c r="AK372" s="69"/>
    </row>
    <row r="373" spans="1:37" ht="12.75" hidden="1" customHeight="1" x14ac:dyDescent="0.25">
      <c r="A373" s="64">
        <f t="shared" si="0"/>
        <v>3320</v>
      </c>
      <c r="B373" s="8" t="s">
        <v>663</v>
      </c>
      <c r="C373" s="65" t="str">
        <f>IFERROR(VLOOKUP(D373,'Target tables'!A:B,2,0),"")</f>
        <v>Гарантии</v>
      </c>
      <c r="D373" s="23" t="s">
        <v>189</v>
      </c>
      <c r="E373" s="66" t="str">
        <f>IFERROR(VLOOKUP(D373&amp;J373,'Target columns'!A:J,4,FALSE),"")</f>
        <v>uuid</v>
      </c>
      <c r="F373" s="66" t="str">
        <f>IFERROR(VLOOKUP(D373&amp;J373,'Target columns'!A:J,7,FALSE),"")</f>
        <v>No</v>
      </c>
      <c r="G373" s="66" t="str">
        <f>IFERROR(VLOOKUP(D373&amp;J373,'Target columns'!A:J,8,FALSE),"")</f>
        <v>Yes</v>
      </c>
      <c r="H373" s="66" t="str">
        <f>IFERROR(VLOOKUP(D373&amp;J373,'Target columns'!A:J,5,FALSE),"")</f>
        <v>NULL</v>
      </c>
      <c r="I373" s="66" t="str">
        <f>IFERROR(VLOOKUP(D373&amp;J373,'Target columns'!A:J,10,FALSE),"")</f>
        <v>Идентификатор типа договора гарантии</v>
      </c>
      <c r="J373" s="8" t="s">
        <v>670</v>
      </c>
      <c r="K373" s="8" t="s">
        <v>186</v>
      </c>
      <c r="L373" s="66" t="str">
        <f>IFERROR(VLOOKUP(K373&amp;N373,source_columns[[Seek]:[Описание поля]],4,0),"")</f>
        <v>uuid</v>
      </c>
      <c r="M373" s="66" t="str">
        <f>IFERROR(VLOOKUP(K373&amp;N373,source_columns[[Seek]:[Описание поля]],7,0),"")</f>
        <v>Тип гарантии</v>
      </c>
      <c r="N373" s="10" t="s">
        <v>671</v>
      </c>
      <c r="O373" s="8"/>
      <c r="P373" s="8"/>
      <c r="Q373" s="8"/>
      <c r="R373" s="8"/>
      <c r="S373" s="278"/>
      <c r="U373" s="65"/>
      <c r="V373" s="66" t="str">
        <f>"n308000046_"&amp;IFERROR(VLOOKUP(D373,target_tables[],5,0),"&lt;not found&gt;")</f>
        <v>n308000046_agr_grntee</v>
      </c>
      <c r="W373" s="65" t="s">
        <v>273</v>
      </c>
      <c r="AF373" s="299"/>
      <c r="AG373" s="10"/>
      <c r="AH373" s="10"/>
      <c r="AI373" s="10"/>
      <c r="AJ373" s="68"/>
      <c r="AK373" s="69"/>
    </row>
    <row r="374" spans="1:37" ht="12.75" hidden="1" customHeight="1" x14ac:dyDescent="0.25">
      <c r="A374" s="64">
        <f t="shared" si="0"/>
        <v>3330</v>
      </c>
      <c r="B374" s="8" t="s">
        <v>663</v>
      </c>
      <c r="C374" s="65" t="str">
        <f>IFERROR(VLOOKUP(D374,'Target tables'!A:B,2,0),"")</f>
        <v>Гарантии</v>
      </c>
      <c r="D374" s="8" t="s">
        <v>189</v>
      </c>
      <c r="E374" s="66" t="str">
        <f>IFERROR(VLOOKUP(D374&amp;J374,'Target columns'!A:J,4,FALSE),"")</f>
        <v>text</v>
      </c>
      <c r="F374" s="66" t="str">
        <f>IFERROR(VLOOKUP(D374&amp;J374,'Target columns'!A:J,7,FALSE),"")</f>
        <v>No</v>
      </c>
      <c r="G374" s="66" t="str">
        <f>IFERROR(VLOOKUP(D374&amp;J374,'Target columns'!A:J,8,FALSE),"")</f>
        <v>No</v>
      </c>
      <c r="H374" s="66" t="str">
        <f>IFERROR(VLOOKUP(D374&amp;J374,'Target columns'!A:J,5,FALSE),"")</f>
        <v>NULL</v>
      </c>
      <c r="I374" s="66" t="str">
        <f>IFERROR(VLOOKUP(D374&amp;J374,'Target columns'!A:J,10,FALSE),"")</f>
        <v>Идентификатор договора в системе-источнике</v>
      </c>
      <c r="J374" s="8" t="s">
        <v>672</v>
      </c>
      <c r="K374" s="8" t="s">
        <v>186</v>
      </c>
      <c r="L374" s="66" t="str">
        <f>IFERROR(VLOOKUP(K374&amp;N374,source_columns[[Seek]:[Описание поля]],4,0),"")</f>
        <v>text</v>
      </c>
      <c r="M374" s="66" t="str">
        <f>IFERROR(VLOOKUP(K374&amp;N374,source_columns[[Seek]:[Описание поля]],7,0),"")</f>
        <v>ID договора в источнике</v>
      </c>
      <c r="N374" s="10" t="s">
        <v>673</v>
      </c>
      <c r="O374" s="8"/>
      <c r="P374" s="8"/>
      <c r="Q374" s="8"/>
      <c r="R374" s="8"/>
      <c r="S374" s="278"/>
      <c r="U374" s="65"/>
      <c r="V374" s="66" t="str">
        <f>"n308000046_"&amp;IFERROR(VLOOKUP(D374,target_tables[],5,0),"&lt;not found&gt;")</f>
        <v>n308000046_agr_grntee</v>
      </c>
      <c r="W374" s="65" t="s">
        <v>273</v>
      </c>
      <c r="AF374" s="299"/>
      <c r="AG374" s="10"/>
      <c r="AH374" s="10"/>
      <c r="AI374" s="10"/>
      <c r="AJ374" s="68"/>
      <c r="AK374" s="69"/>
    </row>
    <row r="375" spans="1:37" ht="12.75" hidden="1" customHeight="1" x14ac:dyDescent="0.25">
      <c r="A375" s="64">
        <f t="shared" si="0"/>
        <v>3340</v>
      </c>
      <c r="B375" s="8" t="s">
        <v>663</v>
      </c>
      <c r="C375" s="65" t="str">
        <f>IFERROR(VLOOKUP(D375,'Target tables'!A:B,2,0),"")</f>
        <v>Гарантии</v>
      </c>
      <c r="D375" s="8" t="s">
        <v>189</v>
      </c>
      <c r="E375" s="66" t="str">
        <f>IFERROR(VLOOKUP(D375&amp;J375,'Target columns'!A:J,4,FALSE),"")</f>
        <v>numeric</v>
      </c>
      <c r="F375" s="66" t="str">
        <f>IFERROR(VLOOKUP(D375&amp;J375,'Target columns'!A:J,7,FALSE),"")</f>
        <v>No</v>
      </c>
      <c r="G375" s="66" t="str">
        <f>IFERROR(VLOOKUP(D375&amp;J375,'Target columns'!A:J,8,FALSE),"")</f>
        <v>No</v>
      </c>
      <c r="H375" s="66" t="str">
        <f>IFERROR(VLOOKUP(D375&amp;J375,'Target columns'!A:J,5,FALSE),"")</f>
        <v>NULL</v>
      </c>
      <c r="I375" s="66" t="str">
        <f>IFERROR(VLOOKUP(D375&amp;J375,'Target columns'!A:J,10,FALSE),"")</f>
        <v>Сумма договора  гарантии</v>
      </c>
      <c r="J375" s="8" t="s">
        <v>283</v>
      </c>
      <c r="K375" s="8" t="s">
        <v>186</v>
      </c>
      <c r="L375" s="66" t="str">
        <f>IFERROR(VLOOKUP(K375&amp;N375,source_columns[[Seek]:[Описание поля]],4,0),"")</f>
        <v>decimal(38,16)</v>
      </c>
      <c r="M375" s="66" t="str">
        <f>IFERROR(VLOOKUP(K375&amp;N375,source_columns[[Seek]:[Описание поля]],7,0),"")</f>
        <v>Сумма гарантии</v>
      </c>
      <c r="N375" s="10" t="s">
        <v>674</v>
      </c>
      <c r="O375" s="8"/>
      <c r="P375" s="8"/>
      <c r="Q375" s="8"/>
      <c r="R375" s="8"/>
      <c r="S375" s="278"/>
      <c r="U375" s="65"/>
      <c r="V375" s="66" t="str">
        <f>"n308000046_"&amp;IFERROR(VLOOKUP(D375,target_tables[],5,0),"&lt;not found&gt;")</f>
        <v>n308000046_agr_grntee</v>
      </c>
      <c r="W375" s="65" t="s">
        <v>273</v>
      </c>
      <c r="AF375" s="299"/>
      <c r="AG375" s="10"/>
      <c r="AH375" s="10"/>
      <c r="AI375" s="10"/>
      <c r="AJ375" s="68"/>
      <c r="AK375" s="69"/>
    </row>
    <row r="376" spans="1:37" ht="12.75" hidden="1" customHeight="1" x14ac:dyDescent="0.25">
      <c r="A376" s="64">
        <f t="shared" si="0"/>
        <v>3350</v>
      </c>
      <c r="B376" s="8" t="s">
        <v>663</v>
      </c>
      <c r="C376" s="65" t="str">
        <f>IFERROR(VLOOKUP(D376,'Target tables'!A:B,2,0),"")</f>
        <v>Гарантии</v>
      </c>
      <c r="D376" s="8" t="s">
        <v>189</v>
      </c>
      <c r="E376" s="66" t="str">
        <f>IFERROR(VLOOKUP(D376&amp;J376,'Target columns'!A:J,4,FALSE),"")</f>
        <v>uuid</v>
      </c>
      <c r="F376" s="66" t="str">
        <f>IFERROR(VLOOKUP(D376&amp;J376,'Target columns'!A:J,7,FALSE),"")</f>
        <v>No</v>
      </c>
      <c r="G376" s="66" t="str">
        <f>IFERROR(VLOOKUP(D376&amp;J376,'Target columns'!A:J,8,FALSE),"")</f>
        <v>Yes</v>
      </c>
      <c r="H376" s="66" t="str">
        <f>IFERROR(VLOOKUP(D376&amp;J376,'Target columns'!A:J,5,FALSE),"")</f>
        <v>NULL</v>
      </c>
      <c r="I376" s="66" t="str">
        <f>IFERROR(VLOOKUP(D376&amp;J376,'Target columns'!A:J,10,FALSE),"")</f>
        <v>Идентификатор валюты гарантии</v>
      </c>
      <c r="J376" s="8" t="s">
        <v>380</v>
      </c>
      <c r="K376" s="8" t="s">
        <v>186</v>
      </c>
      <c r="L376" s="66" t="str">
        <f>IFERROR(VLOOKUP(K376&amp;N376,source_columns[[Seek]:[Описание поля]],4,0),"")</f>
        <v>uuid</v>
      </c>
      <c r="M376" s="66" t="str">
        <f>IFERROR(VLOOKUP(K376&amp;N376,source_columns[[Seek]:[Описание поля]],7,0),"")</f>
        <v>Валюта</v>
      </c>
      <c r="N376" s="10" t="s">
        <v>675</v>
      </c>
      <c r="O376" s="8"/>
      <c r="P376" s="8"/>
      <c r="Q376" s="8"/>
      <c r="R376" s="8"/>
      <c r="S376" s="278"/>
      <c r="U376" s="65"/>
      <c r="V376" s="66" t="str">
        <f>"n308000046_"&amp;IFERROR(VLOOKUP(D376,target_tables[],5,0),"&lt;not found&gt;")</f>
        <v>n308000046_agr_grntee</v>
      </c>
      <c r="W376" s="65" t="s">
        <v>273</v>
      </c>
      <c r="AF376" s="299"/>
      <c r="AG376" s="10"/>
      <c r="AH376" s="10"/>
      <c r="AI376" s="10"/>
      <c r="AJ376" s="68"/>
      <c r="AK376" s="69"/>
    </row>
    <row r="377" spans="1:37" ht="12.75" hidden="1" customHeight="1" x14ac:dyDescent="0.25">
      <c r="A377" s="70">
        <f t="shared" si="0"/>
        <v>3360</v>
      </c>
      <c r="B377" s="20" t="s">
        <v>663</v>
      </c>
      <c r="C377" s="71" t="str">
        <f>IFERROR(VLOOKUP(D377,'Target tables'!A:B,2,0),"")</f>
        <v>Гарантии</v>
      </c>
      <c r="D377" s="20" t="s">
        <v>189</v>
      </c>
      <c r="E377" s="73" t="str">
        <f>IFERROR(VLOOKUP(D377&amp;J377,'Target columns'!A:J,4,FALSE),"")</f>
        <v>date</v>
      </c>
      <c r="F377" s="73" t="str">
        <f>IFERROR(VLOOKUP(D377&amp;J377,'Target columns'!A:J,7,FALSE),"")</f>
        <v>No</v>
      </c>
      <c r="G377" s="73" t="str">
        <f>IFERROR(VLOOKUP(D377&amp;J377,'Target columns'!A:J,8,FALSE),"")</f>
        <v>No</v>
      </c>
      <c r="H377" s="73" t="str">
        <f>IFERROR(VLOOKUP(D377&amp;J377,'Target columns'!A:J,5,FALSE),"")</f>
        <v>NULL</v>
      </c>
      <c r="I377" s="73" t="str">
        <f>IFERROR(VLOOKUP(D377&amp;J377,'Target columns'!A:J,10,FALSE),"")</f>
        <v>Дата истечения договора гарантии</v>
      </c>
      <c r="J377" s="71" t="s">
        <v>291</v>
      </c>
      <c r="K377" s="138" t="s">
        <v>186</v>
      </c>
      <c r="L377" s="85" t="str">
        <f>IFERROR(VLOOKUP(K377&amp;N377,source_columns[[Seek]:[Описание поля]],4,0),"")</f>
        <v>date</v>
      </c>
      <c r="M377" s="85" t="str">
        <f>IFERROR(VLOOKUP(K377&amp;N377,source_columns[[Seek]:[Описание поля]],7,0),"")</f>
        <v>Дата истечения</v>
      </c>
      <c r="N377" s="213" t="s">
        <v>676</v>
      </c>
      <c r="O377" s="138"/>
      <c r="P377" s="138"/>
      <c r="Q377" s="20"/>
      <c r="R377" s="20"/>
      <c r="S377" s="278"/>
      <c r="U377" s="71"/>
      <c r="V377" s="73" t="str">
        <f>"n308000046_"&amp;IFERROR(VLOOKUP(D377,target_tables[],5,0),"&lt;not found&gt;")</f>
        <v>n308000046_agr_grntee</v>
      </c>
      <c r="W377" s="71" t="s">
        <v>273</v>
      </c>
      <c r="AF377" s="299"/>
      <c r="AG377" s="27"/>
      <c r="AH377" s="27"/>
      <c r="AI377" s="27"/>
      <c r="AJ377" s="75"/>
      <c r="AK377" s="69"/>
    </row>
    <row r="378" spans="1:37" ht="12.75" hidden="1" customHeight="1" x14ac:dyDescent="0.25">
      <c r="A378" s="76">
        <f t="shared" si="0"/>
        <v>3370</v>
      </c>
      <c r="B378" s="113" t="s">
        <v>663</v>
      </c>
      <c r="C378" s="82" t="str">
        <f>IFERROR(VLOOKUP(D378,'Target tables'!A:B,2,0),"")</f>
        <v>Связь договора с контрагентом</v>
      </c>
      <c r="D378" s="208" t="s">
        <v>190</v>
      </c>
      <c r="E378" s="78" t="str">
        <f>IFERROR(VLOOKUP(D378&amp;J378,'Target columns'!A:J,4,FALSE),"")</f>
        <v>UUID</v>
      </c>
      <c r="F378" s="78" t="str">
        <f>IFERROR(VLOOKUP(D378&amp;J378,'Target columns'!A:J,7,FALSE),"")</f>
        <v>Yes</v>
      </c>
      <c r="G378" s="78" t="str">
        <f>IFERROR(VLOOKUP(D378&amp;J378,'Target columns'!A:J,8,FALSE),"")</f>
        <v>Yes</v>
      </c>
      <c r="H378" s="78" t="str">
        <f>IFERROR(VLOOKUP(D378&amp;J378,'Target columns'!A:J,5,FALSE),"")</f>
        <v>NOT NULL</v>
      </c>
      <c r="I378" s="78" t="str">
        <f>IFERROR(VLOOKUP(D378&amp;J378,'Target columns'!A:J,10,FALSE),"")</f>
        <v>Идентификатор договора</v>
      </c>
      <c r="J378" s="23" t="s">
        <v>664</v>
      </c>
      <c r="K378" s="23" t="s">
        <v>186</v>
      </c>
      <c r="L378" s="78" t="str">
        <f>IFERROR(VLOOKUP(K378&amp;N378,source_columns[[Seek]:[Описание поля]],4,0),"")</f>
        <v>uuid</v>
      </c>
      <c r="M378" s="78" t="str">
        <f>IFERROR(VLOOKUP(K378&amp;N378,source_columns[[Seek]:[Описание поля]],7,0),"")</f>
        <v>ID договора в источнике</v>
      </c>
      <c r="N378" s="10" t="s">
        <v>665</v>
      </c>
      <c r="O378" s="23"/>
      <c r="P378" s="23"/>
      <c r="Q378" s="23"/>
      <c r="R378" s="23"/>
      <c r="S378" s="270" t="s">
        <v>677</v>
      </c>
      <c r="U378" s="82"/>
      <c r="V378" s="84" t="str">
        <f>"n308000046_"&amp;IFERROR(VLOOKUP(D378,target_tables[],5,0),"&lt;not found&gt;")</f>
        <v>n308000046_agr_grntee_cust</v>
      </c>
      <c r="W378" s="82" t="s">
        <v>269</v>
      </c>
      <c r="AF378" s="299" t="s">
        <v>342</v>
      </c>
      <c r="AG378" s="83"/>
      <c r="AH378" s="83"/>
      <c r="AI378" s="83"/>
      <c r="AJ378" s="91"/>
      <c r="AK378" s="69"/>
    </row>
    <row r="379" spans="1:37" ht="12.75" hidden="1" customHeight="1" x14ac:dyDescent="0.25">
      <c r="A379" s="64">
        <f t="shared" si="0"/>
        <v>3380</v>
      </c>
      <c r="B379" s="8" t="s">
        <v>663</v>
      </c>
      <c r="C379" s="65" t="str">
        <f>IFERROR(VLOOKUP(D379,'Target tables'!A:B,2,0),"")</f>
        <v>Связь договора с контрагентом</v>
      </c>
      <c r="D379" s="211" t="s">
        <v>190</v>
      </c>
      <c r="E379" s="66" t="str">
        <f>IFERROR(VLOOKUP(D379&amp;J379,'Target columns'!A:J,4,FALSE),"")</f>
        <v>UUID</v>
      </c>
      <c r="F379" s="66" t="str">
        <f>IFERROR(VLOOKUP(D379&amp;J379,'Target columns'!A:J,7,FALSE),"")</f>
        <v>No</v>
      </c>
      <c r="G379" s="66" t="str">
        <f>IFERROR(VLOOKUP(D379&amp;J379,'Target columns'!A:J,8,FALSE),"")</f>
        <v>Yes</v>
      </c>
      <c r="H379" s="66" t="str">
        <f>IFERROR(VLOOKUP(D379&amp;J379,'Target columns'!A:J,5,FALSE),"")</f>
        <v>NOT NULL</v>
      </c>
      <c r="I379" s="66" t="str">
        <f>IFERROR(VLOOKUP(D379&amp;J379,'Target columns'!A:J,10,FALSE),"")</f>
        <v>Идентификатор контрагента</v>
      </c>
      <c r="J379" s="8" t="s">
        <v>347</v>
      </c>
      <c r="K379" s="8" t="s">
        <v>186</v>
      </c>
      <c r="L379" s="66" t="str">
        <f>IFERROR(VLOOKUP(K379&amp;N379,source_columns[[Seek]:[Описание поля]],4,0),"")</f>
        <v/>
      </c>
      <c r="M379" s="66" t="str">
        <f>IFERROR(VLOOKUP(K379&amp;N379,source_columns[[Seek]:[Описание поля]],7,0),"")</f>
        <v/>
      </c>
      <c r="N379" s="8" t="s">
        <v>678</v>
      </c>
      <c r="O379" s="8"/>
      <c r="P379" s="8"/>
      <c r="Q379" s="8"/>
      <c r="R379" s="8"/>
      <c r="S379" s="278"/>
      <c r="U379" s="65"/>
      <c r="V379" s="66" t="str">
        <f>"n308000046_"&amp;IFERROR(VLOOKUP(D379,target_tables[],5,0),"&lt;not found&gt;")</f>
        <v>n308000046_agr_grntee_cust</v>
      </c>
      <c r="W379" s="65" t="s">
        <v>330</v>
      </c>
      <c r="AF379" s="299"/>
      <c r="AG379" s="10"/>
      <c r="AH379" s="10"/>
      <c r="AI379" s="10"/>
      <c r="AJ379" s="68"/>
      <c r="AK379" s="69"/>
    </row>
    <row r="380" spans="1:37" ht="12.75" hidden="1" customHeight="1" x14ac:dyDescent="0.25">
      <c r="A380" s="64">
        <f t="shared" si="0"/>
        <v>3390</v>
      </c>
      <c r="B380" s="8" t="s">
        <v>663</v>
      </c>
      <c r="C380" s="65" t="str">
        <f>IFERROR(VLOOKUP(D380,'Target tables'!A:B,2,0),"")</f>
        <v>Связь договора с контрагентом</v>
      </c>
      <c r="D380" s="211" t="s">
        <v>190</v>
      </c>
      <c r="E380" s="66" t="str">
        <f>IFERROR(VLOOKUP(D380&amp;J380,'Target columns'!A:J,4,FALSE),"")</f>
        <v>DATE</v>
      </c>
      <c r="F380" s="66" t="str">
        <f>IFERROR(VLOOKUP(D380&amp;J380,'Target columns'!A:J,7,FALSE),"")</f>
        <v>Yes</v>
      </c>
      <c r="G380" s="66" t="str">
        <f>IFERROR(VLOOKUP(D380&amp;J380,'Target columns'!A:J,8,FALSE),"")</f>
        <v>No</v>
      </c>
      <c r="H380" s="66" t="str">
        <f>IFERROR(VLOOKUP(D380&amp;J380,'Target columns'!A:J,5,FALSE),"")</f>
        <v>NOT NULL</v>
      </c>
      <c r="I380" s="66" t="str">
        <f>IFERROR(VLOOKUP(D380&amp;J380,'Target columns'!A:J,10,FALSE),"")</f>
        <v>Дата начала действия</v>
      </c>
      <c r="J380" s="8" t="s">
        <v>329</v>
      </c>
      <c r="K380" s="8" t="s">
        <v>186</v>
      </c>
      <c r="L380" s="66" t="str">
        <f>IFERROR(VLOOKUP(K380&amp;N380,source_columns[[Seek]:[Описание поля]],4,0),"")</f>
        <v>timestamp</v>
      </c>
      <c r="M380" s="66" t="str">
        <f>IFERROR(VLOOKUP(K380&amp;N380,source_columns[[Seek]:[Описание поля]],7,0),"")</f>
        <v>Дата и время последнего изменения</v>
      </c>
      <c r="N380" s="8" t="s">
        <v>517</v>
      </c>
      <c r="O380" s="8"/>
      <c r="P380" s="8"/>
      <c r="Q380" s="8"/>
      <c r="R380" s="8"/>
      <c r="S380" s="278"/>
      <c r="U380" s="65"/>
      <c r="V380" s="66" t="str">
        <f>"n308000046_"&amp;IFERROR(VLOOKUP(D380,target_tables[],5,0),"&lt;not found&gt;")</f>
        <v>n308000046_agr_grntee_cust</v>
      </c>
      <c r="W380" s="65" t="s">
        <v>269</v>
      </c>
      <c r="AF380" s="299"/>
      <c r="AG380" s="10"/>
      <c r="AH380" s="10"/>
      <c r="AI380" s="10"/>
      <c r="AJ380" s="68"/>
      <c r="AK380" s="69"/>
    </row>
    <row r="381" spans="1:37" ht="12.75" hidden="1" customHeight="1" x14ac:dyDescent="0.25">
      <c r="A381" s="64">
        <f t="shared" si="0"/>
        <v>3400</v>
      </c>
      <c r="B381" s="8" t="s">
        <v>663</v>
      </c>
      <c r="C381" s="65" t="str">
        <f>IFERROR(VLOOKUP(D381,'Target tables'!A:B,2,0),"")</f>
        <v>Связь договора с контрагентом</v>
      </c>
      <c r="D381" s="211" t="s">
        <v>190</v>
      </c>
      <c r="E381" s="66" t="str">
        <f>IFERROR(VLOOKUP(D381&amp;J381,'Target columns'!A:J,4,FALSE),"")</f>
        <v>DATE</v>
      </c>
      <c r="F381" s="66" t="str">
        <f>IFERROR(VLOOKUP(D381&amp;J381,'Target columns'!A:J,7,FALSE),"")</f>
        <v>No</v>
      </c>
      <c r="G381" s="66" t="str">
        <f>IFERROR(VLOOKUP(D381&amp;J381,'Target columns'!A:J,8,FALSE),"")</f>
        <v>No</v>
      </c>
      <c r="H381" s="66" t="str">
        <f>IFERROR(VLOOKUP(D381&amp;J381,'Target columns'!A:J,5,FALSE),"")</f>
        <v>NULL</v>
      </c>
      <c r="I381" s="66" t="str">
        <f>IFERROR(VLOOKUP(D381&amp;J381,'Target columns'!A:J,10,FALSE),"")</f>
        <v>Дата окончания действия</v>
      </c>
      <c r="J381" s="8" t="s">
        <v>331</v>
      </c>
      <c r="K381" s="8" t="s">
        <v>186</v>
      </c>
      <c r="L381" s="66" t="str">
        <f>IFERROR(VLOOKUP(K381&amp;N381,source_columns[[Seek]:[Описание поля]],4,0),"")</f>
        <v/>
      </c>
      <c r="M381" s="66" t="str">
        <f>IFERROR(VLOOKUP(K381&amp;N381,source_columns[[Seek]:[Описание поля]],7,0),"")</f>
        <v/>
      </c>
      <c r="N381" s="8" t="s">
        <v>606</v>
      </c>
      <c r="O381" s="8"/>
      <c r="P381" s="8"/>
      <c r="Q381" s="8"/>
      <c r="R381" s="8"/>
      <c r="S381" s="278"/>
      <c r="U381" s="65"/>
      <c r="V381" s="66" t="str">
        <f>"n308000046_"&amp;IFERROR(VLOOKUP(D381,target_tables[],5,0),"&lt;not found&gt;")</f>
        <v>n308000046_agr_grntee_cust</v>
      </c>
      <c r="W381" s="65" t="s">
        <v>273</v>
      </c>
      <c r="AF381" s="299"/>
      <c r="AG381" s="10"/>
      <c r="AH381" s="10"/>
      <c r="AI381" s="10"/>
      <c r="AJ381" s="68"/>
      <c r="AK381" s="69"/>
    </row>
    <row r="382" spans="1:37" ht="12.75" hidden="1" customHeight="1" x14ac:dyDescent="0.25">
      <c r="A382" s="70">
        <f t="shared" si="0"/>
        <v>3410</v>
      </c>
      <c r="B382" s="20" t="s">
        <v>663</v>
      </c>
      <c r="C382" s="71" t="str">
        <f>IFERROR(VLOOKUP(D382,'Target tables'!A:B,2,0),"")</f>
        <v>Связь договора с контрагентом</v>
      </c>
      <c r="D382" s="212" t="s">
        <v>190</v>
      </c>
      <c r="E382" s="73" t="str">
        <f>IFERROR(VLOOKUP(D382&amp;J382,'Target columns'!A:J,4,FALSE),"")</f>
        <v>UUID</v>
      </c>
      <c r="F382" s="73" t="str">
        <f>IFERROR(VLOOKUP(D382&amp;J382,'Target columns'!A:J,7,FALSE),"")</f>
        <v>Yes</v>
      </c>
      <c r="G382" s="73" t="str">
        <f>IFERROR(VLOOKUP(D382&amp;J382,'Target columns'!A:J,8,FALSE),"")</f>
        <v>Yes</v>
      </c>
      <c r="H382" s="73" t="str">
        <f>IFERROR(VLOOKUP(D382&amp;J382,'Target columns'!A:J,5,FALSE),"")</f>
        <v>NOT NULL</v>
      </c>
      <c r="I382" s="73" t="str">
        <f>IFERROR(VLOOKUP(D382&amp;J382,'Target columns'!A:J,10,FALSE),"")</f>
        <v xml:space="preserve">Тип клиента на договоре </v>
      </c>
      <c r="J382" s="20" t="s">
        <v>679</v>
      </c>
      <c r="K382" s="138" t="s">
        <v>186</v>
      </c>
      <c r="L382" s="73" t="str">
        <f>IFERROR(VLOOKUP(K382&amp;N382,source_columns[[Seek]:[Описание поля]],4,0),"")</f>
        <v/>
      </c>
      <c r="M382" s="73" t="str">
        <f>IFERROR(VLOOKUP(K382&amp;N382,source_columns[[Seek]:[Описание поля]],7,0),"")</f>
        <v/>
      </c>
      <c r="N382" s="20" t="s">
        <v>608</v>
      </c>
      <c r="O382" s="20"/>
      <c r="P382" s="20"/>
      <c r="Q382" s="20"/>
      <c r="R382" s="20"/>
      <c r="S382" s="278"/>
      <c r="U382" s="71"/>
      <c r="V382" s="73" t="str">
        <f>"n308000046_"&amp;IFERROR(VLOOKUP(D382,target_tables[],5,0),"&lt;not found&gt;")</f>
        <v>n308000046_agr_grntee_cust</v>
      </c>
      <c r="W382" s="71" t="s">
        <v>332</v>
      </c>
      <c r="AF382" s="299"/>
      <c r="AG382" s="27"/>
      <c r="AH382" s="27"/>
      <c r="AI382" s="27"/>
      <c r="AJ382" s="75"/>
      <c r="AK382" s="69"/>
    </row>
    <row r="383" spans="1:37" ht="12.75" hidden="1" customHeight="1" x14ac:dyDescent="0.25">
      <c r="A383" s="76">
        <f t="shared" si="0"/>
        <v>3420</v>
      </c>
      <c r="B383" s="113" t="s">
        <v>663</v>
      </c>
      <c r="C383" s="82" t="str">
        <f>IFERROR(VLOOKUP(D383,'Target tables'!A:B,2,0),"")</f>
        <v>Связь договора с контрагентом</v>
      </c>
      <c r="D383" s="208" t="s">
        <v>190</v>
      </c>
      <c r="E383" s="78" t="str">
        <f>IFERROR(VLOOKUP(D383&amp;J383,'Target columns'!A:J,4,FALSE),"")</f>
        <v>UUID</v>
      </c>
      <c r="F383" s="78" t="str">
        <f>IFERROR(VLOOKUP(D383&amp;J383,'Target columns'!A:J,7,FALSE),"")</f>
        <v>Yes</v>
      </c>
      <c r="G383" s="78" t="str">
        <f>IFERROR(VLOOKUP(D383&amp;J383,'Target columns'!A:J,8,FALSE),"")</f>
        <v>Yes</v>
      </c>
      <c r="H383" s="78" t="str">
        <f>IFERROR(VLOOKUP(D383&amp;J383,'Target columns'!A:J,5,FALSE),"")</f>
        <v>NOT NULL</v>
      </c>
      <c r="I383" s="78" t="str">
        <f>IFERROR(VLOOKUP(D383&amp;J383,'Target columns'!A:J,10,FALSE),"")</f>
        <v>Идентификатор договора</v>
      </c>
      <c r="J383" s="23" t="s">
        <v>664</v>
      </c>
      <c r="K383" s="23" t="s">
        <v>186</v>
      </c>
      <c r="L383" s="78" t="str">
        <f>IFERROR(VLOOKUP(K383&amp;N383,source_columns[[Seek]:[Описание поля]],4,0),"")</f>
        <v>uuid</v>
      </c>
      <c r="M383" s="78" t="str">
        <f>IFERROR(VLOOKUP(K383&amp;N383,source_columns[[Seek]:[Описание поля]],7,0),"")</f>
        <v>ID договора в источнике</v>
      </c>
      <c r="N383" s="10" t="s">
        <v>665</v>
      </c>
      <c r="O383" s="23"/>
      <c r="P383" s="23"/>
      <c r="Q383" s="23"/>
      <c r="R383" s="23"/>
      <c r="S383" s="270" t="s">
        <v>680</v>
      </c>
      <c r="U383" s="82"/>
      <c r="V383" s="84" t="str">
        <f>"n308000046_"&amp;IFERROR(VLOOKUP(D383,target_tables[],5,0),"&lt;not found&gt;")</f>
        <v>n308000046_agr_grntee_cust</v>
      </c>
      <c r="W383" s="82" t="s">
        <v>269</v>
      </c>
      <c r="AF383" s="299" t="s">
        <v>342</v>
      </c>
      <c r="AG383" s="83"/>
      <c r="AH383" s="83"/>
      <c r="AI383" s="83"/>
      <c r="AJ383" s="91"/>
      <c r="AK383" s="69"/>
    </row>
    <row r="384" spans="1:37" ht="12.75" hidden="1" customHeight="1" x14ac:dyDescent="0.25">
      <c r="A384" s="64">
        <f t="shared" si="0"/>
        <v>3430</v>
      </c>
      <c r="B384" s="8" t="s">
        <v>663</v>
      </c>
      <c r="C384" s="65" t="str">
        <f>IFERROR(VLOOKUP(D384,'Target tables'!A:B,2,0),"")</f>
        <v>Связь договора с контрагентом</v>
      </c>
      <c r="D384" s="211" t="s">
        <v>190</v>
      </c>
      <c r="E384" s="66" t="str">
        <f>IFERROR(VLOOKUP(D384&amp;J384,'Target columns'!A:J,4,FALSE),"")</f>
        <v>UUID</v>
      </c>
      <c r="F384" s="66" t="str">
        <f>IFERROR(VLOOKUP(D384&amp;J384,'Target columns'!A:J,7,FALSE),"")</f>
        <v>No</v>
      </c>
      <c r="G384" s="66" t="str">
        <f>IFERROR(VLOOKUP(D384&amp;J384,'Target columns'!A:J,8,FALSE),"")</f>
        <v>Yes</v>
      </c>
      <c r="H384" s="66" t="str">
        <f>IFERROR(VLOOKUP(D384&amp;J384,'Target columns'!A:J,5,FALSE),"")</f>
        <v>NOT NULL</v>
      </c>
      <c r="I384" s="66" t="str">
        <f>IFERROR(VLOOKUP(D384&amp;J384,'Target columns'!A:J,10,FALSE),"")</f>
        <v>Идентификатор контрагента</v>
      </c>
      <c r="J384" s="8" t="s">
        <v>347</v>
      </c>
      <c r="K384" s="8" t="s">
        <v>186</v>
      </c>
      <c r="L384" s="66" t="str">
        <f>IFERROR(VLOOKUP(K384&amp;N384,source_columns[[Seek]:[Описание поля]],4,0),"")</f>
        <v/>
      </c>
      <c r="M384" s="66" t="str">
        <f>IFERROR(VLOOKUP(K384&amp;N384,source_columns[[Seek]:[Описание поля]],7,0),"")</f>
        <v/>
      </c>
      <c r="N384" s="8" t="s">
        <v>681</v>
      </c>
      <c r="O384" s="8"/>
      <c r="P384" s="8"/>
      <c r="Q384" s="8"/>
      <c r="R384" s="8"/>
      <c r="S384" s="278"/>
      <c r="U384" s="65"/>
      <c r="V384" s="66" t="str">
        <f>"n308000046_"&amp;IFERROR(VLOOKUP(D384,target_tables[],5,0),"&lt;not found&gt;")</f>
        <v>n308000046_agr_grntee_cust</v>
      </c>
      <c r="W384" s="65" t="s">
        <v>273</v>
      </c>
      <c r="AF384" s="299"/>
      <c r="AG384" s="10"/>
      <c r="AH384" s="10"/>
      <c r="AI384" s="10"/>
      <c r="AJ384" s="68"/>
      <c r="AK384" s="69"/>
    </row>
    <row r="385" spans="1:37" ht="12.75" hidden="1" customHeight="1" x14ac:dyDescent="0.25">
      <c r="A385" s="64">
        <f t="shared" si="0"/>
        <v>3440</v>
      </c>
      <c r="B385" s="8" t="s">
        <v>663</v>
      </c>
      <c r="C385" s="65" t="str">
        <f>IFERROR(VLOOKUP(D385,'Target tables'!A:B,2,0),"")</f>
        <v>Связь договора с контрагентом</v>
      </c>
      <c r="D385" s="211" t="s">
        <v>190</v>
      </c>
      <c r="E385" s="66" t="str">
        <f>IFERROR(VLOOKUP(D385&amp;J385,'Target columns'!A:J,4,FALSE),"")</f>
        <v>DATE</v>
      </c>
      <c r="F385" s="66" t="str">
        <f>IFERROR(VLOOKUP(D385&amp;J385,'Target columns'!A:J,7,FALSE),"")</f>
        <v>Yes</v>
      </c>
      <c r="G385" s="66" t="str">
        <f>IFERROR(VLOOKUP(D385&amp;J385,'Target columns'!A:J,8,FALSE),"")</f>
        <v>No</v>
      </c>
      <c r="H385" s="66" t="str">
        <f>IFERROR(VLOOKUP(D385&amp;J385,'Target columns'!A:J,5,FALSE),"")</f>
        <v>NOT NULL</v>
      </c>
      <c r="I385" s="66" t="str">
        <f>IFERROR(VLOOKUP(D385&amp;J385,'Target columns'!A:J,10,FALSE),"")</f>
        <v>Дата начала действия</v>
      </c>
      <c r="J385" s="8" t="s">
        <v>329</v>
      </c>
      <c r="K385" s="8" t="s">
        <v>186</v>
      </c>
      <c r="L385" s="66" t="str">
        <f>IFERROR(VLOOKUP(K385&amp;N385,source_columns[[Seek]:[Описание поля]],4,0),"")</f>
        <v>timestamp</v>
      </c>
      <c r="M385" s="66" t="str">
        <f>IFERROR(VLOOKUP(K385&amp;N385,source_columns[[Seek]:[Описание поля]],7,0),"")</f>
        <v>Дата и время последнего изменения</v>
      </c>
      <c r="N385" s="8" t="s">
        <v>517</v>
      </c>
      <c r="O385" s="8"/>
      <c r="P385" s="8"/>
      <c r="Q385" s="8"/>
      <c r="R385" s="8"/>
      <c r="S385" s="278"/>
      <c r="U385" s="65"/>
      <c r="V385" s="66" t="str">
        <f>"n308000046_"&amp;IFERROR(VLOOKUP(D385,target_tables[],5,0),"&lt;not found&gt;")</f>
        <v>n308000046_agr_grntee_cust</v>
      </c>
      <c r="W385" s="65" t="s">
        <v>330</v>
      </c>
      <c r="AF385" s="299"/>
      <c r="AG385" s="10"/>
      <c r="AH385" s="10"/>
      <c r="AI385" s="10"/>
      <c r="AJ385" s="68"/>
      <c r="AK385" s="69"/>
    </row>
    <row r="386" spans="1:37" ht="12.75" hidden="1" customHeight="1" x14ac:dyDescent="0.25">
      <c r="A386" s="64">
        <f t="shared" si="0"/>
        <v>3450</v>
      </c>
      <c r="B386" s="8" t="s">
        <v>663</v>
      </c>
      <c r="C386" s="65" t="str">
        <f>IFERROR(VLOOKUP(D386,'Target tables'!A:B,2,0),"")</f>
        <v>Связь договора с контрагентом</v>
      </c>
      <c r="D386" s="211" t="s">
        <v>190</v>
      </c>
      <c r="E386" s="66" t="str">
        <f>IFERROR(VLOOKUP(D386&amp;J386,'Target columns'!A:J,4,FALSE),"")</f>
        <v>DATE</v>
      </c>
      <c r="F386" s="66" t="str">
        <f>IFERROR(VLOOKUP(D386&amp;J386,'Target columns'!A:J,7,FALSE),"")</f>
        <v>No</v>
      </c>
      <c r="G386" s="66" t="str">
        <f>IFERROR(VLOOKUP(D386&amp;J386,'Target columns'!A:J,8,FALSE),"")</f>
        <v>No</v>
      </c>
      <c r="H386" s="66" t="str">
        <f>IFERROR(VLOOKUP(D386&amp;J386,'Target columns'!A:J,5,FALSE),"")</f>
        <v>NULL</v>
      </c>
      <c r="I386" s="66" t="str">
        <f>IFERROR(VLOOKUP(D386&amp;J386,'Target columns'!A:J,10,FALSE),"")</f>
        <v>Дата окончания действия</v>
      </c>
      <c r="J386" s="8" t="s">
        <v>331</v>
      </c>
      <c r="K386" s="8" t="s">
        <v>186</v>
      </c>
      <c r="L386" s="66" t="str">
        <f>IFERROR(VLOOKUP(K386&amp;N386,source_columns[[Seek]:[Описание поля]],4,0),"")</f>
        <v/>
      </c>
      <c r="M386" s="66" t="str">
        <f>IFERROR(VLOOKUP(K386&amp;N386,source_columns[[Seek]:[Описание поля]],7,0),"")</f>
        <v/>
      </c>
      <c r="N386" s="8" t="s">
        <v>603</v>
      </c>
      <c r="O386" s="8"/>
      <c r="P386" s="8"/>
      <c r="Q386" s="8"/>
      <c r="R386" s="8"/>
      <c r="S386" s="278"/>
      <c r="U386" s="65"/>
      <c r="V386" s="66" t="str">
        <f>"n308000046_"&amp;IFERROR(VLOOKUP(D386,target_tables[],5,0),"&lt;not found&gt;")</f>
        <v>n308000046_agr_grntee_cust</v>
      </c>
      <c r="W386" s="65" t="s">
        <v>332</v>
      </c>
      <c r="AF386" s="299"/>
      <c r="AG386" s="10"/>
      <c r="AH386" s="10"/>
      <c r="AI386" s="10"/>
      <c r="AJ386" s="68"/>
      <c r="AK386" s="69"/>
    </row>
    <row r="387" spans="1:37" ht="12.75" hidden="1" customHeight="1" x14ac:dyDescent="0.25">
      <c r="A387" s="70">
        <f t="shared" si="0"/>
        <v>3460</v>
      </c>
      <c r="B387" s="20" t="s">
        <v>663</v>
      </c>
      <c r="C387" s="71" t="str">
        <f>IFERROR(VLOOKUP(D387,'Target tables'!A:B,2,0),"")</f>
        <v>Связь договора с контрагентом</v>
      </c>
      <c r="D387" s="212" t="s">
        <v>190</v>
      </c>
      <c r="E387" s="73" t="str">
        <f>IFERROR(VLOOKUP(D387&amp;J387,'Target columns'!A:J,4,FALSE),"")</f>
        <v>UUID</v>
      </c>
      <c r="F387" s="73" t="str">
        <f>IFERROR(VLOOKUP(D387&amp;J387,'Target columns'!A:J,7,FALSE),"")</f>
        <v>Yes</v>
      </c>
      <c r="G387" s="73" t="str">
        <f>IFERROR(VLOOKUP(D387&amp;J387,'Target columns'!A:J,8,FALSE),"")</f>
        <v>Yes</v>
      </c>
      <c r="H387" s="73" t="str">
        <f>IFERROR(VLOOKUP(D387&amp;J387,'Target columns'!A:J,5,FALSE),"")</f>
        <v>NOT NULL</v>
      </c>
      <c r="I387" s="73" t="str">
        <f>IFERROR(VLOOKUP(D387&amp;J387,'Target columns'!A:J,10,FALSE),"")</f>
        <v xml:space="preserve">Тип клиента на договоре </v>
      </c>
      <c r="J387" s="20" t="s">
        <v>679</v>
      </c>
      <c r="K387" s="138" t="s">
        <v>186</v>
      </c>
      <c r="L387" s="73" t="str">
        <f>IFERROR(VLOOKUP(K387&amp;N387,source_columns[[Seek]:[Описание поля]],4,0),"")</f>
        <v/>
      </c>
      <c r="M387" s="73" t="str">
        <f>IFERROR(VLOOKUP(K387&amp;N387,source_columns[[Seek]:[Описание поля]],7,0),"")</f>
        <v/>
      </c>
      <c r="N387" s="20" t="s">
        <v>611</v>
      </c>
      <c r="O387" s="20"/>
      <c r="P387" s="20"/>
      <c r="Q387" s="20"/>
      <c r="R387" s="20"/>
      <c r="S387" s="278"/>
      <c r="U387" s="71"/>
      <c r="V387" s="73" t="str">
        <f>"n308000046_"&amp;IFERROR(VLOOKUP(D387,target_tables[],5,0),"&lt;not found&gt;")</f>
        <v>n308000046_agr_grntee_cust</v>
      </c>
      <c r="W387" s="71" t="s">
        <v>269</v>
      </c>
      <c r="AF387" s="299"/>
      <c r="AG387" s="27"/>
      <c r="AH387" s="27"/>
      <c r="AI387" s="27"/>
      <c r="AJ387" s="75"/>
      <c r="AK387" s="69"/>
    </row>
    <row r="388" spans="1:37" ht="12.75" hidden="1" customHeight="1" x14ac:dyDescent="0.25">
      <c r="A388" s="76">
        <f t="shared" si="0"/>
        <v>3470</v>
      </c>
      <c r="B388" s="113" t="s">
        <v>663</v>
      </c>
      <c r="C388" s="77" t="str">
        <f>IFERROR(VLOOKUP(D388,'Target tables'!A:B,2,0),"")</f>
        <v>Типа связи договора с терр. структурой</v>
      </c>
      <c r="D388" s="208" t="s">
        <v>191</v>
      </c>
      <c r="E388" s="78" t="str">
        <f>IFERROR(VLOOKUP(D388&amp;J388,'Target columns'!A:J,4,FALSE),"")</f>
        <v>UUID</v>
      </c>
      <c r="F388" s="78" t="str">
        <f>IFERROR(VLOOKUP(D388&amp;J388,'Target columns'!A:J,7,FALSE),"")</f>
        <v>Yes</v>
      </c>
      <c r="G388" s="78" t="str">
        <f>IFERROR(VLOOKUP(D388&amp;J388,'Target columns'!A:J,8,FALSE),"")</f>
        <v>Yes</v>
      </c>
      <c r="H388" s="78" t="str">
        <f>IFERROR(VLOOKUP(D388&amp;J388,'Target columns'!A:J,5,FALSE),"")</f>
        <v>NOT NULL</v>
      </c>
      <c r="I388" s="78" t="str">
        <f>IFERROR(VLOOKUP(D388&amp;J388,'Target columns'!A:J,10,FALSE),"")</f>
        <v>Идентификатор договора</v>
      </c>
      <c r="J388" s="23" t="s">
        <v>664</v>
      </c>
      <c r="K388" s="23" t="s">
        <v>186</v>
      </c>
      <c r="L388" s="78" t="str">
        <f>IFERROR(VLOOKUP(K388&amp;N388,source_columns[[Seek]:[Описание поля]],4,0),"")</f>
        <v>uuid</v>
      </c>
      <c r="M388" s="78" t="str">
        <f>IFERROR(VLOOKUP(K388&amp;N388,source_columns[[Seek]:[Описание поля]],7,0),"")</f>
        <v>ID договора в источнике</v>
      </c>
      <c r="N388" s="10" t="s">
        <v>665</v>
      </c>
      <c r="O388" s="23"/>
      <c r="P388" s="23"/>
      <c r="Q388" s="23"/>
      <c r="R388" s="23"/>
      <c r="S388" s="270" t="s">
        <v>682</v>
      </c>
      <c r="U388" s="82"/>
      <c r="V388" s="84" t="str">
        <f>"n308000046_"&amp;IFERROR(VLOOKUP(D388,target_tables[],5,0),"&lt;not found&gt;")</f>
        <v>n308000046_agr_grntee_int_org</v>
      </c>
      <c r="W388" s="82" t="s">
        <v>269</v>
      </c>
      <c r="AF388" s="299" t="s">
        <v>342</v>
      </c>
      <c r="AG388" s="83"/>
      <c r="AH388" s="83"/>
      <c r="AI388" s="83"/>
      <c r="AJ388" s="91"/>
      <c r="AK388" s="69"/>
    </row>
    <row r="389" spans="1:37" ht="12.75" hidden="1" customHeight="1" x14ac:dyDescent="0.25">
      <c r="A389" s="64">
        <f t="shared" si="0"/>
        <v>3480</v>
      </c>
      <c r="B389" s="8" t="s">
        <v>663</v>
      </c>
      <c r="C389" s="65" t="str">
        <f>IFERROR(VLOOKUP(D389,'Target tables'!A:B,2,0),"")</f>
        <v>Типа связи договора с терр. структурой</v>
      </c>
      <c r="D389" s="211" t="s">
        <v>191</v>
      </c>
      <c r="E389" s="66" t="str">
        <f>IFERROR(VLOOKUP(D389&amp;J389,'Target columns'!A:J,4,FALSE),"")</f>
        <v>UUID</v>
      </c>
      <c r="F389" s="66" t="str">
        <f>IFERROR(VLOOKUP(D389&amp;J389,'Target columns'!A:J,7,FALSE),"")</f>
        <v>No</v>
      </c>
      <c r="G389" s="66" t="str">
        <f>IFERROR(VLOOKUP(D389&amp;J389,'Target columns'!A:J,8,FALSE),"")</f>
        <v>Yes</v>
      </c>
      <c r="H389" s="66" t="str">
        <f>IFERROR(VLOOKUP(D389&amp;J389,'Target columns'!A:J,5,FALSE),"")</f>
        <v>NOT NULL</v>
      </c>
      <c r="I389" s="66" t="str">
        <f>IFERROR(VLOOKUP(D389&amp;J389,'Target columns'!A:J,10,FALSE),"")</f>
        <v>Идентификатор терр. структуры</v>
      </c>
      <c r="J389" s="8" t="s">
        <v>364</v>
      </c>
      <c r="K389" s="8" t="s">
        <v>186</v>
      </c>
      <c r="L389" s="66" t="str">
        <f>IFERROR(VLOOKUP(K389&amp;N389,source_columns[[Seek]:[Описание поля]],4,0),"")</f>
        <v>uuid</v>
      </c>
      <c r="M389" s="66" t="str">
        <f>IFERROR(VLOOKUP(K389&amp;N389,source_columns[[Seek]:[Описание поля]],7,0),"")</f>
        <v xml:space="preserve">Терр структура гарантии </v>
      </c>
      <c r="N389" s="8" t="s">
        <v>683</v>
      </c>
      <c r="O389" s="8"/>
      <c r="P389" s="8"/>
      <c r="Q389" s="8"/>
      <c r="R389" s="8"/>
      <c r="S389" s="278"/>
      <c r="U389" s="65"/>
      <c r="V389" s="66" t="str">
        <f>"n308000046_"&amp;IFERROR(VLOOKUP(D389,target_tables[],5,0),"&lt;not found&gt;")</f>
        <v>n308000046_agr_grntee_int_org</v>
      </c>
      <c r="W389" s="65" t="s">
        <v>273</v>
      </c>
      <c r="AF389" s="299"/>
      <c r="AG389" s="10"/>
      <c r="AH389" s="10"/>
      <c r="AI389" s="10"/>
      <c r="AJ389" s="68"/>
      <c r="AK389" s="69"/>
    </row>
    <row r="390" spans="1:37" ht="12.75" hidden="1" customHeight="1" x14ac:dyDescent="0.25">
      <c r="A390" s="64">
        <f t="shared" si="0"/>
        <v>3490</v>
      </c>
      <c r="B390" s="8" t="s">
        <v>663</v>
      </c>
      <c r="C390" s="65" t="str">
        <f>IFERROR(VLOOKUP(D390,'Target tables'!A:B,2,0),"")</f>
        <v>Типа связи договора с терр. структурой</v>
      </c>
      <c r="D390" s="211" t="s">
        <v>191</v>
      </c>
      <c r="E390" s="66" t="str">
        <f>IFERROR(VLOOKUP(D390&amp;J390,'Target columns'!A:J,4,FALSE),"")</f>
        <v>UUID</v>
      </c>
      <c r="F390" s="66" t="str">
        <f>IFERROR(VLOOKUP(D390&amp;J390,'Target columns'!A:J,7,FALSE),"")</f>
        <v>Yes</v>
      </c>
      <c r="G390" s="66" t="str">
        <f>IFERROR(VLOOKUP(D390&amp;J390,'Target columns'!A:J,8,FALSE),"")</f>
        <v>Yes</v>
      </c>
      <c r="H390" s="66" t="str">
        <f>IFERROR(VLOOKUP(D390&amp;J390,'Target columns'!A:J,5,FALSE),"")</f>
        <v>NOT NULL</v>
      </c>
      <c r="I390" s="66" t="str">
        <f>IFERROR(VLOOKUP(D390&amp;J390,'Target columns'!A:J,10,FALSE),"")</f>
        <v>Идентификатор типа связи договора с терр. структурой</v>
      </c>
      <c r="J390" s="8" t="s">
        <v>684</v>
      </c>
      <c r="K390" s="8" t="s">
        <v>186</v>
      </c>
      <c r="L390" s="66" t="str">
        <f>IFERROR(VLOOKUP(K390&amp;N390,source_columns[[Seek]:[Описание поля]],4,0),"")</f>
        <v/>
      </c>
      <c r="M390" s="66" t="str">
        <f>IFERROR(VLOOKUP(K390&amp;N390,source_columns[[Seek]:[Описание поля]],7,0),"")</f>
        <v/>
      </c>
      <c r="N390" s="8" t="s">
        <v>615</v>
      </c>
      <c r="O390" s="8"/>
      <c r="P390" s="8"/>
      <c r="Q390" s="8"/>
      <c r="R390" s="8"/>
      <c r="S390" s="278"/>
      <c r="U390" s="65"/>
      <c r="V390" s="66" t="str">
        <f>"n308000046_"&amp;IFERROR(VLOOKUP(D390,target_tables[],5,0),"&lt;not found&gt;")</f>
        <v>n308000046_agr_grntee_int_org</v>
      </c>
      <c r="W390" s="65" t="s">
        <v>269</v>
      </c>
      <c r="AF390" s="299"/>
      <c r="AG390" s="10"/>
      <c r="AH390" s="10"/>
      <c r="AI390" s="10"/>
      <c r="AJ390" s="68"/>
      <c r="AK390" s="69"/>
    </row>
    <row r="391" spans="1:37" ht="12.75" hidden="1" customHeight="1" x14ac:dyDescent="0.25">
      <c r="A391" s="64">
        <f t="shared" si="0"/>
        <v>3500</v>
      </c>
      <c r="B391" s="8" t="s">
        <v>663</v>
      </c>
      <c r="C391" s="65" t="str">
        <f>IFERROR(VLOOKUP(D391,'Target tables'!A:B,2,0),"")</f>
        <v>Типа связи договора с терр. структурой</v>
      </c>
      <c r="D391" s="211" t="s">
        <v>191</v>
      </c>
      <c r="E391" s="66" t="str">
        <f>IFERROR(VLOOKUP(D391&amp;J391,'Target columns'!A:J,4,FALSE),"")</f>
        <v>DATE</v>
      </c>
      <c r="F391" s="66" t="str">
        <f>IFERROR(VLOOKUP(D391&amp;J391,'Target columns'!A:J,7,FALSE),"")</f>
        <v>Yes</v>
      </c>
      <c r="G391" s="66" t="str">
        <f>IFERROR(VLOOKUP(D391&amp;J391,'Target columns'!A:J,8,FALSE),"")</f>
        <v>No</v>
      </c>
      <c r="H391" s="66" t="str">
        <f>IFERROR(VLOOKUP(D391&amp;J391,'Target columns'!A:J,5,FALSE),"")</f>
        <v>NOT NULL</v>
      </c>
      <c r="I391" s="66" t="str">
        <f>IFERROR(VLOOKUP(D391&amp;J391,'Target columns'!A:J,10,FALSE),"")</f>
        <v>Дата начала действия связи</v>
      </c>
      <c r="J391" s="8" t="s">
        <v>329</v>
      </c>
      <c r="K391" s="8" t="s">
        <v>186</v>
      </c>
      <c r="L391" s="66" t="str">
        <f>IFERROR(VLOOKUP(K391&amp;N391,source_columns[[Seek]:[Описание поля]],4,0),"")</f>
        <v>timestamp</v>
      </c>
      <c r="M391" s="66" t="str">
        <f>IFERROR(VLOOKUP(K391&amp;N391,source_columns[[Seek]:[Описание поля]],7,0),"")</f>
        <v>Дата и время последнего изменения</v>
      </c>
      <c r="N391" s="8" t="s">
        <v>517</v>
      </c>
      <c r="O391" s="8"/>
      <c r="P391" s="8"/>
      <c r="Q391" s="8"/>
      <c r="R391" s="8"/>
      <c r="S391" s="278"/>
      <c r="U391" s="65"/>
      <c r="V391" s="66" t="str">
        <f>"n308000046_"&amp;IFERROR(VLOOKUP(D391,target_tables[],5,0),"&lt;not found&gt;")</f>
        <v>n308000046_agr_grntee_int_org</v>
      </c>
      <c r="W391" s="65" t="s">
        <v>330</v>
      </c>
      <c r="AF391" s="299"/>
      <c r="AG391" s="10"/>
      <c r="AH391" s="10"/>
      <c r="AI391" s="10"/>
      <c r="AJ391" s="68"/>
      <c r="AK391" s="69"/>
    </row>
    <row r="392" spans="1:37" ht="12.75" hidden="1" customHeight="1" x14ac:dyDescent="0.25">
      <c r="A392" s="70">
        <f t="shared" si="0"/>
        <v>3510</v>
      </c>
      <c r="B392" s="20" t="s">
        <v>663</v>
      </c>
      <c r="C392" s="71" t="str">
        <f>IFERROR(VLOOKUP(D392,'Target tables'!A:B,2,0),"")</f>
        <v>Типа связи договора с терр. структурой</v>
      </c>
      <c r="D392" s="212" t="s">
        <v>191</v>
      </c>
      <c r="E392" s="73" t="str">
        <f>IFERROR(VLOOKUP(D392&amp;J392,'Target columns'!A:J,4,FALSE),"")</f>
        <v>DATE</v>
      </c>
      <c r="F392" s="73" t="str">
        <f>IFERROR(VLOOKUP(D392&amp;J392,'Target columns'!A:J,7,FALSE),"")</f>
        <v>No</v>
      </c>
      <c r="G392" s="73" t="str">
        <f>IFERROR(VLOOKUP(D392&amp;J392,'Target columns'!A:J,8,FALSE),"")</f>
        <v>No</v>
      </c>
      <c r="H392" s="73" t="str">
        <f>IFERROR(VLOOKUP(D392&amp;J392,'Target columns'!A:J,5,FALSE),"")</f>
        <v>NOT NULL</v>
      </c>
      <c r="I392" s="73" t="str">
        <f>IFERROR(VLOOKUP(D392&amp;J392,'Target columns'!A:J,10,FALSE),"")</f>
        <v>Дата окончания действия связи</v>
      </c>
      <c r="J392" s="20" t="s">
        <v>331</v>
      </c>
      <c r="K392" s="138" t="s">
        <v>186</v>
      </c>
      <c r="L392" s="73" t="str">
        <f>IFERROR(VLOOKUP(K392&amp;N392,source_columns[[Seek]:[Описание поля]],4,0),"")</f>
        <v/>
      </c>
      <c r="M392" s="73" t="str">
        <f>IFERROR(VLOOKUP(K392&amp;N392,source_columns[[Seek]:[Описание поля]],7,0),"")</f>
        <v/>
      </c>
      <c r="N392" s="20" t="s">
        <v>603</v>
      </c>
      <c r="O392" s="20"/>
      <c r="P392" s="20"/>
      <c r="Q392" s="20"/>
      <c r="R392" s="20"/>
      <c r="S392" s="278"/>
      <c r="U392" s="71"/>
      <c r="V392" s="73" t="str">
        <f>"n308000046_"&amp;IFERROR(VLOOKUP(D392,target_tables[],5,0),"&lt;not found&gt;")</f>
        <v>n308000046_agr_grntee_int_org</v>
      </c>
      <c r="W392" s="71" t="s">
        <v>332</v>
      </c>
      <c r="AF392" s="299"/>
      <c r="AG392" s="27"/>
      <c r="AH392" s="27"/>
      <c r="AI392" s="27"/>
      <c r="AJ392" s="75"/>
      <c r="AK392" s="69"/>
    </row>
    <row r="393" spans="1:37" ht="12.75" hidden="1" customHeight="1" x14ac:dyDescent="0.25">
      <c r="A393" s="76">
        <f t="shared" si="0"/>
        <v>3520</v>
      </c>
      <c r="B393" s="113" t="s">
        <v>663</v>
      </c>
      <c r="C393" s="82" t="str">
        <f>IFERROR(VLOOKUP(D393,'Target tables'!A:B,2,0),"")</f>
        <v>Типа связи договора с терр. структурой</v>
      </c>
      <c r="D393" s="208" t="s">
        <v>191</v>
      </c>
      <c r="E393" s="78" t="str">
        <f>IFERROR(VLOOKUP(D393&amp;J393,'Target columns'!A:J,4,FALSE),"")</f>
        <v>UUID</v>
      </c>
      <c r="F393" s="78" t="str">
        <f>IFERROR(VLOOKUP(D393&amp;J393,'Target columns'!A:J,7,FALSE),"")</f>
        <v>Yes</v>
      </c>
      <c r="G393" s="78" t="str">
        <f>IFERROR(VLOOKUP(D393&amp;J393,'Target columns'!A:J,8,FALSE),"")</f>
        <v>Yes</v>
      </c>
      <c r="H393" s="78" t="str">
        <f>IFERROR(VLOOKUP(D393&amp;J393,'Target columns'!A:J,5,FALSE),"")</f>
        <v>NOT NULL</v>
      </c>
      <c r="I393" s="78" t="str">
        <f>IFERROR(VLOOKUP(D393&amp;J393,'Target columns'!A:J,10,FALSE),"")</f>
        <v>Идентификатор договора</v>
      </c>
      <c r="J393" s="23" t="s">
        <v>664</v>
      </c>
      <c r="K393" s="23" t="s">
        <v>186</v>
      </c>
      <c r="L393" s="78" t="str">
        <f>IFERROR(VLOOKUP(K393&amp;N393,source_columns[[Seek]:[Описание поля]],4,0),"")</f>
        <v>uuid</v>
      </c>
      <c r="M393" s="78" t="str">
        <f>IFERROR(VLOOKUP(K393&amp;N393,source_columns[[Seek]:[Описание поля]],7,0),"")</f>
        <v>ID договора в источнике</v>
      </c>
      <c r="N393" s="10" t="s">
        <v>665</v>
      </c>
      <c r="O393" s="23"/>
      <c r="P393" s="23"/>
      <c r="Q393" s="23"/>
      <c r="R393" s="23"/>
      <c r="S393" s="270" t="s">
        <v>685</v>
      </c>
      <c r="U393" s="82"/>
      <c r="V393" s="84" t="str">
        <f>"n308000046_"&amp;IFERROR(VLOOKUP(D393,target_tables[],5,0),"&lt;not found&gt;")</f>
        <v>n308000046_agr_grntee_int_org</v>
      </c>
      <c r="W393" s="82" t="s">
        <v>269</v>
      </c>
      <c r="AF393" s="299" t="s">
        <v>342</v>
      </c>
      <c r="AG393" s="83"/>
      <c r="AH393" s="83"/>
      <c r="AI393" s="83"/>
      <c r="AJ393" s="91"/>
      <c r="AK393" s="69"/>
    </row>
    <row r="394" spans="1:37" ht="12.75" hidden="1" customHeight="1" x14ac:dyDescent="0.25">
      <c r="A394" s="64">
        <f t="shared" si="0"/>
        <v>3530</v>
      </c>
      <c r="B394" s="8" t="s">
        <v>663</v>
      </c>
      <c r="C394" s="65" t="str">
        <f>IFERROR(VLOOKUP(D394,'Target tables'!A:B,2,0),"")</f>
        <v>Типа связи договора с терр. структурой</v>
      </c>
      <c r="D394" s="211" t="s">
        <v>191</v>
      </c>
      <c r="E394" s="66" t="str">
        <f>IFERROR(VLOOKUP(D394&amp;J394,'Target columns'!A:J,4,FALSE),"")</f>
        <v>UUID</v>
      </c>
      <c r="F394" s="66" t="str">
        <f>IFERROR(VLOOKUP(D394&amp;J394,'Target columns'!A:J,7,FALSE),"")</f>
        <v>No</v>
      </c>
      <c r="G394" s="66" t="str">
        <f>IFERROR(VLOOKUP(D394&amp;J394,'Target columns'!A:J,8,FALSE),"")</f>
        <v>Yes</v>
      </c>
      <c r="H394" s="66" t="str">
        <f>IFERROR(VLOOKUP(D394&amp;J394,'Target columns'!A:J,5,FALSE),"")</f>
        <v>NOT NULL</v>
      </c>
      <c r="I394" s="66" t="str">
        <f>IFERROR(VLOOKUP(D394&amp;J394,'Target columns'!A:J,10,FALSE),"")</f>
        <v>Идентификатор терр. структуры</v>
      </c>
      <c r="J394" s="8" t="s">
        <v>364</v>
      </c>
      <c r="K394" s="8" t="s">
        <v>186</v>
      </c>
      <c r="L394" s="66" t="str">
        <f>IFERROR(VLOOKUP(K394&amp;N394,source_columns[[Seek]:[Описание поля]],4,0),"")</f>
        <v>uuid</v>
      </c>
      <c r="M394" s="66" t="str">
        <f>IFERROR(VLOOKUP(K394&amp;N394,source_columns[[Seek]:[Описание поля]],7,0),"")</f>
        <v>Терр структура бенефициара</v>
      </c>
      <c r="N394" s="8" t="s">
        <v>686</v>
      </c>
      <c r="O394" s="8"/>
      <c r="P394" s="8"/>
      <c r="Q394" s="8"/>
      <c r="R394" s="8"/>
      <c r="S394" s="278"/>
      <c r="U394" s="65"/>
      <c r="V394" s="66" t="str">
        <f>"n308000046_"&amp;IFERROR(VLOOKUP(D394,target_tables[],5,0),"&lt;not found&gt;")</f>
        <v>n308000046_agr_grntee_int_org</v>
      </c>
      <c r="W394" s="65" t="s">
        <v>273</v>
      </c>
      <c r="AF394" s="299"/>
      <c r="AG394" s="10"/>
      <c r="AH394" s="10"/>
      <c r="AI394" s="10"/>
      <c r="AJ394" s="68"/>
      <c r="AK394" s="69"/>
    </row>
    <row r="395" spans="1:37" ht="12.75" hidden="1" customHeight="1" x14ac:dyDescent="0.25">
      <c r="A395" s="64">
        <f t="shared" si="0"/>
        <v>3540</v>
      </c>
      <c r="B395" s="8" t="s">
        <v>663</v>
      </c>
      <c r="C395" s="65" t="str">
        <f>IFERROR(VLOOKUP(D395,'Target tables'!A:B,2,0),"")</f>
        <v>Типа связи договора с терр. структурой</v>
      </c>
      <c r="D395" s="211" t="s">
        <v>191</v>
      </c>
      <c r="E395" s="66" t="str">
        <f>IFERROR(VLOOKUP(D395&amp;J395,'Target columns'!A:J,4,FALSE),"")</f>
        <v>UUID</v>
      </c>
      <c r="F395" s="66" t="str">
        <f>IFERROR(VLOOKUP(D395&amp;J395,'Target columns'!A:J,7,FALSE),"")</f>
        <v>Yes</v>
      </c>
      <c r="G395" s="66" t="str">
        <f>IFERROR(VLOOKUP(D395&amp;J395,'Target columns'!A:J,8,FALSE),"")</f>
        <v>Yes</v>
      </c>
      <c r="H395" s="66" t="str">
        <f>IFERROR(VLOOKUP(D395&amp;J395,'Target columns'!A:J,5,FALSE),"")</f>
        <v>NOT NULL</v>
      </c>
      <c r="I395" s="66" t="str">
        <f>IFERROR(VLOOKUP(D395&amp;J395,'Target columns'!A:J,10,FALSE),"")</f>
        <v>Идентификатор типа связи договора с терр. структурой</v>
      </c>
      <c r="J395" s="8" t="s">
        <v>684</v>
      </c>
      <c r="K395" s="8" t="s">
        <v>186</v>
      </c>
      <c r="L395" s="66" t="str">
        <f>IFERROR(VLOOKUP(K395&amp;N395,source_columns[[Seek]:[Описание поля]],4,0),"")</f>
        <v/>
      </c>
      <c r="M395" s="66" t="str">
        <f>IFERROR(VLOOKUP(K395&amp;N395,source_columns[[Seek]:[Описание поля]],7,0),"")</f>
        <v/>
      </c>
      <c r="N395" s="117" t="s">
        <v>618</v>
      </c>
      <c r="O395" s="8"/>
      <c r="P395" s="8"/>
      <c r="Q395" s="8"/>
      <c r="R395" s="8"/>
      <c r="S395" s="278"/>
      <c r="U395" s="65"/>
      <c r="V395" s="66" t="str">
        <f>"n308000046_"&amp;IFERROR(VLOOKUP(D395,target_tables[],5,0),"&lt;not found&gt;")</f>
        <v>n308000046_agr_grntee_int_org</v>
      </c>
      <c r="W395" s="65" t="s">
        <v>269</v>
      </c>
      <c r="AF395" s="299"/>
      <c r="AG395" s="10"/>
      <c r="AH395" s="10"/>
      <c r="AI395" s="10"/>
      <c r="AJ395" s="68"/>
      <c r="AK395" s="69"/>
    </row>
    <row r="396" spans="1:37" ht="12.75" hidden="1" customHeight="1" x14ac:dyDescent="0.25">
      <c r="A396" s="64">
        <f t="shared" si="0"/>
        <v>3550</v>
      </c>
      <c r="B396" s="8" t="s">
        <v>663</v>
      </c>
      <c r="C396" s="65" t="str">
        <f>IFERROR(VLOOKUP(D396,'Target tables'!A:B,2,0),"")</f>
        <v>Типа связи договора с терр. структурой</v>
      </c>
      <c r="D396" s="211" t="s">
        <v>191</v>
      </c>
      <c r="E396" s="66" t="str">
        <f>IFERROR(VLOOKUP(D396&amp;J396,'Target columns'!A:J,4,FALSE),"")</f>
        <v>DATE</v>
      </c>
      <c r="F396" s="66" t="str">
        <f>IFERROR(VLOOKUP(D396&amp;J396,'Target columns'!A:J,7,FALSE),"")</f>
        <v>Yes</v>
      </c>
      <c r="G396" s="66" t="str">
        <f>IFERROR(VLOOKUP(D396&amp;J396,'Target columns'!A:J,8,FALSE),"")</f>
        <v>No</v>
      </c>
      <c r="H396" s="66" t="str">
        <f>IFERROR(VLOOKUP(D396&amp;J396,'Target columns'!A:J,5,FALSE),"")</f>
        <v>NOT NULL</v>
      </c>
      <c r="I396" s="66" t="str">
        <f>IFERROR(VLOOKUP(D396&amp;J396,'Target columns'!A:J,10,FALSE),"")</f>
        <v>Дата начала действия связи</v>
      </c>
      <c r="J396" s="8" t="s">
        <v>329</v>
      </c>
      <c r="K396" s="8" t="s">
        <v>186</v>
      </c>
      <c r="L396" s="66" t="str">
        <f>IFERROR(VLOOKUP(K396&amp;N396,source_columns[[Seek]:[Описание поля]],4,0),"")</f>
        <v>timestamp</v>
      </c>
      <c r="M396" s="66" t="str">
        <f>IFERROR(VLOOKUP(K396&amp;N396,source_columns[[Seek]:[Описание поля]],7,0),"")</f>
        <v>Дата и время последнего изменения</v>
      </c>
      <c r="N396" s="8" t="s">
        <v>517</v>
      </c>
      <c r="O396" s="8"/>
      <c r="P396" s="8"/>
      <c r="Q396" s="8"/>
      <c r="R396" s="8"/>
      <c r="S396" s="278"/>
      <c r="U396" s="65"/>
      <c r="V396" s="66" t="str">
        <f>"n308000046_"&amp;IFERROR(VLOOKUP(D396,target_tables[],5,0),"&lt;not found&gt;")</f>
        <v>n308000046_agr_grntee_int_org</v>
      </c>
      <c r="W396" s="65" t="s">
        <v>330</v>
      </c>
      <c r="AF396" s="299"/>
      <c r="AG396" s="10"/>
      <c r="AH396" s="10"/>
      <c r="AI396" s="10"/>
      <c r="AJ396" s="68"/>
      <c r="AK396" s="69"/>
    </row>
    <row r="397" spans="1:37" ht="12.75" hidden="1" customHeight="1" x14ac:dyDescent="0.25">
      <c r="A397" s="70">
        <f t="shared" si="0"/>
        <v>3560</v>
      </c>
      <c r="B397" s="20" t="s">
        <v>663</v>
      </c>
      <c r="C397" s="71" t="str">
        <f>IFERROR(VLOOKUP(D397,'Target tables'!A:B,2,0),"")</f>
        <v>Типа связи договора с терр. структурой</v>
      </c>
      <c r="D397" s="212" t="s">
        <v>191</v>
      </c>
      <c r="E397" s="73" t="str">
        <f>IFERROR(VLOOKUP(D397&amp;J397,'Target columns'!A:J,4,FALSE),"")</f>
        <v>DATE</v>
      </c>
      <c r="F397" s="73" t="str">
        <f>IFERROR(VLOOKUP(D397&amp;J397,'Target columns'!A:J,7,FALSE),"")</f>
        <v>No</v>
      </c>
      <c r="G397" s="73" t="str">
        <f>IFERROR(VLOOKUP(D397&amp;J397,'Target columns'!A:J,8,FALSE),"")</f>
        <v>No</v>
      </c>
      <c r="H397" s="73" t="str">
        <f>IFERROR(VLOOKUP(D397&amp;J397,'Target columns'!A:J,5,FALSE),"")</f>
        <v>NOT NULL</v>
      </c>
      <c r="I397" s="73" t="str">
        <f>IFERROR(VLOOKUP(D397&amp;J397,'Target columns'!A:J,10,FALSE),"")</f>
        <v>Дата окончания действия связи</v>
      </c>
      <c r="J397" s="20" t="s">
        <v>331</v>
      </c>
      <c r="K397" s="138" t="s">
        <v>186</v>
      </c>
      <c r="L397" s="73" t="str">
        <f>IFERROR(VLOOKUP(K397&amp;N397,source_columns[[Seek]:[Описание поля]],4,0),"")</f>
        <v/>
      </c>
      <c r="M397" s="73" t="str">
        <f>IFERROR(VLOOKUP(K397&amp;N397,source_columns[[Seek]:[Описание поля]],7,0),"")</f>
        <v/>
      </c>
      <c r="N397" s="20" t="s">
        <v>603</v>
      </c>
      <c r="O397" s="20"/>
      <c r="P397" s="20"/>
      <c r="Q397" s="20"/>
      <c r="R397" s="20"/>
      <c r="S397" s="278"/>
      <c r="U397" s="71"/>
      <c r="V397" s="73" t="str">
        <f>"n308000046_"&amp;IFERROR(VLOOKUP(D397,target_tables[],5,0),"&lt;not found&gt;")</f>
        <v>n308000046_agr_grntee_int_org</v>
      </c>
      <c r="W397" s="71" t="s">
        <v>332</v>
      </c>
      <c r="AF397" s="299"/>
      <c r="AG397" s="27"/>
      <c r="AH397" s="27"/>
      <c r="AI397" s="27"/>
      <c r="AJ397" s="75"/>
      <c r="AK397" s="69"/>
    </row>
    <row r="398" spans="1:37" ht="12.75" hidden="1" customHeight="1" x14ac:dyDescent="0.25">
      <c r="A398" s="76">
        <f t="shared" si="0"/>
        <v>3570</v>
      </c>
      <c r="B398" s="113" t="s">
        <v>663</v>
      </c>
      <c r="C398" s="77" t="str">
        <f>IFERROR(VLOOKUP(D398,'Target tables'!A:B,2,0),"")</f>
        <v>Связь договора и банка</v>
      </c>
      <c r="D398" s="208" t="s">
        <v>192</v>
      </c>
      <c r="E398" s="78" t="str">
        <f>IFERROR(VLOOKUP(D398&amp;J398,'Target columns'!A:J,4,FALSE),"")</f>
        <v>uuid</v>
      </c>
      <c r="F398" s="78" t="str">
        <f>IFERROR(VLOOKUP(D398&amp;J398,'Target columns'!A:J,7,FALSE),"")</f>
        <v>Yes</v>
      </c>
      <c r="G398" s="78" t="str">
        <f>IFERROR(VLOOKUP(D398&amp;J398,'Target columns'!A:J,8,FALSE),"")</f>
        <v>Yes</v>
      </c>
      <c r="H398" s="78" t="str">
        <f>IFERROR(VLOOKUP(D398&amp;J398,'Target columns'!A:J,5,FALSE),"")</f>
        <v>NULL</v>
      </c>
      <c r="I398" s="78" t="str">
        <f>IFERROR(VLOOKUP(D398&amp;J398,'Target columns'!A:J,10,FALSE),"")</f>
        <v>Идентификатор договора</v>
      </c>
      <c r="J398" s="23" t="s">
        <v>664</v>
      </c>
      <c r="K398" s="23" t="s">
        <v>186</v>
      </c>
      <c r="L398" s="78" t="str">
        <f>IFERROR(VLOOKUP(K398&amp;N398,source_columns[[Seek]:[Описание поля]],4,0),"")</f>
        <v>uuid</v>
      </c>
      <c r="M398" s="78" t="str">
        <f>IFERROR(VLOOKUP(K398&amp;N398,source_columns[[Seek]:[Описание поля]],7,0),"")</f>
        <v>ID договора в источнике</v>
      </c>
      <c r="N398" s="10" t="s">
        <v>665</v>
      </c>
      <c r="O398" s="23"/>
      <c r="P398" s="23"/>
      <c r="Q398" s="23"/>
      <c r="R398" s="23"/>
      <c r="S398" s="270" t="s">
        <v>687</v>
      </c>
      <c r="U398" s="82"/>
      <c r="V398" s="84" t="str">
        <f>"n308000046_"&amp;IFERROR(VLOOKUP(D398,target_tables[],5,0),"&lt;not found&gt;")</f>
        <v>n308000046_agr_grntee_bank</v>
      </c>
      <c r="W398" s="82" t="s">
        <v>269</v>
      </c>
      <c r="AF398" s="299" t="s">
        <v>342</v>
      </c>
      <c r="AG398" s="83"/>
      <c r="AH398" s="83"/>
      <c r="AI398" s="83"/>
      <c r="AJ398" s="91"/>
      <c r="AK398" s="69"/>
    </row>
    <row r="399" spans="1:37" ht="12.75" hidden="1" customHeight="1" x14ac:dyDescent="0.25">
      <c r="A399" s="64">
        <f t="shared" si="0"/>
        <v>3580</v>
      </c>
      <c r="B399" s="8" t="s">
        <v>663</v>
      </c>
      <c r="C399" s="65" t="str">
        <f>IFERROR(VLOOKUP(D399,'Target tables'!A:B,2,0),"")</f>
        <v>Связь договора и банка</v>
      </c>
      <c r="D399" s="211" t="s">
        <v>192</v>
      </c>
      <c r="E399" s="66" t="str">
        <f>IFERROR(VLOOKUP(D399&amp;J399,'Target columns'!A:J,4,FALSE),"")</f>
        <v>date</v>
      </c>
      <c r="F399" s="66" t="str">
        <f>IFERROR(VLOOKUP(D399&amp;J399,'Target columns'!A:J,7,FALSE),"")</f>
        <v>Yes</v>
      </c>
      <c r="G399" s="66" t="str">
        <f>IFERROR(VLOOKUP(D399&amp;J399,'Target columns'!A:J,8,FALSE),"")</f>
        <v>No</v>
      </c>
      <c r="H399" s="66" t="str">
        <f>IFERROR(VLOOKUP(D399&amp;J399,'Target columns'!A:J,5,FALSE),"")</f>
        <v>NOT NULL</v>
      </c>
      <c r="I399" s="66" t="str">
        <f>IFERROR(VLOOKUP(D399&amp;J399,'Target columns'!A:J,10,FALSE),"")</f>
        <v>Дата начала действия</v>
      </c>
      <c r="J399" s="8" t="s">
        <v>329</v>
      </c>
      <c r="K399" s="8" t="s">
        <v>186</v>
      </c>
      <c r="L399" s="66" t="str">
        <f>IFERROR(VLOOKUP(K399&amp;N399,source_columns[[Seek]:[Описание поля]],4,0),"")</f>
        <v>timestamp</v>
      </c>
      <c r="M399" s="66" t="str">
        <f>IFERROR(VLOOKUP(K399&amp;N399,source_columns[[Seek]:[Описание поля]],7,0),"")</f>
        <v>Дата и время последнего изменения</v>
      </c>
      <c r="N399" s="8" t="s">
        <v>517</v>
      </c>
      <c r="O399" s="8"/>
      <c r="P399" s="8"/>
      <c r="Q399" s="8"/>
      <c r="R399" s="8"/>
      <c r="S399" s="278"/>
      <c r="U399" s="65"/>
      <c r="V399" s="66" t="str">
        <f>"n308000046_"&amp;IFERROR(VLOOKUP(D399,target_tables[],5,0),"&lt;not found&gt;")</f>
        <v>n308000046_agr_grntee_bank</v>
      </c>
      <c r="W399" s="65" t="s">
        <v>330</v>
      </c>
      <c r="AF399" s="299"/>
      <c r="AG399" s="10"/>
      <c r="AH399" s="10"/>
      <c r="AI399" s="10"/>
      <c r="AJ399" s="68"/>
      <c r="AK399" s="69"/>
    </row>
    <row r="400" spans="1:37" ht="12.75" hidden="1" customHeight="1" x14ac:dyDescent="0.25">
      <c r="A400" s="64">
        <f t="shared" si="0"/>
        <v>3590</v>
      </c>
      <c r="B400" s="8" t="s">
        <v>663</v>
      </c>
      <c r="C400" s="65" t="str">
        <f>IFERROR(VLOOKUP(D400,'Target tables'!A:B,2,0),"")</f>
        <v>Связь договора и банка</v>
      </c>
      <c r="D400" s="211" t="s">
        <v>192</v>
      </c>
      <c r="E400" s="66" t="str">
        <f>IFERROR(VLOOKUP(D400&amp;J400,'Target columns'!A:J,4,FALSE),"")</f>
        <v>uuid</v>
      </c>
      <c r="F400" s="66" t="str">
        <f>IFERROR(VLOOKUP(D400&amp;J400,'Target columns'!A:J,7,FALSE),"")</f>
        <v>Yes</v>
      </c>
      <c r="G400" s="66" t="str">
        <f>IFERROR(VLOOKUP(D400&amp;J400,'Target columns'!A:J,8,FALSE),"")</f>
        <v>Yes</v>
      </c>
      <c r="H400" s="66" t="str">
        <f>IFERROR(VLOOKUP(D400&amp;J400,'Target columns'!A:J,5,FALSE),"")</f>
        <v>NULL</v>
      </c>
      <c r="I400" s="66" t="str">
        <f>IFERROR(VLOOKUP(D400&amp;J400,'Target columns'!A:J,10,FALSE),"")</f>
        <v>Идентификатор типа связи договора и банка</v>
      </c>
      <c r="J400" s="8" t="s">
        <v>688</v>
      </c>
      <c r="K400" s="8" t="s">
        <v>186</v>
      </c>
      <c r="L400" s="66" t="str">
        <f>IFERROR(VLOOKUP(K400&amp;N400,source_columns[[Seek]:[Описание поля]],4,0),"")</f>
        <v/>
      </c>
      <c r="M400" s="66" t="str">
        <f>IFERROR(VLOOKUP(K400&amp;N400,source_columns[[Seek]:[Описание поля]],7,0),"")</f>
        <v/>
      </c>
      <c r="N400" s="8" t="s">
        <v>689</v>
      </c>
      <c r="O400" s="8"/>
      <c r="P400" s="8"/>
      <c r="Q400" s="8"/>
      <c r="R400" s="8"/>
      <c r="S400" s="278"/>
      <c r="U400" s="65"/>
      <c r="V400" s="66" t="str">
        <f>"n308000046_"&amp;IFERROR(VLOOKUP(D400,target_tables[],5,0),"&lt;not found&gt;")</f>
        <v>n308000046_agr_grntee_bank</v>
      </c>
      <c r="W400" s="65" t="s">
        <v>269</v>
      </c>
      <c r="AF400" s="299"/>
      <c r="AG400" s="10"/>
      <c r="AH400" s="10"/>
      <c r="AI400" s="10"/>
      <c r="AJ400" s="68"/>
      <c r="AK400" s="69"/>
    </row>
    <row r="401" spans="1:37" ht="12.75" hidden="1" customHeight="1" x14ac:dyDescent="0.25">
      <c r="A401" s="64">
        <f t="shared" si="0"/>
        <v>3600</v>
      </c>
      <c r="B401" s="8" t="s">
        <v>663</v>
      </c>
      <c r="C401" s="65" t="str">
        <f>IFERROR(VLOOKUP(D401,'Target tables'!A:B,2,0),"")</f>
        <v>Связь договора и банка</v>
      </c>
      <c r="D401" s="211" t="s">
        <v>192</v>
      </c>
      <c r="E401" s="66" t="str">
        <f>IFERROR(VLOOKUP(D401&amp;J401,'Target columns'!A:J,4,FALSE),"")</f>
        <v>uuid</v>
      </c>
      <c r="F401" s="66" t="str">
        <f>IFERROR(VLOOKUP(D401&amp;J401,'Target columns'!A:J,7,FALSE),"")</f>
        <v>No</v>
      </c>
      <c r="G401" s="66" t="str">
        <f>IFERROR(VLOOKUP(D401&amp;J401,'Target columns'!A:J,8,FALSE),"")</f>
        <v>Yes</v>
      </c>
      <c r="H401" s="66" t="str">
        <f>IFERROR(VLOOKUP(D401&amp;J401,'Target columns'!A:J,5,FALSE),"")</f>
        <v>NULL</v>
      </c>
      <c r="I401" s="66" t="str">
        <f>IFERROR(VLOOKUP(D401&amp;J401,'Target columns'!A:J,10,FALSE),"")</f>
        <v>Идентификатор банка</v>
      </c>
      <c r="J401" s="8" t="s">
        <v>581</v>
      </c>
      <c r="K401" s="8" t="s">
        <v>186</v>
      </c>
      <c r="L401" s="66" t="str">
        <f>IFERROR(VLOOKUP(K401&amp;N401,source_columns[[Seek]:[Описание поля]],4,0),"")</f>
        <v>uuid</v>
      </c>
      <c r="M401" s="66" t="str">
        <f>IFERROR(VLOOKUP(K401&amp;N401,source_columns[[Seek]:[Описание поля]],7,0),"")</f>
        <v>Банк-гарант</v>
      </c>
      <c r="N401" s="8" t="s">
        <v>690</v>
      </c>
      <c r="O401" s="8"/>
      <c r="P401" s="8"/>
      <c r="Q401" s="8"/>
      <c r="R401" s="8"/>
      <c r="S401" s="278"/>
      <c r="U401" s="65"/>
      <c r="V401" s="66" t="str">
        <f>"n308000046_"&amp;IFERROR(VLOOKUP(D401,target_tables[],5,0),"&lt;not found&gt;")</f>
        <v>n308000046_agr_grntee_bank</v>
      </c>
      <c r="W401" s="65" t="s">
        <v>273</v>
      </c>
      <c r="AF401" s="299"/>
      <c r="AG401" s="10"/>
      <c r="AH401" s="10"/>
      <c r="AI401" s="10"/>
      <c r="AJ401" s="68"/>
      <c r="AK401" s="69"/>
    </row>
    <row r="402" spans="1:37" ht="12.75" hidden="1" customHeight="1" x14ac:dyDescent="0.25">
      <c r="A402" s="70">
        <f t="shared" si="0"/>
        <v>3610</v>
      </c>
      <c r="B402" s="20" t="s">
        <v>663</v>
      </c>
      <c r="C402" s="20" t="str">
        <f>IFERROR(VLOOKUP(D402,'Target tables'!A:B,2,0),"")</f>
        <v>Связь договора и банка</v>
      </c>
      <c r="D402" s="212" t="s">
        <v>192</v>
      </c>
      <c r="E402" s="73" t="str">
        <f>IFERROR(VLOOKUP(D402&amp;J402,'Target columns'!A:J,4,FALSE),"")</f>
        <v>date</v>
      </c>
      <c r="F402" s="73" t="str">
        <f>IFERROR(VLOOKUP(D402&amp;J402,'Target columns'!A:J,7,FALSE),"")</f>
        <v>No</v>
      </c>
      <c r="G402" s="73" t="str">
        <f>IFERROR(VLOOKUP(D402&amp;J402,'Target columns'!A:J,8,FALSE),"")</f>
        <v>No</v>
      </c>
      <c r="H402" s="73" t="str">
        <f>IFERROR(VLOOKUP(D402&amp;J402,'Target columns'!A:J,5,FALSE),"")</f>
        <v>NULL</v>
      </c>
      <c r="I402" s="73" t="str">
        <f>IFERROR(VLOOKUP(D402&amp;J402,'Target columns'!A:J,10,FALSE),"")</f>
        <v>Дата окончания действия</v>
      </c>
      <c r="J402" s="20" t="s">
        <v>331</v>
      </c>
      <c r="K402" s="138" t="s">
        <v>186</v>
      </c>
      <c r="L402" s="73" t="str">
        <f>IFERROR(VLOOKUP(K402&amp;N402,source_columns[[Seek]:[Описание поля]],4,0),"")</f>
        <v/>
      </c>
      <c r="M402" s="73" t="str">
        <f>IFERROR(VLOOKUP(K402&amp;N402,source_columns[[Seek]:[Описание поля]],7,0),"")</f>
        <v/>
      </c>
      <c r="N402" s="20" t="s">
        <v>603</v>
      </c>
      <c r="O402" s="20"/>
      <c r="P402" s="20"/>
      <c r="Q402" s="20"/>
      <c r="R402" s="20"/>
      <c r="S402" s="278"/>
      <c r="U402" s="71"/>
      <c r="V402" s="73" t="str">
        <f>"n308000046_"&amp;IFERROR(VLOOKUP(D402,target_tables[],5,0),"&lt;not found&gt;")</f>
        <v>n308000046_agr_grntee_bank</v>
      </c>
      <c r="W402" s="71" t="s">
        <v>332</v>
      </c>
      <c r="AF402" s="299"/>
      <c r="AG402" s="27"/>
      <c r="AH402" s="27"/>
      <c r="AI402" s="27"/>
      <c r="AJ402" s="75"/>
      <c r="AK402" s="69"/>
    </row>
    <row r="403" spans="1:37" ht="12.75" hidden="1" customHeight="1" x14ac:dyDescent="0.25">
      <c r="A403" s="76">
        <f t="shared" si="0"/>
        <v>3620</v>
      </c>
      <c r="B403" s="113" t="s">
        <v>125</v>
      </c>
      <c r="C403" s="82" t="str">
        <f>IFERROR(VLOOKUP(D403,'Target tables'!A:B,2,0),"")</f>
        <v>Тип статус договора</v>
      </c>
      <c r="D403" s="83" t="s">
        <v>188</v>
      </c>
      <c r="E403" s="78" t="str">
        <f>IFERROR(VLOOKUP(D403&amp;J403,'Target columns'!A:J,4,FALSE),"")</f>
        <v>uuid</v>
      </c>
      <c r="F403" s="78" t="str">
        <f>IFERROR(VLOOKUP(D403&amp;J403,'Target columns'!A:J,7,FALSE),"")</f>
        <v>Yes</v>
      </c>
      <c r="G403" s="78" t="str">
        <f>IFERROR(VLOOKUP(D403&amp;J403,'Target columns'!A:J,8,FALSE),"")</f>
        <v>No</v>
      </c>
      <c r="H403" s="78" t="str">
        <f>IFERROR(VLOOKUP(D403&amp;J403,'Target columns'!A:J,5,FALSE),"")</f>
        <v>NOT NULL</v>
      </c>
      <c r="I403" s="78" t="str">
        <f>IFERROR(VLOOKUP(D403&amp;J403,'Target columns'!A:J,10,FALSE),"")</f>
        <v>Идентификатор типа статуса</v>
      </c>
      <c r="J403" s="83" t="s">
        <v>691</v>
      </c>
      <c r="K403" s="82" t="s">
        <v>296</v>
      </c>
      <c r="L403" s="84" t="s">
        <v>316</v>
      </c>
      <c r="M403" s="84"/>
      <c r="N403" s="83" t="s">
        <v>692</v>
      </c>
      <c r="O403" s="82"/>
      <c r="P403" s="82"/>
      <c r="Q403" s="82"/>
      <c r="R403" s="82"/>
      <c r="S403" s="280" t="s">
        <v>693</v>
      </c>
      <c r="U403" s="82"/>
      <c r="V403" s="84" t="str">
        <f>"n308000046_"&amp;IFERROR(VLOOKUP(D403,target_tables[],5,0),"&lt;not found&gt;")</f>
        <v>n308000046_agr_accred_stts_type</v>
      </c>
      <c r="W403" s="82" t="s">
        <v>269</v>
      </c>
      <c r="AF403" s="279" t="s">
        <v>270</v>
      </c>
      <c r="AG403" s="89"/>
      <c r="AH403" s="82"/>
      <c r="AI403" s="90"/>
      <c r="AJ403" s="91"/>
      <c r="AK403" s="69"/>
    </row>
    <row r="404" spans="1:37" ht="12.75" hidden="1" customHeight="1" x14ac:dyDescent="0.25">
      <c r="A404" s="70">
        <f t="shared" si="0"/>
        <v>3630</v>
      </c>
      <c r="B404" s="20" t="s">
        <v>125</v>
      </c>
      <c r="C404" s="71" t="str">
        <f>IFERROR(VLOOKUP(D404,'Target tables'!A:B,2,0),"")</f>
        <v>Тип статус договора</v>
      </c>
      <c r="D404" s="27" t="s">
        <v>188</v>
      </c>
      <c r="E404" s="73" t="str">
        <f>IFERROR(VLOOKUP(D404&amp;J404,'Target columns'!A:J,4,FALSE),"")</f>
        <v>text</v>
      </c>
      <c r="F404" s="73" t="str">
        <f>IFERROR(VLOOKUP(D404&amp;J404,'Target columns'!A:J,7,FALSE),"")</f>
        <v>No</v>
      </c>
      <c r="G404" s="73" t="str">
        <f>IFERROR(VLOOKUP(D404&amp;J404,'Target columns'!A:J,8,FALSE),"")</f>
        <v>No</v>
      </c>
      <c r="H404" s="73" t="str">
        <f>IFERROR(VLOOKUP(D404&amp;J404,'Target columns'!A:J,5,FALSE),"")</f>
        <v>NULL</v>
      </c>
      <c r="I404" s="73" t="str">
        <f>IFERROR(VLOOKUP(D404&amp;J404,'Target columns'!A:J,10,FALSE),"")</f>
        <v>Наименования типа статуса</v>
      </c>
      <c r="J404" s="27" t="s">
        <v>694</v>
      </c>
      <c r="K404" s="71" t="s">
        <v>296</v>
      </c>
      <c r="L404" s="73" t="s">
        <v>320</v>
      </c>
      <c r="M404" s="73"/>
      <c r="N404" s="27" t="s">
        <v>695</v>
      </c>
      <c r="O404" s="71"/>
      <c r="P404" s="71"/>
      <c r="Q404" s="71"/>
      <c r="R404" s="71"/>
      <c r="S404" s="280"/>
      <c r="U404" s="71"/>
      <c r="V404" s="73" t="str">
        <f>"n308000046_"&amp;IFERROR(VLOOKUP(D404,target_tables[],5,0),"&lt;not found&gt;")</f>
        <v>n308000046_agr_accred_stts_type</v>
      </c>
      <c r="W404" s="71" t="s">
        <v>273</v>
      </c>
      <c r="AF404" s="279"/>
      <c r="AG404" s="203"/>
      <c r="AH404" s="71"/>
      <c r="AI404" s="74"/>
      <c r="AJ404" s="75"/>
      <c r="AK404" s="69"/>
    </row>
    <row r="405" spans="1:37" ht="12.75" hidden="1" customHeight="1" x14ac:dyDescent="0.25">
      <c r="A405" s="76">
        <f t="shared" si="0"/>
        <v>3640</v>
      </c>
      <c r="B405" s="113" t="s">
        <v>125</v>
      </c>
      <c r="C405" s="82" t="str">
        <f>IFERROR(VLOOKUP(D405,'Target tables'!A:B,2,0),"")</f>
        <v>Статус договора</v>
      </c>
      <c r="D405" s="208" t="s">
        <v>187</v>
      </c>
      <c r="E405" s="78" t="str">
        <f>IFERROR(VLOOKUP(D405&amp;J405,'Target columns'!A:J,4,FALSE),"")</f>
        <v>uuid</v>
      </c>
      <c r="F405" s="78" t="str">
        <f>IFERROR(VLOOKUP(D405&amp;J405,'Target columns'!A:J,7,FALSE),"")</f>
        <v>Yes</v>
      </c>
      <c r="G405" s="78" t="str">
        <f>IFERROR(VLOOKUP(D405&amp;J405,'Target columns'!A:J,8,FALSE),"")</f>
        <v>Yes</v>
      </c>
      <c r="H405" s="78" t="str">
        <f>IFERROR(VLOOKUP(D405&amp;J405,'Target columns'!A:J,5,FALSE),"")</f>
        <v>NOT NULL</v>
      </c>
      <c r="I405" s="78" t="str">
        <f>IFERROR(VLOOKUP(D405&amp;J405,'Target columns'!A:J,10,FALSE),"")</f>
        <v>Идентификатор договора</v>
      </c>
      <c r="J405" s="23" t="s">
        <v>495</v>
      </c>
      <c r="K405" s="2" t="s">
        <v>166</v>
      </c>
      <c r="L405" s="86" t="str">
        <f>IFERROR(VLOOKUP(K405&amp;N405,source_columns[[Seek]:[Описание поля]],4,0),"")</f>
        <v>uuid</v>
      </c>
      <c r="M405" s="78" t="str">
        <f>IFERROR(VLOOKUP(K405&amp;N405,source_columns[[Seek]:[Описание поля]],7,0),"")</f>
        <v>SK(reference)</v>
      </c>
      <c r="N405" s="23" t="s">
        <v>496</v>
      </c>
      <c r="O405" s="23"/>
      <c r="P405" s="23"/>
      <c r="Q405" s="23"/>
      <c r="R405" s="23"/>
      <c r="S405" s="270" t="s">
        <v>696</v>
      </c>
      <c r="U405" s="82"/>
      <c r="V405" s="84" t="str">
        <f>"n308000046_"&amp;IFERROR(VLOOKUP(D405,target_tables[],5,0),"&lt;not found&gt;")</f>
        <v>n308000046_agr_accred_stts</v>
      </c>
      <c r="W405" s="82" t="s">
        <v>269</v>
      </c>
      <c r="AF405" s="299" t="s">
        <v>342</v>
      </c>
      <c r="AG405" s="83"/>
      <c r="AH405" s="83"/>
      <c r="AI405" s="83"/>
      <c r="AJ405" s="91"/>
      <c r="AK405" s="69"/>
    </row>
    <row r="406" spans="1:37" ht="12.75" hidden="1" customHeight="1" x14ac:dyDescent="0.25">
      <c r="A406" s="64">
        <f t="shared" si="0"/>
        <v>3650</v>
      </c>
      <c r="B406" s="8" t="s">
        <v>125</v>
      </c>
      <c r="C406" s="65" t="str">
        <f>IFERROR(VLOOKUP(D406,'Target tables'!A:B,2,0),"")</f>
        <v>Статус договора</v>
      </c>
      <c r="D406" s="208" t="s">
        <v>187</v>
      </c>
      <c r="E406" s="66" t="str">
        <f>IFERROR(VLOOKUP(D406&amp;J406,'Target columns'!A:J,4,FALSE),"")</f>
        <v>uuid</v>
      </c>
      <c r="F406" s="66" t="str">
        <f>IFERROR(VLOOKUP(D406&amp;J406,'Target columns'!A:J,7,FALSE),"")</f>
        <v>No</v>
      </c>
      <c r="G406" s="66" t="str">
        <f>IFERROR(VLOOKUP(D406&amp;J406,'Target columns'!A:J,8,FALSE),"")</f>
        <v>Yes</v>
      </c>
      <c r="H406" s="66" t="str">
        <f>IFERROR(VLOOKUP(D406&amp;J406,'Target columns'!A:J,5,FALSE),"")</f>
        <v>NOT NULL</v>
      </c>
      <c r="I406" s="66" t="str">
        <f>IFERROR(VLOOKUP(D406&amp;J406,'Target columns'!A:J,10,FALSE),"")</f>
        <v>Идентификатор типа статуса</v>
      </c>
      <c r="J406" s="8" t="s">
        <v>691</v>
      </c>
      <c r="K406" s="10" t="s">
        <v>166</v>
      </c>
      <c r="L406" s="66" t="str">
        <f>IFERROR(VLOOKUP(K406&amp;N407,source_columns[[Seek]:[Описание поля]],4,0),"")</f>
        <v>timestamp</v>
      </c>
      <c r="M406" s="66" t="str">
        <f>IFERROR(VLOOKUP(K406&amp;N407,source_columns[[Seek]:[Описание поля]],7,0),"")</f>
        <v>Дата и время последнего изменения</v>
      </c>
      <c r="N406" s="2" t="s">
        <v>697</v>
      </c>
      <c r="O406" s="8"/>
      <c r="P406" s="8"/>
      <c r="Q406" s="8"/>
      <c r="R406" s="8"/>
      <c r="S406" s="278"/>
      <c r="U406" s="65"/>
      <c r="V406" s="66" t="str">
        <f>"n308000046_"&amp;IFERROR(VLOOKUP(D406,target_tables[],5,0),"&lt;not found&gt;")</f>
        <v>n308000046_agr_accred_stts</v>
      </c>
      <c r="W406" s="65" t="s">
        <v>330</v>
      </c>
      <c r="AF406" s="299"/>
      <c r="AG406" s="10"/>
      <c r="AH406" s="10"/>
      <c r="AI406" s="10"/>
      <c r="AJ406" s="68"/>
      <c r="AK406" s="69"/>
    </row>
    <row r="407" spans="1:37" ht="12.75" hidden="1" customHeight="1" x14ac:dyDescent="0.25">
      <c r="A407" s="64">
        <f t="shared" si="0"/>
        <v>3660</v>
      </c>
      <c r="B407" s="8" t="s">
        <v>125</v>
      </c>
      <c r="C407" s="65" t="str">
        <f>IFERROR(VLOOKUP(D407,'Target tables'!A:B,2,0),"")</f>
        <v>Статус договора</v>
      </c>
      <c r="D407" s="208" t="s">
        <v>187</v>
      </c>
      <c r="E407" s="66" t="str">
        <f>IFERROR(VLOOKUP(D407&amp;J407,'Target columns'!A:J,4,FALSE),"")</f>
        <v>date</v>
      </c>
      <c r="F407" s="66" t="str">
        <f>IFERROR(VLOOKUP(D407&amp;J407,'Target columns'!A:J,7,FALSE),"")</f>
        <v>Yes</v>
      </c>
      <c r="G407" s="66" t="str">
        <f>IFERROR(VLOOKUP(D407&amp;J407,'Target columns'!A:J,8,FALSE),"")</f>
        <v>No</v>
      </c>
      <c r="H407" s="66" t="str">
        <f>IFERROR(VLOOKUP(D407&amp;J407,'Target columns'!A:J,5,FALSE),"")</f>
        <v>NOT NULL</v>
      </c>
      <c r="I407" s="66" t="str">
        <f>IFERROR(VLOOKUP(D407&amp;J407,'Target columns'!A:J,10,FALSE),"")</f>
        <v>Дата начала действия</v>
      </c>
      <c r="J407" s="8" t="s">
        <v>329</v>
      </c>
      <c r="K407" s="8" t="s">
        <v>166</v>
      </c>
      <c r="L407" s="66" t="str">
        <f>IFERROR(VLOOKUP(K407&amp;#REF!,source_columns[[Seek]:[Описание поля]],4,0),"")</f>
        <v/>
      </c>
      <c r="M407" s="66" t="str">
        <f>IFERROR(VLOOKUP(K407&amp;#REF!,source_columns[[Seek]:[Описание поля]],7,0),"")</f>
        <v/>
      </c>
      <c r="N407" s="8" t="s">
        <v>517</v>
      </c>
      <c r="O407" s="8"/>
      <c r="P407" s="8"/>
      <c r="Q407" s="8"/>
      <c r="R407" s="8"/>
      <c r="S407" s="278"/>
      <c r="U407" s="65"/>
      <c r="V407" s="66" t="str">
        <f>"n308000046_"&amp;IFERROR(VLOOKUP(D407,target_tables[],5,0),"&lt;not found&gt;")</f>
        <v>n308000046_agr_accred_stts</v>
      </c>
      <c r="W407" s="65" t="s">
        <v>273</v>
      </c>
      <c r="AF407" s="299"/>
      <c r="AG407" s="10"/>
      <c r="AH407" s="10"/>
      <c r="AI407" s="10"/>
      <c r="AJ407" s="68"/>
      <c r="AK407" s="69"/>
    </row>
    <row r="408" spans="1:37" ht="12.75" hidden="1" customHeight="1" x14ac:dyDescent="0.25">
      <c r="A408" s="70">
        <f t="shared" si="0"/>
        <v>3670</v>
      </c>
      <c r="B408" s="20" t="s">
        <v>125</v>
      </c>
      <c r="C408" s="20" t="str">
        <f>IFERROR(VLOOKUP(D408,'Target tables'!A:B,2,0),"")</f>
        <v>Статус договора</v>
      </c>
      <c r="D408" s="212" t="s">
        <v>187</v>
      </c>
      <c r="E408" s="73" t="str">
        <f>IFERROR(VLOOKUP(D408&amp;J408,'Target columns'!A:J,4,FALSE),"")</f>
        <v>date</v>
      </c>
      <c r="F408" s="73" t="str">
        <f>IFERROR(VLOOKUP(D408&amp;J408,'Target columns'!A:J,7,FALSE),"")</f>
        <v>No</v>
      </c>
      <c r="G408" s="73" t="str">
        <f>IFERROR(VLOOKUP(D408&amp;J408,'Target columns'!A:J,8,FALSE),"")</f>
        <v>No</v>
      </c>
      <c r="H408" s="73" t="str">
        <f>IFERROR(VLOOKUP(D408&amp;J408,'Target columns'!A:J,5,FALSE),"")</f>
        <v>NULL</v>
      </c>
      <c r="I408" s="73" t="str">
        <f>IFERROR(VLOOKUP(D408&amp;J408,'Target columns'!A:J,10,FALSE),"")</f>
        <v>Дата окончания действия</v>
      </c>
      <c r="J408" s="20" t="s">
        <v>331</v>
      </c>
      <c r="K408" s="138" t="s">
        <v>166</v>
      </c>
      <c r="L408" s="73" t="str">
        <f>IFERROR(VLOOKUP(K408&amp;N408,source_columns[[Seek]:[Описание поля]],4,0),"")</f>
        <v/>
      </c>
      <c r="M408" s="73" t="str">
        <f>IFERROR(VLOOKUP(K408&amp;N408,source_columns[[Seek]:[Описание поля]],7,0),"")</f>
        <v/>
      </c>
      <c r="N408" s="20" t="s">
        <v>603</v>
      </c>
      <c r="O408" s="20"/>
      <c r="P408" s="20"/>
      <c r="Q408" s="20"/>
      <c r="R408" s="20"/>
      <c r="S408" s="278"/>
      <c r="U408" s="71"/>
      <c r="V408" s="73" t="str">
        <f>"n308000046_"&amp;IFERROR(VLOOKUP(D408,target_tables[],5,0),"&lt;not found&gt;")</f>
        <v>n308000046_agr_accred_stts</v>
      </c>
      <c r="W408" s="71" t="s">
        <v>332</v>
      </c>
      <c r="AF408" s="299"/>
      <c r="AG408" s="27"/>
      <c r="AH408" s="27"/>
      <c r="AI408" s="27"/>
      <c r="AJ408" s="75"/>
      <c r="AK408" s="69"/>
    </row>
    <row r="409" spans="1:37" ht="13.8" hidden="1" thickBot="1" x14ac:dyDescent="0.3">
      <c r="A409" s="76">
        <f t="shared" si="0"/>
        <v>3680</v>
      </c>
      <c r="B409" s="113" t="s">
        <v>663</v>
      </c>
      <c r="C409" s="77" t="str">
        <f>IFERROR(VLOOKUP(D409,'Target tables'!A:B,2,0),"")</f>
        <v>Тип гарантии</v>
      </c>
      <c r="D409" s="208" t="s">
        <v>193</v>
      </c>
      <c r="E409" s="78" t="str">
        <f>IFERROR(VLOOKUP(D409&amp;J409,'Target columns'!A:J,4,FALSE),"")</f>
        <v>uuid</v>
      </c>
      <c r="F409" s="78" t="str">
        <f>IFERROR(VLOOKUP(D409&amp;J409,'Target columns'!A:J,7,FALSE),"")</f>
        <v>Yes</v>
      </c>
      <c r="G409" s="78" t="str">
        <f>IFERROR(VLOOKUP(D409&amp;J409,'Target columns'!A:J,8,FALSE),"")</f>
        <v>No</v>
      </c>
      <c r="H409" s="78" t="str">
        <f>IFERROR(VLOOKUP(D409&amp;J409,'Target columns'!A:J,5,FALSE),"")</f>
        <v>NOT NULL</v>
      </c>
      <c r="I409" s="78" t="str">
        <f>IFERROR(VLOOKUP(D409&amp;J409,'Target columns'!A:J,10,FALSE),"")</f>
        <v>Идентификатор типа договора гарантии</v>
      </c>
      <c r="J409" s="23" t="s">
        <v>670</v>
      </c>
      <c r="K409" s="77" t="s">
        <v>296</v>
      </c>
      <c r="L409" s="78" t="str">
        <f>IFERROR(VLOOKUP(K409&amp;N409,source_columns[[Seek]:[Описание поля]],4,0),"")</f>
        <v/>
      </c>
      <c r="M409" s="78" t="str">
        <f>IFERROR(VLOOKUP(K409&amp;N409,source_columns[[Seek]:[Описание поля]],7,0),"")</f>
        <v/>
      </c>
      <c r="N409" s="23" t="s">
        <v>671</v>
      </c>
      <c r="O409" s="77"/>
      <c r="P409" s="201"/>
      <c r="Q409" s="77"/>
      <c r="R409" s="77"/>
      <c r="S409" s="300" t="s">
        <v>698</v>
      </c>
      <c r="U409" s="77"/>
      <c r="V409" s="78" t="str">
        <f>"n308000046_"&amp;IFERROR(VLOOKUP(D409,target_tables[],5,0),"&lt;not found&gt;")</f>
        <v>n308000046_agr_grntee_type</v>
      </c>
      <c r="W409" s="77" t="s">
        <v>269</v>
      </c>
      <c r="AF409" s="301" t="s">
        <v>270</v>
      </c>
      <c r="AG409" s="24"/>
      <c r="AH409" s="77"/>
      <c r="AI409" s="79"/>
      <c r="AJ409" s="77"/>
      <c r="AK409" s="69"/>
    </row>
    <row r="410" spans="1:37" ht="13.8" hidden="1" thickBot="1" x14ac:dyDescent="0.3">
      <c r="A410" s="64">
        <f t="shared" si="0"/>
        <v>3690</v>
      </c>
      <c r="B410" s="8" t="s">
        <v>663</v>
      </c>
      <c r="C410" s="65" t="str">
        <f>IFERROR(VLOOKUP(D410,'Target tables'!A:B,2,0),"")</f>
        <v>Тип гарантии</v>
      </c>
      <c r="D410" s="211" t="s">
        <v>193</v>
      </c>
      <c r="E410" s="66" t="str">
        <f>IFERROR(VLOOKUP(D410&amp;J410,'Target columns'!A:J,4,FALSE),"")</f>
        <v>text</v>
      </c>
      <c r="F410" s="66" t="str">
        <f>IFERROR(VLOOKUP(D410&amp;J410,'Target columns'!A:J,7,FALSE),"")</f>
        <v>No</v>
      </c>
      <c r="G410" s="66" t="str">
        <f>IFERROR(VLOOKUP(D410&amp;J410,'Target columns'!A:J,8,FALSE),"")</f>
        <v>No</v>
      </c>
      <c r="H410" s="66" t="str">
        <f>IFERROR(VLOOKUP(D410&amp;J410,'Target columns'!A:J,5,FALSE),"")</f>
        <v>NULL</v>
      </c>
      <c r="I410" s="66" t="str">
        <f>IFERROR(VLOOKUP(D410&amp;J410,'Target columns'!A:J,10,FALSE),"")</f>
        <v>Наименование типа договора гарантии</v>
      </c>
      <c r="J410" s="8" t="s">
        <v>699</v>
      </c>
      <c r="K410" s="65" t="s">
        <v>296</v>
      </c>
      <c r="L410" s="66" t="str">
        <f>IFERROR(VLOOKUP(K410&amp;N410,source_columns[[Seek]:[Описание поля]],4,0),"")</f>
        <v/>
      </c>
      <c r="M410" s="66" t="str">
        <f>IFERROR(VLOOKUP(K410&amp;N410,source_columns[[Seek]:[Описание поля]],7,0),"")</f>
        <v/>
      </c>
      <c r="N410" s="8" t="s">
        <v>374</v>
      </c>
      <c r="O410" s="65"/>
      <c r="P410" s="202"/>
      <c r="Q410" s="65"/>
      <c r="R410" s="65"/>
      <c r="S410" s="300"/>
      <c r="U410" s="65"/>
      <c r="V410" s="66" t="str">
        <f>"n308000046_"&amp;IFERROR(VLOOKUP(D410,target_tables[],5,0),"&lt;not found&gt;")</f>
        <v>n308000046_agr_grntee_type</v>
      </c>
      <c r="W410" s="65" t="s">
        <v>273</v>
      </c>
      <c r="AF410" s="301"/>
      <c r="AG410" s="10"/>
      <c r="AH410" s="65"/>
      <c r="AI410" s="67"/>
      <c r="AJ410" s="65"/>
      <c r="AK410" s="69"/>
    </row>
    <row r="411" spans="1:37" ht="13.8" hidden="1" thickBot="1" x14ac:dyDescent="0.3">
      <c r="A411" s="70">
        <f t="shared" si="0"/>
        <v>3700</v>
      </c>
      <c r="B411" s="20" t="s">
        <v>663</v>
      </c>
      <c r="C411" s="71" t="str">
        <f>IFERROR(VLOOKUP(D411,'Target tables'!A:B,2,0),"")</f>
        <v>Тип гарантии</v>
      </c>
      <c r="D411" s="212" t="s">
        <v>193</v>
      </c>
      <c r="E411" s="73" t="str">
        <f>IFERROR(VLOOKUP(D411&amp;J411,'Target columns'!A:J,4,FALSE),"")</f>
        <v>text</v>
      </c>
      <c r="F411" s="73" t="str">
        <f>IFERROR(VLOOKUP(D411&amp;J411,'Target columns'!A:J,7,FALSE),"")</f>
        <v>No</v>
      </c>
      <c r="G411" s="73" t="str">
        <f>IFERROR(VLOOKUP(D411&amp;J411,'Target columns'!A:J,8,FALSE),"")</f>
        <v>No</v>
      </c>
      <c r="H411" s="73" t="str">
        <f>IFERROR(VLOOKUP(D411&amp;J411,'Target columns'!A:J,5,FALSE),"")</f>
        <v>NULL</v>
      </c>
      <c r="I411" s="73" t="str">
        <f>IFERROR(VLOOKUP(D411&amp;J411,'Target columns'!A:J,10,FALSE),"")</f>
        <v>Код типа договора гарантии</v>
      </c>
      <c r="J411" s="20" t="s">
        <v>700</v>
      </c>
      <c r="K411" s="71" t="s">
        <v>296</v>
      </c>
      <c r="L411" s="73" t="str">
        <f>IFERROR(VLOOKUP(K411&amp;N411,source_columns[[Seek]:[Описание поля]],4,0),"")</f>
        <v/>
      </c>
      <c r="M411" s="73" t="str">
        <f>IFERROR(VLOOKUP(K411&amp;N411,source_columns[[Seek]:[Описание поля]],7,0),"")</f>
        <v/>
      </c>
      <c r="N411" s="20" t="s">
        <v>701</v>
      </c>
      <c r="O411" s="71"/>
      <c r="P411" s="203"/>
      <c r="Q411" s="71"/>
      <c r="R411" s="71"/>
      <c r="S411" s="300"/>
      <c r="T411" s="110"/>
      <c r="U411" s="71"/>
      <c r="V411" s="73" t="str">
        <f>"n308000046_"&amp;IFERROR(VLOOKUP(D411,target_tables[],5,0),"&lt;not found&gt;")</f>
        <v>n308000046_agr_grntee_type</v>
      </c>
      <c r="W411" s="71" t="s">
        <v>273</v>
      </c>
      <c r="X411" s="110"/>
      <c r="Y411" s="110"/>
      <c r="Z411" s="110"/>
      <c r="AA411" s="110"/>
      <c r="AB411" s="110"/>
      <c r="AC411" s="110"/>
      <c r="AD411" s="110"/>
      <c r="AE411" s="110"/>
      <c r="AF411" s="301"/>
      <c r="AG411" s="27"/>
      <c r="AH411" s="71"/>
      <c r="AI411" s="74"/>
      <c r="AJ411" s="71"/>
      <c r="AK411" s="69"/>
    </row>
    <row r="412" spans="1:37" ht="13.8" hidden="1" thickBot="1" x14ac:dyDescent="0.3">
      <c r="A412" s="48">
        <f t="shared" si="0"/>
        <v>3710</v>
      </c>
      <c r="B412" s="113" t="s">
        <v>266</v>
      </c>
      <c r="C412" s="82" t="str">
        <f>IFERROR(VLOOKUP(D412,'Target tables'!A:B,2,0),"")</f>
        <v>Соглашения ГОДС</v>
      </c>
      <c r="D412" s="23" t="s">
        <v>201</v>
      </c>
      <c r="E412" s="78" t="str">
        <f>IFERROR(VLOOKUP(D412&amp;J412,'Target columns'!A:J,4,FALSE),"")</f>
        <v>UUID</v>
      </c>
      <c r="F412" s="78" t="str">
        <f>IFERROR(VLOOKUP(D412&amp;J412,'Target columns'!A:J,7,FALSE),"")</f>
        <v>Yes</v>
      </c>
      <c r="G412" s="78" t="str">
        <f>IFERROR(VLOOKUP(D412&amp;J412,'Target columns'!A:J,8,FALSE),"")</f>
        <v>No</v>
      </c>
      <c r="H412" s="78" t="str">
        <f>IFERROR(VLOOKUP(D412&amp;J412,'Target columns'!A:J,5,FALSE),"")</f>
        <v>NOT NULL</v>
      </c>
      <c r="I412" s="78" t="str">
        <f>IFERROR(VLOOKUP(D412&amp;J412,'Target columns'!A:J,10,FALSE),"")</f>
        <v>Идентификатор соглашения ГОДС (гарантированный остаток депонированной суммы)</v>
      </c>
      <c r="J412" s="23" t="s">
        <v>702</v>
      </c>
      <c r="K412" s="23" t="s">
        <v>196</v>
      </c>
      <c r="L412" s="78" t="str">
        <f>IFERROR(VLOOKUP(K412&amp;N412,source_columns[[Seek]:[Описание поля]],4,0),"")</f>
        <v>uuid</v>
      </c>
      <c r="M412" s="78" t="str">
        <f>IFERROR(VLOOKUP(K412&amp;N412,source_columns[[Seek]:[Описание поля]],7,0),"")</f>
        <v>ID договора в источнике</v>
      </c>
      <c r="N412" s="24" t="s">
        <v>665</v>
      </c>
      <c r="O412" s="23"/>
      <c r="P412" s="23"/>
      <c r="Q412" s="23"/>
      <c r="R412" s="23"/>
      <c r="S412" s="270" t="s">
        <v>666</v>
      </c>
      <c r="U412" s="82"/>
      <c r="V412" s="84" t="str">
        <f>"n308000046_"&amp;IFERROR(VLOOKUP(D412,target_tables[],5,0),"&lt;not found&gt;")</f>
        <v>n308000046_agr_escrow_addendum</v>
      </c>
      <c r="W412" s="82" t="s">
        <v>269</v>
      </c>
      <c r="AF412" s="299" t="s">
        <v>270</v>
      </c>
      <c r="AG412" s="83"/>
      <c r="AH412" s="83"/>
      <c r="AI412" s="83"/>
      <c r="AJ412" s="91"/>
      <c r="AK412" s="69"/>
    </row>
    <row r="413" spans="1:37" ht="13.8" hidden="1" thickBot="1" x14ac:dyDescent="0.3">
      <c r="A413" s="64">
        <f t="shared" si="0"/>
        <v>3720</v>
      </c>
      <c r="B413" s="8" t="s">
        <v>266</v>
      </c>
      <c r="C413" s="65" t="str">
        <f>IFERROR(VLOOKUP(D413,'Target tables'!A:B,2,0),"")</f>
        <v>Соглашения ГОДС</v>
      </c>
      <c r="D413" s="8" t="s">
        <v>201</v>
      </c>
      <c r="E413" s="66" t="str">
        <f>IFERROR(VLOOKUP(D413&amp;J413,'Target columns'!A:J,4,FALSE),"")</f>
        <v>UUID</v>
      </c>
      <c r="F413" s="66" t="str">
        <f>IFERROR(VLOOKUP(D413&amp;J413,'Target columns'!A:J,7,FALSE),"")</f>
        <v>No</v>
      </c>
      <c r="G413" s="66" t="str">
        <f>IFERROR(VLOOKUP(D413&amp;J413,'Target columns'!A:J,8,FALSE),"")</f>
        <v>Yes</v>
      </c>
      <c r="H413" s="66" t="str">
        <f>IFERROR(VLOOKUP(D413&amp;J413,'Target columns'!A:J,5,FALSE),"")</f>
        <v>NOT NULL</v>
      </c>
      <c r="I413" s="66" t="str">
        <f>IFERROR(VLOOKUP(D413&amp;J413,'Target columns'!A:J,10,FALSE),"")</f>
        <v>Идентификатор договора эскроу</v>
      </c>
      <c r="J413" s="8" t="s">
        <v>267</v>
      </c>
      <c r="K413" s="8" t="s">
        <v>196</v>
      </c>
      <c r="L413" s="66" t="s">
        <v>316</v>
      </c>
      <c r="M413" s="66" t="s">
        <v>323</v>
      </c>
      <c r="N413" s="2" t="s">
        <v>703</v>
      </c>
      <c r="O413" s="8"/>
      <c r="P413" s="8"/>
      <c r="Q413" s="8"/>
      <c r="R413" s="8"/>
      <c r="S413" s="278"/>
      <c r="U413" s="65"/>
      <c r="V413" s="66" t="str">
        <f>"n308000046_"&amp;IFERROR(VLOOKUP(D413,target_tables[],5,0),"&lt;not found&gt;")</f>
        <v>n308000046_agr_escrow_addendum</v>
      </c>
      <c r="W413" s="65" t="s">
        <v>273</v>
      </c>
      <c r="AF413" s="299"/>
      <c r="AG413" s="10"/>
      <c r="AH413" s="10"/>
      <c r="AI413" s="10"/>
      <c r="AJ413" s="68"/>
      <c r="AK413" s="69"/>
    </row>
    <row r="414" spans="1:37" ht="13.8" hidden="1" thickBot="1" x14ac:dyDescent="0.3">
      <c r="A414" s="64">
        <f t="shared" si="0"/>
        <v>3730</v>
      </c>
      <c r="B414" s="8" t="s">
        <v>266</v>
      </c>
      <c r="C414" s="65" t="str">
        <f>IFERROR(VLOOKUP(D414,'Target tables'!A:B,2,0),"")</f>
        <v>Соглашения ГОДС</v>
      </c>
      <c r="D414" s="8" t="s">
        <v>201</v>
      </c>
      <c r="E414" s="66" t="str">
        <f>IFERROR(VLOOKUP(D414&amp;J414,'Target columns'!A:J,4,FALSE),"")</f>
        <v>DATE</v>
      </c>
      <c r="F414" s="66" t="str">
        <f>IFERROR(VLOOKUP(D414&amp;J414,'Target columns'!A:J,7,FALSE),"")</f>
        <v>No</v>
      </c>
      <c r="G414" s="66" t="str">
        <f>IFERROR(VLOOKUP(D414&amp;J414,'Target columns'!A:J,8,FALSE),"")</f>
        <v>No</v>
      </c>
      <c r="H414" s="66" t="str">
        <f>IFERROR(VLOOKUP(D414&amp;J414,'Target columns'!A:J,5,FALSE),"")</f>
        <v>NULL</v>
      </c>
      <c r="I414" s="66" t="str">
        <f>IFERROR(VLOOKUP(D414&amp;J414,'Target columns'!A:J,10,FALSE),"")</f>
        <v>Дата начала действия дополнительного соглашения ГОДС</v>
      </c>
      <c r="J414" s="8" t="s">
        <v>271</v>
      </c>
      <c r="K414" s="8" t="s">
        <v>196</v>
      </c>
      <c r="L414" s="66" t="str">
        <f>IFERROR(VLOOKUP(K414&amp;N414,source_columns[[Seek]:[Описание поля]],4,0),"")</f>
        <v>date</v>
      </c>
      <c r="M414" s="66" t="str">
        <f>IFERROR(VLOOKUP(K414&amp;N414,source_columns[[Seek]:[Описание поля]],7,0),"")</f>
        <v>Дата начала действия соглашения</v>
      </c>
      <c r="N414" s="10" t="s">
        <v>704</v>
      </c>
      <c r="O414" s="8"/>
      <c r="P414" s="8"/>
      <c r="Q414" s="8"/>
      <c r="R414" s="8"/>
      <c r="S414" s="278"/>
      <c r="U414" s="65"/>
      <c r="V414" s="66" t="str">
        <f>"n308000046_"&amp;IFERROR(VLOOKUP(D414,target_tables[],5,0),"&lt;not found&gt;")</f>
        <v>n308000046_agr_escrow_addendum</v>
      </c>
      <c r="W414" s="65" t="s">
        <v>273</v>
      </c>
      <c r="AF414" s="299"/>
      <c r="AG414" s="10"/>
      <c r="AH414" s="10"/>
      <c r="AI414" s="10"/>
      <c r="AJ414" s="68"/>
      <c r="AK414" s="69"/>
    </row>
    <row r="415" spans="1:37" ht="12.75" hidden="1" customHeight="1" x14ac:dyDescent="0.25">
      <c r="A415" s="64">
        <f t="shared" si="0"/>
        <v>3740</v>
      </c>
      <c r="B415" s="8" t="s">
        <v>266</v>
      </c>
      <c r="C415" s="65" t="str">
        <f>IFERROR(VLOOKUP(D415,'Target tables'!A:B,2,0),"")</f>
        <v>Соглашения ГОДС</v>
      </c>
      <c r="D415" s="8" t="s">
        <v>201</v>
      </c>
      <c r="E415" s="66" t="str">
        <f>IFERROR(VLOOKUP(D415&amp;J415,'Target columns'!A:J,4,FALSE),"")</f>
        <v>DATE</v>
      </c>
      <c r="F415" s="66" t="str">
        <f>IFERROR(VLOOKUP(D415&amp;J415,'Target columns'!A:J,7,FALSE),"")</f>
        <v>No</v>
      </c>
      <c r="G415" s="66" t="str">
        <f>IFERROR(VLOOKUP(D415&amp;J415,'Target columns'!A:J,8,FALSE),"")</f>
        <v>No</v>
      </c>
      <c r="H415" s="66" t="str">
        <f>IFERROR(VLOOKUP(D415&amp;J415,'Target columns'!A:J,5,FALSE),"")</f>
        <v>NULL</v>
      </c>
      <c r="I415" s="66" t="str">
        <f>IFERROR(VLOOKUP(D415&amp;J415,'Target columns'!A:J,10,FALSE),"")</f>
        <v>Дата подписания дополнительного соглашения ГОДС</v>
      </c>
      <c r="J415" s="8" t="s">
        <v>274</v>
      </c>
      <c r="K415" s="8" t="s">
        <v>196</v>
      </c>
      <c r="L415" s="66" t="str">
        <f>IFERROR(VLOOKUP(K415&amp;N415,source_columns[[Seek]:[Описание поля]],4,0),"")</f>
        <v>date</v>
      </c>
      <c r="M415" s="66" t="str">
        <f>IFERROR(VLOOKUP(K415&amp;N415,source_columns[[Seek]:[Описание поля]],7,0),"")</f>
        <v>Дата начала действия соглашения</v>
      </c>
      <c r="N415" s="10" t="s">
        <v>704</v>
      </c>
      <c r="O415" s="8"/>
      <c r="P415" s="8"/>
      <c r="Q415" s="8"/>
      <c r="R415" s="8"/>
      <c r="S415" s="278"/>
      <c r="U415" s="65"/>
      <c r="V415" s="66" t="str">
        <f>"n308000046_"&amp;IFERROR(VLOOKUP(D415,target_tables[],5,0),"&lt;not found&gt;")</f>
        <v>n308000046_agr_escrow_addendum</v>
      </c>
      <c r="W415" s="65" t="s">
        <v>273</v>
      </c>
      <c r="AF415" s="299"/>
      <c r="AG415" s="10"/>
      <c r="AH415" s="10"/>
      <c r="AI415" s="10"/>
      <c r="AJ415" s="68"/>
      <c r="AK415" s="69"/>
    </row>
    <row r="416" spans="1:37" ht="12.75" hidden="1" customHeight="1" x14ac:dyDescent="0.25">
      <c r="A416" s="64">
        <f t="shared" si="0"/>
        <v>3750</v>
      </c>
      <c r="B416" s="8" t="s">
        <v>266</v>
      </c>
      <c r="C416" s="65" t="str">
        <f>IFERROR(VLOOKUP(D416,'Target tables'!A:B,2,0),"")</f>
        <v>Соглашения ГОДС</v>
      </c>
      <c r="D416" s="8" t="s">
        <v>201</v>
      </c>
      <c r="E416" s="66" t="str">
        <f>IFERROR(VLOOKUP(D416&amp;J416,'Target columns'!A:J,4,FALSE),"")</f>
        <v>DATE</v>
      </c>
      <c r="F416" s="66" t="str">
        <f>IFERROR(VLOOKUP(D416&amp;J416,'Target columns'!A:J,7,FALSE),"")</f>
        <v>No</v>
      </c>
      <c r="G416" s="66" t="str">
        <f>IFERROR(VLOOKUP(D416&amp;J416,'Target columns'!A:J,8,FALSE),"")</f>
        <v>No</v>
      </c>
      <c r="H416" s="66" t="str">
        <f>IFERROR(VLOOKUP(D416&amp;J416,'Target columns'!A:J,5,FALSE),"")</f>
        <v>NULL</v>
      </c>
      <c r="I416" s="66" t="str">
        <f>IFERROR(VLOOKUP(D416&amp;J416,'Target columns'!A:J,10,FALSE),"")</f>
        <v>Дата окончания действия соглашения (плановая) ГОДС</v>
      </c>
      <c r="J416" s="8" t="s">
        <v>291</v>
      </c>
      <c r="K416" s="8" t="s">
        <v>196</v>
      </c>
      <c r="L416" s="66" t="str">
        <f>IFERROR(VLOOKUP(K416&amp;N416,source_columns[[Seek]:[Описание поля]],4,0),"")</f>
        <v>date</v>
      </c>
      <c r="M416" s="66" t="str">
        <f>IFERROR(VLOOKUP(K416&amp;N416,source_columns[[Seek]:[Описание поля]],7,0),"")</f>
        <v>Дата окончания действия соглашения</v>
      </c>
      <c r="N416" s="10" t="s">
        <v>705</v>
      </c>
      <c r="O416" s="8"/>
      <c r="P416" s="8"/>
      <c r="Q416" s="8"/>
      <c r="R416" s="8"/>
      <c r="S416" s="278"/>
      <c r="U416" s="65"/>
      <c r="V416" s="66" t="str">
        <f>"n308000046_"&amp;IFERROR(VLOOKUP(D416,target_tables[],5,0),"&lt;not found&gt;")</f>
        <v>n308000046_agr_escrow_addendum</v>
      </c>
      <c r="W416" s="65" t="s">
        <v>273</v>
      </c>
      <c r="AF416" s="299"/>
      <c r="AG416" s="10"/>
      <c r="AH416" s="10"/>
      <c r="AI416" s="10"/>
      <c r="AJ416" s="68"/>
      <c r="AK416" s="69"/>
    </row>
    <row r="417" spans="1:37" ht="12.75" hidden="1" customHeight="1" x14ac:dyDescent="0.25">
      <c r="A417" s="64">
        <v>3751</v>
      </c>
      <c r="B417" s="8" t="s">
        <v>266</v>
      </c>
      <c r="C417" s="65" t="str">
        <f>IFERROR(VLOOKUP(D417,'Target tables'!A:B,2,0),"")</f>
        <v>Соглашения ГОДС</v>
      </c>
      <c r="D417" s="8" t="s">
        <v>201</v>
      </c>
      <c r="E417" s="66" t="str">
        <f>IFERROR(VLOOKUP(D417&amp;J417,'Target columns'!A:J,4,FALSE),"")</f>
        <v>DATE</v>
      </c>
      <c r="F417" s="66" t="str">
        <f>IFERROR(VLOOKUP(D417&amp;J417,'Target columns'!A:J,7,FALSE),"")</f>
        <v>No</v>
      </c>
      <c r="G417" s="66" t="str">
        <f>IFERROR(VLOOKUP(D417&amp;J417,'Target columns'!A:J,8,FALSE),"")</f>
        <v>No</v>
      </c>
      <c r="H417" s="66" t="str">
        <f>IFERROR(VLOOKUP(D417&amp;J417,'Target columns'!A:J,5,FALSE),"")</f>
        <v>NULL</v>
      </c>
      <c r="I417" s="66" t="str">
        <f>IFERROR(VLOOKUP(D417&amp;J417,'Target columns'!A:J,10,FALSE),"")</f>
        <v>Дата окончания действия соглашения ГОДС</v>
      </c>
      <c r="J417" s="8" t="s">
        <v>275</v>
      </c>
      <c r="K417" s="8" t="s">
        <v>196</v>
      </c>
      <c r="L417" s="66" t="str">
        <f>IFERROR(VLOOKUP(K417&amp;N417,source_columns[[Seek]:[Описание поля]],4,0),"")</f>
        <v>date</v>
      </c>
      <c r="M417" s="66" t="str">
        <f>IFERROR(VLOOKUP(K417&amp;N417,source_columns[[Seek]:[Описание поля]],7,0),"")</f>
        <v>Дата изъятия депозита</v>
      </c>
      <c r="N417" s="10" t="s">
        <v>706</v>
      </c>
      <c r="O417" s="8"/>
      <c r="P417" s="8"/>
      <c r="Q417" s="8"/>
      <c r="R417" s="8"/>
      <c r="S417" s="278"/>
      <c r="U417" s="65"/>
      <c r="V417" s="66" t="str">
        <f>"n308000046_"&amp;IFERROR(VLOOKUP(D417,target_tables[],5,0),"&lt;not found&gt;")</f>
        <v>n308000046_agr_escrow_addendum</v>
      </c>
      <c r="W417" s="65" t="s">
        <v>273</v>
      </c>
      <c r="AF417" s="299"/>
      <c r="AG417" s="10"/>
      <c r="AH417" s="10"/>
      <c r="AI417" s="10"/>
      <c r="AJ417" s="68"/>
      <c r="AK417" s="69"/>
    </row>
    <row r="418" spans="1:37" ht="13.8" hidden="1" thickBot="1" x14ac:dyDescent="0.3">
      <c r="A418" s="64">
        <f>A416+10</f>
        <v>3760</v>
      </c>
      <c r="B418" s="8" t="s">
        <v>266</v>
      </c>
      <c r="C418" s="65" t="str">
        <f>IFERROR(VLOOKUP(D418,'Target tables'!A:B,2,0),"")</f>
        <v>Соглашения ГОДС</v>
      </c>
      <c r="D418" s="8" t="s">
        <v>201</v>
      </c>
      <c r="E418" s="66" t="str">
        <f>IFERROR(VLOOKUP(D418&amp;J418,'Target columns'!A:J,4,FALSE),"")</f>
        <v>TEXT</v>
      </c>
      <c r="F418" s="66" t="str">
        <f>IFERROR(VLOOKUP(D418&amp;J418,'Target columns'!A:J,7,FALSE),"")</f>
        <v>No</v>
      </c>
      <c r="G418" s="66" t="str">
        <f>IFERROR(VLOOKUP(D418&amp;J418,'Target columns'!A:J,8,FALSE),"")</f>
        <v>No</v>
      </c>
      <c r="H418" s="66" t="str">
        <f>IFERROR(VLOOKUP(D418&amp;J418,'Target columns'!A:J,5,FALSE),"")</f>
        <v>NULL</v>
      </c>
      <c r="I418" s="66" t="str">
        <f>IFERROR(VLOOKUP(D418&amp;J418,'Target columns'!A:J,10,FALSE),"")</f>
        <v>Номер соглашения ГОДС</v>
      </c>
      <c r="J418" s="8" t="s">
        <v>707</v>
      </c>
      <c r="K418" s="8" t="s">
        <v>196</v>
      </c>
      <c r="L418" s="66" t="str">
        <f>IFERROR(VLOOKUP(K418&amp;N418,source_columns[[Seek]:[Описание поля]],4,0),"")</f>
        <v>text</v>
      </c>
      <c r="M418" s="66" t="str">
        <f>IFERROR(VLOOKUP(K418&amp;N418,source_columns[[Seek]:[Описание поля]],7,0),"")</f>
        <v>Референс соглашения ГОДС</v>
      </c>
      <c r="N418" s="10" t="s">
        <v>388</v>
      </c>
      <c r="O418" s="8"/>
      <c r="P418" s="8"/>
      <c r="Q418" s="8"/>
      <c r="R418" s="8"/>
      <c r="S418" s="278"/>
      <c r="U418" s="65"/>
      <c r="V418" s="66" t="str">
        <f>"n308000046_"&amp;IFERROR(VLOOKUP(D418,target_tables[],5,0),"&lt;not found&gt;")</f>
        <v>n308000046_agr_escrow_addendum</v>
      </c>
      <c r="W418" s="65" t="s">
        <v>273</v>
      </c>
      <c r="AF418" s="299"/>
      <c r="AG418" s="10"/>
      <c r="AH418" s="10"/>
      <c r="AI418" s="10"/>
      <c r="AJ418" s="68"/>
      <c r="AK418" s="69"/>
    </row>
    <row r="419" spans="1:37" ht="13.8" hidden="1" thickBot="1" x14ac:dyDescent="0.3">
      <c r="A419" s="64">
        <f t="shared" si="0"/>
        <v>3770</v>
      </c>
      <c r="B419" s="8" t="s">
        <v>266</v>
      </c>
      <c r="C419" s="65" t="str">
        <f>IFERROR(VLOOKUP(D419,'Target tables'!A:B,2,0),"")</f>
        <v>Соглашения ГОДС</v>
      </c>
      <c r="D419" s="23" t="s">
        <v>201</v>
      </c>
      <c r="E419" s="66" t="str">
        <f>IFERROR(VLOOKUP(D419&amp;J419,'Target columns'!A:J,4,FALSE),"")</f>
        <v>UUID</v>
      </c>
      <c r="F419" s="66" t="str">
        <f>IFERROR(VLOOKUP(D419&amp;J419,'Target columns'!A:J,7,FALSE),"")</f>
        <v>No</v>
      </c>
      <c r="G419" s="66" t="str">
        <f>IFERROR(VLOOKUP(D419&amp;J419,'Target columns'!A:J,8,FALSE),"")</f>
        <v>Yes</v>
      </c>
      <c r="H419" s="66" t="str">
        <f>IFERROR(VLOOKUP(D419&amp;J419,'Target columns'!A:J,5,FALSE),"")</f>
        <v>NULL</v>
      </c>
      <c r="I419" s="66" t="str">
        <f>IFERROR(VLOOKUP(D419&amp;J419,'Target columns'!A:J,10,FALSE),"")</f>
        <v>Идентификатор типа соглашения ГОДС</v>
      </c>
      <c r="J419" s="8" t="s">
        <v>708</v>
      </c>
      <c r="K419" s="8" t="s">
        <v>196</v>
      </c>
      <c r="L419" s="66" t="str">
        <f>IFERROR(VLOOKUP(K419&amp;N419,source_columns[[Seek]:[Описание поля]],4,0),"")</f>
        <v>uuid</v>
      </c>
      <c r="M419" s="66" t="str">
        <f>IFERROR(VLOOKUP(K419&amp;N419,source_columns[[Seek]:[Описание поля]],7,0),"")</f>
        <v>Код категории СРЛ</v>
      </c>
      <c r="N419" s="10" t="s">
        <v>709</v>
      </c>
      <c r="O419" s="8"/>
      <c r="P419" s="8"/>
      <c r="Q419" s="8"/>
      <c r="R419" s="8"/>
      <c r="S419" s="278"/>
      <c r="U419" s="65"/>
      <c r="V419" s="66" t="str">
        <f>"n308000046_"&amp;IFERROR(VLOOKUP(D419,target_tables[],5,0),"&lt;not found&gt;")</f>
        <v>n308000046_agr_escrow_addendum</v>
      </c>
      <c r="W419" s="65" t="s">
        <v>273</v>
      </c>
      <c r="AF419" s="299"/>
      <c r="AG419" s="10"/>
      <c r="AH419" s="10"/>
      <c r="AI419" s="10"/>
      <c r="AJ419" s="68"/>
      <c r="AK419" s="69"/>
    </row>
    <row r="420" spans="1:37" ht="13.8" hidden="1" thickBot="1" x14ac:dyDescent="0.3">
      <c r="A420" s="64">
        <f t="shared" si="0"/>
        <v>3780</v>
      </c>
      <c r="B420" s="8" t="s">
        <v>266</v>
      </c>
      <c r="C420" s="65" t="str">
        <f>IFERROR(VLOOKUP(D420,'Target tables'!A:B,2,0),"")</f>
        <v>Соглашения ГОДС</v>
      </c>
      <c r="D420" s="8" t="s">
        <v>201</v>
      </c>
      <c r="E420" s="66" t="str">
        <f>IFERROR(VLOOKUP(D420&amp;J420,'Target columns'!A:J,4,FALSE),"")</f>
        <v>UUID</v>
      </c>
      <c r="F420" s="66" t="str">
        <f>IFERROR(VLOOKUP(D420&amp;J420,'Target columns'!A:J,7,FALSE),"")</f>
        <v>No</v>
      </c>
      <c r="G420" s="66" t="str">
        <f>IFERROR(VLOOKUP(D420&amp;J420,'Target columns'!A:J,8,FALSE),"")</f>
        <v>Yes</v>
      </c>
      <c r="H420" s="66" t="str">
        <f>IFERROR(VLOOKUP(D420&amp;J420,'Target columns'!A:J,5,FALSE),"")</f>
        <v>NULL</v>
      </c>
      <c r="I420" s="66" t="str">
        <f>IFERROR(VLOOKUP(D420&amp;J420,'Target columns'!A:J,10,FALSE),"")</f>
        <v>Идентификатор клиента</v>
      </c>
      <c r="J420" s="8" t="s">
        <v>347</v>
      </c>
      <c r="K420" s="8" t="s">
        <v>196</v>
      </c>
      <c r="L420" s="66" t="str">
        <f>IFERROR(VLOOKUP(K420&amp;N420,source_columns[[Seek]:[Описание поля]],4,0),"")</f>
        <v>uuid</v>
      </c>
      <c r="M420" s="66" t="str">
        <f>IFERROR(VLOOKUP(K420&amp;N420,source_columns[[Seek]:[Описание поля]],7,0),"")</f>
        <v>ЕПК ID получателя</v>
      </c>
      <c r="N420" s="10" t="s">
        <v>710</v>
      </c>
      <c r="O420" s="8"/>
      <c r="P420" s="8"/>
      <c r="Q420" s="8"/>
      <c r="R420" s="8"/>
      <c r="S420" s="278"/>
      <c r="U420" s="65"/>
      <c r="V420" s="66" t="str">
        <f>"n308000046_"&amp;IFERROR(VLOOKUP(D420,target_tables[],5,0),"&lt;not found&gt;")</f>
        <v>n308000046_agr_escrow_addendum</v>
      </c>
      <c r="W420" s="65" t="s">
        <v>273</v>
      </c>
      <c r="AF420" s="299"/>
      <c r="AG420" s="10"/>
      <c r="AH420" s="10"/>
      <c r="AI420" s="10"/>
      <c r="AJ420" s="68"/>
      <c r="AK420" s="69"/>
    </row>
    <row r="421" spans="1:37" ht="13.8" hidden="1" thickBot="1" x14ac:dyDescent="0.3">
      <c r="A421" s="64">
        <f t="shared" si="0"/>
        <v>3790</v>
      </c>
      <c r="B421" s="8" t="s">
        <v>266</v>
      </c>
      <c r="C421" s="65" t="str">
        <f>IFERROR(VLOOKUP(D421,'Target tables'!A:B,2,0),"")</f>
        <v>Соглашения ГОДС</v>
      </c>
      <c r="D421" s="8" t="s">
        <v>201</v>
      </c>
      <c r="E421" s="66" t="str">
        <f>IFERROR(VLOOKUP(D421&amp;J421,'Target columns'!A:J,4,FALSE),"")</f>
        <v>TEXT</v>
      </c>
      <c r="F421" s="66" t="str">
        <f>IFERROR(VLOOKUP(D421&amp;J421,'Target columns'!A:J,7,FALSE),"")</f>
        <v>No</v>
      </c>
      <c r="G421" s="66" t="str">
        <f>IFERROR(VLOOKUP(D421&amp;J421,'Target columns'!A:J,8,FALSE),"")</f>
        <v>No</v>
      </c>
      <c r="H421" s="66" t="str">
        <f>IFERROR(VLOOKUP(D421&amp;J421,'Target columns'!A:J,5,FALSE),"")</f>
        <v>NULL</v>
      </c>
      <c r="I421" s="66" t="str">
        <f>IFERROR(VLOOKUP(D421&amp;J421,'Target columns'!A:J,10,FALSE),"")</f>
        <v>Идентификатор соглашения ГОДС в системе-источнике</v>
      </c>
      <c r="J421" s="8" t="s">
        <v>711</v>
      </c>
      <c r="K421" s="8" t="s">
        <v>196</v>
      </c>
      <c r="L421" s="66" t="str">
        <f>IFERROR(VLOOKUP(K421&amp;N421,source_columns[[Seek]:[Описание поля]],4,0),"")</f>
        <v>text</v>
      </c>
      <c r="M421" s="66" t="str">
        <f>IFERROR(VLOOKUP(K421&amp;N421,source_columns[[Seek]:[Описание поля]],7,0),"")</f>
        <v>ID договора в источнике</v>
      </c>
      <c r="N421" s="10" t="s">
        <v>673</v>
      </c>
      <c r="O421" s="8"/>
      <c r="P421" s="8"/>
      <c r="Q421" s="8"/>
      <c r="R421" s="8"/>
      <c r="S421" s="278"/>
      <c r="U421" s="65"/>
      <c r="V421" s="66" t="str">
        <f>"n308000046_"&amp;IFERROR(VLOOKUP(D421,target_tables[],5,0),"&lt;not found&gt;")</f>
        <v>n308000046_agr_escrow_addendum</v>
      </c>
      <c r="W421" s="65" t="s">
        <v>273</v>
      </c>
      <c r="AF421" s="299"/>
      <c r="AG421" s="10"/>
      <c r="AH421" s="10"/>
      <c r="AI421" s="10"/>
      <c r="AJ421" s="68"/>
      <c r="AK421" s="69"/>
    </row>
    <row r="422" spans="1:37" ht="13.8" hidden="1" thickBot="1" x14ac:dyDescent="0.3">
      <c r="A422" s="64">
        <f t="shared" si="0"/>
        <v>3800</v>
      </c>
      <c r="B422" s="8" t="s">
        <v>266</v>
      </c>
      <c r="C422" s="65" t="str">
        <f>IFERROR(VLOOKUP(D422,'Target tables'!A:B,2,0),"")</f>
        <v>Соглашения ГОДС</v>
      </c>
      <c r="D422" s="8" t="s">
        <v>201</v>
      </c>
      <c r="E422" s="66" t="str">
        <f>IFERROR(VLOOKUP(D422&amp;J422,'Target columns'!A:J,4,FALSE),"")</f>
        <v>NUMERIC</v>
      </c>
      <c r="F422" s="66" t="str">
        <f>IFERROR(VLOOKUP(D422&amp;J422,'Target columns'!A:J,7,FALSE),"")</f>
        <v>No</v>
      </c>
      <c r="G422" s="66" t="str">
        <f>IFERROR(VLOOKUP(D422&amp;J422,'Target columns'!A:J,8,FALSE),"")</f>
        <v>No</v>
      </c>
      <c r="H422" s="66" t="str">
        <f>IFERROR(VLOOKUP(D422&amp;J422,'Target columns'!A:J,5,FALSE),"")</f>
        <v>NULL</v>
      </c>
      <c r="I422" s="66" t="str">
        <f>IFERROR(VLOOKUP(D422&amp;J422,'Target columns'!A:J,10,FALSE),"")</f>
        <v>Сумма соглашения ГОДС</v>
      </c>
      <c r="J422" s="8" t="s">
        <v>283</v>
      </c>
      <c r="K422" s="8" t="s">
        <v>196</v>
      </c>
      <c r="L422" s="66" t="str">
        <f>IFERROR(VLOOKUP(K422&amp;N422,source_columns[[Seek]:[Описание поля]],4,0),"")</f>
        <v>decimal(38,16)</v>
      </c>
      <c r="M422" s="66" t="str">
        <f>IFERROR(VLOOKUP(K422&amp;N422,source_columns[[Seek]:[Описание поля]],7,0),"")</f>
        <v>Суммa</v>
      </c>
      <c r="N422" s="10" t="s">
        <v>712</v>
      </c>
      <c r="O422" s="8"/>
      <c r="P422" s="8"/>
      <c r="Q422" s="8"/>
      <c r="R422" s="8"/>
      <c r="S422" s="278"/>
      <c r="U422" s="65"/>
      <c r="V422" s="66" t="str">
        <f>"n308000046_"&amp;IFERROR(VLOOKUP(D422,target_tables[],5,0),"&lt;not found&gt;")</f>
        <v>n308000046_agr_escrow_addendum</v>
      </c>
      <c r="W422" s="65" t="s">
        <v>273</v>
      </c>
      <c r="AF422" s="299"/>
      <c r="AG422" s="10"/>
      <c r="AH422" s="10"/>
      <c r="AI422" s="10"/>
      <c r="AJ422" s="68"/>
      <c r="AK422" s="69"/>
    </row>
    <row r="423" spans="1:37" ht="13.8" hidden="1" thickBot="1" x14ac:dyDescent="0.3">
      <c r="A423" s="70">
        <f t="shared" si="0"/>
        <v>3810</v>
      </c>
      <c r="B423" s="20" t="s">
        <v>266</v>
      </c>
      <c r="C423" s="71" t="str">
        <f>IFERROR(VLOOKUP(D423,'Target tables'!A:B,2,0),"")</f>
        <v>Соглашения ГОДС</v>
      </c>
      <c r="D423" s="20" t="s">
        <v>201</v>
      </c>
      <c r="E423" s="73" t="str">
        <f>IFERROR(VLOOKUP(D423&amp;J423,'Target columns'!A:J,4,FALSE),"")</f>
        <v>UUID</v>
      </c>
      <c r="F423" s="73" t="str">
        <f>IFERROR(VLOOKUP(D423&amp;J423,'Target columns'!A:J,7,FALSE),"")</f>
        <v>No</v>
      </c>
      <c r="G423" s="73" t="str">
        <f>IFERROR(VLOOKUP(D423&amp;J423,'Target columns'!A:J,8,FALSE),"")</f>
        <v>Yes</v>
      </c>
      <c r="H423" s="73" t="str">
        <f>IFERROR(VLOOKUP(D423&amp;J423,'Target columns'!A:J,5,FALSE),"")</f>
        <v>NULL</v>
      </c>
      <c r="I423" s="73" t="str">
        <f>IFERROR(VLOOKUP(D423&amp;J423,'Target columns'!A:J,10,FALSE),"")</f>
        <v>Идентификатор валюты соглашения ГОДС</v>
      </c>
      <c r="J423" s="71" t="s">
        <v>286</v>
      </c>
      <c r="K423" s="138" t="s">
        <v>196</v>
      </c>
      <c r="L423" s="85" t="str">
        <f>IFERROR(VLOOKUP(K423&amp;N423,source_columns[[Seek]:[Описание поля]],4,0),"")</f>
        <v>uuid</v>
      </c>
      <c r="M423" s="85" t="str">
        <f>IFERROR(VLOOKUP(K423&amp;N423,source_columns[[Seek]:[Описание поля]],7,0),"")</f>
        <v>Вaлютa суммы</v>
      </c>
      <c r="N423" s="213" t="s">
        <v>713</v>
      </c>
      <c r="O423" s="138"/>
      <c r="P423" s="138"/>
      <c r="Q423" s="20"/>
      <c r="R423" s="20"/>
      <c r="S423" s="278"/>
      <c r="U423" s="71"/>
      <c r="V423" s="73" t="str">
        <f>"n308000046_"&amp;IFERROR(VLOOKUP(D423,target_tables[],5,0),"&lt;not found&gt;")</f>
        <v>n308000046_agr_escrow_addendum</v>
      </c>
      <c r="W423" s="71" t="s">
        <v>273</v>
      </c>
      <c r="AF423" s="299"/>
      <c r="AG423" s="27"/>
      <c r="AH423" s="27"/>
      <c r="AI423" s="27"/>
      <c r="AJ423" s="75"/>
      <c r="AK423" s="69"/>
    </row>
    <row r="424" spans="1:37" ht="13.8" hidden="1" thickBot="1" x14ac:dyDescent="0.3">
      <c r="A424" s="76">
        <f t="shared" si="0"/>
        <v>3820</v>
      </c>
      <c r="B424" s="113" t="s">
        <v>266</v>
      </c>
      <c r="C424" s="82" t="str">
        <f>IFERROR(VLOOKUP(D424,'Target tables'!A:B,2,0),"")</f>
        <v>Статус соглашения</v>
      </c>
      <c r="D424" s="208" t="s">
        <v>202</v>
      </c>
      <c r="E424" s="78" t="str">
        <f>IFERROR(VLOOKUP(D424&amp;J424,'Target columns'!A:J,4,FALSE),"")</f>
        <v>uuid</v>
      </c>
      <c r="F424" s="78" t="str">
        <f>IFERROR(VLOOKUP(D424&amp;J424,'Target columns'!A:J,7,FALSE),"")</f>
        <v>Yes</v>
      </c>
      <c r="G424" s="78" t="str">
        <f>IFERROR(VLOOKUP(D424&amp;J424,'Target columns'!A:J,8,FALSE),"")</f>
        <v>Yes</v>
      </c>
      <c r="H424" s="78" t="str">
        <f>IFERROR(VLOOKUP(D424&amp;J424,'Target columns'!A:J,5,FALSE),"")</f>
        <v>NOT NULL</v>
      </c>
      <c r="I424" s="78" t="str">
        <f>IFERROR(VLOOKUP(D424&amp;J424,'Target columns'!A:J,10,FALSE),"")</f>
        <v>Идентификатор соглашения ГОДС</v>
      </c>
      <c r="J424" s="23" t="s">
        <v>714</v>
      </c>
      <c r="K424" s="23" t="s">
        <v>196</v>
      </c>
      <c r="L424" s="86" t="str">
        <f>IFERROR(VLOOKUP(K424&amp;N424,source_columns[[Seek]:[Описание поля]],4,0),"")</f>
        <v>uuid</v>
      </c>
      <c r="M424" s="78" t="str">
        <f>IFERROR(VLOOKUP(K424&amp;N424,source_columns[[Seek]:[Описание поля]],7,0),"")</f>
        <v>ID договора в источнике</v>
      </c>
      <c r="N424" s="24" t="s">
        <v>665</v>
      </c>
      <c r="O424" s="23"/>
      <c r="P424" s="23"/>
      <c r="Q424" s="23"/>
      <c r="R424" s="23"/>
      <c r="S424" s="270" t="s">
        <v>696</v>
      </c>
      <c r="U424" s="82"/>
      <c r="V424" s="84" t="str">
        <f>"n308000046_"&amp;IFERROR(VLOOKUP(D424,target_tables[],5,0),"&lt;not found&gt;")</f>
        <v>n308000046_agr_escrow_add_stts</v>
      </c>
      <c r="W424" s="82" t="s">
        <v>269</v>
      </c>
      <c r="AF424" s="299" t="s">
        <v>342</v>
      </c>
      <c r="AG424" s="83"/>
      <c r="AH424" s="83"/>
      <c r="AI424" s="83"/>
      <c r="AJ424" s="91"/>
      <c r="AK424" s="69"/>
    </row>
    <row r="425" spans="1:37" ht="13.8" hidden="1" thickBot="1" x14ac:dyDescent="0.3">
      <c r="A425" s="64">
        <f t="shared" ref="A425:A456" si="1">A424+10</f>
        <v>3830</v>
      </c>
      <c r="B425" s="8" t="s">
        <v>266</v>
      </c>
      <c r="C425" s="65" t="str">
        <f>IFERROR(VLOOKUP(D425,'Target tables'!A:B,2,0),"")</f>
        <v>Статус соглашения</v>
      </c>
      <c r="D425" s="208" t="s">
        <v>202</v>
      </c>
      <c r="E425" s="66" t="str">
        <f>IFERROR(VLOOKUP(D425&amp;J425,'Target columns'!A:J,4,FALSE),"")</f>
        <v>uuid</v>
      </c>
      <c r="F425" s="66" t="str">
        <f>IFERROR(VLOOKUP(D425&amp;J425,'Target columns'!A:J,7,FALSE),"")</f>
        <v>No</v>
      </c>
      <c r="G425" s="66" t="str">
        <f>IFERROR(VLOOKUP(D425&amp;J425,'Target columns'!A:J,8,FALSE),"")</f>
        <v>Yes</v>
      </c>
      <c r="H425" s="66" t="str">
        <f>IFERROR(VLOOKUP(D425&amp;J425,'Target columns'!A:J,5,FALSE),"")</f>
        <v>NOT NULL</v>
      </c>
      <c r="I425" s="66" t="str">
        <f>IFERROR(VLOOKUP(D425&amp;J425,'Target columns'!A:J,10,FALSE),"")</f>
        <v>Идентификатор типа статуса соглашени ГОДС</v>
      </c>
      <c r="J425" s="8" t="s">
        <v>715</v>
      </c>
      <c r="K425" s="8" t="s">
        <v>196</v>
      </c>
      <c r="L425" s="66" t="str">
        <f>IFERROR(VLOOKUP(K425&amp;N426,source_columns[[Seek]:[Описание поля]],4,0),"")</f>
        <v/>
      </c>
      <c r="M425" s="66" t="str">
        <f>IFERROR(VLOOKUP(K425&amp;N426,source_columns[[Seek]:[Описание поля]],7,0),"")</f>
        <v/>
      </c>
      <c r="N425" s="2" t="s">
        <v>697</v>
      </c>
      <c r="O425" s="8"/>
      <c r="P425" s="8"/>
      <c r="Q425" s="8"/>
      <c r="R425" s="8"/>
      <c r="S425" s="278"/>
      <c r="U425" s="65"/>
      <c r="V425" s="66" t="str">
        <f>"n308000046_"&amp;IFERROR(VLOOKUP(D425,target_tables[],5,0),"&lt;not found&gt;")</f>
        <v>n308000046_agr_escrow_add_stts</v>
      </c>
      <c r="W425" s="65" t="s">
        <v>330</v>
      </c>
      <c r="AF425" s="299"/>
      <c r="AG425" s="10"/>
      <c r="AH425" s="10"/>
      <c r="AI425" s="10"/>
      <c r="AJ425" s="68"/>
      <c r="AK425" s="69"/>
    </row>
    <row r="426" spans="1:37" ht="13.8" hidden="1" thickBot="1" x14ac:dyDescent="0.3">
      <c r="A426" s="64">
        <f t="shared" si="1"/>
        <v>3840</v>
      </c>
      <c r="B426" s="8" t="s">
        <v>266</v>
      </c>
      <c r="C426" s="65" t="str">
        <f>IFERROR(VLOOKUP(D426,'Target tables'!A:B,2,0),"")</f>
        <v>Статус соглашения</v>
      </c>
      <c r="D426" s="208" t="s">
        <v>202</v>
      </c>
      <c r="E426" s="66" t="str">
        <f>IFERROR(VLOOKUP(D426&amp;J426,'Target columns'!A:J,4,FALSE),"")</f>
        <v>date</v>
      </c>
      <c r="F426" s="66" t="str">
        <f>IFERROR(VLOOKUP(D426&amp;J426,'Target columns'!A:J,7,FALSE),"")</f>
        <v>Yes</v>
      </c>
      <c r="G426" s="66" t="str">
        <f>IFERROR(VLOOKUP(D426&amp;J426,'Target columns'!A:J,8,FALSE),"")</f>
        <v>No</v>
      </c>
      <c r="H426" s="66" t="str">
        <f>IFERROR(VLOOKUP(D426&amp;J426,'Target columns'!A:J,5,FALSE),"")</f>
        <v>NOT NULL</v>
      </c>
      <c r="I426" s="66" t="str">
        <f>IFERROR(VLOOKUP(D426&amp;J426,'Target columns'!A:J,10,FALSE),"")</f>
        <v>Дата начала действия</v>
      </c>
      <c r="J426" s="8" t="s">
        <v>329</v>
      </c>
      <c r="K426" s="8" t="s">
        <v>196</v>
      </c>
      <c r="L426" s="66" t="str">
        <f>IFERROR(VLOOKUP(K426&amp;N427,source_columns[[Seek]:[Описание поля]],4,0),"")</f>
        <v/>
      </c>
      <c r="M426" s="66" t="str">
        <f>IFERROR(VLOOKUP(K426&amp;N427,source_columns[[Seek]:[Описание поля]],7,0),"")</f>
        <v/>
      </c>
      <c r="N426" s="8" t="s">
        <v>716</v>
      </c>
      <c r="O426" s="8"/>
      <c r="P426" s="8"/>
      <c r="Q426" s="8"/>
      <c r="R426" s="8"/>
      <c r="S426" s="278"/>
      <c r="U426" s="65"/>
      <c r="V426" s="66" t="str">
        <f>"n308000046_"&amp;IFERROR(VLOOKUP(D426,target_tables[],5,0),"&lt;not found&gt;")</f>
        <v>n308000046_agr_escrow_add_stts</v>
      </c>
      <c r="W426" s="65" t="s">
        <v>273</v>
      </c>
      <c r="AF426" s="299"/>
      <c r="AG426" s="10"/>
      <c r="AH426" s="10"/>
      <c r="AI426" s="10"/>
      <c r="AJ426" s="68"/>
      <c r="AK426" s="69"/>
    </row>
    <row r="427" spans="1:37" ht="13.8" hidden="1" thickBot="1" x14ac:dyDescent="0.3">
      <c r="A427" s="70">
        <f t="shared" si="1"/>
        <v>3850</v>
      </c>
      <c r="B427" s="20" t="s">
        <v>266</v>
      </c>
      <c r="C427" s="20" t="str">
        <f>IFERROR(VLOOKUP(D427,'Target tables'!A:B,2,0),"")</f>
        <v>Статус соглашения</v>
      </c>
      <c r="D427" s="212" t="s">
        <v>202</v>
      </c>
      <c r="E427" s="73" t="str">
        <f>IFERROR(VLOOKUP(D427&amp;J427,'Target columns'!A:J,4,FALSE),"")</f>
        <v>date</v>
      </c>
      <c r="F427" s="73" t="str">
        <f>IFERROR(VLOOKUP(D427&amp;J427,'Target columns'!A:J,7,FALSE),"")</f>
        <v>No</v>
      </c>
      <c r="G427" s="73" t="str">
        <f>IFERROR(VLOOKUP(D427&amp;J427,'Target columns'!A:J,8,FALSE),"")</f>
        <v>No</v>
      </c>
      <c r="H427" s="73" t="str">
        <f>IFERROR(VLOOKUP(D427&amp;J427,'Target columns'!A:J,5,FALSE),"")</f>
        <v>NULL</v>
      </c>
      <c r="I427" s="73" t="str">
        <f>IFERROR(VLOOKUP(D427&amp;J427,'Target columns'!A:J,10,FALSE),"")</f>
        <v>Дата окончания действия</v>
      </c>
      <c r="J427" s="20" t="s">
        <v>331</v>
      </c>
      <c r="K427" s="138" t="s">
        <v>196</v>
      </c>
      <c r="L427" s="73" t="str">
        <f>IFERROR(VLOOKUP(K427&amp;N427,source_columns[[Seek]:[Описание поля]],4,0),"")</f>
        <v/>
      </c>
      <c r="M427" s="73" t="str">
        <f>IFERROR(VLOOKUP(K427&amp;N427,source_columns[[Seek]:[Описание поля]],7,0),"")</f>
        <v/>
      </c>
      <c r="N427" s="20" t="s">
        <v>603</v>
      </c>
      <c r="O427" s="20"/>
      <c r="P427" s="20"/>
      <c r="Q427" s="20"/>
      <c r="R427" s="20"/>
      <c r="S427" s="278"/>
      <c r="U427" s="71"/>
      <c r="V427" s="73" t="str">
        <f>"n308000046_"&amp;IFERROR(VLOOKUP(D427,target_tables[],5,0),"&lt;not found&gt;")</f>
        <v>n308000046_agr_escrow_add_stts</v>
      </c>
      <c r="W427" s="71" t="s">
        <v>332</v>
      </c>
      <c r="AF427" s="299"/>
      <c r="AG427" s="27"/>
      <c r="AH427" s="27"/>
      <c r="AI427" s="27"/>
      <c r="AJ427" s="75"/>
      <c r="AK427" s="69"/>
    </row>
    <row r="428" spans="1:37" ht="13.8" hidden="1" thickBot="1" x14ac:dyDescent="0.3">
      <c r="A428" s="76">
        <f t="shared" si="1"/>
        <v>3860</v>
      </c>
      <c r="B428" s="113" t="s">
        <v>266</v>
      </c>
      <c r="C428" s="82" t="str">
        <f>IFERROR(VLOOKUP(D428,'Target tables'!A:B,2,0),"")</f>
        <v>Тип статус соглашения</v>
      </c>
      <c r="D428" s="83" t="s">
        <v>203</v>
      </c>
      <c r="E428" s="78" t="str">
        <f>IFERROR(VLOOKUP(D428&amp;J428,'Target columns'!A:J,4,FALSE),"")</f>
        <v>uuid</v>
      </c>
      <c r="F428" s="78" t="str">
        <f>IFERROR(VLOOKUP(D428&amp;J428,'Target columns'!A:J,7,FALSE),"")</f>
        <v>Yes</v>
      </c>
      <c r="G428" s="78" t="str">
        <f>IFERROR(VLOOKUP(D428&amp;J428,'Target columns'!A:J,8,FALSE),"")</f>
        <v>No</v>
      </c>
      <c r="H428" s="78" t="str">
        <f>IFERROR(VLOOKUP(D428&amp;J428,'Target columns'!A:J,5,FALSE),"")</f>
        <v>NOT NULL</v>
      </c>
      <c r="I428" s="78" t="str">
        <f>IFERROR(VLOOKUP(D428&amp;J428,'Target columns'!A:J,10,FALSE),"")</f>
        <v>Идентификатор типа статуса соглашени ГОДС</v>
      </c>
      <c r="J428" s="83" t="s">
        <v>715</v>
      </c>
      <c r="K428" s="82" t="s">
        <v>296</v>
      </c>
      <c r="L428" s="84" t="s">
        <v>316</v>
      </c>
      <c r="M428" s="84"/>
      <c r="N428" s="83" t="s">
        <v>692</v>
      </c>
      <c r="O428" s="82"/>
      <c r="P428" s="82"/>
      <c r="Q428" s="82"/>
      <c r="R428" s="82"/>
      <c r="S428" s="280" t="s">
        <v>717</v>
      </c>
      <c r="U428" s="82"/>
      <c r="V428" s="84" t="str">
        <f>"n308000046_"&amp;IFERROR(VLOOKUP(D428,target_tables[],5,0),"&lt;not found&gt;")</f>
        <v>n308000046_agr_escrow_add_stts_type</v>
      </c>
      <c r="W428" s="82" t="s">
        <v>269</v>
      </c>
      <c r="AF428" s="279" t="s">
        <v>270</v>
      </c>
      <c r="AG428" s="89"/>
      <c r="AH428" s="82"/>
      <c r="AI428" s="90"/>
      <c r="AJ428" s="91"/>
      <c r="AK428" s="69"/>
    </row>
    <row r="429" spans="1:37" ht="13.8" hidden="1" thickBot="1" x14ac:dyDescent="0.3">
      <c r="A429" s="70">
        <f t="shared" si="1"/>
        <v>3870</v>
      </c>
      <c r="B429" s="20" t="s">
        <v>266</v>
      </c>
      <c r="C429" s="71" t="str">
        <f>IFERROR(VLOOKUP(D429,'Target tables'!A:B,2,0),"")</f>
        <v>Тип статус соглашения</v>
      </c>
      <c r="D429" s="27" t="s">
        <v>203</v>
      </c>
      <c r="E429" s="73" t="str">
        <f>IFERROR(VLOOKUP(D429&amp;J429,'Target columns'!A:J,4,FALSE),"")</f>
        <v>text</v>
      </c>
      <c r="F429" s="73" t="str">
        <f>IFERROR(VLOOKUP(D429&amp;J429,'Target columns'!A:J,7,FALSE),"")</f>
        <v>No</v>
      </c>
      <c r="G429" s="73" t="str">
        <f>IFERROR(VLOOKUP(D429&amp;J429,'Target columns'!A:J,8,FALSE),"")</f>
        <v>No</v>
      </c>
      <c r="H429" s="73" t="str">
        <f>IFERROR(VLOOKUP(D429&amp;J429,'Target columns'!A:J,5,FALSE),"")</f>
        <v>NULL</v>
      </c>
      <c r="I429" s="73" t="str">
        <f>IFERROR(VLOOKUP(D429&amp;J429,'Target columns'!A:J,10,FALSE),"")</f>
        <v>Наименования типа статуса соглашения ГОДС</v>
      </c>
      <c r="J429" s="27" t="s">
        <v>718</v>
      </c>
      <c r="K429" s="71" t="s">
        <v>296</v>
      </c>
      <c r="L429" s="73" t="s">
        <v>320</v>
      </c>
      <c r="M429" s="73"/>
      <c r="N429" s="27" t="s">
        <v>695</v>
      </c>
      <c r="O429" s="71"/>
      <c r="P429" s="71"/>
      <c r="Q429" s="71"/>
      <c r="R429" s="71"/>
      <c r="S429" s="280"/>
      <c r="U429" s="71"/>
      <c r="V429" s="73" t="str">
        <f>"n308000046_"&amp;IFERROR(VLOOKUP(D429,target_tables[],5,0),"&lt;not found&gt;")</f>
        <v>n308000046_agr_escrow_add_stts_type</v>
      </c>
      <c r="W429" s="71" t="s">
        <v>273</v>
      </c>
      <c r="AF429" s="279"/>
      <c r="AG429" s="203"/>
      <c r="AH429" s="71"/>
      <c r="AI429" s="74"/>
      <c r="AJ429" s="75"/>
      <c r="AK429" s="69"/>
    </row>
    <row r="430" spans="1:37" ht="13.8" hidden="1" thickBot="1" x14ac:dyDescent="0.3">
      <c r="A430" s="76">
        <f t="shared" si="1"/>
        <v>3880</v>
      </c>
      <c r="B430" s="113" t="s">
        <v>266</v>
      </c>
      <c r="C430" s="77" t="str">
        <f>IFERROR(VLOOKUP(D430,'Target tables'!A:B,2,0),"")</f>
        <v>Категория соглашения</v>
      </c>
      <c r="D430" s="208" t="s">
        <v>204</v>
      </c>
      <c r="E430" s="78" t="str">
        <f>IFERROR(VLOOKUP(D430&amp;J430,'Target columns'!A:J,4,FALSE),"")</f>
        <v>UUID</v>
      </c>
      <c r="F430" s="78" t="str">
        <f>IFERROR(VLOOKUP(D430&amp;J430,'Target columns'!A:J,7,FALSE),"")</f>
        <v>Yes</v>
      </c>
      <c r="G430" s="78" t="str">
        <f>IFERROR(VLOOKUP(D430&amp;J430,'Target columns'!A:J,8,FALSE),"")</f>
        <v>No</v>
      </c>
      <c r="H430" s="78" t="str">
        <f>IFERROR(VLOOKUP(D430&amp;J430,'Target columns'!A:J,5,FALSE),"")</f>
        <v>NOT NULL</v>
      </c>
      <c r="I430" s="78" t="str">
        <f>IFERROR(VLOOKUP(D430&amp;J430,'Target columns'!A:J,10,FALSE),"")</f>
        <v>Идентификатор категории соглашения</v>
      </c>
      <c r="J430" s="23" t="s">
        <v>719</v>
      </c>
      <c r="K430" s="77" t="s">
        <v>296</v>
      </c>
      <c r="L430" s="78" t="str">
        <f>IFERROR(VLOOKUP(K430&amp;N430,source_columns[[Seek]:[Описание поля]],4,0),"")</f>
        <v/>
      </c>
      <c r="M430" s="78" t="str">
        <f>IFERROR(VLOOKUP(K430&amp;N430,source_columns[[Seek]:[Описание поля]],7,0),"")</f>
        <v/>
      </c>
      <c r="N430" s="23" t="s">
        <v>709</v>
      </c>
      <c r="O430" s="77"/>
      <c r="P430" s="201"/>
      <c r="Q430" s="77"/>
      <c r="R430" s="77"/>
      <c r="S430" s="300" t="s">
        <v>720</v>
      </c>
      <c r="U430" s="77"/>
      <c r="V430" s="78" t="str">
        <f>"n308000046_"&amp;IFERROR(VLOOKUP(D430,target_tables[],5,0),"&lt;not found&gt;")</f>
        <v>n308000046_agr_escrow_add_type</v>
      </c>
      <c r="W430" s="77" t="s">
        <v>269</v>
      </c>
      <c r="AF430" s="301" t="s">
        <v>270</v>
      </c>
      <c r="AG430" s="24"/>
      <c r="AH430" s="77"/>
      <c r="AI430" s="79"/>
      <c r="AJ430" s="77"/>
    </row>
    <row r="431" spans="1:37" ht="13.8" hidden="1" thickBot="1" x14ac:dyDescent="0.3">
      <c r="A431" s="64">
        <f t="shared" si="1"/>
        <v>3890</v>
      </c>
      <c r="B431" s="8" t="s">
        <v>266</v>
      </c>
      <c r="C431" s="65" t="str">
        <f>IFERROR(VLOOKUP(D431,'Target tables'!A:B,2,0),"")</f>
        <v>Категория соглашения</v>
      </c>
      <c r="D431" s="211" t="s">
        <v>204</v>
      </c>
      <c r="E431" s="66" t="str">
        <f>IFERROR(VLOOKUP(D431&amp;J431,'Target columns'!A:J,4,FALSE),"")</f>
        <v>TEXT</v>
      </c>
      <c r="F431" s="66" t="str">
        <f>IFERROR(VLOOKUP(D431&amp;J431,'Target columns'!A:J,7,FALSE),"")</f>
        <v>No</v>
      </c>
      <c r="G431" s="66" t="str">
        <f>IFERROR(VLOOKUP(D431&amp;J431,'Target columns'!A:J,8,FALSE),"")</f>
        <v>No</v>
      </c>
      <c r="H431" s="66" t="str">
        <f>IFERROR(VLOOKUP(D431&amp;J431,'Target columns'!A:J,5,FALSE),"")</f>
        <v>NULL</v>
      </c>
      <c r="I431" s="66" t="str">
        <f>IFERROR(VLOOKUP(D431&amp;J431,'Target columns'!A:J,10,FALSE),"")</f>
        <v>Код  категории соглашения</v>
      </c>
      <c r="J431" s="8" t="s">
        <v>721</v>
      </c>
      <c r="K431" s="65" t="s">
        <v>296</v>
      </c>
      <c r="L431" s="66" t="str">
        <f>IFERROR(VLOOKUP(K431&amp;N431,source_columns[[Seek]:[Описание поля]],4,0),"")</f>
        <v/>
      </c>
      <c r="M431" s="66" t="str">
        <f>IFERROR(VLOOKUP(K431&amp;N431,source_columns[[Seek]:[Описание поля]],7,0),"")</f>
        <v/>
      </c>
      <c r="N431" s="8" t="s">
        <v>722</v>
      </c>
      <c r="O431" s="65"/>
      <c r="P431" s="202"/>
      <c r="Q431" s="65"/>
      <c r="R431" s="65"/>
      <c r="S431" s="300"/>
      <c r="U431" s="65"/>
      <c r="V431" s="66" t="str">
        <f>"n308000046_"&amp;IFERROR(VLOOKUP(D431,target_tables[],5,0),"&lt;not found&gt;")</f>
        <v>n308000046_agr_escrow_add_type</v>
      </c>
      <c r="W431" s="65" t="s">
        <v>273</v>
      </c>
      <c r="AF431" s="301"/>
      <c r="AG431" s="10"/>
      <c r="AH431" s="65"/>
      <c r="AI431" s="67"/>
      <c r="AJ431" s="65"/>
    </row>
    <row r="432" spans="1:37" ht="13.8" hidden="1" thickBot="1" x14ac:dyDescent="0.3">
      <c r="A432" s="70">
        <f t="shared" si="1"/>
        <v>3900</v>
      </c>
      <c r="B432" s="20" t="s">
        <v>266</v>
      </c>
      <c r="C432" s="71" t="str">
        <f>IFERROR(VLOOKUP(D432,'Target tables'!A:B,2,0),"")</f>
        <v>Категория соглашения</v>
      </c>
      <c r="D432" s="212" t="s">
        <v>204</v>
      </c>
      <c r="E432" s="73" t="str">
        <f>IFERROR(VLOOKUP(D432&amp;J432,'Target columns'!A:J,4,FALSE),"")</f>
        <v>TEXT</v>
      </c>
      <c r="F432" s="73" t="str">
        <f>IFERROR(VLOOKUP(D432&amp;J432,'Target columns'!A:J,7,FALSE),"")</f>
        <v>No</v>
      </c>
      <c r="G432" s="73" t="str">
        <f>IFERROR(VLOOKUP(D432&amp;J432,'Target columns'!A:J,8,FALSE),"")</f>
        <v>No</v>
      </c>
      <c r="H432" s="73" t="str">
        <f>IFERROR(VLOOKUP(D432&amp;J432,'Target columns'!A:J,5,FALSE),"")</f>
        <v>NULL</v>
      </c>
      <c r="I432" s="73" t="str">
        <f>IFERROR(VLOOKUP(D432&amp;J432,'Target columns'!A:J,10,FALSE),"")</f>
        <v>Наименования категории соглашения</v>
      </c>
      <c r="J432" s="20" t="s">
        <v>723</v>
      </c>
      <c r="K432" s="71" t="s">
        <v>296</v>
      </c>
      <c r="L432" s="73" t="str">
        <f>IFERROR(VLOOKUP(K432&amp;N432,source_columns[[Seek]:[Описание поля]],4,0),"")</f>
        <v/>
      </c>
      <c r="M432" s="73" t="str">
        <f>IFERROR(VLOOKUP(K432&amp;N432,source_columns[[Seek]:[Описание поля]],7,0),"")</f>
        <v/>
      </c>
      <c r="N432" s="20" t="s">
        <v>724</v>
      </c>
      <c r="O432" s="71"/>
      <c r="P432" s="203"/>
      <c r="Q432" s="71"/>
      <c r="R432" s="71"/>
      <c r="S432" s="300"/>
      <c r="U432" s="71"/>
      <c r="V432" s="73" t="str">
        <f>"n308000046_"&amp;IFERROR(VLOOKUP(D432,target_tables[],5,0),"&lt;not found&gt;")</f>
        <v>n308000046_agr_escrow_add_type</v>
      </c>
      <c r="W432" s="71" t="s">
        <v>273</v>
      </c>
      <c r="AF432" s="301"/>
      <c r="AG432" s="27"/>
      <c r="AH432" s="71"/>
      <c r="AI432" s="74"/>
      <c r="AJ432" s="71"/>
    </row>
    <row r="433" spans="1:37" ht="13.8" hidden="1" thickBot="1" x14ac:dyDescent="0.3">
      <c r="A433" s="76">
        <f t="shared" si="1"/>
        <v>3910</v>
      </c>
      <c r="B433" s="113" t="s">
        <v>266</v>
      </c>
      <c r="C433" s="77" t="str">
        <f>IFERROR(VLOOKUP(D433,'Target tables'!A:B,2,0),"")</f>
        <v>Тип договора эскроу</v>
      </c>
      <c r="D433" s="208" t="s">
        <v>205</v>
      </c>
      <c r="E433" s="78" t="str">
        <f>IFERROR(VLOOKUP(D433&amp;J433,'Target columns'!A:J,4,FALSE),"")</f>
        <v>UUID</v>
      </c>
      <c r="F433" s="78" t="str">
        <f>IFERROR(VLOOKUP(D433&amp;J433,'Target columns'!A:J,7,FALSE),"")</f>
        <v>Yes</v>
      </c>
      <c r="G433" s="78" t="str">
        <f>IFERROR(VLOOKUP(D433&amp;J433,'Target columns'!A:J,8,FALSE),"")</f>
        <v>No</v>
      </c>
      <c r="H433" s="78" t="str">
        <f>IFERROR(VLOOKUP(D433&amp;J433,'Target columns'!A:J,5,FALSE),"")</f>
        <v>NOT NULL</v>
      </c>
      <c r="I433" s="78" t="str">
        <f>IFERROR(VLOOKUP(D433&amp;J433,'Target columns'!A:J,10,FALSE),"")</f>
        <v>Идентификатор типа договора эскроу</v>
      </c>
      <c r="J433" s="23" t="s">
        <v>389</v>
      </c>
      <c r="K433" s="77" t="s">
        <v>296</v>
      </c>
      <c r="L433" s="78" t="str">
        <f>IFERROR(VLOOKUP(K433&amp;N433,source_columns[[Seek]:[Описание поля]],4,0),"")</f>
        <v/>
      </c>
      <c r="M433" s="78" t="str">
        <f>IFERROR(VLOOKUP(K433&amp;N433,source_columns[[Seek]:[Описание поля]],7,0),"")</f>
        <v/>
      </c>
      <c r="N433" s="23" t="s">
        <v>725</v>
      </c>
      <c r="O433" s="77"/>
      <c r="P433" s="201"/>
      <c r="Q433" s="77"/>
      <c r="R433" s="77"/>
      <c r="S433" s="300" t="s">
        <v>726</v>
      </c>
      <c r="U433" s="77"/>
      <c r="V433" s="78" t="str">
        <f>"n308000046_"&amp;IFERROR(VLOOKUP(D433,target_tables[],5,0),"&lt;not found&gt;")</f>
        <v>n308000046_agr_escrow_type</v>
      </c>
      <c r="W433" s="77" t="s">
        <v>269</v>
      </c>
      <c r="AF433" s="301" t="s">
        <v>270</v>
      </c>
      <c r="AG433" s="24"/>
      <c r="AH433" s="77"/>
      <c r="AI433" s="79"/>
      <c r="AJ433" s="77"/>
    </row>
    <row r="434" spans="1:37" ht="13.8" hidden="1" thickBot="1" x14ac:dyDescent="0.3">
      <c r="A434" s="64">
        <f t="shared" si="1"/>
        <v>3920</v>
      </c>
      <c r="B434" s="8" t="s">
        <v>266</v>
      </c>
      <c r="C434" s="65" t="str">
        <f>IFERROR(VLOOKUP(D434,'Target tables'!A:B,2,0),"")</f>
        <v>Тип договора эскроу</v>
      </c>
      <c r="D434" s="211" t="s">
        <v>205</v>
      </c>
      <c r="E434" s="66" t="str">
        <f>IFERROR(VLOOKUP(D434&amp;J434,'Target columns'!A:J,4,FALSE),"")</f>
        <v>TEXT</v>
      </c>
      <c r="F434" s="66" t="str">
        <f>IFERROR(VLOOKUP(D434&amp;J434,'Target columns'!A:J,7,FALSE),"")</f>
        <v>No</v>
      </c>
      <c r="G434" s="66" t="str">
        <f>IFERROR(VLOOKUP(D434&amp;J434,'Target columns'!A:J,8,FALSE),"")</f>
        <v>No</v>
      </c>
      <c r="H434" s="66" t="str">
        <f>IFERROR(VLOOKUP(D434&amp;J434,'Target columns'!A:J,5,FALSE),"")</f>
        <v>NULL</v>
      </c>
      <c r="I434" s="66" t="str">
        <f>IFERROR(VLOOKUP(D434&amp;J434,'Target columns'!A:J,10,FALSE),"")</f>
        <v>Код типа договора эскроу</v>
      </c>
      <c r="J434" s="8" t="s">
        <v>727</v>
      </c>
      <c r="K434" s="65" t="s">
        <v>296</v>
      </c>
      <c r="L434" s="66" t="str">
        <f>IFERROR(VLOOKUP(K434&amp;N434,source_columns[[Seek]:[Описание поля]],4,0),"")</f>
        <v/>
      </c>
      <c r="M434" s="66" t="str">
        <f>IFERROR(VLOOKUP(K434&amp;N434,source_columns[[Seek]:[Описание поля]],7,0),"")</f>
        <v/>
      </c>
      <c r="N434" s="8" t="s">
        <v>728</v>
      </c>
      <c r="O434" s="65"/>
      <c r="P434" s="202"/>
      <c r="Q434" s="65"/>
      <c r="R434" s="65"/>
      <c r="S434" s="300"/>
      <c r="U434" s="65"/>
      <c r="V434" s="66" t="str">
        <f>"n308000046_"&amp;IFERROR(VLOOKUP(D434,target_tables[],5,0),"&lt;not found&gt;")</f>
        <v>n308000046_agr_escrow_type</v>
      </c>
      <c r="W434" s="65" t="s">
        <v>273</v>
      </c>
      <c r="AF434" s="301"/>
      <c r="AG434" s="10"/>
      <c r="AH434" s="65"/>
      <c r="AI434" s="67"/>
      <c r="AJ434" s="65"/>
    </row>
    <row r="435" spans="1:37" ht="13.8" hidden="1" thickBot="1" x14ac:dyDescent="0.3">
      <c r="A435" s="70">
        <f t="shared" si="1"/>
        <v>3930</v>
      </c>
      <c r="B435" s="20" t="s">
        <v>266</v>
      </c>
      <c r="C435" s="71" t="str">
        <f>IFERROR(VLOOKUP(D435,'Target tables'!A:B,2,0),"")</f>
        <v>Тип договора эскроу</v>
      </c>
      <c r="D435" s="212" t="s">
        <v>205</v>
      </c>
      <c r="E435" s="73" t="str">
        <f>IFERROR(VLOOKUP(D435&amp;J435,'Target columns'!A:J,4,FALSE),"")</f>
        <v>TEXT</v>
      </c>
      <c r="F435" s="73" t="str">
        <f>IFERROR(VLOOKUP(D435&amp;J435,'Target columns'!A:J,7,FALSE),"")</f>
        <v>No</v>
      </c>
      <c r="G435" s="73" t="str">
        <f>IFERROR(VLOOKUP(D435&amp;J435,'Target columns'!A:J,8,FALSE),"")</f>
        <v>No</v>
      </c>
      <c r="H435" s="73" t="str">
        <f>IFERROR(VLOOKUP(D435&amp;J435,'Target columns'!A:J,5,FALSE),"")</f>
        <v>NULL</v>
      </c>
      <c r="I435" s="73" t="str">
        <f>IFERROR(VLOOKUP(D435&amp;J435,'Target columns'!A:J,10,FALSE),"")</f>
        <v>Наименование типа договора эскроу</v>
      </c>
      <c r="J435" s="20" t="s">
        <v>729</v>
      </c>
      <c r="K435" s="71" t="s">
        <v>296</v>
      </c>
      <c r="L435" s="73" t="str">
        <f>IFERROR(VLOOKUP(K435&amp;N435,source_columns[[Seek]:[Описание поля]],4,0),"")</f>
        <v/>
      </c>
      <c r="M435" s="73" t="str">
        <f>IFERROR(VLOOKUP(K435&amp;N435,source_columns[[Seek]:[Описание поля]],7,0),"")</f>
        <v/>
      </c>
      <c r="N435" s="20" t="s">
        <v>730</v>
      </c>
      <c r="O435" s="71"/>
      <c r="P435" s="203"/>
      <c r="Q435" s="71"/>
      <c r="R435" s="71"/>
      <c r="S435" s="300"/>
      <c r="U435" s="71"/>
      <c r="V435" s="73" t="str">
        <f>"n308000046_"&amp;IFERROR(VLOOKUP(D435,target_tables[],5,0),"&lt;not found&gt;")</f>
        <v>n308000046_agr_escrow_type</v>
      </c>
      <c r="W435" s="71" t="s">
        <v>273</v>
      </c>
      <c r="AF435" s="301"/>
      <c r="AG435" s="27"/>
      <c r="AH435" s="71"/>
      <c r="AI435" s="74"/>
      <c r="AJ435" s="71"/>
    </row>
    <row r="436" spans="1:37" ht="13.8" hidden="1" thickBot="1" x14ac:dyDescent="0.3">
      <c r="A436" s="48">
        <v>3940</v>
      </c>
      <c r="B436" s="113" t="s">
        <v>266</v>
      </c>
      <c r="C436" s="82" t="str">
        <f>IFERROR(VLOOKUP(D436,'Target tables'!A:B,2,0),"")</f>
        <v>Процентные ставки по соглашениям ГОДС(гарантированный остаток депонированной суммы)</v>
      </c>
      <c r="D436" s="83" t="s">
        <v>206</v>
      </c>
      <c r="E436" s="78" t="str">
        <f>IFERROR(VLOOKUP(D436&amp;J436,'Target columns'!A:J,4,FALSE),"")</f>
        <v>UUID</v>
      </c>
      <c r="F436" s="78" t="str">
        <f>IFERROR(VLOOKUP(D436&amp;J436,'Target columns'!A:J,7,FALSE),"")</f>
        <v>Yes</v>
      </c>
      <c r="G436" s="78" t="str">
        <f>IFERROR(VLOOKUP(D436&amp;J436,'Target columns'!A:J,8,FALSE),"")</f>
        <v>Yes</v>
      </c>
      <c r="H436" s="78" t="str">
        <f>IFERROR(VLOOKUP(D436&amp;J436,'Target columns'!A:J,5,FALSE),"")</f>
        <v>NOT NULL</v>
      </c>
      <c r="I436" s="78" t="str">
        <f>IFERROR(VLOOKUP(D436&amp;J436,'Target columns'!A:J,10,FALSE),"")</f>
        <v>Идентификатор соглашения ГОДС</v>
      </c>
      <c r="J436" s="83" t="s">
        <v>702</v>
      </c>
      <c r="K436" s="82" t="s">
        <v>196</v>
      </c>
      <c r="L436" s="84" t="s">
        <v>316</v>
      </c>
      <c r="M436" s="78" t="str">
        <f>IFERROR(VLOOKUP(K436&amp;N436,source_columns[[Seek]:[Описание поля]],7,0),"")</f>
        <v>ID договора в источнике</v>
      </c>
      <c r="N436" s="2" t="s">
        <v>665</v>
      </c>
      <c r="O436" s="82"/>
      <c r="P436" s="82"/>
      <c r="Q436" s="82"/>
      <c r="R436" s="82"/>
      <c r="S436" s="280" t="s">
        <v>731</v>
      </c>
      <c r="U436" s="82"/>
      <c r="V436" s="84" t="str">
        <f>"n308000046_"&amp;IFERROR(VLOOKUP(D436,target_tables[],5,0),"&lt;not found&gt;")</f>
        <v>n308000046_agr_escrow_add_rate</v>
      </c>
      <c r="W436" s="82" t="s">
        <v>269</v>
      </c>
      <c r="AF436" s="299" t="s">
        <v>342</v>
      </c>
      <c r="AG436" s="89"/>
      <c r="AH436" s="82"/>
      <c r="AI436" s="90"/>
      <c r="AJ436" s="91"/>
      <c r="AK436" s="69"/>
    </row>
    <row r="437" spans="1:37" ht="13.8" hidden="1" thickBot="1" x14ac:dyDescent="0.3">
      <c r="A437" s="64">
        <v>3950</v>
      </c>
      <c r="B437" s="8" t="s">
        <v>266</v>
      </c>
      <c r="C437" s="65" t="str">
        <f>IFERROR(VLOOKUP(D437,'Target tables'!A:B,2,0),"")</f>
        <v>Процентные ставки по соглашениям ГОДС(гарантированный остаток депонированной суммы)</v>
      </c>
      <c r="D437" s="10" t="s">
        <v>206</v>
      </c>
      <c r="E437" s="66" t="str">
        <f>IFERROR(VLOOKUP(D437&amp;J437,'Target columns'!A:J,4,FALSE),"")</f>
        <v>NUMERIC</v>
      </c>
      <c r="F437" s="66" t="str">
        <f>IFERROR(VLOOKUP(D437&amp;J437,'Target columns'!A:J,7,FALSE),"")</f>
        <v>No</v>
      </c>
      <c r="G437" s="66" t="str">
        <f>IFERROR(VLOOKUP(D437&amp;J437,'Target columns'!A:J,8,FALSE),"")</f>
        <v>No</v>
      </c>
      <c r="H437" s="66" t="str">
        <f>IFERROR(VLOOKUP(D437&amp;J437,'Target columns'!A:J,5,FALSE),"")</f>
        <v>NULL</v>
      </c>
      <c r="I437" s="66" t="str">
        <f>IFERROR(VLOOKUP(D437&amp;J437,'Target columns'!A:J,10,FALSE),"")</f>
        <v>Процентная ставка</v>
      </c>
      <c r="J437" s="10" t="s">
        <v>732</v>
      </c>
      <c r="K437" s="65" t="s">
        <v>196</v>
      </c>
      <c r="L437" s="66" t="s">
        <v>320</v>
      </c>
      <c r="M437" s="66" t="str">
        <f>IFERROR(VLOOKUP(K437&amp;N438,source_columns[[Seek]:[Описание поля]],7,0),"")</f>
        <v>Дата и время последнего изменения</v>
      </c>
      <c r="N437" s="10" t="s">
        <v>733</v>
      </c>
      <c r="O437" s="65"/>
      <c r="P437" s="65"/>
      <c r="Q437" s="65"/>
      <c r="R437" s="65"/>
      <c r="S437" s="280"/>
      <c r="U437" s="207"/>
      <c r="V437" s="66" t="str">
        <f>"n308000046_"&amp;IFERROR(VLOOKUP(D436,target_tables[],5,0),"&lt;not found&gt;")</f>
        <v>n308000046_agr_escrow_add_rate</v>
      </c>
      <c r="W437" s="65" t="s">
        <v>330</v>
      </c>
      <c r="AF437" s="299"/>
      <c r="AG437" s="202"/>
      <c r="AH437" s="65"/>
      <c r="AI437" s="67"/>
      <c r="AJ437" s="68"/>
      <c r="AK437" s="69"/>
    </row>
    <row r="438" spans="1:37" ht="13.8" hidden="1" thickBot="1" x14ac:dyDescent="0.3">
      <c r="A438" s="64">
        <v>3960</v>
      </c>
      <c r="B438" s="8" t="s">
        <v>266</v>
      </c>
      <c r="C438" s="65" t="str">
        <f>IFERROR(VLOOKUP(D438,'Target tables'!A:B,2,0),"")</f>
        <v>Процентные ставки по соглашениям ГОДС(гарантированный остаток депонированной суммы)</v>
      </c>
      <c r="D438" s="10" t="s">
        <v>206</v>
      </c>
      <c r="E438" s="66" t="str">
        <f>IFERROR(VLOOKUP(D438&amp;J438,'Target columns'!A:J,4,FALSE),"")</f>
        <v>date</v>
      </c>
      <c r="F438" s="66" t="str">
        <f>IFERROR(VLOOKUP(D438&amp;J438,'Target columns'!A:J,7,FALSE),"")</f>
        <v>Yes</v>
      </c>
      <c r="G438" s="66" t="str">
        <f>IFERROR(VLOOKUP(D438&amp;J438,'Target columns'!A:J,8,FALSE),"")</f>
        <v>No</v>
      </c>
      <c r="H438" s="66" t="str">
        <f>IFERROR(VLOOKUP(D438&amp;J438,'Target columns'!A:J,5,FALSE),"")</f>
        <v>NOT NULL</v>
      </c>
      <c r="I438" s="66" t="str">
        <f>IFERROR(VLOOKUP(D438&amp;J438,'Target columns'!A:J,10,FALSE),"")</f>
        <v>Дата начала действия</v>
      </c>
      <c r="J438" s="8" t="s">
        <v>329</v>
      </c>
      <c r="K438" s="65" t="s">
        <v>196</v>
      </c>
      <c r="L438" s="66"/>
      <c r="M438" s="66" t="str">
        <f>IFERROR(VLOOKUP(K438&amp;N439,source_columns[[Seek]:[Описание поля]],7,0),"")</f>
        <v/>
      </c>
      <c r="N438" s="8" t="s">
        <v>517</v>
      </c>
      <c r="O438" s="65"/>
      <c r="P438" s="65"/>
      <c r="Q438" s="65"/>
      <c r="R438" s="65"/>
      <c r="S438" s="280"/>
      <c r="U438" s="207"/>
      <c r="V438" s="86" t="str">
        <f>"n308000046_"&amp;IFERROR(VLOOKUP(D436,target_tables[],5,0),"&lt;not found&gt;")</f>
        <v>n308000046_agr_escrow_add_rate</v>
      </c>
      <c r="W438" s="65" t="s">
        <v>273</v>
      </c>
      <c r="AF438" s="299"/>
      <c r="AG438" s="202"/>
      <c r="AH438" s="65"/>
      <c r="AI438" s="67"/>
      <c r="AJ438" s="68"/>
      <c r="AK438" s="69"/>
    </row>
    <row r="439" spans="1:37" ht="13.8" hidden="1" thickBot="1" x14ac:dyDescent="0.3">
      <c r="A439" s="139">
        <v>3970</v>
      </c>
      <c r="B439" s="20" t="s">
        <v>266</v>
      </c>
      <c r="C439" s="71" t="str">
        <f>IFERROR(VLOOKUP(D439,'Target tables'!A:B,2,0),"")</f>
        <v>Процентные ставки по соглашениям ГОДС(гарантированный остаток депонированной суммы)</v>
      </c>
      <c r="D439" s="27" t="s">
        <v>206</v>
      </c>
      <c r="E439" s="73" t="str">
        <f>IFERROR(VLOOKUP(D439&amp;J439,'Target columns'!A:J,4,FALSE),"")</f>
        <v>date</v>
      </c>
      <c r="F439" s="73" t="str">
        <f>IFERROR(VLOOKUP(D439&amp;J439,'Target columns'!A:J,7,FALSE),"")</f>
        <v>No</v>
      </c>
      <c r="G439" s="73" t="str">
        <f>IFERROR(VLOOKUP(D439&amp;J439,'Target columns'!A:J,8,FALSE),"")</f>
        <v>No</v>
      </c>
      <c r="H439" s="73" t="str">
        <f>IFERROR(VLOOKUP(D439&amp;J439,'Target columns'!A:J,5,FALSE),"")</f>
        <v>NOT NULL</v>
      </c>
      <c r="I439" s="73" t="str">
        <f>IFERROR(VLOOKUP(D439&amp;J439,'Target columns'!A:J,10,FALSE),"")</f>
        <v>Дата окончания действия</v>
      </c>
      <c r="J439" s="20" t="s">
        <v>331</v>
      </c>
      <c r="K439" s="71" t="s">
        <v>196</v>
      </c>
      <c r="L439" s="73" t="s">
        <v>320</v>
      </c>
      <c r="M439" s="73" t="str">
        <f>IFERROR(VLOOKUP(K439&amp;N439,source_columns[[Seek]:[Описание поля]],7,0),"")</f>
        <v/>
      </c>
      <c r="N439" s="20" t="s">
        <v>603</v>
      </c>
      <c r="O439" s="71"/>
      <c r="P439" s="71"/>
      <c r="Q439" s="71"/>
      <c r="R439" s="71"/>
      <c r="S439" s="280"/>
      <c r="U439" s="71"/>
      <c r="V439" s="73" t="str">
        <f>"n308000046_"&amp;IFERROR(VLOOKUP(D439,target_tables[],5,0),"&lt;not found&gt;")</f>
        <v>n308000046_agr_escrow_add_rate</v>
      </c>
      <c r="W439" s="71" t="s">
        <v>332</v>
      </c>
      <c r="AF439" s="299"/>
      <c r="AG439" s="203"/>
      <c r="AH439" s="71"/>
      <c r="AI439" s="74"/>
      <c r="AJ439" s="75"/>
      <c r="AK439" s="69"/>
    </row>
    <row r="440" spans="1:37" ht="13.8" hidden="1" thickBot="1" x14ac:dyDescent="0.3">
      <c r="A440" s="76">
        <v>3980</v>
      </c>
      <c r="B440" s="113" t="s">
        <v>450</v>
      </c>
      <c r="C440" s="82" t="str">
        <f>IFERROR(VLOOKUP(D440,'Target tables'!A:B,2,0),"")</f>
        <v>Тип статус ГС</v>
      </c>
      <c r="D440" s="83" t="s">
        <v>221</v>
      </c>
      <c r="E440" s="78" t="str">
        <f>IFERROR(VLOOKUP(D440&amp;J440,'Target columns'!A:J,4,FALSE),"")</f>
        <v>uuid</v>
      </c>
      <c r="F440" s="78" t="str">
        <f>IFERROR(VLOOKUP(D440&amp;J440,'Target columns'!A:J,7,FALSE),"")</f>
        <v>Yes</v>
      </c>
      <c r="G440" s="78" t="str">
        <f>IFERROR(VLOOKUP(D440&amp;J440,'Target columns'!A:J,8,FALSE),"")</f>
        <v>No</v>
      </c>
      <c r="H440" s="78" t="str">
        <f>IFERROR(VLOOKUP(D440&amp;J440,'Target columns'!A:J,5,FALSE),"")</f>
        <v>NOT NULL</v>
      </c>
      <c r="I440" s="78" t="str">
        <f>IFERROR(VLOOKUP(D440&amp;J440,'Target columns'!A:J,10,FALSE),"")</f>
        <v>Идентификатор типа статуса ГС</v>
      </c>
      <c r="J440" s="83" t="s">
        <v>734</v>
      </c>
      <c r="K440" s="82" t="s">
        <v>296</v>
      </c>
      <c r="L440" s="84" t="s">
        <v>316</v>
      </c>
      <c r="M440" s="84"/>
      <c r="N440" s="83" t="s">
        <v>692</v>
      </c>
      <c r="O440" s="82"/>
      <c r="P440" s="82"/>
      <c r="Q440" s="82"/>
      <c r="R440" s="82"/>
      <c r="S440" s="280" t="s">
        <v>735</v>
      </c>
      <c r="U440" s="82"/>
      <c r="V440" s="84" t="str">
        <f>"n308000046_"&amp;IFERROR(VLOOKUP(D440,target_tables[],5,0),"&lt;not found&gt;")</f>
        <v>n308000046_agr_frame_stts_type</v>
      </c>
      <c r="W440" s="82" t="s">
        <v>269</v>
      </c>
      <c r="AF440" s="279" t="s">
        <v>270</v>
      </c>
      <c r="AG440" s="89"/>
      <c r="AH440" s="82"/>
      <c r="AI440" s="90"/>
      <c r="AJ440" s="91"/>
    </row>
    <row r="441" spans="1:37" ht="13.8" hidden="1" thickBot="1" x14ac:dyDescent="0.3">
      <c r="A441" s="70">
        <v>3990</v>
      </c>
      <c r="B441" s="20" t="s">
        <v>450</v>
      </c>
      <c r="C441" s="71" t="str">
        <f>IFERROR(VLOOKUP(D441,'Target tables'!A:B,2,0),"")</f>
        <v>Тип статус ГС</v>
      </c>
      <c r="D441" s="27" t="s">
        <v>221</v>
      </c>
      <c r="E441" s="73" t="str">
        <f>IFERROR(VLOOKUP(D441&amp;J441,'Target columns'!A:J,4,FALSE),"")</f>
        <v>text</v>
      </c>
      <c r="F441" s="73" t="str">
        <f>IFERROR(VLOOKUP(D441&amp;J441,'Target columns'!A:J,7,FALSE),"")</f>
        <v>No</v>
      </c>
      <c r="G441" s="73" t="str">
        <f>IFERROR(VLOOKUP(D441&amp;J441,'Target columns'!A:J,8,FALSE),"")</f>
        <v>No</v>
      </c>
      <c r="H441" s="73" t="str">
        <f>IFERROR(VLOOKUP(D441&amp;J441,'Target columns'!A:J,5,FALSE),"")</f>
        <v>NULL</v>
      </c>
      <c r="I441" s="73" t="str">
        <f>IFERROR(VLOOKUP(D441&amp;J441,'Target columns'!A:J,10,FALSE),"")</f>
        <v>Наименования типа статуса ГС</v>
      </c>
      <c r="J441" s="27" t="s">
        <v>736</v>
      </c>
      <c r="K441" s="71" t="s">
        <v>296</v>
      </c>
      <c r="L441" s="73" t="s">
        <v>320</v>
      </c>
      <c r="M441" s="73"/>
      <c r="N441" s="27" t="s">
        <v>695</v>
      </c>
      <c r="O441" s="71"/>
      <c r="P441" s="71"/>
      <c r="Q441" s="71"/>
      <c r="R441" s="71"/>
      <c r="S441" s="280"/>
      <c r="U441" s="71"/>
      <c r="V441" s="73" t="str">
        <f>"n308000046_"&amp;IFERROR(VLOOKUP(D441,target_tables[],5,0),"&lt;not found&gt;")</f>
        <v>n308000046_agr_frame_stts_type</v>
      </c>
      <c r="W441" s="71" t="s">
        <v>273</v>
      </c>
      <c r="AF441" s="279"/>
      <c r="AG441" s="203"/>
      <c r="AH441" s="71"/>
      <c r="AI441" s="74"/>
      <c r="AJ441" s="75"/>
    </row>
    <row r="442" spans="1:37" ht="13.8" hidden="1" thickBot="1" x14ac:dyDescent="0.3">
      <c r="A442" s="76">
        <v>4000</v>
      </c>
      <c r="B442" s="113" t="s">
        <v>450</v>
      </c>
      <c r="C442" s="82" t="str">
        <f>IFERROR(VLOOKUP(D442,'Target tables'!A:B,2,0),"")</f>
        <v>Статус ГС</v>
      </c>
      <c r="D442" s="208" t="s">
        <v>222</v>
      </c>
      <c r="E442" s="78" t="str">
        <f>IFERROR(VLOOKUP(D442&amp;J442,'Target columns'!A:J,4,FALSE),"")</f>
        <v>uuid</v>
      </c>
      <c r="F442" s="78" t="str">
        <f>IFERROR(VLOOKUP(D442&amp;J442,'Target columns'!A:J,7,FALSE),"")</f>
        <v>Yes</v>
      </c>
      <c r="G442" s="78" t="str">
        <f>IFERROR(VLOOKUP(D442&amp;J442,'Target columns'!A:J,8,FALSE),"")</f>
        <v>Yes</v>
      </c>
      <c r="H442" s="78" t="str">
        <f>IFERROR(VLOOKUP(D442&amp;J442,'Target columns'!A:J,5,FALSE),"")</f>
        <v>NOT NULL</v>
      </c>
      <c r="I442" s="78" t="str">
        <f>IFERROR(VLOOKUP(D442&amp;J442,'Target columns'!A:J,10,FALSE),"")</f>
        <v>Идентификатор ГС</v>
      </c>
      <c r="J442" s="23" t="s">
        <v>452</v>
      </c>
      <c r="K442" s="2" t="s">
        <v>56</v>
      </c>
      <c r="L442" s="86" t="str">
        <f>IFERROR(VLOOKUP(K442&amp;N442,source_columns[[Seek]:[Описание поля]],4,0),"")</f>
        <v>text</v>
      </c>
      <c r="M442" s="78" t="str">
        <f>IFERROR(VLOOKUP(K442&amp;N442,source_columns[[Seek]:[Описание поля]],7,0),"")</f>
        <v>Идентификатор договора</v>
      </c>
      <c r="N442" s="77" t="s">
        <v>422</v>
      </c>
      <c r="O442" s="23"/>
      <c r="P442" s="23"/>
      <c r="Q442" s="23"/>
      <c r="R442" s="23"/>
      <c r="S442" s="270" t="s">
        <v>696</v>
      </c>
      <c r="U442" s="82"/>
      <c r="V442" s="84" t="str">
        <f>"n308000046_"&amp;IFERROR(VLOOKUP(D442,target_tables[],5,0),"&lt;not found&gt;")</f>
        <v>n308000046_agr_frame_stts</v>
      </c>
      <c r="W442" s="82" t="s">
        <v>269</v>
      </c>
      <c r="AF442" s="299" t="s">
        <v>342</v>
      </c>
      <c r="AG442" s="83"/>
      <c r="AH442" s="83"/>
      <c r="AI442" s="83"/>
      <c r="AJ442" s="91"/>
    </row>
    <row r="443" spans="1:37" ht="13.8" hidden="1" thickBot="1" x14ac:dyDescent="0.3">
      <c r="A443" s="64">
        <v>4010</v>
      </c>
      <c r="B443" s="8" t="s">
        <v>450</v>
      </c>
      <c r="C443" s="65" t="str">
        <f>IFERROR(VLOOKUP(D443,'Target tables'!A:B,2,0),"")</f>
        <v>Статус ГС</v>
      </c>
      <c r="D443" s="208" t="s">
        <v>222</v>
      </c>
      <c r="E443" s="66" t="str">
        <f>IFERROR(VLOOKUP(D443&amp;J443,'Target columns'!A:J,4,FALSE),"")</f>
        <v>uuid</v>
      </c>
      <c r="F443" s="66" t="str">
        <f>IFERROR(VLOOKUP(D443&amp;J443,'Target columns'!A:J,7,FALSE),"")</f>
        <v>No</v>
      </c>
      <c r="G443" s="66" t="str">
        <f>IFERROR(VLOOKUP(D443&amp;J443,'Target columns'!A:J,8,FALSE),"")</f>
        <v>Yes</v>
      </c>
      <c r="H443" s="66" t="str">
        <f>IFERROR(VLOOKUP(D443&amp;J443,'Target columns'!A:J,5,FALSE),"")</f>
        <v>NOT NULL</v>
      </c>
      <c r="I443" s="66" t="str">
        <f>IFERROR(VLOOKUP(D443&amp;J443,'Target columns'!A:J,10,FALSE),"")</f>
        <v>Идентификатор типа статуса ГС</v>
      </c>
      <c r="J443" s="8" t="s">
        <v>734</v>
      </c>
      <c r="K443" s="10" t="s">
        <v>56</v>
      </c>
      <c r="L443" s="66" t="str">
        <f>IFERROR(VLOOKUP(K443&amp;N444,source_columns[[Seek]:[Описание поля]],4,0),"")</f>
        <v xml:space="preserve">timestamp </v>
      </c>
      <c r="M443" s="66" t="str">
        <f>IFERROR(VLOOKUP(K443&amp;N444,source_columns[[Seek]:[Описание поля]],7,0),"")</f>
        <v>Дата и время последнего изменения</v>
      </c>
      <c r="N443" s="2" t="s">
        <v>697</v>
      </c>
      <c r="O443" s="8"/>
      <c r="P443" s="8"/>
      <c r="Q443" s="8"/>
      <c r="R443" s="8"/>
      <c r="S443" s="278"/>
      <c r="U443" s="65"/>
      <c r="V443" s="66" t="str">
        <f>"n308000046_"&amp;IFERROR(VLOOKUP(D443,target_tables[],5,0),"&lt;not found&gt;")</f>
        <v>n308000046_agr_frame_stts</v>
      </c>
      <c r="W443" s="65" t="s">
        <v>330</v>
      </c>
      <c r="AF443" s="299"/>
      <c r="AG443" s="10"/>
      <c r="AH443" s="10"/>
      <c r="AI443" s="10"/>
      <c r="AJ443" s="68"/>
    </row>
    <row r="444" spans="1:37" ht="13.8" hidden="1" thickBot="1" x14ac:dyDescent="0.3">
      <c r="A444" s="64">
        <v>4020</v>
      </c>
      <c r="B444" s="8" t="s">
        <v>450</v>
      </c>
      <c r="C444" s="65" t="str">
        <f>IFERROR(VLOOKUP(D444,'Target tables'!A:B,2,0),"")</f>
        <v>Статус ГС</v>
      </c>
      <c r="D444" s="208" t="s">
        <v>222</v>
      </c>
      <c r="E444" s="66" t="str">
        <f>IFERROR(VLOOKUP(D444&amp;J444,'Target columns'!A:J,4,FALSE),"")</f>
        <v>date</v>
      </c>
      <c r="F444" s="66" t="str">
        <f>IFERROR(VLOOKUP(D444&amp;J444,'Target columns'!A:J,7,FALSE),"")</f>
        <v>Yes</v>
      </c>
      <c r="G444" s="66" t="str">
        <f>IFERROR(VLOOKUP(D444&amp;J444,'Target columns'!A:J,8,FALSE),"")</f>
        <v>No</v>
      </c>
      <c r="H444" s="66" t="str">
        <f>IFERROR(VLOOKUP(D444&amp;J444,'Target columns'!A:J,5,FALSE),"")</f>
        <v>NOT NULL</v>
      </c>
      <c r="I444" s="66" t="str">
        <f>IFERROR(VLOOKUP(D444&amp;J444,'Target columns'!A:J,10,FALSE),"")</f>
        <v>Дата начала действия</v>
      </c>
      <c r="J444" s="8" t="s">
        <v>329</v>
      </c>
      <c r="K444" s="8" t="s">
        <v>56</v>
      </c>
      <c r="L444" s="66" t="str">
        <f>IFERROR(VLOOKUP(K444&amp;#REF!,source_columns[[Seek]:[Описание поля]],4,0),"")</f>
        <v/>
      </c>
      <c r="M444" s="66" t="str">
        <f>IFERROR(VLOOKUP(K444&amp;#REF!,source_columns[[Seek]:[Описание поля]],7,0),"")</f>
        <v/>
      </c>
      <c r="N444" s="8" t="s">
        <v>517</v>
      </c>
      <c r="O444" s="8"/>
      <c r="P444" s="8"/>
      <c r="Q444" s="8"/>
      <c r="R444" s="8"/>
      <c r="S444" s="278"/>
      <c r="U444" s="65"/>
      <c r="V444" s="66" t="str">
        <f>"n308000046_"&amp;IFERROR(VLOOKUP(D444,target_tables[],5,0),"&lt;not found&gt;")</f>
        <v>n308000046_agr_frame_stts</v>
      </c>
      <c r="W444" s="65" t="s">
        <v>273</v>
      </c>
      <c r="AF444" s="299"/>
      <c r="AG444" s="10"/>
      <c r="AH444" s="10"/>
      <c r="AI444" s="10"/>
      <c r="AJ444" s="68"/>
    </row>
    <row r="445" spans="1:37" ht="13.8" hidden="1" thickBot="1" x14ac:dyDescent="0.3">
      <c r="A445" s="70">
        <v>4030</v>
      </c>
      <c r="B445" s="20" t="s">
        <v>450</v>
      </c>
      <c r="C445" s="20" t="str">
        <f>IFERROR(VLOOKUP(D445,'Target tables'!A:B,2,0),"")</f>
        <v>Статус ГС</v>
      </c>
      <c r="D445" s="212" t="s">
        <v>222</v>
      </c>
      <c r="E445" s="73" t="str">
        <f>IFERROR(VLOOKUP(D445&amp;J445,'Target columns'!A:J,4,FALSE),"")</f>
        <v>date</v>
      </c>
      <c r="F445" s="73" t="str">
        <f>IFERROR(VLOOKUP(D445&amp;J445,'Target columns'!A:J,7,FALSE),"")</f>
        <v>No</v>
      </c>
      <c r="G445" s="73" t="str">
        <f>IFERROR(VLOOKUP(D445&amp;J445,'Target columns'!A:J,8,FALSE),"")</f>
        <v>No</v>
      </c>
      <c r="H445" s="73" t="str">
        <f>IFERROR(VLOOKUP(D445&amp;J445,'Target columns'!A:J,5,FALSE),"")</f>
        <v>NULL</v>
      </c>
      <c r="I445" s="73" t="str">
        <f>IFERROR(VLOOKUP(D445&amp;J445,'Target columns'!A:J,10,FALSE),"")</f>
        <v>Дата окончания действия</v>
      </c>
      <c r="J445" s="20" t="s">
        <v>331</v>
      </c>
      <c r="K445" s="138" t="s">
        <v>56</v>
      </c>
      <c r="L445" s="73" t="str">
        <f>IFERROR(VLOOKUP(K445&amp;N445,source_columns[[Seek]:[Описание поля]],4,0),"")</f>
        <v/>
      </c>
      <c r="M445" s="73" t="str">
        <f>IFERROR(VLOOKUP(K445&amp;N445,source_columns[[Seek]:[Описание поля]],7,0),"")</f>
        <v/>
      </c>
      <c r="N445" s="20" t="s">
        <v>603</v>
      </c>
      <c r="O445" s="20"/>
      <c r="P445" s="20"/>
      <c r="Q445" s="20"/>
      <c r="R445" s="20"/>
      <c r="S445" s="278"/>
      <c r="U445" s="71"/>
      <c r="V445" s="73" t="str">
        <f>"n308000046_"&amp;IFERROR(VLOOKUP(D445,target_tables[],5,0),"&lt;not found&gt;")</f>
        <v>n308000046_agr_frame_stts</v>
      </c>
      <c r="W445" s="71" t="s">
        <v>332</v>
      </c>
      <c r="AF445" s="299"/>
      <c r="AG445" s="27"/>
      <c r="AH445" s="27"/>
      <c r="AI445" s="27"/>
      <c r="AJ445" s="75"/>
    </row>
    <row r="446" spans="1:37" ht="13.8" hidden="1" thickBot="1" x14ac:dyDescent="0.3">
      <c r="A446" s="48">
        <f t="shared" si="1"/>
        <v>4040</v>
      </c>
      <c r="B446" s="113" t="s">
        <v>125</v>
      </c>
      <c r="C446" s="82" t="str">
        <f>IFERROR(VLOOKUP(D446,'Target tables'!A:B,2,0),"")</f>
        <v>Доп. соглашения по АЮЛ</v>
      </c>
      <c r="D446" s="23" t="s">
        <v>229</v>
      </c>
      <c r="E446" s="78" t="str">
        <f>IFERROR(VLOOKUP(D446&amp;J446,'Target columns'!A:J,4,FALSE),"")</f>
        <v>UUID</v>
      </c>
      <c r="F446" s="78" t="str">
        <f>IFERROR(VLOOKUP(D446&amp;J446,'Target columns'!A:J,7,FALSE),"")</f>
        <v>Yes</v>
      </c>
      <c r="G446" s="78" t="str">
        <f>IFERROR(VLOOKUP(D446&amp;J446,'Target columns'!A:J,8,FALSE),"")</f>
        <v>No</v>
      </c>
      <c r="H446" s="78" t="str">
        <f>IFERROR(VLOOKUP(D446&amp;J446,'Target columns'!A:J,5,FALSE),"")</f>
        <v>NOT NULL</v>
      </c>
      <c r="I446" s="78" t="str">
        <f>IFERROR(VLOOKUP(D446&amp;J446,'Target columns'!A:J,10,FALSE),"")</f>
        <v>Идентификатор доп. соглашения</v>
      </c>
      <c r="J446" s="23" t="s">
        <v>702</v>
      </c>
      <c r="K446" s="23" t="s">
        <v>228</v>
      </c>
      <c r="L446" s="78" t="str">
        <f>IFERROR(VLOOKUP(K446&amp;N446,source_columns[[Seek]:[Описание поля]],4,0),"")</f>
        <v>uuid</v>
      </c>
      <c r="M446" s="78" t="str">
        <f>IFERROR(VLOOKUP(K446&amp;N446,source_columns[[Seek]:[Описание поля]],7,0),"")</f>
        <v>SK(reference + restructureDetails_date )</v>
      </c>
      <c r="N446" s="24" t="s">
        <v>737</v>
      </c>
      <c r="O446" s="23"/>
      <c r="P446" s="23"/>
      <c r="Q446" s="23"/>
      <c r="R446" s="23"/>
      <c r="S446" s="270" t="s">
        <v>2130</v>
      </c>
      <c r="U446" s="82"/>
      <c r="V446" s="84" t="str">
        <f>"n308000046_"&amp;IFERROR(VLOOKUP(D446,target_tables[],5,0),"&lt;not found&gt;")</f>
        <v>n308000046_agr_accred_addendum</v>
      </c>
      <c r="W446" s="82" t="s">
        <v>269</v>
      </c>
      <c r="AF446" s="299" t="s">
        <v>270</v>
      </c>
      <c r="AG446" s="83"/>
      <c r="AH446" s="83"/>
      <c r="AI446" s="83"/>
      <c r="AJ446" s="91"/>
    </row>
    <row r="447" spans="1:37" ht="13.8" hidden="1" thickBot="1" x14ac:dyDescent="0.3">
      <c r="A447" s="64">
        <f t="shared" si="1"/>
        <v>4050</v>
      </c>
      <c r="B447" s="8" t="s">
        <v>125</v>
      </c>
      <c r="C447" s="65" t="str">
        <f>IFERROR(VLOOKUP(D447,'Target tables'!A:B,2,0),"")</f>
        <v>Доп. соглашения по АЮЛ</v>
      </c>
      <c r="D447" s="8" t="s">
        <v>229</v>
      </c>
      <c r="E447" s="66" t="str">
        <f>IFERROR(VLOOKUP(D447&amp;J447,'Target columns'!A:J,4,FALSE),"")</f>
        <v>UUID</v>
      </c>
      <c r="F447" s="66" t="str">
        <f>IFERROR(VLOOKUP(D447&amp;J447,'Target columns'!A:J,7,FALSE),"")</f>
        <v>No</v>
      </c>
      <c r="G447" s="66" t="str">
        <f>IFERROR(VLOOKUP(D447&amp;J447,'Target columns'!A:J,8,FALSE),"")</f>
        <v>Yes</v>
      </c>
      <c r="H447" s="66" t="str">
        <f>IFERROR(VLOOKUP(D447&amp;J447,'Target columns'!A:J,5,FALSE),"")</f>
        <v>NOT NULL</v>
      </c>
      <c r="I447" s="66" t="str">
        <f>IFERROR(VLOOKUP(D447&amp;J447,'Target columns'!A:J,10,FALSE),"")</f>
        <v>Идентификатор договора аккредитива</v>
      </c>
      <c r="J447" s="8" t="s">
        <v>495</v>
      </c>
      <c r="K447" s="8" t="s">
        <v>228</v>
      </c>
      <c r="L447" s="66" t="s">
        <v>316</v>
      </c>
      <c r="M447" s="78" t="str">
        <f>IFERROR(VLOOKUP(K447&amp;N447,source_columns[[Seek]:[Описание поля]],7,0),"")</f>
        <v>SK(reference)</v>
      </c>
      <c r="N447" s="2" t="s">
        <v>496</v>
      </c>
      <c r="O447" s="8"/>
      <c r="P447" s="8"/>
      <c r="Q447" s="8"/>
      <c r="R447" s="8"/>
      <c r="S447" s="278"/>
      <c r="U447" s="65"/>
      <c r="V447" s="66" t="str">
        <f>"n308000046_"&amp;IFERROR(VLOOKUP(D447,target_tables[],5,0),"&lt;not found&gt;")</f>
        <v>n308000046_agr_accred_addendum</v>
      </c>
      <c r="W447" s="65" t="s">
        <v>273</v>
      </c>
      <c r="AF447" s="299"/>
      <c r="AG447" s="10"/>
      <c r="AH447" s="10"/>
      <c r="AI447" s="10"/>
      <c r="AJ447" s="68"/>
    </row>
    <row r="448" spans="1:37" ht="13.8" hidden="1" thickBot="1" x14ac:dyDescent="0.3">
      <c r="A448" s="64">
        <f t="shared" si="1"/>
        <v>4060</v>
      </c>
      <c r="B448" s="8" t="s">
        <v>125</v>
      </c>
      <c r="C448" s="65" t="str">
        <f>IFERROR(VLOOKUP(D448,'Target tables'!A:B,2,0),"")</f>
        <v>Доп. соглашения по АЮЛ</v>
      </c>
      <c r="D448" s="8" t="s">
        <v>229</v>
      </c>
      <c r="E448" s="66" t="str">
        <f>IFERROR(VLOOKUP(D448&amp;J448,'Target columns'!A:J,4,FALSE),"")</f>
        <v>DATE</v>
      </c>
      <c r="F448" s="66" t="str">
        <f>IFERROR(VLOOKUP(D448&amp;J448,'Target columns'!A:J,7,FALSE),"")</f>
        <v>No</v>
      </c>
      <c r="G448" s="66" t="str">
        <f>IFERROR(VLOOKUP(D448&amp;J448,'Target columns'!A:J,8,FALSE),"")</f>
        <v>No</v>
      </c>
      <c r="H448" s="66" t="str">
        <f>IFERROR(VLOOKUP(D448&amp;J448,'Target columns'!A:J,5,FALSE),"")</f>
        <v>NULL</v>
      </c>
      <c r="I448" s="66" t="str">
        <f>IFERROR(VLOOKUP(D448&amp;J448,'Target columns'!A:J,10,FALSE),"")</f>
        <v>Дата начала действия дополнительного соглашения</v>
      </c>
      <c r="J448" s="8" t="s">
        <v>271</v>
      </c>
      <c r="K448" s="8" t="s">
        <v>228</v>
      </c>
      <c r="L448" s="66" t="str">
        <f>IFERROR(VLOOKUP(K448&amp;N448,source_columns[[Seek]:[Описание поля]],4,0),"")</f>
        <v>date</v>
      </c>
      <c r="M448" s="66" t="str">
        <f>IFERROR(VLOOKUP(K448&amp;N448,source_columns[[Seek]:[Описание поля]],7,0),"")</f>
        <v>Дата вступления реструктуризации в силу / дата, с которой вступают в силу изменения</v>
      </c>
      <c r="N448" s="10" t="s">
        <v>738</v>
      </c>
      <c r="O448" s="8"/>
      <c r="P448" s="8"/>
      <c r="Q448" s="8"/>
      <c r="R448" s="8"/>
      <c r="S448" s="278"/>
      <c r="U448" s="65"/>
      <c r="V448" s="66" t="str">
        <f>"n308000046_"&amp;IFERROR(VLOOKUP(D448,target_tables[],5,0),"&lt;not found&gt;")</f>
        <v>n308000046_agr_accred_addendum</v>
      </c>
      <c r="W448" s="65" t="s">
        <v>273</v>
      </c>
      <c r="AF448" s="299"/>
      <c r="AG448" s="10"/>
      <c r="AH448" s="10"/>
      <c r="AI448" s="10"/>
      <c r="AJ448" s="68"/>
    </row>
    <row r="449" spans="1:36" ht="13.8" hidden="1" thickBot="1" x14ac:dyDescent="0.3">
      <c r="A449" s="64">
        <f t="shared" si="1"/>
        <v>4070</v>
      </c>
      <c r="B449" s="8" t="s">
        <v>125</v>
      </c>
      <c r="C449" s="65" t="str">
        <f>IFERROR(VLOOKUP(D449,'Target tables'!A:B,2,0),"")</f>
        <v>Доп. соглашения по АЮЛ</v>
      </c>
      <c r="D449" s="8" t="s">
        <v>229</v>
      </c>
      <c r="E449" s="66" t="str">
        <f>IFERROR(VLOOKUP(D449&amp;J449,'Target columns'!A:J,4,FALSE),"")</f>
        <v>DATE</v>
      </c>
      <c r="F449" s="66" t="str">
        <f>IFERROR(VLOOKUP(D449&amp;J449,'Target columns'!A:J,7,FALSE),"")</f>
        <v>No</v>
      </c>
      <c r="G449" s="66" t="str">
        <f>IFERROR(VLOOKUP(D449&amp;J449,'Target columns'!A:J,8,FALSE),"")</f>
        <v>No</v>
      </c>
      <c r="H449" s="66" t="str">
        <f>IFERROR(VLOOKUP(D449&amp;J449,'Target columns'!A:J,5,FALSE),"")</f>
        <v>NULL</v>
      </c>
      <c r="I449" s="66" t="str">
        <f>IFERROR(VLOOKUP(D449&amp;J449,'Target columns'!A:J,10,FALSE),"")</f>
        <v>Дата подписания дополнительного соглашения</v>
      </c>
      <c r="J449" s="8" t="s">
        <v>274</v>
      </c>
      <c r="K449" s="8" t="s">
        <v>228</v>
      </c>
      <c r="L449" s="66" t="str">
        <f>IFERROR(VLOOKUP(K449&amp;N449,source_columns[[Seek]:[Описание поля]],4,0),"")</f>
        <v>date</v>
      </c>
      <c r="M449" s="66" t="str">
        <f>IFERROR(VLOOKUP(K449&amp;N449,source_columns[[Seek]:[Описание поля]],7,0),"")</f>
        <v>Дата реструктуризации/ дата, когда заключено доп. соглашение или принято решение о реструктуризации</v>
      </c>
      <c r="N449" s="10" t="s">
        <v>739</v>
      </c>
      <c r="O449" s="8"/>
      <c r="P449" s="8"/>
      <c r="Q449" s="8"/>
      <c r="R449" s="8"/>
      <c r="S449" s="278"/>
      <c r="U449" s="65"/>
      <c r="V449" s="66" t="str">
        <f>"n308000046_"&amp;IFERROR(VLOOKUP(D449,target_tables[],5,0),"&lt;not found&gt;")</f>
        <v>n308000046_agr_accred_addendum</v>
      </c>
      <c r="W449" s="65" t="s">
        <v>273</v>
      </c>
      <c r="AF449" s="299"/>
      <c r="AG449" s="10"/>
      <c r="AH449" s="10"/>
      <c r="AI449" s="10"/>
      <c r="AJ449" s="68"/>
    </row>
    <row r="450" spans="1:36" ht="13.8" hidden="1" thickBot="1" x14ac:dyDescent="0.3">
      <c r="A450" s="64">
        <f t="shared" si="1"/>
        <v>4080</v>
      </c>
      <c r="B450" s="8" t="s">
        <v>125</v>
      </c>
      <c r="C450" s="65" t="str">
        <f>IFERROR(VLOOKUP(D450,'Target tables'!A:B,2,0),"")</f>
        <v>Доп. соглашения по АЮЛ</v>
      </c>
      <c r="D450" s="8" t="s">
        <v>229</v>
      </c>
      <c r="E450" s="66" t="str">
        <f>IFERROR(VLOOKUP(D450&amp;J450,'Target columns'!A:J,4,FALSE),"")</f>
        <v>DATE</v>
      </c>
      <c r="F450" s="66" t="str">
        <f>IFERROR(VLOOKUP(D450&amp;J450,'Target columns'!A:J,7,FALSE),"")</f>
        <v>No</v>
      </c>
      <c r="G450" s="66" t="str">
        <f>IFERROR(VLOOKUP(D450&amp;J450,'Target columns'!A:J,8,FALSE),"")</f>
        <v>No</v>
      </c>
      <c r="H450" s="66" t="str">
        <f>IFERROR(VLOOKUP(D450&amp;J450,'Target columns'!A:J,5,FALSE),"")</f>
        <v>NULL</v>
      </c>
      <c r="I450" s="66" t="str">
        <f>IFERROR(VLOOKUP(D450&amp;J450,'Target columns'!A:J,10,FALSE),"")</f>
        <v>Дата окончания действия соглашения (плановая)</v>
      </c>
      <c r="J450" s="8" t="s">
        <v>291</v>
      </c>
      <c r="K450" s="8" t="s">
        <v>228</v>
      </c>
      <c r="L450" s="66" t="str">
        <f>IFERROR(VLOOKUP(K450&amp;N450,source_columns[[Seek]:[Описание поля]],4,0),"")</f>
        <v>date</v>
      </c>
      <c r="M450" s="66" t="str">
        <f>IFERROR(VLOOKUP(K450&amp;N450,source_columns[[Seek]:[Описание поля]],7,0),"")</f>
        <v>Плановая дата прекращения действия реструктуризации / дата, до которой по плану действует реструктуризация (например, если по реструктуризации установлен льготный период)</v>
      </c>
      <c r="N450" s="10" t="s">
        <v>740</v>
      </c>
      <c r="O450" s="8"/>
      <c r="P450" s="8"/>
      <c r="Q450" s="8"/>
      <c r="R450" s="8"/>
      <c r="S450" s="278"/>
      <c r="U450" s="65"/>
      <c r="V450" s="66" t="str">
        <f>"n308000046_"&amp;IFERROR(VLOOKUP(D450,target_tables[],5,0),"&lt;not found&gt;")</f>
        <v>n308000046_agr_accred_addendum</v>
      </c>
      <c r="W450" s="65" t="s">
        <v>273</v>
      </c>
      <c r="AF450" s="299"/>
      <c r="AG450" s="10"/>
      <c r="AH450" s="10"/>
      <c r="AI450" s="10"/>
      <c r="AJ450" s="68"/>
    </row>
    <row r="451" spans="1:36" ht="13.8" hidden="1" thickBot="1" x14ac:dyDescent="0.3">
      <c r="A451" s="64">
        <f t="shared" si="1"/>
        <v>4090</v>
      </c>
      <c r="B451" s="8" t="s">
        <v>125</v>
      </c>
      <c r="C451" s="65" t="str">
        <f>IFERROR(VLOOKUP(D451,'Target tables'!A:B,2,0),"")</f>
        <v>Доп. соглашения по АЮЛ</v>
      </c>
      <c r="D451" s="8" t="s">
        <v>229</v>
      </c>
      <c r="E451" s="66" t="str">
        <f>IFERROR(VLOOKUP(D451&amp;J451,'Target columns'!A:J,4,FALSE),"")</f>
        <v>DATE</v>
      </c>
      <c r="F451" s="66" t="str">
        <f>IFERROR(VLOOKUP(D451&amp;J451,'Target columns'!A:J,7,FALSE),"")</f>
        <v>No</v>
      </c>
      <c r="G451" s="66" t="str">
        <f>IFERROR(VLOOKUP(D451&amp;J451,'Target columns'!A:J,8,FALSE),"")</f>
        <v>No</v>
      </c>
      <c r="H451" s="66" t="str">
        <f>IFERROR(VLOOKUP(D451&amp;J451,'Target columns'!A:J,5,FALSE),"")</f>
        <v>NULL</v>
      </c>
      <c r="I451" s="66" t="str">
        <f>IFERROR(VLOOKUP(D451&amp;J451,'Target columns'!A:J,10,FALSE),"")</f>
        <v>Дата окончания действия соглашения (фактическая)</v>
      </c>
      <c r="J451" s="8" t="s">
        <v>275</v>
      </c>
      <c r="K451" s="8" t="s">
        <v>228</v>
      </c>
      <c r="L451" s="66" t="str">
        <f>IFERROR(VLOOKUP(K451&amp;N451,source_columns[[Seek]:[Описание поля]],4,0),"")</f>
        <v>date</v>
      </c>
      <c r="M451" s="66" t="str">
        <f>IFERROR(VLOOKUP(K451&amp;N451,source_columns[[Seek]:[Описание поля]],7,0),"")</f>
        <v>Фактическая дата прекращения действия реструктуризации / дата, в которую реструктуризация закончила действовать на самом деле (например, актуально для льготного периода)</v>
      </c>
      <c r="N451" s="10" t="s">
        <v>741</v>
      </c>
      <c r="O451" s="8"/>
      <c r="P451" s="8"/>
      <c r="Q451" s="8"/>
      <c r="R451" s="8"/>
      <c r="S451" s="278"/>
      <c r="U451" s="65"/>
      <c r="V451" s="66" t="str">
        <f>"n308000046_"&amp;IFERROR(VLOOKUP(D451,target_tables[],5,0),"&lt;not found&gt;")</f>
        <v>n308000046_agr_accred_addendum</v>
      </c>
      <c r="W451" s="65" t="s">
        <v>273</v>
      </c>
      <c r="AF451" s="299"/>
      <c r="AG451" s="10"/>
      <c r="AH451" s="10"/>
      <c r="AI451" s="10"/>
      <c r="AJ451" s="68"/>
    </row>
    <row r="452" spans="1:36" ht="13.8" hidden="1" thickBot="1" x14ac:dyDescent="0.3">
      <c r="A452" s="64">
        <f t="shared" si="1"/>
        <v>4100</v>
      </c>
      <c r="B452" s="8" t="s">
        <v>125</v>
      </c>
      <c r="C452" s="65" t="str">
        <f>IFERROR(VLOOKUP(D452,'Target tables'!A:B,2,0),"")</f>
        <v>Доп. соглашения по АЮЛ</v>
      </c>
      <c r="D452" s="8" t="s">
        <v>229</v>
      </c>
      <c r="E452" s="66" t="str">
        <f>IFERROR(VLOOKUP(D452&amp;J452,'Target columns'!A:J,4,FALSE),"")</f>
        <v>UUID</v>
      </c>
      <c r="F452" s="66" t="str">
        <f>IFERROR(VLOOKUP(D452&amp;J452,'Target columns'!A:J,7,FALSE),"")</f>
        <v>No</v>
      </c>
      <c r="G452" s="66" t="str">
        <f>IFERROR(VLOOKUP(D452&amp;J452,'Target columns'!A:J,8,FALSE),"")</f>
        <v>Yes</v>
      </c>
      <c r="H452" s="66" t="str">
        <f>IFERROR(VLOOKUP(D452&amp;J452,'Target columns'!A:J,5,FALSE),"")</f>
        <v>NULL</v>
      </c>
      <c r="I452" s="66" t="str">
        <f>IFERROR(VLOOKUP(D452&amp;J452,'Target columns'!A:J,10,FALSE),"")</f>
        <v>Идентификатор типа доп. cоглашения</v>
      </c>
      <c r="J452" s="8" t="s">
        <v>708</v>
      </c>
      <c r="K452" s="8" t="s">
        <v>228</v>
      </c>
      <c r="L452" s="66" t="str">
        <f>IFERROR(VLOOKUP(K452&amp;N452,source_columns[[Seek]:[Описание поля]],4,0),"")</f>
        <v>uuid</v>
      </c>
      <c r="M452" s="66" t="str">
        <f>IFERROR(VLOOKUP(K452&amp;N452,source_columns[[Seek]:[Описание поля]],7,0),"")</f>
        <v>SK(restructureDetails_type)</v>
      </c>
      <c r="N452" s="10" t="s">
        <v>742</v>
      </c>
      <c r="O452" s="8"/>
      <c r="P452" s="8"/>
      <c r="Q452" s="8"/>
      <c r="R452" s="8"/>
      <c r="S452" s="278"/>
      <c r="U452" s="65"/>
      <c r="V452" s="66" t="str">
        <f>"n308000046_"&amp;IFERROR(VLOOKUP(D452,target_tables[],5,0),"&lt;not found&gt;")</f>
        <v>n308000046_agr_accred_addendum</v>
      </c>
      <c r="W452" s="65" t="s">
        <v>273</v>
      </c>
      <c r="AF452" s="299"/>
      <c r="AG452" s="10"/>
      <c r="AH452" s="10"/>
      <c r="AI452" s="10"/>
      <c r="AJ452" s="68"/>
    </row>
    <row r="453" spans="1:36" ht="13.8" hidden="1" thickBot="1" x14ac:dyDescent="0.3">
      <c r="A453" s="70">
        <f t="shared" si="1"/>
        <v>4110</v>
      </c>
      <c r="B453" s="20" t="s">
        <v>125</v>
      </c>
      <c r="C453" s="71" t="str">
        <f>IFERROR(VLOOKUP(D453,'Target tables'!A:B,2,0),"")</f>
        <v>Доп. соглашения по АЮЛ</v>
      </c>
      <c r="D453" s="138" t="s">
        <v>229</v>
      </c>
      <c r="E453" s="73" t="str">
        <f>IFERROR(VLOOKUP(D453&amp;J453,'Target columns'!A:J,4,FALSE),"")</f>
        <v>TEXT</v>
      </c>
      <c r="F453" s="73" t="str">
        <f>IFERROR(VLOOKUP(D453&amp;J453,'Target columns'!A:J,7,FALSE),"")</f>
        <v>No</v>
      </c>
      <c r="G453" s="73" t="str">
        <f>IFERROR(VLOOKUP(D453&amp;J453,'Target columns'!A:J,8,FALSE),"")</f>
        <v>No</v>
      </c>
      <c r="H453" s="73" t="str">
        <f>IFERROR(VLOOKUP(D453&amp;J453,'Target columns'!A:J,5,FALSE),"")</f>
        <v>NULL</v>
      </c>
      <c r="I453" s="73" t="str">
        <f>IFERROR(VLOOKUP(D453&amp;J453,'Target columns'!A:J,10,FALSE),"")</f>
        <v>Идентификатор доп. соглашения в системе-источнике</v>
      </c>
      <c r="J453" s="20" t="s">
        <v>711</v>
      </c>
      <c r="K453" s="20" t="s">
        <v>228</v>
      </c>
      <c r="L453" s="73" t="str">
        <f>IFERROR(VLOOKUP(K453&amp;N453,source_columns[[Seek]:[Описание поля]],4,0),"")</f>
        <v/>
      </c>
      <c r="M453" s="73" t="str">
        <f>IFERROR(VLOOKUP(K453&amp;N453,source_columns[[Seek]:[Описание поля]],7,0),"")</f>
        <v/>
      </c>
      <c r="N453" s="27" t="s">
        <v>743</v>
      </c>
      <c r="O453" s="20"/>
      <c r="P453" s="20"/>
      <c r="Q453" s="20"/>
      <c r="R453" s="20"/>
      <c r="S453" s="278"/>
      <c r="U453" s="71"/>
      <c r="V453" s="73" t="str">
        <f>"n308000046_"&amp;IFERROR(VLOOKUP(D453,target_tables[],5,0),"&lt;not found&gt;")</f>
        <v>n308000046_agr_accred_addendum</v>
      </c>
      <c r="W453" s="71" t="s">
        <v>273</v>
      </c>
      <c r="X453" s="110"/>
      <c r="Y453" s="110"/>
      <c r="Z453" s="110"/>
      <c r="AA453" s="110"/>
      <c r="AB453" s="110"/>
      <c r="AC453" s="110"/>
      <c r="AD453" s="110"/>
      <c r="AE453" s="110"/>
      <c r="AF453" s="299"/>
      <c r="AG453" s="27"/>
      <c r="AH453" s="27"/>
      <c r="AI453" s="27"/>
      <c r="AJ453" s="75"/>
    </row>
    <row r="454" spans="1:36" ht="13.8" hidden="1" thickBot="1" x14ac:dyDescent="0.3">
      <c r="A454" s="76">
        <f t="shared" si="1"/>
        <v>4120</v>
      </c>
      <c r="B454" s="23" t="s">
        <v>125</v>
      </c>
      <c r="C454" s="77" t="str">
        <f>IFERROR(VLOOKUP(D454,'Target tables'!A:B,2,0),"")</f>
        <v>Тип доп. Соглашения по АЮЛ</v>
      </c>
      <c r="D454" s="208" t="s">
        <v>230</v>
      </c>
      <c r="E454" s="78" t="str">
        <f>IFERROR(VLOOKUP(D454&amp;J454,'Target columns'!A:J,4,FALSE),"")</f>
        <v>UUID</v>
      </c>
      <c r="F454" s="78" t="str">
        <f>IFERROR(VLOOKUP(D454&amp;J454,'Target columns'!A:J,7,FALSE),"")</f>
        <v>Yes</v>
      </c>
      <c r="G454" s="78" t="str">
        <f>IFERROR(VLOOKUP(D454&amp;J454,'Target columns'!A:J,8,FALSE),"")</f>
        <v>No</v>
      </c>
      <c r="H454" s="78" t="str">
        <f>IFERROR(VLOOKUP(D454&amp;J454,'Target columns'!A:J,5,FALSE),"")</f>
        <v>NOT NULL</v>
      </c>
      <c r="I454" s="78" t="str">
        <f>IFERROR(VLOOKUP(D454&amp;J454,'Target columns'!A:J,10,FALSE),"")</f>
        <v>Идентификатор категории соглашения</v>
      </c>
      <c r="J454" s="23" t="s">
        <v>744</v>
      </c>
      <c r="K454" s="77" t="s">
        <v>296</v>
      </c>
      <c r="L454" s="78" t="str">
        <f>IFERROR(VLOOKUP(K454&amp;N454,source_columns[[Seek]:[Описание поля]],4,0),"")</f>
        <v/>
      </c>
      <c r="M454" s="78" t="str">
        <f>IFERROR(VLOOKUP(K454&amp;N454,source_columns[[Seek]:[Описание поля]],7,0),"")</f>
        <v/>
      </c>
      <c r="N454" s="23" t="s">
        <v>742</v>
      </c>
      <c r="O454" s="77"/>
      <c r="P454" s="201"/>
      <c r="Q454" s="77"/>
      <c r="R454" s="77"/>
      <c r="S454" s="300" t="s">
        <v>745</v>
      </c>
      <c r="U454" s="77"/>
      <c r="V454" s="78" t="str">
        <f>"n308000046_"&amp;IFERROR(VLOOKUP(D454,target_tables[],5,0),"&lt;not found&gt;")</f>
        <v>n308000046_agr_accred_add_type</v>
      </c>
      <c r="W454" s="77" t="s">
        <v>269</v>
      </c>
      <c r="AF454" s="301" t="s">
        <v>270</v>
      </c>
      <c r="AG454" s="24"/>
      <c r="AH454" s="77"/>
      <c r="AI454" s="79"/>
      <c r="AJ454" s="80"/>
    </row>
    <row r="455" spans="1:36" ht="13.8" hidden="1" thickBot="1" x14ac:dyDescent="0.3">
      <c r="A455" s="64">
        <f t="shared" si="1"/>
        <v>4130</v>
      </c>
      <c r="B455" s="8" t="s">
        <v>125</v>
      </c>
      <c r="C455" s="65" t="str">
        <f>IFERROR(VLOOKUP(D455,'Target tables'!A:B,2,0),"")</f>
        <v>Тип доп. Соглашения по АЮЛ</v>
      </c>
      <c r="D455" s="211" t="s">
        <v>230</v>
      </c>
      <c r="E455" s="66" t="str">
        <f>IFERROR(VLOOKUP(D455&amp;J455,'Target columns'!A:J,4,FALSE),"")</f>
        <v>TEXT</v>
      </c>
      <c r="F455" s="66" t="str">
        <f>IFERROR(VLOOKUP(D455&amp;J455,'Target columns'!A:J,7,FALSE),"")</f>
        <v>No</v>
      </c>
      <c r="G455" s="66" t="str">
        <f>IFERROR(VLOOKUP(D455&amp;J455,'Target columns'!A:J,8,FALSE),"")</f>
        <v>No</v>
      </c>
      <c r="H455" s="66" t="str">
        <f>IFERROR(VLOOKUP(D455&amp;J455,'Target columns'!A:J,5,FALSE),"")</f>
        <v>NULL</v>
      </c>
      <c r="I455" s="66" t="str">
        <f>IFERROR(VLOOKUP(D455&amp;J455,'Target columns'!A:J,10,FALSE),"")</f>
        <v>Код  категории соглашения</v>
      </c>
      <c r="J455" s="8" t="s">
        <v>746</v>
      </c>
      <c r="K455" s="65" t="s">
        <v>296</v>
      </c>
      <c r="L455" s="66" t="str">
        <f>IFERROR(VLOOKUP(K455&amp;N455,source_columns[[Seek]:[Описание поля]],4,0),"")</f>
        <v/>
      </c>
      <c r="M455" s="66" t="str">
        <f>IFERROR(VLOOKUP(K455&amp;N455,source_columns[[Seek]:[Описание поля]],7,0),"")</f>
        <v/>
      </c>
      <c r="N455" s="8" t="s">
        <v>747</v>
      </c>
      <c r="O455" s="65"/>
      <c r="P455" s="202"/>
      <c r="Q455" s="65"/>
      <c r="R455" s="65"/>
      <c r="S455" s="300"/>
      <c r="U455" s="65"/>
      <c r="V455" s="66" t="str">
        <f>"n308000046_"&amp;IFERROR(VLOOKUP(D455,target_tables[],5,0),"&lt;not found&gt;")</f>
        <v>n308000046_agr_accred_add_type</v>
      </c>
      <c r="W455" s="65" t="s">
        <v>273</v>
      </c>
      <c r="AF455" s="301"/>
      <c r="AG455" s="10"/>
      <c r="AH455" s="65"/>
      <c r="AI455" s="67"/>
      <c r="AJ455" s="68"/>
    </row>
    <row r="456" spans="1:36" ht="13.8" hidden="1" thickBot="1" x14ac:dyDescent="0.3">
      <c r="A456" s="70">
        <f t="shared" si="1"/>
        <v>4140</v>
      </c>
      <c r="B456" s="20" t="s">
        <v>125</v>
      </c>
      <c r="C456" s="71" t="str">
        <f>IFERROR(VLOOKUP(D456,'Target tables'!A:B,2,0),"")</f>
        <v>Тип доп. Соглашения по АЮЛ</v>
      </c>
      <c r="D456" s="212" t="s">
        <v>230</v>
      </c>
      <c r="E456" s="73" t="str">
        <f>IFERROR(VLOOKUP(D456&amp;J456,'Target columns'!A:J,4,FALSE),"")</f>
        <v>TEXT</v>
      </c>
      <c r="F456" s="73" t="str">
        <f>IFERROR(VLOOKUP(D456&amp;J456,'Target columns'!A:J,7,FALSE),"")</f>
        <v>No</v>
      </c>
      <c r="G456" s="73" t="str">
        <f>IFERROR(VLOOKUP(D456&amp;J456,'Target columns'!A:J,8,FALSE),"")</f>
        <v>No</v>
      </c>
      <c r="H456" s="73" t="str">
        <f>IFERROR(VLOOKUP(D456&amp;J456,'Target columns'!A:J,5,FALSE),"")</f>
        <v>NULL</v>
      </c>
      <c r="I456" s="73" t="str">
        <f>IFERROR(VLOOKUP(D456&amp;J456,'Target columns'!A:J,10,FALSE),"")</f>
        <v>Наименования категории соглашения</v>
      </c>
      <c r="J456" s="20" t="s">
        <v>748</v>
      </c>
      <c r="K456" s="71" t="s">
        <v>296</v>
      </c>
      <c r="L456" s="73" t="str">
        <f>IFERROR(VLOOKUP(K456&amp;N456,source_columns[[Seek]:[Описание поля]],4,0),"")</f>
        <v/>
      </c>
      <c r="M456" s="73" t="str">
        <f>IFERROR(VLOOKUP(K456&amp;N456,source_columns[[Seek]:[Описание поля]],7,0),"")</f>
        <v/>
      </c>
      <c r="N456" s="20" t="s">
        <v>749</v>
      </c>
      <c r="O456" s="71"/>
      <c r="P456" s="203"/>
      <c r="Q456" s="71"/>
      <c r="R456" s="71"/>
      <c r="S456" s="300"/>
      <c r="U456" s="71"/>
      <c r="V456" s="73" t="str">
        <f>"n308000046_"&amp;IFERROR(VLOOKUP(D456,target_tables[],5,0),"&lt;not found&gt;")</f>
        <v>n308000046_agr_accred_add_type</v>
      </c>
      <c r="W456" s="71" t="s">
        <v>273</v>
      </c>
      <c r="AF456" s="301"/>
      <c r="AG456" s="27"/>
      <c r="AH456" s="71"/>
      <c r="AI456" s="74"/>
      <c r="AJ456" s="75"/>
    </row>
  </sheetData>
  <autoFilter ref="A2:AJ456">
    <filterColumn colId="3">
      <colorFilter dxfId="1331" cellColor="0"/>
    </filterColumn>
  </autoFilter>
  <mergeCells count="171">
    <mergeCell ref="S454:S456"/>
    <mergeCell ref="AF454:AF456"/>
    <mergeCell ref="S433:S435"/>
    <mergeCell ref="AF433:AF435"/>
    <mergeCell ref="S436:S439"/>
    <mergeCell ref="AF436:AF439"/>
    <mergeCell ref="S440:S441"/>
    <mergeCell ref="AF440:AF441"/>
    <mergeCell ref="S442:S445"/>
    <mergeCell ref="AF442:AF445"/>
    <mergeCell ref="S446:S453"/>
    <mergeCell ref="AF446:AF453"/>
    <mergeCell ref="S409:S411"/>
    <mergeCell ref="AF409:AF411"/>
    <mergeCell ref="S412:S423"/>
    <mergeCell ref="AF412:AF423"/>
    <mergeCell ref="S424:S427"/>
    <mergeCell ref="AF424:AF427"/>
    <mergeCell ref="S428:S429"/>
    <mergeCell ref="AF428:AF429"/>
    <mergeCell ref="S430:S432"/>
    <mergeCell ref="AF430:AF432"/>
    <mergeCell ref="S388:S392"/>
    <mergeCell ref="AF388:AF392"/>
    <mergeCell ref="S393:S397"/>
    <mergeCell ref="AF393:AF397"/>
    <mergeCell ref="S398:S402"/>
    <mergeCell ref="AF398:AF402"/>
    <mergeCell ref="S403:S404"/>
    <mergeCell ref="AF403:AF404"/>
    <mergeCell ref="S405:S408"/>
    <mergeCell ref="AF405:AF408"/>
    <mergeCell ref="S361:S364"/>
    <mergeCell ref="X361:X364"/>
    <mergeCell ref="S365:S367"/>
    <mergeCell ref="X365:X367"/>
    <mergeCell ref="S368:S377"/>
    <mergeCell ref="AF368:AF377"/>
    <mergeCell ref="S378:S382"/>
    <mergeCell ref="AF378:AF382"/>
    <mergeCell ref="S383:S387"/>
    <mergeCell ref="AF383:AF387"/>
    <mergeCell ref="S330:S340"/>
    <mergeCell ref="AF330:AF340"/>
    <mergeCell ref="S341:S345"/>
    <mergeCell ref="AF341:AF345"/>
    <mergeCell ref="S346:S350"/>
    <mergeCell ref="AF346:AF350"/>
    <mergeCell ref="S351:S355"/>
    <mergeCell ref="AF351:AF355"/>
    <mergeCell ref="S356:S360"/>
    <mergeCell ref="AF356:AF360"/>
    <mergeCell ref="S305:S309"/>
    <mergeCell ref="AF305:AF309"/>
    <mergeCell ref="S310:S314"/>
    <mergeCell ref="AF310:AF314"/>
    <mergeCell ref="S315:S319"/>
    <mergeCell ref="AF315:AF319"/>
    <mergeCell ref="S320:S324"/>
    <mergeCell ref="AF320:AF324"/>
    <mergeCell ref="S325:S329"/>
    <mergeCell ref="AF325:AF329"/>
    <mergeCell ref="S274:S278"/>
    <mergeCell ref="AF274:AF278"/>
    <mergeCell ref="S279:S283"/>
    <mergeCell ref="AF279:AF283"/>
    <mergeCell ref="S284:S288"/>
    <mergeCell ref="AF284:AF288"/>
    <mergeCell ref="S289:S299"/>
    <mergeCell ref="AF289:AF299"/>
    <mergeCell ref="S300:S304"/>
    <mergeCell ref="AF300:AF304"/>
    <mergeCell ref="S243:S247"/>
    <mergeCell ref="AF243:AF247"/>
    <mergeCell ref="S248:S258"/>
    <mergeCell ref="AF248:AF258"/>
    <mergeCell ref="S259:S263"/>
    <mergeCell ref="AF259:AF263"/>
    <mergeCell ref="S264:S268"/>
    <mergeCell ref="AF264:AF268"/>
    <mergeCell ref="S269:S273"/>
    <mergeCell ref="AF269:AF273"/>
    <mergeCell ref="S221:S225"/>
    <mergeCell ref="AF221:AF225"/>
    <mergeCell ref="S226:S229"/>
    <mergeCell ref="AF226:AF229"/>
    <mergeCell ref="S230:S231"/>
    <mergeCell ref="AF230:AF231"/>
    <mergeCell ref="S232:S236"/>
    <mergeCell ref="AF232:AF236"/>
    <mergeCell ref="S237:S242"/>
    <mergeCell ref="AF237:AF242"/>
    <mergeCell ref="S202:S205"/>
    <mergeCell ref="AF202:AF205"/>
    <mergeCell ref="S206:S209"/>
    <mergeCell ref="AF206:AF209"/>
    <mergeCell ref="S210:S213"/>
    <mergeCell ref="AF210:AF213"/>
    <mergeCell ref="S214:S216"/>
    <mergeCell ref="AF214:AF216"/>
    <mergeCell ref="S217:S220"/>
    <mergeCell ref="AF217:AF220"/>
    <mergeCell ref="S173:S176"/>
    <mergeCell ref="AF173:AF176"/>
    <mergeCell ref="S177:S189"/>
    <mergeCell ref="AF177:AF189"/>
    <mergeCell ref="S190:S193"/>
    <mergeCell ref="AF190:AF193"/>
    <mergeCell ref="S194:S197"/>
    <mergeCell ref="AF194:AF197"/>
    <mergeCell ref="S198:S201"/>
    <mergeCell ref="AF198:AF201"/>
    <mergeCell ref="S145:S149"/>
    <mergeCell ref="AF145:AF149"/>
    <mergeCell ref="S150:S154"/>
    <mergeCell ref="AF150:AF154"/>
    <mergeCell ref="S155:S158"/>
    <mergeCell ref="AF155:AF158"/>
    <mergeCell ref="S159:S161"/>
    <mergeCell ref="AF159:AF161"/>
    <mergeCell ref="S162:S172"/>
    <mergeCell ref="AF162:AF172"/>
    <mergeCell ref="S112:S123"/>
    <mergeCell ref="AF112:AF123"/>
    <mergeCell ref="S124:S127"/>
    <mergeCell ref="AF124:AF127"/>
    <mergeCell ref="S128:S137"/>
    <mergeCell ref="AF128:AF137"/>
    <mergeCell ref="S138:S140"/>
    <mergeCell ref="AF138:AF140"/>
    <mergeCell ref="S141:S144"/>
    <mergeCell ref="AF141:AF144"/>
    <mergeCell ref="S89:S93"/>
    <mergeCell ref="AF89:AF93"/>
    <mergeCell ref="S94:S99"/>
    <mergeCell ref="AF94:AF99"/>
    <mergeCell ref="AJ95:AJ98"/>
    <mergeCell ref="S100:S102"/>
    <mergeCell ref="AF100:AF102"/>
    <mergeCell ref="S103:S111"/>
    <mergeCell ref="AF103:AF111"/>
    <mergeCell ref="S59:S60"/>
    <mergeCell ref="AF59:AF60"/>
    <mergeCell ref="S61:S74"/>
    <mergeCell ref="AF61:AF74"/>
    <mergeCell ref="S75:S78"/>
    <mergeCell ref="AF75:AF78"/>
    <mergeCell ref="S79:S83"/>
    <mergeCell ref="AF79:AF83"/>
    <mergeCell ref="S84:S88"/>
    <mergeCell ref="AF84:AF88"/>
    <mergeCell ref="S36:S40"/>
    <mergeCell ref="AF36:AF40"/>
    <mergeCell ref="S41:S45"/>
    <mergeCell ref="AF41:AF45"/>
    <mergeCell ref="S46:S48"/>
    <mergeCell ref="AF46:AF48"/>
    <mergeCell ref="S49:S52"/>
    <mergeCell ref="AF49:AF52"/>
    <mergeCell ref="S53:S58"/>
    <mergeCell ref="AF53:AF58"/>
    <mergeCell ref="S3:S15"/>
    <mergeCell ref="AF3:AF15"/>
    <mergeCell ref="S16:S20"/>
    <mergeCell ref="AF16:AF20"/>
    <mergeCell ref="S21:S28"/>
    <mergeCell ref="AF21:AF28"/>
    <mergeCell ref="S29:S31"/>
    <mergeCell ref="AF29:AF31"/>
    <mergeCell ref="S32:S35"/>
    <mergeCell ref="AF32:AF35"/>
  </mergeCells>
  <conditionalFormatting sqref="K364">
    <cfRule type="expression" dxfId="1259" priority="596">
      <formula>$B364&lt;&gt;#REF!</formula>
    </cfRule>
  </conditionalFormatting>
  <conditionalFormatting sqref="J367">
    <cfRule type="expression" dxfId="1258" priority="593">
      <formula>$B367&lt;&gt;#REF!</formula>
    </cfRule>
  </conditionalFormatting>
  <conditionalFormatting sqref="N143">
    <cfRule type="expression" dxfId="1257" priority="142">
      <formula>$B125&lt;&gt;$B126</formula>
    </cfRule>
  </conditionalFormatting>
  <conditionalFormatting sqref="K141:K143 K150:K153 K145:K148 K128:K136">
    <cfRule type="expression" dxfId="1256" priority="141">
      <formula>#REF!&lt;&gt;#REF!</formula>
    </cfRule>
  </conditionalFormatting>
  <conditionalFormatting sqref="K141:K143 K150:K153 K145:K148 K128:K136">
    <cfRule type="expression" dxfId="1255" priority="140">
      <formula>#REF!&lt;&gt;#REF!</formula>
    </cfRule>
  </conditionalFormatting>
  <conditionalFormatting sqref="N139">
    <cfRule type="expression" dxfId="1254" priority="139">
      <formula>$B114&lt;&gt;$B116</formula>
    </cfRule>
  </conditionalFormatting>
  <conditionalFormatting sqref="S56">
    <cfRule type="expression" dxfId="1253" priority="138">
      <formula>$B55&lt;&gt;$B57</formula>
    </cfRule>
  </conditionalFormatting>
  <conditionalFormatting sqref="P23">
    <cfRule type="expression" dxfId="1252" priority="137">
      <formula>$B22&lt;&gt;$B24</formula>
    </cfRule>
  </conditionalFormatting>
  <conditionalFormatting sqref="N13 K362 K64 K66">
    <cfRule type="expression" dxfId="1251" priority="136">
      <formula>$B13&lt;&gt;$B15</formula>
    </cfRule>
  </conditionalFormatting>
  <conditionalFormatting sqref="N12">
    <cfRule type="expression" dxfId="1250" priority="135">
      <formula>$B12&lt;&gt;$B14</formula>
    </cfRule>
  </conditionalFormatting>
  <conditionalFormatting sqref="N15">
    <cfRule type="expression" dxfId="1249" priority="134">
      <formula>$B15&lt;&gt;$B17</formula>
    </cfRule>
  </conditionalFormatting>
  <conditionalFormatting sqref="N18:N19">
    <cfRule type="expression" dxfId="1248" priority="133">
      <formula>$B18&lt;&gt;$B20</formula>
    </cfRule>
  </conditionalFormatting>
  <conditionalFormatting sqref="N18:N19">
    <cfRule type="expression" dxfId="1247" priority="132">
      <formula>#REF!&lt;&gt;#REF!</formula>
    </cfRule>
  </conditionalFormatting>
  <conditionalFormatting sqref="N34">
    <cfRule type="expression" dxfId="1246" priority="130">
      <formula>$B33&lt;&gt;$B35</formula>
    </cfRule>
  </conditionalFormatting>
  <conditionalFormatting sqref="N34">
    <cfRule type="expression" dxfId="1245" priority="129">
      <formula>$B33&lt;&gt;$B34</formula>
    </cfRule>
  </conditionalFormatting>
  <conditionalFormatting sqref="N37">
    <cfRule type="expression" dxfId="1244" priority="128">
      <formula>$B36&lt;&gt;$B38</formula>
    </cfRule>
  </conditionalFormatting>
  <conditionalFormatting sqref="N38">
    <cfRule type="expression" dxfId="1243" priority="127">
      <formula>$B37&lt;&gt;$B39</formula>
    </cfRule>
  </conditionalFormatting>
  <conditionalFormatting sqref="N38">
    <cfRule type="expression" dxfId="1242" priority="126">
      <formula>$B37&lt;&gt;$B38</formula>
    </cfRule>
  </conditionalFormatting>
  <conditionalFormatting sqref="N43">
    <cfRule type="expression" dxfId="1241" priority="125">
      <formula>$B42&lt;&gt;$B44</formula>
    </cfRule>
  </conditionalFormatting>
  <conditionalFormatting sqref="N43">
    <cfRule type="expression" dxfId="1240" priority="124">
      <formula>$B42&lt;&gt;$B43</formula>
    </cfRule>
  </conditionalFormatting>
  <conditionalFormatting sqref="N42">
    <cfRule type="expression" dxfId="1239" priority="123">
      <formula>$B41&lt;&gt;$B42</formula>
    </cfRule>
  </conditionalFormatting>
  <conditionalFormatting sqref="N42">
    <cfRule type="expression" dxfId="1238" priority="122">
      <formula>$B41&lt;&gt;$B43</formula>
    </cfRule>
  </conditionalFormatting>
  <conditionalFormatting sqref="S36">
    <cfRule type="expression" dxfId="1237" priority="121">
      <formula>$B36&lt;&gt;$B38</formula>
    </cfRule>
  </conditionalFormatting>
  <conditionalFormatting sqref="S41 K68:K73 K63">
    <cfRule type="expression" dxfId="1236" priority="120">
      <formula>$B41&lt;&gt;$B42</formula>
    </cfRule>
  </conditionalFormatting>
  <conditionalFormatting sqref="S41">
    <cfRule type="expression" dxfId="1235" priority="119">
      <formula>$B41&lt;&gt;$B43</formula>
    </cfRule>
  </conditionalFormatting>
  <conditionalFormatting sqref="N56">
    <cfRule type="expression" dxfId="1234" priority="118">
      <formula>$B55&lt;&gt;$B57</formula>
    </cfRule>
  </conditionalFormatting>
  <conditionalFormatting sqref="N57">
    <cfRule type="expression" dxfId="1233" priority="117">
      <formula>$B56&lt;&gt;$B58</formula>
    </cfRule>
  </conditionalFormatting>
  <conditionalFormatting sqref="N57">
    <cfRule type="expression" dxfId="1232" priority="116">
      <formula>$B56&lt;&gt;$B57</formula>
    </cfRule>
  </conditionalFormatting>
  <conditionalFormatting sqref="N55">
    <cfRule type="expression" dxfId="1231" priority="112">
      <formula>$B54&lt;&gt;$B56</formula>
    </cfRule>
  </conditionalFormatting>
  <conditionalFormatting sqref="M55">
    <cfRule type="expression" dxfId="1230" priority="111">
      <formula>$B54&lt;&gt;$B56</formula>
    </cfRule>
  </conditionalFormatting>
  <conditionalFormatting sqref="N72">
    <cfRule type="expression" dxfId="1229" priority="110">
      <formula>$B72&lt;&gt;$B74</formula>
    </cfRule>
  </conditionalFormatting>
  <conditionalFormatting sqref="N71">
    <cfRule type="expression" dxfId="1228" priority="109">
      <formula>$B71&lt;&gt;$B73</formula>
    </cfRule>
  </conditionalFormatting>
  <conditionalFormatting sqref="K62 K361">
    <cfRule type="expression" dxfId="1227" priority="108">
      <formula>$B62&lt;&gt;$B63</formula>
    </cfRule>
  </conditionalFormatting>
  <conditionalFormatting sqref="N77">
    <cfRule type="expression" dxfId="1226" priority="106">
      <formula>$B76&lt;&gt;$B78</formula>
    </cfRule>
  </conditionalFormatting>
  <conditionalFormatting sqref="N77">
    <cfRule type="expression" dxfId="1225" priority="105">
      <formula>$B76&lt;&gt;$B77</formula>
    </cfRule>
  </conditionalFormatting>
  <conditionalFormatting sqref="N80">
    <cfRule type="expression" dxfId="1224" priority="104">
      <formula>$B79&lt;&gt;$B81</formula>
    </cfRule>
  </conditionalFormatting>
  <conditionalFormatting sqref="N81">
    <cfRule type="expression" dxfId="1223" priority="103">
      <formula>$B80&lt;&gt;$B82</formula>
    </cfRule>
  </conditionalFormatting>
  <conditionalFormatting sqref="N81">
    <cfRule type="expression" dxfId="1222" priority="102">
      <formula>$B80&lt;&gt;$B81</formula>
    </cfRule>
  </conditionalFormatting>
  <conditionalFormatting sqref="N86">
    <cfRule type="expression" dxfId="1221" priority="101">
      <formula>$B85&lt;&gt;$B87</formula>
    </cfRule>
  </conditionalFormatting>
  <conditionalFormatting sqref="N86">
    <cfRule type="expression" dxfId="1220" priority="100">
      <formula>$B85&lt;&gt;$B86</formula>
    </cfRule>
  </conditionalFormatting>
  <conditionalFormatting sqref="N85">
    <cfRule type="expression" dxfId="1219" priority="99">
      <formula>$B84&lt;&gt;$B85</formula>
    </cfRule>
  </conditionalFormatting>
  <conditionalFormatting sqref="N85">
    <cfRule type="expression" dxfId="1218" priority="98">
      <formula>$B84&lt;&gt;$B86</formula>
    </cfRule>
  </conditionalFormatting>
  <conditionalFormatting sqref="S80">
    <cfRule type="expression" dxfId="1217" priority="97">
      <formula>$B79&lt;&gt;$B81</formula>
    </cfRule>
  </conditionalFormatting>
  <conditionalFormatting sqref="S85">
    <cfRule type="expression" dxfId="1216" priority="96">
      <formula>$B84&lt;&gt;$B85</formula>
    </cfRule>
  </conditionalFormatting>
  <conditionalFormatting sqref="S85">
    <cfRule type="expression" dxfId="1215" priority="95">
      <formula>$B84&lt;&gt;$B86</formula>
    </cfRule>
  </conditionalFormatting>
  <conditionalFormatting sqref="N91">
    <cfRule type="expression" dxfId="1214" priority="94">
      <formula>$B90&lt;&gt;$B92</formula>
    </cfRule>
  </conditionalFormatting>
  <conditionalFormatting sqref="N91">
    <cfRule type="expression" dxfId="1213" priority="93">
      <formula>$B90&lt;&gt;$B91</formula>
    </cfRule>
  </conditionalFormatting>
  <conditionalFormatting sqref="N90">
    <cfRule type="expression" dxfId="1212" priority="92">
      <formula>$B89&lt;&gt;$B90</formula>
    </cfRule>
  </conditionalFormatting>
  <conditionalFormatting sqref="N90">
    <cfRule type="expression" dxfId="1211" priority="91">
      <formula>$B89&lt;&gt;$B91</formula>
    </cfRule>
  </conditionalFormatting>
  <conditionalFormatting sqref="S90">
    <cfRule type="expression" dxfId="1210" priority="90">
      <formula>$B89&lt;&gt;$B90</formula>
    </cfRule>
  </conditionalFormatting>
  <conditionalFormatting sqref="S90">
    <cfRule type="expression" dxfId="1209" priority="89">
      <formula>$B89&lt;&gt;$B91</formula>
    </cfRule>
  </conditionalFormatting>
  <conditionalFormatting sqref="N98">
    <cfRule type="expression" dxfId="1208" priority="88">
      <formula>$B97&lt;&gt;$B99</formula>
    </cfRule>
  </conditionalFormatting>
  <conditionalFormatting sqref="N98">
    <cfRule type="expression" dxfId="1207" priority="87">
      <formula>$B97&lt;&gt;$B98</formula>
    </cfRule>
  </conditionalFormatting>
  <conditionalFormatting sqref="K95">
    <cfRule type="expression" dxfId="1206" priority="86">
      <formula>$B95&lt;&gt;$B96</formula>
    </cfRule>
  </conditionalFormatting>
  <conditionalFormatting sqref="N108">
    <cfRule type="expression" dxfId="1205" priority="85">
      <formula>$B108&lt;&gt;$B111</formula>
    </cfRule>
  </conditionalFormatting>
  <conditionalFormatting sqref="N107">
    <cfRule type="expression" dxfId="1204" priority="84">
      <formula>$B106&lt;&gt;$B107</formula>
    </cfRule>
  </conditionalFormatting>
  <conditionalFormatting sqref="K113">
    <cfRule type="expression" dxfId="1203" priority="83">
      <formula>$B113&lt;&gt;#REF!</formula>
    </cfRule>
  </conditionalFormatting>
  <conditionalFormatting sqref="K114">
    <cfRule type="expression" dxfId="1202" priority="82">
      <formula>$B114&lt;&gt;$B116</formula>
    </cfRule>
  </conditionalFormatting>
  <conditionalFormatting sqref="N126 N132 N136">
    <cfRule type="expression" dxfId="1201" priority="81">
      <formula>$B125&lt;&gt;$B127</formula>
    </cfRule>
  </conditionalFormatting>
  <conditionalFormatting sqref="N126 N132 N136">
    <cfRule type="expression" dxfId="1200" priority="80">
      <formula>$B125&lt;&gt;$B126</formula>
    </cfRule>
  </conditionalFormatting>
  <conditionalFormatting sqref="K138:K140">
    <cfRule type="expression" dxfId="1199" priority="79">
      <formula>$B138&lt;&gt;$B139</formula>
    </cfRule>
  </conditionalFormatting>
  <conditionalFormatting sqref="N151">
    <cfRule type="expression" dxfId="1198" priority="78">
      <formula>$B133&lt;&gt;$B134</formula>
    </cfRule>
  </conditionalFormatting>
  <conditionalFormatting sqref="N95">
    <cfRule type="expression" dxfId="1197" priority="77">
      <formula>$B94&lt;&gt;$B96</formula>
    </cfRule>
  </conditionalFormatting>
  <conditionalFormatting sqref="N96">
    <cfRule type="expression" dxfId="1196" priority="76">
      <formula>$B96&lt;&gt;$B102</formula>
    </cfRule>
  </conditionalFormatting>
  <conditionalFormatting sqref="N97">
    <cfRule type="expression" dxfId="1195" priority="75">
      <formula>$B97&lt;&gt;$B102</formula>
    </cfRule>
  </conditionalFormatting>
  <conditionalFormatting sqref="K115">
    <cfRule type="expression" dxfId="1194" priority="74">
      <formula>$B115&lt;&gt;$B124</formula>
    </cfRule>
  </conditionalFormatting>
  <conditionalFormatting sqref="N160">
    <cfRule type="expression" dxfId="1193" priority="73">
      <formula>$B159&lt;&gt;#REF!</formula>
    </cfRule>
  </conditionalFormatting>
  <conditionalFormatting sqref="N160">
    <cfRule type="expression" dxfId="1192" priority="72">
      <formula>$B159&lt;&gt;$B160</formula>
    </cfRule>
  </conditionalFormatting>
  <conditionalFormatting sqref="K104:K109">
    <cfRule type="expression" dxfId="1191" priority="71">
      <formula>$B104&lt;&gt;#REF!</formula>
    </cfRule>
  </conditionalFormatting>
  <conditionalFormatting sqref="J117:J122">
    <cfRule type="expression" dxfId="1190" priority="70">
      <formula>$B117&lt;&gt;$B118</formula>
    </cfRule>
  </conditionalFormatting>
  <conditionalFormatting sqref="N117:N121">
    <cfRule type="expression" dxfId="1189" priority="69">
      <formula>$B117&lt;&gt;$B118</formula>
    </cfRule>
  </conditionalFormatting>
  <conditionalFormatting sqref="N51">
    <cfRule type="expression" dxfId="1188" priority="67">
      <formula>$B51&lt;&gt;$B52</formula>
    </cfRule>
  </conditionalFormatting>
  <conditionalFormatting sqref="N122">
    <cfRule type="expression" dxfId="1187" priority="64">
      <formula>$B122&lt;&gt;$B123</formula>
    </cfRule>
  </conditionalFormatting>
  <conditionalFormatting sqref="N362">
    <cfRule type="expression" dxfId="1186" priority="63">
      <formula>$B337&lt;&gt;$B339</formula>
    </cfRule>
  </conditionalFormatting>
  <conditionalFormatting sqref="J365:J366">
    <cfRule type="expression" dxfId="1185" priority="61">
      <formula>$B365&lt;&gt;$B366</formula>
    </cfRule>
  </conditionalFormatting>
  <conditionalFormatting sqref="K363">
    <cfRule type="expression" dxfId="1184" priority="60">
      <formula>$B363&lt;&gt;$B365</formula>
    </cfRule>
  </conditionalFormatting>
  <conditionalFormatting sqref="K405">
    <cfRule type="expression" dxfId="1183" priority="56">
      <formula>$B405&lt;&gt;$B407</formula>
    </cfRule>
  </conditionalFormatting>
  <conditionalFormatting sqref="K405">
    <cfRule type="expression" dxfId="1182" priority="55">
      <formula>$B405&lt;&gt;#REF!</formula>
    </cfRule>
  </conditionalFormatting>
  <conditionalFormatting sqref="K406">
    <cfRule type="expression" dxfId="1181" priority="54">
      <formula>$B406&lt;&gt;$B408</formula>
    </cfRule>
  </conditionalFormatting>
  <conditionalFormatting sqref="K406">
    <cfRule type="expression" dxfId="1180" priority="53">
      <formula>$B406&lt;&gt;#REF!</formula>
    </cfRule>
  </conditionalFormatting>
  <conditionalFormatting sqref="N406">
    <cfRule type="expression" dxfId="1179" priority="48">
      <formula>$B406&lt;&gt;$B408</formula>
    </cfRule>
  </conditionalFormatting>
  <conditionalFormatting sqref="N406">
    <cfRule type="expression" dxfId="1178" priority="47">
      <formula>$B406&lt;&gt;#REF!</formula>
    </cfRule>
  </conditionalFormatting>
  <conditionalFormatting sqref="N425">
    <cfRule type="expression" dxfId="1177" priority="42">
      <formula>$B425&lt;&gt;$B427</formula>
    </cfRule>
  </conditionalFormatting>
  <conditionalFormatting sqref="N425">
    <cfRule type="expression" dxfId="1176" priority="41">
      <formula>$B425&lt;&gt;#REF!</formula>
    </cfRule>
  </conditionalFormatting>
  <conditionalFormatting sqref="K67">
    <cfRule type="expression" dxfId="1175" priority="40">
      <formula>$B67&lt;&gt;$B68</formula>
    </cfRule>
  </conditionalFormatting>
  <conditionalFormatting sqref="K442">
    <cfRule type="expression" dxfId="1174" priority="39">
      <formula>$B442&lt;&gt;$B444</formula>
    </cfRule>
  </conditionalFormatting>
  <conditionalFormatting sqref="K442">
    <cfRule type="expression" dxfId="1173" priority="38">
      <formula>$B442&lt;&gt;#REF!</formula>
    </cfRule>
  </conditionalFormatting>
  <conditionalFormatting sqref="K443">
    <cfRule type="expression" dxfId="1172" priority="37">
      <formula>$B443&lt;&gt;$B445</formula>
    </cfRule>
  </conditionalFormatting>
  <conditionalFormatting sqref="K443">
    <cfRule type="expression" dxfId="1171" priority="36">
      <formula>$B443&lt;&gt;#REF!</formula>
    </cfRule>
  </conditionalFormatting>
  <conditionalFormatting sqref="N443">
    <cfRule type="expression" dxfId="1170" priority="35">
      <formula>$B443&lt;&gt;$B445</formula>
    </cfRule>
  </conditionalFormatting>
  <conditionalFormatting sqref="N443">
    <cfRule type="expression" dxfId="1169" priority="34">
      <formula>$B443&lt;&gt;#REF!</formula>
    </cfRule>
  </conditionalFormatting>
  <conditionalFormatting sqref="K65">
    <cfRule type="expression" dxfId="1168" priority="1">
      <formula>$B65&lt;&gt;$B67</formula>
    </cfRule>
  </conditionalFormatting>
  <dataValidations count="2">
    <dataValidation type="list" allowBlank="1" showInputMessage="1" showErrorMessage="1" sqref="IX22:IX172 ST22:ST172 ACP22:ACP172 AML22:AML172 AWH22:AWH172 BGD22:BGD172 BPZ22:BPZ172 BZV22:BZV172 CJR22:CJR172 CTN22:CTN172 DDJ22:DDJ172 DNF22:DNF172 DXB22:DXB172 EGX22:EGX172 EQT22:EQT172 FAP22:FAP172 FKL22:FKL172 FUH22:FUH172 GED22:GED172 GNZ22:GNZ172 GXV22:GXV172 HHR22:HHR172 HRN22:HRN172 IBJ22:IBJ172 ILF22:ILF172 IVB22:IVB172 JEX22:JEX172 JOT22:JOT172 JYP22:JYP172 KIL22:KIL172 KSH22:KSH172 LCD22:LCD172 LLZ22:LLZ172 LVV22:LVV172 MFR22:MFR172 MPN22:MPN172 MZJ22:MZJ172 NJF22:NJF172 NTB22:NTB172 OCX22:OCX172 OMT22:OMT172 OWP22:OWP172 PGL22:PGL172 PQH22:PQH172 QAD22:QAD172 QJZ22:QJZ172 QTV22:QTV172 RDR22:RDR172 RNN22:RNN172 RXJ22:RXJ172 SHF22:SHF172 SRB22:SRB172 TAX22:TAX172 TKT22:TKT172 TUP22:TUP172 UEL22:UEL172 UOH22:UOH172 UYD22:UYD172 VHZ22:VHZ172 VRV22:VRV172 WBR22:WBR172 WLN22:WLN172 WVJ22:WVJ172 WVJ2:WVJ20 WLN2:WLN20 WBR2:WBR20 VRV2:VRV20 VHZ2:VHZ20 UYD2:UYD20 UOH2:UOH20 UEL2:UEL20 TUP2:TUP20 TKT2:TKT20 TAX2:TAX20 SRB2:SRB20 SHF2:SHF20 RXJ2:RXJ20 RNN2:RNN20 RDR2:RDR20 QTV2:QTV20 QJZ2:QJZ20 QAD2:QAD20 PQH2:PQH20 PGL2:PGL20 OWP2:OWP20 OMT2:OMT20 OCX2:OCX20 NTB2:NTB20 NJF2:NJF20 MZJ2:MZJ20 MPN2:MPN20 MFR2:MFR20 LVV2:LVV20 LLZ2:LLZ20 LCD2:LCD20 KSH2:KSH20 KIL2:KIL20 JYP2:JYP20 JOT2:JOT20 JEX2:JEX20 IVB2:IVB20 ILF2:ILF20 IBJ2:IBJ20 HRN2:HRN20 HHR2:HHR20 GXV2:GXV20 GNZ2:GNZ20 GED2:GED20 FUH2:FUH20 FKL2:FKL20 FAP2:FAP20 EQT2:EQT20 EGX2:EGX20 DXB2:DXB20 DNF2:DNF20 DDJ2:DDJ20 CTN2:CTN20 CJR2:CJR20 BZV2:BZV20 BPZ2:BPZ20 BGD2:BGD20 AWH2:AWH20 AML2:AML20 ACP2:ACP20 ST2:ST20 IX2:IX20">
      <formula1>lov_hist_role</formula1>
      <formula2>0</formula2>
    </dataValidation>
    <dataValidation type="list" allowBlank="1" showInputMessage="1" showErrorMessage="1" sqref="W3:W456">
      <formula1>"Ключ,Начало,Конец,-"</formula1>
      <formula2>0</formula2>
    </dataValidation>
  </dataValidations>
  <pageMargins left="0.75" right="0.75" top="1" bottom="1" header="0.51181102362204689" footer="0.51181102362204689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Глоссарий!$A$4:$A$6</xm:f>
          </x14:formula1>
          <x14:formula2>
            <xm:f>0</xm:f>
          </x14:formula2>
          <xm:sqref>AF3 AB18:AB20 AF61 AB61:AB70 AF103 AB103:AB106 AB139 AB141:AB143 AB3:AB11</xm:sqref>
        </x14:dataValidation>
        <x14:dataValidation type="list" allowBlank="1" showInputMessage="1" showErrorMessage="1">
          <x14:formula1>
            <xm:f>Глоссарий!$A$2:$A$6</xm:f>
          </x14:formula1>
          <x14:formula2>
            <xm:f>0</xm:f>
          </x14:formula2>
          <xm:sqref>AG28:AG29 AG33 AG37 AG42 AG50:AG52 AG76 AG80 AG85 AG90 AG101 AG113 AG125 AG129:AG130 AG135 AG139 AG143 Y362:Y363</xm:sqref>
        </x14:dataValidation>
        <x14:dataValidation type="list" allowBlank="1" showInputMessage="1" showErrorMessage="1">
          <x14:formula1>
            <xm:f>Глоссарий!$E$2:$E$3</xm:f>
          </x14:formula1>
          <x14:formula2>
            <xm:f>0</xm:f>
          </x14:formula2>
          <xm:sqref>AA12:AB17 AA18:AA20 AA21:AB60 AA61:AA70 AA71:AB102 AA103:AA106 AA107:AB138 AA139 AA140:AB140 AA141:AA143 AA144:AB172 AD3:AD172 AA3:AA11 X3:Y172</xm:sqref>
        </x14:dataValidation>
        <x14:dataValidation type="list" allowBlank="1" showInputMessage="1" showErrorMessage="1">
          <x14:formula1>
            <xm:f>Глоссарий!$G$2:$G$4</xm:f>
          </x14:formula1>
          <x14:formula2>
            <xm:f>0</xm:f>
          </x14:formula2>
          <xm:sqref>AC3:AC172</xm:sqref>
        </x14:dataValidation>
        <x14:dataValidation type="list" allowBlank="1" showInputMessage="1" showErrorMessage="1">
          <x14:formula1>
            <xm:f>Глоссарий!$I$2:$I$3</xm:f>
          </x14:formula1>
          <x14:formula2>
            <xm:f>0</xm:f>
          </x14:formula2>
          <xm:sqref>AE1:AE172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5"/>
  </sheetPr>
  <dimension ref="A1:L578"/>
  <sheetViews>
    <sheetView zoomScale="70" zoomScaleNormal="70" workbookViewId="0">
      <pane ySplit="2" topLeftCell="A527" activePane="bottomLeft" state="frozen"/>
      <selection activeCell="C551" sqref="C551"/>
      <selection pane="bottomLeft" activeCell="C555" sqref="C555"/>
    </sheetView>
  </sheetViews>
  <sheetFormatPr defaultColWidth="20.33203125" defaultRowHeight="13.2" outlineLevelCol="1" x14ac:dyDescent="0.25"/>
  <cols>
    <col min="1" max="1" width="67.6640625" style="1" customWidth="1" outlineLevel="1"/>
    <col min="2" max="2" width="56.33203125" style="2" customWidth="1"/>
    <col min="3" max="3" width="43.5546875" style="2" customWidth="1"/>
    <col min="4" max="4" width="20.33203125" style="2" customWidth="1"/>
    <col min="5" max="5" width="16.44140625" style="2" customWidth="1"/>
    <col min="6" max="6" width="12.6640625" style="1" customWidth="1"/>
    <col min="7" max="7" width="36.6640625" style="1" customWidth="1"/>
    <col min="8" max="8" width="19.109375" style="1" customWidth="1"/>
    <col min="9" max="9" width="15.44140625" style="1" customWidth="1"/>
    <col min="10" max="10" width="32.44140625" style="1" hidden="1" customWidth="1" outlineLevel="1"/>
    <col min="11" max="11" width="24.6640625" style="1" hidden="1" customWidth="1" outlineLevel="1"/>
    <col min="12" max="12" width="20.33203125" style="1" collapsed="1"/>
    <col min="13" max="16384" width="20.33203125" style="1"/>
  </cols>
  <sheetData>
    <row r="1" spans="1:11" ht="12.75" customHeight="1" x14ac:dyDescent="0.25">
      <c r="D1" s="140">
        <f>COLUMN()</f>
        <v>4</v>
      </c>
      <c r="E1" s="140">
        <f>COLUMN()</f>
        <v>5</v>
      </c>
      <c r="F1" s="140">
        <f>COLUMN()</f>
        <v>6</v>
      </c>
      <c r="G1" s="140">
        <f>COLUMN()</f>
        <v>7</v>
      </c>
      <c r="J1" s="315" t="s">
        <v>750</v>
      </c>
      <c r="K1" s="315"/>
    </row>
    <row r="2" spans="1:11" s="216" customFormat="1" x14ac:dyDescent="0.3">
      <c r="A2" s="215" t="s">
        <v>751</v>
      </c>
      <c r="B2" s="215" t="s">
        <v>752</v>
      </c>
      <c r="C2" s="215" t="s">
        <v>753</v>
      </c>
      <c r="D2" s="215" t="s">
        <v>754</v>
      </c>
      <c r="E2" s="215" t="s">
        <v>755</v>
      </c>
      <c r="F2" s="215" t="s">
        <v>238</v>
      </c>
      <c r="G2" s="215" t="s">
        <v>756</v>
      </c>
      <c r="H2" s="215" t="s">
        <v>757</v>
      </c>
      <c r="I2" s="215" t="s">
        <v>263</v>
      </c>
      <c r="J2" s="215" t="s">
        <v>751</v>
      </c>
      <c r="K2" s="215" t="s">
        <v>754</v>
      </c>
    </row>
    <row r="3" spans="1:11" x14ac:dyDescent="0.25">
      <c r="A3" s="2" t="str">
        <f>source_columns[[#This Row],[Название таблицы STAGE]]&amp;source_columns[[#This Row],[Название поля]]</f>
        <v>b3080000460001_escrow_legal214_agreement_actual_dtoescrowId_agreement</v>
      </c>
      <c r="B3" s="2" t="s">
        <v>208</v>
      </c>
      <c r="C3" s="2" t="s">
        <v>280</v>
      </c>
      <c r="D3" s="2" t="s">
        <v>320</v>
      </c>
      <c r="E3" s="2" t="s">
        <v>758</v>
      </c>
      <c r="F3" s="2" t="s">
        <v>759</v>
      </c>
      <c r="G3" s="2" t="s">
        <v>323</v>
      </c>
      <c r="H3" s="2"/>
      <c r="I3" s="2"/>
      <c r="J3" s="2"/>
      <c r="K3" s="2"/>
    </row>
    <row r="4" spans="1:11" x14ac:dyDescent="0.25">
      <c r="A4" s="2" t="str">
        <f>source_columns[[#This Row],[Название таблицы STAGE]]&amp;source_columns[[#This Row],[Название поля]]</f>
        <v>b3080000460001_escrow_legal214_agreement_actual_dtoescrowId_agreement_uid</v>
      </c>
      <c r="B4" s="2" t="s">
        <v>208</v>
      </c>
      <c r="C4" s="2" t="s">
        <v>268</v>
      </c>
      <c r="D4" s="2" t="s">
        <v>316</v>
      </c>
      <c r="E4" s="2" t="s">
        <v>758</v>
      </c>
      <c r="F4" s="2" t="s">
        <v>759</v>
      </c>
      <c r="G4" s="2" t="s">
        <v>323</v>
      </c>
      <c r="H4" s="2"/>
      <c r="I4" s="2"/>
      <c r="J4" s="2"/>
      <c r="K4" s="2"/>
    </row>
    <row r="5" spans="1:11" x14ac:dyDescent="0.25">
      <c r="A5" s="2" t="str">
        <f>source_columns[[#This Row],[Название таблицы STAGE]]&amp;source_columns[[#This Row],[Название поля]]</f>
        <v>b3080000460001_escrow_legal214_agreement_actual_dtoopenDate_agreement</v>
      </c>
      <c r="B5" s="2" t="s">
        <v>208</v>
      </c>
      <c r="C5" s="2" t="s">
        <v>272</v>
      </c>
      <c r="D5" s="2" t="s">
        <v>302</v>
      </c>
      <c r="E5" s="2" t="s">
        <v>760</v>
      </c>
      <c r="F5" s="2" t="s">
        <v>420</v>
      </c>
      <c r="G5" s="2" t="s">
        <v>761</v>
      </c>
      <c r="H5" s="2"/>
      <c r="I5" s="2"/>
      <c r="J5" s="2"/>
      <c r="K5" s="2"/>
    </row>
    <row r="6" spans="1:11" x14ac:dyDescent="0.25">
      <c r="A6" s="2" t="str">
        <f>source_columns[[#This Row],[Название таблицы STAGE]]&amp;source_columns[[#This Row],[Название поля]]</f>
        <v>b3080000460001_escrow_legal214_agreement_actual_dtocloseDate_agreement</v>
      </c>
      <c r="B6" s="2" t="s">
        <v>208</v>
      </c>
      <c r="C6" s="2" t="s">
        <v>276</v>
      </c>
      <c r="D6" s="2" t="s">
        <v>302</v>
      </c>
      <c r="E6" s="2" t="s">
        <v>760</v>
      </c>
      <c r="F6" s="2" t="s">
        <v>420</v>
      </c>
      <c r="G6" s="2" t="s">
        <v>762</v>
      </c>
      <c r="H6" s="2"/>
      <c r="I6" s="2"/>
      <c r="J6" s="2"/>
      <c r="K6" s="2"/>
    </row>
    <row r="7" spans="1:11" x14ac:dyDescent="0.25">
      <c r="A7" s="2" t="str">
        <f>source_columns[[#This Row],[Название таблицы STAGE]]&amp;source_columns[[#This Row],[Название поля]]</f>
        <v>b3080000460001_escrow_legal214_agreement_actual_dtoreference_agreement</v>
      </c>
      <c r="B7" s="2" t="s">
        <v>208</v>
      </c>
      <c r="C7" s="2" t="s">
        <v>278</v>
      </c>
      <c r="D7" s="2" t="s">
        <v>320</v>
      </c>
      <c r="E7" s="2" t="s">
        <v>760</v>
      </c>
      <c r="F7" s="2" t="s">
        <v>420</v>
      </c>
      <c r="G7" s="2" t="s">
        <v>763</v>
      </c>
      <c r="H7" s="2"/>
      <c r="I7" s="2"/>
      <c r="J7" s="2"/>
      <c r="K7" s="2"/>
    </row>
    <row r="8" spans="1:11" ht="12.75" customHeight="1" x14ac:dyDescent="0.25">
      <c r="A8" s="2" t="str">
        <f>source_columns[[#This Row],[Название таблицы STAGE]]&amp;source_columns[[#This Row],[Название поля]]</f>
        <v>b3080000460001_escrow_legal214_agreement_actual_dtolegalEpkId_beneficiary</v>
      </c>
      <c r="B8" s="2" t="s">
        <v>208</v>
      </c>
      <c r="C8" s="2" t="s">
        <v>764</v>
      </c>
      <c r="D8" s="2" t="s">
        <v>320</v>
      </c>
      <c r="E8" s="2" t="s">
        <v>760</v>
      </c>
      <c r="F8" s="2" t="s">
        <v>420</v>
      </c>
      <c r="G8" s="2" t="s">
        <v>765</v>
      </c>
      <c r="I8" s="2"/>
      <c r="J8" s="2"/>
      <c r="K8" s="2"/>
    </row>
    <row r="9" spans="1:11" x14ac:dyDescent="0.25">
      <c r="A9" s="2" t="str">
        <f>source_columns[[#This Row],[Название таблицы STAGE]]&amp;source_columns[[#This Row],[Название поля]]</f>
        <v>b3080000460001_escrow_legal214_agreement_actual_dtolegalEpkId_beneficiary_uid</v>
      </c>
      <c r="B9" s="2" t="s">
        <v>208</v>
      </c>
      <c r="C9" s="2" t="s">
        <v>353</v>
      </c>
      <c r="D9" s="2" t="s">
        <v>316</v>
      </c>
      <c r="E9" s="2" t="s">
        <v>760</v>
      </c>
      <c r="F9" s="2" t="s">
        <v>420</v>
      </c>
      <c r="G9" s="2" t="s">
        <v>765</v>
      </c>
      <c r="H9" s="2"/>
      <c r="I9" s="2"/>
      <c r="J9" s="2"/>
      <c r="K9" s="2"/>
    </row>
    <row r="10" spans="1:11" x14ac:dyDescent="0.25">
      <c r="A10" s="2" t="str">
        <f>source_columns[[#This Row],[Название таблицы STAGE]]&amp;source_columns[[#This Row],[Название поля]]</f>
        <v>b3080000460001_escrow_legal214_agreement_actual_dtoestateObject_ExpireDate_agreementObject</v>
      </c>
      <c r="B10" s="2" t="s">
        <v>208</v>
      </c>
      <c r="C10" s="2" t="s">
        <v>282</v>
      </c>
      <c r="D10" s="2" t="s">
        <v>302</v>
      </c>
      <c r="E10" s="2" t="s">
        <v>760</v>
      </c>
      <c r="F10" s="2" t="s">
        <v>420</v>
      </c>
      <c r="G10" s="2" t="s">
        <v>766</v>
      </c>
      <c r="H10" s="2"/>
      <c r="I10" s="2"/>
      <c r="J10" s="2"/>
      <c r="K10" s="2"/>
    </row>
    <row r="11" spans="1:11" x14ac:dyDescent="0.25">
      <c r="A11" s="2" t="str">
        <f>source_columns[[#This Row],[Название таблицы STAGE]]&amp;source_columns[[#This Row],[Название поля]]</f>
        <v>b3080000460001_escrow_legal214_agreement_actual_dtorateSubsidyScheme_agreement</v>
      </c>
      <c r="B11" s="2" t="s">
        <v>208</v>
      </c>
      <c r="C11" s="2" t="s">
        <v>336</v>
      </c>
      <c r="D11" s="2" t="s">
        <v>320</v>
      </c>
      <c r="E11" s="2" t="s">
        <v>760</v>
      </c>
      <c r="F11" s="2" t="s">
        <v>420</v>
      </c>
      <c r="G11" s="2" t="s">
        <v>333</v>
      </c>
      <c r="H11" s="2"/>
      <c r="I11" s="2"/>
      <c r="J11" s="2"/>
      <c r="K11" s="2"/>
    </row>
    <row r="12" spans="1:11" x14ac:dyDescent="0.25">
      <c r="A12" s="2" t="str">
        <f>source_columns[[#This Row],[Название таблицы STAGE]]&amp;source_columns[[#This Row],[Название поля]]</f>
        <v>b3080000460001_escrow_legal214_agreement_actual_dtorateSubsidyScheme_agreement_uid</v>
      </c>
      <c r="B12" s="2" t="s">
        <v>208</v>
      </c>
      <c r="C12" s="2" t="s">
        <v>289</v>
      </c>
      <c r="D12" s="2" t="s">
        <v>316</v>
      </c>
      <c r="E12" s="2" t="s">
        <v>760</v>
      </c>
      <c r="F12" s="2" t="s">
        <v>420</v>
      </c>
      <c r="G12" s="2" t="s">
        <v>333</v>
      </c>
      <c r="H12" s="2"/>
      <c r="I12" s="2"/>
      <c r="J12" s="2"/>
      <c r="K12" s="2"/>
    </row>
    <row r="13" spans="1:11" x14ac:dyDescent="0.25">
      <c r="A13" s="2" t="str">
        <f>source_columns[[#This Row],[Название таблицы STAGE]]&amp;source_columns[[#This Row],[Название поля]]</f>
        <v>b3080000460001_escrow_legal214_agreement_actual_dtostatus_agreement</v>
      </c>
      <c r="B13" s="2" t="s">
        <v>208</v>
      </c>
      <c r="C13" s="2" t="s">
        <v>767</v>
      </c>
      <c r="D13" s="2" t="s">
        <v>320</v>
      </c>
      <c r="E13" s="2" t="s">
        <v>760</v>
      </c>
      <c r="F13" s="2" t="s">
        <v>420</v>
      </c>
      <c r="G13" s="2" t="s">
        <v>768</v>
      </c>
      <c r="H13" s="2"/>
      <c r="I13" s="2"/>
      <c r="J13" s="2"/>
      <c r="K13" s="2"/>
    </row>
    <row r="14" spans="1:11" x14ac:dyDescent="0.25">
      <c r="A14" s="2" t="str">
        <f>source_columns[[#This Row],[Название таблицы STAGE]]&amp;source_columns[[#This Row],[Название поля]]</f>
        <v>b3080000460001_escrow_legal214_agreement_actual_dtolastModifiedDate_agreement</v>
      </c>
      <c r="B14" s="2" t="s">
        <v>208</v>
      </c>
      <c r="C14" s="2" t="s">
        <v>769</v>
      </c>
      <c r="D14" s="2" t="s">
        <v>302</v>
      </c>
      <c r="E14" s="2" t="s">
        <v>760</v>
      </c>
      <c r="F14" s="2" t="s">
        <v>420</v>
      </c>
      <c r="G14" s="2" t="s">
        <v>770</v>
      </c>
      <c r="H14" s="2"/>
      <c r="I14" s="2"/>
      <c r="J14" s="2"/>
      <c r="K14" s="2"/>
    </row>
    <row r="15" spans="1:11" x14ac:dyDescent="0.25">
      <c r="A15" s="2" t="str">
        <f>source_columns[[#This Row],[Название таблицы STAGE]]&amp;source_columns[[#This Row],[Название поля]]</f>
        <v>b3080000460001_escrow_legal214_agreement_actual_dtoparentAgreementId_agreement</v>
      </c>
      <c r="B15" s="2" t="s">
        <v>208</v>
      </c>
      <c r="C15" s="2" t="s">
        <v>771</v>
      </c>
      <c r="D15" s="2" t="s">
        <v>320</v>
      </c>
      <c r="E15" s="2" t="s">
        <v>760</v>
      </c>
      <c r="F15" s="2" t="s">
        <v>420</v>
      </c>
      <c r="G15" s="2" t="s">
        <v>772</v>
      </c>
      <c r="H15" s="2"/>
      <c r="I15" s="2"/>
      <c r="J15" s="2"/>
      <c r="K15" s="2"/>
    </row>
    <row r="16" spans="1:11" x14ac:dyDescent="0.25">
      <c r="A16" s="2" t="str">
        <f>source_columns[[#This Row],[Название таблицы STAGE]]&amp;source_columns[[#This Row],[Название поля]]</f>
        <v>b3080000460001_escrow_legal214_agreement_actual_dtoexpireDate_agreementObject</v>
      </c>
      <c r="B16" s="2" t="s">
        <v>208</v>
      </c>
      <c r="C16" s="2" t="s">
        <v>292</v>
      </c>
      <c r="D16" s="2" t="s">
        <v>302</v>
      </c>
      <c r="E16" s="2" t="s">
        <v>760</v>
      </c>
      <c r="F16" s="2" t="s">
        <v>420</v>
      </c>
      <c r="G16" s="2" t="s">
        <v>773</v>
      </c>
      <c r="H16" s="2"/>
      <c r="I16" s="2"/>
      <c r="J16" s="2"/>
      <c r="K16" s="2"/>
    </row>
    <row r="17" spans="1:11" x14ac:dyDescent="0.25">
      <c r="A17" s="2" t="str">
        <f>source_columns[[#This Row],[Название таблицы STAGE]]&amp;source_columns[[#This Row],[Название поля]]</f>
        <v>b3080000460001_escrow_legal214_agreement_actual_dtocompleteEstimateDate_agreementObject</v>
      </c>
      <c r="B17" s="2" t="s">
        <v>208</v>
      </c>
      <c r="C17" s="2" t="s">
        <v>2119</v>
      </c>
      <c r="D17" s="2" t="s">
        <v>302</v>
      </c>
      <c r="E17" s="2" t="s">
        <v>760</v>
      </c>
      <c r="F17" s="2" t="s">
        <v>420</v>
      </c>
      <c r="G17" s="2" t="s">
        <v>2124</v>
      </c>
      <c r="H17" s="217"/>
      <c r="I17" s="217"/>
      <c r="J17" s="2"/>
      <c r="K17" s="2"/>
    </row>
    <row r="18" spans="1:11" x14ac:dyDescent="0.25">
      <c r="A18" s="2" t="str">
        <f>source_columns[[#This Row],[Название таблицы STAGE]]&amp;source_columns[[#This Row],[Название поля]]</f>
        <v>b3080000460001_escrow_legal214_agreement_actual_dtodeveloperLoanAgrDate_cred_agreement</v>
      </c>
      <c r="B18" s="2" t="s">
        <v>208</v>
      </c>
      <c r="C18" s="2" t="s">
        <v>304</v>
      </c>
      <c r="D18" s="2" t="s">
        <v>302</v>
      </c>
      <c r="E18" s="2" t="s">
        <v>760</v>
      </c>
      <c r="F18" s="2" t="s">
        <v>420</v>
      </c>
      <c r="G18" s="2" t="s">
        <v>303</v>
      </c>
      <c r="H18" s="2"/>
      <c r="I18" s="2"/>
      <c r="J18" s="2"/>
      <c r="K18" s="2"/>
    </row>
    <row r="19" spans="1:11" x14ac:dyDescent="0.25">
      <c r="A19" s="2" t="str">
        <f>source_columns[[#This Row],[Название таблицы STAGE]]&amp;source_columns[[#This Row],[Название поля]]</f>
        <v>b3080000460001_escrow_legal214_agreement_actual_dtodeveloperLoanAgrNumber_cred_agreement</v>
      </c>
      <c r="B19" s="2" t="s">
        <v>208</v>
      </c>
      <c r="C19" s="2" t="s">
        <v>307</v>
      </c>
      <c r="D19" s="2" t="s">
        <v>320</v>
      </c>
      <c r="E19" s="2" t="s">
        <v>760</v>
      </c>
      <c r="F19" s="2" t="s">
        <v>420</v>
      </c>
      <c r="G19" s="2" t="s">
        <v>298</v>
      </c>
      <c r="H19" s="2"/>
      <c r="I19" s="2"/>
      <c r="J19" s="2"/>
      <c r="K19" s="2"/>
    </row>
    <row r="20" spans="1:11" x14ac:dyDescent="0.25">
      <c r="A20" s="2" t="str">
        <f>source_columns[[#This Row],[Название таблицы STAGE]]&amp;source_columns[[#This Row],[Название поля]]</f>
        <v>b3080000460001_escrow_legal214_agreement_actual_dtodeveloperLoanAgrNumber_cred_agreement_uid</v>
      </c>
      <c r="B20" s="2" t="s">
        <v>208</v>
      </c>
      <c r="C20" s="2" t="s">
        <v>299</v>
      </c>
      <c r="D20" s="2" t="s">
        <v>316</v>
      </c>
      <c r="E20" s="2" t="s">
        <v>760</v>
      </c>
      <c r="F20" s="2" t="s">
        <v>420</v>
      </c>
      <c r="G20" s="2" t="s">
        <v>298</v>
      </c>
      <c r="H20" s="2"/>
      <c r="I20" s="2"/>
      <c r="J20" s="2"/>
      <c r="K20" s="2"/>
    </row>
    <row r="21" spans="1:11" x14ac:dyDescent="0.25">
      <c r="A21" s="2" t="str">
        <f>source_columns[[#This Row],[Название таблицы STAGE]]&amp;source_columns[[#This Row],[Название поля]]</f>
        <v>b3080000460001_escrow_legal214_agreement_actual_dtodevLoanAgr_EksId_agreement</v>
      </c>
      <c r="B21" s="2" t="s">
        <v>208</v>
      </c>
      <c r="C21" s="2" t="s">
        <v>310</v>
      </c>
      <c r="D21" s="2" t="s">
        <v>320</v>
      </c>
      <c r="E21" s="2" t="s">
        <v>760</v>
      </c>
      <c r="F21" s="2" t="s">
        <v>420</v>
      </c>
      <c r="G21" s="2" t="s">
        <v>774</v>
      </c>
      <c r="H21" s="2"/>
      <c r="I21" s="2"/>
      <c r="J21" s="2"/>
      <c r="K21" s="2"/>
    </row>
    <row r="22" spans="1:11" x14ac:dyDescent="0.25">
      <c r="A22" s="2" t="str">
        <f>source_columns[[#This Row],[Название таблицы STAGE]]&amp;source_columns[[#This Row],[Название поля]]</f>
        <v>b3080000460001_escrow_legal214_agreement_actual_dtodevLoanAgrKulId_agreement</v>
      </c>
      <c r="B22" s="2" t="s">
        <v>208</v>
      </c>
      <c r="C22" s="2" t="s">
        <v>313</v>
      </c>
      <c r="D22" s="2" t="s">
        <v>320</v>
      </c>
      <c r="E22" s="2" t="s">
        <v>760</v>
      </c>
      <c r="F22" s="2" t="s">
        <v>420</v>
      </c>
      <c r="G22" s="2" t="s">
        <v>775</v>
      </c>
      <c r="H22" s="2"/>
      <c r="I22" s="2"/>
      <c r="J22" s="2"/>
      <c r="K22" s="2"/>
    </row>
    <row r="23" spans="1:11" x14ac:dyDescent="0.25">
      <c r="A23" s="2" t="str">
        <f>source_columns[[#This Row],[Название таблицы STAGE]]&amp;source_columns[[#This Row],[Название поля]]</f>
        <v>b3080000460001_escrow_legal214_agreement_actual_dtodevLoanAgrKulId_agreement_uid</v>
      </c>
      <c r="B23" s="2" t="s">
        <v>208</v>
      </c>
      <c r="C23" s="2" t="s">
        <v>776</v>
      </c>
      <c r="D23" s="2" t="s">
        <v>316</v>
      </c>
      <c r="E23" s="2" t="s">
        <v>760</v>
      </c>
      <c r="F23" s="2" t="s">
        <v>420</v>
      </c>
      <c r="G23" s="2" t="s">
        <v>775</v>
      </c>
      <c r="H23" s="2"/>
      <c r="J23" s="2"/>
      <c r="K23" s="2"/>
    </row>
    <row r="24" spans="1:11" x14ac:dyDescent="0.25">
      <c r="A24" s="2" t="str">
        <f>source_columns[[#This Row],[Название таблицы STAGE]]&amp;source_columns[[#This Row],[Название поля]]</f>
        <v>b3080000460001_escrow_legal214_agreement_actual_dtoescrowAmount_value_agreement</v>
      </c>
      <c r="B24" s="2" t="s">
        <v>208</v>
      </c>
      <c r="C24" s="2" t="s">
        <v>284</v>
      </c>
      <c r="D24" s="2" t="s">
        <v>777</v>
      </c>
      <c r="E24" s="2" t="s">
        <v>760</v>
      </c>
      <c r="F24" s="2" t="s">
        <v>420</v>
      </c>
      <c r="G24" s="2" t="s">
        <v>778</v>
      </c>
      <c r="H24" s="2"/>
      <c r="I24" s="2"/>
      <c r="J24" s="2"/>
      <c r="K24" s="2"/>
    </row>
    <row r="25" spans="1:11" x14ac:dyDescent="0.25">
      <c r="A25" s="2" t="str">
        <f>source_columns[[#This Row],[Название таблицы STAGE]]&amp;source_columns[[#This Row],[Название поля]]</f>
        <v>b3080000460001_escrow_legal214_agreement_actual_dtoescrowAmount_currency_agreement</v>
      </c>
      <c r="B25" s="2" t="s">
        <v>208</v>
      </c>
      <c r="C25" s="2" t="s">
        <v>779</v>
      </c>
      <c r="D25" s="2" t="s">
        <v>320</v>
      </c>
      <c r="E25" s="2" t="s">
        <v>760</v>
      </c>
      <c r="F25" s="2" t="s">
        <v>420</v>
      </c>
      <c r="G25" s="2" t="s">
        <v>381</v>
      </c>
      <c r="H25" s="2"/>
      <c r="I25" s="2"/>
      <c r="J25" s="2"/>
      <c r="K25" s="2"/>
    </row>
    <row r="26" spans="1:11" x14ac:dyDescent="0.25">
      <c r="A26" s="2" t="str">
        <f>source_columns[[#This Row],[Название таблицы STAGE]]&amp;source_columns[[#This Row],[Название поля]]</f>
        <v>b3080000460001_escrow_legal214_agreement_actual_dtoescrowAmount_currency_agreement_uid</v>
      </c>
      <c r="B26" s="2" t="s">
        <v>208</v>
      </c>
      <c r="C26" s="2" t="s">
        <v>287</v>
      </c>
      <c r="D26" s="2" t="s">
        <v>316</v>
      </c>
      <c r="E26" s="2" t="s">
        <v>760</v>
      </c>
      <c r="F26" s="2" t="s">
        <v>420</v>
      </c>
      <c r="G26" s="2" t="s">
        <v>381</v>
      </c>
      <c r="H26" s="2"/>
      <c r="I26" s="2"/>
      <c r="J26" s="2"/>
      <c r="K26" s="2"/>
    </row>
    <row r="27" spans="1:11" x14ac:dyDescent="0.25">
      <c r="A27" s="2" t="str">
        <f>source_columns[[#This Row],[Название таблицы STAGE]]&amp;source_columns[[#This Row],[Название поля]]</f>
        <v>b3080000460001_escrow_legal214_agreement_actual_dtolegalEpkId_deponent</v>
      </c>
      <c r="B27" s="2" t="s">
        <v>208</v>
      </c>
      <c r="C27" s="2" t="s">
        <v>780</v>
      </c>
      <c r="D27" s="2" t="s">
        <v>320</v>
      </c>
      <c r="E27" s="2" t="s">
        <v>760</v>
      </c>
      <c r="F27" s="2" t="s">
        <v>420</v>
      </c>
      <c r="G27" s="2" t="s">
        <v>781</v>
      </c>
      <c r="H27" s="2"/>
      <c r="I27" s="2"/>
      <c r="J27" s="2"/>
      <c r="K27" s="2"/>
    </row>
    <row r="28" spans="1:11" x14ac:dyDescent="0.25">
      <c r="A28" s="2" t="str">
        <f>source_columns[[#This Row],[Название таблицы STAGE]]&amp;source_columns[[#This Row],[Название поля]]</f>
        <v>b3080000460001_escrow_legal214_agreement_actual_dtolegalEpkId_deponent_uid</v>
      </c>
      <c r="B28" s="2" t="s">
        <v>208</v>
      </c>
      <c r="C28" s="2" t="s">
        <v>348</v>
      </c>
      <c r="D28" s="2" t="s">
        <v>316</v>
      </c>
      <c r="E28" s="2" t="s">
        <v>760</v>
      </c>
      <c r="F28" s="2" t="s">
        <v>420</v>
      </c>
      <c r="G28" s="2" t="s">
        <v>781</v>
      </c>
      <c r="H28" s="2"/>
      <c r="I28" s="2"/>
      <c r="J28" s="2"/>
      <c r="K28" s="2"/>
    </row>
    <row r="29" spans="1:11" x14ac:dyDescent="0.25">
      <c r="A29" s="2" t="str">
        <f>source_columns[[#This Row],[Название таблицы STAGE]]&amp;source_columns[[#This Row],[Название поля]]</f>
        <v>b3080000460001_escrow_legal214_agreement_actual_dtonumber_escrow_accountDetails</v>
      </c>
      <c r="B29" s="2" t="s">
        <v>208</v>
      </c>
      <c r="C29" s="2" t="s">
        <v>782</v>
      </c>
      <c r="D29" s="2" t="s">
        <v>320</v>
      </c>
      <c r="E29" s="2" t="s">
        <v>760</v>
      </c>
      <c r="F29" s="2" t="s">
        <v>420</v>
      </c>
      <c r="G29" s="2" t="s">
        <v>783</v>
      </c>
      <c r="H29" s="2"/>
      <c r="I29" s="2"/>
      <c r="J29" s="2"/>
      <c r="K29" s="2"/>
    </row>
    <row r="30" spans="1:11" x14ac:dyDescent="0.25">
      <c r="A30" s="2" t="str">
        <f>source_columns[[#This Row],[Название таблицы STAGE]]&amp;source_columns[[#This Row],[Название поля]]</f>
        <v>b3080000460001_escrow_legal214_agreement_actual_dtoopenDate_accountDetails</v>
      </c>
      <c r="B30" s="2" t="s">
        <v>208</v>
      </c>
      <c r="C30" s="2" t="s">
        <v>784</v>
      </c>
      <c r="D30" s="2" t="s">
        <v>302</v>
      </c>
      <c r="E30" s="2" t="s">
        <v>760</v>
      </c>
      <c r="F30" s="2" t="s">
        <v>420</v>
      </c>
      <c r="G30" s="2" t="s">
        <v>785</v>
      </c>
      <c r="H30" s="2"/>
      <c r="I30" s="2"/>
      <c r="J30" s="2"/>
      <c r="K30" s="2"/>
    </row>
    <row r="31" spans="1:11" x14ac:dyDescent="0.25">
      <c r="A31" s="2" t="str">
        <f>source_columns[[#This Row],[Название таблицы STAGE]]&amp;source_columns[[#This Row],[Название поля]]</f>
        <v>b3080000460001_escrow_legal214_agreement_actual_dtoexternalRegistryId_escrow_accountDetails</v>
      </c>
      <c r="B31" s="2" t="s">
        <v>208</v>
      </c>
      <c r="C31" s="2" t="s">
        <v>786</v>
      </c>
      <c r="D31" s="2" t="s">
        <v>320</v>
      </c>
      <c r="E31" s="2" t="s">
        <v>760</v>
      </c>
      <c r="F31" s="2" t="s">
        <v>420</v>
      </c>
      <c r="G31" s="2" t="s">
        <v>317</v>
      </c>
      <c r="H31" s="2"/>
      <c r="I31" s="2"/>
      <c r="J31" s="2"/>
      <c r="K31" s="2"/>
    </row>
    <row r="32" spans="1:11" x14ac:dyDescent="0.25">
      <c r="A32" s="2" t="str">
        <f>source_columns[[#This Row],[Название таблицы STAGE]]&amp;source_columns[[#This Row],[Название поля]]</f>
        <v>b3080000460001_escrow_legal214_agreement_actual_dtoexternalRegistryId_escrow_accountDetails_uid</v>
      </c>
      <c r="B32" s="2" t="s">
        <v>208</v>
      </c>
      <c r="C32" s="2" t="s">
        <v>787</v>
      </c>
      <c r="D32" s="2" t="s">
        <v>316</v>
      </c>
      <c r="E32" s="2" t="s">
        <v>760</v>
      </c>
      <c r="F32" s="2" t="s">
        <v>420</v>
      </c>
      <c r="G32" s="2" t="s">
        <v>317</v>
      </c>
      <c r="H32" s="2"/>
      <c r="I32" s="2"/>
      <c r="J32" s="2"/>
      <c r="K32" s="2"/>
    </row>
    <row r="33" spans="1:11" x14ac:dyDescent="0.25">
      <c r="A33" s="2" t="str">
        <f>source_columns[[#This Row],[Название таблицы STAGE]]&amp;source_columns[[#This Row],[Название поля]]</f>
        <v>b3080000460001_escrow_legal214_agreement_actual_dtolegalName_deponent</v>
      </c>
      <c r="B33" s="2" t="s">
        <v>208</v>
      </c>
      <c r="C33" s="2" t="s">
        <v>788</v>
      </c>
      <c r="D33" s="2" t="s">
        <v>320</v>
      </c>
      <c r="E33" s="2" t="s">
        <v>760</v>
      </c>
      <c r="F33" s="2" t="s">
        <v>420</v>
      </c>
      <c r="G33" s="2" t="s">
        <v>789</v>
      </c>
      <c r="H33" s="2"/>
      <c r="I33" s="2"/>
      <c r="J33" s="2"/>
      <c r="K33" s="2"/>
    </row>
    <row r="34" spans="1:11" x14ac:dyDescent="0.25">
      <c r="A34" s="2" t="str">
        <f>source_columns[[#This Row],[Название таблицы STAGE]]&amp;source_columns[[#This Row],[Название поля]]</f>
        <v>b3080000460001_escrow_legal214_agreement_actual_dtotaxId_deponent</v>
      </c>
      <c r="B34" s="2" t="s">
        <v>208</v>
      </c>
      <c r="C34" s="2" t="s">
        <v>790</v>
      </c>
      <c r="D34" s="2" t="s">
        <v>320</v>
      </c>
      <c r="E34" s="2" t="s">
        <v>760</v>
      </c>
      <c r="F34" s="2" t="s">
        <v>420</v>
      </c>
      <c r="G34" s="2" t="s">
        <v>791</v>
      </c>
      <c r="H34" s="2"/>
      <c r="I34" s="2"/>
      <c r="J34" s="2"/>
      <c r="K34" s="2"/>
    </row>
    <row r="35" spans="1:11" x14ac:dyDescent="0.25">
      <c r="A35" s="2" t="str">
        <f>source_columns[[#This Row],[Название таблицы STAGE]]&amp;source_columns[[#This Row],[Название поля]]</f>
        <v>b3080000460001_escrow_legal214_agreement_actual_dtobank_correspondentAccount_escrow_accountDetails</v>
      </c>
      <c r="B35" s="2" t="s">
        <v>208</v>
      </c>
      <c r="C35" s="2" t="s">
        <v>792</v>
      </c>
      <c r="D35" s="2" t="s">
        <v>320</v>
      </c>
      <c r="E35" s="2" t="s">
        <v>760</v>
      </c>
      <c r="F35" s="2" t="s">
        <v>420</v>
      </c>
      <c r="G35" s="2" t="s">
        <v>793</v>
      </c>
      <c r="H35" s="2"/>
      <c r="I35" s="2"/>
      <c r="J35" s="2"/>
      <c r="K35" s="2"/>
    </row>
    <row r="36" spans="1:11" x14ac:dyDescent="0.25">
      <c r="A36" s="2" t="str">
        <f>source_columns[[#This Row],[Название таблицы STAGE]]&amp;source_columns[[#This Row],[Название поля]]</f>
        <v>b3080000460001_escrow_legal214_agreement_actual_dtobankunitcode_beneficiary</v>
      </c>
      <c r="B36" s="2" t="s">
        <v>208</v>
      </c>
      <c r="C36" s="2" t="s">
        <v>794</v>
      </c>
      <c r="D36" s="2" t="s">
        <v>320</v>
      </c>
      <c r="E36" s="2" t="s">
        <v>760</v>
      </c>
      <c r="F36" s="2" t="s">
        <v>420</v>
      </c>
      <c r="G36" s="2" t="s">
        <v>795</v>
      </c>
      <c r="H36" s="2"/>
      <c r="I36" s="2"/>
      <c r="J36" s="2"/>
      <c r="K36" s="2"/>
    </row>
    <row r="37" spans="1:11" x14ac:dyDescent="0.25">
      <c r="A37" s="2" t="str">
        <f>source_columns[[#This Row],[Название таблицы STAGE]]&amp;source_columns[[#This Row],[Название поля]]</f>
        <v>b3080000460001_escrow_legal214_agreement_actual_dtobankunitcode_beneficiary_uid</v>
      </c>
      <c r="B37" s="2" t="s">
        <v>208</v>
      </c>
      <c r="C37" s="2" t="s">
        <v>377</v>
      </c>
      <c r="D37" s="2" t="s">
        <v>316</v>
      </c>
      <c r="E37" s="2" t="s">
        <v>760</v>
      </c>
      <c r="F37" s="2" t="s">
        <v>420</v>
      </c>
      <c r="G37" s="2" t="s">
        <v>795</v>
      </c>
      <c r="H37" s="2"/>
      <c r="I37" s="2"/>
      <c r="J37" s="2"/>
      <c r="K37" s="2"/>
    </row>
    <row r="38" spans="1:11" x14ac:dyDescent="0.25">
      <c r="A38" s="2" t="str">
        <f>source_columns[[#This Row],[Название таблицы STAGE]]&amp;source_columns[[#This Row],[Название поля]]</f>
        <v>b3080000460001_escrow_legal214_agreement_actual_dtoescrowBranchCode_agreement</v>
      </c>
      <c r="B38" s="2" t="s">
        <v>208</v>
      </c>
      <c r="C38" s="2" t="s">
        <v>796</v>
      </c>
      <c r="D38" s="2" t="s">
        <v>320</v>
      </c>
      <c r="E38" s="2" t="s">
        <v>760</v>
      </c>
      <c r="F38" s="2" t="s">
        <v>420</v>
      </c>
      <c r="G38" s="2" t="s">
        <v>797</v>
      </c>
      <c r="H38" s="2"/>
      <c r="I38" s="2"/>
      <c r="J38" s="2"/>
      <c r="K38" s="2"/>
    </row>
    <row r="39" spans="1:11" x14ac:dyDescent="0.25">
      <c r="A39" s="2" t="str">
        <f>source_columns[[#This Row],[Название таблицы STAGE]]&amp;source_columns[[#This Row],[Название поля]]</f>
        <v>b3080000460001_escrow_legal214_agreement_actual_dtoescrowBranchCode_agreement_uid</v>
      </c>
      <c r="B39" s="2" t="s">
        <v>208</v>
      </c>
      <c r="C39" s="2" t="s">
        <v>379</v>
      </c>
      <c r="D39" s="2" t="s">
        <v>316</v>
      </c>
      <c r="E39" s="2" t="s">
        <v>760</v>
      </c>
      <c r="F39" s="2" t="s">
        <v>420</v>
      </c>
      <c r="G39" s="2" t="s">
        <v>797</v>
      </c>
      <c r="H39" s="2"/>
      <c r="I39" s="2"/>
      <c r="J39" s="2"/>
      <c r="K39" s="2"/>
    </row>
    <row r="40" spans="1:11" x14ac:dyDescent="0.25">
      <c r="A40" s="2" t="str">
        <f>source_columns[[#This Row],[Название таблицы STAGE]]&amp;source_columns[[#This Row],[Название поля]]</f>
        <v>b3080000460001_escrow_legal214_agreement_actual_dtoregistryTypeCode_accountDetails</v>
      </c>
      <c r="B40" s="2" t="s">
        <v>208</v>
      </c>
      <c r="C40" s="2" t="s">
        <v>798</v>
      </c>
      <c r="D40" s="2" t="s">
        <v>320</v>
      </c>
      <c r="E40" s="2" t="s">
        <v>760</v>
      </c>
      <c r="F40" s="2" t="s">
        <v>420</v>
      </c>
      <c r="G40" s="2" t="s">
        <v>799</v>
      </c>
      <c r="H40" s="2"/>
      <c r="I40" s="2"/>
      <c r="J40" s="2"/>
      <c r="K40" s="2"/>
    </row>
    <row r="41" spans="1:11" x14ac:dyDescent="0.25">
      <c r="A41" s="2" t="str">
        <f>source_columns[[#This Row],[Название таблицы STAGE]]&amp;source_columns[[#This Row],[Название поля]]</f>
        <v>b3080000460001_escrow_legal214_agreement_actual_dtoregistryTypeName_accountDetails</v>
      </c>
      <c r="B41" s="2" t="s">
        <v>208</v>
      </c>
      <c r="C41" s="2" t="s">
        <v>800</v>
      </c>
      <c r="D41" s="2" t="s">
        <v>320</v>
      </c>
      <c r="E41" s="2" t="s">
        <v>760</v>
      </c>
      <c r="F41" s="2" t="s">
        <v>420</v>
      </c>
      <c r="G41" s="2" t="s">
        <v>801</v>
      </c>
      <c r="H41" s="2"/>
      <c r="I41" s="2"/>
      <c r="J41" s="2"/>
      <c r="K41" s="2"/>
    </row>
    <row r="42" spans="1:11" x14ac:dyDescent="0.25">
      <c r="A42" s="2" t="str">
        <f>source_columns[[#This Row],[Название таблицы STAGE]]&amp;source_columns[[#This Row],[Название поля]]</f>
        <v>b3080000460001_escrow_legal214_agreement_actual_dtolegalName_beneficiary</v>
      </c>
      <c r="B42" s="2" t="s">
        <v>208</v>
      </c>
      <c r="C42" s="2" t="s">
        <v>802</v>
      </c>
      <c r="D42" s="2" t="s">
        <v>320</v>
      </c>
      <c r="E42" s="2" t="s">
        <v>760</v>
      </c>
      <c r="F42" s="2" t="s">
        <v>420</v>
      </c>
      <c r="G42" s="2" t="s">
        <v>803</v>
      </c>
      <c r="H42" s="2"/>
      <c r="I42" s="2"/>
      <c r="J42" s="2"/>
      <c r="K42" s="2"/>
    </row>
    <row r="43" spans="1:11" x14ac:dyDescent="0.25">
      <c r="A43" s="2" t="str">
        <f>source_columns[[#This Row],[Название таблицы STAGE]]&amp;source_columns[[#This Row],[Название поля]]</f>
        <v>b3080000460001_escrow_legal214_agreement_actual_dtotaxId_beneficiary</v>
      </c>
      <c r="B43" s="2" t="s">
        <v>208</v>
      </c>
      <c r="C43" s="2" t="s">
        <v>804</v>
      </c>
      <c r="D43" s="2" t="s">
        <v>320</v>
      </c>
      <c r="E43" s="2" t="s">
        <v>760</v>
      </c>
      <c r="F43" s="2" t="s">
        <v>420</v>
      </c>
      <c r="G43" s="2" t="s">
        <v>805</v>
      </c>
      <c r="H43" s="2"/>
      <c r="I43" s="2"/>
      <c r="J43" s="2"/>
      <c r="K43" s="2"/>
    </row>
    <row r="44" spans="1:11" x14ac:dyDescent="0.25">
      <c r="A44" s="2" t="str">
        <f>source_columns[[#This Row],[Название таблицы STAGE]]&amp;source_columns[[#This Row],[Название поля]]</f>
        <v>b3080000460001_escrow_legal214_agreement_actual_dtoeksAccountId_accountDetails</v>
      </c>
      <c r="B44" s="2" t="s">
        <v>208</v>
      </c>
      <c r="C44" s="2" t="s">
        <v>806</v>
      </c>
      <c r="D44" s="2" t="s">
        <v>320</v>
      </c>
      <c r="E44" s="2" t="s">
        <v>760</v>
      </c>
      <c r="F44" s="2" t="s">
        <v>420</v>
      </c>
      <c r="G44" s="2" t="s">
        <v>807</v>
      </c>
      <c r="H44" s="2"/>
      <c r="I44" s="2"/>
      <c r="J44" s="2"/>
      <c r="K44" s="2"/>
    </row>
    <row r="45" spans="1:11" x14ac:dyDescent="0.25">
      <c r="A45" s="2" t="str">
        <f>source_columns[[#This Row],[Название таблицы STAGE]]&amp;source_columns[[#This Row],[Название поля]]</f>
        <v>b3080000460001_escrow_legal214_agreement_actual_dtoid</v>
      </c>
      <c r="B45" s="2" t="s">
        <v>208</v>
      </c>
      <c r="C45" s="2" t="s">
        <v>433</v>
      </c>
      <c r="D45" s="2" t="s">
        <v>808</v>
      </c>
      <c r="E45" s="2" t="s">
        <v>760</v>
      </c>
      <c r="F45" s="2" t="s">
        <v>420</v>
      </c>
      <c r="G45" s="2" t="s">
        <v>809</v>
      </c>
      <c r="H45" s="2"/>
      <c r="I45" s="2"/>
      <c r="J45" s="2"/>
      <c r="K45" s="2"/>
    </row>
    <row r="46" spans="1:11" x14ac:dyDescent="0.25">
      <c r="A46" s="2" t="str">
        <f>source_columns[[#This Row],[Название таблицы STAGE]]&amp;source_columns[[#This Row],[Название поля]]</f>
        <v>b3080000460001_escrow_legal214_agreement_actual_dtosys_date_create_or_update</v>
      </c>
      <c r="B46" s="2" t="s">
        <v>208</v>
      </c>
      <c r="C46" s="2" t="s">
        <v>517</v>
      </c>
      <c r="D46" s="2" t="s">
        <v>810</v>
      </c>
      <c r="E46" s="2" t="s">
        <v>760</v>
      </c>
      <c r="F46" s="2" t="s">
        <v>420</v>
      </c>
      <c r="G46" s="2" t="s">
        <v>811</v>
      </c>
      <c r="H46" s="2"/>
      <c r="I46" s="2"/>
      <c r="J46" s="2"/>
      <c r="K46" s="2"/>
    </row>
    <row r="47" spans="1:11" ht="17.100000000000001" customHeight="1" x14ac:dyDescent="0.25">
      <c r="A47" s="2" t="str">
        <f>source_columns[[#This Row],[Название таблицы STAGE]]&amp;source_columns[[#This Row],[Название поля]]</f>
        <v>b3080000460001_escrow_legal214_agreement_actual_dtodeleted</v>
      </c>
      <c r="B47" s="2" t="s">
        <v>208</v>
      </c>
      <c r="C47" s="2" t="s">
        <v>812</v>
      </c>
      <c r="D47" s="2" t="s">
        <v>320</v>
      </c>
      <c r="E47" s="2" t="s">
        <v>760</v>
      </c>
      <c r="F47" s="2" t="s">
        <v>420</v>
      </c>
      <c r="G47" s="2" t="s">
        <v>813</v>
      </c>
      <c r="H47" s="2"/>
      <c r="I47" s="2" t="s">
        <v>814</v>
      </c>
      <c r="J47" s="2"/>
      <c r="K47" s="2"/>
    </row>
    <row r="48" spans="1:11" x14ac:dyDescent="0.25">
      <c r="A48" s="2" t="str">
        <f>source_columns[[#This Row],[Название таблицы STAGE]]&amp;source_columns[[#This Row],[Название поля]]</f>
        <v>b3080000460002_escrow_legalgk_agreement_actual_dtobeneficiarybankregionalunit</v>
      </c>
      <c r="B48" s="2" t="s">
        <v>41</v>
      </c>
      <c r="C48" s="2" t="s">
        <v>815</v>
      </c>
      <c r="D48" s="2" t="s">
        <v>320</v>
      </c>
      <c r="E48" s="2" t="s">
        <v>760</v>
      </c>
      <c r="F48" s="2" t="s">
        <v>420</v>
      </c>
      <c r="G48" s="2" t="s">
        <v>816</v>
      </c>
      <c r="H48" s="2"/>
      <c r="I48" s="2"/>
      <c r="J48" s="2"/>
      <c r="K48" s="2"/>
    </row>
    <row r="49" spans="1:11" x14ac:dyDescent="0.25">
      <c r="A49" s="2" t="str">
        <f>source_columns[[#This Row],[Название таблицы STAGE]]&amp;source_columns[[#This Row],[Название поля]]</f>
        <v>b3080000460002_escrow_legalgk_agreement_actual_dtobeneficiaryBankBranch</v>
      </c>
      <c r="B49" s="2" t="s">
        <v>41</v>
      </c>
      <c r="C49" s="2" t="s">
        <v>817</v>
      </c>
      <c r="D49" s="2" t="s">
        <v>320</v>
      </c>
      <c r="E49" s="2" t="s">
        <v>760</v>
      </c>
      <c r="F49" s="2" t="s">
        <v>420</v>
      </c>
      <c r="G49" s="2" t="s">
        <v>818</v>
      </c>
      <c r="H49" s="2"/>
      <c r="I49" s="2"/>
      <c r="J49" s="2"/>
      <c r="K49" s="2"/>
    </row>
    <row r="50" spans="1:11" x14ac:dyDescent="0.25">
      <c r="A50" s="2" t="str">
        <f>source_columns[[#This Row],[Название таблицы STAGE]]&amp;source_columns[[#This Row],[Название поля]]</f>
        <v>b3080000460002_escrow_legalgk_agreement_actual_dtobeneficiaryBank_uid</v>
      </c>
      <c r="B50" s="2" t="s">
        <v>41</v>
      </c>
      <c r="C50" s="2" t="s">
        <v>410</v>
      </c>
      <c r="D50" s="2" t="s">
        <v>316</v>
      </c>
      <c r="E50" s="2" t="s">
        <v>760</v>
      </c>
      <c r="F50" s="2" t="s">
        <v>420</v>
      </c>
      <c r="G50" s="2" t="s">
        <v>819</v>
      </c>
      <c r="H50" s="2" t="s">
        <v>820</v>
      </c>
      <c r="I50" s="2"/>
      <c r="J50" s="2"/>
      <c r="K50" s="2"/>
    </row>
    <row r="51" spans="1:11" x14ac:dyDescent="0.25">
      <c r="A51" s="2" t="str">
        <f>source_columns[[#This Row],[Название таблицы STAGE]]&amp;source_columns[[#This Row],[Название поля]]</f>
        <v>b3080000460002_escrow_legalgk_agreement_actual_dtodeponentBankRegionalUnit</v>
      </c>
      <c r="B51" s="2" t="s">
        <v>41</v>
      </c>
      <c r="C51" s="2" t="s">
        <v>821</v>
      </c>
      <c r="D51" s="2" t="s">
        <v>320</v>
      </c>
      <c r="E51" s="2" t="s">
        <v>760</v>
      </c>
      <c r="F51" s="2" t="s">
        <v>420</v>
      </c>
      <c r="G51" s="2" t="s">
        <v>822</v>
      </c>
      <c r="I51" s="2"/>
      <c r="J51" s="2"/>
      <c r="K51" s="2"/>
    </row>
    <row r="52" spans="1:11" x14ac:dyDescent="0.25">
      <c r="A52" s="2" t="str">
        <f>source_columns[[#This Row],[Название таблицы STAGE]]&amp;source_columns[[#This Row],[Название поля]]</f>
        <v>b3080000460002_escrow_legalgk_agreement_actual_dtodeponentBankBranch</v>
      </c>
      <c r="B52" s="2" t="s">
        <v>41</v>
      </c>
      <c r="C52" s="2" t="s">
        <v>823</v>
      </c>
      <c r="D52" s="2" t="s">
        <v>320</v>
      </c>
      <c r="E52" s="2" t="s">
        <v>760</v>
      </c>
      <c r="F52" s="2" t="s">
        <v>420</v>
      </c>
      <c r="G52" s="2" t="s">
        <v>824</v>
      </c>
      <c r="H52" s="2"/>
      <c r="I52" s="2"/>
      <c r="J52" s="2"/>
      <c r="K52" s="2"/>
    </row>
    <row r="53" spans="1:11" x14ac:dyDescent="0.25">
      <c r="A53" s="2" t="str">
        <f>source_columns[[#This Row],[Название таблицы STAGE]]&amp;source_columns[[#This Row],[Название поля]]</f>
        <v>b3080000460002_escrow_legalgk_agreement_actual_dtodeponentBank_uid</v>
      </c>
      <c r="B53" s="2" t="s">
        <v>41</v>
      </c>
      <c r="C53" s="2" t="s">
        <v>411</v>
      </c>
      <c r="D53" s="2" t="s">
        <v>316</v>
      </c>
      <c r="E53" s="2" t="s">
        <v>760</v>
      </c>
      <c r="F53" s="2" t="s">
        <v>420</v>
      </c>
      <c r="G53" s="2" t="s">
        <v>825</v>
      </c>
      <c r="H53" s="2" t="s">
        <v>826</v>
      </c>
      <c r="I53" s="2"/>
      <c r="J53" s="2"/>
      <c r="K53" s="2"/>
    </row>
    <row r="54" spans="1:11" x14ac:dyDescent="0.25">
      <c r="A54" s="2" t="str">
        <f>source_columns[[#This Row],[Название таблицы STAGE]]&amp;source_columns[[#This Row],[Название поля]]</f>
        <v>b3080000460002_escrow_legalgk_agreement_actual_dtoclosedate</v>
      </c>
      <c r="B54" s="2" t="s">
        <v>41</v>
      </c>
      <c r="C54" s="2" t="s">
        <v>387</v>
      </c>
      <c r="D54" s="2" t="s">
        <v>302</v>
      </c>
      <c r="E54" s="2" t="s">
        <v>760</v>
      </c>
      <c r="F54" s="2" t="s">
        <v>420</v>
      </c>
      <c r="G54" s="2" t="s">
        <v>762</v>
      </c>
      <c r="H54" s="2"/>
      <c r="I54" s="2"/>
      <c r="J54" s="2"/>
      <c r="K54" s="2"/>
    </row>
    <row r="55" spans="1:11" x14ac:dyDescent="0.25">
      <c r="A55" s="2" t="str">
        <f>source_columns[[#This Row],[Название таблицы STAGE]]&amp;source_columns[[#This Row],[Название поля]]</f>
        <v>b3080000460002_escrow_legalgk_agreement_actual_dtoconclusiondate</v>
      </c>
      <c r="B55" s="2" t="s">
        <v>41</v>
      </c>
      <c r="C55" s="2" t="s">
        <v>385</v>
      </c>
      <c r="D55" s="2" t="s">
        <v>302</v>
      </c>
      <c r="E55" s="2" t="s">
        <v>760</v>
      </c>
      <c r="F55" s="2" t="s">
        <v>420</v>
      </c>
      <c r="G55" s="2" t="s">
        <v>761</v>
      </c>
      <c r="H55" s="2"/>
      <c r="I55" s="2"/>
      <c r="J55" s="2"/>
      <c r="K55" s="2"/>
    </row>
    <row r="56" spans="1:11" x14ac:dyDescent="0.25">
      <c r="A56" s="2" t="str">
        <f>source_columns[[#This Row],[Название таблицы STAGE]]&amp;source_columns[[#This Row],[Название поля]]</f>
        <v>b3080000460002_escrow_legalgk_agreement_actual_dtodeleted</v>
      </c>
      <c r="B56" s="2" t="s">
        <v>41</v>
      </c>
      <c r="C56" s="2" t="s">
        <v>812</v>
      </c>
      <c r="D56" s="2" t="s">
        <v>827</v>
      </c>
      <c r="E56" s="2" t="s">
        <v>760</v>
      </c>
      <c r="F56" s="2" t="s">
        <v>420</v>
      </c>
      <c r="G56" s="2" t="s">
        <v>813</v>
      </c>
      <c r="H56" s="2"/>
      <c r="I56" s="2" t="s">
        <v>828</v>
      </c>
      <c r="J56" s="2"/>
      <c r="K56" s="2"/>
    </row>
    <row r="57" spans="1:11" s="245" customFormat="1" x14ac:dyDescent="0.25">
      <c r="A57" s="240" t="str">
        <f>source_columns[[#This Row],[Название таблицы STAGE]]&amp;source_columns[[#This Row],[Название поля]]</f>
        <v>b3080000460002_escrow_legalgk_agreement_actual_dtodepositWithdrawalDate</v>
      </c>
      <c r="B57" s="240" t="s">
        <v>41</v>
      </c>
      <c r="C57" s="240" t="s">
        <v>706</v>
      </c>
      <c r="D57" s="240" t="s">
        <v>302</v>
      </c>
      <c r="E57" s="240" t="s">
        <v>760</v>
      </c>
      <c r="F57" s="240" t="s">
        <v>420</v>
      </c>
      <c r="G57" s="240" t="s">
        <v>2182</v>
      </c>
      <c r="H57" s="240"/>
      <c r="I57" s="240"/>
      <c r="J57" s="240"/>
      <c r="K57" s="240"/>
    </row>
    <row r="58" spans="1:11" x14ac:dyDescent="0.25">
      <c r="A58" s="2" t="str">
        <f>source_columns[[#This Row],[Название таблицы STAGE]]&amp;source_columns[[#This Row],[Название поля]]</f>
        <v>b3080000460002_escrow_legalgk_agreement_actual_dtodepositorlegal_creditcontract_date</v>
      </c>
      <c r="B58" s="2" t="s">
        <v>41</v>
      </c>
      <c r="C58" s="2" t="s">
        <v>829</v>
      </c>
      <c r="D58" s="2" t="s">
        <v>302</v>
      </c>
      <c r="E58" s="2" t="s">
        <v>760</v>
      </c>
      <c r="F58" s="2" t="s">
        <v>420</v>
      </c>
      <c r="G58" s="2" t="s">
        <v>830</v>
      </c>
      <c r="H58" s="2"/>
      <c r="I58" s="2"/>
      <c r="J58" s="2"/>
      <c r="K58" s="2"/>
    </row>
    <row r="59" spans="1:11" x14ac:dyDescent="0.25">
      <c r="A59" s="2" t="str">
        <f>source_columns[[#This Row],[Название таблицы STAGE]]&amp;source_columns[[#This Row],[Название поля]]</f>
        <v>b3080000460002_escrow_legalgk_agreement_actual_dtodepositorlegal_creditcontract_eks</v>
      </c>
      <c r="B59" s="2" t="s">
        <v>41</v>
      </c>
      <c r="C59" s="2" t="s">
        <v>831</v>
      </c>
      <c r="D59" s="2" t="s">
        <v>320</v>
      </c>
      <c r="E59" s="2" t="s">
        <v>760</v>
      </c>
      <c r="F59" s="2" t="s">
        <v>420</v>
      </c>
      <c r="G59" s="2" t="s">
        <v>832</v>
      </c>
      <c r="H59" s="2"/>
      <c r="I59" s="2"/>
      <c r="J59" s="2"/>
      <c r="K59" s="2"/>
    </row>
    <row r="60" spans="1:11" x14ac:dyDescent="0.25">
      <c r="A60" s="2" t="str">
        <f>source_columns[[#This Row],[Название таблицы STAGE]]&amp;source_columns[[#This Row],[Название поля]]</f>
        <v>b3080000460002_escrow_legalgk_agreement_actual_dtodepositorlegal_creditcontract_kulid</v>
      </c>
      <c r="B60" s="2" t="s">
        <v>41</v>
      </c>
      <c r="C60" s="2" t="s">
        <v>833</v>
      </c>
      <c r="D60" s="2" t="s">
        <v>320</v>
      </c>
      <c r="E60" s="2" t="s">
        <v>760</v>
      </c>
      <c r="F60" s="2" t="s">
        <v>420</v>
      </c>
      <c r="G60" s="2" t="s">
        <v>834</v>
      </c>
      <c r="H60" s="2"/>
      <c r="I60" s="2"/>
      <c r="J60" s="2"/>
      <c r="K60" s="2"/>
    </row>
    <row r="61" spans="1:11" x14ac:dyDescent="0.25">
      <c r="A61" s="2" t="str">
        <f>source_columns[[#This Row],[Название таблицы STAGE]]&amp;source_columns[[#This Row],[Название поля]]</f>
        <v>b3080000460002_escrow_legalgk_agreement_actual_dtodepositorlegal_creditcontract_kulid_uid</v>
      </c>
      <c r="B61" s="2" t="s">
        <v>41</v>
      </c>
      <c r="C61" s="2" t="s">
        <v>835</v>
      </c>
      <c r="D61" s="2" t="s">
        <v>316</v>
      </c>
      <c r="E61" s="2" t="s">
        <v>760</v>
      </c>
      <c r="F61" s="2" t="s">
        <v>420</v>
      </c>
      <c r="G61" s="2" t="s">
        <v>834</v>
      </c>
      <c r="H61" s="2"/>
      <c r="I61" s="2"/>
      <c r="J61" s="2"/>
      <c r="K61" s="2"/>
    </row>
    <row r="62" spans="1:11" x14ac:dyDescent="0.25">
      <c r="A62" s="2" t="str">
        <f>source_columns[[#This Row],[Название таблицы STAGE]]&amp;source_columns[[#This Row],[Название поля]]</f>
        <v>b3080000460002_escrow_legalgk_agreement_actual_dtodepositorlegal_creditcontract_number</v>
      </c>
      <c r="B62" s="2" t="s">
        <v>41</v>
      </c>
      <c r="C62" s="2" t="s">
        <v>836</v>
      </c>
      <c r="D62" s="2" t="s">
        <v>320</v>
      </c>
      <c r="E62" s="2" t="s">
        <v>760</v>
      </c>
      <c r="F62" s="2" t="s">
        <v>420</v>
      </c>
      <c r="G62" s="2" t="s">
        <v>837</v>
      </c>
      <c r="H62" s="2"/>
      <c r="I62" s="2"/>
      <c r="J62" s="2"/>
      <c r="K62" s="2"/>
    </row>
    <row r="63" spans="1:11" x14ac:dyDescent="0.25">
      <c r="A63" s="2" t="str">
        <f>source_columns[[#This Row],[Название таблицы STAGE]]&amp;source_columns[[#This Row],[Название поля]]</f>
        <v>b3080000460002_escrow_legalgk_agreement_actual_dtodepositorlegal_creditcontract_number_uid</v>
      </c>
      <c r="B63" s="2" t="s">
        <v>41</v>
      </c>
      <c r="C63" s="2" t="s">
        <v>838</v>
      </c>
      <c r="D63" s="2" t="s">
        <v>316</v>
      </c>
      <c r="E63" s="2" t="s">
        <v>760</v>
      </c>
      <c r="F63" s="2" t="s">
        <v>420</v>
      </c>
      <c r="G63" s="2" t="s">
        <v>837</v>
      </c>
      <c r="H63" s="2"/>
      <c r="I63" s="2"/>
      <c r="J63" s="2"/>
      <c r="K63" s="2"/>
    </row>
    <row r="64" spans="1:11" x14ac:dyDescent="0.25">
      <c r="A64" s="2" t="str">
        <f>source_columns[[#This Row],[Название таблицы STAGE]]&amp;source_columns[[#This Row],[Название поля]]</f>
        <v>b3080000460002_escrow_legalgk_agreement_actual_dtodepositorlegal_epkid</v>
      </c>
      <c r="B64" s="2" t="s">
        <v>41</v>
      </c>
      <c r="C64" s="2" t="s">
        <v>839</v>
      </c>
      <c r="D64" s="2" t="s">
        <v>320</v>
      </c>
      <c r="E64" s="2" t="s">
        <v>760</v>
      </c>
      <c r="F64" s="2" t="s">
        <v>420</v>
      </c>
      <c r="G64" s="2" t="s">
        <v>840</v>
      </c>
      <c r="H64" s="2"/>
      <c r="I64" s="2"/>
      <c r="J64" s="2"/>
      <c r="K64" s="2"/>
    </row>
    <row r="65" spans="1:11" x14ac:dyDescent="0.25">
      <c r="A65" s="2" t="str">
        <f>source_columns[[#This Row],[Название таблицы STAGE]]&amp;source_columns[[#This Row],[Название поля]]</f>
        <v>b3080000460002_escrow_legalgk_agreement_actual_dtodepositorlegal_epkid_uid</v>
      </c>
      <c r="B65" s="2" t="s">
        <v>41</v>
      </c>
      <c r="C65" s="2" t="s">
        <v>401</v>
      </c>
      <c r="D65" s="2" t="s">
        <v>316</v>
      </c>
      <c r="E65" s="2" t="s">
        <v>760</v>
      </c>
      <c r="F65" s="2" t="s">
        <v>420</v>
      </c>
      <c r="G65" s="2" t="s">
        <v>840</v>
      </c>
      <c r="H65" s="2"/>
      <c r="I65" s="2"/>
      <c r="J65" s="2"/>
      <c r="K65" s="2"/>
    </row>
    <row r="66" spans="1:11" x14ac:dyDescent="0.25">
      <c r="A66" s="2" t="str">
        <f>source_columns[[#This Row],[Название таблицы STAGE]]&amp;source_columns[[#This Row],[Название поля]]</f>
        <v>b3080000460002_escrow_legalgk_agreement_actual_dtoescrowamount_currency</v>
      </c>
      <c r="B66" s="2" t="s">
        <v>41</v>
      </c>
      <c r="C66" s="2" t="s">
        <v>841</v>
      </c>
      <c r="D66" s="2" t="s">
        <v>320</v>
      </c>
      <c r="E66" s="2" t="s">
        <v>760</v>
      </c>
      <c r="F66" s="2" t="s">
        <v>420</v>
      </c>
      <c r="G66" s="2" t="s">
        <v>842</v>
      </c>
      <c r="H66" s="2"/>
      <c r="I66" s="2"/>
      <c r="J66" s="2"/>
      <c r="K66" s="2"/>
    </row>
    <row r="67" spans="1:11" x14ac:dyDescent="0.25">
      <c r="A67" s="2" t="str">
        <f>source_columns[[#This Row],[Название таблицы STAGE]]&amp;source_columns[[#This Row],[Название поля]]</f>
        <v>b3080000460002_escrow_legalgk_agreement_actual_dtoescrowamount_currency_uid</v>
      </c>
      <c r="B67" s="2" t="s">
        <v>41</v>
      </c>
      <c r="C67" s="2" t="s">
        <v>393</v>
      </c>
      <c r="D67" s="2" t="s">
        <v>316</v>
      </c>
      <c r="E67" s="2" t="s">
        <v>760</v>
      </c>
      <c r="F67" s="2" t="s">
        <v>420</v>
      </c>
      <c r="G67" s="2" t="s">
        <v>842</v>
      </c>
      <c r="H67" s="2"/>
      <c r="I67" s="2"/>
      <c r="J67" s="2"/>
      <c r="K67" s="2"/>
    </row>
    <row r="68" spans="1:11" x14ac:dyDescent="0.25">
      <c r="A68" s="2" t="str">
        <f>source_columns[[#This Row],[Название таблицы STAGE]]&amp;source_columns[[#This Row],[Название поля]]</f>
        <v>b3080000460002_escrow_legalgk_agreement_actual_dtoescrowamount_value</v>
      </c>
      <c r="B68" s="2" t="s">
        <v>41</v>
      </c>
      <c r="C68" s="2" t="s">
        <v>392</v>
      </c>
      <c r="D68" s="2" t="s">
        <v>843</v>
      </c>
      <c r="E68" s="2" t="s">
        <v>760</v>
      </c>
      <c r="F68" s="2" t="s">
        <v>420</v>
      </c>
      <c r="G68" s="2" t="s">
        <v>844</v>
      </c>
      <c r="H68" s="2"/>
      <c r="I68" s="2"/>
      <c r="J68" s="2"/>
      <c r="K68" s="2"/>
    </row>
    <row r="69" spans="1:11" x14ac:dyDescent="0.25">
      <c r="A69" s="2" t="str">
        <f>source_columns[[#This Row],[Название таблицы STAGE]]&amp;source_columns[[#This Row],[Название поля]]</f>
        <v>b3080000460002_escrow_legalgk_agreement_actual_dtoescrowbankregionaloffice</v>
      </c>
      <c r="B69" s="2" t="s">
        <v>41</v>
      </c>
      <c r="C69" s="2" t="s">
        <v>845</v>
      </c>
      <c r="D69" s="2" t="s">
        <v>320</v>
      </c>
      <c r="E69" s="2" t="s">
        <v>760</v>
      </c>
      <c r="F69" s="2" t="s">
        <v>420</v>
      </c>
      <c r="G69" s="2" t="s">
        <v>846</v>
      </c>
      <c r="H69" s="2"/>
      <c r="I69" s="2"/>
      <c r="J69" s="2"/>
      <c r="K69" s="2"/>
    </row>
    <row r="70" spans="1:11" x14ac:dyDescent="0.25">
      <c r="A70" s="2" t="str">
        <f>source_columns[[#This Row],[Название таблицы STAGE]]&amp;source_columns[[#This Row],[Название поля]]</f>
        <v>b3080000460002_escrow_legalgk_agreement_actual_dtoescrowbankregionaloffice_uid</v>
      </c>
      <c r="B70" s="2" t="s">
        <v>41</v>
      </c>
      <c r="C70" s="2" t="s">
        <v>408</v>
      </c>
      <c r="D70" s="2" t="s">
        <v>316</v>
      </c>
      <c r="E70" s="2" t="s">
        <v>760</v>
      </c>
      <c r="F70" s="2" t="s">
        <v>420</v>
      </c>
      <c r="G70" s="2" t="s">
        <v>846</v>
      </c>
      <c r="H70" s="2"/>
      <c r="I70" s="2"/>
      <c r="J70" s="2"/>
      <c r="K70" s="2"/>
    </row>
    <row r="71" spans="1:11" x14ac:dyDescent="0.25">
      <c r="A71" s="2" t="str">
        <f>source_columns[[#This Row],[Название таблицы STAGE]]&amp;source_columns[[#This Row],[Название поля]]</f>
        <v>b3080000460002_escrow_legalgk_agreement_actual_dtoescrowid</v>
      </c>
      <c r="B71" s="2" t="s">
        <v>41</v>
      </c>
      <c r="C71" s="2" t="s">
        <v>391</v>
      </c>
      <c r="D71" s="2" t="s">
        <v>320</v>
      </c>
      <c r="E71" s="2" t="s">
        <v>758</v>
      </c>
      <c r="F71" s="2" t="s">
        <v>759</v>
      </c>
      <c r="G71" s="2" t="s">
        <v>323</v>
      </c>
      <c r="H71" s="2"/>
      <c r="I71" s="2"/>
      <c r="J71" s="2"/>
      <c r="K71" s="2"/>
    </row>
    <row r="72" spans="1:11" x14ac:dyDescent="0.25">
      <c r="A72" s="2" t="str">
        <f>source_columns[[#This Row],[Название таблицы STAGE]]&amp;source_columns[[#This Row],[Название поля]]</f>
        <v>b3080000460002_escrow_legalgk_agreement_actual_dtoescrowid_uid</v>
      </c>
      <c r="B72" s="2" t="s">
        <v>41</v>
      </c>
      <c r="C72" s="2" t="s">
        <v>384</v>
      </c>
      <c r="D72" s="2" t="s">
        <v>316</v>
      </c>
      <c r="E72" s="2" t="s">
        <v>758</v>
      </c>
      <c r="F72" s="2" t="s">
        <v>759</v>
      </c>
      <c r="G72" s="2" t="s">
        <v>323</v>
      </c>
      <c r="H72" s="2"/>
      <c r="I72" s="2"/>
      <c r="J72" s="2"/>
      <c r="K72" s="2"/>
    </row>
    <row r="73" spans="1:11" x14ac:dyDescent="0.25">
      <c r="A73" s="2" t="str">
        <f>source_columns[[#This Row],[Название таблицы STAGE]]&amp;source_columns[[#This Row],[Название поля]]</f>
        <v>b3080000460002_escrow_legalgk_agreement_actual_dtoexpiredate</v>
      </c>
      <c r="B73" s="2" t="s">
        <v>41</v>
      </c>
      <c r="C73" s="2" t="s">
        <v>396</v>
      </c>
      <c r="D73" s="2" t="s">
        <v>302</v>
      </c>
      <c r="E73" s="2" t="s">
        <v>760</v>
      </c>
      <c r="F73" s="2" t="s">
        <v>420</v>
      </c>
      <c r="G73" s="2" t="s">
        <v>847</v>
      </c>
      <c r="H73" s="2"/>
      <c r="I73" s="2"/>
      <c r="J73" s="2"/>
      <c r="K73" s="2"/>
    </row>
    <row r="74" spans="1:11" x14ac:dyDescent="0.25">
      <c r="A74" s="2" t="str">
        <f>source_columns[[#This Row],[Название таблицы STAGE]]&amp;source_columns[[#This Row],[Название поля]]</f>
        <v>b3080000460002_escrow_legalgk_agreement_actual_dtoexternalregistryid</v>
      </c>
      <c r="B74" s="2" t="s">
        <v>41</v>
      </c>
      <c r="C74" s="2" t="s">
        <v>848</v>
      </c>
      <c r="D74" s="2" t="s">
        <v>320</v>
      </c>
      <c r="E74" s="2" t="s">
        <v>760</v>
      </c>
      <c r="F74" s="2" t="s">
        <v>420</v>
      </c>
      <c r="G74" s="2" t="s">
        <v>849</v>
      </c>
      <c r="H74" s="2"/>
      <c r="I74" s="2"/>
      <c r="J74" s="2"/>
      <c r="K74" s="2"/>
    </row>
    <row r="75" spans="1:11" x14ac:dyDescent="0.25">
      <c r="A75" s="2" t="str">
        <f>source_columns[[#This Row],[Название таблицы STAGE]]&amp;source_columns[[#This Row],[Название поля]]</f>
        <v>b3080000460002_escrow_legalgk_agreement_actual_dtoexternalregistryid_uid</v>
      </c>
      <c r="B75" s="2" t="s">
        <v>41</v>
      </c>
      <c r="C75" s="2" t="s">
        <v>850</v>
      </c>
      <c r="D75" s="2" t="s">
        <v>316</v>
      </c>
      <c r="E75" s="2" t="s">
        <v>760</v>
      </c>
      <c r="F75" s="2" t="s">
        <v>420</v>
      </c>
      <c r="G75" s="2" t="s">
        <v>849</v>
      </c>
      <c r="H75" s="2"/>
      <c r="I75" s="2"/>
      <c r="J75" s="2"/>
      <c r="K75" s="2"/>
    </row>
    <row r="76" spans="1:11" x14ac:dyDescent="0.25">
      <c r="A76" s="2" t="str">
        <f>source_columns[[#This Row],[Название таблицы STAGE]]&amp;source_columns[[#This Row],[Название поля]]</f>
        <v>b3080000460002_escrow_legalgk_agreement_actual_dtoid</v>
      </c>
      <c r="B76" s="2" t="s">
        <v>41</v>
      </c>
      <c r="C76" s="2" t="s">
        <v>433</v>
      </c>
      <c r="D76" s="2" t="s">
        <v>808</v>
      </c>
      <c r="E76" s="2" t="s">
        <v>760</v>
      </c>
      <c r="F76" s="2" t="s">
        <v>420</v>
      </c>
      <c r="G76" s="2" t="s">
        <v>809</v>
      </c>
      <c r="H76" s="2"/>
      <c r="I76" s="2"/>
      <c r="J76" s="2"/>
      <c r="K76" s="2"/>
    </row>
    <row r="77" spans="1:11" x14ac:dyDescent="0.25">
      <c r="A77" s="2" t="str">
        <f>source_columns[[#This Row],[Название таблицы STAGE]]&amp;source_columns[[#This Row],[Название поля]]</f>
        <v>b3080000460002_escrow_legalgk_agreement_actual_dtoprofitscheme</v>
      </c>
      <c r="B77" s="2" t="s">
        <v>41</v>
      </c>
      <c r="C77" s="2" t="s">
        <v>851</v>
      </c>
      <c r="D77" s="2" t="s">
        <v>320</v>
      </c>
      <c r="E77" s="2" t="s">
        <v>760</v>
      </c>
      <c r="F77" s="2" t="s">
        <v>420</v>
      </c>
      <c r="G77" s="1" t="s">
        <v>852</v>
      </c>
    </row>
    <row r="78" spans="1:11" x14ac:dyDescent="0.25">
      <c r="A78" s="2" t="str">
        <f>source_columns[[#This Row],[Название таблицы STAGE]]&amp;source_columns[[#This Row],[Название поля]]</f>
        <v>b3080000460002_escrow_legalgk_agreement_actual_dtoprofitscheme_uid</v>
      </c>
      <c r="B78" s="2" t="s">
        <v>41</v>
      </c>
      <c r="C78" s="2" t="s">
        <v>394</v>
      </c>
      <c r="D78" s="2" t="s">
        <v>316</v>
      </c>
      <c r="E78" s="2" t="s">
        <v>760</v>
      </c>
      <c r="F78" s="2" t="s">
        <v>420</v>
      </c>
      <c r="G78" s="1" t="s">
        <v>852</v>
      </c>
    </row>
    <row r="79" spans="1:11" x14ac:dyDescent="0.25">
      <c r="A79" s="2" t="str">
        <f>source_columns[[#This Row],[Название таблицы STAGE]]&amp;source_columns[[#This Row],[Название поля]]</f>
        <v>b3080000460002_escrow_legalgk_agreement_actual_dtoprofitscheme_description</v>
      </c>
      <c r="B79" s="2" t="s">
        <v>41</v>
      </c>
      <c r="C79" s="2" t="s">
        <v>853</v>
      </c>
      <c r="D79" s="2" t="s">
        <v>320</v>
      </c>
      <c r="E79" s="2" t="s">
        <v>760</v>
      </c>
      <c r="F79" s="2" t="s">
        <v>420</v>
      </c>
      <c r="G79" s="1" t="s">
        <v>854</v>
      </c>
    </row>
    <row r="80" spans="1:11" ht="13.5" customHeight="1" x14ac:dyDescent="0.25">
      <c r="A80" s="2" t="str">
        <f>source_columns[[#This Row],[Название таблицы STAGE]]&amp;source_columns[[#This Row],[Название поля]]</f>
        <v>b3080000460002_escrow_legalgk_agreement_actual_dtoescrowType_code</v>
      </c>
      <c r="B80" s="2" t="s">
        <v>41</v>
      </c>
      <c r="C80" s="2" t="s">
        <v>855</v>
      </c>
      <c r="D80" s="2" t="s">
        <v>320</v>
      </c>
      <c r="E80" s="2" t="s">
        <v>760</v>
      </c>
      <c r="F80" s="2" t="s">
        <v>420</v>
      </c>
      <c r="G80" s="2" t="s">
        <v>856</v>
      </c>
      <c r="H80" s="2"/>
      <c r="I80" s="2"/>
    </row>
    <row r="81" spans="1:11" ht="13.5" customHeight="1" x14ac:dyDescent="0.25">
      <c r="A81" s="2" t="str">
        <f>source_columns[[#This Row],[Название таблицы STAGE]]&amp;source_columns[[#This Row],[Название поля]]</f>
        <v>b3080000460002_escrow_legalgk_agreement_actual_dtoescrowType_code_uid</v>
      </c>
      <c r="B81" s="2" t="s">
        <v>41</v>
      </c>
      <c r="C81" s="2" t="s">
        <v>390</v>
      </c>
      <c r="D81" s="2" t="s">
        <v>316</v>
      </c>
      <c r="E81" s="2" t="s">
        <v>760</v>
      </c>
      <c r="F81" s="2" t="s">
        <v>420</v>
      </c>
      <c r="G81" s="2" t="s">
        <v>856</v>
      </c>
      <c r="H81" s="2"/>
    </row>
    <row r="82" spans="1:11" x14ac:dyDescent="0.25">
      <c r="A82" s="2" t="str">
        <f>source_columns[[#This Row],[Название таблицы STAGE]]&amp;source_columns[[#This Row],[Название поля]]</f>
        <v>b3080000460002_escrow_legalgk_agreement_actual_dtoescrowType_description</v>
      </c>
      <c r="B82" s="2" t="s">
        <v>41</v>
      </c>
      <c r="C82" s="2" t="s">
        <v>857</v>
      </c>
      <c r="D82" s="2" t="s">
        <v>320</v>
      </c>
      <c r="E82" s="2" t="s">
        <v>760</v>
      </c>
      <c r="F82" s="2" t="s">
        <v>420</v>
      </c>
      <c r="G82" s="2" t="s">
        <v>858</v>
      </c>
      <c r="H82" s="2"/>
      <c r="I82" s="2"/>
    </row>
    <row r="83" spans="1:11" x14ac:dyDescent="0.25">
      <c r="A83" s="2" t="str">
        <f>source_columns[[#This Row],[Название таблицы STAGE]]&amp;source_columns[[#This Row],[Название поля]]</f>
        <v>b3080000460002_escrow_legalgk_agreement_actual_dtoreference</v>
      </c>
      <c r="B83" s="2" t="s">
        <v>41</v>
      </c>
      <c r="C83" s="2" t="s">
        <v>388</v>
      </c>
      <c r="D83" s="2" t="s">
        <v>320</v>
      </c>
      <c r="E83" s="2" t="s">
        <v>760</v>
      </c>
      <c r="F83" s="2" t="s">
        <v>420</v>
      </c>
      <c r="G83" s="1" t="s">
        <v>763</v>
      </c>
    </row>
    <row r="84" spans="1:11" x14ac:dyDescent="0.25">
      <c r="A84" s="2" t="str">
        <f>source_columns[[#This Row],[Название таблицы STAGE]]&amp;source_columns[[#This Row],[Название поля]]</f>
        <v>b3080000460002_escrow_legalgk_agreement_actual_dtosys_date_create_or_update</v>
      </c>
      <c r="B84" s="2" t="s">
        <v>41</v>
      </c>
      <c r="C84" s="2" t="s">
        <v>517</v>
      </c>
      <c r="D84" s="2" t="s">
        <v>810</v>
      </c>
      <c r="E84" s="2" t="s">
        <v>760</v>
      </c>
      <c r="F84" s="2" t="s">
        <v>420</v>
      </c>
      <c r="G84" s="2" t="s">
        <v>811</v>
      </c>
      <c r="H84" s="218"/>
      <c r="I84" s="218"/>
      <c r="J84" s="2"/>
      <c r="K84" s="2"/>
    </row>
    <row r="85" spans="1:11" x14ac:dyDescent="0.25">
      <c r="A85" s="2" t="str">
        <f>source_columns[[#This Row],[Название таблицы STAGE]]&amp;source_columns[[#This Row],[Название поля]]</f>
        <v>b3080000460003_escrow_legalgk_beneficiariesindividualcreditcontract_d_i</v>
      </c>
      <c r="B85" s="2" t="s">
        <v>42</v>
      </c>
      <c r="C85" s="2" t="s">
        <v>859</v>
      </c>
      <c r="D85" s="2" t="s">
        <v>320</v>
      </c>
      <c r="E85" s="2" t="s">
        <v>760</v>
      </c>
      <c r="F85" s="2" t="s">
        <v>420</v>
      </c>
      <c r="G85" s="2" t="s">
        <v>860</v>
      </c>
      <c r="H85" s="2"/>
      <c r="I85" s="2"/>
      <c r="J85" s="2"/>
      <c r="K85" s="2"/>
    </row>
    <row r="86" spans="1:11" x14ac:dyDescent="0.25">
      <c r="A86" s="2" t="str">
        <f>source_columns[[#This Row],[Название таблицы STAGE]]&amp;source_columns[[#This Row],[Название поля]]</f>
        <v>b3080000460003_escrow_legalgk_beneficiariesindividualcreditcontract_i</v>
      </c>
      <c r="B86" s="2" t="s">
        <v>42</v>
      </c>
      <c r="C86" s="2" t="s">
        <v>861</v>
      </c>
      <c r="D86" s="2" t="s">
        <v>302</v>
      </c>
      <c r="E86" s="2" t="s">
        <v>760</v>
      </c>
      <c r="F86" s="2" t="s">
        <v>420</v>
      </c>
      <c r="G86" s="2" t="s">
        <v>862</v>
      </c>
      <c r="H86" s="2"/>
      <c r="I86" s="2"/>
      <c r="J86" s="2"/>
      <c r="K86" s="2"/>
    </row>
    <row r="87" spans="1:11" x14ac:dyDescent="0.25">
      <c r="A87" s="2" t="str">
        <f>source_columns[[#This Row],[Название таблицы STAGE]]&amp;source_columns[[#This Row],[Название поля]]</f>
        <v>b3080000460003_escrow_legalgk_beneficiariesindividualdateofbirth</v>
      </c>
      <c r="B87" s="2" t="s">
        <v>42</v>
      </c>
      <c r="C87" s="2" t="s">
        <v>863</v>
      </c>
      <c r="D87" s="2" t="s">
        <v>320</v>
      </c>
      <c r="E87" s="2" t="s">
        <v>760</v>
      </c>
      <c r="F87" s="2" t="s">
        <v>420</v>
      </c>
      <c r="G87" s="2" t="s">
        <v>864</v>
      </c>
      <c r="H87" s="2"/>
      <c r="I87" s="2"/>
      <c r="J87" s="2"/>
      <c r="K87" s="2"/>
    </row>
    <row r="88" spans="1:11" x14ac:dyDescent="0.25">
      <c r="A88" s="2" t="str">
        <f>source_columns[[#This Row],[Название таблицы STAGE]]&amp;source_columns[[#This Row],[Название поля]]</f>
        <v>b3080000460003_escrow_legalgk_beneficiariesindividualdeleted</v>
      </c>
      <c r="B88" s="2" t="s">
        <v>42</v>
      </c>
      <c r="C88" s="2" t="s">
        <v>812</v>
      </c>
      <c r="D88" s="2" t="s">
        <v>827</v>
      </c>
      <c r="E88" s="2" t="s">
        <v>760</v>
      </c>
      <c r="F88" s="2" t="s">
        <v>420</v>
      </c>
      <c r="G88" s="2" t="s">
        <v>813</v>
      </c>
      <c r="H88" s="2"/>
      <c r="I88" s="2" t="s">
        <v>828</v>
      </c>
      <c r="J88" s="2"/>
      <c r="K88" s="2"/>
    </row>
    <row r="89" spans="1:11" x14ac:dyDescent="0.25">
      <c r="A89" s="2" t="str">
        <f>source_columns[[#This Row],[Название таблицы STAGE]]&amp;source_columns[[#This Row],[Название поля]]</f>
        <v>b3080000460003_escrow_legalgk_beneficiariesindividualepkid_i</v>
      </c>
      <c r="B89" s="2" t="s">
        <v>42</v>
      </c>
      <c r="C89" s="2" t="s">
        <v>865</v>
      </c>
      <c r="D89" s="2" t="s">
        <v>320</v>
      </c>
      <c r="E89" s="2" t="s">
        <v>760</v>
      </c>
      <c r="F89" s="2" t="s">
        <v>420</v>
      </c>
      <c r="G89" s="2" t="s">
        <v>866</v>
      </c>
      <c r="H89" s="2"/>
      <c r="I89" s="2"/>
      <c r="J89" s="2"/>
      <c r="K89" s="2"/>
    </row>
    <row r="90" spans="1:11" x14ac:dyDescent="0.25">
      <c r="A90" s="2" t="str">
        <f>source_columns[[#This Row],[Название таблицы STAGE]]&amp;source_columns[[#This Row],[Название поля]]</f>
        <v>b3080000460003_escrow_legalgk_beneficiariesindividualepkid_i_uid</v>
      </c>
      <c r="B90" s="2" t="s">
        <v>42</v>
      </c>
      <c r="C90" s="2" t="s">
        <v>867</v>
      </c>
      <c r="D90" s="2" t="s">
        <v>316</v>
      </c>
      <c r="E90" s="2" t="s">
        <v>760</v>
      </c>
      <c r="F90" s="2" t="s">
        <v>420</v>
      </c>
      <c r="G90" s="2" t="s">
        <v>866</v>
      </c>
      <c r="H90" s="2"/>
      <c r="I90" s="2"/>
      <c r="J90" s="2"/>
      <c r="K90" s="2"/>
    </row>
    <row r="91" spans="1:11" x14ac:dyDescent="0.25">
      <c r="A91" s="2" t="str">
        <f>source_columns[[#This Row],[Название таблицы STAGE]]&amp;source_columns[[#This Row],[Название поля]]</f>
        <v>b3080000460003_escrow_legalgk_beneficiariesindividualescrowid</v>
      </c>
      <c r="B91" s="2" t="s">
        <v>42</v>
      </c>
      <c r="C91" s="2" t="s">
        <v>391</v>
      </c>
      <c r="D91" s="2" t="s">
        <v>320</v>
      </c>
      <c r="E91" s="2" t="s">
        <v>758</v>
      </c>
      <c r="F91" s="2" t="s">
        <v>420</v>
      </c>
      <c r="G91" s="2" t="s">
        <v>323</v>
      </c>
      <c r="H91" s="2"/>
      <c r="I91" s="2"/>
      <c r="J91" s="2"/>
      <c r="K91" s="2"/>
    </row>
    <row r="92" spans="1:11" x14ac:dyDescent="0.25">
      <c r="A92" s="2" t="str">
        <f>source_columns[[#This Row],[Название таблицы STAGE]]&amp;source_columns[[#This Row],[Название поля]]</f>
        <v>b3080000460003_escrow_legalgk_beneficiariesindividualescrowid_uid</v>
      </c>
      <c r="B92" s="2" t="s">
        <v>42</v>
      </c>
      <c r="C92" s="2" t="s">
        <v>384</v>
      </c>
      <c r="D92" s="2" t="s">
        <v>316</v>
      </c>
      <c r="E92" s="2" t="s">
        <v>758</v>
      </c>
      <c r="F92" s="2" t="s">
        <v>420</v>
      </c>
      <c r="G92" s="2" t="s">
        <v>323</v>
      </c>
      <c r="H92" s="2"/>
      <c r="I92" s="2"/>
      <c r="J92" s="2"/>
      <c r="K92" s="2"/>
    </row>
    <row r="93" spans="1:11" x14ac:dyDescent="0.25">
      <c r="A93" s="2" t="str">
        <f>source_columns[[#This Row],[Название таблицы STAGE]]&amp;source_columns[[#This Row],[Название поля]]</f>
        <v>b3080000460003_escrow_legalgk_beneficiariesindividualfirstname</v>
      </c>
      <c r="B93" s="2" t="s">
        <v>42</v>
      </c>
      <c r="C93" s="2" t="s">
        <v>868</v>
      </c>
      <c r="D93" s="2" t="s">
        <v>320</v>
      </c>
      <c r="E93" s="2" t="s">
        <v>760</v>
      </c>
      <c r="F93" s="2" t="s">
        <v>420</v>
      </c>
      <c r="G93" s="2" t="s">
        <v>869</v>
      </c>
      <c r="H93" s="2"/>
      <c r="I93" s="2"/>
    </row>
    <row r="94" spans="1:11" x14ac:dyDescent="0.25">
      <c r="A94" s="2" t="str">
        <f>source_columns[[#This Row],[Название таблицы STAGE]]&amp;source_columns[[#This Row],[Название поля]]</f>
        <v>b3080000460003_escrow_legalgk_beneficiariesindividualid</v>
      </c>
      <c r="B94" s="2" t="s">
        <v>42</v>
      </c>
      <c r="C94" s="2" t="s">
        <v>433</v>
      </c>
      <c r="D94" s="2" t="s">
        <v>808</v>
      </c>
      <c r="E94" s="2" t="s">
        <v>760</v>
      </c>
      <c r="F94" s="2" t="s">
        <v>759</v>
      </c>
      <c r="G94" s="2" t="s">
        <v>809</v>
      </c>
      <c r="H94" s="2"/>
      <c r="I94" s="2"/>
    </row>
    <row r="95" spans="1:11" x14ac:dyDescent="0.25">
      <c r="A95" s="2" t="str">
        <f>source_columns[[#This Row],[Название таблицы STAGE]]&amp;source_columns[[#This Row],[Название поля]]</f>
        <v>b3080000460003_escrow_legalgk_beneficiariesindividualcase when lastname is not null then 'individual' end</v>
      </c>
      <c r="B95" s="2" t="s">
        <v>42</v>
      </c>
      <c r="C95" s="2" t="s">
        <v>870</v>
      </c>
      <c r="D95" s="2" t="s">
        <v>320</v>
      </c>
      <c r="E95" s="2" t="s">
        <v>760</v>
      </c>
      <c r="F95" s="2" t="s">
        <v>420</v>
      </c>
      <c r="G95" s="2" t="s">
        <v>871</v>
      </c>
      <c r="H95" s="2"/>
      <c r="I95" s="2"/>
    </row>
    <row r="96" spans="1:11" x14ac:dyDescent="0.25">
      <c r="A96" s="2" t="str">
        <f>source_columns[[#This Row],[Название таблицы STAGE]]&amp;source_columns[[#This Row],[Название поля]]</f>
        <v>b3080000460003_escrow_legalgk_beneficiariesindividualmiddlename</v>
      </c>
      <c r="B96" s="2" t="s">
        <v>42</v>
      </c>
      <c r="C96" s="2" t="s">
        <v>872</v>
      </c>
      <c r="D96" s="2" t="s">
        <v>320</v>
      </c>
      <c r="E96" s="2" t="s">
        <v>760</v>
      </c>
      <c r="F96" s="2" t="s">
        <v>420</v>
      </c>
      <c r="G96" s="2" t="s">
        <v>873</v>
      </c>
      <c r="H96" s="2"/>
      <c r="I96" s="2"/>
    </row>
    <row r="97" spans="1:11" x14ac:dyDescent="0.25">
      <c r="A97" s="2" t="str">
        <f>source_columns[[#This Row],[Название таблицы STAGE]]&amp;source_columns[[#This Row],[Название поля]]</f>
        <v>b3080000460003_escrow_legalgk_beneficiariesindividualbeneficiariesindividual_uid</v>
      </c>
      <c r="B97" s="2" t="s">
        <v>42</v>
      </c>
      <c r="C97" s="2" t="s">
        <v>874</v>
      </c>
      <c r="D97" s="2" t="s">
        <v>316</v>
      </c>
      <c r="E97" s="2" t="s">
        <v>760</v>
      </c>
      <c r="F97" s="2" t="s">
        <v>420</v>
      </c>
      <c r="G97" s="2" t="s">
        <v>875</v>
      </c>
      <c r="H97" s="2" t="s">
        <v>876</v>
      </c>
      <c r="I97" s="2"/>
    </row>
    <row r="98" spans="1:11" x14ac:dyDescent="0.25">
      <c r="A98" s="2" t="str">
        <f>source_columns[[#This Row],[Название таблицы STAGE]]&amp;source_columns[[#This Row],[Название поля]]</f>
        <v>b3080000460003_escrow_legalgk_beneficiariesindividualsys_date_create_or_update</v>
      </c>
      <c r="B98" s="2" t="s">
        <v>42</v>
      </c>
      <c r="C98" s="2" t="s">
        <v>517</v>
      </c>
      <c r="D98" s="2" t="s">
        <v>810</v>
      </c>
      <c r="E98" s="2" t="s">
        <v>760</v>
      </c>
      <c r="F98" s="2" t="s">
        <v>420</v>
      </c>
      <c r="G98" s="2" t="s">
        <v>811</v>
      </c>
      <c r="H98" s="141"/>
      <c r="I98" s="141"/>
    </row>
    <row r="99" spans="1:11" x14ac:dyDescent="0.25">
      <c r="A99" s="2" t="str">
        <f>source_columns[[#This Row],[Название таблицы STAGE]]&amp;source_columns[[#This Row],[Название поля]]</f>
        <v>b3080000460004_escrow_legalgk_beneficiarieslegalacc_number</v>
      </c>
      <c r="B99" s="2" t="s">
        <v>43</v>
      </c>
      <c r="C99" s="2" t="s">
        <v>877</v>
      </c>
      <c r="D99" s="2" t="s">
        <v>320</v>
      </c>
      <c r="E99" s="2" t="s">
        <v>760</v>
      </c>
      <c r="F99" s="2" t="s">
        <v>420</v>
      </c>
      <c r="G99" s="2" t="s">
        <v>878</v>
      </c>
      <c r="H99" s="2"/>
      <c r="I99" s="2"/>
    </row>
    <row r="100" spans="1:11" x14ac:dyDescent="0.25">
      <c r="A100" s="2" t="str">
        <f>source_columns[[#This Row],[Название таблицы STAGE]]&amp;source_columns[[#This Row],[Название поля]]</f>
        <v>b3080000460004_escrow_legalgk_beneficiarieslegalcreditcontract_d_l</v>
      </c>
      <c r="B100" s="2" t="s">
        <v>43</v>
      </c>
      <c r="C100" s="2" t="s">
        <v>879</v>
      </c>
      <c r="D100" s="2" t="s">
        <v>320</v>
      </c>
      <c r="E100" s="2" t="s">
        <v>760</v>
      </c>
      <c r="F100" s="2" t="s">
        <v>420</v>
      </c>
      <c r="G100" s="2" t="s">
        <v>880</v>
      </c>
      <c r="H100" s="2"/>
      <c r="I100" s="2"/>
      <c r="J100" s="2"/>
      <c r="K100" s="2"/>
    </row>
    <row r="101" spans="1:11" x14ac:dyDescent="0.25">
      <c r="A101" s="2" t="str">
        <f>source_columns[[#This Row],[Название таблицы STAGE]]&amp;source_columns[[#This Row],[Название поля]]</f>
        <v>b3080000460004_escrow_legalgk_beneficiarieslegalcreditcontract_d_l_uid</v>
      </c>
      <c r="B101" s="2" t="s">
        <v>43</v>
      </c>
      <c r="C101" s="2" t="s">
        <v>881</v>
      </c>
      <c r="D101" s="2" t="s">
        <v>316</v>
      </c>
      <c r="E101" s="2" t="s">
        <v>760</v>
      </c>
      <c r="F101" s="2" t="s">
        <v>420</v>
      </c>
      <c r="G101" s="2" t="s">
        <v>880</v>
      </c>
      <c r="H101" s="2"/>
      <c r="I101" s="2"/>
      <c r="J101" s="2"/>
      <c r="K101" s="2"/>
    </row>
    <row r="102" spans="1:11" x14ac:dyDescent="0.25">
      <c r="A102" s="2" t="str">
        <f>source_columns[[#This Row],[Название таблицы STAGE]]&amp;source_columns[[#This Row],[Название поля]]</f>
        <v>b3080000460004_escrow_legalgk_beneficiarieslegalcreditcontract_l</v>
      </c>
      <c r="B102" s="2" t="s">
        <v>43</v>
      </c>
      <c r="C102" s="2" t="s">
        <v>882</v>
      </c>
      <c r="D102" s="2" t="s">
        <v>302</v>
      </c>
      <c r="E102" s="2" t="s">
        <v>760</v>
      </c>
      <c r="F102" s="2" t="s">
        <v>420</v>
      </c>
      <c r="G102" s="2" t="s">
        <v>883</v>
      </c>
      <c r="H102" s="2"/>
      <c r="I102" s="2"/>
      <c r="J102" s="2"/>
      <c r="K102" s="2"/>
    </row>
    <row r="103" spans="1:11" x14ac:dyDescent="0.25">
      <c r="A103" s="2" t="str">
        <f>source_columns[[#This Row],[Название таблицы STAGE]]&amp;source_columns[[#This Row],[Название поля]]</f>
        <v>b3080000460004_escrow_legalgk_beneficiarieslegalcreditcontract_l_eksid</v>
      </c>
      <c r="B103" s="2" t="s">
        <v>43</v>
      </c>
      <c r="C103" s="2" t="s">
        <v>884</v>
      </c>
      <c r="D103" s="2" t="s">
        <v>320</v>
      </c>
      <c r="E103" s="2" t="s">
        <v>760</v>
      </c>
      <c r="F103" s="2" t="s">
        <v>420</v>
      </c>
      <c r="G103" s="2" t="s">
        <v>885</v>
      </c>
      <c r="H103" s="2"/>
      <c r="I103" s="2"/>
      <c r="J103" s="2"/>
      <c r="K103" s="2"/>
    </row>
    <row r="104" spans="1:11" x14ac:dyDescent="0.25">
      <c r="A104" s="2" t="str">
        <f>source_columns[[#This Row],[Название таблицы STAGE]]&amp;source_columns[[#This Row],[Название поля]]</f>
        <v>b3080000460004_escrow_legalgk_beneficiarieslegalcreditcontract_l_kulid</v>
      </c>
      <c r="B104" s="2" t="s">
        <v>43</v>
      </c>
      <c r="C104" s="2" t="s">
        <v>886</v>
      </c>
      <c r="D104" s="2" t="s">
        <v>320</v>
      </c>
      <c r="E104" s="2" t="s">
        <v>760</v>
      </c>
      <c r="F104" s="2" t="s">
        <v>420</v>
      </c>
      <c r="G104" s="2" t="s">
        <v>887</v>
      </c>
      <c r="H104" s="2"/>
      <c r="I104" s="2"/>
      <c r="J104" s="2"/>
      <c r="K104" s="2"/>
    </row>
    <row r="105" spans="1:11" x14ac:dyDescent="0.25">
      <c r="A105" s="2" t="str">
        <f>source_columns[[#This Row],[Название таблицы STAGE]]&amp;source_columns[[#This Row],[Название поля]]</f>
        <v>b3080000460004_escrow_legalgk_beneficiarieslegalcreditcontract_l_kulid_uid</v>
      </c>
      <c r="B105" s="2" t="s">
        <v>43</v>
      </c>
      <c r="C105" s="2" t="s">
        <v>888</v>
      </c>
      <c r="D105" s="2" t="s">
        <v>316</v>
      </c>
      <c r="E105" s="2" t="s">
        <v>760</v>
      </c>
      <c r="F105" s="2" t="s">
        <v>420</v>
      </c>
      <c r="G105" s="2" t="s">
        <v>887</v>
      </c>
      <c r="H105" s="2"/>
      <c r="I105" s="2"/>
      <c r="J105" s="2"/>
      <c r="K105" s="2"/>
    </row>
    <row r="106" spans="1:11" x14ac:dyDescent="0.25">
      <c r="A106" s="2" t="str">
        <f>source_columns[[#This Row],[Название таблицы STAGE]]&amp;source_columns[[#This Row],[Название поля]]</f>
        <v>b3080000460004_escrow_legalgk_beneficiarieslegaldeleted</v>
      </c>
      <c r="B106" s="2" t="s">
        <v>43</v>
      </c>
      <c r="C106" s="2" t="s">
        <v>812</v>
      </c>
      <c r="D106" s="2" t="s">
        <v>827</v>
      </c>
      <c r="E106" s="2" t="s">
        <v>760</v>
      </c>
      <c r="F106" s="2" t="s">
        <v>420</v>
      </c>
      <c r="G106" s="2" t="s">
        <v>813</v>
      </c>
      <c r="H106" s="2"/>
      <c r="I106" s="2" t="s">
        <v>828</v>
      </c>
    </row>
    <row r="107" spans="1:11" x14ac:dyDescent="0.25">
      <c r="A107" s="2" t="str">
        <f>source_columns[[#This Row],[Название таблицы STAGE]]&amp;source_columns[[#This Row],[Название поля]]</f>
        <v>b3080000460004_escrow_legalgk_beneficiarieslegalepkid_l</v>
      </c>
      <c r="B107" s="2" t="s">
        <v>43</v>
      </c>
      <c r="C107" s="2" t="s">
        <v>889</v>
      </c>
      <c r="D107" s="2" t="s">
        <v>320</v>
      </c>
      <c r="E107" s="2" t="s">
        <v>760</v>
      </c>
      <c r="F107" s="2" t="s">
        <v>420</v>
      </c>
      <c r="G107" s="2" t="s">
        <v>890</v>
      </c>
      <c r="H107" s="2"/>
      <c r="I107" s="2"/>
    </row>
    <row r="108" spans="1:11" x14ac:dyDescent="0.25">
      <c r="A108" s="2" t="str">
        <f>source_columns[[#This Row],[Название таблицы STAGE]]&amp;source_columns[[#This Row],[Название поля]]</f>
        <v>b3080000460004_escrow_legalgk_beneficiarieslegalepkid_l_uid</v>
      </c>
      <c r="B108" s="2" t="s">
        <v>43</v>
      </c>
      <c r="C108" s="2" t="s">
        <v>891</v>
      </c>
      <c r="D108" s="2" t="s">
        <v>316</v>
      </c>
      <c r="E108" s="2" t="s">
        <v>760</v>
      </c>
      <c r="F108" s="2" t="s">
        <v>420</v>
      </c>
      <c r="G108" s="2" t="s">
        <v>890</v>
      </c>
      <c r="H108" s="2"/>
      <c r="I108" s="2"/>
    </row>
    <row r="109" spans="1:11" x14ac:dyDescent="0.25">
      <c r="A109" s="2" t="str">
        <f>source_columns[[#This Row],[Название таблицы STAGE]]&amp;source_columns[[#This Row],[Название поля]]</f>
        <v>b3080000460004_escrow_legalgk_beneficiarieslegalescrowid</v>
      </c>
      <c r="B109" s="2" t="s">
        <v>43</v>
      </c>
      <c r="C109" s="2" t="s">
        <v>391</v>
      </c>
      <c r="D109" s="2" t="s">
        <v>320</v>
      </c>
      <c r="E109" s="2" t="s">
        <v>758</v>
      </c>
      <c r="F109" s="2" t="s">
        <v>420</v>
      </c>
      <c r="G109" s="2" t="s">
        <v>323</v>
      </c>
      <c r="H109" s="2"/>
      <c r="I109" s="2"/>
    </row>
    <row r="110" spans="1:11" x14ac:dyDescent="0.25">
      <c r="A110" s="2" t="str">
        <f>source_columns[[#This Row],[Название таблицы STAGE]]&amp;source_columns[[#This Row],[Название поля]]</f>
        <v>b3080000460004_escrow_legalgk_beneficiarieslegalescrowid_uid</v>
      </c>
      <c r="B110" s="2" t="s">
        <v>43</v>
      </c>
      <c r="C110" s="2" t="s">
        <v>384</v>
      </c>
      <c r="D110" s="2" t="s">
        <v>316</v>
      </c>
      <c r="E110" s="2" t="s">
        <v>758</v>
      </c>
      <c r="F110" s="2" t="s">
        <v>420</v>
      </c>
      <c r="G110" s="2" t="s">
        <v>323</v>
      </c>
      <c r="H110" s="2"/>
      <c r="I110" s="2"/>
    </row>
    <row r="111" spans="1:11" x14ac:dyDescent="0.25">
      <c r="A111" s="2" t="str">
        <f>source_columns[[#This Row],[Название таблицы STAGE]]&amp;source_columns[[#This Row],[Название поля]]</f>
        <v>b3080000460004_escrow_legalgk_beneficiarieslegalid</v>
      </c>
      <c r="B111" s="2" t="s">
        <v>43</v>
      </c>
      <c r="C111" s="2" t="s">
        <v>433</v>
      </c>
      <c r="D111" s="2" t="s">
        <v>808</v>
      </c>
      <c r="E111" s="2" t="s">
        <v>760</v>
      </c>
      <c r="F111" s="2" t="s">
        <v>759</v>
      </c>
      <c r="G111" s="2" t="s">
        <v>809</v>
      </c>
      <c r="H111" s="2"/>
      <c r="I111" s="2"/>
    </row>
    <row r="112" spans="1:11" x14ac:dyDescent="0.25">
      <c r="A112" s="2" t="str">
        <f>source_columns[[#This Row],[Название таблицы STAGE]]&amp;source_columns[[#This Row],[Название поля]]</f>
        <v>b3080000460004_escrow_legalgk_beneficiarieslegalname</v>
      </c>
      <c r="B112" s="2" t="s">
        <v>43</v>
      </c>
      <c r="C112" s="2" t="s">
        <v>892</v>
      </c>
      <c r="D112" s="2" t="s">
        <v>320</v>
      </c>
      <c r="E112" s="2" t="s">
        <v>760</v>
      </c>
      <c r="F112" s="2" t="s">
        <v>420</v>
      </c>
      <c r="G112" s="2" t="s">
        <v>893</v>
      </c>
      <c r="H112" s="2"/>
      <c r="I112" s="2"/>
    </row>
    <row r="113" spans="1:9" x14ac:dyDescent="0.25">
      <c r="A113" s="2" t="str">
        <f>source_columns[[#This Row],[Название таблицы STAGE]]&amp;source_columns[[#This Row],[Название поля]]</f>
        <v>b3080000460004_escrow_legalgk_beneficiarieslegalbeneficiarieslegal_uid</v>
      </c>
      <c r="B113" s="2" t="s">
        <v>43</v>
      </c>
      <c r="C113" s="2" t="s">
        <v>894</v>
      </c>
      <c r="D113" s="2" t="s">
        <v>316</v>
      </c>
      <c r="E113" s="2" t="s">
        <v>760</v>
      </c>
      <c r="F113" s="2" t="s">
        <v>420</v>
      </c>
      <c r="G113" s="2" t="s">
        <v>895</v>
      </c>
      <c r="H113" s="2" t="s">
        <v>896</v>
      </c>
      <c r="I113" s="2"/>
    </row>
    <row r="114" spans="1:9" x14ac:dyDescent="0.25">
      <c r="A114" s="2" t="str">
        <f>source_columns[[#This Row],[Название таблицы STAGE]]&amp;source_columns[[#This Row],[Название поля]]</f>
        <v>b3080000460004_escrow_legalgk_beneficiarieslegalsys_date_create_or_update</v>
      </c>
      <c r="B114" s="2" t="s">
        <v>43</v>
      </c>
      <c r="C114" s="2" t="s">
        <v>517</v>
      </c>
      <c r="D114" s="2" t="s">
        <v>810</v>
      </c>
      <c r="E114" s="2" t="s">
        <v>760</v>
      </c>
      <c r="F114" s="2" t="s">
        <v>420</v>
      </c>
      <c r="G114" s="2" t="s">
        <v>811</v>
      </c>
      <c r="H114" s="2"/>
      <c r="I114" s="2"/>
    </row>
    <row r="115" spans="1:9" x14ac:dyDescent="0.25">
      <c r="A115" s="2" t="str">
        <f>source_columns[[#This Row],[Название таблицы STAGE]]&amp;source_columns[[#This Row],[Название поля]]</f>
        <v>b3080000460004_escrow_legalgk_beneficiarieslegaltaxid</v>
      </c>
      <c r="B115" s="2" t="s">
        <v>43</v>
      </c>
      <c r="C115" s="2" t="s">
        <v>897</v>
      </c>
      <c r="D115" s="2" t="s">
        <v>320</v>
      </c>
      <c r="E115" s="2" t="s">
        <v>760</v>
      </c>
      <c r="F115" s="2" t="s">
        <v>420</v>
      </c>
      <c r="G115" s="2" t="s">
        <v>898</v>
      </c>
      <c r="H115" s="141"/>
      <c r="I115" s="141"/>
    </row>
    <row r="116" spans="1:9" x14ac:dyDescent="0.25">
      <c r="A116" s="2" t="str">
        <f>source_columns[[#This Row],[Название таблицы STAGE]]&amp;source_columns[[#This Row],[Название поля]]</f>
        <v>b3080000460005_escrow_legalgk_tariffscomissioner</v>
      </c>
      <c r="B116" s="2" t="s">
        <v>44</v>
      </c>
      <c r="C116" s="2" t="s">
        <v>899</v>
      </c>
      <c r="D116" s="2" t="s">
        <v>320</v>
      </c>
      <c r="E116" s="2" t="s">
        <v>760</v>
      </c>
      <c r="F116" s="2" t="s">
        <v>420</v>
      </c>
      <c r="G116" s="2" t="s">
        <v>900</v>
      </c>
      <c r="H116" s="2"/>
      <c r="I116" s="2"/>
    </row>
    <row r="117" spans="1:9" x14ac:dyDescent="0.25">
      <c r="A117" s="2" t="str">
        <f>source_columns[[#This Row],[Название таблицы STAGE]]&amp;source_columns[[#This Row],[Название поля]]</f>
        <v>b3080000460005_escrow_legalgk_tariffscomissioner_d</v>
      </c>
      <c r="B117" s="2" t="s">
        <v>44</v>
      </c>
      <c r="C117" s="2" t="s">
        <v>901</v>
      </c>
      <c r="D117" s="2" t="s">
        <v>320</v>
      </c>
      <c r="E117" s="2" t="s">
        <v>760</v>
      </c>
      <c r="F117" s="2" t="s">
        <v>420</v>
      </c>
      <c r="G117" s="2" t="s">
        <v>902</v>
      </c>
      <c r="H117" s="2"/>
      <c r="I117" s="2"/>
    </row>
    <row r="118" spans="1:9" x14ac:dyDescent="0.25">
      <c r="A118" s="2" t="str">
        <f>source_columns[[#This Row],[Название таблицы STAGE]]&amp;source_columns[[#This Row],[Название поля]]</f>
        <v>b3080000460005_escrow_legalgk_tariffscomissionerid</v>
      </c>
      <c r="B118" s="2" t="s">
        <v>44</v>
      </c>
      <c r="C118" s="2" t="s">
        <v>903</v>
      </c>
      <c r="D118" s="2" t="s">
        <v>320</v>
      </c>
      <c r="E118" s="2" t="s">
        <v>760</v>
      </c>
      <c r="F118" s="2" t="s">
        <v>420</v>
      </c>
      <c r="G118" s="2" t="s">
        <v>904</v>
      </c>
      <c r="H118" s="2"/>
      <c r="I118" s="2"/>
    </row>
    <row r="119" spans="1:9" x14ac:dyDescent="0.25">
      <c r="A119" s="2" t="str">
        <f>source_columns[[#This Row],[Название таблицы STAGE]]&amp;source_columns[[#This Row],[Название поля]]</f>
        <v>b3080000460005_escrow_legalgk_tariffscomissionerid_uid</v>
      </c>
      <c r="B119" s="2" t="s">
        <v>44</v>
      </c>
      <c r="C119" s="2" t="s">
        <v>905</v>
      </c>
      <c r="D119" s="2" t="s">
        <v>316</v>
      </c>
      <c r="E119" s="2" t="s">
        <v>760</v>
      </c>
      <c r="F119" s="2" t="s">
        <v>420</v>
      </c>
      <c r="G119" s="2" t="s">
        <v>904</v>
      </c>
      <c r="H119" s="2"/>
      <c r="I119" s="2"/>
    </row>
    <row r="120" spans="1:9" x14ac:dyDescent="0.25">
      <c r="A120" s="2" t="str">
        <f>source_columns[[#This Row],[Название таблицы STAGE]]&amp;source_columns[[#This Row],[Название поля]]</f>
        <v>b3080000460005_escrow_legalgk_tariffsdeleted</v>
      </c>
      <c r="B120" s="2" t="s">
        <v>44</v>
      </c>
      <c r="C120" s="2" t="s">
        <v>812</v>
      </c>
      <c r="D120" s="2" t="s">
        <v>827</v>
      </c>
      <c r="E120" s="2" t="s">
        <v>760</v>
      </c>
      <c r="F120" s="2" t="s">
        <v>420</v>
      </c>
      <c r="G120" s="2" t="s">
        <v>813</v>
      </c>
      <c r="H120" s="2"/>
      <c r="I120" s="2" t="s">
        <v>828</v>
      </c>
    </row>
    <row r="121" spans="1:9" x14ac:dyDescent="0.25">
      <c r="A121" s="2" t="str">
        <f>source_columns[[#This Row],[Название таблицы STAGE]]&amp;source_columns[[#This Row],[Название поля]]</f>
        <v>b3080000460005_escrow_legalgk_tariffsescrowid</v>
      </c>
      <c r="B121" s="2" t="s">
        <v>44</v>
      </c>
      <c r="C121" s="2" t="s">
        <v>391</v>
      </c>
      <c r="D121" s="2" t="s">
        <v>320</v>
      </c>
      <c r="E121" s="2" t="s">
        <v>758</v>
      </c>
      <c r="F121" s="2" t="s">
        <v>420</v>
      </c>
      <c r="G121" s="2" t="s">
        <v>323</v>
      </c>
      <c r="H121" s="2"/>
      <c r="I121" s="2"/>
    </row>
    <row r="122" spans="1:9" x14ac:dyDescent="0.25">
      <c r="A122" s="2" t="str">
        <f>source_columns[[#This Row],[Название таблицы STAGE]]&amp;source_columns[[#This Row],[Название поля]]</f>
        <v>b3080000460005_escrow_legalgk_tariffsescrowid_uid</v>
      </c>
      <c r="B122" s="2" t="s">
        <v>44</v>
      </c>
      <c r="C122" s="2" t="s">
        <v>384</v>
      </c>
      <c r="D122" s="2" t="s">
        <v>316</v>
      </c>
      <c r="E122" s="2" t="s">
        <v>758</v>
      </c>
      <c r="F122" s="2" t="s">
        <v>420</v>
      </c>
      <c r="G122" s="2" t="s">
        <v>323</v>
      </c>
      <c r="H122" s="2"/>
      <c r="I122" s="2"/>
    </row>
    <row r="123" spans="1:9" x14ac:dyDescent="0.25">
      <c r="A123" s="2" t="str">
        <f>source_columns[[#This Row],[Название таблицы STAGE]]&amp;source_columns[[#This Row],[Название поля]]</f>
        <v>b3080000460005_escrow_legalgk_tariffsevent_type_code</v>
      </c>
      <c r="B123" s="2" t="s">
        <v>44</v>
      </c>
      <c r="C123" s="2" t="s">
        <v>906</v>
      </c>
      <c r="D123" s="2" t="s">
        <v>320</v>
      </c>
      <c r="E123" s="2" t="s">
        <v>760</v>
      </c>
      <c r="F123" s="2" t="s">
        <v>420</v>
      </c>
      <c r="G123" s="2" t="s">
        <v>416</v>
      </c>
      <c r="H123" s="2"/>
      <c r="I123" s="2"/>
    </row>
    <row r="124" spans="1:9" x14ac:dyDescent="0.25">
      <c r="A124" s="2" t="str">
        <f>source_columns[[#This Row],[Название таблицы STAGE]]&amp;source_columns[[#This Row],[Название поля]]</f>
        <v>b3080000460005_escrow_legalgk_tariffsevent_type_code_uid</v>
      </c>
      <c r="B124" s="2" t="s">
        <v>44</v>
      </c>
      <c r="C124" s="2" t="s">
        <v>907</v>
      </c>
      <c r="D124" s="2" t="s">
        <v>316</v>
      </c>
      <c r="E124" s="2" t="s">
        <v>760</v>
      </c>
      <c r="F124" s="2" t="s">
        <v>420</v>
      </c>
      <c r="G124" s="2" t="s">
        <v>416</v>
      </c>
      <c r="H124" s="2"/>
      <c r="I124" s="2"/>
    </row>
    <row r="125" spans="1:9" x14ac:dyDescent="0.25">
      <c r="A125" s="2" t="str">
        <f>source_columns[[#This Row],[Название таблицы STAGE]]&amp;source_columns[[#This Row],[Название поля]]</f>
        <v>b3080000460005_escrow_legalgk_tariffsevent_type_desc</v>
      </c>
      <c r="B125" s="2" t="s">
        <v>44</v>
      </c>
      <c r="C125" s="2" t="s">
        <v>908</v>
      </c>
      <c r="D125" s="2" t="s">
        <v>320</v>
      </c>
      <c r="E125" s="2" t="s">
        <v>760</v>
      </c>
      <c r="F125" s="2" t="s">
        <v>420</v>
      </c>
      <c r="G125" s="2" t="s">
        <v>419</v>
      </c>
      <c r="H125" s="2"/>
      <c r="I125" s="2"/>
    </row>
    <row r="126" spans="1:9" x14ac:dyDescent="0.25">
      <c r="A126" s="2" t="str">
        <f>source_columns[[#This Row],[Название таблицы STAGE]]&amp;source_columns[[#This Row],[Название поля]]</f>
        <v>b3080000460005_escrow_legalgk_tariffsid</v>
      </c>
      <c r="B126" s="2" t="s">
        <v>44</v>
      </c>
      <c r="C126" s="2" t="s">
        <v>433</v>
      </c>
      <c r="D126" s="2" t="s">
        <v>808</v>
      </c>
      <c r="E126" s="2" t="s">
        <v>760</v>
      </c>
      <c r="F126" s="2" t="s">
        <v>759</v>
      </c>
      <c r="G126" s="2" t="s">
        <v>809</v>
      </c>
      <c r="H126" s="2"/>
      <c r="I126" s="2"/>
    </row>
    <row r="127" spans="1:9" x14ac:dyDescent="0.25">
      <c r="A127" s="2" t="str">
        <f>source_columns[[#This Row],[Название таблицы STAGE]]&amp;source_columns[[#This Row],[Название поля]]</f>
        <v>b3080000460005_escrow_legalgk_tariffsstartdate</v>
      </c>
      <c r="B127" s="2" t="s">
        <v>44</v>
      </c>
      <c r="C127" s="2" t="s">
        <v>909</v>
      </c>
      <c r="D127" s="2" t="s">
        <v>302</v>
      </c>
      <c r="E127" s="2" t="s">
        <v>760</v>
      </c>
      <c r="F127" s="2" t="s">
        <v>420</v>
      </c>
      <c r="G127" s="2" t="s">
        <v>910</v>
      </c>
      <c r="H127" s="2"/>
      <c r="I127" s="2"/>
    </row>
    <row r="128" spans="1:9" x14ac:dyDescent="0.25">
      <c r="A128" s="2" t="str">
        <f>source_columns[[#This Row],[Название таблицы STAGE]]&amp;source_columns[[#This Row],[Название поля]]</f>
        <v>b3080000460005_escrow_legalgk_tariffssys_date_create_or_update</v>
      </c>
      <c r="B128" s="2" t="s">
        <v>44</v>
      </c>
      <c r="C128" s="2" t="s">
        <v>517</v>
      </c>
      <c r="D128" s="2" t="s">
        <v>810</v>
      </c>
      <c r="E128" s="2" t="s">
        <v>760</v>
      </c>
      <c r="F128" s="2" t="s">
        <v>420</v>
      </c>
      <c r="G128" s="2" t="s">
        <v>811</v>
      </c>
      <c r="H128" s="2"/>
      <c r="I128" s="141"/>
    </row>
    <row r="129" spans="1:9" x14ac:dyDescent="0.25">
      <c r="A129" s="2" t="str">
        <f>source_columns[[#This Row],[Название таблицы STAGE]]&amp;source_columns[[#This Row],[Название поля]]</f>
        <v>b3080000460006_payments_2_0_posting_dtoagreementid</v>
      </c>
      <c r="B129" s="2" t="s">
        <v>45</v>
      </c>
      <c r="C129" s="2" t="s">
        <v>911</v>
      </c>
      <c r="D129" s="2" t="s">
        <v>320</v>
      </c>
      <c r="E129" s="2" t="s">
        <v>760</v>
      </c>
      <c r="F129" s="2" t="s">
        <v>420</v>
      </c>
      <c r="G129" s="2" t="s">
        <v>325</v>
      </c>
      <c r="H129" s="2"/>
      <c r="I129" s="2"/>
    </row>
    <row r="130" spans="1:9" x14ac:dyDescent="0.25">
      <c r="A130" s="2" t="str">
        <f>source_columns[[#This Row],[Название таблицы STAGE]]&amp;source_columns[[#This Row],[Название поля]]</f>
        <v>b3080000460006_payments_2_0_posting_dtoagreementid_uid</v>
      </c>
      <c r="B130" s="2" t="s">
        <v>45</v>
      </c>
      <c r="C130" s="2" t="s">
        <v>424</v>
      </c>
      <c r="D130" s="2" t="s">
        <v>316</v>
      </c>
      <c r="E130" s="2" t="s">
        <v>760</v>
      </c>
      <c r="F130" s="2" t="s">
        <v>420</v>
      </c>
      <c r="G130" s="2" t="s">
        <v>325</v>
      </c>
      <c r="H130" s="2"/>
      <c r="I130" s="2"/>
    </row>
    <row r="131" spans="1:9" x14ac:dyDescent="0.25">
      <c r="A131" s="2" t="str">
        <f>source_columns[[#This Row],[Название таблицы STAGE]]&amp;source_columns[[#This Row],[Название поля]]</f>
        <v>b3080000460006_payments_2_0_posting_dtoagreementreference</v>
      </c>
      <c r="B131" s="2" t="s">
        <v>45</v>
      </c>
      <c r="C131" s="2" t="s">
        <v>912</v>
      </c>
      <c r="D131" s="2" t="s">
        <v>320</v>
      </c>
      <c r="E131" s="2" t="s">
        <v>760</v>
      </c>
      <c r="F131" s="2" t="s">
        <v>420</v>
      </c>
      <c r="G131" s="2" t="s">
        <v>763</v>
      </c>
      <c r="H131" s="2"/>
      <c r="I131" s="2"/>
    </row>
    <row r="132" spans="1:9" x14ac:dyDescent="0.25">
      <c r="A132" s="2" t="str">
        <f>source_columns[[#This Row],[Название таблицы STAGE]]&amp;source_columns[[#This Row],[Название поля]]</f>
        <v>b3080000460006_payments_2_0_posting_dtoamount</v>
      </c>
      <c r="B132" s="2" t="s">
        <v>45</v>
      </c>
      <c r="C132" s="2" t="s">
        <v>430</v>
      </c>
      <c r="D132" s="2" t="s">
        <v>843</v>
      </c>
      <c r="E132" s="2" t="s">
        <v>760</v>
      </c>
      <c r="F132" s="2" t="s">
        <v>420</v>
      </c>
      <c r="G132" s="2" t="s">
        <v>913</v>
      </c>
      <c r="H132" s="2"/>
      <c r="I132" s="2"/>
    </row>
    <row r="133" spans="1:9" x14ac:dyDescent="0.25">
      <c r="A133" s="2" t="str">
        <f>source_columns[[#This Row],[Название таблицы STAGE]]&amp;source_columns[[#This Row],[Название поля]]</f>
        <v>b3080000460006_payments_2_0_posting_dtocodecommission</v>
      </c>
      <c r="B133" s="2" t="s">
        <v>45</v>
      </c>
      <c r="C133" s="2" t="s">
        <v>492</v>
      </c>
      <c r="D133" s="2" t="s">
        <v>320</v>
      </c>
      <c r="E133" s="2" t="s">
        <v>760</v>
      </c>
      <c r="F133" s="2" t="s">
        <v>420</v>
      </c>
      <c r="G133" s="2" t="s">
        <v>914</v>
      </c>
      <c r="H133" s="2"/>
      <c r="I133" s="2"/>
    </row>
    <row r="134" spans="1:9" x14ac:dyDescent="0.25">
      <c r="A134" s="2" t="str">
        <f>source_columns[[#This Row],[Название таблицы STAGE]]&amp;source_columns[[#This Row],[Название поля]]</f>
        <v>b3080000460006_payments_2_0_posting_dtocodecommission_uid</v>
      </c>
      <c r="B134" s="2" t="s">
        <v>45</v>
      </c>
      <c r="C134" s="2" t="s">
        <v>488</v>
      </c>
      <c r="D134" s="2" t="s">
        <v>316</v>
      </c>
      <c r="E134" s="2" t="s">
        <v>760</v>
      </c>
      <c r="F134" s="2" t="s">
        <v>420</v>
      </c>
      <c r="G134" s="2" t="s">
        <v>914</v>
      </c>
      <c r="H134" s="2"/>
      <c r="I134" s="2"/>
    </row>
    <row r="135" spans="1:9" x14ac:dyDescent="0.25">
      <c r="A135" s="2" t="str">
        <f>source_columns[[#This Row],[Название таблицы STAGE]]&amp;source_columns[[#This Row],[Название поля]]</f>
        <v>b3080000460006_payments_2_0_posting_dtocomminstanceid</v>
      </c>
      <c r="B135" s="2" t="s">
        <v>45</v>
      </c>
      <c r="C135" s="2" t="s">
        <v>915</v>
      </c>
      <c r="D135" s="2" t="s">
        <v>320</v>
      </c>
      <c r="E135" s="2" t="s">
        <v>760</v>
      </c>
      <c r="F135" s="2" t="s">
        <v>420</v>
      </c>
      <c r="G135" s="2" t="s">
        <v>916</v>
      </c>
      <c r="H135" s="2"/>
      <c r="I135" s="2"/>
    </row>
    <row r="136" spans="1:9" x14ac:dyDescent="0.25">
      <c r="A136" s="2" t="str">
        <f>source_columns[[#This Row],[Название таблицы STAGE]]&amp;source_columns[[#This Row],[Название поля]]</f>
        <v>b3080000460006_payments_2_0_posting_dtocurrency</v>
      </c>
      <c r="B136" s="2" t="s">
        <v>45</v>
      </c>
      <c r="C136" s="2" t="s">
        <v>917</v>
      </c>
      <c r="D136" s="2" t="s">
        <v>320</v>
      </c>
      <c r="E136" s="2" t="s">
        <v>760</v>
      </c>
      <c r="F136" s="2" t="s">
        <v>420</v>
      </c>
      <c r="G136" s="2" t="s">
        <v>918</v>
      </c>
      <c r="H136" s="2"/>
      <c r="I136" s="2"/>
    </row>
    <row r="137" spans="1:9" x14ac:dyDescent="0.25">
      <c r="A137" s="2" t="str">
        <f>source_columns[[#This Row],[Название таблицы STAGE]]&amp;source_columns[[#This Row],[Название поля]]</f>
        <v>b3080000460006_payments_2_0_posting_dtocurrency_uid</v>
      </c>
      <c r="B137" s="2" t="s">
        <v>45</v>
      </c>
      <c r="C137" s="2" t="s">
        <v>431</v>
      </c>
      <c r="D137" s="2" t="s">
        <v>316</v>
      </c>
      <c r="E137" s="2" t="s">
        <v>760</v>
      </c>
      <c r="F137" s="2" t="s">
        <v>420</v>
      </c>
      <c r="G137" s="2" t="s">
        <v>918</v>
      </c>
      <c r="H137" s="2"/>
      <c r="I137" s="2"/>
    </row>
    <row r="138" spans="1:9" x14ac:dyDescent="0.25">
      <c r="A138" s="2" t="str">
        <f>source_columns[[#This Row],[Название таблицы STAGE]]&amp;source_columns[[#This Row],[Название поля]]</f>
        <v>b3080000460006_payments_2_0_posting_dtodatep</v>
      </c>
      <c r="B138" s="2" t="s">
        <v>45</v>
      </c>
      <c r="C138" s="2" t="s">
        <v>428</v>
      </c>
      <c r="D138" s="2" t="s">
        <v>302</v>
      </c>
      <c r="E138" s="2" t="s">
        <v>760</v>
      </c>
      <c r="F138" s="2" t="s">
        <v>420</v>
      </c>
      <c r="G138" s="2" t="s">
        <v>919</v>
      </c>
      <c r="H138" s="2"/>
      <c r="I138" s="2"/>
    </row>
    <row r="139" spans="1:9" x14ac:dyDescent="0.25">
      <c r="A139" s="2" t="str">
        <f>source_columns[[#This Row],[Название таблицы STAGE]]&amp;source_columns[[#This Row],[Название поля]]</f>
        <v>b3080000460006_payments_2_0_posting_dtodeleted</v>
      </c>
      <c r="B139" s="2" t="s">
        <v>45</v>
      </c>
      <c r="C139" s="2" t="s">
        <v>812</v>
      </c>
      <c r="D139" s="2" t="s">
        <v>827</v>
      </c>
      <c r="E139" s="2" t="s">
        <v>760</v>
      </c>
      <c r="F139" s="2" t="s">
        <v>420</v>
      </c>
      <c r="G139" s="2" t="s">
        <v>813</v>
      </c>
      <c r="H139" s="2"/>
      <c r="I139" s="2" t="s">
        <v>828</v>
      </c>
    </row>
    <row r="140" spans="1:9" x14ac:dyDescent="0.25">
      <c r="A140" s="2" t="str">
        <f>source_columns[[#This Row],[Название таблицы STAGE]]&amp;source_columns[[#This Row],[Название поля]]</f>
        <v>b3080000460006_payments_2_0_posting_dtoid</v>
      </c>
      <c r="B140" s="2" t="s">
        <v>45</v>
      </c>
      <c r="C140" s="2" t="s">
        <v>433</v>
      </c>
      <c r="D140" s="2" t="s">
        <v>808</v>
      </c>
      <c r="E140" s="2" t="s">
        <v>758</v>
      </c>
      <c r="F140" s="2" t="s">
        <v>759</v>
      </c>
      <c r="G140" s="2" t="s">
        <v>809</v>
      </c>
      <c r="H140" s="2"/>
      <c r="I140" s="2"/>
    </row>
    <row r="141" spans="1:9" x14ac:dyDescent="0.25">
      <c r="A141" s="2" t="str">
        <f>source_columns[[#This Row],[Название таблицы STAGE]]&amp;source_columns[[#This Row],[Название поля]]</f>
        <v>b3080000460006_payments_2_0_posting_dtoid_uid</v>
      </c>
      <c r="B141" s="2" t="s">
        <v>45</v>
      </c>
      <c r="C141" s="2" t="s">
        <v>422</v>
      </c>
      <c r="D141" s="2" t="s">
        <v>316</v>
      </c>
      <c r="E141" s="2" t="s">
        <v>758</v>
      </c>
      <c r="F141" s="2" t="s">
        <v>759</v>
      </c>
      <c r="G141" s="2" t="s">
        <v>920</v>
      </c>
      <c r="H141" s="2"/>
      <c r="I141" s="2"/>
    </row>
    <row r="142" spans="1:9" x14ac:dyDescent="0.25">
      <c r="A142" s="2" t="str">
        <f>source_columns[[#This Row],[Название таблицы STAGE]]&amp;source_columns[[#This Row],[Название поля]]</f>
        <v>b3080000460006_payments_2_0_posting_dtooperationiddt</v>
      </c>
      <c r="B142" s="2" t="s">
        <v>45</v>
      </c>
      <c r="C142" s="2" t="s">
        <v>921</v>
      </c>
      <c r="D142" s="2" t="s">
        <v>320</v>
      </c>
      <c r="E142" s="2" t="s">
        <v>760</v>
      </c>
      <c r="F142" s="2" t="s">
        <v>420</v>
      </c>
      <c r="G142" s="2" t="s">
        <v>922</v>
      </c>
      <c r="H142" s="2"/>
      <c r="I142" s="2"/>
    </row>
    <row r="143" spans="1:9" x14ac:dyDescent="0.25">
      <c r="A143" s="2" t="str">
        <f>source_columns[[#This Row],[Название таблицы STAGE]]&amp;source_columns[[#This Row],[Название поля]]</f>
        <v>b3080000460006_payments_2_0_posting_dtopurpose</v>
      </c>
      <c r="B143" s="2" t="s">
        <v>45</v>
      </c>
      <c r="C143" s="2" t="s">
        <v>426</v>
      </c>
      <c r="D143" s="2" t="s">
        <v>320</v>
      </c>
      <c r="E143" s="2" t="s">
        <v>760</v>
      </c>
      <c r="F143" s="2" t="s">
        <v>420</v>
      </c>
      <c r="G143" s="2" t="s">
        <v>923</v>
      </c>
      <c r="H143" s="2"/>
      <c r="I143" s="2"/>
    </row>
    <row r="144" spans="1:9" x14ac:dyDescent="0.25">
      <c r="A144" s="2" t="str">
        <f>source_columns[[#This Row],[Название таблицы STAGE]]&amp;source_columns[[#This Row],[Название поля]]</f>
        <v>b3080000460006_payments_2_0_posting_dtoregisteriddt</v>
      </c>
      <c r="B144" s="2" t="s">
        <v>45</v>
      </c>
      <c r="C144" s="2" t="s">
        <v>924</v>
      </c>
      <c r="D144" s="2" t="s">
        <v>320</v>
      </c>
      <c r="E144" s="2" t="s">
        <v>760</v>
      </c>
      <c r="F144" s="2" t="s">
        <v>420</v>
      </c>
      <c r="G144" s="2" t="s">
        <v>925</v>
      </c>
      <c r="H144" s="2"/>
      <c r="I144" s="2"/>
    </row>
    <row r="145" spans="1:9" x14ac:dyDescent="0.25">
      <c r="A145" s="2" t="str">
        <f>source_columns[[#This Row],[Название таблицы STAGE]]&amp;source_columns[[#This Row],[Название поля]]</f>
        <v>b3080000460006_payments_2_0_posting_dtoserviceid</v>
      </c>
      <c r="B145" s="2" t="s">
        <v>45</v>
      </c>
      <c r="C145" s="2" t="s">
        <v>926</v>
      </c>
      <c r="D145" s="2" t="s">
        <v>320</v>
      </c>
      <c r="E145" s="2" t="s">
        <v>760</v>
      </c>
      <c r="F145" s="2" t="s">
        <v>420</v>
      </c>
      <c r="G145" s="2" t="s">
        <v>927</v>
      </c>
      <c r="H145" s="2"/>
      <c r="I145" s="2"/>
    </row>
    <row r="146" spans="1:9" x14ac:dyDescent="0.25">
      <c r="A146" s="2" t="str">
        <f>source_columns[[#This Row],[Название таблицы STAGE]]&amp;source_columns[[#This Row],[Название поля]]</f>
        <v>b3080000460006_payments_2_0_posting_dtoserviceid_uid</v>
      </c>
      <c r="B146" s="2" t="s">
        <v>45</v>
      </c>
      <c r="C146" s="2" t="s">
        <v>435</v>
      </c>
      <c r="D146" s="2" t="s">
        <v>316</v>
      </c>
      <c r="E146" s="2" t="s">
        <v>760</v>
      </c>
      <c r="F146" s="2" t="s">
        <v>420</v>
      </c>
      <c r="G146" s="2" t="s">
        <v>927</v>
      </c>
      <c r="H146" s="2"/>
      <c r="I146" s="2"/>
    </row>
    <row r="147" spans="1:9" x14ac:dyDescent="0.25">
      <c r="A147" s="2" t="str">
        <f>source_columns[[#This Row],[Название таблицы STAGE]]&amp;source_columns[[#This Row],[Название поля]]</f>
        <v>b3080000460006_payments_2_0_posting_dtoprocessCode</v>
      </c>
      <c r="B147" s="2" t="s">
        <v>45</v>
      </c>
      <c r="C147" s="2" t="s">
        <v>417</v>
      </c>
      <c r="D147" s="2" t="s">
        <v>320</v>
      </c>
      <c r="E147" s="2" t="s">
        <v>760</v>
      </c>
      <c r="F147" s="2" t="s">
        <v>420</v>
      </c>
      <c r="G147" s="2" t="s">
        <v>416</v>
      </c>
      <c r="H147" s="2"/>
      <c r="I147" s="2"/>
    </row>
    <row r="148" spans="1:9" x14ac:dyDescent="0.25">
      <c r="A148" s="2" t="str">
        <f>source_columns[[#This Row],[Название таблицы STAGE]]&amp;source_columns[[#This Row],[Название поля]]</f>
        <v>b3080000460006_payments_2_0_posting_dtoprocessCode_uid</v>
      </c>
      <c r="B148" s="2" t="s">
        <v>45</v>
      </c>
      <c r="C148" s="2" t="s">
        <v>413</v>
      </c>
      <c r="D148" s="2" t="s">
        <v>316</v>
      </c>
      <c r="E148" s="2" t="s">
        <v>760</v>
      </c>
      <c r="F148" s="2" t="s">
        <v>420</v>
      </c>
      <c r="G148" s="2" t="s">
        <v>416</v>
      </c>
      <c r="H148" s="2"/>
      <c r="I148" s="2"/>
    </row>
    <row r="149" spans="1:9" x14ac:dyDescent="0.25">
      <c r="A149" s="2" t="str">
        <f>source_columns[[#This Row],[Название таблицы STAGE]]&amp;source_columns[[#This Row],[Название поля]]</f>
        <v>b3080000460006_payments_2_0_posting_dtosys_date_create_or_update</v>
      </c>
      <c r="B149" s="2" t="s">
        <v>45</v>
      </c>
      <c r="C149" s="2" t="s">
        <v>517</v>
      </c>
      <c r="D149" s="2" t="s">
        <v>810</v>
      </c>
      <c r="E149" s="2" t="s">
        <v>760</v>
      </c>
      <c r="F149" s="2" t="s">
        <v>420</v>
      </c>
      <c r="G149" s="2" t="s">
        <v>811</v>
      </c>
      <c r="H149" s="2"/>
      <c r="I149" s="2"/>
    </row>
    <row r="150" spans="1:9" x14ac:dyDescent="0.25">
      <c r="A150" s="2" t="str">
        <f>source_columns[[#This Row],[Название таблицы STAGE]]&amp;source_columns[[#This Row],[Название поля]]</f>
        <v>b3080000460007_payments_2_0_account_dtoid</v>
      </c>
      <c r="B150" s="2" t="s">
        <v>57</v>
      </c>
      <c r="C150" s="2" t="s">
        <v>433</v>
      </c>
      <c r="D150" s="2" t="s">
        <v>808</v>
      </c>
      <c r="E150" s="2" t="s">
        <v>760</v>
      </c>
      <c r="F150" s="2" t="s">
        <v>420</v>
      </c>
      <c r="G150" s="2" t="s">
        <v>809</v>
      </c>
      <c r="H150" s="2"/>
      <c r="I150" s="2"/>
    </row>
    <row r="151" spans="1:9" x14ac:dyDescent="0.25">
      <c r="A151" s="2" t="str">
        <f>source_columns[[#This Row],[Название таблицы STAGE]]&amp;source_columns[[#This Row],[Название поля]]</f>
        <v>b3080000460007_payments_2_0_account_dtosys_date_create_or_update</v>
      </c>
      <c r="B151" s="2" t="s">
        <v>57</v>
      </c>
      <c r="C151" s="2" t="s">
        <v>517</v>
      </c>
      <c r="D151" s="2" t="s">
        <v>810</v>
      </c>
      <c r="E151" s="2" t="s">
        <v>760</v>
      </c>
      <c r="F151" s="2" t="s">
        <v>420</v>
      </c>
      <c r="G151" s="2" t="s">
        <v>811</v>
      </c>
      <c r="H151" s="2"/>
      <c r="I151" s="2"/>
    </row>
    <row r="152" spans="1:9" x14ac:dyDescent="0.25">
      <c r="A152" s="2" t="str">
        <f>source_columns[[#This Row],[Название таблицы STAGE]]&amp;source_columns[[#This Row],[Название поля]]</f>
        <v>b3080000460007_payments_2_0_account_dtodeleted</v>
      </c>
      <c r="B152" s="2" t="s">
        <v>57</v>
      </c>
      <c r="C152" s="2" t="s">
        <v>812</v>
      </c>
      <c r="D152" s="2" t="s">
        <v>320</v>
      </c>
      <c r="E152" s="2" t="s">
        <v>760</v>
      </c>
      <c r="F152" s="2" t="s">
        <v>420</v>
      </c>
      <c r="G152" s="2" t="s">
        <v>813</v>
      </c>
      <c r="H152" s="2"/>
      <c r="I152" s="2"/>
    </row>
    <row r="153" spans="1:9" x14ac:dyDescent="0.25">
      <c r="A153" s="2" t="str">
        <f>source_columns[[#This Row],[Название таблицы STAGE]]&amp;source_columns[[#This Row],[Название поля]]</f>
        <v>b3080000460007_payments_2_0_account_dtoexternal_agreement_id</v>
      </c>
      <c r="B153" s="2" t="s">
        <v>57</v>
      </c>
      <c r="C153" s="2" t="s">
        <v>928</v>
      </c>
      <c r="D153" s="2" t="s">
        <v>320</v>
      </c>
      <c r="E153" s="2" t="s">
        <v>758</v>
      </c>
      <c r="F153" s="2" t="s">
        <v>420</v>
      </c>
      <c r="G153" s="2" t="s">
        <v>929</v>
      </c>
      <c r="H153" s="2"/>
      <c r="I153" s="2"/>
    </row>
    <row r="154" spans="1:9" x14ac:dyDescent="0.25">
      <c r="A154" s="2" t="str">
        <f>source_columns[[#This Row],[Название таблицы STAGE]]&amp;source_columns[[#This Row],[Название поля]]</f>
        <v>b3080000460007_payments_2_0_account_dtoexternal_agreement_id_uid</v>
      </c>
      <c r="B154" s="2" t="s">
        <v>57</v>
      </c>
      <c r="C154" s="2" t="s">
        <v>930</v>
      </c>
      <c r="D154" s="2" t="s">
        <v>316</v>
      </c>
      <c r="E154" s="2" t="s">
        <v>758</v>
      </c>
      <c r="F154" s="2" t="s">
        <v>420</v>
      </c>
      <c r="G154" s="2" t="s">
        <v>929</v>
      </c>
      <c r="H154" s="2"/>
      <c r="I154" s="2"/>
    </row>
    <row r="155" spans="1:9" x14ac:dyDescent="0.25">
      <c r="A155" s="2" t="str">
        <f>source_columns[[#This Row],[Название таблицы STAGE]]&amp;source_columns[[#This Row],[Название поля]]</f>
        <v>b3080000460007_payments_2_0_account_dtoagreementid</v>
      </c>
      <c r="B155" s="2" t="s">
        <v>57</v>
      </c>
      <c r="C155" s="2" t="s">
        <v>911</v>
      </c>
      <c r="D155" s="2" t="s">
        <v>320</v>
      </c>
      <c r="E155" s="2" t="s">
        <v>760</v>
      </c>
      <c r="F155" s="2" t="s">
        <v>420</v>
      </c>
      <c r="G155" s="2" t="s">
        <v>931</v>
      </c>
      <c r="H155" s="2"/>
      <c r="I155" s="2"/>
    </row>
    <row r="156" spans="1:9" x14ac:dyDescent="0.25">
      <c r="A156" s="2" t="str">
        <f>source_columns[[#This Row],[Название таблицы STAGE]]&amp;source_columns[[#This Row],[Название поля]]</f>
        <v>b3080000460007_payments_2_0_account_dtoagreementid_uid</v>
      </c>
      <c r="B156" s="2" t="s">
        <v>57</v>
      </c>
      <c r="C156" s="2" t="s">
        <v>424</v>
      </c>
      <c r="D156" s="2" t="s">
        <v>316</v>
      </c>
      <c r="E156" s="2" t="s">
        <v>760</v>
      </c>
      <c r="F156" s="2" t="s">
        <v>420</v>
      </c>
      <c r="G156" s="2" t="s">
        <v>931</v>
      </c>
      <c r="H156" s="2"/>
      <c r="I156" s="2"/>
    </row>
    <row r="157" spans="1:9" x14ac:dyDescent="0.25">
      <c r="A157" s="2" t="str">
        <f>source_columns[[#This Row],[Название таблицы STAGE]]&amp;source_columns[[#This Row],[Название поля]]</f>
        <v>b3080000460007_payments_2_0_account_dtoagreementreference</v>
      </c>
      <c r="B157" s="2" t="s">
        <v>57</v>
      </c>
      <c r="C157" s="2" t="s">
        <v>912</v>
      </c>
      <c r="D157" s="2" t="s">
        <v>320</v>
      </c>
      <c r="E157" s="2" t="s">
        <v>760</v>
      </c>
      <c r="F157" s="2" t="s">
        <v>420</v>
      </c>
      <c r="G157" s="2" t="s">
        <v>932</v>
      </c>
      <c r="H157" s="2"/>
      <c r="I157" s="2"/>
    </row>
    <row r="158" spans="1:9" x14ac:dyDescent="0.25">
      <c r="A158" s="2" t="str">
        <f>source_columns[[#This Row],[Название таблицы STAGE]]&amp;source_columns[[#This Row],[Название поля]]</f>
        <v>b3080000460007_payments_2_0_account_dtoagreementreference_uid</v>
      </c>
      <c r="B158" s="2" t="s">
        <v>57</v>
      </c>
      <c r="C158" s="2" t="s">
        <v>933</v>
      </c>
      <c r="D158" s="2" t="s">
        <v>316</v>
      </c>
      <c r="E158" s="2" t="s">
        <v>760</v>
      </c>
      <c r="F158" s="2" t="s">
        <v>420</v>
      </c>
      <c r="G158" s="2" t="s">
        <v>934</v>
      </c>
      <c r="H158" s="2"/>
      <c r="I158" s="2"/>
    </row>
    <row r="159" spans="1:9" x14ac:dyDescent="0.25">
      <c r="A159" s="2" t="str">
        <f>source_columns[[#This Row],[Название таблицы STAGE]]&amp;source_columns[[#This Row],[Название поля]]</f>
        <v>b3080000460007_payments_2_0_account_dtoregisterid</v>
      </c>
      <c r="B159" s="2" t="s">
        <v>57</v>
      </c>
      <c r="C159" s="2" t="s">
        <v>935</v>
      </c>
      <c r="D159" s="2" t="s">
        <v>320</v>
      </c>
      <c r="E159" s="2" t="s">
        <v>760</v>
      </c>
      <c r="F159" s="2" t="s">
        <v>420</v>
      </c>
      <c r="G159" s="2" t="s">
        <v>936</v>
      </c>
      <c r="H159" s="2"/>
      <c r="I159" s="2"/>
    </row>
    <row r="160" spans="1:9" x14ac:dyDescent="0.25">
      <c r="A160" s="2" t="str">
        <f>source_columns[[#This Row],[Название таблицы STAGE]]&amp;source_columns[[#This Row],[Название поля]]</f>
        <v>b3080000460007_payments_2_0_account_dtoregisterid_uid</v>
      </c>
      <c r="B160" s="2" t="s">
        <v>57</v>
      </c>
      <c r="C160" s="2" t="s">
        <v>937</v>
      </c>
      <c r="D160" s="2" t="s">
        <v>316</v>
      </c>
      <c r="E160" s="2" t="s">
        <v>760</v>
      </c>
      <c r="F160" s="2" t="s">
        <v>420</v>
      </c>
      <c r="G160" s="2" t="s">
        <v>936</v>
      </c>
      <c r="H160" s="2"/>
      <c r="I160" s="2"/>
    </row>
    <row r="161" spans="1:10" x14ac:dyDescent="0.25">
      <c r="A161" s="2" t="str">
        <f>source_columns[[#This Row],[Название таблицы STAGE]]&amp;source_columns[[#This Row],[Название поля]]</f>
        <v>b3080000460007_payments_2_0_account_dtoaccountevent_number</v>
      </c>
      <c r="B161" s="2" t="s">
        <v>57</v>
      </c>
      <c r="C161" s="2" t="s">
        <v>938</v>
      </c>
      <c r="D161" s="2" t="s">
        <v>320</v>
      </c>
      <c r="E161" s="2" t="s">
        <v>760</v>
      </c>
      <c r="F161" s="2" t="s">
        <v>420</v>
      </c>
      <c r="G161" s="2" t="s">
        <v>939</v>
      </c>
      <c r="H161" s="2"/>
      <c r="I161" s="2"/>
    </row>
    <row r="162" spans="1:10" x14ac:dyDescent="0.25">
      <c r="A162" s="2" t="str">
        <f>source_columns[[#This Row],[Название таблицы STAGE]]&amp;source_columns[[#This Row],[Название поля]]</f>
        <v>b3080000460007_payments_2_0_account_dtoaccountevent_status</v>
      </c>
      <c r="B162" s="2" t="s">
        <v>57</v>
      </c>
      <c r="C162" s="2" t="s">
        <v>940</v>
      </c>
      <c r="D162" s="2" t="s">
        <v>320</v>
      </c>
      <c r="E162" s="2" t="s">
        <v>760</v>
      </c>
      <c r="F162" s="2" t="s">
        <v>420</v>
      </c>
      <c r="G162" s="2" t="s">
        <v>941</v>
      </c>
      <c r="H162" s="2"/>
      <c r="I162" s="2"/>
    </row>
    <row r="163" spans="1:10" x14ac:dyDescent="0.25">
      <c r="A163" s="2" t="str">
        <f>source_columns[[#This Row],[Название таблицы STAGE]]&amp;source_columns[[#This Row],[Название поля]]</f>
        <v>b3080000460007_payments_2_0_account_dtosystemid</v>
      </c>
      <c r="B163" s="2" t="s">
        <v>57</v>
      </c>
      <c r="C163" s="2" t="s">
        <v>942</v>
      </c>
      <c r="D163" s="2" t="s">
        <v>320</v>
      </c>
      <c r="E163" s="2" t="s">
        <v>760</v>
      </c>
      <c r="F163" s="2" t="s">
        <v>420</v>
      </c>
      <c r="G163" s="2" t="s">
        <v>943</v>
      </c>
      <c r="H163" s="2"/>
      <c r="I163" s="2"/>
    </row>
    <row r="164" spans="1:10" x14ac:dyDescent="0.25">
      <c r="A164" s="2" t="str">
        <f>source_columns[[#This Row],[Название таблицы STAGE]]&amp;source_columns[[#This Row],[Название поля]]</f>
        <v>b3080000460007_payments_2_0_account_dtoproducttype</v>
      </c>
      <c r="B164" s="2" t="s">
        <v>57</v>
      </c>
      <c r="C164" s="2" t="s">
        <v>513</v>
      </c>
      <c r="D164" s="2" t="s">
        <v>320</v>
      </c>
      <c r="E164" s="2" t="s">
        <v>760</v>
      </c>
      <c r="F164" s="2" t="s">
        <v>420</v>
      </c>
      <c r="G164" s="2" t="s">
        <v>944</v>
      </c>
      <c r="H164" s="2"/>
      <c r="I164" s="2"/>
    </row>
    <row r="165" spans="1:10" x14ac:dyDescent="0.25">
      <c r="A165" s="2" t="str">
        <f>source_columns[[#This Row],[Название таблицы STAGE]]&amp;source_columns[[#This Row],[Название поля]]</f>
        <v>b3080000460007_payments_2_0_account_dtoeventtype</v>
      </c>
      <c r="B165" s="2" t="s">
        <v>57</v>
      </c>
      <c r="C165" s="2" t="s">
        <v>945</v>
      </c>
      <c r="D165" s="2" t="s">
        <v>808</v>
      </c>
      <c r="E165" s="2" t="s">
        <v>760</v>
      </c>
      <c r="F165" s="2" t="s">
        <v>759</v>
      </c>
      <c r="G165" s="2" t="s">
        <v>946</v>
      </c>
      <c r="H165" s="2"/>
      <c r="I165" s="2"/>
      <c r="J165" s="2"/>
    </row>
    <row r="166" spans="1:10" x14ac:dyDescent="0.25">
      <c r="A166" s="2" t="str">
        <f>source_columns[[#This Row],[Название таблицы STAGE]]&amp;source_columns[[#This Row],[Название поля]]</f>
        <v>b3080000460007_payments_2_0_account_dtoprocessid</v>
      </c>
      <c r="B166" s="2" t="s">
        <v>57</v>
      </c>
      <c r="C166" s="2" t="s">
        <v>947</v>
      </c>
      <c r="D166" s="2" t="s">
        <v>320</v>
      </c>
      <c r="E166" s="2" t="s">
        <v>760</v>
      </c>
      <c r="F166" s="2" t="s">
        <v>420</v>
      </c>
      <c r="G166" s="2" t="s">
        <v>948</v>
      </c>
      <c r="H166" s="2"/>
      <c r="I166" s="2"/>
      <c r="J166" s="2"/>
    </row>
    <row r="167" spans="1:10" x14ac:dyDescent="0.25">
      <c r="A167" s="2" t="str">
        <f>source_columns[[#This Row],[Название таблицы STAGE]]&amp;source_columns[[#This Row],[Название поля]]</f>
        <v>b3080000460007_payments_2_0_account_dtodateopen</v>
      </c>
      <c r="B167" s="2" t="s">
        <v>57</v>
      </c>
      <c r="C167" s="2" t="s">
        <v>949</v>
      </c>
      <c r="D167" s="2" t="s">
        <v>320</v>
      </c>
      <c r="E167" s="2" t="s">
        <v>760</v>
      </c>
      <c r="F167" s="2" t="s">
        <v>420</v>
      </c>
      <c r="G167" s="2" t="s">
        <v>950</v>
      </c>
      <c r="H167" s="2"/>
      <c r="I167" s="2"/>
      <c r="J167" s="2"/>
    </row>
    <row r="168" spans="1:10" x14ac:dyDescent="0.25">
      <c r="A168" s="2" t="str">
        <f>source_columns[[#This Row],[Название таблицы STAGE]]&amp;source_columns[[#This Row],[Название поля]]</f>
        <v>b3080000460008_general_agreement_actual_limitschedulecurrency_amnt_limitschedule</v>
      </c>
      <c r="B168" s="2" t="s">
        <v>471</v>
      </c>
      <c r="C168" s="1" t="s">
        <v>951</v>
      </c>
      <c r="D168" s="1" t="s">
        <v>320</v>
      </c>
      <c r="E168" s="2" t="s">
        <v>760</v>
      </c>
      <c r="F168" s="2" t="s">
        <v>420</v>
      </c>
      <c r="G168" s="2" t="s">
        <v>842</v>
      </c>
      <c r="H168" s="2"/>
      <c r="I168" s="2"/>
      <c r="J168" s="2"/>
    </row>
    <row r="169" spans="1:10" x14ac:dyDescent="0.25">
      <c r="A169" s="2" t="str">
        <f>source_columns[[#This Row],[Название таблицы STAGE]]&amp;source_columns[[#This Row],[Название поля]]</f>
        <v>b3080000460008_general_agreement_actual_limitschedulecurrency_amnt_limitschedule_uid</v>
      </c>
      <c r="B169" s="2" t="s">
        <v>471</v>
      </c>
      <c r="C169" s="1" t="s">
        <v>477</v>
      </c>
      <c r="D169" s="2" t="s">
        <v>316</v>
      </c>
      <c r="E169" s="2" t="s">
        <v>760</v>
      </c>
      <c r="F169" s="2" t="s">
        <v>420</v>
      </c>
      <c r="G169" s="2" t="s">
        <v>842</v>
      </c>
      <c r="H169" s="2"/>
      <c r="I169" s="2"/>
      <c r="J169" s="2"/>
    </row>
    <row r="170" spans="1:10" x14ac:dyDescent="0.25">
      <c r="A170" s="198" t="str">
        <f>source_columns[[#This Row],[Название таблицы STAGE]]&amp;source_columns[[#This Row],[Название поля]]</f>
        <v>b3080000460008_general_agreement_actual_limitscheduleexternal_id</v>
      </c>
      <c r="B170" s="198" t="s">
        <v>471</v>
      </c>
      <c r="C170" s="199" t="s">
        <v>455</v>
      </c>
      <c r="D170" s="199" t="s">
        <v>320</v>
      </c>
      <c r="E170" s="198" t="s">
        <v>758</v>
      </c>
      <c r="F170" s="198" t="s">
        <v>759</v>
      </c>
      <c r="G170" s="198" t="s">
        <v>952</v>
      </c>
      <c r="H170" s="2"/>
      <c r="I170" s="2"/>
    </row>
    <row r="171" spans="1:10" x14ac:dyDescent="0.25">
      <c r="A171" s="198" t="str">
        <f>source_columns[[#This Row],[Название таблицы STAGE]]&amp;source_columns[[#This Row],[Название поля]]</f>
        <v>b3080000460008_general_agreement_actual_limitscheduleexternal_id_uid</v>
      </c>
      <c r="B171" s="198" t="s">
        <v>471</v>
      </c>
      <c r="C171" s="199" t="s">
        <v>953</v>
      </c>
      <c r="D171" s="198" t="s">
        <v>316</v>
      </c>
      <c r="E171" s="198" t="s">
        <v>758</v>
      </c>
      <c r="F171" s="198" t="s">
        <v>759</v>
      </c>
      <c r="G171" s="198" t="s">
        <v>952</v>
      </c>
      <c r="H171" s="2"/>
      <c r="I171" s="2"/>
    </row>
    <row r="172" spans="1:10" x14ac:dyDescent="0.25">
      <c r="A172" s="2" t="str">
        <f>source_columns[[#This Row],[Название таблицы STAGE]]&amp;source_columns[[#This Row],[Название поля]]</f>
        <v>b3080000460008_general_agreement_actual_limitscheduleid_uid</v>
      </c>
      <c r="B172" s="2" t="s">
        <v>471</v>
      </c>
      <c r="C172" s="1" t="s">
        <v>422</v>
      </c>
      <c r="D172" s="1" t="s">
        <v>320</v>
      </c>
      <c r="E172" s="2" t="s">
        <v>758</v>
      </c>
      <c r="F172" s="2" t="s">
        <v>759</v>
      </c>
      <c r="G172" s="2" t="s">
        <v>325</v>
      </c>
      <c r="H172" s="2"/>
      <c r="I172" s="2"/>
    </row>
    <row r="173" spans="1:10" x14ac:dyDescent="0.25">
      <c r="A173" s="2" t="str">
        <f>source_columns[[#This Row],[Название таблицы STAGE]]&amp;source_columns[[#This Row],[Название поля]]</f>
        <v>b3080000460008_general_agreement_actual_limitscheduleid</v>
      </c>
      <c r="B173" s="2" t="s">
        <v>471</v>
      </c>
      <c r="C173" s="1" t="s">
        <v>433</v>
      </c>
      <c r="D173" s="2" t="s">
        <v>316</v>
      </c>
      <c r="E173" s="2" t="s">
        <v>758</v>
      </c>
      <c r="F173" s="2" t="s">
        <v>759</v>
      </c>
      <c r="G173" s="2" t="s">
        <v>325</v>
      </c>
      <c r="H173" s="2"/>
      <c r="I173" s="2"/>
    </row>
    <row r="174" spans="1:10" x14ac:dyDescent="0.25">
      <c r="A174" s="2" t="str">
        <f>source_columns[[#This Row],[Название таблицы STAGE]]&amp;source_columns[[#This Row],[Название поля]]</f>
        <v>b3080000460008_general_agreement_actual_limitschedulevalue_amnt_limitschedule</v>
      </c>
      <c r="B174" s="2" t="s">
        <v>471</v>
      </c>
      <c r="C174" s="2" t="s">
        <v>475</v>
      </c>
      <c r="D174" s="2" t="s">
        <v>843</v>
      </c>
      <c r="E174" s="2" t="s">
        <v>760</v>
      </c>
      <c r="F174" s="2" t="s">
        <v>420</v>
      </c>
      <c r="G174" s="2" t="s">
        <v>844</v>
      </c>
      <c r="H174" s="2"/>
      <c r="I174" s="2"/>
    </row>
    <row r="175" spans="1:10" x14ac:dyDescent="0.25">
      <c r="A175" s="2" t="str">
        <f>source_columns[[#This Row],[Название таблицы STAGE]]&amp;source_columns[[#This Row],[Название поля]]</f>
        <v>b3080000460008_general_agreement_actual_limitscheduledeleted</v>
      </c>
      <c r="B175" s="2" t="s">
        <v>471</v>
      </c>
      <c r="C175" s="2" t="s">
        <v>812</v>
      </c>
      <c r="D175" s="2" t="s">
        <v>827</v>
      </c>
      <c r="E175" s="2" t="s">
        <v>760</v>
      </c>
      <c r="F175" s="2" t="s">
        <v>420</v>
      </c>
      <c r="G175" s="2" t="s">
        <v>813</v>
      </c>
      <c r="H175" s="2"/>
      <c r="I175" s="2" t="s">
        <v>814</v>
      </c>
    </row>
    <row r="176" spans="1:10" x14ac:dyDescent="0.25">
      <c r="A176" s="2" t="str">
        <f>source_columns[[#This Row],[Название таблицы STAGE]]&amp;source_columns[[#This Row],[Название поля]]</f>
        <v>b3080000460008_general_agreement_actual_limitschedulesys_date_create_or_update</v>
      </c>
      <c r="B176" s="2" t="s">
        <v>471</v>
      </c>
      <c r="C176" s="2" t="s">
        <v>517</v>
      </c>
      <c r="D176" s="2" t="s">
        <v>320</v>
      </c>
      <c r="E176" s="2" t="s">
        <v>760</v>
      </c>
      <c r="F176" s="2" t="s">
        <v>420</v>
      </c>
      <c r="G176" s="2" t="s">
        <v>811</v>
      </c>
      <c r="H176" s="2"/>
      <c r="I176" s="2"/>
    </row>
    <row r="177" spans="1:9" x14ac:dyDescent="0.25">
      <c r="A177" s="2" t="str">
        <f>source_columns[[#This Row],[Название таблицы STAGE]]&amp;source_columns[[#This Row],[Название поля]]</f>
        <v>b3080000460008_general_agreement_actual_limitschedulelastdate_limitschedule</v>
      </c>
      <c r="B177" s="2" t="s">
        <v>471</v>
      </c>
      <c r="C177" s="2" t="s">
        <v>473</v>
      </c>
      <c r="D177" s="2" t="s">
        <v>302</v>
      </c>
      <c r="E177" s="2" t="s">
        <v>760</v>
      </c>
      <c r="F177" s="2" t="s">
        <v>420</v>
      </c>
      <c r="G177" s="2" t="s">
        <v>954</v>
      </c>
      <c r="H177" s="2"/>
      <c r="I177" s="2"/>
    </row>
    <row r="178" spans="1:9" x14ac:dyDescent="0.25">
      <c r="A178" s="2" t="str">
        <f>source_columns[[#This Row],[Название таблицы STAGE]]&amp;source_columns[[#This Row],[Название поля]]</f>
        <v>b3080000460008_general_agreement_actual_limitschedulefirstdate_limitschedule</v>
      </c>
      <c r="B178" s="2" t="s">
        <v>471</v>
      </c>
      <c r="C178" s="2" t="s">
        <v>472</v>
      </c>
      <c r="D178" s="2" t="s">
        <v>302</v>
      </c>
      <c r="E178" s="2" t="s">
        <v>760</v>
      </c>
      <c r="F178" s="2" t="s">
        <v>420</v>
      </c>
      <c r="G178" s="2" t="s">
        <v>955</v>
      </c>
      <c r="H178" s="2"/>
      <c r="I178" s="2"/>
    </row>
    <row r="179" spans="1:9" x14ac:dyDescent="0.25">
      <c r="A179" s="2" t="str">
        <f>source_columns[[#This Row],[Название таблицы STAGE]]&amp;source_columns[[#This Row],[Название поля]]</f>
        <v>b3080000460008_general_agreement_actual_limitscheduledate_version</v>
      </c>
      <c r="B179" s="141" t="s">
        <v>471</v>
      </c>
      <c r="C179" s="141" t="s">
        <v>956</v>
      </c>
      <c r="D179" s="141" t="s">
        <v>302</v>
      </c>
      <c r="E179" s="2" t="s">
        <v>760</v>
      </c>
      <c r="F179" s="219" t="s">
        <v>420</v>
      </c>
      <c r="G179" s="141" t="s">
        <v>957</v>
      </c>
      <c r="H179" s="141"/>
      <c r="I179" s="141"/>
    </row>
    <row r="180" spans="1:9" x14ac:dyDescent="0.25">
      <c r="A180" s="2" t="str">
        <f>source_columns[[#This Row],[Название таблицы STAGE]]&amp;source_columns[[#This Row],[Название поля]]</f>
        <v>b3080000460009_general_agreement_actual_dtoexternal_id</v>
      </c>
      <c r="B180" s="2" t="s">
        <v>56</v>
      </c>
      <c r="C180" s="2" t="s">
        <v>455</v>
      </c>
      <c r="D180" s="1" t="s">
        <v>320</v>
      </c>
      <c r="E180" s="2" t="s">
        <v>758</v>
      </c>
      <c r="F180" s="2" t="s">
        <v>420</v>
      </c>
      <c r="G180" s="2" t="s">
        <v>952</v>
      </c>
      <c r="H180" s="2"/>
      <c r="I180" s="2"/>
    </row>
    <row r="181" spans="1:9" x14ac:dyDescent="0.25">
      <c r="A181" s="198" t="str">
        <f>source_columns[[#This Row],[Название таблицы STAGE]]&amp;source_columns[[#This Row],[Название поля]]</f>
        <v>b3080000460009_general_agreement_actual_dtoexternal_id_uid</v>
      </c>
      <c r="B181" s="198" t="s">
        <v>56</v>
      </c>
      <c r="C181" s="198" t="s">
        <v>953</v>
      </c>
      <c r="D181" s="198" t="s">
        <v>316</v>
      </c>
      <c r="E181" s="198" t="s">
        <v>758</v>
      </c>
      <c r="F181" s="198" t="s">
        <v>420</v>
      </c>
      <c r="G181" s="198" t="s">
        <v>952</v>
      </c>
      <c r="H181" s="198"/>
      <c r="I181" s="198"/>
    </row>
    <row r="182" spans="1:9" x14ac:dyDescent="0.25">
      <c r="A182" s="2" t="str">
        <f>source_columns[[#This Row],[Название таблицы STAGE]]&amp;source_columns[[#This Row],[Название поля]]</f>
        <v>b3080000460009_general_agreement_actual_dtoid_uid</v>
      </c>
      <c r="B182" s="2" t="s">
        <v>56</v>
      </c>
      <c r="C182" s="1" t="s">
        <v>422</v>
      </c>
      <c r="D182" s="1" t="s">
        <v>320</v>
      </c>
      <c r="E182" s="2" t="s">
        <v>758</v>
      </c>
      <c r="F182" s="2" t="s">
        <v>759</v>
      </c>
      <c r="G182" s="2" t="s">
        <v>325</v>
      </c>
      <c r="H182" s="2"/>
      <c r="I182" s="2"/>
    </row>
    <row r="183" spans="1:9" x14ac:dyDescent="0.25">
      <c r="A183" s="2" t="str">
        <f>source_columns[[#This Row],[Название таблицы STAGE]]&amp;source_columns[[#This Row],[Название поля]]</f>
        <v>b3080000460009_general_agreement_actual_dtoid</v>
      </c>
      <c r="B183" s="2" t="s">
        <v>56</v>
      </c>
      <c r="C183" s="1" t="s">
        <v>433</v>
      </c>
      <c r="D183" s="2" t="s">
        <v>316</v>
      </c>
      <c r="E183" s="2" t="s">
        <v>758</v>
      </c>
      <c r="F183" s="2" t="s">
        <v>759</v>
      </c>
      <c r="G183" s="2" t="s">
        <v>325</v>
      </c>
      <c r="H183" s="2"/>
      <c r="I183" s="2"/>
    </row>
    <row r="184" spans="1:9" x14ac:dyDescent="0.25">
      <c r="A184" s="2" t="str">
        <f>source_columns[[#This Row],[Название таблицы STAGE]]&amp;source_columns[[#This Row],[Название поля]]</f>
        <v>b3080000460009_general_agreement_actual_dtobankbranchosb</v>
      </c>
      <c r="B184" s="2" t="s">
        <v>56</v>
      </c>
      <c r="C184" s="2" t="s">
        <v>958</v>
      </c>
      <c r="D184" s="1" t="s">
        <v>320</v>
      </c>
      <c r="E184" s="2" t="s">
        <v>760</v>
      </c>
      <c r="F184" s="2" t="s">
        <v>420</v>
      </c>
      <c r="G184" s="2" t="s">
        <v>959</v>
      </c>
      <c r="H184" s="2"/>
      <c r="I184" s="2" t="s">
        <v>960</v>
      </c>
    </row>
    <row r="185" spans="1:9" x14ac:dyDescent="0.25">
      <c r="A185" s="2" t="str">
        <f>source_columns[[#This Row],[Название таблицы STAGE]]&amp;source_columns[[#This Row],[Название поля]]</f>
        <v>b3080000460009_general_agreement_actual_dtobankbranchosb_uid</v>
      </c>
      <c r="B185" s="2" t="s">
        <v>56</v>
      </c>
      <c r="C185" s="2" t="s">
        <v>469</v>
      </c>
      <c r="D185" s="2" t="s">
        <v>316</v>
      </c>
      <c r="E185" s="2" t="s">
        <v>760</v>
      </c>
      <c r="F185" s="2" t="s">
        <v>420</v>
      </c>
      <c r="G185" s="2" t="s">
        <v>959</v>
      </c>
      <c r="H185" s="2"/>
    </row>
    <row r="186" spans="1:9" x14ac:dyDescent="0.25">
      <c r="A186" s="2" t="str">
        <f>source_columns[[#This Row],[Название таблицы STAGE]]&amp;source_columns[[#This Row],[Название поля]]</f>
        <v>b3080000460009_general_agreement_actual_dtolimitrevolvingpattern</v>
      </c>
      <c r="B186" s="2" t="s">
        <v>56</v>
      </c>
      <c r="C186" s="2" t="s">
        <v>461</v>
      </c>
      <c r="D186" s="1" t="s">
        <v>320</v>
      </c>
      <c r="E186" s="2" t="s">
        <v>760</v>
      </c>
      <c r="F186" s="2" t="s">
        <v>420</v>
      </c>
      <c r="G186" s="2" t="s">
        <v>961</v>
      </c>
      <c r="H186" s="2"/>
      <c r="I186" s="2"/>
    </row>
    <row r="187" spans="1:9" x14ac:dyDescent="0.25">
      <c r="A187" s="2" t="str">
        <f>source_columns[[#This Row],[Название таблицы STAGE]]&amp;source_columns[[#This Row],[Название поля]]</f>
        <v>b3080000460009_general_agreement_actual_dtogatype</v>
      </c>
      <c r="B187" s="2" t="s">
        <v>56</v>
      </c>
      <c r="C187" s="2" t="s">
        <v>467</v>
      </c>
      <c r="D187" s="1" t="s">
        <v>320</v>
      </c>
      <c r="E187" s="2" t="s">
        <v>760</v>
      </c>
      <c r="F187" s="2" t="s">
        <v>420</v>
      </c>
      <c r="G187" s="2" t="s">
        <v>962</v>
      </c>
      <c r="H187" s="2"/>
      <c r="I187" s="2"/>
    </row>
    <row r="188" spans="1:9" x14ac:dyDescent="0.25">
      <c r="A188" s="2" t="str">
        <f>source_columns[[#This Row],[Название таблицы STAGE]]&amp;source_columns[[#This Row],[Название поля]]</f>
        <v>b3080000460009_general_agreement_actual_dtogatype_uid</v>
      </c>
      <c r="B188" s="2" t="s">
        <v>56</v>
      </c>
      <c r="C188" s="2" t="s">
        <v>458</v>
      </c>
      <c r="D188" s="2" t="s">
        <v>316</v>
      </c>
      <c r="E188" s="2" t="s">
        <v>760</v>
      </c>
      <c r="F188" s="2" t="s">
        <v>420</v>
      </c>
      <c r="G188" s="2" t="s">
        <v>962</v>
      </c>
      <c r="H188" s="2"/>
      <c r="I188" s="2"/>
    </row>
    <row r="189" spans="1:9" x14ac:dyDescent="0.25">
      <c r="A189" s="2" t="str">
        <f>source_columns[[#This Row],[Название таблицы STAGE]]&amp;source_columns[[#This Row],[Название поля]]</f>
        <v>b3080000460009_general_agreement_actual_dtoreference</v>
      </c>
      <c r="B189" s="2" t="s">
        <v>56</v>
      </c>
      <c r="C189" s="2" t="s">
        <v>388</v>
      </c>
      <c r="D189" s="2" t="s">
        <v>320</v>
      </c>
      <c r="E189" s="2" t="s">
        <v>760</v>
      </c>
      <c r="F189" s="2" t="s">
        <v>420</v>
      </c>
      <c r="G189" s="2" t="s">
        <v>963</v>
      </c>
      <c r="H189" s="2"/>
      <c r="I189" s="2"/>
    </row>
    <row r="190" spans="1:9" x14ac:dyDescent="0.25">
      <c r="A190" s="2" t="str">
        <f>source_columns[[#This Row],[Название таблицы STAGE]]&amp;source_columns[[#This Row],[Название поля]]</f>
        <v>b3080000460009_general_agreement_actual_dtostatus</v>
      </c>
      <c r="B190" s="2" t="s">
        <v>56</v>
      </c>
      <c r="C190" s="2" t="s">
        <v>695</v>
      </c>
      <c r="D190" s="2" t="s">
        <v>320</v>
      </c>
      <c r="E190" s="2" t="s">
        <v>760</v>
      </c>
      <c r="F190" s="2" t="s">
        <v>420</v>
      </c>
      <c r="G190" s="2" t="s">
        <v>964</v>
      </c>
      <c r="H190" s="2"/>
      <c r="I190" s="2"/>
    </row>
    <row r="191" spans="1:9" x14ac:dyDescent="0.25">
      <c r="A191" s="2" t="str">
        <f>source_columns[[#This Row],[Название таблицы STAGE]]&amp;source_columns[[#This Row],[Название поля]]</f>
        <v>b3080000460009_general_agreement_actual_dtostatus_uid</v>
      </c>
      <c r="B191" s="2" t="s">
        <v>56</v>
      </c>
      <c r="C191" s="2" t="s">
        <v>697</v>
      </c>
      <c r="D191" s="2" t="s">
        <v>316</v>
      </c>
      <c r="E191" s="2" t="s">
        <v>760</v>
      </c>
      <c r="F191" s="2" t="s">
        <v>420</v>
      </c>
      <c r="G191" s="2" t="s">
        <v>964</v>
      </c>
      <c r="H191" s="217"/>
      <c r="I191" s="217"/>
    </row>
    <row r="192" spans="1:9" x14ac:dyDescent="0.25">
      <c r="A192" s="2" t="str">
        <f>source_columns[[#This Row],[Название таблицы STAGE]]&amp;source_columns[[#This Row],[Название поля]]</f>
        <v>b3080000460009_general_agreement_actual_dtotype_client</v>
      </c>
      <c r="B192" s="2" t="s">
        <v>56</v>
      </c>
      <c r="C192" s="2" t="s">
        <v>965</v>
      </c>
      <c r="D192" s="2" t="s">
        <v>320</v>
      </c>
      <c r="E192" s="2" t="s">
        <v>760</v>
      </c>
      <c r="F192" s="2" t="s">
        <v>420</v>
      </c>
      <c r="G192" s="2" t="s">
        <v>966</v>
      </c>
      <c r="H192" s="2"/>
      <c r="I192" s="2"/>
    </row>
    <row r="193" spans="1:9" x14ac:dyDescent="0.25">
      <c r="A193" s="2" t="str">
        <f>source_columns[[#This Row],[Название таблицы STAGE]]&amp;source_columns[[#This Row],[Название поля]]</f>
        <v>b3080000460009_general_agreement_actual_dtoepkid_client</v>
      </c>
      <c r="B193" s="2" t="s">
        <v>56</v>
      </c>
      <c r="C193" s="2" t="s">
        <v>967</v>
      </c>
      <c r="D193" s="2" t="s">
        <v>320</v>
      </c>
      <c r="E193" s="2" t="s">
        <v>760</v>
      </c>
      <c r="F193" s="2" t="s">
        <v>420</v>
      </c>
      <c r="G193" s="2" t="s">
        <v>968</v>
      </c>
      <c r="H193" s="2"/>
      <c r="I193" s="2"/>
    </row>
    <row r="194" spans="1:9" x14ac:dyDescent="0.25">
      <c r="A194" s="2" t="str">
        <f>source_columns[[#This Row],[Название таблицы STAGE]]&amp;source_columns[[#This Row],[Название поля]]</f>
        <v>b3080000460009_general_agreement_actual_dtoepkid_client_uid</v>
      </c>
      <c r="B194" s="2" t="s">
        <v>56</v>
      </c>
      <c r="C194" s="2" t="s">
        <v>480</v>
      </c>
      <c r="D194" s="2" t="s">
        <v>316</v>
      </c>
      <c r="E194" s="2" t="s">
        <v>760</v>
      </c>
      <c r="F194" s="2" t="s">
        <v>420</v>
      </c>
      <c r="G194" s="2" t="s">
        <v>968</v>
      </c>
      <c r="H194" s="2"/>
      <c r="I194" s="2"/>
    </row>
    <row r="195" spans="1:9" x14ac:dyDescent="0.25">
      <c r="A195" s="2" t="str">
        <f>source_columns[[#This Row],[Название таблицы STAGE]]&amp;source_columns[[#This Row],[Название поля]]</f>
        <v>b3080000460009_general_agreement_actual_dtotaxid_client</v>
      </c>
      <c r="B195" s="2" t="s">
        <v>56</v>
      </c>
      <c r="C195" s="2" t="s">
        <v>969</v>
      </c>
      <c r="D195" s="2" t="s">
        <v>320</v>
      </c>
      <c r="E195" s="2" t="s">
        <v>760</v>
      </c>
      <c r="F195" s="2" t="s">
        <v>420</v>
      </c>
      <c r="G195" s="2" t="s">
        <v>970</v>
      </c>
      <c r="H195" s="2"/>
      <c r="I195" s="2"/>
    </row>
    <row r="196" spans="1:9" x14ac:dyDescent="0.25">
      <c r="A196" s="2" t="str">
        <f>source_columns[[#This Row],[Название таблицы STAGE]]&amp;source_columns[[#This Row],[Название поля]]</f>
        <v>b3080000460009_general_agreement_actual_dtoperiod_maxduration</v>
      </c>
      <c r="B196" s="2" t="s">
        <v>56</v>
      </c>
      <c r="C196" s="2" t="s">
        <v>971</v>
      </c>
      <c r="D196" s="2" t="s">
        <v>320</v>
      </c>
      <c r="E196" s="2" t="s">
        <v>760</v>
      </c>
      <c r="F196" s="2" t="s">
        <v>420</v>
      </c>
      <c r="G196" s="2" t="s">
        <v>972</v>
      </c>
      <c r="H196" s="2"/>
      <c r="I196" s="2"/>
    </row>
    <row r="197" spans="1:9" x14ac:dyDescent="0.25">
      <c r="A197" s="2" t="str">
        <f>source_columns[[#This Row],[Название таблицы STAGE]]&amp;source_columns[[#This Row],[Название поля]]</f>
        <v>b3080000460009_general_agreement_actual_dtoperiod_fundingperiod</v>
      </c>
      <c r="B197" s="2" t="s">
        <v>56</v>
      </c>
      <c r="C197" s="2" t="s">
        <v>973</v>
      </c>
      <c r="D197" s="2" t="s">
        <v>320</v>
      </c>
      <c r="E197" s="2" t="s">
        <v>760</v>
      </c>
      <c r="F197" s="2" t="s">
        <v>420</v>
      </c>
      <c r="G197" s="2" t="s">
        <v>974</v>
      </c>
      <c r="H197" s="2"/>
      <c r="I197" s="2"/>
    </row>
    <row r="198" spans="1:9" x14ac:dyDescent="0.25">
      <c r="A198" s="2" t="str">
        <f>source_columns[[#This Row],[Название таблицы STAGE]]&amp;source_columns[[#This Row],[Название поля]]</f>
        <v>b3080000460009_general_agreement_actual_dtodateversion</v>
      </c>
      <c r="B198" s="2" t="s">
        <v>56</v>
      </c>
      <c r="C198" s="2" t="s">
        <v>975</v>
      </c>
      <c r="D198" s="2" t="s">
        <v>302</v>
      </c>
      <c r="E198" s="2" t="s">
        <v>760</v>
      </c>
      <c r="F198" s="2" t="s">
        <v>420</v>
      </c>
      <c r="G198" s="2" t="s">
        <v>976</v>
      </c>
      <c r="H198" s="2"/>
      <c r="I198" s="2"/>
    </row>
    <row r="199" spans="1:9" x14ac:dyDescent="0.25">
      <c r="A199" s="2" t="str">
        <f>source_columns[[#This Row],[Название таблицы STAGE]]&amp;source_columns[[#This Row],[Название поля]]</f>
        <v>b3080000460009_general_agreement_actual_dtoconclusiondate</v>
      </c>
      <c r="B199" s="2" t="s">
        <v>56</v>
      </c>
      <c r="C199" s="2" t="s">
        <v>385</v>
      </c>
      <c r="D199" s="2" t="s">
        <v>302</v>
      </c>
      <c r="E199" s="2" t="s">
        <v>760</v>
      </c>
      <c r="F199" s="2" t="s">
        <v>420</v>
      </c>
      <c r="G199" s="2" t="s">
        <v>977</v>
      </c>
      <c r="H199" s="2"/>
      <c r="I199" s="2"/>
    </row>
    <row r="200" spans="1:9" x14ac:dyDescent="0.25">
      <c r="A200" s="2" t="str">
        <f>source_columns[[#This Row],[Название таблицы STAGE]]&amp;source_columns[[#This Row],[Название поля]]</f>
        <v>b3080000460009_general_agreement_actual_dtoexpirationdate</v>
      </c>
      <c r="B200" s="2" t="s">
        <v>56</v>
      </c>
      <c r="C200" s="2" t="s">
        <v>456</v>
      </c>
      <c r="D200" s="2" t="s">
        <v>302</v>
      </c>
      <c r="E200" s="2" t="s">
        <v>760</v>
      </c>
      <c r="F200" s="2" t="s">
        <v>420</v>
      </c>
      <c r="G200" s="2" t="s">
        <v>978</v>
      </c>
      <c r="H200" s="2"/>
      <c r="I200" s="2"/>
    </row>
    <row r="201" spans="1:9" x14ac:dyDescent="0.25">
      <c r="A201" s="2" t="str">
        <f>source_columns[[#This Row],[Название таблицы STAGE]]&amp;source_columns[[#This Row],[Название поля]]</f>
        <v>b3080000460009_general_agreement_actual_dtosys_date_create_or_update</v>
      </c>
      <c r="B201" s="2" t="s">
        <v>56</v>
      </c>
      <c r="C201" s="2" t="s">
        <v>517</v>
      </c>
      <c r="D201" s="2" t="s">
        <v>810</v>
      </c>
      <c r="E201" s="2" t="s">
        <v>760</v>
      </c>
      <c r="F201" s="2" t="s">
        <v>420</v>
      </c>
      <c r="G201" s="2" t="s">
        <v>811</v>
      </c>
      <c r="H201" s="2"/>
      <c r="I201" s="2"/>
    </row>
    <row r="202" spans="1:9" x14ac:dyDescent="0.25">
      <c r="A202" s="2" t="str">
        <f>source_columns[[#This Row],[Название таблицы STAGE]]&amp;source_columns[[#This Row],[Название поля]]</f>
        <v>b3080000460009_general_agreement_actual_dtodeleted</v>
      </c>
      <c r="B202" s="2" t="s">
        <v>56</v>
      </c>
      <c r="C202" s="2" t="s">
        <v>812</v>
      </c>
      <c r="D202" s="2" t="s">
        <v>320</v>
      </c>
      <c r="E202" s="2" t="s">
        <v>760</v>
      </c>
      <c r="F202" s="2" t="s">
        <v>420</v>
      </c>
      <c r="G202" s="2" t="s">
        <v>813</v>
      </c>
      <c r="H202" s="2"/>
      <c r="I202" s="2" t="s">
        <v>814</v>
      </c>
    </row>
    <row r="203" spans="1:9" x14ac:dyDescent="0.25">
      <c r="A203" s="2" t="str">
        <f>source_columns[[#This Row],[Название таблицы STAGE]]&amp;source_columns[[#This Row],[Название поля]]</f>
        <v>b3080000460009_general_agreement_actual_dtoclosedate</v>
      </c>
      <c r="B203" s="2" t="s">
        <v>56</v>
      </c>
      <c r="C203" s="2" t="s">
        <v>387</v>
      </c>
      <c r="D203" s="2" t="s">
        <v>320</v>
      </c>
      <c r="E203" s="2" t="s">
        <v>760</v>
      </c>
      <c r="F203" s="2" t="s">
        <v>420</v>
      </c>
      <c r="G203" s="2" t="s">
        <v>979</v>
      </c>
      <c r="H203" s="2"/>
      <c r="I203" s="2"/>
    </row>
    <row r="204" spans="1:9" x14ac:dyDescent="0.25">
      <c r="A204" s="218" t="str">
        <f>source_columns[[#This Row],[Название таблицы STAGE]]&amp;source_columns[[#This Row],[Название поля]]</f>
        <v>b3080000460015_lcl_agreement_actual_dtoissuingbankbic</v>
      </c>
      <c r="B204" s="2" t="s">
        <v>166</v>
      </c>
      <c r="C204" s="2" t="s">
        <v>980</v>
      </c>
      <c r="D204" s="2" t="s">
        <v>320</v>
      </c>
      <c r="E204" s="2" t="s">
        <v>760</v>
      </c>
      <c r="F204" s="2" t="s">
        <v>420</v>
      </c>
      <c r="G204" s="2" t="s">
        <v>981</v>
      </c>
      <c r="H204" s="2"/>
      <c r="I204" s="2"/>
    </row>
    <row r="205" spans="1:9" x14ac:dyDescent="0.25">
      <c r="A205" s="2" t="str">
        <f>source_columns[[#This Row],[Название таблицы STAGE]]&amp;source_columns[[#This Row],[Название поля]]</f>
        <v>b3080000460015_lcl_agreement_actual_dtoadvisingbankbic</v>
      </c>
      <c r="B205" s="2" t="s">
        <v>166</v>
      </c>
      <c r="C205" s="2" t="s">
        <v>982</v>
      </c>
      <c r="D205" s="2" t="s">
        <v>320</v>
      </c>
      <c r="E205" s="2" t="s">
        <v>760</v>
      </c>
      <c r="F205" s="2" t="s">
        <v>420</v>
      </c>
      <c r="G205" s="2" t="s">
        <v>983</v>
      </c>
      <c r="H205" s="2"/>
      <c r="I205" s="2"/>
    </row>
    <row r="206" spans="1:9" x14ac:dyDescent="0.25">
      <c r="A206" s="2" t="str">
        <f>source_columns[[#This Row],[Название таблицы STAGE]]&amp;source_columns[[#This Row],[Название поля]]</f>
        <v>b3080000460015_lcl_agreement_actual_dtonominatedbankbic</v>
      </c>
      <c r="B206" s="2" t="s">
        <v>166</v>
      </c>
      <c r="C206" s="2" t="s">
        <v>984</v>
      </c>
      <c r="D206" s="2" t="s">
        <v>320</v>
      </c>
      <c r="E206" s="2" t="s">
        <v>760</v>
      </c>
      <c r="F206" s="2" t="s">
        <v>420</v>
      </c>
      <c r="G206" s="2" t="s">
        <v>985</v>
      </c>
      <c r="H206" s="2"/>
      <c r="I206" s="2"/>
    </row>
    <row r="207" spans="1:9" x14ac:dyDescent="0.25">
      <c r="A207" s="2" t="str">
        <f>source_columns[[#This Row],[Название таблицы STAGE]]&amp;source_columns[[#This Row],[Название поля]]</f>
        <v>b3080000460015_lcl_agreement_actual_dtoapplicantbankbic</v>
      </c>
      <c r="B207" s="2" t="s">
        <v>166</v>
      </c>
      <c r="C207" s="2" t="s">
        <v>986</v>
      </c>
      <c r="D207" s="2" t="s">
        <v>320</v>
      </c>
      <c r="E207" s="2" t="s">
        <v>760</v>
      </c>
      <c r="F207" s="2" t="s">
        <v>420</v>
      </c>
      <c r="G207" s="2" t="s">
        <v>987</v>
      </c>
      <c r="H207" s="2"/>
      <c r="I207" s="2"/>
    </row>
    <row r="208" spans="1:9" x14ac:dyDescent="0.25">
      <c r="A208" s="2" t="str">
        <f>source_columns[[#This Row],[Название таблицы STAGE]]&amp;source_columns[[#This Row],[Название поля]]</f>
        <v>b3080000460015_lcl_agreement_actual_dtobeneficiarybankbic</v>
      </c>
      <c r="B208" s="2" t="s">
        <v>166</v>
      </c>
      <c r="C208" s="2" t="s">
        <v>988</v>
      </c>
      <c r="D208" s="2" t="s">
        <v>320</v>
      </c>
      <c r="E208" s="2" t="s">
        <v>760</v>
      </c>
      <c r="F208" s="2" t="s">
        <v>420</v>
      </c>
      <c r="G208" s="2" t="s">
        <v>989</v>
      </c>
      <c r="H208" s="2"/>
      <c r="I208" s="2"/>
    </row>
    <row r="209" spans="1:9" x14ac:dyDescent="0.25">
      <c r="A209" s="2" t="str">
        <f>source_columns[[#This Row],[Название таблицы STAGE]]&amp;source_columns[[#This Row],[Название поля]]</f>
        <v>b3080000460015_lcl_agreement_actual_dtoissuingbankissbbranch</v>
      </c>
      <c r="B209" s="2" t="s">
        <v>166</v>
      </c>
      <c r="C209" s="2" t="s">
        <v>990</v>
      </c>
      <c r="D209" s="2" t="s">
        <v>827</v>
      </c>
      <c r="E209" s="2" t="s">
        <v>760</v>
      </c>
      <c r="F209" s="2" t="s">
        <v>420</v>
      </c>
      <c r="G209" s="2" t="s">
        <v>991</v>
      </c>
      <c r="H209" s="2"/>
      <c r="I209" s="2"/>
    </row>
    <row r="210" spans="1:9" x14ac:dyDescent="0.25">
      <c r="A210" s="2" t="str">
        <f>source_columns[[#This Row],[Название таблицы STAGE]]&amp;source_columns[[#This Row],[Название поля]]</f>
        <v>b3080000460015_lcl_agreement_actual_dtoadvisingbankissbbranch</v>
      </c>
      <c r="B210" s="2" t="s">
        <v>166</v>
      </c>
      <c r="C210" s="2" t="s">
        <v>992</v>
      </c>
      <c r="D210" s="2" t="s">
        <v>827</v>
      </c>
      <c r="E210" s="2" t="s">
        <v>760</v>
      </c>
      <c r="F210" s="2" t="s">
        <v>420</v>
      </c>
      <c r="G210" s="2" t="s">
        <v>993</v>
      </c>
      <c r="H210" s="2"/>
      <c r="I210" s="2"/>
    </row>
    <row r="211" spans="1:9" x14ac:dyDescent="0.25">
      <c r="A211" s="2" t="str">
        <f>source_columns[[#This Row],[Название таблицы STAGE]]&amp;source_columns[[#This Row],[Название поля]]</f>
        <v>b3080000460015_lcl_agreement_actual_dtonominatedbankissbbranch</v>
      </c>
      <c r="B211" s="2" t="s">
        <v>166</v>
      </c>
      <c r="C211" s="2" t="s">
        <v>994</v>
      </c>
      <c r="D211" s="2" t="s">
        <v>827</v>
      </c>
      <c r="E211" s="2" t="s">
        <v>760</v>
      </c>
      <c r="F211" s="2" t="s">
        <v>420</v>
      </c>
      <c r="G211" s="2" t="s">
        <v>995</v>
      </c>
      <c r="H211" s="2"/>
      <c r="I211" s="2"/>
    </row>
    <row r="212" spans="1:9" x14ac:dyDescent="0.25">
      <c r="A212" s="2" t="str">
        <f>source_columns[[#This Row],[Название таблицы STAGE]]&amp;source_columns[[#This Row],[Название поля]]</f>
        <v>b3080000460015_lcl_agreement_actual_dtoapplicantbankissbbranch</v>
      </c>
      <c r="B212" s="2" t="s">
        <v>166</v>
      </c>
      <c r="C212" s="2" t="s">
        <v>996</v>
      </c>
      <c r="D212" s="2" t="s">
        <v>827</v>
      </c>
      <c r="E212" s="2" t="s">
        <v>760</v>
      </c>
      <c r="F212" s="2" t="s">
        <v>420</v>
      </c>
      <c r="G212" s="2" t="s">
        <v>997</v>
      </c>
      <c r="H212" s="2"/>
      <c r="I212" s="2"/>
    </row>
    <row r="213" spans="1:9" x14ac:dyDescent="0.25">
      <c r="A213" s="2" t="str">
        <f>source_columns[[#This Row],[Название таблицы STAGE]]&amp;source_columns[[#This Row],[Название поля]]</f>
        <v>b3080000460015_lcl_agreement_actual_dtobeneficiarybankissbbranch</v>
      </c>
      <c r="B213" s="2" t="s">
        <v>166</v>
      </c>
      <c r="C213" s="2" t="s">
        <v>998</v>
      </c>
      <c r="D213" s="2" t="s">
        <v>827</v>
      </c>
      <c r="E213" s="2" t="s">
        <v>760</v>
      </c>
      <c r="F213" s="2" t="s">
        <v>420</v>
      </c>
      <c r="G213" s="2" t="s">
        <v>999</v>
      </c>
      <c r="H213" s="2"/>
      <c r="I213" s="2"/>
    </row>
    <row r="214" spans="1:9" x14ac:dyDescent="0.25">
      <c r="A214" s="2" t="str">
        <f>source_columns[[#This Row],[Название таблицы STAGE]]&amp;source_columns[[#This Row],[Название поля]]</f>
        <v>b3080000460015_lcl_agreement_actual_dtoapplicantisresident</v>
      </c>
      <c r="B214" s="2" t="s">
        <v>166</v>
      </c>
      <c r="C214" s="2" t="s">
        <v>1000</v>
      </c>
      <c r="D214" s="2" t="s">
        <v>827</v>
      </c>
      <c r="E214" s="2" t="s">
        <v>760</v>
      </c>
      <c r="F214" s="2" t="s">
        <v>420</v>
      </c>
      <c r="G214" s="2" t="s">
        <v>1001</v>
      </c>
      <c r="H214" s="2"/>
      <c r="I214" s="2"/>
    </row>
    <row r="215" spans="1:9" x14ac:dyDescent="0.25">
      <c r="A215" s="2" t="str">
        <f>source_columns[[#This Row],[Название таблицы STAGE]]&amp;source_columns[[#This Row],[Название поля]]</f>
        <v>b3080000460015_lcl_agreement_actual_dtobeneficiarylegalisresident</v>
      </c>
      <c r="B215" s="2" t="s">
        <v>166</v>
      </c>
      <c r="C215" s="2" t="s">
        <v>1002</v>
      </c>
      <c r="D215" s="2" t="s">
        <v>827</v>
      </c>
      <c r="E215" s="2" t="s">
        <v>760</v>
      </c>
      <c r="F215" s="2" t="s">
        <v>420</v>
      </c>
      <c r="G215" s="2" t="s">
        <v>1003</v>
      </c>
      <c r="H215" s="2"/>
      <c r="I215" s="2"/>
    </row>
    <row r="216" spans="1:9" x14ac:dyDescent="0.25">
      <c r="A216" s="2" t="str">
        <f>source_columns[[#This Row],[Название таблицы STAGE]]&amp;source_columns[[#This Row],[Название поля]]</f>
        <v>b3080000460015_lcl_agreement_actual_dtobeneficiaryindividualisresident</v>
      </c>
      <c r="B216" s="2" t="s">
        <v>166</v>
      </c>
      <c r="C216" s="2" t="s">
        <v>1004</v>
      </c>
      <c r="D216" s="2" t="s">
        <v>827</v>
      </c>
      <c r="E216" s="2" t="s">
        <v>760</v>
      </c>
      <c r="F216" s="2" t="s">
        <v>420</v>
      </c>
      <c r="G216" s="2" t="s">
        <v>1005</v>
      </c>
      <c r="H216" s="2"/>
      <c r="I216" s="2"/>
    </row>
    <row r="217" spans="1:9" x14ac:dyDescent="0.25">
      <c r="A217" s="2" t="str">
        <f>source_columns[[#This Row],[Название таблицы STAGE]]&amp;source_columns[[#This Row],[Название поля]]</f>
        <v>b3080000460015_lcl_agreement_actual_dtoissuingbankname</v>
      </c>
      <c r="B217" s="2" t="s">
        <v>166</v>
      </c>
      <c r="C217" s="2" t="s">
        <v>1006</v>
      </c>
      <c r="D217" s="2" t="s">
        <v>320</v>
      </c>
      <c r="E217" s="2" t="s">
        <v>760</v>
      </c>
      <c r="F217" s="2" t="s">
        <v>420</v>
      </c>
      <c r="G217" s="2" t="s">
        <v>1007</v>
      </c>
      <c r="H217" s="2"/>
      <c r="I217" s="2"/>
    </row>
    <row r="218" spans="1:9" x14ac:dyDescent="0.25">
      <c r="A218" s="2" t="str">
        <f>source_columns[[#This Row],[Название таблицы STAGE]]&amp;source_columns[[#This Row],[Название поля]]</f>
        <v>b3080000460015_lcl_agreement_actual_dtoadvisingbankname</v>
      </c>
      <c r="B218" s="2" t="s">
        <v>166</v>
      </c>
      <c r="C218" s="2" t="s">
        <v>1008</v>
      </c>
      <c r="D218" s="2" t="s">
        <v>320</v>
      </c>
      <c r="E218" s="2" t="s">
        <v>760</v>
      </c>
      <c r="F218" s="2" t="s">
        <v>420</v>
      </c>
      <c r="G218" s="2" t="s">
        <v>1009</v>
      </c>
      <c r="H218" s="2"/>
      <c r="I218" s="2"/>
    </row>
    <row r="219" spans="1:9" x14ac:dyDescent="0.25">
      <c r="A219" s="2" t="str">
        <f>source_columns[[#This Row],[Название таблицы STAGE]]&amp;source_columns[[#This Row],[Название поля]]</f>
        <v>b3080000460015_lcl_agreement_actual_dtonominatedbankname</v>
      </c>
      <c r="B219" s="2" t="s">
        <v>166</v>
      </c>
      <c r="C219" s="2" t="s">
        <v>1010</v>
      </c>
      <c r="D219" s="2" t="s">
        <v>320</v>
      </c>
      <c r="E219" s="2" t="s">
        <v>760</v>
      </c>
      <c r="F219" s="2" t="s">
        <v>420</v>
      </c>
      <c r="G219" s="2" t="s">
        <v>1011</v>
      </c>
      <c r="H219" s="2"/>
      <c r="I219" s="2"/>
    </row>
    <row r="220" spans="1:9" x14ac:dyDescent="0.25">
      <c r="A220" s="2" t="str">
        <f>source_columns[[#This Row],[Название таблицы STAGE]]&amp;source_columns[[#This Row],[Название поля]]</f>
        <v>b3080000460015_lcl_agreement_actual_dtoapplicantbankname</v>
      </c>
      <c r="B220" s="2" t="s">
        <v>166</v>
      </c>
      <c r="C220" s="2" t="s">
        <v>1012</v>
      </c>
      <c r="D220" s="2" t="s">
        <v>320</v>
      </c>
      <c r="E220" s="2" t="s">
        <v>760</v>
      </c>
      <c r="F220" s="2" t="s">
        <v>420</v>
      </c>
      <c r="G220" s="2" t="s">
        <v>1013</v>
      </c>
      <c r="H220" s="2"/>
      <c r="I220" s="2"/>
    </row>
    <row r="221" spans="1:9" x14ac:dyDescent="0.25">
      <c r="A221" s="2" t="str">
        <f>source_columns[[#This Row],[Название таблицы STAGE]]&amp;source_columns[[#This Row],[Название поля]]</f>
        <v>b3080000460015_lcl_agreement_actual_dtobeneficiarybankname</v>
      </c>
      <c r="B221" s="2" t="s">
        <v>166</v>
      </c>
      <c r="C221" s="2" t="s">
        <v>1014</v>
      </c>
      <c r="D221" s="2" t="s">
        <v>320</v>
      </c>
      <c r="E221" s="2" t="s">
        <v>760</v>
      </c>
      <c r="F221" s="2" t="s">
        <v>420</v>
      </c>
      <c r="G221" s="2" t="s">
        <v>1015</v>
      </c>
      <c r="H221" s="2"/>
      <c r="I221" s="2"/>
    </row>
    <row r="222" spans="1:9" x14ac:dyDescent="0.25">
      <c r="A222" s="2" t="str">
        <f>source_columns[[#This Row],[Название таблицы STAGE]]&amp;source_columns[[#This Row],[Название поля]]</f>
        <v>b3080000460015_lcl_agreement_actual_dtodateclose</v>
      </c>
      <c r="B222" s="2" t="s">
        <v>166</v>
      </c>
      <c r="C222" s="2" t="s">
        <v>503</v>
      </c>
      <c r="D222" s="2" t="s">
        <v>302</v>
      </c>
      <c r="E222" s="2" t="s">
        <v>760</v>
      </c>
      <c r="F222" s="2" t="s">
        <v>420</v>
      </c>
      <c r="G222" s="2" t="s">
        <v>1016</v>
      </c>
      <c r="H222" s="2"/>
      <c r="I222" s="2"/>
    </row>
    <row r="223" spans="1:9" x14ac:dyDescent="0.25">
      <c r="A223" s="2" t="str">
        <f>source_columns[[#This Row],[Название таблицы STAGE]]&amp;source_columns[[#This Row],[Название поля]]</f>
        <v>b3080000460015_lcl_agreement_actual_dtodateconclusion</v>
      </c>
      <c r="B223" s="2" t="s">
        <v>166</v>
      </c>
      <c r="C223" s="2" t="s">
        <v>508</v>
      </c>
      <c r="D223" s="2" t="s">
        <v>302</v>
      </c>
      <c r="E223" s="2" t="s">
        <v>760</v>
      </c>
      <c r="F223" s="2" t="s">
        <v>420</v>
      </c>
      <c r="G223" s="2" t="s">
        <v>1017</v>
      </c>
      <c r="H223" s="2"/>
      <c r="I223" s="2"/>
    </row>
    <row r="224" spans="1:9" x14ac:dyDescent="0.25">
      <c r="A224" s="2" t="str">
        <f>source_columns[[#This Row],[Название таблицы STAGE]]&amp;source_columns[[#This Row],[Название поля]]</f>
        <v>b3080000460015_lcl_agreement_actual_dtoincomedistributionscheme</v>
      </c>
      <c r="B224" s="2" t="s">
        <v>166</v>
      </c>
      <c r="C224" s="2" t="s">
        <v>548</v>
      </c>
      <c r="D224" s="2" t="s">
        <v>320</v>
      </c>
      <c r="E224" s="2" t="s">
        <v>760</v>
      </c>
      <c r="F224" s="2" t="s">
        <v>420</v>
      </c>
      <c r="G224" s="2" t="s">
        <v>1018</v>
      </c>
      <c r="H224" s="2"/>
      <c r="I224" s="2"/>
    </row>
    <row r="225" spans="1:9" x14ac:dyDescent="0.25">
      <c r="A225" s="2" t="str">
        <f>source_columns[[#This Row],[Название таблицы STAGE]]&amp;source_columns[[#This Row],[Название поля]]</f>
        <v>b3080000460015_lcl_agreement_actual_dtoisecacovered</v>
      </c>
      <c r="B225" s="2" t="s">
        <v>166</v>
      </c>
      <c r="C225" s="2" t="s">
        <v>1019</v>
      </c>
      <c r="D225" s="2" t="s">
        <v>827</v>
      </c>
      <c r="E225" s="2" t="s">
        <v>760</v>
      </c>
      <c r="F225" s="2" t="s">
        <v>420</v>
      </c>
      <c r="G225" s="2" t="s">
        <v>1020</v>
      </c>
      <c r="H225" s="2"/>
      <c r="I225" s="2"/>
    </row>
    <row r="226" spans="1:9" x14ac:dyDescent="0.25">
      <c r="A226" s="2" t="str">
        <f>source_columns[[#This Row],[Название таблицы STAGE]]&amp;source_columns[[#This Row],[Название поля]]</f>
        <v>b3080000460015_lcl_agreement_actual_dtoreference</v>
      </c>
      <c r="B226" s="2" t="s">
        <v>166</v>
      </c>
      <c r="C226" s="2" t="s">
        <v>388</v>
      </c>
      <c r="D226" s="2" t="s">
        <v>320</v>
      </c>
      <c r="E226" s="2" t="s">
        <v>758</v>
      </c>
      <c r="F226" s="2" t="s">
        <v>420</v>
      </c>
      <c r="G226" s="2" t="s">
        <v>1021</v>
      </c>
      <c r="H226" s="2"/>
      <c r="I226" s="2"/>
    </row>
    <row r="227" spans="1:9" x14ac:dyDescent="0.25">
      <c r="A227" s="2" t="str">
        <f>source_columns[[#This Row],[Название таблицы STAGE]]&amp;source_columns[[#This Row],[Название поля]]</f>
        <v>b3080000460015_lcl_agreement_actual_dtoexternalid</v>
      </c>
      <c r="B227" s="2" t="s">
        <v>166</v>
      </c>
      <c r="C227" s="2" t="s">
        <v>1022</v>
      </c>
      <c r="D227" s="2" t="s">
        <v>320</v>
      </c>
      <c r="E227" s="2" t="s">
        <v>760</v>
      </c>
      <c r="F227" s="2" t="s">
        <v>420</v>
      </c>
      <c r="G227" s="2" t="s">
        <v>1023</v>
      </c>
      <c r="H227" s="2"/>
      <c r="I227" s="2"/>
    </row>
    <row r="228" spans="1:9" x14ac:dyDescent="0.25">
      <c r="A228" s="2" t="str">
        <f>source_columns[[#This Row],[Название таблицы STAGE]]&amp;source_columns[[#This Row],[Название поля]]</f>
        <v>b3080000460015_lcl_agreement_actual_dtogeneralagreementfactoryid</v>
      </c>
      <c r="B228" s="2" t="s">
        <v>166</v>
      </c>
      <c r="C228" s="2" t="s">
        <v>1024</v>
      </c>
      <c r="D228" s="2" t="s">
        <v>320</v>
      </c>
      <c r="E228" s="2" t="s">
        <v>760</v>
      </c>
      <c r="F228" s="2" t="s">
        <v>420</v>
      </c>
      <c r="G228" s="2" t="s">
        <v>1025</v>
      </c>
      <c r="H228" s="2"/>
      <c r="I228" s="2"/>
    </row>
    <row r="229" spans="1:9" x14ac:dyDescent="0.25">
      <c r="A229" s="2" t="str">
        <f>source_columns[[#This Row],[Название таблицы STAGE]]&amp;source_columns[[#This Row],[Название поля]]</f>
        <v>b3080000460015_lcl_agreement_actual_dto   case when SUBSTR( bankregionalunitbankbranchcode,1,1) = '0' and SUBSTR( bankregionalunitbankbranchcode,2,1) &lt;&gt; '0' and length(bankregionalunitbankbranchcode)= 3
   then SUBSTR( bankregionalunitbankbranchcode, 2) else bankregionalunitbankbranchcode end</v>
      </c>
      <c r="B229" s="2" t="s">
        <v>166</v>
      </c>
      <c r="C229" s="2" t="s">
        <v>1026</v>
      </c>
      <c r="D229" s="2" t="s">
        <v>320</v>
      </c>
      <c r="E229" s="2" t="s">
        <v>760</v>
      </c>
      <c r="F229" s="2" t="s">
        <v>420</v>
      </c>
      <c r="G229" s="2" t="s">
        <v>1027</v>
      </c>
      <c r="H229" s="2"/>
      <c r="I229" s="2"/>
    </row>
    <row r="230" spans="1:9" x14ac:dyDescent="0.25">
      <c r="A230" s="2" t="str">
        <f>source_columns[[#This Row],[Название таблицы STAGE]]&amp;source_columns[[#This Row],[Название поля]]</f>
        <v>b3080000460015_lcl_agreement_actual_dtolpad(bankregionalunitosbcode, 4, '0')  as bankregionalunitosbcode</v>
      </c>
      <c r="B230" s="2" t="s">
        <v>166</v>
      </c>
      <c r="C230" s="2" t="s">
        <v>1028</v>
      </c>
      <c r="D230" s="2" t="s">
        <v>320</v>
      </c>
      <c r="E230" s="2" t="s">
        <v>760</v>
      </c>
      <c r="F230" s="2" t="s">
        <v>420</v>
      </c>
      <c r="G230" s="2" t="s">
        <v>1029</v>
      </c>
      <c r="H230" s="2"/>
      <c r="I230" s="2"/>
    </row>
    <row r="231" spans="1:9" x14ac:dyDescent="0.25">
      <c r="A231" s="2" t="str">
        <f>source_columns[[#This Row],[Название таблицы STAGE]]&amp;source_columns[[#This Row],[Название поля]]</f>
        <v>b3080000460015_lcl_agreement_actual_dtoproducttype</v>
      </c>
      <c r="B231" s="2" t="s">
        <v>166</v>
      </c>
      <c r="C231" s="2" t="s">
        <v>513</v>
      </c>
      <c r="D231" s="2" t="s">
        <v>320</v>
      </c>
      <c r="E231" s="2" t="s">
        <v>760</v>
      </c>
      <c r="F231" s="2" t="s">
        <v>420</v>
      </c>
      <c r="G231" s="2" t="s">
        <v>944</v>
      </c>
      <c r="H231" s="2"/>
      <c r="I231" s="2"/>
    </row>
    <row r="232" spans="1:9" x14ac:dyDescent="0.25">
      <c r="A232" s="2" t="str">
        <f>source_columns[[#This Row],[Название таблицы STAGE]]&amp;source_columns[[#This Row],[Название поля]]</f>
        <v>b3080000460015_lcl_agreement_actual_dtosberbankdeferredpaymentisavailability</v>
      </c>
      <c r="B232" s="2" t="s">
        <v>166</v>
      </c>
      <c r="C232" s="2" t="s">
        <v>1030</v>
      </c>
      <c r="D232" s="2" t="s">
        <v>827</v>
      </c>
      <c r="E232" s="2" t="s">
        <v>760</v>
      </c>
      <c r="F232" s="2" t="s">
        <v>420</v>
      </c>
      <c r="G232" s="2" t="s">
        <v>1031</v>
      </c>
      <c r="H232" s="2"/>
      <c r="I232" s="2"/>
    </row>
    <row r="233" spans="1:9" x14ac:dyDescent="0.25">
      <c r="A233" s="2" t="str">
        <f>source_columns[[#This Row],[Название таблицы STAGE]]&amp;source_columns[[#This Row],[Название поля]]</f>
        <v>b3080000460015_lcl_agreement_actual_dtoadditionalconditions</v>
      </c>
      <c r="B233" s="2" t="s">
        <v>166</v>
      </c>
      <c r="C233" s="2" t="s">
        <v>499</v>
      </c>
      <c r="D233" s="2" t="s">
        <v>320</v>
      </c>
      <c r="E233" s="2" t="s">
        <v>760</v>
      </c>
      <c r="F233" s="2" t="s">
        <v>420</v>
      </c>
      <c r="G233" s="2" t="s">
        <v>1032</v>
      </c>
      <c r="H233" s="2"/>
      <c r="I233" s="2"/>
    </row>
    <row r="234" spans="1:9" x14ac:dyDescent="0.25">
      <c r="A234" s="2" t="str">
        <f>source_columns[[#This Row],[Название таблицы STAGE]]&amp;source_columns[[#This Row],[Название поля]]</f>
        <v>b3080000460015_lcl_agreement_actual_dtoreferencerelated</v>
      </c>
      <c r="B234" s="2" t="s">
        <v>166</v>
      </c>
      <c r="C234" s="2" t="s">
        <v>507</v>
      </c>
      <c r="D234" s="2" t="s">
        <v>320</v>
      </c>
      <c r="E234" s="2" t="s">
        <v>760</v>
      </c>
      <c r="F234" s="2" t="s">
        <v>420</v>
      </c>
      <c r="G234" s="2" t="s">
        <v>1033</v>
      </c>
      <c r="H234" s="2"/>
      <c r="I234" s="2"/>
    </row>
    <row r="235" spans="1:9" x14ac:dyDescent="0.25">
      <c r="A235" s="2" t="str">
        <f>source_columns[[#This Row],[Название таблицы STAGE]]&amp;source_columns[[#This Row],[Название поля]]</f>
        <v>b3080000460015_lcl_agreement_actual_dtobeneficiaryaccountnumber</v>
      </c>
      <c r="B235" s="2" t="s">
        <v>166</v>
      </c>
      <c r="C235" s="2" t="s">
        <v>1034</v>
      </c>
      <c r="D235" s="2" t="s">
        <v>320</v>
      </c>
      <c r="E235" s="2" t="s">
        <v>760</v>
      </c>
      <c r="F235" s="2" t="s">
        <v>420</v>
      </c>
      <c r="G235" s="2" t="s">
        <v>1035</v>
      </c>
      <c r="H235" s="2"/>
      <c r="I235" s="2"/>
    </row>
    <row r="236" spans="1:9" x14ac:dyDescent="0.25">
      <c r="A236" s="2" t="str">
        <f>source_columns[[#This Row],[Название таблицы STAGE]]&amp;source_columns[[#This Row],[Название поля]]</f>
        <v>b3080000460015_lcl_agreement_actual_dtoapplicantepkid</v>
      </c>
      <c r="B236" s="2" t="s">
        <v>166</v>
      </c>
      <c r="C236" s="2" t="s">
        <v>1036</v>
      </c>
      <c r="D236" s="2" t="s">
        <v>320</v>
      </c>
      <c r="E236" s="2" t="s">
        <v>760</v>
      </c>
      <c r="F236" s="2" t="s">
        <v>420</v>
      </c>
      <c r="G236" s="2" t="s">
        <v>1037</v>
      </c>
      <c r="H236" s="2"/>
      <c r="I236" s="2"/>
    </row>
    <row r="237" spans="1:9" x14ac:dyDescent="0.25">
      <c r="A237" s="2" t="str">
        <f>source_columns[[#This Row],[Название таблицы STAGE]]&amp;source_columns[[#This Row],[Название поля]]</f>
        <v>b3080000460015_lcl_agreement_actual_dtobeneficiarylegalepkid</v>
      </c>
      <c r="B237" s="2" t="s">
        <v>166</v>
      </c>
      <c r="C237" s="2" t="s">
        <v>1038</v>
      </c>
      <c r="D237" s="2" t="s">
        <v>320</v>
      </c>
      <c r="E237" s="2" t="s">
        <v>760</v>
      </c>
      <c r="F237" s="2" t="s">
        <v>420</v>
      </c>
      <c r="G237" s="2" t="s">
        <v>1039</v>
      </c>
      <c r="H237" s="2"/>
      <c r="I237" s="2"/>
    </row>
    <row r="238" spans="1:9" x14ac:dyDescent="0.25">
      <c r="A238" s="2" t="str">
        <f>source_columns[[#This Row],[Название таблицы STAGE]]&amp;source_columns[[#This Row],[Название поля]]</f>
        <v>b3080000460015_lcl_agreement_actual_dtobeneficiaryindividualepkrbid</v>
      </c>
      <c r="B238" s="2" t="s">
        <v>166</v>
      </c>
      <c r="C238" s="2" t="s">
        <v>1040</v>
      </c>
      <c r="D238" s="2" t="s">
        <v>320</v>
      </c>
      <c r="E238" s="2" t="s">
        <v>760</v>
      </c>
      <c r="F238" s="2" t="s">
        <v>420</v>
      </c>
      <c r="G238" s="2" t="s">
        <v>1041</v>
      </c>
      <c r="H238" s="2"/>
      <c r="I238" s="2"/>
    </row>
    <row r="239" spans="1:9" x14ac:dyDescent="0.25">
      <c r="A239" s="2" t="str">
        <f>source_columns[[#This Row],[Название таблицы STAGE]]&amp;source_columns[[#This Row],[Название поля]]</f>
        <v>b3080000460015_lcl_agreement_actual_dtoapplicanttaxid</v>
      </c>
      <c r="B239" s="2" t="s">
        <v>166</v>
      </c>
      <c r="C239" s="2" t="s">
        <v>1042</v>
      </c>
      <c r="D239" s="2" t="s">
        <v>320</v>
      </c>
      <c r="E239" s="2" t="s">
        <v>760</v>
      </c>
      <c r="F239" s="2" t="s">
        <v>420</v>
      </c>
      <c r="G239" s="2" t="s">
        <v>1043</v>
      </c>
      <c r="H239" s="2"/>
      <c r="I239" s="2"/>
    </row>
    <row r="240" spans="1:9" x14ac:dyDescent="0.25">
      <c r="A240" s="2" t="str">
        <f>source_columns[[#This Row],[Название таблицы STAGE]]&amp;source_columns[[#This Row],[Название поля]]</f>
        <v>b3080000460015_lcl_agreement_actual_dtobeneficiarylegaltaxid</v>
      </c>
      <c r="B240" s="2" t="s">
        <v>166</v>
      </c>
      <c r="C240" s="2" t="s">
        <v>1044</v>
      </c>
      <c r="D240" s="2" t="s">
        <v>320</v>
      </c>
      <c r="E240" s="2" t="s">
        <v>760</v>
      </c>
      <c r="F240" s="2" t="s">
        <v>420</v>
      </c>
      <c r="G240" s="2" t="s">
        <v>1045</v>
      </c>
      <c r="H240" s="2"/>
      <c r="I240" s="2"/>
    </row>
    <row r="241" spans="1:9" x14ac:dyDescent="0.25">
      <c r="A241" s="2" t="str">
        <f>source_columns[[#This Row],[Название таблицы STAGE]]&amp;source_columns[[#This Row],[Название поля]]</f>
        <v>b3080000460015_lcl_agreement_actual_dtobeneficiaryindividualtaxid</v>
      </c>
      <c r="B241" s="2" t="s">
        <v>166</v>
      </c>
      <c r="C241" s="2" t="s">
        <v>573</v>
      </c>
      <c r="D241" s="2" t="s">
        <v>320</v>
      </c>
      <c r="E241" s="2" t="s">
        <v>760</v>
      </c>
      <c r="F241" s="2" t="s">
        <v>420</v>
      </c>
      <c r="G241" s="2" t="s">
        <v>1046</v>
      </c>
      <c r="H241" s="2"/>
      <c r="I241" s="2"/>
    </row>
    <row r="242" spans="1:9" x14ac:dyDescent="0.25">
      <c r="A242" s="2" t="str">
        <f>source_columns[[#This Row],[Название таблицы STAGE]]&amp;source_columns[[#This Row],[Название поля]]</f>
        <v>b3080000460015_lcl_agreement_actual_dtoapplicantlegalname</v>
      </c>
      <c r="B242" s="2" t="s">
        <v>166</v>
      </c>
      <c r="C242" s="2" t="s">
        <v>1047</v>
      </c>
      <c r="D242" s="2" t="s">
        <v>320</v>
      </c>
      <c r="E242" s="2" t="s">
        <v>760</v>
      </c>
      <c r="F242" s="2" t="s">
        <v>420</v>
      </c>
      <c r="G242" s="2" t="s">
        <v>1048</v>
      </c>
      <c r="H242" s="2"/>
      <c r="I242" s="2"/>
    </row>
    <row r="243" spans="1:9" x14ac:dyDescent="0.25">
      <c r="A243" s="2" t="str">
        <f>source_columns[[#This Row],[Название таблицы STAGE]]&amp;source_columns[[#This Row],[Название поля]]</f>
        <v>b3080000460015_lcl_agreement_actual_dtobeneficiarylegalname</v>
      </c>
      <c r="B243" s="2" t="s">
        <v>166</v>
      </c>
      <c r="C243" s="2" t="s">
        <v>1049</v>
      </c>
      <c r="D243" s="2" t="s">
        <v>320</v>
      </c>
      <c r="E243" s="2" t="s">
        <v>760</v>
      </c>
      <c r="F243" s="2" t="s">
        <v>420</v>
      </c>
      <c r="G243" s="2" t="s">
        <v>1050</v>
      </c>
      <c r="H243" s="2"/>
      <c r="I243" s="2"/>
    </row>
    <row r="244" spans="1:9" x14ac:dyDescent="0.25">
      <c r="A244" s="2" t="str">
        <f>source_columns[[#This Row],[Название таблицы STAGE]]&amp;source_columns[[#This Row],[Название поля]]</f>
        <v>b3080000460015_lcl_agreement_actual_dtocase when beneficiaryindividualname is not null then 'individual' end</v>
      </c>
      <c r="B244" s="2" t="s">
        <v>166</v>
      </c>
      <c r="C244" s="2" t="s">
        <v>1051</v>
      </c>
      <c r="D244" s="2" t="s">
        <v>320</v>
      </c>
      <c r="E244" s="2" t="s">
        <v>760</v>
      </c>
      <c r="F244" s="2" t="s">
        <v>420</v>
      </c>
      <c r="G244" s="2" t="s">
        <v>1052</v>
      </c>
      <c r="H244" s="2"/>
      <c r="I244" s="2"/>
    </row>
    <row r="245" spans="1:9" x14ac:dyDescent="0.25">
      <c r="A245" s="2" t="str">
        <f>source_columns[[#This Row],[Название таблицы STAGE]]&amp;source_columns[[#This Row],[Название поля]]</f>
        <v>b3080000460015_lcl_agreement_actual_dtoapplicantterritorybic</v>
      </c>
      <c r="B245" s="2" t="s">
        <v>166</v>
      </c>
      <c r="C245" s="2" t="s">
        <v>1053</v>
      </c>
      <c r="D245" s="2" t="s">
        <v>320</v>
      </c>
      <c r="E245" s="2" t="s">
        <v>760</v>
      </c>
      <c r="F245" s="2" t="s">
        <v>420</v>
      </c>
      <c r="G245" s="2" t="s">
        <v>1054</v>
      </c>
      <c r="H245" s="2"/>
      <c r="I245" s="2"/>
    </row>
    <row r="246" spans="1:9" x14ac:dyDescent="0.25">
      <c r="A246" s="2" t="str">
        <f>source_columns[[#This Row],[Название таблицы STAGE]]&amp;source_columns[[#This Row],[Название поля]]</f>
        <v>b3080000460015_lcl_agreement_actual_dtobeneficiaryterritorybic</v>
      </c>
      <c r="B246" s="2" t="s">
        <v>166</v>
      </c>
      <c r="C246" s="2" t="s">
        <v>1055</v>
      </c>
      <c r="D246" s="2" t="s">
        <v>320</v>
      </c>
      <c r="E246" s="2" t="s">
        <v>760</v>
      </c>
      <c r="F246" s="2" t="s">
        <v>420</v>
      </c>
      <c r="G246" s="2" t="s">
        <v>1056</v>
      </c>
      <c r="H246" s="2"/>
      <c r="I246" s="2"/>
    </row>
    <row r="247" spans="1:9" x14ac:dyDescent="0.25">
      <c r="A247" s="2" t="str">
        <f>source_columns[[#This Row],[Название таблицы STAGE]]&amp;source_columns[[#This Row],[Название поля]]</f>
        <v>b3080000460015_lcl_agreement_actual_dtocase when SUBSTR( applicantterritorybankbranchcode,1,1) = '0' and SUBSTR( applicantterritorybankbranchcode,2,1) &lt;&gt; '0' and length(applicantterritorybankbranchcode)= 3
   then SUBSTR( applicantterritorybankbranchcode, 2) else applicantterritorybankbranchcode end</v>
      </c>
      <c r="B247" s="2" t="s">
        <v>166</v>
      </c>
      <c r="C247" s="2" t="s">
        <v>1057</v>
      </c>
      <c r="D247" s="2" t="s">
        <v>320</v>
      </c>
      <c r="E247" s="2" t="s">
        <v>760</v>
      </c>
      <c r="F247" s="2" t="s">
        <v>420</v>
      </c>
      <c r="G247" s="2" t="s">
        <v>1058</v>
      </c>
      <c r="H247" s="2"/>
      <c r="I247" s="2"/>
    </row>
    <row r="248" spans="1:9" x14ac:dyDescent="0.25">
      <c r="A248" s="2" t="str">
        <f>source_columns[[#This Row],[Название таблицы STAGE]]&amp;source_columns[[#This Row],[Название поля]]</f>
        <v>b3080000460015_lcl_agreement_actual_dtolpad(applicantterritoryosbcode, 4, '0') as applicantterritoryosbcode</v>
      </c>
      <c r="B248" s="2" t="s">
        <v>166</v>
      </c>
      <c r="C248" s="2" t="s">
        <v>1059</v>
      </c>
      <c r="D248" s="2" t="s">
        <v>320</v>
      </c>
      <c r="E248" s="2" t="s">
        <v>760</v>
      </c>
      <c r="F248" s="2" t="s">
        <v>420</v>
      </c>
      <c r="G248" s="2" t="s">
        <v>1060</v>
      </c>
      <c r="H248" s="2"/>
      <c r="I248" s="2"/>
    </row>
    <row r="249" spans="1:9" x14ac:dyDescent="0.25">
      <c r="A249" s="2" t="str">
        <f>source_columns[[#This Row],[Название таблицы STAGE]]&amp;source_columns[[#This Row],[Название поля]]</f>
        <v>b3080000460015_lcl_agreement_actual_dto  case when SUBSTR( beneficiaryterritorybankbranchcode,1,1) = '0' and SUBSTR( beneficiaryterritorybankbranchcode,2,1) &lt;&gt; '0' and length(beneficiaryterritorybankbranchcode)= 3
   then SUBSTR( beneficiaryterritorybankbranchcode, 2) else beneficiaryterritorybankbranchcode end</v>
      </c>
      <c r="B249" s="2" t="s">
        <v>166</v>
      </c>
      <c r="C249" s="2" t="s">
        <v>1061</v>
      </c>
      <c r="D249" s="2" t="s">
        <v>320</v>
      </c>
      <c r="E249" s="2" t="s">
        <v>760</v>
      </c>
      <c r="F249" s="2" t="s">
        <v>420</v>
      </c>
      <c r="G249" s="2" t="s">
        <v>1062</v>
      </c>
      <c r="H249" s="2"/>
      <c r="I249" s="2"/>
    </row>
    <row r="250" spans="1:9" x14ac:dyDescent="0.25">
      <c r="A250" s="2" t="str">
        <f>source_columns[[#This Row],[Название таблицы STAGE]]&amp;source_columns[[#This Row],[Название поля]]</f>
        <v>b3080000460015_lcl_agreement_actual_dtolpad(beneficiaryterritoryosbcode, 4, '0') as beneficiaryterritoryosbcode</v>
      </c>
      <c r="B250" s="2" t="s">
        <v>166</v>
      </c>
      <c r="C250" s="2" t="s">
        <v>1063</v>
      </c>
      <c r="D250" s="2" t="s">
        <v>320</v>
      </c>
      <c r="E250" s="2" t="s">
        <v>760</v>
      </c>
      <c r="F250" s="2" t="s">
        <v>420</v>
      </c>
      <c r="G250" s="2" t="s">
        <v>1064</v>
      </c>
      <c r="H250" s="2"/>
      <c r="I250" s="2"/>
    </row>
    <row r="251" spans="1:9" x14ac:dyDescent="0.25">
      <c r="A251" s="2" t="str">
        <f>source_columns[[#This Row],[Название таблицы STAGE]]&amp;source_columns[[#This Row],[Название поля]]</f>
        <v>b3080000460015_lcl_agreement_actual_dtoapplicantterritoryname</v>
      </c>
      <c r="B251" s="2" t="s">
        <v>166</v>
      </c>
      <c r="C251" s="2" t="s">
        <v>1065</v>
      </c>
      <c r="D251" s="2" t="s">
        <v>320</v>
      </c>
      <c r="E251" s="2" t="s">
        <v>760</v>
      </c>
      <c r="F251" s="2" t="s">
        <v>420</v>
      </c>
      <c r="G251" s="2" t="s">
        <v>1066</v>
      </c>
      <c r="H251" s="2"/>
      <c r="I251" s="2"/>
    </row>
    <row r="252" spans="1:9" x14ac:dyDescent="0.25">
      <c r="A252" s="2" t="str">
        <f>source_columns[[#This Row],[Название таблицы STAGE]]&amp;source_columns[[#This Row],[Название поля]]</f>
        <v>b3080000460015_lcl_agreement_actual_dtobeneficiaryterritoryname</v>
      </c>
      <c r="B252" s="2" t="s">
        <v>166</v>
      </c>
      <c r="C252" s="2" t="s">
        <v>1067</v>
      </c>
      <c r="D252" s="2" t="s">
        <v>320</v>
      </c>
      <c r="E252" s="2" t="s">
        <v>760</v>
      </c>
      <c r="F252" s="2" t="s">
        <v>420</v>
      </c>
      <c r="G252" s="2" t="s">
        <v>1068</v>
      </c>
      <c r="H252" s="2"/>
      <c r="I252" s="2"/>
    </row>
    <row r="253" spans="1:9" x14ac:dyDescent="0.25">
      <c r="A253" s="2" t="str">
        <f>source_columns[[#This Row],[Название таблицы STAGE]]&amp;source_columns[[#This Row],[Название поля]]</f>
        <v>b3080000460015_lcl_agreement_actual_dtobankregionalunitbic</v>
      </c>
      <c r="B253" s="2" t="s">
        <v>166</v>
      </c>
      <c r="C253" s="2" t="s">
        <v>1069</v>
      </c>
      <c r="D253" s="2" t="s">
        <v>320</v>
      </c>
      <c r="E253" s="2" t="s">
        <v>760</v>
      </c>
      <c r="F253" s="2" t="s">
        <v>420</v>
      </c>
      <c r="G253" s="2" t="s">
        <v>1070</v>
      </c>
      <c r="H253" s="2"/>
      <c r="I253" s="2"/>
    </row>
    <row r="254" spans="1:9" x14ac:dyDescent="0.25">
      <c r="A254" s="2" t="str">
        <f>source_columns[[#This Row],[Название таблицы STAGE]]&amp;source_columns[[#This Row],[Название поля]]</f>
        <v>b3080000460015_lcl_agreement_actual_dtobankregionalunitname</v>
      </c>
      <c r="B254" s="2" t="s">
        <v>166</v>
      </c>
      <c r="C254" s="2" t="s">
        <v>1071</v>
      </c>
      <c r="D254" s="2" t="s">
        <v>320</v>
      </c>
      <c r="E254" s="2" t="s">
        <v>760</v>
      </c>
      <c r="F254" s="2" t="s">
        <v>420</v>
      </c>
      <c r="G254" s="2" t="s">
        <v>1072</v>
      </c>
      <c r="H254" s="2"/>
      <c r="I254" s="2"/>
    </row>
    <row r="255" spans="1:9" x14ac:dyDescent="0.25">
      <c r="A255" s="2" t="str">
        <f>source_columns[[#This Row],[Название таблицы STAGE]]&amp;source_columns[[#This Row],[Название поля]]</f>
        <v>b3080000460015_lcl_agreement_actual_dtodatefinancingend</v>
      </c>
      <c r="B255" s="2" t="s">
        <v>166</v>
      </c>
      <c r="C255" s="2" t="s">
        <v>522</v>
      </c>
      <c r="D255" s="2" t="s">
        <v>302</v>
      </c>
      <c r="E255" s="2" t="s">
        <v>760</v>
      </c>
      <c r="F255" s="2" t="s">
        <v>420</v>
      </c>
      <c r="G255" s="2" t="s">
        <v>1073</v>
      </c>
      <c r="H255" s="2"/>
      <c r="I255" s="2"/>
    </row>
    <row r="256" spans="1:9" x14ac:dyDescent="0.25">
      <c r="A256" s="2" t="str">
        <f>source_columns[[#This Row],[Название таблицы STAGE]]&amp;source_columns[[#This Row],[Название поля]]</f>
        <v>b3080000460015_lcl_agreement_actual_dtodateexpiry</v>
      </c>
      <c r="B256" s="2" t="s">
        <v>166</v>
      </c>
      <c r="C256" s="2" t="s">
        <v>505</v>
      </c>
      <c r="D256" s="2" t="s">
        <v>302</v>
      </c>
      <c r="E256" s="2" t="s">
        <v>760</v>
      </c>
      <c r="F256" s="2" t="s">
        <v>420</v>
      </c>
      <c r="G256" s="2" t="s">
        <v>1074</v>
      </c>
      <c r="H256" s="2"/>
      <c r="I256" s="2"/>
    </row>
    <row r="257" spans="1:9" x14ac:dyDescent="0.25">
      <c r="A257" s="2" t="str">
        <f>source_columns[[#This Row],[Название таблицы STAGE]]&amp;source_columns[[#This Row],[Название поля]]</f>
        <v>b3080000460015_lcl_agreement_actual_dtobeneficiarybankswift</v>
      </c>
      <c r="B257" s="2" t="s">
        <v>166</v>
      </c>
      <c r="C257" s="2" t="s">
        <v>1075</v>
      </c>
      <c r="D257" s="2" t="s">
        <v>320</v>
      </c>
      <c r="E257" s="2" t="s">
        <v>760</v>
      </c>
      <c r="F257" s="2" t="s">
        <v>420</v>
      </c>
      <c r="G257" s="2" t="s">
        <v>1076</v>
      </c>
      <c r="H257" s="2"/>
      <c r="I257" s="2"/>
    </row>
    <row r="258" spans="1:9" x14ac:dyDescent="0.25">
      <c r="A258" s="2" t="str">
        <f>source_columns[[#This Row],[Название таблицы STAGE]]&amp;source_columns[[#This Row],[Название поля]]</f>
        <v>b3080000460015_lcl_agreement_actual_dtoadvisingbankswift</v>
      </c>
      <c r="B258" s="2" t="s">
        <v>166</v>
      </c>
      <c r="C258" s="2" t="s">
        <v>1077</v>
      </c>
      <c r="D258" s="2" t="s">
        <v>320</v>
      </c>
      <c r="E258" s="2" t="s">
        <v>760</v>
      </c>
      <c r="F258" s="2" t="s">
        <v>420</v>
      </c>
      <c r="G258" s="2" t="s">
        <v>1078</v>
      </c>
      <c r="H258" s="2"/>
      <c r="I258" s="2"/>
    </row>
    <row r="259" spans="1:9" x14ac:dyDescent="0.25">
      <c r="A259" s="2" t="str">
        <f>source_columns[[#This Row],[Название таблицы STAGE]]&amp;source_columns[[#This Row],[Название поля]]</f>
        <v>b3080000460015_lcl_agreement_actual_dtoissuingbankswift</v>
      </c>
      <c r="B259" s="2" t="s">
        <v>166</v>
      </c>
      <c r="C259" s="2" t="s">
        <v>1079</v>
      </c>
      <c r="D259" s="2" t="s">
        <v>320</v>
      </c>
      <c r="E259" s="2" t="s">
        <v>760</v>
      </c>
      <c r="F259" s="2" t="s">
        <v>420</v>
      </c>
      <c r="G259" s="2" t="s">
        <v>1080</v>
      </c>
      <c r="H259" s="2"/>
      <c r="I259" s="2"/>
    </row>
    <row r="260" spans="1:9" x14ac:dyDescent="0.25">
      <c r="A260" s="2" t="str">
        <f>source_columns[[#This Row],[Название таблицы STAGE]]&amp;source_columns[[#This Row],[Название поля]]</f>
        <v>b3080000460015_lcl_agreement_actual_dtonominatedbankswift</v>
      </c>
      <c r="B260" s="2" t="s">
        <v>166</v>
      </c>
      <c r="C260" s="2" t="s">
        <v>1081</v>
      </c>
      <c r="D260" s="2" t="s">
        <v>320</v>
      </c>
      <c r="E260" s="2" t="s">
        <v>760</v>
      </c>
      <c r="F260" s="2" t="s">
        <v>420</v>
      </c>
      <c r="G260" s="2" t="s">
        <v>1082</v>
      </c>
      <c r="H260" s="2"/>
      <c r="I260" s="2"/>
    </row>
    <row r="261" spans="1:9" x14ac:dyDescent="0.25">
      <c r="A261" s="2" t="str">
        <f>source_columns[[#This Row],[Название таблицы STAGE]]&amp;source_columns[[#This Row],[Название поля]]</f>
        <v>b3080000460015_lcl_agreement_actual_dtoapplicantbankswift</v>
      </c>
      <c r="B261" s="2" t="s">
        <v>166</v>
      </c>
      <c r="C261" s="2" t="s">
        <v>1083</v>
      </c>
      <c r="D261" s="2" t="s">
        <v>320</v>
      </c>
      <c r="E261" s="2" t="s">
        <v>760</v>
      </c>
      <c r="F261" s="2" t="s">
        <v>420</v>
      </c>
      <c r="G261" s="2" t="s">
        <v>1084</v>
      </c>
      <c r="H261" s="2"/>
      <c r="I261" s="2"/>
    </row>
    <row r="262" spans="1:9" x14ac:dyDescent="0.25">
      <c r="A262" s="2" t="str">
        <f>source_columns[[#This Row],[Название таблицы STAGE]]&amp;source_columns[[#This Row],[Название поля]]</f>
        <v>b3080000460015_lcl_agreement_actual_dtosourceofcover</v>
      </c>
      <c r="B262" s="2" t="s">
        <v>166</v>
      </c>
      <c r="C262" s="2" t="s">
        <v>538</v>
      </c>
      <c r="D262" s="2" t="s">
        <v>320</v>
      </c>
      <c r="E262" s="2" t="s">
        <v>760</v>
      </c>
      <c r="F262" s="2" t="s">
        <v>420</v>
      </c>
      <c r="G262" s="2" t="s">
        <v>1085</v>
      </c>
      <c r="H262" s="2"/>
      <c r="I262" s="2"/>
    </row>
    <row r="263" spans="1:9" x14ac:dyDescent="0.25">
      <c r="A263" s="2" t="str">
        <f>source_columns[[#This Row],[Название таблицы STAGE]]&amp;source_columns[[#This Row],[Название поля]]</f>
        <v>b3080000460015_lcl_agreement_actual_dtoisrevocable</v>
      </c>
      <c r="B263" s="2" t="s">
        <v>166</v>
      </c>
      <c r="C263" s="2" t="s">
        <v>1086</v>
      </c>
      <c r="D263" s="2" t="s">
        <v>827</v>
      </c>
      <c r="E263" s="2" t="s">
        <v>760</v>
      </c>
      <c r="F263" s="2" t="s">
        <v>420</v>
      </c>
      <c r="G263" s="2" t="s">
        <v>1087</v>
      </c>
      <c r="H263" s="2"/>
      <c r="I263" s="2"/>
    </row>
    <row r="264" spans="1:9" x14ac:dyDescent="0.25">
      <c r="A264" s="2" t="str">
        <f>source_columns[[#This Row],[Название таблицы STAGE]]&amp;source_columns[[#This Row],[Название поля]]</f>
        <v>b3080000460015_lcl_agreement_actual_dtoamountvalue</v>
      </c>
      <c r="B264" s="2" t="s">
        <v>166</v>
      </c>
      <c r="C264" s="2" t="s">
        <v>519</v>
      </c>
      <c r="D264" s="2" t="s">
        <v>320</v>
      </c>
      <c r="E264" s="2" t="s">
        <v>760</v>
      </c>
      <c r="F264" s="2" t="s">
        <v>420</v>
      </c>
      <c r="G264" s="2" t="s">
        <v>1088</v>
      </c>
      <c r="H264" s="2"/>
      <c r="I264" s="2"/>
    </row>
    <row r="265" spans="1:9" x14ac:dyDescent="0.25">
      <c r="A265" s="2" t="str">
        <f>source_columns[[#This Row],[Название таблицы STAGE]]&amp;source_columns[[#This Row],[Название поля]]</f>
        <v>b3080000460015_lcl_agreement_actual_dtoamountcurrencycode</v>
      </c>
      <c r="B265" s="2" t="s">
        <v>166</v>
      </c>
      <c r="C265" s="2" t="s">
        <v>1089</v>
      </c>
      <c r="D265" s="2" t="s">
        <v>320</v>
      </c>
      <c r="E265" s="2" t="s">
        <v>760</v>
      </c>
      <c r="F265" s="2" t="s">
        <v>420</v>
      </c>
      <c r="G265" s="2" t="s">
        <v>1090</v>
      </c>
      <c r="H265" s="2"/>
      <c r="I265" s="2"/>
    </row>
    <row r="266" spans="1:9" x14ac:dyDescent="0.25">
      <c r="A266" s="2" t="str">
        <f>source_columns[[#This Row],[Название таблицы STAGE]]&amp;source_columns[[#This Row],[Название поля]]</f>
        <v>b3080000460015_lcl_agreement_actual_dtobeneficiarydeferredpaymentperioddurationunit</v>
      </c>
      <c r="B266" s="2" t="s">
        <v>166</v>
      </c>
      <c r="C266" s="2" t="s">
        <v>543</v>
      </c>
      <c r="D266" s="2" t="s">
        <v>320</v>
      </c>
      <c r="E266" s="2" t="s">
        <v>760</v>
      </c>
      <c r="F266" s="2" t="s">
        <v>420</v>
      </c>
      <c r="G266" s="2" t="s">
        <v>1091</v>
      </c>
      <c r="H266" s="2"/>
      <c r="I266" s="2"/>
    </row>
    <row r="267" spans="1:9" x14ac:dyDescent="0.25">
      <c r="A267" s="2" t="str">
        <f>source_columns[[#This Row],[Название таблицы STAGE]]&amp;source_columns[[#This Row],[Название поля]]</f>
        <v>b3080000460015_lcl_agreement_actual_dtobeneficiarydeferredpaymentfixeddate</v>
      </c>
      <c r="B267" s="2" t="s">
        <v>166</v>
      </c>
      <c r="C267" s="2" t="s">
        <v>526</v>
      </c>
      <c r="D267" s="2" t="s">
        <v>302</v>
      </c>
      <c r="E267" s="2" t="s">
        <v>760</v>
      </c>
      <c r="F267" s="2" t="s">
        <v>420</v>
      </c>
      <c r="G267" s="2" t="s">
        <v>1092</v>
      </c>
      <c r="H267" s="2"/>
      <c r="I267" s="2"/>
    </row>
    <row r="268" spans="1:9" x14ac:dyDescent="0.25">
      <c r="A268" s="2" t="str">
        <f>source_columns[[#This Row],[Название таблицы STAGE]]&amp;source_columns[[#This Row],[Название поля]]</f>
        <v>b3080000460015_lcl_agreement_actual_dtobeneficiarydeferredpaymentperiodduration</v>
      </c>
      <c r="B268" s="2" t="s">
        <v>166</v>
      </c>
      <c r="C268" s="2" t="s">
        <v>524</v>
      </c>
      <c r="D268" s="2" t="s">
        <v>1093</v>
      </c>
      <c r="E268" s="2" t="s">
        <v>760</v>
      </c>
      <c r="F268" s="2" t="s">
        <v>420</v>
      </c>
      <c r="G268" s="2" t="s">
        <v>1094</v>
      </c>
      <c r="H268" s="2"/>
      <c r="I268" s="2"/>
    </row>
    <row r="269" spans="1:9" x14ac:dyDescent="0.25">
      <c r="A269" s="2" t="str">
        <f>source_columns[[#This Row],[Название таблицы STAGE]]&amp;source_columns[[#This Row],[Название поля]]</f>
        <v>b3080000460015_lcl_agreement_actual_dtostatus</v>
      </c>
      <c r="B269" s="2" t="s">
        <v>166</v>
      </c>
      <c r="C269" s="2" t="s">
        <v>695</v>
      </c>
      <c r="D269" s="2" t="s">
        <v>320</v>
      </c>
      <c r="E269" s="2" t="s">
        <v>760</v>
      </c>
      <c r="F269" s="2" t="s">
        <v>420</v>
      </c>
      <c r="G269" s="2" t="s">
        <v>1095</v>
      </c>
      <c r="H269" s="2"/>
    </row>
    <row r="270" spans="1:9" x14ac:dyDescent="0.25">
      <c r="A270" s="2" t="str">
        <f>source_columns[[#This Row],[Название таблицы STAGE]]&amp;source_columns[[#This Row],[Название поля]]</f>
        <v>b3080000460015_lcl_agreement_actual_dtosys_date_create_or_update</v>
      </c>
      <c r="B270" s="2" t="s">
        <v>166</v>
      </c>
      <c r="C270" s="2" t="s">
        <v>517</v>
      </c>
      <c r="D270" s="2" t="s">
        <v>1096</v>
      </c>
      <c r="E270" s="2" t="s">
        <v>760</v>
      </c>
      <c r="F270" s="2" t="s">
        <v>420</v>
      </c>
      <c r="G270" s="2" t="s">
        <v>811</v>
      </c>
      <c r="H270" s="2"/>
      <c r="I270" s="2"/>
    </row>
    <row r="271" spans="1:9" x14ac:dyDescent="0.25">
      <c r="A271" s="2" t="str">
        <f>source_columns[[#This Row],[Название таблицы STAGE]]&amp;source_columns[[#This Row],[Название поля]]</f>
        <v>b3080000460015_lcl_agreement_actual_dtodeleted</v>
      </c>
      <c r="B271" s="2" t="s">
        <v>166</v>
      </c>
      <c r="C271" s="2" t="s">
        <v>812</v>
      </c>
      <c r="D271" s="2" t="s">
        <v>827</v>
      </c>
      <c r="E271" s="2" t="s">
        <v>760</v>
      </c>
      <c r="F271" s="2" t="s">
        <v>420</v>
      </c>
      <c r="G271" s="2" t="s">
        <v>813</v>
      </c>
      <c r="H271" s="2"/>
      <c r="I271" s="141" t="s">
        <v>828</v>
      </c>
    </row>
    <row r="272" spans="1:9" x14ac:dyDescent="0.25">
      <c r="A272" s="2" t="str">
        <f>source_columns[[#This Row],[Название таблицы STAGE]]&amp;source_columns[[#This Row],[Название поля]]</f>
        <v>b3080000460015_lcl_agreement_actual_dtoreference_uid</v>
      </c>
      <c r="B272" s="2" t="s">
        <v>166</v>
      </c>
      <c r="C272" s="2" t="s">
        <v>496</v>
      </c>
      <c r="D272" s="2" t="s">
        <v>316</v>
      </c>
      <c r="E272" s="2" t="s">
        <v>760</v>
      </c>
      <c r="F272" s="2" t="s">
        <v>420</v>
      </c>
      <c r="G272" s="2" t="s">
        <v>1097</v>
      </c>
    </row>
    <row r="273" spans="1:7" x14ac:dyDescent="0.25">
      <c r="A273" s="2" t="str">
        <f>source_columns[[#This Row],[Название таблицы STAGE]]&amp;source_columns[[#This Row],[Название поля]]</f>
        <v>b3080000460015_lcl_agreement_actual_dtostatus_uid</v>
      </c>
      <c r="B273" s="2" t="s">
        <v>166</v>
      </c>
      <c r="C273" s="2" t="s">
        <v>697</v>
      </c>
      <c r="D273" s="2" t="s">
        <v>316</v>
      </c>
      <c r="E273" s="2" t="s">
        <v>760</v>
      </c>
      <c r="F273" s="2" t="s">
        <v>420</v>
      </c>
      <c r="G273" s="2" t="s">
        <v>1098</v>
      </c>
    </row>
    <row r="274" spans="1:7" x14ac:dyDescent="0.25">
      <c r="A274" s="2" t="str">
        <f>source_columns[[#This Row],[Название таблицы STAGE]]&amp;source_columns[[#This Row],[Название поля]]</f>
        <v>b3080000460015_lcl_agreement_actual_dtoamountcurrencycode_uid</v>
      </c>
      <c r="B274" s="2" t="s">
        <v>166</v>
      </c>
      <c r="C274" s="2" t="s">
        <v>504</v>
      </c>
      <c r="D274" s="2" t="s">
        <v>316</v>
      </c>
      <c r="E274" s="2" t="s">
        <v>760</v>
      </c>
      <c r="F274" s="2" t="s">
        <v>420</v>
      </c>
      <c r="G274" s="2" t="s">
        <v>1099</v>
      </c>
    </row>
    <row r="275" spans="1:7" x14ac:dyDescent="0.25">
      <c r="A275" s="2" t="str">
        <f>source_columns[[#This Row],[Название таблицы STAGE]]&amp;source_columns[[#This Row],[Название поля]]</f>
        <v>b3080000460015_lcl_agreement_actual_dtoproducttype_uid</v>
      </c>
      <c r="B275" s="2" t="s">
        <v>166</v>
      </c>
      <c r="C275" s="2" t="s">
        <v>502</v>
      </c>
      <c r="D275" s="2" t="s">
        <v>316</v>
      </c>
      <c r="E275" s="2" t="s">
        <v>760</v>
      </c>
      <c r="F275" s="2" t="s">
        <v>420</v>
      </c>
      <c r="G275" s="2" t="s">
        <v>1100</v>
      </c>
    </row>
    <row r="276" spans="1:7" x14ac:dyDescent="0.25">
      <c r="A276" s="2" t="str">
        <f>source_columns[[#This Row],[Название таблицы STAGE]]&amp;source_columns[[#This Row],[Название поля]]</f>
        <v>b3080000460015_lcl_agreement_actual_dtosourceofcover_uid</v>
      </c>
      <c r="B276" s="2" t="s">
        <v>166</v>
      </c>
      <c r="C276" s="2" t="s">
        <v>530</v>
      </c>
      <c r="D276" s="2" t="s">
        <v>316</v>
      </c>
      <c r="E276" s="2" t="s">
        <v>760</v>
      </c>
      <c r="F276" s="2" t="s">
        <v>420</v>
      </c>
      <c r="G276" s="2" t="s">
        <v>1101</v>
      </c>
    </row>
    <row r="277" spans="1:7" x14ac:dyDescent="0.25">
      <c r="A277" s="2" t="str">
        <f>source_columns[[#This Row],[Название таблицы STAGE]]&amp;source_columns[[#This Row],[Название поля]]</f>
        <v>b3080000460015_lcl_agreement_actual_dtobeneficiarydeferredpaymentperioddurationunit_uid</v>
      </c>
      <c r="B277" s="2" t="s">
        <v>166</v>
      </c>
      <c r="C277" s="2" t="s">
        <v>532</v>
      </c>
      <c r="D277" s="2" t="s">
        <v>316</v>
      </c>
      <c r="E277" s="2" t="s">
        <v>760</v>
      </c>
      <c r="F277" s="2" t="s">
        <v>420</v>
      </c>
      <c r="G277" s="2" t="s">
        <v>1102</v>
      </c>
    </row>
    <row r="278" spans="1:7" x14ac:dyDescent="0.25">
      <c r="A278" s="2" t="str">
        <f>source_columns[[#This Row],[Название таблицы STAGE]]&amp;source_columns[[#This Row],[Название поля]]</f>
        <v>b3080000460015_lcl_agreement_actual_dtoincomedistributionscheme_uid</v>
      </c>
      <c r="B278" s="2" t="s">
        <v>166</v>
      </c>
      <c r="C278" s="2" t="s">
        <v>534</v>
      </c>
      <c r="D278" s="2" t="s">
        <v>316</v>
      </c>
      <c r="E278" s="2" t="s">
        <v>760</v>
      </c>
      <c r="F278" s="2" t="s">
        <v>420</v>
      </c>
      <c r="G278" s="2" t="s">
        <v>1103</v>
      </c>
    </row>
    <row r="279" spans="1:7" x14ac:dyDescent="0.25">
      <c r="A279" s="2" t="str">
        <f>source_columns[[#This Row],[Название таблицы STAGE]]&amp;source_columns[[#This Row],[Название поля]]</f>
        <v>b3080000460015_lcl_agreement_actual_dtobeneficiaryaccountnumber_uid</v>
      </c>
      <c r="B279" s="2" t="s">
        <v>166</v>
      </c>
      <c r="C279" s="2" t="s">
        <v>1104</v>
      </c>
      <c r="D279" s="2" t="s">
        <v>316</v>
      </c>
      <c r="E279" s="2" t="s">
        <v>760</v>
      </c>
      <c r="F279" s="2" t="s">
        <v>420</v>
      </c>
      <c r="G279" s="2" t="s">
        <v>1105</v>
      </c>
    </row>
    <row r="280" spans="1:7" x14ac:dyDescent="0.25">
      <c r="A280" s="2" t="str">
        <f>source_columns[[#This Row],[Название таблицы STAGE]]&amp;source_columns[[#This Row],[Название поля]]</f>
        <v>b3080000460015_lcl_agreement_actual_dtoapplicantepkid_uid</v>
      </c>
      <c r="B280" s="2" t="s">
        <v>166</v>
      </c>
      <c r="C280" s="2" t="s">
        <v>1106</v>
      </c>
      <c r="D280" s="2" t="s">
        <v>316</v>
      </c>
      <c r="E280" s="2" t="s">
        <v>760</v>
      </c>
      <c r="F280" s="2" t="s">
        <v>420</v>
      </c>
      <c r="G280" s="2" t="s">
        <v>1107</v>
      </c>
    </row>
    <row r="281" spans="1:7" x14ac:dyDescent="0.25">
      <c r="A281" s="2" t="str">
        <f>source_columns[[#This Row],[Название таблицы STAGE]]&amp;source_columns[[#This Row],[Название поля]]</f>
        <v>b3080000460015_lcl_agreement_actual_dtoapplicantlegalname_tax_uid</v>
      </c>
      <c r="B281" s="2" t="s">
        <v>166</v>
      </c>
      <c r="C281" s="2" t="s">
        <v>1108</v>
      </c>
      <c r="D281" s="2" t="s">
        <v>316</v>
      </c>
      <c r="E281" s="2" t="s">
        <v>760</v>
      </c>
      <c r="F281" s="2" t="s">
        <v>420</v>
      </c>
      <c r="G281" s="2" t="s">
        <v>1109</v>
      </c>
    </row>
    <row r="282" spans="1:7" x14ac:dyDescent="0.25">
      <c r="A282" s="2" t="str">
        <f>source_columns[[#This Row],[Название таблицы STAGE]]&amp;source_columns[[#This Row],[Название поля]]</f>
        <v>b3080000460015_lcl_agreement_actual_dtobeneficiarylegalepkid_uid</v>
      </c>
      <c r="B282" s="2" t="s">
        <v>166</v>
      </c>
      <c r="C282" s="2" t="s">
        <v>1110</v>
      </c>
      <c r="D282" s="2" t="s">
        <v>316</v>
      </c>
      <c r="E282" s="2" t="s">
        <v>760</v>
      </c>
      <c r="F282" s="2" t="s">
        <v>420</v>
      </c>
      <c r="G282" s="2" t="s">
        <v>1111</v>
      </c>
    </row>
    <row r="283" spans="1:7" x14ac:dyDescent="0.25">
      <c r="A283" s="2" t="str">
        <f>source_columns[[#This Row],[Название таблицы STAGE]]&amp;source_columns[[#This Row],[Название поля]]</f>
        <v>b3080000460015_lcl_agreement_actual_dtobeneficiarylegalname_tax_uid</v>
      </c>
      <c r="B283" s="2" t="s">
        <v>166</v>
      </c>
      <c r="C283" s="2" t="s">
        <v>1112</v>
      </c>
      <c r="D283" s="2" t="s">
        <v>316</v>
      </c>
      <c r="E283" s="2" t="s">
        <v>760</v>
      </c>
      <c r="F283" s="2" t="s">
        <v>420</v>
      </c>
      <c r="G283" s="2" t="s">
        <v>1113</v>
      </c>
    </row>
    <row r="284" spans="1:7" x14ac:dyDescent="0.25">
      <c r="A284" s="2" t="str">
        <f>source_columns[[#This Row],[Название таблицы STAGE]]&amp;source_columns[[#This Row],[Название поля]]</f>
        <v>b3080000460015_lcl_agreement_actual_dtobeneficiaryindepkid_uid</v>
      </c>
      <c r="B284" s="2" t="s">
        <v>166</v>
      </c>
      <c r="C284" s="2" t="s">
        <v>1114</v>
      </c>
      <c r="D284" s="2" t="s">
        <v>316</v>
      </c>
      <c r="E284" s="2" t="s">
        <v>760</v>
      </c>
      <c r="F284" s="2" t="s">
        <v>420</v>
      </c>
      <c r="G284" s="2" t="s">
        <v>1115</v>
      </c>
    </row>
    <row r="285" spans="1:7" x14ac:dyDescent="0.25">
      <c r="A285" s="2" t="str">
        <f>source_columns[[#This Row],[Название таблицы STAGE]]&amp;source_columns[[#This Row],[Название поля]]</f>
        <v>b3080000460015_lcl_agreement_actual_dtobeneficiaryindname_tax_uid</v>
      </c>
      <c r="B285" s="2" t="s">
        <v>166</v>
      </c>
      <c r="C285" s="2" t="s">
        <v>571</v>
      </c>
      <c r="D285" s="2" t="s">
        <v>316</v>
      </c>
      <c r="E285" s="2" t="s">
        <v>760</v>
      </c>
      <c r="F285" s="2" t="s">
        <v>420</v>
      </c>
      <c r="G285" s="2" t="s">
        <v>1116</v>
      </c>
    </row>
    <row r="286" spans="1:7" x14ac:dyDescent="0.25">
      <c r="A286" s="2" t="str">
        <f>source_columns[[#This Row],[Название таблицы STAGE]]&amp;source_columns[[#This Row],[Название поля]]</f>
        <v>b3080000460015_lcl_agreement_actual_dtoapplicant_tbosb_uid</v>
      </c>
      <c r="B286" s="2" t="s">
        <v>166</v>
      </c>
      <c r="C286" s="2" t="s">
        <v>1117</v>
      </c>
      <c r="D286" s="2" t="s">
        <v>316</v>
      </c>
      <c r="E286" s="2" t="s">
        <v>760</v>
      </c>
      <c r="F286" s="2" t="s">
        <v>420</v>
      </c>
      <c r="G286" s="2" t="s">
        <v>1118</v>
      </c>
    </row>
    <row r="287" spans="1:7" x14ac:dyDescent="0.25">
      <c r="A287" s="2" t="str">
        <f>source_columns[[#This Row],[Название таблицы STAGE]]&amp;source_columns[[#This Row],[Название поля]]</f>
        <v>b3080000460015_lcl_agreement_actual_dtobeneficiary_tbosb_uid</v>
      </c>
      <c r="B287" s="2" t="s">
        <v>166</v>
      </c>
      <c r="C287" s="2" t="s">
        <v>1119</v>
      </c>
      <c r="D287" s="2" t="s">
        <v>316</v>
      </c>
      <c r="E287" s="2" t="s">
        <v>760</v>
      </c>
      <c r="F287" s="2" t="s">
        <v>420</v>
      </c>
      <c r="G287" s="2" t="s">
        <v>1120</v>
      </c>
    </row>
    <row r="288" spans="1:7" x14ac:dyDescent="0.25">
      <c r="A288" s="2" t="str">
        <f>source_columns[[#This Row],[Название таблицы STAGE]]&amp;source_columns[[#This Row],[Название поля]]</f>
        <v>b3080000460015_lcl_agreement_actual_dtoregionalunit_tbosb_uid</v>
      </c>
      <c r="B288" s="2" t="s">
        <v>166</v>
      </c>
      <c r="C288" s="2" t="s">
        <v>1121</v>
      </c>
      <c r="D288" s="2" t="s">
        <v>316</v>
      </c>
      <c r="E288" s="2" t="s">
        <v>760</v>
      </c>
      <c r="F288" s="2" t="s">
        <v>420</v>
      </c>
      <c r="G288" s="2" t="s">
        <v>1122</v>
      </c>
    </row>
    <row r="289" spans="1:9" x14ac:dyDescent="0.25">
      <c r="A289" s="2" t="str">
        <f>source_columns[[#This Row],[Название таблицы STAGE]]&amp;source_columns[[#This Row],[Название поля]]</f>
        <v>b3080000460015_lcl_agreement_actual_dtoissuingbankbic_uid</v>
      </c>
      <c r="B289" s="2" t="s">
        <v>166</v>
      </c>
      <c r="C289" s="2" t="s">
        <v>1123</v>
      </c>
      <c r="D289" s="2" t="s">
        <v>316</v>
      </c>
      <c r="E289" s="2" t="s">
        <v>760</v>
      </c>
      <c r="F289" s="2" t="s">
        <v>420</v>
      </c>
      <c r="G289" s="2" t="s">
        <v>1124</v>
      </c>
    </row>
    <row r="290" spans="1:9" x14ac:dyDescent="0.25">
      <c r="A290" s="2" t="str">
        <f>source_columns[[#This Row],[Название таблицы STAGE]]&amp;source_columns[[#This Row],[Название поля]]</f>
        <v>b3080000460015_lcl_agreement_actual_dtoissuingbankswift_uid</v>
      </c>
      <c r="B290" s="2" t="s">
        <v>166</v>
      </c>
      <c r="C290" s="2" t="s">
        <v>640</v>
      </c>
      <c r="D290" s="2" t="s">
        <v>316</v>
      </c>
      <c r="E290" s="2" t="s">
        <v>760</v>
      </c>
      <c r="F290" s="2" t="s">
        <v>420</v>
      </c>
      <c r="G290" s="2" t="s">
        <v>1125</v>
      </c>
    </row>
    <row r="291" spans="1:9" x14ac:dyDescent="0.25">
      <c r="A291" s="2" t="str">
        <f>source_columns[[#This Row],[Название таблицы STAGE]]&amp;source_columns[[#This Row],[Название поля]]</f>
        <v>b3080000460015_lcl_agreement_actual_dtoadvisingbankbic_uid</v>
      </c>
      <c r="B291" s="2" t="s">
        <v>166</v>
      </c>
      <c r="C291" s="2" t="s">
        <v>1126</v>
      </c>
      <c r="D291" s="2" t="s">
        <v>316</v>
      </c>
      <c r="E291" s="2" t="s">
        <v>760</v>
      </c>
      <c r="F291" s="2" t="s">
        <v>420</v>
      </c>
      <c r="G291" s="2" t="s">
        <v>1127</v>
      </c>
    </row>
    <row r="292" spans="1:9" x14ac:dyDescent="0.25">
      <c r="A292" s="2" t="str">
        <f>source_columns[[#This Row],[Название таблицы STAGE]]&amp;source_columns[[#This Row],[Название поля]]</f>
        <v>b3080000460015_lcl_agreement_actual_dtoadvisingbankswift_uid</v>
      </c>
      <c r="B292" s="2" t="s">
        <v>166</v>
      </c>
      <c r="C292" s="2" t="s">
        <v>1128</v>
      </c>
      <c r="D292" s="2" t="s">
        <v>316</v>
      </c>
      <c r="E292" s="2" t="s">
        <v>760</v>
      </c>
      <c r="F292" s="2" t="s">
        <v>420</v>
      </c>
      <c r="G292" s="2" t="s">
        <v>1129</v>
      </c>
    </row>
    <row r="293" spans="1:9" x14ac:dyDescent="0.25">
      <c r="A293" s="2" t="str">
        <f>source_columns[[#This Row],[Название таблицы STAGE]]&amp;source_columns[[#This Row],[Название поля]]</f>
        <v>b3080000460015_lcl_agreement_actual_dtonominatedbankbic_uid</v>
      </c>
      <c r="B293" s="2" t="s">
        <v>166</v>
      </c>
      <c r="C293" s="2" t="s">
        <v>1130</v>
      </c>
      <c r="D293" s="2" t="s">
        <v>316</v>
      </c>
      <c r="E293" s="2" t="s">
        <v>760</v>
      </c>
      <c r="F293" s="2" t="s">
        <v>420</v>
      </c>
      <c r="G293" s="2" t="s">
        <v>1131</v>
      </c>
    </row>
    <row r="294" spans="1:9" x14ac:dyDescent="0.25">
      <c r="A294" s="2" t="str">
        <f>source_columns[[#This Row],[Название таблицы STAGE]]&amp;source_columns[[#This Row],[Название поля]]</f>
        <v>b3080000460015_lcl_agreement_actual_dtonominatedbankswift_uid</v>
      </c>
      <c r="B294" s="2" t="s">
        <v>166</v>
      </c>
      <c r="C294" s="2" t="s">
        <v>1132</v>
      </c>
      <c r="D294" s="2" t="s">
        <v>316</v>
      </c>
      <c r="E294" s="2" t="s">
        <v>760</v>
      </c>
      <c r="F294" s="2" t="s">
        <v>420</v>
      </c>
      <c r="G294" s="2" t="s">
        <v>1133</v>
      </c>
    </row>
    <row r="295" spans="1:9" x14ac:dyDescent="0.25">
      <c r="A295" s="2" t="str">
        <f>source_columns[[#This Row],[Название таблицы STAGE]]&amp;source_columns[[#This Row],[Название поля]]</f>
        <v>b3080000460015_lcl_agreement_actual_dtoapplicantbankbic_uid</v>
      </c>
      <c r="B295" s="2" t="s">
        <v>166</v>
      </c>
      <c r="C295" s="2" t="s">
        <v>1134</v>
      </c>
      <c r="D295" s="2" t="s">
        <v>316</v>
      </c>
      <c r="E295" s="2" t="s">
        <v>760</v>
      </c>
      <c r="F295" s="2" t="s">
        <v>420</v>
      </c>
      <c r="G295" s="2" t="s">
        <v>1135</v>
      </c>
    </row>
    <row r="296" spans="1:9" x14ac:dyDescent="0.25">
      <c r="A296" s="2" t="str">
        <f>source_columns[[#This Row],[Название таблицы STAGE]]&amp;source_columns[[#This Row],[Название поля]]</f>
        <v>b3080000460015_lcl_agreement_actual_dtoapplicantbankswift_uid</v>
      </c>
      <c r="B296" s="2" t="s">
        <v>166</v>
      </c>
      <c r="C296" s="2" t="s">
        <v>1136</v>
      </c>
      <c r="D296" s="2" t="s">
        <v>316</v>
      </c>
      <c r="E296" s="2" t="s">
        <v>760</v>
      </c>
      <c r="F296" s="2" t="s">
        <v>420</v>
      </c>
      <c r="G296" s="2" t="s">
        <v>1137</v>
      </c>
    </row>
    <row r="297" spans="1:9" x14ac:dyDescent="0.25">
      <c r="A297" s="2" t="str">
        <f>source_columns[[#This Row],[Название таблицы STAGE]]&amp;source_columns[[#This Row],[Название поля]]</f>
        <v>b3080000460015_lcl_agreement_actual_dtobeneficiarybankbic_uid</v>
      </c>
      <c r="B297" s="2" t="s">
        <v>166</v>
      </c>
      <c r="C297" s="2" t="s">
        <v>1138</v>
      </c>
      <c r="D297" s="2" t="s">
        <v>316</v>
      </c>
      <c r="E297" s="2" t="s">
        <v>760</v>
      </c>
      <c r="F297" s="2" t="s">
        <v>420</v>
      </c>
      <c r="G297" s="2" t="s">
        <v>1139</v>
      </c>
    </row>
    <row r="298" spans="1:9" x14ac:dyDescent="0.25">
      <c r="A298" s="2" t="str">
        <f>source_columns[[#This Row],[Название таблицы STAGE]]&amp;source_columns[[#This Row],[Название поля]]</f>
        <v>b3080000460015_lcl_agreement_actual_dtobeneficiarybankswift_uid</v>
      </c>
      <c r="B298" s="2" t="s">
        <v>166</v>
      </c>
      <c r="C298" s="2" t="s">
        <v>646</v>
      </c>
      <c r="D298" s="2" t="s">
        <v>316</v>
      </c>
      <c r="E298" s="2" t="s">
        <v>760</v>
      </c>
      <c r="F298" s="2" t="s">
        <v>420</v>
      </c>
      <c r="G298" s="2" t="s">
        <v>1140</v>
      </c>
    </row>
    <row r="299" spans="1:9" x14ac:dyDescent="0.25">
      <c r="A299" s="2" t="str">
        <f>source_columns[[#This Row],[Название таблицы STAGE]]&amp;source_columns[[#This Row],[Название поля]]</f>
        <v>b3080000460015_lcl_agreement_actual_dtogeneralagreementfactoryid_uid</v>
      </c>
      <c r="B299" s="2" t="s">
        <v>166</v>
      </c>
      <c r="C299" s="2" t="s">
        <v>510</v>
      </c>
      <c r="D299" s="2" t="s">
        <v>316</v>
      </c>
      <c r="E299" s="2" t="s">
        <v>760</v>
      </c>
      <c r="F299" s="2" t="s">
        <v>420</v>
      </c>
      <c r="G299" s="2" t="s">
        <v>1141</v>
      </c>
      <c r="H299" s="219"/>
      <c r="I299" s="219"/>
    </row>
    <row r="300" spans="1:9" x14ac:dyDescent="0.25">
      <c r="A300" s="2" t="str">
        <f>source_columns[[#This Row],[Название таблицы STAGE]]&amp;source_columns[[#This Row],[Название поля]]</f>
        <v>b3080000460016_inkasso_export_agreement_actual_dtoadditionalconditions_versionedattr</v>
      </c>
      <c r="B300" s="220" t="s">
        <v>149</v>
      </c>
      <c r="C300" s="221" t="s">
        <v>1142</v>
      </c>
      <c r="D300" s="221" t="s">
        <v>320</v>
      </c>
      <c r="E300" s="221" t="s">
        <v>760</v>
      </c>
      <c r="F300" s="222" t="s">
        <v>420</v>
      </c>
      <c r="G300" s="1" t="s">
        <v>1143</v>
      </c>
    </row>
    <row r="301" spans="1:9" x14ac:dyDescent="0.25">
      <c r="A301" s="2" t="str">
        <f>source_columns[[#This Row],[Название таблицы STAGE]]&amp;source_columns[[#This Row],[Название поля]]</f>
        <v>b3080000460016_inkasso_export_agreement_actual_dtoadvisingsidereference_attr</v>
      </c>
      <c r="B301" s="223" t="s">
        <v>149</v>
      </c>
      <c r="C301" s="2" t="s">
        <v>592</v>
      </c>
      <c r="D301" s="2" t="s">
        <v>320</v>
      </c>
      <c r="E301" s="2" t="s">
        <v>760</v>
      </c>
      <c r="F301" s="1" t="s">
        <v>420</v>
      </c>
      <c r="G301" s="1" t="s">
        <v>1144</v>
      </c>
    </row>
    <row r="302" spans="1:9" x14ac:dyDescent="0.25">
      <c r="A302" s="2" t="str">
        <f>source_columns[[#This Row],[Название таблицы STAGE]]&amp;source_columns[[#This Row],[Название поля]]</f>
        <v>b3080000460016_inkasso_export_agreement_actual_dtoagreementid</v>
      </c>
      <c r="B302" s="223" t="s">
        <v>149</v>
      </c>
      <c r="C302" s="2" t="s">
        <v>911</v>
      </c>
      <c r="D302" s="2" t="s">
        <v>320</v>
      </c>
      <c r="E302" s="2" t="s">
        <v>760</v>
      </c>
      <c r="F302" s="1" t="s">
        <v>420</v>
      </c>
      <c r="G302" s="1" t="s">
        <v>1145</v>
      </c>
    </row>
    <row r="303" spans="1:9" x14ac:dyDescent="0.25">
      <c r="A303" s="2" t="str">
        <f>source_columns[[#This Row],[Название таблицы STAGE]]&amp;source_columns[[#This Row],[Название поля]]</f>
        <v>b3080000460016_inkasso_export_agreement_actual_dtoagreementstatus</v>
      </c>
      <c r="B303" s="223" t="s">
        <v>149</v>
      </c>
      <c r="C303" s="2" t="s">
        <v>1146</v>
      </c>
      <c r="D303" s="2" t="s">
        <v>320</v>
      </c>
      <c r="E303" s="2" t="s">
        <v>760</v>
      </c>
      <c r="F303" s="1" t="s">
        <v>420</v>
      </c>
      <c r="G303" s="1" t="s">
        <v>1147</v>
      </c>
    </row>
    <row r="304" spans="1:9" x14ac:dyDescent="0.25">
      <c r="A304" s="2" t="str">
        <f>source_columns[[#This Row],[Название таблицы STAGE]]&amp;source_columns[[#This Row],[Название поля]]</f>
        <v>b3080000460016_inkasso_export_agreement_actual_dtoamountvalue_versionedattr</v>
      </c>
      <c r="B304" s="223" t="s">
        <v>149</v>
      </c>
      <c r="C304" s="2" t="s">
        <v>596</v>
      </c>
      <c r="D304" s="2" t="s">
        <v>1093</v>
      </c>
      <c r="E304" s="2" t="s">
        <v>760</v>
      </c>
      <c r="F304" s="1" t="s">
        <v>420</v>
      </c>
      <c r="G304" s="1" t="s">
        <v>1148</v>
      </c>
    </row>
    <row r="305" spans="1:7" x14ac:dyDescent="0.25">
      <c r="A305" s="2" t="str">
        <f>source_columns[[#This Row],[Название таблицы STAGE]]&amp;source_columns[[#This Row],[Название поля]]</f>
        <v>b3080000460016_inkasso_export_agreement_actual_dtoapplicantepkid_versionedattr</v>
      </c>
      <c r="B305" s="223" t="s">
        <v>149</v>
      </c>
      <c r="C305" s="2" t="s">
        <v>1149</v>
      </c>
      <c r="D305" s="2" t="s">
        <v>320</v>
      </c>
      <c r="E305" s="2" t="s">
        <v>760</v>
      </c>
      <c r="F305" s="1" t="s">
        <v>420</v>
      </c>
      <c r="G305" s="1" t="s">
        <v>1150</v>
      </c>
    </row>
    <row r="306" spans="1:7" x14ac:dyDescent="0.25">
      <c r="A306" s="2" t="str">
        <f>source_columns[[#This Row],[Название таблицы STAGE]]&amp;source_columns[[#This Row],[Название поля]]</f>
        <v>b3080000460016_inkasso_export_agreement_actual_dtoapplicantepkid_versionedattr_uid</v>
      </c>
      <c r="B306" s="223" t="s">
        <v>149</v>
      </c>
      <c r="C306" s="2" t="s">
        <v>1151</v>
      </c>
      <c r="D306" s="2" t="s">
        <v>316</v>
      </c>
      <c r="E306" s="2" t="s">
        <v>760</v>
      </c>
      <c r="F306" s="1" t="s">
        <v>420</v>
      </c>
      <c r="G306" s="1" t="s">
        <v>1150</v>
      </c>
    </row>
    <row r="307" spans="1:7" x14ac:dyDescent="0.25">
      <c r="A307" s="2" t="str">
        <f>source_columns[[#This Row],[Название таблицы STAGE]]&amp;source_columns[[#This Row],[Название поля]]</f>
        <v>b3080000460016_inkasso_export_agreement_actual_dtoapplicantname_versionedattr</v>
      </c>
      <c r="B307" s="223" t="s">
        <v>149</v>
      </c>
      <c r="C307" s="2" t="s">
        <v>1152</v>
      </c>
      <c r="D307" s="2" t="s">
        <v>320</v>
      </c>
      <c r="E307" s="2" t="s">
        <v>760</v>
      </c>
      <c r="F307" s="1" t="s">
        <v>420</v>
      </c>
      <c r="G307" s="1" t="s">
        <v>1153</v>
      </c>
    </row>
    <row r="308" spans="1:7" x14ac:dyDescent="0.25">
      <c r="A308" s="2" t="str">
        <f>source_columns[[#This Row],[Название таблицы STAGE]]&amp;source_columns[[#This Row],[Название поля]]</f>
        <v>b3080000460016_inkasso_export_agreement_actual_dtoapplicanttaxid_versionedattr</v>
      </c>
      <c r="B308" s="223" t="s">
        <v>149</v>
      </c>
      <c r="C308" s="2" t="s">
        <v>1154</v>
      </c>
      <c r="D308" s="2" t="s">
        <v>320</v>
      </c>
      <c r="E308" s="2" t="s">
        <v>760</v>
      </c>
      <c r="F308" s="1" t="s">
        <v>420</v>
      </c>
      <c r="G308" s="1" t="s">
        <v>1155</v>
      </c>
    </row>
    <row r="309" spans="1:7" ht="14.25" customHeight="1" x14ac:dyDescent="0.3">
      <c r="A309" s="2" t="str">
        <f>source_columns[[#This Row],[Название таблицы STAGE]]&amp;source_columns[[#This Row],[Название поля]]</f>
        <v>b3080000460016_inkasso_export_agreement_actual_dtoapplicantname_taxid_versionedattr_uid</v>
      </c>
      <c r="B309" s="223" t="s">
        <v>149</v>
      </c>
      <c r="C309" s="2" t="s">
        <v>1156</v>
      </c>
      <c r="D309" s="2" t="s">
        <v>316</v>
      </c>
      <c r="E309" s="2" t="s">
        <v>760</v>
      </c>
      <c r="F309" s="1" t="s">
        <v>420</v>
      </c>
      <c r="G309" s="200" t="s">
        <v>1157</v>
      </c>
    </row>
    <row r="310" spans="1:7" x14ac:dyDescent="0.25">
      <c r="A310" s="2" t="str">
        <f>source_columns[[#This Row],[Название таблицы STAGE]]&amp;source_columns[[#This Row],[Название поля]]</f>
        <v>b3080000460016_inkasso_export_agreement_actual_dtoavailabilitytype_versionedattr</v>
      </c>
      <c r="B310" s="223" t="s">
        <v>149</v>
      </c>
      <c r="C310" s="2" t="s">
        <v>1158</v>
      </c>
      <c r="D310" s="2" t="s">
        <v>320</v>
      </c>
      <c r="E310" s="2" t="s">
        <v>760</v>
      </c>
      <c r="F310" s="1" t="s">
        <v>420</v>
      </c>
      <c r="G310" s="1" t="s">
        <v>1159</v>
      </c>
    </row>
    <row r="311" spans="1:7" x14ac:dyDescent="0.25">
      <c r="A311" s="2" t="str">
        <f>source_columns[[#This Row],[Название таблицы STAGE]]&amp;source_columns[[#This Row],[Название поля]]</f>
        <v>b3080000460016_inkasso_export_agreement_actual_dtocase when SUBSTR( bankregionalunitcode_versionedattr,1,1) = '0' and SUBSTR( bankregionalunitcode_versionedattr,2,1) &lt;&gt; '0' 
   then SUBSTR( bankregionalunitcode_versionedattr, 2) else bankregionalunitcode_versionedattr end</v>
      </c>
      <c r="B311" s="223" t="s">
        <v>149</v>
      </c>
      <c r="C311" s="2" t="s">
        <v>1160</v>
      </c>
      <c r="D311" s="2" t="s">
        <v>320</v>
      </c>
      <c r="E311" s="2" t="s">
        <v>760</v>
      </c>
      <c r="F311" s="1" t="s">
        <v>420</v>
      </c>
      <c r="G311" s="1" t="s">
        <v>1161</v>
      </c>
    </row>
    <row r="312" spans="1:7" x14ac:dyDescent="0.25">
      <c r="A312" s="2" t="str">
        <f>source_columns[[#This Row],[Название таблицы STAGE]]&amp;source_columns[[#This Row],[Название поля]]</f>
        <v>b3080000460016_inkasso_export_agreement_actual_dtobankregionalunitcode_versionedattr_uid</v>
      </c>
      <c r="B312" s="223" t="s">
        <v>149</v>
      </c>
      <c r="C312" s="2" t="s">
        <v>613</v>
      </c>
      <c r="D312" s="2" t="s">
        <v>316</v>
      </c>
      <c r="E312" s="2" t="s">
        <v>760</v>
      </c>
      <c r="F312" s="1" t="s">
        <v>420</v>
      </c>
      <c r="G312" s="1" t="s">
        <v>1161</v>
      </c>
    </row>
    <row r="313" spans="1:7" x14ac:dyDescent="0.25">
      <c r="A313" s="2" t="str">
        <f>source_columns[[#This Row],[Название таблицы STAGE]]&amp;source_columns[[#This Row],[Название поля]]</f>
        <v>b3080000460016_inkasso_export_agreement_actual_dtobankregionalunitname_versionedattr</v>
      </c>
      <c r="B313" s="223" t="s">
        <v>149</v>
      </c>
      <c r="C313" s="2" t="s">
        <v>1162</v>
      </c>
      <c r="D313" s="2" t="s">
        <v>320</v>
      </c>
      <c r="E313" s="2" t="s">
        <v>760</v>
      </c>
      <c r="F313" s="1" t="s">
        <v>420</v>
      </c>
      <c r="G313" s="1" t="s">
        <v>1163</v>
      </c>
    </row>
    <row r="314" spans="1:7" x14ac:dyDescent="0.25">
      <c r="A314" s="2" t="str">
        <f>source_columns[[#This Row],[Название таблицы STAGE]]&amp;source_columns[[#This Row],[Название поля]]</f>
        <v>b3080000460016_inkasso_export_agreement_actual_dtobeneficiarybankunitcode_versionedattr</v>
      </c>
      <c r="B314" s="223" t="s">
        <v>149</v>
      </c>
      <c r="C314" s="2" t="s">
        <v>1164</v>
      </c>
      <c r="D314" s="2" t="s">
        <v>320</v>
      </c>
      <c r="E314" s="2" t="s">
        <v>760</v>
      </c>
      <c r="F314" s="1" t="s">
        <v>420</v>
      </c>
      <c r="G314" s="1" t="s">
        <v>1165</v>
      </c>
    </row>
    <row r="315" spans="1:7" x14ac:dyDescent="0.25">
      <c r="A315" s="2" t="str">
        <f>source_columns[[#This Row],[Название таблицы STAGE]]&amp;source_columns[[#This Row],[Название поля]]</f>
        <v>b3080000460016_inkasso_export_agreement_actual_dtobeneficiarybankunitcode_versionedattr_uid</v>
      </c>
      <c r="B315" s="223" t="s">
        <v>149</v>
      </c>
      <c r="C315" s="2" t="s">
        <v>617</v>
      </c>
      <c r="D315" s="2" t="s">
        <v>316</v>
      </c>
      <c r="E315" s="2" t="s">
        <v>760</v>
      </c>
      <c r="F315" s="1" t="s">
        <v>420</v>
      </c>
      <c r="G315" s="1" t="s">
        <v>1165</v>
      </c>
    </row>
    <row r="316" spans="1:7" x14ac:dyDescent="0.25">
      <c r="A316" s="2" t="str">
        <f>source_columns[[#This Row],[Название таблицы STAGE]]&amp;source_columns[[#This Row],[Название поля]]</f>
        <v>b3080000460016_inkasso_export_agreement_actual_dtobeneficiarybankunitname_versionedattr</v>
      </c>
      <c r="B316" s="223" t="s">
        <v>149</v>
      </c>
      <c r="C316" s="2" t="s">
        <v>1166</v>
      </c>
      <c r="D316" s="2" t="s">
        <v>320</v>
      </c>
      <c r="E316" s="2" t="s">
        <v>760</v>
      </c>
      <c r="F316" s="1" t="s">
        <v>420</v>
      </c>
      <c r="G316" s="1" t="s">
        <v>1167</v>
      </c>
    </row>
    <row r="317" spans="1:7" x14ac:dyDescent="0.25">
      <c r="A317" s="2" t="str">
        <f>source_columns[[#This Row],[Название таблицы STAGE]]&amp;source_columns[[#This Row],[Название поля]]</f>
        <v>b3080000460016_inkasso_export_agreement_actual_dtobeneficiaryepkid_versionedattr</v>
      </c>
      <c r="B317" s="223" t="s">
        <v>149</v>
      </c>
      <c r="C317" s="2" t="s">
        <v>1168</v>
      </c>
      <c r="D317" s="2" t="s">
        <v>320</v>
      </c>
      <c r="E317" s="2" t="s">
        <v>760</v>
      </c>
      <c r="F317" s="1" t="s">
        <v>420</v>
      </c>
      <c r="G317" s="1" t="s">
        <v>1169</v>
      </c>
    </row>
    <row r="318" spans="1:7" x14ac:dyDescent="0.25">
      <c r="A318" s="2" t="str">
        <f>source_columns[[#This Row],[Название таблицы STAGE]]&amp;source_columns[[#This Row],[Название поля]]</f>
        <v>b3080000460016_inkasso_export_agreement_actual_dtobeneficiaryepkid_versionedattr_uid</v>
      </c>
      <c r="B318" s="223" t="s">
        <v>149</v>
      </c>
      <c r="C318" s="2" t="s">
        <v>1170</v>
      </c>
      <c r="D318" s="2" t="s">
        <v>316</v>
      </c>
      <c r="E318" s="2" t="s">
        <v>760</v>
      </c>
      <c r="F318" s="1" t="s">
        <v>420</v>
      </c>
      <c r="G318" s="1" t="s">
        <v>1169</v>
      </c>
    </row>
    <row r="319" spans="1:7" x14ac:dyDescent="0.25">
      <c r="A319" s="2" t="str">
        <f>source_columns[[#This Row],[Название таблицы STAGE]]&amp;source_columns[[#This Row],[Название поля]]</f>
        <v>b3080000460016_inkasso_export_agreement_actual_dtobeneficiaryfeeaccount_versionedattr</v>
      </c>
      <c r="B319" s="223" t="s">
        <v>149</v>
      </c>
      <c r="C319" s="2" t="s">
        <v>1171</v>
      </c>
      <c r="D319" s="2" t="s">
        <v>320</v>
      </c>
      <c r="E319" s="2" t="s">
        <v>760</v>
      </c>
      <c r="F319" s="1" t="s">
        <v>420</v>
      </c>
      <c r="G319" s="1" t="s">
        <v>1172</v>
      </c>
    </row>
    <row r="320" spans="1:7" x14ac:dyDescent="0.25">
      <c r="A320" s="2" t="str">
        <f>source_columns[[#This Row],[Название таблицы STAGE]]&amp;source_columns[[#This Row],[Название поля]]</f>
        <v>b3080000460016_inkasso_export_agreement_actual_dtobeneficiaryfeeaccount_versionedattr_uid</v>
      </c>
      <c r="B320" s="223" t="s">
        <v>149</v>
      </c>
      <c r="C320" s="2" t="s">
        <v>622</v>
      </c>
      <c r="D320" s="2" t="s">
        <v>316</v>
      </c>
      <c r="E320" s="2" t="s">
        <v>760</v>
      </c>
      <c r="F320" s="1" t="s">
        <v>420</v>
      </c>
      <c r="G320" s="1" t="s">
        <v>1172</v>
      </c>
    </row>
    <row r="321" spans="1:7" x14ac:dyDescent="0.25">
      <c r="A321" s="2" t="str">
        <f>source_columns[[#This Row],[Название таблицы STAGE]]&amp;source_columns[[#This Row],[Название поля]]</f>
        <v>b3080000460016_inkasso_export_agreement_actual_dtobeneficiaryname_versionedattr</v>
      </c>
      <c r="B321" s="223" t="s">
        <v>149</v>
      </c>
      <c r="C321" s="2" t="s">
        <v>1173</v>
      </c>
      <c r="D321" s="2" t="s">
        <v>320</v>
      </c>
      <c r="E321" s="2" t="s">
        <v>760</v>
      </c>
      <c r="F321" s="1" t="s">
        <v>420</v>
      </c>
      <c r="G321" s="1" t="s">
        <v>1174</v>
      </c>
    </row>
    <row r="322" spans="1:7" x14ac:dyDescent="0.25">
      <c r="A322" s="2" t="str">
        <f>source_columns[[#This Row],[Название таблицы STAGE]]&amp;source_columns[[#This Row],[Название поля]]</f>
        <v>b3080000460016_inkasso_export_agreement_actual_dtobeneficiarytaxid_versionedattr</v>
      </c>
      <c r="B322" s="223" t="s">
        <v>149</v>
      </c>
      <c r="C322" s="2" t="s">
        <v>1175</v>
      </c>
      <c r="D322" s="2" t="s">
        <v>320</v>
      </c>
      <c r="E322" s="2" t="s">
        <v>760</v>
      </c>
      <c r="F322" s="1" t="s">
        <v>420</v>
      </c>
      <c r="G322" s="1" t="s">
        <v>1176</v>
      </c>
    </row>
    <row r="323" spans="1:7" ht="13.5" customHeight="1" x14ac:dyDescent="0.3">
      <c r="A323" s="2" t="str">
        <f>source_columns[[#This Row],[Название таблицы STAGE]]&amp;source_columns[[#This Row],[Название поля]]</f>
        <v>b3080000460016_inkasso_export_agreement_actual_dtobeneficiaryname_taxid_versionedattr_uid</v>
      </c>
      <c r="B323" s="223" t="s">
        <v>149</v>
      </c>
      <c r="C323" s="2" t="s">
        <v>1177</v>
      </c>
      <c r="D323" s="2" t="s">
        <v>316</v>
      </c>
      <c r="E323" s="2" t="s">
        <v>760</v>
      </c>
      <c r="F323" s="1" t="s">
        <v>420</v>
      </c>
      <c r="G323" s="200" t="s">
        <v>1178</v>
      </c>
    </row>
    <row r="324" spans="1:7" x14ac:dyDescent="0.25">
      <c r="A324" s="2" t="str">
        <f>source_columns[[#This Row],[Название таблицы STAGE]]&amp;source_columns[[#This Row],[Название поля]]</f>
        <v>b3080000460016_inkasso_export_agreement_actual_dtochangeid_versionedattr</v>
      </c>
      <c r="B324" s="223" t="s">
        <v>149</v>
      </c>
      <c r="C324" s="2" t="s">
        <v>1179</v>
      </c>
      <c r="D324" s="2" t="s">
        <v>808</v>
      </c>
      <c r="E324" s="2" t="s">
        <v>760</v>
      </c>
      <c r="F324" s="1" t="s">
        <v>420</v>
      </c>
      <c r="G324" s="1" t="s">
        <v>1180</v>
      </c>
    </row>
    <row r="325" spans="1:7" x14ac:dyDescent="0.25">
      <c r="A325" s="2" t="str">
        <f>source_columns[[#This Row],[Название таблицы STAGE]]&amp;source_columns[[#This Row],[Название поля]]</f>
        <v>b3080000460016_inkasso_export_agreement_actual_dtoclosedate</v>
      </c>
      <c r="B325" s="223" t="s">
        <v>149</v>
      </c>
      <c r="C325" s="2" t="s">
        <v>387</v>
      </c>
      <c r="D325" s="2" t="s">
        <v>302</v>
      </c>
      <c r="E325" s="2" t="s">
        <v>760</v>
      </c>
      <c r="F325" s="1" t="s">
        <v>420</v>
      </c>
      <c r="G325" s="1" t="s">
        <v>1016</v>
      </c>
    </row>
    <row r="326" spans="1:7" x14ac:dyDescent="0.25">
      <c r="A326" s="2" t="str">
        <f>source_columns[[#This Row],[Название таблицы STAGE]]&amp;source_columns[[#This Row],[Название поля]]</f>
        <v>b3080000460016_inkasso_export_agreement_actual_dtoconclusiondate_attr</v>
      </c>
      <c r="B326" s="223" t="s">
        <v>149</v>
      </c>
      <c r="C326" s="2" t="s">
        <v>590</v>
      </c>
      <c r="D326" s="2" t="s">
        <v>302</v>
      </c>
      <c r="E326" s="2" t="s">
        <v>760</v>
      </c>
      <c r="F326" s="1" t="s">
        <v>420</v>
      </c>
      <c r="G326" s="1" t="s">
        <v>1181</v>
      </c>
    </row>
    <row r="327" spans="1:7" x14ac:dyDescent="0.25">
      <c r="A327" s="2" t="str">
        <f>source_columns[[#This Row],[Название таблицы STAGE]]&amp;source_columns[[#This Row],[Название поля]]</f>
        <v>b3080000460016_inkasso_export_agreement_actual_dtocurrencycode_versionedattr</v>
      </c>
      <c r="B327" s="223" t="s">
        <v>149</v>
      </c>
      <c r="C327" s="2" t="s">
        <v>1182</v>
      </c>
      <c r="D327" s="2" t="s">
        <v>320</v>
      </c>
      <c r="E327" s="2" t="s">
        <v>760</v>
      </c>
      <c r="F327" s="1" t="s">
        <v>420</v>
      </c>
      <c r="G327" s="1" t="s">
        <v>1090</v>
      </c>
    </row>
    <row r="328" spans="1:7" x14ac:dyDescent="0.25">
      <c r="A328" s="2" t="str">
        <f>source_columns[[#This Row],[Название таблицы STAGE]]&amp;source_columns[[#This Row],[Название поля]]</f>
        <v>b3080000460016_inkasso_export_agreement_actual_dtocurrencycode_versionedattr_uid</v>
      </c>
      <c r="B328" s="223" t="s">
        <v>149</v>
      </c>
      <c r="C328" s="2" t="s">
        <v>597</v>
      </c>
      <c r="D328" s="2" t="s">
        <v>316</v>
      </c>
      <c r="E328" s="2" t="s">
        <v>760</v>
      </c>
      <c r="F328" s="1" t="s">
        <v>420</v>
      </c>
      <c r="G328" s="1" t="s">
        <v>1090</v>
      </c>
    </row>
    <row r="329" spans="1:7" x14ac:dyDescent="0.25">
      <c r="A329" s="2" t="str">
        <f>source_columns[[#This Row],[Название таблицы STAGE]]&amp;source_columns[[#This Row],[Название поля]]</f>
        <v>b3080000460016_inkasso_export_agreement_actual_dtodeleted</v>
      </c>
      <c r="B329" s="223" t="s">
        <v>149</v>
      </c>
      <c r="C329" s="2" t="s">
        <v>812</v>
      </c>
      <c r="D329" s="2" t="s">
        <v>827</v>
      </c>
      <c r="E329" s="2" t="s">
        <v>760</v>
      </c>
      <c r="F329" s="1" t="s">
        <v>420</v>
      </c>
      <c r="G329" s="1" t="s">
        <v>813</v>
      </c>
    </row>
    <row r="330" spans="1:7" x14ac:dyDescent="0.25">
      <c r="A330" s="2" t="str">
        <f>source_columns[[#This Row],[Название таблицы STAGE]]&amp;source_columns[[#This Row],[Название поля]]</f>
        <v>b3080000460016_inkasso_export_agreement_actual_dtoevent_id</v>
      </c>
      <c r="B330" s="223" t="s">
        <v>149</v>
      </c>
      <c r="C330" s="2" t="s">
        <v>1183</v>
      </c>
      <c r="D330" s="2" t="s">
        <v>320</v>
      </c>
      <c r="E330" s="2" t="s">
        <v>760</v>
      </c>
      <c r="F330" s="1" t="s">
        <v>420</v>
      </c>
      <c r="G330" s="1" t="s">
        <v>1184</v>
      </c>
    </row>
    <row r="331" spans="1:7" x14ac:dyDescent="0.25">
      <c r="A331" s="2" t="str">
        <f>source_columns[[#This Row],[Название таблицы STAGE]]&amp;source_columns[[#This Row],[Название поля]]</f>
        <v>b3080000460016_inkasso_export_agreement_actual_dtoheaders</v>
      </c>
      <c r="B331" s="223" t="s">
        <v>149</v>
      </c>
      <c r="C331" s="2" t="s">
        <v>1185</v>
      </c>
      <c r="D331" s="2" t="s">
        <v>320</v>
      </c>
      <c r="E331" s="2" t="s">
        <v>760</v>
      </c>
      <c r="F331" s="1" t="s">
        <v>420</v>
      </c>
      <c r="G331" s="1" t="s">
        <v>1186</v>
      </c>
    </row>
    <row r="332" spans="1:7" x14ac:dyDescent="0.25">
      <c r="A332" s="2" t="str">
        <f>source_columns[[#This Row],[Название таблицы STAGE]]&amp;source_columns[[#This Row],[Название поля]]</f>
        <v>b3080000460016_inkasso_export_agreement_actual_dtoincassotype</v>
      </c>
      <c r="B332" s="223" t="s">
        <v>149</v>
      </c>
      <c r="C332" s="2" t="s">
        <v>1187</v>
      </c>
      <c r="D332" s="2" t="s">
        <v>320</v>
      </c>
      <c r="E332" s="2" t="s">
        <v>760</v>
      </c>
      <c r="F332" s="1" t="s">
        <v>420</v>
      </c>
      <c r="G332" s="1" t="s">
        <v>1188</v>
      </c>
    </row>
    <row r="333" spans="1:7" x14ac:dyDescent="0.25">
      <c r="A333" s="2" t="str">
        <f>source_columns[[#This Row],[Название таблицы STAGE]]&amp;source_columns[[#This Row],[Название поля]]</f>
        <v>b3080000460016_inkasso_export_agreement_actual_dtomodifiedtime</v>
      </c>
      <c r="B333" s="223" t="s">
        <v>149</v>
      </c>
      <c r="C333" s="2" t="s">
        <v>1189</v>
      </c>
      <c r="D333" s="2" t="s">
        <v>302</v>
      </c>
      <c r="E333" s="2" t="s">
        <v>760</v>
      </c>
      <c r="F333" s="1" t="s">
        <v>420</v>
      </c>
      <c r="G333" s="1" t="s">
        <v>1190</v>
      </c>
    </row>
    <row r="334" spans="1:7" x14ac:dyDescent="0.25">
      <c r="A334" s="2" t="str">
        <f>source_columns[[#This Row],[Название таблицы STAGE]]&amp;source_columns[[#This Row],[Название поля]]</f>
        <v>b3080000460016_inkasso_export_agreement_actual_dtoplanpaymentdate_versionedattr</v>
      </c>
      <c r="B334" s="223" t="s">
        <v>149</v>
      </c>
      <c r="C334" s="2" t="s">
        <v>598</v>
      </c>
      <c r="D334" s="2" t="s">
        <v>302</v>
      </c>
      <c r="E334" s="2" t="s">
        <v>760</v>
      </c>
      <c r="F334" s="1" t="s">
        <v>420</v>
      </c>
      <c r="G334" s="1" t="s">
        <v>1191</v>
      </c>
    </row>
    <row r="335" spans="1:7" x14ac:dyDescent="0.25">
      <c r="A335" s="2" t="str">
        <f>source_columns[[#This Row],[Название таблицы STAGE]]&amp;source_columns[[#This Row],[Название поля]]</f>
        <v>b3080000460016_inkasso_export_agreement_actual_dtopresentingbankname_versionedattr</v>
      </c>
      <c r="B335" s="223" t="s">
        <v>149</v>
      </c>
      <c r="C335" s="2" t="s">
        <v>1192</v>
      </c>
      <c r="D335" s="2" t="s">
        <v>320</v>
      </c>
      <c r="E335" s="2" t="s">
        <v>760</v>
      </c>
      <c r="F335" s="1" t="s">
        <v>420</v>
      </c>
      <c r="G335" s="1" t="s">
        <v>1193</v>
      </c>
    </row>
    <row r="336" spans="1:7" x14ac:dyDescent="0.25">
      <c r="A336" s="2" t="str">
        <f>source_columns[[#This Row],[Название таблицы STAGE]]&amp;source_columns[[#This Row],[Название поля]]</f>
        <v>b3080000460016_inkasso_export_agreement_actual_dtopresentingbankswift_versionedattr</v>
      </c>
      <c r="B336" s="223" t="s">
        <v>149</v>
      </c>
      <c r="C336" s="2" t="s">
        <v>1194</v>
      </c>
      <c r="D336" s="2" t="s">
        <v>320</v>
      </c>
      <c r="E336" s="2" t="s">
        <v>760</v>
      </c>
      <c r="F336" s="1" t="s">
        <v>420</v>
      </c>
      <c r="G336" s="1" t="s">
        <v>1195</v>
      </c>
    </row>
    <row r="337" spans="1:9" x14ac:dyDescent="0.25">
      <c r="A337" s="2" t="str">
        <f>source_columns[[#This Row],[Название таблицы STAGE]]&amp;source_columns[[#This Row],[Название поля]]</f>
        <v>b3080000460016_inkasso_export_agreement_actual_dtopresentingbankswift_versionedattr_uid</v>
      </c>
      <c r="B337" s="223" t="s">
        <v>149</v>
      </c>
      <c r="C337" s="2" t="s">
        <v>602</v>
      </c>
      <c r="D337" s="2" t="s">
        <v>316</v>
      </c>
      <c r="E337" s="2" t="s">
        <v>760</v>
      </c>
      <c r="F337" s="1" t="s">
        <v>420</v>
      </c>
      <c r="G337" s="1" t="s">
        <v>1195</v>
      </c>
    </row>
    <row r="338" spans="1:9" x14ac:dyDescent="0.25">
      <c r="A338" s="2" t="str">
        <f>source_columns[[#This Row],[Название таблицы STAGE]]&amp;source_columns[[#This Row],[Название поля]]</f>
        <v>b3080000460016_inkasso_export_agreement_actual_dtoproductcode</v>
      </c>
      <c r="B338" s="223" t="s">
        <v>149</v>
      </c>
      <c r="C338" s="2" t="s">
        <v>1196</v>
      </c>
      <c r="D338" s="2" t="s">
        <v>320</v>
      </c>
      <c r="E338" s="2" t="s">
        <v>760</v>
      </c>
      <c r="F338" s="1" t="s">
        <v>420</v>
      </c>
      <c r="G338" s="1" t="s">
        <v>1197</v>
      </c>
    </row>
    <row r="339" spans="1:9" x14ac:dyDescent="0.25">
      <c r="A339" s="2" t="str">
        <f>source_columns[[#This Row],[Название таблицы STAGE]]&amp;source_columns[[#This Row],[Название поля]]</f>
        <v>b3080000460016_inkasso_export_agreement_actual_dtoreference</v>
      </c>
      <c r="B339" s="223" t="s">
        <v>149</v>
      </c>
      <c r="C339" s="2" t="s">
        <v>388</v>
      </c>
      <c r="D339" s="2" t="s">
        <v>320</v>
      </c>
      <c r="E339" s="2" t="s">
        <v>758</v>
      </c>
      <c r="F339" s="1" t="s">
        <v>759</v>
      </c>
      <c r="G339" s="1" t="s">
        <v>1198</v>
      </c>
    </row>
    <row r="340" spans="1:9" x14ac:dyDescent="0.25">
      <c r="A340" s="2" t="str">
        <f>source_columns[[#This Row],[Название таблицы STAGE]]&amp;source_columns[[#This Row],[Название поля]]</f>
        <v>b3080000460016_inkasso_export_agreement_actual_dtoreference_uid</v>
      </c>
      <c r="B340" s="223" t="s">
        <v>149</v>
      </c>
      <c r="C340" s="2" t="s">
        <v>496</v>
      </c>
      <c r="D340" s="2" t="s">
        <v>316</v>
      </c>
      <c r="E340" s="2" t="s">
        <v>758</v>
      </c>
      <c r="F340" s="1" t="s">
        <v>759</v>
      </c>
      <c r="G340" s="1" t="s">
        <v>1198</v>
      </c>
    </row>
    <row r="341" spans="1:9" x14ac:dyDescent="0.25">
      <c r="A341" s="2" t="str">
        <f>source_columns[[#This Row],[Название таблицы STAGE]]&amp;source_columns[[#This Row],[Название поля]]</f>
        <v>b3080000460016_inkasso_export_agreement_actual_dtosys_date_create_or_update</v>
      </c>
      <c r="B341" s="224" t="s">
        <v>149</v>
      </c>
      <c r="C341" s="141" t="s">
        <v>517</v>
      </c>
      <c r="D341" s="141" t="s">
        <v>1096</v>
      </c>
      <c r="E341" s="141" t="s">
        <v>760</v>
      </c>
      <c r="F341" s="219" t="s">
        <v>420</v>
      </c>
      <c r="G341" s="219" t="s">
        <v>811</v>
      </c>
      <c r="H341" s="219"/>
      <c r="I341" s="219"/>
    </row>
    <row r="342" spans="1:9" x14ac:dyDescent="0.25">
      <c r="A342" s="2" t="str">
        <f>source_columns[[#This Row],[Название таблицы STAGE]]&amp;source_columns[[#This Row],[Название поля]]</f>
        <v>b3080000460017_inkasso_import_agreement_actual_dtoadditionalconditions_versionedattr</v>
      </c>
      <c r="B342" s="220" t="s">
        <v>150</v>
      </c>
      <c r="C342" s="221" t="s">
        <v>1142</v>
      </c>
      <c r="D342" s="222" t="s">
        <v>320</v>
      </c>
      <c r="E342" s="221" t="s">
        <v>760</v>
      </c>
      <c r="F342" s="222" t="s">
        <v>420</v>
      </c>
      <c r="G342" s="1" t="s">
        <v>1143</v>
      </c>
    </row>
    <row r="343" spans="1:9" x14ac:dyDescent="0.25">
      <c r="A343" s="2" t="str">
        <f>source_columns[[#This Row],[Название таблицы STAGE]]&amp;source_columns[[#This Row],[Название поля]]</f>
        <v>b3080000460017_inkasso_import_agreement_actual_dtoadvisingsidereference_attr</v>
      </c>
      <c r="B343" s="223" t="s">
        <v>150</v>
      </c>
      <c r="C343" s="2" t="s">
        <v>592</v>
      </c>
      <c r="D343" s="2" t="s">
        <v>320</v>
      </c>
      <c r="E343" s="2" t="s">
        <v>760</v>
      </c>
      <c r="F343" s="1" t="s">
        <v>420</v>
      </c>
      <c r="G343" s="1" t="s">
        <v>1144</v>
      </c>
    </row>
    <row r="344" spans="1:9" x14ac:dyDescent="0.25">
      <c r="A344" s="2" t="str">
        <f>source_columns[[#This Row],[Название таблицы STAGE]]&amp;source_columns[[#This Row],[Название поля]]</f>
        <v>b3080000460017_inkasso_import_agreement_actual_dtoagreementid</v>
      </c>
      <c r="B344" s="223" t="s">
        <v>150</v>
      </c>
      <c r="C344" s="2" t="s">
        <v>911</v>
      </c>
      <c r="D344" s="2" t="s">
        <v>320</v>
      </c>
      <c r="E344" s="2" t="s">
        <v>760</v>
      </c>
      <c r="F344" s="1" t="s">
        <v>420</v>
      </c>
      <c r="G344" s="1" t="s">
        <v>1145</v>
      </c>
    </row>
    <row r="345" spans="1:9" x14ac:dyDescent="0.25">
      <c r="A345" s="2" t="str">
        <f>source_columns[[#This Row],[Название таблицы STAGE]]&amp;source_columns[[#This Row],[Название поля]]</f>
        <v>b3080000460017_inkasso_import_agreement_actual_dtoagreementstatus</v>
      </c>
      <c r="B345" s="223" t="s">
        <v>150</v>
      </c>
      <c r="C345" s="2" t="s">
        <v>1146</v>
      </c>
      <c r="D345" s="2" t="s">
        <v>320</v>
      </c>
      <c r="E345" s="2" t="s">
        <v>760</v>
      </c>
      <c r="F345" s="1" t="s">
        <v>420</v>
      </c>
      <c r="G345" s="1" t="s">
        <v>1147</v>
      </c>
    </row>
    <row r="346" spans="1:9" x14ac:dyDescent="0.25">
      <c r="A346" s="2" t="str">
        <f>source_columns[[#This Row],[Название таблицы STAGE]]&amp;source_columns[[#This Row],[Название поля]]</f>
        <v>b3080000460017_inkasso_import_agreement_actual_dtoamountvalue_versionedattr</v>
      </c>
      <c r="B346" s="223" t="s">
        <v>150</v>
      </c>
      <c r="C346" s="2" t="s">
        <v>596</v>
      </c>
      <c r="D346" s="2" t="s">
        <v>1093</v>
      </c>
      <c r="E346" s="2" t="s">
        <v>760</v>
      </c>
      <c r="F346" s="1" t="s">
        <v>420</v>
      </c>
      <c r="G346" s="1" t="s">
        <v>1148</v>
      </c>
    </row>
    <row r="347" spans="1:9" x14ac:dyDescent="0.25">
      <c r="A347" s="2" t="str">
        <f>source_columns[[#This Row],[Название таблицы STAGE]]&amp;source_columns[[#This Row],[Название поля]]</f>
        <v>b3080000460017_inkasso_import_agreement_actual_dtoapplicantepkid_versionedattr</v>
      </c>
      <c r="B347" s="223" t="s">
        <v>150</v>
      </c>
      <c r="C347" s="2" t="s">
        <v>1149</v>
      </c>
      <c r="D347" s="2" t="s">
        <v>320</v>
      </c>
      <c r="E347" s="2" t="s">
        <v>760</v>
      </c>
      <c r="F347" s="1" t="s">
        <v>420</v>
      </c>
      <c r="G347" s="1" t="s">
        <v>1150</v>
      </c>
    </row>
    <row r="348" spans="1:9" ht="13.8" x14ac:dyDescent="0.25">
      <c r="A348" s="2" t="str">
        <f>source_columns[[#This Row],[Название таблицы STAGE]]&amp;source_columns[[#This Row],[Название поля]]</f>
        <v>b3080000460017_inkasso_import_agreement_actual_dtoapplicantepkid_versionedattr_uid</v>
      </c>
      <c r="B348" s="223" t="s">
        <v>150</v>
      </c>
      <c r="C348" s="225" t="s">
        <v>1151</v>
      </c>
      <c r="D348" s="2" t="s">
        <v>316</v>
      </c>
      <c r="E348" s="2" t="s">
        <v>760</v>
      </c>
      <c r="F348" s="1" t="s">
        <v>420</v>
      </c>
      <c r="G348" s="1" t="s">
        <v>1150</v>
      </c>
    </row>
    <row r="349" spans="1:9" x14ac:dyDescent="0.25">
      <c r="A349" s="2" t="str">
        <f>source_columns[[#This Row],[Название таблицы STAGE]]&amp;source_columns[[#This Row],[Название поля]]</f>
        <v>b3080000460017_inkasso_import_agreement_actual_dtoapplicantname_versionedattr</v>
      </c>
      <c r="B349" s="223" t="s">
        <v>150</v>
      </c>
      <c r="C349" s="2" t="s">
        <v>1152</v>
      </c>
      <c r="D349" s="2" t="s">
        <v>320</v>
      </c>
      <c r="E349" s="2" t="s">
        <v>760</v>
      </c>
      <c r="F349" s="1" t="s">
        <v>420</v>
      </c>
      <c r="G349" s="1" t="s">
        <v>1153</v>
      </c>
    </row>
    <row r="350" spans="1:9" x14ac:dyDescent="0.25">
      <c r="A350" s="2" t="str">
        <f>source_columns[[#This Row],[Название таблицы STAGE]]&amp;source_columns[[#This Row],[Название поля]]</f>
        <v>b3080000460017_inkasso_import_agreement_actual_dtoapplicanttaxid_versionedattr</v>
      </c>
      <c r="B350" s="223" t="s">
        <v>150</v>
      </c>
      <c r="C350" s="2" t="s">
        <v>1154</v>
      </c>
      <c r="D350" s="2" t="s">
        <v>320</v>
      </c>
      <c r="E350" s="2" t="s">
        <v>760</v>
      </c>
      <c r="F350" s="1" t="s">
        <v>420</v>
      </c>
      <c r="G350" s="1" t="s">
        <v>1155</v>
      </c>
    </row>
    <row r="351" spans="1:9" ht="12" customHeight="1" x14ac:dyDescent="0.3">
      <c r="A351" s="2" t="str">
        <f>source_columns[[#This Row],[Название таблицы STAGE]]&amp;source_columns[[#This Row],[Название поля]]</f>
        <v>b3080000460017_inkasso_import_agreement_actual_dtoapplicantname_taxid_versionedattr_uid</v>
      </c>
      <c r="B351" s="223" t="s">
        <v>150</v>
      </c>
      <c r="C351" s="2" t="s">
        <v>1156</v>
      </c>
      <c r="D351" s="2" t="s">
        <v>316</v>
      </c>
      <c r="E351" s="2" t="s">
        <v>760</v>
      </c>
      <c r="F351" s="1" t="s">
        <v>420</v>
      </c>
      <c r="G351" s="200" t="s">
        <v>1157</v>
      </c>
    </row>
    <row r="352" spans="1:9" x14ac:dyDescent="0.25">
      <c r="A352" s="2" t="str">
        <f>source_columns[[#This Row],[Название таблицы STAGE]]&amp;source_columns[[#This Row],[Название поля]]</f>
        <v>b3080000460017_inkasso_import_agreement_actual_dtoapplicantfeeaccount_versionedattr</v>
      </c>
      <c r="B352" s="223" t="s">
        <v>150</v>
      </c>
      <c r="C352" s="2" t="s">
        <v>1199</v>
      </c>
      <c r="D352" s="2" t="s">
        <v>320</v>
      </c>
      <c r="E352" s="2" t="s">
        <v>760</v>
      </c>
      <c r="F352" s="1" t="s">
        <v>420</v>
      </c>
      <c r="G352" s="1" t="s">
        <v>1200</v>
      </c>
    </row>
    <row r="353" spans="1:7" ht="13.8" x14ac:dyDescent="0.25">
      <c r="A353" s="2" t="str">
        <f>source_columns[[#This Row],[Название таблицы STAGE]]&amp;source_columns[[#This Row],[Название поля]]</f>
        <v>b3080000460017_inkasso_import_agreement_actual_dtoapplicantfeeaccount_versionedattr_uid</v>
      </c>
      <c r="B353" s="223" t="s">
        <v>150</v>
      </c>
      <c r="C353" s="225" t="s">
        <v>633</v>
      </c>
      <c r="D353" s="2" t="s">
        <v>316</v>
      </c>
      <c r="E353" s="2" t="s">
        <v>760</v>
      </c>
      <c r="F353" s="1" t="s">
        <v>420</v>
      </c>
      <c r="G353" s="1" t="s">
        <v>1200</v>
      </c>
    </row>
    <row r="354" spans="1:7" x14ac:dyDescent="0.25">
      <c r="A354" s="2" t="str">
        <f>source_columns[[#This Row],[Название таблицы STAGE]]&amp;source_columns[[#This Row],[Название поля]]</f>
        <v>b3080000460017_inkasso_import_agreement_actual_dtoavailabilitytype_versionedattr</v>
      </c>
      <c r="B354" s="223" t="s">
        <v>150</v>
      </c>
      <c r="C354" s="2" t="s">
        <v>1158</v>
      </c>
      <c r="D354" s="2" t="s">
        <v>320</v>
      </c>
      <c r="E354" s="2" t="s">
        <v>760</v>
      </c>
      <c r="F354" s="1" t="s">
        <v>420</v>
      </c>
      <c r="G354" s="1" t="s">
        <v>1159</v>
      </c>
    </row>
    <row r="355" spans="1:7" x14ac:dyDescent="0.25">
      <c r="A355" s="2" t="str">
        <f>source_columns[[#This Row],[Название таблицы STAGE]]&amp;source_columns[[#This Row],[Название поля]]</f>
        <v>b3080000460017_inkasso_import_agreement_actual_dtoapplicantbankname_versionedattr</v>
      </c>
      <c r="B355" s="223" t="s">
        <v>150</v>
      </c>
      <c r="C355" s="2" t="s">
        <v>1201</v>
      </c>
      <c r="D355" s="2" t="s">
        <v>320</v>
      </c>
      <c r="E355" s="2" t="s">
        <v>760</v>
      </c>
      <c r="F355" s="1" t="s">
        <v>420</v>
      </c>
      <c r="G355" s="1" t="s">
        <v>1202</v>
      </c>
    </row>
    <row r="356" spans="1:7" x14ac:dyDescent="0.25">
      <c r="A356" s="2" t="str">
        <f>source_columns[[#This Row],[Название таблицы STAGE]]&amp;source_columns[[#This Row],[Название поля]]</f>
        <v>b3080000460017_inkasso_import_agreement_actual_dtoapplicantbankunitcode_versionedattr</v>
      </c>
      <c r="B356" s="223" t="s">
        <v>150</v>
      </c>
      <c r="C356" s="2" t="s">
        <v>1203</v>
      </c>
      <c r="D356" s="2" t="s">
        <v>320</v>
      </c>
      <c r="E356" s="2" t="s">
        <v>760</v>
      </c>
      <c r="F356" s="1" t="s">
        <v>420</v>
      </c>
      <c r="G356" s="1" t="s">
        <v>1204</v>
      </c>
    </row>
    <row r="357" spans="1:7" ht="13.8" x14ac:dyDescent="0.25">
      <c r="A357" s="2" t="str">
        <f>source_columns[[#This Row],[Название таблицы STAGE]]&amp;source_columns[[#This Row],[Название поля]]</f>
        <v>b3080000460017_inkasso_import_agreement_actual_dtoapplicantbankunitcode_versionedattr_uid</v>
      </c>
      <c r="B357" s="223" t="s">
        <v>150</v>
      </c>
      <c r="C357" s="225" t="s">
        <v>630</v>
      </c>
      <c r="D357" s="2" t="s">
        <v>316</v>
      </c>
      <c r="E357" s="2" t="s">
        <v>760</v>
      </c>
      <c r="F357" s="1" t="s">
        <v>420</v>
      </c>
      <c r="G357" s="1" t="s">
        <v>1204</v>
      </c>
    </row>
    <row r="358" spans="1:7" x14ac:dyDescent="0.25">
      <c r="A358" s="2" t="str">
        <f>source_columns[[#This Row],[Название таблицы STAGE]]&amp;source_columns[[#This Row],[Название поля]]</f>
        <v>b3080000460017_inkasso_import_agreement_actual_dtocase when SUBSTR( bankregionalunitcode_versionedattr,1,1) = '0' and SUBSTR( bankregionalunitcode_versionedattr,2,1) &lt;&gt; '0' 
   then SUBSTR( bankregionalunitcode_versionedattr, 2) else bankregionalunitcode_versionedattr end</v>
      </c>
      <c r="B358" s="223" t="s">
        <v>150</v>
      </c>
      <c r="C358" s="2" t="s">
        <v>1160</v>
      </c>
      <c r="D358" s="2" t="s">
        <v>320</v>
      </c>
      <c r="E358" s="2" t="s">
        <v>760</v>
      </c>
      <c r="F358" s="1" t="s">
        <v>420</v>
      </c>
      <c r="G358" s="1" t="s">
        <v>1161</v>
      </c>
    </row>
    <row r="359" spans="1:7" x14ac:dyDescent="0.25">
      <c r="A359" s="2" t="str">
        <f>source_columns[[#This Row],[Название таблицы STAGE]]&amp;source_columns[[#This Row],[Название поля]]</f>
        <v>b3080000460017_inkasso_import_agreement_actual_dtobankregionalunitcode_versionedattr_uid</v>
      </c>
      <c r="B359" s="223" t="s">
        <v>150</v>
      </c>
      <c r="C359" s="2" t="s">
        <v>613</v>
      </c>
      <c r="D359" s="2" t="s">
        <v>316</v>
      </c>
      <c r="E359" s="2" t="s">
        <v>760</v>
      </c>
      <c r="F359" s="1" t="s">
        <v>420</v>
      </c>
      <c r="G359" s="1" t="s">
        <v>1161</v>
      </c>
    </row>
    <row r="360" spans="1:7" x14ac:dyDescent="0.25">
      <c r="A360" s="2" t="str">
        <f>source_columns[[#This Row],[Название таблицы STAGE]]&amp;source_columns[[#This Row],[Название поля]]</f>
        <v>b3080000460017_inkasso_import_agreement_actual_dtobankregionalunitname_versionedattr</v>
      </c>
      <c r="B360" s="223" t="s">
        <v>150</v>
      </c>
      <c r="C360" s="2" t="s">
        <v>1162</v>
      </c>
      <c r="D360" s="2" t="s">
        <v>320</v>
      </c>
      <c r="E360" s="2" t="s">
        <v>760</v>
      </c>
      <c r="F360" s="1" t="s">
        <v>420</v>
      </c>
      <c r="G360" s="1" t="s">
        <v>1163</v>
      </c>
    </row>
    <row r="361" spans="1:7" x14ac:dyDescent="0.25">
      <c r="A361" s="2" t="str">
        <f>source_columns[[#This Row],[Название таблицы STAGE]]&amp;source_columns[[#This Row],[Название поля]]</f>
        <v>b3080000460017_inkasso_import_agreement_actual_dtobeneficiaryepkid_versionedattr</v>
      </c>
      <c r="B361" s="223" t="s">
        <v>150</v>
      </c>
      <c r="C361" s="2" t="s">
        <v>1168</v>
      </c>
      <c r="D361" s="2" t="s">
        <v>320</v>
      </c>
      <c r="E361" s="2" t="s">
        <v>760</v>
      </c>
      <c r="F361" s="1" t="s">
        <v>420</v>
      </c>
      <c r="G361" s="1" t="s">
        <v>1169</v>
      </c>
    </row>
    <row r="362" spans="1:7" x14ac:dyDescent="0.25">
      <c r="A362" s="2" t="str">
        <f>source_columns[[#This Row],[Название таблицы STAGE]]&amp;source_columns[[#This Row],[Название поля]]</f>
        <v>b3080000460017_inkasso_import_agreement_actual_dtobeneficiaryepkid_versionedattr_uid</v>
      </c>
      <c r="B362" s="223" t="s">
        <v>150</v>
      </c>
      <c r="C362" s="2" t="s">
        <v>1170</v>
      </c>
      <c r="D362" s="2" t="s">
        <v>316</v>
      </c>
      <c r="E362" s="2" t="s">
        <v>760</v>
      </c>
      <c r="F362" s="1" t="s">
        <v>420</v>
      </c>
      <c r="G362" s="1" t="s">
        <v>1169</v>
      </c>
    </row>
    <row r="363" spans="1:7" x14ac:dyDescent="0.25">
      <c r="A363" s="2" t="str">
        <f>source_columns[[#This Row],[Название таблицы STAGE]]&amp;source_columns[[#This Row],[Название поля]]</f>
        <v>b3080000460017_inkasso_import_agreement_actual_dtobeneficiaryname_versionedattr</v>
      </c>
      <c r="B363" s="223" t="s">
        <v>150</v>
      </c>
      <c r="C363" s="2" t="s">
        <v>1173</v>
      </c>
      <c r="D363" s="2" t="s">
        <v>320</v>
      </c>
      <c r="E363" s="2" t="s">
        <v>760</v>
      </c>
      <c r="F363" s="1" t="s">
        <v>420</v>
      </c>
      <c r="G363" s="1" t="s">
        <v>1174</v>
      </c>
    </row>
    <row r="364" spans="1:7" x14ac:dyDescent="0.25">
      <c r="A364" s="2" t="str">
        <f>source_columns[[#This Row],[Название таблицы STAGE]]&amp;source_columns[[#This Row],[Название поля]]</f>
        <v>b3080000460017_inkasso_import_agreement_actual_dtobeneficiarytaxid_versionedattr</v>
      </c>
      <c r="B364" s="223" t="s">
        <v>150</v>
      </c>
      <c r="C364" s="2" t="s">
        <v>1175</v>
      </c>
      <c r="D364" s="2" t="s">
        <v>320</v>
      </c>
      <c r="E364" s="2" t="s">
        <v>760</v>
      </c>
      <c r="F364" s="1" t="s">
        <v>420</v>
      </c>
      <c r="G364" s="1" t="s">
        <v>1176</v>
      </c>
    </row>
    <row r="365" spans="1:7" ht="13.8" x14ac:dyDescent="0.3">
      <c r="A365" s="2" t="str">
        <f>source_columns[[#This Row],[Название таблицы STAGE]]&amp;source_columns[[#This Row],[Название поля]]</f>
        <v>b3080000460017_inkasso_import_agreement_actual_dtobeneficiaryname_taxid_versionedattr_uid</v>
      </c>
      <c r="B365" s="223" t="s">
        <v>150</v>
      </c>
      <c r="C365" s="2" t="s">
        <v>1177</v>
      </c>
      <c r="D365" s="2" t="s">
        <v>316</v>
      </c>
      <c r="E365" s="2" t="s">
        <v>760</v>
      </c>
      <c r="F365" s="1" t="s">
        <v>420</v>
      </c>
      <c r="G365" s="200" t="s">
        <v>1178</v>
      </c>
    </row>
    <row r="366" spans="1:7" x14ac:dyDescent="0.25">
      <c r="A366" s="2" t="str">
        <f>source_columns[[#This Row],[Название таблицы STAGE]]&amp;source_columns[[#This Row],[Название поля]]</f>
        <v>b3080000460017_inkasso_import_agreement_actual_dtochangeid_versionedattr</v>
      </c>
      <c r="B366" s="223" t="s">
        <v>150</v>
      </c>
      <c r="C366" s="2" t="s">
        <v>1179</v>
      </c>
      <c r="D366" s="2" t="s">
        <v>808</v>
      </c>
      <c r="E366" s="2" t="s">
        <v>760</v>
      </c>
      <c r="F366" s="1" t="s">
        <v>420</v>
      </c>
      <c r="G366" s="1" t="s">
        <v>1180</v>
      </c>
    </row>
    <row r="367" spans="1:7" x14ac:dyDescent="0.25">
      <c r="A367" s="2" t="str">
        <f>source_columns[[#This Row],[Название таблицы STAGE]]&amp;source_columns[[#This Row],[Название поля]]</f>
        <v>b3080000460017_inkasso_import_agreement_actual_dtoclosedate</v>
      </c>
      <c r="B367" s="223" t="s">
        <v>150</v>
      </c>
      <c r="C367" s="2" t="s">
        <v>387</v>
      </c>
      <c r="D367" s="2" t="s">
        <v>302</v>
      </c>
      <c r="E367" s="2" t="s">
        <v>760</v>
      </c>
      <c r="F367" s="1" t="s">
        <v>420</v>
      </c>
      <c r="G367" s="1" t="s">
        <v>1016</v>
      </c>
    </row>
    <row r="368" spans="1:7" x14ac:dyDescent="0.25">
      <c r="A368" s="2" t="str">
        <f>source_columns[[#This Row],[Название таблицы STAGE]]&amp;source_columns[[#This Row],[Название поля]]</f>
        <v>b3080000460017_inkasso_import_agreement_actual_dtoconclusiondate_attr</v>
      </c>
      <c r="B368" s="223" t="s">
        <v>150</v>
      </c>
      <c r="C368" s="2" t="s">
        <v>590</v>
      </c>
      <c r="D368" s="2" t="s">
        <v>302</v>
      </c>
      <c r="E368" s="2" t="s">
        <v>760</v>
      </c>
      <c r="F368" s="1" t="s">
        <v>420</v>
      </c>
      <c r="G368" s="1" t="s">
        <v>1181</v>
      </c>
    </row>
    <row r="369" spans="1:9" x14ac:dyDescent="0.25">
      <c r="A369" s="2" t="str">
        <f>source_columns[[#This Row],[Название таблицы STAGE]]&amp;source_columns[[#This Row],[Название поля]]</f>
        <v>b3080000460017_inkasso_import_agreement_actual_dtocurrencycode_versionedattr</v>
      </c>
      <c r="B369" s="223" t="s">
        <v>150</v>
      </c>
      <c r="C369" s="2" t="s">
        <v>1182</v>
      </c>
      <c r="D369" s="2" t="s">
        <v>320</v>
      </c>
      <c r="E369" s="2" t="s">
        <v>760</v>
      </c>
      <c r="F369" s="1" t="s">
        <v>420</v>
      </c>
      <c r="G369" s="1" t="s">
        <v>1090</v>
      </c>
    </row>
    <row r="370" spans="1:9" x14ac:dyDescent="0.25">
      <c r="A370" s="2" t="str">
        <f>source_columns[[#This Row],[Название таблицы STAGE]]&amp;source_columns[[#This Row],[Название поля]]</f>
        <v>b3080000460017_inkasso_import_agreement_actual_dtocurrencycode_versionedattr_uid</v>
      </c>
      <c r="B370" s="223" t="s">
        <v>150</v>
      </c>
      <c r="C370" s="2" t="s">
        <v>597</v>
      </c>
      <c r="D370" s="2" t="s">
        <v>316</v>
      </c>
      <c r="E370" s="2" t="s">
        <v>760</v>
      </c>
      <c r="F370" s="1" t="s">
        <v>420</v>
      </c>
      <c r="G370" s="1" t="s">
        <v>1090</v>
      </c>
    </row>
    <row r="371" spans="1:9" x14ac:dyDescent="0.25">
      <c r="A371" s="2" t="str">
        <f>source_columns[[#This Row],[Название таблицы STAGE]]&amp;source_columns[[#This Row],[Название поля]]</f>
        <v>b3080000460017_inkasso_import_agreement_actual_dtodeleted</v>
      </c>
      <c r="B371" s="223" t="s">
        <v>150</v>
      </c>
      <c r="C371" s="2" t="s">
        <v>812</v>
      </c>
      <c r="D371" s="2" t="s">
        <v>827</v>
      </c>
      <c r="E371" s="2" t="s">
        <v>760</v>
      </c>
      <c r="F371" s="1" t="s">
        <v>420</v>
      </c>
      <c r="G371" s="1" t="s">
        <v>813</v>
      </c>
    </row>
    <row r="372" spans="1:9" x14ac:dyDescent="0.25">
      <c r="A372" s="2" t="str">
        <f>source_columns[[#This Row],[Название таблицы STAGE]]&amp;source_columns[[#This Row],[Название поля]]</f>
        <v>b3080000460017_inkasso_import_agreement_actual_dtoevent_id</v>
      </c>
      <c r="B372" s="223" t="s">
        <v>150</v>
      </c>
      <c r="C372" s="2" t="s">
        <v>1183</v>
      </c>
      <c r="D372" s="2" t="s">
        <v>320</v>
      </c>
      <c r="E372" s="2" t="s">
        <v>760</v>
      </c>
      <c r="F372" s="1" t="s">
        <v>420</v>
      </c>
      <c r="G372" s="1" t="s">
        <v>1184</v>
      </c>
    </row>
    <row r="373" spans="1:9" x14ac:dyDescent="0.25">
      <c r="A373" s="2" t="str">
        <f>source_columns[[#This Row],[Название таблицы STAGE]]&amp;source_columns[[#This Row],[Название поля]]</f>
        <v>b3080000460017_inkasso_import_agreement_actual_dtoheaders</v>
      </c>
      <c r="B373" s="223" t="s">
        <v>150</v>
      </c>
      <c r="C373" s="2" t="s">
        <v>1185</v>
      </c>
      <c r="D373" s="2" t="s">
        <v>320</v>
      </c>
      <c r="E373" s="2" t="s">
        <v>760</v>
      </c>
      <c r="F373" s="1" t="s">
        <v>420</v>
      </c>
      <c r="G373" s="1" t="s">
        <v>1186</v>
      </c>
    </row>
    <row r="374" spans="1:9" x14ac:dyDescent="0.25">
      <c r="A374" s="2" t="str">
        <f>source_columns[[#This Row],[Название таблицы STAGE]]&amp;source_columns[[#This Row],[Название поля]]</f>
        <v>b3080000460017_inkasso_import_agreement_actual_dtoincassotype</v>
      </c>
      <c r="B374" s="223" t="s">
        <v>150</v>
      </c>
      <c r="C374" s="2" t="s">
        <v>1187</v>
      </c>
      <c r="D374" s="2" t="s">
        <v>320</v>
      </c>
      <c r="E374" s="2" t="s">
        <v>760</v>
      </c>
      <c r="F374" s="1" t="s">
        <v>420</v>
      </c>
      <c r="G374" s="1" t="s">
        <v>1188</v>
      </c>
    </row>
    <row r="375" spans="1:9" x14ac:dyDescent="0.25">
      <c r="A375" s="2" t="str">
        <f>source_columns[[#This Row],[Название таблицы STAGE]]&amp;source_columns[[#This Row],[Название поля]]</f>
        <v>b3080000460017_inkasso_import_agreement_actual_dtoissuingbankname_versionedattr</v>
      </c>
      <c r="B375" s="223" t="s">
        <v>150</v>
      </c>
      <c r="C375" s="2" t="s">
        <v>1205</v>
      </c>
      <c r="D375" s="2" t="s">
        <v>320</v>
      </c>
      <c r="E375" s="2" t="s">
        <v>760</v>
      </c>
      <c r="F375" s="1" t="s">
        <v>420</v>
      </c>
      <c r="G375" s="1" t="s">
        <v>1206</v>
      </c>
    </row>
    <row r="376" spans="1:9" x14ac:dyDescent="0.25">
      <c r="A376" s="2" t="str">
        <f>source_columns[[#This Row],[Название таблицы STAGE]]&amp;source_columns[[#This Row],[Название поля]]</f>
        <v>b3080000460017_inkasso_import_agreement_actual_dtoissuingbankswift_versionedattr</v>
      </c>
      <c r="B376" s="223" t="s">
        <v>150</v>
      </c>
      <c r="C376" s="2" t="s">
        <v>1207</v>
      </c>
      <c r="D376" s="2" t="s">
        <v>320</v>
      </c>
      <c r="E376" s="2" t="s">
        <v>760</v>
      </c>
      <c r="F376" s="1" t="s">
        <v>420</v>
      </c>
      <c r="G376" s="1" t="s">
        <v>1208</v>
      </c>
    </row>
    <row r="377" spans="1:9" x14ac:dyDescent="0.25">
      <c r="A377" s="2" t="str">
        <f>source_columns[[#This Row],[Название таблицы STAGE]]&amp;source_columns[[#This Row],[Название поля]]</f>
        <v>b3080000460017_inkasso_import_agreement_actual_dtoissuingbankswift_versionedattr_uid</v>
      </c>
      <c r="B377" s="223" t="s">
        <v>150</v>
      </c>
      <c r="C377" s="2" t="s">
        <v>627</v>
      </c>
      <c r="D377" s="2" t="s">
        <v>316</v>
      </c>
      <c r="E377" s="2" t="s">
        <v>760</v>
      </c>
      <c r="F377" s="1" t="s">
        <v>420</v>
      </c>
      <c r="G377" s="1" t="s">
        <v>1208</v>
      </c>
    </row>
    <row r="378" spans="1:9" x14ac:dyDescent="0.25">
      <c r="A378" s="2" t="str">
        <f>source_columns[[#This Row],[Название таблицы STAGE]]&amp;source_columns[[#This Row],[Название поля]]</f>
        <v>b3080000460017_inkasso_import_agreement_actual_dtomodifiedtime</v>
      </c>
      <c r="B378" s="223" t="s">
        <v>150</v>
      </c>
      <c r="C378" s="2" t="s">
        <v>1189</v>
      </c>
      <c r="D378" s="2" t="s">
        <v>302</v>
      </c>
      <c r="E378" s="2" t="s">
        <v>760</v>
      </c>
      <c r="F378" s="1" t="s">
        <v>420</v>
      </c>
      <c r="G378" s="1" t="s">
        <v>1190</v>
      </c>
    </row>
    <row r="379" spans="1:9" x14ac:dyDescent="0.25">
      <c r="A379" s="2" t="str">
        <f>source_columns[[#This Row],[Название таблицы STAGE]]&amp;source_columns[[#This Row],[Название поля]]</f>
        <v>b3080000460017_inkasso_import_agreement_actual_dtoplanpaymentdate_versionedattr</v>
      </c>
      <c r="B379" s="223" t="s">
        <v>150</v>
      </c>
      <c r="C379" s="2" t="s">
        <v>598</v>
      </c>
      <c r="D379" s="2" t="s">
        <v>320</v>
      </c>
      <c r="E379" s="2" t="s">
        <v>760</v>
      </c>
      <c r="F379" s="1" t="s">
        <v>420</v>
      </c>
      <c r="G379" s="1" t="s">
        <v>1191</v>
      </c>
    </row>
    <row r="380" spans="1:9" x14ac:dyDescent="0.25">
      <c r="A380" s="2" t="str">
        <f>source_columns[[#This Row],[Название таблицы STAGE]]&amp;source_columns[[#This Row],[Название поля]]</f>
        <v>b3080000460017_inkasso_import_agreement_actual_dtoproductcode</v>
      </c>
      <c r="B380" s="223" t="s">
        <v>150</v>
      </c>
      <c r="C380" s="2" t="s">
        <v>1196</v>
      </c>
      <c r="D380" s="2" t="s">
        <v>320</v>
      </c>
      <c r="E380" s="2" t="s">
        <v>760</v>
      </c>
      <c r="F380" s="1" t="s">
        <v>420</v>
      </c>
      <c r="G380" s="1" t="s">
        <v>1197</v>
      </c>
    </row>
    <row r="381" spans="1:9" x14ac:dyDescent="0.25">
      <c r="A381" s="2" t="str">
        <f>source_columns[[#This Row],[Название таблицы STAGE]]&amp;source_columns[[#This Row],[Название поля]]</f>
        <v>b3080000460017_inkasso_import_agreement_actual_dtoreference</v>
      </c>
      <c r="B381" s="223" t="s">
        <v>150</v>
      </c>
      <c r="C381" s="2" t="s">
        <v>388</v>
      </c>
      <c r="D381" s="2" t="s">
        <v>320</v>
      </c>
      <c r="E381" s="2" t="s">
        <v>758</v>
      </c>
      <c r="F381" s="1" t="s">
        <v>759</v>
      </c>
      <c r="G381" s="1" t="s">
        <v>1198</v>
      </c>
    </row>
    <row r="382" spans="1:9" x14ac:dyDescent="0.25">
      <c r="A382" s="2" t="str">
        <f>source_columns[[#This Row],[Название таблицы STAGE]]&amp;source_columns[[#This Row],[Название поля]]</f>
        <v>b3080000460017_inkasso_import_agreement_actual_dtoreference_uid</v>
      </c>
      <c r="B382" s="223" t="s">
        <v>150</v>
      </c>
      <c r="C382" s="2" t="s">
        <v>496</v>
      </c>
      <c r="D382" s="2" t="s">
        <v>316</v>
      </c>
      <c r="E382" s="2" t="s">
        <v>758</v>
      </c>
      <c r="F382" s="1" t="s">
        <v>759</v>
      </c>
      <c r="G382" s="1" t="s">
        <v>1198</v>
      </c>
    </row>
    <row r="383" spans="1:9" x14ac:dyDescent="0.25">
      <c r="A383" s="2" t="str">
        <f>source_columns[[#This Row],[Название таблицы STAGE]]&amp;source_columns[[#This Row],[Название поля]]</f>
        <v>b3080000460017_inkasso_import_agreement_actual_dtosys_date_create_or_update</v>
      </c>
      <c r="B383" s="224" t="s">
        <v>150</v>
      </c>
      <c r="C383" s="141" t="s">
        <v>517</v>
      </c>
      <c r="D383" s="141" t="s">
        <v>1096</v>
      </c>
      <c r="E383" s="141" t="s">
        <v>760</v>
      </c>
      <c r="F383" s="219" t="s">
        <v>420</v>
      </c>
      <c r="G383" s="219" t="s">
        <v>811</v>
      </c>
      <c r="H383" s="219"/>
      <c r="I383" s="219"/>
    </row>
    <row r="384" spans="1:9" x14ac:dyDescent="0.25">
      <c r="A384" s="2" t="str">
        <f>source_columns[[#This Row],[Название таблицы STAGE]]&amp;source_columns[[#This Row],[Название поля]]</f>
        <v>b3080000460018_reimbursement_agreement_actual_dtoagreementid</v>
      </c>
      <c r="B384" s="220" t="s">
        <v>151</v>
      </c>
      <c r="C384" s="221" t="s">
        <v>911</v>
      </c>
      <c r="D384" s="221" t="s">
        <v>320</v>
      </c>
      <c r="E384" s="221" t="s">
        <v>760</v>
      </c>
      <c r="F384" s="222" t="s">
        <v>420</v>
      </c>
      <c r="G384" s="1" t="s">
        <v>1145</v>
      </c>
    </row>
    <row r="385" spans="1:7" x14ac:dyDescent="0.25">
      <c r="A385" s="2" t="str">
        <f>source_columns[[#This Row],[Название таблицы STAGE]]&amp;source_columns[[#This Row],[Название поля]]</f>
        <v>b3080000460018_reimbursement_agreement_actual_dtoamountvalue</v>
      </c>
      <c r="B385" s="223" t="s">
        <v>151</v>
      </c>
      <c r="C385" s="2" t="s">
        <v>519</v>
      </c>
      <c r="D385" s="2" t="s">
        <v>1093</v>
      </c>
      <c r="E385" s="2" t="s">
        <v>760</v>
      </c>
      <c r="F385" s="1" t="s">
        <v>420</v>
      </c>
      <c r="G385" s="1" t="s">
        <v>1148</v>
      </c>
    </row>
    <row r="386" spans="1:7" x14ac:dyDescent="0.25">
      <c r="A386" s="2" t="str">
        <f>source_columns[[#This Row],[Название таблицы STAGE]]&amp;source_columns[[#This Row],[Название поля]]</f>
        <v>b3080000460018_reimbursement_agreement_actual_dtocase when SUBSTR( bankregionalunitcode,1,1) = '0' and SUBSTR( bankregionalunitcode,2,1) &lt;&gt; '0' 
   then SUBSTR( bankregionalunitcode, 2) else bankregionalunitcode end</v>
      </c>
      <c r="B386" s="223" t="s">
        <v>151</v>
      </c>
      <c r="C386" s="2" t="s">
        <v>1209</v>
      </c>
      <c r="D386" s="2" t="s">
        <v>320</v>
      </c>
      <c r="E386" s="2" t="s">
        <v>760</v>
      </c>
      <c r="F386" s="1" t="s">
        <v>420</v>
      </c>
      <c r="G386" s="1" t="s">
        <v>1161</v>
      </c>
    </row>
    <row r="387" spans="1:7" x14ac:dyDescent="0.25">
      <c r="A387" s="2" t="str">
        <f>source_columns[[#This Row],[Название таблицы STAGE]]&amp;source_columns[[#This Row],[Название поля]]</f>
        <v>b3080000460018_reimbursement_agreement_actual_dtobankregionalunitcode_uid</v>
      </c>
      <c r="B387" s="223" t="s">
        <v>151</v>
      </c>
      <c r="C387" s="2" t="s">
        <v>648</v>
      </c>
      <c r="D387" s="2" t="s">
        <v>316</v>
      </c>
      <c r="E387" s="2" t="s">
        <v>760</v>
      </c>
      <c r="F387" s="1" t="s">
        <v>420</v>
      </c>
      <c r="G387" s="1" t="s">
        <v>1161</v>
      </c>
    </row>
    <row r="388" spans="1:7" x14ac:dyDescent="0.25">
      <c r="A388" s="2" t="str">
        <f>source_columns[[#This Row],[Название таблицы STAGE]]&amp;source_columns[[#This Row],[Название поля]]</f>
        <v>b3080000460018_reimbursement_agreement_actual_dtobeneficiarybankname</v>
      </c>
      <c r="B388" s="223" t="s">
        <v>151</v>
      </c>
      <c r="C388" s="2" t="s">
        <v>1014</v>
      </c>
      <c r="D388" s="2" t="s">
        <v>320</v>
      </c>
      <c r="E388" s="2" t="s">
        <v>760</v>
      </c>
      <c r="F388" s="1" t="s">
        <v>420</v>
      </c>
      <c r="G388" s="1" t="s">
        <v>1167</v>
      </c>
    </row>
    <row r="389" spans="1:7" x14ac:dyDescent="0.25">
      <c r="A389" s="2" t="str">
        <f>source_columns[[#This Row],[Название таблицы STAGE]]&amp;source_columns[[#This Row],[Название поля]]</f>
        <v>b3080000460018_reimbursement_agreement_actual_dtobeneficiarybankswift</v>
      </c>
      <c r="B389" s="223" t="s">
        <v>151</v>
      </c>
      <c r="C389" s="2" t="s">
        <v>1075</v>
      </c>
      <c r="D389" s="2" t="s">
        <v>320</v>
      </c>
      <c r="E389" s="2" t="s">
        <v>760</v>
      </c>
      <c r="F389" s="1" t="s">
        <v>420</v>
      </c>
      <c r="G389" s="1" t="s">
        <v>1210</v>
      </c>
    </row>
    <row r="390" spans="1:7" x14ac:dyDescent="0.25">
      <c r="A390" s="2" t="str">
        <f>source_columns[[#This Row],[Название таблицы STAGE]]&amp;source_columns[[#This Row],[Название поля]]</f>
        <v>b3080000460018_reimbursement_agreement_actual_dtobeneficiarybankswift_uid</v>
      </c>
      <c r="B390" s="223" t="s">
        <v>151</v>
      </c>
      <c r="C390" s="2" t="s">
        <v>646</v>
      </c>
      <c r="D390" s="2" t="s">
        <v>316</v>
      </c>
      <c r="E390" s="2" t="s">
        <v>760</v>
      </c>
      <c r="F390" s="1" t="s">
        <v>420</v>
      </c>
      <c r="G390" s="1" t="s">
        <v>1210</v>
      </c>
    </row>
    <row r="391" spans="1:7" x14ac:dyDescent="0.25">
      <c r="A391" s="2" t="str">
        <f>source_columns[[#This Row],[Название таблицы STAGE]]&amp;source_columns[[#This Row],[Название поля]]</f>
        <v>b3080000460018_reimbursement_agreement_actual_dtoclosedate</v>
      </c>
      <c r="B391" s="223" t="s">
        <v>151</v>
      </c>
      <c r="C391" s="2" t="s">
        <v>387</v>
      </c>
      <c r="D391" s="2" t="s">
        <v>302</v>
      </c>
      <c r="E391" s="2" t="s">
        <v>760</v>
      </c>
      <c r="F391" s="1" t="s">
        <v>420</v>
      </c>
      <c r="G391" s="1" t="s">
        <v>1016</v>
      </c>
    </row>
    <row r="392" spans="1:7" x14ac:dyDescent="0.25">
      <c r="A392" s="2" t="str">
        <f>source_columns[[#This Row],[Название таблицы STAGE]]&amp;source_columns[[#This Row],[Название поля]]</f>
        <v>b3080000460018_reimbursement_agreement_actual_dtoconclusiondate</v>
      </c>
      <c r="B392" s="223" t="s">
        <v>151</v>
      </c>
      <c r="C392" s="2" t="s">
        <v>385</v>
      </c>
      <c r="D392" s="2" t="s">
        <v>302</v>
      </c>
      <c r="E392" s="2" t="s">
        <v>760</v>
      </c>
      <c r="F392" s="1" t="s">
        <v>420</v>
      </c>
      <c r="G392" s="1" t="s">
        <v>1181</v>
      </c>
    </row>
    <row r="393" spans="1:7" x14ac:dyDescent="0.25">
      <c r="A393" s="2" t="str">
        <f>source_columns[[#This Row],[Название таблицы STAGE]]&amp;source_columns[[#This Row],[Название поля]]</f>
        <v>b3080000460018_reimbursement_agreement_actual_dtocurrencycode</v>
      </c>
      <c r="B393" s="223" t="s">
        <v>151</v>
      </c>
      <c r="C393" s="2" t="s">
        <v>1211</v>
      </c>
      <c r="D393" s="2" t="s">
        <v>320</v>
      </c>
      <c r="E393" s="2" t="s">
        <v>760</v>
      </c>
      <c r="F393" s="1" t="s">
        <v>420</v>
      </c>
      <c r="G393" s="1" t="s">
        <v>1090</v>
      </c>
    </row>
    <row r="394" spans="1:7" x14ac:dyDescent="0.25">
      <c r="A394" s="2" t="str">
        <f>source_columns[[#This Row],[Название таблицы STAGE]]&amp;source_columns[[#This Row],[Название поля]]</f>
        <v>b3080000460018_reimbursement_agreement_actual_dtocurrencycode_uid</v>
      </c>
      <c r="B394" s="223" t="s">
        <v>151</v>
      </c>
      <c r="C394" s="2" t="s">
        <v>637</v>
      </c>
      <c r="D394" s="2" t="s">
        <v>316</v>
      </c>
      <c r="E394" s="2" t="s">
        <v>760</v>
      </c>
      <c r="F394" s="1" t="s">
        <v>420</v>
      </c>
      <c r="G394" s="1" t="s">
        <v>1090</v>
      </c>
    </row>
    <row r="395" spans="1:7" x14ac:dyDescent="0.25">
      <c r="A395" s="2" t="str">
        <f>source_columns[[#This Row],[Название таблицы STAGE]]&amp;source_columns[[#This Row],[Название поля]]</f>
        <v>b3080000460018_reimbursement_agreement_actual_dtodeleted</v>
      </c>
      <c r="B395" s="223" t="s">
        <v>151</v>
      </c>
      <c r="C395" s="2" t="s">
        <v>812</v>
      </c>
      <c r="D395" s="2" t="s">
        <v>827</v>
      </c>
      <c r="E395" s="2" t="s">
        <v>760</v>
      </c>
      <c r="F395" s="1" t="s">
        <v>420</v>
      </c>
      <c r="G395" s="1" t="s">
        <v>813</v>
      </c>
    </row>
    <row r="396" spans="1:7" x14ac:dyDescent="0.25">
      <c r="A396" s="2" t="str">
        <f>source_columns[[#This Row],[Название таблицы STAGE]]&amp;source_columns[[#This Row],[Название поля]]</f>
        <v>b3080000460018_reimbursement_agreement_actual_dtoissuingbankname</v>
      </c>
      <c r="B396" s="223" t="s">
        <v>151</v>
      </c>
      <c r="C396" s="2" t="s">
        <v>1006</v>
      </c>
      <c r="D396" s="2" t="s">
        <v>320</v>
      </c>
      <c r="E396" s="2" t="s">
        <v>760</v>
      </c>
      <c r="F396" s="1" t="s">
        <v>420</v>
      </c>
      <c r="G396" s="1" t="s">
        <v>1206</v>
      </c>
    </row>
    <row r="397" spans="1:7" x14ac:dyDescent="0.25">
      <c r="A397" s="2" t="str">
        <f>source_columns[[#This Row],[Название таблицы STAGE]]&amp;source_columns[[#This Row],[Название поля]]</f>
        <v>b3080000460018_reimbursement_agreement_actual_dtoissuingbankswift</v>
      </c>
      <c r="B397" s="223" t="s">
        <v>151</v>
      </c>
      <c r="C397" s="2" t="s">
        <v>1079</v>
      </c>
      <c r="D397" s="2" t="s">
        <v>320</v>
      </c>
      <c r="E397" s="2" t="s">
        <v>760</v>
      </c>
      <c r="F397" s="1" t="s">
        <v>420</v>
      </c>
      <c r="G397" s="1" t="s">
        <v>1208</v>
      </c>
    </row>
    <row r="398" spans="1:7" x14ac:dyDescent="0.25">
      <c r="A398" s="2" t="str">
        <f>source_columns[[#This Row],[Название таблицы STAGE]]&amp;source_columns[[#This Row],[Название поля]]</f>
        <v>b3080000460018_reimbursement_agreement_actual_dtoissuingbankswift_uid</v>
      </c>
      <c r="B398" s="223" t="s">
        <v>151</v>
      </c>
      <c r="C398" s="2" t="s">
        <v>640</v>
      </c>
      <c r="D398" s="2" t="s">
        <v>316</v>
      </c>
      <c r="E398" s="2" t="s">
        <v>760</v>
      </c>
      <c r="F398" s="1" t="s">
        <v>420</v>
      </c>
      <c r="G398" s="1" t="s">
        <v>1208</v>
      </c>
    </row>
    <row r="399" spans="1:7" x14ac:dyDescent="0.25">
      <c r="A399" s="2" t="str">
        <f>source_columns[[#This Row],[Название таблицы STAGE]]&amp;source_columns[[#This Row],[Название поля]]</f>
        <v>b3080000460018_reimbursement_agreement_actual_dtoplanpaymentdatedexpire</v>
      </c>
      <c r="B399" s="223" t="s">
        <v>151</v>
      </c>
      <c r="C399" s="2" t="s">
        <v>638</v>
      </c>
      <c r="D399" s="2" t="s">
        <v>302</v>
      </c>
      <c r="E399" s="2" t="s">
        <v>760</v>
      </c>
      <c r="F399" s="1" t="s">
        <v>420</v>
      </c>
      <c r="G399" s="1" t="s">
        <v>1191</v>
      </c>
    </row>
    <row r="400" spans="1:7" x14ac:dyDescent="0.25">
      <c r="A400" s="2" t="str">
        <f>source_columns[[#This Row],[Название таблицы STAGE]]&amp;source_columns[[#This Row],[Название поля]]</f>
        <v>b3080000460018_reimbursement_agreement_actual_dtoproductcode</v>
      </c>
      <c r="B400" s="223" t="s">
        <v>151</v>
      </c>
      <c r="C400" s="2" t="s">
        <v>1196</v>
      </c>
      <c r="D400" s="2" t="s">
        <v>320</v>
      </c>
      <c r="E400" s="2" t="s">
        <v>760</v>
      </c>
      <c r="F400" s="1" t="s">
        <v>420</v>
      </c>
      <c r="G400" s="1" t="s">
        <v>1197</v>
      </c>
    </row>
    <row r="401" spans="1:9" x14ac:dyDescent="0.25">
      <c r="A401" s="2" t="str">
        <f>source_columns[[#This Row],[Название таблицы STAGE]]&amp;source_columns[[#This Row],[Название поля]]</f>
        <v>b3080000460018_reimbursement_agreement_actual_dtoreference</v>
      </c>
      <c r="B401" s="223" t="s">
        <v>151</v>
      </c>
      <c r="C401" s="2" t="s">
        <v>388</v>
      </c>
      <c r="D401" s="2" t="s">
        <v>320</v>
      </c>
      <c r="E401" s="2" t="s">
        <v>758</v>
      </c>
      <c r="F401" s="1" t="s">
        <v>759</v>
      </c>
      <c r="G401" s="1" t="s">
        <v>1198</v>
      </c>
    </row>
    <row r="402" spans="1:9" x14ac:dyDescent="0.25">
      <c r="A402" s="2" t="str">
        <f>source_columns[[#This Row],[Название таблицы STAGE]]&amp;source_columns[[#This Row],[Название поля]]</f>
        <v>b3080000460018_reimbursement_agreement_actual_dtoreference_uid</v>
      </c>
      <c r="B402" s="223" t="s">
        <v>151</v>
      </c>
      <c r="C402" s="2" t="s">
        <v>496</v>
      </c>
      <c r="D402" s="2" t="s">
        <v>316</v>
      </c>
      <c r="E402" s="2" t="s">
        <v>758</v>
      </c>
      <c r="F402" s="1" t="s">
        <v>759</v>
      </c>
      <c r="G402" s="1" t="s">
        <v>1198</v>
      </c>
    </row>
    <row r="403" spans="1:9" x14ac:dyDescent="0.25">
      <c r="A403" s="2" t="str">
        <f>source_columns[[#This Row],[Название таблицы STAGE]]&amp;source_columns[[#This Row],[Название поля]]</f>
        <v>b3080000460018_reimbursement_agreement_actual_dtoreimbursingbankname</v>
      </c>
      <c r="B403" s="223" t="s">
        <v>151</v>
      </c>
      <c r="C403" s="2" t="s">
        <v>1212</v>
      </c>
      <c r="D403" s="2" t="s">
        <v>320</v>
      </c>
      <c r="E403" s="2" t="s">
        <v>760</v>
      </c>
      <c r="F403" s="1" t="s">
        <v>420</v>
      </c>
      <c r="G403" s="1" t="s">
        <v>1213</v>
      </c>
    </row>
    <row r="404" spans="1:9" ht="13.8" x14ac:dyDescent="0.25">
      <c r="A404" s="2" t="str">
        <f>source_columns[[#This Row],[Название таблицы STAGE]]&amp;source_columns[[#This Row],[Название поля]]</f>
        <v>b3080000460018_reimbursement_agreement_actual_dtoreimbursingbankswift_uid</v>
      </c>
      <c r="B404" s="223" t="s">
        <v>151</v>
      </c>
      <c r="C404" s="225" t="s">
        <v>643</v>
      </c>
      <c r="D404" s="2" t="s">
        <v>316</v>
      </c>
      <c r="E404" s="2" t="s">
        <v>760</v>
      </c>
      <c r="F404" s="1" t="s">
        <v>420</v>
      </c>
      <c r="G404" s="1" t="s">
        <v>1214</v>
      </c>
    </row>
    <row r="405" spans="1:9" x14ac:dyDescent="0.25">
      <c r="A405" s="2" t="str">
        <f>source_columns[[#This Row],[Название таблицы STAGE]]&amp;source_columns[[#This Row],[Название поля]]</f>
        <v>b3080000460018_reimbursement_agreement_actual_dtoreimbursingbankswift</v>
      </c>
      <c r="B405" s="223" t="s">
        <v>151</v>
      </c>
      <c r="C405" s="2" t="s">
        <v>1215</v>
      </c>
      <c r="D405" s="2" t="s">
        <v>320</v>
      </c>
      <c r="E405" s="2" t="s">
        <v>760</v>
      </c>
      <c r="F405" s="1" t="s">
        <v>420</v>
      </c>
      <c r="G405" s="1" t="s">
        <v>1214</v>
      </c>
    </row>
    <row r="406" spans="1:9" x14ac:dyDescent="0.25">
      <c r="A406" s="2" t="str">
        <f>source_columns[[#This Row],[Название таблицы STAGE]]&amp;source_columns[[#This Row],[Название поля]]</f>
        <v>b3080000460018_reimbursement_agreement_actual_dtosidereference</v>
      </c>
      <c r="B406" s="223" t="s">
        <v>151</v>
      </c>
      <c r="C406" s="2" t="s">
        <v>635</v>
      </c>
      <c r="D406" s="2" t="s">
        <v>320</v>
      </c>
      <c r="E406" s="2" t="s">
        <v>760</v>
      </c>
      <c r="F406" s="1" t="s">
        <v>420</v>
      </c>
      <c r="G406" s="1" t="s">
        <v>1144</v>
      </c>
    </row>
    <row r="407" spans="1:9" x14ac:dyDescent="0.25">
      <c r="A407" s="2" t="str">
        <f>source_columns[[#This Row],[Название таблицы STAGE]]&amp;source_columns[[#This Row],[Название поля]]</f>
        <v>b3080000460018_reimbursement_agreement_actual_dtosys_date_create_or_update</v>
      </c>
      <c r="B407" s="224" t="s">
        <v>151</v>
      </c>
      <c r="C407" s="141" t="s">
        <v>517</v>
      </c>
      <c r="D407" s="141" t="s">
        <v>1096</v>
      </c>
      <c r="E407" s="141" t="s">
        <v>760</v>
      </c>
      <c r="F407" s="219" t="s">
        <v>420</v>
      </c>
      <c r="G407" s="219" t="s">
        <v>811</v>
      </c>
      <c r="H407" s="219"/>
      <c r="I407" s="219"/>
    </row>
    <row r="408" spans="1:9" x14ac:dyDescent="0.25">
      <c r="A408" s="2" t="str">
        <f>source_columns[[#This Row],[Название таблицы STAGE]]&amp;source_columns[[#This Row],[Название поля]]</f>
        <v>b3080000460019_lcl_agreement_reportAttributesreportAttributes_code</v>
      </c>
      <c r="B408" s="222" t="s">
        <v>175</v>
      </c>
      <c r="C408" s="222" t="s">
        <v>653</v>
      </c>
      <c r="D408" s="222" t="s">
        <v>320</v>
      </c>
      <c r="E408" s="221" t="s">
        <v>758</v>
      </c>
      <c r="F408" s="221" t="s">
        <v>420</v>
      </c>
      <c r="G408" s="1" t="s">
        <v>1216</v>
      </c>
    </row>
    <row r="409" spans="1:9" x14ac:dyDescent="0.25">
      <c r="A409" s="2" t="str">
        <f>source_columns[[#This Row],[Название таблицы STAGE]]&amp;source_columns[[#This Row],[Название поля]]</f>
        <v>b3080000460019_lcl_agreement_reportAttributesreportAttributes_code_uid</v>
      </c>
      <c r="B409" s="1" t="s">
        <v>175</v>
      </c>
      <c r="C409" s="1" t="s">
        <v>650</v>
      </c>
      <c r="D409" s="1" t="s">
        <v>316</v>
      </c>
      <c r="E409" s="2" t="s">
        <v>758</v>
      </c>
      <c r="F409" s="2" t="s">
        <v>420</v>
      </c>
      <c r="G409" s="1" t="s">
        <v>1217</v>
      </c>
    </row>
    <row r="410" spans="1:9" x14ac:dyDescent="0.25">
      <c r="A410" s="2" t="str">
        <f>source_columns[[#This Row],[Название таблицы STAGE]]&amp;source_columns[[#This Row],[Название поля]]</f>
        <v>b3080000460019_lcl_agreement_reportAttributesreportAttributes_name</v>
      </c>
      <c r="B410" s="1" t="s">
        <v>175</v>
      </c>
      <c r="C410" s="1" t="s">
        <v>658</v>
      </c>
      <c r="D410" s="1" t="s">
        <v>320</v>
      </c>
      <c r="E410" s="2" t="s">
        <v>758</v>
      </c>
      <c r="F410" s="2" t="s">
        <v>420</v>
      </c>
      <c r="G410" s="1" t="s">
        <v>1218</v>
      </c>
    </row>
    <row r="411" spans="1:9" x14ac:dyDescent="0.25">
      <c r="A411" s="2" t="str">
        <f>source_columns[[#This Row],[Название таблицы STAGE]]&amp;source_columns[[#This Row],[Название поля]]</f>
        <v>b3080000460019_lcl_agreement_reportAttributesreference</v>
      </c>
      <c r="B411" s="1" t="s">
        <v>175</v>
      </c>
      <c r="C411" s="1" t="s">
        <v>388</v>
      </c>
      <c r="D411" s="1" t="s">
        <v>320</v>
      </c>
      <c r="E411" s="2" t="s">
        <v>758</v>
      </c>
      <c r="F411" s="2" t="s">
        <v>420</v>
      </c>
      <c r="G411" s="2" t="s">
        <v>1021</v>
      </c>
    </row>
    <row r="412" spans="1:9" x14ac:dyDescent="0.25">
      <c r="A412" s="2" t="str">
        <f>source_columns[[#This Row],[Название таблицы STAGE]]&amp;source_columns[[#This Row],[Название поля]]</f>
        <v>b3080000460019_lcl_agreement_reportAttributesreference_uid</v>
      </c>
      <c r="B412" s="1" t="s">
        <v>175</v>
      </c>
      <c r="C412" s="1" t="s">
        <v>496</v>
      </c>
      <c r="D412" s="1" t="s">
        <v>316</v>
      </c>
      <c r="E412" s="2" t="s">
        <v>758</v>
      </c>
      <c r="F412" s="2" t="s">
        <v>420</v>
      </c>
      <c r="G412" s="2" t="s">
        <v>1219</v>
      </c>
    </row>
    <row r="413" spans="1:9" x14ac:dyDescent="0.25">
      <c r="A413" s="2" t="str">
        <f>source_columns[[#This Row],[Название таблицы STAGE]]&amp;source_columns[[#This Row],[Название поля]]</f>
        <v>b3080000460019_lcl_agreement_reportAttributessys_date_create_or_update</v>
      </c>
      <c r="B413" s="1" t="s">
        <v>175</v>
      </c>
      <c r="C413" s="1" t="s">
        <v>517</v>
      </c>
      <c r="D413" s="226" t="s">
        <v>1096</v>
      </c>
      <c r="E413" s="2" t="s">
        <v>760</v>
      </c>
      <c r="F413" s="2" t="s">
        <v>420</v>
      </c>
      <c r="G413" s="2" t="s">
        <v>811</v>
      </c>
    </row>
    <row r="414" spans="1:9" x14ac:dyDescent="0.25">
      <c r="A414" s="2" t="str">
        <f>source_columns[[#This Row],[Название таблицы STAGE]]&amp;source_columns[[#This Row],[Название поля]]</f>
        <v>b3080000460019_lcl_agreement_reportAttributesdeleted</v>
      </c>
      <c r="B414" s="219" t="s">
        <v>175</v>
      </c>
      <c r="C414" s="219" t="s">
        <v>812</v>
      </c>
      <c r="D414" s="227" t="s">
        <v>827</v>
      </c>
      <c r="E414" s="141" t="s">
        <v>760</v>
      </c>
      <c r="F414" s="141" t="s">
        <v>420</v>
      </c>
      <c r="G414" s="141" t="s">
        <v>813</v>
      </c>
      <c r="H414" s="219"/>
      <c r="I414" s="141" t="s">
        <v>828</v>
      </c>
    </row>
    <row r="415" spans="1:9" x14ac:dyDescent="0.25">
      <c r="A415" s="2" t="str">
        <f>source_columns[[#This Row],[Название таблицы STAGE]]&amp;source_columns[[#This Row],[Название поля]]</f>
        <v>b3080000460010_lcl_agreement_credit_contractscreditcontracts_number</v>
      </c>
      <c r="B415" s="2" t="s">
        <v>160</v>
      </c>
      <c r="C415" s="2" t="s">
        <v>1220</v>
      </c>
      <c r="D415" s="2" t="s">
        <v>320</v>
      </c>
      <c r="E415" s="2" t="s">
        <v>758</v>
      </c>
      <c r="F415" s="2" t="s">
        <v>420</v>
      </c>
      <c r="G415" s="2" t="s">
        <v>298</v>
      </c>
      <c r="H415" s="2"/>
      <c r="I415" s="2"/>
    </row>
    <row r="416" spans="1:9" x14ac:dyDescent="0.25">
      <c r="A416" s="2" t="str">
        <f>source_columns[[#This Row],[Название таблицы STAGE]]&amp;source_columns[[#This Row],[Название поля]]</f>
        <v>b3080000460010_lcl_agreement_credit_contractscreditcontracts_number_uid</v>
      </c>
      <c r="B416" s="2" t="s">
        <v>160</v>
      </c>
      <c r="C416" s="2" t="s">
        <v>1221</v>
      </c>
      <c r="D416" s="2" t="s">
        <v>316</v>
      </c>
      <c r="E416" s="2" t="s">
        <v>760</v>
      </c>
      <c r="F416" s="2" t="s">
        <v>420</v>
      </c>
      <c r="G416" s="2" t="s">
        <v>1222</v>
      </c>
      <c r="H416" s="2"/>
      <c r="I416" s="2"/>
    </row>
    <row r="417" spans="1:9" x14ac:dyDescent="0.25">
      <c r="A417" s="2" t="str">
        <f>source_columns[[#This Row],[Название таблицы STAGE]]&amp;source_columns[[#This Row],[Название поля]]</f>
        <v>b3080000460010_lcl_agreement_credit_contractsreference_uid</v>
      </c>
      <c r="B417" s="2" t="s">
        <v>160</v>
      </c>
      <c r="C417" s="2" t="s">
        <v>496</v>
      </c>
      <c r="D417" s="2" t="s">
        <v>316</v>
      </c>
      <c r="E417" s="2" t="s">
        <v>760</v>
      </c>
      <c r="F417" s="2" t="s">
        <v>420</v>
      </c>
      <c r="G417" s="2" t="s">
        <v>1097</v>
      </c>
      <c r="H417" s="2"/>
      <c r="I417" s="2"/>
    </row>
    <row r="418" spans="1:9" x14ac:dyDescent="0.25">
      <c r="A418" s="2" t="str">
        <f>source_columns[[#This Row],[Название таблицы STAGE]]&amp;source_columns[[#This Row],[Название поля]]</f>
        <v>b3080000460010_lcl_agreement_credit_contractscreditcontracts_idpprbkul</v>
      </c>
      <c r="B418" s="2" t="s">
        <v>160</v>
      </c>
      <c r="C418" s="2" t="s">
        <v>1223</v>
      </c>
      <c r="D418" s="2" t="s">
        <v>320</v>
      </c>
      <c r="E418" s="2" t="s">
        <v>760</v>
      </c>
      <c r="F418" s="2" t="s">
        <v>420</v>
      </c>
      <c r="G418" s="2" t="s">
        <v>1224</v>
      </c>
      <c r="H418" s="2"/>
      <c r="I418" s="2"/>
    </row>
    <row r="419" spans="1:9" x14ac:dyDescent="0.25">
      <c r="A419" s="2" t="str">
        <f>source_columns[[#This Row],[Название таблицы STAGE]]&amp;source_columns[[#This Row],[Название поля]]</f>
        <v>b3080000460010_lcl_agreement_credit_contractscreditcontracts_idpprbkul_uid</v>
      </c>
      <c r="B419" s="2" t="s">
        <v>160</v>
      </c>
      <c r="C419" s="2" t="s">
        <v>1225</v>
      </c>
      <c r="D419" s="2" t="s">
        <v>316</v>
      </c>
      <c r="E419" s="2" t="s">
        <v>760</v>
      </c>
      <c r="F419" s="2" t="s">
        <v>420</v>
      </c>
      <c r="G419" s="2" t="s">
        <v>1224</v>
      </c>
      <c r="H419" s="2"/>
      <c r="I419" s="2"/>
    </row>
    <row r="420" spans="1:9" x14ac:dyDescent="0.25">
      <c r="A420" s="2" t="str">
        <f>source_columns[[#This Row],[Название таблицы STAGE]]&amp;source_columns[[#This Row],[Название поля]]</f>
        <v>b3080000460010_lcl_agreement_credit_contractscreditcontracts_date</v>
      </c>
      <c r="B420" s="2" t="s">
        <v>160</v>
      </c>
      <c r="C420" s="2" t="s">
        <v>1226</v>
      </c>
      <c r="D420" s="2" t="s">
        <v>302</v>
      </c>
      <c r="E420" s="2" t="s">
        <v>760</v>
      </c>
      <c r="F420" s="2" t="s">
        <v>420</v>
      </c>
      <c r="G420" s="2" t="s">
        <v>1227</v>
      </c>
      <c r="H420" s="2"/>
      <c r="I420" s="2"/>
    </row>
    <row r="421" spans="1:9" x14ac:dyDescent="0.25">
      <c r="A421" s="2" t="str">
        <f>source_columns[[#This Row],[Название таблицы STAGE]]&amp;source_columns[[#This Row],[Название поля]]</f>
        <v>b3080000460010_lcl_agreement_credit_contractscreditcontracts_eksid</v>
      </c>
      <c r="B421" s="2" t="s">
        <v>160</v>
      </c>
      <c r="C421" s="2" t="s">
        <v>1228</v>
      </c>
      <c r="D421" s="2" t="s">
        <v>320</v>
      </c>
      <c r="E421" s="2" t="s">
        <v>760</v>
      </c>
      <c r="F421" s="2" t="s">
        <v>420</v>
      </c>
      <c r="G421" s="2" t="s">
        <v>1229</v>
      </c>
      <c r="H421" s="2"/>
      <c r="I421" s="2"/>
    </row>
    <row r="422" spans="1:9" x14ac:dyDescent="0.25">
      <c r="A422" s="2" t="str">
        <f>source_columns[[#This Row],[Название таблицы STAGE]]&amp;source_columns[[#This Row],[Название поля]]</f>
        <v>b3080000460010_lcl_agreement_credit_contractsreference</v>
      </c>
      <c r="B422" s="2" t="s">
        <v>160</v>
      </c>
      <c r="C422" s="2" t="s">
        <v>388</v>
      </c>
      <c r="D422" s="2" t="s">
        <v>320</v>
      </c>
      <c r="E422" s="2" t="s">
        <v>758</v>
      </c>
      <c r="F422" s="2" t="s">
        <v>420</v>
      </c>
      <c r="G422" s="2" t="s">
        <v>1021</v>
      </c>
      <c r="H422" s="2"/>
      <c r="I422" s="2"/>
    </row>
    <row r="423" spans="1:9" x14ac:dyDescent="0.25">
      <c r="A423" s="2" t="str">
        <f>source_columns[[#This Row],[Название таблицы STAGE]]&amp;source_columns[[#This Row],[Название поля]]</f>
        <v>b3080000460010_lcl_agreement_credit_contractsstatus</v>
      </c>
      <c r="B423" s="2" t="s">
        <v>160</v>
      </c>
      <c r="C423" s="2" t="s">
        <v>695</v>
      </c>
      <c r="D423" s="2" t="s">
        <v>320</v>
      </c>
      <c r="E423" s="2" t="s">
        <v>760</v>
      </c>
      <c r="F423" s="2" t="s">
        <v>420</v>
      </c>
      <c r="G423" s="2" t="s">
        <v>1230</v>
      </c>
      <c r="H423" s="2"/>
      <c r="I423" s="2"/>
    </row>
    <row r="424" spans="1:9" x14ac:dyDescent="0.25">
      <c r="A424" s="2" t="str">
        <f>source_columns[[#This Row],[Название таблицы STAGE]]&amp;source_columns[[#This Row],[Название поля]]</f>
        <v>b3080000460010_lcl_agreement_credit_contractssys_date_create_or_update</v>
      </c>
      <c r="B424" s="2" t="s">
        <v>160</v>
      </c>
      <c r="C424" s="2" t="s">
        <v>517</v>
      </c>
      <c r="D424" s="2" t="s">
        <v>1096</v>
      </c>
      <c r="E424" s="2" t="s">
        <v>760</v>
      </c>
      <c r="F424" s="2" t="s">
        <v>420</v>
      </c>
      <c r="G424" s="2" t="s">
        <v>811</v>
      </c>
      <c r="H424" s="2"/>
      <c r="I424" s="2"/>
    </row>
    <row r="425" spans="1:9" x14ac:dyDescent="0.25">
      <c r="A425" s="2" t="str">
        <f>source_columns[[#This Row],[Название таблицы STAGE]]&amp;source_columns[[#This Row],[Название поля]]</f>
        <v>b3080000460010_lcl_agreement_credit_contractsdeleted</v>
      </c>
      <c r="B425" s="2" t="s">
        <v>160</v>
      </c>
      <c r="C425" s="2" t="s">
        <v>812</v>
      </c>
      <c r="D425" s="2" t="s">
        <v>827</v>
      </c>
      <c r="E425" s="2" t="s">
        <v>760</v>
      </c>
      <c r="F425" s="2" t="s">
        <v>420</v>
      </c>
      <c r="G425" s="2" t="s">
        <v>813</v>
      </c>
      <c r="H425" s="2"/>
      <c r="I425" s="141" t="s">
        <v>828</v>
      </c>
    </row>
    <row r="426" spans="1:9" x14ac:dyDescent="0.25">
      <c r="A426" s="2" t="str">
        <f>source_columns[[#This Row],[Название таблицы STAGE]]&amp;source_columns[[#This Row],[Название поля]]</f>
        <v>b3080000460011_lcl_agreement_supply_contractssupplycontracts_date</v>
      </c>
      <c r="B426" s="2" t="s">
        <v>552</v>
      </c>
      <c r="C426" s="2" t="s">
        <v>557</v>
      </c>
      <c r="D426" s="2" t="s">
        <v>302</v>
      </c>
      <c r="E426" s="2" t="s">
        <v>760</v>
      </c>
      <c r="F426" s="2" t="s">
        <v>420</v>
      </c>
      <c r="G426" s="2" t="s">
        <v>1231</v>
      </c>
      <c r="H426" s="2"/>
      <c r="I426" s="2"/>
    </row>
    <row r="427" spans="1:9" x14ac:dyDescent="0.25">
      <c r="A427" s="2" t="str">
        <f>source_columns[[#This Row],[Название таблицы STAGE]]&amp;source_columns[[#This Row],[Название поля]]</f>
        <v>b3080000460011_lcl_agreement_supply_contractssupplycontracts_number</v>
      </c>
      <c r="B427" s="2" t="s">
        <v>552</v>
      </c>
      <c r="C427" s="2" t="s">
        <v>556</v>
      </c>
      <c r="D427" s="2" t="s">
        <v>320</v>
      </c>
      <c r="E427" s="2" t="s">
        <v>758</v>
      </c>
      <c r="F427" s="2" t="s">
        <v>420</v>
      </c>
      <c r="G427" s="2" t="s">
        <v>1232</v>
      </c>
      <c r="H427" s="2"/>
      <c r="I427" s="2"/>
    </row>
    <row r="428" spans="1:9" x14ac:dyDescent="0.25">
      <c r="A428" s="2" t="str">
        <f>source_columns[[#This Row],[Название таблицы STAGE]]&amp;source_columns[[#This Row],[Название поля]]</f>
        <v>b3080000460011_lcl_agreement_supply_contractsreference</v>
      </c>
      <c r="B428" s="2" t="s">
        <v>552</v>
      </c>
      <c r="C428" s="2" t="s">
        <v>388</v>
      </c>
      <c r="D428" s="2" t="s">
        <v>320</v>
      </c>
      <c r="E428" s="2" t="s">
        <v>758</v>
      </c>
      <c r="F428" s="2" t="s">
        <v>420</v>
      </c>
      <c r="G428" s="2" t="s">
        <v>1021</v>
      </c>
      <c r="H428" s="2"/>
      <c r="I428" s="2"/>
    </row>
    <row r="429" spans="1:9" x14ac:dyDescent="0.25">
      <c r="A429" s="2" t="str">
        <f>source_columns[[#This Row],[Название таблицы STAGE]]&amp;source_columns[[#This Row],[Название поля]]</f>
        <v>b3080000460011_lcl_agreement_supply_contractscontracts_number_reference_uid</v>
      </c>
      <c r="B429" s="2" t="s">
        <v>552</v>
      </c>
      <c r="C429" s="2" t="s">
        <v>553</v>
      </c>
      <c r="D429" s="2" t="s">
        <v>316</v>
      </c>
      <c r="E429" s="2" t="s">
        <v>760</v>
      </c>
      <c r="F429" s="2" t="s">
        <v>420</v>
      </c>
      <c r="G429" s="2" t="s">
        <v>1233</v>
      </c>
      <c r="H429" s="2"/>
      <c r="I429" s="2"/>
    </row>
    <row r="430" spans="1:9" x14ac:dyDescent="0.25">
      <c r="A430" s="2" t="str">
        <f>source_columns[[#This Row],[Название таблицы STAGE]]&amp;source_columns[[#This Row],[Название поля]]</f>
        <v>b3080000460011_lcl_agreement_supply_contractsreference_uid</v>
      </c>
      <c r="B430" s="2" t="s">
        <v>552</v>
      </c>
      <c r="C430" s="2" t="s">
        <v>496</v>
      </c>
      <c r="D430" s="2" t="s">
        <v>316</v>
      </c>
      <c r="E430" s="2" t="s">
        <v>760</v>
      </c>
      <c r="F430" s="2" t="s">
        <v>420</v>
      </c>
      <c r="G430" s="2" t="s">
        <v>1097</v>
      </c>
      <c r="H430" s="2"/>
      <c r="I430" s="2"/>
    </row>
    <row r="431" spans="1:9" x14ac:dyDescent="0.25">
      <c r="A431" s="2" t="str">
        <f>source_columns[[#This Row],[Название таблицы STAGE]]&amp;source_columns[[#This Row],[Название поля]]</f>
        <v>b3080000460011_lcl_agreement_supply_contractssys_date_create_or_update</v>
      </c>
      <c r="B431" s="2" t="s">
        <v>552</v>
      </c>
      <c r="C431" s="2" t="s">
        <v>517</v>
      </c>
      <c r="D431" s="2" t="s">
        <v>1096</v>
      </c>
      <c r="E431" s="2" t="s">
        <v>760</v>
      </c>
      <c r="F431" s="2" t="s">
        <v>420</v>
      </c>
      <c r="G431" s="2" t="s">
        <v>811</v>
      </c>
      <c r="H431" s="2"/>
      <c r="I431" s="2"/>
    </row>
    <row r="432" spans="1:9" x14ac:dyDescent="0.25">
      <c r="A432" s="2" t="str">
        <f>source_columns[[#This Row],[Название таблицы STAGE]]&amp;source_columns[[#This Row],[Название поля]]</f>
        <v>b3080000460011_lcl_agreement_supply_contractsdeleted</v>
      </c>
      <c r="B432" s="2" t="s">
        <v>552</v>
      </c>
      <c r="C432" s="2" t="s">
        <v>812</v>
      </c>
      <c r="D432" s="2" t="s">
        <v>827</v>
      </c>
      <c r="E432" s="2" t="s">
        <v>760</v>
      </c>
      <c r="F432" s="2" t="s">
        <v>420</v>
      </c>
      <c r="G432" s="2" t="s">
        <v>813</v>
      </c>
      <c r="H432" s="2"/>
      <c r="I432" s="141" t="s">
        <v>828</v>
      </c>
    </row>
    <row r="433" spans="1:9" x14ac:dyDescent="0.25">
      <c r="A433" s="2" t="str">
        <f>source_columns[[#This Row],[Название таблицы STAGE]]&amp;source_columns[[#This Row],[Название поля]]</f>
        <v>b3080000460012_lcl_agreement_tariffstariffs_feeeventtype</v>
      </c>
      <c r="B433" s="2" t="s">
        <v>1234</v>
      </c>
      <c r="C433" s="2" t="s">
        <v>1235</v>
      </c>
      <c r="D433" s="2" t="s">
        <v>320</v>
      </c>
      <c r="E433" s="2" t="s">
        <v>758</v>
      </c>
      <c r="F433" s="2" t="s">
        <v>420</v>
      </c>
      <c r="G433" s="2" t="s">
        <v>1236</v>
      </c>
      <c r="H433" s="2"/>
      <c r="I433" s="2"/>
    </row>
    <row r="434" spans="1:9" x14ac:dyDescent="0.25">
      <c r="A434" s="2" t="str">
        <f>source_columns[[#This Row],[Название таблицы STAGE]]&amp;source_columns[[#This Row],[Название поля]]</f>
        <v>b3080000460012_lcl_agreement_tariffsreference</v>
      </c>
      <c r="B434" s="2" t="s">
        <v>1234</v>
      </c>
      <c r="C434" s="2" t="s">
        <v>388</v>
      </c>
      <c r="D434" s="2" t="s">
        <v>320</v>
      </c>
      <c r="E434" s="2" t="s">
        <v>758</v>
      </c>
      <c r="F434" s="2" t="s">
        <v>420</v>
      </c>
      <c r="G434" s="2" t="s">
        <v>1021</v>
      </c>
      <c r="H434" s="2"/>
      <c r="I434" s="2"/>
    </row>
    <row r="435" spans="1:9" x14ac:dyDescent="0.25">
      <c r="A435" s="2" t="str">
        <f>source_columns[[#This Row],[Название таблицы STAGE]]&amp;source_columns[[#This Row],[Название поля]]</f>
        <v>b3080000460012_lcl_agreement_tariffssys_date_create_or_update</v>
      </c>
      <c r="B435" s="2" t="s">
        <v>1234</v>
      </c>
      <c r="C435" s="2" t="s">
        <v>517</v>
      </c>
      <c r="D435" s="2" t="s">
        <v>1096</v>
      </c>
      <c r="E435" s="2" t="s">
        <v>760</v>
      </c>
      <c r="F435" s="2" t="s">
        <v>420</v>
      </c>
      <c r="G435" s="2" t="s">
        <v>811</v>
      </c>
      <c r="H435" s="2"/>
      <c r="I435" s="2"/>
    </row>
    <row r="436" spans="1:9" x14ac:dyDescent="0.25">
      <c r="A436" s="2" t="str">
        <f>source_columns[[#This Row],[Название таблицы STAGE]]&amp;source_columns[[#This Row],[Название поля]]</f>
        <v>b3080000460012_lcl_agreement_tariffsdeleted</v>
      </c>
      <c r="B436" s="2" t="s">
        <v>1234</v>
      </c>
      <c r="C436" s="2" t="s">
        <v>812</v>
      </c>
      <c r="D436" s="2" t="s">
        <v>827</v>
      </c>
      <c r="E436" s="2" t="s">
        <v>760</v>
      </c>
      <c r="F436" s="2" t="s">
        <v>420</v>
      </c>
      <c r="G436" s="2" t="s">
        <v>813</v>
      </c>
      <c r="H436" s="2"/>
      <c r="I436" s="141" t="s">
        <v>828</v>
      </c>
    </row>
    <row r="437" spans="1:9" x14ac:dyDescent="0.25">
      <c r="A437" s="2" t="str">
        <f>source_columns[[#This Row],[Название таблицы STAGE]]&amp;source_columns[[#This Row],[Название поля]]</f>
        <v>b3080000460013_lcl_agreement_applicant_fee_accountsapplicantfeeaccounts_number</v>
      </c>
      <c r="B437" s="2" t="s">
        <v>1237</v>
      </c>
      <c r="C437" s="2" t="s">
        <v>1238</v>
      </c>
      <c r="D437" s="2" t="s">
        <v>320</v>
      </c>
      <c r="E437" s="2" t="s">
        <v>758</v>
      </c>
      <c r="F437" s="2" t="s">
        <v>420</v>
      </c>
      <c r="G437" s="2" t="s">
        <v>1239</v>
      </c>
      <c r="H437" s="2"/>
      <c r="I437" s="2"/>
    </row>
    <row r="438" spans="1:9" x14ac:dyDescent="0.25">
      <c r="A438" s="2" t="str">
        <f>source_columns[[#This Row],[Название таблицы STAGE]]&amp;source_columns[[#This Row],[Название поля]]</f>
        <v>b3080000460013_lcl_agreement_applicant_fee_accountsapplicantfeeaccounts_number_uid</v>
      </c>
      <c r="B438" s="2" t="s">
        <v>1237</v>
      </c>
      <c r="C438" s="2" t="s">
        <v>1240</v>
      </c>
      <c r="D438" s="2" t="s">
        <v>316</v>
      </c>
      <c r="E438" s="2" t="s">
        <v>760</v>
      </c>
      <c r="F438" s="2" t="s">
        <v>420</v>
      </c>
      <c r="G438" s="2" t="s">
        <v>1241</v>
      </c>
      <c r="I438" s="2"/>
    </row>
    <row r="439" spans="1:9" x14ac:dyDescent="0.25">
      <c r="A439" s="2" t="str">
        <f>source_columns[[#This Row],[Название таблицы STAGE]]&amp;source_columns[[#This Row],[Название поля]]</f>
        <v>b3080000460013_lcl_agreement_applicant_fee_accountsreference_uid</v>
      </c>
      <c r="B439" s="2" t="s">
        <v>1237</v>
      </c>
      <c r="C439" s="2" t="s">
        <v>496</v>
      </c>
      <c r="D439" s="2" t="s">
        <v>316</v>
      </c>
      <c r="E439" s="2" t="s">
        <v>760</v>
      </c>
      <c r="F439" s="2" t="s">
        <v>420</v>
      </c>
      <c r="G439" s="2" t="s">
        <v>1097</v>
      </c>
      <c r="I439" s="2"/>
    </row>
    <row r="440" spans="1:9" x14ac:dyDescent="0.25">
      <c r="A440" s="2" t="str">
        <f>source_columns[[#This Row],[Название таблицы STAGE]]&amp;source_columns[[#This Row],[Название поля]]</f>
        <v>b3080000460013_lcl_agreement_applicant_fee_accountsreference</v>
      </c>
      <c r="B440" s="2" t="s">
        <v>1237</v>
      </c>
      <c r="C440" s="2" t="s">
        <v>388</v>
      </c>
      <c r="D440" s="2" t="s">
        <v>320</v>
      </c>
      <c r="E440" s="2" t="s">
        <v>758</v>
      </c>
      <c r="F440" s="2" t="s">
        <v>420</v>
      </c>
      <c r="G440" s="2" t="s">
        <v>1021</v>
      </c>
      <c r="H440" s="2"/>
      <c r="I440" s="2"/>
    </row>
    <row r="441" spans="1:9" x14ac:dyDescent="0.25">
      <c r="A441" s="2" t="str">
        <f>source_columns[[#This Row],[Название таблицы STAGE]]&amp;source_columns[[#This Row],[Название поля]]</f>
        <v>b3080000460013_lcl_agreement_applicant_fee_accountssys_date_create_or_update</v>
      </c>
      <c r="B441" s="2" t="s">
        <v>1237</v>
      </c>
      <c r="C441" s="2" t="s">
        <v>517</v>
      </c>
      <c r="D441" s="2" t="s">
        <v>1096</v>
      </c>
      <c r="E441" s="2" t="s">
        <v>760</v>
      </c>
      <c r="F441" s="2" t="s">
        <v>420</v>
      </c>
      <c r="G441" s="2" t="s">
        <v>811</v>
      </c>
      <c r="H441" s="2"/>
      <c r="I441" s="2"/>
    </row>
    <row r="442" spans="1:9" x14ac:dyDescent="0.25">
      <c r="A442" s="2" t="str">
        <f>source_columns[[#This Row],[Название таблицы STAGE]]&amp;source_columns[[#This Row],[Название поля]]</f>
        <v>b3080000460013_lcl_agreement_applicant_fee_accountsdeleted</v>
      </c>
      <c r="B442" s="2" t="s">
        <v>1237</v>
      </c>
      <c r="C442" s="2" t="s">
        <v>812</v>
      </c>
      <c r="D442" s="2" t="s">
        <v>827</v>
      </c>
      <c r="E442" s="2" t="s">
        <v>760</v>
      </c>
      <c r="F442" s="2" t="s">
        <v>420</v>
      </c>
      <c r="G442" s="2" t="s">
        <v>813</v>
      </c>
      <c r="H442" s="2"/>
      <c r="I442" s="141" t="s">
        <v>828</v>
      </c>
    </row>
    <row r="443" spans="1:9" x14ac:dyDescent="0.25">
      <c r="A443" s="2" t="str">
        <f>source_columns[[#This Row],[Название таблицы STAGE]]&amp;source_columns[[#This Row],[Название поля]]</f>
        <v>b3080000460014_lcl_registry_dtoregistryevent_name_code</v>
      </c>
      <c r="B443" s="2" t="s">
        <v>1242</v>
      </c>
      <c r="C443" s="2" t="s">
        <v>578</v>
      </c>
      <c r="D443" s="2" t="s">
        <v>320</v>
      </c>
      <c r="E443" s="2" t="s">
        <v>760</v>
      </c>
      <c r="F443" s="2" t="s">
        <v>420</v>
      </c>
      <c r="G443" s="2" t="s">
        <v>1243</v>
      </c>
      <c r="H443" s="2"/>
      <c r="I443" s="2"/>
    </row>
    <row r="444" spans="1:9" x14ac:dyDescent="0.25">
      <c r="A444" s="2" t="str">
        <f>source_columns[[#This Row],[Название таблицы STAGE]]&amp;source_columns[[#This Row],[Название поля]]</f>
        <v>b3080000460014_lcl_registry_dtoregistryevent_account_number</v>
      </c>
      <c r="B444" s="2" t="s">
        <v>1242</v>
      </c>
      <c r="C444" s="2" t="s">
        <v>1244</v>
      </c>
      <c r="D444" s="2" t="s">
        <v>320</v>
      </c>
      <c r="E444" s="2" t="s">
        <v>760</v>
      </c>
      <c r="F444" s="2" t="s">
        <v>420</v>
      </c>
      <c r="G444" s="2" t="s">
        <v>1245</v>
      </c>
      <c r="H444" s="2"/>
      <c r="I444" s="2"/>
    </row>
    <row r="445" spans="1:9" x14ac:dyDescent="0.25">
      <c r="A445" s="2" t="str">
        <f>source_columns[[#This Row],[Название таблицы STAGE]]&amp;source_columns[[#This Row],[Название поля]]</f>
        <v>b3080000460014_lcl_registry_dtoregistryevent_agreement_reference</v>
      </c>
      <c r="B445" s="2" t="s">
        <v>1242</v>
      </c>
      <c r="C445" s="2" t="s">
        <v>1246</v>
      </c>
      <c r="D445" s="2" t="s">
        <v>320</v>
      </c>
      <c r="E445" s="2" t="s">
        <v>760</v>
      </c>
      <c r="F445" s="2" t="s">
        <v>420</v>
      </c>
      <c r="G445" s="2" t="s">
        <v>1198</v>
      </c>
      <c r="H445" s="2"/>
      <c r="I445" s="2"/>
    </row>
    <row r="446" spans="1:9" x14ac:dyDescent="0.25">
      <c r="A446" s="2" t="str">
        <f>source_columns[[#This Row],[Название таблицы STAGE]]&amp;source_columns[[#This Row],[Название поля]]</f>
        <v>b3080000460014_lcl_registry_dtosys_date_create_or_update</v>
      </c>
      <c r="B446" s="2" t="s">
        <v>1242</v>
      </c>
      <c r="C446" s="2" t="s">
        <v>517</v>
      </c>
      <c r="D446" s="2" t="s">
        <v>1096</v>
      </c>
      <c r="E446" s="2" t="s">
        <v>760</v>
      </c>
      <c r="F446" s="2" t="s">
        <v>420</v>
      </c>
      <c r="G446" s="2" t="s">
        <v>811</v>
      </c>
      <c r="H446" s="2"/>
      <c r="I446" s="2"/>
    </row>
    <row r="447" spans="1:9" x14ac:dyDescent="0.25">
      <c r="A447" s="2" t="str">
        <f>source_columns[[#This Row],[Название таблицы STAGE]]&amp;source_columns[[#This Row],[Название поля]]</f>
        <v>b3080000460014_lcl_registry_dtodeleted</v>
      </c>
      <c r="B447" s="2" t="s">
        <v>1242</v>
      </c>
      <c r="C447" s="2" t="s">
        <v>812</v>
      </c>
      <c r="D447" s="2" t="s">
        <v>827</v>
      </c>
      <c r="E447" s="2" t="s">
        <v>760</v>
      </c>
      <c r="F447" s="2" t="s">
        <v>420</v>
      </c>
      <c r="G447" s="2" t="s">
        <v>813</v>
      </c>
      <c r="H447" s="2"/>
      <c r="I447" s="2" t="s">
        <v>828</v>
      </c>
    </row>
    <row r="448" spans="1:9" x14ac:dyDescent="0.25">
      <c r="A448" s="2" t="str">
        <f>source_columns[[#This Row],[Название таблицы STAGE]]&amp;source_columns[[#This Row],[Название поля]]</f>
        <v>b3080000460014_lcl_registry_dtoid</v>
      </c>
      <c r="B448" s="2" t="s">
        <v>1242</v>
      </c>
      <c r="C448" s="2" t="s">
        <v>433</v>
      </c>
      <c r="D448" s="2" t="s">
        <v>808</v>
      </c>
      <c r="E448" s="2" t="s">
        <v>758</v>
      </c>
      <c r="F448" s="2" t="s">
        <v>420</v>
      </c>
      <c r="G448" s="2" t="s">
        <v>1247</v>
      </c>
      <c r="H448" s="2"/>
      <c r="I448" s="2"/>
    </row>
    <row r="449" spans="1:9" x14ac:dyDescent="0.25">
      <c r="A449" s="2" t="str">
        <f>source_columns[[#This Row],[Название таблицы STAGE]]&amp;source_columns[[#This Row],[Название поля]]</f>
        <v>b3080000460014_lcl_registry_dtoexternal_registry_id_uid</v>
      </c>
      <c r="B449" s="2" t="s">
        <v>1242</v>
      </c>
      <c r="C449" s="2" t="s">
        <v>575</v>
      </c>
      <c r="D449" s="2" t="s">
        <v>316</v>
      </c>
      <c r="E449" s="2" t="s">
        <v>760</v>
      </c>
      <c r="F449" s="2" t="s">
        <v>420</v>
      </c>
      <c r="G449" s="2" t="s">
        <v>1248</v>
      </c>
      <c r="I449" s="2"/>
    </row>
    <row r="450" spans="1:9" x14ac:dyDescent="0.25">
      <c r="A450" s="2" t="str">
        <f>source_columns[[#This Row],[Название таблицы STAGE]]&amp;source_columns[[#This Row],[Название поля]]</f>
        <v>b3080000460014_lcl_registry_dtoexternal_registry_id</v>
      </c>
      <c r="B450" s="2" t="s">
        <v>1242</v>
      </c>
      <c r="C450" s="2" t="s">
        <v>1249</v>
      </c>
      <c r="D450" s="2" t="s">
        <v>320</v>
      </c>
      <c r="E450" s="2" t="s">
        <v>760</v>
      </c>
      <c r="F450" s="2" t="s">
        <v>420</v>
      </c>
      <c r="G450" s="2" t="s">
        <v>1250</v>
      </c>
      <c r="H450" s="2"/>
      <c r="I450" s="2"/>
    </row>
    <row r="451" spans="1:9" x14ac:dyDescent="0.25">
      <c r="A451" s="2" t="str">
        <f>source_columns[[#This Row],[Название таблицы STAGE]]&amp;source_columns[[#This Row],[Название поля]]</f>
        <v>b3080000460006_payments_2_0_posting_dtopostingevent_accountdebit_number</v>
      </c>
      <c r="B451" s="2" t="s">
        <v>45</v>
      </c>
      <c r="C451" s="2" t="s">
        <v>1251</v>
      </c>
      <c r="D451" s="2" t="s">
        <v>320</v>
      </c>
      <c r="E451" s="2" t="s">
        <v>760</v>
      </c>
      <c r="F451" s="2" t="s">
        <v>420</v>
      </c>
      <c r="G451" s="2" t="s">
        <v>1252</v>
      </c>
      <c r="H451" s="2"/>
      <c r="I451" s="2"/>
    </row>
    <row r="452" spans="1:9" x14ac:dyDescent="0.25">
      <c r="A452" s="2" t="str">
        <f>source_columns[[#This Row],[Название таблицы STAGE]]&amp;source_columns[[#This Row],[Название поля]]</f>
        <v>b3080000460006_payments_2_0_posting_dtopostingevent_accountcredit_registerid</v>
      </c>
      <c r="B452" s="2" t="s">
        <v>45</v>
      </c>
      <c r="C452" s="2" t="s">
        <v>1253</v>
      </c>
      <c r="D452" s="2" t="s">
        <v>320</v>
      </c>
      <c r="E452" s="2" t="s">
        <v>760</v>
      </c>
      <c r="F452" s="2" t="s">
        <v>420</v>
      </c>
      <c r="G452" s="2" t="s">
        <v>1254</v>
      </c>
      <c r="H452" s="2"/>
      <c r="I452" s="2"/>
    </row>
    <row r="453" spans="1:9" x14ac:dyDescent="0.25">
      <c r="A453" s="2" t="str">
        <f>source_columns[[#This Row],[Название таблицы STAGE]]&amp;source_columns[[#This Row],[Название поля]]</f>
        <v>b3080000460006_payments_2_0_posting_dtoexternal_agreement_id</v>
      </c>
      <c r="B453" s="2" t="s">
        <v>45</v>
      </c>
      <c r="C453" s="2" t="s">
        <v>928</v>
      </c>
      <c r="D453" s="2" t="s">
        <v>320</v>
      </c>
      <c r="E453" s="2" t="s">
        <v>760</v>
      </c>
      <c r="F453" s="2" t="s">
        <v>420</v>
      </c>
      <c r="G453" s="2" t="s">
        <v>1255</v>
      </c>
      <c r="H453" s="2"/>
      <c r="I453" s="2"/>
    </row>
    <row r="454" spans="1:9" x14ac:dyDescent="0.25">
      <c r="A454" s="2" t="str">
        <f>source_columns[[#This Row],[Название таблицы STAGE]]&amp;source_columns[[#This Row],[Название поля]]</f>
        <v>b3080000460006_payments_2_0_posting_dtopostingevent_accountcredit_number</v>
      </c>
      <c r="B454" s="2" t="s">
        <v>45</v>
      </c>
      <c r="C454" s="2" t="s">
        <v>1256</v>
      </c>
      <c r="D454" s="2" t="s">
        <v>320</v>
      </c>
      <c r="E454" s="2" t="s">
        <v>760</v>
      </c>
      <c r="F454" s="2" t="s">
        <v>420</v>
      </c>
      <c r="G454" s="2" t="s">
        <v>1257</v>
      </c>
      <c r="H454" s="2"/>
      <c r="I454" s="2"/>
    </row>
    <row r="455" spans="1:9" x14ac:dyDescent="0.25">
      <c r="A455" s="2" t="str">
        <f>source_columns[[#This Row],[Название таблицы STAGE]]&amp;source_columns[[#This Row],[Название поля]]</f>
        <v>b3080000460006_payments_2_0_posting_dtopostingevent_operationidkt</v>
      </c>
      <c r="B455" s="2" t="s">
        <v>45</v>
      </c>
      <c r="C455" s="2" t="s">
        <v>1258</v>
      </c>
      <c r="D455" s="2" t="s">
        <v>320</v>
      </c>
      <c r="E455" s="2" t="s">
        <v>760</v>
      </c>
      <c r="F455" s="2" t="s">
        <v>420</v>
      </c>
      <c r="G455" s="2" t="s">
        <v>1259</v>
      </c>
      <c r="H455" s="2"/>
      <c r="I455" s="2"/>
    </row>
    <row r="456" spans="1:9" x14ac:dyDescent="0.25">
      <c r="A456" s="2" t="str">
        <f>source_columns[[#This Row],[Название таблицы STAGE]]&amp;source_columns[[#This Row],[Название поля]]</f>
        <v>b3080000460006_payments_2_0_posting_dtoagreementreference_uid</v>
      </c>
      <c r="B456" s="2" t="s">
        <v>45</v>
      </c>
      <c r="C456" s="2" t="s">
        <v>933</v>
      </c>
      <c r="D456" s="2" t="s">
        <v>316</v>
      </c>
      <c r="E456" s="2" t="s">
        <v>760</v>
      </c>
      <c r="F456" s="2" t="s">
        <v>420</v>
      </c>
      <c r="G456" s="2" t="s">
        <v>934</v>
      </c>
    </row>
    <row r="457" spans="1:9" x14ac:dyDescent="0.25">
      <c r="A457" s="2" t="str">
        <f>source_columns[[#This Row],[Название таблицы STAGE]]&amp;source_columns[[#This Row],[Название поля]]</f>
        <v>b3080000460006_payments_2_0_posting_dtocodecommission_uid</v>
      </c>
      <c r="B457" s="2" t="s">
        <v>45</v>
      </c>
      <c r="C457" s="2" t="s">
        <v>488</v>
      </c>
      <c r="D457" s="2" t="s">
        <v>316</v>
      </c>
      <c r="E457" s="2" t="s">
        <v>760</v>
      </c>
      <c r="F457" s="2" t="s">
        <v>420</v>
      </c>
      <c r="G457" s="2" t="s">
        <v>1260</v>
      </c>
    </row>
    <row r="458" spans="1:9" x14ac:dyDescent="0.25">
      <c r="A458" s="2" t="str">
        <f>source_columns[[#This Row],[Название таблицы STAGE]]&amp;source_columns[[#This Row],[Название поля]]</f>
        <v>b3080000460006_payments_2_0_posting_dtopostingevent_accountcredit_registerid_uid</v>
      </c>
      <c r="B458" s="2" t="s">
        <v>45</v>
      </c>
      <c r="C458" s="2" t="s">
        <v>1261</v>
      </c>
      <c r="D458" s="2" t="s">
        <v>316</v>
      </c>
      <c r="E458" s="2" t="s">
        <v>760</v>
      </c>
      <c r="F458" s="2" t="s">
        <v>420</v>
      </c>
      <c r="G458" s="2" t="s">
        <v>1262</v>
      </c>
    </row>
    <row r="459" spans="1:9" x14ac:dyDescent="0.25">
      <c r="A459" s="2" t="str">
        <f>source_columns[[#This Row],[Название таблицы STAGE]]&amp;source_columns[[#This Row],[Название поля]]</f>
        <v>b3080000460006_payments_2_0_posting_dtoregisteriddt_uid</v>
      </c>
      <c r="B459" s="2" t="s">
        <v>45</v>
      </c>
      <c r="C459" s="2" t="s">
        <v>1263</v>
      </c>
      <c r="D459" s="2" t="s">
        <v>316</v>
      </c>
      <c r="E459" s="2" t="s">
        <v>760</v>
      </c>
      <c r="F459" s="2" t="s">
        <v>420</v>
      </c>
      <c r="G459" s="141" t="s">
        <v>1264</v>
      </c>
      <c r="H459" s="219"/>
      <c r="I459" s="219"/>
    </row>
    <row r="460" spans="1:9" ht="12.75" customHeight="1" x14ac:dyDescent="0.25">
      <c r="A460" s="2" t="str">
        <f>source_columns[[#This Row],[Название таблицы STAGE]]&amp;source_columns[[#This Row],[Название поля]]</f>
        <v>b3080000460020_lcl_agreement_versioned_dtoreference</v>
      </c>
      <c r="B460" s="2" t="s">
        <v>177</v>
      </c>
      <c r="C460" s="2" t="s">
        <v>388</v>
      </c>
      <c r="D460" s="2" t="s">
        <v>320</v>
      </c>
      <c r="E460" s="2" t="s">
        <v>760</v>
      </c>
      <c r="F460" s="2" t="s">
        <v>420</v>
      </c>
      <c r="G460" s="2" t="s">
        <v>1198</v>
      </c>
    </row>
    <row r="461" spans="1:9" ht="12.75" customHeight="1" x14ac:dyDescent="0.25">
      <c r="A461" s="2" t="str">
        <f>source_columns[[#This Row],[Название таблицы STAGE]]&amp;source_columns[[#This Row],[Название поля]]</f>
        <v>b3080000460020_lcl_agreement_versioned_dtodate_from</v>
      </c>
      <c r="B461" s="2" t="s">
        <v>177</v>
      </c>
      <c r="C461" s="2" t="s">
        <v>1265</v>
      </c>
      <c r="D461" s="2" t="s">
        <v>302</v>
      </c>
      <c r="E461" s="2" t="s">
        <v>760</v>
      </c>
      <c r="F461" s="2" t="s">
        <v>420</v>
      </c>
      <c r="G461" s="2" t="s">
        <v>1266</v>
      </c>
    </row>
    <row r="462" spans="1:9" ht="12.75" customHeight="1" x14ac:dyDescent="0.25">
      <c r="A462" s="2" t="str">
        <f>source_columns[[#This Row],[Название таблицы STAGE]]&amp;source_columns[[#This Row],[Название поля]]</f>
        <v>b3080000460020_lcl_agreement_versioned_dtoreference_dto</v>
      </c>
      <c r="B462" s="2" t="s">
        <v>177</v>
      </c>
      <c r="C462" s="2" t="s">
        <v>1267</v>
      </c>
      <c r="D462" s="2" t="s">
        <v>320</v>
      </c>
      <c r="E462" s="2" t="s">
        <v>760</v>
      </c>
      <c r="F462" s="2" t="s">
        <v>420</v>
      </c>
      <c r="G462" s="2" t="s">
        <v>1198</v>
      </c>
    </row>
    <row r="463" spans="1:9" ht="12.75" customHeight="1" x14ac:dyDescent="0.25">
      <c r="A463" s="2" t="str">
        <f>source_columns[[#This Row],[Название таблицы STAGE]]&amp;source_columns[[#This Row],[Название поля]]</f>
        <v>b3080000460020_lcl_agreement_versioned_dtoreference_dto_uid</v>
      </c>
      <c r="B463" s="2" t="s">
        <v>177</v>
      </c>
      <c r="C463" s="2" t="s">
        <v>1268</v>
      </c>
      <c r="D463" s="2" t="s">
        <v>316</v>
      </c>
      <c r="E463" s="2" t="s">
        <v>760</v>
      </c>
      <c r="F463" s="2" t="s">
        <v>420</v>
      </c>
      <c r="G463" s="2" t="s">
        <v>1269</v>
      </c>
    </row>
    <row r="464" spans="1:9" ht="12.75" customHeight="1" x14ac:dyDescent="0.25">
      <c r="A464" s="2" t="str">
        <f>source_columns[[#This Row],[Название таблицы STAGE]]&amp;source_columns[[#This Row],[Название поля]]</f>
        <v>b3080000460020_lcl_agreement_versioned_dtodateExpiry</v>
      </c>
      <c r="B464" s="2" t="s">
        <v>177</v>
      </c>
      <c r="C464" s="2" t="s">
        <v>1270</v>
      </c>
      <c r="D464" s="2" t="s">
        <v>302</v>
      </c>
      <c r="E464" s="2" t="s">
        <v>760</v>
      </c>
      <c r="F464" s="2" t="s">
        <v>420</v>
      </c>
      <c r="G464" s="2" t="s">
        <v>1074</v>
      </c>
    </row>
    <row r="465" spans="1:11" ht="12.75" customHeight="1" x14ac:dyDescent="0.25">
      <c r="A465" s="2" t="str">
        <f>source_columns[[#This Row],[Название таблицы STAGE]]&amp;source_columns[[#This Row],[Название поля]]</f>
        <v>b3080000460020_lcl_agreement_versioned_dtoamountValue</v>
      </c>
      <c r="B465" s="2" t="s">
        <v>177</v>
      </c>
      <c r="C465" s="2" t="s">
        <v>1271</v>
      </c>
      <c r="D465" s="2" t="s">
        <v>1093</v>
      </c>
      <c r="E465" s="2" t="s">
        <v>760</v>
      </c>
      <c r="F465" s="2" t="s">
        <v>420</v>
      </c>
      <c r="G465" s="2" t="s">
        <v>844</v>
      </c>
    </row>
    <row r="466" spans="1:11" ht="12.75" customHeight="1" x14ac:dyDescent="0.25">
      <c r="A466" s="2" t="str">
        <f>source_columns[[#This Row],[Название таблицы STAGE]]&amp;source_columns[[#This Row],[Название поля]]</f>
        <v>b3080000460020_lcl_agreement_versioned_dtoamountCurrencyCode</v>
      </c>
      <c r="B466" s="2" t="s">
        <v>177</v>
      </c>
      <c r="C466" s="2" t="s">
        <v>1272</v>
      </c>
      <c r="D466" s="2" t="s">
        <v>320</v>
      </c>
      <c r="E466" s="2" t="s">
        <v>760</v>
      </c>
      <c r="F466" s="2" t="s">
        <v>420</v>
      </c>
      <c r="G466" s="2" t="s">
        <v>1273</v>
      </c>
    </row>
    <row r="467" spans="1:11" ht="12.75" customHeight="1" x14ac:dyDescent="0.25">
      <c r="A467" s="2" t="str">
        <f>source_columns[[#This Row],[Название таблицы STAGE]]&amp;source_columns[[#This Row],[Название поля]]</f>
        <v>b3080000460020_lcl_agreement_versioned_dtostatus</v>
      </c>
      <c r="B467" s="2" t="s">
        <v>177</v>
      </c>
      <c r="C467" s="2" t="s">
        <v>695</v>
      </c>
      <c r="D467" s="2" t="s">
        <v>320</v>
      </c>
      <c r="E467" s="2" t="s">
        <v>760</v>
      </c>
      <c r="F467" s="2" t="s">
        <v>420</v>
      </c>
      <c r="G467" s="2" t="s">
        <v>1095</v>
      </c>
    </row>
    <row r="468" spans="1:11" ht="12.75" customHeight="1" x14ac:dyDescent="0.25">
      <c r="A468" s="2" t="str">
        <f>source_columns[[#This Row],[Название таблицы STAGE]]&amp;source_columns[[#This Row],[Название поля]]</f>
        <v>b3080000460020_lcl_agreement_versioned_dtodateConclusion</v>
      </c>
      <c r="B468" s="2" t="s">
        <v>177</v>
      </c>
      <c r="C468" s="2" t="s">
        <v>1274</v>
      </c>
      <c r="D468" s="2" t="s">
        <v>302</v>
      </c>
      <c r="E468" s="2" t="s">
        <v>760</v>
      </c>
      <c r="F468" s="2" t="s">
        <v>420</v>
      </c>
      <c r="G468" s="2" t="s">
        <v>1275</v>
      </c>
    </row>
    <row r="469" spans="1:11" ht="12.75" customHeight="1" x14ac:dyDescent="0.25">
      <c r="A469" s="2" t="str">
        <f>source_columns[[#This Row],[Название таблицы STAGE]]&amp;source_columns[[#This Row],[Название поля]]</f>
        <v>b3080000460020_lcl_agreement_versioned_dtosystem_code</v>
      </c>
      <c r="B469" s="2" t="s">
        <v>177</v>
      </c>
      <c r="C469" s="2" t="s">
        <v>1276</v>
      </c>
      <c r="D469" s="2" t="s">
        <v>320</v>
      </c>
      <c r="E469" s="2" t="s">
        <v>760</v>
      </c>
      <c r="F469" s="2" t="s">
        <v>420</v>
      </c>
      <c r="G469" s="2" t="s">
        <v>1277</v>
      </c>
    </row>
    <row r="470" spans="1:11" ht="12.75" customHeight="1" x14ac:dyDescent="0.25">
      <c r="A470" s="2" t="str">
        <f>source_columns[[#This Row],[Название таблицы STAGE]]&amp;source_columns[[#This Row],[Название поля]]</f>
        <v>b3080000460020_lcl_agreement_versioned_dtosys_date_create_or_update</v>
      </c>
      <c r="B470" s="2" t="s">
        <v>177</v>
      </c>
      <c r="C470" s="2" t="s">
        <v>517</v>
      </c>
      <c r="D470" s="2" t="s">
        <v>1096</v>
      </c>
      <c r="E470" s="2" t="s">
        <v>760</v>
      </c>
      <c r="F470" s="2" t="s">
        <v>420</v>
      </c>
      <c r="G470" s="2" t="s">
        <v>811</v>
      </c>
    </row>
    <row r="471" spans="1:11" ht="12.75" customHeight="1" x14ac:dyDescent="0.25">
      <c r="A471" s="2" t="str">
        <f>source_columns[[#This Row],[Название таблицы STAGE]]&amp;source_columns[[#This Row],[Название поля]]</f>
        <v>b3080000460020_lcl_agreement_versioned_dtodeleted</v>
      </c>
      <c r="B471" s="141" t="s">
        <v>177</v>
      </c>
      <c r="C471" s="141" t="s">
        <v>812</v>
      </c>
      <c r="D471" s="141" t="s">
        <v>827</v>
      </c>
      <c r="E471" s="141" t="s">
        <v>760</v>
      </c>
      <c r="F471" s="141" t="s">
        <v>420</v>
      </c>
      <c r="G471" s="141" t="s">
        <v>813</v>
      </c>
      <c r="H471" s="219"/>
      <c r="I471" s="141" t="s">
        <v>828</v>
      </c>
      <c r="J471" s="219"/>
      <c r="K471" s="219"/>
    </row>
    <row r="472" spans="1:11" x14ac:dyDescent="0.25">
      <c r="A472" s="2" t="str">
        <f>source_columns[[#This Row],[Название таблицы STAGE]]&amp;source_columns[[#This Row],[Название поля]]</f>
        <v>b3080000460021_guarantee_actual_dtoid</v>
      </c>
      <c r="B472" s="2" t="s">
        <v>186</v>
      </c>
      <c r="C472" s="2" t="s">
        <v>433</v>
      </c>
      <c r="D472" s="2" t="s">
        <v>808</v>
      </c>
      <c r="E472" s="2" t="s">
        <v>760</v>
      </c>
      <c r="F472" s="2" t="s">
        <v>420</v>
      </c>
      <c r="G472" s="2" t="s">
        <v>809</v>
      </c>
    </row>
    <row r="473" spans="1:11" x14ac:dyDescent="0.25">
      <c r="A473" s="2" t="str">
        <f>source_columns[[#This Row],[Название таблицы STAGE]]&amp;source_columns[[#This Row],[Название поля]]</f>
        <v>b3080000460021_guarantee_actual_dtocloseDate</v>
      </c>
      <c r="B473" s="2" t="s">
        <v>186</v>
      </c>
      <c r="C473" s="2" t="s">
        <v>668</v>
      </c>
      <c r="D473" s="2" t="s">
        <v>302</v>
      </c>
      <c r="E473" s="2" t="s">
        <v>760</v>
      </c>
      <c r="F473" s="2" t="s">
        <v>420</v>
      </c>
      <c r="G473" s="1" t="s">
        <v>1278</v>
      </c>
    </row>
    <row r="474" spans="1:11" x14ac:dyDescent="0.25">
      <c r="A474" s="2" t="str">
        <f>source_columns[[#This Row],[Название таблицы STAGE]]&amp;source_columns[[#This Row],[Название поля]]</f>
        <v>b3080000460021_guarantee_actual_dtoconclusionDate</v>
      </c>
      <c r="B474" s="2" t="s">
        <v>186</v>
      </c>
      <c r="C474" s="2" t="s">
        <v>667</v>
      </c>
      <c r="D474" s="2" t="s">
        <v>302</v>
      </c>
      <c r="E474" s="2" t="s">
        <v>760</v>
      </c>
      <c r="F474" s="2" t="s">
        <v>420</v>
      </c>
      <c r="G474" s="1" t="s">
        <v>1279</v>
      </c>
    </row>
    <row r="475" spans="1:11" x14ac:dyDescent="0.25">
      <c r="A475" s="2" t="str">
        <f>source_columns[[#This Row],[Название таблицы STAGE]]&amp;source_columns[[#This Row],[Название поля]]</f>
        <v>b3080000460021_guarantee_actual_dtoexternalId</v>
      </c>
      <c r="B475" s="2" t="s">
        <v>186</v>
      </c>
      <c r="C475" s="2" t="s">
        <v>673</v>
      </c>
      <c r="D475" s="2" t="s">
        <v>320</v>
      </c>
      <c r="E475" s="2" t="s">
        <v>760</v>
      </c>
      <c r="F475" s="2" t="s">
        <v>420</v>
      </c>
      <c r="G475" s="2" t="s">
        <v>1255</v>
      </c>
    </row>
    <row r="476" spans="1:11" x14ac:dyDescent="0.25">
      <c r="A476" s="2" t="str">
        <f>source_columns[[#This Row],[Название таблицы STAGE]]&amp;source_columns[[#This Row],[Название поля]]</f>
        <v>b3080000460021_guarantee_actual_dtoexternalId_uid</v>
      </c>
      <c r="B476" s="2" t="s">
        <v>186</v>
      </c>
      <c r="C476" s="2" t="s">
        <v>665</v>
      </c>
      <c r="D476" s="2" t="s">
        <v>316</v>
      </c>
      <c r="E476" s="2" t="s">
        <v>760</v>
      </c>
      <c r="F476" s="2" t="s">
        <v>420</v>
      </c>
      <c r="G476" s="2" t="s">
        <v>1255</v>
      </c>
    </row>
    <row r="477" spans="1:11" x14ac:dyDescent="0.25">
      <c r="A477" s="2" t="str">
        <f>source_columns[[#This Row],[Название таблицы STAGE]]&amp;source_columns[[#This Row],[Название поля]]</f>
        <v>b3080000460021_guarantee_actual_dtoosbCode</v>
      </c>
      <c r="B477" s="2" t="s">
        <v>186</v>
      </c>
      <c r="C477" s="2" t="s">
        <v>1280</v>
      </c>
      <c r="D477" s="2" t="s">
        <v>320</v>
      </c>
      <c r="E477" s="2" t="s">
        <v>760</v>
      </c>
      <c r="F477" s="2" t="s">
        <v>420</v>
      </c>
      <c r="G477" s="2" t="s">
        <v>1281</v>
      </c>
    </row>
    <row r="478" spans="1:11" x14ac:dyDescent="0.25">
      <c r="A478" s="2" t="str">
        <f>source_columns[[#This Row],[Название таблицы STAGE]]&amp;source_columns[[#This Row],[Название поля]]</f>
        <v>b3080000460021_guarantee_actual_dtobankBranch</v>
      </c>
      <c r="B478" s="2" t="s">
        <v>186</v>
      </c>
      <c r="C478" s="2" t="s">
        <v>1282</v>
      </c>
      <c r="D478" s="2" t="s">
        <v>320</v>
      </c>
      <c r="E478" s="2" t="s">
        <v>760</v>
      </c>
      <c r="F478" s="2" t="s">
        <v>420</v>
      </c>
      <c r="G478" s="2" t="s">
        <v>1283</v>
      </c>
    </row>
    <row r="479" spans="1:11" x14ac:dyDescent="0.25">
      <c r="A479" s="2" t="str">
        <f>source_columns[[#This Row],[Название таблицы STAGE]]&amp;source_columns[[#This Row],[Название поля]]</f>
        <v>b3080000460021_guarantee_actual_dtobankBranchOsbCode_uid</v>
      </c>
      <c r="B479" s="2" t="s">
        <v>186</v>
      </c>
      <c r="C479" s="2" t="s">
        <v>683</v>
      </c>
      <c r="D479" s="2" t="s">
        <v>316</v>
      </c>
      <c r="E479" s="2" t="s">
        <v>760</v>
      </c>
      <c r="F479" s="2" t="s">
        <v>420</v>
      </c>
      <c r="G479" s="2" t="s">
        <v>1284</v>
      </c>
      <c r="H479" s="2" t="s">
        <v>1285</v>
      </c>
    </row>
    <row r="480" spans="1:11" x14ac:dyDescent="0.25">
      <c r="A480" s="2" t="str">
        <f>source_columns[[#This Row],[Название таблицы STAGE]]&amp;source_columns[[#This Row],[Название поля]]</f>
        <v>b3080000460021_guarantee_actual_dtoguaranteeType</v>
      </c>
      <c r="B480" s="2" t="s">
        <v>186</v>
      </c>
      <c r="C480" s="2" t="s">
        <v>701</v>
      </c>
      <c r="D480" s="2" t="s">
        <v>320</v>
      </c>
      <c r="E480" s="2" t="s">
        <v>760</v>
      </c>
      <c r="F480" s="2" t="s">
        <v>420</v>
      </c>
      <c r="G480" s="2" t="s">
        <v>1286</v>
      </c>
    </row>
    <row r="481" spans="1:8" x14ac:dyDescent="0.25">
      <c r="A481" s="2" t="str">
        <f>source_columns[[#This Row],[Название таблицы STAGE]]&amp;source_columns[[#This Row],[Название поля]]</f>
        <v>b3080000460021_guarantee_actual_dtoguaranteeType_uid</v>
      </c>
      <c r="B481" s="2" t="s">
        <v>186</v>
      </c>
      <c r="C481" s="2" t="s">
        <v>671</v>
      </c>
      <c r="D481" s="2" t="s">
        <v>316</v>
      </c>
      <c r="E481" s="2" t="s">
        <v>760</v>
      </c>
      <c r="F481" s="2" t="s">
        <v>420</v>
      </c>
      <c r="G481" s="2" t="s">
        <v>1286</v>
      </c>
    </row>
    <row r="482" spans="1:8" x14ac:dyDescent="0.25">
      <c r="A482" s="2" t="str">
        <f>source_columns[[#This Row],[Название таблицы STAGE]]&amp;source_columns[[#This Row],[Название поля]]</f>
        <v>b3080000460021_guarantee_actual_dtostatus</v>
      </c>
      <c r="B482" s="2" t="s">
        <v>186</v>
      </c>
      <c r="C482" s="2" t="s">
        <v>695</v>
      </c>
      <c r="D482" s="2" t="s">
        <v>320</v>
      </c>
      <c r="E482" s="2" t="s">
        <v>760</v>
      </c>
      <c r="F482" s="2" t="s">
        <v>420</v>
      </c>
      <c r="G482" s="1" t="s">
        <v>1287</v>
      </c>
    </row>
    <row r="483" spans="1:8" x14ac:dyDescent="0.25">
      <c r="A483" s="2" t="str">
        <f>source_columns[[#This Row],[Название таблицы STAGE]]&amp;source_columns[[#This Row],[Название поля]]</f>
        <v>b3080000460021_guarantee_actual_dtoreference</v>
      </c>
      <c r="B483" s="2" t="s">
        <v>186</v>
      </c>
      <c r="C483" s="2" t="s">
        <v>388</v>
      </c>
      <c r="D483" s="2" t="s">
        <v>320</v>
      </c>
      <c r="E483" s="2" t="s">
        <v>760</v>
      </c>
      <c r="F483" s="2" t="s">
        <v>420</v>
      </c>
      <c r="G483" s="2" t="s">
        <v>1198</v>
      </c>
    </row>
    <row r="484" spans="1:8" x14ac:dyDescent="0.25">
      <c r="A484" s="2" t="str">
        <f>source_columns[[#This Row],[Название таблицы STAGE]]&amp;source_columns[[#This Row],[Название поля]]</f>
        <v>b3080000460021_guarantee_actual_dtoguarantorBankReference</v>
      </c>
      <c r="B484" s="2" t="s">
        <v>186</v>
      </c>
      <c r="C484" s="2" t="s">
        <v>1288</v>
      </c>
      <c r="D484" s="2" t="s">
        <v>320</v>
      </c>
      <c r="E484" s="2" t="s">
        <v>760</v>
      </c>
      <c r="F484" s="2" t="s">
        <v>420</v>
      </c>
      <c r="G484" s="1" t="s">
        <v>1289</v>
      </c>
    </row>
    <row r="485" spans="1:8" x14ac:dyDescent="0.25">
      <c r="A485" s="2" t="str">
        <f>source_columns[[#This Row],[Название таблицы STAGE]]&amp;source_columns[[#This Row],[Название поля]]</f>
        <v>b3080000460021_guarantee_actual_dtoapplicant_type</v>
      </c>
      <c r="B485" s="2" t="s">
        <v>186</v>
      </c>
      <c r="C485" s="2" t="s">
        <v>1290</v>
      </c>
      <c r="D485" s="2" t="s">
        <v>320</v>
      </c>
      <c r="E485" s="2" t="s">
        <v>760</v>
      </c>
      <c r="F485" s="2" t="s">
        <v>420</v>
      </c>
      <c r="G485" s="1" t="s">
        <v>1291</v>
      </c>
    </row>
    <row r="486" spans="1:8" x14ac:dyDescent="0.25">
      <c r="A486" s="2" t="str">
        <f>source_columns[[#This Row],[Название таблицы STAGE]]&amp;source_columns[[#This Row],[Название поля]]</f>
        <v>b3080000460021_guarantee_actual_dtobeneficiary_type</v>
      </c>
      <c r="B486" s="2" t="s">
        <v>186</v>
      </c>
      <c r="C486" s="2" t="s">
        <v>1292</v>
      </c>
      <c r="D486" s="2" t="s">
        <v>320</v>
      </c>
      <c r="E486" s="2" t="s">
        <v>760</v>
      </c>
      <c r="F486" s="2" t="s">
        <v>420</v>
      </c>
      <c r="G486" s="1" t="s">
        <v>1293</v>
      </c>
    </row>
    <row r="487" spans="1:8" x14ac:dyDescent="0.25">
      <c r="A487" s="2" t="str">
        <f>source_columns[[#This Row],[Название таблицы STAGE]]&amp;source_columns[[#This Row],[Название поля]]</f>
        <v>b3080000460021_guarantee_actual_dtoapplicant_epkId</v>
      </c>
      <c r="B487" s="2" t="s">
        <v>186</v>
      </c>
      <c r="C487" s="2" t="s">
        <v>1294</v>
      </c>
      <c r="D487" s="2" t="s">
        <v>320</v>
      </c>
      <c r="E487" s="2" t="s">
        <v>760</v>
      </c>
      <c r="F487" s="2" t="s">
        <v>420</v>
      </c>
      <c r="G487" s="1" t="s">
        <v>1295</v>
      </c>
    </row>
    <row r="488" spans="1:8" x14ac:dyDescent="0.25">
      <c r="A488" s="2" t="str">
        <f>source_columns[[#This Row],[Название таблицы STAGE]]&amp;source_columns[[#This Row],[Название поля]]</f>
        <v>b3080000460021_guarantee_actual_dtoapplicant_epkId_uid</v>
      </c>
      <c r="B488" s="2" t="s">
        <v>186</v>
      </c>
      <c r="C488" s="2" t="s">
        <v>1296</v>
      </c>
      <c r="D488" s="2" t="s">
        <v>316</v>
      </c>
      <c r="E488" s="2" t="s">
        <v>760</v>
      </c>
      <c r="F488" s="2" t="s">
        <v>420</v>
      </c>
      <c r="G488" s="1" t="s">
        <v>1295</v>
      </c>
    </row>
    <row r="489" spans="1:8" x14ac:dyDescent="0.25">
      <c r="A489" s="2" t="str">
        <f>source_columns[[#This Row],[Название таблицы STAGE]]&amp;source_columns[[#This Row],[Название поля]]</f>
        <v>b3080000460021_guarantee_actual_dtobeneficiary_epkId</v>
      </c>
      <c r="B489" s="2" t="s">
        <v>186</v>
      </c>
      <c r="C489" s="2" t="s">
        <v>1297</v>
      </c>
      <c r="D489" s="2" t="s">
        <v>320</v>
      </c>
      <c r="E489" s="2" t="s">
        <v>760</v>
      </c>
      <c r="F489" s="2" t="s">
        <v>420</v>
      </c>
      <c r="G489" s="1" t="s">
        <v>1298</v>
      </c>
    </row>
    <row r="490" spans="1:8" x14ac:dyDescent="0.25">
      <c r="A490" s="2" t="str">
        <f>source_columns[[#This Row],[Название таблицы STAGE]]&amp;source_columns[[#This Row],[Название поля]]</f>
        <v>b3080000460021_guarantee_actual_dtobeneficiary_epkId_uid</v>
      </c>
      <c r="B490" s="2" t="s">
        <v>186</v>
      </c>
      <c r="C490" s="2" t="s">
        <v>1299</v>
      </c>
      <c r="D490" s="2" t="s">
        <v>316</v>
      </c>
      <c r="E490" s="2" t="s">
        <v>760</v>
      </c>
      <c r="F490" s="2" t="s">
        <v>420</v>
      </c>
      <c r="G490" s="1" t="s">
        <v>1298</v>
      </c>
    </row>
    <row r="491" spans="1:8" x14ac:dyDescent="0.25">
      <c r="A491" s="2" t="str">
        <f>source_columns[[#This Row],[Название таблицы STAGE]]&amp;source_columns[[#This Row],[Название поля]]</f>
        <v>b3080000460021_guarantee_actual_dtoapplicant_taxId</v>
      </c>
      <c r="B491" s="2" t="s">
        <v>186</v>
      </c>
      <c r="C491" s="2" t="s">
        <v>1300</v>
      </c>
      <c r="D491" s="2" t="s">
        <v>320</v>
      </c>
      <c r="E491" s="2" t="s">
        <v>760</v>
      </c>
      <c r="F491" s="2" t="s">
        <v>420</v>
      </c>
      <c r="G491" s="1" t="s">
        <v>1301</v>
      </c>
    </row>
    <row r="492" spans="1:8" x14ac:dyDescent="0.25">
      <c r="A492" s="2" t="str">
        <f>source_columns[[#This Row],[Название таблицы STAGE]]&amp;source_columns[[#This Row],[Название поля]]</f>
        <v>b3080000460021_guarantee_actual_dtobeneficiary_taxId</v>
      </c>
      <c r="B492" s="2" t="s">
        <v>186</v>
      </c>
      <c r="C492" s="2" t="s">
        <v>1302</v>
      </c>
      <c r="D492" s="2" t="s">
        <v>320</v>
      </c>
      <c r="E492" s="2" t="s">
        <v>760</v>
      </c>
      <c r="F492" s="2" t="s">
        <v>420</v>
      </c>
      <c r="G492" s="1" t="s">
        <v>1303</v>
      </c>
    </row>
    <row r="493" spans="1:8" x14ac:dyDescent="0.25">
      <c r="A493" s="2" t="str">
        <f>source_columns[[#This Row],[Название таблицы STAGE]]&amp;source_columns[[#This Row],[Название поля]]</f>
        <v xml:space="preserve">b3080000460021_guarantee_actual_dtocase when  applicant_type = 'INDIVIDUAL_ENTREPRENEUR' then 'individual' else applicant_fullName end as applicant_fullName </v>
      </c>
      <c r="B493" s="2" t="s">
        <v>186</v>
      </c>
      <c r="C493" s="2" t="s">
        <v>1304</v>
      </c>
      <c r="D493" s="2" t="s">
        <v>320</v>
      </c>
      <c r="E493" s="2" t="s">
        <v>760</v>
      </c>
      <c r="F493" s="2" t="s">
        <v>420</v>
      </c>
      <c r="G493" s="1" t="s">
        <v>1305</v>
      </c>
      <c r="H493" s="2"/>
    </row>
    <row r="494" spans="1:8" x14ac:dyDescent="0.25">
      <c r="A494" s="2" t="str">
        <f>source_columns[[#This Row],[Название таблицы STAGE]]&amp;source_columns[[#This Row],[Название поля]]</f>
        <v>b3080000460021_guarantee_actual_dtocase when beneficiary_type = 'INDIVIDUAL_ENTREPRENEUR' then 'individual' else beneficiary_fullName end as beneficiary_fullName</v>
      </c>
      <c r="B494" s="2" t="s">
        <v>186</v>
      </c>
      <c r="C494" s="2" t="s">
        <v>1306</v>
      </c>
      <c r="D494" s="2" t="s">
        <v>320</v>
      </c>
      <c r="E494" s="2" t="s">
        <v>760</v>
      </c>
      <c r="F494" s="2" t="s">
        <v>420</v>
      </c>
      <c r="G494" s="1" t="s">
        <v>1307</v>
      </c>
    </row>
    <row r="495" spans="1:8" x14ac:dyDescent="0.25">
      <c r="A495" s="2" t="str">
        <f>source_columns[[#This Row],[Название таблицы STAGE]]&amp;source_columns[[#This Row],[Название поля]]</f>
        <v>b3080000460021_guarantee_actual_dtoapplicant_taxId_uid</v>
      </c>
      <c r="B495" s="2" t="s">
        <v>186</v>
      </c>
      <c r="C495" s="2" t="s">
        <v>1308</v>
      </c>
      <c r="D495" s="2" t="s">
        <v>316</v>
      </c>
      <c r="E495" s="2" t="s">
        <v>760</v>
      </c>
      <c r="F495" s="2" t="s">
        <v>420</v>
      </c>
      <c r="G495" s="1" t="s">
        <v>1301</v>
      </c>
      <c r="H495" s="2" t="s">
        <v>1309</v>
      </c>
    </row>
    <row r="496" spans="1:8" x14ac:dyDescent="0.25">
      <c r="A496" s="2" t="str">
        <f>source_columns[[#This Row],[Название таблицы STAGE]]&amp;source_columns[[#This Row],[Название поля]]</f>
        <v>b3080000460021_guarantee_actual_dtobeneficiary_taxId_uid</v>
      </c>
      <c r="B496" s="2" t="s">
        <v>186</v>
      </c>
      <c r="C496" s="2" t="s">
        <v>1310</v>
      </c>
      <c r="D496" s="2" t="s">
        <v>316</v>
      </c>
      <c r="E496" s="2" t="s">
        <v>760</v>
      </c>
      <c r="F496" s="2" t="s">
        <v>420</v>
      </c>
      <c r="G496" s="1" t="s">
        <v>1303</v>
      </c>
      <c r="H496" s="2" t="s">
        <v>1311</v>
      </c>
    </row>
    <row r="497" spans="1:9" x14ac:dyDescent="0.25">
      <c r="A497" s="2" t="str">
        <f>source_columns[[#This Row],[Название таблицы STAGE]]&amp;source_columns[[#This Row],[Название поля]]</f>
        <v>b3080000460021_guarantee_actual_dtoguarantorBank_name</v>
      </c>
      <c r="B497" s="2" t="s">
        <v>186</v>
      </c>
      <c r="C497" s="2" t="s">
        <v>1312</v>
      </c>
      <c r="D497" s="2" t="s">
        <v>320</v>
      </c>
      <c r="E497" s="2" t="s">
        <v>760</v>
      </c>
      <c r="F497" s="2" t="s">
        <v>420</v>
      </c>
      <c r="G497" s="1" t="s">
        <v>1313</v>
      </c>
    </row>
    <row r="498" spans="1:9" x14ac:dyDescent="0.25">
      <c r="A498" s="2" t="str">
        <f>source_columns[[#This Row],[Название таблицы STAGE]]&amp;source_columns[[#This Row],[Название поля]]</f>
        <v>b3080000460021_guarantee_actual_dtoguarantorBank_bic</v>
      </c>
      <c r="B498" s="2" t="s">
        <v>186</v>
      </c>
      <c r="C498" s="2" t="s">
        <v>1314</v>
      </c>
      <c r="D498" s="2" t="s">
        <v>320</v>
      </c>
      <c r="E498" s="2" t="s">
        <v>760</v>
      </c>
      <c r="F498" s="2" t="s">
        <v>420</v>
      </c>
      <c r="G498" s="1" t="s">
        <v>1315</v>
      </c>
    </row>
    <row r="499" spans="1:9" x14ac:dyDescent="0.25">
      <c r="A499" s="2" t="str">
        <f>source_columns[[#This Row],[Название таблицы STAGE]]&amp;source_columns[[#This Row],[Название поля]]</f>
        <v>b3080000460021_guarantee_actual_dtoguarantorBank_branchCountryCode</v>
      </c>
      <c r="B499" s="2" t="s">
        <v>186</v>
      </c>
      <c r="C499" s="2" t="s">
        <v>1316</v>
      </c>
      <c r="D499" s="2" t="s">
        <v>320</v>
      </c>
      <c r="E499" s="2" t="s">
        <v>760</v>
      </c>
      <c r="F499" s="2" t="s">
        <v>420</v>
      </c>
      <c r="G499" s="1" t="s">
        <v>1317</v>
      </c>
    </row>
    <row r="500" spans="1:9" x14ac:dyDescent="0.25">
      <c r="A500" s="2" t="str">
        <f>source_columns[[#This Row],[Название таблицы STAGE]]&amp;source_columns[[#This Row],[Название поля]]</f>
        <v>b3080000460021_guarantee_actual_dtoguarantorBank_uid</v>
      </c>
      <c r="B500" s="2" t="s">
        <v>186</v>
      </c>
      <c r="C500" s="2" t="s">
        <v>690</v>
      </c>
      <c r="D500" s="2" t="s">
        <v>316</v>
      </c>
      <c r="E500" s="2" t="s">
        <v>760</v>
      </c>
      <c r="F500" s="2" t="s">
        <v>420</v>
      </c>
      <c r="G500" s="1" t="s">
        <v>1313</v>
      </c>
      <c r="H500" s="2" t="s">
        <v>1318</v>
      </c>
    </row>
    <row r="501" spans="1:9" x14ac:dyDescent="0.25">
      <c r="A501" s="2" t="str">
        <f>source_columns[[#This Row],[Название таблицы STAGE]]&amp;source_columns[[#This Row],[Название поля]]</f>
        <v>b3080000460021_guarantee_actual_dtodateVersion</v>
      </c>
      <c r="B501" s="2" t="s">
        <v>186</v>
      </c>
      <c r="C501" s="2" t="s">
        <v>1319</v>
      </c>
      <c r="D501" s="2" t="s">
        <v>302</v>
      </c>
      <c r="E501" s="2" t="s">
        <v>760</v>
      </c>
      <c r="F501" s="2" t="s">
        <v>420</v>
      </c>
      <c r="G501" s="1" t="s">
        <v>957</v>
      </c>
    </row>
    <row r="502" spans="1:9" x14ac:dyDescent="0.25">
      <c r="A502" s="2" t="str">
        <f>source_columns[[#This Row],[Название таблицы STAGE]]&amp;source_columns[[#This Row],[Название поля]]</f>
        <v>b3080000460021_guarantee_actual_dtoexpirationDate</v>
      </c>
      <c r="B502" s="2" t="s">
        <v>186</v>
      </c>
      <c r="C502" s="2" t="s">
        <v>676</v>
      </c>
      <c r="D502" s="2" t="s">
        <v>302</v>
      </c>
      <c r="E502" s="2" t="s">
        <v>760</v>
      </c>
      <c r="F502" s="2" t="s">
        <v>420</v>
      </c>
      <c r="G502" s="1" t="s">
        <v>1074</v>
      </c>
    </row>
    <row r="503" spans="1:9" x14ac:dyDescent="0.25">
      <c r="A503" s="2" t="str">
        <f>source_columns[[#This Row],[Название таблицы STAGE]]&amp;source_columns[[#This Row],[Название поля]]</f>
        <v>b3080000460021_guarantee_actual_dtobeneficiaryBankBankBranch</v>
      </c>
      <c r="B503" s="2" t="s">
        <v>186</v>
      </c>
      <c r="C503" s="2" t="s">
        <v>1320</v>
      </c>
      <c r="D503" s="2" t="s">
        <v>320</v>
      </c>
      <c r="E503" s="2" t="s">
        <v>760</v>
      </c>
      <c r="F503" s="2" t="s">
        <v>420</v>
      </c>
      <c r="G503" s="1" t="s">
        <v>1321</v>
      </c>
    </row>
    <row r="504" spans="1:9" x14ac:dyDescent="0.25">
      <c r="A504" s="2" t="str">
        <f>source_columns[[#This Row],[Название таблицы STAGE]]&amp;source_columns[[#This Row],[Название поля]]</f>
        <v>b3080000460021_guarantee_actual_dtobeneficiaryBankOsbCode</v>
      </c>
      <c r="B504" s="2" t="s">
        <v>186</v>
      </c>
      <c r="C504" s="2" t="s">
        <v>1322</v>
      </c>
      <c r="D504" s="2" t="s">
        <v>320</v>
      </c>
      <c r="E504" s="2" t="s">
        <v>760</v>
      </c>
      <c r="F504" s="2" t="s">
        <v>420</v>
      </c>
      <c r="G504" s="1" t="s">
        <v>1323</v>
      </c>
    </row>
    <row r="505" spans="1:9" x14ac:dyDescent="0.25">
      <c r="A505" s="2" t="str">
        <f>source_columns[[#This Row],[Название таблицы STAGE]]&amp;source_columns[[#This Row],[Название поля]]</f>
        <v>b3080000460021_guarantee_actual_dtobeneficiaryBankBranchOsbCode_uid</v>
      </c>
      <c r="B505" s="2" t="s">
        <v>186</v>
      </c>
      <c r="C505" s="2" t="s">
        <v>686</v>
      </c>
      <c r="D505" s="2" t="s">
        <v>316</v>
      </c>
      <c r="E505" s="2" t="s">
        <v>760</v>
      </c>
      <c r="F505" s="2" t="s">
        <v>420</v>
      </c>
      <c r="G505" s="2" t="s">
        <v>1324</v>
      </c>
      <c r="H505" s="2" t="s">
        <v>1325</v>
      </c>
    </row>
    <row r="506" spans="1:9" x14ac:dyDescent="0.25">
      <c r="A506" s="2" t="str">
        <f>source_columns[[#This Row],[Название таблицы STAGE]]&amp;source_columns[[#This Row],[Название поля]]</f>
        <v>b3080000460021_guarantee_actual_dtoamount_value</v>
      </c>
      <c r="B506" s="2" t="s">
        <v>186</v>
      </c>
      <c r="C506" s="2" t="s">
        <v>674</v>
      </c>
      <c r="D506" s="2" t="s">
        <v>1093</v>
      </c>
      <c r="E506" s="2" t="s">
        <v>760</v>
      </c>
      <c r="F506" s="2" t="s">
        <v>420</v>
      </c>
      <c r="G506" s="1" t="s">
        <v>1326</v>
      </c>
    </row>
    <row r="507" spans="1:9" x14ac:dyDescent="0.25">
      <c r="A507" s="2" t="str">
        <f>source_columns[[#This Row],[Название таблицы STAGE]]&amp;source_columns[[#This Row],[Название поля]]</f>
        <v>b3080000460021_guarantee_actual_dtoadditionalConditions</v>
      </c>
      <c r="B507" s="2" t="s">
        <v>186</v>
      </c>
      <c r="C507" s="2" t="s">
        <v>1327</v>
      </c>
      <c r="D507" s="2" t="s">
        <v>320</v>
      </c>
      <c r="E507" s="2" t="s">
        <v>760</v>
      </c>
      <c r="F507" s="2" t="s">
        <v>420</v>
      </c>
      <c r="G507" s="1" t="s">
        <v>1032</v>
      </c>
    </row>
    <row r="508" spans="1:9" x14ac:dyDescent="0.25">
      <c r="A508" s="2" t="str">
        <f>source_columns[[#This Row],[Название таблицы STAGE]]&amp;source_columns[[#This Row],[Название поля]]</f>
        <v>b3080000460021_guarantee_actual_dtoamount_currency</v>
      </c>
      <c r="B508" s="2" t="s">
        <v>186</v>
      </c>
      <c r="C508" s="2" t="s">
        <v>1328</v>
      </c>
      <c r="D508" s="2" t="s">
        <v>320</v>
      </c>
      <c r="E508" s="2" t="s">
        <v>760</v>
      </c>
      <c r="F508" s="2" t="s">
        <v>420</v>
      </c>
      <c r="G508" s="1" t="s">
        <v>1273</v>
      </c>
    </row>
    <row r="509" spans="1:9" x14ac:dyDescent="0.25">
      <c r="A509" s="2" t="str">
        <f>source_columns[[#This Row],[Название таблицы STAGE]]&amp;source_columns[[#This Row],[Название поля]]</f>
        <v>b3080000460021_guarantee_actual_dtoamount_currency_uid</v>
      </c>
      <c r="B509" s="2" t="s">
        <v>186</v>
      </c>
      <c r="C509" s="2" t="s">
        <v>675</v>
      </c>
      <c r="D509" s="2" t="s">
        <v>316</v>
      </c>
      <c r="E509" s="2" t="s">
        <v>760</v>
      </c>
      <c r="F509" s="2" t="s">
        <v>420</v>
      </c>
      <c r="G509" s="1" t="s">
        <v>1273</v>
      </c>
    </row>
    <row r="510" spans="1:9" x14ac:dyDescent="0.25">
      <c r="A510" s="2" t="str">
        <f>source_columns[[#This Row],[Название таблицы STAGE]]&amp;source_columns[[#This Row],[Название поля]]</f>
        <v>b3080000460021_guarantee_actual_dtoguaranteeFree</v>
      </c>
      <c r="B510" s="2" t="s">
        <v>186</v>
      </c>
      <c r="C510" s="2" t="s">
        <v>1329</v>
      </c>
      <c r="D510" s="2" t="s">
        <v>827</v>
      </c>
      <c r="E510" s="2" t="s">
        <v>760</v>
      </c>
      <c r="F510" s="2" t="s">
        <v>420</v>
      </c>
      <c r="G510" s="1" t="s">
        <v>1330</v>
      </c>
    </row>
    <row r="511" spans="1:9" x14ac:dyDescent="0.25">
      <c r="A511" s="2" t="str">
        <f>source_columns[[#This Row],[Название таблицы STAGE]]&amp;source_columns[[#This Row],[Название поля]]</f>
        <v>b3080000460021_guarantee_actual_dtosys_date_create_or_update</v>
      </c>
      <c r="B511" s="2" t="s">
        <v>186</v>
      </c>
      <c r="C511" s="2" t="s">
        <v>517</v>
      </c>
      <c r="D511" s="2" t="s">
        <v>1096</v>
      </c>
      <c r="E511" s="2" t="s">
        <v>760</v>
      </c>
      <c r="F511" s="2" t="s">
        <v>420</v>
      </c>
      <c r="G511" s="2" t="s">
        <v>811</v>
      </c>
    </row>
    <row r="512" spans="1:9" x14ac:dyDescent="0.25">
      <c r="A512" s="2" t="str">
        <f>source_columns[[#This Row],[Название таблицы STAGE]]&amp;source_columns[[#This Row],[Название поля]]</f>
        <v>b3080000460021_guarantee_actual_dtodeleted</v>
      </c>
      <c r="B512" s="141" t="s">
        <v>186</v>
      </c>
      <c r="C512" s="141" t="s">
        <v>812</v>
      </c>
      <c r="D512" s="141" t="s">
        <v>827</v>
      </c>
      <c r="E512" s="141" t="s">
        <v>760</v>
      </c>
      <c r="F512" s="141" t="s">
        <v>420</v>
      </c>
      <c r="G512" s="141" t="s">
        <v>813</v>
      </c>
      <c r="H512" s="219"/>
      <c r="I512" s="219" t="s">
        <v>828</v>
      </c>
    </row>
    <row r="513" spans="1:8" x14ac:dyDescent="0.25">
      <c r="A513" s="2" t="str">
        <f>source_columns[[#This Row],[Название таблицы STAGE]]&amp;source_columns[[#This Row],[Название поля]]</f>
        <v>b3080000460022_escrow_legalgk_gods_actual_dtoescrowId</v>
      </c>
      <c r="B513" s="2" t="s">
        <v>196</v>
      </c>
      <c r="C513" s="2" t="s">
        <v>1331</v>
      </c>
      <c r="D513" s="2" t="s">
        <v>320</v>
      </c>
      <c r="E513" s="2" t="s">
        <v>760</v>
      </c>
      <c r="F513" s="2" t="s">
        <v>420</v>
      </c>
      <c r="G513" s="2" t="s">
        <v>323</v>
      </c>
    </row>
    <row r="514" spans="1:8" x14ac:dyDescent="0.25">
      <c r="A514" s="2" t="str">
        <f>source_columns[[#This Row],[Название таблицы STAGE]]&amp;source_columns[[#This Row],[Название поля]]</f>
        <v>b3080000460022_escrow_legalgk_gods_actual_dtoescrowId_uid</v>
      </c>
      <c r="B514" s="2" t="s">
        <v>196</v>
      </c>
      <c r="C514" s="2" t="s">
        <v>1332</v>
      </c>
      <c r="D514" s="2" t="s">
        <v>316</v>
      </c>
      <c r="E514" s="2" t="s">
        <v>760</v>
      </c>
      <c r="F514" s="2" t="s">
        <v>420</v>
      </c>
      <c r="G514" s="2" t="s">
        <v>323</v>
      </c>
    </row>
    <row r="515" spans="1:8" ht="12" customHeight="1" x14ac:dyDescent="0.25">
      <c r="A515" s="2" t="str">
        <f>source_columns[[#This Row],[Название таблицы STAGE]]&amp;source_columns[[#This Row],[Название поля]]</f>
        <v>b3080000460022_escrow_legalgk_gods_actual_dtoreference</v>
      </c>
      <c r="B515" s="2" t="s">
        <v>196</v>
      </c>
      <c r="C515" s="2" t="s">
        <v>388</v>
      </c>
      <c r="D515" s="2" t="s">
        <v>320</v>
      </c>
      <c r="E515" s="2" t="s">
        <v>760</v>
      </c>
      <c r="F515" s="2" t="s">
        <v>420</v>
      </c>
      <c r="G515" s="1" t="s">
        <v>1333</v>
      </c>
    </row>
    <row r="516" spans="1:8" x14ac:dyDescent="0.25">
      <c r="A516" s="2" t="str">
        <f>source_columns[[#This Row],[Название таблицы STAGE]]&amp;source_columns[[#This Row],[Название поля]]</f>
        <v>b3080000460022_escrow_legalgk_gods_actual_dtoexternalId</v>
      </c>
      <c r="B516" s="2" t="s">
        <v>196</v>
      </c>
      <c r="C516" s="2" t="s">
        <v>673</v>
      </c>
      <c r="D516" s="2" t="s">
        <v>320</v>
      </c>
      <c r="E516" s="2" t="s">
        <v>760</v>
      </c>
      <c r="F516" s="2" t="s">
        <v>420</v>
      </c>
      <c r="G516" s="2" t="s">
        <v>1255</v>
      </c>
    </row>
    <row r="517" spans="1:8" x14ac:dyDescent="0.25">
      <c r="A517" s="2" t="str">
        <f>source_columns[[#This Row],[Название таблицы STAGE]]&amp;source_columns[[#This Row],[Название поля]]</f>
        <v>b3080000460022_escrow_legalgk_gods_actual_dtoexternalId_uid</v>
      </c>
      <c r="B517" s="2" t="s">
        <v>196</v>
      </c>
      <c r="C517" s="2" t="s">
        <v>665</v>
      </c>
      <c r="D517" s="2" t="s">
        <v>316</v>
      </c>
      <c r="E517" s="2" t="s">
        <v>760</v>
      </c>
      <c r="F517" s="2" t="s">
        <v>420</v>
      </c>
      <c r="G517" s="2" t="s">
        <v>1255</v>
      </c>
    </row>
    <row r="518" spans="1:8" x14ac:dyDescent="0.25">
      <c r="A518" s="2" t="str">
        <f>source_columns[[#This Row],[Название таблицы STAGE]]&amp;source_columns[[#This Row],[Название поля]]</f>
        <v>b3080000460022_escrow_legalgk_gods_actual_dtosrlCategory_code</v>
      </c>
      <c r="B518" s="2" t="s">
        <v>196</v>
      </c>
      <c r="C518" s="2" t="s">
        <v>722</v>
      </c>
      <c r="D518" s="2" t="s">
        <v>320</v>
      </c>
      <c r="E518" s="2" t="s">
        <v>760</v>
      </c>
      <c r="F518" s="2" t="s">
        <v>420</v>
      </c>
      <c r="G518" s="2" t="s">
        <v>1334</v>
      </c>
      <c r="H518" s="2"/>
    </row>
    <row r="519" spans="1:8" x14ac:dyDescent="0.25">
      <c r="A519" s="2" t="str">
        <f>source_columns[[#This Row],[Название таблицы STAGE]]&amp;source_columns[[#This Row],[Название поля]]</f>
        <v>b3080000460022_escrow_legalgk_gods_actual_dtosrlCategory_code_uid</v>
      </c>
      <c r="B519" s="2" t="s">
        <v>196</v>
      </c>
      <c r="C519" s="2" t="s">
        <v>709</v>
      </c>
      <c r="D519" s="2" t="s">
        <v>316</v>
      </c>
      <c r="E519" s="2" t="s">
        <v>760</v>
      </c>
      <c r="F519" s="2" t="s">
        <v>420</v>
      </c>
      <c r="G519" s="2" t="s">
        <v>1334</v>
      </c>
      <c r="H519" s="2"/>
    </row>
    <row r="520" spans="1:8" x14ac:dyDescent="0.25">
      <c r="A520" s="2" t="str">
        <f>source_columns[[#This Row],[Название таблицы STAGE]]&amp;source_columns[[#This Row],[Название поля]]</f>
        <v>b3080000460022_escrow_legalgk_gods_actual_dtosrlCategory_description</v>
      </c>
      <c r="B520" s="2" t="s">
        <v>196</v>
      </c>
      <c r="C520" s="2" t="s">
        <v>724</v>
      </c>
      <c r="D520" s="2" t="s">
        <v>320</v>
      </c>
      <c r="E520" s="2" t="s">
        <v>760</v>
      </c>
      <c r="F520" s="2" t="s">
        <v>420</v>
      </c>
      <c r="G520" s="2" t="s">
        <v>1335</v>
      </c>
    </row>
    <row r="521" spans="1:8" x14ac:dyDescent="0.25">
      <c r="A521" s="2" t="str">
        <f>source_columns[[#This Row],[Название таблицы STAGE]]&amp;source_columns[[#This Row],[Название поля]]</f>
        <v>b3080000460022_escrow_legalgk_gods_actual_dtoconventionAmount_value</v>
      </c>
      <c r="B521" s="2" t="s">
        <v>196</v>
      </c>
      <c r="C521" s="2" t="s">
        <v>712</v>
      </c>
      <c r="D521" s="2" t="s">
        <v>1093</v>
      </c>
      <c r="E521" s="2" t="s">
        <v>760</v>
      </c>
      <c r="F521" s="2" t="s">
        <v>420</v>
      </c>
      <c r="G521" s="1" t="s">
        <v>1336</v>
      </c>
    </row>
    <row r="522" spans="1:8" x14ac:dyDescent="0.25">
      <c r="A522" s="2" t="str">
        <f>source_columns[[#This Row],[Название таблицы STAGE]]&amp;source_columns[[#This Row],[Название поля]]</f>
        <v>b3080000460022_escrow_legalgk_gods_actual_dtoconventionAmount_currency</v>
      </c>
      <c r="B522" s="2" t="s">
        <v>196</v>
      </c>
      <c r="C522" s="2" t="s">
        <v>1337</v>
      </c>
      <c r="D522" s="2" t="s">
        <v>320</v>
      </c>
      <c r="E522" s="2" t="s">
        <v>760</v>
      </c>
      <c r="F522" s="2" t="s">
        <v>420</v>
      </c>
      <c r="G522" s="1" t="s">
        <v>1338</v>
      </c>
    </row>
    <row r="523" spans="1:8" x14ac:dyDescent="0.25">
      <c r="A523" s="2" t="str">
        <f>source_columns[[#This Row],[Название таблицы STAGE]]&amp;source_columns[[#This Row],[Название поля]]</f>
        <v>b3080000460022_escrow_legalgk_gods_actual_dtoconventionAmount_currency_uid</v>
      </c>
      <c r="B523" s="2" t="s">
        <v>196</v>
      </c>
      <c r="C523" s="2" t="s">
        <v>713</v>
      </c>
      <c r="D523" s="2" t="s">
        <v>316</v>
      </c>
      <c r="E523" s="2" t="s">
        <v>760</v>
      </c>
      <c r="F523" s="2" t="s">
        <v>420</v>
      </c>
      <c r="G523" s="1" t="s">
        <v>1338</v>
      </c>
    </row>
    <row r="524" spans="1:8" x14ac:dyDescent="0.25">
      <c r="A524" s="2" t="str">
        <f>source_columns[[#This Row],[Название таблицы STAGE]]&amp;source_columns[[#This Row],[Название поля]]</f>
        <v>b3080000460022_escrow_legalgk_gods_actual_dtostartDate</v>
      </c>
      <c r="B524" s="2" t="s">
        <v>196</v>
      </c>
      <c r="C524" s="2" t="s">
        <v>704</v>
      </c>
      <c r="D524" s="2" t="s">
        <v>302</v>
      </c>
      <c r="E524" s="2" t="s">
        <v>760</v>
      </c>
      <c r="F524" s="2" t="s">
        <v>420</v>
      </c>
      <c r="G524" s="1" t="s">
        <v>1339</v>
      </c>
      <c r="H524" s="2"/>
    </row>
    <row r="525" spans="1:8" x14ac:dyDescent="0.25">
      <c r="A525" s="2" t="str">
        <f>source_columns[[#This Row],[Название таблицы STAGE]]&amp;source_columns[[#This Row],[Название поля]]</f>
        <v>b3080000460022_escrow_legalgk_gods_actual_dtoendDate</v>
      </c>
      <c r="B525" s="2" t="s">
        <v>196</v>
      </c>
      <c r="C525" s="2" t="s">
        <v>705</v>
      </c>
      <c r="D525" s="2" t="s">
        <v>302</v>
      </c>
      <c r="E525" s="2" t="s">
        <v>760</v>
      </c>
      <c r="F525" s="2" t="s">
        <v>420</v>
      </c>
      <c r="G525" s="2" t="s">
        <v>1340</v>
      </c>
      <c r="H525" s="2"/>
    </row>
    <row r="526" spans="1:8" x14ac:dyDescent="0.25">
      <c r="A526" s="2" t="str">
        <f>source_columns[[#This Row],[Название таблицы STAGE]]&amp;source_columns[[#This Row],[Название поля]]</f>
        <v>b3080000460022_escrow_legalgk_gods_actual_dtorecipientAccount_number</v>
      </c>
      <c r="B526" s="2" t="s">
        <v>196</v>
      </c>
      <c r="C526" s="2" t="s">
        <v>1341</v>
      </c>
      <c r="D526" s="2" t="s">
        <v>320</v>
      </c>
      <c r="E526" s="2" t="s">
        <v>760</v>
      </c>
      <c r="F526" s="2" t="s">
        <v>420</v>
      </c>
      <c r="G526" s="1" t="s">
        <v>1342</v>
      </c>
    </row>
    <row r="527" spans="1:8" x14ac:dyDescent="0.25">
      <c r="A527" s="2" t="str">
        <f>source_columns[[#This Row],[Название таблицы STAGE]]&amp;source_columns[[#This Row],[Название поля]]</f>
        <v>b3080000460022_escrow_legalgk_gods_actual_dtorecipientAccount_bank_bic</v>
      </c>
      <c r="B527" s="2" t="s">
        <v>196</v>
      </c>
      <c r="C527" s="2" t="s">
        <v>1343</v>
      </c>
      <c r="D527" s="2" t="s">
        <v>320</v>
      </c>
      <c r="E527" s="2" t="s">
        <v>760</v>
      </c>
      <c r="F527" s="2" t="s">
        <v>420</v>
      </c>
      <c r="G527" s="1" t="s">
        <v>1344</v>
      </c>
    </row>
    <row r="528" spans="1:8" x14ac:dyDescent="0.25">
      <c r="A528" s="2" t="str">
        <f>source_columns[[#This Row],[Название таблицы STAGE]]&amp;source_columns[[#This Row],[Название поля]]</f>
        <v>b3080000460022_escrow_legalgk_gods_actual_dtorecipientAccount_bank_name</v>
      </c>
      <c r="B528" s="2" t="s">
        <v>196</v>
      </c>
      <c r="C528" s="2" t="s">
        <v>1345</v>
      </c>
      <c r="D528" s="2" t="s">
        <v>320</v>
      </c>
      <c r="E528" s="2" t="s">
        <v>760</v>
      </c>
      <c r="F528" s="2" t="s">
        <v>420</v>
      </c>
      <c r="G528" s="1" t="s">
        <v>1346</v>
      </c>
    </row>
    <row r="529" spans="1:9" x14ac:dyDescent="0.25">
      <c r="A529" s="2" t="str">
        <f>source_columns[[#This Row],[Название таблицы STAGE]]&amp;source_columns[[#This Row],[Название поля]]</f>
        <v>b3080000460022_escrow_legalgk_gods_actual_dtorecipientAccount_externalRegistryId</v>
      </c>
      <c r="B529" s="2" t="s">
        <v>196</v>
      </c>
      <c r="C529" s="2" t="s">
        <v>1347</v>
      </c>
      <c r="D529" s="2" t="s">
        <v>320</v>
      </c>
      <c r="E529" s="2" t="s">
        <v>760</v>
      </c>
      <c r="F529" s="2" t="s">
        <v>420</v>
      </c>
      <c r="G529" s="2" t="s">
        <v>317</v>
      </c>
    </row>
    <row r="530" spans="1:9" x14ac:dyDescent="0.25">
      <c r="A530" s="2" t="str">
        <f>source_columns[[#This Row],[Название таблицы STAGE]]&amp;source_columns[[#This Row],[Название поля]]</f>
        <v>b3080000460022_escrow_legalgk_gods_actual_dtorecipientAccount_externalRegistryId_uid</v>
      </c>
      <c r="B530" s="2" t="s">
        <v>196</v>
      </c>
      <c r="C530" s="2" t="s">
        <v>1348</v>
      </c>
      <c r="D530" s="2" t="s">
        <v>316</v>
      </c>
      <c r="E530" s="2" t="s">
        <v>760</v>
      </c>
      <c r="F530" s="2" t="s">
        <v>420</v>
      </c>
      <c r="G530" s="2" t="s">
        <v>317</v>
      </c>
    </row>
    <row r="531" spans="1:9" x14ac:dyDescent="0.25">
      <c r="A531" s="2" t="str">
        <f>source_columns[[#This Row],[Название таблицы STAGE]]&amp;source_columns[[#This Row],[Название поля]]</f>
        <v>b3080000460022_escrow_legalgk_gods_actual_dtorecipientEpkId</v>
      </c>
      <c r="B531" s="2" t="s">
        <v>196</v>
      </c>
      <c r="C531" s="2" t="s">
        <v>1349</v>
      </c>
      <c r="D531" s="2" t="s">
        <v>320</v>
      </c>
      <c r="E531" s="2" t="s">
        <v>760</v>
      </c>
      <c r="F531" s="2" t="s">
        <v>420</v>
      </c>
      <c r="G531" s="1" t="s">
        <v>1350</v>
      </c>
    </row>
    <row r="532" spans="1:9" x14ac:dyDescent="0.25">
      <c r="A532" s="2" t="str">
        <f>source_columns[[#This Row],[Название таблицы STAGE]]&amp;source_columns[[#This Row],[Название поля]]</f>
        <v>b3080000460022_escrow_legalgk_gods_actual_dtorecipientEpkId_uid</v>
      </c>
      <c r="B532" s="2" t="s">
        <v>196</v>
      </c>
      <c r="C532" s="2" t="s">
        <v>710</v>
      </c>
      <c r="D532" s="2" t="s">
        <v>316</v>
      </c>
      <c r="E532" s="2" t="s">
        <v>760</v>
      </c>
      <c r="F532" s="2" t="s">
        <v>420</v>
      </c>
      <c r="G532" s="1" t="s">
        <v>1350</v>
      </c>
    </row>
    <row r="533" spans="1:9" x14ac:dyDescent="0.25">
      <c r="A533" s="2" t="str">
        <f>source_columns[[#This Row],[Название таблицы STAGE]]&amp;source_columns[[#This Row],[Название поля]]</f>
        <v>b3080000460022_escrow_legalgk_gods_actual_dtostatus</v>
      </c>
      <c r="B533" s="1" t="s">
        <v>196</v>
      </c>
      <c r="C533" s="1" t="s">
        <v>695</v>
      </c>
      <c r="D533" s="1" t="s">
        <v>320</v>
      </c>
      <c r="E533" s="1" t="s">
        <v>760</v>
      </c>
      <c r="F533" s="1" t="s">
        <v>420</v>
      </c>
      <c r="G533" s="1" t="s">
        <v>1351</v>
      </c>
    </row>
    <row r="534" spans="1:9" x14ac:dyDescent="0.25">
      <c r="A534" s="2" t="str">
        <f>source_columns[[#This Row],[Название таблицы STAGE]]&amp;source_columns[[#This Row],[Название поля]]</f>
        <v>b3080000460022_escrow_legalgk_gods_actual_dtostatus_uid</v>
      </c>
      <c r="B534" s="1" t="s">
        <v>196</v>
      </c>
      <c r="C534" s="1" t="s">
        <v>697</v>
      </c>
      <c r="D534" s="1" t="s">
        <v>316</v>
      </c>
      <c r="E534" s="1" t="s">
        <v>760</v>
      </c>
      <c r="F534" s="1" t="s">
        <v>420</v>
      </c>
      <c r="G534" s="1" t="s">
        <v>1351</v>
      </c>
    </row>
    <row r="535" spans="1:9" x14ac:dyDescent="0.25">
      <c r="A535" s="2" t="str">
        <f>source_columns[[#This Row],[Название таблицы STAGE]]&amp;source_columns[[#This Row],[Название поля]]</f>
        <v>b3080000460022_escrow_legalgk_gods_actual_dtocreationDate</v>
      </c>
      <c r="B535" s="1" t="s">
        <v>196</v>
      </c>
      <c r="C535" s="1" t="s">
        <v>1352</v>
      </c>
      <c r="D535" s="1" t="s">
        <v>1096</v>
      </c>
      <c r="E535" s="1" t="s">
        <v>760</v>
      </c>
      <c r="F535" s="1" t="s">
        <v>420</v>
      </c>
      <c r="G535" s="1" t="s">
        <v>1353</v>
      </c>
    </row>
    <row r="536" spans="1:9" x14ac:dyDescent="0.25">
      <c r="A536" s="2" t="str">
        <f>source_columns[[#This Row],[Название таблицы STAGE]]&amp;source_columns[[#This Row],[Название поля]]</f>
        <v>b3080000460022_escrow_legalgk_gods_actual_dtomodificationDate</v>
      </c>
      <c r="B536" s="1" t="s">
        <v>196</v>
      </c>
      <c r="C536" s="1" t="s">
        <v>1354</v>
      </c>
      <c r="D536" s="1" t="s">
        <v>1096</v>
      </c>
      <c r="E536" s="1" t="s">
        <v>760</v>
      </c>
      <c r="F536" s="1" t="s">
        <v>420</v>
      </c>
      <c r="G536" s="1" t="s">
        <v>811</v>
      </c>
    </row>
    <row r="537" spans="1:9" x14ac:dyDescent="0.25">
      <c r="A537" s="2" t="str">
        <f>source_columns[[#This Row],[Название таблицы STAGE]]&amp;source_columns[[#This Row],[Название поля]]</f>
        <v>b3080000460022_escrow_legalgk_gods_actual_dtodepositWithdrawalDate</v>
      </c>
      <c r="B537" s="1" t="s">
        <v>196</v>
      </c>
      <c r="C537" s="1" t="s">
        <v>706</v>
      </c>
      <c r="D537" s="1" t="s">
        <v>302</v>
      </c>
      <c r="E537" s="1" t="s">
        <v>760</v>
      </c>
      <c r="F537" s="1" t="s">
        <v>420</v>
      </c>
      <c r="G537" s="1" t="s">
        <v>1355</v>
      </c>
    </row>
    <row r="538" spans="1:9" x14ac:dyDescent="0.25">
      <c r="A538" s="2" t="str">
        <f>source_columns[[#This Row],[Название таблицы STAGE]]&amp;source_columns[[#This Row],[Название поля]]</f>
        <v>b3080000460022_escrow_legalgk_gods_actual_dtorate</v>
      </c>
      <c r="B538" s="1" t="s">
        <v>196</v>
      </c>
      <c r="C538" s="1" t="s">
        <v>733</v>
      </c>
      <c r="D538" s="2" t="s">
        <v>1093</v>
      </c>
      <c r="E538" s="1" t="s">
        <v>760</v>
      </c>
      <c r="F538" s="1" t="s">
        <v>420</v>
      </c>
      <c r="G538" s="1" t="s">
        <v>1356</v>
      </c>
      <c r="H538" s="1" t="s">
        <v>1357</v>
      </c>
    </row>
    <row r="539" spans="1:9" x14ac:dyDescent="0.25">
      <c r="A539" s="1" t="str">
        <f>source_columns[[#This Row],[Название таблицы STAGE]]&amp;source_columns[[#This Row],[Название поля]]</f>
        <v>b3080000460022_escrow_legalgk_gods_actual_dtosys_date_create_or_update</v>
      </c>
      <c r="B539" s="1" t="s">
        <v>196</v>
      </c>
      <c r="C539" s="1" t="s">
        <v>517</v>
      </c>
      <c r="D539" s="1" t="s">
        <v>1096</v>
      </c>
      <c r="E539" s="1" t="s">
        <v>760</v>
      </c>
      <c r="F539" s="1" t="s">
        <v>420</v>
      </c>
      <c r="G539" s="1" t="s">
        <v>811</v>
      </c>
    </row>
    <row r="540" spans="1:9" x14ac:dyDescent="0.25">
      <c r="A540" s="2" t="str">
        <f>source_columns[[#This Row],[Название таблицы STAGE]]&amp;source_columns[[#This Row],[Название поля]]</f>
        <v>b3080000460022_escrow_legalgk_gods_actual_dtodeleted</v>
      </c>
      <c r="B540" s="141" t="s">
        <v>196</v>
      </c>
      <c r="C540" s="141" t="s">
        <v>812</v>
      </c>
      <c r="D540" s="141" t="s">
        <v>827</v>
      </c>
      <c r="E540" s="141" t="s">
        <v>760</v>
      </c>
      <c r="F540" s="141" t="s">
        <v>420</v>
      </c>
      <c r="G540" s="141" t="s">
        <v>813</v>
      </c>
      <c r="H540" s="219"/>
      <c r="I540" s="219" t="s">
        <v>828</v>
      </c>
    </row>
    <row r="541" spans="1:9" x14ac:dyDescent="0.25">
      <c r="A541" s="2" t="str">
        <f>source_columns[[#This Row],[Название таблицы STAGE]]&amp;source_columns[[#This Row],[Название поля]]</f>
        <v>b3080000460023_restructureDetailsrestructureDetails_uid</v>
      </c>
      <c r="B541" s="2" t="s">
        <v>228</v>
      </c>
      <c r="C541" s="2" t="s">
        <v>737</v>
      </c>
      <c r="D541" s="2" t="s">
        <v>316</v>
      </c>
      <c r="E541" s="2" t="s">
        <v>760</v>
      </c>
      <c r="F541" s="2" t="s">
        <v>420</v>
      </c>
      <c r="G541" s="1" t="s">
        <v>1358</v>
      </c>
    </row>
    <row r="542" spans="1:9" x14ac:dyDescent="0.25">
      <c r="A542" s="2" t="str">
        <f>source_columns[[#This Row],[Название таблицы STAGE]]&amp;source_columns[[#This Row],[Название поля]]</f>
        <v>b3080000460023_restructureDetailsrestructureDetails_date</v>
      </c>
      <c r="B542" s="2" t="s">
        <v>228</v>
      </c>
      <c r="C542" s="2" t="s">
        <v>739</v>
      </c>
      <c r="D542" s="2" t="s">
        <v>302</v>
      </c>
      <c r="E542" s="2" t="s">
        <v>760</v>
      </c>
      <c r="F542" s="2" t="s">
        <v>420</v>
      </c>
      <c r="G542" s="1" t="s">
        <v>1359</v>
      </c>
    </row>
    <row r="543" spans="1:9" x14ac:dyDescent="0.25">
      <c r="A543" s="2" t="str">
        <f>source_columns[[#This Row],[Название таблицы STAGE]]&amp;source_columns[[#This Row],[Название поля]]</f>
        <v>b3080000460023_restructureDetailsrestructureDetails_implementationDate</v>
      </c>
      <c r="B543" s="2" t="s">
        <v>228</v>
      </c>
      <c r="C543" s="2" t="s">
        <v>738</v>
      </c>
      <c r="D543" s="2" t="s">
        <v>302</v>
      </c>
      <c r="E543" s="2" t="s">
        <v>760</v>
      </c>
      <c r="F543" s="2" t="s">
        <v>420</v>
      </c>
      <c r="G543" s="1" t="s">
        <v>1360</v>
      </c>
    </row>
    <row r="544" spans="1:9" x14ac:dyDescent="0.25">
      <c r="A544" s="2" t="str">
        <f>source_columns[[#This Row],[Название таблицы STAGE]]&amp;source_columns[[#This Row],[Название поля]]</f>
        <v>b3080000460023_restructureDetailsrestructureDetails_plannedTerminationDate</v>
      </c>
      <c r="B544" s="2" t="s">
        <v>228</v>
      </c>
      <c r="C544" s="2" t="s">
        <v>740</v>
      </c>
      <c r="D544" s="1" t="s">
        <v>302</v>
      </c>
      <c r="E544" s="2" t="s">
        <v>760</v>
      </c>
      <c r="F544" s="2" t="s">
        <v>420</v>
      </c>
      <c r="G544" s="1" t="s">
        <v>1361</v>
      </c>
    </row>
    <row r="545" spans="1:9" x14ac:dyDescent="0.25">
      <c r="A545" s="2" t="str">
        <f>source_columns[[#This Row],[Название таблицы STAGE]]&amp;source_columns[[#This Row],[Название поля]]</f>
        <v>b3080000460023_restructureDetailsrestructureDetails_factualTerminationDate</v>
      </c>
      <c r="B545" s="2" t="s">
        <v>228</v>
      </c>
      <c r="C545" s="2" t="s">
        <v>741</v>
      </c>
      <c r="D545" s="1" t="s">
        <v>302</v>
      </c>
      <c r="E545" s="2" t="s">
        <v>760</v>
      </c>
      <c r="F545" s="2" t="s">
        <v>420</v>
      </c>
      <c r="G545" s="1" t="s">
        <v>1362</v>
      </c>
    </row>
    <row r="546" spans="1:9" x14ac:dyDescent="0.25">
      <c r="A546" s="2" t="str">
        <f>source_columns[[#This Row],[Название таблицы STAGE]]&amp;source_columns[[#This Row],[Название поля]]</f>
        <v>b3080000460023_restructureDetailsrestructureDetails_type</v>
      </c>
      <c r="B546" s="2" t="s">
        <v>228</v>
      </c>
      <c r="C546" s="2" t="s">
        <v>747</v>
      </c>
      <c r="D546" s="1" t="s">
        <v>320</v>
      </c>
      <c r="E546" s="2" t="s">
        <v>760</v>
      </c>
      <c r="F546" s="2" t="s">
        <v>420</v>
      </c>
      <c r="G546" s="1" t="s">
        <v>1363</v>
      </c>
    </row>
    <row r="547" spans="1:9" x14ac:dyDescent="0.25">
      <c r="A547" s="2" t="str">
        <f>source_columns[[#This Row],[Название таблицы STAGE]]&amp;source_columns[[#This Row],[Название поля]]</f>
        <v>b3080000460023_restructureDetailsrestructureDetails_type_uid</v>
      </c>
      <c r="B547" s="2" t="s">
        <v>228</v>
      </c>
      <c r="C547" s="2" t="s">
        <v>742</v>
      </c>
      <c r="D547" s="2" t="s">
        <v>316</v>
      </c>
      <c r="E547" s="2" t="s">
        <v>760</v>
      </c>
      <c r="F547" s="2" t="s">
        <v>420</v>
      </c>
      <c r="G547" s="2" t="s">
        <v>1364</v>
      </c>
    </row>
    <row r="548" spans="1:9" x14ac:dyDescent="0.25">
      <c r="A548" s="2" t="str">
        <f>source_columns[[#This Row],[Название таблицы STAGE]]&amp;source_columns[[#This Row],[Название поля]]</f>
        <v>b3080000460023_restructureDetailsreference</v>
      </c>
      <c r="B548" s="2" t="s">
        <v>228</v>
      </c>
      <c r="C548" s="2" t="s">
        <v>388</v>
      </c>
      <c r="D548" s="1" t="s">
        <v>320</v>
      </c>
      <c r="E548" s="1" t="s">
        <v>760</v>
      </c>
      <c r="F548" s="1" t="s">
        <v>420</v>
      </c>
      <c r="G548" s="1" t="s">
        <v>1365</v>
      </c>
    </row>
    <row r="549" spans="1:9" x14ac:dyDescent="0.25">
      <c r="A549" s="1" t="str">
        <f>source_columns[[#This Row],[Название таблицы STAGE]]&amp;source_columns[[#This Row],[Название поля]]</f>
        <v>b3080000460023_restructureDetailsreference_uid</v>
      </c>
      <c r="B549" s="2" t="s">
        <v>228</v>
      </c>
      <c r="C549" s="2" t="s">
        <v>496</v>
      </c>
      <c r="D549" s="2" t="s">
        <v>316</v>
      </c>
      <c r="E549" s="2" t="s">
        <v>760</v>
      </c>
      <c r="F549" s="2" t="s">
        <v>420</v>
      </c>
      <c r="G549" s="2" t="s">
        <v>1097</v>
      </c>
    </row>
    <row r="550" spans="1:9" x14ac:dyDescent="0.25">
      <c r="A550" s="1" t="str">
        <f>source_columns[[#This Row],[Название таблицы STAGE]]&amp;source_columns[[#This Row],[Название поля]]</f>
        <v>b3080000460023_restructureDetailssys_date_create_or_update</v>
      </c>
      <c r="B550" s="2" t="s">
        <v>228</v>
      </c>
      <c r="C550" s="217" t="s">
        <v>517</v>
      </c>
      <c r="D550" s="1" t="s">
        <v>1096</v>
      </c>
      <c r="E550" s="1" t="s">
        <v>760</v>
      </c>
      <c r="F550" s="1" t="s">
        <v>420</v>
      </c>
      <c r="G550" s="1" t="s">
        <v>811</v>
      </c>
    </row>
    <row r="551" spans="1:9" x14ac:dyDescent="0.25">
      <c r="A551" s="141" t="str">
        <f>source_columns[[#This Row],[Название таблицы STAGE]]&amp;source_columns[[#This Row],[Название поля]]</f>
        <v>b3080000460023_restructureDetailsdeleted</v>
      </c>
      <c r="B551" s="141" t="s">
        <v>228</v>
      </c>
      <c r="C551" s="228" t="s">
        <v>812</v>
      </c>
      <c r="D551" s="141" t="s">
        <v>827</v>
      </c>
      <c r="E551" s="141" t="s">
        <v>760</v>
      </c>
      <c r="F551" s="141" t="s">
        <v>420</v>
      </c>
      <c r="G551" s="141" t="s">
        <v>813</v>
      </c>
      <c r="H551" s="219"/>
      <c r="I551" s="219" t="s">
        <v>828</v>
      </c>
    </row>
    <row r="552" spans="1:9" x14ac:dyDescent="0.25">
      <c r="A552" s="240" t="str">
        <f>source_columns[[#This Row],[Название таблицы STAGE]]&amp;source_columns[[#This Row],[Название поля]]</f>
        <v>b3080000460024_percent_payment_dtofactoryId</v>
      </c>
      <c r="B552" s="257" t="s">
        <v>2185</v>
      </c>
      <c r="C552" s="257" t="s">
        <v>2133</v>
      </c>
      <c r="D552" s="257" t="s">
        <v>1729</v>
      </c>
      <c r="E552" s="257"/>
      <c r="F552" s="240" t="s">
        <v>420</v>
      </c>
      <c r="G552" s="245" t="s">
        <v>2186</v>
      </c>
      <c r="H552" s="245"/>
      <c r="I552" s="245"/>
    </row>
    <row r="553" spans="1:9" x14ac:dyDescent="0.25">
      <c r="A553" s="240" t="str">
        <f>source_columns[[#This Row],[Название таблицы STAGE]]&amp;source_columns[[#This Row],[Название поля]]</f>
        <v>b3080000460024_percent_payment_dtoid</v>
      </c>
      <c r="B553" s="257" t="s">
        <v>2185</v>
      </c>
      <c r="C553" s="257" t="s">
        <v>433</v>
      </c>
      <c r="D553" s="240" t="s">
        <v>808</v>
      </c>
      <c r="E553" s="240" t="s">
        <v>758</v>
      </c>
      <c r="F553" s="240" t="s">
        <v>420</v>
      </c>
      <c r="G553" s="240" t="s">
        <v>2197</v>
      </c>
      <c r="H553" s="262"/>
      <c r="I553" s="263"/>
    </row>
    <row r="554" spans="1:9" x14ac:dyDescent="0.25">
      <c r="A554" s="240" t="str">
        <f>source_columns[[#This Row],[Название таблицы STAGE]]&amp;source_columns[[#This Row],[Название поля]]</f>
        <v>b3080000460024_percent_payment_dtoagreementReference</v>
      </c>
      <c r="B554" s="257" t="s">
        <v>2185</v>
      </c>
      <c r="C554" s="257" t="s">
        <v>1811</v>
      </c>
      <c r="D554" s="257" t="s">
        <v>1729</v>
      </c>
      <c r="E554" s="257"/>
      <c r="F554" s="240" t="s">
        <v>420</v>
      </c>
      <c r="G554" s="245" t="s">
        <v>963</v>
      </c>
      <c r="H554" s="245"/>
      <c r="I554" s="245"/>
    </row>
    <row r="555" spans="1:9" x14ac:dyDescent="0.25">
      <c r="A555" s="240" t="str">
        <f>source_columns[[#This Row],[Название таблицы STAGE]]&amp;source_columns[[#This Row],[Название поля]]</f>
        <v>b3080000460024_percent_payment_dtoeventStatus</v>
      </c>
      <c r="B555" s="257" t="s">
        <v>2185</v>
      </c>
      <c r="C555" s="257" t="s">
        <v>2134</v>
      </c>
      <c r="D555" s="257" t="s">
        <v>1729</v>
      </c>
      <c r="E555" s="257"/>
      <c r="F555" s="240" t="s">
        <v>420</v>
      </c>
      <c r="G555" s="245" t="s">
        <v>2187</v>
      </c>
      <c r="H555" s="245"/>
      <c r="I555" s="245"/>
    </row>
    <row r="556" spans="1:9" x14ac:dyDescent="0.25">
      <c r="A556" s="240" t="str">
        <f>source_columns[[#This Row],[Название таблицы STAGE]]&amp;source_columns[[#This Row],[Название поля]]</f>
        <v>b3080000460024_percent_payment_dtofeeEventType_code</v>
      </c>
      <c r="B556" s="257" t="s">
        <v>2185</v>
      </c>
      <c r="C556" s="257" t="s">
        <v>2146</v>
      </c>
      <c r="D556" s="257" t="s">
        <v>1729</v>
      </c>
      <c r="E556" s="257"/>
      <c r="F556" s="240" t="s">
        <v>420</v>
      </c>
      <c r="G556" s="245" t="s">
        <v>914</v>
      </c>
      <c r="H556" s="245"/>
      <c r="I556" s="245"/>
    </row>
    <row r="557" spans="1:9" x14ac:dyDescent="0.25">
      <c r="A557" s="240" t="str">
        <f>source_columns[[#This Row],[Название таблицы STAGE]]&amp;source_columns[[#This Row],[Название поля]]</f>
        <v>b3080000460024_percent_payment_dtofeeEventType_description</v>
      </c>
      <c r="B557" s="257" t="s">
        <v>2185</v>
      </c>
      <c r="C557" s="257" t="s">
        <v>2147</v>
      </c>
      <c r="D557" s="257" t="s">
        <v>1729</v>
      </c>
      <c r="E557" s="257"/>
      <c r="F557" s="240" t="s">
        <v>420</v>
      </c>
      <c r="G557" s="245" t="s">
        <v>2188</v>
      </c>
      <c r="H557" s="245"/>
      <c r="I557" s="245"/>
    </row>
    <row r="558" spans="1:9" x14ac:dyDescent="0.25">
      <c r="A558" s="240" t="str">
        <f>source_columns[[#This Row],[Название таблицы STAGE]]&amp;source_columns[[#This Row],[Название поля]]</f>
        <v>b3080000460024_percent_payment_dtoscheduleEntry_type_code</v>
      </c>
      <c r="B558" s="257" t="s">
        <v>2185</v>
      </c>
      <c r="C558" s="257" t="s">
        <v>2148</v>
      </c>
      <c r="D558" s="257" t="s">
        <v>1729</v>
      </c>
      <c r="E558" s="257"/>
      <c r="F558" s="240" t="s">
        <v>420</v>
      </c>
      <c r="G558" s="245" t="s">
        <v>2189</v>
      </c>
      <c r="H558" s="245"/>
      <c r="I558" s="245"/>
    </row>
    <row r="559" spans="1:9" x14ac:dyDescent="0.25">
      <c r="A559" s="240" t="str">
        <f>source_columns[[#This Row],[Название таблицы STAGE]]&amp;source_columns[[#This Row],[Название поля]]</f>
        <v>b3080000460024_percent_payment_dtoscheduleEntry_type_description</v>
      </c>
      <c r="B559" s="257" t="s">
        <v>2185</v>
      </c>
      <c r="C559" s="257" t="s">
        <v>2157</v>
      </c>
      <c r="D559" s="257" t="s">
        <v>1729</v>
      </c>
      <c r="E559" s="257"/>
      <c r="F559" s="245" t="s">
        <v>420</v>
      </c>
      <c r="G559" s="245" t="s">
        <v>2190</v>
      </c>
      <c r="H559" s="245"/>
      <c r="I559" s="245"/>
    </row>
    <row r="560" spans="1:9" x14ac:dyDescent="0.25">
      <c r="A560" s="240" t="str">
        <f>source_columns[[#This Row],[Название таблицы STAGE]]&amp;source_columns[[#This Row],[Название поля]]</f>
        <v>b3080000460024_percent_payment_dtoscheduleEntry_status_code</v>
      </c>
      <c r="B560" s="257" t="s">
        <v>2185</v>
      </c>
      <c r="C560" s="257" t="s">
        <v>2149</v>
      </c>
      <c r="D560" s="257" t="s">
        <v>1729</v>
      </c>
      <c r="E560" s="257"/>
      <c r="F560" s="240" t="s">
        <v>420</v>
      </c>
      <c r="G560" s="245" t="s">
        <v>2191</v>
      </c>
      <c r="H560" s="245"/>
      <c r="I560" s="245"/>
    </row>
    <row r="561" spans="1:9" x14ac:dyDescent="0.25">
      <c r="A561" s="240" t="str">
        <f>source_columns[[#This Row],[Название таблицы STAGE]]&amp;source_columns[[#This Row],[Название поля]]</f>
        <v>b3080000460024_percent_payment_dtoscheduleEntry_status_description</v>
      </c>
      <c r="B561" s="257" t="s">
        <v>2185</v>
      </c>
      <c r="C561" s="257" t="s">
        <v>2150</v>
      </c>
      <c r="D561" s="257" t="s">
        <v>1729</v>
      </c>
      <c r="E561" s="257"/>
      <c r="F561" s="240" t="s">
        <v>420</v>
      </c>
      <c r="G561" s="245" t="s">
        <v>2192</v>
      </c>
      <c r="H561" s="245"/>
      <c r="I561" s="245"/>
    </row>
    <row r="562" spans="1:9" x14ac:dyDescent="0.25">
      <c r="A562" s="240" t="str">
        <f>source_columns[[#This Row],[Название таблицы STAGE]]&amp;source_columns[[#This Row],[Название поля]]</f>
        <v>b3080000460024_percent_payment_dtoscheduleEntry_scheduleDate</v>
      </c>
      <c r="B562" s="257" t="s">
        <v>2185</v>
      </c>
      <c r="C562" s="257" t="s">
        <v>2151</v>
      </c>
      <c r="D562" s="257" t="s">
        <v>302</v>
      </c>
      <c r="E562" s="257"/>
      <c r="F562" s="240" t="s">
        <v>420</v>
      </c>
      <c r="G562" s="245" t="s">
        <v>2193</v>
      </c>
      <c r="H562" s="245"/>
      <c r="I562" s="245"/>
    </row>
    <row r="563" spans="1:9" x14ac:dyDescent="0.25">
      <c r="A563" s="240" t="str">
        <f>source_columns[[#This Row],[Название таблицы STAGE]]&amp;source_columns[[#This Row],[Название поля]]</f>
        <v>b3080000460024_percent_payment_dtoscheduleEntry_scheduleAmount_value</v>
      </c>
      <c r="B563" s="257" t="s">
        <v>2185</v>
      </c>
      <c r="C563" s="257" t="s">
        <v>2152</v>
      </c>
      <c r="D563" s="257" t="s">
        <v>1093</v>
      </c>
      <c r="E563" s="257"/>
      <c r="F563" s="240" t="s">
        <v>420</v>
      </c>
      <c r="G563" s="245" t="s">
        <v>2194</v>
      </c>
      <c r="H563" s="245"/>
      <c r="I563" s="245"/>
    </row>
    <row r="564" spans="1:9" x14ac:dyDescent="0.25">
      <c r="A564" s="240" t="str">
        <f>source_columns[[#This Row],[Название таблицы STAGE]]&amp;source_columns[[#This Row],[Название поля]]</f>
        <v>b3080000460024_percent_payment_dtoscheduleEntry_scheduleAmount_currency</v>
      </c>
      <c r="B564" s="257" t="s">
        <v>2185</v>
      </c>
      <c r="C564" s="257" t="s">
        <v>2153</v>
      </c>
      <c r="D564" s="257" t="s">
        <v>1729</v>
      </c>
      <c r="E564" s="257"/>
      <c r="F564" s="240" t="s">
        <v>420</v>
      </c>
      <c r="G564" s="245" t="s">
        <v>1273</v>
      </c>
      <c r="H564" s="245"/>
      <c r="I564" s="245"/>
    </row>
    <row r="565" spans="1:9" x14ac:dyDescent="0.25">
      <c r="A565" s="240" t="str">
        <f>source_columns[[#This Row],[Название таблицы STAGE]]&amp;source_columns[[#This Row],[Название поля]]</f>
        <v>b3080000460024_percent_payment_dtoscheduleEntry_dateFrom</v>
      </c>
      <c r="B565" s="257" t="s">
        <v>2185</v>
      </c>
      <c r="C565" s="257" t="s">
        <v>2154</v>
      </c>
      <c r="D565" s="257" t="s">
        <v>302</v>
      </c>
      <c r="E565" s="257"/>
      <c r="F565" s="240" t="s">
        <v>420</v>
      </c>
      <c r="G565" s="245" t="s">
        <v>2195</v>
      </c>
      <c r="H565" s="245"/>
      <c r="I565" s="245"/>
    </row>
    <row r="566" spans="1:9" x14ac:dyDescent="0.25">
      <c r="A566" s="257" t="str">
        <f>source_columns[[#This Row],[Название таблицы STAGE]]&amp;source_columns[[#This Row],[Название поля]]</f>
        <v>b3080000460024_percent_payment_dtoscheduleEntry_dateTill</v>
      </c>
      <c r="B566" s="257" t="s">
        <v>2185</v>
      </c>
      <c r="C566" s="257" t="s">
        <v>2155</v>
      </c>
      <c r="D566" s="257" t="s">
        <v>302</v>
      </c>
      <c r="E566" s="257"/>
      <c r="F566" s="257" t="s">
        <v>420</v>
      </c>
      <c r="G566" s="245" t="s">
        <v>2196</v>
      </c>
      <c r="H566" s="245"/>
      <c r="I566" s="245"/>
    </row>
    <row r="567" spans="1:9" x14ac:dyDescent="0.25">
      <c r="A567" s="258" t="str">
        <f>source_columns[[#This Row],[Название таблицы STAGE]]&amp;source_columns[[#This Row],[Название поля]]</f>
        <v>b3080000460024_percent_payment_dtosys_date_create_or_update</v>
      </c>
      <c r="B567" s="258" t="s">
        <v>2185</v>
      </c>
      <c r="C567" s="258" t="s">
        <v>517</v>
      </c>
      <c r="D567" s="258" t="s">
        <v>1096</v>
      </c>
      <c r="E567" s="258"/>
      <c r="F567" s="258" t="s">
        <v>420</v>
      </c>
      <c r="G567" s="245" t="s">
        <v>811</v>
      </c>
      <c r="H567" s="259"/>
      <c r="I567" s="259"/>
    </row>
    <row r="568" spans="1:9" x14ac:dyDescent="0.25">
      <c r="A568" s="242" t="str">
        <f>source_columns[[#This Row],[Название таблицы STAGE]]&amp;source_columns[[#This Row],[Название поля]]</f>
        <v>b3080000460024_percent_payment_dtodeleted</v>
      </c>
      <c r="B568" s="260" t="s">
        <v>2185</v>
      </c>
      <c r="C568" s="260" t="s">
        <v>812</v>
      </c>
      <c r="D568" s="260" t="s">
        <v>827</v>
      </c>
      <c r="E568" s="260"/>
      <c r="F568" s="242" t="s">
        <v>420</v>
      </c>
      <c r="G568" s="242" t="s">
        <v>813</v>
      </c>
      <c r="H568" s="261"/>
      <c r="I568" s="261" t="s">
        <v>828</v>
      </c>
    </row>
    <row r="569" spans="1:9" x14ac:dyDescent="0.25">
      <c r="B569" s="217"/>
      <c r="C569" s="217"/>
      <c r="D569" s="217"/>
      <c r="E569" s="217"/>
    </row>
    <row r="570" spans="1:9" x14ac:dyDescent="0.25">
      <c r="B570" s="217"/>
      <c r="C570" s="217"/>
      <c r="D570" s="217"/>
      <c r="E570" s="217"/>
    </row>
    <row r="571" spans="1:9" x14ac:dyDescent="0.25">
      <c r="B571" s="217"/>
      <c r="C571" s="217"/>
      <c r="D571" s="217"/>
      <c r="E571" s="217"/>
    </row>
    <row r="572" spans="1:9" x14ac:dyDescent="0.25">
      <c r="B572" s="217"/>
      <c r="C572" s="217"/>
      <c r="D572" s="217"/>
      <c r="E572" s="217"/>
    </row>
    <row r="573" spans="1:9" x14ac:dyDescent="0.25">
      <c r="B573" s="217"/>
      <c r="C573" s="217"/>
      <c r="D573" s="217"/>
      <c r="E573" s="217"/>
    </row>
    <row r="574" spans="1:9" x14ac:dyDescent="0.25">
      <c r="B574" s="217"/>
      <c r="C574" s="217"/>
      <c r="D574" s="217"/>
      <c r="E574" s="217"/>
    </row>
    <row r="575" spans="1:9" x14ac:dyDescent="0.25">
      <c r="B575" s="217"/>
      <c r="C575" s="217"/>
      <c r="D575" s="217"/>
      <c r="E575" s="217"/>
    </row>
    <row r="576" spans="1:9" x14ac:dyDescent="0.25">
      <c r="B576" s="217"/>
      <c r="C576" s="217"/>
      <c r="D576" s="217"/>
      <c r="E576" s="217"/>
    </row>
    <row r="577" spans="2:5" x14ac:dyDescent="0.25">
      <c r="B577" s="217"/>
      <c r="C577" s="217"/>
      <c r="D577" s="217"/>
      <c r="E577" s="217"/>
    </row>
    <row r="578" spans="2:5" x14ac:dyDescent="0.25">
      <c r="B578" s="217"/>
      <c r="C578" s="217"/>
      <c r="D578" s="217"/>
      <c r="E578" s="217"/>
    </row>
  </sheetData>
  <mergeCells count="1">
    <mergeCell ref="J1:K1"/>
  </mergeCells>
  <conditionalFormatting sqref="A411:A413">
    <cfRule type="expression" dxfId="1167" priority="1834">
      <formula>$B411&lt;&gt;$B497</formula>
    </cfRule>
  </conditionalFormatting>
  <conditionalFormatting sqref="A420:A428">
    <cfRule type="expression" dxfId="1166" priority="1824">
      <formula>$B173&lt;&gt;$B174</formula>
    </cfRule>
  </conditionalFormatting>
  <conditionalFormatting sqref="I206">
    <cfRule type="expression" dxfId="1165" priority="1815">
      <formula>$B190&lt;&gt;$B192</formula>
    </cfRule>
  </conditionalFormatting>
  <conditionalFormatting sqref="A258">
    <cfRule type="expression" dxfId="1164" priority="1811">
      <formula>$B157&lt;&gt;$B159</formula>
    </cfRule>
  </conditionalFormatting>
  <conditionalFormatting sqref="A441">
    <cfRule type="expression" dxfId="1163" priority="1808">
      <formula>$B190&lt;&gt;$B192</formula>
    </cfRule>
  </conditionalFormatting>
  <conditionalFormatting sqref="A406">
    <cfRule type="expression" dxfId="1162" priority="1805">
      <formula>$B406&lt;&gt;$B489</formula>
    </cfRule>
  </conditionalFormatting>
  <conditionalFormatting sqref="A414">
    <cfRule type="expression" dxfId="1161" priority="1802">
      <formula>$B414&lt;&gt;$B501</formula>
    </cfRule>
  </conditionalFormatting>
  <conditionalFormatting sqref="A400:A405">
    <cfRule type="expression" dxfId="1160" priority="1797">
      <formula>$B400&lt;&gt;$B482</formula>
    </cfRule>
  </conditionalFormatting>
  <conditionalFormatting sqref="A397:A398">
    <cfRule type="expression" dxfId="1159" priority="1796">
      <formula>$B397&lt;&gt;$B477</formula>
    </cfRule>
  </conditionalFormatting>
  <conditionalFormatting sqref="A236:A239">
    <cfRule type="expression" dxfId="1158" priority="1794">
      <formula>$B236&lt;&gt;$B456</formula>
    </cfRule>
  </conditionalFormatting>
  <conditionalFormatting sqref="A440:A453">
    <cfRule type="expression" dxfId="1157" priority="1793">
      <formula>$B440&lt;&gt;$B314</formula>
    </cfRule>
  </conditionalFormatting>
  <conditionalFormatting sqref="A329:A336">
    <cfRule type="expression" dxfId="1156" priority="1789">
      <formula>$B420&lt;&gt;$B421</formula>
    </cfRule>
  </conditionalFormatting>
  <conditionalFormatting sqref="A328">
    <cfRule type="expression" dxfId="1155" priority="1788">
      <formula>$B418&lt;&gt;$B420</formula>
    </cfRule>
  </conditionalFormatting>
  <conditionalFormatting sqref="I420:I423">
    <cfRule type="expression" dxfId="1154" priority="1784">
      <formula>$B228&lt;&gt;$B229</formula>
    </cfRule>
  </conditionalFormatting>
  <conditionalFormatting sqref="A389:A391">
    <cfRule type="expression" dxfId="1153" priority="1775">
      <formula>$B389&lt;&gt;$B460</formula>
    </cfRule>
  </conditionalFormatting>
  <conditionalFormatting sqref="D91 I91">
    <cfRule type="expression" dxfId="1152" priority="1774">
      <formula>$B59&lt;&gt;#REF!</formula>
    </cfRule>
  </conditionalFormatting>
  <conditionalFormatting sqref="H16:H17">
    <cfRule type="expression" dxfId="1151" priority="1766">
      <formula>$B19&lt;&gt;$B21</formula>
    </cfRule>
  </conditionalFormatting>
  <conditionalFormatting sqref="H18">
    <cfRule type="expression" dxfId="1150" priority="1748">
      <formula>$B21&lt;&gt;$B24</formula>
    </cfRule>
  </conditionalFormatting>
  <conditionalFormatting sqref="H121">
    <cfRule type="expression" dxfId="1149" priority="1711">
      <formula>$B72&lt;&gt;$B73</formula>
    </cfRule>
  </conditionalFormatting>
  <conditionalFormatting sqref="H98 B99 G99:H99">
    <cfRule type="expression" dxfId="1148" priority="1699">
      <formula>$B70&lt;&gt;$B71</formula>
    </cfRule>
  </conditionalFormatting>
  <conditionalFormatting sqref="H76 C76 J76:K76">
    <cfRule type="expression" dxfId="1147" priority="1695">
      <formula>$B79&lt;&gt;$B83</formula>
    </cfRule>
  </conditionalFormatting>
  <conditionalFormatting sqref="A393:A396">
    <cfRule type="expression" dxfId="1146" priority="1677">
      <formula>$B393&lt;&gt;$B472</formula>
    </cfRule>
  </conditionalFormatting>
  <conditionalFormatting sqref="A249:A253">
    <cfRule type="expression" dxfId="1145" priority="1638">
      <formula>$B249&lt;&gt;$B274</formula>
    </cfRule>
  </conditionalFormatting>
  <conditionalFormatting sqref="A274:A323">
    <cfRule type="expression" dxfId="1144" priority="1636">
      <formula>$B218&lt;&gt;$B219</formula>
    </cfRule>
  </conditionalFormatting>
  <conditionalFormatting sqref="A254:A257 A260:A268 A248">
    <cfRule type="expression" dxfId="1143" priority="1618">
      <formula>$B248&lt;&gt;$B272</formula>
    </cfRule>
  </conditionalFormatting>
  <conditionalFormatting sqref="A324">
    <cfRule type="expression" dxfId="1142" priority="1617">
      <formula>$B268&lt;&gt;$B270</formula>
    </cfRule>
  </conditionalFormatting>
  <conditionalFormatting sqref="A407:A410">
    <cfRule type="expression" dxfId="1141" priority="1572">
      <formula>$B407&lt;&gt;$B491</formula>
    </cfRule>
  </conditionalFormatting>
  <conditionalFormatting sqref="A399">
    <cfRule type="expression" dxfId="1140" priority="1559">
      <formula>$B399&lt;&gt;$B480</formula>
    </cfRule>
  </conditionalFormatting>
  <conditionalFormatting sqref="G471">
    <cfRule type="expression" dxfId="1139" priority="1542">
      <formula>$B471&lt;&gt;#REF!</formula>
    </cfRule>
  </conditionalFormatting>
  <conditionalFormatting sqref="A392">
    <cfRule type="expression" dxfId="1138" priority="1539">
      <formula>$B392&lt;&gt;#REF!</formula>
    </cfRule>
  </conditionalFormatting>
  <conditionalFormatting sqref="A326">
    <cfRule type="expression" dxfId="1137" priority="1522">
      <formula>$B271&lt;&gt;$B415</formula>
    </cfRule>
  </conditionalFormatting>
  <conditionalFormatting sqref="B271:H271">
    <cfRule type="expression" dxfId="1136" priority="1520">
      <formula>$B271&lt;&gt;$B415</formula>
    </cfRule>
  </conditionalFormatting>
  <conditionalFormatting sqref="A270:A271 A258:A259">
    <cfRule type="expression" dxfId="1135" priority="1514">
      <formula>$B258&lt;&gt;$B281</formula>
    </cfRule>
  </conditionalFormatting>
  <conditionalFormatting sqref="A431:A433">
    <cfRule type="expression" dxfId="1134" priority="1510">
      <formula>$B431&lt;&gt;$B306</formula>
    </cfRule>
  </conditionalFormatting>
  <conditionalFormatting sqref="A344">
    <cfRule type="expression" dxfId="1133" priority="1505">
      <formula>$B437&lt;&gt;$B440</formula>
    </cfRule>
  </conditionalFormatting>
  <conditionalFormatting sqref="A338:A343">
    <cfRule type="expression" dxfId="1132" priority="1504">
      <formula>$B431&lt;&gt;$B432</formula>
    </cfRule>
  </conditionalFormatting>
  <conditionalFormatting sqref="A434:A437 A429:A430">
    <cfRule type="expression" dxfId="1131" priority="1503">
      <formula>$B429&lt;&gt;$B305</formula>
    </cfRule>
  </conditionalFormatting>
  <conditionalFormatting sqref="A416:A417 A420:A428">
    <cfRule type="expression" dxfId="1130" priority="1500">
      <formula>$B416&lt;&gt;$B293</formula>
    </cfRule>
  </conditionalFormatting>
  <conditionalFormatting sqref="A327">
    <cfRule type="expression" dxfId="1129" priority="1495">
      <formula>$B415&lt;&gt;$B418</formula>
    </cfRule>
  </conditionalFormatting>
  <conditionalFormatting sqref="A438:A439 A418">
    <cfRule type="expression" dxfId="1128" priority="1494">
      <formula>$B418&lt;&gt;$B296</formula>
    </cfRule>
  </conditionalFormatting>
  <conditionalFormatting sqref="A415">
    <cfRule type="expression" dxfId="1127" priority="1491">
      <formula>$B415&lt;&gt;$B295</formula>
    </cfRule>
  </conditionalFormatting>
  <conditionalFormatting sqref="A337">
    <cfRule type="expression" dxfId="1126" priority="1486">
      <formula>$B428&lt;&gt;$B431</formula>
    </cfRule>
  </conditionalFormatting>
  <conditionalFormatting sqref="A345:A352">
    <cfRule type="expression" dxfId="1125" priority="1484">
      <formula>$B440&lt;&gt;$B441</formula>
    </cfRule>
  </conditionalFormatting>
  <conditionalFormatting sqref="A353">
    <cfRule type="expression" dxfId="1124" priority="1481">
      <formula>$B448&lt;&gt;$B450</formula>
    </cfRule>
  </conditionalFormatting>
  <conditionalFormatting sqref="A363">
    <cfRule type="expression" dxfId="1123" priority="1479">
      <formula>$B459&lt;&gt;#REF!</formula>
    </cfRule>
  </conditionalFormatting>
  <conditionalFormatting sqref="A354:A362">
    <cfRule type="expression" dxfId="1122" priority="1478">
      <formula>$B450&lt;&gt;$B451</formula>
    </cfRule>
  </conditionalFormatting>
  <conditionalFormatting sqref="I418">
    <cfRule type="expression" dxfId="1121" priority="1477">
      <formula>$B227&lt;&gt;$B228</formula>
    </cfRule>
  </conditionalFormatting>
  <conditionalFormatting sqref="I415:I416">
    <cfRule type="expression" dxfId="1120" priority="1451">
      <formula>$B226&lt;&gt;$B227</formula>
    </cfRule>
  </conditionalFormatting>
  <conditionalFormatting sqref="I417">
    <cfRule type="expression" dxfId="1119" priority="1447">
      <formula>$B227&lt;&gt;$B228</formula>
    </cfRule>
  </conditionalFormatting>
  <conditionalFormatting sqref="A415">
    <cfRule type="expression" dxfId="1118" priority="1444">
      <formula>$B171&lt;&gt;$B172</formula>
    </cfRule>
  </conditionalFormatting>
  <conditionalFormatting sqref="A325 A272:A273">
    <cfRule type="expression" dxfId="1117" priority="1412">
      <formula>$B217&lt;&gt;$B218</formula>
    </cfRule>
  </conditionalFormatting>
  <conditionalFormatting sqref="A369">
    <cfRule type="expression" dxfId="1116" priority="1402">
      <formula>#REF!&lt;&gt;#REF!</formula>
    </cfRule>
  </conditionalFormatting>
  <conditionalFormatting sqref="I439">
    <cfRule type="expression" dxfId="1115" priority="1380">
      <formula>$B242&lt;&gt;$B243</formula>
    </cfRule>
  </conditionalFormatting>
  <conditionalFormatting sqref="I440:I449">
    <cfRule type="expression" dxfId="1114" priority="1360">
      <formula>$B242&lt;&gt;$B243</formula>
    </cfRule>
  </conditionalFormatting>
  <conditionalFormatting sqref="A442:A449">
    <cfRule type="expression" dxfId="1113" priority="1355">
      <formula>$B192&lt;&gt;$B193</formula>
    </cfRule>
  </conditionalFormatting>
  <conditionalFormatting sqref="A242">
    <cfRule type="expression" dxfId="1112" priority="1346">
      <formula>$B242&lt;&gt;#REF!</formula>
    </cfRule>
  </conditionalFormatting>
  <conditionalFormatting sqref="A366">
    <cfRule type="expression" dxfId="1111" priority="1343">
      <formula>#REF!&lt;&gt;#REF!</formula>
    </cfRule>
  </conditionalFormatting>
  <conditionalFormatting sqref="A241">
    <cfRule type="expression" dxfId="1110" priority="1325">
      <formula>$B241&lt;&gt;#REF!</formula>
    </cfRule>
  </conditionalFormatting>
  <conditionalFormatting sqref="A365">
    <cfRule type="expression" dxfId="1109" priority="1316">
      <formula>#REF!&lt;&gt;#REF!</formula>
    </cfRule>
  </conditionalFormatting>
  <conditionalFormatting sqref="A418">
    <cfRule type="expression" dxfId="1108" priority="1298">
      <formula>$B172&lt;&gt;$B173</formula>
    </cfRule>
  </conditionalFormatting>
  <conditionalFormatting sqref="I426:I429">
    <cfRule type="expression" dxfId="1107" priority="1277">
      <formula>$B232&lt;&gt;$B233</formula>
    </cfRule>
  </conditionalFormatting>
  <conditionalFormatting sqref="A368">
    <cfRule type="expression" dxfId="1106" priority="1258">
      <formula>#REF!&lt;&gt;#REF!</formula>
    </cfRule>
  </conditionalFormatting>
  <conditionalFormatting sqref="A244 A246">
    <cfRule type="expression" dxfId="1105" priority="1244">
      <formula>$B244&lt;&gt;#REF!</formula>
    </cfRule>
  </conditionalFormatting>
  <conditionalFormatting sqref="A367">
    <cfRule type="expression" dxfId="1104" priority="1241">
      <formula>#REF!&lt;&gt;#REF!</formula>
    </cfRule>
  </conditionalFormatting>
  <conditionalFormatting sqref="A243 A245 A345:A388">
    <cfRule type="expression" dxfId="1103" priority="1221">
      <formula>$B243&lt;&gt;#REF!</formula>
    </cfRule>
  </conditionalFormatting>
  <conditionalFormatting sqref="I430">
    <cfRule type="expression" dxfId="1102" priority="1189">
      <formula>$B235&lt;&gt;$B236</formula>
    </cfRule>
  </conditionalFormatting>
  <conditionalFormatting sqref="A450:A451 A440">
    <cfRule type="expression" dxfId="1101" priority="1170">
      <formula>$B189&lt;&gt;$B190</formula>
    </cfRule>
  </conditionalFormatting>
  <conditionalFormatting sqref="I431:I438">
    <cfRule type="expression" dxfId="1100" priority="1169">
      <formula>$B235&lt;&gt;$B236</formula>
    </cfRule>
  </conditionalFormatting>
  <conditionalFormatting sqref="A370">
    <cfRule type="expression" dxfId="1099" priority="1139">
      <formula>#REF!&lt;&gt;#REF!</formula>
    </cfRule>
  </conditionalFormatting>
  <conditionalFormatting sqref="A371">
    <cfRule type="expression" dxfId="1098" priority="1138">
      <formula>#REF!&lt;&gt;$B272</formula>
    </cfRule>
  </conditionalFormatting>
  <conditionalFormatting sqref="E414:G414 B417:G417 B439:G439">
    <cfRule type="expression" dxfId="1097" priority="1116">
      <formula>$B414&lt;&gt;#REF!</formula>
    </cfRule>
  </conditionalFormatting>
  <conditionalFormatting sqref="A240 A247">
    <cfRule type="expression" dxfId="1096" priority="1102">
      <formula>$B240&lt;&gt;#REF!</formula>
    </cfRule>
  </conditionalFormatting>
  <conditionalFormatting sqref="A364">
    <cfRule type="expression" dxfId="1095" priority="1097">
      <formula>#REF!&lt;&gt;#REF!</formula>
    </cfRule>
  </conditionalFormatting>
  <conditionalFormatting sqref="B183 H183:I183">
    <cfRule type="expression" dxfId="1094" priority="1092">
      <formula>$B157&lt;&gt;$B159</formula>
    </cfRule>
  </conditionalFormatting>
  <conditionalFormatting sqref="D160 H159:H164 C175:C179 B180:C181 D175:D181 B182 G179 I164 I159:I160 H179:I182 G127:I127">
    <cfRule type="expression" dxfId="1093" priority="1091">
      <formula>$B101&lt;&gt;$B102</formula>
    </cfRule>
  </conditionalFormatting>
  <conditionalFormatting sqref="B174:I174">
    <cfRule type="expression" dxfId="1092" priority="1086">
      <formula>$B157&lt;&gt;$B159</formula>
    </cfRule>
  </conditionalFormatting>
  <conditionalFormatting sqref="D172 D170">
    <cfRule type="expression" dxfId="1091" priority="1084">
      <formula>#REF!&lt;&gt;$B153</formula>
    </cfRule>
  </conditionalFormatting>
  <conditionalFormatting sqref="A254:A255 A232:A251 A270:A271">
    <cfRule type="expression" dxfId="1090" priority="1082">
      <formula>$B131&lt;&gt;$B132</formula>
    </cfRule>
  </conditionalFormatting>
  <conditionalFormatting sqref="A372">
    <cfRule type="expression" dxfId="1089" priority="1081">
      <formula>$B272&lt;&gt;$B274</formula>
    </cfRule>
  </conditionalFormatting>
  <conditionalFormatting sqref="A296:A344">
    <cfRule type="expression" dxfId="1088" priority="1076">
      <formula>$B296&lt;&gt;$B366</formula>
    </cfRule>
  </conditionalFormatting>
  <conditionalFormatting sqref="A283:A295 A272:A273">
    <cfRule type="expression" dxfId="1087" priority="1074">
      <formula>$B272&lt;&gt;$B341</formula>
    </cfRule>
  </conditionalFormatting>
  <conditionalFormatting sqref="B322 D322 B308 D308 B452:H453 F463 F471">
    <cfRule type="expression" dxfId="1086" priority="1058">
      <formula>$B308&lt;&gt;#REF!</formula>
    </cfRule>
  </conditionalFormatting>
  <conditionalFormatting sqref="B322 D322 B308 D308 F411 G157 A157:E157 B448:H448 H430 B452:H453 E472:E473 F473 E475:F475 E491:F491 E501:E502 E506:F506 E508:F508 E497:F497 B268:H268 C269:H269 B272:G273 A459:E464 F463:G464 A508:A510 A82:B82 F82:I82 A520 A524:A527 A19:F19 H19:I19 B60 F60:I60 D60 B418:H418 A190:I191 D482 A542:A544 G540 J16:K17 A16:H17 A56:C56 E56:F56 A554:A555 F558 F563">
    <cfRule type="expression" dxfId="1085" priority="1057">
      <formula>$B16&lt;&gt;$B18</formula>
    </cfRule>
  </conditionalFormatting>
  <conditionalFormatting sqref="D300:D303 D327:D328 D330:D332 D335:D340 D353 D357 D359 D362 D370 D377 D382 D387 D390 D394 D398 D402 D404">
    <cfRule type="expression" dxfId="1084" priority="1049">
      <formula>$B300&lt;&gt;#REF!</formula>
    </cfRule>
  </conditionalFormatting>
  <conditionalFormatting sqref="D300:D303 D327:D328 D330:D332 D335:D340 D353 D357 D359 D362 D370 D377 D382 D387 D390 D394 D398 D402 D404 F408:F410 A159:D159 G153:G156 G159:G164 E155:E156 E159:E164 B450:H451 B431:H436 B440:H447 H454:H455 B449:G449 B429:G430 B416:G416 B438:G438 I169:J169 I166:J167 E510:F510 B471:F471 G470 A497:A507 B260:H267 B270:H270 B274:G299 B83:B88 C83:D84 A24:B24 F24:F34 E24:E41 H24:H41 D24 G58:I59 B420:H427 A178:A189 A192:A199 B188:I189 B192:I203 A470:A493 E482:F482 G539 A13:D15 F6:F15 E8:E15 H9:H15 J13:K15 J18:K18 G5:G15 A18:H18 B54:B55 B58:B59 A58 C58 A551 G550">
    <cfRule type="expression" dxfId="1083" priority="1048">
      <formula>$B5&lt;&gt;$B6</formula>
    </cfRule>
  </conditionalFormatting>
  <conditionalFormatting sqref="I424">
    <cfRule type="expression" dxfId="1082" priority="1045">
      <formula>$B231&lt;&gt;#REF!</formula>
    </cfRule>
  </conditionalFormatting>
  <conditionalFormatting sqref="I425">
    <cfRule type="expression" dxfId="1081" priority="1044">
      <formula>#REF!&lt;&gt;$B232</formula>
    </cfRule>
  </conditionalFormatting>
  <conditionalFormatting sqref="A373:A414">
    <cfRule type="expression" dxfId="1080" priority="1043">
      <formula>$B274&lt;&gt;$B275</formula>
    </cfRule>
  </conditionalFormatting>
  <conditionalFormatting sqref="B231:H231">
    <cfRule type="expression" dxfId="1079" priority="1042">
      <formula>$B231&lt;&gt;#REF!</formula>
    </cfRule>
  </conditionalFormatting>
  <conditionalFormatting sqref="B231:H231">
    <cfRule type="expression" dxfId="1078" priority="1041">
      <formula>$B231&lt;&gt;#REF!</formula>
    </cfRule>
  </conditionalFormatting>
  <conditionalFormatting sqref="A274:A282">
    <cfRule type="expression" dxfId="1077" priority="1040">
      <formula>$B274&lt;&gt;$B342</formula>
    </cfRule>
  </conditionalFormatting>
  <conditionalFormatting sqref="A259">
    <cfRule type="expression" dxfId="1076" priority="1037">
      <formula>$B259&lt;&gt;#REF!</formula>
    </cfRule>
  </conditionalFormatting>
  <conditionalFormatting sqref="B259:H259">
    <cfRule type="expression" dxfId="1075" priority="1036">
      <formula>$B259&lt;&gt;#REF!</formula>
    </cfRule>
  </conditionalFormatting>
  <conditionalFormatting sqref="B259:H259">
    <cfRule type="expression" dxfId="1074" priority="1035">
      <formula>$B259&lt;&gt;#REF!</formula>
    </cfRule>
  </conditionalFormatting>
  <conditionalFormatting sqref="I258:I259 I270:I271">
    <cfRule type="expression" dxfId="1073" priority="1034">
      <formula>$B212&lt;&gt;$B213</formula>
    </cfRule>
  </conditionalFormatting>
  <conditionalFormatting sqref="I455">
    <cfRule type="expression" dxfId="1072" priority="1033">
      <formula>$B256&lt;&gt;$B258</formula>
    </cfRule>
  </conditionalFormatting>
  <conditionalFormatting sqref="B256:H256 B257:C257 H257">
    <cfRule type="expression" dxfId="1071" priority="1032">
      <formula>$B256&lt;&gt;#REF!</formula>
    </cfRule>
  </conditionalFormatting>
  <conditionalFormatting sqref="B256:H256 B257:C257 H257">
    <cfRule type="expression" dxfId="1070" priority="1031">
      <formula>$B256&lt;&gt;$B258</formula>
    </cfRule>
  </conditionalFormatting>
  <conditionalFormatting sqref="I451">
    <cfRule type="expression" dxfId="1069" priority="1029">
      <formula>$B252&lt;&gt;$B254</formula>
    </cfRule>
  </conditionalFormatting>
  <conditionalFormatting sqref="I454 I450">
    <cfRule type="expression" dxfId="1068" priority="1028">
      <formula>$B251&lt;&gt;$B252</formula>
    </cfRule>
  </conditionalFormatting>
  <conditionalFormatting sqref="B252:H252 B253:F253 H253">
    <cfRule type="expression" dxfId="1067" priority="1027">
      <formula>$B252&lt;&gt;#REF!</formula>
    </cfRule>
  </conditionalFormatting>
  <conditionalFormatting sqref="B252:H252 B253:F253 H253">
    <cfRule type="expression" dxfId="1066" priority="1026">
      <formula>$B252&lt;&gt;$B254</formula>
    </cfRule>
  </conditionalFormatting>
  <conditionalFormatting sqref="H53">
    <cfRule type="expression" dxfId="1065" priority="1025">
      <formula>#REF!&lt;&gt;#REF!</formula>
    </cfRule>
  </conditionalFormatting>
  <conditionalFormatting sqref="H50">
    <cfRule type="expression" dxfId="1064" priority="1023">
      <formula>#REF!&lt;&gt;#REF!</formula>
    </cfRule>
  </conditionalFormatting>
  <conditionalFormatting sqref="J165">
    <cfRule type="expression" dxfId="1063" priority="1022">
      <formula>$B146&lt;&gt;$B149</formula>
    </cfRule>
  </conditionalFormatting>
  <conditionalFormatting sqref="A48:A49">
    <cfRule type="expression" dxfId="1062" priority="1021">
      <formula>$B48&lt;&gt;$B55</formula>
    </cfRule>
  </conditionalFormatting>
  <conditionalFormatting sqref="H114:H115 H150:H152 C149 I152 I115">
    <cfRule type="expression" dxfId="1061" priority="1020">
      <formula>#REF!&lt;&gt;#REF!</formula>
    </cfRule>
  </conditionalFormatting>
  <conditionalFormatting sqref="I254:I257 I260:I269">
    <cfRule type="expression" dxfId="1060" priority="1019">
      <formula>$B209&lt;&gt;$B210</formula>
    </cfRule>
  </conditionalFormatting>
  <conditionalFormatting sqref="C99">
    <cfRule type="expression" dxfId="1059" priority="1018">
      <formula>$B45&lt;&gt;$B46</formula>
    </cfRule>
  </conditionalFormatting>
  <conditionalFormatting sqref="B116:C116">
    <cfRule type="expression" dxfId="1058" priority="1017">
      <formula>$B96&lt;&gt;$B98</formula>
    </cfRule>
  </conditionalFormatting>
  <conditionalFormatting sqref="H48">
    <cfRule type="expression" dxfId="1057" priority="1016">
      <formula>$B55&lt;&gt;#REF!</formula>
    </cfRule>
  </conditionalFormatting>
  <conditionalFormatting sqref="H47">
    <cfRule type="expression" dxfId="1056" priority="1015">
      <formula>$B47&lt;&gt;$B48</formula>
    </cfRule>
  </conditionalFormatting>
  <conditionalFormatting sqref="H47">
    <cfRule type="expression" dxfId="1055" priority="1014">
      <formula>$B54&lt;&gt;$B55</formula>
    </cfRule>
  </conditionalFormatting>
  <conditionalFormatting sqref="H46">
    <cfRule type="expression" dxfId="1054" priority="1013">
      <formula>$B46&lt;&gt;$B47</formula>
    </cfRule>
  </conditionalFormatting>
  <conditionalFormatting sqref="H46">
    <cfRule type="expression" dxfId="1053" priority="1012">
      <formula>$B48&lt;&gt;$B54</formula>
    </cfRule>
  </conditionalFormatting>
  <conditionalFormatting sqref="A152:E152 G152">
    <cfRule type="expression" dxfId="1052" priority="1011">
      <formula>$B152&lt;&gt;#REF!</formula>
    </cfRule>
  </conditionalFormatting>
  <conditionalFormatting sqref="D169">
    <cfRule type="expression" dxfId="1051" priority="1010">
      <formula>$B152&lt;&gt;#REF!</formula>
    </cfRule>
  </conditionalFormatting>
  <conditionalFormatting sqref="D182">
    <cfRule type="expression" dxfId="1050" priority="1009">
      <formula>#REF!&lt;&gt;$B166</formula>
    </cfRule>
  </conditionalFormatting>
  <conditionalFormatting sqref="B175:I178 I204:I205">
    <cfRule type="expression" dxfId="1049" priority="1008">
      <formula>$B159&lt;&gt;$B160</formula>
    </cfRule>
  </conditionalFormatting>
  <conditionalFormatting sqref="H149:I149">
    <cfRule type="expression" dxfId="1048" priority="1007">
      <formula>$B152&lt;&gt;#REF!</formula>
    </cfRule>
  </conditionalFormatting>
  <conditionalFormatting sqref="H149:I149">
    <cfRule type="expression" dxfId="1047" priority="1006">
      <formula>$B149&lt;&gt;$B151</formula>
    </cfRule>
  </conditionalFormatting>
  <conditionalFormatting sqref="I217">
    <cfRule type="expression" dxfId="1046" priority="1005">
      <formula>#REF!&lt;&gt;$B201</formula>
    </cfRule>
  </conditionalFormatting>
  <conditionalFormatting sqref="I215">
    <cfRule type="expression" dxfId="1045" priority="1004">
      <formula>$B200&lt;&gt;#REF!</formula>
    </cfRule>
  </conditionalFormatting>
  <conditionalFormatting sqref="I216">
    <cfRule type="expression" dxfId="1044" priority="1003">
      <formula>#REF!&lt;&gt;#REF!</formula>
    </cfRule>
  </conditionalFormatting>
  <conditionalFormatting sqref="I213:I214 I207:I209">
    <cfRule type="expression" dxfId="1043" priority="1002">
      <formula>$B192&lt;&gt;$B193</formula>
    </cfRule>
  </conditionalFormatting>
  <conditionalFormatting sqref="A200">
    <cfRule type="expression" dxfId="1042" priority="1001">
      <formula>$B200&lt;&gt;#REF!</formula>
    </cfRule>
  </conditionalFormatting>
  <conditionalFormatting sqref="B184:C187 D184:D185 D187 G184:H187 D156 H153:H158 I186:I187">
    <cfRule type="expression" dxfId="1041" priority="1000">
      <formula>$B128&lt;&gt;$B129</formula>
    </cfRule>
  </conditionalFormatting>
  <conditionalFormatting sqref="C74 H74 J74:K74 J71:K71 H60 J60:K60 C106 J68:K68 J66:K66">
    <cfRule type="expression" dxfId="1040" priority="999">
      <formula>#REF!&lt;&gt;#REF!</formula>
    </cfRule>
  </conditionalFormatting>
  <conditionalFormatting sqref="H99 C73 H73 J73:K73 H128:H129 H15">
    <cfRule type="expression" dxfId="1039" priority="998">
      <formula>$B18&lt;&gt;$B19</formula>
    </cfRule>
  </conditionalFormatting>
  <conditionalFormatting sqref="H84:I84">
    <cfRule type="expression" dxfId="1038" priority="997">
      <formula>#REF!&lt;&gt;#REF!</formula>
    </cfRule>
  </conditionalFormatting>
  <conditionalFormatting sqref="A54 A85:A86 A88:A89 A102:A104 A91 A93:A95 A109 A125:A129 A131:A133 A135:A136 A138:A140 A142:A144 A120:A121 A123 A149 A98:A100 A111:A118 B179 A168:A176 A106:A107">
    <cfRule type="expression" dxfId="1037" priority="996">
      <formula>$B54&lt;&gt;#REF!</formula>
    </cfRule>
  </conditionalFormatting>
  <conditionalFormatting sqref="J88:K89 J54:K55 J85:K86 H117:H118 C103:C104 J91:K91">
    <cfRule type="expression" dxfId="1036" priority="995">
      <formula>#REF!&lt;&gt;#REF!</formula>
    </cfRule>
  </conditionalFormatting>
  <conditionalFormatting sqref="A55 E58 E55:F55 C55 A86 A104:C104 A118:C118 A135 H118:I118 H86:I86">
    <cfRule type="expression" dxfId="1035" priority="994">
      <formula>$B55&lt;&gt;#REF!</formula>
    </cfRule>
  </conditionalFormatting>
  <conditionalFormatting sqref="J87:K87 J48:K48 D48 J84:K84 C84:D84 C102 H116">
    <cfRule type="expression" dxfId="1034" priority="993">
      <formula>#REF!&lt;&gt;#REF!</formula>
    </cfRule>
  </conditionalFormatting>
  <conditionalFormatting sqref="A3:C3 J8:K8 A8:C8 J3:K3 A25:D25 G25 J31:K32 A31:D32 J38:K39 J11:K12 A11:D12 J27:K28 G27 J25:K25 G11:G12 G38:G39 G31:G32 A27:D27 A38:D39 A77:D77 A62:B62 A100:B100 A74:C74 I89 A89:D89 A91:C91 E91:F91 F89:G89 A107:C107 A109:C109 H129 A129:C129 A133 G136:H136 A136:C136 A140:C140 A121:C121 A123:C123 C86:C88 C90 C92 A64:A66 H121:I121 H140:I140 G123:I123 H109:I109 H107:I107 G74:I74 G62:I62">
    <cfRule type="expression" dxfId="1033" priority="992">
      <formula>$B3&lt;&gt;$B5</formula>
    </cfRule>
  </conditionalFormatting>
  <conditionalFormatting sqref="J45:K47 H114:H115 J79:K83 J56:K56 H58 H125 H142 D169:D173 H170:H173 D160 D156 D187 H175:H187 H150:H164 D175:D185 J58:K58">
    <cfRule type="expression" dxfId="1032" priority="991">
      <formula>#REF!&lt;&gt;#REF!</formula>
    </cfRule>
  </conditionalFormatting>
  <conditionalFormatting sqref="J5:K7 G24 A30:C30 J10:K10 A3:G5 A29:D29 J29:K30 A29:B30 G29:G30 J24:K24 A6:E7 J33:K34 G33:G34 A33:D34 J40:K43 G40:G43 A40:C43 F38:F43 A43:D43 A9:D10 A8:C8 B85:C85 A84:A85 B117:C117 F58:G58 G116:H117 A102:C103 A73:C73 A76:C76 A87:A88 A106:C106 G125:H125 A125:C128 H128 A131:A132 C144:E144 G138:H138 A142:B144 A138:C139 C142:C143 A120:C120 A68:H68 B67:H67 B69:H71 B165:G166 A160:C160 A155:C156 D155 A154:D154 B161:D164 B167:D167 G170:H173 B64:B66 G64:H66 G167:G169 G182:G183 I64:I71 H76:I76 G73:I73 H84:I84">
    <cfRule type="expression" dxfId="1031" priority="990">
      <formula>$B3&lt;&gt;$B4</formula>
    </cfRule>
  </conditionalFormatting>
  <conditionalFormatting sqref="J59:K59 H59 H98 G87 H127 H143 H138">
    <cfRule type="expression" dxfId="1030" priority="989">
      <formula>#REF!&lt;&gt;#REF!</formula>
    </cfRule>
  </conditionalFormatting>
  <conditionalFormatting sqref="C13:C14">
    <cfRule type="expression" dxfId="1029" priority="988">
      <formula>$B13&lt;&gt;$B14</formula>
    </cfRule>
  </conditionalFormatting>
  <conditionalFormatting sqref="A4:C4 J4:K4">
    <cfRule type="expression" dxfId="1028" priority="987">
      <formula>$B4&lt;&gt;$B6</formula>
    </cfRule>
  </conditionalFormatting>
  <conditionalFormatting sqref="J21:K21 A21:B21 G21 H416 F184:F186 A546:A547 E551:F551 F555 F557 F562">
    <cfRule type="expression" dxfId="1027" priority="986">
      <formula>$B21&lt;&gt;$B25</formula>
    </cfRule>
  </conditionalFormatting>
  <conditionalFormatting sqref="J9:K9 A9:C9">
    <cfRule type="expression" dxfId="1026" priority="984">
      <formula>$B9&lt;&gt;$B11</formula>
    </cfRule>
  </conditionalFormatting>
  <conditionalFormatting sqref="D29">
    <cfRule type="expression" dxfId="1025" priority="983">
      <formula>$B29&lt;&gt;$B30</formula>
    </cfRule>
  </conditionalFormatting>
  <conditionalFormatting sqref="D25">
    <cfRule type="expression" dxfId="1024" priority="982">
      <formula>$B25&lt;&gt;$B27</formula>
    </cfRule>
  </conditionalFormatting>
  <conditionalFormatting sqref="D19">
    <cfRule type="expression" dxfId="1023" priority="981">
      <formula>$B19&lt;&gt;$B21</formula>
    </cfRule>
  </conditionalFormatting>
  <conditionalFormatting sqref="D19">
    <cfRule type="expression" dxfId="1022" priority="980">
      <formula>$B19&lt;&gt;$B21</formula>
    </cfRule>
  </conditionalFormatting>
  <conditionalFormatting sqref="J26:K26 G26:G27 A35:D35 C44:F44 F35:G35 J44:K44 J35:K37 A60 A74 A76 A71 G63:I63">
    <cfRule type="expression" dxfId="1021" priority="979">
      <formula>#REF!&lt;&gt;#REF!</formula>
    </cfRule>
  </conditionalFormatting>
  <conditionalFormatting sqref="D30 D40:D42">
    <cfRule type="expression" dxfId="1020" priority="978">
      <formula>$B30&lt;&gt;$B31</formula>
    </cfRule>
  </conditionalFormatting>
  <conditionalFormatting sqref="E42">
    <cfRule type="expression" dxfId="1019" priority="977">
      <formula>$B42&lt;&gt;$B43</formula>
    </cfRule>
  </conditionalFormatting>
  <conditionalFormatting sqref="E42">
    <cfRule type="expression" dxfId="1018" priority="976">
      <formula>$B42&lt;&gt;$B43</formula>
    </cfRule>
  </conditionalFormatting>
  <conditionalFormatting sqref="E43">
    <cfRule type="expression" dxfId="1017" priority="975">
      <formula>$B43&lt;&gt;$B44</formula>
    </cfRule>
  </conditionalFormatting>
  <conditionalFormatting sqref="E43">
    <cfRule type="expression" dxfId="1016" priority="974">
      <formula>$B43&lt;&gt;$B44</formula>
    </cfRule>
  </conditionalFormatting>
  <conditionalFormatting sqref="A26:C26 B428:H428 H429 B415:H415 B437:H437 E474:F474 D475 D477:F477 D486 D489:F489 D498:D499 E499:F500 E504:F504 E507:F507 A494 A512:A513 A518 A515 A528 A533 A80:B81 F80:I81 A521:A522 A21:B21 H21:I23 E21:F21 A59 J104 H104 H417 D480:F481 A545 E545:F545 A547 A540 A552 F552 F556 F564 A556:A565">
    <cfRule type="expression" dxfId="1015" priority="973">
      <formula>$B21&lt;&gt;$B24</formula>
    </cfRule>
  </conditionalFormatting>
  <conditionalFormatting sqref="D26">
    <cfRule type="expression" dxfId="1014" priority="972">
      <formula>$B26&lt;&gt;$B27</formula>
    </cfRule>
  </conditionalFormatting>
  <conditionalFormatting sqref="D26">
    <cfRule type="expression" dxfId="1013" priority="971">
      <formula>$B26&lt;&gt;$B27</formula>
    </cfRule>
  </conditionalFormatting>
  <conditionalFormatting sqref="A28:D28 G28">
    <cfRule type="expression" dxfId="1012" priority="970">
      <formula>$B28&lt;&gt;$B30</formula>
    </cfRule>
  </conditionalFormatting>
  <conditionalFormatting sqref="G28">
    <cfRule type="expression" dxfId="1011" priority="969">
      <formula>$B28&lt;&gt;$B31</formula>
    </cfRule>
  </conditionalFormatting>
  <conditionalFormatting sqref="A36:D37 G36:G37">
    <cfRule type="expression" dxfId="1010" priority="968">
      <formula>$B36&lt;&gt;$B38</formula>
    </cfRule>
  </conditionalFormatting>
  <conditionalFormatting sqref="F36:F37">
    <cfRule type="expression" dxfId="1009" priority="967">
      <formula>$B36&lt;&gt;$B37</formula>
    </cfRule>
  </conditionalFormatting>
  <conditionalFormatting sqref="G44">
    <cfRule type="expression" dxfId="1008" priority="966">
      <formula>$B44&lt;&gt;$B45</formula>
    </cfRule>
  </conditionalFormatting>
  <conditionalFormatting sqref="D27">
    <cfRule type="expression" dxfId="1007" priority="965">
      <formula>$B27&lt;&gt;$B29</formula>
    </cfRule>
  </conditionalFormatting>
  <conditionalFormatting sqref="D8">
    <cfRule type="expression" dxfId="1006" priority="964">
      <formula>$B8&lt;&gt;$B10</formula>
    </cfRule>
  </conditionalFormatting>
  <conditionalFormatting sqref="D8">
    <cfRule type="expression" dxfId="1005" priority="963">
      <formula>$B8&lt;&gt;$B10</formula>
    </cfRule>
  </conditionalFormatting>
  <conditionalFormatting sqref="C45:G47">
    <cfRule type="expression" dxfId="1004" priority="962">
      <formula>$B45&lt;&gt;$B46</formula>
    </cfRule>
  </conditionalFormatting>
  <conditionalFormatting sqref="A56">
    <cfRule type="expression" dxfId="1003" priority="961">
      <formula>$B56&lt;&gt;$B59</formula>
    </cfRule>
  </conditionalFormatting>
  <conditionalFormatting sqref="F73:F74 F79 F76:F77 F83">
    <cfRule type="expression" dxfId="1002" priority="960">
      <formula>$B73&lt;&gt;#REF!</formula>
    </cfRule>
  </conditionalFormatting>
  <conditionalFormatting sqref="E74 E77 E83">
    <cfRule type="expression" dxfId="1001" priority="959">
      <formula>$B74&lt;&gt;#REF!</formula>
    </cfRule>
  </conditionalFormatting>
  <conditionalFormatting sqref="E73 E76 E84">
    <cfRule type="expression" dxfId="1000" priority="958">
      <formula>$B73&lt;&gt;$B74</formula>
    </cfRule>
  </conditionalFormatting>
  <conditionalFormatting sqref="D54">
    <cfRule type="expression" dxfId="999" priority="957">
      <formula>$B54&lt;&gt;$B55</formula>
    </cfRule>
  </conditionalFormatting>
  <conditionalFormatting sqref="D55">
    <cfRule type="expression" dxfId="998" priority="956">
      <formula>$B55&lt;&gt;$B56</formula>
    </cfRule>
  </conditionalFormatting>
  <conditionalFormatting sqref="H91">
    <cfRule type="expression" dxfId="997" priority="955">
      <formula>$B33&lt;&gt;$B37</formula>
    </cfRule>
  </conditionalFormatting>
  <conditionalFormatting sqref="H89">
    <cfRule type="expression" dxfId="996" priority="954">
      <formula>$B60&lt;&gt;$B66</formula>
    </cfRule>
  </conditionalFormatting>
  <conditionalFormatting sqref="D74 A465:G465 G530 E519:F519 A19:C19 J19:K19 A20:B20 G19:G20 G22 A22:B23 F187 G477:G481 E540:F540">
    <cfRule type="expression" dxfId="995" priority="953">
      <formula>$B19&lt;&gt;$B24</formula>
    </cfRule>
  </conditionalFormatting>
  <conditionalFormatting sqref="D58">
    <cfRule type="expression" dxfId="994" priority="952">
      <formula>$B58&lt;&gt;$B59</formula>
    </cfRule>
  </conditionalFormatting>
  <conditionalFormatting sqref="D73">
    <cfRule type="expression" dxfId="993" priority="951">
      <formula>$B73&lt;&gt;$B74</formula>
    </cfRule>
  </conditionalFormatting>
  <conditionalFormatting sqref="D76">
    <cfRule type="expression" dxfId="992" priority="950">
      <formula>$B76&lt;&gt;$B77</formula>
    </cfRule>
  </conditionalFormatting>
  <conditionalFormatting sqref="H3:H7">
    <cfRule type="expression" dxfId="991" priority="949">
      <formula>$B3&lt;&gt;$B4</formula>
    </cfRule>
  </conditionalFormatting>
  <conditionalFormatting sqref="H3:H7 H24:H41 H9:H13">
    <cfRule type="expression" dxfId="990" priority="948">
      <formula>$B5&lt;&gt;$B6</formula>
    </cfRule>
  </conditionalFormatting>
  <conditionalFormatting sqref="H42:H43">
    <cfRule type="expression" dxfId="989" priority="947">
      <formula>$B42&lt;&gt;$B43</formula>
    </cfRule>
  </conditionalFormatting>
  <conditionalFormatting sqref="H44">
    <cfRule type="expression" dxfId="988" priority="946">
      <formula>$B44&lt;&gt;$B47</formula>
    </cfRule>
  </conditionalFormatting>
  <conditionalFormatting sqref="H45">
    <cfRule type="expression" dxfId="987" priority="945">
      <formula>$B45&lt;&gt;$B47</formula>
    </cfRule>
  </conditionalFormatting>
  <conditionalFormatting sqref="G55 H454:H455 B260:H268 B440:H448 B415:H418 B438:G439 B450:H451 B449:G449 B270:H271 C269:H269 B272:G299 B420:H437">
    <cfRule type="expression" dxfId="986" priority="944">
      <formula>$B55&lt;&gt;#REF!</formula>
    </cfRule>
  </conditionalFormatting>
  <conditionalFormatting sqref="H54">
    <cfRule type="expression" dxfId="985" priority="943">
      <formula>$B54&lt;&gt;$B55</formula>
    </cfRule>
  </conditionalFormatting>
  <conditionalFormatting sqref="H55">
    <cfRule type="expression" dxfId="984" priority="942">
      <formula>$B55&lt;&gt;$B56</formula>
    </cfRule>
  </conditionalFormatting>
  <conditionalFormatting sqref="H56">
    <cfRule type="expression" dxfId="983" priority="941">
      <formula>$B56&lt;&gt;$B60</formula>
    </cfRule>
  </conditionalFormatting>
  <conditionalFormatting sqref="F84">
    <cfRule type="expression" dxfId="982" priority="940">
      <formula>$B84&lt;&gt;$B85</formula>
    </cfRule>
  </conditionalFormatting>
  <conditionalFormatting sqref="I221 I225 I229 I144 G144 G142:H143 I218 I184 D171 D173 D183">
    <cfRule type="expression" dxfId="981" priority="939">
      <formula>#REF!&lt;&gt;#REF!</formula>
    </cfRule>
  </conditionalFormatting>
  <conditionalFormatting sqref="I99 I112:I113 I117 I125 I129 I136 I142 I162 I211 I219 I223 I227 I231 I234 I153:I156">
    <cfRule type="expression" dxfId="980" priority="938">
      <formula>#REF!&lt;&gt;#REF!</formula>
    </cfRule>
  </conditionalFormatting>
  <conditionalFormatting sqref="I98 I111 I116 I128 I161 I210 I222 I226 I230 I233 I114 I126 I138 I143 I157:I158 I163 I170:I173 I212 I220 I224 I228 I235 I150:I151">
    <cfRule type="expression" dxfId="979" priority="937">
      <formula>#REF!&lt;&gt;#REF!</formula>
    </cfRule>
  </conditionalFormatting>
  <conditionalFormatting sqref="G87 I87 H85:I85">
    <cfRule type="expression" dxfId="978" priority="936">
      <formula>$B52&lt;&gt;$B53</formula>
    </cfRule>
  </conditionalFormatting>
  <conditionalFormatting sqref="H87">
    <cfRule type="expression" dxfId="977" priority="935">
      <formula>$B87&lt;&gt;$B88</formula>
    </cfRule>
  </conditionalFormatting>
  <conditionalFormatting sqref="I9 I31 I40 I54">
    <cfRule type="expression" dxfId="976" priority="934">
      <formula>$B9&lt;&gt;$B10</formula>
    </cfRule>
  </conditionalFormatting>
  <conditionalFormatting sqref="I7 I16:I17 I29 I38 I11 I24 I33 I42 I56">
    <cfRule type="expression" dxfId="975" priority="933">
      <formula>$B7&lt;&gt;#REF!</formula>
    </cfRule>
  </conditionalFormatting>
  <conditionalFormatting sqref="I6 I15 I28 I37 I46 I10 I32 I41 I55 I8 I18 I30 I39">
    <cfRule type="expression" dxfId="974" priority="932">
      <formula>$B6&lt;&gt;$B7</formula>
    </cfRule>
  </conditionalFormatting>
  <conditionalFormatting sqref="I3:I5 I12:I14 I25:I27 I34:I36 I43:I45">
    <cfRule type="expression" dxfId="973" priority="931">
      <formula>$B3&lt;&gt;$B4</formula>
    </cfRule>
  </conditionalFormatting>
  <conditionalFormatting sqref="I47">
    <cfRule type="expression" dxfId="972" priority="930">
      <formula>$B47&lt;&gt;$B48</formula>
    </cfRule>
  </conditionalFormatting>
  <conditionalFormatting sqref="I47">
    <cfRule type="expression" dxfId="971" priority="929">
      <formula>$B54&lt;&gt;$B55</formula>
    </cfRule>
  </conditionalFormatting>
  <conditionalFormatting sqref="F87">
    <cfRule type="expression" dxfId="970" priority="928">
      <formula>$B87&lt;&gt;#REF!</formula>
    </cfRule>
  </conditionalFormatting>
  <conditionalFormatting sqref="E87">
    <cfRule type="expression" dxfId="969" priority="927">
      <formula>$B87&lt;&gt;$B88</formula>
    </cfRule>
  </conditionalFormatting>
  <conditionalFormatting sqref="D87 D478:F478 D487:F487 D493:F494 A516 A529 A531 G529 A535:A536 E536:F536 G79:I79 B79:E79 E521:F521">
    <cfRule type="expression" dxfId="968" priority="926">
      <formula>$B79&lt;&gt;$B83</formula>
    </cfRule>
  </conditionalFormatting>
  <conditionalFormatting sqref="F85">
    <cfRule type="expression" dxfId="967" priority="925">
      <formula>$B85&lt;&gt;#REF!</formula>
    </cfRule>
  </conditionalFormatting>
  <conditionalFormatting sqref="E85">
    <cfRule type="expression" dxfId="966" priority="924">
      <formula>$B85&lt;&gt;$B86</formula>
    </cfRule>
  </conditionalFormatting>
  <conditionalFormatting sqref="D85">
    <cfRule type="expression" dxfId="965" priority="923">
      <formula>$B85&lt;&gt;$B88</formula>
    </cfRule>
  </conditionalFormatting>
  <conditionalFormatting sqref="E86">
    <cfRule type="expression" dxfId="964" priority="922">
      <formula>$B86&lt;&gt;#REF!</formula>
    </cfRule>
  </conditionalFormatting>
  <conditionalFormatting sqref="F86">
    <cfRule type="expression" dxfId="963" priority="921">
      <formula>$B86&lt;&gt;$B87</formula>
    </cfRule>
  </conditionalFormatting>
  <conditionalFormatting sqref="D86">
    <cfRule type="expression" dxfId="962" priority="920">
      <formula>$B86&lt;&gt;$B87</formula>
    </cfRule>
  </conditionalFormatting>
  <conditionalFormatting sqref="E88:F88">
    <cfRule type="expression" dxfId="961" priority="919">
      <formula>$B88&lt;&gt;$B89</formula>
    </cfRule>
  </conditionalFormatting>
  <conditionalFormatting sqref="H88">
    <cfRule type="expression" dxfId="960" priority="918">
      <formula>$B88&lt;&gt;$B93</formula>
    </cfRule>
  </conditionalFormatting>
  <conditionalFormatting sqref="I88">
    <cfRule type="expression" dxfId="959" priority="917">
      <formula>$B88&lt;&gt;#REF!</formula>
    </cfRule>
  </conditionalFormatting>
  <conditionalFormatting sqref="I94">
    <cfRule type="expression" dxfId="958" priority="916">
      <formula>$B63&lt;&gt;#REF!</formula>
    </cfRule>
  </conditionalFormatting>
  <conditionalFormatting sqref="I93 I95 G93 G95">
    <cfRule type="expression" dxfId="957" priority="915">
      <formula>$B93&lt;&gt;$B94</formula>
    </cfRule>
  </conditionalFormatting>
  <conditionalFormatting sqref="H93">
    <cfRule type="expression" dxfId="956" priority="914">
      <formula>$B93&lt;&gt;$B96</formula>
    </cfRule>
  </conditionalFormatting>
  <conditionalFormatting sqref="H94">
    <cfRule type="expression" dxfId="955" priority="913">
      <formula>$B94&lt;&gt;$B98</formula>
    </cfRule>
  </conditionalFormatting>
  <conditionalFormatting sqref="H95">
    <cfRule type="expression" dxfId="954" priority="912">
      <formula>$B95&lt;&gt;$B96</formula>
    </cfRule>
  </conditionalFormatting>
  <conditionalFormatting sqref="E98">
    <cfRule type="expression" dxfId="953" priority="911">
      <formula>$B98&lt;&gt;$B99</formula>
    </cfRule>
  </conditionalFormatting>
  <conditionalFormatting sqref="F98">
    <cfRule type="expression" dxfId="952" priority="910">
      <formula>$B98&lt;&gt;$B99</formula>
    </cfRule>
  </conditionalFormatting>
  <conditionalFormatting sqref="E93">
    <cfRule type="expression" dxfId="951" priority="909">
      <formula>$B93&lt;&gt;#REF!</formula>
    </cfRule>
  </conditionalFormatting>
  <conditionalFormatting sqref="D93 F93">
    <cfRule type="expression" dxfId="950" priority="908">
      <formula>$B93&lt;&gt;$B94</formula>
    </cfRule>
  </conditionalFormatting>
  <conditionalFormatting sqref="E95">
    <cfRule type="expression" dxfId="949" priority="907">
      <formula>$B95&lt;&gt;#REF!</formula>
    </cfRule>
  </conditionalFormatting>
  <conditionalFormatting sqref="D95 F95">
    <cfRule type="expression" dxfId="948" priority="906">
      <formula>$B95&lt;&gt;$B96</formula>
    </cfRule>
  </conditionalFormatting>
  <conditionalFormatting sqref="E94">
    <cfRule type="expression" dxfId="947" priority="905">
      <formula>$B94&lt;&gt;$B95</formula>
    </cfRule>
  </conditionalFormatting>
  <conditionalFormatting sqref="D94">
    <cfRule type="expression" dxfId="946" priority="904">
      <formula>$B94&lt;&gt;$B95</formula>
    </cfRule>
  </conditionalFormatting>
  <conditionalFormatting sqref="C114:C115">
    <cfRule type="expression" dxfId="945" priority="903">
      <formula>$B116&lt;&gt;$B117</formula>
    </cfRule>
  </conditionalFormatting>
  <conditionalFormatting sqref="C114:C115">
    <cfRule type="expression" dxfId="944" priority="902">
      <formula>$B114&lt;&gt;$B115</formula>
    </cfRule>
  </conditionalFormatting>
  <conditionalFormatting sqref="H111">
    <cfRule type="expression" dxfId="943" priority="901">
      <formula>$B111&lt;&gt;$B112</formula>
    </cfRule>
  </conditionalFormatting>
  <conditionalFormatting sqref="H126">
    <cfRule type="expression" dxfId="942" priority="900">
      <formula>$B126&lt;&gt;$B127</formula>
    </cfRule>
  </conditionalFormatting>
  <conditionalFormatting sqref="H144">
    <cfRule type="expression" dxfId="941" priority="899">
      <formula>$B144&lt;&gt;$B145</formula>
    </cfRule>
  </conditionalFormatting>
  <conditionalFormatting sqref="E106:F106">
    <cfRule type="expression" dxfId="940" priority="898">
      <formula>$B106&lt;&gt;$B107</formula>
    </cfRule>
  </conditionalFormatting>
  <conditionalFormatting sqref="H106">
    <cfRule type="expression" dxfId="939" priority="897">
      <formula>$B106&lt;&gt;$B111</formula>
    </cfRule>
  </conditionalFormatting>
  <conditionalFormatting sqref="I106">
    <cfRule type="expression" dxfId="938" priority="896">
      <formula>$B106&lt;&gt;#REF!</formula>
    </cfRule>
  </conditionalFormatting>
  <conditionalFormatting sqref="E120:F120">
    <cfRule type="expression" dxfId="937" priority="895">
      <formula>$B120&lt;&gt;$B121</formula>
    </cfRule>
  </conditionalFormatting>
  <conditionalFormatting sqref="H120">
    <cfRule type="expression" dxfId="936" priority="894">
      <formula>$B120&lt;&gt;$B125</formula>
    </cfRule>
  </conditionalFormatting>
  <conditionalFormatting sqref="I120">
    <cfRule type="expression" dxfId="935" priority="893">
      <formula>$B120&lt;&gt;#REF!</formula>
    </cfRule>
  </conditionalFormatting>
  <conditionalFormatting sqref="E139:F139">
    <cfRule type="expression" dxfId="934" priority="892">
      <formula>$B139&lt;&gt;$B140</formula>
    </cfRule>
  </conditionalFormatting>
  <conditionalFormatting sqref="D139 D120 D106 D88">
    <cfRule type="expression" dxfId="933" priority="891">
      <formula>$B88&lt;&gt;$B92</formula>
    </cfRule>
  </conditionalFormatting>
  <conditionalFormatting sqref="H139">
    <cfRule type="expression" dxfId="932" priority="890">
      <formula>$B139&lt;&gt;$B143</formula>
    </cfRule>
  </conditionalFormatting>
  <conditionalFormatting sqref="I139">
    <cfRule type="expression" dxfId="931" priority="889">
      <formula>$B139&lt;&gt;#REF!</formula>
    </cfRule>
  </conditionalFormatting>
  <conditionalFormatting sqref="D109">
    <cfRule type="expression" dxfId="930" priority="888">
      <formula>$B109&lt;&gt;#REF!</formula>
    </cfRule>
  </conditionalFormatting>
  <conditionalFormatting sqref="E109">
    <cfRule type="expression" dxfId="929" priority="887">
      <formula>$B109&lt;&gt;$B111</formula>
    </cfRule>
  </conditionalFormatting>
  <conditionalFormatting sqref="D121">
    <cfRule type="expression" dxfId="928" priority="886">
      <formula>$B121&lt;&gt;#REF!</formula>
    </cfRule>
  </conditionalFormatting>
  <conditionalFormatting sqref="E121">
    <cfRule type="expression" dxfId="927" priority="885">
      <formula>$B121&lt;&gt;$B123</formula>
    </cfRule>
  </conditionalFormatting>
  <conditionalFormatting sqref="E140:F140">
    <cfRule type="expression" dxfId="926" priority="884">
      <formula>$B140&lt;&gt;$B142</formula>
    </cfRule>
  </conditionalFormatting>
  <conditionalFormatting sqref="D140">
    <cfRule type="expression" dxfId="925" priority="883">
      <formula>$B140&lt;&gt;$B142</formula>
    </cfRule>
  </conditionalFormatting>
  <conditionalFormatting sqref="G77:I77">
    <cfRule type="expression" dxfId="924" priority="882">
      <formula>$B77&lt;&gt;$B79</formula>
    </cfRule>
  </conditionalFormatting>
  <conditionalFormatting sqref="F99">
    <cfRule type="expression" dxfId="923" priority="881">
      <formula>$B99&lt;&gt;#REF!</formula>
    </cfRule>
  </conditionalFormatting>
  <conditionalFormatting sqref="E99">
    <cfRule type="expression" dxfId="922" priority="880">
      <formula>$B99&lt;&gt;$B100</formula>
    </cfRule>
  </conditionalFormatting>
  <conditionalFormatting sqref="F100">
    <cfRule type="expression" dxfId="921" priority="879">
      <formula>$B100&lt;&gt;#REF!</formula>
    </cfRule>
  </conditionalFormatting>
  <conditionalFormatting sqref="E100">
    <cfRule type="expression" dxfId="920" priority="878">
      <formula>$B100&lt;&gt;$B102</formula>
    </cfRule>
  </conditionalFormatting>
  <conditionalFormatting sqref="F103">
    <cfRule type="expression" dxfId="919" priority="877">
      <formula>$B103&lt;&gt;#REF!</formula>
    </cfRule>
  </conditionalFormatting>
  <conditionalFormatting sqref="E103">
    <cfRule type="expression" dxfId="918" priority="876">
      <formula>$B103&lt;&gt;$B104</formula>
    </cfRule>
  </conditionalFormatting>
  <conditionalFormatting sqref="D103">
    <cfRule type="expression" dxfId="917" priority="875">
      <formula>$B103&lt;&gt;$B107</formula>
    </cfRule>
  </conditionalFormatting>
  <conditionalFormatting sqref="F104">
    <cfRule type="expression" dxfId="916" priority="874">
      <formula>$B104&lt;&gt;#REF!</formula>
    </cfRule>
  </conditionalFormatting>
  <conditionalFormatting sqref="E104">
    <cfRule type="expression" dxfId="915" priority="873">
      <formula>$B104&lt;&gt;$B106</formula>
    </cfRule>
  </conditionalFormatting>
  <conditionalFormatting sqref="D104">
    <cfRule type="expression" dxfId="914" priority="872">
      <formula>$B104&lt;&gt;$B109</formula>
    </cfRule>
  </conditionalFormatting>
  <conditionalFormatting sqref="F107">
    <cfRule type="expression" dxfId="913" priority="871">
      <formula>$B107&lt;&gt;#REF!</formula>
    </cfRule>
  </conditionalFormatting>
  <conditionalFormatting sqref="E107">
    <cfRule type="expression" dxfId="912" priority="870">
      <formula>$B107&lt;&gt;$B109</formula>
    </cfRule>
  </conditionalFormatting>
  <conditionalFormatting sqref="D107">
    <cfRule type="expression" dxfId="911" priority="869">
      <formula>$B107&lt;&gt;$B112</formula>
    </cfRule>
  </conditionalFormatting>
  <conditionalFormatting sqref="F112">
    <cfRule type="expression" dxfId="910" priority="868">
      <formula>$B112&lt;&gt;#REF!</formula>
    </cfRule>
  </conditionalFormatting>
  <conditionalFormatting sqref="E112">
    <cfRule type="expression" dxfId="909" priority="867">
      <formula>$B112&lt;&gt;$B114</formula>
    </cfRule>
  </conditionalFormatting>
  <conditionalFormatting sqref="E115">
    <cfRule type="expression" dxfId="908" priority="866">
      <formula>$B115&lt;&gt;$B116</formula>
    </cfRule>
  </conditionalFormatting>
  <conditionalFormatting sqref="D115">
    <cfRule type="expression" dxfId="907" priority="865">
      <formula>$B115&lt;&gt;$B118</formula>
    </cfRule>
  </conditionalFormatting>
  <conditionalFormatting sqref="D112">
    <cfRule type="expression" dxfId="906" priority="864">
      <formula>$B112&lt;&gt;#REF!</formula>
    </cfRule>
  </conditionalFormatting>
  <conditionalFormatting sqref="F115">
    <cfRule type="expression" dxfId="905" priority="863">
      <formula>$B115&lt;&gt;$B116</formula>
    </cfRule>
  </conditionalFormatting>
  <conditionalFormatting sqref="E116:F116">
    <cfRule type="expression" dxfId="904" priority="862">
      <formula>$B116&lt;&gt;$B117</formula>
    </cfRule>
  </conditionalFormatting>
  <conditionalFormatting sqref="D116">
    <cfRule type="expression" dxfId="903" priority="861">
      <formula>$B116&lt;&gt;$B120</formula>
    </cfRule>
  </conditionalFormatting>
  <conditionalFormatting sqref="E117:F117">
    <cfRule type="expression" dxfId="902" priority="860">
      <formula>$B117&lt;&gt;$B118</formula>
    </cfRule>
  </conditionalFormatting>
  <conditionalFormatting sqref="D117">
    <cfRule type="expression" dxfId="901" priority="859">
      <formula>$B117&lt;&gt;$B121</formula>
    </cfRule>
  </conditionalFormatting>
  <conditionalFormatting sqref="E118:F118">
    <cfRule type="expression" dxfId="900" priority="858">
      <formula>$B118&lt;&gt;$B120</formula>
    </cfRule>
  </conditionalFormatting>
  <conditionalFormatting sqref="D118">
    <cfRule type="expression" dxfId="899" priority="857">
      <formula>$B118&lt;&gt;$B123</formula>
    </cfRule>
  </conditionalFormatting>
  <conditionalFormatting sqref="E123:F123">
    <cfRule type="expression" dxfId="898" priority="856">
      <formula>$B123&lt;&gt;$B125</formula>
    </cfRule>
  </conditionalFormatting>
  <conditionalFormatting sqref="D123">
    <cfRule type="expression" dxfId="897" priority="855">
      <formula>$B123&lt;&gt;$B127</formula>
    </cfRule>
  </conditionalFormatting>
  <conditionalFormatting sqref="E125:F125">
    <cfRule type="expression" dxfId="896" priority="854">
      <formula>$B125&lt;&gt;$B126</formula>
    </cfRule>
  </conditionalFormatting>
  <conditionalFormatting sqref="D125">
    <cfRule type="expression" dxfId="895" priority="853">
      <formula>$B125&lt;&gt;$B128</formula>
    </cfRule>
  </conditionalFormatting>
  <conditionalFormatting sqref="E129:F129">
    <cfRule type="expression" dxfId="894" priority="852">
      <formula>$B129&lt;&gt;$B131</formula>
    </cfRule>
  </conditionalFormatting>
  <conditionalFormatting sqref="D129">
    <cfRule type="expression" dxfId="893" priority="851">
      <formula>$B129&lt;&gt;$B133</formula>
    </cfRule>
  </conditionalFormatting>
  <conditionalFormatting sqref="E136:F136">
    <cfRule type="expression" dxfId="892" priority="850">
      <formula>$B136&lt;&gt;$B138</formula>
    </cfRule>
  </conditionalFormatting>
  <conditionalFormatting sqref="D136">
    <cfRule type="expression" dxfId="891" priority="849">
      <formula>$B136&lt;&gt;$B140</formula>
    </cfRule>
  </conditionalFormatting>
  <conditionalFormatting sqref="E142:F142">
    <cfRule type="expression" dxfId="890" priority="848">
      <formula>$B142&lt;&gt;$B143</formula>
    </cfRule>
  </conditionalFormatting>
  <conditionalFormatting sqref="D142">
    <cfRule type="expression" dxfId="889" priority="847">
      <formula>$B142&lt;&gt;$B145</formula>
    </cfRule>
  </conditionalFormatting>
  <conditionalFormatting sqref="E143:F143">
    <cfRule type="expression" dxfId="888" priority="846">
      <formula>$B143&lt;&gt;$B144</formula>
    </cfRule>
  </conditionalFormatting>
  <conditionalFormatting sqref="D143 D56 E53:G53 I53">
    <cfRule type="expression" dxfId="887" priority="845">
      <formula>$B53&lt;&gt;$B59</formula>
    </cfRule>
  </conditionalFormatting>
  <conditionalFormatting sqref="F144">
    <cfRule type="expression" dxfId="886" priority="844">
      <formula>$B144&lt;&gt;$B145</formula>
    </cfRule>
  </conditionalFormatting>
  <conditionalFormatting sqref="F145">
    <cfRule type="expression" dxfId="885" priority="843">
      <formula>$B145&lt;&gt;$B149</formula>
    </cfRule>
  </conditionalFormatting>
  <conditionalFormatting sqref="D114">
    <cfRule type="expression" dxfId="884" priority="842">
      <formula>$B116&lt;&gt;#REF!</formula>
    </cfRule>
  </conditionalFormatting>
  <conditionalFormatting sqref="D114">
    <cfRule type="expression" dxfId="883" priority="841">
      <formula>$B114&lt;&gt;$B115</formula>
    </cfRule>
  </conditionalFormatting>
  <conditionalFormatting sqref="E114">
    <cfRule type="expression" dxfId="882" priority="840">
      <formula>$B114&lt;&gt;$B115</formula>
    </cfRule>
  </conditionalFormatting>
  <conditionalFormatting sqref="F114">
    <cfRule type="expression" dxfId="881" priority="839">
      <formula>$B114&lt;&gt;$B115</formula>
    </cfRule>
  </conditionalFormatting>
  <conditionalFormatting sqref="D128">
    <cfRule type="expression" dxfId="880" priority="838">
      <formula>$B131&lt;&gt;#REF!</formula>
    </cfRule>
  </conditionalFormatting>
  <conditionalFormatting sqref="D128">
    <cfRule type="expression" dxfId="879" priority="837">
      <formula>$B128&lt;&gt;$B129</formula>
    </cfRule>
  </conditionalFormatting>
  <conditionalFormatting sqref="E128">
    <cfRule type="expression" dxfId="878" priority="836">
      <formula>$B128&lt;&gt;$B129</formula>
    </cfRule>
  </conditionalFormatting>
  <conditionalFormatting sqref="F128">
    <cfRule type="expression" dxfId="877" priority="835">
      <formula>$B128&lt;&gt;$B129</formula>
    </cfRule>
  </conditionalFormatting>
  <conditionalFormatting sqref="D149">
    <cfRule type="expression" dxfId="876" priority="834">
      <formula>$B152&lt;&gt;#REF!</formula>
    </cfRule>
  </conditionalFormatting>
  <conditionalFormatting sqref="D149">
    <cfRule type="expression" dxfId="875" priority="833">
      <formula>$B149&lt;&gt;$B151</formula>
    </cfRule>
  </conditionalFormatting>
  <conditionalFormatting sqref="E149">
    <cfRule type="expression" dxfId="874" priority="832">
      <formula>$B149&lt;&gt;$B151</formula>
    </cfRule>
  </conditionalFormatting>
  <conditionalFormatting sqref="F149">
    <cfRule type="expression" dxfId="873" priority="831">
      <formula>$B149&lt;&gt;$B151</formula>
    </cfRule>
  </conditionalFormatting>
  <conditionalFormatting sqref="E102">
    <cfRule type="expression" dxfId="872" priority="830">
      <formula>$B102&lt;&gt;#REF!</formula>
    </cfRule>
  </conditionalFormatting>
  <conditionalFormatting sqref="F102">
    <cfRule type="expression" dxfId="871" priority="829">
      <formula>$B102&lt;&gt;$B103</formula>
    </cfRule>
  </conditionalFormatting>
  <conditionalFormatting sqref="D102">
    <cfRule type="expression" dxfId="870" priority="828">
      <formula>$B102&lt;&gt;$B103</formula>
    </cfRule>
  </conditionalFormatting>
  <conditionalFormatting sqref="E127">
    <cfRule type="expression" dxfId="869" priority="827">
      <formula>$B127&lt;&gt;#REF!</formula>
    </cfRule>
  </conditionalFormatting>
  <conditionalFormatting sqref="F127">
    <cfRule type="expression" dxfId="868" priority="826">
      <formula>$B127&lt;&gt;$B128</formula>
    </cfRule>
  </conditionalFormatting>
  <conditionalFormatting sqref="D127">
    <cfRule type="expression" dxfId="867" priority="825">
      <formula>$B127&lt;&gt;$B128</formula>
    </cfRule>
  </conditionalFormatting>
  <conditionalFormatting sqref="E138">
    <cfRule type="expression" dxfId="866" priority="824">
      <formula>$B138&lt;&gt;#REF!</formula>
    </cfRule>
  </conditionalFormatting>
  <conditionalFormatting sqref="F138">
    <cfRule type="expression" dxfId="865" priority="823">
      <formula>$B138&lt;&gt;$B139</formula>
    </cfRule>
  </conditionalFormatting>
  <conditionalFormatting sqref="D138">
    <cfRule type="expression" dxfId="864" priority="822">
      <formula>$B138&lt;&gt;$B139</formula>
    </cfRule>
  </conditionalFormatting>
  <conditionalFormatting sqref="E111">
    <cfRule type="expression" dxfId="863" priority="821">
      <formula>$B111&lt;&gt;$B112</formula>
    </cfRule>
  </conditionalFormatting>
  <conditionalFormatting sqref="D111">
    <cfRule type="expression" dxfId="862" priority="820">
      <formula>$B111&lt;&gt;$B112</formula>
    </cfRule>
  </conditionalFormatting>
  <conditionalFormatting sqref="E126">
    <cfRule type="expression" dxfId="861" priority="819">
      <formula>$B126&lt;&gt;$B127</formula>
    </cfRule>
  </conditionalFormatting>
  <conditionalFormatting sqref="D126">
    <cfRule type="expression" dxfId="860" priority="818">
      <formula>$B126&lt;&gt;$B127</formula>
    </cfRule>
  </conditionalFormatting>
  <conditionalFormatting sqref="F94">
    <cfRule type="expression" dxfId="859" priority="817">
      <formula>$B94&lt;&gt;$B95</formula>
    </cfRule>
  </conditionalFormatting>
  <conditionalFormatting sqref="F111">
    <cfRule type="expression" dxfId="858" priority="816">
      <formula>$B111&lt;&gt;$B112</formula>
    </cfRule>
  </conditionalFormatting>
  <conditionalFormatting sqref="F109">
    <cfRule type="expression" dxfId="857" priority="815">
      <formula>$B109&lt;&gt;#REF!</formula>
    </cfRule>
  </conditionalFormatting>
  <conditionalFormatting sqref="F126">
    <cfRule type="expression" dxfId="856" priority="814">
      <formula>$B126&lt;&gt;$B127</formula>
    </cfRule>
  </conditionalFormatting>
  <conditionalFormatting sqref="F121">
    <cfRule type="expression" dxfId="855" priority="813">
      <formula>$B121&lt;&gt;$B123</formula>
    </cfRule>
  </conditionalFormatting>
  <conditionalFormatting sqref="H136 H140 H123 G145:I145">
    <cfRule type="expression" dxfId="854" priority="812">
      <formula>#REF!&lt;&gt;#REF!</formula>
    </cfRule>
  </conditionalFormatting>
  <conditionalFormatting sqref="H83">
    <cfRule type="expression" dxfId="853" priority="811">
      <formula>$B85&lt;&gt;$B86</formula>
    </cfRule>
  </conditionalFormatting>
  <conditionalFormatting sqref="H83:I83">
    <cfRule type="expression" dxfId="852" priority="810">
      <formula>$B83&lt;&gt;$B84</formula>
    </cfRule>
  </conditionalFormatting>
  <conditionalFormatting sqref="G84">
    <cfRule type="expression" dxfId="851" priority="807">
      <formula>$B84&lt;&gt;$B85</formula>
    </cfRule>
  </conditionalFormatting>
  <conditionalFormatting sqref="G98">
    <cfRule type="expression" dxfId="850" priority="806">
      <formula>$B98&lt;&gt;$B99</formula>
    </cfRule>
  </conditionalFormatting>
  <conditionalFormatting sqref="G114">
    <cfRule type="expression" dxfId="849" priority="805">
      <formula>$B114&lt;&gt;$B115</formula>
    </cfRule>
  </conditionalFormatting>
  <conditionalFormatting sqref="G128">
    <cfRule type="expression" dxfId="848" priority="804">
      <formula>$B128&lt;&gt;$B129</formula>
    </cfRule>
  </conditionalFormatting>
  <conditionalFormatting sqref="G149">
    <cfRule type="expression" dxfId="847" priority="803">
      <formula>$B149&lt;&gt;$B151</formula>
    </cfRule>
  </conditionalFormatting>
  <conditionalFormatting sqref="G56">
    <cfRule type="expression" dxfId="846" priority="802">
      <formula>$B56&lt;&gt;$B58</formula>
    </cfRule>
  </conditionalFormatting>
  <conditionalFormatting sqref="G88">
    <cfRule type="expression" dxfId="845" priority="801">
      <formula>$B88&lt;&gt;$B89</formula>
    </cfRule>
  </conditionalFormatting>
  <conditionalFormatting sqref="G106">
    <cfRule type="expression" dxfId="844" priority="800">
      <formula>$B106&lt;&gt;$B107</formula>
    </cfRule>
  </conditionalFormatting>
  <conditionalFormatting sqref="G120">
    <cfRule type="expression" dxfId="843" priority="799">
      <formula>$B120&lt;&gt;$B121</formula>
    </cfRule>
  </conditionalFormatting>
  <conditionalFormatting sqref="G139">
    <cfRule type="expression" dxfId="842" priority="798">
      <formula>$B139&lt;&gt;$B140</formula>
    </cfRule>
  </conditionalFormatting>
  <conditionalFormatting sqref="G76">
    <cfRule type="expression" dxfId="841" priority="797">
      <formula>$B76&lt;&gt;$B77</formula>
    </cfRule>
  </conditionalFormatting>
  <conditionalFormatting sqref="G83">
    <cfRule type="expression" dxfId="840" priority="796">
      <formula>$B83&lt;&gt;$B84</formula>
    </cfRule>
  </conditionalFormatting>
  <conditionalFormatting sqref="G85">
    <cfRule type="expression" dxfId="839" priority="795">
      <formula>$B85&lt;&gt;$B86</formula>
    </cfRule>
  </conditionalFormatting>
  <conditionalFormatting sqref="G86">
    <cfRule type="expression" dxfId="838" priority="794">
      <formula>$B86&lt;&gt;$B87</formula>
    </cfRule>
  </conditionalFormatting>
  <conditionalFormatting sqref="G91">
    <cfRule type="expression" dxfId="837" priority="793">
      <formula>$B91&lt;&gt;$B93</formula>
    </cfRule>
  </conditionalFormatting>
  <conditionalFormatting sqref="G94">
    <cfRule type="expression" dxfId="836" priority="792">
      <formula>$B94&lt;&gt;$B95</formula>
    </cfRule>
  </conditionalFormatting>
  <conditionalFormatting sqref="A79">
    <cfRule type="expression" dxfId="835" priority="791">
      <formula>$B79&lt;&gt;$B83</formula>
    </cfRule>
  </conditionalFormatting>
  <conditionalFormatting sqref="A83">
    <cfRule type="expression" dxfId="834" priority="790">
      <formula>$B83&lt;&gt;$B84</formula>
    </cfRule>
  </conditionalFormatting>
  <conditionalFormatting sqref="G107">
    <cfRule type="expression" dxfId="833" priority="789">
      <formula>$B107&lt;&gt;$B109</formula>
    </cfRule>
  </conditionalFormatting>
  <conditionalFormatting sqref="G109">
    <cfRule type="expression" dxfId="832" priority="788">
      <formula>$B109&lt;&gt;$B111</formula>
    </cfRule>
  </conditionalFormatting>
  <conditionalFormatting sqref="G111">
    <cfRule type="expression" dxfId="831" priority="787">
      <formula>$B111&lt;&gt;$B112</formula>
    </cfRule>
  </conditionalFormatting>
  <conditionalFormatting sqref="G115">
    <cfRule type="expression" dxfId="830" priority="786">
      <formula>$B115&lt;&gt;$B116</formula>
    </cfRule>
  </conditionalFormatting>
  <conditionalFormatting sqref="G118">
    <cfRule type="expression" dxfId="829" priority="785">
      <formula>$B118&lt;&gt;$B120</formula>
    </cfRule>
  </conditionalFormatting>
  <conditionalFormatting sqref="G121">
    <cfRule type="expression" dxfId="828" priority="784">
      <formula>$B121&lt;&gt;$B123</formula>
    </cfRule>
  </conditionalFormatting>
  <conditionalFormatting sqref="G126">
    <cfRule type="expression" dxfId="827" priority="783">
      <formula>$B126&lt;&gt;$B127</formula>
    </cfRule>
  </conditionalFormatting>
  <conditionalFormatting sqref="G129">
    <cfRule type="expression" dxfId="826" priority="782">
      <formula>$B129&lt;&gt;$B131</formula>
    </cfRule>
  </conditionalFormatting>
  <conditionalFormatting sqref="G140">
    <cfRule type="expression" dxfId="825" priority="781">
      <formula>$B140&lt;&gt;$B142</formula>
    </cfRule>
  </conditionalFormatting>
  <conditionalFormatting sqref="C107 H107">
    <cfRule type="expression" dxfId="824" priority="780">
      <formula>$B58&lt;&gt;$B59</formula>
    </cfRule>
  </conditionalFormatting>
  <conditionalFormatting sqref="B72:C72 G72:H72">
    <cfRule type="expression" dxfId="823" priority="779">
      <formula>$B72&lt;&gt;$B74</formula>
    </cfRule>
  </conditionalFormatting>
  <conditionalFormatting sqref="A72">
    <cfRule type="expression" dxfId="822" priority="778">
      <formula>$B72&lt;&gt;$B76</formula>
    </cfRule>
  </conditionalFormatting>
  <conditionalFormatting sqref="I72">
    <cfRule type="expression" dxfId="821" priority="777">
      <formula>$B72&lt;&gt;#REF!</formula>
    </cfRule>
  </conditionalFormatting>
  <conditionalFormatting sqref="D72:F72">
    <cfRule type="expression" dxfId="820" priority="776">
      <formula>$B72&lt;&gt;$B73</formula>
    </cfRule>
  </conditionalFormatting>
  <conditionalFormatting sqref="J67:K67 H21">
    <cfRule type="expression" dxfId="819" priority="775">
      <formula>$B25&lt;&gt;$B26</formula>
    </cfRule>
  </conditionalFormatting>
  <conditionalFormatting sqref="A67">
    <cfRule type="expression" dxfId="818" priority="774">
      <formula>$B67&lt;&gt;$B69</formula>
    </cfRule>
  </conditionalFormatting>
  <conditionalFormatting sqref="A67">
    <cfRule type="expression" dxfId="817" priority="773">
      <formula>$B67&lt;&gt;$B71</formula>
    </cfRule>
  </conditionalFormatting>
  <conditionalFormatting sqref="J77:K78">
    <cfRule type="expression" dxfId="816" priority="772">
      <formula>$B83&lt;&gt;$B84</formula>
    </cfRule>
  </conditionalFormatting>
  <conditionalFormatting sqref="A78:C78">
    <cfRule type="expression" dxfId="815" priority="771">
      <formula>$B78&lt;&gt;$B83</formula>
    </cfRule>
  </conditionalFormatting>
  <conditionalFormatting sqref="F78">
    <cfRule type="expression" dxfId="814" priority="770">
      <formula>$B78&lt;&gt;#REF!</formula>
    </cfRule>
  </conditionalFormatting>
  <conditionalFormatting sqref="E78">
    <cfRule type="expression" dxfId="813" priority="769">
      <formula>$B78&lt;&gt;#REF!</formula>
    </cfRule>
  </conditionalFormatting>
  <conditionalFormatting sqref="G78:I78">
    <cfRule type="expression" dxfId="812" priority="768">
      <formula>$B78&lt;&gt;$B83</formula>
    </cfRule>
  </conditionalFormatting>
  <conditionalFormatting sqref="D78">
    <cfRule type="expression" dxfId="811" priority="767">
      <formula>$B78&lt;&gt;$B79</formula>
    </cfRule>
  </conditionalFormatting>
  <conditionalFormatting sqref="H62:H63 J62:K63">
    <cfRule type="expression" dxfId="810" priority="766">
      <formula>$B66&lt;&gt;$B68</formula>
    </cfRule>
  </conditionalFormatting>
  <conditionalFormatting sqref="A63:B63">
    <cfRule type="expression" dxfId="809" priority="765">
      <formula>$B63&lt;&gt;$B66</formula>
    </cfRule>
  </conditionalFormatting>
  <conditionalFormatting sqref="A101">
    <cfRule type="expression" dxfId="808" priority="764">
      <formula>$B101&lt;&gt;#REF!</formula>
    </cfRule>
  </conditionalFormatting>
  <conditionalFormatting sqref="A101:B101">
    <cfRule type="expression" dxfId="807" priority="763">
      <formula>$B101&lt;&gt;$B103</formula>
    </cfRule>
  </conditionalFormatting>
  <conditionalFormatting sqref="F101">
    <cfRule type="expression" dxfId="806" priority="762">
      <formula>$B101&lt;&gt;#REF!</formula>
    </cfRule>
  </conditionalFormatting>
  <conditionalFormatting sqref="E101">
    <cfRule type="expression" dxfId="805" priority="761">
      <formula>$B101&lt;&gt;$B103</formula>
    </cfRule>
  </conditionalFormatting>
  <conditionalFormatting sqref="C75 H75 J75:K75">
    <cfRule type="expression" dxfId="804" priority="760">
      <formula>$B78&lt;&gt;$B83</formula>
    </cfRule>
  </conditionalFormatting>
  <conditionalFormatting sqref="A75:C75 G75:I75">
    <cfRule type="expression" dxfId="803" priority="759">
      <formula>$B75&lt;&gt;$B77</formula>
    </cfRule>
  </conditionalFormatting>
  <conditionalFormatting sqref="A75 C95 A146:I146">
    <cfRule type="expression" dxfId="802" priority="758">
      <formula>$B75&lt;&gt;$B78</formula>
    </cfRule>
  </conditionalFormatting>
  <conditionalFormatting sqref="F75">
    <cfRule type="expression" dxfId="801" priority="757">
      <formula>$B75&lt;&gt;#REF!</formula>
    </cfRule>
  </conditionalFormatting>
  <conditionalFormatting sqref="E75">
    <cfRule type="expression" dxfId="800" priority="756">
      <formula>$B75&lt;&gt;#REF!</formula>
    </cfRule>
  </conditionalFormatting>
  <conditionalFormatting sqref="D75">
    <cfRule type="expression" dxfId="799" priority="755">
      <formula>$B75&lt;&gt;$B76</formula>
    </cfRule>
  </conditionalFormatting>
  <conditionalFormatting sqref="J65:K65">
    <cfRule type="expression" dxfId="798" priority="754">
      <formula>$B69&lt;&gt;$B71</formula>
    </cfRule>
  </conditionalFormatting>
  <conditionalFormatting sqref="A90">
    <cfRule type="expression" dxfId="797" priority="753">
      <formula>$B90&lt;&gt;#REF!</formula>
    </cfRule>
  </conditionalFormatting>
  <conditionalFormatting sqref="J90:K90">
    <cfRule type="expression" dxfId="796" priority="752">
      <formula>#REF!&lt;&gt;#REF!</formula>
    </cfRule>
  </conditionalFormatting>
  <conditionalFormatting sqref="I90 A90:B90 F90:G90">
    <cfRule type="expression" dxfId="795" priority="751">
      <formula>$B90&lt;&gt;$B92</formula>
    </cfRule>
  </conditionalFormatting>
  <conditionalFormatting sqref="H90">
    <cfRule type="expression" dxfId="794" priority="750">
      <formula>$B90&lt;&gt;$B95</formula>
    </cfRule>
  </conditionalFormatting>
  <conditionalFormatting sqref="E90">
    <cfRule type="expression" dxfId="793" priority="749">
      <formula>$B90&lt;&gt;#REF!</formula>
    </cfRule>
  </conditionalFormatting>
  <conditionalFormatting sqref="A92">
    <cfRule type="expression" dxfId="792" priority="748">
      <formula>$B92&lt;&gt;#REF!</formula>
    </cfRule>
  </conditionalFormatting>
  <conditionalFormatting sqref="J92:K92">
    <cfRule type="expression" dxfId="791" priority="747">
      <formula>#REF!&lt;&gt;#REF!</formula>
    </cfRule>
  </conditionalFormatting>
  <conditionalFormatting sqref="A92:B92 E92:F92">
    <cfRule type="expression" dxfId="790" priority="746">
      <formula>$B92&lt;&gt;$B94</formula>
    </cfRule>
  </conditionalFormatting>
  <conditionalFormatting sqref="H92">
    <cfRule type="expression" dxfId="789" priority="745">
      <formula>$B92&lt;&gt;$B96</formula>
    </cfRule>
  </conditionalFormatting>
  <conditionalFormatting sqref="I92">
    <cfRule type="expression" dxfId="788" priority="744">
      <formula>$B92&lt;&gt;#REF!</formula>
    </cfRule>
  </conditionalFormatting>
  <conditionalFormatting sqref="G92">
    <cfRule type="expression" dxfId="787" priority="743">
      <formula>$B92&lt;&gt;$B94</formula>
    </cfRule>
  </conditionalFormatting>
  <conditionalFormatting sqref="D90">
    <cfRule type="expression" dxfId="786" priority="742">
      <formula>$B90&lt;&gt;$B91</formula>
    </cfRule>
  </conditionalFormatting>
  <conditionalFormatting sqref="D92">
    <cfRule type="expression" dxfId="785" priority="741">
      <formula>$B92&lt;&gt;$B93</formula>
    </cfRule>
  </conditionalFormatting>
  <conditionalFormatting sqref="A108">
    <cfRule type="expression" dxfId="784" priority="740">
      <formula>$B108&lt;&gt;#REF!</formula>
    </cfRule>
  </conditionalFormatting>
  <conditionalFormatting sqref="A108:C108 H108:I108">
    <cfRule type="expression" dxfId="783" priority="739">
      <formula>$B108&lt;&gt;$B110</formula>
    </cfRule>
  </conditionalFormatting>
  <conditionalFormatting sqref="F108">
    <cfRule type="expression" dxfId="782" priority="738">
      <formula>$B108&lt;&gt;#REF!</formula>
    </cfRule>
  </conditionalFormatting>
  <conditionalFormatting sqref="E108">
    <cfRule type="expression" dxfId="781" priority="737">
      <formula>$B108&lt;&gt;$B110</formula>
    </cfRule>
  </conditionalFormatting>
  <conditionalFormatting sqref="G108">
    <cfRule type="expression" dxfId="780" priority="736">
      <formula>$B108&lt;&gt;$B110</formula>
    </cfRule>
  </conditionalFormatting>
  <conditionalFormatting sqref="C108 H108">
    <cfRule type="expression" dxfId="779" priority="735">
      <formula>$B112&lt;&gt;$B114</formula>
    </cfRule>
  </conditionalFormatting>
  <conditionalFormatting sqref="C110">
    <cfRule type="expression" dxfId="778" priority="734">
      <formula>$B114&lt;&gt;$B115</formula>
    </cfRule>
  </conditionalFormatting>
  <conditionalFormatting sqref="A110">
    <cfRule type="expression" dxfId="777" priority="733">
      <formula>$B110&lt;&gt;#REF!</formula>
    </cfRule>
  </conditionalFormatting>
  <conditionalFormatting sqref="A110:C110 H110:I110">
    <cfRule type="expression" dxfId="776" priority="732">
      <formula>$B110&lt;&gt;$B112</formula>
    </cfRule>
  </conditionalFormatting>
  <conditionalFormatting sqref="E110">
    <cfRule type="expression" dxfId="775" priority="731">
      <formula>$B110&lt;&gt;$B112</formula>
    </cfRule>
  </conditionalFormatting>
  <conditionalFormatting sqref="F110">
    <cfRule type="expression" dxfId="774" priority="730">
      <formula>$B110&lt;&gt;#REF!</formula>
    </cfRule>
  </conditionalFormatting>
  <conditionalFormatting sqref="G110">
    <cfRule type="expression" dxfId="773" priority="729">
      <formula>$B110&lt;&gt;$B112</formula>
    </cfRule>
  </conditionalFormatting>
  <conditionalFormatting sqref="D108">
    <cfRule type="expression" dxfId="772" priority="728">
      <formula>$B108&lt;&gt;$B109</formula>
    </cfRule>
  </conditionalFormatting>
  <conditionalFormatting sqref="D110">
    <cfRule type="expression" dxfId="771" priority="727">
      <formula>$B110&lt;&gt;$B111</formula>
    </cfRule>
  </conditionalFormatting>
  <conditionalFormatting sqref="A70 E145 G145:I145">
    <cfRule type="expression" dxfId="770" priority="726">
      <formula>$B70&lt;&gt;$B74</formula>
    </cfRule>
  </conditionalFormatting>
  <conditionalFormatting sqref="J70:K70">
    <cfRule type="expression" dxfId="769" priority="725">
      <formula>$B74&lt;&gt;$B75</formula>
    </cfRule>
  </conditionalFormatting>
  <conditionalFormatting sqref="H124">
    <cfRule type="expression" dxfId="768" priority="724">
      <formula>$B127&lt;&gt;$B128</formula>
    </cfRule>
  </conditionalFormatting>
  <conditionalFormatting sqref="A124">
    <cfRule type="expression" dxfId="767" priority="723">
      <formula>$B124&lt;&gt;#REF!</formula>
    </cfRule>
  </conditionalFormatting>
  <conditionalFormatting sqref="A124:C124 G124:I124">
    <cfRule type="expression" dxfId="766" priority="722">
      <formula>$B124&lt;&gt;$B126</formula>
    </cfRule>
  </conditionalFormatting>
  <conditionalFormatting sqref="E124:F124">
    <cfRule type="expression" dxfId="765" priority="721">
      <formula>$B124&lt;&gt;$B126</formula>
    </cfRule>
  </conditionalFormatting>
  <conditionalFormatting sqref="D124">
    <cfRule type="expression" dxfId="764" priority="720">
      <formula>$B124&lt;&gt;$B125</formula>
    </cfRule>
  </conditionalFormatting>
  <conditionalFormatting sqref="H130">
    <cfRule type="expression" dxfId="763" priority="719">
      <formula>$B133&lt;&gt;$B135</formula>
    </cfRule>
  </conditionalFormatting>
  <conditionalFormatting sqref="A130">
    <cfRule type="expression" dxfId="762" priority="718">
      <formula>$B130&lt;&gt;#REF!</formula>
    </cfRule>
  </conditionalFormatting>
  <conditionalFormatting sqref="H130 A130:C130">
    <cfRule type="expression" dxfId="761" priority="717">
      <formula>$B130&lt;&gt;$B132</formula>
    </cfRule>
  </conditionalFormatting>
  <conditionalFormatting sqref="I130">
    <cfRule type="expression" dxfId="760" priority="716">
      <formula>$B130&lt;&gt;#REF!</formula>
    </cfRule>
  </conditionalFormatting>
  <conditionalFormatting sqref="E130:F130">
    <cfRule type="expression" dxfId="759" priority="715">
      <formula>$B130&lt;&gt;$B132</formula>
    </cfRule>
  </conditionalFormatting>
  <conditionalFormatting sqref="G130">
    <cfRule type="expression" dxfId="758" priority="714">
      <formula>$B130&lt;&gt;$B132</formula>
    </cfRule>
  </conditionalFormatting>
  <conditionalFormatting sqref="D130">
    <cfRule type="expression" dxfId="757" priority="713">
      <formula>$B130&lt;&gt;$B131</formula>
    </cfRule>
  </conditionalFormatting>
  <conditionalFormatting sqref="A134">
    <cfRule type="expression" dxfId="756" priority="712">
      <formula>$B134&lt;&gt;#REF!</formula>
    </cfRule>
  </conditionalFormatting>
  <conditionalFormatting sqref="A134">
    <cfRule type="expression" dxfId="755" priority="711">
      <formula>$B134&lt;&gt;$B136</formula>
    </cfRule>
  </conditionalFormatting>
  <conditionalFormatting sqref="A145:A146">
    <cfRule type="expression" dxfId="754" priority="710">
      <formula>$B145&lt;&gt;#REF!</formula>
    </cfRule>
  </conditionalFormatting>
  <conditionalFormatting sqref="A137">
    <cfRule type="expression" dxfId="753" priority="709">
      <formula>$B137&lt;&gt;#REF!</formula>
    </cfRule>
  </conditionalFormatting>
  <conditionalFormatting sqref="G137:H137 A137:C137">
    <cfRule type="expression" dxfId="752" priority="708">
      <formula>$B137&lt;&gt;$B139</formula>
    </cfRule>
  </conditionalFormatting>
  <conditionalFormatting sqref="I137">
    <cfRule type="expression" dxfId="751" priority="707">
      <formula>$B137&lt;&gt;#REF!</formula>
    </cfRule>
  </conditionalFormatting>
  <conditionalFormatting sqref="E137:F137">
    <cfRule type="expression" dxfId="750" priority="706">
      <formula>$B137&lt;&gt;$B139</formula>
    </cfRule>
  </conditionalFormatting>
  <conditionalFormatting sqref="H137 H109 C109">
    <cfRule type="expression" dxfId="749" priority="705">
      <formula>$B112&lt;&gt;$B114</formula>
    </cfRule>
  </conditionalFormatting>
  <conditionalFormatting sqref="D137">
    <cfRule type="expression" dxfId="748" priority="704">
      <formula>$B137&lt;&gt;$B138</formula>
    </cfRule>
  </conditionalFormatting>
  <conditionalFormatting sqref="A141">
    <cfRule type="expression" dxfId="747" priority="703">
      <formula>$B141&lt;&gt;#REF!</formula>
    </cfRule>
  </conditionalFormatting>
  <conditionalFormatting sqref="A141:C141 H141:I141">
    <cfRule type="expression" dxfId="746" priority="702">
      <formula>$B141&lt;&gt;$B143</formula>
    </cfRule>
  </conditionalFormatting>
  <conditionalFormatting sqref="E141:F141">
    <cfRule type="expression" dxfId="745" priority="701">
      <formula>$B141&lt;&gt;$B143</formula>
    </cfRule>
  </conditionalFormatting>
  <conditionalFormatting sqref="H141">
    <cfRule type="expression" dxfId="744" priority="700">
      <formula>$B144&lt;&gt;$B145</formula>
    </cfRule>
  </conditionalFormatting>
  <conditionalFormatting sqref="G141">
    <cfRule type="expression" dxfId="743" priority="699">
      <formula>$B141&lt;&gt;$B143</formula>
    </cfRule>
  </conditionalFormatting>
  <conditionalFormatting sqref="D141">
    <cfRule type="expression" dxfId="742" priority="698">
      <formula>$B141&lt;&gt;$B142</formula>
    </cfRule>
  </conditionalFormatting>
  <conditionalFormatting sqref="A119">
    <cfRule type="expression" dxfId="741" priority="697">
      <formula>$B119&lt;&gt;#REF!</formula>
    </cfRule>
  </conditionalFormatting>
  <conditionalFormatting sqref="H119">
    <cfRule type="expression" dxfId="740" priority="696">
      <formula>#REF!&lt;&gt;#REF!</formula>
    </cfRule>
  </conditionalFormatting>
  <conditionalFormatting sqref="A119:C119 H119:I119">
    <cfRule type="expression" dxfId="739" priority="695">
      <formula>$B119&lt;&gt;#REF!</formula>
    </cfRule>
  </conditionalFormatting>
  <conditionalFormatting sqref="E119:F119">
    <cfRule type="expression" dxfId="738" priority="694">
      <formula>$B119&lt;&gt;$B121</formula>
    </cfRule>
  </conditionalFormatting>
  <conditionalFormatting sqref="G119">
    <cfRule type="expression" dxfId="737" priority="693">
      <formula>$B119&lt;&gt;$B121</formula>
    </cfRule>
  </conditionalFormatting>
  <conditionalFormatting sqref="D119">
    <cfRule type="expression" dxfId="736" priority="692">
      <formula>$B119&lt;&gt;$B120</formula>
    </cfRule>
  </conditionalFormatting>
  <conditionalFormatting sqref="A122">
    <cfRule type="expression" dxfId="735" priority="691">
      <formula>$B122&lt;&gt;#REF!</formula>
    </cfRule>
  </conditionalFormatting>
  <conditionalFormatting sqref="A122:C122 H122:I122">
    <cfRule type="expression" dxfId="734" priority="690">
      <formula>$B122&lt;&gt;$B124</formula>
    </cfRule>
  </conditionalFormatting>
  <conditionalFormatting sqref="E122">
    <cfRule type="expression" dxfId="733" priority="689">
      <formula>$B122&lt;&gt;$B124</formula>
    </cfRule>
  </conditionalFormatting>
  <conditionalFormatting sqref="F122">
    <cfRule type="expression" dxfId="732" priority="688">
      <formula>$B122&lt;&gt;$B124</formula>
    </cfRule>
  </conditionalFormatting>
  <conditionalFormatting sqref="G122 A176 F150 F153:F157 C93:C94 G112:H112 A112:C113 F159:F164">
    <cfRule type="expression" dxfId="731" priority="687">
      <formula>#REF!&lt;&gt;#REF!</formula>
    </cfRule>
  </conditionalFormatting>
  <conditionalFormatting sqref="H122 H110">
    <cfRule type="expression" dxfId="730" priority="686">
      <formula>$B114&lt;&gt;$B115</formula>
    </cfRule>
  </conditionalFormatting>
  <conditionalFormatting sqref="D122 A149:B151 A153:D153 C150:E150 F152 C54 E54:G54 A54 A44:B47 A98:A99 A93:B95 B98 B114:B115 A111:C111 A114:A117 A145:D145 B179 A161:A175">
    <cfRule type="expression" dxfId="729" priority="685">
      <formula>$B44&lt;&gt;$B45</formula>
    </cfRule>
  </conditionalFormatting>
  <conditionalFormatting sqref="A177">
    <cfRule type="expression" dxfId="728" priority="684">
      <formula>$B177&lt;&gt;#REF!</formula>
    </cfRule>
  </conditionalFormatting>
  <conditionalFormatting sqref="A177">
    <cfRule type="expression" dxfId="727" priority="683">
      <formula>$B177&lt;&gt;$B178</formula>
    </cfRule>
  </conditionalFormatting>
  <conditionalFormatting sqref="E153:E154">
    <cfRule type="expression" dxfId="726" priority="682">
      <formula>$B153&lt;&gt;$B155</formula>
    </cfRule>
  </conditionalFormatting>
  <conditionalFormatting sqref="E170:E173 E182:E183">
    <cfRule type="expression" dxfId="725" priority="681">
      <formula>$B170&lt;&gt;$B174</formula>
    </cfRule>
  </conditionalFormatting>
  <conditionalFormatting sqref="G180:G181">
    <cfRule type="expression" dxfId="724" priority="680">
      <formula>$B180&lt;&gt;$B181</formula>
    </cfRule>
  </conditionalFormatting>
  <conditionalFormatting sqref="E167">
    <cfRule type="expression" dxfId="723" priority="678">
      <formula>$B167&lt;&gt;$B168</formula>
    </cfRule>
  </conditionalFormatting>
  <conditionalFormatting sqref="E168:E169">
    <cfRule type="expression" dxfId="722" priority="677">
      <formula>$B168&lt;&gt;$B169</formula>
    </cfRule>
  </conditionalFormatting>
  <conditionalFormatting sqref="E175:E179">
    <cfRule type="expression" dxfId="721" priority="676">
      <formula>$B175&lt;&gt;$B176</formula>
    </cfRule>
  </conditionalFormatting>
  <conditionalFormatting sqref="E184:E187">
    <cfRule type="expression" dxfId="720" priority="675">
      <formula>$B184&lt;&gt;$B185</formula>
    </cfRule>
  </conditionalFormatting>
  <conditionalFormatting sqref="E180:E181">
    <cfRule type="expression" dxfId="719" priority="674">
      <formula>$B180&lt;&gt;$B184</formula>
    </cfRule>
  </conditionalFormatting>
  <conditionalFormatting sqref="F167">
    <cfRule type="expression" dxfId="718" priority="673">
      <formula>$B167&lt;&gt;$B169</formula>
    </cfRule>
  </conditionalFormatting>
  <conditionalFormatting sqref="F168:F169">
    <cfRule type="expression" dxfId="717" priority="672">
      <formula>$B168&lt;&gt;$B170</formula>
    </cfRule>
  </conditionalFormatting>
  <conditionalFormatting sqref="F181">
    <cfRule type="expression" dxfId="716" priority="671">
      <formula>$B181&lt;&gt;$B185</formula>
    </cfRule>
  </conditionalFormatting>
  <conditionalFormatting sqref="F170:F173 F182:F183">
    <cfRule type="expression" dxfId="715" priority="670">
      <formula>$B170&lt;&gt;$B171</formula>
    </cfRule>
  </conditionalFormatting>
  <conditionalFormatting sqref="G150">
    <cfRule type="expression" dxfId="714" priority="669">
      <formula>$B150&lt;&gt;$B152</formula>
    </cfRule>
  </conditionalFormatting>
  <conditionalFormatting sqref="C60 C63 C65 E60 E63 E65">
    <cfRule type="expression" dxfId="713" priority="668">
      <formula>$B60&lt;&gt;#REF!</formula>
    </cfRule>
  </conditionalFormatting>
  <conditionalFormatting sqref="C59 C62 C64 C66 E59 E62 E64 E66">
    <cfRule type="expression" dxfId="712" priority="667">
      <formula>$B59&lt;&gt;$B60</formula>
    </cfRule>
  </conditionalFormatting>
  <conditionalFormatting sqref="D59 D62 D64 D66 F59 F62 F64 F66">
    <cfRule type="expression" dxfId="711" priority="666">
      <formula>$B59&lt;&gt;$B60</formula>
    </cfRule>
  </conditionalFormatting>
  <conditionalFormatting sqref="D63 D65 F63 F65">
    <cfRule type="expression" dxfId="710" priority="665">
      <formula>$B63&lt;&gt;$B64</formula>
    </cfRule>
  </conditionalFormatting>
  <conditionalFormatting sqref="C98">
    <cfRule type="expression" dxfId="709" priority="664">
      <formula>#REF!&lt;&gt;#REF!</formula>
    </cfRule>
  </conditionalFormatting>
  <conditionalFormatting sqref="C101">
    <cfRule type="expression" dxfId="708" priority="663">
      <formula>$B104&lt;&gt;$B106</formula>
    </cfRule>
  </conditionalFormatting>
  <conditionalFormatting sqref="C99 C101">
    <cfRule type="expression" dxfId="707" priority="662">
      <formula>$B99&lt;&gt;$B101</formula>
    </cfRule>
  </conditionalFormatting>
  <conditionalFormatting sqref="C98">
    <cfRule type="expression" dxfId="706" priority="661">
      <formula>$B98&lt;&gt;$B99</formula>
    </cfRule>
  </conditionalFormatting>
  <conditionalFormatting sqref="D98">
    <cfRule type="expression" dxfId="705" priority="660">
      <formula>$B98&lt;&gt;$B102</formula>
    </cfRule>
  </conditionalFormatting>
  <conditionalFormatting sqref="D101">
    <cfRule type="expression" dxfId="704" priority="659">
      <formula>$B101&lt;&gt;#REF!</formula>
    </cfRule>
  </conditionalFormatting>
  <conditionalFormatting sqref="D99">
    <cfRule type="expression" dxfId="703" priority="658">
      <formula>$B99&lt;&gt;$B104</formula>
    </cfRule>
  </conditionalFormatting>
  <conditionalFormatting sqref="C72 H72 J64:K64 J69:K69 J72:K72">
    <cfRule type="expression" dxfId="702" priority="657">
      <formula>#REF!&lt;&gt;#REF!</formula>
    </cfRule>
  </conditionalFormatting>
  <conditionalFormatting sqref="C100">
    <cfRule type="expression" dxfId="701" priority="656">
      <formula>$B100&lt;&gt;$B102</formula>
    </cfRule>
  </conditionalFormatting>
  <conditionalFormatting sqref="C100">
    <cfRule type="expression" dxfId="700" priority="655">
      <formula>$B104&lt;&gt;$B106</formula>
    </cfRule>
  </conditionalFormatting>
  <conditionalFormatting sqref="D100">
    <cfRule type="expression" dxfId="699" priority="654">
      <formula>$B100&lt;&gt;$B101</formula>
    </cfRule>
  </conditionalFormatting>
  <conditionalFormatting sqref="H101 H103 J101 J103">
    <cfRule type="expression" dxfId="698" priority="653">
      <formula>$B101&lt;&gt;#REF!</formula>
    </cfRule>
  </conditionalFormatting>
  <conditionalFormatting sqref="G101 G103 I101 I103 K101 K103">
    <cfRule type="expression" dxfId="697" priority="652">
      <formula>$B101&lt;&gt;$B102</formula>
    </cfRule>
  </conditionalFormatting>
  <conditionalFormatting sqref="H100 H102 J100 J102">
    <cfRule type="expression" dxfId="696" priority="651">
      <formula>$B100&lt;&gt;$B102</formula>
    </cfRule>
  </conditionalFormatting>
  <conditionalFormatting sqref="G100 G102 G104 I100 I102 I104 K100 K102 K104">
    <cfRule type="expression" dxfId="695" priority="650">
      <formula>$B100&lt;&gt;#REF!</formula>
    </cfRule>
  </conditionalFormatting>
  <conditionalFormatting sqref="B133:I133">
    <cfRule type="expression" dxfId="694" priority="649">
      <formula>$B133&lt;&gt;$B135</formula>
    </cfRule>
  </conditionalFormatting>
  <conditionalFormatting sqref="B135:I135 B132:I132">
    <cfRule type="expression" dxfId="693" priority="648">
      <formula>$B132&lt;&gt;$B133</formula>
    </cfRule>
  </conditionalFormatting>
  <conditionalFormatting sqref="B134:I134 B131:I131">
    <cfRule type="expression" dxfId="692" priority="647">
      <formula>$B131&lt;&gt;#REF!</formula>
    </cfRule>
  </conditionalFormatting>
  <conditionalFormatting sqref="C151:G151">
    <cfRule type="expression" dxfId="691" priority="646">
      <formula>$B151&lt;&gt;$B152</formula>
    </cfRule>
  </conditionalFormatting>
  <conditionalFormatting sqref="J168 B168:B173">
    <cfRule type="expression" dxfId="690" priority="645">
      <formula>$B151&lt;&gt;$B152</formula>
    </cfRule>
  </conditionalFormatting>
  <conditionalFormatting sqref="J168 J165">
    <cfRule type="expression" dxfId="689" priority="644">
      <formula>#REF!&lt;&gt;#REF!</formula>
    </cfRule>
  </conditionalFormatting>
  <conditionalFormatting sqref="H165:H169 I165 I168">
    <cfRule type="expression" dxfId="688" priority="643">
      <formula>$B165&lt;&gt;$B166</formula>
    </cfRule>
  </conditionalFormatting>
  <conditionalFormatting sqref="F180">
    <cfRule type="expression" dxfId="687" priority="642">
      <formula>$B161&lt;&gt;$B162</formula>
    </cfRule>
  </conditionalFormatting>
  <conditionalFormatting sqref="B188:I203">
    <cfRule type="expression" dxfId="686" priority="641">
      <formula>$B188&lt;&gt;#REF!</formula>
    </cfRule>
  </conditionalFormatting>
  <conditionalFormatting sqref="H49">
    <cfRule type="expression" dxfId="685" priority="639">
      <formula>$B56&lt;&gt;#REF!</formula>
    </cfRule>
  </conditionalFormatting>
  <conditionalFormatting sqref="J49:K49 D49">
    <cfRule type="expression" dxfId="684" priority="638">
      <formula>#REF!&lt;&gt;#REF!</formula>
    </cfRule>
  </conditionalFormatting>
  <conditionalFormatting sqref="A48:I49">
    <cfRule type="expression" dxfId="683" priority="637">
      <formula>$B48&lt;&gt;$B54</formula>
    </cfRule>
  </conditionalFormatting>
  <conditionalFormatting sqref="J51:K51 D51">
    <cfRule type="expression" dxfId="682" priority="636">
      <formula>#REF!&lt;&gt;#REF!</formula>
    </cfRule>
  </conditionalFormatting>
  <conditionalFormatting sqref="A51">
    <cfRule type="expression" dxfId="681" priority="635">
      <formula>$B51&lt;&gt;$B58</formula>
    </cfRule>
  </conditionalFormatting>
  <conditionalFormatting sqref="A51:G51 I51">
    <cfRule type="expression" dxfId="680" priority="634">
      <formula>$B51&lt;&gt;$B56</formula>
    </cfRule>
  </conditionalFormatting>
  <conditionalFormatting sqref="H52">
    <cfRule type="expression" dxfId="679" priority="633">
      <formula>$B59&lt;&gt;#REF!</formula>
    </cfRule>
  </conditionalFormatting>
  <conditionalFormatting sqref="J52:K52 D52 A431:A437 A418 A440:A448 A450:A453 A270:A415 A420:A428 A178:A268">
    <cfRule type="expression" dxfId="678" priority="632">
      <formula>#REF!&lt;&gt;#REF!</formula>
    </cfRule>
  </conditionalFormatting>
  <conditionalFormatting sqref="A52">
    <cfRule type="expression" dxfId="677" priority="631">
      <formula>$B52&lt;&gt;$B59</formula>
    </cfRule>
  </conditionalFormatting>
  <conditionalFormatting sqref="A52:I52">
    <cfRule type="expression" dxfId="676" priority="630">
      <formula>$B52&lt;&gt;$B58</formula>
    </cfRule>
  </conditionalFormatting>
  <conditionalFormatting sqref="E97">
    <cfRule type="expression" dxfId="675" priority="629">
      <formula>#REF!&lt;&gt;#REF!</formula>
    </cfRule>
  </conditionalFormatting>
  <conditionalFormatting sqref="C97">
    <cfRule type="expression" dxfId="674" priority="628">
      <formula>#REF!&lt;&gt;#REF!</formula>
    </cfRule>
  </conditionalFormatting>
  <conditionalFormatting sqref="C97">
    <cfRule type="expression" dxfId="673" priority="627">
      <formula>$B97&lt;&gt;#REF!</formula>
    </cfRule>
  </conditionalFormatting>
  <conditionalFormatting sqref="C96 E96 I96">
    <cfRule type="expression" dxfId="672" priority="626">
      <formula>$B96&lt;&gt;#REF!</formula>
    </cfRule>
  </conditionalFormatting>
  <conditionalFormatting sqref="C96:E96 H96:I96">
    <cfRule type="expression" dxfId="671" priority="625">
      <formula>$B96&lt;&gt;$B98</formula>
    </cfRule>
  </conditionalFormatting>
  <conditionalFormatting sqref="A96:B97">
    <cfRule type="expression" dxfId="670" priority="624">
      <formula>$B96&lt;&gt;$B97</formula>
    </cfRule>
  </conditionalFormatting>
  <conditionalFormatting sqref="H97">
    <cfRule type="expression" dxfId="669" priority="623">
      <formula>$B39&lt;&gt;$B43</formula>
    </cfRule>
  </conditionalFormatting>
  <conditionalFormatting sqref="I97">
    <cfRule type="expression" dxfId="668" priority="622">
      <formula>$B83&lt;&gt;#REF!</formula>
    </cfRule>
  </conditionalFormatting>
  <conditionalFormatting sqref="D97">
    <cfRule type="expression" dxfId="667" priority="621">
      <formula>$B97&lt;&gt;$B98</formula>
    </cfRule>
  </conditionalFormatting>
  <conditionalFormatting sqref="F96 A252:A253 A256:A257 A452:A453">
    <cfRule type="expression" dxfId="666" priority="620">
      <formula>#REF!&lt;&gt;#REF!</formula>
    </cfRule>
  </conditionalFormatting>
  <conditionalFormatting sqref="G97">
    <cfRule type="expression" dxfId="665" priority="619">
      <formula>$B97&lt;&gt;$B98</formula>
    </cfRule>
  </conditionalFormatting>
  <conditionalFormatting sqref="G96">
    <cfRule type="expression" dxfId="664" priority="618">
      <formula>$B96&lt;&gt;$B97</formula>
    </cfRule>
  </conditionalFormatting>
  <conditionalFormatting sqref="F97">
    <cfRule type="expression" dxfId="663" priority="617">
      <formula>$B97&lt;&gt;$B98</formula>
    </cfRule>
  </conditionalFormatting>
  <conditionalFormatting sqref="E113">
    <cfRule type="expression" dxfId="662" priority="616">
      <formula>$B113&lt;&gt;#REF!</formula>
    </cfRule>
  </conditionalFormatting>
  <conditionalFormatting sqref="D113">
    <cfRule type="expression" dxfId="661" priority="615">
      <formula>$B113&lt;&gt;$B114</formula>
    </cfRule>
  </conditionalFormatting>
  <conditionalFormatting sqref="G113">
    <cfRule type="expression" dxfId="660" priority="614">
      <formula>$B113&lt;&gt;$B114</formula>
    </cfRule>
  </conditionalFormatting>
  <conditionalFormatting sqref="F113">
    <cfRule type="expression" dxfId="659" priority="613">
      <formula>$B113&lt;&gt;$B114</formula>
    </cfRule>
  </conditionalFormatting>
  <conditionalFormatting sqref="H113">
    <cfRule type="expression" dxfId="658" priority="612">
      <formula>$B56&lt;&gt;$B62</formula>
    </cfRule>
  </conditionalFormatting>
  <conditionalFormatting sqref="A50">
    <cfRule type="expression" dxfId="657" priority="611">
      <formula>$B50&lt;&gt;$B58</formula>
    </cfRule>
  </conditionalFormatting>
  <conditionalFormatting sqref="J50:K50">
    <cfRule type="expression" dxfId="656" priority="610">
      <formula>#REF!&lt;&gt;#REF!</formula>
    </cfRule>
  </conditionalFormatting>
  <conditionalFormatting sqref="A50:C50 E50:G50 I50">
    <cfRule type="expression" dxfId="655" priority="609">
      <formula>$B50&lt;&gt;$B56</formula>
    </cfRule>
  </conditionalFormatting>
  <conditionalFormatting sqref="J53:K53">
    <cfRule type="expression" dxfId="654" priority="608">
      <formula>#REF!&lt;&gt;#REF!</formula>
    </cfRule>
  </conditionalFormatting>
  <conditionalFormatting sqref="A53">
    <cfRule type="expression" dxfId="653" priority="607">
      <formula>$B53&lt;&gt;$B60</formula>
    </cfRule>
  </conditionalFormatting>
  <conditionalFormatting sqref="A53:C53">
    <cfRule type="expression" dxfId="652" priority="606">
      <formula>$B53&lt;&gt;$B59</formula>
    </cfRule>
  </conditionalFormatting>
  <conditionalFormatting sqref="D50">
    <cfRule type="expression" dxfId="651" priority="605">
      <formula>$B50&lt;&gt;$B51</formula>
    </cfRule>
  </conditionalFormatting>
  <conditionalFormatting sqref="D53">
    <cfRule type="expression" dxfId="650" priority="604">
      <formula>$B53&lt;&gt;$B54</formula>
    </cfRule>
  </conditionalFormatting>
  <conditionalFormatting sqref="A147">
    <cfRule type="expression" dxfId="649" priority="603">
      <formula>$B147&lt;&gt;#REF!</formula>
    </cfRule>
  </conditionalFormatting>
  <conditionalFormatting sqref="A147:D147">
    <cfRule type="expression" dxfId="648" priority="602">
      <formula>$B147&lt;&gt;$B148</formula>
    </cfRule>
  </conditionalFormatting>
  <conditionalFormatting sqref="A148 D148 G148">
    <cfRule type="expression" dxfId="647" priority="601">
      <formula>$B148&lt;&gt;#REF!</formula>
    </cfRule>
  </conditionalFormatting>
  <conditionalFormatting sqref="A148:I148">
    <cfRule type="expression" dxfId="646" priority="600">
      <formula>$B148&lt;&gt;$B149</formula>
    </cfRule>
  </conditionalFormatting>
  <conditionalFormatting sqref="H147">
    <cfRule type="expression" dxfId="645" priority="599">
      <formula>#REF!&lt;&gt;#REF!</formula>
    </cfRule>
  </conditionalFormatting>
  <conditionalFormatting sqref="G147:H147">
    <cfRule type="expression" dxfId="644" priority="598">
      <formula>$B130&lt;&gt;$B131</formula>
    </cfRule>
  </conditionalFormatting>
  <conditionalFormatting sqref="E147:F147 I147 A201:A231 I236:I253 I452:I453 I232">
    <cfRule type="expression" dxfId="643" priority="597">
      <formula>#REF!&lt;&gt;#REF!</formula>
    </cfRule>
  </conditionalFormatting>
  <conditionalFormatting sqref="B254:H255 B258:H258">
    <cfRule type="expression" dxfId="642" priority="596">
      <formula>$B254&lt;&gt;#REF!</formula>
    </cfRule>
  </conditionalFormatting>
  <conditionalFormatting sqref="B254:H255 B258:H258">
    <cfRule type="expression" dxfId="641" priority="595">
      <formula>$B254&lt;&gt;$B255</formula>
    </cfRule>
  </conditionalFormatting>
  <conditionalFormatting sqref="G253">
    <cfRule type="expression" dxfId="640" priority="594">
      <formula>$B253&lt;&gt;#REF!</formula>
    </cfRule>
  </conditionalFormatting>
  <conditionalFormatting sqref="G253">
    <cfRule type="expression" dxfId="639" priority="593">
      <formula>$B253&lt;&gt;$B254</formula>
    </cfRule>
  </conditionalFormatting>
  <conditionalFormatting sqref="D257:F257">
    <cfRule type="expression" dxfId="638" priority="592">
      <formula>$B257&lt;&gt;#REF!</formula>
    </cfRule>
  </conditionalFormatting>
  <conditionalFormatting sqref="D257:F257">
    <cfRule type="expression" dxfId="637" priority="591">
      <formula>$B257&lt;&gt;$B258</formula>
    </cfRule>
  </conditionalFormatting>
  <conditionalFormatting sqref="G257 B204:H230 B232:H251">
    <cfRule type="expression" dxfId="636" priority="590">
      <formula>$B204&lt;&gt;#REF!</formula>
    </cfRule>
  </conditionalFormatting>
  <conditionalFormatting sqref="G257 B204:H230 B232:H251">
    <cfRule type="expression" dxfId="635" priority="589">
      <formula>$B204&lt;&gt;$B205</formula>
    </cfRule>
  </conditionalFormatting>
  <conditionalFormatting sqref="B324:B341 B300:B307 B310:B321 D305:D307 D310:D321">
    <cfRule type="expression" dxfId="634" priority="588">
      <formula>$B300&lt;&gt;#REF!</formula>
    </cfRule>
  </conditionalFormatting>
  <conditionalFormatting sqref="B324:B341 B300:B307 B310:B321 D305:D307 D310:D321">
    <cfRule type="expression" dxfId="633" priority="587">
      <formula>$B300&lt;&gt;$B301</formula>
    </cfRule>
  </conditionalFormatting>
  <conditionalFormatting sqref="B323">
    <cfRule type="expression" dxfId="632" priority="585">
      <formula>$B323&lt;&gt;#REF!</formula>
    </cfRule>
  </conditionalFormatting>
  <conditionalFormatting sqref="B323">
    <cfRule type="expression" dxfId="631" priority="584">
      <formula>$B323&lt;&gt;$B325</formula>
    </cfRule>
  </conditionalFormatting>
  <conditionalFormatting sqref="D323">
    <cfRule type="expression" dxfId="630" priority="583">
      <formula>$B323&lt;&gt;#REF!</formula>
    </cfRule>
  </conditionalFormatting>
  <conditionalFormatting sqref="D323">
    <cfRule type="expression" dxfId="629" priority="582">
      <formula>$B323&lt;&gt;$B324</formula>
    </cfRule>
  </conditionalFormatting>
  <conditionalFormatting sqref="B309 D309">
    <cfRule type="expression" dxfId="628" priority="581">
      <formula>$B309&lt;&gt;#REF!</formula>
    </cfRule>
  </conditionalFormatting>
  <conditionalFormatting sqref="B309 D309">
    <cfRule type="expression" dxfId="627" priority="580">
      <formula>$B309&lt;&gt;$B310</formula>
    </cfRule>
  </conditionalFormatting>
  <conditionalFormatting sqref="D351">
    <cfRule type="expression" dxfId="626" priority="579">
      <formula>$B351&lt;&gt;#REF!</formula>
    </cfRule>
  </conditionalFormatting>
  <conditionalFormatting sqref="D351">
    <cfRule type="expression" dxfId="625" priority="578">
      <formula>$B351&lt;&gt;$B352</formula>
    </cfRule>
  </conditionalFormatting>
  <conditionalFormatting sqref="D365">
    <cfRule type="expression" dxfId="624" priority="575">
      <formula>$B365&lt;&gt;#REF!</formula>
    </cfRule>
  </conditionalFormatting>
  <conditionalFormatting sqref="D365">
    <cfRule type="expression" dxfId="623" priority="574">
      <formula>$B365&lt;&gt;$B366</formula>
    </cfRule>
  </conditionalFormatting>
  <conditionalFormatting sqref="E408">
    <cfRule type="expression" dxfId="622" priority="573">
      <formula>$B408&lt;&gt;#REF!</formula>
    </cfRule>
  </conditionalFormatting>
  <conditionalFormatting sqref="E408">
    <cfRule type="expression" dxfId="621" priority="572">
      <formula>$B408&lt;&gt;$B409</formula>
    </cfRule>
  </conditionalFormatting>
  <conditionalFormatting sqref="E409">
    <cfRule type="expression" dxfId="620" priority="571">
      <formula>$B409&lt;&gt;#REF!</formula>
    </cfRule>
  </conditionalFormatting>
  <conditionalFormatting sqref="E409">
    <cfRule type="expression" dxfId="619" priority="570">
      <formula>$B409&lt;&gt;$B410</formula>
    </cfRule>
  </conditionalFormatting>
  <conditionalFormatting sqref="E410">
    <cfRule type="expression" dxfId="618" priority="569">
      <formula>$B410&lt;&gt;#REF!</formula>
    </cfRule>
  </conditionalFormatting>
  <conditionalFormatting sqref="E410">
    <cfRule type="expression" dxfId="617" priority="568">
      <formula>$B410&lt;&gt;$B411</formula>
    </cfRule>
  </conditionalFormatting>
  <conditionalFormatting sqref="E411">
    <cfRule type="expression" dxfId="616" priority="567">
      <formula>$B411&lt;&gt;#REF!</formula>
    </cfRule>
  </conditionalFormatting>
  <conditionalFormatting sqref="E411">
    <cfRule type="expression" dxfId="615" priority="566">
      <formula>$B411&lt;&gt;$B413</formula>
    </cfRule>
  </conditionalFormatting>
  <conditionalFormatting sqref="E413">
    <cfRule type="expression" dxfId="614" priority="565">
      <formula>$B413&lt;&gt;#REF!</formula>
    </cfRule>
  </conditionalFormatting>
  <conditionalFormatting sqref="E413">
    <cfRule type="expression" dxfId="613" priority="564">
      <formula>$B413&lt;&gt;$B414</formula>
    </cfRule>
  </conditionalFormatting>
  <conditionalFormatting sqref="E414">
    <cfRule type="expression" dxfId="612" priority="563">
      <formula>$B414&lt;&gt;#REF!</formula>
    </cfRule>
  </conditionalFormatting>
  <conditionalFormatting sqref="F408:F411">
    <cfRule type="expression" dxfId="611" priority="561">
      <formula>$B408&lt;&gt;#REF!</formula>
    </cfRule>
  </conditionalFormatting>
  <conditionalFormatting sqref="F413">
    <cfRule type="expression" dxfId="610" priority="559">
      <formula>$B413&lt;&gt;#REF!</formula>
    </cfRule>
  </conditionalFormatting>
  <conditionalFormatting sqref="F413">
    <cfRule type="expression" dxfId="609" priority="558">
      <formula>$B413&lt;&gt;$B414</formula>
    </cfRule>
  </conditionalFormatting>
  <conditionalFormatting sqref="F414">
    <cfRule type="expression" dxfId="608" priority="557">
      <formula>$B414&lt;&gt;#REF!</formula>
    </cfRule>
  </conditionalFormatting>
  <conditionalFormatting sqref="G414">
    <cfRule type="expression" dxfId="607" priority="555">
      <formula>$B414&lt;&gt;#REF!</formula>
    </cfRule>
  </conditionalFormatting>
  <conditionalFormatting sqref="I414">
    <cfRule type="expression" dxfId="606" priority="553">
      <formula>$B367&lt;&gt;$B368</formula>
    </cfRule>
  </conditionalFormatting>
  <conditionalFormatting sqref="G411">
    <cfRule type="expression" dxfId="605" priority="552">
      <formula>$B411&lt;&gt;#REF!</formula>
    </cfRule>
  </conditionalFormatting>
  <conditionalFormatting sqref="G411">
    <cfRule type="expression" dxfId="604" priority="551">
      <formula>$B411&lt;&gt;$B413</formula>
    </cfRule>
  </conditionalFormatting>
  <conditionalFormatting sqref="G413">
    <cfRule type="expression" dxfId="603" priority="550">
      <formula>$B413&lt;&gt;#REF!</formula>
    </cfRule>
  </conditionalFormatting>
  <conditionalFormatting sqref="G413">
    <cfRule type="expression" dxfId="602" priority="549">
      <formula>$B413&lt;&gt;$B414</formula>
    </cfRule>
  </conditionalFormatting>
  <conditionalFormatting sqref="F412">
    <cfRule type="expression" dxfId="601" priority="548">
      <formula>$B412&lt;&gt;$B414</formula>
    </cfRule>
  </conditionalFormatting>
  <conditionalFormatting sqref="E412">
    <cfRule type="expression" dxfId="600" priority="547">
      <formula>$B412&lt;&gt;#REF!</formula>
    </cfRule>
  </conditionalFormatting>
  <conditionalFormatting sqref="E412">
    <cfRule type="expression" dxfId="599" priority="546">
      <formula>$B412&lt;&gt;$B414</formula>
    </cfRule>
  </conditionalFormatting>
  <conditionalFormatting sqref="F412">
    <cfRule type="expression" dxfId="598" priority="545">
      <formula>$B412&lt;&gt;#REF!</formula>
    </cfRule>
  </conditionalFormatting>
  <conditionalFormatting sqref="G412">
    <cfRule type="expression" dxfId="597" priority="544">
      <formula>$B412&lt;&gt;#REF!</formula>
    </cfRule>
  </conditionalFormatting>
  <conditionalFormatting sqref="G412">
    <cfRule type="expression" dxfId="596" priority="543">
      <formula>$B412&lt;&gt;$B414</formula>
    </cfRule>
  </conditionalFormatting>
  <conditionalFormatting sqref="A158">
    <cfRule type="expression" dxfId="595" priority="542">
      <formula>$B53&lt;&gt;$B54</formula>
    </cfRule>
  </conditionalFormatting>
  <conditionalFormatting sqref="A158">
    <cfRule type="expression" dxfId="594" priority="541">
      <formula>$B158&lt;&gt;$B227</formula>
    </cfRule>
  </conditionalFormatting>
  <conditionalFormatting sqref="A158">
    <cfRule type="expression" dxfId="593" priority="540">
      <formula>#REF!&lt;&gt;#REF!</formula>
    </cfRule>
  </conditionalFormatting>
  <conditionalFormatting sqref="B158:G158">
    <cfRule type="expression" dxfId="592" priority="539">
      <formula>$B158&lt;&gt;#REF!</formula>
    </cfRule>
  </conditionalFormatting>
  <conditionalFormatting sqref="B158:G158">
    <cfRule type="expression" dxfId="591" priority="538">
      <formula>$B158&lt;&gt;$B159</formula>
    </cfRule>
  </conditionalFormatting>
  <conditionalFormatting sqref="A431:A437">
    <cfRule type="expression" dxfId="590" priority="536">
      <formula>$B182&lt;&gt;$B183</formula>
    </cfRule>
  </conditionalFormatting>
  <conditionalFormatting sqref="A449">
    <cfRule type="expression" dxfId="589" priority="533">
      <formula>#REF!&lt;&gt;#REF!</formula>
    </cfRule>
  </conditionalFormatting>
  <conditionalFormatting sqref="A429:A430">
    <cfRule type="expression" dxfId="588" priority="529">
      <formula>#REF!&lt;&gt;#REF!</formula>
    </cfRule>
  </conditionalFormatting>
  <conditionalFormatting sqref="A429:A430">
    <cfRule type="expression" dxfId="587" priority="528">
      <formula>$B180&lt;&gt;$B181</formula>
    </cfRule>
  </conditionalFormatting>
  <conditionalFormatting sqref="A416:A417">
    <cfRule type="expression" dxfId="586" priority="523">
      <formula>#REF!&lt;&gt;#REF!</formula>
    </cfRule>
  </conditionalFormatting>
  <conditionalFormatting sqref="A416:A417">
    <cfRule type="expression" dxfId="585" priority="522">
      <formula>$B168&lt;&gt;$B169</formula>
    </cfRule>
  </conditionalFormatting>
  <conditionalFormatting sqref="A438:A439">
    <cfRule type="expression" dxfId="584" priority="521">
      <formula>$B192&lt;&gt;$B193</formula>
    </cfRule>
  </conditionalFormatting>
  <conditionalFormatting sqref="A438:A439">
    <cfRule type="expression" dxfId="583" priority="516">
      <formula>#REF!&lt;&gt;#REF!</formula>
    </cfRule>
  </conditionalFormatting>
  <conditionalFormatting sqref="A454:G454 A459:E465 G459 F459:F462 F464:F465 G461 G463:G465 B471:E471">
    <cfRule type="expression" dxfId="582" priority="503">
      <formula>$B454&lt;&gt;#REF!</formula>
    </cfRule>
  </conditionalFormatting>
  <conditionalFormatting sqref="A454:G454 G459 F459:F462 G461">
    <cfRule type="expression" dxfId="581" priority="502">
      <formula>$B454&lt;&gt;$B456</formula>
    </cfRule>
  </conditionalFormatting>
  <conditionalFormatting sqref="I471">
    <cfRule type="expression" dxfId="580" priority="501">
      <formula>$B271&lt;&gt;$B272</formula>
    </cfRule>
  </conditionalFormatting>
  <conditionalFormatting sqref="G460">
    <cfRule type="expression" dxfId="579" priority="500">
      <formula>$B460&lt;&gt;$B461</formula>
    </cfRule>
  </conditionalFormatting>
  <conditionalFormatting sqref="G460">
    <cfRule type="expression" dxfId="578" priority="499">
      <formula>$B460&lt;&gt;#REF!</formula>
    </cfRule>
  </conditionalFormatting>
  <conditionalFormatting sqref="G462">
    <cfRule type="expression" dxfId="577" priority="498">
      <formula>$B462&lt;&gt;$B463</formula>
    </cfRule>
  </conditionalFormatting>
  <conditionalFormatting sqref="G462">
    <cfRule type="expression" dxfId="576" priority="497">
      <formula>$B462&lt;&gt;#REF!</formula>
    </cfRule>
  </conditionalFormatting>
  <conditionalFormatting sqref="G470:G471">
    <cfRule type="expression" dxfId="575" priority="495">
      <formula>$B470&lt;&gt;#REF!</formula>
    </cfRule>
  </conditionalFormatting>
  <conditionalFormatting sqref="B470:F470">
    <cfRule type="expression" dxfId="574" priority="494">
      <formula>$B470&lt;&gt;$B471</formula>
    </cfRule>
  </conditionalFormatting>
  <conditionalFormatting sqref="B470:F470 A497:A510 A512:A513 A515:A516 A518 A520:A522 A531 A533 A535:A536 A524:A529 A470:A494">
    <cfRule type="expression" dxfId="573" priority="493">
      <formula>$B470&lt;&gt;#REF!</formula>
    </cfRule>
  </conditionalFormatting>
  <conditionalFormatting sqref="A455:G458">
    <cfRule type="expression" dxfId="572" priority="492">
      <formula>$B455&lt;&gt;$B456</formula>
    </cfRule>
  </conditionalFormatting>
  <conditionalFormatting sqref="A455:G458">
    <cfRule type="expression" dxfId="571" priority="491">
      <formula>$B455&lt;&gt;#REF!</formula>
    </cfRule>
  </conditionalFormatting>
  <conditionalFormatting sqref="F472 F477 F483 F487 F493 F504 F510 F499:F500">
    <cfRule type="expression" dxfId="570" priority="488">
      <formula>$B472&lt;&gt;#REF!</formula>
    </cfRule>
  </conditionalFormatting>
  <conditionalFormatting sqref="F472 F483">
    <cfRule type="expression" dxfId="569" priority="487">
      <formula>$B472&lt;&gt;$B474</formula>
    </cfRule>
  </conditionalFormatting>
  <conditionalFormatting sqref="E472:E474 F473:F474 E477:E478 E483:E485 E487 E493:E494 E504 F478 F484:F485 F494 F501:F502 E510 E480:F480 E489:F489 E491:F491 E499:E502 E506:F507 E497:F497">
    <cfRule type="expression" dxfId="568" priority="486">
      <formula>$B472&lt;&gt;#REF!</formula>
    </cfRule>
  </conditionalFormatting>
  <conditionalFormatting sqref="E483:E485 F484:F485 F501:F502">
    <cfRule type="expression" dxfId="567" priority="485">
      <formula>$B483&lt;&gt;$B485</formula>
    </cfRule>
  </conditionalFormatting>
  <conditionalFormatting sqref="E486:F486 E492:F492 E498:F498 E503:F503">
    <cfRule type="expression" dxfId="566" priority="484">
      <formula>$B486&lt;&gt;$B487</formula>
    </cfRule>
  </conditionalFormatting>
  <conditionalFormatting sqref="E475:F475 E482:F482 E486:F486 E492:F492 E498:F498 E503:F503 E508:F508">
    <cfRule type="expression" dxfId="565" priority="483">
      <formula>$B475&lt;&gt;#REF!</formula>
    </cfRule>
  </conditionalFormatting>
  <conditionalFormatting sqref="G511:G512">
    <cfRule type="expression" dxfId="564" priority="482">
      <formula>$B511&lt;&gt;$B512</formula>
    </cfRule>
  </conditionalFormatting>
  <conditionalFormatting sqref="G511:G512">
    <cfRule type="expression" dxfId="563" priority="481">
      <formula>$B511&lt;&gt;#REF!</formula>
    </cfRule>
  </conditionalFormatting>
  <conditionalFormatting sqref="E512:F512">
    <cfRule type="expression" dxfId="562" priority="476">
      <formula>$B512&lt;&gt;$B513</formula>
    </cfRule>
  </conditionalFormatting>
  <conditionalFormatting sqref="E512:F512">
    <cfRule type="expression" dxfId="561" priority="475">
      <formula>$B512&lt;&gt;#REF!</formula>
    </cfRule>
  </conditionalFormatting>
  <conditionalFormatting sqref="E511:F511">
    <cfRule type="expression" dxfId="560" priority="474">
      <formula>$B511&lt;&gt;$B512</formula>
    </cfRule>
  </conditionalFormatting>
  <conditionalFormatting sqref="E511:F511">
    <cfRule type="expression" dxfId="559" priority="473">
      <formula>$B511&lt;&gt;#REF!</formula>
    </cfRule>
  </conditionalFormatting>
  <conditionalFormatting sqref="I512">
    <cfRule type="expression" dxfId="558" priority="472">
      <formula>$B305&lt;&gt;$B306</formula>
    </cfRule>
  </conditionalFormatting>
  <conditionalFormatting sqref="G472">
    <cfRule type="expression" dxfId="557" priority="471">
      <formula>$B472&lt;&gt;$B474</formula>
    </cfRule>
  </conditionalFormatting>
  <conditionalFormatting sqref="G475">
    <cfRule type="expression" dxfId="556" priority="470">
      <formula>$B475&lt;&gt;#REF!</formula>
    </cfRule>
  </conditionalFormatting>
  <conditionalFormatting sqref="G475">
    <cfRule type="expression" dxfId="555" priority="469">
      <formula>$B475&lt;&gt;$B478</formula>
    </cfRule>
  </conditionalFormatting>
  <conditionalFormatting sqref="G483">
    <cfRule type="expression" dxfId="554" priority="468">
      <formula>$B483&lt;&gt;$B484</formula>
    </cfRule>
  </conditionalFormatting>
  <conditionalFormatting sqref="G483">
    <cfRule type="expression" dxfId="553" priority="467">
      <formula>$B483&lt;&gt;#REF!</formula>
    </cfRule>
  </conditionalFormatting>
  <conditionalFormatting sqref="D475 D480 D484 D487 D492 D497">
    <cfRule type="expression" dxfId="552" priority="466">
      <formula>$B475&lt;&gt;#REF!</formula>
    </cfRule>
  </conditionalFormatting>
  <conditionalFormatting sqref="D484 D492 D497">
    <cfRule type="expression" dxfId="551" priority="465">
      <formula>$B484&lt;&gt;$B486</formula>
    </cfRule>
  </conditionalFormatting>
  <conditionalFormatting sqref="D477 D482 D485 D489 D493 D498">
    <cfRule type="expression" dxfId="550" priority="464">
      <formula>$B477&lt;&gt;#REF!</formula>
    </cfRule>
  </conditionalFormatting>
  <conditionalFormatting sqref="D485">
    <cfRule type="expression" dxfId="549" priority="463">
      <formula>$B485&lt;&gt;$B487</formula>
    </cfRule>
  </conditionalFormatting>
  <conditionalFormatting sqref="D478 D483 D486 D491 D494 D499">
    <cfRule type="expression" dxfId="548" priority="462">
      <formula>$B478&lt;&gt;#REF!</formula>
    </cfRule>
  </conditionalFormatting>
  <conditionalFormatting sqref="D483 D491">
    <cfRule type="expression" dxfId="547" priority="461">
      <formula>$B483&lt;&gt;$B485</formula>
    </cfRule>
  </conditionalFormatting>
  <conditionalFormatting sqref="D503">
    <cfRule type="expression" dxfId="546" priority="460">
      <formula>$B503&lt;&gt;#REF!</formula>
    </cfRule>
  </conditionalFormatting>
  <conditionalFormatting sqref="D503">
    <cfRule type="expression" dxfId="545" priority="459">
      <formula>$B503&lt;&gt;$B506</formula>
    </cfRule>
  </conditionalFormatting>
  <conditionalFormatting sqref="D504">
    <cfRule type="expression" dxfId="544" priority="458">
      <formula>$B504&lt;&gt;#REF!</formula>
    </cfRule>
  </conditionalFormatting>
  <conditionalFormatting sqref="D504">
    <cfRule type="expression" dxfId="543" priority="457">
      <formula>$B504&lt;&gt;$B507</formula>
    </cfRule>
  </conditionalFormatting>
  <conditionalFormatting sqref="D507">
    <cfRule type="expression" dxfId="542" priority="456">
      <formula>$B507&lt;&gt;#REF!</formula>
    </cfRule>
  </conditionalFormatting>
  <conditionalFormatting sqref="D507">
    <cfRule type="expression" dxfId="541" priority="455">
      <formula>$B507&lt;&gt;$B510</formula>
    </cfRule>
  </conditionalFormatting>
  <conditionalFormatting sqref="D508">
    <cfRule type="expression" dxfId="540" priority="454">
      <formula>$B508&lt;&gt;#REF!</formula>
    </cfRule>
  </conditionalFormatting>
  <conditionalFormatting sqref="D508">
    <cfRule type="expression" dxfId="539" priority="453">
      <formula>$B508&lt;&gt;$B511</formula>
    </cfRule>
  </conditionalFormatting>
  <conditionalFormatting sqref="E476:F476">
    <cfRule type="expression" dxfId="538" priority="452">
      <formula>$B476&lt;&gt;$B478</formula>
    </cfRule>
  </conditionalFormatting>
  <conditionalFormatting sqref="E476:F476">
    <cfRule type="expression" dxfId="537" priority="450">
      <formula>$B476&lt;&gt;#REF!</formula>
    </cfRule>
  </conditionalFormatting>
  <conditionalFormatting sqref="G476">
    <cfRule type="expression" dxfId="536" priority="449">
      <formula>$B476&lt;&gt;#REF!</formula>
    </cfRule>
  </conditionalFormatting>
  <conditionalFormatting sqref="G476">
    <cfRule type="expression" dxfId="535" priority="448">
      <formula>$B476&lt;&gt;$B480</formula>
    </cfRule>
  </conditionalFormatting>
  <conditionalFormatting sqref="D476">
    <cfRule type="expression" dxfId="534" priority="446">
      <formula>$B476&lt;&gt;#REF!</formula>
    </cfRule>
  </conditionalFormatting>
  <conditionalFormatting sqref="D476">
    <cfRule type="expression" dxfId="533" priority="445">
      <formula>$B476&lt;&gt;$B478</formula>
    </cfRule>
  </conditionalFormatting>
  <conditionalFormatting sqref="E479:F479">
    <cfRule type="expression" dxfId="532" priority="444">
      <formula>$B479&lt;&gt;$B482</formula>
    </cfRule>
  </conditionalFormatting>
  <conditionalFormatting sqref="E479:F479">
    <cfRule type="expression" dxfId="531" priority="443">
      <formula>$B479&lt;&gt;#REF!</formula>
    </cfRule>
  </conditionalFormatting>
  <conditionalFormatting sqref="D479">
    <cfRule type="expression" dxfId="530" priority="442">
      <formula>$B479&lt;&gt;#REF!</formula>
    </cfRule>
  </conditionalFormatting>
  <conditionalFormatting sqref="D479">
    <cfRule type="expression" dxfId="529" priority="441">
      <formula>$B479&lt;&gt;$B482</formula>
    </cfRule>
  </conditionalFormatting>
  <conditionalFormatting sqref="G477:G481">
    <cfRule type="expression" dxfId="528" priority="440">
      <formula>$B477&lt;&gt;#REF!</formula>
    </cfRule>
  </conditionalFormatting>
  <conditionalFormatting sqref="H479">
    <cfRule type="expression" dxfId="527" priority="438">
      <formula>#REF!&lt;&gt;#REF!</formula>
    </cfRule>
  </conditionalFormatting>
  <conditionalFormatting sqref="E481:F481">
    <cfRule type="expression" dxfId="526" priority="436">
      <formula>$B481&lt;&gt;#REF!</formula>
    </cfRule>
  </conditionalFormatting>
  <conditionalFormatting sqref="D481">
    <cfRule type="expression" dxfId="525" priority="435">
      <formula>$B481&lt;&gt;#REF!</formula>
    </cfRule>
  </conditionalFormatting>
  <conditionalFormatting sqref="E488:F488">
    <cfRule type="expression" dxfId="524" priority="433">
      <formula>$B488&lt;&gt;$B492</formula>
    </cfRule>
  </conditionalFormatting>
  <conditionalFormatting sqref="E488:F488">
    <cfRule type="expression" dxfId="523" priority="432">
      <formula>$B488&lt;&gt;#REF!</formula>
    </cfRule>
  </conditionalFormatting>
  <conditionalFormatting sqref="D488">
    <cfRule type="expression" dxfId="522" priority="431">
      <formula>$B488&lt;&gt;#REF!</formula>
    </cfRule>
  </conditionalFormatting>
  <conditionalFormatting sqref="D488">
    <cfRule type="expression" dxfId="521" priority="430">
      <formula>$B488&lt;&gt;$B492</formula>
    </cfRule>
  </conditionalFormatting>
  <conditionalFormatting sqref="E490:F490">
    <cfRule type="expression" dxfId="520" priority="429">
      <formula>$B490&lt;&gt;$B494</formula>
    </cfRule>
  </conditionalFormatting>
  <conditionalFormatting sqref="E490:F490">
    <cfRule type="expression" dxfId="519" priority="428">
      <formula>$B490&lt;&gt;#REF!</formula>
    </cfRule>
  </conditionalFormatting>
  <conditionalFormatting sqref="D490">
    <cfRule type="expression" dxfId="518" priority="427">
      <formula>$B490&lt;&gt;#REF!</formula>
    </cfRule>
  </conditionalFormatting>
  <conditionalFormatting sqref="D490">
    <cfRule type="expression" dxfId="517" priority="426">
      <formula>$B490&lt;&gt;$B494</formula>
    </cfRule>
  </conditionalFormatting>
  <conditionalFormatting sqref="D500">
    <cfRule type="expression" dxfId="516" priority="425">
      <formula>$B500&lt;&gt;#REF!</formula>
    </cfRule>
  </conditionalFormatting>
  <conditionalFormatting sqref="D500">
    <cfRule type="expression" dxfId="515" priority="424">
      <formula>$B500&lt;&gt;$B503</formula>
    </cfRule>
  </conditionalFormatting>
  <conditionalFormatting sqref="H500">
    <cfRule type="expression" dxfId="514" priority="423">
      <formula>#REF!&lt;&gt;#REF!</formula>
    </cfRule>
  </conditionalFormatting>
  <conditionalFormatting sqref="E505:F505">
    <cfRule type="expression" dxfId="513" priority="422">
      <formula>$B505&lt;&gt;$B508</formula>
    </cfRule>
  </conditionalFormatting>
  <conditionalFormatting sqref="F505">
    <cfRule type="expression" dxfId="512" priority="421">
      <formula>$B505&lt;&gt;#REF!</formula>
    </cfRule>
  </conditionalFormatting>
  <conditionalFormatting sqref="E505">
    <cfRule type="expression" dxfId="511" priority="420">
      <formula>$B505&lt;&gt;#REF!</formula>
    </cfRule>
  </conditionalFormatting>
  <conditionalFormatting sqref="D505">
    <cfRule type="expression" dxfId="510" priority="419">
      <formula>$B505&lt;&gt;#REF!</formula>
    </cfRule>
  </conditionalFormatting>
  <conditionalFormatting sqref="D505">
    <cfRule type="expression" dxfId="509" priority="418">
      <formula>$B505&lt;&gt;$B508</formula>
    </cfRule>
  </conditionalFormatting>
  <conditionalFormatting sqref="G505">
    <cfRule type="expression" dxfId="508" priority="417">
      <formula>$B505&lt;&gt;$B511</formula>
    </cfRule>
  </conditionalFormatting>
  <conditionalFormatting sqref="G505">
    <cfRule type="expression" dxfId="507" priority="416">
      <formula>$B505&lt;&gt;#REF!</formula>
    </cfRule>
  </conditionalFormatting>
  <conditionalFormatting sqref="H505">
    <cfRule type="expression" dxfId="506" priority="415">
      <formula>#REF!&lt;&gt;#REF!</formula>
    </cfRule>
  </conditionalFormatting>
  <conditionalFormatting sqref="G518">
    <cfRule type="expression" dxfId="505" priority="408">
      <formula>$B518&lt;&gt;$B525</formula>
    </cfRule>
  </conditionalFormatting>
  <conditionalFormatting sqref="G518">
    <cfRule type="expression" dxfId="504" priority="403">
      <formula>$B518&lt;&gt;#REF!</formula>
    </cfRule>
  </conditionalFormatting>
  <conditionalFormatting sqref="H518">
    <cfRule type="expression" dxfId="503" priority="402">
      <formula>#REF!&lt;&gt;#REF!</formula>
    </cfRule>
  </conditionalFormatting>
  <conditionalFormatting sqref="G520">
    <cfRule type="expression" dxfId="502" priority="401">
      <formula>$B520&lt;&gt;$B526</formula>
    </cfRule>
  </conditionalFormatting>
  <conditionalFormatting sqref="G520">
    <cfRule type="expression" dxfId="501" priority="400">
      <formula>$B520&lt;&gt;#REF!</formula>
    </cfRule>
  </conditionalFormatting>
  <conditionalFormatting sqref="D524">
    <cfRule type="expression" dxfId="500" priority="384">
      <formula>$B524&lt;&gt;#REF!</formula>
    </cfRule>
  </conditionalFormatting>
  <conditionalFormatting sqref="D524">
    <cfRule type="expression" dxfId="499" priority="383">
      <formula>$B524&lt;&gt;$B527</formula>
    </cfRule>
  </conditionalFormatting>
  <conditionalFormatting sqref="H524">
    <cfRule type="expression" dxfId="498" priority="382">
      <formula>#REF!&lt;&gt;#REF!</formula>
    </cfRule>
  </conditionalFormatting>
  <conditionalFormatting sqref="D525">
    <cfRule type="expression" dxfId="497" priority="378">
      <formula>$B525&lt;&gt;#REF!</formula>
    </cfRule>
  </conditionalFormatting>
  <conditionalFormatting sqref="D525">
    <cfRule type="expression" dxfId="496" priority="377">
      <formula>$B525&lt;&gt;$B528</formula>
    </cfRule>
  </conditionalFormatting>
  <conditionalFormatting sqref="H525">
    <cfRule type="expression" dxfId="495" priority="374">
      <formula>#REF!&lt;&gt;#REF!</formula>
    </cfRule>
  </conditionalFormatting>
  <conditionalFormatting sqref="E509:F509">
    <cfRule type="expression" dxfId="494" priority="371">
      <formula>$B509&lt;&gt;$B512</formula>
    </cfRule>
  </conditionalFormatting>
  <conditionalFormatting sqref="F509">
    <cfRule type="expression" dxfId="493" priority="370">
      <formula>$B509&lt;&gt;#REF!</formula>
    </cfRule>
  </conditionalFormatting>
  <conditionalFormatting sqref="E509">
    <cfRule type="expression" dxfId="492" priority="369">
      <formula>$B509&lt;&gt;#REF!</formula>
    </cfRule>
  </conditionalFormatting>
  <conditionalFormatting sqref="D509">
    <cfRule type="expression" dxfId="491" priority="368">
      <formula>$B509&lt;&gt;#REF!</formula>
    </cfRule>
  </conditionalFormatting>
  <conditionalFormatting sqref="D509">
    <cfRule type="expression" dxfId="490" priority="367">
      <formula>$B509&lt;&gt;$B512</formula>
    </cfRule>
  </conditionalFormatting>
  <conditionalFormatting sqref="A495">
    <cfRule type="expression" dxfId="489" priority="366">
      <formula>$B495&lt;&gt;$B496</formula>
    </cfRule>
  </conditionalFormatting>
  <conditionalFormatting sqref="A495">
    <cfRule type="expression" dxfId="488" priority="365">
      <formula>$B495&lt;&gt;#REF!</formula>
    </cfRule>
  </conditionalFormatting>
  <conditionalFormatting sqref="A496">
    <cfRule type="expression" dxfId="487" priority="364">
      <formula>$B496&lt;&gt;$B497</formula>
    </cfRule>
  </conditionalFormatting>
  <conditionalFormatting sqref="A496">
    <cfRule type="expression" dxfId="486" priority="363">
      <formula>$B496&lt;&gt;#REF!</formula>
    </cfRule>
  </conditionalFormatting>
  <conditionalFormatting sqref="E495:F495">
    <cfRule type="expression" dxfId="485" priority="354">
      <formula>$B495&lt;&gt;$B499</formula>
    </cfRule>
  </conditionalFormatting>
  <conditionalFormatting sqref="E495:F495">
    <cfRule type="expression" dxfId="484" priority="353">
      <formula>$B495&lt;&gt;#REF!</formula>
    </cfRule>
  </conditionalFormatting>
  <conditionalFormatting sqref="D495">
    <cfRule type="expression" dxfId="483" priority="352">
      <formula>$B495&lt;&gt;#REF!</formula>
    </cfRule>
  </conditionalFormatting>
  <conditionalFormatting sqref="D495">
    <cfRule type="expression" dxfId="482" priority="351">
      <formula>$B495&lt;&gt;$B499</formula>
    </cfRule>
  </conditionalFormatting>
  <conditionalFormatting sqref="E496:F496">
    <cfRule type="expression" dxfId="481" priority="350">
      <formula>$B496&lt;&gt;$B500</formula>
    </cfRule>
  </conditionalFormatting>
  <conditionalFormatting sqref="E496:F496">
    <cfRule type="expression" dxfId="480" priority="349">
      <formula>$B496&lt;&gt;#REF!</formula>
    </cfRule>
  </conditionalFormatting>
  <conditionalFormatting sqref="D496">
    <cfRule type="expression" dxfId="479" priority="348">
      <formula>$B496&lt;&gt;#REF!</formula>
    </cfRule>
  </conditionalFormatting>
  <conditionalFormatting sqref="D496">
    <cfRule type="expression" dxfId="478" priority="347">
      <formula>$B496&lt;&gt;$B500</formula>
    </cfRule>
  </conditionalFormatting>
  <conditionalFormatting sqref="H493">
    <cfRule type="expression" dxfId="477" priority="346">
      <formula>#REF!&lt;&gt;#REF!</formula>
    </cfRule>
  </conditionalFormatting>
  <conditionalFormatting sqref="H495">
    <cfRule type="expression" dxfId="476" priority="345">
      <formula>#REF!&lt;&gt;#REF!</formula>
    </cfRule>
  </conditionalFormatting>
  <conditionalFormatting sqref="H496">
    <cfRule type="expression" dxfId="475" priority="344">
      <formula>#REF!&lt;&gt;#REF!</formula>
    </cfRule>
  </conditionalFormatting>
  <conditionalFormatting sqref="A269">
    <cfRule type="expression" dxfId="474" priority="343">
      <formula>$B269&lt;&gt;$B293</formula>
    </cfRule>
  </conditionalFormatting>
  <conditionalFormatting sqref="B269">
    <cfRule type="expression" dxfId="473" priority="342">
      <formula>$B269&lt;&gt;$B271</formula>
    </cfRule>
  </conditionalFormatting>
  <conditionalFormatting sqref="A260:A269">
    <cfRule type="expression" dxfId="472" priority="341">
      <formula>$B160&lt;&gt;$B161</formula>
    </cfRule>
  </conditionalFormatting>
  <conditionalFormatting sqref="B269">
    <cfRule type="expression" dxfId="471" priority="340">
      <formula>$B269&lt;&gt;#REF!</formula>
    </cfRule>
  </conditionalFormatting>
  <conditionalFormatting sqref="A269">
    <cfRule type="expression" dxfId="470" priority="339">
      <formula>#REF!&lt;&gt;#REF!</formula>
    </cfRule>
  </conditionalFormatting>
  <conditionalFormatting sqref="D269:F269">
    <cfRule type="expression" dxfId="469" priority="338">
      <formula>$B269&lt;&gt;$B270</formula>
    </cfRule>
  </conditionalFormatting>
  <conditionalFormatting sqref="E466:E469">
    <cfRule type="expression" dxfId="468" priority="327">
      <formula>$B466&lt;&gt;#REF!</formula>
    </cfRule>
  </conditionalFormatting>
  <conditionalFormatting sqref="A466:G469">
    <cfRule type="expression" dxfId="467" priority="326">
      <formula>$B466&lt;&gt;$B468</formula>
    </cfRule>
  </conditionalFormatting>
  <conditionalFormatting sqref="A466:D469 F466:G469">
    <cfRule type="expression" dxfId="466" priority="325">
      <formula>$B466&lt;&gt;#REF!</formula>
    </cfRule>
  </conditionalFormatting>
  <conditionalFormatting sqref="G525">
    <cfRule type="expression" dxfId="465" priority="324">
      <formula>$B525&lt;&gt;#REF!</formula>
    </cfRule>
  </conditionalFormatting>
  <conditionalFormatting sqref="G525">
    <cfRule type="expression" dxfId="464" priority="323">
      <formula>$B525&lt;&gt;$B528</formula>
    </cfRule>
  </conditionalFormatting>
  <conditionalFormatting sqref="D513">
    <cfRule type="expression" dxfId="463" priority="322">
      <formula>$B513&lt;&gt;#REF!</formula>
    </cfRule>
  </conditionalFormatting>
  <conditionalFormatting sqref="G513">
    <cfRule type="expression" dxfId="462" priority="321">
      <formula>$B513&lt;&gt;$B516</formula>
    </cfRule>
  </conditionalFormatting>
  <conditionalFormatting sqref="A514">
    <cfRule type="expression" dxfId="461" priority="320">
      <formula>$B514&lt;&gt;$B518</formula>
    </cfRule>
  </conditionalFormatting>
  <conditionalFormatting sqref="A514">
    <cfRule type="expression" dxfId="460" priority="319">
      <formula>$B514&lt;&gt;#REF!</formula>
    </cfRule>
  </conditionalFormatting>
  <conditionalFormatting sqref="G514">
    <cfRule type="expression" dxfId="459" priority="317">
      <formula>$B514&lt;&gt;$B518</formula>
    </cfRule>
  </conditionalFormatting>
  <conditionalFormatting sqref="D514">
    <cfRule type="expression" dxfId="458" priority="316">
      <formula>$B514&lt;&gt;#REF!</formula>
    </cfRule>
  </conditionalFormatting>
  <conditionalFormatting sqref="D514">
    <cfRule type="expression" dxfId="457" priority="315">
      <formula>$B514&lt;&gt;$B518</formula>
    </cfRule>
  </conditionalFormatting>
  <conditionalFormatting sqref="D515">
    <cfRule type="expression" dxfId="456" priority="314">
      <formula>$B515&lt;&gt;#REF!</formula>
    </cfRule>
  </conditionalFormatting>
  <conditionalFormatting sqref="D515">
    <cfRule type="expression" dxfId="455" priority="313">
      <formula>$B515&lt;&gt;$B520</formula>
    </cfRule>
  </conditionalFormatting>
  <conditionalFormatting sqref="D516">
    <cfRule type="expression" dxfId="454" priority="311">
      <formula>$B516&lt;&gt;$B521</formula>
    </cfRule>
  </conditionalFormatting>
  <conditionalFormatting sqref="G516">
    <cfRule type="expression" dxfId="453" priority="309">
      <formula>$B516&lt;&gt;#REF!</formula>
    </cfRule>
  </conditionalFormatting>
  <conditionalFormatting sqref="G516">
    <cfRule type="expression" dxfId="452" priority="308">
      <formula>$B516&lt;&gt;$B521</formula>
    </cfRule>
  </conditionalFormatting>
  <conditionalFormatting sqref="D516">
    <cfRule type="expression" dxfId="451" priority="307">
      <formula>$B516&lt;&gt;#REF!</formula>
    </cfRule>
  </conditionalFormatting>
  <conditionalFormatting sqref="A517">
    <cfRule type="expression" dxfId="450" priority="306">
      <formula>$B517&lt;&gt;$B521</formula>
    </cfRule>
  </conditionalFormatting>
  <conditionalFormatting sqref="A517">
    <cfRule type="expression" dxfId="449" priority="305">
      <formula>$B517&lt;&gt;#REF!</formula>
    </cfRule>
  </conditionalFormatting>
  <conditionalFormatting sqref="G517">
    <cfRule type="expression" dxfId="448" priority="301">
      <formula>$B517&lt;&gt;#REF!</formula>
    </cfRule>
  </conditionalFormatting>
  <conditionalFormatting sqref="G517">
    <cfRule type="expression" dxfId="447" priority="300">
      <formula>$B517&lt;&gt;$B522</formula>
    </cfRule>
  </conditionalFormatting>
  <conditionalFormatting sqref="D517">
    <cfRule type="expression" dxfId="446" priority="298">
      <formula>$B517&lt;&gt;#REF!</formula>
    </cfRule>
  </conditionalFormatting>
  <conditionalFormatting sqref="D517">
    <cfRule type="expression" dxfId="445" priority="297">
      <formula>$B517&lt;&gt;$B522</formula>
    </cfRule>
  </conditionalFormatting>
  <conditionalFormatting sqref="A519">
    <cfRule type="expression" dxfId="444" priority="296">
      <formula>$B519&lt;&gt;$B522</formula>
    </cfRule>
  </conditionalFormatting>
  <conditionalFormatting sqref="A519">
    <cfRule type="expression" dxfId="443" priority="295">
      <formula>$B519&lt;&gt;#REF!</formula>
    </cfRule>
  </conditionalFormatting>
  <conditionalFormatting sqref="G519">
    <cfRule type="expression" dxfId="442" priority="294">
      <formula>$B519&lt;&gt;$B526</formula>
    </cfRule>
  </conditionalFormatting>
  <conditionalFormatting sqref="G519">
    <cfRule type="expression" dxfId="441" priority="289">
      <formula>$B519&lt;&gt;#REF!</formula>
    </cfRule>
  </conditionalFormatting>
  <conditionalFormatting sqref="H519">
    <cfRule type="expression" dxfId="440" priority="288">
      <formula>#REF!&lt;&gt;#REF!</formula>
    </cfRule>
  </conditionalFormatting>
  <conditionalFormatting sqref="D519">
    <cfRule type="expression" dxfId="439" priority="285">
      <formula>$B519&lt;&gt;#REF!</formula>
    </cfRule>
  </conditionalFormatting>
  <conditionalFormatting sqref="D519">
    <cfRule type="expression" dxfId="438" priority="284">
      <formula>$B519&lt;&gt;$B525</formula>
    </cfRule>
  </conditionalFormatting>
  <conditionalFormatting sqref="D518">
    <cfRule type="expression" dxfId="437" priority="283">
      <formula>$B518&lt;&gt;#REF!</formula>
    </cfRule>
  </conditionalFormatting>
  <conditionalFormatting sqref="D518">
    <cfRule type="expression" dxfId="436" priority="282">
      <formula>$B518&lt;&gt;$B524</formula>
    </cfRule>
  </conditionalFormatting>
  <conditionalFormatting sqref="D520">
    <cfRule type="expression" dxfId="435" priority="281">
      <formula>$B520&lt;&gt;#REF!</formula>
    </cfRule>
  </conditionalFormatting>
  <conditionalFormatting sqref="D520">
    <cfRule type="expression" dxfId="434" priority="280">
      <formula>$B520&lt;&gt;$B526</formula>
    </cfRule>
  </conditionalFormatting>
  <conditionalFormatting sqref="D522">
    <cfRule type="expression" dxfId="433" priority="279">
      <formula>$B522&lt;&gt;#REF!</formula>
    </cfRule>
  </conditionalFormatting>
  <conditionalFormatting sqref="D522">
    <cfRule type="expression" dxfId="432" priority="278">
      <formula>$B522&lt;&gt;$B528</formula>
    </cfRule>
  </conditionalFormatting>
  <conditionalFormatting sqref="D526">
    <cfRule type="expression" dxfId="431" priority="277">
      <formula>$B526&lt;&gt;#REF!</formula>
    </cfRule>
  </conditionalFormatting>
  <conditionalFormatting sqref="D526">
    <cfRule type="expression" dxfId="430" priority="276">
      <formula>$B526&lt;&gt;$B533</formula>
    </cfRule>
  </conditionalFormatting>
  <conditionalFormatting sqref="A530">
    <cfRule type="expression" dxfId="429" priority="267">
      <formula>$B530&lt;&gt;$B535</formula>
    </cfRule>
  </conditionalFormatting>
  <conditionalFormatting sqref="A530">
    <cfRule type="expression" dxfId="428" priority="266">
      <formula>$B530&lt;&gt;#REF!</formula>
    </cfRule>
  </conditionalFormatting>
  <conditionalFormatting sqref="A532">
    <cfRule type="expression" dxfId="427" priority="259">
      <formula>$B532&lt;&gt;$B536</formula>
    </cfRule>
  </conditionalFormatting>
  <conditionalFormatting sqref="A532">
    <cfRule type="expression" dxfId="426" priority="258">
      <formula>$B532&lt;&gt;#REF!</formula>
    </cfRule>
  </conditionalFormatting>
  <conditionalFormatting sqref="I540">
    <cfRule type="expression" dxfId="425" priority="249">
      <formula>$B329&lt;&gt;$B330</formula>
    </cfRule>
  </conditionalFormatting>
  <conditionalFormatting sqref="A534">
    <cfRule type="expression" dxfId="424" priority="248">
      <formula>$B534&lt;&gt;$B539</formula>
    </cfRule>
  </conditionalFormatting>
  <conditionalFormatting sqref="A534">
    <cfRule type="expression" dxfId="423" priority="247">
      <formula>$B534&lt;&gt;#REF!</formula>
    </cfRule>
  </conditionalFormatting>
  <conditionalFormatting sqref="E513:E514 F514 E516:F516 E533:F533">
    <cfRule type="expression" dxfId="422" priority="244">
      <formula>$B513&lt;&gt;$B515</formula>
    </cfRule>
  </conditionalFormatting>
  <conditionalFormatting sqref="E515:F515 E518:F518 E531:F531">
    <cfRule type="expression" dxfId="421" priority="243">
      <formula>$B515&lt;&gt;$B518</formula>
    </cfRule>
  </conditionalFormatting>
  <conditionalFormatting sqref="E529:F529">
    <cfRule type="expression" dxfId="420" priority="242">
      <formula>$B529&lt;&gt;$B533</formula>
    </cfRule>
  </conditionalFormatting>
  <conditionalFormatting sqref="F513 F518 F525 F529 F540">
    <cfRule type="expression" dxfId="419" priority="241">
      <formula>$B513&lt;&gt;#REF!</formula>
    </cfRule>
  </conditionalFormatting>
  <conditionalFormatting sqref="F513 F525">
    <cfRule type="expression" dxfId="418" priority="240">
      <formula>$B513&lt;&gt;$B515</formula>
    </cfRule>
  </conditionalFormatting>
  <conditionalFormatting sqref="E513:E515 F514:F515 E518:E519 E525:E527 E529 F519 F526:F527 E521:F521 E531:F531 E533:F533 E540 E536:F536">
    <cfRule type="expression" dxfId="417" priority="239">
      <formula>$B513&lt;&gt;#REF!</formula>
    </cfRule>
  </conditionalFormatting>
  <conditionalFormatting sqref="E525:E527 F526:F527">
    <cfRule type="expression" dxfId="416" priority="238">
      <formula>$B525&lt;&gt;$B527</formula>
    </cfRule>
  </conditionalFormatting>
  <conditionalFormatting sqref="E524:F524 E528:F528 E534:F534 E539:F539">
    <cfRule type="expression" dxfId="415" priority="237">
      <formula>$B524&lt;&gt;$B525</formula>
    </cfRule>
  </conditionalFormatting>
  <conditionalFormatting sqref="E516:F516 E524:F524 E528:F528 E534:F534 E539:F539">
    <cfRule type="expression" dxfId="414" priority="236">
      <formula>$B516&lt;&gt;#REF!</formula>
    </cfRule>
  </conditionalFormatting>
  <conditionalFormatting sqref="E517:F517">
    <cfRule type="expression" dxfId="413" priority="235">
      <formula>$B517&lt;&gt;$B519</formula>
    </cfRule>
  </conditionalFormatting>
  <conditionalFormatting sqref="E517:F517">
    <cfRule type="expression" dxfId="412" priority="234">
      <formula>$B517&lt;&gt;#REF!</formula>
    </cfRule>
  </conditionalFormatting>
  <conditionalFormatting sqref="E520:F520">
    <cfRule type="expression" dxfId="411" priority="233">
      <formula>$B520&lt;&gt;$B524</formula>
    </cfRule>
  </conditionalFormatting>
  <conditionalFormatting sqref="E520:F520">
    <cfRule type="expression" dxfId="410" priority="232">
      <formula>$B520&lt;&gt;#REF!</formula>
    </cfRule>
  </conditionalFormatting>
  <conditionalFormatting sqref="E522:F522">
    <cfRule type="expression" dxfId="409" priority="231">
      <formula>$B522&lt;&gt;$B526</formula>
    </cfRule>
  </conditionalFormatting>
  <conditionalFormatting sqref="E522:F522">
    <cfRule type="expression" dxfId="408" priority="230">
      <formula>$B522&lt;&gt;#REF!</formula>
    </cfRule>
  </conditionalFormatting>
  <conditionalFormatting sqref="E530:F530">
    <cfRule type="expression" dxfId="407" priority="229">
      <formula>$B530&lt;&gt;$B534</formula>
    </cfRule>
  </conditionalFormatting>
  <conditionalFormatting sqref="E530:F530">
    <cfRule type="expression" dxfId="406" priority="228">
      <formula>$B530&lt;&gt;#REF!</formula>
    </cfRule>
  </conditionalFormatting>
  <conditionalFormatting sqref="E532:F532">
    <cfRule type="expression" dxfId="405" priority="227">
      <formula>$B532&lt;&gt;$B536</formula>
    </cfRule>
  </conditionalFormatting>
  <conditionalFormatting sqref="E532:F532">
    <cfRule type="expression" dxfId="404" priority="226">
      <formula>$B532&lt;&gt;#REF!</formula>
    </cfRule>
  </conditionalFormatting>
  <conditionalFormatting sqref="F535">
    <cfRule type="expression" dxfId="403" priority="222">
      <formula>$B535&lt;&gt;$B539</formula>
    </cfRule>
  </conditionalFormatting>
  <conditionalFormatting sqref="F535">
    <cfRule type="expression" dxfId="402" priority="221">
      <formula>$B535&lt;&gt;#REF!</formula>
    </cfRule>
  </conditionalFormatting>
  <conditionalFormatting sqref="E535">
    <cfRule type="expression" dxfId="401" priority="220">
      <formula>$B535&lt;&gt;$B539</formula>
    </cfRule>
  </conditionalFormatting>
  <conditionalFormatting sqref="E535">
    <cfRule type="expression" dxfId="400" priority="219">
      <formula>$B535&lt;&gt;#REF!</formula>
    </cfRule>
  </conditionalFormatting>
  <conditionalFormatting sqref="G539:G540">
    <cfRule type="expression" dxfId="399" priority="217">
      <formula>$B539&lt;&gt;#REF!</formula>
    </cfRule>
  </conditionalFormatting>
  <conditionalFormatting sqref="A537">
    <cfRule type="expression" dxfId="398" priority="201">
      <formula>$B537&lt;&gt;$B539</formula>
    </cfRule>
  </conditionalFormatting>
  <conditionalFormatting sqref="A537">
    <cfRule type="expression" dxfId="397" priority="200">
      <formula>$B537&lt;&gt;#REF!</formula>
    </cfRule>
  </conditionalFormatting>
  <conditionalFormatting sqref="D537">
    <cfRule type="expression" dxfId="396" priority="199">
      <formula>$B537&lt;&gt;#REF!</formula>
    </cfRule>
  </conditionalFormatting>
  <conditionalFormatting sqref="D537">
    <cfRule type="expression" dxfId="395" priority="198">
      <formula>$B537&lt;&gt;$B540</formula>
    </cfRule>
  </conditionalFormatting>
  <conditionalFormatting sqref="F537">
    <cfRule type="expression" dxfId="394" priority="195">
      <formula>$B537&lt;&gt;#REF!</formula>
    </cfRule>
  </conditionalFormatting>
  <conditionalFormatting sqref="F537">
    <cfRule type="expression" dxfId="393" priority="194">
      <formula>$B537&lt;&gt;$B539</formula>
    </cfRule>
  </conditionalFormatting>
  <conditionalFormatting sqref="E537">
    <cfRule type="expression" dxfId="392" priority="193">
      <formula>$B537&lt;&gt;#REF!</formula>
    </cfRule>
  </conditionalFormatting>
  <conditionalFormatting sqref="E537">
    <cfRule type="expression" dxfId="391" priority="192">
      <formula>$B537&lt;&gt;$B539</formula>
    </cfRule>
  </conditionalFormatting>
  <conditionalFormatting sqref="A538">
    <cfRule type="expression" dxfId="390" priority="191">
      <formula>$B538&lt;&gt;$B540</formula>
    </cfRule>
  </conditionalFormatting>
  <conditionalFormatting sqref="A538 A551 A540 A542:A547">
    <cfRule type="expression" dxfId="389" priority="190">
      <formula>$B538&lt;&gt;#REF!</formula>
    </cfRule>
  </conditionalFormatting>
  <conditionalFormatting sqref="E538:F538">
    <cfRule type="expression" dxfId="388" priority="189">
      <formula>$B538&lt;&gt;#REF!</formula>
    </cfRule>
  </conditionalFormatting>
  <conditionalFormatting sqref="E538:F538">
    <cfRule type="expression" dxfId="387" priority="188">
      <formula>$B538&lt;&gt;$B540</formula>
    </cfRule>
  </conditionalFormatting>
  <conditionalFormatting sqref="A523">
    <cfRule type="expression" dxfId="386" priority="181">
      <formula>$B523&lt;&gt;$B526</formula>
    </cfRule>
  </conditionalFormatting>
  <conditionalFormatting sqref="A523">
    <cfRule type="expression" dxfId="385" priority="180">
      <formula>$B523&lt;&gt;#REF!</formula>
    </cfRule>
  </conditionalFormatting>
  <conditionalFormatting sqref="E523:F523">
    <cfRule type="expression" dxfId="384" priority="177">
      <formula>$B523&lt;&gt;$B527</formula>
    </cfRule>
  </conditionalFormatting>
  <conditionalFormatting sqref="E523:F523">
    <cfRule type="expression" dxfId="383" priority="176">
      <formula>$B523&lt;&gt;#REF!</formula>
    </cfRule>
  </conditionalFormatting>
  <conditionalFormatting sqref="D523">
    <cfRule type="expression" dxfId="382" priority="175">
      <formula>$B523&lt;&gt;#REF!</formula>
    </cfRule>
  </conditionalFormatting>
  <conditionalFormatting sqref="D523">
    <cfRule type="expression" dxfId="381" priority="174">
      <formula>$B523&lt;&gt;$B529</formula>
    </cfRule>
  </conditionalFormatting>
  <conditionalFormatting sqref="A20:B20 H20:I20 E20:F20">
    <cfRule type="expression" dxfId="380" priority="173">
      <formula>$B20&lt;&gt;$B22</formula>
    </cfRule>
  </conditionalFormatting>
  <conditionalFormatting sqref="J20:K20">
    <cfRule type="expression" dxfId="379" priority="170">
      <formula>$B20&lt;&gt;$B25</formula>
    </cfRule>
  </conditionalFormatting>
  <conditionalFormatting sqref="H19:H20">
    <cfRule type="expression" dxfId="378" priority="169">
      <formula>$B24&lt;&gt;$B25</formula>
    </cfRule>
  </conditionalFormatting>
  <conditionalFormatting sqref="A22:B23 E22:F22">
    <cfRule type="expression" dxfId="377" priority="168">
      <formula>$B22&lt;&gt;$B25</formula>
    </cfRule>
  </conditionalFormatting>
  <conditionalFormatting sqref="J22:K23">
    <cfRule type="expression" dxfId="376" priority="165">
      <formula>$B22&lt;&gt;$B27</formula>
    </cfRule>
  </conditionalFormatting>
  <conditionalFormatting sqref="H22:H23">
    <cfRule type="expression" dxfId="375" priority="164">
      <formula>$B27&lt;&gt;$B28</formula>
    </cfRule>
  </conditionalFormatting>
  <conditionalFormatting sqref="D21">
    <cfRule type="expression" dxfId="374" priority="161">
      <formula>$B21&lt;&gt;$B23</formula>
    </cfRule>
  </conditionalFormatting>
  <conditionalFormatting sqref="D21">
    <cfRule type="expression" dxfId="373" priority="160">
      <formula>$B21&lt;&gt;$B23</formula>
    </cfRule>
  </conditionalFormatting>
  <conditionalFormatting sqref="D21">
    <cfRule type="expression" dxfId="372" priority="159">
      <formula>$B21&lt;&gt;$B23</formula>
    </cfRule>
  </conditionalFormatting>
  <conditionalFormatting sqref="D22">
    <cfRule type="expression" dxfId="371" priority="158">
      <formula>$B22&lt;&gt;$B24</formula>
    </cfRule>
  </conditionalFormatting>
  <conditionalFormatting sqref="D22">
    <cfRule type="expression" dxfId="370" priority="157">
      <formula>$B22&lt;&gt;$B24</formula>
    </cfRule>
  </conditionalFormatting>
  <conditionalFormatting sqref="D22">
    <cfRule type="expression" dxfId="369" priority="156">
      <formula>$B22&lt;&gt;$B24</formula>
    </cfRule>
  </conditionalFormatting>
  <conditionalFormatting sqref="D20">
    <cfRule type="expression" dxfId="368" priority="155">
      <formula>$B20&lt;&gt;$B21</formula>
    </cfRule>
  </conditionalFormatting>
  <conditionalFormatting sqref="D20">
    <cfRule type="expression" dxfId="367" priority="154">
      <formula>$B20&lt;&gt;$B21</formula>
    </cfRule>
  </conditionalFormatting>
  <conditionalFormatting sqref="C20:C22 C24">
    <cfRule type="expression" dxfId="366" priority="153">
      <formula>$B20&lt;&gt;$B21</formula>
    </cfRule>
  </conditionalFormatting>
  <conditionalFormatting sqref="G23">
    <cfRule type="expression" dxfId="365" priority="152">
      <formula>$B23&lt;&gt;$B28</formula>
    </cfRule>
  </conditionalFormatting>
  <conditionalFormatting sqref="E23:F23">
    <cfRule type="expression" dxfId="364" priority="151">
      <formula>$B23&lt;&gt;$B26</formula>
    </cfRule>
  </conditionalFormatting>
  <conditionalFormatting sqref="D23">
    <cfRule type="expression" dxfId="363" priority="150">
      <formula>$B23&lt;&gt;$B25</formula>
    </cfRule>
  </conditionalFormatting>
  <conditionalFormatting sqref="D23">
    <cfRule type="expression" dxfId="362" priority="149">
      <formula>$B23&lt;&gt;$B25</formula>
    </cfRule>
  </conditionalFormatting>
  <conditionalFormatting sqref="D23">
    <cfRule type="expression" dxfId="361" priority="148">
      <formula>$B23&lt;&gt;$B25</formula>
    </cfRule>
  </conditionalFormatting>
  <conditionalFormatting sqref="C23">
    <cfRule type="expression" dxfId="360" priority="147">
      <formula>$B23&lt;&gt;$B24</formula>
    </cfRule>
  </conditionalFormatting>
  <conditionalFormatting sqref="B61 F61:I61">
    <cfRule type="expression" dxfId="359" priority="146">
      <formula>$B61&lt;&gt;$B63</formula>
    </cfRule>
  </conditionalFormatting>
  <conditionalFormatting sqref="H61 J61:K61">
    <cfRule type="expression" dxfId="358" priority="145">
      <formula>#REF!&lt;&gt;#REF!</formula>
    </cfRule>
  </conditionalFormatting>
  <conditionalFormatting sqref="A61">
    <cfRule type="expression" dxfId="357" priority="144">
      <formula>#REF!&lt;&gt;#REF!</formula>
    </cfRule>
  </conditionalFormatting>
  <conditionalFormatting sqref="C61 E61">
    <cfRule type="expression" dxfId="356" priority="143">
      <formula>$B61&lt;&gt;#REF!</formula>
    </cfRule>
  </conditionalFormatting>
  <conditionalFormatting sqref="D61">
    <cfRule type="expression" dxfId="355" priority="142">
      <formula>$B61&lt;&gt;$B62</formula>
    </cfRule>
  </conditionalFormatting>
  <conditionalFormatting sqref="A105">
    <cfRule type="expression" dxfId="354" priority="141">
      <formula>$B105&lt;&gt;#REF!</formula>
    </cfRule>
  </conditionalFormatting>
  <conditionalFormatting sqref="C105">
    <cfRule type="expression" dxfId="353" priority="140">
      <formula>#REF!&lt;&gt;#REF!</formula>
    </cfRule>
  </conditionalFormatting>
  <conditionalFormatting sqref="A105:C105">
    <cfRule type="expression" dxfId="352" priority="139">
      <formula>$B105&lt;&gt;#REF!</formula>
    </cfRule>
  </conditionalFormatting>
  <conditionalFormatting sqref="J105 H105">
    <cfRule type="expression" dxfId="351" priority="138">
      <formula>$B105&lt;&gt;$B108</formula>
    </cfRule>
  </conditionalFormatting>
  <conditionalFormatting sqref="F105">
    <cfRule type="expression" dxfId="350" priority="137">
      <formula>$B105&lt;&gt;#REF!</formula>
    </cfRule>
  </conditionalFormatting>
  <conditionalFormatting sqref="E105">
    <cfRule type="expression" dxfId="349" priority="136">
      <formula>$B105&lt;&gt;$B107</formula>
    </cfRule>
  </conditionalFormatting>
  <conditionalFormatting sqref="G105 I105 K105">
    <cfRule type="expression" dxfId="348" priority="134">
      <formula>$B105&lt;&gt;#REF!</formula>
    </cfRule>
  </conditionalFormatting>
  <conditionalFormatting sqref="D105">
    <cfRule type="expression" dxfId="347" priority="133">
      <formula>$B105&lt;&gt;#REF!</formula>
    </cfRule>
  </conditionalFormatting>
  <conditionalFormatting sqref="A419">
    <cfRule type="expression" dxfId="346" priority="132">
      <formula>$B419&lt;&gt;$B297</formula>
    </cfRule>
  </conditionalFormatting>
  <conditionalFormatting sqref="I419">
    <cfRule type="expression" dxfId="345" priority="131">
      <formula>$B228&lt;&gt;$B229</formula>
    </cfRule>
  </conditionalFormatting>
  <conditionalFormatting sqref="A419">
    <cfRule type="expression" dxfId="344" priority="130">
      <formula>$B173&lt;&gt;$B174</formula>
    </cfRule>
  </conditionalFormatting>
  <conditionalFormatting sqref="B419:C419 E419:H419">
    <cfRule type="expression" dxfId="343" priority="129">
      <formula>$B419&lt;&gt;$B421</formula>
    </cfRule>
  </conditionalFormatting>
  <conditionalFormatting sqref="B419:C419 E419:H419">
    <cfRule type="expression" dxfId="342" priority="128">
      <formula>$B419&lt;&gt;#REF!</formula>
    </cfRule>
  </conditionalFormatting>
  <conditionalFormatting sqref="A419">
    <cfRule type="expression" dxfId="341" priority="127">
      <formula>#REF!&lt;&gt;#REF!</formula>
    </cfRule>
  </conditionalFormatting>
  <conditionalFormatting sqref="D419">
    <cfRule type="expression" dxfId="340" priority="126">
      <formula>$B419&lt;&gt;#REF!</formula>
    </cfRule>
  </conditionalFormatting>
  <conditionalFormatting sqref="D419">
    <cfRule type="expression" dxfId="339" priority="125">
      <formula>$B419&lt;&gt;#REF!</formula>
    </cfRule>
  </conditionalFormatting>
  <conditionalFormatting sqref="D191">
    <cfRule type="expression" dxfId="338" priority="115">
      <formula>$B191&lt;&gt;$B192</formula>
    </cfRule>
  </conditionalFormatting>
  <conditionalFormatting sqref="I551">
    <cfRule type="expression" dxfId="337" priority="114">
      <formula>$B337&lt;&gt;$B338</formula>
    </cfRule>
  </conditionalFormatting>
  <conditionalFormatting sqref="F551">
    <cfRule type="expression" dxfId="336" priority="112">
      <formula>$B551&lt;&gt;#REF!</formula>
    </cfRule>
  </conditionalFormatting>
  <conditionalFormatting sqref="E551">
    <cfRule type="expression" dxfId="335" priority="111">
      <formula>$B551&lt;&gt;#REF!</formula>
    </cfRule>
  </conditionalFormatting>
  <conditionalFormatting sqref="E550:F550">
    <cfRule type="expression" dxfId="334" priority="110">
      <formula>$B550&lt;&gt;$B551</formula>
    </cfRule>
  </conditionalFormatting>
  <conditionalFormatting sqref="E550:F550">
    <cfRule type="expression" dxfId="333" priority="109">
      <formula>$B550&lt;&gt;#REF!</formula>
    </cfRule>
  </conditionalFormatting>
  <conditionalFormatting sqref="G550:G551">
    <cfRule type="expression" dxfId="332" priority="107">
      <formula>$B550&lt;&gt;#REF!</formula>
    </cfRule>
  </conditionalFormatting>
  <conditionalFormatting sqref="E542:E543">
    <cfRule type="expression" dxfId="331" priority="94">
      <formula>$B542&lt;&gt;$B544</formula>
    </cfRule>
  </conditionalFormatting>
  <conditionalFormatting sqref="E544">
    <cfRule type="expression" dxfId="330" priority="93">
      <formula>$B544&lt;&gt;$B548</formula>
    </cfRule>
  </conditionalFormatting>
  <conditionalFormatting sqref="E542:E544">
    <cfRule type="expression" dxfId="329" priority="92">
      <formula>$B542&lt;&gt;#REF!</formula>
    </cfRule>
  </conditionalFormatting>
  <conditionalFormatting sqref="E545">
    <cfRule type="expression" dxfId="328" priority="91">
      <formula>$B545&lt;&gt;#REF!</formula>
    </cfRule>
  </conditionalFormatting>
  <conditionalFormatting sqref="E546">
    <cfRule type="expression" dxfId="327" priority="90">
      <formula>$B546&lt;&gt;$B550</formula>
    </cfRule>
  </conditionalFormatting>
  <conditionalFormatting sqref="E546">
    <cfRule type="expression" dxfId="326" priority="89">
      <formula>$B546&lt;&gt;#REF!</formula>
    </cfRule>
  </conditionalFormatting>
  <conditionalFormatting sqref="F543">
    <cfRule type="expression" dxfId="325" priority="88">
      <formula>$B543&lt;&gt;$B545</formula>
    </cfRule>
  </conditionalFormatting>
  <conditionalFormatting sqref="F544">
    <cfRule type="expression" dxfId="324" priority="87">
      <formula>$B544&lt;&gt;$B548</formula>
    </cfRule>
  </conditionalFormatting>
  <conditionalFormatting sqref="F542">
    <cfRule type="expression" dxfId="323" priority="86">
      <formula>$B542&lt;&gt;#REF!</formula>
    </cfRule>
  </conditionalFormatting>
  <conditionalFormatting sqref="F542">
    <cfRule type="expression" dxfId="322" priority="85">
      <formula>$B542&lt;&gt;$B544</formula>
    </cfRule>
  </conditionalFormatting>
  <conditionalFormatting sqref="F543:F544">
    <cfRule type="expression" dxfId="321" priority="84">
      <formula>$B543&lt;&gt;#REF!</formula>
    </cfRule>
  </conditionalFormatting>
  <conditionalFormatting sqref="F545">
    <cfRule type="expression" dxfId="320" priority="83">
      <formula>$B545&lt;&gt;#REF!</formula>
    </cfRule>
  </conditionalFormatting>
  <conditionalFormatting sqref="F546">
    <cfRule type="expression" dxfId="319" priority="82">
      <formula>$B546&lt;&gt;$B550</formula>
    </cfRule>
  </conditionalFormatting>
  <conditionalFormatting sqref="F546">
    <cfRule type="expression" dxfId="318" priority="81">
      <formula>$B546&lt;&gt;#REF!</formula>
    </cfRule>
  </conditionalFormatting>
  <conditionalFormatting sqref="D543">
    <cfRule type="expression" dxfId="317" priority="78">
      <formula>$B543&lt;&gt;#REF!</formula>
    </cfRule>
  </conditionalFormatting>
  <conditionalFormatting sqref="D543">
    <cfRule type="expression" dxfId="316" priority="77">
      <formula>$B543&lt;&gt;$B546</formula>
    </cfRule>
  </conditionalFormatting>
  <conditionalFormatting sqref="C549:G549">
    <cfRule type="expression" dxfId="315" priority="76">
      <formula>$B549&lt;&gt;$B551</formula>
    </cfRule>
  </conditionalFormatting>
  <conditionalFormatting sqref="C549:G549">
    <cfRule type="expression" dxfId="314" priority="75">
      <formula>$B549&lt;&gt;#REF!</formula>
    </cfRule>
  </conditionalFormatting>
  <conditionalFormatting sqref="D547:G547">
    <cfRule type="expression" dxfId="313" priority="72">
      <formula>$B547&lt;&gt;$B549</formula>
    </cfRule>
  </conditionalFormatting>
  <conditionalFormatting sqref="D541">
    <cfRule type="expression" dxfId="312" priority="1835">
      <formula>$B547&lt;&gt;$B549</formula>
    </cfRule>
  </conditionalFormatting>
  <conditionalFormatting sqref="D547:G547">
    <cfRule type="expression" dxfId="311" priority="71">
      <formula>$B547&lt;&gt;#REF!</formula>
    </cfRule>
  </conditionalFormatting>
  <conditionalFormatting sqref="D541">
    <cfRule type="expression" dxfId="310" priority="1836">
      <formula>$B547&lt;&gt;#REF!</formula>
    </cfRule>
  </conditionalFormatting>
  <conditionalFormatting sqref="A541">
    <cfRule type="expression" dxfId="309" priority="70">
      <formula>$B541&lt;&gt;$B543</formula>
    </cfRule>
  </conditionalFormatting>
  <conditionalFormatting sqref="A541">
    <cfRule type="expression" dxfId="308" priority="69">
      <formula>$B541&lt;&gt;#REF!</formula>
    </cfRule>
  </conditionalFormatting>
  <conditionalFormatting sqref="E541">
    <cfRule type="expression" dxfId="307" priority="68">
      <formula>$B541&lt;&gt;$B543</formula>
    </cfRule>
  </conditionalFormatting>
  <conditionalFormatting sqref="E541">
    <cfRule type="expression" dxfId="306" priority="67">
      <formula>$B541&lt;&gt;#REF!</formula>
    </cfRule>
  </conditionalFormatting>
  <conditionalFormatting sqref="F541">
    <cfRule type="expression" dxfId="305" priority="66">
      <formula>$B541&lt;&gt;#REF!</formula>
    </cfRule>
  </conditionalFormatting>
  <conditionalFormatting sqref="F541">
    <cfRule type="expression" dxfId="304" priority="65">
      <formula>$B541&lt;&gt;$B543</formula>
    </cfRule>
  </conditionalFormatting>
  <conditionalFormatting sqref="A69">
    <cfRule type="expression" dxfId="303" priority="1865">
      <formula>$B10&lt;&gt;$B14</formula>
    </cfRule>
  </conditionalFormatting>
  <conditionalFormatting sqref="H14">
    <cfRule type="expression" dxfId="302" priority="1868">
      <formula>$B16&lt;&gt;$B18</formula>
    </cfRule>
  </conditionalFormatting>
  <conditionalFormatting sqref="E89">
    <cfRule type="expression" dxfId="301" priority="1875">
      <formula>$B56&lt;&gt;#REF!</formula>
    </cfRule>
  </conditionalFormatting>
  <conditionalFormatting sqref="B57">
    <cfRule type="expression" dxfId="300" priority="64">
      <formula>$B57&lt;&gt;$B58</formula>
    </cfRule>
  </conditionalFormatting>
  <conditionalFormatting sqref="J57:K57">
    <cfRule type="expression" dxfId="299" priority="63">
      <formula>#REF!&lt;&gt;#REF!</formula>
    </cfRule>
  </conditionalFormatting>
  <conditionalFormatting sqref="A57 E57:F57 C57">
    <cfRule type="expression" dxfId="298" priority="62">
      <formula>$B57&lt;&gt;#REF!</formula>
    </cfRule>
  </conditionalFormatting>
  <conditionalFormatting sqref="D57">
    <cfRule type="expression" dxfId="297" priority="61">
      <formula>$B57&lt;&gt;$B58</formula>
    </cfRule>
  </conditionalFormatting>
  <conditionalFormatting sqref="G57">
    <cfRule type="expression" dxfId="296" priority="60">
      <formula>$B57&lt;&gt;#REF!</formula>
    </cfRule>
  </conditionalFormatting>
  <conditionalFormatting sqref="H57">
    <cfRule type="expression" dxfId="295" priority="59">
      <formula>$B57&lt;&gt;$B58</formula>
    </cfRule>
  </conditionalFormatting>
  <conditionalFormatting sqref="I57">
    <cfRule type="expression" dxfId="294" priority="58">
      <formula>$B57&lt;&gt;$B58</formula>
    </cfRule>
  </conditionalFormatting>
  <conditionalFormatting sqref="A552 A554:A564">
    <cfRule type="expression" dxfId="293" priority="54">
      <formula>$B552&lt;&gt;#REF!</formula>
    </cfRule>
  </conditionalFormatting>
  <conditionalFormatting sqref="F554">
    <cfRule type="expression" dxfId="292" priority="48">
      <formula>$B554&lt;&gt;$B556</formula>
    </cfRule>
  </conditionalFormatting>
  <conditionalFormatting sqref="F552">
    <cfRule type="expression" dxfId="291" priority="46">
      <formula>$B552&lt;&gt;#REF!</formula>
    </cfRule>
  </conditionalFormatting>
  <conditionalFormatting sqref="F554:F555">
    <cfRule type="expression" dxfId="290" priority="44">
      <formula>$B554&lt;&gt;#REF!</formula>
    </cfRule>
  </conditionalFormatting>
  <conditionalFormatting sqref="F556 F561">
    <cfRule type="expression" dxfId="289" priority="43">
      <formula>$B556&lt;&gt;#REF!</formula>
    </cfRule>
  </conditionalFormatting>
  <conditionalFormatting sqref="F557 F562">
    <cfRule type="expression" dxfId="288" priority="41">
      <formula>$B557&lt;&gt;#REF!</formula>
    </cfRule>
  </conditionalFormatting>
  <conditionalFormatting sqref="F560 F565">
    <cfRule type="expression" dxfId="287" priority="40">
      <formula>$B560&lt;&gt;$B562</formula>
    </cfRule>
  </conditionalFormatting>
  <conditionalFormatting sqref="F560 F565">
    <cfRule type="expression" dxfId="286" priority="39">
      <formula>$B560&lt;&gt;#REF!</formula>
    </cfRule>
  </conditionalFormatting>
  <conditionalFormatting sqref="F568">
    <cfRule type="expression" dxfId="285" priority="38">
      <formula>$B568&lt;&gt;$B571</formula>
    </cfRule>
  </conditionalFormatting>
  <conditionalFormatting sqref="F558 F563 F568">
    <cfRule type="expression" dxfId="284" priority="37">
      <formula>$B558&lt;&gt;#REF!</formula>
    </cfRule>
  </conditionalFormatting>
  <conditionalFormatting sqref="F564">
    <cfRule type="expression" dxfId="283" priority="23">
      <formula>$B564&lt;&gt;#REF!</formula>
    </cfRule>
  </conditionalFormatting>
  <conditionalFormatting sqref="A568">
    <cfRule type="expression" dxfId="282" priority="12">
      <formula>$B568&lt;&gt;$B571</formula>
    </cfRule>
  </conditionalFormatting>
  <conditionalFormatting sqref="A568 A565">
    <cfRule type="expression" dxfId="281" priority="11">
      <formula>$B565&lt;&gt;#REF!</formula>
    </cfRule>
  </conditionalFormatting>
  <conditionalFormatting sqref="G551">
    <cfRule type="expression" dxfId="280" priority="1879">
      <formula>$B551&lt;&gt;#REF!</formula>
    </cfRule>
  </conditionalFormatting>
  <conditionalFormatting sqref="I568">
    <cfRule type="expression" dxfId="279" priority="10">
      <formula>$B356&lt;&gt;$B357</formula>
    </cfRule>
  </conditionalFormatting>
  <conditionalFormatting sqref="G567">
    <cfRule type="expression" dxfId="278" priority="8">
      <formula>$B567&lt;&gt;$B568</formula>
    </cfRule>
  </conditionalFormatting>
  <conditionalFormatting sqref="G567:G568">
    <cfRule type="expression" dxfId="277" priority="7">
      <formula>$B567&lt;&gt;#REF!</formula>
    </cfRule>
  </conditionalFormatting>
  <conditionalFormatting sqref="G568">
    <cfRule type="expression" dxfId="276" priority="9">
      <formula>$B568&lt;&gt;#REF!</formula>
    </cfRule>
  </conditionalFormatting>
  <conditionalFormatting sqref="A553">
    <cfRule type="expression" dxfId="275" priority="6">
      <formula>$B553&lt;&gt;$B557</formula>
    </cfRule>
  </conditionalFormatting>
  <conditionalFormatting sqref="A553">
    <cfRule type="expression" dxfId="274" priority="5">
      <formula>$B553&lt;&gt;#REF!</formula>
    </cfRule>
  </conditionalFormatting>
  <conditionalFormatting sqref="E553:F553">
    <cfRule type="expression" dxfId="273" priority="4">
      <formula>$B553&lt;&gt;$B558</formula>
    </cfRule>
  </conditionalFormatting>
  <conditionalFormatting sqref="E553:F553">
    <cfRule type="expression" dxfId="272" priority="3">
      <formula>$B553&lt;&gt;#REF!</formula>
    </cfRule>
  </conditionalFormatting>
  <conditionalFormatting sqref="G553">
    <cfRule type="expression" dxfId="271" priority="2">
      <formula>$B553&lt;&gt;$B556</formula>
    </cfRule>
  </conditionalFormatting>
  <conditionalFormatting sqref="G553">
    <cfRule type="expression" dxfId="270" priority="1">
      <formula>$B553&lt;&gt;#REF!</formula>
    </cfRule>
  </conditionalFormatting>
  <conditionalFormatting sqref="F561">
    <cfRule type="expression" dxfId="0" priority="1881">
      <formula>$B561&lt;&gt;#REF!</formula>
    </cfRule>
  </conditionalFormatting>
  <pageMargins left="0.7" right="0.7" top="0.75" bottom="0.75" header="0.51181102362204689" footer="0.51181102362204689"/>
  <pageSetup paperSize="9" orientation="portrait" horizontalDpi="300" verticalDpi="30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E76"/>
  <sheetViews>
    <sheetView zoomScale="80" workbookViewId="0">
      <pane ySplit="2" topLeftCell="A54" activePane="bottomLeft" state="frozen"/>
      <selection activeCell="A76" sqref="A76"/>
      <selection pane="bottomLeft" activeCell="B78" sqref="B78"/>
    </sheetView>
  </sheetViews>
  <sheetFormatPr defaultColWidth="9.33203125" defaultRowHeight="13.2" x14ac:dyDescent="0.25"/>
  <cols>
    <col min="1" max="1" width="30.5546875" style="1" customWidth="1"/>
    <col min="2" max="2" width="69.44140625" style="1" customWidth="1"/>
    <col min="3" max="3" width="17" style="1" customWidth="1"/>
    <col min="4" max="4" width="48.33203125" style="1" customWidth="1"/>
    <col min="5" max="5" width="27.5546875" style="1" customWidth="1"/>
    <col min="6" max="16384" width="9.33203125" style="1"/>
  </cols>
  <sheetData>
    <row r="1" spans="1:5" ht="15" customHeight="1" x14ac:dyDescent="0.25">
      <c r="D1" s="140">
        <f>COLUMN()</f>
        <v>4</v>
      </c>
      <c r="E1" s="140">
        <f>COLUMN()</f>
        <v>5</v>
      </c>
    </row>
    <row r="2" spans="1:5" ht="15" customHeight="1" x14ac:dyDescent="0.25">
      <c r="A2" s="142" t="s">
        <v>1366</v>
      </c>
      <c r="B2" s="142" t="s">
        <v>1367</v>
      </c>
      <c r="C2" s="142" t="s">
        <v>1368</v>
      </c>
      <c r="D2" s="142" t="s">
        <v>1369</v>
      </c>
      <c r="E2" s="142" t="s">
        <v>1370</v>
      </c>
    </row>
    <row r="3" spans="1:5" ht="15" customHeight="1" x14ac:dyDescent="0.25">
      <c r="A3" s="10" t="s">
        <v>104</v>
      </c>
      <c r="B3" s="10" t="s">
        <v>1371</v>
      </c>
      <c r="C3" s="10"/>
      <c r="D3" s="10"/>
      <c r="E3" s="10" t="s">
        <v>1372</v>
      </c>
    </row>
    <row r="4" spans="1:5" ht="15" customHeight="1" x14ac:dyDescent="0.25">
      <c r="A4" s="10" t="s">
        <v>36</v>
      </c>
      <c r="B4" s="10" t="s">
        <v>1373</v>
      </c>
      <c r="C4" s="10"/>
      <c r="D4" s="10"/>
      <c r="E4" s="10" t="s">
        <v>1374</v>
      </c>
    </row>
    <row r="5" spans="1:5" ht="15" customHeight="1" x14ac:dyDescent="0.25">
      <c r="A5" s="10" t="s">
        <v>35</v>
      </c>
      <c r="B5" s="10" t="s">
        <v>1375</v>
      </c>
      <c r="C5" s="10"/>
      <c r="D5" s="10"/>
      <c r="E5" s="10" t="s">
        <v>1376</v>
      </c>
    </row>
    <row r="6" spans="1:5" ht="15" customHeight="1" x14ac:dyDescent="0.25">
      <c r="A6" s="10" t="s">
        <v>212</v>
      </c>
      <c r="B6" s="10" t="s">
        <v>1377</v>
      </c>
      <c r="C6" s="10"/>
      <c r="D6" s="10"/>
      <c r="E6" s="10" t="s">
        <v>1378</v>
      </c>
    </row>
    <row r="7" spans="1:5" ht="15" customHeight="1" x14ac:dyDescent="0.25">
      <c r="A7" s="10" t="s">
        <v>37</v>
      </c>
      <c r="B7" s="10" t="s">
        <v>1379</v>
      </c>
      <c r="C7" s="10"/>
      <c r="D7" s="10"/>
      <c r="E7" s="10" t="s">
        <v>1380</v>
      </c>
    </row>
    <row r="8" spans="1:5" ht="15" customHeight="1" x14ac:dyDescent="0.25">
      <c r="A8" s="10" t="s">
        <v>199</v>
      </c>
      <c r="B8" s="10" t="s">
        <v>1381</v>
      </c>
      <c r="C8" s="10"/>
      <c r="D8" s="10"/>
      <c r="E8" s="10" t="s">
        <v>1382</v>
      </c>
    </row>
    <row r="9" spans="1:5" ht="15" customHeight="1" x14ac:dyDescent="0.25">
      <c r="A9" s="10" t="s">
        <v>162</v>
      </c>
      <c r="B9" s="10" t="s">
        <v>1383</v>
      </c>
      <c r="C9" s="10"/>
      <c r="D9" s="10"/>
      <c r="E9" s="10" t="s">
        <v>1384</v>
      </c>
    </row>
    <row r="10" spans="1:5" ht="15" customHeight="1" x14ac:dyDescent="0.25">
      <c r="A10" s="10" t="s">
        <v>1385</v>
      </c>
      <c r="B10" s="10" t="s">
        <v>1386</v>
      </c>
      <c r="C10" s="10"/>
      <c r="D10" s="10"/>
      <c r="E10" s="10" t="s">
        <v>1387</v>
      </c>
    </row>
    <row r="11" spans="1:5" ht="15" customHeight="1" x14ac:dyDescent="0.25">
      <c r="A11" s="10" t="s">
        <v>38</v>
      </c>
      <c r="B11" s="10" t="s">
        <v>1388</v>
      </c>
      <c r="C11" s="10"/>
      <c r="D11" s="10"/>
      <c r="E11" s="10" t="s">
        <v>1389</v>
      </c>
    </row>
    <row r="12" spans="1:5" ht="15" customHeight="1" x14ac:dyDescent="0.25">
      <c r="A12" s="10" t="s">
        <v>39</v>
      </c>
      <c r="B12" s="10" t="s">
        <v>1390</v>
      </c>
      <c r="C12" s="10"/>
      <c r="D12" s="10"/>
      <c r="E12" s="10" t="s">
        <v>1391</v>
      </c>
    </row>
    <row r="13" spans="1:5" ht="15" customHeight="1" x14ac:dyDescent="0.25">
      <c r="A13" s="10" t="s">
        <v>59</v>
      </c>
      <c r="B13" s="10" t="s">
        <v>1392</v>
      </c>
      <c r="C13" s="10"/>
      <c r="D13" s="10"/>
      <c r="E13" s="10" t="s">
        <v>1393</v>
      </c>
    </row>
    <row r="14" spans="1:5" ht="15" customHeight="1" x14ac:dyDescent="0.25">
      <c r="A14" s="10" t="s">
        <v>1394</v>
      </c>
      <c r="B14" s="10" t="s">
        <v>1395</v>
      </c>
      <c r="C14" s="10"/>
      <c r="D14" s="10"/>
      <c r="E14" s="10" t="s">
        <v>1396</v>
      </c>
    </row>
    <row r="15" spans="1:5" ht="15" customHeight="1" x14ac:dyDescent="0.25">
      <c r="A15" s="10" t="s">
        <v>32</v>
      </c>
      <c r="B15" s="10" t="s">
        <v>1397</v>
      </c>
      <c r="C15" s="10"/>
      <c r="D15" s="10"/>
      <c r="E15" s="10" t="s">
        <v>1398</v>
      </c>
    </row>
    <row r="16" spans="1:5" ht="15" customHeight="1" x14ac:dyDescent="0.25">
      <c r="A16" s="10" t="s">
        <v>33</v>
      </c>
      <c r="B16" s="10" t="s">
        <v>1399</v>
      </c>
      <c r="C16" s="10"/>
      <c r="D16" s="10"/>
      <c r="E16" s="10" t="s">
        <v>1400</v>
      </c>
    </row>
    <row r="17" spans="1:5" ht="15" customHeight="1" x14ac:dyDescent="0.25">
      <c r="A17" s="10" t="s">
        <v>34</v>
      </c>
      <c r="B17" s="10" t="s">
        <v>1399</v>
      </c>
      <c r="C17" s="10"/>
      <c r="D17" s="10"/>
      <c r="E17" s="10" t="s">
        <v>1401</v>
      </c>
    </row>
    <row r="18" spans="1:5" ht="15" customHeight="1" x14ac:dyDescent="0.25">
      <c r="A18" s="10" t="s">
        <v>48</v>
      </c>
      <c r="B18" s="10" t="s">
        <v>470</v>
      </c>
      <c r="C18" s="10"/>
      <c r="D18" s="10"/>
      <c r="E18" s="10" t="s">
        <v>1402</v>
      </c>
    </row>
    <row r="19" spans="1:5" ht="15" customHeight="1" x14ac:dyDescent="0.25">
      <c r="A19" s="10" t="s">
        <v>49</v>
      </c>
      <c r="B19" s="10" t="s">
        <v>1403</v>
      </c>
      <c r="C19" s="10"/>
      <c r="D19" s="10"/>
      <c r="E19" s="10" t="s">
        <v>1404</v>
      </c>
    </row>
    <row r="20" spans="1:5" ht="15" customHeight="1" x14ac:dyDescent="0.25">
      <c r="A20" s="10" t="s">
        <v>50</v>
      </c>
      <c r="B20" s="10" t="s">
        <v>1405</v>
      </c>
      <c r="C20" s="10"/>
      <c r="D20" s="10"/>
      <c r="E20" s="10" t="s">
        <v>1406</v>
      </c>
    </row>
    <row r="21" spans="1:5" ht="15" customHeight="1" x14ac:dyDescent="0.25">
      <c r="A21" s="10" t="s">
        <v>51</v>
      </c>
      <c r="B21" s="10" t="s">
        <v>478</v>
      </c>
      <c r="C21" s="10"/>
      <c r="D21" s="10"/>
      <c r="E21" s="10" t="s">
        <v>1407</v>
      </c>
    </row>
    <row r="22" spans="1:5" ht="15" customHeight="1" x14ac:dyDescent="0.25">
      <c r="A22" s="10" t="s">
        <v>54</v>
      </c>
      <c r="B22" s="10" t="s">
        <v>1408</v>
      </c>
      <c r="C22" s="10"/>
      <c r="D22" s="10"/>
      <c r="E22" s="10" t="s">
        <v>1409</v>
      </c>
    </row>
    <row r="23" spans="1:5" ht="15" customHeight="1" x14ac:dyDescent="0.25">
      <c r="A23" s="10" t="s">
        <v>52</v>
      </c>
      <c r="B23" s="10" t="s">
        <v>1410</v>
      </c>
      <c r="C23" s="10"/>
      <c r="D23" s="10"/>
      <c r="E23" s="10" t="s">
        <v>1411</v>
      </c>
    </row>
    <row r="24" spans="1:5" ht="15" customHeight="1" x14ac:dyDescent="0.25">
      <c r="A24" s="10" t="s">
        <v>60</v>
      </c>
      <c r="B24" s="10" t="s">
        <v>1412</v>
      </c>
      <c r="C24" s="10"/>
      <c r="D24" s="10"/>
      <c r="E24" s="10" t="s">
        <v>1413</v>
      </c>
    </row>
    <row r="25" spans="1:5" ht="15" customHeight="1" x14ac:dyDescent="0.25">
      <c r="A25" s="10" t="s">
        <v>61</v>
      </c>
      <c r="B25" s="10" t="s">
        <v>1414</v>
      </c>
      <c r="C25" s="10"/>
      <c r="D25" s="10"/>
      <c r="E25" s="10" t="s">
        <v>1415</v>
      </c>
    </row>
    <row r="26" spans="1:5" ht="15" customHeight="1" x14ac:dyDescent="0.25">
      <c r="A26" s="6" t="s">
        <v>83</v>
      </c>
      <c r="B26" s="6" t="s">
        <v>1416</v>
      </c>
      <c r="C26" s="10"/>
      <c r="D26" s="10"/>
      <c r="E26" s="10" t="str">
        <f>SUBSTITUTE(target_tables[[#This Row],[Table Name]],"t_","",1)</f>
        <v>agr_accred</v>
      </c>
    </row>
    <row r="27" spans="1:5" ht="15" customHeight="1" x14ac:dyDescent="0.25">
      <c r="A27" s="6" t="s">
        <v>85</v>
      </c>
      <c r="B27" s="6" t="s">
        <v>1417</v>
      </c>
      <c r="C27" s="10"/>
      <c r="D27" s="10"/>
      <c r="E27" s="10" t="str">
        <f>SUBSTITUTE(target_tables[[#This Row],[Table Name]],"t_","",1)</f>
        <v>agr_accred_fin</v>
      </c>
    </row>
    <row r="28" spans="1:5" ht="15" customHeight="1" x14ac:dyDescent="0.25">
      <c r="A28" s="6" t="s">
        <v>86</v>
      </c>
      <c r="B28" s="6" t="s">
        <v>1418</v>
      </c>
      <c r="C28" s="10"/>
      <c r="D28" s="10"/>
      <c r="E28" s="10" t="str">
        <f>SUBSTITUTE(target_tables[[#This Row],[Table Name]],"t_","",1)</f>
        <v>accred_cover_type</v>
      </c>
    </row>
    <row r="29" spans="1:5" ht="15" customHeight="1" x14ac:dyDescent="0.25">
      <c r="A29" s="6" t="s">
        <v>87</v>
      </c>
      <c r="B29" s="6" t="s">
        <v>1419</v>
      </c>
      <c r="C29" s="10"/>
      <c r="D29" s="10"/>
      <c r="E29" s="10" t="str">
        <f>SUBSTITUTE(target_tables[[#This Row],[Table Name]],"t_","",1)</f>
        <v>time_period_type</v>
      </c>
    </row>
    <row r="30" spans="1:5" ht="15" customHeight="1" x14ac:dyDescent="0.25">
      <c r="A30" s="6" t="s">
        <v>88</v>
      </c>
      <c r="B30" s="6" t="s">
        <v>1420</v>
      </c>
      <c r="C30" s="10"/>
      <c r="D30" s="10"/>
      <c r="E30" s="10" t="str">
        <f>SUBSTITUTE(target_tables[[#This Row],[Table Name]],"t_","",1)</f>
        <v>agr_accred_type</v>
      </c>
    </row>
    <row r="31" spans="1:5" ht="15" customHeight="1" x14ac:dyDescent="0.25">
      <c r="A31" s="6" t="s">
        <v>89</v>
      </c>
      <c r="B31" s="6" t="s">
        <v>1018</v>
      </c>
      <c r="C31" s="10"/>
      <c r="D31" s="10"/>
      <c r="E31" s="10" t="str">
        <f>SUBSTITUTE(target_tables[[#This Row],[Table Name]],"t_","",1)</f>
        <v>accred_income_scheme</v>
      </c>
    </row>
    <row r="32" spans="1:5" ht="15" customHeight="1" x14ac:dyDescent="0.25">
      <c r="A32" s="6" t="s">
        <v>90</v>
      </c>
      <c r="B32" s="10" t="s">
        <v>1421</v>
      </c>
      <c r="C32" s="10"/>
      <c r="D32" s="10"/>
      <c r="E32" s="10" t="str">
        <f>SUBSTITUTE(target_tables[[#This Row],[Table Name]],"t_","",1)</f>
        <v>agr_accred_agr_cred</v>
      </c>
    </row>
    <row r="33" spans="1:5" ht="15" customHeight="1" x14ac:dyDescent="0.25">
      <c r="A33" s="6" t="s">
        <v>91</v>
      </c>
      <c r="B33" s="6" t="s">
        <v>1422</v>
      </c>
      <c r="C33" s="10"/>
      <c r="D33" s="10"/>
      <c r="E33" s="10" t="str">
        <f>SUBSTITUTE(target_tables[[#This Row],[Table Name]],"t_","",1)</f>
        <v>agr_accred_bank</v>
      </c>
    </row>
    <row r="34" spans="1:5" ht="15" customHeight="1" x14ac:dyDescent="0.25">
      <c r="A34" s="6" t="s">
        <v>1423</v>
      </c>
      <c r="B34" s="6" t="s">
        <v>1424</v>
      </c>
      <c r="C34" s="10"/>
      <c r="D34" s="10"/>
      <c r="E34" s="10" t="str">
        <f>SUBSTITUTE(target_tables[[#This Row],[Table Name]],"t_","",1)</f>
        <v>agr_accred_bank_type</v>
      </c>
    </row>
    <row r="35" spans="1:5" x14ac:dyDescent="0.25">
      <c r="A35" s="6" t="s">
        <v>92</v>
      </c>
      <c r="B35" s="6" t="s">
        <v>1425</v>
      </c>
      <c r="C35" s="10"/>
      <c r="D35" s="10"/>
      <c r="E35" s="10" t="str">
        <f>SUBSTITUTE(target_tables[[#This Row],[Table Name]],"t_","",1)</f>
        <v>agr_accred_contract</v>
      </c>
    </row>
    <row r="36" spans="1:5" x14ac:dyDescent="0.25">
      <c r="A36" s="6" t="s">
        <v>93</v>
      </c>
      <c r="B36" s="6" t="s">
        <v>1426</v>
      </c>
      <c r="C36" s="10"/>
      <c r="D36" s="10"/>
      <c r="E36" s="10" t="str">
        <f>SUBSTITUTE(target_tables[[#This Row],[Table Name]],"t_","",1)</f>
        <v>agr_accred_cust</v>
      </c>
    </row>
    <row r="37" spans="1:5" x14ac:dyDescent="0.25">
      <c r="A37" s="6" t="s">
        <v>1427</v>
      </c>
      <c r="B37" s="6" t="s">
        <v>1428</v>
      </c>
      <c r="C37" s="10"/>
      <c r="D37" s="10"/>
      <c r="E37" s="10" t="str">
        <f>SUBSTITUTE(target_tables[[#This Row],[Table Name]],"t_","",1)</f>
        <v>agr_accred_cust_type</v>
      </c>
    </row>
    <row r="38" spans="1:5" x14ac:dyDescent="0.25">
      <c r="A38" s="6" t="s">
        <v>94</v>
      </c>
      <c r="B38" s="6" t="s">
        <v>1429</v>
      </c>
      <c r="C38" s="10"/>
      <c r="D38" s="10"/>
      <c r="E38" s="10" t="str">
        <f>SUBSTITUTE(target_tables[[#This Row],[Table Name]],"t_","",1)</f>
        <v>agr_accred_int_org</v>
      </c>
    </row>
    <row r="39" spans="1:5" x14ac:dyDescent="0.25">
      <c r="A39" s="6" t="s">
        <v>1430</v>
      </c>
      <c r="B39" s="6" t="s">
        <v>1431</v>
      </c>
      <c r="C39" s="10"/>
      <c r="D39" s="10"/>
      <c r="E39" s="10" t="str">
        <f>SUBSTITUTE(target_tables[[#This Row],[Table Name]],"t_","",1)</f>
        <v>agr_accred_int_org_type</v>
      </c>
    </row>
    <row r="40" spans="1:5" x14ac:dyDescent="0.25">
      <c r="A40" s="6" t="s">
        <v>95</v>
      </c>
      <c r="B40" s="6" t="s">
        <v>1432</v>
      </c>
      <c r="C40" s="10"/>
      <c r="D40" s="10"/>
      <c r="E40" s="10" t="str">
        <f>SUBSTITUTE(target_tables[[#This Row],[Table Name]],"t_","",1)</f>
        <v>bank</v>
      </c>
    </row>
    <row r="41" spans="1:5" x14ac:dyDescent="0.25">
      <c r="A41" s="6" t="s">
        <v>96</v>
      </c>
      <c r="B41" s="6" t="s">
        <v>1245</v>
      </c>
      <c r="C41" s="10"/>
      <c r="D41" s="10"/>
      <c r="E41" s="10" t="str">
        <f>SUBSTITUTE(target_tables[[#This Row],[Table Name]],"t_","",1)</f>
        <v>coa</v>
      </c>
    </row>
    <row r="42" spans="1:5" x14ac:dyDescent="0.25">
      <c r="A42" s="6" t="s">
        <v>97</v>
      </c>
      <c r="B42" s="6" t="s">
        <v>1433</v>
      </c>
      <c r="C42" s="10"/>
      <c r="D42" s="10"/>
      <c r="E42" s="10" t="str">
        <f>SUBSTITUTE(target_tables[[#This Row],[Table Name]],"t_","",1)</f>
        <v>contract</v>
      </c>
    </row>
    <row r="43" spans="1:5" x14ac:dyDescent="0.25">
      <c r="A43" s="6" t="s">
        <v>98</v>
      </c>
      <c r="B43" s="6" t="s">
        <v>1434</v>
      </c>
      <c r="C43" s="10"/>
      <c r="D43" s="10"/>
      <c r="E43" s="10" t="str">
        <f>SUBSTITUTE(target_tables[[#This Row],[Table Name]],"t_","",1)</f>
        <v>cust_coa</v>
      </c>
    </row>
    <row r="44" spans="1:5" x14ac:dyDescent="0.25">
      <c r="A44" s="6" t="s">
        <v>1435</v>
      </c>
      <c r="B44" s="6" t="s">
        <v>1436</v>
      </c>
      <c r="C44" s="6"/>
      <c r="D44" s="6"/>
      <c r="E44" s="6" t="str">
        <f>SUBSTITUTE(target_tables[[#This Row],[Table Name]],"t_","",1)</f>
        <v>cust_coa_type</v>
      </c>
    </row>
    <row r="45" spans="1:5" x14ac:dyDescent="0.25">
      <c r="A45" s="6" t="s">
        <v>99</v>
      </c>
      <c r="B45" s="6" t="s">
        <v>1437</v>
      </c>
      <c r="C45" s="6"/>
      <c r="D45" s="6"/>
      <c r="E45" s="6" t="str">
        <f>SUBSTITUTE(target_tables[[#This Row],[Table Name]],"t_","",1)</f>
        <v>cust_ind_idfn</v>
      </c>
    </row>
    <row r="46" spans="1:5" x14ac:dyDescent="0.25">
      <c r="A46" s="6" t="s">
        <v>100</v>
      </c>
      <c r="B46" s="6" t="s">
        <v>1438</v>
      </c>
      <c r="C46" s="6"/>
      <c r="D46" s="6"/>
      <c r="E46" s="6" t="str">
        <f>SUBSTITUTE(target_tables[[#This Row],[Table Name]],"t_","",1)</f>
        <v>registry$gls_clsfctn</v>
      </c>
    </row>
    <row r="47" spans="1:5" x14ac:dyDescent="0.25">
      <c r="A47" s="6" t="s">
        <v>136</v>
      </c>
      <c r="B47" s="6" t="s">
        <v>1439</v>
      </c>
      <c r="C47" s="6"/>
      <c r="D47" s="6"/>
      <c r="E47" s="6" t="s">
        <v>1440</v>
      </c>
    </row>
    <row r="48" spans="1:5" x14ac:dyDescent="0.25">
      <c r="A48" s="6" t="s">
        <v>138</v>
      </c>
      <c r="B48" s="6" t="s">
        <v>1441</v>
      </c>
      <c r="C48" s="6"/>
      <c r="D48" s="6"/>
      <c r="E48" s="6" t="s">
        <v>1442</v>
      </c>
    </row>
    <row r="49" spans="1:5" x14ac:dyDescent="0.25">
      <c r="A49" s="6" t="s">
        <v>139</v>
      </c>
      <c r="B49" s="6" t="s">
        <v>1392</v>
      </c>
      <c r="C49" s="6"/>
      <c r="D49" s="6"/>
      <c r="E49" s="6" t="s">
        <v>1443</v>
      </c>
    </row>
    <row r="50" spans="1:5" x14ac:dyDescent="0.25">
      <c r="A50" s="6" t="s">
        <v>144</v>
      </c>
      <c r="B50" s="6" t="s">
        <v>1444</v>
      </c>
      <c r="C50" s="6"/>
      <c r="D50" s="6"/>
      <c r="E50" s="6" t="s">
        <v>1445</v>
      </c>
    </row>
    <row r="51" spans="1:5" x14ac:dyDescent="0.25">
      <c r="A51" s="6" t="s">
        <v>147</v>
      </c>
      <c r="B51" s="6" t="s">
        <v>1446</v>
      </c>
      <c r="C51" s="6"/>
      <c r="D51" s="6"/>
      <c r="E51" s="6" t="s">
        <v>1447</v>
      </c>
    </row>
    <row r="52" spans="1:5" x14ac:dyDescent="0.25">
      <c r="A52" s="6" t="s">
        <v>146</v>
      </c>
      <c r="B52" s="6" t="s">
        <v>1448</v>
      </c>
      <c r="C52" s="6"/>
      <c r="D52" s="6"/>
      <c r="E52" s="6" t="s">
        <v>1449</v>
      </c>
    </row>
    <row r="53" spans="1:5" x14ac:dyDescent="0.25">
      <c r="A53" s="6" t="s">
        <v>143</v>
      </c>
      <c r="B53" s="6" t="s">
        <v>1450</v>
      </c>
      <c r="C53" s="6"/>
      <c r="D53" s="6"/>
      <c r="E53" s="6" t="s">
        <v>1451</v>
      </c>
    </row>
    <row r="54" spans="1:5" x14ac:dyDescent="0.25">
      <c r="A54" s="6" t="s">
        <v>145</v>
      </c>
      <c r="B54" s="6" t="s">
        <v>1452</v>
      </c>
      <c r="C54" s="6"/>
      <c r="D54" s="6"/>
      <c r="E54" s="6" t="s">
        <v>1453</v>
      </c>
    </row>
    <row r="55" spans="1:5" x14ac:dyDescent="0.25">
      <c r="A55" s="6" t="s">
        <v>141</v>
      </c>
      <c r="B55" s="6" t="s">
        <v>1454</v>
      </c>
      <c r="C55" s="6"/>
      <c r="D55" s="6"/>
      <c r="E55" s="6" t="s">
        <v>1455</v>
      </c>
    </row>
    <row r="56" spans="1:5" x14ac:dyDescent="0.25">
      <c r="A56" s="6" t="s">
        <v>142</v>
      </c>
      <c r="B56" s="6" t="s">
        <v>1456</v>
      </c>
      <c r="C56" s="6"/>
      <c r="D56" s="6"/>
      <c r="E56" s="6" t="s">
        <v>1457</v>
      </c>
    </row>
    <row r="57" spans="1:5" x14ac:dyDescent="0.25">
      <c r="A57" s="8" t="s">
        <v>174</v>
      </c>
      <c r="B57" s="8" t="s">
        <v>1458</v>
      </c>
      <c r="C57" s="8"/>
      <c r="D57" s="8"/>
      <c r="E57" s="8" t="s">
        <v>1459</v>
      </c>
    </row>
    <row r="58" spans="1:5" x14ac:dyDescent="0.25">
      <c r="A58" s="6" t="s">
        <v>187</v>
      </c>
      <c r="B58" s="6" t="s">
        <v>1095</v>
      </c>
      <c r="C58" s="6"/>
      <c r="D58" s="6"/>
      <c r="E58" s="6" t="s">
        <v>1460</v>
      </c>
    </row>
    <row r="59" spans="1:5" x14ac:dyDescent="0.25">
      <c r="A59" s="6" t="s">
        <v>188</v>
      </c>
      <c r="B59" s="6" t="s">
        <v>1461</v>
      </c>
      <c r="C59" s="6"/>
      <c r="D59" s="6"/>
      <c r="E59" s="6" t="s">
        <v>1462</v>
      </c>
    </row>
    <row r="60" spans="1:5" x14ac:dyDescent="0.25">
      <c r="A60" s="143" t="s">
        <v>189</v>
      </c>
      <c r="B60" s="8" t="s">
        <v>1463</v>
      </c>
      <c r="C60" s="8"/>
      <c r="D60" s="8"/>
      <c r="E60" s="143" t="s">
        <v>1464</v>
      </c>
    </row>
    <row r="61" spans="1:5" x14ac:dyDescent="0.25">
      <c r="A61" s="144" t="s">
        <v>190</v>
      </c>
      <c r="B61" s="144" t="s">
        <v>1441</v>
      </c>
      <c r="C61" s="144"/>
      <c r="D61" s="144"/>
      <c r="E61" s="144" t="s">
        <v>1465</v>
      </c>
    </row>
    <row r="62" spans="1:5" x14ac:dyDescent="0.25">
      <c r="A62" s="144" t="s">
        <v>191</v>
      </c>
      <c r="B62" s="144" t="s">
        <v>1450</v>
      </c>
      <c r="C62" s="144"/>
      <c r="D62" s="144"/>
      <c r="E62" s="144" t="s">
        <v>1466</v>
      </c>
    </row>
    <row r="63" spans="1:5" x14ac:dyDescent="0.25">
      <c r="A63" s="144" t="s">
        <v>192</v>
      </c>
      <c r="B63" s="144" t="s">
        <v>1444</v>
      </c>
      <c r="C63" s="144"/>
      <c r="D63" s="144"/>
      <c r="E63" s="144" t="s">
        <v>1467</v>
      </c>
    </row>
    <row r="64" spans="1:5" x14ac:dyDescent="0.25">
      <c r="A64" s="144" t="s">
        <v>193</v>
      </c>
      <c r="B64" s="144" t="s">
        <v>1286</v>
      </c>
      <c r="C64" s="144"/>
      <c r="D64" s="144"/>
      <c r="E64" s="144" t="s">
        <v>1468</v>
      </c>
    </row>
    <row r="65" spans="1:5" x14ac:dyDescent="0.25">
      <c r="A65" s="8" t="s">
        <v>201</v>
      </c>
      <c r="B65" s="8" t="s">
        <v>1469</v>
      </c>
      <c r="C65" s="8"/>
      <c r="D65" s="8"/>
      <c r="E65" s="8" t="s">
        <v>1470</v>
      </c>
    </row>
    <row r="66" spans="1:5" x14ac:dyDescent="0.25">
      <c r="A66" s="8" t="s">
        <v>202</v>
      </c>
      <c r="B66" s="8" t="s">
        <v>1351</v>
      </c>
      <c r="C66" s="8"/>
      <c r="D66" s="8"/>
      <c r="E66" s="8" t="s">
        <v>1471</v>
      </c>
    </row>
    <row r="67" spans="1:5" x14ac:dyDescent="0.25">
      <c r="A67" s="8" t="s">
        <v>203</v>
      </c>
      <c r="B67" s="8" t="s">
        <v>1472</v>
      </c>
      <c r="C67" s="8"/>
      <c r="D67" s="8"/>
      <c r="E67" s="8" t="s">
        <v>1473</v>
      </c>
    </row>
    <row r="68" spans="1:5" x14ac:dyDescent="0.25">
      <c r="A68" s="8" t="s">
        <v>204</v>
      </c>
      <c r="B68" s="8" t="s">
        <v>1474</v>
      </c>
      <c r="C68" s="8"/>
      <c r="D68" s="8"/>
      <c r="E68" s="8" t="s">
        <v>1475</v>
      </c>
    </row>
    <row r="69" spans="1:5" x14ac:dyDescent="0.25">
      <c r="A69" s="144" t="s">
        <v>205</v>
      </c>
      <c r="B69" s="144" t="s">
        <v>1476</v>
      </c>
      <c r="C69" s="144"/>
      <c r="D69" s="144"/>
      <c r="E69" s="144" t="s">
        <v>1477</v>
      </c>
    </row>
    <row r="70" spans="1:5" x14ac:dyDescent="0.25">
      <c r="A70" s="8" t="s">
        <v>206</v>
      </c>
      <c r="B70" s="8" t="s">
        <v>1478</v>
      </c>
      <c r="C70" s="8"/>
      <c r="D70" s="8"/>
      <c r="E70" s="8" t="s">
        <v>1479</v>
      </c>
    </row>
    <row r="71" spans="1:5" x14ac:dyDescent="0.25">
      <c r="A71" s="8" t="s">
        <v>222</v>
      </c>
      <c r="B71" s="6" t="s">
        <v>1480</v>
      </c>
      <c r="C71" s="8"/>
      <c r="D71" s="8"/>
      <c r="E71" s="8" t="s">
        <v>1481</v>
      </c>
    </row>
    <row r="72" spans="1:5" x14ac:dyDescent="0.25">
      <c r="A72" s="8" t="s">
        <v>221</v>
      </c>
      <c r="B72" s="6" t="s">
        <v>1482</v>
      </c>
      <c r="C72" s="8"/>
      <c r="D72" s="8"/>
      <c r="E72" s="8" t="s">
        <v>1483</v>
      </c>
    </row>
    <row r="73" spans="1:5" x14ac:dyDescent="0.25">
      <c r="A73" s="8" t="s">
        <v>229</v>
      </c>
      <c r="B73" s="8" t="s">
        <v>1484</v>
      </c>
      <c r="C73" s="8"/>
      <c r="D73" s="8"/>
      <c r="E73" s="8" t="s">
        <v>1485</v>
      </c>
    </row>
    <row r="74" spans="1:5" x14ac:dyDescent="0.25">
      <c r="A74" s="8" t="s">
        <v>230</v>
      </c>
      <c r="B74" s="8" t="s">
        <v>1486</v>
      </c>
      <c r="C74" s="8"/>
      <c r="D74" s="8"/>
      <c r="E74" s="8" t="s">
        <v>1487</v>
      </c>
    </row>
    <row r="75" spans="1:5" x14ac:dyDescent="0.25">
      <c r="A75" s="233" t="s">
        <v>2161</v>
      </c>
      <c r="B75" s="233" t="s">
        <v>2162</v>
      </c>
      <c r="C75" s="233"/>
      <c r="D75" s="233"/>
      <c r="E75" s="233" t="s">
        <v>2165</v>
      </c>
    </row>
    <row r="76" spans="1:5" x14ac:dyDescent="0.25">
      <c r="A76" s="233" t="s">
        <v>2163</v>
      </c>
      <c r="B76" s="233" t="s">
        <v>2164</v>
      </c>
      <c r="C76" s="233"/>
      <c r="D76" s="233"/>
      <c r="E76" s="233" t="s">
        <v>2166</v>
      </c>
    </row>
  </sheetData>
  <pageMargins left="0.7" right="0.7" top="0.75" bottom="0.75" header="0.51181102362204689" footer="0.51181102362204689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1"/>
  <sheetViews>
    <sheetView zoomScale="80" workbookViewId="0">
      <pane ySplit="2" topLeftCell="A21" activePane="bottomLeft" state="frozen"/>
      <selection activeCell="J354" sqref="J354"/>
      <selection pane="bottomLeft" activeCell="C35" sqref="C35"/>
    </sheetView>
  </sheetViews>
  <sheetFormatPr defaultColWidth="11.5546875" defaultRowHeight="13.2" x14ac:dyDescent="0.3"/>
  <cols>
    <col min="1" max="1" width="34.33203125" style="2" customWidth="1"/>
    <col min="2" max="2" width="23.88671875" style="104" customWidth="1"/>
    <col min="3" max="3" width="31" style="104" customWidth="1"/>
    <col min="4" max="4" width="16.44140625" style="104" customWidth="1"/>
    <col min="5" max="5" width="13.44140625" style="104" customWidth="1"/>
    <col min="6" max="6" width="17.33203125" style="2" customWidth="1"/>
    <col min="7" max="7" width="14.33203125" style="2" customWidth="1"/>
    <col min="8" max="8" width="13.6640625" style="2" customWidth="1"/>
    <col min="9" max="9" width="12.6640625" style="2" customWidth="1"/>
    <col min="10" max="10" width="84.5546875" style="2" customWidth="1"/>
    <col min="11" max="16384" width="11.5546875" style="2"/>
  </cols>
  <sheetData>
    <row r="1" spans="1:10" ht="15" customHeight="1" x14ac:dyDescent="0.3">
      <c r="D1" s="145">
        <f>COLUMN()</f>
        <v>4</v>
      </c>
      <c r="E1" s="145">
        <f>COLUMN()</f>
        <v>5</v>
      </c>
      <c r="F1" s="145">
        <f>COLUMN()</f>
        <v>6</v>
      </c>
      <c r="G1" s="145">
        <f>COLUMN()</f>
        <v>7</v>
      </c>
      <c r="H1" s="145">
        <f>COLUMN()</f>
        <v>8</v>
      </c>
      <c r="I1" s="145">
        <f>COLUMN()</f>
        <v>9</v>
      </c>
      <c r="J1" s="145">
        <f>COLUMN()</f>
        <v>10</v>
      </c>
    </row>
    <row r="2" spans="1:10" ht="30" customHeight="1" x14ac:dyDescent="0.3">
      <c r="A2" s="146" t="s">
        <v>751</v>
      </c>
      <c r="B2" s="146" t="s">
        <v>1488</v>
      </c>
      <c r="C2" s="146" t="s">
        <v>1489</v>
      </c>
      <c r="D2" s="146" t="s">
        <v>1490</v>
      </c>
      <c r="E2" s="146" t="s">
        <v>1491</v>
      </c>
      <c r="F2" s="146" t="s">
        <v>1492</v>
      </c>
      <c r="G2" s="146" t="s">
        <v>1493</v>
      </c>
      <c r="H2" s="146" t="s">
        <v>1494</v>
      </c>
      <c r="I2" s="146" t="s">
        <v>1495</v>
      </c>
      <c r="J2" s="146" t="s">
        <v>1496</v>
      </c>
    </row>
    <row r="3" spans="1:10" ht="15" customHeight="1" x14ac:dyDescent="0.3">
      <c r="A3" s="104" t="str">
        <f>target_columns[[#This Row],[ColumnTableName]]&amp;target_columns[[#This Row],[ColumnName]]</f>
        <v>t_crncycrncy_id</v>
      </c>
      <c r="B3" s="104" t="s">
        <v>104</v>
      </c>
      <c r="C3" s="104" t="s">
        <v>380</v>
      </c>
      <c r="D3" s="104" t="s">
        <v>1497</v>
      </c>
      <c r="E3" s="104" t="s">
        <v>759</v>
      </c>
      <c r="F3" s="104"/>
      <c r="G3" s="104" t="s">
        <v>1498</v>
      </c>
      <c r="H3" s="104" t="s">
        <v>1499</v>
      </c>
      <c r="I3" s="104"/>
      <c r="J3" s="104" t="s">
        <v>1500</v>
      </c>
    </row>
    <row r="4" spans="1:10" ht="15" customHeight="1" x14ac:dyDescent="0.3">
      <c r="A4" s="147" t="str">
        <f>target_columns[[#This Row],[ColumnTableName]]&amp;target_columns[[#This Row],[ColumnName]]</f>
        <v>t_crncyiso_crncy_cd</v>
      </c>
      <c r="B4" s="147" t="s">
        <v>104</v>
      </c>
      <c r="C4" s="147" t="s">
        <v>383</v>
      </c>
      <c r="D4" s="147" t="s">
        <v>1501</v>
      </c>
      <c r="E4" s="147" t="s">
        <v>420</v>
      </c>
      <c r="F4" s="147"/>
      <c r="G4" s="147" t="s">
        <v>1499</v>
      </c>
      <c r="H4" s="147" t="s">
        <v>1499</v>
      </c>
      <c r="I4" s="147"/>
      <c r="J4" s="147" t="s">
        <v>1502</v>
      </c>
    </row>
    <row r="5" spans="1:10" ht="15" customHeight="1" x14ac:dyDescent="0.3">
      <c r="A5" s="104" t="str">
        <f>target_columns[[#This Row],[ColumnTableName]]&amp;target_columns[[#This Row],[ColumnName]]</f>
        <v>t_agr_credagr_cred_id</v>
      </c>
      <c r="B5" s="104" t="s">
        <v>36</v>
      </c>
      <c r="C5" s="104" t="s">
        <v>295</v>
      </c>
      <c r="D5" s="104" t="s">
        <v>1497</v>
      </c>
      <c r="E5" s="104" t="s">
        <v>759</v>
      </c>
      <c r="F5" s="104"/>
      <c r="G5" s="104" t="s">
        <v>1498</v>
      </c>
      <c r="H5" s="104" t="s">
        <v>1499</v>
      </c>
      <c r="I5" s="104"/>
      <c r="J5" s="104" t="s">
        <v>1503</v>
      </c>
    </row>
    <row r="6" spans="1:10" ht="15" customHeight="1" x14ac:dyDescent="0.3">
      <c r="A6" s="104" t="str">
        <f>target_columns[[#This Row],[ColumnTableName]]&amp;target_columns[[#This Row],[ColumnName]]</f>
        <v>t_agr_credsigned_dt</v>
      </c>
      <c r="B6" s="104" t="s">
        <v>36</v>
      </c>
      <c r="C6" s="104" t="s">
        <v>274</v>
      </c>
      <c r="D6" s="104" t="s">
        <v>1504</v>
      </c>
      <c r="E6" s="104" t="s">
        <v>420</v>
      </c>
      <c r="F6" s="104"/>
      <c r="G6" s="104" t="s">
        <v>1499</v>
      </c>
      <c r="H6" s="104" t="s">
        <v>1499</v>
      </c>
      <c r="I6" s="104"/>
      <c r="J6" s="104" t="s">
        <v>1505</v>
      </c>
    </row>
    <row r="7" spans="1:10" ht="15" customHeight="1" x14ac:dyDescent="0.3">
      <c r="A7" s="104" t="str">
        <f>target_columns[[#This Row],[ColumnTableName]]&amp;target_columns[[#This Row],[ColumnName]]</f>
        <v>t_agr_credagr_cred_num</v>
      </c>
      <c r="B7" s="104" t="s">
        <v>36</v>
      </c>
      <c r="C7" s="104" t="s">
        <v>305</v>
      </c>
      <c r="D7" s="104" t="s">
        <v>1501</v>
      </c>
      <c r="E7" s="104" t="s">
        <v>420</v>
      </c>
      <c r="F7" s="104"/>
      <c r="G7" s="104" t="s">
        <v>1499</v>
      </c>
      <c r="H7" s="104" t="s">
        <v>1499</v>
      </c>
      <c r="I7" s="104"/>
      <c r="J7" s="104" t="s">
        <v>763</v>
      </c>
    </row>
    <row r="8" spans="1:10" ht="15" customHeight="1" x14ac:dyDescent="0.3">
      <c r="A8" s="104" t="str">
        <f>target_columns[[#This Row],[ColumnTableName]]&amp;target_columns[[#This Row],[ColumnName]]</f>
        <v>t_agr_credhost_eks_agrmnt_id</v>
      </c>
      <c r="B8" s="104" t="s">
        <v>36</v>
      </c>
      <c r="C8" s="104" t="s">
        <v>308</v>
      </c>
      <c r="D8" s="104" t="s">
        <v>1501</v>
      </c>
      <c r="E8" s="104" t="s">
        <v>420</v>
      </c>
      <c r="F8" s="104"/>
      <c r="G8" s="104" t="s">
        <v>1499</v>
      </c>
      <c r="H8" s="104" t="s">
        <v>1499</v>
      </c>
      <c r="I8" s="104"/>
      <c r="J8" s="104" t="s">
        <v>309</v>
      </c>
    </row>
    <row r="9" spans="1:10" ht="15" customHeight="1" x14ac:dyDescent="0.3">
      <c r="A9" s="147" t="str">
        <f>target_columns[[#This Row],[ColumnTableName]]&amp;target_columns[[#This Row],[ColumnName]]</f>
        <v>t_agr_credhost_agr_cred_id</v>
      </c>
      <c r="B9" s="147" t="s">
        <v>36</v>
      </c>
      <c r="C9" s="147" t="s">
        <v>311</v>
      </c>
      <c r="D9" s="147" t="s">
        <v>1501</v>
      </c>
      <c r="E9" s="147" t="s">
        <v>420</v>
      </c>
      <c r="F9" s="147"/>
      <c r="G9" s="147" t="s">
        <v>1499</v>
      </c>
      <c r="H9" s="147" t="s">
        <v>1499</v>
      </c>
      <c r="I9" s="147"/>
      <c r="J9" s="147" t="s">
        <v>312</v>
      </c>
    </row>
    <row r="10" spans="1:10" ht="15" customHeight="1" x14ac:dyDescent="0.3">
      <c r="A10" s="104" t="str">
        <f>target_columns[[#This Row],[ColumnTableName]]&amp;target_columns[[#This Row],[ColumnName]]</f>
        <v>t_registryregistry_id</v>
      </c>
      <c r="B10" s="104" t="s">
        <v>35</v>
      </c>
      <c r="C10" s="104" t="s">
        <v>315</v>
      </c>
      <c r="D10" s="104" t="s">
        <v>1497</v>
      </c>
      <c r="E10" s="104" t="s">
        <v>759</v>
      </c>
      <c r="F10" s="104"/>
      <c r="G10" s="104" t="s">
        <v>1498</v>
      </c>
      <c r="H10" s="104" t="s">
        <v>1499</v>
      </c>
      <c r="I10" s="104"/>
      <c r="J10" s="104" t="s">
        <v>1506</v>
      </c>
    </row>
    <row r="11" spans="1:10" ht="15" customHeight="1" x14ac:dyDescent="0.3">
      <c r="A11" s="104" t="str">
        <f>target_columns[[#This Row],[ColumnTableName]]&amp;target_columns[[#This Row],[ColumnName]]</f>
        <v>t_registryhost_registry_id</v>
      </c>
      <c r="B11" s="104" t="s">
        <v>35</v>
      </c>
      <c r="C11" s="104" t="s">
        <v>319</v>
      </c>
      <c r="D11" s="104" t="s">
        <v>1501</v>
      </c>
      <c r="E11" s="104" t="s">
        <v>420</v>
      </c>
      <c r="F11" s="104"/>
      <c r="G11" s="104" t="s">
        <v>1499</v>
      </c>
      <c r="H11" s="104" t="s">
        <v>1499</v>
      </c>
      <c r="I11" s="104"/>
      <c r="J11" s="104" t="s">
        <v>1507</v>
      </c>
    </row>
    <row r="12" spans="1:10" ht="15" customHeight="1" x14ac:dyDescent="0.3">
      <c r="A12" s="104" t="str">
        <f>target_columns[[#This Row],[ColumnTableName]]&amp;target_columns[[#This Row],[ColumnName]]</f>
        <v>t_registryregistry_type_id</v>
      </c>
      <c r="B12" s="104" t="s">
        <v>35</v>
      </c>
      <c r="C12" s="104" t="s">
        <v>321</v>
      </c>
      <c r="D12" s="104" t="s">
        <v>1497</v>
      </c>
      <c r="E12" s="104" t="s">
        <v>759</v>
      </c>
      <c r="F12" s="104"/>
      <c r="G12" s="104" t="s">
        <v>1499</v>
      </c>
      <c r="H12" s="104" t="s">
        <v>1498</v>
      </c>
      <c r="I12" s="104"/>
      <c r="J12" s="104" t="s">
        <v>322</v>
      </c>
    </row>
    <row r="13" spans="1:10" ht="15" customHeight="1" x14ac:dyDescent="0.3">
      <c r="A13" s="104" t="str">
        <f>target_columns[[#This Row],[ColumnTableName]]&amp;target_columns[[#This Row],[ColumnName]]</f>
        <v>t_registryagr_escrow_id</v>
      </c>
      <c r="B13" s="104" t="s">
        <v>35</v>
      </c>
      <c r="C13" s="104" t="s">
        <v>267</v>
      </c>
      <c r="D13" s="104" t="s">
        <v>1497</v>
      </c>
      <c r="E13" s="104" t="s">
        <v>420</v>
      </c>
      <c r="F13" s="104"/>
      <c r="G13" s="104" t="s">
        <v>1499</v>
      </c>
      <c r="H13" s="104" t="s">
        <v>1498</v>
      </c>
      <c r="I13" s="104"/>
      <c r="J13" s="104" t="s">
        <v>323</v>
      </c>
    </row>
    <row r="14" spans="1:10" ht="15" customHeight="1" x14ac:dyDescent="0.3">
      <c r="A14" s="104" t="str">
        <f>target_columns[[#This Row],[ColumnTableName]]&amp;target_columns[[#This Row],[ColumnName]]</f>
        <v>t_registryagr_id</v>
      </c>
      <c r="B14" s="104" t="s">
        <v>35</v>
      </c>
      <c r="C14" s="104" t="s">
        <v>324</v>
      </c>
      <c r="D14" s="104" t="s">
        <v>1497</v>
      </c>
      <c r="E14" s="104" t="s">
        <v>420</v>
      </c>
      <c r="F14" s="104"/>
      <c r="G14" s="104" t="s">
        <v>1499</v>
      </c>
      <c r="H14" s="104" t="s">
        <v>1498</v>
      </c>
      <c r="I14" s="104"/>
      <c r="J14" s="104" t="s">
        <v>325</v>
      </c>
    </row>
    <row r="15" spans="1:10" ht="15" customHeight="1" x14ac:dyDescent="0.3">
      <c r="A15" s="104" t="str">
        <f>target_columns[[#This Row],[ColumnTableName]]&amp;target_columns[[#This Row],[ColumnName]]</f>
        <v>t_registrycoa_num</v>
      </c>
      <c r="B15" s="104" t="s">
        <v>35</v>
      </c>
      <c r="C15" s="104" t="s">
        <v>327</v>
      </c>
      <c r="D15" s="104" t="s">
        <v>1501</v>
      </c>
      <c r="E15" s="104" t="s">
        <v>420</v>
      </c>
      <c r="F15" s="104"/>
      <c r="G15" s="104" t="s">
        <v>1499</v>
      </c>
      <c r="H15" s="104" t="s">
        <v>1499</v>
      </c>
      <c r="I15" s="104"/>
      <c r="J15" s="104" t="s">
        <v>1508</v>
      </c>
    </row>
    <row r="16" spans="1:10" ht="15" customHeight="1" x14ac:dyDescent="0.3">
      <c r="A16" s="104" t="str">
        <f>target_columns[[#This Row],[ColumnTableName]]&amp;target_columns[[#This Row],[ColumnName]]</f>
        <v>t_registrystart_dt</v>
      </c>
      <c r="B16" s="104" t="s">
        <v>35</v>
      </c>
      <c r="C16" s="104" t="s">
        <v>329</v>
      </c>
      <c r="D16" s="104" t="s">
        <v>1504</v>
      </c>
      <c r="E16" s="104" t="s">
        <v>420</v>
      </c>
      <c r="F16" s="104"/>
      <c r="G16" s="104" t="s">
        <v>1499</v>
      </c>
      <c r="H16" s="104" t="s">
        <v>1499</v>
      </c>
      <c r="I16" s="104"/>
      <c r="J16" s="104" t="s">
        <v>1509</v>
      </c>
    </row>
    <row r="17" spans="1:10" ht="15" customHeight="1" x14ac:dyDescent="0.3">
      <c r="A17" s="147" t="str">
        <f>target_columns[[#This Row],[ColumnTableName]]&amp;target_columns[[#This Row],[ColumnName]]</f>
        <v>t_registryend_dt</v>
      </c>
      <c r="B17" s="147" t="s">
        <v>35</v>
      </c>
      <c r="C17" s="147" t="s">
        <v>331</v>
      </c>
      <c r="D17" s="147" t="s">
        <v>1504</v>
      </c>
      <c r="E17" s="147" t="s">
        <v>420</v>
      </c>
      <c r="F17" s="147"/>
      <c r="G17" s="147" t="s">
        <v>1499</v>
      </c>
      <c r="H17" s="147" t="s">
        <v>1499</v>
      </c>
      <c r="I17" s="147"/>
      <c r="J17" s="147" t="s">
        <v>1510</v>
      </c>
    </row>
    <row r="18" spans="1:10" ht="15" customHeight="1" x14ac:dyDescent="0.3">
      <c r="A18" s="104" t="str">
        <f>target_columns[[#This Row],[ColumnTableName]]&amp;target_columns[[#This Row],[ColumnName]]</f>
        <v>t_agr_escrow_agr_credagr_escrow_id</v>
      </c>
      <c r="B18" s="104" t="s">
        <v>212</v>
      </c>
      <c r="C18" s="104" t="s">
        <v>267</v>
      </c>
      <c r="D18" s="104" t="s">
        <v>1497</v>
      </c>
      <c r="E18" s="104" t="s">
        <v>759</v>
      </c>
      <c r="F18" s="104"/>
      <c r="G18" s="104" t="s">
        <v>1498</v>
      </c>
      <c r="H18" s="104" t="s">
        <v>1498</v>
      </c>
      <c r="I18" s="104"/>
      <c r="J18" s="104" t="s">
        <v>1511</v>
      </c>
    </row>
    <row r="19" spans="1:10" ht="15" customHeight="1" x14ac:dyDescent="0.3">
      <c r="A19" s="104" t="str">
        <f>target_columns[[#This Row],[ColumnTableName]]&amp;target_columns[[#This Row],[ColumnName]]</f>
        <v>t_agr_escrow_agr_credagr_cred_id</v>
      </c>
      <c r="B19" s="104" t="s">
        <v>212</v>
      </c>
      <c r="C19" s="104" t="s">
        <v>295</v>
      </c>
      <c r="D19" s="104" t="s">
        <v>1497</v>
      </c>
      <c r="E19" s="104" t="s">
        <v>420</v>
      </c>
      <c r="F19" s="104"/>
      <c r="G19" s="104" t="s">
        <v>1499</v>
      </c>
      <c r="H19" s="104" t="s">
        <v>1498</v>
      </c>
      <c r="I19" s="104"/>
      <c r="J19" s="104" t="s">
        <v>1503</v>
      </c>
    </row>
    <row r="20" spans="1:10" ht="15" customHeight="1" x14ac:dyDescent="0.3">
      <c r="A20" s="104" t="str">
        <f>target_columns[[#This Row],[ColumnTableName]]&amp;target_columns[[#This Row],[ColumnName]]</f>
        <v>t_agr_escrow_agr_credstart_dt</v>
      </c>
      <c r="B20" s="104" t="s">
        <v>212</v>
      </c>
      <c r="C20" s="104" t="s">
        <v>329</v>
      </c>
      <c r="D20" s="104" t="s">
        <v>1504</v>
      </c>
      <c r="E20" s="104" t="s">
        <v>759</v>
      </c>
      <c r="F20" s="104"/>
      <c r="G20" s="104" t="s">
        <v>1498</v>
      </c>
      <c r="H20" s="104" t="s">
        <v>1499</v>
      </c>
      <c r="I20" s="104"/>
      <c r="J20" s="104" t="s">
        <v>1512</v>
      </c>
    </row>
    <row r="21" spans="1:10" ht="15" customHeight="1" x14ac:dyDescent="0.3">
      <c r="A21" s="147" t="str">
        <f>target_columns[[#This Row],[ColumnTableName]]&amp;target_columns[[#This Row],[ColumnName]]</f>
        <v>t_agr_escrow_agr_credend_dt</v>
      </c>
      <c r="B21" s="147" t="s">
        <v>212</v>
      </c>
      <c r="C21" s="147" t="s">
        <v>331</v>
      </c>
      <c r="D21" s="147" t="s">
        <v>1504</v>
      </c>
      <c r="E21" s="147" t="s">
        <v>420</v>
      </c>
      <c r="F21" s="147"/>
      <c r="G21" s="147" t="s">
        <v>1499</v>
      </c>
      <c r="H21" s="147" t="s">
        <v>1499</v>
      </c>
      <c r="I21" s="147"/>
      <c r="J21" s="147" t="s">
        <v>1513</v>
      </c>
    </row>
    <row r="22" spans="1:10" ht="15" customHeight="1" x14ac:dyDescent="0.3">
      <c r="A22" s="148" t="str">
        <f>target_columns[[#This Row],[ColumnTableName]]&amp;target_columns[[#This Row],[ColumnName]]</f>
        <v>t_escrow_schemeescrow_scheme_id</v>
      </c>
      <c r="B22" s="148" t="s">
        <v>37</v>
      </c>
      <c r="C22" s="148" t="s">
        <v>288</v>
      </c>
      <c r="D22" s="148" t="s">
        <v>1497</v>
      </c>
      <c r="E22" s="148" t="s">
        <v>759</v>
      </c>
      <c r="F22" s="148"/>
      <c r="G22" s="148" t="s">
        <v>1498</v>
      </c>
      <c r="H22" s="148" t="s">
        <v>1499</v>
      </c>
      <c r="I22" s="148"/>
      <c r="J22" s="148" t="s">
        <v>1514</v>
      </c>
    </row>
    <row r="23" spans="1:10" ht="15" customHeight="1" x14ac:dyDescent="0.3">
      <c r="A23" s="104" t="str">
        <f>target_columns[[#This Row],[ColumnTableName]]&amp;target_columns[[#This Row],[ColumnName]]</f>
        <v>t_escrow_schemeescrow_scheme_cd</v>
      </c>
      <c r="B23" s="104" t="s">
        <v>37</v>
      </c>
      <c r="C23" s="104" t="s">
        <v>335</v>
      </c>
      <c r="D23" s="104" t="s">
        <v>1501</v>
      </c>
      <c r="E23" s="104" t="s">
        <v>420</v>
      </c>
      <c r="F23" s="104"/>
      <c r="G23" s="104" t="s">
        <v>1499</v>
      </c>
      <c r="H23" s="104" t="s">
        <v>1499</v>
      </c>
      <c r="I23" s="104"/>
      <c r="J23" s="104" t="s">
        <v>1515</v>
      </c>
    </row>
    <row r="24" spans="1:10" ht="15" customHeight="1" x14ac:dyDescent="0.3">
      <c r="A24" s="147" t="str">
        <f>target_columns[[#This Row],[ColumnTableName]]&amp;target_columns[[#This Row],[ColumnName]]</f>
        <v>t_escrow_schemeescrow_scheme_name</v>
      </c>
      <c r="B24" s="147" t="s">
        <v>37</v>
      </c>
      <c r="C24" s="147" t="s">
        <v>337</v>
      </c>
      <c r="D24" s="147" t="s">
        <v>1501</v>
      </c>
      <c r="E24" s="147" t="s">
        <v>420</v>
      </c>
      <c r="F24" s="147"/>
      <c r="G24" s="147" t="s">
        <v>1499</v>
      </c>
      <c r="H24" s="147" t="s">
        <v>1499</v>
      </c>
      <c r="I24" s="147"/>
      <c r="J24" s="147" t="s">
        <v>1516</v>
      </c>
    </row>
    <row r="25" spans="1:10" ht="15" customHeight="1" x14ac:dyDescent="0.3">
      <c r="A25" s="104" t="str">
        <f>target_columns[[#This Row],[ColumnTableName]]&amp;target_columns[[#This Row],[ColumnName]]</f>
        <v>t_agr_escrowagr_escrow_id</v>
      </c>
      <c r="B25" s="104" t="s">
        <v>199</v>
      </c>
      <c r="C25" s="104" t="s">
        <v>267</v>
      </c>
      <c r="D25" s="104" t="s">
        <v>1497</v>
      </c>
      <c r="E25" s="104" t="s">
        <v>759</v>
      </c>
      <c r="F25" s="104"/>
      <c r="G25" s="104" t="s">
        <v>1498</v>
      </c>
      <c r="H25" s="104" t="s">
        <v>1499</v>
      </c>
      <c r="I25" s="104"/>
      <c r="J25" s="104" t="s">
        <v>323</v>
      </c>
    </row>
    <row r="26" spans="1:10" ht="15" customHeight="1" x14ac:dyDescent="0.3">
      <c r="A26" s="104" t="str">
        <f>target_columns[[#This Row],[ColumnTableName]]&amp;target_columns[[#This Row],[ColumnName]]</f>
        <v>t_agr_escrowopen_dt</v>
      </c>
      <c r="B26" s="104" t="s">
        <v>199</v>
      </c>
      <c r="C26" s="104" t="s">
        <v>271</v>
      </c>
      <c r="D26" s="104" t="s">
        <v>1504</v>
      </c>
      <c r="E26" s="104" t="s">
        <v>420</v>
      </c>
      <c r="F26" s="104"/>
      <c r="G26" s="104" t="s">
        <v>1499</v>
      </c>
      <c r="H26" s="104" t="s">
        <v>1499</v>
      </c>
      <c r="I26" s="104"/>
      <c r="J26" s="104" t="s">
        <v>761</v>
      </c>
    </row>
    <row r="27" spans="1:10" ht="15" customHeight="1" x14ac:dyDescent="0.3">
      <c r="A27" s="104" t="str">
        <f>target_columns[[#This Row],[ColumnTableName]]&amp;target_columns[[#This Row],[ColumnName]]</f>
        <v>t_agr_escrowsigned_dt</v>
      </c>
      <c r="B27" s="104" t="s">
        <v>199</v>
      </c>
      <c r="C27" s="104" t="s">
        <v>274</v>
      </c>
      <c r="D27" s="104" t="s">
        <v>1504</v>
      </c>
      <c r="E27" s="104" t="s">
        <v>420</v>
      </c>
      <c r="F27" s="104"/>
      <c r="G27" s="104" t="s">
        <v>1499</v>
      </c>
      <c r="H27" s="104" t="s">
        <v>1499</v>
      </c>
      <c r="I27" s="104"/>
      <c r="J27" s="104" t="s">
        <v>1517</v>
      </c>
    </row>
    <row r="28" spans="1:10" ht="15" customHeight="1" x14ac:dyDescent="0.3">
      <c r="A28" s="104" t="str">
        <f>target_columns[[#This Row],[ColumnTableName]]&amp;target_columns[[#This Row],[ColumnName]]</f>
        <v>t_agr_escrowclose_dt</v>
      </c>
      <c r="B28" s="104" t="s">
        <v>199</v>
      </c>
      <c r="C28" s="104" t="s">
        <v>275</v>
      </c>
      <c r="D28" s="104" t="s">
        <v>1504</v>
      </c>
      <c r="E28" s="104" t="s">
        <v>420</v>
      </c>
      <c r="F28" s="104"/>
      <c r="G28" s="104" t="s">
        <v>1499</v>
      </c>
      <c r="H28" s="104" t="s">
        <v>1499</v>
      </c>
      <c r="I28" s="104"/>
      <c r="J28" s="104" t="s">
        <v>762</v>
      </c>
    </row>
    <row r="29" spans="1:10" ht="15" customHeight="1" x14ac:dyDescent="0.3">
      <c r="A29" s="104" t="str">
        <f>target_columns[[#This Row],[ColumnTableName]]&amp;target_columns[[#This Row],[ColumnName]]</f>
        <v>t_agr_escrowagr_escrow_num</v>
      </c>
      <c r="B29" s="104" t="s">
        <v>199</v>
      </c>
      <c r="C29" s="104" t="s">
        <v>277</v>
      </c>
      <c r="D29" s="104" t="s">
        <v>1501</v>
      </c>
      <c r="E29" s="104" t="s">
        <v>420</v>
      </c>
      <c r="F29" s="104"/>
      <c r="G29" s="104" t="s">
        <v>1499</v>
      </c>
      <c r="H29" s="104" t="s">
        <v>1499</v>
      </c>
      <c r="I29" s="104"/>
      <c r="J29" s="104" t="s">
        <v>1518</v>
      </c>
    </row>
    <row r="30" spans="1:10" ht="15" customHeight="1" x14ac:dyDescent="0.3">
      <c r="A30" s="104" t="str">
        <f>target_columns[[#This Row],[ColumnTableName]]&amp;target_columns[[#This Row],[ColumnName]]</f>
        <v>t_agr_escrowagr_escrow_type_id</v>
      </c>
      <c r="B30" s="104" t="s">
        <v>199</v>
      </c>
      <c r="C30" s="149" t="s">
        <v>389</v>
      </c>
      <c r="D30" s="104" t="s">
        <v>1497</v>
      </c>
      <c r="E30" s="104" t="s">
        <v>420</v>
      </c>
      <c r="F30" s="104"/>
      <c r="G30" s="104" t="s">
        <v>1499</v>
      </c>
      <c r="H30" s="104" t="s">
        <v>1498</v>
      </c>
      <c r="I30" s="104"/>
      <c r="J30" s="150" t="s">
        <v>1519</v>
      </c>
    </row>
    <row r="31" spans="1:10" ht="15" customHeight="1" x14ac:dyDescent="0.3">
      <c r="A31" s="104" t="str">
        <f>target_columns[[#This Row],[ColumnTableName]]&amp;target_columns[[#This Row],[ColumnName]]</f>
        <v>t_agr_escrowhost_agr_escrow_id</v>
      </c>
      <c r="B31" s="104" t="s">
        <v>199</v>
      </c>
      <c r="C31" s="104" t="s">
        <v>279</v>
      </c>
      <c r="D31" s="104" t="s">
        <v>1501</v>
      </c>
      <c r="E31" s="104" t="s">
        <v>420</v>
      </c>
      <c r="F31" s="104"/>
      <c r="G31" s="104" t="s">
        <v>1499</v>
      </c>
      <c r="H31" s="104" t="s">
        <v>1499</v>
      </c>
      <c r="I31" s="104"/>
      <c r="J31" s="104" t="s">
        <v>1520</v>
      </c>
    </row>
    <row r="32" spans="1:10" ht="15" customHeight="1" x14ac:dyDescent="0.3">
      <c r="A32" s="104" t="str">
        <f>target_columns[[#This Row],[ColumnTableName]]&amp;target_columns[[#This Row],[ColumnName]]</f>
        <v>t_agr_escrowpermission_explotation_plan_dt</v>
      </c>
      <c r="B32" s="104" t="s">
        <v>199</v>
      </c>
      <c r="C32" s="104" t="s">
        <v>281</v>
      </c>
      <c r="D32" s="104" t="s">
        <v>1504</v>
      </c>
      <c r="E32" s="104" t="s">
        <v>420</v>
      </c>
      <c r="F32" s="104"/>
      <c r="G32" s="104" t="s">
        <v>1499</v>
      </c>
      <c r="H32" s="104" t="s">
        <v>1499</v>
      </c>
      <c r="I32" s="104"/>
      <c r="J32" s="104" t="s">
        <v>1521</v>
      </c>
    </row>
    <row r="33" spans="1:10" ht="15" customHeight="1" x14ac:dyDescent="0.3">
      <c r="A33" s="104" t="str">
        <f>target_columns[[#This Row],[ColumnTableName]]&amp;target_columns[[#This Row],[ColumnName]]</f>
        <v>t_agr_escrowdepositing_object_dt</v>
      </c>
      <c r="B33" s="104" t="s">
        <v>199</v>
      </c>
      <c r="C33" s="104" t="s">
        <v>2123</v>
      </c>
      <c r="D33" s="104" t="s">
        <v>1504</v>
      </c>
      <c r="E33" s="104" t="s">
        <v>420</v>
      </c>
      <c r="F33" s="104"/>
      <c r="G33" s="104" t="s">
        <v>1499</v>
      </c>
      <c r="H33" s="104" t="s">
        <v>1499</v>
      </c>
      <c r="I33" s="104"/>
      <c r="J33" s="104" t="s">
        <v>766</v>
      </c>
    </row>
    <row r="34" spans="1:10" ht="15" customHeight="1" x14ac:dyDescent="0.3">
      <c r="A34" s="104" t="str">
        <f>target_columns[[#This Row],[ColumnTableName]]&amp;target_columns[[#This Row],[ColumnName]]</f>
        <v>t_agr_escrowstart_sum_crncy_amt</v>
      </c>
      <c r="B34" s="104" t="s">
        <v>199</v>
      </c>
      <c r="C34" s="104" t="s">
        <v>283</v>
      </c>
      <c r="D34" s="104" t="s">
        <v>1522</v>
      </c>
      <c r="E34" s="104" t="s">
        <v>420</v>
      </c>
      <c r="F34" s="104"/>
      <c r="G34" s="104" t="s">
        <v>1499</v>
      </c>
      <c r="H34" s="104" t="s">
        <v>1499</v>
      </c>
      <c r="I34" s="104"/>
      <c r="J34" s="104" t="s">
        <v>1523</v>
      </c>
    </row>
    <row r="35" spans="1:10" ht="15" customHeight="1" x14ac:dyDescent="0.3">
      <c r="A35" s="104" t="str">
        <f>target_columns[[#This Row],[ColumnTableName]]&amp;target_columns[[#This Row],[ColumnName]]</f>
        <v xml:space="preserve">t_agr_escrowcrncy_id </v>
      </c>
      <c r="B35" s="104" t="s">
        <v>199</v>
      </c>
      <c r="C35" s="104" t="s">
        <v>286</v>
      </c>
      <c r="D35" s="104" t="s">
        <v>1497</v>
      </c>
      <c r="E35" s="104" t="s">
        <v>420</v>
      </c>
      <c r="F35" s="104"/>
      <c r="G35" s="104" t="s">
        <v>1499</v>
      </c>
      <c r="H35" s="104" t="s">
        <v>1498</v>
      </c>
      <c r="I35" s="104"/>
      <c r="J35" s="104" t="s">
        <v>1500</v>
      </c>
    </row>
    <row r="36" spans="1:10" ht="15" customHeight="1" x14ac:dyDescent="0.3">
      <c r="A36" s="104" t="str">
        <f>target_columns[[#This Row],[ColumnTableName]]&amp;target_columns[[#This Row],[ColumnName]]</f>
        <v>t_agr_escrowescrow_scheme_id</v>
      </c>
      <c r="B36" s="104" t="s">
        <v>199</v>
      </c>
      <c r="C36" s="104" t="s">
        <v>288</v>
      </c>
      <c r="D36" s="104" t="s">
        <v>1497</v>
      </c>
      <c r="E36" s="104" t="s">
        <v>420</v>
      </c>
      <c r="F36" s="104"/>
      <c r="G36" s="104" t="s">
        <v>1499</v>
      </c>
      <c r="H36" s="104" t="s">
        <v>1498</v>
      </c>
      <c r="I36" s="104"/>
      <c r="J36" s="104" t="s">
        <v>1524</v>
      </c>
    </row>
    <row r="37" spans="1:10" ht="15" customHeight="1" x14ac:dyDescent="0.3">
      <c r="A37" s="237" t="str">
        <f>target_columns[[#This Row],[ColumnTableName]]&amp;target_columns[[#This Row],[ColumnName]]</f>
        <v>t_agr_escrowexpiration_dt</v>
      </c>
      <c r="B37" s="237" t="s">
        <v>199</v>
      </c>
      <c r="C37" s="237" t="s">
        <v>291</v>
      </c>
      <c r="D37" s="237" t="s">
        <v>1504</v>
      </c>
      <c r="E37" s="237" t="s">
        <v>420</v>
      </c>
      <c r="F37" s="237"/>
      <c r="G37" s="237" t="s">
        <v>1499</v>
      </c>
      <c r="H37" s="237" t="s">
        <v>1499</v>
      </c>
      <c r="I37" s="237"/>
      <c r="J37" s="237" t="s">
        <v>2122</v>
      </c>
    </row>
    <row r="38" spans="1:10" s="240" customFormat="1" ht="15" customHeight="1" x14ac:dyDescent="0.3">
      <c r="A38" s="238" t="str">
        <f>target_columns[[#This Row],[ColumnTableName]]&amp;target_columns[[#This Row],[ColumnName]]</f>
        <v>t_agr_escrowdepositing_dt</v>
      </c>
      <c r="B38" s="238" t="s">
        <v>199</v>
      </c>
      <c r="C38" s="238" t="s">
        <v>2167</v>
      </c>
      <c r="D38" s="239" t="s">
        <v>1504</v>
      </c>
      <c r="E38" s="239" t="s">
        <v>420</v>
      </c>
      <c r="F38" s="239"/>
      <c r="G38" s="239" t="s">
        <v>1499</v>
      </c>
      <c r="H38" s="239" t="s">
        <v>1499</v>
      </c>
      <c r="I38" s="238"/>
      <c r="J38" s="238" t="s">
        <v>2168</v>
      </c>
    </row>
    <row r="39" spans="1:10" ht="15" customHeight="1" x14ac:dyDescent="0.3">
      <c r="A39" s="147" t="str">
        <f>target_columns[[#This Row],[ColumnTableName]]&amp;target_columns[[#This Row],[ColumnName]]</f>
        <v>t_agr_escrowagr_214_fed_flag</v>
      </c>
      <c r="B39" s="104" t="s">
        <v>199</v>
      </c>
      <c r="C39" s="147" t="s">
        <v>293</v>
      </c>
      <c r="D39" s="147" t="s">
        <v>1501</v>
      </c>
      <c r="E39" s="147" t="s">
        <v>420</v>
      </c>
      <c r="F39" s="147"/>
      <c r="G39" s="147" t="s">
        <v>1499</v>
      </c>
      <c r="H39" s="147" t="s">
        <v>1499</v>
      </c>
      <c r="I39" s="147"/>
      <c r="J39" s="147" t="s">
        <v>1525</v>
      </c>
    </row>
    <row r="40" spans="1:10" ht="15" customHeight="1" x14ac:dyDescent="0.3">
      <c r="A40" s="104" t="str">
        <f>target_columns[[#This Row],[ColumnTableName]]&amp;target_columns[[#This Row],[ColumnName]]</f>
        <v>t_agr_escrow_custagr_escrow_id</v>
      </c>
      <c r="B40" s="104" t="s">
        <v>162</v>
      </c>
      <c r="C40" s="104" t="s">
        <v>267</v>
      </c>
      <c r="D40" s="104" t="s">
        <v>1497</v>
      </c>
      <c r="E40" s="104" t="s">
        <v>759</v>
      </c>
      <c r="F40" s="104"/>
      <c r="G40" s="104" t="s">
        <v>1498</v>
      </c>
      <c r="H40" s="104" t="s">
        <v>1498</v>
      </c>
      <c r="I40" s="104"/>
      <c r="J40" s="104" t="s">
        <v>323</v>
      </c>
    </row>
    <row r="41" spans="1:10" ht="15" customHeight="1" x14ac:dyDescent="0.3">
      <c r="A41" s="104" t="str">
        <f>target_columns[[#This Row],[ColumnTableName]]&amp;target_columns[[#This Row],[ColumnName]]</f>
        <v>t_agr_escrow_custcust_id</v>
      </c>
      <c r="B41" s="104" t="s">
        <v>162</v>
      </c>
      <c r="C41" s="104" t="s">
        <v>347</v>
      </c>
      <c r="D41" s="104" t="s">
        <v>1497</v>
      </c>
      <c r="E41" s="104" t="s">
        <v>759</v>
      </c>
      <c r="F41" s="104"/>
      <c r="G41" s="104" t="s">
        <v>1498</v>
      </c>
      <c r="H41" s="104" t="s">
        <v>1498</v>
      </c>
      <c r="I41" s="104"/>
      <c r="J41" s="104" t="s">
        <v>1526</v>
      </c>
    </row>
    <row r="42" spans="1:10" ht="15" customHeight="1" x14ac:dyDescent="0.3">
      <c r="A42" s="104" t="str">
        <f>target_columns[[#This Row],[ColumnTableName]]&amp;target_columns[[#This Row],[ColumnName]]</f>
        <v>t_agr_escrow_custstart_dt</v>
      </c>
      <c r="B42" s="104" t="s">
        <v>162</v>
      </c>
      <c r="C42" s="104" t="s">
        <v>329</v>
      </c>
      <c r="D42" s="104" t="s">
        <v>1504</v>
      </c>
      <c r="E42" s="104" t="s">
        <v>759</v>
      </c>
      <c r="F42" s="104"/>
      <c r="G42" s="104" t="s">
        <v>1498</v>
      </c>
      <c r="H42" s="104" t="s">
        <v>1499</v>
      </c>
      <c r="I42" s="104"/>
      <c r="J42" s="104" t="s">
        <v>1527</v>
      </c>
    </row>
    <row r="43" spans="1:10" ht="15" customHeight="1" x14ac:dyDescent="0.3">
      <c r="A43" s="237" t="str">
        <f>target_columns[[#This Row],[ColumnTableName]]&amp;target_columns[[#This Row],[ColumnName]]</f>
        <v>t_agr_escrow_custend_dt</v>
      </c>
      <c r="B43" s="237" t="s">
        <v>162</v>
      </c>
      <c r="C43" s="237" t="s">
        <v>331</v>
      </c>
      <c r="D43" s="237" t="s">
        <v>1504</v>
      </c>
      <c r="E43" s="237" t="s">
        <v>420</v>
      </c>
      <c r="F43" s="237"/>
      <c r="G43" s="237" t="s">
        <v>1499</v>
      </c>
      <c r="H43" s="237" t="s">
        <v>1499</v>
      </c>
      <c r="I43" s="237"/>
      <c r="J43" s="237" t="s">
        <v>1528</v>
      </c>
    </row>
    <row r="44" spans="1:10" ht="15" customHeight="1" x14ac:dyDescent="0.3">
      <c r="A44" s="147" t="str">
        <f>target_columns[[#This Row],[ColumnTableName]]&amp;target_columns[[#This Row],[ColumnName]]</f>
        <v>t_agr_escrow_custagr_escrow_cust_type_id</v>
      </c>
      <c r="B44" s="147" t="s">
        <v>162</v>
      </c>
      <c r="C44" s="147" t="s">
        <v>350</v>
      </c>
      <c r="D44" s="147" t="s">
        <v>1497</v>
      </c>
      <c r="E44" s="147" t="s">
        <v>759</v>
      </c>
      <c r="F44" s="147"/>
      <c r="G44" s="147" t="s">
        <v>1498</v>
      </c>
      <c r="H44" s="147" t="s">
        <v>1498</v>
      </c>
      <c r="I44" s="147"/>
      <c r="J44" s="147" t="s">
        <v>1529</v>
      </c>
    </row>
    <row r="45" spans="1:10" ht="15" customHeight="1" x14ac:dyDescent="0.3">
      <c r="A45" s="104" t="str">
        <f>target_columns[[#This Row],[ColumnTableName]]&amp;target_columns[[#This Row],[ColumnName]]</f>
        <v>t_agr_escrow_cust_typeagr_escrow_cust_type_id</v>
      </c>
      <c r="B45" s="104" t="s">
        <v>1385</v>
      </c>
      <c r="C45" s="104" t="s">
        <v>350</v>
      </c>
      <c r="D45" s="104" t="s">
        <v>1497</v>
      </c>
      <c r="E45" s="104" t="s">
        <v>759</v>
      </c>
      <c r="F45" s="104"/>
      <c r="G45" s="104" t="s">
        <v>1498</v>
      </c>
      <c r="H45" s="104" t="s">
        <v>1499</v>
      </c>
      <c r="I45" s="104"/>
      <c r="J45" s="104" t="s">
        <v>1530</v>
      </c>
    </row>
    <row r="46" spans="1:10" ht="15" customHeight="1" x14ac:dyDescent="0.3">
      <c r="A46" s="104" t="str">
        <f>target_columns[[#This Row],[ColumnTableName]]&amp;target_columns[[#This Row],[ColumnName]]</f>
        <v>t_agr_escrow_cust_typeagr_escrow_cust_type_cd</v>
      </c>
      <c r="B46" s="104" t="s">
        <v>1385</v>
      </c>
      <c r="C46" s="104" t="s">
        <v>1531</v>
      </c>
      <c r="D46" s="104" t="s">
        <v>1501</v>
      </c>
      <c r="E46" s="104" t="s">
        <v>420</v>
      </c>
      <c r="F46" s="104"/>
      <c r="G46" s="104" t="s">
        <v>1499</v>
      </c>
      <c r="H46" s="104" t="s">
        <v>1499</v>
      </c>
      <c r="I46" s="104"/>
      <c r="J46" s="104" t="s">
        <v>1532</v>
      </c>
    </row>
    <row r="47" spans="1:10" ht="15" customHeight="1" x14ac:dyDescent="0.3">
      <c r="A47" s="147" t="str">
        <f>target_columns[[#This Row],[ColumnTableName]]&amp;target_columns[[#This Row],[ColumnName]]</f>
        <v>t_agr_escrow_cust_typeagr_escrow_cust_type_name</v>
      </c>
      <c r="B47" s="147" t="s">
        <v>1385</v>
      </c>
      <c r="C47" s="147" t="s">
        <v>1533</v>
      </c>
      <c r="D47" s="147" t="s">
        <v>1501</v>
      </c>
      <c r="E47" s="147" t="s">
        <v>420</v>
      </c>
      <c r="F47" s="147"/>
      <c r="G47" s="147" t="s">
        <v>1499</v>
      </c>
      <c r="H47" s="147" t="s">
        <v>1499</v>
      </c>
      <c r="I47" s="147"/>
      <c r="J47" s="147" t="s">
        <v>1534</v>
      </c>
    </row>
    <row r="48" spans="1:10" ht="15" customHeight="1" x14ac:dyDescent="0.3">
      <c r="A48" s="104" t="str">
        <f>target_columns[[#This Row],[ColumnTableName]]&amp;target_columns[[#This Row],[ColumnName]]</f>
        <v>t_custcust_id</v>
      </c>
      <c r="B48" s="104" t="s">
        <v>38</v>
      </c>
      <c r="C48" s="104" t="s">
        <v>347</v>
      </c>
      <c r="D48" s="104" t="s">
        <v>1497</v>
      </c>
      <c r="E48" s="104" t="s">
        <v>759</v>
      </c>
      <c r="F48" s="104"/>
      <c r="G48" s="104" t="s">
        <v>1498</v>
      </c>
      <c r="H48" s="104" t="s">
        <v>1499</v>
      </c>
      <c r="I48" s="104"/>
      <c r="J48" s="104" t="s">
        <v>1535</v>
      </c>
    </row>
    <row r="49" spans="1:10" ht="15" customHeight="1" x14ac:dyDescent="0.3">
      <c r="A49" s="104" t="str">
        <f>target_columns[[#This Row],[ColumnTableName]]&amp;target_columns[[#This Row],[ColumnName]]</f>
        <v>t_custhost_epk_cust_id</v>
      </c>
      <c r="B49" s="104" t="s">
        <v>38</v>
      </c>
      <c r="C49" s="104" t="s">
        <v>359</v>
      </c>
      <c r="D49" s="104" t="s">
        <v>1501</v>
      </c>
      <c r="E49" s="104" t="s">
        <v>420</v>
      </c>
      <c r="F49" s="104"/>
      <c r="G49" s="104" t="s">
        <v>1499</v>
      </c>
      <c r="H49" s="104" t="s">
        <v>1499</v>
      </c>
      <c r="I49" s="104"/>
      <c r="J49" s="104" t="s">
        <v>1536</v>
      </c>
    </row>
    <row r="50" spans="1:10" ht="15" customHeight="1" x14ac:dyDescent="0.3">
      <c r="A50" s="104" t="str">
        <f>B50&amp;C50</f>
        <v>t_custhost_cust_id</v>
      </c>
      <c r="B50" s="104" t="s">
        <v>38</v>
      </c>
      <c r="C50" s="104" t="s">
        <v>1537</v>
      </c>
      <c r="D50" s="104" t="s">
        <v>320</v>
      </c>
      <c r="E50" s="104" t="s">
        <v>420</v>
      </c>
      <c r="G50" s="104" t="s">
        <v>1499</v>
      </c>
      <c r="H50" s="2" t="s">
        <v>1499</v>
      </c>
      <c r="I50" s="104"/>
      <c r="J50" s="104" t="s">
        <v>1538</v>
      </c>
    </row>
    <row r="51" spans="1:10" ht="15" customHeight="1" x14ac:dyDescent="0.3">
      <c r="A51" s="147" t="str">
        <f>target_columns[[#This Row],[ColumnTableName]]&amp;target_columns[[#This Row],[ColumnName]]</f>
        <v>t_custind_flag</v>
      </c>
      <c r="B51" s="147" t="s">
        <v>38</v>
      </c>
      <c r="C51" s="147" t="s">
        <v>362</v>
      </c>
      <c r="D51" s="147" t="s">
        <v>1501</v>
      </c>
      <c r="E51" s="147" t="s">
        <v>420</v>
      </c>
      <c r="F51" s="147"/>
      <c r="G51" s="147" t="s">
        <v>1499</v>
      </c>
      <c r="H51" s="147" t="s">
        <v>1499</v>
      </c>
      <c r="I51" s="147"/>
      <c r="J51" s="147" t="s">
        <v>363</v>
      </c>
    </row>
    <row r="52" spans="1:10" ht="15" customHeight="1" x14ac:dyDescent="0.3">
      <c r="A52" s="104" t="str">
        <f>target_columns[[#This Row],[ColumnTableName]]&amp;target_columns[[#This Row],[ColumnName]]</f>
        <v>t_cust_org_idfncust_id</v>
      </c>
      <c r="B52" s="104" t="s">
        <v>60</v>
      </c>
      <c r="C52" s="104" t="s">
        <v>347</v>
      </c>
      <c r="D52" s="104" t="s">
        <v>1497</v>
      </c>
      <c r="E52" s="104" t="s">
        <v>759</v>
      </c>
      <c r="F52" s="104"/>
      <c r="G52" s="104" t="s">
        <v>1498</v>
      </c>
      <c r="H52" s="104" t="s">
        <v>1499</v>
      </c>
      <c r="I52" s="104"/>
      <c r="J52" s="104" t="s">
        <v>1535</v>
      </c>
    </row>
    <row r="53" spans="1:10" ht="15" customHeight="1" x14ac:dyDescent="0.3">
      <c r="A53" s="104" t="str">
        <f>target_columns[[#This Row],[ColumnTableName]]&amp;target_columns[[#This Row],[ColumnName]]</f>
        <v>t_cust_org_idfnshort_name</v>
      </c>
      <c r="B53" s="104" t="s">
        <v>60</v>
      </c>
      <c r="C53" s="104" t="s">
        <v>484</v>
      </c>
      <c r="D53" s="104" t="s">
        <v>1501</v>
      </c>
      <c r="E53" s="104" t="s">
        <v>420</v>
      </c>
      <c r="F53" s="104"/>
      <c r="G53" s="104" t="s">
        <v>1499</v>
      </c>
      <c r="H53" s="104" t="s">
        <v>1499</v>
      </c>
      <c r="I53" s="104"/>
      <c r="J53" s="104" t="s">
        <v>1539</v>
      </c>
    </row>
    <row r="54" spans="1:10" ht="15" customHeight="1" x14ac:dyDescent="0.3">
      <c r="A54" s="147" t="str">
        <f>target_columns[[#This Row],[ColumnTableName]]&amp;target_columns[[#This Row],[ColumnName]]</f>
        <v>t_cust_org_idfninn_num</v>
      </c>
      <c r="B54" s="104" t="s">
        <v>60</v>
      </c>
      <c r="C54" s="104" t="s">
        <v>485</v>
      </c>
      <c r="D54" s="104" t="s">
        <v>1501</v>
      </c>
      <c r="E54" s="104" t="s">
        <v>420</v>
      </c>
      <c r="F54" s="104"/>
      <c r="G54" s="104" t="s">
        <v>1499</v>
      </c>
      <c r="H54" s="104" t="s">
        <v>1499</v>
      </c>
      <c r="I54" s="104"/>
      <c r="J54" s="104" t="s">
        <v>1540</v>
      </c>
    </row>
    <row r="55" spans="1:10" ht="15" customHeight="1" x14ac:dyDescent="0.3">
      <c r="A55" s="104" t="str">
        <f>target_columns[[#This Row],[ColumnTableName]]&amp;target_columns[[#This Row],[ColumnName]]</f>
        <v>t_int_orgint_org_id</v>
      </c>
      <c r="B55" s="104" t="s">
        <v>39</v>
      </c>
      <c r="C55" s="104" t="s">
        <v>364</v>
      </c>
      <c r="D55" s="104" t="s">
        <v>1497</v>
      </c>
      <c r="E55" s="104" t="s">
        <v>759</v>
      </c>
      <c r="F55" s="104"/>
      <c r="G55" s="104" t="s">
        <v>1498</v>
      </c>
      <c r="H55" s="104" t="s">
        <v>1499</v>
      </c>
      <c r="I55" s="104"/>
      <c r="J55" s="104" t="s">
        <v>365</v>
      </c>
    </row>
    <row r="56" spans="1:10" ht="15" customHeight="1" x14ac:dyDescent="0.3">
      <c r="A56" s="104" t="str">
        <f t="shared" ref="A56:A57" si="0">B56&amp;C56</f>
        <v>t_int_orgbic_num</v>
      </c>
      <c r="B56" s="104" t="s">
        <v>39</v>
      </c>
      <c r="C56" s="104" t="s">
        <v>369</v>
      </c>
      <c r="D56" s="104" t="s">
        <v>320</v>
      </c>
      <c r="E56" s="104" t="s">
        <v>420</v>
      </c>
      <c r="G56" s="104" t="s">
        <v>1499</v>
      </c>
      <c r="H56" s="2" t="s">
        <v>1499</v>
      </c>
      <c r="I56" s="104"/>
      <c r="J56" s="104" t="s">
        <v>370</v>
      </c>
    </row>
    <row r="57" spans="1:10" ht="15" customHeight="1" x14ac:dyDescent="0.3">
      <c r="A57" s="104" t="str">
        <f t="shared" si="0"/>
        <v>t_int_orgint_org_name</v>
      </c>
      <c r="B57" s="104" t="s">
        <v>39</v>
      </c>
      <c r="C57" s="104" t="s">
        <v>371</v>
      </c>
      <c r="D57" s="104" t="s">
        <v>320</v>
      </c>
      <c r="E57" s="104" t="s">
        <v>420</v>
      </c>
      <c r="G57" s="104" t="s">
        <v>1499</v>
      </c>
      <c r="H57" s="2" t="s">
        <v>1499</v>
      </c>
      <c r="I57" s="104"/>
      <c r="J57" s="104" t="s">
        <v>1541</v>
      </c>
    </row>
    <row r="58" spans="1:10" ht="15" customHeight="1" x14ac:dyDescent="0.3">
      <c r="A58" s="147" t="str">
        <f>target_columns[[#This Row],[ColumnTableName]]&amp;target_columns[[#This Row],[ColumnName]]</f>
        <v>t_int_orgint_org_num</v>
      </c>
      <c r="B58" s="147" t="s">
        <v>39</v>
      </c>
      <c r="C58" s="147" t="s">
        <v>367</v>
      </c>
      <c r="D58" s="147" t="s">
        <v>1501</v>
      </c>
      <c r="E58" s="147" t="s">
        <v>420</v>
      </c>
      <c r="F58" s="147"/>
      <c r="G58" s="147" t="s">
        <v>1499</v>
      </c>
      <c r="H58" s="147" t="s">
        <v>1499</v>
      </c>
      <c r="I58" s="147"/>
      <c r="J58" s="147" t="s">
        <v>368</v>
      </c>
    </row>
    <row r="59" spans="1:10" ht="15" customHeight="1" x14ac:dyDescent="0.3">
      <c r="A59" s="104" t="str">
        <f>target_columns[[#This Row],[ColumnTableName]]&amp;target_columns[[#This Row],[ColumnName]]</f>
        <v>t_agr_escrow_int_orgagr_escrow_id</v>
      </c>
      <c r="B59" s="104" t="s">
        <v>59</v>
      </c>
      <c r="C59" s="104" t="s">
        <v>267</v>
      </c>
      <c r="D59" s="104" t="s">
        <v>1497</v>
      </c>
      <c r="E59" s="104" t="s">
        <v>759</v>
      </c>
      <c r="F59" s="104"/>
      <c r="G59" s="104" t="s">
        <v>1498</v>
      </c>
      <c r="H59" s="104" t="s">
        <v>1498</v>
      </c>
      <c r="I59" s="104"/>
      <c r="J59" s="104" t="s">
        <v>325</v>
      </c>
    </row>
    <row r="60" spans="1:10" ht="15" customHeight="1" x14ac:dyDescent="0.3">
      <c r="A60" s="104" t="str">
        <f>target_columns[[#This Row],[ColumnTableName]]&amp;target_columns[[#This Row],[ColumnName]]</f>
        <v>t_agr_escrow_int_orgint_org_id</v>
      </c>
      <c r="B60" s="104" t="s">
        <v>59</v>
      </c>
      <c r="C60" s="104" t="s">
        <v>364</v>
      </c>
      <c r="D60" s="104" t="s">
        <v>1497</v>
      </c>
      <c r="E60" s="104" t="s">
        <v>420</v>
      </c>
      <c r="F60" s="104"/>
      <c r="G60" s="104" t="s">
        <v>1499</v>
      </c>
      <c r="H60" s="104" t="s">
        <v>1498</v>
      </c>
      <c r="I60" s="104"/>
      <c r="J60" s="104" t="s">
        <v>1542</v>
      </c>
    </row>
    <row r="61" spans="1:10" ht="15" customHeight="1" x14ac:dyDescent="0.3">
      <c r="A61" s="104" t="str">
        <f>target_columns[[#This Row],[ColumnTableName]]&amp;target_columns[[#This Row],[ColumnName]]</f>
        <v>t_agr_escrow_int_orgben_int_org_id</v>
      </c>
      <c r="B61" s="104" t="s">
        <v>59</v>
      </c>
      <c r="C61" s="104" t="s">
        <v>375</v>
      </c>
      <c r="D61" s="104" t="s">
        <v>1497</v>
      </c>
      <c r="E61" s="104" t="s">
        <v>420</v>
      </c>
      <c r="F61" s="104"/>
      <c r="G61" s="104" t="s">
        <v>1499</v>
      </c>
      <c r="H61" s="104" t="s">
        <v>1498</v>
      </c>
      <c r="I61" s="104"/>
      <c r="J61" s="104" t="s">
        <v>1543</v>
      </c>
    </row>
    <row r="62" spans="1:10" ht="15" customHeight="1" x14ac:dyDescent="0.3">
      <c r="A62" s="104" t="str">
        <f>target_columns[[#This Row],[ColumnTableName]]&amp;target_columns[[#This Row],[ColumnName]]</f>
        <v>t_agr_escrow_int_orgdep_int_org_id</v>
      </c>
      <c r="B62" s="104" t="s">
        <v>59</v>
      </c>
      <c r="C62" s="104" t="s">
        <v>378</v>
      </c>
      <c r="D62" s="104" t="s">
        <v>1497</v>
      </c>
      <c r="E62" s="104" t="s">
        <v>420</v>
      </c>
      <c r="F62" s="104"/>
      <c r="G62" s="104" t="s">
        <v>1499</v>
      </c>
      <c r="H62" s="104" t="s">
        <v>1498</v>
      </c>
      <c r="I62" s="104"/>
      <c r="J62" s="104" t="s">
        <v>1544</v>
      </c>
    </row>
    <row r="63" spans="1:10" ht="15" customHeight="1" x14ac:dyDescent="0.3">
      <c r="A63" s="104" t="str">
        <f>target_columns[[#This Row],[ColumnTableName]]&amp;target_columns[[#This Row],[ColumnName]]</f>
        <v>t_agr_escrow_int_orgstart_dt</v>
      </c>
      <c r="B63" s="104" t="s">
        <v>59</v>
      </c>
      <c r="C63" s="104" t="s">
        <v>329</v>
      </c>
      <c r="D63" s="104" t="s">
        <v>1504</v>
      </c>
      <c r="E63" s="104" t="s">
        <v>759</v>
      </c>
      <c r="F63" s="104"/>
      <c r="G63" s="104" t="s">
        <v>1498</v>
      </c>
      <c r="H63" s="104" t="s">
        <v>1499</v>
      </c>
      <c r="I63" s="104"/>
      <c r="J63" s="104" t="s">
        <v>1545</v>
      </c>
    </row>
    <row r="64" spans="1:10" ht="15" customHeight="1" x14ac:dyDescent="0.3">
      <c r="A64" s="147" t="str">
        <f>target_columns[[#This Row],[ColumnTableName]]&amp;target_columns[[#This Row],[ColumnName]]</f>
        <v>t_agr_escrow_int_orgend_dt</v>
      </c>
      <c r="B64" s="147" t="s">
        <v>59</v>
      </c>
      <c r="C64" s="147" t="s">
        <v>331</v>
      </c>
      <c r="D64" s="147" t="s">
        <v>1504</v>
      </c>
      <c r="E64" s="147" t="s">
        <v>420</v>
      </c>
      <c r="F64" s="147"/>
      <c r="G64" s="147" t="s">
        <v>1499</v>
      </c>
      <c r="H64" s="147" t="s">
        <v>1499</v>
      </c>
      <c r="I64" s="147"/>
      <c r="J64" s="147" t="s">
        <v>1546</v>
      </c>
    </row>
    <row r="65" spans="1:10" ht="15" customHeight="1" x14ac:dyDescent="0.3">
      <c r="A65" s="104" t="str">
        <f>target_columns[[#This Row],[ColumnTableName]]&amp;target_columns[[#This Row],[ColumnName]]</f>
        <v>t_registry_typeregistry_type_id</v>
      </c>
      <c r="B65" s="104" t="s">
        <v>1394</v>
      </c>
      <c r="C65" s="104" t="s">
        <v>321</v>
      </c>
      <c r="D65" s="104" t="s">
        <v>1497</v>
      </c>
      <c r="E65" s="104" t="s">
        <v>759</v>
      </c>
      <c r="F65" s="104"/>
      <c r="G65" s="104" t="s">
        <v>1498</v>
      </c>
      <c r="H65" s="104" t="s">
        <v>1499</v>
      </c>
      <c r="I65" s="104"/>
      <c r="J65" s="104" t="s">
        <v>322</v>
      </c>
    </row>
    <row r="66" spans="1:10" ht="15" customHeight="1" x14ac:dyDescent="0.3">
      <c r="A66" s="104" t="str">
        <f>target_columns[[#This Row],[ColumnTableName]]&amp;target_columns[[#This Row],[ColumnName]]</f>
        <v>t_registry_typeregistry_type_name</v>
      </c>
      <c r="B66" s="104" t="s">
        <v>1394</v>
      </c>
      <c r="C66" s="104" t="s">
        <v>1547</v>
      </c>
      <c r="D66" s="104" t="s">
        <v>1501</v>
      </c>
      <c r="E66" s="104" t="s">
        <v>420</v>
      </c>
      <c r="F66" s="104"/>
      <c r="G66" s="104" t="s">
        <v>1499</v>
      </c>
      <c r="H66" s="104" t="s">
        <v>1499</v>
      </c>
      <c r="I66" s="104"/>
      <c r="J66" s="104" t="s">
        <v>1548</v>
      </c>
    </row>
    <row r="67" spans="1:10" ht="15" customHeight="1" x14ac:dyDescent="0.3">
      <c r="A67" s="104" t="str">
        <f>target_columns[[#This Row],[ColumnTableName]]&amp;target_columns[[#This Row],[ColumnName]]</f>
        <v>t_registry_typeregistry_type_cd</v>
      </c>
      <c r="B67" s="104" t="s">
        <v>1394</v>
      </c>
      <c r="C67" s="104" t="s">
        <v>1549</v>
      </c>
      <c r="D67" s="104" t="s">
        <v>1501</v>
      </c>
      <c r="E67" s="104" t="s">
        <v>420</v>
      </c>
      <c r="F67" s="104"/>
      <c r="G67" s="104" t="s">
        <v>1499</v>
      </c>
      <c r="H67" s="104" t="s">
        <v>1499</v>
      </c>
      <c r="I67" s="104"/>
      <c r="J67" s="104" t="s">
        <v>1550</v>
      </c>
    </row>
    <row r="68" spans="1:10" ht="15" customHeight="1" x14ac:dyDescent="0.3">
      <c r="A68" s="104" t="str">
        <f>target_columns[[#This Row],[ColumnTableName]]&amp;target_columns[[#This Row],[ColumnName]]</f>
        <v>t_optn_typeoptn_type_id</v>
      </c>
      <c r="B68" s="104" t="s">
        <v>32</v>
      </c>
      <c r="C68" s="104" t="s">
        <v>412</v>
      </c>
      <c r="D68" s="104" t="s">
        <v>1497</v>
      </c>
      <c r="E68" s="104" t="s">
        <v>759</v>
      </c>
      <c r="F68" s="104"/>
      <c r="G68" s="104" t="s">
        <v>1498</v>
      </c>
      <c r="H68" s="104" t="s">
        <v>1499</v>
      </c>
      <c r="I68" s="104"/>
      <c r="J68" s="104" t="s">
        <v>1551</v>
      </c>
    </row>
    <row r="69" spans="1:10" ht="15" customHeight="1" x14ac:dyDescent="0.3">
      <c r="A69" s="104" t="str">
        <f>target_columns[[#This Row],[ColumnTableName]]&amp;target_columns[[#This Row],[ColumnName]]</f>
        <v>t_optn_typeoptn_type_cd</v>
      </c>
      <c r="B69" s="104" t="s">
        <v>32</v>
      </c>
      <c r="C69" s="104" t="s">
        <v>415</v>
      </c>
      <c r="D69" s="104" t="s">
        <v>1501</v>
      </c>
      <c r="E69" s="104" t="s">
        <v>420</v>
      </c>
      <c r="F69" s="104"/>
      <c r="G69" s="104" t="s">
        <v>1499</v>
      </c>
      <c r="H69" s="104" t="s">
        <v>1499</v>
      </c>
      <c r="I69" s="104"/>
      <c r="J69" s="104" t="s">
        <v>416</v>
      </c>
    </row>
    <row r="70" spans="1:10" ht="15" customHeight="1" x14ac:dyDescent="0.3">
      <c r="A70" s="104" t="str">
        <f>target_columns[[#This Row],[ColumnTableName]]&amp;target_columns[[#This Row],[ColumnName]]</f>
        <v>t_optn_typeoptn_type_name</v>
      </c>
      <c r="B70" s="104" t="s">
        <v>32</v>
      </c>
      <c r="C70" s="104" t="s">
        <v>418</v>
      </c>
      <c r="D70" s="104" t="s">
        <v>1501</v>
      </c>
      <c r="E70" s="104" t="s">
        <v>420</v>
      </c>
      <c r="F70" s="104"/>
      <c r="G70" s="104" t="s">
        <v>1499</v>
      </c>
      <c r="H70" s="104" t="s">
        <v>1499</v>
      </c>
      <c r="I70" s="104"/>
      <c r="J70" s="104" t="s">
        <v>1552</v>
      </c>
    </row>
    <row r="71" spans="1:10" ht="15" customHeight="1" x14ac:dyDescent="0.3">
      <c r="A71" s="104" t="str">
        <f>target_columns[[#This Row],[ColumnTableName]]&amp;target_columns[[#This Row],[ColumnName]]</f>
        <v>t_optnoptn_id</v>
      </c>
      <c r="B71" s="104" t="s">
        <v>33</v>
      </c>
      <c r="C71" s="104" t="s">
        <v>421</v>
      </c>
      <c r="D71" s="104" t="s">
        <v>1497</v>
      </c>
      <c r="E71" s="104" t="s">
        <v>759</v>
      </c>
      <c r="F71" s="104"/>
      <c r="G71" s="104" t="s">
        <v>1498</v>
      </c>
      <c r="H71" s="104" t="s">
        <v>1499</v>
      </c>
      <c r="I71" s="104"/>
      <c r="J71" s="104" t="s">
        <v>1553</v>
      </c>
    </row>
    <row r="72" spans="1:10" ht="15" customHeight="1" x14ac:dyDescent="0.3">
      <c r="A72" s="104" t="str">
        <f>target_columns[[#This Row],[ColumnTableName]]&amp;target_columns[[#This Row],[ColumnName]]</f>
        <v>t_optnoptn_type_id</v>
      </c>
      <c r="B72" s="104" t="s">
        <v>33</v>
      </c>
      <c r="C72" s="104" t="s">
        <v>412</v>
      </c>
      <c r="D72" s="104" t="s">
        <v>1497</v>
      </c>
      <c r="E72" s="104" t="s">
        <v>420</v>
      </c>
      <c r="F72" s="104"/>
      <c r="G72" s="104" t="s">
        <v>1499</v>
      </c>
      <c r="H72" s="104" t="s">
        <v>1498</v>
      </c>
      <c r="I72" s="104"/>
      <c r="J72" s="104" t="s">
        <v>1551</v>
      </c>
    </row>
    <row r="73" spans="1:10" ht="15" customHeight="1" x14ac:dyDescent="0.3">
      <c r="A73" s="104" t="str">
        <f>target_columns[[#This Row],[ColumnTableName]]&amp;target_columns[[#This Row],[ColumnName]]</f>
        <v>t_optnagr_id</v>
      </c>
      <c r="B73" s="104" t="s">
        <v>33</v>
      </c>
      <c r="C73" s="104" t="s">
        <v>324</v>
      </c>
      <c r="D73" s="104" t="s">
        <v>1497</v>
      </c>
      <c r="E73" s="104" t="s">
        <v>420</v>
      </c>
      <c r="F73" s="104"/>
      <c r="G73" s="104" t="s">
        <v>1499</v>
      </c>
      <c r="H73" s="104" t="s">
        <v>1498</v>
      </c>
      <c r="I73" s="104"/>
      <c r="J73" s="104" t="s">
        <v>325</v>
      </c>
    </row>
    <row r="74" spans="1:10" ht="15" customHeight="1" x14ac:dyDescent="0.3">
      <c r="A74" s="104" t="str">
        <f>target_columns[[#This Row],[ColumnTableName]]&amp;target_columns[[#This Row],[ColumnName]]</f>
        <v>t_optnoptn_cd</v>
      </c>
      <c r="B74" s="104" t="s">
        <v>33</v>
      </c>
      <c r="C74" s="104" t="s">
        <v>425</v>
      </c>
      <c r="D74" s="104" t="s">
        <v>1501</v>
      </c>
      <c r="E74" s="104" t="s">
        <v>420</v>
      </c>
      <c r="F74" s="104"/>
      <c r="G74" s="104" t="s">
        <v>1499</v>
      </c>
      <c r="H74" s="104" t="s">
        <v>1499</v>
      </c>
      <c r="I74" s="104"/>
      <c r="J74" s="104" t="s">
        <v>1554</v>
      </c>
    </row>
    <row r="75" spans="1:10" ht="15" customHeight="1" x14ac:dyDescent="0.3">
      <c r="A75" s="104" t="str">
        <f>target_columns[[#This Row],[ColumnTableName]]&amp;target_columns[[#This Row],[ColumnName]]</f>
        <v>t_optnoptn_dt</v>
      </c>
      <c r="B75" s="104" t="s">
        <v>33</v>
      </c>
      <c r="C75" s="104" t="s">
        <v>427</v>
      </c>
      <c r="D75" s="104" t="s">
        <v>1504</v>
      </c>
      <c r="E75" s="104" t="s">
        <v>420</v>
      </c>
      <c r="F75" s="104"/>
      <c r="G75" s="104" t="s">
        <v>1499</v>
      </c>
      <c r="H75" s="104" t="s">
        <v>1499</v>
      </c>
      <c r="I75" s="104"/>
      <c r="J75" s="104" t="s">
        <v>919</v>
      </c>
    </row>
    <row r="76" spans="1:10" ht="15" customHeight="1" x14ac:dyDescent="0.3">
      <c r="A76" s="104" t="str">
        <f>target_columns[[#This Row],[ColumnTableName]]&amp;target_columns[[#This Row],[ColumnName]]</f>
        <v>t_optnoptn_amt</v>
      </c>
      <c r="B76" s="104" t="s">
        <v>33</v>
      </c>
      <c r="C76" s="104" t="s">
        <v>429</v>
      </c>
      <c r="D76" s="104" t="s">
        <v>1555</v>
      </c>
      <c r="E76" s="104" t="s">
        <v>420</v>
      </c>
      <c r="F76" s="104"/>
      <c r="G76" s="104" t="s">
        <v>1499</v>
      </c>
      <c r="H76" s="104" t="s">
        <v>1499</v>
      </c>
      <c r="I76" s="104"/>
      <c r="J76" s="104" t="s">
        <v>1556</v>
      </c>
    </row>
    <row r="77" spans="1:10" ht="15" customHeight="1" x14ac:dyDescent="0.3">
      <c r="A77" s="104" t="str">
        <f>target_columns[[#This Row],[ColumnTableName]]&amp;target_columns[[#This Row],[ColumnName]]</f>
        <v>t_optncrncy_id</v>
      </c>
      <c r="B77" s="104" t="s">
        <v>33</v>
      </c>
      <c r="C77" s="104" t="s">
        <v>380</v>
      </c>
      <c r="D77" s="104" t="s">
        <v>1497</v>
      </c>
      <c r="E77" s="104" t="s">
        <v>420</v>
      </c>
      <c r="F77" s="104"/>
      <c r="G77" s="104" t="s">
        <v>1499</v>
      </c>
      <c r="H77" s="104" t="s">
        <v>1498</v>
      </c>
      <c r="I77" s="104"/>
      <c r="J77" s="104" t="s">
        <v>1500</v>
      </c>
    </row>
    <row r="78" spans="1:10" ht="15" customHeight="1" x14ac:dyDescent="0.3">
      <c r="A78" s="104" t="str">
        <f>B78&amp;C78</f>
        <v>t_optnhost_optn_id</v>
      </c>
      <c r="B78" s="104" t="s">
        <v>33</v>
      </c>
      <c r="C78" s="104" t="s">
        <v>432</v>
      </c>
      <c r="D78" s="104" t="s">
        <v>320</v>
      </c>
      <c r="E78" s="104" t="s">
        <v>420</v>
      </c>
      <c r="G78" s="104" t="s">
        <v>1499</v>
      </c>
      <c r="H78" s="2" t="s">
        <v>1499</v>
      </c>
      <c r="I78" s="104"/>
      <c r="J78" s="104" t="s">
        <v>1557</v>
      </c>
    </row>
    <row r="79" spans="1:10" ht="15" customHeight="1" x14ac:dyDescent="0.3">
      <c r="A79" s="147" t="str">
        <f>target_columns[[#This Row],[ColumnTableName]]&amp;target_columns[[#This Row],[ColumnName]]</f>
        <v>t_optnbus_srv_id</v>
      </c>
      <c r="B79" s="147" t="s">
        <v>33</v>
      </c>
      <c r="C79" s="147" t="s">
        <v>434</v>
      </c>
      <c r="D79" s="147" t="s">
        <v>1497</v>
      </c>
      <c r="E79" s="147" t="s">
        <v>420</v>
      </c>
      <c r="F79" s="147"/>
      <c r="G79" s="147" t="s">
        <v>1499</v>
      </c>
      <c r="H79" s="147" t="s">
        <v>1498</v>
      </c>
      <c r="I79" s="147"/>
      <c r="J79" s="147" t="s">
        <v>1558</v>
      </c>
    </row>
    <row r="80" spans="1:10" ht="15" customHeight="1" x14ac:dyDescent="0.3">
      <c r="A80" s="104" t="str">
        <f>target_columns[[#This Row],[ColumnTableName]]&amp;target_columns[[#This Row],[ColumnName]]</f>
        <v>t_optn_fee_typeoptn_fee_type_id</v>
      </c>
      <c r="B80" s="104" t="s">
        <v>61</v>
      </c>
      <c r="C80" s="104" t="s">
        <v>439</v>
      </c>
      <c r="D80" s="104" t="s">
        <v>1497</v>
      </c>
      <c r="E80" s="104" t="s">
        <v>759</v>
      </c>
      <c r="F80" s="104"/>
      <c r="G80" s="104" t="s">
        <v>1498</v>
      </c>
      <c r="H80" s="104" t="s">
        <v>1499</v>
      </c>
      <c r="I80" s="104"/>
      <c r="J80" s="104" t="s">
        <v>1559</v>
      </c>
    </row>
    <row r="81" spans="1:10" ht="15" customHeight="1" x14ac:dyDescent="0.3">
      <c r="A81" s="104" t="str">
        <f>target_columns[[#This Row],[ColumnTableName]]&amp;target_columns[[#This Row],[ColumnName]]</f>
        <v>t_optn_fee_typeoptn_fee_type_cd</v>
      </c>
      <c r="B81" s="104" t="s">
        <v>61</v>
      </c>
      <c r="C81" s="104" t="s">
        <v>490</v>
      </c>
      <c r="D81" s="104" t="s">
        <v>1501</v>
      </c>
      <c r="E81" s="104" t="s">
        <v>420</v>
      </c>
      <c r="F81" s="104"/>
      <c r="G81" s="104" t="s">
        <v>1499</v>
      </c>
      <c r="H81" s="104" t="s">
        <v>1499</v>
      </c>
      <c r="I81" s="104"/>
      <c r="J81" s="104" t="s">
        <v>491</v>
      </c>
    </row>
    <row r="82" spans="1:10" ht="15" customHeight="1" x14ac:dyDescent="0.3">
      <c r="A82" s="104" t="str">
        <f>target_columns[[#This Row],[ColumnTableName]]&amp;target_columns[[#This Row],[ColumnName]]</f>
        <v>t_optn_fee_typeoptn_fee_type_name</v>
      </c>
      <c r="B82" s="104" t="s">
        <v>61</v>
      </c>
      <c r="C82" s="104" t="s">
        <v>493</v>
      </c>
      <c r="D82" s="104" t="s">
        <v>1501</v>
      </c>
      <c r="E82" s="104" t="s">
        <v>420</v>
      </c>
      <c r="F82" s="104"/>
      <c r="G82" s="104" t="s">
        <v>1499</v>
      </c>
      <c r="H82" s="104" t="s">
        <v>1499</v>
      </c>
      <c r="I82" s="104"/>
      <c r="J82" s="104" t="s">
        <v>494</v>
      </c>
    </row>
    <row r="83" spans="1:10" ht="15" customHeight="1" x14ac:dyDescent="0.3">
      <c r="A83" s="104" t="str">
        <f>target_columns[[#This Row],[ColumnTableName]]&amp;target_columns[[#This Row],[ColumnName]]</f>
        <v>t_optn$glsoptn_id</v>
      </c>
      <c r="B83" s="104" t="s">
        <v>34</v>
      </c>
      <c r="C83" s="104" t="s">
        <v>421</v>
      </c>
      <c r="D83" s="104" t="s">
        <v>1497</v>
      </c>
      <c r="E83" s="104" t="s">
        <v>759</v>
      </c>
      <c r="F83" s="104"/>
      <c r="G83" s="104" t="s">
        <v>1498</v>
      </c>
      <c r="H83" s="104" t="s">
        <v>1499</v>
      </c>
      <c r="I83" s="104"/>
      <c r="J83" s="104" t="s">
        <v>1553</v>
      </c>
    </row>
    <row r="84" spans="1:10" ht="15" customHeight="1" x14ac:dyDescent="0.3">
      <c r="A84" s="104" t="str">
        <f>target_columns[[#This Row],[ColumnTableName]]&amp;target_columns[[#This Row],[ColumnName]]</f>
        <v>t_optn$glshost_rpfi_appl_id</v>
      </c>
      <c r="B84" s="104" t="s">
        <v>34</v>
      </c>
      <c r="C84" s="104" t="s">
        <v>437</v>
      </c>
      <c r="D84" s="104" t="s">
        <v>1501</v>
      </c>
      <c r="E84" s="104" t="s">
        <v>420</v>
      </c>
      <c r="F84" s="104"/>
      <c r="G84" s="104" t="s">
        <v>1499</v>
      </c>
      <c r="H84" s="104" t="s">
        <v>1499</v>
      </c>
      <c r="I84" s="104"/>
      <c r="J84" s="104" t="s">
        <v>1560</v>
      </c>
    </row>
    <row r="85" spans="1:10" ht="15" customHeight="1" x14ac:dyDescent="0.3">
      <c r="A85" s="104" t="str">
        <f>target_columns[[#This Row],[ColumnTableName]]&amp;target_columns[[#This Row],[ColumnName]]</f>
        <v>t_optn$glspayer_ben_cust_id</v>
      </c>
      <c r="B85" s="104" t="s">
        <v>34</v>
      </c>
      <c r="C85" s="104" t="s">
        <v>438</v>
      </c>
      <c r="D85" s="104" t="s">
        <v>1497</v>
      </c>
      <c r="E85" s="104" t="s">
        <v>420</v>
      </c>
      <c r="F85" s="104"/>
      <c r="G85" s="104" t="s">
        <v>1499</v>
      </c>
      <c r="H85" s="104" t="s">
        <v>1498</v>
      </c>
      <c r="I85" s="104"/>
      <c r="J85" s="104" t="s">
        <v>1561</v>
      </c>
    </row>
    <row r="86" spans="1:10" ht="15" customHeight="1" x14ac:dyDescent="0.3">
      <c r="A86" s="104" t="str">
        <f>target_columns[[#This Row],[ColumnTableName]]&amp;target_columns[[#This Row],[ColumnName]]</f>
        <v>t_optn$glsoptn_fee_type_id</v>
      </c>
      <c r="B86" s="104" t="s">
        <v>34</v>
      </c>
      <c r="C86" s="104" t="s">
        <v>439</v>
      </c>
      <c r="D86" s="104" t="s">
        <v>1497</v>
      </c>
      <c r="E86" s="104" t="s">
        <v>420</v>
      </c>
      <c r="F86" s="104"/>
      <c r="G86" s="104" t="s">
        <v>1499</v>
      </c>
      <c r="H86" s="104" t="s">
        <v>1498</v>
      </c>
      <c r="I86" s="104"/>
      <c r="J86" s="104" t="s">
        <v>1559</v>
      </c>
    </row>
    <row r="87" spans="1:10" ht="15" customHeight="1" x14ac:dyDescent="0.3">
      <c r="A87" s="147" t="str">
        <f>target_columns[[#This Row],[ColumnTableName]]&amp;target_columns[[#This Row],[ColumnName]]</f>
        <v>t_optn$glspayer_dep_cust_id</v>
      </c>
      <c r="B87" s="104" t="s">
        <v>34</v>
      </c>
      <c r="C87" s="104" t="s">
        <v>440</v>
      </c>
      <c r="D87" s="104" t="s">
        <v>1497</v>
      </c>
      <c r="E87" s="104" t="s">
        <v>420</v>
      </c>
      <c r="F87" s="104"/>
      <c r="G87" s="104" t="s">
        <v>1499</v>
      </c>
      <c r="H87" s="147" t="s">
        <v>1498</v>
      </c>
      <c r="I87" s="147"/>
      <c r="J87" s="147" t="s">
        <v>1562</v>
      </c>
    </row>
    <row r="88" spans="1:10" ht="15" customHeight="1" x14ac:dyDescent="0.3">
      <c r="A88" s="104" t="str">
        <f t="shared" ref="A88:A151" si="1">B88&amp;C88</f>
        <v>t_agr_frame_limitagr_id</v>
      </c>
      <c r="B88" s="104" t="s">
        <v>48</v>
      </c>
      <c r="C88" s="104" t="s">
        <v>324</v>
      </c>
      <c r="D88" s="104" t="s">
        <v>1497</v>
      </c>
      <c r="E88" s="104" t="s">
        <v>759</v>
      </c>
      <c r="F88" s="104"/>
      <c r="G88" s="104" t="s">
        <v>1498</v>
      </c>
      <c r="H88" s="104" t="s">
        <v>1498</v>
      </c>
      <c r="I88" s="104"/>
      <c r="J88" s="104" t="s">
        <v>1563</v>
      </c>
    </row>
    <row r="89" spans="1:10" ht="15" customHeight="1" x14ac:dyDescent="0.3">
      <c r="A89" s="104" t="str">
        <f t="shared" si="1"/>
        <v>t_agr_frame_limitaccred_limit_amt</v>
      </c>
      <c r="B89" s="104" t="s">
        <v>48</v>
      </c>
      <c r="C89" s="104" t="s">
        <v>474</v>
      </c>
      <c r="D89" s="104" t="s">
        <v>1555</v>
      </c>
      <c r="E89" s="104" t="s">
        <v>420</v>
      </c>
      <c r="F89" s="104"/>
      <c r="G89" s="104" t="s">
        <v>1499</v>
      </c>
      <c r="H89" s="104" t="s">
        <v>1499</v>
      </c>
      <c r="I89" s="104"/>
      <c r="J89" s="104" t="s">
        <v>1564</v>
      </c>
    </row>
    <row r="90" spans="1:10" ht="15" customHeight="1" x14ac:dyDescent="0.3">
      <c r="A90" s="104" t="str">
        <f t="shared" si="1"/>
        <v>t_agr_frame_limitaccred_limit_crncy_id</v>
      </c>
      <c r="B90" s="104" t="s">
        <v>48</v>
      </c>
      <c r="C90" s="104" t="s">
        <v>476</v>
      </c>
      <c r="D90" s="104" t="s">
        <v>1497</v>
      </c>
      <c r="E90" s="104" t="s">
        <v>420</v>
      </c>
      <c r="F90" s="104"/>
      <c r="G90" s="104" t="s">
        <v>1499</v>
      </c>
      <c r="H90" s="104" t="s">
        <v>1498</v>
      </c>
      <c r="I90" s="104"/>
      <c r="J90" s="104" t="s">
        <v>1565</v>
      </c>
    </row>
    <row r="91" spans="1:10" ht="15" customHeight="1" x14ac:dyDescent="0.3">
      <c r="A91" s="104" t="str">
        <f t="shared" si="1"/>
        <v>t_agr_frame_limitstart_dt</v>
      </c>
      <c r="B91" s="104" t="s">
        <v>48</v>
      </c>
      <c r="C91" s="104" t="s">
        <v>329</v>
      </c>
      <c r="D91" s="104" t="s">
        <v>1504</v>
      </c>
      <c r="E91" s="104" t="s">
        <v>759</v>
      </c>
      <c r="F91" s="104"/>
      <c r="G91" s="104" t="s">
        <v>1498</v>
      </c>
      <c r="H91" s="104" t="s">
        <v>1499</v>
      </c>
      <c r="I91" s="104"/>
      <c r="J91" s="104" t="s">
        <v>955</v>
      </c>
    </row>
    <row r="92" spans="1:10" ht="15" customHeight="1" x14ac:dyDescent="0.3">
      <c r="A92" s="147" t="str">
        <f t="shared" si="1"/>
        <v>t_agr_frame_limitend_dt</v>
      </c>
      <c r="B92" s="147" t="s">
        <v>48</v>
      </c>
      <c r="C92" s="147" t="s">
        <v>331</v>
      </c>
      <c r="D92" s="147" t="s">
        <v>1504</v>
      </c>
      <c r="E92" s="147" t="s">
        <v>420</v>
      </c>
      <c r="F92" s="147"/>
      <c r="G92" s="147" t="s">
        <v>1499</v>
      </c>
      <c r="H92" s="147" t="s">
        <v>1499</v>
      </c>
      <c r="I92" s="147"/>
      <c r="J92" s="147" t="s">
        <v>954</v>
      </c>
    </row>
    <row r="93" spans="1:10" ht="15" customHeight="1" x14ac:dyDescent="0.3">
      <c r="A93" s="104" t="str">
        <f t="shared" si="1"/>
        <v>t_schemescheme_id</v>
      </c>
      <c r="B93" s="104" t="s">
        <v>49</v>
      </c>
      <c r="C93" s="104" t="s">
        <v>457</v>
      </c>
      <c r="D93" s="104" t="s">
        <v>1497</v>
      </c>
      <c r="E93" s="104" t="s">
        <v>759</v>
      </c>
      <c r="F93" s="104"/>
      <c r="G93" s="104" t="s">
        <v>1498</v>
      </c>
      <c r="H93" s="104" t="s">
        <v>1499</v>
      </c>
      <c r="I93" s="104"/>
      <c r="J93" s="104" t="s">
        <v>1566</v>
      </c>
    </row>
    <row r="94" spans="1:10" ht="15" customHeight="1" x14ac:dyDescent="0.3">
      <c r="A94" s="104" t="str">
        <f t="shared" si="1"/>
        <v>t_schemescheme_cd</v>
      </c>
      <c r="B94" s="104" t="s">
        <v>49</v>
      </c>
      <c r="C94" s="104" t="s">
        <v>466</v>
      </c>
      <c r="D94" s="104" t="s">
        <v>1501</v>
      </c>
      <c r="E94" s="104" t="s">
        <v>420</v>
      </c>
      <c r="F94" s="104"/>
      <c r="G94" s="104" t="s">
        <v>1499</v>
      </c>
      <c r="H94" s="104" t="s">
        <v>1499</v>
      </c>
      <c r="I94" s="104"/>
      <c r="J94" s="104" t="s">
        <v>1567</v>
      </c>
    </row>
    <row r="95" spans="1:10" ht="15" customHeight="1" x14ac:dyDescent="0.3">
      <c r="A95" s="104" t="str">
        <f t="shared" si="1"/>
        <v>t_schemescheme_name</v>
      </c>
      <c r="B95" s="104" t="s">
        <v>49</v>
      </c>
      <c r="C95" s="104" t="s">
        <v>464</v>
      </c>
      <c r="D95" s="104" t="s">
        <v>1501</v>
      </c>
      <c r="E95" s="104" t="s">
        <v>420</v>
      </c>
      <c r="F95" s="104"/>
      <c r="G95" s="104" t="s">
        <v>1499</v>
      </c>
      <c r="H95" s="104" t="s">
        <v>1499</v>
      </c>
      <c r="I95" s="104"/>
      <c r="J95" s="104" t="s">
        <v>1568</v>
      </c>
    </row>
    <row r="96" spans="1:10" ht="15" customHeight="1" x14ac:dyDescent="0.3">
      <c r="A96" s="147" t="str">
        <f t="shared" si="1"/>
        <v>t_schemescheme_categ_id</v>
      </c>
      <c r="B96" s="147" t="s">
        <v>49</v>
      </c>
      <c r="C96" s="151" t="s">
        <v>654</v>
      </c>
      <c r="D96" s="147" t="s">
        <v>1497</v>
      </c>
      <c r="E96" s="147" t="s">
        <v>759</v>
      </c>
      <c r="F96" s="147"/>
      <c r="G96" s="147" t="s">
        <v>1499</v>
      </c>
      <c r="H96" s="147" t="s">
        <v>1498</v>
      </c>
      <c r="I96" s="147"/>
      <c r="J96" s="152" t="s">
        <v>655</v>
      </c>
    </row>
    <row r="97" spans="1:10" ht="15" customHeight="1" x14ac:dyDescent="0.3">
      <c r="A97" s="104" t="str">
        <f t="shared" si="1"/>
        <v>t_agr_frameagr_frame_id</v>
      </c>
      <c r="B97" s="104" t="s">
        <v>50</v>
      </c>
      <c r="C97" s="104" t="s">
        <v>452</v>
      </c>
      <c r="D97" s="104" t="s">
        <v>1497</v>
      </c>
      <c r="E97" s="104" t="s">
        <v>759</v>
      </c>
      <c r="F97" s="104"/>
      <c r="G97" s="104" t="s">
        <v>1498</v>
      </c>
      <c r="H97" s="104" t="s">
        <v>1499</v>
      </c>
      <c r="I97" s="104"/>
      <c r="J97" s="104" t="s">
        <v>1569</v>
      </c>
    </row>
    <row r="98" spans="1:10" ht="15" customHeight="1" x14ac:dyDescent="0.3">
      <c r="A98" s="104" t="str">
        <f t="shared" si="1"/>
        <v>t_agr_frameopen_dt</v>
      </c>
      <c r="B98" s="104" t="s">
        <v>50</v>
      </c>
      <c r="C98" s="104" t="s">
        <v>271</v>
      </c>
      <c r="D98" s="104" t="s">
        <v>1504</v>
      </c>
      <c r="E98" s="104" t="s">
        <v>420</v>
      </c>
      <c r="F98" s="104"/>
      <c r="G98" s="104" t="s">
        <v>1499</v>
      </c>
      <c r="H98" s="104" t="s">
        <v>1499</v>
      </c>
      <c r="I98" s="104"/>
      <c r="J98" s="104" t="s">
        <v>1570</v>
      </c>
    </row>
    <row r="99" spans="1:10" ht="15" customHeight="1" x14ac:dyDescent="0.3">
      <c r="A99" s="104" t="str">
        <f t="shared" si="1"/>
        <v>t_agr_framesigned_dt</v>
      </c>
      <c r="B99" s="104" t="s">
        <v>50</v>
      </c>
      <c r="C99" s="104" t="s">
        <v>274</v>
      </c>
      <c r="D99" s="104" t="s">
        <v>1504</v>
      </c>
      <c r="E99" s="104" t="s">
        <v>420</v>
      </c>
      <c r="F99" s="104"/>
      <c r="G99" s="104" t="s">
        <v>1499</v>
      </c>
      <c r="H99" s="104" t="s">
        <v>1499</v>
      </c>
      <c r="I99" s="104"/>
      <c r="J99" s="104" t="s">
        <v>1279</v>
      </c>
    </row>
    <row r="100" spans="1:10" ht="15" customHeight="1" x14ac:dyDescent="0.3">
      <c r="A100" s="104" t="str">
        <f t="shared" si="1"/>
        <v>t_agr_frameclose_dt</v>
      </c>
      <c r="B100" s="104" t="s">
        <v>50</v>
      </c>
      <c r="C100" s="104" t="s">
        <v>275</v>
      </c>
      <c r="D100" s="104" t="s">
        <v>1504</v>
      </c>
      <c r="E100" s="104" t="s">
        <v>420</v>
      </c>
      <c r="F100" s="104"/>
      <c r="G100" s="104" t="s">
        <v>1499</v>
      </c>
      <c r="H100" s="104" t="s">
        <v>1499</v>
      </c>
      <c r="I100" s="104"/>
      <c r="J100" s="104" t="s">
        <v>1571</v>
      </c>
    </row>
    <row r="101" spans="1:10" ht="15" customHeight="1" x14ac:dyDescent="0.3">
      <c r="A101" s="104" t="str">
        <f t="shared" si="1"/>
        <v>t_agr_frameagr_frame_num</v>
      </c>
      <c r="B101" s="104" t="s">
        <v>50</v>
      </c>
      <c r="C101" s="104" t="s">
        <v>459</v>
      </c>
      <c r="D101" s="104" t="s">
        <v>1501</v>
      </c>
      <c r="E101" s="104" t="s">
        <v>420</v>
      </c>
      <c r="F101" s="104"/>
      <c r="G101" s="104" t="s">
        <v>1499</v>
      </c>
      <c r="H101" s="104" t="s">
        <v>1499</v>
      </c>
      <c r="I101" s="104"/>
      <c r="J101" s="104" t="s">
        <v>763</v>
      </c>
    </row>
    <row r="102" spans="1:10" ht="15" customHeight="1" x14ac:dyDescent="0.3">
      <c r="A102" s="104" t="str">
        <f t="shared" si="1"/>
        <v>t_agr_framehost_agr_frame_id</v>
      </c>
      <c r="B102" s="104" t="s">
        <v>50</v>
      </c>
      <c r="C102" s="104" t="s">
        <v>453</v>
      </c>
      <c r="D102" s="104" t="s">
        <v>1501</v>
      </c>
      <c r="E102" s="104" t="s">
        <v>420</v>
      </c>
      <c r="F102" s="104"/>
      <c r="G102" s="104" t="s">
        <v>1499</v>
      </c>
      <c r="H102" s="104" t="s">
        <v>1499</v>
      </c>
      <c r="I102" s="104"/>
      <c r="J102" s="104" t="s">
        <v>1572</v>
      </c>
    </row>
    <row r="103" spans="1:10" ht="15" customHeight="1" x14ac:dyDescent="0.3">
      <c r="A103" s="104" t="str">
        <f t="shared" si="1"/>
        <v>t_agr_framescheme_id</v>
      </c>
      <c r="B103" s="104" t="s">
        <v>50</v>
      </c>
      <c r="C103" s="104" t="s">
        <v>457</v>
      </c>
      <c r="D103" s="104" t="s">
        <v>1497</v>
      </c>
      <c r="E103" s="104" t="s">
        <v>420</v>
      </c>
      <c r="F103" s="104"/>
      <c r="G103" s="104" t="s">
        <v>1499</v>
      </c>
      <c r="H103" s="104" t="s">
        <v>1498</v>
      </c>
      <c r="I103" s="104"/>
      <c r="J103" s="104" t="s">
        <v>1566</v>
      </c>
    </row>
    <row r="104" spans="1:10" ht="15" customHeight="1" x14ac:dyDescent="0.3">
      <c r="A104" s="104" t="str">
        <f t="shared" si="1"/>
        <v>t_agr_frameexpiration_dt</v>
      </c>
      <c r="B104" s="104" t="s">
        <v>50</v>
      </c>
      <c r="C104" s="104" t="s">
        <v>291</v>
      </c>
      <c r="D104" s="104" t="s">
        <v>1504</v>
      </c>
      <c r="E104" s="104" t="s">
        <v>420</v>
      </c>
      <c r="F104" s="104"/>
      <c r="G104" s="104" t="s">
        <v>1499</v>
      </c>
      <c r="H104" s="104" t="s">
        <v>1499</v>
      </c>
      <c r="I104" s="104"/>
      <c r="J104" s="104" t="s">
        <v>1573</v>
      </c>
    </row>
    <row r="105" spans="1:10" ht="15" customHeight="1" x14ac:dyDescent="0.3">
      <c r="A105" s="104" t="str">
        <f t="shared" si="1"/>
        <v>t_agr_framerevolving_limit_flag</v>
      </c>
      <c r="B105" s="104" t="s">
        <v>50</v>
      </c>
      <c r="C105" s="104" t="s">
        <v>460</v>
      </c>
      <c r="D105" s="104" t="s">
        <v>1501</v>
      </c>
      <c r="E105" s="104" t="s">
        <v>420</v>
      </c>
      <c r="F105" s="104"/>
      <c r="G105" s="104" t="s">
        <v>1499</v>
      </c>
      <c r="H105" s="104" t="s">
        <v>1499</v>
      </c>
      <c r="I105" s="104"/>
      <c r="J105" s="104" t="s">
        <v>1574</v>
      </c>
    </row>
    <row r="106" spans="1:10" ht="15" customHeight="1" x14ac:dyDescent="0.3">
      <c r="A106" s="147" t="str">
        <f t="shared" si="1"/>
        <v>t_agr_framehost_ext_id</v>
      </c>
      <c r="B106" s="147" t="s">
        <v>50</v>
      </c>
      <c r="C106" s="147" t="s">
        <v>454</v>
      </c>
      <c r="D106" s="147" t="s">
        <v>1501</v>
      </c>
      <c r="E106" s="147" t="s">
        <v>420</v>
      </c>
      <c r="F106" s="147"/>
      <c r="G106" s="147" t="s">
        <v>1499</v>
      </c>
      <c r="H106" s="147" t="s">
        <v>1499</v>
      </c>
      <c r="I106" s="147"/>
      <c r="J106" s="147" t="s">
        <v>952</v>
      </c>
    </row>
    <row r="107" spans="1:10" ht="15" customHeight="1" x14ac:dyDescent="0.3">
      <c r="A107" s="104" t="str">
        <f t="shared" si="1"/>
        <v>t_agr_frame_custagr_frame_id</v>
      </c>
      <c r="B107" s="104" t="s">
        <v>51</v>
      </c>
      <c r="C107" s="104" t="s">
        <v>452</v>
      </c>
      <c r="D107" s="104" t="s">
        <v>1497</v>
      </c>
      <c r="E107" s="104" t="s">
        <v>759</v>
      </c>
      <c r="F107" s="104"/>
      <c r="G107" s="104" t="s">
        <v>1498</v>
      </c>
      <c r="H107" s="104" t="s">
        <v>1498</v>
      </c>
      <c r="I107" s="104"/>
      <c r="J107" s="104" t="s">
        <v>1569</v>
      </c>
    </row>
    <row r="108" spans="1:10" ht="15" customHeight="1" x14ac:dyDescent="0.3">
      <c r="A108" s="104" t="str">
        <f t="shared" si="1"/>
        <v>t_agr_frame_custcust_id</v>
      </c>
      <c r="B108" s="104" t="s">
        <v>51</v>
      </c>
      <c r="C108" s="104" t="s">
        <v>347</v>
      </c>
      <c r="D108" s="104" t="s">
        <v>1497</v>
      </c>
      <c r="E108" s="104" t="s">
        <v>759</v>
      </c>
      <c r="F108" s="104"/>
      <c r="G108" s="104" t="s">
        <v>1498</v>
      </c>
      <c r="H108" s="104" t="s">
        <v>1498</v>
      </c>
      <c r="I108" s="104"/>
      <c r="J108" s="104" t="s">
        <v>1526</v>
      </c>
    </row>
    <row r="109" spans="1:10" ht="15" customHeight="1" x14ac:dyDescent="0.3">
      <c r="A109" s="104" t="str">
        <f t="shared" si="1"/>
        <v>t_agr_frame_custstart_dt</v>
      </c>
      <c r="B109" s="104" t="s">
        <v>51</v>
      </c>
      <c r="C109" s="104" t="s">
        <v>329</v>
      </c>
      <c r="D109" s="104" t="s">
        <v>1504</v>
      </c>
      <c r="E109" s="104" t="s">
        <v>759</v>
      </c>
      <c r="F109" s="104"/>
      <c r="G109" s="104" t="s">
        <v>1498</v>
      </c>
      <c r="H109" s="104" t="s">
        <v>1499</v>
      </c>
      <c r="I109" s="104"/>
      <c r="J109" s="104" t="s">
        <v>1545</v>
      </c>
    </row>
    <row r="110" spans="1:10" ht="15" customHeight="1" x14ac:dyDescent="0.3">
      <c r="A110" s="104" t="str">
        <f t="shared" si="1"/>
        <v>t_agr_frame_custend_dt</v>
      </c>
      <c r="B110" s="104" t="s">
        <v>51</v>
      </c>
      <c r="C110" s="104" t="s">
        <v>331</v>
      </c>
      <c r="D110" s="104" t="s">
        <v>1504</v>
      </c>
      <c r="E110" s="104" t="s">
        <v>420</v>
      </c>
      <c r="F110" s="104"/>
      <c r="G110" s="104" t="s">
        <v>1499</v>
      </c>
      <c r="H110" s="104" t="s">
        <v>1499</v>
      </c>
      <c r="I110" s="104"/>
      <c r="J110" s="104" t="s">
        <v>1546</v>
      </c>
    </row>
    <row r="111" spans="1:10" ht="15" customHeight="1" x14ac:dyDescent="0.3">
      <c r="A111" s="147" t="str">
        <f t="shared" si="1"/>
        <v>t_agr_frame_custagr_frame_cust_type_id</v>
      </c>
      <c r="B111" s="147" t="s">
        <v>51</v>
      </c>
      <c r="C111" s="147" t="s">
        <v>481</v>
      </c>
      <c r="D111" s="147" t="s">
        <v>1497</v>
      </c>
      <c r="E111" s="147" t="s">
        <v>759</v>
      </c>
      <c r="F111" s="147"/>
      <c r="G111" s="147" t="s">
        <v>1498</v>
      </c>
      <c r="H111" s="147" t="s">
        <v>1498</v>
      </c>
      <c r="I111" s="147"/>
      <c r="J111" s="147" t="s">
        <v>1529</v>
      </c>
    </row>
    <row r="112" spans="1:10" ht="15" customHeight="1" x14ac:dyDescent="0.3">
      <c r="A112" s="104" t="str">
        <f t="shared" si="1"/>
        <v>t_agr_frame_cust_typeagr_frame_cust_type_id</v>
      </c>
      <c r="B112" s="104" t="s">
        <v>54</v>
      </c>
      <c r="C112" s="104" t="s">
        <v>481</v>
      </c>
      <c r="D112" s="104" t="s">
        <v>1497</v>
      </c>
      <c r="E112" s="104" t="s">
        <v>759</v>
      </c>
      <c r="F112" s="104"/>
      <c r="G112" s="104" t="s">
        <v>1498</v>
      </c>
      <c r="H112" s="104" t="s">
        <v>1499</v>
      </c>
      <c r="I112" s="104"/>
      <c r="J112" s="104" t="s">
        <v>1529</v>
      </c>
    </row>
    <row r="113" spans="1:10" ht="15" customHeight="1" x14ac:dyDescent="0.3">
      <c r="A113" s="104" t="str">
        <f t="shared" si="1"/>
        <v>t_agr_frame_cust_typeagr_frame_cust_type_cd</v>
      </c>
      <c r="B113" s="104" t="s">
        <v>54</v>
      </c>
      <c r="C113" s="104" t="s">
        <v>1575</v>
      </c>
      <c r="D113" s="104" t="s">
        <v>1501</v>
      </c>
      <c r="E113" s="104" t="s">
        <v>420</v>
      </c>
      <c r="F113" s="104"/>
      <c r="G113" s="104" t="s">
        <v>1499</v>
      </c>
      <c r="H113" s="104" t="s">
        <v>1499</v>
      </c>
      <c r="I113" s="104"/>
      <c r="J113" s="104" t="s">
        <v>1576</v>
      </c>
    </row>
    <row r="114" spans="1:10" ht="15" customHeight="1" x14ac:dyDescent="0.3">
      <c r="A114" s="147" t="str">
        <f t="shared" si="1"/>
        <v>t_agr_frame_cust_typeagr_frame_cust_type_name</v>
      </c>
      <c r="B114" s="147" t="s">
        <v>54</v>
      </c>
      <c r="C114" s="147" t="s">
        <v>1577</v>
      </c>
      <c r="D114" s="147" t="s">
        <v>1501</v>
      </c>
      <c r="E114" s="147" t="s">
        <v>420</v>
      </c>
      <c r="F114" s="147"/>
      <c r="G114" s="147" t="s">
        <v>1499</v>
      </c>
      <c r="H114" s="147" t="s">
        <v>1499</v>
      </c>
      <c r="I114" s="147"/>
      <c r="J114" s="147" t="s">
        <v>1578</v>
      </c>
    </row>
    <row r="115" spans="1:10" ht="15" customHeight="1" x14ac:dyDescent="0.3">
      <c r="A115" s="104" t="str">
        <f t="shared" si="1"/>
        <v>t_agr_frame_int_orgagr_frame_id</v>
      </c>
      <c r="B115" s="104" t="s">
        <v>52</v>
      </c>
      <c r="C115" s="104" t="s">
        <v>452</v>
      </c>
      <c r="D115" s="104" t="s">
        <v>1497</v>
      </c>
      <c r="E115" s="104" t="s">
        <v>759</v>
      </c>
      <c r="F115" s="104"/>
      <c r="G115" s="104" t="s">
        <v>1498</v>
      </c>
      <c r="H115" s="104" t="s">
        <v>1498</v>
      </c>
      <c r="I115" s="104"/>
      <c r="J115" s="104" t="s">
        <v>1569</v>
      </c>
    </row>
    <row r="116" spans="1:10" ht="15" customHeight="1" x14ac:dyDescent="0.3">
      <c r="A116" s="104" t="str">
        <f t="shared" si="1"/>
        <v>t_agr_frame_int_orgint_org_id</v>
      </c>
      <c r="B116" s="104" t="s">
        <v>52</v>
      </c>
      <c r="C116" s="104" t="s">
        <v>364</v>
      </c>
      <c r="D116" s="104" t="s">
        <v>1497</v>
      </c>
      <c r="E116" s="104" t="s">
        <v>420</v>
      </c>
      <c r="F116" s="104"/>
      <c r="G116" s="104" t="s">
        <v>1499</v>
      </c>
      <c r="H116" s="104" t="s">
        <v>1498</v>
      </c>
      <c r="I116" s="104"/>
      <c r="J116" s="104" t="s">
        <v>1579</v>
      </c>
    </row>
    <row r="117" spans="1:10" ht="15" customHeight="1" x14ac:dyDescent="0.3">
      <c r="A117" s="104" t="str">
        <f t="shared" si="1"/>
        <v>t_agr_frame_int_orgstart_dt</v>
      </c>
      <c r="B117" s="104" t="s">
        <v>52</v>
      </c>
      <c r="C117" s="104" t="s">
        <v>329</v>
      </c>
      <c r="D117" s="104" t="s">
        <v>1504</v>
      </c>
      <c r="E117" s="104" t="s">
        <v>759</v>
      </c>
      <c r="F117" s="104"/>
      <c r="G117" s="104" t="s">
        <v>1498</v>
      </c>
      <c r="H117" s="104" t="s">
        <v>1499</v>
      </c>
      <c r="I117" s="104"/>
      <c r="J117" s="104" t="s">
        <v>1545</v>
      </c>
    </row>
    <row r="118" spans="1:10" ht="15" customHeight="1" x14ac:dyDescent="0.3">
      <c r="A118" s="147" t="str">
        <f t="shared" si="1"/>
        <v>t_agr_frame_int_orgend_dt</v>
      </c>
      <c r="B118" s="147" t="s">
        <v>52</v>
      </c>
      <c r="C118" s="147" t="s">
        <v>331</v>
      </c>
      <c r="D118" s="147" t="s">
        <v>1504</v>
      </c>
      <c r="E118" s="147" t="s">
        <v>420</v>
      </c>
      <c r="F118" s="147"/>
      <c r="G118" s="147" t="s">
        <v>1499</v>
      </c>
      <c r="H118" s="147" t="s">
        <v>1499</v>
      </c>
      <c r="I118" s="147"/>
      <c r="J118" s="147" t="s">
        <v>1546</v>
      </c>
    </row>
    <row r="119" spans="1:10" ht="15" customHeight="1" x14ac:dyDescent="0.3">
      <c r="A119" s="104" t="str">
        <f t="shared" si="1"/>
        <v>t_agr_accredagr_accred_id</v>
      </c>
      <c r="B119" s="104" t="s">
        <v>83</v>
      </c>
      <c r="C119" s="104" t="s">
        <v>495</v>
      </c>
      <c r="D119" s="104" t="s">
        <v>316</v>
      </c>
      <c r="E119" s="104" t="s">
        <v>759</v>
      </c>
      <c r="G119" s="104" t="s">
        <v>1498</v>
      </c>
      <c r="H119" s="2" t="s">
        <v>1499</v>
      </c>
      <c r="I119" s="104"/>
      <c r="J119" s="104" t="s">
        <v>1580</v>
      </c>
    </row>
    <row r="120" spans="1:10" ht="15" customHeight="1" x14ac:dyDescent="0.3">
      <c r="A120" s="104" t="str">
        <f t="shared" si="1"/>
        <v>t_agr_accredagr_accred_add_txt</v>
      </c>
      <c r="B120" s="104" t="s">
        <v>83</v>
      </c>
      <c r="C120" s="104" t="s">
        <v>498</v>
      </c>
      <c r="D120" s="104" t="s">
        <v>320</v>
      </c>
      <c r="E120" s="104" t="s">
        <v>420</v>
      </c>
      <c r="G120" s="104" t="s">
        <v>1499</v>
      </c>
      <c r="H120" s="2" t="s">
        <v>1499</v>
      </c>
      <c r="I120" s="104"/>
      <c r="J120" s="104" t="s">
        <v>1581</v>
      </c>
    </row>
    <row r="121" spans="1:10" ht="15" customHeight="1" x14ac:dyDescent="0.3">
      <c r="A121" s="104" t="str">
        <f t="shared" si="1"/>
        <v>t_agr_accredagr_accred_num</v>
      </c>
      <c r="B121" s="104" t="s">
        <v>83</v>
      </c>
      <c r="C121" s="104" t="s">
        <v>500</v>
      </c>
      <c r="D121" s="104" t="s">
        <v>320</v>
      </c>
      <c r="E121" s="104" t="s">
        <v>420</v>
      </c>
      <c r="G121" s="104" t="s">
        <v>1499</v>
      </c>
      <c r="H121" s="2" t="s">
        <v>1499</v>
      </c>
      <c r="I121" s="104"/>
      <c r="J121" s="104" t="s">
        <v>763</v>
      </c>
    </row>
    <row r="122" spans="1:10" ht="15" customHeight="1" x14ac:dyDescent="0.3">
      <c r="A122" s="104" t="str">
        <f t="shared" si="1"/>
        <v>t_agr_accredagr_accred_type_id</v>
      </c>
      <c r="B122" s="104" t="s">
        <v>83</v>
      </c>
      <c r="C122" s="104" t="s">
        <v>501</v>
      </c>
      <c r="D122" s="104" t="s">
        <v>316</v>
      </c>
      <c r="E122" s="104" t="s">
        <v>420</v>
      </c>
      <c r="G122" s="104" t="s">
        <v>1499</v>
      </c>
      <c r="H122" s="2" t="s">
        <v>1498</v>
      </c>
      <c r="I122" s="104"/>
      <c r="J122" s="104" t="s">
        <v>1582</v>
      </c>
    </row>
    <row r="123" spans="1:10" ht="15" customHeight="1" x14ac:dyDescent="0.3">
      <c r="A123" s="104" t="str">
        <f t="shared" si="1"/>
        <v>t_agr_accredclose_dt</v>
      </c>
      <c r="B123" s="104" t="s">
        <v>83</v>
      </c>
      <c r="C123" s="104" t="s">
        <v>275</v>
      </c>
      <c r="D123" s="104" t="s">
        <v>302</v>
      </c>
      <c r="E123" s="104" t="s">
        <v>420</v>
      </c>
      <c r="G123" s="104" t="s">
        <v>1499</v>
      </c>
      <c r="H123" s="2" t="s">
        <v>1499</v>
      </c>
      <c r="I123" s="104"/>
      <c r="J123" s="104" t="s">
        <v>1016</v>
      </c>
    </row>
    <row r="124" spans="1:10" ht="15" customHeight="1" x14ac:dyDescent="0.3">
      <c r="A124" s="104" t="str">
        <f t="shared" si="1"/>
        <v>t_agr_accredcrncy_id</v>
      </c>
      <c r="B124" s="104" t="s">
        <v>83</v>
      </c>
      <c r="C124" s="104" t="s">
        <v>380</v>
      </c>
      <c r="D124" s="104" t="s">
        <v>316</v>
      </c>
      <c r="E124" s="104" t="s">
        <v>420</v>
      </c>
      <c r="G124" s="104" t="s">
        <v>1499</v>
      </c>
      <c r="H124" s="2" t="s">
        <v>1498</v>
      </c>
      <c r="I124" s="104"/>
      <c r="J124" s="104" t="s">
        <v>842</v>
      </c>
    </row>
    <row r="125" spans="1:10" ht="15" customHeight="1" x14ac:dyDescent="0.3">
      <c r="A125" s="104" t="str">
        <f t="shared" si="1"/>
        <v>t_agr_accredexpiration_dt</v>
      </c>
      <c r="B125" s="104" t="s">
        <v>83</v>
      </c>
      <c r="C125" s="104" t="s">
        <v>291</v>
      </c>
      <c r="D125" s="104" t="s">
        <v>302</v>
      </c>
      <c r="E125" s="104" t="s">
        <v>420</v>
      </c>
      <c r="G125" s="104" t="s">
        <v>1499</v>
      </c>
      <c r="H125" s="2" t="s">
        <v>1499</v>
      </c>
      <c r="I125" s="104"/>
      <c r="J125" s="104" t="s">
        <v>1074</v>
      </c>
    </row>
    <row r="126" spans="1:10" ht="15" customHeight="1" x14ac:dyDescent="0.3">
      <c r="A126" s="104" t="str">
        <f t="shared" si="1"/>
        <v>t_agr_accredissuer_agr_num</v>
      </c>
      <c r="B126" s="104" t="s">
        <v>83</v>
      </c>
      <c r="C126" s="104" t="s">
        <v>506</v>
      </c>
      <c r="D126" s="104" t="s">
        <v>320</v>
      </c>
      <c r="E126" s="104" t="s">
        <v>420</v>
      </c>
      <c r="G126" s="104" t="s">
        <v>1499</v>
      </c>
      <c r="H126" s="2" t="s">
        <v>1499</v>
      </c>
      <c r="I126" s="104"/>
      <c r="J126" s="104" t="s">
        <v>1583</v>
      </c>
    </row>
    <row r="127" spans="1:10" ht="15" customHeight="1" x14ac:dyDescent="0.3">
      <c r="A127" s="104" t="str">
        <f t="shared" si="1"/>
        <v>t_agr_accredagr_frame_id</v>
      </c>
      <c r="B127" s="104" t="s">
        <v>83</v>
      </c>
      <c r="C127" s="104" t="s">
        <v>452</v>
      </c>
      <c r="D127" s="104" t="s">
        <v>316</v>
      </c>
      <c r="E127" s="104" t="s">
        <v>420</v>
      </c>
      <c r="G127" s="104" t="s">
        <v>1499</v>
      </c>
      <c r="H127" s="2" t="s">
        <v>1498</v>
      </c>
      <c r="I127" s="104"/>
      <c r="J127" s="104" t="s">
        <v>1584</v>
      </c>
    </row>
    <row r="128" spans="1:10" ht="15" customHeight="1" x14ac:dyDescent="0.3">
      <c r="A128" s="104" t="str">
        <f t="shared" si="1"/>
        <v>t_agr_accredopen_dt</v>
      </c>
      <c r="B128" s="104" t="s">
        <v>83</v>
      </c>
      <c r="C128" s="104" t="s">
        <v>271</v>
      </c>
      <c r="D128" s="104" t="s">
        <v>302</v>
      </c>
      <c r="E128" s="104" t="s">
        <v>420</v>
      </c>
      <c r="G128" s="104" t="s">
        <v>1499</v>
      </c>
      <c r="H128" s="2" t="s">
        <v>1499</v>
      </c>
      <c r="I128" s="104"/>
      <c r="J128" s="104" t="s">
        <v>1017</v>
      </c>
    </row>
    <row r="129" spans="1:10" ht="15" customHeight="1" x14ac:dyDescent="0.3">
      <c r="A129" s="147" t="str">
        <f t="shared" si="1"/>
        <v>t_agr_accredhost_agr_accred_id</v>
      </c>
      <c r="B129" s="147" t="s">
        <v>83</v>
      </c>
      <c r="C129" s="147" t="s">
        <v>509</v>
      </c>
      <c r="D129" s="147" t="s">
        <v>320</v>
      </c>
      <c r="E129" s="147" t="s">
        <v>420</v>
      </c>
      <c r="F129" s="141"/>
      <c r="G129" s="147" t="s">
        <v>1499</v>
      </c>
      <c r="H129" s="141" t="s">
        <v>1499</v>
      </c>
      <c r="I129" s="147"/>
      <c r="J129" s="141" t="s">
        <v>1585</v>
      </c>
    </row>
    <row r="130" spans="1:10" ht="15" customHeight="1" x14ac:dyDescent="0.3">
      <c r="A130" s="104" t="str">
        <f t="shared" si="1"/>
        <v>t_agr_accred_finagr_accred_id</v>
      </c>
      <c r="B130" s="104" t="s">
        <v>85</v>
      </c>
      <c r="C130" s="104" t="s">
        <v>495</v>
      </c>
      <c r="D130" s="104" t="s">
        <v>316</v>
      </c>
      <c r="E130" s="104" t="s">
        <v>420</v>
      </c>
      <c r="G130" s="104" t="s">
        <v>1498</v>
      </c>
      <c r="H130" s="104" t="s">
        <v>1498</v>
      </c>
      <c r="I130" s="104"/>
      <c r="J130" s="104" t="s">
        <v>1580</v>
      </c>
    </row>
    <row r="131" spans="1:10" ht="15" customHeight="1" x14ac:dyDescent="0.3">
      <c r="A131" s="104" t="str">
        <f t="shared" si="1"/>
        <v>t_agr_accred_finstart_dt</v>
      </c>
      <c r="B131" s="104" t="s">
        <v>85</v>
      </c>
      <c r="C131" s="104" t="s">
        <v>329</v>
      </c>
      <c r="D131" s="104" t="s">
        <v>302</v>
      </c>
      <c r="E131" s="104" t="s">
        <v>759</v>
      </c>
      <c r="G131" s="104" t="s">
        <v>1498</v>
      </c>
      <c r="H131" s="2" t="s">
        <v>1499</v>
      </c>
      <c r="I131" s="104"/>
      <c r="J131" s="104" t="s">
        <v>1527</v>
      </c>
    </row>
    <row r="132" spans="1:10" ht="15" customHeight="1" x14ac:dyDescent="0.3">
      <c r="A132" s="104" t="str">
        <f t="shared" si="1"/>
        <v>t_agr_accred_finagr_accred_amt</v>
      </c>
      <c r="B132" s="104" t="s">
        <v>85</v>
      </c>
      <c r="C132" s="104" t="s">
        <v>518</v>
      </c>
      <c r="D132" s="104" t="s">
        <v>1586</v>
      </c>
      <c r="E132" s="104" t="s">
        <v>420</v>
      </c>
      <c r="G132" s="104" t="s">
        <v>1499</v>
      </c>
      <c r="H132" s="2" t="s">
        <v>1499</v>
      </c>
      <c r="I132" s="104"/>
      <c r="J132" s="104" t="s">
        <v>844</v>
      </c>
    </row>
    <row r="133" spans="1:10" ht="15" customHeight="1" x14ac:dyDescent="0.3">
      <c r="A133" s="104" t="str">
        <f t="shared" si="1"/>
        <v>t_agr_accred_fineca_covered_flag</v>
      </c>
      <c r="B133" s="104" t="s">
        <v>85</v>
      </c>
      <c r="C133" s="104" t="s">
        <v>520</v>
      </c>
      <c r="D133" s="104" t="s">
        <v>320</v>
      </c>
      <c r="E133" s="104" t="s">
        <v>420</v>
      </c>
      <c r="G133" s="104" t="s">
        <v>1499</v>
      </c>
      <c r="H133" s="2" t="s">
        <v>1499</v>
      </c>
      <c r="I133" s="104"/>
      <c r="J133" s="104" t="s">
        <v>1587</v>
      </c>
    </row>
    <row r="134" spans="1:10" ht="15" customHeight="1" x14ac:dyDescent="0.3">
      <c r="A134" s="104" t="str">
        <f t="shared" si="1"/>
        <v>t_agr_accred_finfin_end_dt</v>
      </c>
      <c r="B134" s="104" t="s">
        <v>85</v>
      </c>
      <c r="C134" s="104" t="s">
        <v>521</v>
      </c>
      <c r="D134" s="104" t="s">
        <v>302</v>
      </c>
      <c r="E134" s="104" t="s">
        <v>420</v>
      </c>
      <c r="G134" s="104" t="s">
        <v>1499</v>
      </c>
      <c r="H134" s="2" t="s">
        <v>1499</v>
      </c>
      <c r="I134" s="104"/>
      <c r="J134" s="104" t="s">
        <v>1073</v>
      </c>
    </row>
    <row r="135" spans="1:10" ht="15" customHeight="1" x14ac:dyDescent="0.3">
      <c r="A135" s="104" t="str">
        <f t="shared" si="1"/>
        <v>t_agr_accred_finpmnt_delay_duration_val</v>
      </c>
      <c r="B135" s="104" t="s">
        <v>85</v>
      </c>
      <c r="C135" s="104" t="s">
        <v>523</v>
      </c>
      <c r="D135" s="104" t="s">
        <v>1586</v>
      </c>
      <c r="E135" s="104" t="s">
        <v>420</v>
      </c>
      <c r="G135" s="104" t="s">
        <v>1499</v>
      </c>
      <c r="H135" s="2" t="s">
        <v>1499</v>
      </c>
      <c r="I135" s="104"/>
      <c r="J135" s="104" t="s">
        <v>1094</v>
      </c>
    </row>
    <row r="136" spans="1:10" ht="15" customHeight="1" x14ac:dyDescent="0.3">
      <c r="A136" s="104" t="str">
        <f t="shared" si="1"/>
        <v>t_agr_accred_finpmnt_delay_fixed_dt</v>
      </c>
      <c r="B136" s="104" t="s">
        <v>85</v>
      </c>
      <c r="C136" s="104" t="s">
        <v>525</v>
      </c>
      <c r="D136" s="104" t="s">
        <v>302</v>
      </c>
      <c r="E136" s="104" t="s">
        <v>420</v>
      </c>
      <c r="G136" s="104" t="s">
        <v>1499</v>
      </c>
      <c r="H136" s="2" t="s">
        <v>1499</v>
      </c>
      <c r="I136" s="104"/>
      <c r="J136" s="2" t="s">
        <v>1092</v>
      </c>
    </row>
    <row r="137" spans="1:10" ht="15" customHeight="1" x14ac:dyDescent="0.3">
      <c r="A137" s="104" t="str">
        <f t="shared" si="1"/>
        <v>t_agr_accred_finpmnt_early_flag</v>
      </c>
      <c r="B137" s="104" t="s">
        <v>85</v>
      </c>
      <c r="C137" s="104" t="s">
        <v>527</v>
      </c>
      <c r="D137" s="104" t="s">
        <v>320</v>
      </c>
      <c r="E137" s="104" t="s">
        <v>420</v>
      </c>
      <c r="G137" s="104" t="s">
        <v>1499</v>
      </c>
      <c r="H137" s="2" t="s">
        <v>1499</v>
      </c>
      <c r="I137" s="104"/>
      <c r="J137" s="104" t="s">
        <v>1588</v>
      </c>
    </row>
    <row r="138" spans="1:10" ht="15" customHeight="1" x14ac:dyDescent="0.3">
      <c r="A138" s="104" t="str">
        <f t="shared" si="1"/>
        <v>t_agr_accred_finrevocable_flag</v>
      </c>
      <c r="B138" s="104" t="s">
        <v>85</v>
      </c>
      <c r="C138" s="104" t="s">
        <v>528</v>
      </c>
      <c r="D138" s="104" t="s">
        <v>320</v>
      </c>
      <c r="E138" s="104" t="s">
        <v>420</v>
      </c>
      <c r="G138" s="104" t="s">
        <v>1499</v>
      </c>
      <c r="H138" s="2" t="s">
        <v>1499</v>
      </c>
      <c r="I138" s="104"/>
      <c r="J138" s="104" t="s">
        <v>1589</v>
      </c>
    </row>
    <row r="139" spans="1:10" ht="15" customHeight="1" x14ac:dyDescent="0.3">
      <c r="A139" s="104" t="str">
        <f t="shared" si="1"/>
        <v>t_agr_accred_finaccred_cover_type_id</v>
      </c>
      <c r="B139" s="104" t="s">
        <v>85</v>
      </c>
      <c r="C139" s="104" t="s">
        <v>529</v>
      </c>
      <c r="D139" s="104" t="s">
        <v>316</v>
      </c>
      <c r="E139" s="104" t="s">
        <v>420</v>
      </c>
      <c r="G139" s="104" t="s">
        <v>1499</v>
      </c>
      <c r="H139" s="2" t="s">
        <v>1498</v>
      </c>
      <c r="I139" s="104"/>
      <c r="J139" s="104" t="s">
        <v>1590</v>
      </c>
    </row>
    <row r="140" spans="1:10" ht="15" customHeight="1" x14ac:dyDescent="0.3">
      <c r="A140" s="104" t="str">
        <f t="shared" si="1"/>
        <v>t_agr_accred_fintime_period_type_id</v>
      </c>
      <c r="B140" s="104" t="s">
        <v>85</v>
      </c>
      <c r="C140" s="104" t="s">
        <v>531</v>
      </c>
      <c r="D140" s="104" t="s">
        <v>316</v>
      </c>
      <c r="E140" s="104" t="s">
        <v>420</v>
      </c>
      <c r="G140" s="104" t="s">
        <v>1499</v>
      </c>
      <c r="H140" s="2" t="s">
        <v>1498</v>
      </c>
      <c r="I140" s="104"/>
      <c r="J140" s="104" t="s">
        <v>1591</v>
      </c>
    </row>
    <row r="141" spans="1:10" ht="15" customHeight="1" x14ac:dyDescent="0.3">
      <c r="A141" s="104" t="str">
        <f t="shared" si="1"/>
        <v>t_agr_accred_finaccred_income_scheme_id</v>
      </c>
      <c r="B141" s="104" t="s">
        <v>85</v>
      </c>
      <c r="C141" s="104" t="s">
        <v>533</v>
      </c>
      <c r="D141" s="104" t="s">
        <v>316</v>
      </c>
      <c r="E141" s="104" t="s">
        <v>420</v>
      </c>
      <c r="G141" s="104" t="s">
        <v>1499</v>
      </c>
      <c r="H141" s="2" t="s">
        <v>1498</v>
      </c>
      <c r="I141" s="104"/>
      <c r="J141" s="104" t="s">
        <v>1592</v>
      </c>
    </row>
    <row r="142" spans="1:10" ht="15" customHeight="1" x14ac:dyDescent="0.3">
      <c r="A142" s="147" t="str">
        <f t="shared" si="1"/>
        <v>t_agr_accred_finend_dt</v>
      </c>
      <c r="B142" s="147" t="s">
        <v>85</v>
      </c>
      <c r="C142" s="147" t="s">
        <v>331</v>
      </c>
      <c r="D142" s="147" t="s">
        <v>302</v>
      </c>
      <c r="E142" s="147" t="s">
        <v>420</v>
      </c>
      <c r="F142" s="141"/>
      <c r="G142" s="147" t="s">
        <v>1499</v>
      </c>
      <c r="H142" s="141" t="s">
        <v>1499</v>
      </c>
      <c r="I142" s="147"/>
      <c r="J142" s="147" t="s">
        <v>1528</v>
      </c>
    </row>
    <row r="143" spans="1:10" ht="15" customHeight="1" x14ac:dyDescent="0.3">
      <c r="A143" s="104" t="str">
        <f t="shared" si="1"/>
        <v>t_accred_cover_typeaccred_cover_type_id</v>
      </c>
      <c r="B143" s="104" t="s">
        <v>86</v>
      </c>
      <c r="C143" s="104" t="s">
        <v>529</v>
      </c>
      <c r="D143" s="104" t="s">
        <v>316</v>
      </c>
      <c r="E143" s="104" t="s">
        <v>759</v>
      </c>
      <c r="G143" s="104" t="s">
        <v>1498</v>
      </c>
      <c r="H143" s="2" t="s">
        <v>1499</v>
      </c>
      <c r="I143" s="104"/>
      <c r="J143" s="104" t="s">
        <v>1590</v>
      </c>
    </row>
    <row r="144" spans="1:10" ht="15" customHeight="1" x14ac:dyDescent="0.3">
      <c r="A144" s="104" t="str">
        <f t="shared" si="1"/>
        <v>t_accred_cover_typeaccred_cover_type_cd</v>
      </c>
      <c r="B144" s="104" t="s">
        <v>86</v>
      </c>
      <c r="C144" s="104" t="s">
        <v>537</v>
      </c>
      <c r="D144" s="104" t="s">
        <v>320</v>
      </c>
      <c r="E144" s="104" t="s">
        <v>420</v>
      </c>
      <c r="G144" s="104" t="s">
        <v>1499</v>
      </c>
      <c r="H144" s="2" t="s">
        <v>1499</v>
      </c>
      <c r="I144" s="104"/>
      <c r="J144" s="104" t="s">
        <v>1593</v>
      </c>
    </row>
    <row r="145" spans="1:10" ht="15" customHeight="1" x14ac:dyDescent="0.3">
      <c r="A145" s="104" t="str">
        <f t="shared" si="1"/>
        <v>t_accred_cover_typeaccred_cover_type_name</v>
      </c>
      <c r="B145" s="104" t="s">
        <v>86</v>
      </c>
      <c r="C145" s="104" t="s">
        <v>539</v>
      </c>
      <c r="D145" s="104" t="s">
        <v>320</v>
      </c>
      <c r="E145" s="104" t="s">
        <v>420</v>
      </c>
      <c r="G145" s="104" t="s">
        <v>1499</v>
      </c>
      <c r="H145" s="2" t="s">
        <v>1499</v>
      </c>
      <c r="I145" s="104"/>
      <c r="J145" s="104" t="s">
        <v>1594</v>
      </c>
    </row>
    <row r="146" spans="1:10" ht="15" customHeight="1" x14ac:dyDescent="0.3">
      <c r="A146" s="147" t="str">
        <f t="shared" si="1"/>
        <v>t_accred_cover_typehost_accred_cover_type_id</v>
      </c>
      <c r="B146" s="147" t="s">
        <v>86</v>
      </c>
      <c r="C146" s="147" t="s">
        <v>540</v>
      </c>
      <c r="D146" s="147" t="s">
        <v>320</v>
      </c>
      <c r="E146" s="147" t="s">
        <v>420</v>
      </c>
      <c r="F146" s="141"/>
      <c r="G146" s="147" t="s">
        <v>1499</v>
      </c>
      <c r="H146" s="141" t="s">
        <v>1499</v>
      </c>
      <c r="I146" s="147"/>
      <c r="J146" s="104" t="s">
        <v>1595</v>
      </c>
    </row>
    <row r="147" spans="1:10" ht="15" customHeight="1" x14ac:dyDescent="0.3">
      <c r="A147" s="104" t="str">
        <f t="shared" si="1"/>
        <v>t_time_period_typetime_period_type_id</v>
      </c>
      <c r="B147" s="104" t="s">
        <v>87</v>
      </c>
      <c r="C147" s="104" t="s">
        <v>531</v>
      </c>
      <c r="D147" s="104" t="s">
        <v>316</v>
      </c>
      <c r="E147" s="104" t="s">
        <v>759</v>
      </c>
      <c r="G147" s="104" t="s">
        <v>1498</v>
      </c>
      <c r="H147" s="2" t="s">
        <v>1499</v>
      </c>
      <c r="I147" s="104"/>
      <c r="J147" s="104" t="s">
        <v>1591</v>
      </c>
    </row>
    <row r="148" spans="1:10" ht="15" customHeight="1" x14ac:dyDescent="0.3">
      <c r="A148" s="104" t="str">
        <f t="shared" si="1"/>
        <v>t_time_period_typetime_period_type_cd</v>
      </c>
      <c r="B148" s="104" t="s">
        <v>87</v>
      </c>
      <c r="C148" s="104" t="s">
        <v>542</v>
      </c>
      <c r="D148" s="104" t="s">
        <v>320</v>
      </c>
      <c r="E148" s="104" t="s">
        <v>420</v>
      </c>
      <c r="G148" s="104" t="s">
        <v>1499</v>
      </c>
      <c r="H148" s="2" t="s">
        <v>1499</v>
      </c>
      <c r="I148" s="104"/>
      <c r="J148" s="104" t="s">
        <v>1596</v>
      </c>
    </row>
    <row r="149" spans="1:10" ht="15" customHeight="1" x14ac:dyDescent="0.3">
      <c r="A149" s="104" t="str">
        <f t="shared" si="1"/>
        <v>t_time_period_typetime_period_type_name</v>
      </c>
      <c r="B149" s="104" t="s">
        <v>87</v>
      </c>
      <c r="C149" s="104" t="s">
        <v>544</v>
      </c>
      <c r="D149" s="104" t="s">
        <v>320</v>
      </c>
      <c r="E149" s="104" t="s">
        <v>420</v>
      </c>
      <c r="G149" s="104" t="s">
        <v>1499</v>
      </c>
      <c r="H149" s="2" t="s">
        <v>1499</v>
      </c>
      <c r="I149" s="104"/>
      <c r="J149" s="104" t="s">
        <v>1597</v>
      </c>
    </row>
    <row r="150" spans="1:10" ht="15" customHeight="1" x14ac:dyDescent="0.3">
      <c r="A150" s="147" t="str">
        <f t="shared" si="1"/>
        <v>t_time_period_typehost_time_period_type_id</v>
      </c>
      <c r="B150" s="147" t="s">
        <v>87</v>
      </c>
      <c r="C150" s="147" t="s">
        <v>545</v>
      </c>
      <c r="D150" s="147" t="s">
        <v>320</v>
      </c>
      <c r="E150" s="147" t="s">
        <v>420</v>
      </c>
      <c r="F150" s="141"/>
      <c r="G150" s="147" t="s">
        <v>1499</v>
      </c>
      <c r="H150" s="141" t="s">
        <v>1499</v>
      </c>
      <c r="I150" s="147"/>
      <c r="J150" s="104" t="s">
        <v>1598</v>
      </c>
    </row>
    <row r="151" spans="1:10" ht="15" customHeight="1" x14ac:dyDescent="0.3">
      <c r="A151" s="104" t="str">
        <f t="shared" si="1"/>
        <v>t_agr_accred_typeagr_accred_type_id</v>
      </c>
      <c r="B151" s="104" t="s">
        <v>88</v>
      </c>
      <c r="C151" s="104" t="s">
        <v>501</v>
      </c>
      <c r="D151" s="104" t="s">
        <v>316</v>
      </c>
      <c r="E151" s="104" t="s">
        <v>759</v>
      </c>
      <c r="G151" s="104" t="s">
        <v>1498</v>
      </c>
      <c r="H151" s="2" t="s">
        <v>1499</v>
      </c>
      <c r="I151" s="104"/>
      <c r="J151" s="104" t="s">
        <v>1582</v>
      </c>
    </row>
    <row r="152" spans="1:10" ht="15" customHeight="1" x14ac:dyDescent="0.3">
      <c r="A152" s="104" t="str">
        <f t="shared" ref="A152:A215" si="2">B152&amp;C152</f>
        <v>t_agr_accred_typeagr_accred_type_cd</v>
      </c>
      <c r="B152" s="104" t="s">
        <v>88</v>
      </c>
      <c r="C152" s="104" t="s">
        <v>512</v>
      </c>
      <c r="D152" s="104" t="s">
        <v>320</v>
      </c>
      <c r="E152" s="104" t="s">
        <v>420</v>
      </c>
      <c r="G152" s="104" t="s">
        <v>1499</v>
      </c>
      <c r="H152" s="2" t="s">
        <v>1499</v>
      </c>
      <c r="I152" s="104"/>
      <c r="J152" s="104" t="s">
        <v>1599</v>
      </c>
    </row>
    <row r="153" spans="1:10" ht="15" customHeight="1" x14ac:dyDescent="0.3">
      <c r="A153" s="104" t="str">
        <f t="shared" si="2"/>
        <v>t_agr_accred_typeagr_accred_type_name</v>
      </c>
      <c r="B153" s="104" t="s">
        <v>88</v>
      </c>
      <c r="C153" s="104" t="s">
        <v>514</v>
      </c>
      <c r="D153" s="104" t="s">
        <v>320</v>
      </c>
      <c r="E153" s="104" t="s">
        <v>420</v>
      </c>
      <c r="G153" s="104" t="s">
        <v>1499</v>
      </c>
      <c r="H153" s="2" t="s">
        <v>1499</v>
      </c>
      <c r="I153" s="104"/>
      <c r="J153" s="104" t="s">
        <v>1600</v>
      </c>
    </row>
    <row r="154" spans="1:10" ht="15" customHeight="1" x14ac:dyDescent="0.3">
      <c r="A154" s="147" t="str">
        <f t="shared" si="2"/>
        <v>t_agr_accred_typehost_agr_accred_type_id</v>
      </c>
      <c r="B154" s="147" t="s">
        <v>88</v>
      </c>
      <c r="C154" s="147" t="s">
        <v>515</v>
      </c>
      <c r="D154" s="147" t="s">
        <v>320</v>
      </c>
      <c r="E154" s="147" t="s">
        <v>420</v>
      </c>
      <c r="F154" s="141"/>
      <c r="G154" s="147" t="s">
        <v>1499</v>
      </c>
      <c r="H154" s="141" t="s">
        <v>1499</v>
      </c>
      <c r="I154" s="147"/>
      <c r="J154" s="147" t="s">
        <v>1601</v>
      </c>
    </row>
    <row r="155" spans="1:10" ht="15" customHeight="1" x14ac:dyDescent="0.3">
      <c r="A155" s="104" t="str">
        <f t="shared" si="2"/>
        <v>t_accred_income_schemeaccred_income_scheme_id</v>
      </c>
      <c r="B155" s="104" t="s">
        <v>89</v>
      </c>
      <c r="C155" s="104" t="s">
        <v>533</v>
      </c>
      <c r="D155" s="104" t="s">
        <v>316</v>
      </c>
      <c r="E155" s="104" t="s">
        <v>759</v>
      </c>
      <c r="G155" s="104" t="s">
        <v>1498</v>
      </c>
      <c r="H155" s="2" t="s">
        <v>1499</v>
      </c>
      <c r="I155" s="104"/>
      <c r="J155" s="104" t="s">
        <v>1592</v>
      </c>
    </row>
    <row r="156" spans="1:10" ht="15" customHeight="1" x14ac:dyDescent="0.3">
      <c r="A156" s="104" t="str">
        <f t="shared" si="2"/>
        <v>t_accred_income_schemeaccred_income_scheme_cd</v>
      </c>
      <c r="B156" s="104" t="s">
        <v>89</v>
      </c>
      <c r="C156" s="104" t="s">
        <v>547</v>
      </c>
      <c r="D156" s="104" t="s">
        <v>320</v>
      </c>
      <c r="E156" s="104" t="s">
        <v>420</v>
      </c>
      <c r="G156" s="104" t="s">
        <v>1499</v>
      </c>
      <c r="H156" s="2" t="s">
        <v>1499</v>
      </c>
      <c r="I156" s="104"/>
      <c r="J156" s="104" t="s">
        <v>1602</v>
      </c>
    </row>
    <row r="157" spans="1:10" ht="15" customHeight="1" x14ac:dyDescent="0.3">
      <c r="A157" s="104" t="str">
        <f t="shared" si="2"/>
        <v>t_accred_income_schemeaccred_income_scheme_name</v>
      </c>
      <c r="B157" s="104" t="s">
        <v>89</v>
      </c>
      <c r="C157" s="104" t="s">
        <v>549</v>
      </c>
      <c r="D157" s="104" t="s">
        <v>320</v>
      </c>
      <c r="E157" s="104" t="s">
        <v>420</v>
      </c>
      <c r="G157" s="104" t="s">
        <v>1499</v>
      </c>
      <c r="H157" s="2" t="s">
        <v>1499</v>
      </c>
      <c r="I157" s="104"/>
      <c r="J157" s="104" t="s">
        <v>1603</v>
      </c>
    </row>
    <row r="158" spans="1:10" ht="15" customHeight="1" x14ac:dyDescent="0.3">
      <c r="A158" s="147" t="str">
        <f t="shared" si="2"/>
        <v>t_accred_income_schemehost_accred_income_scheme_id</v>
      </c>
      <c r="B158" s="147" t="s">
        <v>89</v>
      </c>
      <c r="C158" s="147" t="s">
        <v>550</v>
      </c>
      <c r="D158" s="147" t="s">
        <v>320</v>
      </c>
      <c r="E158" s="147" t="s">
        <v>420</v>
      </c>
      <c r="F158" s="141"/>
      <c r="G158" s="147" t="s">
        <v>1499</v>
      </c>
      <c r="H158" s="141" t="s">
        <v>1499</v>
      </c>
      <c r="I158" s="147"/>
      <c r="J158" s="147" t="s">
        <v>1604</v>
      </c>
    </row>
    <row r="159" spans="1:10" ht="15" customHeight="1" x14ac:dyDescent="0.3">
      <c r="A159" s="104" t="str">
        <f t="shared" si="2"/>
        <v>t_agr_accred_agr_credagr_accred_id</v>
      </c>
      <c r="B159" s="104" t="s">
        <v>90</v>
      </c>
      <c r="C159" s="104" t="s">
        <v>495</v>
      </c>
      <c r="D159" s="104" t="s">
        <v>316</v>
      </c>
      <c r="E159" s="104" t="s">
        <v>420</v>
      </c>
      <c r="G159" s="104" t="s">
        <v>1498</v>
      </c>
      <c r="H159" s="104" t="s">
        <v>1498</v>
      </c>
      <c r="I159" s="104"/>
      <c r="J159" s="104" t="s">
        <v>1580</v>
      </c>
    </row>
    <row r="160" spans="1:10" ht="15" customHeight="1" x14ac:dyDescent="0.3">
      <c r="A160" s="104" t="str">
        <f t="shared" si="2"/>
        <v>t_agr_accred_agr_credstart_dt</v>
      </c>
      <c r="B160" s="104" t="s">
        <v>90</v>
      </c>
      <c r="C160" s="104" t="s">
        <v>329</v>
      </c>
      <c r="D160" s="104" t="s">
        <v>302</v>
      </c>
      <c r="E160" s="104" t="s">
        <v>759</v>
      </c>
      <c r="G160" s="104" t="s">
        <v>1498</v>
      </c>
      <c r="H160" s="2" t="s">
        <v>1499</v>
      </c>
      <c r="I160" s="104"/>
      <c r="J160" s="104" t="s">
        <v>1527</v>
      </c>
    </row>
    <row r="161" spans="1:10" ht="15" customHeight="1" x14ac:dyDescent="0.3">
      <c r="A161" s="104" t="str">
        <f t="shared" si="2"/>
        <v>t_agr_accred_agr_credagr_cred_id</v>
      </c>
      <c r="B161" s="104" t="s">
        <v>90</v>
      </c>
      <c r="C161" s="104" t="s">
        <v>295</v>
      </c>
      <c r="D161" s="104" t="s">
        <v>316</v>
      </c>
      <c r="E161" s="104" t="s">
        <v>420</v>
      </c>
      <c r="G161" s="2" t="s">
        <v>1499</v>
      </c>
      <c r="H161" s="104" t="s">
        <v>1498</v>
      </c>
      <c r="I161" s="104"/>
      <c r="J161" s="104" t="s">
        <v>1605</v>
      </c>
    </row>
    <row r="162" spans="1:10" ht="15" customHeight="1" x14ac:dyDescent="0.3">
      <c r="A162" s="147" t="str">
        <f t="shared" si="2"/>
        <v>t_agr_accred_agr_credend_dt</v>
      </c>
      <c r="B162" s="147" t="s">
        <v>90</v>
      </c>
      <c r="C162" s="147" t="s">
        <v>331</v>
      </c>
      <c r="D162" s="147" t="s">
        <v>302</v>
      </c>
      <c r="E162" s="147" t="s">
        <v>420</v>
      </c>
      <c r="F162" s="141"/>
      <c r="G162" s="147" t="s">
        <v>1499</v>
      </c>
      <c r="H162" s="141" t="s">
        <v>1499</v>
      </c>
      <c r="I162" s="104"/>
      <c r="J162" s="104" t="s">
        <v>1528</v>
      </c>
    </row>
    <row r="163" spans="1:10" ht="15" customHeight="1" x14ac:dyDescent="0.3">
      <c r="A163" s="104" t="str">
        <f t="shared" si="2"/>
        <v>t_agr_accred_bankagr_accred_id</v>
      </c>
      <c r="B163" s="104" t="s">
        <v>91</v>
      </c>
      <c r="C163" s="104" t="s">
        <v>495</v>
      </c>
      <c r="D163" s="104" t="s">
        <v>316</v>
      </c>
      <c r="E163" s="104" t="s">
        <v>420</v>
      </c>
      <c r="G163" s="104" t="s">
        <v>1498</v>
      </c>
      <c r="H163" s="104" t="s">
        <v>1498</v>
      </c>
      <c r="I163" s="104"/>
      <c r="J163" s="104" t="s">
        <v>1580</v>
      </c>
    </row>
    <row r="164" spans="1:10" ht="15" customHeight="1" x14ac:dyDescent="0.3">
      <c r="A164" s="104" t="str">
        <f t="shared" si="2"/>
        <v>t_agr_accred_bankstart_dt</v>
      </c>
      <c r="B164" s="104" t="s">
        <v>91</v>
      </c>
      <c r="C164" s="104" t="s">
        <v>329</v>
      </c>
      <c r="D164" s="104" t="s">
        <v>302</v>
      </c>
      <c r="E164" s="104" t="s">
        <v>759</v>
      </c>
      <c r="G164" s="104" t="s">
        <v>1498</v>
      </c>
      <c r="H164" s="2" t="s">
        <v>1499</v>
      </c>
      <c r="I164" s="104"/>
      <c r="J164" s="104" t="s">
        <v>1527</v>
      </c>
    </row>
    <row r="165" spans="1:10" ht="15" customHeight="1" x14ac:dyDescent="0.3">
      <c r="A165" s="104" t="str">
        <f t="shared" si="2"/>
        <v>t_agr_accred_bankagr_accred_bank_type_id</v>
      </c>
      <c r="B165" s="104" t="s">
        <v>91</v>
      </c>
      <c r="C165" s="104" t="s">
        <v>587</v>
      </c>
      <c r="D165" s="104" t="s">
        <v>316</v>
      </c>
      <c r="E165" s="104" t="s">
        <v>420</v>
      </c>
      <c r="G165" s="104" t="s">
        <v>1498</v>
      </c>
      <c r="H165" s="104" t="s">
        <v>1498</v>
      </c>
      <c r="I165" s="104"/>
      <c r="J165" s="2" t="s">
        <v>1606</v>
      </c>
    </row>
    <row r="166" spans="1:10" ht="15" customHeight="1" x14ac:dyDescent="0.3">
      <c r="A166" s="104" t="str">
        <f t="shared" si="2"/>
        <v>t_agr_accred_bankbank_id</v>
      </c>
      <c r="B166" s="104" t="s">
        <v>91</v>
      </c>
      <c r="C166" s="104" t="s">
        <v>581</v>
      </c>
      <c r="D166" s="104" t="s">
        <v>316</v>
      </c>
      <c r="E166" s="104" t="s">
        <v>420</v>
      </c>
      <c r="G166" s="104" t="s">
        <v>1499</v>
      </c>
      <c r="H166" s="2" t="s">
        <v>1498</v>
      </c>
      <c r="I166" s="104"/>
      <c r="J166" s="104" t="s">
        <v>1607</v>
      </c>
    </row>
    <row r="167" spans="1:10" ht="15" customHeight="1" x14ac:dyDescent="0.3">
      <c r="A167" s="147" t="str">
        <f t="shared" si="2"/>
        <v>t_agr_accred_bankend_dt</v>
      </c>
      <c r="B167" s="147" t="s">
        <v>91</v>
      </c>
      <c r="C167" s="147" t="s">
        <v>331</v>
      </c>
      <c r="D167" s="147" t="s">
        <v>302</v>
      </c>
      <c r="E167" s="147" t="s">
        <v>420</v>
      </c>
      <c r="F167" s="141"/>
      <c r="G167" s="147" t="s">
        <v>1499</v>
      </c>
      <c r="H167" s="141" t="s">
        <v>1499</v>
      </c>
      <c r="I167" s="147"/>
      <c r="J167" s="104" t="s">
        <v>1528</v>
      </c>
    </row>
    <row r="168" spans="1:10" ht="15" customHeight="1" x14ac:dyDescent="0.3">
      <c r="A168" s="104" t="str">
        <f t="shared" si="2"/>
        <v>t_agr_accred_bank_typeagr_accred_bank_type_id</v>
      </c>
      <c r="B168" s="104" t="s">
        <v>1423</v>
      </c>
      <c r="C168" s="104" t="s">
        <v>587</v>
      </c>
      <c r="D168" s="104" t="s">
        <v>316</v>
      </c>
      <c r="E168" s="104" t="s">
        <v>759</v>
      </c>
      <c r="G168" s="104" t="s">
        <v>1498</v>
      </c>
      <c r="H168" s="2" t="s">
        <v>1499</v>
      </c>
      <c r="I168" s="104"/>
      <c r="J168" s="104" t="s">
        <v>1606</v>
      </c>
    </row>
    <row r="169" spans="1:10" ht="15" customHeight="1" x14ac:dyDescent="0.3">
      <c r="A169" s="104" t="str">
        <f t="shared" si="2"/>
        <v>t_agr_accred_bank_typeagr_accred_bank_type_cd</v>
      </c>
      <c r="B169" s="104" t="s">
        <v>1423</v>
      </c>
      <c r="C169" s="104" t="s">
        <v>1608</v>
      </c>
      <c r="D169" s="104" t="s">
        <v>320</v>
      </c>
      <c r="E169" s="104" t="s">
        <v>420</v>
      </c>
      <c r="G169" s="104" t="s">
        <v>1499</v>
      </c>
      <c r="H169" s="2" t="s">
        <v>1499</v>
      </c>
      <c r="I169" s="104"/>
      <c r="J169" s="104" t="s">
        <v>1609</v>
      </c>
    </row>
    <row r="170" spans="1:10" ht="15" customHeight="1" x14ac:dyDescent="0.3">
      <c r="A170" s="104" t="str">
        <f t="shared" si="2"/>
        <v>t_agr_accred_bank_typeagr_accred_bank_type_name</v>
      </c>
      <c r="B170" s="104" t="s">
        <v>1423</v>
      </c>
      <c r="C170" s="104" t="s">
        <v>1610</v>
      </c>
      <c r="D170" s="104" t="s">
        <v>320</v>
      </c>
      <c r="E170" s="104" t="s">
        <v>420</v>
      </c>
      <c r="G170" s="104" t="s">
        <v>1499</v>
      </c>
      <c r="H170" s="2" t="s">
        <v>1499</v>
      </c>
      <c r="I170" s="104"/>
      <c r="J170" s="104" t="s">
        <v>1611</v>
      </c>
    </row>
    <row r="171" spans="1:10" ht="15" customHeight="1" x14ac:dyDescent="0.3">
      <c r="A171" s="147" t="str">
        <f t="shared" si="2"/>
        <v>t_agr_accred_bank_typehost_agr_accred_bank_type_id</v>
      </c>
      <c r="B171" s="147" t="s">
        <v>1423</v>
      </c>
      <c r="C171" s="147" t="s">
        <v>1612</v>
      </c>
      <c r="D171" s="147" t="s">
        <v>320</v>
      </c>
      <c r="E171" s="147" t="s">
        <v>420</v>
      </c>
      <c r="F171" s="141"/>
      <c r="G171" s="147" t="s">
        <v>1499</v>
      </c>
      <c r="H171" s="141" t="s">
        <v>1499</v>
      </c>
      <c r="I171" s="147"/>
      <c r="J171" s="147" t="s">
        <v>1613</v>
      </c>
    </row>
    <row r="172" spans="1:10" ht="15" customHeight="1" x14ac:dyDescent="0.3">
      <c r="A172" s="104" t="str">
        <f t="shared" si="2"/>
        <v>t_agr_accred_contractagr_accred_id</v>
      </c>
      <c r="B172" s="104" t="s">
        <v>92</v>
      </c>
      <c r="C172" s="104" t="s">
        <v>495</v>
      </c>
      <c r="D172" s="104" t="s">
        <v>316</v>
      </c>
      <c r="E172" s="104" t="s">
        <v>420</v>
      </c>
      <c r="G172" s="104" t="s">
        <v>1498</v>
      </c>
      <c r="H172" s="104" t="s">
        <v>1498</v>
      </c>
      <c r="I172" s="104"/>
      <c r="J172" s="104" t="s">
        <v>1580</v>
      </c>
    </row>
    <row r="173" spans="1:10" ht="15" customHeight="1" x14ac:dyDescent="0.3">
      <c r="A173" s="104" t="str">
        <f t="shared" si="2"/>
        <v>t_agr_accred_contractstart_dt</v>
      </c>
      <c r="B173" s="104" t="s">
        <v>92</v>
      </c>
      <c r="C173" s="104" t="s">
        <v>329</v>
      </c>
      <c r="D173" s="104" t="s">
        <v>302</v>
      </c>
      <c r="E173" s="104" t="s">
        <v>759</v>
      </c>
      <c r="G173" s="104" t="s">
        <v>1498</v>
      </c>
      <c r="H173" s="2" t="s">
        <v>1499</v>
      </c>
      <c r="I173" s="104"/>
      <c r="J173" s="104" t="s">
        <v>1527</v>
      </c>
    </row>
    <row r="174" spans="1:10" ht="15" customHeight="1" x14ac:dyDescent="0.3">
      <c r="A174" s="104" t="str">
        <f t="shared" si="2"/>
        <v>t_agr_accred_contractcontract_id</v>
      </c>
      <c r="B174" s="104" t="s">
        <v>92</v>
      </c>
      <c r="C174" s="104" t="s">
        <v>551</v>
      </c>
      <c r="D174" s="104" t="s">
        <v>316</v>
      </c>
      <c r="E174" s="104" t="s">
        <v>420</v>
      </c>
      <c r="G174" s="104" t="s">
        <v>1498</v>
      </c>
      <c r="H174" s="104" t="s">
        <v>1498</v>
      </c>
      <c r="I174" s="104"/>
      <c r="J174" s="104" t="s">
        <v>1614</v>
      </c>
    </row>
    <row r="175" spans="1:10" ht="15" customHeight="1" x14ac:dyDescent="0.3">
      <c r="A175" s="147" t="str">
        <f t="shared" si="2"/>
        <v>t_agr_accred_contractend_dt</v>
      </c>
      <c r="B175" s="147" t="s">
        <v>92</v>
      </c>
      <c r="C175" s="147" t="s">
        <v>331</v>
      </c>
      <c r="D175" s="147" t="s">
        <v>302</v>
      </c>
      <c r="E175" s="147" t="s">
        <v>420</v>
      </c>
      <c r="F175" s="141"/>
      <c r="G175" s="147" t="s">
        <v>1499</v>
      </c>
      <c r="H175" s="141" t="s">
        <v>1499</v>
      </c>
      <c r="I175" s="147"/>
      <c r="J175" s="147" t="s">
        <v>1528</v>
      </c>
    </row>
    <row r="176" spans="1:10" ht="15" customHeight="1" x14ac:dyDescent="0.3">
      <c r="A176" s="104" t="str">
        <f t="shared" si="2"/>
        <v>t_agr_accred_custagr_accred_id</v>
      </c>
      <c r="B176" s="104" t="s">
        <v>93</v>
      </c>
      <c r="C176" s="104" t="s">
        <v>495</v>
      </c>
      <c r="D176" s="104" t="s">
        <v>316</v>
      </c>
      <c r="E176" s="104" t="s">
        <v>420</v>
      </c>
      <c r="G176" s="104" t="s">
        <v>1498</v>
      </c>
      <c r="H176" s="104" t="s">
        <v>1498</v>
      </c>
      <c r="I176" s="104"/>
      <c r="J176" s="104" t="s">
        <v>1580</v>
      </c>
    </row>
    <row r="177" spans="1:10" ht="15" customHeight="1" x14ac:dyDescent="0.3">
      <c r="A177" s="104" t="str">
        <f t="shared" si="2"/>
        <v>t_agr_accred_custstart_dt</v>
      </c>
      <c r="B177" s="104" t="s">
        <v>93</v>
      </c>
      <c r="C177" s="104" t="s">
        <v>329</v>
      </c>
      <c r="D177" s="104" t="s">
        <v>302</v>
      </c>
      <c r="E177" s="104" t="s">
        <v>759</v>
      </c>
      <c r="G177" s="104" t="s">
        <v>1498</v>
      </c>
      <c r="H177" s="2" t="s">
        <v>1499</v>
      </c>
      <c r="I177" s="104"/>
      <c r="J177" s="104" t="s">
        <v>1527</v>
      </c>
    </row>
    <row r="178" spans="1:10" ht="15" customHeight="1" x14ac:dyDescent="0.3">
      <c r="A178" s="104" t="str">
        <f t="shared" si="2"/>
        <v>t_agr_accred_custagr_accred_cust_type_id</v>
      </c>
      <c r="B178" s="104" t="s">
        <v>93</v>
      </c>
      <c r="C178" s="104" t="s">
        <v>570</v>
      </c>
      <c r="D178" s="104" t="s">
        <v>316</v>
      </c>
      <c r="E178" s="104" t="s">
        <v>420</v>
      </c>
      <c r="G178" s="104" t="s">
        <v>1498</v>
      </c>
      <c r="H178" s="104" t="s">
        <v>1498</v>
      </c>
      <c r="I178" s="104"/>
      <c r="J178" s="104" t="s">
        <v>1615</v>
      </c>
    </row>
    <row r="179" spans="1:10" ht="15" customHeight="1" x14ac:dyDescent="0.3">
      <c r="A179" s="104" t="str">
        <f t="shared" si="2"/>
        <v>t_agr_accred_custcust_id</v>
      </c>
      <c r="B179" s="104" t="s">
        <v>93</v>
      </c>
      <c r="C179" s="104" t="s">
        <v>347</v>
      </c>
      <c r="D179" s="104" t="s">
        <v>316</v>
      </c>
      <c r="E179" s="104" t="s">
        <v>420</v>
      </c>
      <c r="G179" s="104" t="s">
        <v>1499</v>
      </c>
      <c r="H179" s="2" t="s">
        <v>1498</v>
      </c>
      <c r="I179" s="104"/>
      <c r="J179" s="104" t="s">
        <v>1526</v>
      </c>
    </row>
    <row r="180" spans="1:10" ht="15" customHeight="1" x14ac:dyDescent="0.3">
      <c r="A180" s="147" t="str">
        <f t="shared" si="2"/>
        <v>t_agr_accred_custend_dt</v>
      </c>
      <c r="B180" s="147" t="s">
        <v>93</v>
      </c>
      <c r="C180" s="147" t="s">
        <v>331</v>
      </c>
      <c r="D180" s="147" t="s">
        <v>302</v>
      </c>
      <c r="E180" s="147" t="s">
        <v>420</v>
      </c>
      <c r="F180" s="141"/>
      <c r="G180" s="147" t="s">
        <v>1499</v>
      </c>
      <c r="H180" s="141" t="s">
        <v>1499</v>
      </c>
      <c r="I180" s="147"/>
      <c r="J180" s="147" t="s">
        <v>1528</v>
      </c>
    </row>
    <row r="181" spans="1:10" ht="15" customHeight="1" x14ac:dyDescent="0.3">
      <c r="A181" s="104" t="str">
        <f t="shared" si="2"/>
        <v>t_agr_accred_cust_typeagr_accred_cust_type_id</v>
      </c>
      <c r="B181" s="104" t="s">
        <v>1427</v>
      </c>
      <c r="C181" s="104" t="s">
        <v>570</v>
      </c>
      <c r="D181" s="104" t="s">
        <v>316</v>
      </c>
      <c r="E181" s="104" t="s">
        <v>759</v>
      </c>
      <c r="G181" s="104" t="s">
        <v>1498</v>
      </c>
      <c r="H181" s="2" t="s">
        <v>1499</v>
      </c>
      <c r="I181" s="104"/>
      <c r="J181" s="104" t="s">
        <v>1615</v>
      </c>
    </row>
    <row r="182" spans="1:10" ht="15" customHeight="1" x14ac:dyDescent="0.3">
      <c r="A182" s="104" t="str">
        <f t="shared" si="2"/>
        <v>t_agr_accred_cust_typeagr_accred_cust_type_cd</v>
      </c>
      <c r="B182" s="104" t="s">
        <v>1427</v>
      </c>
      <c r="C182" s="104" t="s">
        <v>1616</v>
      </c>
      <c r="D182" s="104" t="s">
        <v>320</v>
      </c>
      <c r="E182" s="104" t="s">
        <v>420</v>
      </c>
      <c r="G182" s="104" t="s">
        <v>1499</v>
      </c>
      <c r="H182" s="2" t="s">
        <v>1499</v>
      </c>
      <c r="I182" s="104"/>
      <c r="J182" s="104" t="s">
        <v>1617</v>
      </c>
    </row>
    <row r="183" spans="1:10" ht="15" customHeight="1" x14ac:dyDescent="0.3">
      <c r="A183" s="104" t="str">
        <f t="shared" si="2"/>
        <v>t_agr_accred_cust_typeagr_accred_cust_type_name</v>
      </c>
      <c r="B183" s="104" t="s">
        <v>1427</v>
      </c>
      <c r="C183" s="104" t="s">
        <v>1618</v>
      </c>
      <c r="D183" s="104" t="s">
        <v>320</v>
      </c>
      <c r="E183" s="104" t="s">
        <v>420</v>
      </c>
      <c r="G183" s="104" t="s">
        <v>1499</v>
      </c>
      <c r="H183" s="2" t="s">
        <v>1499</v>
      </c>
      <c r="I183" s="104"/>
      <c r="J183" s="104" t="s">
        <v>1619</v>
      </c>
    </row>
    <row r="184" spans="1:10" ht="15" customHeight="1" x14ac:dyDescent="0.3">
      <c r="A184" s="147" t="str">
        <f t="shared" si="2"/>
        <v>t_agr_accred_cust_typehost_agr_accred_cust_type_id</v>
      </c>
      <c r="B184" s="147" t="s">
        <v>1427</v>
      </c>
      <c r="C184" s="147" t="s">
        <v>1620</v>
      </c>
      <c r="D184" s="147" t="s">
        <v>320</v>
      </c>
      <c r="E184" s="147" t="s">
        <v>420</v>
      </c>
      <c r="F184" s="141"/>
      <c r="G184" s="147" t="s">
        <v>1499</v>
      </c>
      <c r="H184" s="141" t="s">
        <v>1499</v>
      </c>
      <c r="I184" s="147"/>
      <c r="J184" s="104" t="s">
        <v>1621</v>
      </c>
    </row>
    <row r="185" spans="1:10" ht="15" customHeight="1" x14ac:dyDescent="0.3">
      <c r="A185" s="104" t="str">
        <f t="shared" si="2"/>
        <v>t_agr_accred_int_orgagr_accred_id</v>
      </c>
      <c r="B185" s="104" t="s">
        <v>94</v>
      </c>
      <c r="C185" s="104" t="s">
        <v>495</v>
      </c>
      <c r="D185" s="104" t="s">
        <v>316</v>
      </c>
      <c r="E185" s="104" t="s">
        <v>420</v>
      </c>
      <c r="G185" s="104" t="s">
        <v>1498</v>
      </c>
      <c r="H185" s="104" t="s">
        <v>1498</v>
      </c>
      <c r="I185" s="104"/>
      <c r="J185" s="104" t="s">
        <v>1580</v>
      </c>
    </row>
    <row r="186" spans="1:10" ht="15" customHeight="1" x14ac:dyDescent="0.3">
      <c r="A186" s="104" t="str">
        <f t="shared" si="2"/>
        <v>t_agr_accred_int_orgstart_dt</v>
      </c>
      <c r="B186" s="104" t="s">
        <v>94</v>
      </c>
      <c r="C186" s="104" t="s">
        <v>329</v>
      </c>
      <c r="D186" s="104" t="s">
        <v>302</v>
      </c>
      <c r="E186" s="104" t="s">
        <v>759</v>
      </c>
      <c r="G186" s="104" t="s">
        <v>1498</v>
      </c>
      <c r="H186" s="2" t="s">
        <v>1499</v>
      </c>
      <c r="I186" s="104"/>
      <c r="J186" s="104" t="s">
        <v>1527</v>
      </c>
    </row>
    <row r="187" spans="1:10" ht="15" customHeight="1" x14ac:dyDescent="0.3">
      <c r="A187" s="104" t="str">
        <f t="shared" si="2"/>
        <v>t_agr_accred_int_orgagr_accred_int_org_type_id</v>
      </c>
      <c r="B187" s="104" t="s">
        <v>94</v>
      </c>
      <c r="C187" s="104" t="s">
        <v>580</v>
      </c>
      <c r="D187" s="104" t="s">
        <v>316</v>
      </c>
      <c r="E187" s="104" t="s">
        <v>420</v>
      </c>
      <c r="G187" s="104" t="s">
        <v>1498</v>
      </c>
      <c r="H187" s="104" t="s">
        <v>1498</v>
      </c>
      <c r="I187" s="104"/>
      <c r="J187" s="104" t="s">
        <v>1622</v>
      </c>
    </row>
    <row r="188" spans="1:10" ht="15" customHeight="1" x14ac:dyDescent="0.3">
      <c r="A188" s="104" t="str">
        <f t="shared" si="2"/>
        <v>t_agr_accred_int_orgint_org_id</v>
      </c>
      <c r="B188" s="104" t="s">
        <v>94</v>
      </c>
      <c r="C188" s="104" t="s">
        <v>364</v>
      </c>
      <c r="D188" s="104" t="s">
        <v>316</v>
      </c>
      <c r="E188" s="104" t="s">
        <v>420</v>
      </c>
      <c r="G188" s="104" t="s">
        <v>1499</v>
      </c>
      <c r="H188" s="2" t="s">
        <v>1498</v>
      </c>
      <c r="I188" s="104"/>
      <c r="J188" s="104" t="s">
        <v>1623</v>
      </c>
    </row>
    <row r="189" spans="1:10" ht="15" customHeight="1" x14ac:dyDescent="0.3">
      <c r="A189" s="147" t="str">
        <f t="shared" si="2"/>
        <v>t_agr_accred_int_orgend_dt</v>
      </c>
      <c r="B189" s="147" t="s">
        <v>94</v>
      </c>
      <c r="C189" s="147" t="s">
        <v>331</v>
      </c>
      <c r="D189" s="147" t="s">
        <v>302</v>
      </c>
      <c r="E189" s="147" t="s">
        <v>420</v>
      </c>
      <c r="F189" s="141"/>
      <c r="G189" s="147" t="s">
        <v>1499</v>
      </c>
      <c r="H189" s="141" t="s">
        <v>1499</v>
      </c>
      <c r="I189" s="147"/>
      <c r="J189" s="147" t="s">
        <v>1528</v>
      </c>
    </row>
    <row r="190" spans="1:10" ht="15" customHeight="1" x14ac:dyDescent="0.3">
      <c r="A190" s="104" t="str">
        <f t="shared" si="2"/>
        <v>t_agr_accred_int_org_typeagr_accred_int_org_type_id</v>
      </c>
      <c r="B190" s="104" t="s">
        <v>1430</v>
      </c>
      <c r="C190" s="104" t="s">
        <v>580</v>
      </c>
      <c r="D190" s="104" t="s">
        <v>316</v>
      </c>
      <c r="E190" s="104" t="s">
        <v>759</v>
      </c>
      <c r="G190" s="104" t="s">
        <v>1498</v>
      </c>
      <c r="H190" s="2" t="s">
        <v>1499</v>
      </c>
      <c r="I190" s="104"/>
      <c r="J190" s="104" t="s">
        <v>1622</v>
      </c>
    </row>
    <row r="191" spans="1:10" ht="15" customHeight="1" x14ac:dyDescent="0.3">
      <c r="A191" s="104" t="str">
        <f t="shared" si="2"/>
        <v>t_agr_accred_int_org_typeagr_accred_int_org_type_cd</v>
      </c>
      <c r="B191" s="104" t="s">
        <v>1430</v>
      </c>
      <c r="C191" s="104" t="s">
        <v>1624</v>
      </c>
      <c r="D191" s="104" t="s">
        <v>320</v>
      </c>
      <c r="E191" s="104" t="s">
        <v>420</v>
      </c>
      <c r="G191" s="104" t="s">
        <v>1499</v>
      </c>
      <c r="H191" s="2" t="s">
        <v>1499</v>
      </c>
      <c r="I191" s="104"/>
      <c r="J191" s="104" t="s">
        <v>1625</v>
      </c>
    </row>
    <row r="192" spans="1:10" ht="15" customHeight="1" x14ac:dyDescent="0.3">
      <c r="A192" s="104" t="str">
        <f t="shared" si="2"/>
        <v>t_agr_accred_int_org_typeagr_accred_int_org_type_name</v>
      </c>
      <c r="B192" s="104" t="s">
        <v>1430</v>
      </c>
      <c r="C192" s="104" t="s">
        <v>1626</v>
      </c>
      <c r="D192" s="104" t="s">
        <v>320</v>
      </c>
      <c r="E192" s="104" t="s">
        <v>420</v>
      </c>
      <c r="G192" s="104" t="s">
        <v>1499</v>
      </c>
      <c r="H192" s="2" t="s">
        <v>1499</v>
      </c>
      <c r="I192" s="104"/>
      <c r="J192" s="104" t="s">
        <v>1627</v>
      </c>
    </row>
    <row r="193" spans="1:10" ht="15" customHeight="1" x14ac:dyDescent="0.3">
      <c r="A193" s="147" t="str">
        <f t="shared" si="2"/>
        <v>t_agr_accred_int_org_typehost_agr_accred_int_org_type_id</v>
      </c>
      <c r="B193" s="147" t="s">
        <v>1430</v>
      </c>
      <c r="C193" s="147" t="s">
        <v>1628</v>
      </c>
      <c r="D193" s="147" t="s">
        <v>320</v>
      </c>
      <c r="E193" s="147" t="s">
        <v>420</v>
      </c>
      <c r="F193" s="141"/>
      <c r="G193" s="147" t="s">
        <v>1499</v>
      </c>
      <c r="H193" s="141" t="s">
        <v>1499</v>
      </c>
      <c r="I193" s="147"/>
      <c r="J193" s="147" t="s">
        <v>1629</v>
      </c>
    </row>
    <row r="194" spans="1:10" ht="15" customHeight="1" x14ac:dyDescent="0.3">
      <c r="A194" s="104" t="str">
        <f t="shared" si="2"/>
        <v>t_bankbank_id</v>
      </c>
      <c r="B194" s="104" t="s">
        <v>95</v>
      </c>
      <c r="C194" s="104" t="s">
        <v>581</v>
      </c>
      <c r="D194" s="104" t="s">
        <v>316</v>
      </c>
      <c r="E194" s="104" t="s">
        <v>759</v>
      </c>
      <c r="G194" s="104" t="s">
        <v>1498</v>
      </c>
      <c r="H194" s="2" t="s">
        <v>1499</v>
      </c>
      <c r="I194" s="104"/>
      <c r="J194" s="104" t="s">
        <v>1607</v>
      </c>
    </row>
    <row r="195" spans="1:10" ht="15" customHeight="1" x14ac:dyDescent="0.3">
      <c r="A195" s="104" t="str">
        <f t="shared" si="2"/>
        <v>t_bankbank_name</v>
      </c>
      <c r="B195" s="104" t="s">
        <v>95</v>
      </c>
      <c r="C195" s="104" t="s">
        <v>583</v>
      </c>
      <c r="D195" s="104" t="s">
        <v>320</v>
      </c>
      <c r="E195" s="104" t="s">
        <v>420</v>
      </c>
      <c r="G195" s="104" t="s">
        <v>1499</v>
      </c>
      <c r="H195" s="2" t="s">
        <v>1499</v>
      </c>
      <c r="I195" s="104"/>
      <c r="J195" s="104" t="s">
        <v>1630</v>
      </c>
    </row>
    <row r="196" spans="1:10" ht="15" customHeight="1" x14ac:dyDescent="0.3">
      <c r="A196" s="104" t="str">
        <f t="shared" si="2"/>
        <v>t_bankbic_num</v>
      </c>
      <c r="B196" s="104" t="s">
        <v>95</v>
      </c>
      <c r="C196" s="104" t="s">
        <v>369</v>
      </c>
      <c r="D196" s="104" t="s">
        <v>320</v>
      </c>
      <c r="E196" s="104" t="s">
        <v>420</v>
      </c>
      <c r="G196" s="104" t="s">
        <v>1499</v>
      </c>
      <c r="H196" s="2" t="s">
        <v>1499</v>
      </c>
      <c r="I196" s="104"/>
      <c r="J196" s="104" t="s">
        <v>370</v>
      </c>
    </row>
    <row r="197" spans="1:10" ht="15" customHeight="1" x14ac:dyDescent="0.3">
      <c r="A197" s="104" t="str">
        <f t="shared" si="2"/>
        <v>t_bankrsd_flag</v>
      </c>
      <c r="B197" s="104" t="s">
        <v>95</v>
      </c>
      <c r="C197" s="104" t="s">
        <v>486</v>
      </c>
      <c r="D197" s="104" t="s">
        <v>320</v>
      </c>
      <c r="E197" s="104" t="s">
        <v>420</v>
      </c>
      <c r="G197" s="104" t="s">
        <v>1499</v>
      </c>
      <c r="H197" s="2" t="s">
        <v>1499</v>
      </c>
      <c r="I197" s="104"/>
      <c r="J197" s="104" t="s">
        <v>1631</v>
      </c>
    </row>
    <row r="198" spans="1:10" ht="15" customHeight="1" x14ac:dyDescent="0.3">
      <c r="A198" s="104" t="str">
        <f t="shared" si="2"/>
        <v>t_bankswift_num</v>
      </c>
      <c r="B198" s="104" t="s">
        <v>95</v>
      </c>
      <c r="C198" s="104" t="s">
        <v>584</v>
      </c>
      <c r="D198" s="104" t="s">
        <v>320</v>
      </c>
      <c r="E198" s="104" t="s">
        <v>420</v>
      </c>
      <c r="G198" s="104" t="s">
        <v>1499</v>
      </c>
      <c r="H198" s="2" t="s">
        <v>1499</v>
      </c>
      <c r="I198" s="104"/>
      <c r="J198" s="104" t="s">
        <v>1632</v>
      </c>
    </row>
    <row r="199" spans="1:10" ht="15" customHeight="1" x14ac:dyDescent="0.3">
      <c r="A199" s="147" t="str">
        <f t="shared" si="2"/>
        <v>t_bankhost_bank_id</v>
      </c>
      <c r="B199" s="147" t="s">
        <v>95</v>
      </c>
      <c r="C199" s="147" t="s">
        <v>585</v>
      </c>
      <c r="D199" s="147" t="s">
        <v>320</v>
      </c>
      <c r="E199" s="147" t="s">
        <v>420</v>
      </c>
      <c r="F199" s="141"/>
      <c r="G199" s="147" t="s">
        <v>1499</v>
      </c>
      <c r="H199" s="141" t="s">
        <v>1499</v>
      </c>
      <c r="I199" s="147"/>
      <c r="J199" s="147" t="s">
        <v>1633</v>
      </c>
    </row>
    <row r="200" spans="1:10" ht="15" customHeight="1" x14ac:dyDescent="0.3">
      <c r="A200" s="104" t="str">
        <f t="shared" si="2"/>
        <v>t_coacoa_id</v>
      </c>
      <c r="B200" s="104" t="s">
        <v>96</v>
      </c>
      <c r="C200" s="104" t="s">
        <v>564</v>
      </c>
      <c r="D200" s="104" t="s">
        <v>316</v>
      </c>
      <c r="E200" s="104" t="s">
        <v>759</v>
      </c>
      <c r="G200" s="104" t="s">
        <v>1498</v>
      </c>
      <c r="H200" s="2" t="s">
        <v>1499</v>
      </c>
      <c r="I200" s="104"/>
      <c r="J200" s="104" t="s">
        <v>1634</v>
      </c>
    </row>
    <row r="201" spans="1:10" ht="15" customHeight="1" x14ac:dyDescent="0.3">
      <c r="A201" s="104" t="str">
        <f t="shared" si="2"/>
        <v>t_coacoa_num</v>
      </c>
      <c r="B201" s="104" t="s">
        <v>96</v>
      </c>
      <c r="C201" s="104" t="s">
        <v>327</v>
      </c>
      <c r="D201" s="104" t="s">
        <v>320</v>
      </c>
      <c r="E201" s="104" t="s">
        <v>420</v>
      </c>
      <c r="G201" s="104" t="s">
        <v>1499</v>
      </c>
      <c r="H201" s="2" t="s">
        <v>1499</v>
      </c>
      <c r="I201" s="104"/>
      <c r="J201" s="104" t="s">
        <v>1508</v>
      </c>
    </row>
    <row r="202" spans="1:10" ht="15" customHeight="1" x14ac:dyDescent="0.3">
      <c r="A202" s="147" t="str">
        <f t="shared" si="2"/>
        <v>t_coahost_coa_id</v>
      </c>
      <c r="B202" s="147" t="s">
        <v>96</v>
      </c>
      <c r="C202" s="147" t="s">
        <v>566</v>
      </c>
      <c r="D202" s="147" t="s">
        <v>320</v>
      </c>
      <c r="E202" s="147" t="s">
        <v>420</v>
      </c>
      <c r="F202" s="141"/>
      <c r="G202" s="147" t="s">
        <v>1499</v>
      </c>
      <c r="H202" s="141" t="s">
        <v>1499</v>
      </c>
      <c r="I202" s="147"/>
      <c r="J202" s="104" t="s">
        <v>1635</v>
      </c>
    </row>
    <row r="203" spans="1:10" ht="15" customHeight="1" x14ac:dyDescent="0.3">
      <c r="A203" s="104" t="str">
        <f t="shared" si="2"/>
        <v>t_contractcontract_id</v>
      </c>
      <c r="B203" s="104" t="s">
        <v>97</v>
      </c>
      <c r="C203" s="104" t="s">
        <v>551</v>
      </c>
      <c r="D203" s="104" t="s">
        <v>316</v>
      </c>
      <c r="E203" s="104" t="s">
        <v>759</v>
      </c>
      <c r="G203" s="104" t="s">
        <v>1498</v>
      </c>
      <c r="H203" s="2" t="s">
        <v>1499</v>
      </c>
      <c r="I203" s="104"/>
      <c r="J203" s="104" t="s">
        <v>1614</v>
      </c>
    </row>
    <row r="204" spans="1:10" ht="15" customHeight="1" x14ac:dyDescent="0.3">
      <c r="A204" s="104" t="str">
        <f t="shared" si="2"/>
        <v>t_contractcontract_num</v>
      </c>
      <c r="B204" s="104" t="s">
        <v>97</v>
      </c>
      <c r="C204" s="104" t="s">
        <v>555</v>
      </c>
      <c r="D204" s="104" t="s">
        <v>320</v>
      </c>
      <c r="E204" s="104" t="s">
        <v>420</v>
      </c>
      <c r="G204" s="104" t="s">
        <v>1499</v>
      </c>
      <c r="H204" s="2" t="s">
        <v>1499</v>
      </c>
      <c r="I204" s="104"/>
      <c r="J204" s="104" t="s">
        <v>1232</v>
      </c>
    </row>
    <row r="205" spans="1:10" ht="15" customHeight="1" x14ac:dyDescent="0.3">
      <c r="A205" s="104" t="str">
        <f t="shared" si="2"/>
        <v>t_contractopen_dt</v>
      </c>
      <c r="B205" s="104" t="s">
        <v>97</v>
      </c>
      <c r="C205" s="104" t="s">
        <v>271</v>
      </c>
      <c r="D205" s="104" t="s">
        <v>302</v>
      </c>
      <c r="E205" s="104" t="s">
        <v>420</v>
      </c>
      <c r="G205" s="104" t="s">
        <v>1499</v>
      </c>
      <c r="H205" s="2" t="s">
        <v>1499</v>
      </c>
      <c r="I205" s="104"/>
      <c r="J205" s="104" t="s">
        <v>1636</v>
      </c>
    </row>
    <row r="206" spans="1:10" ht="15" customHeight="1" x14ac:dyDescent="0.3">
      <c r="A206" s="147" t="str">
        <f t="shared" si="2"/>
        <v>t_contracthost_contract_id</v>
      </c>
      <c r="B206" s="147" t="s">
        <v>97</v>
      </c>
      <c r="C206" s="147" t="s">
        <v>558</v>
      </c>
      <c r="D206" s="147" t="s">
        <v>320</v>
      </c>
      <c r="E206" s="147" t="s">
        <v>420</v>
      </c>
      <c r="F206" s="141"/>
      <c r="G206" s="147" t="s">
        <v>1499</v>
      </c>
      <c r="H206" s="141" t="s">
        <v>1499</v>
      </c>
      <c r="I206" s="147"/>
      <c r="J206" s="104" t="s">
        <v>1637</v>
      </c>
    </row>
    <row r="207" spans="1:10" ht="15" customHeight="1" x14ac:dyDescent="0.3">
      <c r="A207" s="104" t="str">
        <f t="shared" si="2"/>
        <v>t_cust_coacust_id</v>
      </c>
      <c r="B207" s="104" t="s">
        <v>98</v>
      </c>
      <c r="C207" s="104" t="s">
        <v>347</v>
      </c>
      <c r="D207" s="104" t="s">
        <v>316</v>
      </c>
      <c r="E207" s="104" t="s">
        <v>420</v>
      </c>
      <c r="G207" s="104" t="s">
        <v>1498</v>
      </c>
      <c r="H207" s="104" t="s">
        <v>1498</v>
      </c>
      <c r="I207" s="104"/>
      <c r="J207" s="104" t="s">
        <v>1526</v>
      </c>
    </row>
    <row r="208" spans="1:10" ht="15" customHeight="1" x14ac:dyDescent="0.3">
      <c r="A208" s="104" t="str">
        <f t="shared" si="2"/>
        <v>t_cust_coaagr_accred_id</v>
      </c>
      <c r="B208" s="104" t="s">
        <v>98</v>
      </c>
      <c r="C208" s="104" t="s">
        <v>495</v>
      </c>
      <c r="D208" s="104" t="s">
        <v>316</v>
      </c>
      <c r="E208" s="104" t="s">
        <v>420</v>
      </c>
      <c r="G208" s="104" t="s">
        <v>1498</v>
      </c>
      <c r="H208" s="104" t="s">
        <v>1498</v>
      </c>
      <c r="I208" s="104"/>
      <c r="J208" s="104" t="s">
        <v>1580</v>
      </c>
    </row>
    <row r="209" spans="1:10" ht="15" customHeight="1" x14ac:dyDescent="0.3">
      <c r="A209" s="104" t="str">
        <f t="shared" si="2"/>
        <v>t_cust_coacoa_id</v>
      </c>
      <c r="B209" s="104" t="s">
        <v>98</v>
      </c>
      <c r="C209" s="104" t="s">
        <v>564</v>
      </c>
      <c r="D209" s="104" t="s">
        <v>316</v>
      </c>
      <c r="E209" s="104" t="s">
        <v>420</v>
      </c>
      <c r="G209" s="104" t="s">
        <v>1498</v>
      </c>
      <c r="H209" s="104" t="s">
        <v>1498</v>
      </c>
      <c r="I209" s="104"/>
      <c r="J209" s="104" t="s">
        <v>1634</v>
      </c>
    </row>
    <row r="210" spans="1:10" ht="15" customHeight="1" x14ac:dyDescent="0.3">
      <c r="A210" s="147" t="str">
        <f t="shared" si="2"/>
        <v>t_cust_coacust_coa_type_id</v>
      </c>
      <c r="B210" s="147" t="s">
        <v>98</v>
      </c>
      <c r="C210" s="147" t="s">
        <v>568</v>
      </c>
      <c r="D210" s="147" t="s">
        <v>316</v>
      </c>
      <c r="E210" s="147" t="s">
        <v>420</v>
      </c>
      <c r="F210" s="141"/>
      <c r="G210" s="147" t="s">
        <v>1498</v>
      </c>
      <c r="H210" s="147" t="s">
        <v>1498</v>
      </c>
      <c r="I210" s="147"/>
      <c r="J210" s="104" t="s">
        <v>1638</v>
      </c>
    </row>
    <row r="211" spans="1:10" ht="15" customHeight="1" x14ac:dyDescent="0.3">
      <c r="A211" s="104" t="str">
        <f t="shared" si="2"/>
        <v>t_cust_coa_typecust_coa_type_id</v>
      </c>
      <c r="B211" s="104" t="s">
        <v>1435</v>
      </c>
      <c r="C211" s="104" t="s">
        <v>568</v>
      </c>
      <c r="D211" s="104" t="s">
        <v>316</v>
      </c>
      <c r="E211" s="104" t="s">
        <v>759</v>
      </c>
      <c r="G211" s="104" t="s">
        <v>1498</v>
      </c>
      <c r="H211" s="2" t="s">
        <v>1499</v>
      </c>
      <c r="I211" s="104"/>
      <c r="J211" s="104" t="s">
        <v>1638</v>
      </c>
    </row>
    <row r="212" spans="1:10" ht="15" customHeight="1" x14ac:dyDescent="0.3">
      <c r="A212" s="104" t="str">
        <f t="shared" si="2"/>
        <v>t_cust_coa_typecust_coa_type_cd</v>
      </c>
      <c r="B212" s="104" t="s">
        <v>1435</v>
      </c>
      <c r="C212" s="104" t="s">
        <v>1639</v>
      </c>
      <c r="D212" s="104" t="s">
        <v>320</v>
      </c>
      <c r="E212" s="104" t="s">
        <v>420</v>
      </c>
      <c r="G212" s="104" t="s">
        <v>1499</v>
      </c>
      <c r="H212" s="2" t="s">
        <v>1499</v>
      </c>
      <c r="I212" s="104"/>
      <c r="J212" s="104" t="s">
        <v>1640</v>
      </c>
    </row>
    <row r="213" spans="1:10" ht="15" customHeight="1" x14ac:dyDescent="0.3">
      <c r="A213" s="104" t="str">
        <f t="shared" si="2"/>
        <v>t_cust_coa_typecust_coa_type_name</v>
      </c>
      <c r="B213" s="104" t="s">
        <v>1435</v>
      </c>
      <c r="C213" s="104" t="s">
        <v>1641</v>
      </c>
      <c r="D213" s="104" t="s">
        <v>320</v>
      </c>
      <c r="E213" s="104" t="s">
        <v>420</v>
      </c>
      <c r="G213" s="104" t="s">
        <v>1499</v>
      </c>
      <c r="H213" s="2" t="s">
        <v>1499</v>
      </c>
      <c r="I213" s="104"/>
      <c r="J213" s="104" t="s">
        <v>1642</v>
      </c>
    </row>
    <row r="214" spans="1:10" ht="15" customHeight="1" x14ac:dyDescent="0.3">
      <c r="A214" s="147" t="str">
        <f t="shared" si="2"/>
        <v>t_cust_coa_typehost_cust_coa_type_id</v>
      </c>
      <c r="B214" s="147" t="s">
        <v>1435</v>
      </c>
      <c r="C214" s="147" t="s">
        <v>1643</v>
      </c>
      <c r="D214" s="147" t="s">
        <v>320</v>
      </c>
      <c r="E214" s="147" t="s">
        <v>420</v>
      </c>
      <c r="F214" s="141"/>
      <c r="G214" s="147" t="s">
        <v>1499</v>
      </c>
      <c r="H214" s="141" t="s">
        <v>1499</v>
      </c>
      <c r="I214" s="147"/>
      <c r="J214" s="104" t="s">
        <v>1644</v>
      </c>
    </row>
    <row r="215" spans="1:10" ht="15" customHeight="1" x14ac:dyDescent="0.3">
      <c r="A215" s="104" t="str">
        <f t="shared" si="2"/>
        <v>t_cust_ind_idfncust_id</v>
      </c>
      <c r="B215" s="104" t="s">
        <v>99</v>
      </c>
      <c r="C215" s="104" t="s">
        <v>347</v>
      </c>
      <c r="D215" s="104" t="s">
        <v>316</v>
      </c>
      <c r="E215" s="104" t="s">
        <v>420</v>
      </c>
      <c r="G215" s="104" t="s">
        <v>1498</v>
      </c>
      <c r="H215" s="104" t="s">
        <v>1498</v>
      </c>
      <c r="I215" s="104"/>
      <c r="J215" s="104" t="s">
        <v>1526</v>
      </c>
    </row>
    <row r="216" spans="1:10" ht="15" customHeight="1" x14ac:dyDescent="0.3">
      <c r="A216" s="104" t="str">
        <f t="shared" ref="A216:A279" si="3">B216&amp;C216</f>
        <v>t_cust_ind_idfninn_num</v>
      </c>
      <c r="B216" s="104" t="s">
        <v>99</v>
      </c>
      <c r="C216" s="104" t="s">
        <v>485</v>
      </c>
      <c r="D216" s="104" t="s">
        <v>320</v>
      </c>
      <c r="E216" s="104" t="s">
        <v>420</v>
      </c>
      <c r="G216" s="104" t="s">
        <v>1499</v>
      </c>
      <c r="H216" s="2" t="s">
        <v>1499</v>
      </c>
      <c r="I216" s="104"/>
      <c r="J216" s="104" t="s">
        <v>1540</v>
      </c>
    </row>
    <row r="217" spans="1:10" ht="15" customHeight="1" x14ac:dyDescent="0.3">
      <c r="A217" s="104" t="str">
        <f t="shared" si="3"/>
        <v>t_cust_ind_idfnrsd_flag</v>
      </c>
      <c r="B217" s="104" t="s">
        <v>99</v>
      </c>
      <c r="C217" s="104" t="s">
        <v>486</v>
      </c>
      <c r="D217" s="104" t="s">
        <v>320</v>
      </c>
      <c r="E217" s="104" t="s">
        <v>420</v>
      </c>
      <c r="G217" s="104" t="s">
        <v>1499</v>
      </c>
      <c r="H217" s="2" t="s">
        <v>1499</v>
      </c>
      <c r="I217" s="104"/>
      <c r="J217" s="104" t="s">
        <v>1631</v>
      </c>
    </row>
    <row r="218" spans="1:10" ht="15" customHeight="1" x14ac:dyDescent="0.3">
      <c r="A218" s="147" t="str">
        <f t="shared" si="3"/>
        <v>t_cust_ind_idfnshort_name</v>
      </c>
      <c r="B218" s="147" t="s">
        <v>99</v>
      </c>
      <c r="C218" s="147" t="s">
        <v>484</v>
      </c>
      <c r="D218" s="147" t="s">
        <v>320</v>
      </c>
      <c r="E218" s="147" t="s">
        <v>420</v>
      </c>
      <c r="F218" s="141"/>
      <c r="G218" s="147" t="s">
        <v>1499</v>
      </c>
      <c r="H218" s="141" t="s">
        <v>1499</v>
      </c>
      <c r="I218" s="147"/>
      <c r="J218" s="104" t="s">
        <v>1645</v>
      </c>
    </row>
    <row r="219" spans="1:10" ht="15" customHeight="1" x14ac:dyDescent="0.3">
      <c r="A219" s="104" t="str">
        <f t="shared" si="3"/>
        <v>t_optn$glshost_external_agr_id</v>
      </c>
      <c r="B219" s="104" t="s">
        <v>34</v>
      </c>
      <c r="C219" s="104" t="s">
        <v>441</v>
      </c>
      <c r="D219" s="104" t="s">
        <v>320</v>
      </c>
      <c r="E219" s="104" t="s">
        <v>420</v>
      </c>
      <c r="G219" s="104" t="s">
        <v>1499</v>
      </c>
      <c r="H219" s="2" t="s">
        <v>1499</v>
      </c>
      <c r="I219" s="104"/>
      <c r="J219" s="104" t="s">
        <v>1572</v>
      </c>
    </row>
    <row r="220" spans="1:10" ht="15" customHeight="1" x14ac:dyDescent="0.3">
      <c r="A220" s="104" t="str">
        <f t="shared" si="3"/>
        <v>t_optn$glscrd_coa_num</v>
      </c>
      <c r="B220" s="104" t="s">
        <v>34</v>
      </c>
      <c r="C220" s="104" t="s">
        <v>442</v>
      </c>
      <c r="D220" s="104" t="s">
        <v>320</v>
      </c>
      <c r="E220" s="104" t="s">
        <v>420</v>
      </c>
      <c r="G220" s="104" t="s">
        <v>1499</v>
      </c>
      <c r="H220" s="2" t="s">
        <v>1499</v>
      </c>
      <c r="I220" s="104"/>
      <c r="J220" s="104" t="s">
        <v>1646</v>
      </c>
    </row>
    <row r="221" spans="1:10" ht="15" customHeight="1" x14ac:dyDescent="0.3">
      <c r="A221" s="104" t="str">
        <f t="shared" si="3"/>
        <v>t_optn$glshost_crd_optn_id</v>
      </c>
      <c r="B221" s="104" t="s">
        <v>34</v>
      </c>
      <c r="C221" s="104" t="s">
        <v>443</v>
      </c>
      <c r="D221" s="104" t="s">
        <v>320</v>
      </c>
      <c r="E221" s="104" t="s">
        <v>420</v>
      </c>
      <c r="G221" s="104" t="s">
        <v>1499</v>
      </c>
      <c r="H221" s="2" t="s">
        <v>1499</v>
      </c>
      <c r="I221" s="104"/>
      <c r="J221" s="104" t="s">
        <v>1647</v>
      </c>
    </row>
    <row r="222" spans="1:10" ht="15" customHeight="1" x14ac:dyDescent="0.3">
      <c r="A222" s="104" t="str">
        <f t="shared" si="3"/>
        <v>t_optn$glscrd_registry_id</v>
      </c>
      <c r="B222" s="104" t="s">
        <v>34</v>
      </c>
      <c r="C222" s="104" t="s">
        <v>444</v>
      </c>
      <c r="D222" s="104" t="s">
        <v>316</v>
      </c>
      <c r="E222" s="104" t="s">
        <v>420</v>
      </c>
      <c r="G222" s="104" t="s">
        <v>1499</v>
      </c>
      <c r="H222" s="2" t="s">
        <v>1498</v>
      </c>
      <c r="I222" s="104"/>
      <c r="J222" s="104" t="s">
        <v>1648</v>
      </c>
    </row>
    <row r="223" spans="1:10" ht="15" customHeight="1" x14ac:dyDescent="0.3">
      <c r="A223" s="104" t="str">
        <f t="shared" si="3"/>
        <v>t_optn$glsdbt_coa_num</v>
      </c>
      <c r="B223" s="104" t="s">
        <v>34</v>
      </c>
      <c r="C223" s="104" t="s">
        <v>445</v>
      </c>
      <c r="D223" s="104" t="s">
        <v>320</v>
      </c>
      <c r="E223" s="104" t="s">
        <v>420</v>
      </c>
      <c r="G223" s="104" t="s">
        <v>1499</v>
      </c>
      <c r="H223" s="2" t="s">
        <v>1499</v>
      </c>
      <c r="I223" s="104"/>
      <c r="J223" s="104" t="s">
        <v>1649</v>
      </c>
    </row>
    <row r="224" spans="1:10" ht="15" customHeight="1" x14ac:dyDescent="0.3">
      <c r="A224" s="104" t="str">
        <f t="shared" si="3"/>
        <v>t_optn$glshost_dbt_optn_id</v>
      </c>
      <c r="B224" s="104" t="s">
        <v>34</v>
      </c>
      <c r="C224" s="104" t="s">
        <v>446</v>
      </c>
      <c r="D224" s="104" t="s">
        <v>320</v>
      </c>
      <c r="E224" s="104" t="s">
        <v>420</v>
      </c>
      <c r="G224" s="104" t="s">
        <v>1499</v>
      </c>
      <c r="H224" s="2" t="s">
        <v>1499</v>
      </c>
      <c r="I224" s="104"/>
      <c r="J224" s="104" t="s">
        <v>1650</v>
      </c>
    </row>
    <row r="225" spans="1:10" ht="15" customHeight="1" x14ac:dyDescent="0.3">
      <c r="A225" s="147" t="str">
        <f t="shared" si="3"/>
        <v>t_optn$glsdbt_registry_id</v>
      </c>
      <c r="B225" s="147" t="s">
        <v>34</v>
      </c>
      <c r="C225" s="147" t="s">
        <v>447</v>
      </c>
      <c r="D225" s="147" t="s">
        <v>316</v>
      </c>
      <c r="E225" s="147" t="s">
        <v>420</v>
      </c>
      <c r="F225" s="141"/>
      <c r="G225" s="147" t="s">
        <v>1499</v>
      </c>
      <c r="H225" s="141" t="s">
        <v>1498</v>
      </c>
      <c r="I225" s="147"/>
      <c r="J225" s="147" t="s">
        <v>1651</v>
      </c>
    </row>
    <row r="226" spans="1:10" ht="15" customHeight="1" x14ac:dyDescent="0.3">
      <c r="A226" s="104" t="str">
        <f t="shared" si="3"/>
        <v>t_registry$gls_clsfctnregistry_id</v>
      </c>
      <c r="B226" s="104" t="s">
        <v>100</v>
      </c>
      <c r="C226" s="104" t="s">
        <v>315</v>
      </c>
      <c r="D226" s="104" t="s">
        <v>316</v>
      </c>
      <c r="E226" s="104" t="s">
        <v>759</v>
      </c>
      <c r="G226" s="104" t="s">
        <v>1498</v>
      </c>
      <c r="H226" s="2" t="s">
        <v>1499</v>
      </c>
      <c r="I226" s="104"/>
      <c r="J226" s="104" t="s">
        <v>1506</v>
      </c>
    </row>
    <row r="227" spans="1:10" ht="15" customHeight="1" x14ac:dyDescent="0.3">
      <c r="A227" s="147" t="str">
        <f t="shared" si="3"/>
        <v>t_registry$gls_clsfctnregistry_kind_cd</v>
      </c>
      <c r="B227" s="147" t="s">
        <v>100</v>
      </c>
      <c r="C227" s="147" t="s">
        <v>577</v>
      </c>
      <c r="D227" s="147" t="s">
        <v>320</v>
      </c>
      <c r="E227" s="147" t="s">
        <v>420</v>
      </c>
      <c r="F227" s="141"/>
      <c r="G227" s="147" t="s">
        <v>1499</v>
      </c>
      <c r="H227" s="141" t="s">
        <v>1499</v>
      </c>
      <c r="I227" s="147"/>
      <c r="J227" s="147" t="s">
        <v>1652</v>
      </c>
    </row>
    <row r="228" spans="1:10" ht="15" customHeight="1" x14ac:dyDescent="0.3">
      <c r="A228" s="104" t="str">
        <f t="shared" si="3"/>
        <v>t_agr_otheragr_other_id</v>
      </c>
      <c r="B228" s="104" t="s">
        <v>136</v>
      </c>
      <c r="C228" s="104" t="s">
        <v>589</v>
      </c>
      <c r="D228" s="104" t="s">
        <v>1497</v>
      </c>
      <c r="E228" s="104" t="s">
        <v>759</v>
      </c>
      <c r="F228" s="104"/>
      <c r="G228" s="104" t="s">
        <v>1498</v>
      </c>
      <c r="H228" s="104" t="s">
        <v>1499</v>
      </c>
      <c r="I228" s="104"/>
      <c r="J228" s="104" t="s">
        <v>325</v>
      </c>
    </row>
    <row r="229" spans="1:10" ht="15" customHeight="1" x14ac:dyDescent="0.3">
      <c r="A229" s="104" t="str">
        <f t="shared" si="3"/>
        <v>t_agr_otheropen_dt</v>
      </c>
      <c r="B229" s="104" t="s">
        <v>136</v>
      </c>
      <c r="C229" s="104" t="s">
        <v>271</v>
      </c>
      <c r="D229" s="104" t="s">
        <v>1504</v>
      </c>
      <c r="E229" s="104" t="s">
        <v>420</v>
      </c>
      <c r="F229" s="104"/>
      <c r="G229" s="104" t="s">
        <v>1499</v>
      </c>
      <c r="H229" s="104" t="s">
        <v>1499</v>
      </c>
      <c r="I229" s="104"/>
      <c r="J229" s="104" t="s">
        <v>1570</v>
      </c>
    </row>
    <row r="230" spans="1:10" ht="15" customHeight="1" x14ac:dyDescent="0.3">
      <c r="A230" s="104" t="str">
        <f t="shared" si="3"/>
        <v>t_agr_othersigned_dt</v>
      </c>
      <c r="B230" s="104" t="s">
        <v>136</v>
      </c>
      <c r="C230" s="104" t="s">
        <v>274</v>
      </c>
      <c r="D230" s="104" t="s">
        <v>1504</v>
      </c>
      <c r="E230" s="104" t="s">
        <v>420</v>
      </c>
      <c r="F230" s="104"/>
      <c r="G230" s="104" t="s">
        <v>1499</v>
      </c>
      <c r="H230" s="104" t="s">
        <v>1499</v>
      </c>
      <c r="I230" s="104"/>
      <c r="J230" s="104" t="s">
        <v>1505</v>
      </c>
    </row>
    <row r="231" spans="1:10" ht="15" customHeight="1" x14ac:dyDescent="0.3">
      <c r="A231" s="104" t="str">
        <f t="shared" si="3"/>
        <v>t_agr_otheragr_other_type_id</v>
      </c>
      <c r="B231" s="104" t="s">
        <v>136</v>
      </c>
      <c r="C231" s="153" t="s">
        <v>1653</v>
      </c>
      <c r="D231" s="104" t="s">
        <v>1497</v>
      </c>
      <c r="E231" s="104" t="s">
        <v>420</v>
      </c>
      <c r="F231" s="104"/>
      <c r="G231" s="104" t="s">
        <v>1499</v>
      </c>
      <c r="H231" s="104" t="s">
        <v>1498</v>
      </c>
      <c r="I231" s="104"/>
      <c r="J231" s="104" t="s">
        <v>1654</v>
      </c>
    </row>
    <row r="232" spans="1:10" ht="15" customHeight="1" x14ac:dyDescent="0.3">
      <c r="A232" s="104" t="str">
        <f t="shared" si="3"/>
        <v>t_agr_otherclose_dt</v>
      </c>
      <c r="B232" s="104" t="s">
        <v>136</v>
      </c>
      <c r="C232" s="104" t="s">
        <v>275</v>
      </c>
      <c r="D232" s="104" t="s">
        <v>1504</v>
      </c>
      <c r="E232" s="104" t="s">
        <v>420</v>
      </c>
      <c r="F232" s="104"/>
      <c r="G232" s="104" t="s">
        <v>1499</v>
      </c>
      <c r="H232" s="104" t="s">
        <v>1499</v>
      </c>
      <c r="I232" s="104"/>
      <c r="J232" s="104" t="s">
        <v>1278</v>
      </c>
    </row>
    <row r="233" spans="1:10" ht="15" customHeight="1" x14ac:dyDescent="0.3">
      <c r="A233" s="104" t="str">
        <f t="shared" si="3"/>
        <v>t_agr_otheragr_num</v>
      </c>
      <c r="B233" s="104" t="s">
        <v>136</v>
      </c>
      <c r="C233" s="104" t="s">
        <v>591</v>
      </c>
      <c r="D233" s="104" t="s">
        <v>1501</v>
      </c>
      <c r="E233" s="104" t="s">
        <v>420</v>
      </c>
      <c r="F233" s="104"/>
      <c r="G233" s="104" t="s">
        <v>1499</v>
      </c>
      <c r="H233" s="104" t="s">
        <v>1499</v>
      </c>
      <c r="I233" s="104"/>
      <c r="J233" s="104" t="s">
        <v>763</v>
      </c>
    </row>
    <row r="234" spans="1:10" ht="15" customHeight="1" x14ac:dyDescent="0.3">
      <c r="A234" s="104" t="str">
        <f t="shared" si="3"/>
        <v>t_agr_otherissuer_agr_num</v>
      </c>
      <c r="B234" s="104" t="s">
        <v>136</v>
      </c>
      <c r="C234" s="104" t="s">
        <v>506</v>
      </c>
      <c r="D234" s="104" t="s">
        <v>1501</v>
      </c>
      <c r="E234" s="104" t="s">
        <v>420</v>
      </c>
      <c r="F234" s="104"/>
      <c r="G234" s="104" t="s">
        <v>1499</v>
      </c>
      <c r="H234" s="104" t="s">
        <v>1499</v>
      </c>
      <c r="I234" s="104"/>
      <c r="J234" s="104" t="s">
        <v>1655</v>
      </c>
    </row>
    <row r="235" spans="1:10" ht="15" customHeight="1" x14ac:dyDescent="0.3">
      <c r="A235" s="104" t="str">
        <f t="shared" si="3"/>
        <v>t_agr_otheragr_other_categ_id</v>
      </c>
      <c r="B235" s="104" t="s">
        <v>136</v>
      </c>
      <c r="C235" s="104" t="s">
        <v>593</v>
      </c>
      <c r="D235" s="104" t="s">
        <v>1497</v>
      </c>
      <c r="E235" s="104" t="s">
        <v>420</v>
      </c>
      <c r="F235" s="104"/>
      <c r="G235" s="104" t="s">
        <v>1499</v>
      </c>
      <c r="H235" s="104" t="s">
        <v>1498</v>
      </c>
      <c r="I235" s="104"/>
      <c r="J235" s="104" t="s">
        <v>1656</v>
      </c>
    </row>
    <row r="236" spans="1:10" ht="15" customHeight="1" x14ac:dyDescent="0.3">
      <c r="A236" s="104" t="str">
        <f t="shared" si="3"/>
        <v>t_agr_otherhost_agr_other_id</v>
      </c>
      <c r="B236" s="104" t="s">
        <v>136</v>
      </c>
      <c r="C236" s="104" t="s">
        <v>595</v>
      </c>
      <c r="D236" s="104" t="s">
        <v>1501</v>
      </c>
      <c r="E236" s="104" t="s">
        <v>420</v>
      </c>
      <c r="F236" s="104"/>
      <c r="G236" s="104" t="s">
        <v>1499</v>
      </c>
      <c r="H236" s="104" t="s">
        <v>1499</v>
      </c>
      <c r="I236" s="104"/>
      <c r="J236" s="104" t="s">
        <v>1572</v>
      </c>
    </row>
    <row r="237" spans="1:10" ht="15" customHeight="1" x14ac:dyDescent="0.3">
      <c r="A237" s="104" t="str">
        <f t="shared" si="3"/>
        <v>t_agr_otherstart_sum_crncy_amt</v>
      </c>
      <c r="B237" s="104" t="s">
        <v>136</v>
      </c>
      <c r="C237" s="104" t="s">
        <v>283</v>
      </c>
      <c r="D237" s="104" t="s">
        <v>1555</v>
      </c>
      <c r="E237" s="104" t="s">
        <v>420</v>
      </c>
      <c r="F237" s="104"/>
      <c r="G237" s="104" t="s">
        <v>1499</v>
      </c>
      <c r="H237" s="104" t="s">
        <v>1499</v>
      </c>
      <c r="I237" s="104"/>
      <c r="J237" s="104" t="s">
        <v>844</v>
      </c>
    </row>
    <row r="238" spans="1:10" ht="15" customHeight="1" x14ac:dyDescent="0.3">
      <c r="A238" s="104" t="str">
        <f t="shared" si="3"/>
        <v>t_agr_othercrncy_id</v>
      </c>
      <c r="B238" s="104" t="s">
        <v>136</v>
      </c>
      <c r="C238" s="104" t="s">
        <v>380</v>
      </c>
      <c r="D238" s="104" t="s">
        <v>1497</v>
      </c>
      <c r="E238" s="104" t="s">
        <v>420</v>
      </c>
      <c r="F238" s="104"/>
      <c r="G238" s="104" t="s">
        <v>1499</v>
      </c>
      <c r="H238" s="104" t="s">
        <v>1498</v>
      </c>
      <c r="I238" s="104"/>
      <c r="J238" s="104" t="s">
        <v>1500</v>
      </c>
    </row>
    <row r="239" spans="1:10" ht="15" customHeight="1" x14ac:dyDescent="0.3">
      <c r="A239" s="104" t="str">
        <f t="shared" si="3"/>
        <v>t_agr_otherexpiration_dt</v>
      </c>
      <c r="B239" s="104" t="s">
        <v>136</v>
      </c>
      <c r="C239" s="104" t="s">
        <v>291</v>
      </c>
      <c r="D239" s="104" t="s">
        <v>302</v>
      </c>
      <c r="E239" s="147" t="s">
        <v>420</v>
      </c>
      <c r="F239" s="141"/>
      <c r="G239" s="147" t="s">
        <v>1499</v>
      </c>
      <c r="H239" s="104" t="s">
        <v>1499</v>
      </c>
      <c r="I239" s="104"/>
      <c r="J239" s="104" t="s">
        <v>1191</v>
      </c>
    </row>
    <row r="240" spans="1:10" ht="15" customHeight="1" x14ac:dyDescent="0.3">
      <c r="A240" s="104" t="str">
        <f t="shared" si="3"/>
        <v>t_agr_other_bankagr_other_id</v>
      </c>
      <c r="B240" s="104" t="s">
        <v>144</v>
      </c>
      <c r="C240" s="104" t="s">
        <v>589</v>
      </c>
      <c r="D240" s="104" t="s">
        <v>316</v>
      </c>
      <c r="E240" s="104" t="s">
        <v>420</v>
      </c>
      <c r="G240" s="104" t="s">
        <v>1498</v>
      </c>
      <c r="H240" s="104" t="s">
        <v>1498</v>
      </c>
      <c r="I240" s="104"/>
      <c r="J240" s="104" t="s">
        <v>325</v>
      </c>
    </row>
    <row r="241" spans="1:10" ht="15" customHeight="1" x14ac:dyDescent="0.3">
      <c r="A241" s="104" t="str">
        <f t="shared" si="3"/>
        <v>t_agr_other_bankstart_dt</v>
      </c>
      <c r="B241" s="104" t="s">
        <v>144</v>
      </c>
      <c r="C241" s="104" t="s">
        <v>329</v>
      </c>
      <c r="D241" s="104" t="s">
        <v>302</v>
      </c>
      <c r="E241" s="104" t="s">
        <v>759</v>
      </c>
      <c r="G241" s="104" t="s">
        <v>1498</v>
      </c>
      <c r="H241" s="104" t="s">
        <v>1499</v>
      </c>
      <c r="I241" s="104"/>
      <c r="J241" s="104" t="s">
        <v>1527</v>
      </c>
    </row>
    <row r="242" spans="1:10" ht="15" customHeight="1" x14ac:dyDescent="0.3">
      <c r="A242" s="104" t="str">
        <f t="shared" si="3"/>
        <v>t_agr_other_bankagr_other_bank_type_id</v>
      </c>
      <c r="B242" s="104" t="s">
        <v>144</v>
      </c>
      <c r="C242" s="104" t="s">
        <v>600</v>
      </c>
      <c r="D242" s="104" t="s">
        <v>316</v>
      </c>
      <c r="E242" s="104" t="s">
        <v>420</v>
      </c>
      <c r="G242" s="104" t="s">
        <v>1498</v>
      </c>
      <c r="H242" s="104" t="s">
        <v>1498</v>
      </c>
      <c r="I242" s="104"/>
      <c r="J242" s="104" t="s">
        <v>1657</v>
      </c>
    </row>
    <row r="243" spans="1:10" ht="15" customHeight="1" x14ac:dyDescent="0.3">
      <c r="A243" s="104" t="str">
        <f t="shared" si="3"/>
        <v>t_agr_other_bankbank_id</v>
      </c>
      <c r="B243" s="104" t="s">
        <v>144</v>
      </c>
      <c r="C243" s="104" t="s">
        <v>581</v>
      </c>
      <c r="D243" s="104" t="s">
        <v>316</v>
      </c>
      <c r="E243" s="104" t="s">
        <v>420</v>
      </c>
      <c r="G243" s="104" t="s">
        <v>1499</v>
      </c>
      <c r="H243" s="104" t="s">
        <v>1498</v>
      </c>
      <c r="I243" s="104"/>
      <c r="J243" s="104" t="s">
        <v>1607</v>
      </c>
    </row>
    <row r="244" spans="1:10" ht="15" customHeight="1" x14ac:dyDescent="0.3">
      <c r="A244" s="104" t="str">
        <f t="shared" si="3"/>
        <v>t_agr_other_bankend_dt</v>
      </c>
      <c r="B244" s="104" t="s">
        <v>144</v>
      </c>
      <c r="C244" s="104" t="s">
        <v>331</v>
      </c>
      <c r="D244" s="104" t="s">
        <v>302</v>
      </c>
      <c r="E244" s="147" t="s">
        <v>420</v>
      </c>
      <c r="F244" s="141"/>
      <c r="G244" s="147" t="s">
        <v>1499</v>
      </c>
      <c r="H244" s="104" t="s">
        <v>1499</v>
      </c>
      <c r="I244" s="104"/>
      <c r="J244" s="104" t="s">
        <v>1528</v>
      </c>
    </row>
    <row r="245" spans="1:10" ht="15" customHeight="1" x14ac:dyDescent="0.3">
      <c r="A245" s="104" t="str">
        <f t="shared" si="3"/>
        <v>t_agr_other_bank_typeagr_other_bank_type_id</v>
      </c>
      <c r="B245" s="104" t="s">
        <v>145</v>
      </c>
      <c r="C245" s="104" t="s">
        <v>600</v>
      </c>
      <c r="D245" s="104" t="s">
        <v>316</v>
      </c>
      <c r="E245" s="104" t="s">
        <v>759</v>
      </c>
      <c r="F245" s="104"/>
      <c r="G245" s="104" t="s">
        <v>1498</v>
      </c>
      <c r="H245" s="104" t="s">
        <v>1499</v>
      </c>
      <c r="I245" s="104"/>
      <c r="J245" s="104" t="s">
        <v>1657</v>
      </c>
    </row>
    <row r="246" spans="1:10" ht="15" customHeight="1" x14ac:dyDescent="0.3">
      <c r="A246" s="104" t="str">
        <f t="shared" si="3"/>
        <v>t_agr_other_bank_typeagr_other_bank_type_cd</v>
      </c>
      <c r="B246" s="104" t="s">
        <v>145</v>
      </c>
      <c r="C246" s="104" t="s">
        <v>1658</v>
      </c>
      <c r="D246" s="104" t="s">
        <v>320</v>
      </c>
      <c r="E246" s="104" t="s">
        <v>420</v>
      </c>
      <c r="F246" s="104"/>
      <c r="G246" s="104" t="s">
        <v>1499</v>
      </c>
      <c r="H246" s="104" t="s">
        <v>1499</v>
      </c>
      <c r="I246" s="104"/>
      <c r="J246" s="104" t="s">
        <v>1659</v>
      </c>
    </row>
    <row r="247" spans="1:10" ht="15" customHeight="1" x14ac:dyDescent="0.3">
      <c r="A247" s="104" t="str">
        <f t="shared" si="3"/>
        <v>t_agr_other_bank_typeagr_other_bank_type_name</v>
      </c>
      <c r="B247" s="104" t="s">
        <v>145</v>
      </c>
      <c r="C247" s="104" t="s">
        <v>1660</v>
      </c>
      <c r="D247" s="104" t="s">
        <v>320</v>
      </c>
      <c r="E247" s="104" t="s">
        <v>420</v>
      </c>
      <c r="F247" s="104"/>
      <c r="G247" s="104" t="s">
        <v>1499</v>
      </c>
      <c r="H247" s="104" t="s">
        <v>1499</v>
      </c>
      <c r="I247" s="104"/>
      <c r="J247" s="104" t="s">
        <v>1661</v>
      </c>
    </row>
    <row r="248" spans="1:10" ht="15" customHeight="1" x14ac:dyDescent="0.3">
      <c r="A248" s="104" t="str">
        <f t="shared" si="3"/>
        <v>t_agr_other_categagr_other_categ_id</v>
      </c>
      <c r="B248" s="104" t="s">
        <v>142</v>
      </c>
      <c r="C248" s="104" t="s">
        <v>593</v>
      </c>
      <c r="D248" s="104" t="s">
        <v>1497</v>
      </c>
      <c r="E248" s="104" t="s">
        <v>759</v>
      </c>
      <c r="F248" s="104"/>
      <c r="G248" s="104" t="s">
        <v>1498</v>
      </c>
      <c r="H248" s="104" t="s">
        <v>1499</v>
      </c>
      <c r="I248" s="104"/>
      <c r="J248" s="104" t="s">
        <v>1656</v>
      </c>
    </row>
    <row r="249" spans="1:10" ht="15" customHeight="1" x14ac:dyDescent="0.3">
      <c r="A249" s="104" t="str">
        <f t="shared" si="3"/>
        <v>t_agr_other_categagr_other_categ_name</v>
      </c>
      <c r="B249" s="104" t="s">
        <v>142</v>
      </c>
      <c r="C249" s="104" t="s">
        <v>1662</v>
      </c>
      <c r="D249" s="104" t="s">
        <v>1501</v>
      </c>
      <c r="E249" s="104" t="s">
        <v>420</v>
      </c>
      <c r="F249" s="104"/>
      <c r="G249" s="104" t="s">
        <v>1499</v>
      </c>
      <c r="H249" s="104" t="s">
        <v>1499</v>
      </c>
      <c r="I249" s="104"/>
      <c r="J249" s="104" t="s">
        <v>1663</v>
      </c>
    </row>
    <row r="250" spans="1:10" ht="15" customHeight="1" x14ac:dyDescent="0.3">
      <c r="A250" s="104" t="str">
        <f t="shared" si="3"/>
        <v>t_agr_other_custagr_other_id</v>
      </c>
      <c r="B250" s="104" t="s">
        <v>138</v>
      </c>
      <c r="C250" s="104" t="s">
        <v>589</v>
      </c>
      <c r="D250" s="104" t="s">
        <v>1497</v>
      </c>
      <c r="E250" s="104" t="s">
        <v>759</v>
      </c>
      <c r="F250" s="104"/>
      <c r="G250" s="104" t="s">
        <v>1498</v>
      </c>
      <c r="H250" s="104" t="s">
        <v>1498</v>
      </c>
      <c r="I250" s="104"/>
      <c r="J250" s="104" t="s">
        <v>325</v>
      </c>
    </row>
    <row r="251" spans="1:10" ht="15" customHeight="1" x14ac:dyDescent="0.3">
      <c r="A251" s="104" t="str">
        <f t="shared" si="3"/>
        <v>t_agr_other_custcust_id</v>
      </c>
      <c r="B251" s="104" t="s">
        <v>138</v>
      </c>
      <c r="C251" s="104" t="s">
        <v>347</v>
      </c>
      <c r="D251" s="104" t="s">
        <v>1497</v>
      </c>
      <c r="E251" s="104" t="s">
        <v>759</v>
      </c>
      <c r="F251" s="104"/>
      <c r="G251" s="104" t="s">
        <v>1498</v>
      </c>
      <c r="H251" s="104" t="s">
        <v>1498</v>
      </c>
      <c r="I251" s="104"/>
      <c r="J251" s="104" t="s">
        <v>1526</v>
      </c>
    </row>
    <row r="252" spans="1:10" ht="15" customHeight="1" x14ac:dyDescent="0.3">
      <c r="A252" s="104" t="str">
        <f t="shared" si="3"/>
        <v>t_agr_other_custstart_dt</v>
      </c>
      <c r="B252" s="104" t="s">
        <v>138</v>
      </c>
      <c r="C252" s="104" t="s">
        <v>329</v>
      </c>
      <c r="D252" s="104" t="s">
        <v>1504</v>
      </c>
      <c r="E252" s="104" t="s">
        <v>759</v>
      </c>
      <c r="F252" s="104"/>
      <c r="G252" s="104" t="s">
        <v>1498</v>
      </c>
      <c r="H252" s="104" t="s">
        <v>1499</v>
      </c>
      <c r="I252" s="104"/>
      <c r="J252" s="104" t="s">
        <v>1527</v>
      </c>
    </row>
    <row r="253" spans="1:10" ht="15" customHeight="1" x14ac:dyDescent="0.3">
      <c r="A253" s="104" t="str">
        <f t="shared" si="3"/>
        <v>t_agr_other_custend_dt</v>
      </c>
      <c r="B253" s="104" t="s">
        <v>138</v>
      </c>
      <c r="C253" s="104" t="s">
        <v>331</v>
      </c>
      <c r="D253" s="104" t="s">
        <v>1504</v>
      </c>
      <c r="E253" s="104" t="s">
        <v>420</v>
      </c>
      <c r="F253" s="104"/>
      <c r="G253" s="104" t="s">
        <v>1499</v>
      </c>
      <c r="H253" s="104" t="s">
        <v>1499</v>
      </c>
      <c r="I253" s="104"/>
      <c r="J253" s="104" t="s">
        <v>1528</v>
      </c>
    </row>
    <row r="254" spans="1:10" ht="15" customHeight="1" x14ac:dyDescent="0.3">
      <c r="A254" s="104" t="str">
        <f t="shared" si="3"/>
        <v>t_agr_other_custagr_other_cust_type_id</v>
      </c>
      <c r="B254" s="104" t="s">
        <v>138</v>
      </c>
      <c r="C254" s="104" t="s">
        <v>607</v>
      </c>
      <c r="D254" s="104" t="s">
        <v>1497</v>
      </c>
      <c r="E254" s="104" t="s">
        <v>759</v>
      </c>
      <c r="F254" s="104"/>
      <c r="G254" s="104" t="s">
        <v>1498</v>
      </c>
      <c r="H254" s="104" t="s">
        <v>1498</v>
      </c>
      <c r="I254" s="104"/>
      <c r="J254" s="104" t="s">
        <v>1454</v>
      </c>
    </row>
    <row r="255" spans="1:10" ht="15" customHeight="1" x14ac:dyDescent="0.3">
      <c r="A255" s="104" t="str">
        <f t="shared" si="3"/>
        <v>t_agr_other_cust_typeagr_other_cust_type_id</v>
      </c>
      <c r="B255" s="104" t="s">
        <v>141</v>
      </c>
      <c r="C255" s="104" t="s">
        <v>607</v>
      </c>
      <c r="D255" s="104" t="s">
        <v>1497</v>
      </c>
      <c r="E255" s="104" t="s">
        <v>759</v>
      </c>
      <c r="F255" s="104"/>
      <c r="G255" s="104" t="s">
        <v>1498</v>
      </c>
      <c r="H255" s="104" t="s">
        <v>1499</v>
      </c>
      <c r="I255" s="104"/>
      <c r="J255" s="104" t="s">
        <v>1664</v>
      </c>
    </row>
    <row r="256" spans="1:10" ht="15" customHeight="1" x14ac:dyDescent="0.3">
      <c r="A256" s="104" t="str">
        <f t="shared" si="3"/>
        <v>t_agr_other_cust_typeagr_other_cust_type_name</v>
      </c>
      <c r="B256" s="104" t="s">
        <v>141</v>
      </c>
      <c r="C256" s="104" t="s">
        <v>1665</v>
      </c>
      <c r="D256" s="104" t="s">
        <v>1501</v>
      </c>
      <c r="E256" s="104" t="s">
        <v>420</v>
      </c>
      <c r="F256" s="104"/>
      <c r="G256" s="104" t="s">
        <v>1499</v>
      </c>
      <c r="H256" s="104" t="s">
        <v>1499</v>
      </c>
      <c r="I256" s="104"/>
      <c r="J256" s="104" t="s">
        <v>1666</v>
      </c>
    </row>
    <row r="257" spans="1:10" ht="15" customHeight="1" x14ac:dyDescent="0.3">
      <c r="A257" s="104" t="str">
        <f t="shared" si="3"/>
        <v>t_agr_other_int_orgagr_other_id</v>
      </c>
      <c r="B257" s="104" t="s">
        <v>139</v>
      </c>
      <c r="C257" s="104" t="s">
        <v>589</v>
      </c>
      <c r="D257" s="104" t="s">
        <v>1497</v>
      </c>
      <c r="E257" s="104" t="s">
        <v>759</v>
      </c>
      <c r="F257" s="104"/>
      <c r="G257" s="104" t="s">
        <v>1498</v>
      </c>
      <c r="H257" s="104" t="s">
        <v>1498</v>
      </c>
      <c r="I257" s="104"/>
      <c r="J257" s="104" t="s">
        <v>325</v>
      </c>
    </row>
    <row r="258" spans="1:10" ht="15" customHeight="1" x14ac:dyDescent="0.3">
      <c r="A258" s="104" t="str">
        <f t="shared" si="3"/>
        <v>t_agr_other_int_orgint_org_id</v>
      </c>
      <c r="B258" s="104" t="s">
        <v>139</v>
      </c>
      <c r="C258" s="104" t="s">
        <v>364</v>
      </c>
      <c r="D258" s="104" t="s">
        <v>1497</v>
      </c>
      <c r="E258" s="104" t="s">
        <v>759</v>
      </c>
      <c r="F258" s="104"/>
      <c r="G258" s="104" t="s">
        <v>1498</v>
      </c>
      <c r="H258" s="104" t="s">
        <v>1498</v>
      </c>
      <c r="I258" s="104"/>
      <c r="J258" s="104" t="s">
        <v>1667</v>
      </c>
    </row>
    <row r="259" spans="1:10" ht="15" customHeight="1" x14ac:dyDescent="0.3">
      <c r="A259" s="104" t="str">
        <f t="shared" si="3"/>
        <v>t_agr_other_int_orgagr_other_int_org_type_id</v>
      </c>
      <c r="B259" s="104" t="s">
        <v>139</v>
      </c>
      <c r="C259" s="104" t="s">
        <v>614</v>
      </c>
      <c r="D259" s="104" t="s">
        <v>1497</v>
      </c>
      <c r="E259" s="104" t="s">
        <v>759</v>
      </c>
      <c r="F259" s="104"/>
      <c r="G259" s="104" t="s">
        <v>1498</v>
      </c>
      <c r="H259" s="104" t="s">
        <v>1499</v>
      </c>
      <c r="I259" s="104"/>
      <c r="J259" s="104" t="s">
        <v>1668</v>
      </c>
    </row>
    <row r="260" spans="1:10" ht="15" customHeight="1" x14ac:dyDescent="0.3">
      <c r="A260" s="104" t="str">
        <f t="shared" si="3"/>
        <v>t_agr_other_int_orgstart_dt</v>
      </c>
      <c r="B260" s="104" t="s">
        <v>139</v>
      </c>
      <c r="C260" s="104" t="s">
        <v>329</v>
      </c>
      <c r="D260" s="104" t="s">
        <v>1504</v>
      </c>
      <c r="E260" s="104" t="s">
        <v>759</v>
      </c>
      <c r="F260" s="104"/>
      <c r="G260" s="104" t="s">
        <v>1499</v>
      </c>
      <c r="H260" s="104" t="s">
        <v>1499</v>
      </c>
      <c r="I260" s="104"/>
      <c r="J260" s="104" t="s">
        <v>1545</v>
      </c>
    </row>
    <row r="261" spans="1:10" ht="15" customHeight="1" x14ac:dyDescent="0.3">
      <c r="A261" s="104" t="str">
        <f t="shared" si="3"/>
        <v>t_agr_other_int_orgend_dt</v>
      </c>
      <c r="B261" s="104" t="s">
        <v>139</v>
      </c>
      <c r="C261" s="104" t="s">
        <v>331</v>
      </c>
      <c r="D261" s="104" t="s">
        <v>1504</v>
      </c>
      <c r="E261" s="104" t="s">
        <v>759</v>
      </c>
      <c r="F261" s="104"/>
      <c r="G261" s="104" t="s">
        <v>1498</v>
      </c>
      <c r="H261" s="104" t="s">
        <v>1498</v>
      </c>
      <c r="I261" s="104"/>
      <c r="J261" s="104" t="s">
        <v>1546</v>
      </c>
    </row>
    <row r="262" spans="1:10" ht="15" customHeight="1" x14ac:dyDescent="0.3">
      <c r="A262" s="104" t="str">
        <f t="shared" si="3"/>
        <v>t_agr_other_int_org_typeagr_other_int_org_type_id</v>
      </c>
      <c r="B262" s="104" t="s">
        <v>143</v>
      </c>
      <c r="C262" s="104" t="s">
        <v>614</v>
      </c>
      <c r="D262" s="104" t="s">
        <v>1497</v>
      </c>
      <c r="E262" s="104" t="s">
        <v>759</v>
      </c>
      <c r="F262" s="104"/>
      <c r="G262" s="104" t="s">
        <v>1498</v>
      </c>
      <c r="H262" s="104" t="s">
        <v>1499</v>
      </c>
      <c r="I262" s="104"/>
      <c r="J262" s="104" t="s">
        <v>1668</v>
      </c>
    </row>
    <row r="263" spans="1:10" ht="15" customHeight="1" x14ac:dyDescent="0.3">
      <c r="A263" s="104" t="str">
        <f t="shared" si="3"/>
        <v>t_agr_other_int_org_typeagr_other_int_org_type_name</v>
      </c>
      <c r="B263" s="104" t="s">
        <v>143</v>
      </c>
      <c r="C263" s="104" t="s">
        <v>1669</v>
      </c>
      <c r="D263" s="104" t="s">
        <v>1501</v>
      </c>
      <c r="E263" s="104" t="s">
        <v>420</v>
      </c>
      <c r="F263" s="104"/>
      <c r="G263" s="104" t="s">
        <v>1499</v>
      </c>
      <c r="H263" s="104" t="s">
        <v>1499</v>
      </c>
      <c r="I263" s="104"/>
      <c r="J263" s="104" t="s">
        <v>1670</v>
      </c>
    </row>
    <row r="264" spans="1:10" ht="15" customHeight="1" x14ac:dyDescent="0.3">
      <c r="A264" s="104" t="str">
        <f t="shared" si="3"/>
        <v>t_agr_other_coaagr_other_id</v>
      </c>
      <c r="B264" s="104" t="s">
        <v>147</v>
      </c>
      <c r="C264" s="104" t="s">
        <v>589</v>
      </c>
      <c r="D264" s="104" t="s">
        <v>316</v>
      </c>
      <c r="E264" s="104" t="s">
        <v>759</v>
      </c>
      <c r="F264" s="104"/>
      <c r="G264" s="104" t="s">
        <v>1498</v>
      </c>
      <c r="H264" s="104" t="s">
        <v>1498</v>
      </c>
      <c r="I264" s="104"/>
      <c r="J264" s="104" t="s">
        <v>325</v>
      </c>
    </row>
    <row r="265" spans="1:10" ht="15" customHeight="1" x14ac:dyDescent="0.3">
      <c r="A265" s="104" t="str">
        <f t="shared" si="3"/>
        <v>t_agr_other_coastart_dt</v>
      </c>
      <c r="B265" s="104" t="s">
        <v>147</v>
      </c>
      <c r="C265" s="104" t="s">
        <v>329</v>
      </c>
      <c r="D265" s="104" t="s">
        <v>302</v>
      </c>
      <c r="E265" s="104" t="s">
        <v>759</v>
      </c>
      <c r="F265" s="104"/>
      <c r="G265" s="104" t="s">
        <v>1498</v>
      </c>
      <c r="H265" s="104" t="s">
        <v>1499</v>
      </c>
      <c r="I265" s="104"/>
      <c r="J265" s="104" t="s">
        <v>1527</v>
      </c>
    </row>
    <row r="266" spans="1:10" ht="15" customHeight="1" x14ac:dyDescent="0.3">
      <c r="A266" s="104" t="str">
        <f t="shared" si="3"/>
        <v>t_agr_other_coaagr_other_coa_role_id</v>
      </c>
      <c r="B266" s="104" t="s">
        <v>147</v>
      </c>
      <c r="C266" s="104" t="s">
        <v>620</v>
      </c>
      <c r="D266" s="104" t="s">
        <v>316</v>
      </c>
      <c r="E266" s="104" t="s">
        <v>759</v>
      </c>
      <c r="F266" s="104"/>
      <c r="G266" s="104" t="s">
        <v>1498</v>
      </c>
      <c r="H266" s="104" t="s">
        <v>1498</v>
      </c>
      <c r="I266" s="104"/>
      <c r="J266" s="104" t="s">
        <v>1671</v>
      </c>
    </row>
    <row r="267" spans="1:10" ht="15" customHeight="1" x14ac:dyDescent="0.3">
      <c r="A267" s="104" t="str">
        <f t="shared" si="3"/>
        <v>t_agr_other_coacoa_id</v>
      </c>
      <c r="B267" s="104" t="s">
        <v>147</v>
      </c>
      <c r="C267" s="104" t="s">
        <v>564</v>
      </c>
      <c r="D267" s="104" t="s">
        <v>316</v>
      </c>
      <c r="E267" s="104" t="s">
        <v>759</v>
      </c>
      <c r="F267" s="104"/>
      <c r="G267" s="104" t="s">
        <v>1499</v>
      </c>
      <c r="H267" s="104" t="s">
        <v>1498</v>
      </c>
      <c r="I267" s="104"/>
      <c r="J267" s="104" t="s">
        <v>1634</v>
      </c>
    </row>
    <row r="268" spans="1:10" ht="15" customHeight="1" x14ac:dyDescent="0.3">
      <c r="A268" s="104" t="str">
        <f t="shared" si="3"/>
        <v>t_agr_other_coaend_dt</v>
      </c>
      <c r="B268" s="104" t="s">
        <v>147</v>
      </c>
      <c r="C268" s="104" t="s">
        <v>331</v>
      </c>
      <c r="D268" s="104" t="s">
        <v>302</v>
      </c>
      <c r="E268" s="104" t="s">
        <v>420</v>
      </c>
      <c r="F268" s="104"/>
      <c r="G268" s="104" t="s">
        <v>1499</v>
      </c>
      <c r="H268" s="104" t="s">
        <v>1499</v>
      </c>
      <c r="I268" s="104"/>
      <c r="J268" s="104" t="s">
        <v>1528</v>
      </c>
    </row>
    <row r="269" spans="1:10" ht="15" customHeight="1" x14ac:dyDescent="0.3">
      <c r="A269" s="104" t="str">
        <f t="shared" si="3"/>
        <v>t_agr_other_coa_rolet_agr_other_coa_role_id</v>
      </c>
      <c r="B269" s="104" t="s">
        <v>146</v>
      </c>
      <c r="C269" s="104" t="s">
        <v>1672</v>
      </c>
      <c r="D269" s="104" t="s">
        <v>316</v>
      </c>
      <c r="E269" s="104" t="s">
        <v>759</v>
      </c>
      <c r="F269" s="104"/>
      <c r="G269" s="104" t="s">
        <v>1498</v>
      </c>
      <c r="H269" s="104" t="s">
        <v>1499</v>
      </c>
      <c r="I269" s="104"/>
      <c r="J269" s="104" t="s">
        <v>1671</v>
      </c>
    </row>
    <row r="270" spans="1:10" ht="15" customHeight="1" x14ac:dyDescent="0.3">
      <c r="A270" s="104" t="str">
        <f t="shared" si="3"/>
        <v>t_agr_other_coa_rolet_agr_other_coa_role_name</v>
      </c>
      <c r="B270" s="104" t="s">
        <v>146</v>
      </c>
      <c r="C270" s="104" t="s">
        <v>1673</v>
      </c>
      <c r="D270" s="104" t="s">
        <v>320</v>
      </c>
      <c r="E270" s="104" t="s">
        <v>420</v>
      </c>
      <c r="F270" s="104"/>
      <c r="G270" s="104" t="s">
        <v>1499</v>
      </c>
      <c r="H270" s="104" t="s">
        <v>1499</v>
      </c>
      <c r="I270" s="104"/>
      <c r="J270" s="104" t="s">
        <v>1674</v>
      </c>
    </row>
    <row r="271" spans="1:10" ht="15" customHeight="1" x14ac:dyDescent="0.3">
      <c r="A271" s="104" t="str">
        <f t="shared" si="3"/>
        <v>t_agr_schemeagr_id</v>
      </c>
      <c r="B271" s="153" t="s">
        <v>174</v>
      </c>
      <c r="C271" s="153" t="s">
        <v>324</v>
      </c>
      <c r="D271" s="104" t="s">
        <v>316</v>
      </c>
      <c r="E271" s="104" t="s">
        <v>759</v>
      </c>
      <c r="F271" s="104"/>
      <c r="G271" s="104" t="s">
        <v>1498</v>
      </c>
      <c r="H271" s="104" t="s">
        <v>1498</v>
      </c>
      <c r="I271" s="104"/>
      <c r="J271" s="153" t="s">
        <v>325</v>
      </c>
    </row>
    <row r="272" spans="1:10" ht="15" customHeight="1" x14ac:dyDescent="0.3">
      <c r="A272" s="104" t="str">
        <f t="shared" si="3"/>
        <v>t_agr_schemescheme_id</v>
      </c>
      <c r="B272" s="153" t="s">
        <v>174</v>
      </c>
      <c r="C272" s="153" t="s">
        <v>457</v>
      </c>
      <c r="D272" s="153" t="s">
        <v>316</v>
      </c>
      <c r="E272" s="104" t="s">
        <v>759</v>
      </c>
      <c r="F272" s="104"/>
      <c r="G272" s="104" t="s">
        <v>1498</v>
      </c>
      <c r="H272" s="104" t="s">
        <v>1498</v>
      </c>
      <c r="I272" s="104"/>
      <c r="J272" s="153" t="s">
        <v>1524</v>
      </c>
    </row>
    <row r="273" spans="1:10" ht="15" customHeight="1" x14ac:dyDescent="0.3">
      <c r="A273" s="147" t="str">
        <f t="shared" si="3"/>
        <v>t_agr_schemeagr_scheme_type_id</v>
      </c>
      <c r="B273" s="151" t="s">
        <v>174</v>
      </c>
      <c r="C273" s="151" t="s">
        <v>661</v>
      </c>
      <c r="D273" s="151" t="s">
        <v>316</v>
      </c>
      <c r="E273" s="147" t="s">
        <v>759</v>
      </c>
      <c r="F273" s="147"/>
      <c r="G273" s="147" t="s">
        <v>1498</v>
      </c>
      <c r="H273" s="147" t="s">
        <v>1498</v>
      </c>
      <c r="I273" s="147"/>
      <c r="J273" s="151" t="s">
        <v>1675</v>
      </c>
    </row>
    <row r="274" spans="1:10" ht="15" customHeight="1" x14ac:dyDescent="0.3">
      <c r="A274" s="153" t="str">
        <f t="shared" si="3"/>
        <v>t_agr_accred_sttsagr_accred_id</v>
      </c>
      <c r="B274" s="153" t="s">
        <v>187</v>
      </c>
      <c r="C274" s="153" t="s">
        <v>495</v>
      </c>
      <c r="D274" s="153" t="s">
        <v>316</v>
      </c>
      <c r="E274" s="153" t="s">
        <v>759</v>
      </c>
      <c r="F274" s="153"/>
      <c r="G274" s="153" t="s">
        <v>1498</v>
      </c>
      <c r="H274" s="153" t="s">
        <v>1498</v>
      </c>
      <c r="I274" s="153"/>
      <c r="J274" s="153" t="s">
        <v>325</v>
      </c>
    </row>
    <row r="275" spans="1:10" ht="15" customHeight="1" x14ac:dyDescent="0.3">
      <c r="A275" s="104" t="str">
        <f t="shared" si="3"/>
        <v>t_agr_accred_sttsagr_accred_stts_type_id</v>
      </c>
      <c r="B275" s="153" t="s">
        <v>187</v>
      </c>
      <c r="C275" s="153" t="s">
        <v>691</v>
      </c>
      <c r="D275" s="153" t="s">
        <v>316</v>
      </c>
      <c r="E275" s="104" t="s">
        <v>759</v>
      </c>
      <c r="F275" s="104"/>
      <c r="G275" s="104" t="s">
        <v>1499</v>
      </c>
      <c r="H275" s="104" t="s">
        <v>1498</v>
      </c>
      <c r="I275" s="104"/>
      <c r="J275" s="153" t="s">
        <v>1676</v>
      </c>
    </row>
    <row r="276" spans="1:10" ht="15" customHeight="1" x14ac:dyDescent="0.3">
      <c r="A276" s="104" t="str">
        <f t="shared" si="3"/>
        <v>t_agr_accred_sttsstart_dt</v>
      </c>
      <c r="B276" s="153" t="s">
        <v>187</v>
      </c>
      <c r="C276" s="153" t="s">
        <v>329</v>
      </c>
      <c r="D276" s="153" t="s">
        <v>302</v>
      </c>
      <c r="E276" s="104" t="s">
        <v>759</v>
      </c>
      <c r="F276" s="104"/>
      <c r="G276" s="104" t="s">
        <v>1498</v>
      </c>
      <c r="H276" s="104" t="s">
        <v>1499</v>
      </c>
      <c r="I276" s="104"/>
      <c r="J276" s="153" t="s">
        <v>1527</v>
      </c>
    </row>
    <row r="277" spans="1:10" ht="15" customHeight="1" x14ac:dyDescent="0.3">
      <c r="A277" s="104" t="str">
        <f t="shared" si="3"/>
        <v>t_agr_accred_sttsend_dt</v>
      </c>
      <c r="B277" s="154" t="s">
        <v>187</v>
      </c>
      <c r="C277" s="155" t="s">
        <v>331</v>
      </c>
      <c r="D277" s="104" t="s">
        <v>302</v>
      </c>
      <c r="E277" s="155" t="s">
        <v>420</v>
      </c>
      <c r="F277" s="104"/>
      <c r="G277" s="104" t="s">
        <v>1499</v>
      </c>
      <c r="H277" s="104" t="s">
        <v>1499</v>
      </c>
      <c r="I277" s="104"/>
      <c r="J277" s="155" t="s">
        <v>1528</v>
      </c>
    </row>
    <row r="278" spans="1:10" ht="15" customHeight="1" x14ac:dyDescent="0.3">
      <c r="A278" s="153" t="str">
        <f t="shared" si="3"/>
        <v>t_agr_accred_stts_typeagr_accred_stts_type_id</v>
      </c>
      <c r="B278" s="153" t="s">
        <v>188</v>
      </c>
      <c r="C278" s="153" t="s">
        <v>691</v>
      </c>
      <c r="D278" s="153" t="s">
        <v>316</v>
      </c>
      <c r="E278" s="153" t="s">
        <v>759</v>
      </c>
      <c r="F278" s="153"/>
      <c r="G278" s="153" t="s">
        <v>1498</v>
      </c>
      <c r="H278" s="153" t="s">
        <v>1499</v>
      </c>
      <c r="I278" s="153"/>
      <c r="J278" s="153" t="s">
        <v>1676</v>
      </c>
    </row>
    <row r="279" spans="1:10" ht="15" customHeight="1" x14ac:dyDescent="0.3">
      <c r="A279" s="104" t="str">
        <f t="shared" si="3"/>
        <v>t_agr_accred_stts_typeagr_accred_stts_type_name</v>
      </c>
      <c r="B279" s="154" t="s">
        <v>188</v>
      </c>
      <c r="C279" s="154" t="s">
        <v>694</v>
      </c>
      <c r="D279" s="153" t="s">
        <v>320</v>
      </c>
      <c r="E279" s="155" t="s">
        <v>420</v>
      </c>
      <c r="F279" s="104"/>
      <c r="G279" s="104" t="s">
        <v>1499</v>
      </c>
      <c r="H279" s="104" t="s">
        <v>1499</v>
      </c>
      <c r="I279" s="104"/>
      <c r="J279" s="155" t="s">
        <v>1677</v>
      </c>
    </row>
    <row r="280" spans="1:10" ht="15" customHeight="1" x14ac:dyDescent="0.3">
      <c r="A280" s="104" t="str">
        <f t="shared" ref="A280:A343" si="4">B280&amp;C280</f>
        <v>t_agr_grntee_typeagr_grntee_type_id</v>
      </c>
      <c r="B280" s="153" t="s">
        <v>193</v>
      </c>
      <c r="C280" s="153" t="s">
        <v>670</v>
      </c>
      <c r="D280" s="153" t="s">
        <v>316</v>
      </c>
      <c r="E280" s="153" t="s">
        <v>759</v>
      </c>
      <c r="F280" s="153"/>
      <c r="G280" s="153" t="s">
        <v>1498</v>
      </c>
      <c r="H280" s="153" t="s">
        <v>1499</v>
      </c>
      <c r="I280" s="153"/>
      <c r="J280" s="153" t="s">
        <v>1678</v>
      </c>
    </row>
    <row r="281" spans="1:10" ht="15" customHeight="1" x14ac:dyDescent="0.3">
      <c r="A281" s="104" t="str">
        <f t="shared" si="4"/>
        <v>t_agr_grntee_typeagr_grntee_type_name</v>
      </c>
      <c r="B281" s="104" t="s">
        <v>193</v>
      </c>
      <c r="C281" s="153" t="s">
        <v>699</v>
      </c>
      <c r="D281" s="153" t="s">
        <v>320</v>
      </c>
      <c r="E281" s="153" t="s">
        <v>420</v>
      </c>
      <c r="F281" s="104"/>
      <c r="G281" s="104" t="s">
        <v>1499</v>
      </c>
      <c r="H281" s="104" t="s">
        <v>1499</v>
      </c>
      <c r="I281" s="104"/>
      <c r="J281" s="104" t="s">
        <v>1679</v>
      </c>
    </row>
    <row r="282" spans="1:10" ht="15" customHeight="1" x14ac:dyDescent="0.3">
      <c r="A282" s="147" t="str">
        <f t="shared" si="4"/>
        <v>t_agr_grntee_typeagr_grntee_type_cd</v>
      </c>
      <c r="B282" s="154" t="s">
        <v>193</v>
      </c>
      <c r="C282" s="154" t="s">
        <v>700</v>
      </c>
      <c r="D282" s="147" t="s">
        <v>320</v>
      </c>
      <c r="E282" s="147" t="s">
        <v>420</v>
      </c>
      <c r="F282" s="147"/>
      <c r="G282" s="147" t="s">
        <v>1499</v>
      </c>
      <c r="H282" s="147" t="s">
        <v>1499</v>
      </c>
      <c r="I282" s="147"/>
      <c r="J282" s="155" t="s">
        <v>1680</v>
      </c>
    </row>
    <row r="283" spans="1:10" ht="15" customHeight="1" x14ac:dyDescent="0.3">
      <c r="A283" s="104" t="str">
        <f t="shared" si="4"/>
        <v>t_agr_grnteeagr_grntee_id</v>
      </c>
      <c r="B283" s="104" t="s">
        <v>189</v>
      </c>
      <c r="C283" s="104" t="s">
        <v>664</v>
      </c>
      <c r="D283" s="153" t="s">
        <v>316</v>
      </c>
      <c r="E283" s="104" t="s">
        <v>759</v>
      </c>
      <c r="F283" s="104"/>
      <c r="G283" s="104" t="s">
        <v>1498</v>
      </c>
      <c r="H283" s="153" t="s">
        <v>1499</v>
      </c>
      <c r="I283" s="104"/>
      <c r="J283" s="104" t="s">
        <v>1681</v>
      </c>
    </row>
    <row r="284" spans="1:10" ht="15" customHeight="1" x14ac:dyDescent="0.3">
      <c r="A284" s="104" t="str">
        <f t="shared" si="4"/>
        <v>t_agr_grnteeopen_dt</v>
      </c>
      <c r="B284" s="104" t="s">
        <v>189</v>
      </c>
      <c r="C284" s="104" t="s">
        <v>271</v>
      </c>
      <c r="D284" s="153" t="s">
        <v>302</v>
      </c>
      <c r="E284" s="104" t="s">
        <v>420</v>
      </c>
      <c r="F284" s="104"/>
      <c r="G284" s="104" t="s">
        <v>1499</v>
      </c>
      <c r="H284" s="104" t="s">
        <v>1499</v>
      </c>
      <c r="I284" s="104"/>
      <c r="J284" s="104" t="s">
        <v>1682</v>
      </c>
    </row>
    <row r="285" spans="1:10" ht="15" customHeight="1" x14ac:dyDescent="0.3">
      <c r="A285" s="104" t="str">
        <f t="shared" si="4"/>
        <v>t_agr_grnteesigned_dt</v>
      </c>
      <c r="B285" s="104" t="s">
        <v>189</v>
      </c>
      <c r="C285" s="104" t="s">
        <v>274</v>
      </c>
      <c r="D285" s="153" t="s">
        <v>302</v>
      </c>
      <c r="E285" s="104" t="s">
        <v>420</v>
      </c>
      <c r="F285" s="104"/>
      <c r="G285" s="104" t="s">
        <v>1499</v>
      </c>
      <c r="H285" s="104" t="s">
        <v>1499</v>
      </c>
      <c r="I285" s="104"/>
      <c r="J285" s="104" t="s">
        <v>1683</v>
      </c>
    </row>
    <row r="286" spans="1:10" ht="15" customHeight="1" x14ac:dyDescent="0.3">
      <c r="A286" s="104" t="str">
        <f t="shared" si="4"/>
        <v>t_agr_grnteeclose_dt</v>
      </c>
      <c r="B286" s="104" t="s">
        <v>189</v>
      </c>
      <c r="C286" s="104" t="s">
        <v>275</v>
      </c>
      <c r="D286" s="153" t="s">
        <v>302</v>
      </c>
      <c r="E286" s="104" t="s">
        <v>420</v>
      </c>
      <c r="F286" s="104"/>
      <c r="G286" s="104" t="s">
        <v>1499</v>
      </c>
      <c r="H286" s="104" t="s">
        <v>1499</v>
      </c>
      <c r="I286" s="104"/>
      <c r="J286" s="104" t="s">
        <v>1684</v>
      </c>
    </row>
    <row r="287" spans="1:10" ht="15" customHeight="1" x14ac:dyDescent="0.3">
      <c r="A287" s="104" t="str">
        <f t="shared" si="4"/>
        <v>t_agr_grnteeagr_grntee_num</v>
      </c>
      <c r="B287" s="104" t="s">
        <v>189</v>
      </c>
      <c r="C287" s="104" t="s">
        <v>669</v>
      </c>
      <c r="D287" s="153" t="s">
        <v>320</v>
      </c>
      <c r="E287" s="104" t="s">
        <v>420</v>
      </c>
      <c r="F287" s="104"/>
      <c r="G287" s="104" t="s">
        <v>1499</v>
      </c>
      <c r="H287" s="104" t="s">
        <v>1499</v>
      </c>
      <c r="I287" s="104"/>
      <c r="J287" s="104" t="s">
        <v>1685</v>
      </c>
    </row>
    <row r="288" spans="1:10" ht="15" customHeight="1" x14ac:dyDescent="0.3">
      <c r="A288" s="104" t="str">
        <f t="shared" si="4"/>
        <v>t_agr_grnteeagr_grntee_type_id</v>
      </c>
      <c r="B288" s="104" t="s">
        <v>189</v>
      </c>
      <c r="C288" s="104" t="s">
        <v>670</v>
      </c>
      <c r="D288" s="104" t="s">
        <v>316</v>
      </c>
      <c r="E288" s="104" t="s">
        <v>420</v>
      </c>
      <c r="F288" s="104"/>
      <c r="G288" s="104" t="s">
        <v>1499</v>
      </c>
      <c r="H288" s="104" t="s">
        <v>1498</v>
      </c>
      <c r="I288" s="104"/>
      <c r="J288" s="104" t="s">
        <v>1678</v>
      </c>
    </row>
    <row r="289" spans="1:10" ht="15" customHeight="1" x14ac:dyDescent="0.3">
      <c r="A289" s="104" t="str">
        <f t="shared" si="4"/>
        <v>t_agr_grnteehost_agr_grntee_id</v>
      </c>
      <c r="B289" s="104" t="s">
        <v>189</v>
      </c>
      <c r="C289" s="104" t="s">
        <v>672</v>
      </c>
      <c r="D289" s="153" t="s">
        <v>320</v>
      </c>
      <c r="E289" s="104" t="s">
        <v>420</v>
      </c>
      <c r="F289" s="104"/>
      <c r="G289" s="104" t="s">
        <v>1499</v>
      </c>
      <c r="H289" s="104" t="s">
        <v>1499</v>
      </c>
      <c r="I289" s="104"/>
      <c r="J289" s="50" t="s">
        <v>1572</v>
      </c>
    </row>
    <row r="290" spans="1:10" ht="15" customHeight="1" x14ac:dyDescent="0.3">
      <c r="A290" s="104" t="str">
        <f t="shared" si="4"/>
        <v>t_agr_grnteestart_sum_crncy_amt</v>
      </c>
      <c r="B290" s="104" t="s">
        <v>189</v>
      </c>
      <c r="C290" s="104" t="s">
        <v>283</v>
      </c>
      <c r="D290" s="104" t="s">
        <v>1586</v>
      </c>
      <c r="E290" s="104" t="s">
        <v>420</v>
      </c>
      <c r="F290" s="104"/>
      <c r="G290" s="104" t="s">
        <v>1499</v>
      </c>
      <c r="H290" s="104" t="s">
        <v>1499</v>
      </c>
      <c r="I290" s="104"/>
      <c r="J290" s="50" t="s">
        <v>1686</v>
      </c>
    </row>
    <row r="291" spans="1:10" ht="15" customHeight="1" x14ac:dyDescent="0.3">
      <c r="A291" s="104" t="str">
        <f t="shared" si="4"/>
        <v>t_agr_grnteeexpiration_dt</v>
      </c>
      <c r="B291" s="104" t="s">
        <v>189</v>
      </c>
      <c r="C291" s="104" t="s">
        <v>291</v>
      </c>
      <c r="D291" s="153" t="s">
        <v>302</v>
      </c>
      <c r="E291" s="104" t="s">
        <v>420</v>
      </c>
      <c r="F291" s="104"/>
      <c r="G291" s="104" t="s">
        <v>1499</v>
      </c>
      <c r="H291" s="104" t="s">
        <v>1499</v>
      </c>
      <c r="I291" s="104"/>
      <c r="J291" s="104" t="s">
        <v>1687</v>
      </c>
    </row>
    <row r="292" spans="1:10" ht="15" customHeight="1" x14ac:dyDescent="0.3">
      <c r="A292" s="147" t="str">
        <f t="shared" si="4"/>
        <v>t_agr_grnteecrncy_id</v>
      </c>
      <c r="B292" s="147" t="s">
        <v>189</v>
      </c>
      <c r="C292" s="147" t="s">
        <v>380</v>
      </c>
      <c r="D292" s="147" t="s">
        <v>316</v>
      </c>
      <c r="E292" s="147" t="s">
        <v>420</v>
      </c>
      <c r="F292" s="147"/>
      <c r="G292" s="147" t="s">
        <v>1499</v>
      </c>
      <c r="H292" s="147" t="s">
        <v>1498</v>
      </c>
      <c r="I292" s="147"/>
      <c r="J292" s="156" t="s">
        <v>1688</v>
      </c>
    </row>
    <row r="293" spans="1:10" ht="15" customHeight="1" x14ac:dyDescent="0.3">
      <c r="A293" s="104" t="str">
        <f t="shared" si="4"/>
        <v>t_agr_grntee_custagr_grntee_id</v>
      </c>
      <c r="B293" s="104" t="s">
        <v>190</v>
      </c>
      <c r="C293" s="104" t="s">
        <v>664</v>
      </c>
      <c r="D293" s="104" t="s">
        <v>1497</v>
      </c>
      <c r="E293" s="104" t="s">
        <v>759</v>
      </c>
      <c r="F293" s="104"/>
      <c r="G293" s="104" t="s">
        <v>1498</v>
      </c>
      <c r="H293" s="104" t="s">
        <v>1498</v>
      </c>
      <c r="I293" s="104"/>
      <c r="J293" s="104" t="s">
        <v>325</v>
      </c>
    </row>
    <row r="294" spans="1:10" ht="15" customHeight="1" x14ac:dyDescent="0.3">
      <c r="A294" s="104" t="str">
        <f t="shared" si="4"/>
        <v>t_agr_grntee_custcust_id</v>
      </c>
      <c r="B294" s="104" t="s">
        <v>190</v>
      </c>
      <c r="C294" s="104" t="s">
        <v>347</v>
      </c>
      <c r="D294" s="104" t="s">
        <v>1497</v>
      </c>
      <c r="E294" s="104" t="s">
        <v>759</v>
      </c>
      <c r="F294" s="104"/>
      <c r="G294" s="104" t="s">
        <v>1499</v>
      </c>
      <c r="H294" s="104" t="s">
        <v>1498</v>
      </c>
      <c r="I294" s="104"/>
      <c r="J294" s="104" t="s">
        <v>1526</v>
      </c>
    </row>
    <row r="295" spans="1:10" ht="15" customHeight="1" x14ac:dyDescent="0.3">
      <c r="A295" s="104" t="str">
        <f t="shared" si="4"/>
        <v>t_agr_grntee_custstart_dt</v>
      </c>
      <c r="B295" s="104" t="s">
        <v>190</v>
      </c>
      <c r="C295" s="104" t="s">
        <v>329</v>
      </c>
      <c r="D295" s="104" t="s">
        <v>1504</v>
      </c>
      <c r="E295" s="104" t="s">
        <v>759</v>
      </c>
      <c r="F295" s="104"/>
      <c r="G295" s="104" t="s">
        <v>1498</v>
      </c>
      <c r="H295" s="104" t="s">
        <v>1499</v>
      </c>
      <c r="I295" s="104"/>
      <c r="J295" s="104" t="s">
        <v>1527</v>
      </c>
    </row>
    <row r="296" spans="1:10" ht="15" customHeight="1" x14ac:dyDescent="0.3">
      <c r="A296" s="104" t="str">
        <f t="shared" si="4"/>
        <v>t_agr_grntee_custend_dt</v>
      </c>
      <c r="B296" s="104" t="s">
        <v>190</v>
      </c>
      <c r="C296" s="104" t="s">
        <v>331</v>
      </c>
      <c r="D296" s="104" t="s">
        <v>1504</v>
      </c>
      <c r="E296" s="104" t="s">
        <v>420</v>
      </c>
      <c r="F296" s="104"/>
      <c r="G296" s="104" t="s">
        <v>1499</v>
      </c>
      <c r="H296" s="104" t="s">
        <v>1499</v>
      </c>
      <c r="I296" s="104"/>
      <c r="J296" s="104" t="s">
        <v>1528</v>
      </c>
    </row>
    <row r="297" spans="1:10" ht="15" customHeight="1" x14ac:dyDescent="0.3">
      <c r="A297" s="147" t="str">
        <f t="shared" si="4"/>
        <v>t_agr_grntee_custagr_grntee_cust_type_id</v>
      </c>
      <c r="B297" s="104" t="s">
        <v>190</v>
      </c>
      <c r="C297" s="104" t="s">
        <v>679</v>
      </c>
      <c r="D297" s="104" t="s">
        <v>1497</v>
      </c>
      <c r="E297" s="104" t="s">
        <v>759</v>
      </c>
      <c r="F297" s="104"/>
      <c r="G297" s="104" t="s">
        <v>1498</v>
      </c>
      <c r="H297" s="104" t="s">
        <v>1498</v>
      </c>
      <c r="I297" s="104"/>
      <c r="J297" s="104" t="s">
        <v>1454</v>
      </c>
    </row>
    <row r="298" spans="1:10" ht="15" customHeight="1" x14ac:dyDescent="0.3">
      <c r="A298" s="104" t="str">
        <f t="shared" si="4"/>
        <v>t_agr_grntee_int_orgagr_grntee_id</v>
      </c>
      <c r="B298" s="104" t="s">
        <v>191</v>
      </c>
      <c r="C298" s="104" t="s">
        <v>664</v>
      </c>
      <c r="D298" s="104" t="s">
        <v>1497</v>
      </c>
      <c r="E298" s="104" t="s">
        <v>759</v>
      </c>
      <c r="F298" s="104"/>
      <c r="G298" s="104" t="s">
        <v>1498</v>
      </c>
      <c r="H298" s="104" t="s">
        <v>1498</v>
      </c>
      <c r="I298" s="104"/>
      <c r="J298" s="104" t="s">
        <v>325</v>
      </c>
    </row>
    <row r="299" spans="1:10" ht="15" customHeight="1" x14ac:dyDescent="0.3">
      <c r="A299" s="104" t="str">
        <f t="shared" si="4"/>
        <v>t_agr_grntee_int_orgint_org_id</v>
      </c>
      <c r="B299" s="104" t="s">
        <v>191</v>
      </c>
      <c r="C299" s="104" t="s">
        <v>364</v>
      </c>
      <c r="D299" s="104" t="s">
        <v>1497</v>
      </c>
      <c r="E299" s="104" t="s">
        <v>759</v>
      </c>
      <c r="F299" s="104"/>
      <c r="G299" s="2" t="s">
        <v>1499</v>
      </c>
      <c r="H299" s="104" t="s">
        <v>1498</v>
      </c>
      <c r="I299" s="104"/>
      <c r="J299" s="104" t="s">
        <v>1667</v>
      </c>
    </row>
    <row r="300" spans="1:10" ht="15" customHeight="1" x14ac:dyDescent="0.3">
      <c r="A300" s="2" t="str">
        <f t="shared" si="4"/>
        <v>t_agr_grntee_int_orgagr_grntee_int_org_type_id</v>
      </c>
      <c r="B300" s="2" t="s">
        <v>191</v>
      </c>
      <c r="C300" s="2" t="s">
        <v>684</v>
      </c>
      <c r="D300" s="2" t="s">
        <v>1497</v>
      </c>
      <c r="E300" s="2" t="s">
        <v>759</v>
      </c>
      <c r="G300" s="2" t="s">
        <v>1498</v>
      </c>
      <c r="H300" s="104" t="s">
        <v>1498</v>
      </c>
      <c r="J300" s="2" t="s">
        <v>1668</v>
      </c>
    </row>
    <row r="301" spans="1:10" ht="15" customHeight="1" x14ac:dyDescent="0.3">
      <c r="A301" s="2" t="str">
        <f t="shared" si="4"/>
        <v>t_agr_grntee_int_orgstart_dt</v>
      </c>
      <c r="B301" s="2" t="s">
        <v>191</v>
      </c>
      <c r="C301" s="2" t="s">
        <v>329</v>
      </c>
      <c r="D301" s="2" t="s">
        <v>1504</v>
      </c>
      <c r="E301" s="2" t="s">
        <v>759</v>
      </c>
      <c r="G301" s="2" t="s">
        <v>1498</v>
      </c>
      <c r="H301" s="2" t="s">
        <v>1499</v>
      </c>
      <c r="J301" s="2" t="s">
        <v>1545</v>
      </c>
    </row>
    <row r="302" spans="1:10" ht="15" customHeight="1" x14ac:dyDescent="0.3">
      <c r="A302" s="147" t="str">
        <f t="shared" si="4"/>
        <v>t_agr_grntee_int_orgend_dt</v>
      </c>
      <c r="B302" s="104" t="s">
        <v>191</v>
      </c>
      <c r="C302" s="104" t="s">
        <v>331</v>
      </c>
      <c r="D302" s="104" t="s">
        <v>1504</v>
      </c>
      <c r="E302" s="104" t="s">
        <v>759</v>
      </c>
      <c r="F302" s="104"/>
      <c r="G302" s="104" t="s">
        <v>1499</v>
      </c>
      <c r="H302" s="104" t="s">
        <v>1499</v>
      </c>
      <c r="I302" s="104"/>
      <c r="J302" s="104" t="s">
        <v>1546</v>
      </c>
    </row>
    <row r="303" spans="1:10" ht="15" customHeight="1" x14ac:dyDescent="0.3">
      <c r="A303" s="104" t="str">
        <f t="shared" si="4"/>
        <v>t_agr_grntee_bankagr_grntee_id</v>
      </c>
      <c r="B303" s="104" t="s">
        <v>192</v>
      </c>
      <c r="C303" s="104" t="s">
        <v>664</v>
      </c>
      <c r="D303" s="104" t="s">
        <v>316</v>
      </c>
      <c r="E303" s="104" t="s">
        <v>420</v>
      </c>
      <c r="G303" s="104" t="s">
        <v>1498</v>
      </c>
      <c r="H303" s="104" t="s">
        <v>1498</v>
      </c>
      <c r="I303" s="104"/>
      <c r="J303" s="104" t="s">
        <v>325</v>
      </c>
    </row>
    <row r="304" spans="1:10" ht="15" customHeight="1" x14ac:dyDescent="0.3">
      <c r="A304" s="104" t="str">
        <f t="shared" si="4"/>
        <v>t_agr_grntee_bankstart_dt</v>
      </c>
      <c r="B304" s="104" t="s">
        <v>192</v>
      </c>
      <c r="C304" s="104" t="s">
        <v>329</v>
      </c>
      <c r="D304" s="104" t="s">
        <v>302</v>
      </c>
      <c r="E304" s="104" t="s">
        <v>759</v>
      </c>
      <c r="G304" s="104" t="s">
        <v>1498</v>
      </c>
      <c r="H304" s="104" t="s">
        <v>1499</v>
      </c>
      <c r="I304" s="104"/>
      <c r="J304" s="104" t="s">
        <v>1527</v>
      </c>
    </row>
    <row r="305" spans="1:10" ht="15" customHeight="1" x14ac:dyDescent="0.3">
      <c r="A305" s="104" t="str">
        <f t="shared" si="4"/>
        <v>t_agr_grntee_bankagr_grntee_bank_type_id</v>
      </c>
      <c r="B305" s="104" t="s">
        <v>192</v>
      </c>
      <c r="C305" s="104" t="s">
        <v>688</v>
      </c>
      <c r="D305" s="104" t="s">
        <v>316</v>
      </c>
      <c r="E305" s="104" t="s">
        <v>420</v>
      </c>
      <c r="G305" s="104" t="s">
        <v>1498</v>
      </c>
      <c r="H305" s="104" t="s">
        <v>1498</v>
      </c>
      <c r="I305" s="104"/>
      <c r="J305" s="104" t="s">
        <v>1657</v>
      </c>
    </row>
    <row r="306" spans="1:10" ht="15" customHeight="1" x14ac:dyDescent="0.3">
      <c r="A306" s="104" t="str">
        <f t="shared" si="4"/>
        <v>t_agr_grntee_bankbank_id</v>
      </c>
      <c r="B306" s="104" t="s">
        <v>192</v>
      </c>
      <c r="C306" s="104" t="s">
        <v>581</v>
      </c>
      <c r="D306" s="104" t="s">
        <v>316</v>
      </c>
      <c r="E306" s="104" t="s">
        <v>420</v>
      </c>
      <c r="G306" s="104" t="s">
        <v>1499</v>
      </c>
      <c r="H306" s="104" t="s">
        <v>1498</v>
      </c>
      <c r="I306" s="104"/>
      <c r="J306" s="104" t="s">
        <v>1607</v>
      </c>
    </row>
    <row r="307" spans="1:10" ht="15" customHeight="1" x14ac:dyDescent="0.3">
      <c r="A307" s="147" t="str">
        <f t="shared" si="4"/>
        <v>t_agr_grntee_bankend_dt</v>
      </c>
      <c r="B307" s="104" t="s">
        <v>192</v>
      </c>
      <c r="C307" s="104" t="s">
        <v>331</v>
      </c>
      <c r="D307" s="104" t="s">
        <v>302</v>
      </c>
      <c r="E307" s="147" t="s">
        <v>420</v>
      </c>
      <c r="F307" s="141"/>
      <c r="G307" s="147" t="s">
        <v>1499</v>
      </c>
      <c r="H307" s="104" t="s">
        <v>1499</v>
      </c>
      <c r="I307" s="104"/>
      <c r="J307" s="104" t="s">
        <v>1528</v>
      </c>
    </row>
    <row r="308" spans="1:10" x14ac:dyDescent="0.3">
      <c r="A308" s="104" t="str">
        <f t="shared" si="4"/>
        <v>t_agr_grntee_typeagr_grntee_type_id</v>
      </c>
      <c r="B308" s="104" t="s">
        <v>193</v>
      </c>
      <c r="C308" s="104" t="s">
        <v>670</v>
      </c>
      <c r="D308" s="104" t="s">
        <v>1497</v>
      </c>
      <c r="E308" s="104" t="s">
        <v>759</v>
      </c>
      <c r="F308" s="104"/>
      <c r="G308" s="104" t="s">
        <v>1498</v>
      </c>
      <c r="H308" s="104" t="s">
        <v>1499</v>
      </c>
      <c r="I308" s="104"/>
      <c r="J308" s="104" t="s">
        <v>1678</v>
      </c>
    </row>
    <row r="309" spans="1:10" x14ac:dyDescent="0.3">
      <c r="A309" s="2" t="str">
        <f t="shared" si="4"/>
        <v>t_agr_grntee_typeagr_grntee_type_name</v>
      </c>
      <c r="B309" s="2" t="s">
        <v>193</v>
      </c>
      <c r="C309" s="2" t="s">
        <v>699</v>
      </c>
      <c r="D309" s="2" t="s">
        <v>1501</v>
      </c>
      <c r="E309" s="2" t="s">
        <v>420</v>
      </c>
      <c r="G309" s="2" t="s">
        <v>1499</v>
      </c>
      <c r="H309" s="2" t="s">
        <v>1499</v>
      </c>
      <c r="J309" s="2" t="s">
        <v>1679</v>
      </c>
    </row>
    <row r="310" spans="1:10" x14ac:dyDescent="0.3">
      <c r="A310" s="104" t="str">
        <f t="shared" si="4"/>
        <v>t_agr_grntee_typeagr_grntee_type_cd</v>
      </c>
      <c r="B310" s="104" t="s">
        <v>193</v>
      </c>
      <c r="C310" s="104" t="s">
        <v>700</v>
      </c>
      <c r="D310" s="104" t="s">
        <v>1501</v>
      </c>
      <c r="E310" s="104" t="s">
        <v>420</v>
      </c>
      <c r="F310" s="104"/>
      <c r="G310" s="104" t="s">
        <v>1499</v>
      </c>
      <c r="H310" s="104" t="s">
        <v>1499</v>
      </c>
      <c r="I310" s="104"/>
      <c r="J310" s="104" t="s">
        <v>1680</v>
      </c>
    </row>
    <row r="311" spans="1:10" x14ac:dyDescent="0.3">
      <c r="A311" s="2" t="str">
        <f t="shared" si="4"/>
        <v>t_agr_escrow_addendumaddendum_id</v>
      </c>
      <c r="B311" s="2" t="s">
        <v>201</v>
      </c>
      <c r="C311" s="2" t="s">
        <v>702</v>
      </c>
      <c r="D311" s="2" t="s">
        <v>1497</v>
      </c>
      <c r="E311" s="2" t="s">
        <v>759</v>
      </c>
      <c r="G311" s="2" t="s">
        <v>1498</v>
      </c>
      <c r="H311" s="2" t="s">
        <v>1499</v>
      </c>
      <c r="J311" s="2" t="s">
        <v>1689</v>
      </c>
    </row>
    <row r="312" spans="1:10" x14ac:dyDescent="0.3">
      <c r="A312" s="2" t="str">
        <f t="shared" si="4"/>
        <v>t_agr_escrow_addendumagr_escrow_id</v>
      </c>
      <c r="B312" s="2" t="s">
        <v>201</v>
      </c>
      <c r="C312" s="2" t="s">
        <v>267</v>
      </c>
      <c r="D312" s="2" t="s">
        <v>1497</v>
      </c>
      <c r="E312" s="2" t="s">
        <v>759</v>
      </c>
      <c r="G312" s="2" t="s">
        <v>1499</v>
      </c>
      <c r="H312" s="2" t="s">
        <v>1498</v>
      </c>
      <c r="J312" s="2" t="s">
        <v>323</v>
      </c>
    </row>
    <row r="313" spans="1:10" x14ac:dyDescent="0.3">
      <c r="A313" s="2" t="str">
        <f t="shared" si="4"/>
        <v>t_agr_escrow_addendumopen_dt</v>
      </c>
      <c r="B313" s="2" t="s">
        <v>201</v>
      </c>
      <c r="C313" s="2" t="s">
        <v>271</v>
      </c>
      <c r="D313" s="2" t="s">
        <v>1504</v>
      </c>
      <c r="E313" s="2" t="s">
        <v>420</v>
      </c>
      <c r="G313" s="2" t="s">
        <v>1499</v>
      </c>
      <c r="H313" s="2" t="s">
        <v>1499</v>
      </c>
      <c r="J313" s="2" t="s">
        <v>1690</v>
      </c>
    </row>
    <row r="314" spans="1:10" x14ac:dyDescent="0.3">
      <c r="A314" s="2" t="str">
        <f t="shared" si="4"/>
        <v>t_agr_escrow_addendumsigned_dt</v>
      </c>
      <c r="B314" s="2" t="s">
        <v>201</v>
      </c>
      <c r="C314" s="2" t="s">
        <v>274</v>
      </c>
      <c r="D314" s="2" t="s">
        <v>1504</v>
      </c>
      <c r="E314" s="2" t="s">
        <v>420</v>
      </c>
      <c r="G314" s="2" t="s">
        <v>1499</v>
      </c>
      <c r="H314" s="2" t="s">
        <v>1499</v>
      </c>
      <c r="J314" s="2" t="s">
        <v>1691</v>
      </c>
    </row>
    <row r="315" spans="1:10" x14ac:dyDescent="0.3">
      <c r="A315" s="2" t="str">
        <f t="shared" si="4"/>
        <v>t_agr_escrow_addendumexpiration_dt</v>
      </c>
      <c r="B315" s="2" t="s">
        <v>201</v>
      </c>
      <c r="C315" s="2" t="s">
        <v>291</v>
      </c>
      <c r="D315" s="2" t="s">
        <v>1504</v>
      </c>
      <c r="E315" s="2" t="s">
        <v>420</v>
      </c>
      <c r="G315" s="2" t="s">
        <v>1499</v>
      </c>
      <c r="H315" s="2" t="s">
        <v>1499</v>
      </c>
      <c r="J315" s="2" t="s">
        <v>1692</v>
      </c>
    </row>
    <row r="316" spans="1:10" x14ac:dyDescent="0.3">
      <c r="A316" s="2" t="str">
        <f t="shared" si="4"/>
        <v>t_agr_escrow_addendumclose_dt</v>
      </c>
      <c r="B316" s="2" t="s">
        <v>201</v>
      </c>
      <c r="C316" s="2" t="s">
        <v>275</v>
      </c>
      <c r="D316" s="2" t="s">
        <v>1504</v>
      </c>
      <c r="E316" s="2" t="s">
        <v>420</v>
      </c>
      <c r="G316" s="2" t="s">
        <v>1499</v>
      </c>
      <c r="H316" s="2" t="s">
        <v>1499</v>
      </c>
      <c r="J316" s="2" t="s">
        <v>1693</v>
      </c>
    </row>
    <row r="317" spans="1:10" x14ac:dyDescent="0.3">
      <c r="A317" s="2" t="str">
        <f t="shared" si="4"/>
        <v>t_agr_escrow_addendumaddendum_num</v>
      </c>
      <c r="B317" s="2" t="s">
        <v>201</v>
      </c>
      <c r="C317" s="2" t="s">
        <v>707</v>
      </c>
      <c r="D317" s="2" t="s">
        <v>1501</v>
      </c>
      <c r="E317" s="2" t="s">
        <v>420</v>
      </c>
      <c r="G317" s="2" t="s">
        <v>1499</v>
      </c>
      <c r="H317" s="2" t="s">
        <v>1499</v>
      </c>
      <c r="J317" s="2" t="s">
        <v>1694</v>
      </c>
    </row>
    <row r="318" spans="1:10" x14ac:dyDescent="0.3">
      <c r="A318" s="2" t="str">
        <f t="shared" si="4"/>
        <v>t_agr_escrow_addendumaddendum_type_id</v>
      </c>
      <c r="B318" s="2" t="s">
        <v>201</v>
      </c>
      <c r="C318" s="2" t="s">
        <v>708</v>
      </c>
      <c r="D318" s="2" t="s">
        <v>1497</v>
      </c>
      <c r="E318" s="2" t="s">
        <v>420</v>
      </c>
      <c r="G318" s="2" t="s">
        <v>1499</v>
      </c>
      <c r="H318" s="2" t="s">
        <v>1498</v>
      </c>
      <c r="J318" s="2" t="s">
        <v>1695</v>
      </c>
    </row>
    <row r="319" spans="1:10" x14ac:dyDescent="0.3">
      <c r="A319" s="2" t="str">
        <f t="shared" si="4"/>
        <v>t_agr_escrow_addendumcust_id</v>
      </c>
      <c r="B319" s="2" t="s">
        <v>201</v>
      </c>
      <c r="C319" s="2" t="s">
        <v>347</v>
      </c>
      <c r="D319" s="2" t="s">
        <v>1497</v>
      </c>
      <c r="E319" s="2" t="s">
        <v>420</v>
      </c>
      <c r="G319" s="2" t="s">
        <v>1499</v>
      </c>
      <c r="H319" s="2" t="s">
        <v>1498</v>
      </c>
      <c r="J319" s="2" t="s">
        <v>1696</v>
      </c>
    </row>
    <row r="320" spans="1:10" x14ac:dyDescent="0.3">
      <c r="A320" s="2" t="str">
        <f t="shared" si="4"/>
        <v>t_agr_escrow_addendumhost_addendum_id</v>
      </c>
      <c r="B320" s="2" t="s">
        <v>201</v>
      </c>
      <c r="C320" s="2" t="s">
        <v>711</v>
      </c>
      <c r="D320" s="2" t="s">
        <v>1501</v>
      </c>
      <c r="E320" s="2" t="s">
        <v>420</v>
      </c>
      <c r="G320" s="2" t="s">
        <v>1499</v>
      </c>
      <c r="H320" s="2" t="s">
        <v>1499</v>
      </c>
      <c r="J320" s="2" t="s">
        <v>1697</v>
      </c>
    </row>
    <row r="321" spans="1:10" x14ac:dyDescent="0.3">
      <c r="A321" s="2" t="str">
        <f t="shared" si="4"/>
        <v>t_agr_escrow_addendumstart_sum_crncy_amt</v>
      </c>
      <c r="B321" s="2" t="s">
        <v>201</v>
      </c>
      <c r="C321" s="2" t="s">
        <v>283</v>
      </c>
      <c r="D321" s="2" t="s">
        <v>1555</v>
      </c>
      <c r="E321" s="2" t="s">
        <v>420</v>
      </c>
      <c r="G321" s="2" t="s">
        <v>1499</v>
      </c>
      <c r="H321" s="2" t="s">
        <v>1499</v>
      </c>
      <c r="J321" s="2" t="s">
        <v>1698</v>
      </c>
    </row>
    <row r="322" spans="1:10" x14ac:dyDescent="0.3">
      <c r="A322" s="141" t="str">
        <f t="shared" si="4"/>
        <v xml:space="preserve">t_agr_escrow_addendumcrncy_id </v>
      </c>
      <c r="B322" s="141" t="s">
        <v>201</v>
      </c>
      <c r="C322" s="141" t="s">
        <v>286</v>
      </c>
      <c r="D322" s="141" t="s">
        <v>1497</v>
      </c>
      <c r="E322" s="141" t="s">
        <v>420</v>
      </c>
      <c r="F322" s="141"/>
      <c r="G322" s="141" t="s">
        <v>1499</v>
      </c>
      <c r="H322" s="141" t="s">
        <v>1498</v>
      </c>
      <c r="I322" s="141"/>
      <c r="J322" s="141" t="s">
        <v>1699</v>
      </c>
    </row>
    <row r="323" spans="1:10" x14ac:dyDescent="0.3">
      <c r="A323" s="2" t="str">
        <f t="shared" si="4"/>
        <v>t_agr_escrow_add_sttsagr_escrow_add_id</v>
      </c>
      <c r="B323" s="153" t="s">
        <v>202</v>
      </c>
      <c r="C323" s="153" t="s">
        <v>714</v>
      </c>
      <c r="D323" s="153" t="s">
        <v>316</v>
      </c>
      <c r="E323" s="153" t="s">
        <v>759</v>
      </c>
      <c r="F323" s="153"/>
      <c r="G323" s="153" t="s">
        <v>1498</v>
      </c>
      <c r="H323" s="153" t="s">
        <v>1498</v>
      </c>
      <c r="I323" s="153"/>
      <c r="J323" s="2" t="s">
        <v>1700</v>
      </c>
    </row>
    <row r="324" spans="1:10" x14ac:dyDescent="0.3">
      <c r="A324" s="2" t="str">
        <f t="shared" si="4"/>
        <v>t_agr_escrow_add_sttsagr_escrow_add_stts_type_id</v>
      </c>
      <c r="B324" s="153" t="s">
        <v>202</v>
      </c>
      <c r="C324" s="153" t="s">
        <v>715</v>
      </c>
      <c r="D324" s="153" t="s">
        <v>316</v>
      </c>
      <c r="E324" s="2" t="s">
        <v>759</v>
      </c>
      <c r="G324" s="2" t="s">
        <v>1499</v>
      </c>
      <c r="H324" s="2" t="s">
        <v>1498</v>
      </c>
      <c r="J324" s="2" t="s">
        <v>1701</v>
      </c>
    </row>
    <row r="325" spans="1:10" x14ac:dyDescent="0.3">
      <c r="A325" s="2" t="str">
        <f t="shared" si="4"/>
        <v>t_agr_escrow_add_sttsstart_dt</v>
      </c>
      <c r="B325" s="153" t="s">
        <v>202</v>
      </c>
      <c r="C325" s="153" t="s">
        <v>329</v>
      </c>
      <c r="D325" s="153" t="s">
        <v>302</v>
      </c>
      <c r="E325" s="2" t="s">
        <v>759</v>
      </c>
      <c r="G325" s="2" t="s">
        <v>1498</v>
      </c>
      <c r="H325" s="2" t="s">
        <v>1499</v>
      </c>
      <c r="J325" s="2" t="s">
        <v>1527</v>
      </c>
    </row>
    <row r="326" spans="1:10" x14ac:dyDescent="0.3">
      <c r="A326" s="2" t="str">
        <f t="shared" si="4"/>
        <v>t_agr_escrow_add_sttsend_dt</v>
      </c>
      <c r="B326" s="154" t="s">
        <v>202</v>
      </c>
      <c r="C326" s="155" t="s">
        <v>331</v>
      </c>
      <c r="D326" s="2" t="s">
        <v>302</v>
      </c>
      <c r="E326" s="155" t="s">
        <v>420</v>
      </c>
      <c r="G326" s="2" t="s">
        <v>1499</v>
      </c>
      <c r="H326" s="2" t="s">
        <v>1499</v>
      </c>
      <c r="J326" s="141" t="s">
        <v>1528</v>
      </c>
    </row>
    <row r="327" spans="1:10" x14ac:dyDescent="0.3">
      <c r="A327" s="2" t="str">
        <f t="shared" si="4"/>
        <v>t_agr_escrow_add_stts_typeagr_escrow_add_stts_type_id</v>
      </c>
      <c r="B327" s="153" t="s">
        <v>203</v>
      </c>
      <c r="C327" s="153" t="s">
        <v>715</v>
      </c>
      <c r="D327" s="153" t="s">
        <v>316</v>
      </c>
      <c r="E327" s="153" t="s">
        <v>759</v>
      </c>
      <c r="F327" s="153"/>
      <c r="G327" s="153" t="s">
        <v>1498</v>
      </c>
      <c r="H327" s="153" t="s">
        <v>1499</v>
      </c>
      <c r="I327" s="153"/>
      <c r="J327" s="2" t="s">
        <v>1701</v>
      </c>
    </row>
    <row r="328" spans="1:10" x14ac:dyDescent="0.3">
      <c r="A328" s="2" t="str">
        <f t="shared" si="4"/>
        <v>t_agr_escrow_add_stts_typeagr_escrow_add_stts_type_name</v>
      </c>
      <c r="B328" s="154" t="s">
        <v>203</v>
      </c>
      <c r="C328" s="154" t="s">
        <v>718</v>
      </c>
      <c r="D328" s="153" t="s">
        <v>320</v>
      </c>
      <c r="E328" s="155" t="s">
        <v>420</v>
      </c>
      <c r="G328" s="2" t="s">
        <v>1499</v>
      </c>
      <c r="H328" s="2" t="s">
        <v>1499</v>
      </c>
      <c r="J328" s="141" t="s">
        <v>1702</v>
      </c>
    </row>
    <row r="329" spans="1:10" x14ac:dyDescent="0.3">
      <c r="A329" s="2" t="str">
        <f t="shared" si="4"/>
        <v>t_agr_escrow_add_typeagr_escrow_add_type_id</v>
      </c>
      <c r="B329" s="2" t="s">
        <v>204</v>
      </c>
      <c r="C329" s="2" t="s">
        <v>719</v>
      </c>
      <c r="D329" s="2" t="s">
        <v>1497</v>
      </c>
      <c r="E329" s="2" t="s">
        <v>759</v>
      </c>
      <c r="G329" s="2" t="s">
        <v>1498</v>
      </c>
      <c r="H329" s="2" t="s">
        <v>1499</v>
      </c>
      <c r="J329" s="2" t="s">
        <v>1703</v>
      </c>
    </row>
    <row r="330" spans="1:10" x14ac:dyDescent="0.3">
      <c r="A330" s="2" t="str">
        <f t="shared" si="4"/>
        <v>t_agr_escrow_add_typeagr_escrow_add_type_cd</v>
      </c>
      <c r="B330" s="2" t="s">
        <v>204</v>
      </c>
      <c r="C330" s="2" t="s">
        <v>721</v>
      </c>
      <c r="D330" s="2" t="s">
        <v>1501</v>
      </c>
      <c r="E330" s="2" t="s">
        <v>420</v>
      </c>
      <c r="G330" s="2" t="s">
        <v>1499</v>
      </c>
      <c r="H330" s="2" t="s">
        <v>1499</v>
      </c>
      <c r="J330" s="2" t="s">
        <v>1704</v>
      </c>
    </row>
    <row r="331" spans="1:10" x14ac:dyDescent="0.3">
      <c r="A331" s="2" t="str">
        <f t="shared" si="4"/>
        <v>t_agr_escrow_add_typeagr_escrow_add_type_name</v>
      </c>
      <c r="B331" s="2" t="s">
        <v>204</v>
      </c>
      <c r="C331" s="2" t="s">
        <v>723</v>
      </c>
      <c r="D331" s="2" t="s">
        <v>1501</v>
      </c>
      <c r="E331" s="2" t="s">
        <v>420</v>
      </c>
      <c r="G331" s="2" t="s">
        <v>1499</v>
      </c>
      <c r="H331" s="2" t="s">
        <v>1499</v>
      </c>
      <c r="J331" s="141" t="s">
        <v>1705</v>
      </c>
    </row>
    <row r="332" spans="1:10" x14ac:dyDescent="0.3">
      <c r="A332" s="2" t="str">
        <f t="shared" si="4"/>
        <v>t_agr_escrow_typeagr_escrow_type_id</v>
      </c>
      <c r="B332" s="2" t="s">
        <v>205</v>
      </c>
      <c r="C332" s="2" t="s">
        <v>389</v>
      </c>
      <c r="D332" s="2" t="s">
        <v>1497</v>
      </c>
      <c r="E332" s="2" t="s">
        <v>759</v>
      </c>
      <c r="G332" s="2" t="s">
        <v>1498</v>
      </c>
      <c r="H332" s="2" t="s">
        <v>1499</v>
      </c>
      <c r="J332" s="2" t="s">
        <v>1519</v>
      </c>
    </row>
    <row r="333" spans="1:10" x14ac:dyDescent="0.3">
      <c r="A333" s="2" t="str">
        <f t="shared" si="4"/>
        <v>t_agr_escrow_typeagr_escrow_type_cd</v>
      </c>
      <c r="B333" s="2" t="s">
        <v>205</v>
      </c>
      <c r="C333" s="2" t="s">
        <v>727</v>
      </c>
      <c r="D333" s="2" t="s">
        <v>1501</v>
      </c>
      <c r="E333" s="2" t="s">
        <v>420</v>
      </c>
      <c r="G333" s="2" t="s">
        <v>1499</v>
      </c>
      <c r="H333" s="2" t="s">
        <v>1499</v>
      </c>
      <c r="J333" s="2" t="s">
        <v>1706</v>
      </c>
    </row>
    <row r="334" spans="1:10" x14ac:dyDescent="0.3">
      <c r="A334" s="2" t="str">
        <f t="shared" si="4"/>
        <v>t_agr_escrow_typeagr_escrow_type_name</v>
      </c>
      <c r="B334" s="2" t="s">
        <v>205</v>
      </c>
      <c r="C334" s="2" t="s">
        <v>729</v>
      </c>
      <c r="D334" s="2" t="s">
        <v>1501</v>
      </c>
      <c r="E334" s="2" t="s">
        <v>420</v>
      </c>
      <c r="G334" s="2" t="s">
        <v>1499</v>
      </c>
      <c r="H334" s="2" t="s">
        <v>1499</v>
      </c>
      <c r="J334" s="141" t="s">
        <v>1707</v>
      </c>
    </row>
    <row r="335" spans="1:10" x14ac:dyDescent="0.3">
      <c r="A335" s="104" t="str">
        <f t="shared" si="4"/>
        <v>t_agr_escrow_add_rateaddendum_id</v>
      </c>
      <c r="B335" s="104" t="s">
        <v>206</v>
      </c>
      <c r="C335" s="104" t="s">
        <v>702</v>
      </c>
      <c r="D335" s="104" t="s">
        <v>1497</v>
      </c>
      <c r="E335" s="2" t="s">
        <v>759</v>
      </c>
      <c r="G335" s="2" t="s">
        <v>1498</v>
      </c>
      <c r="H335" s="153" t="s">
        <v>1498</v>
      </c>
      <c r="J335" s="2" t="s">
        <v>1700</v>
      </c>
    </row>
    <row r="336" spans="1:10" x14ac:dyDescent="0.3">
      <c r="A336" s="104" t="str">
        <f t="shared" si="4"/>
        <v>t_agr_escrow_add_rateaddendum_rate</v>
      </c>
      <c r="B336" s="104" t="s">
        <v>206</v>
      </c>
      <c r="C336" s="104" t="s">
        <v>732</v>
      </c>
      <c r="D336" s="104" t="s">
        <v>1555</v>
      </c>
      <c r="E336" s="2" t="s">
        <v>420</v>
      </c>
      <c r="G336" s="2" t="s">
        <v>1499</v>
      </c>
      <c r="H336" s="2" t="s">
        <v>1499</v>
      </c>
      <c r="J336" s="2" t="s">
        <v>1356</v>
      </c>
    </row>
    <row r="337" spans="1:10" x14ac:dyDescent="0.3">
      <c r="A337" s="104" t="str">
        <f t="shared" si="4"/>
        <v>t_agr_escrow_add_ratestart_dt</v>
      </c>
      <c r="B337" s="104" t="s">
        <v>206</v>
      </c>
      <c r="C337" s="153" t="s">
        <v>329</v>
      </c>
      <c r="D337" s="153" t="s">
        <v>302</v>
      </c>
      <c r="E337" s="2" t="s">
        <v>759</v>
      </c>
      <c r="G337" s="2" t="s">
        <v>1498</v>
      </c>
      <c r="H337" s="2" t="s">
        <v>1499</v>
      </c>
      <c r="J337" s="2" t="s">
        <v>1527</v>
      </c>
    </row>
    <row r="338" spans="1:10" x14ac:dyDescent="0.3">
      <c r="A338" s="104" t="str">
        <f t="shared" si="4"/>
        <v>t_agr_escrow_add_rateend_dt</v>
      </c>
      <c r="B338" s="147" t="s">
        <v>206</v>
      </c>
      <c r="C338" s="155" t="s">
        <v>331</v>
      </c>
      <c r="D338" s="2" t="s">
        <v>302</v>
      </c>
      <c r="E338" s="2" t="s">
        <v>759</v>
      </c>
      <c r="G338" s="2" t="s">
        <v>1499</v>
      </c>
      <c r="H338" s="2" t="s">
        <v>1499</v>
      </c>
      <c r="J338" s="141" t="s">
        <v>1528</v>
      </c>
    </row>
    <row r="339" spans="1:10" x14ac:dyDescent="0.3">
      <c r="A339" s="2" t="str">
        <f t="shared" si="4"/>
        <v>t_agr_frame_sttsagr_frame_id</v>
      </c>
      <c r="B339" s="153" t="s">
        <v>222</v>
      </c>
      <c r="C339" s="153" t="s">
        <v>452</v>
      </c>
      <c r="D339" s="153" t="s">
        <v>316</v>
      </c>
      <c r="E339" s="153" t="s">
        <v>759</v>
      </c>
      <c r="F339" s="153"/>
      <c r="G339" s="153" t="s">
        <v>1498</v>
      </c>
      <c r="H339" s="153" t="s">
        <v>1498</v>
      </c>
      <c r="I339" s="153"/>
      <c r="J339" s="2" t="s">
        <v>1708</v>
      </c>
    </row>
    <row r="340" spans="1:10" x14ac:dyDescent="0.3">
      <c r="A340" s="2" t="str">
        <f t="shared" si="4"/>
        <v>t_agr_frame_sttsagr_frame_stts_type_id</v>
      </c>
      <c r="B340" s="153" t="s">
        <v>222</v>
      </c>
      <c r="C340" s="153" t="s">
        <v>734</v>
      </c>
      <c r="D340" s="153" t="s">
        <v>316</v>
      </c>
      <c r="E340" s="2" t="s">
        <v>759</v>
      </c>
      <c r="G340" s="2" t="s">
        <v>1499</v>
      </c>
      <c r="H340" s="2" t="s">
        <v>1498</v>
      </c>
      <c r="J340" s="2" t="s">
        <v>1709</v>
      </c>
    </row>
    <row r="341" spans="1:10" x14ac:dyDescent="0.3">
      <c r="A341" s="2" t="str">
        <f t="shared" si="4"/>
        <v>t_agr_frame_sttsstart_dt</v>
      </c>
      <c r="B341" s="153" t="s">
        <v>222</v>
      </c>
      <c r="C341" s="153" t="s">
        <v>329</v>
      </c>
      <c r="D341" s="153" t="s">
        <v>302</v>
      </c>
      <c r="E341" s="2" t="s">
        <v>759</v>
      </c>
      <c r="G341" s="2" t="s">
        <v>1498</v>
      </c>
      <c r="H341" s="2" t="s">
        <v>1499</v>
      </c>
      <c r="J341" s="2" t="s">
        <v>1527</v>
      </c>
    </row>
    <row r="342" spans="1:10" x14ac:dyDescent="0.3">
      <c r="A342" s="2" t="str">
        <f t="shared" si="4"/>
        <v>t_agr_frame_sttsend_dt</v>
      </c>
      <c r="B342" s="154" t="s">
        <v>222</v>
      </c>
      <c r="C342" s="155" t="s">
        <v>331</v>
      </c>
      <c r="D342" s="2" t="s">
        <v>302</v>
      </c>
      <c r="E342" s="155" t="s">
        <v>420</v>
      </c>
      <c r="G342" s="2" t="s">
        <v>1499</v>
      </c>
      <c r="H342" s="2" t="s">
        <v>1499</v>
      </c>
      <c r="J342" s="141" t="s">
        <v>1528</v>
      </c>
    </row>
    <row r="343" spans="1:10" x14ac:dyDescent="0.3">
      <c r="A343" s="2" t="str">
        <f t="shared" si="4"/>
        <v>t_agr_frame_stts_typeagr_frame_stts_type_id</v>
      </c>
      <c r="B343" s="153" t="s">
        <v>221</v>
      </c>
      <c r="C343" s="153" t="s">
        <v>734</v>
      </c>
      <c r="D343" s="153" t="s">
        <v>316</v>
      </c>
      <c r="E343" s="153" t="s">
        <v>759</v>
      </c>
      <c r="F343" s="153"/>
      <c r="G343" s="153" t="s">
        <v>1498</v>
      </c>
      <c r="H343" s="153" t="s">
        <v>1499</v>
      </c>
      <c r="I343" s="153"/>
      <c r="J343" s="2" t="s">
        <v>1709</v>
      </c>
    </row>
    <row r="344" spans="1:10" x14ac:dyDescent="0.3">
      <c r="A344" s="2" t="str">
        <f t="shared" ref="A344:A407" si="5">B344&amp;C344</f>
        <v>t_agr_frame_stts_typeagr_frame_stts_type_name</v>
      </c>
      <c r="B344" s="154" t="s">
        <v>221</v>
      </c>
      <c r="C344" s="154" t="s">
        <v>736</v>
      </c>
      <c r="D344" s="153" t="s">
        <v>320</v>
      </c>
      <c r="E344" s="155" t="s">
        <v>420</v>
      </c>
      <c r="G344" s="2" t="s">
        <v>1499</v>
      </c>
      <c r="H344" s="2" t="s">
        <v>1499</v>
      </c>
      <c r="J344" s="141" t="s">
        <v>1710</v>
      </c>
    </row>
    <row r="345" spans="1:10" x14ac:dyDescent="0.3">
      <c r="A345" s="2" t="str">
        <f t="shared" si="5"/>
        <v>t_agr_accred_addendumaddendum_id</v>
      </c>
      <c r="B345" s="2" t="s">
        <v>229</v>
      </c>
      <c r="C345" s="2" t="s">
        <v>702</v>
      </c>
      <c r="D345" s="2" t="s">
        <v>1497</v>
      </c>
      <c r="E345" s="2" t="s">
        <v>759</v>
      </c>
      <c r="G345" s="2" t="s">
        <v>1498</v>
      </c>
      <c r="H345" s="2" t="s">
        <v>1499</v>
      </c>
      <c r="J345" s="2" t="s">
        <v>1711</v>
      </c>
    </row>
    <row r="346" spans="1:10" x14ac:dyDescent="0.3">
      <c r="A346" s="2" t="str">
        <f t="shared" si="5"/>
        <v>t_agr_accred_addendumagr_accred_id</v>
      </c>
      <c r="B346" s="2" t="s">
        <v>229</v>
      </c>
      <c r="C346" s="2" t="s">
        <v>495</v>
      </c>
      <c r="D346" s="2" t="s">
        <v>1497</v>
      </c>
      <c r="E346" s="2" t="s">
        <v>759</v>
      </c>
      <c r="G346" s="2" t="s">
        <v>1499</v>
      </c>
      <c r="H346" s="2" t="s">
        <v>1498</v>
      </c>
      <c r="J346" s="2" t="s">
        <v>1712</v>
      </c>
    </row>
    <row r="347" spans="1:10" x14ac:dyDescent="0.3">
      <c r="A347" s="2" t="str">
        <f t="shared" si="5"/>
        <v>t_agr_accred_addendumopen_dt</v>
      </c>
      <c r="B347" s="2" t="s">
        <v>229</v>
      </c>
      <c r="C347" s="2" t="s">
        <v>271</v>
      </c>
      <c r="D347" s="2" t="s">
        <v>1504</v>
      </c>
      <c r="E347" s="2" t="s">
        <v>420</v>
      </c>
      <c r="G347" s="2" t="s">
        <v>1499</v>
      </c>
      <c r="H347" s="2" t="s">
        <v>1499</v>
      </c>
      <c r="J347" s="2" t="s">
        <v>1713</v>
      </c>
    </row>
    <row r="348" spans="1:10" x14ac:dyDescent="0.3">
      <c r="A348" s="2" t="str">
        <f t="shared" si="5"/>
        <v>t_agr_accred_addendumsigned_dt</v>
      </c>
      <c r="B348" s="2" t="s">
        <v>229</v>
      </c>
      <c r="C348" s="2" t="s">
        <v>274</v>
      </c>
      <c r="D348" s="2" t="s">
        <v>1504</v>
      </c>
      <c r="E348" s="2" t="s">
        <v>420</v>
      </c>
      <c r="G348" s="2" t="s">
        <v>1499</v>
      </c>
      <c r="H348" s="2" t="s">
        <v>1499</v>
      </c>
      <c r="J348" s="2" t="s">
        <v>1714</v>
      </c>
    </row>
    <row r="349" spans="1:10" x14ac:dyDescent="0.3">
      <c r="A349" s="2" t="str">
        <f t="shared" si="5"/>
        <v>t_agr_accred_addendumexpiration_dt</v>
      </c>
      <c r="B349" s="2" t="s">
        <v>229</v>
      </c>
      <c r="C349" s="2" t="s">
        <v>291</v>
      </c>
      <c r="D349" s="2" t="s">
        <v>1504</v>
      </c>
      <c r="E349" s="2" t="s">
        <v>420</v>
      </c>
      <c r="G349" s="2" t="s">
        <v>1499</v>
      </c>
      <c r="H349" s="2" t="s">
        <v>1499</v>
      </c>
      <c r="J349" s="2" t="s">
        <v>1715</v>
      </c>
    </row>
    <row r="350" spans="1:10" x14ac:dyDescent="0.3">
      <c r="A350" s="2" t="str">
        <f t="shared" si="5"/>
        <v>t_agr_accred_addendumclose_dt</v>
      </c>
      <c r="B350" s="2" t="s">
        <v>229</v>
      </c>
      <c r="C350" s="2" t="s">
        <v>275</v>
      </c>
      <c r="D350" s="2" t="s">
        <v>1504</v>
      </c>
      <c r="E350" s="2" t="s">
        <v>420</v>
      </c>
      <c r="G350" s="2" t="s">
        <v>1499</v>
      </c>
      <c r="H350" s="2" t="s">
        <v>1499</v>
      </c>
      <c r="J350" s="2" t="s">
        <v>1716</v>
      </c>
    </row>
    <row r="351" spans="1:10" x14ac:dyDescent="0.3">
      <c r="A351" s="2" t="str">
        <f t="shared" si="5"/>
        <v>t_agr_accred_addendumaddendum_type_id</v>
      </c>
      <c r="B351" s="2" t="s">
        <v>229</v>
      </c>
      <c r="C351" s="2" t="s">
        <v>708</v>
      </c>
      <c r="D351" s="2" t="s">
        <v>1497</v>
      </c>
      <c r="E351" s="2" t="s">
        <v>420</v>
      </c>
      <c r="G351" s="2" t="s">
        <v>1499</v>
      </c>
      <c r="H351" s="2" t="s">
        <v>1498</v>
      </c>
      <c r="J351" s="2" t="s">
        <v>1717</v>
      </c>
    </row>
    <row r="352" spans="1:10" x14ac:dyDescent="0.3">
      <c r="A352" s="141" t="str">
        <f t="shared" si="5"/>
        <v>t_agr_accred_addendumhost_addendum_id</v>
      </c>
      <c r="B352" s="141" t="s">
        <v>229</v>
      </c>
      <c r="C352" s="141" t="s">
        <v>711</v>
      </c>
      <c r="D352" s="141" t="s">
        <v>1501</v>
      </c>
      <c r="E352" s="141" t="s">
        <v>420</v>
      </c>
      <c r="F352" s="141"/>
      <c r="G352" s="141" t="s">
        <v>1499</v>
      </c>
      <c r="H352" s="141" t="s">
        <v>1499</v>
      </c>
      <c r="I352" s="141"/>
      <c r="J352" s="141" t="s">
        <v>1718</v>
      </c>
    </row>
    <row r="353" spans="1:10" x14ac:dyDescent="0.3">
      <c r="A353" s="2" t="str">
        <f t="shared" si="5"/>
        <v>t_agr_accred_add_typeagr_accred_add_type_id</v>
      </c>
      <c r="B353" s="2" t="s">
        <v>230</v>
      </c>
      <c r="C353" s="2" t="s">
        <v>744</v>
      </c>
      <c r="D353" s="2" t="s">
        <v>1497</v>
      </c>
      <c r="E353" s="2" t="s">
        <v>759</v>
      </c>
      <c r="G353" s="2" t="s">
        <v>1498</v>
      </c>
      <c r="H353" s="2" t="s">
        <v>1499</v>
      </c>
      <c r="J353" s="2" t="s">
        <v>1703</v>
      </c>
    </row>
    <row r="354" spans="1:10" x14ac:dyDescent="0.3">
      <c r="A354" s="2" t="str">
        <f t="shared" si="5"/>
        <v>t_agr_accred_add_typeagr_accred_add_type_cd</v>
      </c>
      <c r="B354" s="2" t="s">
        <v>230</v>
      </c>
      <c r="C354" s="2" t="s">
        <v>746</v>
      </c>
      <c r="D354" s="2" t="s">
        <v>1501</v>
      </c>
      <c r="E354" s="2" t="s">
        <v>420</v>
      </c>
      <c r="G354" s="2" t="s">
        <v>1499</v>
      </c>
      <c r="H354" s="2" t="s">
        <v>1499</v>
      </c>
      <c r="J354" s="2" t="s">
        <v>1704</v>
      </c>
    </row>
    <row r="355" spans="1:10" x14ac:dyDescent="0.3">
      <c r="A355" s="2" t="str">
        <f t="shared" si="5"/>
        <v>t_agr_accred_add_typeagr_accred_add_type_name</v>
      </c>
      <c r="B355" s="2" t="s">
        <v>230</v>
      </c>
      <c r="C355" s="2" t="s">
        <v>748</v>
      </c>
      <c r="D355" s="2" t="s">
        <v>1501</v>
      </c>
      <c r="E355" s="2" t="s">
        <v>420</v>
      </c>
      <c r="G355" s="2" t="s">
        <v>1499</v>
      </c>
      <c r="H355" s="2" t="s">
        <v>1499</v>
      </c>
      <c r="J355" s="141" t="s">
        <v>1705</v>
      </c>
    </row>
    <row r="356" spans="1:10" s="240" customFormat="1" x14ac:dyDescent="0.3">
      <c r="A356" s="240" t="str">
        <f t="shared" si="5"/>
        <v>t_agr_escrow_add_plan_schdlagr_escrow_add_id</v>
      </c>
      <c r="B356" s="240" t="s">
        <v>2161</v>
      </c>
      <c r="C356" s="240" t="s">
        <v>714</v>
      </c>
      <c r="D356" s="238" t="s">
        <v>1497</v>
      </c>
      <c r="E356" s="238" t="s">
        <v>759</v>
      </c>
      <c r="G356" s="240" t="s">
        <v>1498</v>
      </c>
      <c r="H356" s="241" t="s">
        <v>1498</v>
      </c>
      <c r="J356" s="240" t="s">
        <v>2172</v>
      </c>
    </row>
    <row r="357" spans="1:10" s="240" customFormat="1" x14ac:dyDescent="0.3">
      <c r="A357" s="240" t="str">
        <f t="shared" si="5"/>
        <v>t_agr_escrow_add_plan_schdlplan_schdl_dt</v>
      </c>
      <c r="B357" s="240" t="s">
        <v>2161</v>
      </c>
      <c r="C357" s="240" t="s">
        <v>2169</v>
      </c>
      <c r="D357" s="238" t="s">
        <v>1504</v>
      </c>
      <c r="E357" s="238" t="s">
        <v>420</v>
      </c>
      <c r="G357" s="240" t="s">
        <v>1499</v>
      </c>
      <c r="H357" s="240" t="s">
        <v>1499</v>
      </c>
      <c r="J357" s="240" t="s">
        <v>2173</v>
      </c>
    </row>
    <row r="358" spans="1:10" s="240" customFormat="1" x14ac:dyDescent="0.3">
      <c r="A358" s="240" t="str">
        <f t="shared" si="5"/>
        <v>t_agr_escrow_add_plan_schdlcrncy_id</v>
      </c>
      <c r="B358" s="240" t="s">
        <v>2161</v>
      </c>
      <c r="C358" s="240" t="s">
        <v>380</v>
      </c>
      <c r="D358" s="238" t="s">
        <v>1497</v>
      </c>
      <c r="E358" s="238" t="s">
        <v>420</v>
      </c>
      <c r="G358" s="240" t="s">
        <v>1499</v>
      </c>
      <c r="H358" s="240" t="s">
        <v>1498</v>
      </c>
      <c r="J358" s="240" t="s">
        <v>2174</v>
      </c>
    </row>
    <row r="359" spans="1:10" s="240" customFormat="1" x14ac:dyDescent="0.3">
      <c r="A359" s="240" t="str">
        <f t="shared" si="5"/>
        <v>t_agr_escrow_add_plan_schdlplan_schdl_crncy_amt</v>
      </c>
      <c r="B359" s="240" t="s">
        <v>2161</v>
      </c>
      <c r="C359" s="240" t="s">
        <v>2170</v>
      </c>
      <c r="D359" s="238" t="s">
        <v>1555</v>
      </c>
      <c r="E359" s="238" t="s">
        <v>420</v>
      </c>
      <c r="G359" s="240" t="s">
        <v>1499</v>
      </c>
      <c r="H359" s="240" t="s">
        <v>1499</v>
      </c>
      <c r="J359" s="240" t="s">
        <v>2175</v>
      </c>
    </row>
    <row r="360" spans="1:10" s="240" customFormat="1" x14ac:dyDescent="0.3">
      <c r="A360" s="240" t="str">
        <f t="shared" si="5"/>
        <v>t_agr_escrow_add_plan_schdlstart_dt</v>
      </c>
      <c r="B360" s="240" t="s">
        <v>2161</v>
      </c>
      <c r="C360" s="240" t="s">
        <v>329</v>
      </c>
      <c r="D360" s="238" t="s">
        <v>1504</v>
      </c>
      <c r="E360" s="238" t="s">
        <v>420</v>
      </c>
      <c r="G360" s="240" t="s">
        <v>1499</v>
      </c>
      <c r="H360" s="240" t="s">
        <v>1499</v>
      </c>
      <c r="J360" s="240" t="s">
        <v>1527</v>
      </c>
    </row>
    <row r="361" spans="1:10" s="240" customFormat="1" x14ac:dyDescent="0.3">
      <c r="A361" s="240" t="str">
        <f t="shared" si="5"/>
        <v>t_agr_escrow_add_plan_schdlend_dt</v>
      </c>
      <c r="B361" s="240" t="s">
        <v>2161</v>
      </c>
      <c r="C361" s="240" t="s">
        <v>331</v>
      </c>
      <c r="D361" s="238" t="s">
        <v>1504</v>
      </c>
      <c r="E361" s="238" t="s">
        <v>420</v>
      </c>
      <c r="G361" s="240" t="s">
        <v>1499</v>
      </c>
      <c r="H361" s="240" t="s">
        <v>1499</v>
      </c>
      <c r="J361" s="240" t="s">
        <v>2176</v>
      </c>
    </row>
    <row r="362" spans="1:10" s="240" customFormat="1" x14ac:dyDescent="0.3">
      <c r="A362" s="242" t="str">
        <f t="shared" si="5"/>
        <v>t_agr_escrow_add_plan_schdlagr_escrow_schdl_type_id</v>
      </c>
      <c r="B362" s="242" t="s">
        <v>2161</v>
      </c>
      <c r="C362" s="242" t="s">
        <v>2171</v>
      </c>
      <c r="D362" s="243" t="s">
        <v>1497</v>
      </c>
      <c r="E362" s="243" t="s">
        <v>420</v>
      </c>
      <c r="F362" s="242"/>
      <c r="G362" s="242" t="s">
        <v>1499</v>
      </c>
      <c r="H362" s="242" t="s">
        <v>1498</v>
      </c>
      <c r="I362" s="242"/>
      <c r="J362" s="242" t="s">
        <v>2177</v>
      </c>
    </row>
    <row r="363" spans="1:10" s="240" customFormat="1" x14ac:dyDescent="0.3">
      <c r="A363" s="240" t="str">
        <f t="shared" si="5"/>
        <v>t_agr_escrow_schdl_typeagr_escrow_schdl_type_id</v>
      </c>
      <c r="B363" s="240" t="s">
        <v>2163</v>
      </c>
      <c r="C363" s="240" t="s">
        <v>2171</v>
      </c>
      <c r="D363" s="238" t="s">
        <v>1497</v>
      </c>
      <c r="E363" s="238" t="s">
        <v>759</v>
      </c>
      <c r="G363" s="240" t="s">
        <v>1498</v>
      </c>
      <c r="H363" s="240" t="s">
        <v>1499</v>
      </c>
      <c r="J363" s="240" t="s">
        <v>2177</v>
      </c>
    </row>
    <row r="364" spans="1:10" s="240" customFormat="1" x14ac:dyDescent="0.3">
      <c r="A364" s="244" t="str">
        <f t="shared" si="5"/>
        <v>t_agr_escrow_schdl_typeagr_escrow_schdl_type_cd</v>
      </c>
      <c r="B364" s="244" t="s">
        <v>2163</v>
      </c>
      <c r="C364" s="244" t="s">
        <v>2178</v>
      </c>
      <c r="D364" s="239" t="s">
        <v>1501</v>
      </c>
      <c r="E364" s="239" t="s">
        <v>420</v>
      </c>
      <c r="F364" s="244"/>
      <c r="G364" s="244" t="s">
        <v>1499</v>
      </c>
      <c r="H364" s="244" t="s">
        <v>1499</v>
      </c>
      <c r="I364" s="244"/>
      <c r="J364" s="244" t="s">
        <v>2180</v>
      </c>
    </row>
    <row r="365" spans="1:10" s="240" customFormat="1" x14ac:dyDescent="0.3">
      <c r="A365" s="242" t="str">
        <f t="shared" si="5"/>
        <v>t_agr_escrow_schdl_typeagr_escrow_schdl_type_name</v>
      </c>
      <c r="B365" s="242" t="s">
        <v>2163</v>
      </c>
      <c r="C365" s="242" t="s">
        <v>2179</v>
      </c>
      <c r="D365" s="243" t="s">
        <v>1501</v>
      </c>
      <c r="E365" s="243" t="s">
        <v>420</v>
      </c>
      <c r="F365" s="242"/>
      <c r="G365" s="242" t="s">
        <v>1499</v>
      </c>
      <c r="H365" s="242" t="s">
        <v>1499</v>
      </c>
      <c r="I365" s="242"/>
      <c r="J365" s="242" t="s">
        <v>2181</v>
      </c>
    </row>
    <row r="366" spans="1:10" x14ac:dyDescent="0.3">
      <c r="A366" s="104" t="str">
        <f t="shared" si="5"/>
        <v/>
      </c>
    </row>
    <row r="367" spans="1:10" x14ac:dyDescent="0.3">
      <c r="A367" s="104" t="str">
        <f t="shared" si="5"/>
        <v/>
      </c>
    </row>
    <row r="368" spans="1:10" x14ac:dyDescent="0.3">
      <c r="A368" s="104" t="str">
        <f t="shared" si="5"/>
        <v/>
      </c>
    </row>
    <row r="369" spans="1:1" x14ac:dyDescent="0.3">
      <c r="A369" s="104" t="str">
        <f t="shared" si="5"/>
        <v/>
      </c>
    </row>
    <row r="370" spans="1:1" x14ac:dyDescent="0.3">
      <c r="A370" s="104" t="str">
        <f t="shared" si="5"/>
        <v/>
      </c>
    </row>
    <row r="371" spans="1:1" x14ac:dyDescent="0.3">
      <c r="A371" s="104" t="str">
        <f t="shared" si="5"/>
        <v/>
      </c>
    </row>
    <row r="372" spans="1:1" x14ac:dyDescent="0.3">
      <c r="A372" s="104" t="str">
        <f t="shared" si="5"/>
        <v/>
      </c>
    </row>
    <row r="373" spans="1:1" x14ac:dyDescent="0.3">
      <c r="A373" s="104" t="str">
        <f t="shared" si="5"/>
        <v/>
      </c>
    </row>
    <row r="374" spans="1:1" x14ac:dyDescent="0.3">
      <c r="A374" s="104" t="str">
        <f t="shared" si="5"/>
        <v/>
      </c>
    </row>
    <row r="375" spans="1:1" x14ac:dyDescent="0.3">
      <c r="A375" s="104" t="str">
        <f t="shared" si="5"/>
        <v/>
      </c>
    </row>
    <row r="376" spans="1:1" x14ac:dyDescent="0.3">
      <c r="A376" s="104" t="str">
        <f t="shared" si="5"/>
        <v/>
      </c>
    </row>
    <row r="377" spans="1:1" x14ac:dyDescent="0.3">
      <c r="A377" s="104" t="str">
        <f t="shared" si="5"/>
        <v/>
      </c>
    </row>
    <row r="378" spans="1:1" x14ac:dyDescent="0.3">
      <c r="A378" s="104" t="str">
        <f t="shared" si="5"/>
        <v/>
      </c>
    </row>
    <row r="379" spans="1:1" x14ac:dyDescent="0.3">
      <c r="A379" s="104" t="str">
        <f t="shared" si="5"/>
        <v/>
      </c>
    </row>
    <row r="380" spans="1:1" x14ac:dyDescent="0.3">
      <c r="A380" s="104" t="str">
        <f t="shared" si="5"/>
        <v/>
      </c>
    </row>
    <row r="381" spans="1:1" x14ac:dyDescent="0.3">
      <c r="A381" s="104" t="str">
        <f t="shared" si="5"/>
        <v/>
      </c>
    </row>
    <row r="382" spans="1:1" x14ac:dyDescent="0.3">
      <c r="A382" s="104" t="str">
        <f t="shared" si="5"/>
        <v/>
      </c>
    </row>
    <row r="383" spans="1:1" x14ac:dyDescent="0.3">
      <c r="A383" s="104" t="str">
        <f t="shared" si="5"/>
        <v/>
      </c>
    </row>
    <row r="384" spans="1:1" x14ac:dyDescent="0.3">
      <c r="A384" s="104" t="str">
        <f t="shared" si="5"/>
        <v/>
      </c>
    </row>
    <row r="385" spans="1:1" x14ac:dyDescent="0.3">
      <c r="A385" s="104" t="str">
        <f t="shared" si="5"/>
        <v/>
      </c>
    </row>
    <row r="386" spans="1:1" x14ac:dyDescent="0.3">
      <c r="A386" s="104" t="str">
        <f t="shared" si="5"/>
        <v/>
      </c>
    </row>
    <row r="387" spans="1:1" x14ac:dyDescent="0.3">
      <c r="A387" s="104" t="str">
        <f t="shared" si="5"/>
        <v/>
      </c>
    </row>
    <row r="388" spans="1:1" x14ac:dyDescent="0.3">
      <c r="A388" s="104" t="str">
        <f t="shared" si="5"/>
        <v/>
      </c>
    </row>
    <row r="389" spans="1:1" x14ac:dyDescent="0.3">
      <c r="A389" s="104" t="str">
        <f t="shared" si="5"/>
        <v/>
      </c>
    </row>
    <row r="390" spans="1:1" x14ac:dyDescent="0.3">
      <c r="A390" s="104" t="str">
        <f t="shared" si="5"/>
        <v/>
      </c>
    </row>
    <row r="391" spans="1:1" x14ac:dyDescent="0.3">
      <c r="A391" s="104" t="str">
        <f t="shared" si="5"/>
        <v/>
      </c>
    </row>
    <row r="392" spans="1:1" x14ac:dyDescent="0.3">
      <c r="A392" s="104" t="str">
        <f t="shared" si="5"/>
        <v/>
      </c>
    </row>
    <row r="393" spans="1:1" x14ac:dyDescent="0.3">
      <c r="A393" s="104" t="str">
        <f t="shared" si="5"/>
        <v/>
      </c>
    </row>
    <row r="394" spans="1:1" x14ac:dyDescent="0.3">
      <c r="A394" s="104" t="str">
        <f t="shared" si="5"/>
        <v/>
      </c>
    </row>
    <row r="395" spans="1:1" x14ac:dyDescent="0.3">
      <c r="A395" s="104" t="str">
        <f t="shared" si="5"/>
        <v/>
      </c>
    </row>
    <row r="396" spans="1:1" x14ac:dyDescent="0.3">
      <c r="A396" s="104" t="str">
        <f t="shared" si="5"/>
        <v/>
      </c>
    </row>
    <row r="397" spans="1:1" x14ac:dyDescent="0.3">
      <c r="A397" s="104" t="str">
        <f t="shared" si="5"/>
        <v/>
      </c>
    </row>
    <row r="398" spans="1:1" x14ac:dyDescent="0.3">
      <c r="A398" s="104" t="str">
        <f t="shared" si="5"/>
        <v/>
      </c>
    </row>
    <row r="399" spans="1:1" x14ac:dyDescent="0.3">
      <c r="A399" s="104" t="str">
        <f t="shared" si="5"/>
        <v/>
      </c>
    </row>
    <row r="400" spans="1:1" x14ac:dyDescent="0.3">
      <c r="A400" s="104" t="str">
        <f t="shared" si="5"/>
        <v/>
      </c>
    </row>
    <row r="401" spans="1:1" x14ac:dyDescent="0.3">
      <c r="A401" s="104" t="str">
        <f t="shared" si="5"/>
        <v/>
      </c>
    </row>
    <row r="402" spans="1:1" x14ac:dyDescent="0.3">
      <c r="A402" s="104" t="str">
        <f t="shared" si="5"/>
        <v/>
      </c>
    </row>
    <row r="403" spans="1:1" x14ac:dyDescent="0.3">
      <c r="A403" s="104" t="str">
        <f t="shared" si="5"/>
        <v/>
      </c>
    </row>
    <row r="404" spans="1:1" x14ac:dyDescent="0.3">
      <c r="A404" s="104" t="str">
        <f t="shared" si="5"/>
        <v/>
      </c>
    </row>
    <row r="405" spans="1:1" x14ac:dyDescent="0.3">
      <c r="A405" s="104" t="str">
        <f t="shared" si="5"/>
        <v/>
      </c>
    </row>
    <row r="406" spans="1:1" x14ac:dyDescent="0.3">
      <c r="A406" s="104" t="str">
        <f t="shared" si="5"/>
        <v/>
      </c>
    </row>
    <row r="407" spans="1:1" x14ac:dyDescent="0.3">
      <c r="A407" s="104" t="str">
        <f t="shared" si="5"/>
        <v/>
      </c>
    </row>
    <row r="408" spans="1:1" x14ac:dyDescent="0.3">
      <c r="A408" s="104" t="str">
        <f t="shared" ref="A408:A471" si="6">B408&amp;C408</f>
        <v/>
      </c>
    </row>
    <row r="409" spans="1:1" x14ac:dyDescent="0.3">
      <c r="A409" s="104" t="str">
        <f t="shared" si="6"/>
        <v/>
      </c>
    </row>
    <row r="410" spans="1:1" x14ac:dyDescent="0.3">
      <c r="A410" s="104" t="str">
        <f t="shared" si="6"/>
        <v/>
      </c>
    </row>
    <row r="411" spans="1:1" x14ac:dyDescent="0.3">
      <c r="A411" s="104" t="str">
        <f t="shared" si="6"/>
        <v/>
      </c>
    </row>
    <row r="412" spans="1:1" x14ac:dyDescent="0.3">
      <c r="A412" s="104" t="str">
        <f t="shared" si="6"/>
        <v/>
      </c>
    </row>
    <row r="413" spans="1:1" x14ac:dyDescent="0.3">
      <c r="A413" s="104" t="str">
        <f t="shared" si="6"/>
        <v/>
      </c>
    </row>
    <row r="414" spans="1:1" x14ac:dyDescent="0.3">
      <c r="A414" s="104" t="str">
        <f t="shared" si="6"/>
        <v/>
      </c>
    </row>
    <row r="415" spans="1:1" x14ac:dyDescent="0.3">
      <c r="A415" s="104" t="str">
        <f t="shared" si="6"/>
        <v/>
      </c>
    </row>
    <row r="416" spans="1:1" x14ac:dyDescent="0.3">
      <c r="A416" s="104" t="str">
        <f t="shared" si="6"/>
        <v/>
      </c>
    </row>
    <row r="417" spans="1:1" x14ac:dyDescent="0.3">
      <c r="A417" s="104" t="str">
        <f t="shared" si="6"/>
        <v/>
      </c>
    </row>
    <row r="418" spans="1:1" x14ac:dyDescent="0.3">
      <c r="A418" s="104" t="str">
        <f t="shared" si="6"/>
        <v/>
      </c>
    </row>
    <row r="419" spans="1:1" x14ac:dyDescent="0.3">
      <c r="A419" s="104" t="str">
        <f t="shared" si="6"/>
        <v/>
      </c>
    </row>
    <row r="420" spans="1:1" x14ac:dyDescent="0.3">
      <c r="A420" s="104" t="str">
        <f t="shared" si="6"/>
        <v/>
      </c>
    </row>
    <row r="421" spans="1:1" x14ac:dyDescent="0.3">
      <c r="A421" s="104" t="str">
        <f t="shared" si="6"/>
        <v/>
      </c>
    </row>
    <row r="422" spans="1:1" x14ac:dyDescent="0.3">
      <c r="A422" s="104" t="str">
        <f t="shared" si="6"/>
        <v/>
      </c>
    </row>
    <row r="423" spans="1:1" x14ac:dyDescent="0.3">
      <c r="A423" s="104" t="str">
        <f t="shared" si="6"/>
        <v/>
      </c>
    </row>
    <row r="424" spans="1:1" x14ac:dyDescent="0.3">
      <c r="A424" s="104" t="str">
        <f t="shared" si="6"/>
        <v/>
      </c>
    </row>
    <row r="425" spans="1:1" x14ac:dyDescent="0.3">
      <c r="A425" s="104" t="str">
        <f t="shared" si="6"/>
        <v/>
      </c>
    </row>
    <row r="426" spans="1:1" x14ac:dyDescent="0.3">
      <c r="A426" s="104" t="str">
        <f t="shared" si="6"/>
        <v/>
      </c>
    </row>
    <row r="427" spans="1:1" x14ac:dyDescent="0.3">
      <c r="A427" s="104" t="str">
        <f t="shared" si="6"/>
        <v/>
      </c>
    </row>
    <row r="428" spans="1:1" x14ac:dyDescent="0.3">
      <c r="A428" s="104" t="str">
        <f t="shared" si="6"/>
        <v/>
      </c>
    </row>
    <row r="429" spans="1:1" x14ac:dyDescent="0.3">
      <c r="A429" s="104" t="str">
        <f t="shared" si="6"/>
        <v/>
      </c>
    </row>
    <row r="430" spans="1:1" x14ac:dyDescent="0.3">
      <c r="A430" s="104" t="str">
        <f t="shared" si="6"/>
        <v/>
      </c>
    </row>
    <row r="431" spans="1:1" x14ac:dyDescent="0.3">
      <c r="A431" s="104" t="str">
        <f t="shared" si="6"/>
        <v/>
      </c>
    </row>
    <row r="432" spans="1:1" x14ac:dyDescent="0.3">
      <c r="A432" s="104" t="str">
        <f t="shared" si="6"/>
        <v/>
      </c>
    </row>
    <row r="433" spans="1:1" x14ac:dyDescent="0.3">
      <c r="A433" s="104" t="str">
        <f t="shared" si="6"/>
        <v/>
      </c>
    </row>
    <row r="434" spans="1:1" x14ac:dyDescent="0.3">
      <c r="A434" s="104" t="str">
        <f t="shared" si="6"/>
        <v/>
      </c>
    </row>
    <row r="435" spans="1:1" x14ac:dyDescent="0.3">
      <c r="A435" s="104" t="str">
        <f t="shared" si="6"/>
        <v/>
      </c>
    </row>
    <row r="436" spans="1:1" x14ac:dyDescent="0.3">
      <c r="A436" s="104" t="str">
        <f t="shared" si="6"/>
        <v/>
      </c>
    </row>
    <row r="437" spans="1:1" x14ac:dyDescent="0.3">
      <c r="A437" s="104" t="str">
        <f t="shared" si="6"/>
        <v/>
      </c>
    </row>
    <row r="438" spans="1:1" x14ac:dyDescent="0.3">
      <c r="A438" s="104" t="str">
        <f t="shared" si="6"/>
        <v/>
      </c>
    </row>
    <row r="439" spans="1:1" x14ac:dyDescent="0.3">
      <c r="A439" s="104" t="str">
        <f t="shared" si="6"/>
        <v/>
      </c>
    </row>
    <row r="440" spans="1:1" x14ac:dyDescent="0.3">
      <c r="A440" s="104" t="str">
        <f t="shared" si="6"/>
        <v/>
      </c>
    </row>
    <row r="441" spans="1:1" x14ac:dyDescent="0.3">
      <c r="A441" s="104" t="str">
        <f t="shared" si="6"/>
        <v/>
      </c>
    </row>
    <row r="442" spans="1:1" x14ac:dyDescent="0.3">
      <c r="A442" s="104" t="str">
        <f t="shared" si="6"/>
        <v/>
      </c>
    </row>
    <row r="443" spans="1:1" x14ac:dyDescent="0.3">
      <c r="A443" s="104" t="str">
        <f t="shared" si="6"/>
        <v/>
      </c>
    </row>
    <row r="444" spans="1:1" x14ac:dyDescent="0.3">
      <c r="A444" s="104" t="str">
        <f t="shared" si="6"/>
        <v/>
      </c>
    </row>
    <row r="445" spans="1:1" x14ac:dyDescent="0.3">
      <c r="A445" s="104" t="str">
        <f t="shared" si="6"/>
        <v/>
      </c>
    </row>
    <row r="446" spans="1:1" x14ac:dyDescent="0.3">
      <c r="A446" s="104" t="str">
        <f t="shared" si="6"/>
        <v/>
      </c>
    </row>
    <row r="447" spans="1:1" x14ac:dyDescent="0.3">
      <c r="A447" s="104" t="str">
        <f t="shared" si="6"/>
        <v/>
      </c>
    </row>
    <row r="448" spans="1:1" x14ac:dyDescent="0.3">
      <c r="A448" s="104" t="str">
        <f t="shared" si="6"/>
        <v/>
      </c>
    </row>
    <row r="449" spans="1:1" x14ac:dyDescent="0.3">
      <c r="A449" s="104" t="str">
        <f t="shared" si="6"/>
        <v/>
      </c>
    </row>
    <row r="450" spans="1:1" x14ac:dyDescent="0.3">
      <c r="A450" s="104" t="str">
        <f t="shared" si="6"/>
        <v/>
      </c>
    </row>
    <row r="451" spans="1:1" x14ac:dyDescent="0.3">
      <c r="A451" s="104" t="str">
        <f t="shared" si="6"/>
        <v/>
      </c>
    </row>
    <row r="452" spans="1:1" x14ac:dyDescent="0.3">
      <c r="A452" s="104" t="str">
        <f t="shared" si="6"/>
        <v/>
      </c>
    </row>
    <row r="453" spans="1:1" x14ac:dyDescent="0.3">
      <c r="A453" s="104" t="str">
        <f t="shared" si="6"/>
        <v/>
      </c>
    </row>
    <row r="454" spans="1:1" x14ac:dyDescent="0.3">
      <c r="A454" s="104" t="str">
        <f t="shared" si="6"/>
        <v/>
      </c>
    </row>
    <row r="455" spans="1:1" x14ac:dyDescent="0.3">
      <c r="A455" s="104" t="str">
        <f t="shared" si="6"/>
        <v/>
      </c>
    </row>
    <row r="456" spans="1:1" x14ac:dyDescent="0.3">
      <c r="A456" s="104" t="str">
        <f t="shared" si="6"/>
        <v/>
      </c>
    </row>
    <row r="457" spans="1:1" x14ac:dyDescent="0.3">
      <c r="A457" s="104" t="str">
        <f t="shared" si="6"/>
        <v/>
      </c>
    </row>
    <row r="458" spans="1:1" x14ac:dyDescent="0.3">
      <c r="A458" s="104" t="str">
        <f t="shared" si="6"/>
        <v/>
      </c>
    </row>
    <row r="459" spans="1:1" x14ac:dyDescent="0.3">
      <c r="A459" s="104" t="str">
        <f t="shared" si="6"/>
        <v/>
      </c>
    </row>
    <row r="460" spans="1:1" x14ac:dyDescent="0.3">
      <c r="A460" s="104" t="str">
        <f t="shared" si="6"/>
        <v/>
      </c>
    </row>
    <row r="461" spans="1:1" x14ac:dyDescent="0.3">
      <c r="A461" s="104" t="str">
        <f t="shared" si="6"/>
        <v/>
      </c>
    </row>
    <row r="462" spans="1:1" x14ac:dyDescent="0.3">
      <c r="A462" s="104" t="str">
        <f t="shared" si="6"/>
        <v/>
      </c>
    </row>
    <row r="463" spans="1:1" x14ac:dyDescent="0.3">
      <c r="A463" s="104" t="str">
        <f t="shared" si="6"/>
        <v/>
      </c>
    </row>
    <row r="464" spans="1:1" x14ac:dyDescent="0.3">
      <c r="A464" s="104" t="str">
        <f t="shared" si="6"/>
        <v/>
      </c>
    </row>
    <row r="465" spans="1:1" x14ac:dyDescent="0.3">
      <c r="A465" s="104" t="str">
        <f t="shared" si="6"/>
        <v/>
      </c>
    </row>
    <row r="466" spans="1:1" x14ac:dyDescent="0.3">
      <c r="A466" s="104" t="str">
        <f t="shared" si="6"/>
        <v/>
      </c>
    </row>
    <row r="467" spans="1:1" x14ac:dyDescent="0.3">
      <c r="A467" s="104" t="str">
        <f t="shared" si="6"/>
        <v/>
      </c>
    </row>
    <row r="468" spans="1:1" x14ac:dyDescent="0.3">
      <c r="A468" s="104" t="str">
        <f t="shared" si="6"/>
        <v/>
      </c>
    </row>
    <row r="469" spans="1:1" x14ac:dyDescent="0.3">
      <c r="A469" s="104" t="str">
        <f t="shared" si="6"/>
        <v/>
      </c>
    </row>
    <row r="470" spans="1:1" x14ac:dyDescent="0.3">
      <c r="A470" s="104" t="str">
        <f t="shared" si="6"/>
        <v/>
      </c>
    </row>
    <row r="471" spans="1:1" x14ac:dyDescent="0.3">
      <c r="A471" s="104" t="str">
        <f t="shared" si="6"/>
        <v/>
      </c>
    </row>
    <row r="472" spans="1:1" x14ac:dyDescent="0.3">
      <c r="A472" s="104" t="str">
        <f t="shared" ref="A472:A481" si="7">B472&amp;C472</f>
        <v/>
      </c>
    </row>
    <row r="473" spans="1:1" x14ac:dyDescent="0.3">
      <c r="A473" s="104" t="str">
        <f t="shared" si="7"/>
        <v/>
      </c>
    </row>
    <row r="474" spans="1:1" x14ac:dyDescent="0.3">
      <c r="A474" s="104" t="str">
        <f t="shared" si="7"/>
        <v/>
      </c>
    </row>
    <row r="475" spans="1:1" x14ac:dyDescent="0.3">
      <c r="A475" s="104" t="str">
        <f t="shared" si="7"/>
        <v/>
      </c>
    </row>
    <row r="476" spans="1:1" x14ac:dyDescent="0.3">
      <c r="A476" s="104" t="str">
        <f t="shared" si="7"/>
        <v/>
      </c>
    </row>
    <row r="477" spans="1:1" x14ac:dyDescent="0.3">
      <c r="A477" s="104" t="str">
        <f t="shared" si="7"/>
        <v/>
      </c>
    </row>
    <row r="478" spans="1:1" x14ac:dyDescent="0.3">
      <c r="A478" s="104" t="str">
        <f t="shared" si="7"/>
        <v/>
      </c>
    </row>
    <row r="479" spans="1:1" x14ac:dyDescent="0.3">
      <c r="A479" s="104" t="str">
        <f t="shared" si="7"/>
        <v/>
      </c>
    </row>
    <row r="480" spans="1:1" x14ac:dyDescent="0.3">
      <c r="A480" s="104" t="str">
        <f t="shared" si="7"/>
        <v/>
      </c>
    </row>
    <row r="481" spans="1:1" x14ac:dyDescent="0.3">
      <c r="A481" s="104" t="str">
        <f t="shared" si="7"/>
        <v/>
      </c>
    </row>
  </sheetData>
  <conditionalFormatting sqref="A352 G352">
    <cfRule type="expression" dxfId="269" priority="1810">
      <formula>$B352&lt;&gt;#REF!</formula>
    </cfRule>
  </conditionalFormatting>
  <conditionalFormatting sqref="I31:J31 G31 A31:C31">
    <cfRule type="expression" dxfId="268" priority="1627">
      <formula>$B29&lt;&gt;$B34</formula>
    </cfRule>
  </conditionalFormatting>
  <conditionalFormatting sqref="B302:J302">
    <cfRule type="expression" dxfId="267" priority="1513">
      <formula>$B302&lt;&gt;$B311</formula>
    </cfRule>
  </conditionalFormatting>
  <conditionalFormatting sqref="A282 D282:I282 A273:J273">
    <cfRule type="expression" dxfId="266" priority="1510">
      <formula>$B273&lt;&gt;#REF!</formula>
    </cfRule>
  </conditionalFormatting>
  <conditionalFormatting sqref="I227:J227 B227:E227 G227">
    <cfRule type="expression" dxfId="265" priority="1205">
      <formula>$B227&lt;&gt;#REF!</formula>
    </cfRule>
  </conditionalFormatting>
  <conditionalFormatting sqref="I215:J215 B215:E215 I218:J218 B218:E218 D219">
    <cfRule type="expression" dxfId="264" priority="306">
      <formula>$B215&lt;&gt;#REF!</formula>
    </cfRule>
  </conditionalFormatting>
  <conditionalFormatting sqref="A118:J118">
    <cfRule type="expression" dxfId="263" priority="305">
      <formula>$B118&lt;&gt;#REF!</formula>
    </cfRule>
  </conditionalFormatting>
  <conditionalFormatting sqref="D51:F51 A79:J79">
    <cfRule type="expression" dxfId="262" priority="304">
      <formula>#REF!&lt;&gt;#REF!</formula>
    </cfRule>
  </conditionalFormatting>
  <conditionalFormatting sqref="A14 C14 H14:J14">
    <cfRule type="expression" dxfId="261" priority="303">
      <formula>$B13&lt;&gt;$B15</formula>
    </cfRule>
  </conditionalFormatting>
  <conditionalFormatting sqref="B12">
    <cfRule type="expression" dxfId="260" priority="302">
      <formula>$B3&lt;&gt;$B4</formula>
    </cfRule>
  </conditionalFormatting>
  <conditionalFormatting sqref="B12">
    <cfRule type="expression" dxfId="259" priority="301">
      <formula>$B3&lt;&gt;$B4</formula>
    </cfRule>
  </conditionalFormatting>
  <conditionalFormatting sqref="C12">
    <cfRule type="expression" dxfId="258" priority="300">
      <formula>$B3&lt;&gt;$B4</formula>
    </cfRule>
  </conditionalFormatting>
  <conditionalFormatting sqref="C12">
    <cfRule type="expression" dxfId="257" priority="299">
      <formula>$B3&lt;&gt;$B4</formula>
    </cfRule>
  </conditionalFormatting>
  <conditionalFormatting sqref="G12">
    <cfRule type="expression" dxfId="256" priority="298">
      <formula>$B3&lt;&gt;$B4</formula>
    </cfRule>
  </conditionalFormatting>
  <conditionalFormatting sqref="G12">
    <cfRule type="expression" dxfId="255" priority="297">
      <formula>$B3&lt;&gt;$B4</formula>
    </cfRule>
  </conditionalFormatting>
  <conditionalFormatting sqref="H12">
    <cfRule type="expression" dxfId="254" priority="296">
      <formula>$B3&lt;&gt;$B4</formula>
    </cfRule>
  </conditionalFormatting>
  <conditionalFormatting sqref="H12">
    <cfRule type="expression" dxfId="253" priority="295">
      <formula>$B3&lt;&gt;$B4</formula>
    </cfRule>
  </conditionalFormatting>
  <conditionalFormatting sqref="J12">
    <cfRule type="expression" dxfId="252" priority="294">
      <formula>$B3&lt;&gt;$B4</formula>
    </cfRule>
  </conditionalFormatting>
  <conditionalFormatting sqref="J12">
    <cfRule type="expression" dxfId="251" priority="293">
      <formula>$B3&lt;&gt;$B4</formula>
    </cfRule>
  </conditionalFormatting>
  <conditionalFormatting sqref="E12">
    <cfRule type="expression" dxfId="250" priority="292">
      <formula>$B3&lt;&gt;$B4</formula>
    </cfRule>
  </conditionalFormatting>
  <conditionalFormatting sqref="E12">
    <cfRule type="expression" dxfId="249" priority="291">
      <formula>$B3&lt;&gt;$B4</formula>
    </cfRule>
  </conditionalFormatting>
  <conditionalFormatting sqref="D12">
    <cfRule type="expression" dxfId="248" priority="290">
      <formula>$B3&lt;&gt;$B4</formula>
    </cfRule>
  </conditionalFormatting>
  <conditionalFormatting sqref="D12">
    <cfRule type="expression" dxfId="247" priority="289">
      <formula>$B3&lt;&gt;$B4</formula>
    </cfRule>
  </conditionalFormatting>
  <conditionalFormatting sqref="B66">
    <cfRule type="expression" dxfId="246" priority="288">
      <formula>$B3&lt;&gt;$B4</formula>
    </cfRule>
  </conditionalFormatting>
  <conditionalFormatting sqref="B66">
    <cfRule type="expression" dxfId="245" priority="287">
      <formula>$B3&lt;&gt;$B4</formula>
    </cfRule>
  </conditionalFormatting>
  <conditionalFormatting sqref="H66:J66">
    <cfRule type="expression" dxfId="244" priority="286">
      <formula>$B3&lt;&gt;$B4</formula>
    </cfRule>
  </conditionalFormatting>
  <conditionalFormatting sqref="H65:J65">
    <cfRule type="expression" dxfId="243" priority="285">
      <formula>$B3&lt;&gt;$B4</formula>
    </cfRule>
  </conditionalFormatting>
  <conditionalFormatting sqref="F67">
    <cfRule type="expression" dxfId="242" priority="284">
      <formula>$B3&lt;&gt;$B4</formula>
    </cfRule>
  </conditionalFormatting>
  <conditionalFormatting sqref="F65">
    <cfRule type="expression" dxfId="241" priority="283">
      <formula>$B3&lt;&gt;$B4</formula>
    </cfRule>
  </conditionalFormatting>
  <conditionalFormatting sqref="F66">
    <cfRule type="expression" dxfId="240" priority="282">
      <formula>$B3&lt;&gt;$B4</formula>
    </cfRule>
  </conditionalFormatting>
  <conditionalFormatting sqref="G66">
    <cfRule type="expression" dxfId="239" priority="281">
      <formula>$B3&lt;&gt;$B4</formula>
    </cfRule>
  </conditionalFormatting>
  <conditionalFormatting sqref="G65">
    <cfRule type="expression" dxfId="238" priority="280">
      <formula>$B3&lt;&gt;$B4</formula>
    </cfRule>
  </conditionalFormatting>
  <conditionalFormatting sqref="C66:E66">
    <cfRule type="expression" dxfId="237" priority="279">
      <formula>$B3&lt;&gt;$B4</formula>
    </cfRule>
  </conditionalFormatting>
  <conditionalFormatting sqref="C65:E65">
    <cfRule type="expression" dxfId="236" priority="278">
      <formula>$B3&lt;&gt;$B4</formula>
    </cfRule>
  </conditionalFormatting>
  <conditionalFormatting sqref="A67">
    <cfRule type="expression" dxfId="235" priority="277">
      <formula>$B3&lt;&gt;$B4</formula>
    </cfRule>
  </conditionalFormatting>
  <conditionalFormatting sqref="A65">
    <cfRule type="expression" dxfId="234" priority="276">
      <formula>$B3&lt;&gt;$B4</formula>
    </cfRule>
  </conditionalFormatting>
  <conditionalFormatting sqref="A66">
    <cfRule type="expression" dxfId="233" priority="275">
      <formula>$B3&lt;&gt;$B4</formula>
    </cfRule>
  </conditionalFormatting>
  <conditionalFormatting sqref="B65">
    <cfRule type="expression" dxfId="232" priority="274">
      <formula>$B3&lt;&gt;$B4</formula>
    </cfRule>
  </conditionalFormatting>
  <conditionalFormatting sqref="A4:C4 A9:C9 A17:C17 A21:C21 A39 A44:C44 A47:C47 A51:C51 A58:C58 A24:C24 I4:J4 I9:J9 I17:J17 J21 J24 I39:J39 I47:J47 I51:J51 I58:J58 I44:J44 J52 A52:B52 A53:A54 C39">
    <cfRule type="expression" dxfId="231" priority="273">
      <formula>$B4&lt;&gt;#REF!</formula>
    </cfRule>
  </conditionalFormatting>
  <conditionalFormatting sqref="A13 C13 H13:J13">
    <cfRule type="expression" dxfId="230" priority="272">
      <formula>$B12&lt;&gt;$B15</formula>
    </cfRule>
  </conditionalFormatting>
  <conditionalFormatting sqref="A3:C3 A5:C8 A10:C11 A18:C20 A40:C43 A45:C46 A65:J65 A66:A67 C66:J67 G3:J3 A22:C23 A59:C64 I6:J8 I10:J11 I15:J16 I22:J22 I42:J43 I45:J46 I63:I64 H13:J14 H60:I62 G63 G59:I59 G45 G42 G40:J41 G25:J25 G22 G18:J20 G10 G5:J5 A12:A13 J23 B67 A68:F70 I68:J70 B87:G87 B13:C13 A14:C16 I112:J113 B112:F113 G112:H114 A239:E244 A351 A31:C31 I31:J31 G31 G34:G36 A34:C36 I34:J36">
    <cfRule type="expression" dxfId="229" priority="271">
      <formula>$B3&lt;&gt;$B4</formula>
    </cfRule>
  </conditionalFormatting>
  <conditionalFormatting sqref="A20 C20 G20:J20 H32 G37:H37">
    <cfRule type="expression" dxfId="228" priority="270">
      <formula>$B19&lt;&gt;$B20</formula>
    </cfRule>
  </conditionalFormatting>
  <conditionalFormatting sqref="A15 C15 I15:J15 H34 G39:H39">
    <cfRule type="expression" dxfId="227" priority="269">
      <formula>$B13&lt;&gt;$B15</formula>
    </cfRule>
  </conditionalFormatting>
  <conditionalFormatting sqref="A32:C32 I32:J32 G32">
    <cfRule type="expression" dxfId="226" priority="268">
      <formula>$B31&lt;&gt;$B32</formula>
    </cfRule>
  </conditionalFormatting>
  <conditionalFormatting sqref="B114:F114 I114">
    <cfRule type="expression" dxfId="225" priority="267">
      <formula>$B113&lt;&gt;$B114</formula>
    </cfRule>
  </conditionalFormatting>
  <conditionalFormatting sqref="J114">
    <cfRule type="expression" dxfId="224" priority="266">
      <formula>$B113&lt;&gt;$B114</formula>
    </cfRule>
  </conditionalFormatting>
  <conditionalFormatting sqref="D3:D11">
    <cfRule type="expression" dxfId="223" priority="265">
      <formula>$B3&lt;&gt;$B4</formula>
    </cfRule>
  </conditionalFormatting>
  <conditionalFormatting sqref="J60:J64">
    <cfRule type="expression" dxfId="222" priority="264">
      <formula>$B59&lt;&gt;$B60</formula>
    </cfRule>
  </conditionalFormatting>
  <conditionalFormatting sqref="G4">
    <cfRule type="expression" dxfId="221" priority="263">
      <formula>$B4&lt;&gt;$B5</formula>
    </cfRule>
  </conditionalFormatting>
  <conditionalFormatting sqref="H4">
    <cfRule type="expression" dxfId="220" priority="262">
      <formula>$B4&lt;&gt;$B5</formula>
    </cfRule>
  </conditionalFormatting>
  <conditionalFormatting sqref="H6:H9">
    <cfRule type="expression" dxfId="219" priority="261">
      <formula>$B6&lt;&gt;$B7</formula>
    </cfRule>
  </conditionalFormatting>
  <conditionalFormatting sqref="G6:G9">
    <cfRule type="expression" dxfId="218" priority="260">
      <formula>$B6&lt;&gt;$B7</formula>
    </cfRule>
  </conditionalFormatting>
  <conditionalFormatting sqref="G11 G13:G16">
    <cfRule type="expression" dxfId="217" priority="259">
      <formula>$B11&lt;&gt;$B12</formula>
    </cfRule>
  </conditionalFormatting>
  <conditionalFormatting sqref="H10:H11">
    <cfRule type="expression" dxfId="216" priority="258">
      <formula>$B10&lt;&gt;$B11</formula>
    </cfRule>
  </conditionalFormatting>
  <conditionalFormatting sqref="H15:H16 H31">
    <cfRule type="expression" dxfId="215" priority="257">
      <formula>$B13&lt;&gt;$B15</formula>
    </cfRule>
  </conditionalFormatting>
  <conditionalFormatting sqref="H42:H43">
    <cfRule type="expression" dxfId="214" priority="254">
      <formula>$B41&lt;&gt;$B42</formula>
    </cfRule>
  </conditionalFormatting>
  <conditionalFormatting sqref="G43">
    <cfRule type="expression" dxfId="213" priority="253">
      <formula>$B42&lt;&gt;$B43</formula>
    </cfRule>
  </conditionalFormatting>
  <conditionalFormatting sqref="G46:G47">
    <cfRule type="expression" dxfId="212" priority="252">
      <formula>$B45&lt;&gt;$B46</formula>
    </cfRule>
  </conditionalFormatting>
  <conditionalFormatting sqref="G51:H51">
    <cfRule type="expression" dxfId="211" priority="251">
      <formula>$B48&lt;&gt;$B51</formula>
    </cfRule>
  </conditionalFormatting>
  <conditionalFormatting sqref="H46:H47">
    <cfRule type="expression" dxfId="210" priority="250">
      <formula>$B45&lt;&gt;$B46</formula>
    </cfRule>
  </conditionalFormatting>
  <conditionalFormatting sqref="G58">
    <cfRule type="expression" dxfId="209" priority="249">
      <formula>$B55&lt;&gt;$B58</formula>
    </cfRule>
  </conditionalFormatting>
  <conditionalFormatting sqref="H58">
    <cfRule type="expression" dxfId="208" priority="248">
      <formula>$B55&lt;&gt;$B58</formula>
    </cfRule>
  </conditionalFormatting>
  <conditionalFormatting sqref="G60:G62">
    <cfRule type="expression" dxfId="207" priority="247">
      <formula>$B59&lt;&gt;$B60</formula>
    </cfRule>
  </conditionalFormatting>
  <conditionalFormatting sqref="G64">
    <cfRule type="expression" dxfId="206" priority="246">
      <formula>$B63&lt;&gt;$B64</formula>
    </cfRule>
  </conditionalFormatting>
  <conditionalFormatting sqref="H64">
    <cfRule type="expression" dxfId="205" priority="245">
      <formula>$B63&lt;&gt;$B64</formula>
    </cfRule>
  </conditionalFormatting>
  <conditionalFormatting sqref="H63">
    <cfRule type="expression" dxfId="204" priority="244">
      <formula>$B62&lt;&gt;$B63</formula>
    </cfRule>
  </conditionalFormatting>
  <conditionalFormatting sqref="H35:H36">
    <cfRule type="expression" dxfId="203" priority="243">
      <formula>$B34&lt;&gt;$B35</formula>
    </cfRule>
  </conditionalFormatting>
  <conditionalFormatting sqref="G44">
    <cfRule type="expression" dxfId="202" priority="242">
      <formula>$B43&lt;&gt;$B44</formula>
    </cfRule>
  </conditionalFormatting>
  <conditionalFormatting sqref="F22 F3:F20">
    <cfRule type="expression" dxfId="201" priority="241">
      <formula>$B3&lt;&gt;$B4</formula>
    </cfRule>
  </conditionalFormatting>
  <conditionalFormatting sqref="E3:E11">
    <cfRule type="expression" dxfId="200" priority="240">
      <formula>$B3&lt;&gt;$B4</formula>
    </cfRule>
  </conditionalFormatting>
  <conditionalFormatting sqref="G17:H17">
    <cfRule type="expression" dxfId="199" priority="239">
      <formula>$B17&lt;&gt;$B18</formula>
    </cfRule>
  </conditionalFormatting>
  <conditionalFormatting sqref="F21:I21">
    <cfRule type="expression" dxfId="198" priority="238">
      <formula>$B21&lt;&gt;$B22</formula>
    </cfRule>
  </conditionalFormatting>
  <conditionalFormatting sqref="F23:I24">
    <cfRule type="expression" dxfId="197" priority="237">
      <formula>$B23&lt;&gt;$B24</formula>
    </cfRule>
  </conditionalFormatting>
  <conditionalFormatting sqref="H22">
    <cfRule type="expression" dxfId="196" priority="236">
      <formula>$B22&lt;&gt;$B23</formula>
    </cfRule>
  </conditionalFormatting>
  <conditionalFormatting sqref="H44 H26:H29">
    <cfRule type="expression" dxfId="195" priority="235">
      <formula>$B25&lt;&gt;$B26</formula>
    </cfRule>
  </conditionalFormatting>
  <conditionalFormatting sqref="H45">
    <cfRule type="expression" dxfId="194" priority="234">
      <formula>$B45&lt;&gt;$B46</formula>
    </cfRule>
  </conditionalFormatting>
  <conditionalFormatting sqref="A48:J48 A55:C55 G55:J55">
    <cfRule type="expression" dxfId="193" priority="233">
      <formula>$B48&lt;&gt;$B51</formula>
    </cfRule>
  </conditionalFormatting>
  <conditionalFormatting sqref="J59">
    <cfRule type="expression" dxfId="192" priority="231">
      <formula>$B59&lt;&gt;$B60</formula>
    </cfRule>
  </conditionalFormatting>
  <conditionalFormatting sqref="A67">
    <cfRule type="expression" dxfId="191" priority="230">
      <formula>$B4&lt;&gt;$B5</formula>
    </cfRule>
  </conditionalFormatting>
  <conditionalFormatting sqref="H69">
    <cfRule type="expression" dxfId="190" priority="229">
      <formula>$B6&lt;&gt;$B7</formula>
    </cfRule>
  </conditionalFormatting>
  <conditionalFormatting sqref="H68">
    <cfRule type="expression" dxfId="189" priority="228">
      <formula>$B6&lt;&gt;$B7</formula>
    </cfRule>
  </conditionalFormatting>
  <conditionalFormatting sqref="G69">
    <cfRule type="expression" dxfId="188" priority="227">
      <formula>$B6&lt;&gt;$B7</formula>
    </cfRule>
  </conditionalFormatting>
  <conditionalFormatting sqref="G68">
    <cfRule type="expression" dxfId="187" priority="226">
      <formula>$B6&lt;&gt;$B7</formula>
    </cfRule>
  </conditionalFormatting>
  <conditionalFormatting sqref="G68:H70">
    <cfRule type="expression" dxfId="186" priority="225">
      <formula>$B68&lt;&gt;$B69</formula>
    </cfRule>
  </conditionalFormatting>
  <conditionalFormatting sqref="G84">
    <cfRule type="expression" dxfId="185" priority="224">
      <formula>$B18&lt;&gt;$B19</formula>
    </cfRule>
  </conditionalFormatting>
  <conditionalFormatting sqref="G83">
    <cfRule type="expression" dxfId="184" priority="223">
      <formula>$B18&lt;&gt;$B19</formula>
    </cfRule>
  </conditionalFormatting>
  <conditionalFormatting sqref="G83:G84">
    <cfRule type="expression" dxfId="183" priority="222">
      <formula>$B83&lt;&gt;$B84</formula>
    </cfRule>
  </conditionalFormatting>
  <conditionalFormatting sqref="G85 H84">
    <cfRule type="expression" dxfId="182" priority="221">
      <formula>$B10&lt;&gt;$B11</formula>
    </cfRule>
  </conditionalFormatting>
  <conditionalFormatting sqref="C85:J85 A82:J82 A32:C32 I32:J32 G32 A37:C37 I37:J37">
    <cfRule type="expression" dxfId="181" priority="220">
      <formula>$B32&lt;&gt;$B34</formula>
    </cfRule>
  </conditionalFormatting>
  <conditionalFormatting sqref="B67">
    <cfRule type="expression" dxfId="180" priority="219">
      <formula>$B5&lt;&gt;$B6</formula>
    </cfRule>
  </conditionalFormatting>
  <conditionalFormatting sqref="H83">
    <cfRule type="expression" dxfId="179" priority="218">
      <formula>$B18&lt;&gt;$B19</formula>
    </cfRule>
  </conditionalFormatting>
  <conditionalFormatting sqref="F25:F29 D13:E29 A83:F84 H83:J84 H87:J87 A85:B86 D55:F55 B115:J117 A87:A94 A106:A117 B88:J94 B106:J111 A71:J77 A95:J105 D58:F64 D31:F32 D34:F37 D39:F47">
    <cfRule type="expression" dxfId="178" priority="217">
      <formula>#REF!&lt;&gt;#REF!</formula>
    </cfRule>
  </conditionalFormatting>
  <conditionalFormatting sqref="A49:J49 A230:J230 I231:J231 A231:B231 G290 A29:C29 I29:J29 G29 A315 G315:H315">
    <cfRule type="expression" dxfId="177" priority="216">
      <formula>$B29&lt;&gt;$B31</formula>
    </cfRule>
  </conditionalFormatting>
  <conditionalFormatting sqref="G86">
    <cfRule type="expression" dxfId="176" priority="215">
      <formula>$B20&lt;&gt;$B21</formula>
    </cfRule>
  </conditionalFormatting>
  <conditionalFormatting sqref="G86">
    <cfRule type="expression" dxfId="175" priority="214">
      <formula>$B86&lt;&gt;$B87</formula>
    </cfRule>
  </conditionalFormatting>
  <conditionalFormatting sqref="H86">
    <cfRule type="expression" dxfId="174" priority="213">
      <formula>$B20&lt;&gt;$B21</formula>
    </cfRule>
  </conditionalFormatting>
  <conditionalFormatting sqref="C86:F86 H86:J86">
    <cfRule type="expression" dxfId="173" priority="212">
      <formula>$B86&lt;&gt;$B87</formula>
    </cfRule>
  </conditionalFormatting>
  <conditionalFormatting sqref="B53:J54">
    <cfRule type="expression" dxfId="172" priority="211">
      <formula>$B53&lt;&gt;$B54</formula>
    </cfRule>
  </conditionalFormatting>
  <conditionalFormatting sqref="C52:I52 I126:J127 G126:G127 B126:E127 A119:A227">
    <cfRule type="expression" dxfId="171" priority="210">
      <formula>#REF!&lt;&gt;#REF!</formula>
    </cfRule>
  </conditionalFormatting>
  <conditionalFormatting sqref="A81:J81">
    <cfRule type="expression" dxfId="170" priority="209">
      <formula>$B81&lt;&gt;$B82</formula>
    </cfRule>
  </conditionalFormatting>
  <conditionalFormatting sqref="G80">
    <cfRule type="expression" dxfId="169" priority="208">
      <formula>$B15&lt;&gt;$B16</formula>
    </cfRule>
  </conditionalFormatting>
  <conditionalFormatting sqref="G80">
    <cfRule type="expression" dxfId="168" priority="207">
      <formula>$B80&lt;&gt;$B81</formula>
    </cfRule>
  </conditionalFormatting>
  <conditionalFormatting sqref="H80">
    <cfRule type="expression" dxfId="167" priority="206">
      <formula>$B15&lt;&gt;$B16</formula>
    </cfRule>
  </conditionalFormatting>
  <conditionalFormatting sqref="A80:F80 H80:J80 I216:J217 B216:E217 B219:C219 E219 H130 G160 G159:H159 G164 G163:H163 G165:H165 G173 G172:H172 G174:H174 G177 G176:H176 G178:H178 G186 G185:H185 G187:H187 G207:H210 G215:H215 G162 G166:G171 G175 G179:G184 G188:G206 G211:G214 I119:J125 I162:J214 B119:E125 G119:G125 G128:G158 I128:J160 B128:E214 H161:J161 I219:J226 B220:E226 G216:G226 G232:H270 A232:F238 A228:J229 I277:J277 A277:C277 A279:C279 E279:F279 E277:F277 I279:J279 A288:F288 A280:A281 A283:C287 E283:F287 I283:J288 I232:J272 A245:F272 B298:J301 G287:G289 G292 A25:C28 I26:J28 G26:G28 A309:A314 A317:A331 A335:A338 A356:A481">
    <cfRule type="expression" dxfId="166" priority="205">
      <formula>$B25&lt;&gt;$B26</formula>
    </cfRule>
  </conditionalFormatting>
  <conditionalFormatting sqref="G271">
    <cfRule type="expression" dxfId="165" priority="204">
      <formula>$B271&lt;&gt;$B272</formula>
    </cfRule>
  </conditionalFormatting>
  <conditionalFormatting sqref="G272">
    <cfRule type="expression" dxfId="164" priority="203">
      <formula>$B272&lt;&gt;$B273</formula>
    </cfRule>
  </conditionalFormatting>
  <conditionalFormatting sqref="H271">
    <cfRule type="expression" dxfId="163" priority="201">
      <formula>$B271&lt;&gt;$B272</formula>
    </cfRule>
  </conditionalFormatting>
  <conditionalFormatting sqref="H272">
    <cfRule type="expression" dxfId="162" priority="200">
      <formula>$B272&lt;&gt;$B273</formula>
    </cfRule>
  </conditionalFormatting>
  <conditionalFormatting sqref="A78">
    <cfRule type="expression" dxfId="161" priority="198">
      <formula>#REF!&lt;&gt;#REF!</formula>
    </cfRule>
  </conditionalFormatting>
  <conditionalFormatting sqref="I78:J78 B78:E78 G78">
    <cfRule type="expression" dxfId="160" priority="197">
      <formula>$B78&lt;&gt;$B79</formula>
    </cfRule>
  </conditionalFormatting>
  <conditionalFormatting sqref="I50:J50 B50:E50">
    <cfRule type="expression" dxfId="159" priority="196">
      <formula>$B50&lt;&gt;#REF!</formula>
    </cfRule>
  </conditionalFormatting>
  <conditionalFormatting sqref="A50">
    <cfRule type="expression" dxfId="158" priority="195">
      <formula>#REF!&lt;&gt;#REF!</formula>
    </cfRule>
  </conditionalFormatting>
  <conditionalFormatting sqref="G50">
    <cfRule type="expression" dxfId="157" priority="194">
      <formula>$B50&lt;&gt;$B51</formula>
    </cfRule>
  </conditionalFormatting>
  <conditionalFormatting sqref="I57:J57 B57:E57 G57">
    <cfRule type="expression" dxfId="156" priority="193">
      <formula>$B57&lt;&gt;#REF!</formula>
    </cfRule>
  </conditionalFormatting>
  <conditionalFormatting sqref="A56:A57">
    <cfRule type="expression" dxfId="155" priority="192">
      <formula>#REF!&lt;&gt;#REF!</formula>
    </cfRule>
  </conditionalFormatting>
  <conditionalFormatting sqref="I56:J56 B56:E56 G56">
    <cfRule type="expression" dxfId="154" priority="191">
      <formula>$B56&lt;&gt;$B57</formula>
    </cfRule>
  </conditionalFormatting>
  <conditionalFormatting sqref="C231">
    <cfRule type="expression" dxfId="153" priority="177">
      <formula>$B231&lt;&gt;$B232</formula>
    </cfRule>
  </conditionalFormatting>
  <conditionalFormatting sqref="D231:H231">
    <cfRule type="expression" dxfId="152" priority="176">
      <formula>$B231&lt;&gt;$B232</formula>
    </cfRule>
  </conditionalFormatting>
  <conditionalFormatting sqref="G277:H277">
    <cfRule type="expression" dxfId="151" priority="175">
      <formula>$B277&lt;&gt;$B278</formula>
    </cfRule>
  </conditionalFormatting>
  <conditionalFormatting sqref="D279">
    <cfRule type="expression" dxfId="150" priority="171">
      <formula>$B279&lt;&gt;$B280</formula>
    </cfRule>
  </conditionalFormatting>
  <conditionalFormatting sqref="D277">
    <cfRule type="expression" dxfId="149" priority="170">
      <formula>$B277&lt;&gt;$B278</formula>
    </cfRule>
  </conditionalFormatting>
  <conditionalFormatting sqref="G279">
    <cfRule type="expression" dxfId="148" priority="167">
      <formula>$B279&lt;&gt;$B280</formula>
    </cfRule>
  </conditionalFormatting>
  <conditionalFormatting sqref="H279">
    <cfRule type="expression" dxfId="147" priority="166">
      <formula>$B279&lt;&gt;$B280</formula>
    </cfRule>
  </conditionalFormatting>
  <conditionalFormatting sqref="A274:J274">
    <cfRule type="expression" dxfId="146" priority="165">
      <formula>$B274&lt;&gt;$B275</formula>
    </cfRule>
  </conditionalFormatting>
  <conditionalFormatting sqref="A278:J278">
    <cfRule type="expression" dxfId="145" priority="164">
      <formula>$B278&lt;&gt;$B279</formula>
    </cfRule>
  </conditionalFormatting>
  <conditionalFormatting sqref="I275:J276 A275:F276">
    <cfRule type="expression" dxfId="144" priority="163">
      <formula>$B275&lt;&gt;$B276</formula>
    </cfRule>
  </conditionalFormatting>
  <conditionalFormatting sqref="G275:G276">
    <cfRule type="expression" dxfId="143" priority="162">
      <formula>$B275&lt;&gt;$B276</formula>
    </cfRule>
  </conditionalFormatting>
  <conditionalFormatting sqref="H275:H276">
    <cfRule type="expression" dxfId="142" priority="161">
      <formula>$B275&lt;&gt;$B276</formula>
    </cfRule>
  </conditionalFormatting>
  <conditionalFormatting sqref="J281 B281:G281">
    <cfRule type="expression" dxfId="141" priority="158">
      <formula>$B281&lt;&gt;$B282</formula>
    </cfRule>
  </conditionalFormatting>
  <conditionalFormatting sqref="H281">
    <cfRule type="expression" dxfId="140" priority="157">
      <formula>$B281&lt;&gt;$B282</formula>
    </cfRule>
  </conditionalFormatting>
  <conditionalFormatting sqref="I281">
    <cfRule type="expression" dxfId="139" priority="156">
      <formula>$B281&lt;&gt;$B282</formula>
    </cfRule>
  </conditionalFormatting>
  <conditionalFormatting sqref="B280:J280">
    <cfRule type="expression" dxfId="138" priority="155">
      <formula>$B280&lt;&gt;$B281</formula>
    </cfRule>
  </conditionalFormatting>
  <conditionalFormatting sqref="B282:C282">
    <cfRule type="expression" dxfId="137" priority="151">
      <formula>$B282&lt;&gt;$B283</formula>
    </cfRule>
  </conditionalFormatting>
  <conditionalFormatting sqref="J282">
    <cfRule type="expression" dxfId="136" priority="150">
      <formula>$B282&lt;&gt;$B283</formula>
    </cfRule>
  </conditionalFormatting>
  <conditionalFormatting sqref="D283">
    <cfRule type="expression" dxfId="135" priority="149">
      <formula>$B283&lt;&gt;$B284</formula>
    </cfRule>
  </conditionalFormatting>
  <conditionalFormatting sqref="D284">
    <cfRule type="expression" dxfId="134" priority="148">
      <formula>$B284&lt;&gt;$B285</formula>
    </cfRule>
  </conditionalFormatting>
  <conditionalFormatting sqref="D285">
    <cfRule type="expression" dxfId="133" priority="147">
      <formula>$B285&lt;&gt;$B286</formula>
    </cfRule>
  </conditionalFormatting>
  <conditionalFormatting sqref="D286">
    <cfRule type="expression" dxfId="132" priority="146">
      <formula>$B286&lt;&gt;$B287</formula>
    </cfRule>
  </conditionalFormatting>
  <conditionalFormatting sqref="D287">
    <cfRule type="expression" dxfId="131" priority="145">
      <formula>$B287&lt;&gt;$B288</formula>
    </cfRule>
  </conditionalFormatting>
  <conditionalFormatting sqref="D289">
    <cfRule type="expression" dxfId="130" priority="144">
      <formula>$B289&lt;&gt;$B290</formula>
    </cfRule>
  </conditionalFormatting>
  <conditionalFormatting sqref="D292">
    <cfRule type="expression" dxfId="129" priority="143">
      <formula>$B292&lt;&gt;$B293</formula>
    </cfRule>
  </conditionalFormatting>
  <conditionalFormatting sqref="G285">
    <cfRule type="expression" dxfId="128" priority="142">
      <formula>$B285&lt;&gt;$B287</formula>
    </cfRule>
  </conditionalFormatting>
  <conditionalFormatting sqref="G283:G284">
    <cfRule type="expression" dxfId="127" priority="141">
      <formula>$B283&lt;&gt;$B284</formula>
    </cfRule>
  </conditionalFormatting>
  <conditionalFormatting sqref="G286">
    <cfRule type="expression" dxfId="126" priority="140">
      <formula>$B286&lt;&gt;$B287</formula>
    </cfRule>
  </conditionalFormatting>
  <conditionalFormatting sqref="H288">
    <cfRule type="expression" dxfId="125" priority="139">
      <formula>$B288&lt;&gt;$B289</formula>
    </cfRule>
  </conditionalFormatting>
  <conditionalFormatting sqref="H292">
    <cfRule type="expression" dxfId="124" priority="138">
      <formula>$B292&lt;&gt;$B293</formula>
    </cfRule>
  </conditionalFormatting>
  <conditionalFormatting sqref="H284">
    <cfRule type="expression" dxfId="123" priority="137">
      <formula>$B284&lt;&gt;$B285</formula>
    </cfRule>
  </conditionalFormatting>
  <conditionalFormatting sqref="H283">
    <cfRule type="expression" dxfId="122" priority="136">
      <formula>$B283&lt;&gt;$B284</formula>
    </cfRule>
  </conditionalFormatting>
  <conditionalFormatting sqref="H285">
    <cfRule type="expression" dxfId="121" priority="135">
      <formula>$B285&lt;&gt;$B286</formula>
    </cfRule>
  </conditionalFormatting>
  <conditionalFormatting sqref="H286">
    <cfRule type="expression" dxfId="120" priority="134">
      <formula>$B286&lt;&gt;$B287</formula>
    </cfRule>
  </conditionalFormatting>
  <conditionalFormatting sqref="H287">
    <cfRule type="expression" dxfId="119" priority="133">
      <formula>$B287&lt;&gt;$B288</formula>
    </cfRule>
  </conditionalFormatting>
  <conditionalFormatting sqref="H289">
    <cfRule type="expression" dxfId="118" priority="132">
      <formula>$B289&lt;&gt;$B290</formula>
    </cfRule>
  </conditionalFormatting>
  <conditionalFormatting sqref="H290">
    <cfRule type="expression" dxfId="117" priority="131">
      <formula>$B290&lt;&gt;$B292</formula>
    </cfRule>
  </conditionalFormatting>
  <conditionalFormatting sqref="B293:J297">
    <cfRule type="expression" dxfId="116" priority="130">
      <formula>$B293&lt;&gt;$B294</formula>
    </cfRule>
  </conditionalFormatting>
  <conditionalFormatting sqref="B303:E307">
    <cfRule type="expression" dxfId="115" priority="128">
      <formula>$B303&lt;&gt;$B304</formula>
    </cfRule>
  </conditionalFormatting>
  <conditionalFormatting sqref="G303:J307">
    <cfRule type="expression" dxfId="114" priority="127">
      <formula>$B303&lt;&gt;$B304</formula>
    </cfRule>
  </conditionalFormatting>
  <conditionalFormatting sqref="B291:C291 E291:F291 I291:J291">
    <cfRule type="expression" dxfId="113" priority="126">
      <formula>$B291&lt;&gt;$B292</formula>
    </cfRule>
  </conditionalFormatting>
  <conditionalFormatting sqref="D291">
    <cfRule type="expression" dxfId="112" priority="125">
      <formula>$B291&lt;&gt;$B292</formula>
    </cfRule>
  </conditionalFormatting>
  <conditionalFormatting sqref="G291">
    <cfRule type="expression" dxfId="111" priority="124">
      <formula>$B291&lt;&gt;$B292</formula>
    </cfRule>
  </conditionalFormatting>
  <conditionalFormatting sqref="H291">
    <cfRule type="expression" dxfId="110" priority="123">
      <formula>$B291&lt;&gt;$B292</formula>
    </cfRule>
  </conditionalFormatting>
  <conditionalFormatting sqref="B310:J310">
    <cfRule type="expression" dxfId="109" priority="117">
      <formula>$B310&lt;&gt;$B311</formula>
    </cfRule>
  </conditionalFormatting>
  <conditionalFormatting sqref="A308:J308">
    <cfRule type="expression" dxfId="108" priority="116">
      <formula>$B308&lt;&gt;$B309</formula>
    </cfRule>
  </conditionalFormatting>
  <conditionalFormatting sqref="B309:J309">
    <cfRule type="expression" dxfId="107" priority="115">
      <formula>$B309&lt;&gt;$B310</formula>
    </cfRule>
  </conditionalFormatting>
  <conditionalFormatting sqref="G311">
    <cfRule type="expression" dxfId="106" priority="114">
      <formula>$B311&lt;&gt;$B312</formula>
    </cfRule>
  </conditionalFormatting>
  <conditionalFormatting sqref="H312">
    <cfRule type="expression" dxfId="105" priority="113">
      <formula>$B312&lt;&gt;$B313</formula>
    </cfRule>
  </conditionalFormatting>
  <conditionalFormatting sqref="H318">
    <cfRule type="expression" dxfId="104" priority="112">
      <formula>$B318&lt;&gt;$B319</formula>
    </cfRule>
  </conditionalFormatting>
  <conditionalFormatting sqref="H319">
    <cfRule type="expression" dxfId="103" priority="111">
      <formula>$B319&lt;&gt;$B320</formula>
    </cfRule>
  </conditionalFormatting>
  <conditionalFormatting sqref="H322">
    <cfRule type="expression" dxfId="102" priority="110">
      <formula>$B322&lt;&gt;$B323</formula>
    </cfRule>
  </conditionalFormatting>
  <conditionalFormatting sqref="G312 G314 G317 G319 G321">
    <cfRule type="expression" dxfId="101" priority="109">
      <formula>$B312&lt;&gt;$B313</formula>
    </cfRule>
  </conditionalFormatting>
  <conditionalFormatting sqref="G313 G318 G320 G322">
    <cfRule type="expression" dxfId="100" priority="108">
      <formula>$B313&lt;&gt;$B314</formula>
    </cfRule>
  </conditionalFormatting>
  <conditionalFormatting sqref="H311">
    <cfRule type="expression" dxfId="99" priority="107">
      <formula>$B311&lt;&gt;$B312</formula>
    </cfRule>
  </conditionalFormatting>
  <conditionalFormatting sqref="H314 H317">
    <cfRule type="expression" dxfId="98" priority="106">
      <formula>$B314&lt;&gt;$B315</formula>
    </cfRule>
  </conditionalFormatting>
  <conditionalFormatting sqref="H313">
    <cfRule type="expression" dxfId="97" priority="105">
      <formula>$B313&lt;&gt;$B314</formula>
    </cfRule>
  </conditionalFormatting>
  <conditionalFormatting sqref="H321">
    <cfRule type="expression" dxfId="96" priority="104">
      <formula>$B321&lt;&gt;$B322</formula>
    </cfRule>
  </conditionalFormatting>
  <conditionalFormatting sqref="H320">
    <cfRule type="expression" dxfId="95" priority="103">
      <formula>$B320&lt;&gt;$B321</formula>
    </cfRule>
  </conditionalFormatting>
  <conditionalFormatting sqref="I326 B326:C326 E326:F326">
    <cfRule type="expression" dxfId="94" priority="102">
      <formula>$B326&lt;&gt;$B327</formula>
    </cfRule>
  </conditionalFormatting>
  <conditionalFormatting sqref="G326:H326">
    <cfRule type="expression" dxfId="93" priority="101">
      <formula>$B326&lt;&gt;$B327</formula>
    </cfRule>
  </conditionalFormatting>
  <conditionalFormatting sqref="D326">
    <cfRule type="expression" dxfId="92" priority="100">
      <formula>$B326&lt;&gt;$B327</formula>
    </cfRule>
  </conditionalFormatting>
  <conditionalFormatting sqref="B323:I323">
    <cfRule type="expression" dxfId="91" priority="99">
      <formula>$B323&lt;&gt;$B324</formula>
    </cfRule>
  </conditionalFormatting>
  <conditionalFormatting sqref="I324:I325 B324:F325">
    <cfRule type="expression" dxfId="90" priority="98">
      <formula>$B324&lt;&gt;$B325</formula>
    </cfRule>
  </conditionalFormatting>
  <conditionalFormatting sqref="G324:G325">
    <cfRule type="expression" dxfId="89" priority="97">
      <formula>$B324&lt;&gt;$B325</formula>
    </cfRule>
  </conditionalFormatting>
  <conditionalFormatting sqref="H324:H325">
    <cfRule type="expression" dxfId="88" priority="96">
      <formula>$B324&lt;&gt;$B325</formula>
    </cfRule>
  </conditionalFormatting>
  <conditionalFormatting sqref="B328:C328 E328:F328 I328">
    <cfRule type="expression" dxfId="87" priority="95">
      <formula>$B328&lt;&gt;$B329</formula>
    </cfRule>
  </conditionalFormatting>
  <conditionalFormatting sqref="D328">
    <cfRule type="expression" dxfId="86" priority="94">
      <formula>$B328&lt;&gt;$B329</formula>
    </cfRule>
  </conditionalFormatting>
  <conditionalFormatting sqref="G328">
    <cfRule type="expression" dxfId="85" priority="93">
      <formula>$B328&lt;&gt;$B329</formula>
    </cfRule>
  </conditionalFormatting>
  <conditionalFormatting sqref="H328">
    <cfRule type="expression" dxfId="84" priority="92">
      <formula>$B328&lt;&gt;$B329</formula>
    </cfRule>
  </conditionalFormatting>
  <conditionalFormatting sqref="B327:I327">
    <cfRule type="expression" dxfId="83" priority="91">
      <formula>$B327&lt;&gt;$B328</formula>
    </cfRule>
  </conditionalFormatting>
  <conditionalFormatting sqref="B331:I331">
    <cfRule type="expression" dxfId="82" priority="90">
      <formula>$B331&lt;&gt;$B332</formula>
    </cfRule>
  </conditionalFormatting>
  <conditionalFormatting sqref="B329:I329">
    <cfRule type="expression" dxfId="81" priority="89">
      <formula>$B329&lt;&gt;$B330</formula>
    </cfRule>
  </conditionalFormatting>
  <conditionalFormatting sqref="B330:I330">
    <cfRule type="expression" dxfId="80" priority="88">
      <formula>$B330&lt;&gt;$B331</formula>
    </cfRule>
  </conditionalFormatting>
  <conditionalFormatting sqref="I30:J30 G30 A30:C30">
    <cfRule type="expression" dxfId="79" priority="87">
      <formula>$B28&lt;&gt;$B32</formula>
    </cfRule>
  </conditionalFormatting>
  <conditionalFormatting sqref="E30:F30">
    <cfRule type="expression" dxfId="78" priority="85">
      <formula>#REF!&lt;&gt;#REF!</formula>
    </cfRule>
  </conditionalFormatting>
  <conditionalFormatting sqref="A30:C30 I30:J30 G30">
    <cfRule type="expression" dxfId="77" priority="84">
      <formula>$B30&lt;&gt;$B31</formula>
    </cfRule>
  </conditionalFormatting>
  <conditionalFormatting sqref="D30">
    <cfRule type="expression" dxfId="76" priority="83">
      <formula>#REF!&lt;&gt;#REF!</formula>
    </cfRule>
  </conditionalFormatting>
  <conditionalFormatting sqref="H30">
    <cfRule type="expression" dxfId="75" priority="82">
      <formula>$B29&lt;&gt;$B30</formula>
    </cfRule>
  </conditionalFormatting>
  <conditionalFormatting sqref="A316 G316:H316">
    <cfRule type="expression" dxfId="74" priority="81">
      <formula>$B316&lt;&gt;$B318</formula>
    </cfRule>
  </conditionalFormatting>
  <conditionalFormatting sqref="A332:A334">
    <cfRule type="expression" dxfId="73" priority="80">
      <formula>$B332&lt;&gt;$B333</formula>
    </cfRule>
  </conditionalFormatting>
  <conditionalFormatting sqref="B334:I334">
    <cfRule type="expression" dxfId="72" priority="79">
      <formula>$B334&lt;&gt;$B335</formula>
    </cfRule>
  </conditionalFormatting>
  <conditionalFormatting sqref="B332:I332">
    <cfRule type="expression" dxfId="71" priority="78">
      <formula>$B332&lt;&gt;$B333</formula>
    </cfRule>
  </conditionalFormatting>
  <conditionalFormatting sqref="B333:I333">
    <cfRule type="expression" dxfId="70" priority="77">
      <formula>$B333&lt;&gt;$B334</formula>
    </cfRule>
  </conditionalFormatting>
  <conditionalFormatting sqref="E335:G335">
    <cfRule type="expression" dxfId="69" priority="76">
      <formula>$B335&lt;&gt;$B336</formula>
    </cfRule>
  </conditionalFormatting>
  <conditionalFormatting sqref="E336:H336">
    <cfRule type="expression" dxfId="68" priority="75">
      <formula>$B336&lt;&gt;$B337</formula>
    </cfRule>
  </conditionalFormatting>
  <conditionalFormatting sqref="H335">
    <cfRule type="expression" dxfId="67" priority="74">
      <formula>$B335&lt;&gt;$B336</formula>
    </cfRule>
  </conditionalFormatting>
  <conditionalFormatting sqref="I338 C338 F338">
    <cfRule type="expression" dxfId="66" priority="73">
      <formula>$B338&lt;&gt;$B339</formula>
    </cfRule>
  </conditionalFormatting>
  <conditionalFormatting sqref="G338:H338">
    <cfRule type="expression" dxfId="65" priority="72">
      <formula>$B338&lt;&gt;$B339</formula>
    </cfRule>
  </conditionalFormatting>
  <conditionalFormatting sqref="D338">
    <cfRule type="expression" dxfId="64" priority="71">
      <formula>$B338&lt;&gt;$B339</formula>
    </cfRule>
  </conditionalFormatting>
  <conditionalFormatting sqref="I337 C337:F337">
    <cfRule type="expression" dxfId="63" priority="70">
      <formula>$B337&lt;&gt;$B338</formula>
    </cfRule>
  </conditionalFormatting>
  <conditionalFormatting sqref="G337">
    <cfRule type="expression" dxfId="62" priority="69">
      <formula>$B337&lt;&gt;$B338</formula>
    </cfRule>
  </conditionalFormatting>
  <conditionalFormatting sqref="H337">
    <cfRule type="expression" dxfId="61" priority="68">
      <formula>$B337&lt;&gt;$B338</formula>
    </cfRule>
  </conditionalFormatting>
  <conditionalFormatting sqref="E338">
    <cfRule type="expression" dxfId="60" priority="67">
      <formula>$B338&lt;&gt;$B339</formula>
    </cfRule>
  </conditionalFormatting>
  <conditionalFormatting sqref="A339:A344">
    <cfRule type="expression" dxfId="59" priority="66">
      <formula>$B339&lt;&gt;$B340</formula>
    </cfRule>
  </conditionalFormatting>
  <conditionalFormatting sqref="I342 B342:C342 E342:F342">
    <cfRule type="expression" dxfId="58" priority="65">
      <formula>$B342&lt;&gt;$B343</formula>
    </cfRule>
  </conditionalFormatting>
  <conditionalFormatting sqref="G342:H342">
    <cfRule type="expression" dxfId="57" priority="64">
      <formula>$B342&lt;&gt;$B343</formula>
    </cfRule>
  </conditionalFormatting>
  <conditionalFormatting sqref="D342">
    <cfRule type="expression" dxfId="56" priority="63">
      <formula>$B342&lt;&gt;$B343</formula>
    </cfRule>
  </conditionalFormatting>
  <conditionalFormatting sqref="B339:I339">
    <cfRule type="expression" dxfId="55" priority="62">
      <formula>$B339&lt;&gt;$B340</formula>
    </cfRule>
  </conditionalFormatting>
  <conditionalFormatting sqref="I340:I341 B340:F341">
    <cfRule type="expression" dxfId="54" priority="61">
      <formula>$B340&lt;&gt;$B341</formula>
    </cfRule>
  </conditionalFormatting>
  <conditionalFormatting sqref="G340:G341">
    <cfRule type="expression" dxfId="53" priority="60">
      <formula>$B340&lt;&gt;$B341</formula>
    </cfRule>
  </conditionalFormatting>
  <conditionalFormatting sqref="H340:H341">
    <cfRule type="expression" dxfId="52" priority="59">
      <formula>$B340&lt;&gt;$B341</formula>
    </cfRule>
  </conditionalFormatting>
  <conditionalFormatting sqref="B344:C344 E344:F344 I344">
    <cfRule type="expression" dxfId="51" priority="58">
      <formula>$B344&lt;&gt;$B345</formula>
    </cfRule>
  </conditionalFormatting>
  <conditionalFormatting sqref="D344">
    <cfRule type="expression" dxfId="50" priority="57">
      <formula>$B344&lt;&gt;$B345</formula>
    </cfRule>
  </conditionalFormatting>
  <conditionalFormatting sqref="G344">
    <cfRule type="expression" dxfId="49" priority="56">
      <formula>$B344&lt;&gt;$B345</formula>
    </cfRule>
  </conditionalFormatting>
  <conditionalFormatting sqref="H344">
    <cfRule type="expression" dxfId="48" priority="55">
      <formula>$B344&lt;&gt;$B345</formula>
    </cfRule>
  </conditionalFormatting>
  <conditionalFormatting sqref="B343:I343">
    <cfRule type="expression" dxfId="47" priority="54">
      <formula>$B343&lt;&gt;$B344</formula>
    </cfRule>
  </conditionalFormatting>
  <conditionalFormatting sqref="A349 G349:H349">
    <cfRule type="expression" dxfId="46" priority="53">
      <formula>$B349&lt;&gt;$B351</formula>
    </cfRule>
  </conditionalFormatting>
  <conditionalFormatting sqref="A345:A348">
    <cfRule type="expression" dxfId="45" priority="52">
      <formula>$B345&lt;&gt;$B346</formula>
    </cfRule>
  </conditionalFormatting>
  <conditionalFormatting sqref="G345">
    <cfRule type="expression" dxfId="44" priority="51">
      <formula>$B345&lt;&gt;$B346</formula>
    </cfRule>
  </conditionalFormatting>
  <conditionalFormatting sqref="H346">
    <cfRule type="expression" dxfId="43" priority="50">
      <formula>$B346&lt;&gt;$B347</formula>
    </cfRule>
  </conditionalFormatting>
  <conditionalFormatting sqref="G346 G348 G351">
    <cfRule type="expression" dxfId="42" priority="46">
      <formula>$B346&lt;&gt;$B347</formula>
    </cfRule>
  </conditionalFormatting>
  <conditionalFormatting sqref="G347">
    <cfRule type="expression" dxfId="41" priority="45">
      <formula>$B347&lt;&gt;$B348</formula>
    </cfRule>
  </conditionalFormatting>
  <conditionalFormatting sqref="H345">
    <cfRule type="expression" dxfId="40" priority="44">
      <formula>$B345&lt;&gt;$B346</formula>
    </cfRule>
  </conditionalFormatting>
  <conditionalFormatting sqref="H348">
    <cfRule type="expression" dxfId="39" priority="43">
      <formula>$B348&lt;&gt;$B349</formula>
    </cfRule>
  </conditionalFormatting>
  <conditionalFormatting sqref="H347">
    <cfRule type="expression" dxfId="38" priority="42">
      <formula>$B347&lt;&gt;$B348</formula>
    </cfRule>
  </conditionalFormatting>
  <conditionalFormatting sqref="A350 G350:H350">
    <cfRule type="expression" dxfId="37" priority="39">
      <formula>$B350&lt;&gt;$B352</formula>
    </cfRule>
  </conditionalFormatting>
  <conditionalFormatting sqref="H351">
    <cfRule type="expression" dxfId="36" priority="38">
      <formula>$B351&lt;&gt;#REF!</formula>
    </cfRule>
  </conditionalFormatting>
  <conditionalFormatting sqref="H352">
    <cfRule type="expression" dxfId="35" priority="37">
      <formula>$B352&lt;&gt;$B354</formula>
    </cfRule>
  </conditionalFormatting>
  <conditionalFormatting sqref="A353:A355">
    <cfRule type="expression" dxfId="34" priority="36">
      <formula>$B353&lt;&gt;$B354</formula>
    </cfRule>
  </conditionalFormatting>
  <conditionalFormatting sqref="B355:I355">
    <cfRule type="expression" dxfId="33" priority="35">
      <formula>$B355&lt;&gt;$B356</formula>
    </cfRule>
  </conditionalFormatting>
  <conditionalFormatting sqref="B353:I353">
    <cfRule type="expression" dxfId="32" priority="34">
      <formula>$B353&lt;&gt;$B354</formula>
    </cfRule>
  </conditionalFormatting>
  <conditionalFormatting sqref="B354:I354">
    <cfRule type="expression" dxfId="31" priority="33">
      <formula>$B354&lt;&gt;$B355</formula>
    </cfRule>
  </conditionalFormatting>
  <conditionalFormatting sqref="H33">
    <cfRule type="expression" dxfId="30" priority="32">
      <formula>$B32&lt;&gt;$B33</formula>
    </cfRule>
  </conditionalFormatting>
  <conditionalFormatting sqref="A33:C33 I33:J33 G33">
    <cfRule type="expression" dxfId="29" priority="31">
      <formula>$B32&lt;&gt;$B33</formula>
    </cfRule>
  </conditionalFormatting>
  <conditionalFormatting sqref="A33:C33 I33:J33 G33">
    <cfRule type="expression" dxfId="28" priority="30">
      <formula>$B33&lt;&gt;$B35</formula>
    </cfRule>
  </conditionalFormatting>
  <conditionalFormatting sqref="D33:F33">
    <cfRule type="expression" dxfId="27" priority="29">
      <formula>#REF!&lt;&gt;#REF!</formula>
    </cfRule>
  </conditionalFormatting>
  <conditionalFormatting sqref="G38:H38">
    <cfRule type="expression" dxfId="26" priority="28">
      <formula>$B37&lt;&gt;$B38</formula>
    </cfRule>
  </conditionalFormatting>
  <conditionalFormatting sqref="D38:F38">
    <cfRule type="expression" dxfId="25" priority="26">
      <formula>#REF!&lt;&gt;#REF!</formula>
    </cfRule>
  </conditionalFormatting>
  <conditionalFormatting sqref="B39">
    <cfRule type="expression" dxfId="24" priority="23">
      <formula>$B37&lt;&gt;$B41</formula>
    </cfRule>
  </conditionalFormatting>
  <conditionalFormatting sqref="B39">
    <cfRule type="expression" dxfId="23" priority="22">
      <formula>$B39&lt;&gt;$B40</formula>
    </cfRule>
  </conditionalFormatting>
  <conditionalFormatting sqref="B38">
    <cfRule type="expression" dxfId="22" priority="21">
      <formula>$B38&lt;&gt;$B39</formula>
    </cfRule>
  </conditionalFormatting>
  <conditionalFormatting sqref="C38">
    <cfRule type="expression" dxfId="21" priority="20">
      <formula>$B38&lt;&gt;$B39</formula>
    </cfRule>
  </conditionalFormatting>
  <conditionalFormatting sqref="A38">
    <cfRule type="expression" dxfId="20" priority="19">
      <formula>$B38&lt;&gt;$B39</formula>
    </cfRule>
  </conditionalFormatting>
  <conditionalFormatting sqref="I38:J38">
    <cfRule type="expression" dxfId="19" priority="18">
      <formula>$B38&lt;&gt;$B39</formula>
    </cfRule>
  </conditionalFormatting>
  <conditionalFormatting sqref="G356">
    <cfRule type="expression" dxfId="18" priority="17">
      <formula>$B356&lt;&gt;$B357</formula>
    </cfRule>
  </conditionalFormatting>
  <conditionalFormatting sqref="G360">
    <cfRule type="expression" dxfId="17" priority="16">
      <formula>$B360&lt;&gt;$B362</formula>
    </cfRule>
  </conditionalFormatting>
  <conditionalFormatting sqref="G357 G359 G361">
    <cfRule type="expression" dxfId="16" priority="15">
      <formula>$B357&lt;&gt;$B358</formula>
    </cfRule>
  </conditionalFormatting>
  <conditionalFormatting sqref="G358 G362">
    <cfRule type="expression" dxfId="15" priority="14">
      <formula>$B358&lt;&gt;$B359</formula>
    </cfRule>
  </conditionalFormatting>
  <conditionalFormatting sqref="H358">
    <cfRule type="expression" dxfId="14" priority="13">
      <formula>$B358&lt;&gt;$B359</formula>
    </cfRule>
  </conditionalFormatting>
  <conditionalFormatting sqref="H362">
    <cfRule type="expression" dxfId="13" priority="12">
      <formula>$B362&lt;&gt;$B363</formula>
    </cfRule>
  </conditionalFormatting>
  <conditionalFormatting sqref="H356">
    <cfRule type="expression" dxfId="12" priority="11">
      <formula>$B356&lt;&gt;$B357</formula>
    </cfRule>
  </conditionalFormatting>
  <conditionalFormatting sqref="H357">
    <cfRule type="expression" dxfId="11" priority="10">
      <formula>$B357&lt;&gt;$B358</formula>
    </cfRule>
  </conditionalFormatting>
  <conditionalFormatting sqref="H359">
    <cfRule type="expression" dxfId="10" priority="9">
      <formula>$B359&lt;&gt;$B360</formula>
    </cfRule>
  </conditionalFormatting>
  <conditionalFormatting sqref="H360">
    <cfRule type="expression" dxfId="9" priority="8">
      <formula>$B360&lt;&gt;$B361</formula>
    </cfRule>
  </conditionalFormatting>
  <conditionalFormatting sqref="H361">
    <cfRule type="expression" dxfId="8" priority="7">
      <formula>$B361&lt;&gt;$B362</formula>
    </cfRule>
  </conditionalFormatting>
  <conditionalFormatting sqref="G363">
    <cfRule type="expression" dxfId="7" priority="6">
      <formula>$B363&lt;&gt;$B364</formula>
    </cfRule>
  </conditionalFormatting>
  <conditionalFormatting sqref="G364">
    <cfRule type="expression" dxfId="6" priority="5">
      <formula>$B364&lt;&gt;$B365</formula>
    </cfRule>
  </conditionalFormatting>
  <conditionalFormatting sqref="G365">
    <cfRule type="expression" dxfId="5" priority="4">
      <formula>$B365&lt;&gt;$B366</formula>
    </cfRule>
  </conditionalFormatting>
  <conditionalFormatting sqref="H363">
    <cfRule type="expression" dxfId="4" priority="3">
      <formula>$B363&lt;&gt;$B364</formula>
    </cfRule>
  </conditionalFormatting>
  <conditionalFormatting sqref="H365">
    <cfRule type="expression" dxfId="3" priority="2">
      <formula>$B365&lt;&gt;$B367</formula>
    </cfRule>
  </conditionalFormatting>
  <conditionalFormatting sqref="H364">
    <cfRule type="expression" dxfId="2" priority="1">
      <formula>$B364&lt;&gt;$B365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34"/>
  <sheetViews>
    <sheetView zoomScale="80" workbookViewId="0">
      <pane ySplit="1" topLeftCell="A2" activePane="bottomLeft" state="frozen"/>
      <selection activeCell="D417" sqref="D417"/>
      <selection pane="bottomLeft" activeCell="F441" sqref="F441"/>
    </sheetView>
  </sheetViews>
  <sheetFormatPr defaultColWidth="8.6640625" defaultRowHeight="13.8" x14ac:dyDescent="0.25"/>
  <cols>
    <col min="1" max="1" width="38.6640625" style="157" customWidth="1"/>
    <col min="2" max="2" width="19.33203125" style="157" customWidth="1"/>
    <col min="3" max="3" width="12.5546875" style="157" customWidth="1"/>
    <col min="4" max="4" width="44.33203125" style="157" customWidth="1"/>
    <col min="5" max="5" width="12.6640625" style="157" customWidth="1"/>
    <col min="6" max="6" width="40.5546875" style="157" customWidth="1"/>
    <col min="7" max="7" width="45.88671875" style="157" customWidth="1"/>
    <col min="8" max="8" width="35.6640625" style="157" customWidth="1"/>
    <col min="9" max="16384" width="8.6640625" style="157"/>
  </cols>
  <sheetData>
    <row r="1" spans="1:8" s="158" customFormat="1" ht="55.2" x14ac:dyDescent="0.25">
      <c r="A1" s="159" t="s">
        <v>1719</v>
      </c>
      <c r="B1" s="159" t="s">
        <v>1720</v>
      </c>
      <c r="C1" s="160" t="s">
        <v>242</v>
      </c>
      <c r="D1" s="159" t="s">
        <v>1721</v>
      </c>
      <c r="E1" s="159" t="s">
        <v>238</v>
      </c>
      <c r="F1" s="159" t="s">
        <v>1722</v>
      </c>
      <c r="G1" s="159" t="s">
        <v>1723</v>
      </c>
      <c r="H1" s="161" t="s">
        <v>235</v>
      </c>
    </row>
    <row r="2" spans="1:8" hidden="1" x14ac:dyDescent="0.25">
      <c r="A2" s="162" t="s">
        <v>1724</v>
      </c>
      <c r="B2" s="162" t="s">
        <v>1725</v>
      </c>
      <c r="C2" s="162" t="s">
        <v>1726</v>
      </c>
      <c r="D2" s="162" t="s">
        <v>1727</v>
      </c>
      <c r="E2" s="162" t="s">
        <v>759</v>
      </c>
      <c r="F2" s="162" t="s">
        <v>1728</v>
      </c>
      <c r="G2" s="162" t="s">
        <v>280</v>
      </c>
      <c r="H2" s="162" t="s">
        <v>1729</v>
      </c>
    </row>
    <row r="3" spans="1:8" hidden="1" x14ac:dyDescent="0.25">
      <c r="A3" s="162" t="s">
        <v>1724</v>
      </c>
      <c r="B3" s="162" t="s">
        <v>1725</v>
      </c>
      <c r="C3" s="162" t="s">
        <v>1726</v>
      </c>
      <c r="D3" s="162" t="s">
        <v>1730</v>
      </c>
      <c r="E3" s="162" t="s">
        <v>759</v>
      </c>
      <c r="F3" s="162" t="s">
        <v>1728</v>
      </c>
      <c r="G3" s="162" t="s">
        <v>272</v>
      </c>
      <c r="H3" s="162" t="s">
        <v>302</v>
      </c>
    </row>
    <row r="4" spans="1:8" hidden="1" x14ac:dyDescent="0.25">
      <c r="A4" s="162" t="s">
        <v>1724</v>
      </c>
      <c r="B4" s="162" t="s">
        <v>1725</v>
      </c>
      <c r="C4" s="162" t="s">
        <v>1726</v>
      </c>
      <c r="D4" s="162" t="s">
        <v>1731</v>
      </c>
      <c r="E4" s="162" t="s">
        <v>420</v>
      </c>
      <c r="F4" s="162" t="s">
        <v>1728</v>
      </c>
      <c r="G4" s="162" t="s">
        <v>276</v>
      </c>
      <c r="H4" s="162" t="s">
        <v>302</v>
      </c>
    </row>
    <row r="5" spans="1:8" hidden="1" x14ac:dyDescent="0.25">
      <c r="A5" s="162" t="s">
        <v>1724</v>
      </c>
      <c r="B5" s="162" t="s">
        <v>1725</v>
      </c>
      <c r="C5" s="162" t="s">
        <v>1726</v>
      </c>
      <c r="D5" s="162" t="s">
        <v>1732</v>
      </c>
      <c r="E5" s="162" t="s">
        <v>759</v>
      </c>
      <c r="F5" s="162" t="s">
        <v>1728</v>
      </c>
      <c r="G5" s="162" t="s">
        <v>278</v>
      </c>
      <c r="H5" s="162" t="s">
        <v>1729</v>
      </c>
    </row>
    <row r="6" spans="1:8" hidden="1" x14ac:dyDescent="0.25">
      <c r="A6" s="162" t="s">
        <v>1724</v>
      </c>
      <c r="B6" s="162" t="s">
        <v>1725</v>
      </c>
      <c r="C6" s="162" t="s">
        <v>1726</v>
      </c>
      <c r="D6" s="162" t="s">
        <v>1733</v>
      </c>
      <c r="E6" s="162" t="s">
        <v>420</v>
      </c>
      <c r="F6" s="162" t="s">
        <v>1728</v>
      </c>
      <c r="G6" s="162" t="s">
        <v>764</v>
      </c>
      <c r="H6" s="162" t="s">
        <v>1729</v>
      </c>
    </row>
    <row r="7" spans="1:8" hidden="1" x14ac:dyDescent="0.25">
      <c r="A7" s="162" t="s">
        <v>1724</v>
      </c>
      <c r="B7" s="162" t="s">
        <v>1725</v>
      </c>
      <c r="C7" s="162" t="s">
        <v>1726</v>
      </c>
      <c r="D7" s="162" t="s">
        <v>1734</v>
      </c>
      <c r="E7" s="162" t="s">
        <v>759</v>
      </c>
      <c r="F7" s="162" t="s">
        <v>1728</v>
      </c>
      <c r="G7" s="162" t="s">
        <v>282</v>
      </c>
      <c r="H7" s="162" t="s">
        <v>302</v>
      </c>
    </row>
    <row r="8" spans="1:8" hidden="1" x14ac:dyDescent="0.25">
      <c r="A8" s="162" t="s">
        <v>1724</v>
      </c>
      <c r="B8" s="162" t="s">
        <v>1725</v>
      </c>
      <c r="C8" s="162" t="s">
        <v>1726</v>
      </c>
      <c r="D8" s="162" t="s">
        <v>2118</v>
      </c>
      <c r="E8" s="162" t="s">
        <v>759</v>
      </c>
      <c r="F8" s="162" t="s">
        <v>1728</v>
      </c>
      <c r="G8" s="162" t="s">
        <v>2119</v>
      </c>
      <c r="H8" s="162" t="s">
        <v>302</v>
      </c>
    </row>
    <row r="9" spans="1:8" hidden="1" x14ac:dyDescent="0.25">
      <c r="A9" s="162" t="s">
        <v>1724</v>
      </c>
      <c r="B9" s="162" t="s">
        <v>1725</v>
      </c>
      <c r="C9" s="162" t="s">
        <v>1726</v>
      </c>
      <c r="D9" s="162" t="s">
        <v>1735</v>
      </c>
      <c r="E9" s="162" t="s">
        <v>420</v>
      </c>
      <c r="F9" s="162" t="s">
        <v>1728</v>
      </c>
      <c r="G9" s="162" t="s">
        <v>336</v>
      </c>
      <c r="H9" s="162" t="s">
        <v>1729</v>
      </c>
    </row>
    <row r="10" spans="1:8" hidden="1" x14ac:dyDescent="0.25">
      <c r="A10" s="162" t="s">
        <v>1724</v>
      </c>
      <c r="B10" s="162" t="s">
        <v>1725</v>
      </c>
      <c r="C10" s="162" t="s">
        <v>1726</v>
      </c>
      <c r="D10" s="162" t="s">
        <v>1736</v>
      </c>
      <c r="E10" s="162" t="s">
        <v>759</v>
      </c>
      <c r="F10" s="162" t="s">
        <v>1728</v>
      </c>
      <c r="G10" s="162" t="s">
        <v>767</v>
      </c>
      <c r="H10" s="162" t="s">
        <v>1729</v>
      </c>
    </row>
    <row r="11" spans="1:8" hidden="1" x14ac:dyDescent="0.25">
      <c r="A11" s="162" t="s">
        <v>1724</v>
      </c>
      <c r="B11" s="162" t="s">
        <v>1725</v>
      </c>
      <c r="C11" s="162" t="s">
        <v>1726</v>
      </c>
      <c r="D11" s="162" t="s">
        <v>1737</v>
      </c>
      <c r="E11" s="162" t="s">
        <v>759</v>
      </c>
      <c r="F11" s="162" t="s">
        <v>1728</v>
      </c>
      <c r="G11" s="162" t="s">
        <v>769</v>
      </c>
      <c r="H11" s="162" t="s">
        <v>1096</v>
      </c>
    </row>
    <row r="12" spans="1:8" hidden="1" x14ac:dyDescent="0.25">
      <c r="A12" s="162" t="s">
        <v>1724</v>
      </c>
      <c r="B12" s="162" t="s">
        <v>1725</v>
      </c>
      <c r="C12" s="162" t="s">
        <v>1726</v>
      </c>
      <c r="D12" s="162" t="s">
        <v>1738</v>
      </c>
      <c r="E12" s="162" t="s">
        <v>420</v>
      </c>
      <c r="F12" s="162" t="s">
        <v>1728</v>
      </c>
      <c r="G12" s="162" t="s">
        <v>771</v>
      </c>
      <c r="H12" s="162" t="s">
        <v>1729</v>
      </c>
    </row>
    <row r="13" spans="1:8" hidden="1" x14ac:dyDescent="0.25">
      <c r="A13" s="162" t="s">
        <v>1724</v>
      </c>
      <c r="B13" s="162" t="s">
        <v>1725</v>
      </c>
      <c r="C13" s="162" t="s">
        <v>1726</v>
      </c>
      <c r="D13" s="162" t="s">
        <v>1739</v>
      </c>
      <c r="E13" s="162" t="s">
        <v>759</v>
      </c>
      <c r="F13" s="162" t="s">
        <v>1728</v>
      </c>
      <c r="G13" s="162" t="s">
        <v>292</v>
      </c>
      <c r="H13" s="162" t="s">
        <v>302</v>
      </c>
    </row>
    <row r="14" spans="1:8" hidden="1" x14ac:dyDescent="0.25">
      <c r="A14" s="162" t="s">
        <v>1724</v>
      </c>
      <c r="B14" s="162" t="s">
        <v>1725</v>
      </c>
      <c r="C14" s="162" t="s">
        <v>1726</v>
      </c>
      <c r="D14" s="162" t="s">
        <v>1740</v>
      </c>
      <c r="E14" s="162" t="s">
        <v>420</v>
      </c>
      <c r="F14" s="162" t="s">
        <v>1728</v>
      </c>
      <c r="G14" s="162" t="s">
        <v>304</v>
      </c>
      <c r="H14" s="162" t="s">
        <v>302</v>
      </c>
    </row>
    <row r="15" spans="1:8" hidden="1" x14ac:dyDescent="0.25">
      <c r="A15" s="162" t="s">
        <v>1724</v>
      </c>
      <c r="B15" s="162" t="s">
        <v>1725</v>
      </c>
      <c r="C15" s="162" t="s">
        <v>1726</v>
      </c>
      <c r="D15" s="162" t="s">
        <v>1741</v>
      </c>
      <c r="E15" s="162" t="s">
        <v>420</v>
      </c>
      <c r="F15" s="162" t="s">
        <v>1728</v>
      </c>
      <c r="G15" s="162" t="s">
        <v>307</v>
      </c>
      <c r="H15" s="162" t="s">
        <v>1729</v>
      </c>
    </row>
    <row r="16" spans="1:8" hidden="1" x14ac:dyDescent="0.25">
      <c r="A16" s="162" t="s">
        <v>1724</v>
      </c>
      <c r="B16" s="162" t="s">
        <v>1725</v>
      </c>
      <c r="C16" s="162" t="s">
        <v>1726</v>
      </c>
      <c r="D16" s="162" t="s">
        <v>1742</v>
      </c>
      <c r="E16" s="162" t="s">
        <v>759</v>
      </c>
      <c r="F16" s="162" t="s">
        <v>1728</v>
      </c>
      <c r="G16" s="162" t="s">
        <v>284</v>
      </c>
      <c r="H16" s="162" t="s">
        <v>1093</v>
      </c>
    </row>
    <row r="17" spans="1:8" hidden="1" x14ac:dyDescent="0.25">
      <c r="A17" s="162" t="s">
        <v>1724</v>
      </c>
      <c r="B17" s="162" t="s">
        <v>1725</v>
      </c>
      <c r="C17" s="162" t="s">
        <v>1726</v>
      </c>
      <c r="D17" s="162" t="s">
        <v>1743</v>
      </c>
      <c r="E17" s="162" t="s">
        <v>759</v>
      </c>
      <c r="F17" s="162" t="s">
        <v>1728</v>
      </c>
      <c r="G17" s="162" t="s">
        <v>779</v>
      </c>
      <c r="H17" s="162" t="s">
        <v>1729</v>
      </c>
    </row>
    <row r="18" spans="1:8" hidden="1" x14ac:dyDescent="0.25">
      <c r="A18" s="162" t="s">
        <v>1724</v>
      </c>
      <c r="B18" s="162" t="s">
        <v>1725</v>
      </c>
      <c r="C18" s="162" t="s">
        <v>1726</v>
      </c>
      <c r="D18" s="162" t="s">
        <v>1744</v>
      </c>
      <c r="E18" s="162" t="s">
        <v>420</v>
      </c>
      <c r="F18" s="162" t="s">
        <v>1728</v>
      </c>
      <c r="G18" s="162" t="s">
        <v>780</v>
      </c>
      <c r="H18" s="162" t="s">
        <v>1729</v>
      </c>
    </row>
    <row r="19" spans="1:8" hidden="1" x14ac:dyDescent="0.25">
      <c r="A19" s="162" t="s">
        <v>1724</v>
      </c>
      <c r="B19" s="162" t="s">
        <v>1725</v>
      </c>
      <c r="C19" s="162" t="s">
        <v>1726</v>
      </c>
      <c r="D19" s="162" t="s">
        <v>1745</v>
      </c>
      <c r="E19" s="162" t="s">
        <v>759</v>
      </c>
      <c r="F19" s="162" t="s">
        <v>1728</v>
      </c>
      <c r="G19" s="162" t="s">
        <v>782</v>
      </c>
      <c r="H19" s="162" t="s">
        <v>1729</v>
      </c>
    </row>
    <row r="20" spans="1:8" hidden="1" x14ac:dyDescent="0.25">
      <c r="A20" s="162" t="s">
        <v>1724</v>
      </c>
      <c r="B20" s="162" t="s">
        <v>1725</v>
      </c>
      <c r="C20" s="162" t="s">
        <v>1726</v>
      </c>
      <c r="D20" s="162" t="s">
        <v>1746</v>
      </c>
      <c r="E20" s="162" t="s">
        <v>759</v>
      </c>
      <c r="F20" s="162" t="s">
        <v>1728</v>
      </c>
      <c r="G20" s="162" t="s">
        <v>784</v>
      </c>
      <c r="H20" s="162" t="s">
        <v>302</v>
      </c>
    </row>
    <row r="21" spans="1:8" hidden="1" x14ac:dyDescent="0.25">
      <c r="A21" s="162" t="s">
        <v>1724</v>
      </c>
      <c r="B21" s="162" t="s">
        <v>1725</v>
      </c>
      <c r="C21" s="162" t="s">
        <v>1726</v>
      </c>
      <c r="D21" s="162" t="s">
        <v>1747</v>
      </c>
      <c r="E21" s="162" t="s">
        <v>420</v>
      </c>
      <c r="F21" s="162" t="s">
        <v>1728</v>
      </c>
      <c r="G21" s="162" t="s">
        <v>786</v>
      </c>
      <c r="H21" s="162" t="s">
        <v>1729</v>
      </c>
    </row>
    <row r="22" spans="1:8" hidden="1" x14ac:dyDescent="0.25">
      <c r="A22" s="162" t="s">
        <v>1724</v>
      </c>
      <c r="B22" s="162" t="s">
        <v>1725</v>
      </c>
      <c r="C22" s="162" t="s">
        <v>1726</v>
      </c>
      <c r="D22" s="162" t="s">
        <v>1748</v>
      </c>
      <c r="E22" s="162" t="s">
        <v>759</v>
      </c>
      <c r="F22" s="162" t="s">
        <v>1728</v>
      </c>
      <c r="G22" s="162" t="s">
        <v>788</v>
      </c>
      <c r="H22" s="162" t="s">
        <v>1729</v>
      </c>
    </row>
    <row r="23" spans="1:8" hidden="1" x14ac:dyDescent="0.25">
      <c r="A23" s="162" t="s">
        <v>1724</v>
      </c>
      <c r="B23" s="162" t="s">
        <v>1725</v>
      </c>
      <c r="C23" s="162" t="s">
        <v>1726</v>
      </c>
      <c r="D23" s="162" t="s">
        <v>1749</v>
      </c>
      <c r="E23" s="162" t="s">
        <v>759</v>
      </c>
      <c r="F23" s="162" t="s">
        <v>1728</v>
      </c>
      <c r="G23" s="162" t="s">
        <v>790</v>
      </c>
      <c r="H23" s="162" t="s">
        <v>1729</v>
      </c>
    </row>
    <row r="24" spans="1:8" hidden="1" x14ac:dyDescent="0.25">
      <c r="A24" s="162" t="s">
        <v>1724</v>
      </c>
      <c r="B24" s="162" t="s">
        <v>1725</v>
      </c>
      <c r="C24" s="162" t="s">
        <v>1726</v>
      </c>
      <c r="D24" s="162" t="s">
        <v>1750</v>
      </c>
      <c r="E24" s="162" t="s">
        <v>420</v>
      </c>
      <c r="F24" s="162" t="s">
        <v>1728</v>
      </c>
      <c r="G24" s="162" t="s">
        <v>792</v>
      </c>
      <c r="H24" s="162" t="s">
        <v>1729</v>
      </c>
    </row>
    <row r="25" spans="1:8" hidden="1" x14ac:dyDescent="0.25">
      <c r="A25" s="162" t="s">
        <v>1724</v>
      </c>
      <c r="B25" s="162" t="s">
        <v>1725</v>
      </c>
      <c r="C25" s="162" t="s">
        <v>1726</v>
      </c>
      <c r="D25" s="162" t="s">
        <v>1751</v>
      </c>
      <c r="E25" s="162" t="s">
        <v>420</v>
      </c>
      <c r="F25" s="162" t="s">
        <v>1728</v>
      </c>
      <c r="G25" s="162" t="s">
        <v>796</v>
      </c>
      <c r="H25" s="162" t="s">
        <v>1729</v>
      </c>
    </row>
    <row r="26" spans="1:8" hidden="1" x14ac:dyDescent="0.25">
      <c r="A26" s="162" t="s">
        <v>1724</v>
      </c>
      <c r="B26" s="162" t="s">
        <v>1725</v>
      </c>
      <c r="C26" s="162" t="s">
        <v>1726</v>
      </c>
      <c r="D26" s="162" t="s">
        <v>1752</v>
      </c>
      <c r="E26" s="162" t="s">
        <v>420</v>
      </c>
      <c r="F26" s="162" t="s">
        <v>1728</v>
      </c>
      <c r="G26" s="162" t="s">
        <v>798</v>
      </c>
      <c r="H26" s="162" t="s">
        <v>1729</v>
      </c>
    </row>
    <row r="27" spans="1:8" hidden="1" x14ac:dyDescent="0.25">
      <c r="A27" s="162" t="s">
        <v>1724</v>
      </c>
      <c r="B27" s="162" t="s">
        <v>1725</v>
      </c>
      <c r="C27" s="162" t="s">
        <v>1726</v>
      </c>
      <c r="D27" s="162" t="s">
        <v>1753</v>
      </c>
      <c r="E27" s="162" t="s">
        <v>420</v>
      </c>
      <c r="F27" s="162" t="s">
        <v>1728</v>
      </c>
      <c r="G27" s="162" t="s">
        <v>800</v>
      </c>
      <c r="H27" s="162" t="s">
        <v>1729</v>
      </c>
    </row>
    <row r="28" spans="1:8" hidden="1" x14ac:dyDescent="0.25">
      <c r="A28" s="162" t="s">
        <v>1724</v>
      </c>
      <c r="B28" s="162" t="s">
        <v>1725</v>
      </c>
      <c r="C28" s="162" t="s">
        <v>1726</v>
      </c>
      <c r="D28" s="162" t="s">
        <v>1754</v>
      </c>
      <c r="E28" s="162" t="s">
        <v>759</v>
      </c>
      <c r="F28" s="162" t="s">
        <v>1728</v>
      </c>
      <c r="G28" s="162" t="s">
        <v>802</v>
      </c>
      <c r="H28" s="162" t="s">
        <v>1729</v>
      </c>
    </row>
    <row r="29" spans="1:8" hidden="1" x14ac:dyDescent="0.25">
      <c r="A29" s="162" t="s">
        <v>1724</v>
      </c>
      <c r="B29" s="162" t="s">
        <v>1725</v>
      </c>
      <c r="C29" s="162" t="s">
        <v>1726</v>
      </c>
      <c r="D29" s="162" t="s">
        <v>1755</v>
      </c>
      <c r="E29" s="162" t="s">
        <v>759</v>
      </c>
      <c r="F29" s="162" t="s">
        <v>1728</v>
      </c>
      <c r="G29" s="162" t="s">
        <v>804</v>
      </c>
      <c r="H29" s="162" t="s">
        <v>1729</v>
      </c>
    </row>
    <row r="30" spans="1:8" hidden="1" x14ac:dyDescent="0.25">
      <c r="A30" s="162" t="s">
        <v>1724</v>
      </c>
      <c r="B30" s="162" t="s">
        <v>1725</v>
      </c>
      <c r="C30" s="162" t="s">
        <v>1726</v>
      </c>
      <c r="D30" s="163" t="s">
        <v>1756</v>
      </c>
      <c r="E30" s="162" t="s">
        <v>420</v>
      </c>
      <c r="F30" s="162" t="s">
        <v>1728</v>
      </c>
      <c r="G30" s="162" t="s">
        <v>794</v>
      </c>
      <c r="H30" s="162" t="s">
        <v>1729</v>
      </c>
    </row>
    <row r="31" spans="1:8" hidden="1" x14ac:dyDescent="0.25">
      <c r="A31" s="162" t="s">
        <v>1724</v>
      </c>
      <c r="B31" s="162" t="s">
        <v>1725</v>
      </c>
      <c r="C31" s="162" t="s">
        <v>1726</v>
      </c>
      <c r="D31" s="163" t="s">
        <v>1757</v>
      </c>
      <c r="E31" s="162" t="s">
        <v>420</v>
      </c>
      <c r="F31" s="162" t="s">
        <v>1728</v>
      </c>
      <c r="G31" s="162" t="s">
        <v>310</v>
      </c>
      <c r="H31" s="162" t="s">
        <v>1729</v>
      </c>
    </row>
    <row r="32" spans="1:8" hidden="1" x14ac:dyDescent="0.25">
      <c r="A32" s="162" t="s">
        <v>1724</v>
      </c>
      <c r="B32" s="162" t="s">
        <v>1725</v>
      </c>
      <c r="C32" s="162" t="s">
        <v>1726</v>
      </c>
      <c r="D32" s="163" t="s">
        <v>1758</v>
      </c>
      <c r="E32" s="162" t="s">
        <v>420</v>
      </c>
      <c r="F32" s="162" t="s">
        <v>1728</v>
      </c>
      <c r="G32" s="162" t="s">
        <v>313</v>
      </c>
      <c r="H32" s="162" t="s">
        <v>1729</v>
      </c>
    </row>
    <row r="33" spans="1:8" hidden="1" x14ac:dyDescent="0.25">
      <c r="A33" s="162" t="s">
        <v>1724</v>
      </c>
      <c r="B33" s="162" t="s">
        <v>1725</v>
      </c>
      <c r="C33" s="162" t="s">
        <v>1726</v>
      </c>
      <c r="D33" s="162" t="s">
        <v>1759</v>
      </c>
      <c r="E33" s="162" t="s">
        <v>420</v>
      </c>
      <c r="F33" s="162" t="s">
        <v>1728</v>
      </c>
      <c r="G33" s="162" t="s">
        <v>806</v>
      </c>
      <c r="H33" s="162" t="s">
        <v>1729</v>
      </c>
    </row>
    <row r="34" spans="1:8" hidden="1" x14ac:dyDescent="0.25">
      <c r="A34" s="162" t="s">
        <v>1724</v>
      </c>
      <c r="B34" s="162" t="s">
        <v>433</v>
      </c>
      <c r="C34" s="162" t="s">
        <v>1760</v>
      </c>
      <c r="D34" s="162"/>
      <c r="E34" s="162" t="s">
        <v>759</v>
      </c>
      <c r="F34" s="162" t="s">
        <v>1728</v>
      </c>
      <c r="G34" s="162" t="s">
        <v>433</v>
      </c>
      <c r="H34" s="162" t="s">
        <v>1760</v>
      </c>
    </row>
    <row r="35" spans="1:8" hidden="1" x14ac:dyDescent="0.25">
      <c r="A35" s="162" t="s">
        <v>1724</v>
      </c>
      <c r="B35" s="162" t="s">
        <v>517</v>
      </c>
      <c r="C35" s="162" t="s">
        <v>1096</v>
      </c>
      <c r="D35" s="162"/>
      <c r="E35" s="162" t="s">
        <v>759</v>
      </c>
      <c r="F35" s="162" t="s">
        <v>1728</v>
      </c>
      <c r="G35" s="162" t="s">
        <v>517</v>
      </c>
      <c r="H35" s="162" t="s">
        <v>1096</v>
      </c>
    </row>
    <row r="36" spans="1:8" hidden="1" x14ac:dyDescent="0.25">
      <c r="A36" s="162" t="s">
        <v>1724</v>
      </c>
      <c r="B36" s="162" t="s">
        <v>812</v>
      </c>
      <c r="C36" s="162" t="s">
        <v>827</v>
      </c>
      <c r="D36" s="162"/>
      <c r="E36" s="162" t="s">
        <v>759</v>
      </c>
      <c r="F36" s="162" t="s">
        <v>1728</v>
      </c>
      <c r="G36" s="162" t="s">
        <v>812</v>
      </c>
      <c r="H36" s="162" t="s">
        <v>827</v>
      </c>
    </row>
    <row r="37" spans="1:8" hidden="1" x14ac:dyDescent="0.25">
      <c r="A37" s="162" t="s">
        <v>1724</v>
      </c>
      <c r="B37" s="162" t="s">
        <v>1185</v>
      </c>
      <c r="C37" s="162" t="s">
        <v>1726</v>
      </c>
      <c r="D37" s="162"/>
      <c r="E37" s="162" t="s">
        <v>759</v>
      </c>
      <c r="F37" s="162" t="s">
        <v>1728</v>
      </c>
      <c r="G37" s="162" t="s">
        <v>1185</v>
      </c>
      <c r="H37" s="162" t="s">
        <v>1729</v>
      </c>
    </row>
    <row r="38" spans="1:8" hidden="1" x14ac:dyDescent="0.25">
      <c r="A38" s="164" t="s">
        <v>1724</v>
      </c>
      <c r="B38" s="164" t="s">
        <v>1761</v>
      </c>
      <c r="C38" s="164" t="s">
        <v>320</v>
      </c>
      <c r="D38" s="164"/>
      <c r="E38" s="164" t="s">
        <v>759</v>
      </c>
      <c r="F38" s="164" t="s">
        <v>1728</v>
      </c>
      <c r="G38" s="164" t="s">
        <v>1761</v>
      </c>
      <c r="H38" s="164" t="s">
        <v>1729</v>
      </c>
    </row>
    <row r="39" spans="1:8" hidden="1" x14ac:dyDescent="0.25">
      <c r="A39" s="28" t="s">
        <v>1762</v>
      </c>
      <c r="B39" s="165" t="s">
        <v>1725</v>
      </c>
      <c r="C39" s="165" t="s">
        <v>1726</v>
      </c>
      <c r="D39" s="28" t="s">
        <v>1763</v>
      </c>
      <c r="E39" s="165" t="s">
        <v>420</v>
      </c>
      <c r="F39" s="28" t="s">
        <v>1764</v>
      </c>
      <c r="G39" s="28" t="s">
        <v>815</v>
      </c>
      <c r="H39" s="28" t="s">
        <v>1729</v>
      </c>
    </row>
    <row r="40" spans="1:8" hidden="1" x14ac:dyDescent="0.25">
      <c r="A40" s="30" t="s">
        <v>1762</v>
      </c>
      <c r="B40" s="162" t="s">
        <v>1725</v>
      </c>
      <c r="C40" s="162" t="s">
        <v>1726</v>
      </c>
      <c r="D40" s="30" t="s">
        <v>1765</v>
      </c>
      <c r="E40" s="162" t="s">
        <v>420</v>
      </c>
      <c r="F40" s="30" t="s">
        <v>1764</v>
      </c>
      <c r="G40" s="30" t="s">
        <v>817</v>
      </c>
      <c r="H40" s="30" t="s">
        <v>1729</v>
      </c>
    </row>
    <row r="41" spans="1:8" hidden="1" x14ac:dyDescent="0.25">
      <c r="A41" s="30" t="s">
        <v>1762</v>
      </c>
      <c r="B41" s="162" t="s">
        <v>1725</v>
      </c>
      <c r="C41" s="162" t="s">
        <v>1726</v>
      </c>
      <c r="D41" s="30" t="s">
        <v>1766</v>
      </c>
      <c r="E41" s="162" t="s">
        <v>420</v>
      </c>
      <c r="F41" s="30" t="s">
        <v>1764</v>
      </c>
      <c r="G41" s="30" t="s">
        <v>821</v>
      </c>
      <c r="H41" s="30" t="s">
        <v>1729</v>
      </c>
    </row>
    <row r="42" spans="1:8" hidden="1" x14ac:dyDescent="0.25">
      <c r="A42" s="30" t="s">
        <v>1762</v>
      </c>
      <c r="B42" s="162" t="s">
        <v>1725</v>
      </c>
      <c r="C42" s="162" t="s">
        <v>1726</v>
      </c>
      <c r="D42" s="30" t="s">
        <v>1767</v>
      </c>
      <c r="E42" s="162" t="s">
        <v>420</v>
      </c>
      <c r="F42" s="30" t="s">
        <v>1764</v>
      </c>
      <c r="G42" s="30" t="s">
        <v>823</v>
      </c>
      <c r="H42" s="30" t="s">
        <v>1729</v>
      </c>
    </row>
    <row r="43" spans="1:8" hidden="1" x14ac:dyDescent="0.25">
      <c r="A43" s="30" t="s">
        <v>1762</v>
      </c>
      <c r="B43" s="162" t="s">
        <v>1725</v>
      </c>
      <c r="C43" s="162" t="s">
        <v>1726</v>
      </c>
      <c r="D43" s="30" t="s">
        <v>1768</v>
      </c>
      <c r="E43" s="162" t="s">
        <v>420</v>
      </c>
      <c r="F43" s="30" t="s">
        <v>1764</v>
      </c>
      <c r="G43" s="30" t="s">
        <v>387</v>
      </c>
      <c r="H43" s="30" t="s">
        <v>302</v>
      </c>
    </row>
    <row r="44" spans="1:8" hidden="1" x14ac:dyDescent="0.25">
      <c r="A44" s="30" t="s">
        <v>1762</v>
      </c>
      <c r="B44" s="162" t="s">
        <v>1725</v>
      </c>
      <c r="C44" s="162" t="s">
        <v>1726</v>
      </c>
      <c r="D44" s="30" t="s">
        <v>1769</v>
      </c>
      <c r="E44" s="162" t="s">
        <v>420</v>
      </c>
      <c r="F44" s="30" t="s">
        <v>1764</v>
      </c>
      <c r="G44" s="30" t="s">
        <v>385</v>
      </c>
      <c r="H44" s="30" t="s">
        <v>302</v>
      </c>
    </row>
    <row r="45" spans="1:8" hidden="1" x14ac:dyDescent="0.25">
      <c r="A45" s="30" t="s">
        <v>1762</v>
      </c>
      <c r="B45" s="162" t="s">
        <v>1725</v>
      </c>
      <c r="C45" s="162" t="s">
        <v>1726</v>
      </c>
      <c r="D45" s="30" t="s">
        <v>1770</v>
      </c>
      <c r="E45" s="162" t="s">
        <v>420</v>
      </c>
      <c r="F45" s="30" t="s">
        <v>1764</v>
      </c>
      <c r="G45" s="30" t="s">
        <v>829</v>
      </c>
      <c r="H45" s="30" t="s">
        <v>302</v>
      </c>
    </row>
    <row r="46" spans="1:8" hidden="1" x14ac:dyDescent="0.25">
      <c r="A46" s="30" t="s">
        <v>1762</v>
      </c>
      <c r="B46" s="162" t="s">
        <v>1725</v>
      </c>
      <c r="C46" s="162" t="s">
        <v>1726</v>
      </c>
      <c r="D46" s="30" t="s">
        <v>1771</v>
      </c>
      <c r="E46" s="162" t="s">
        <v>420</v>
      </c>
      <c r="F46" s="30" t="s">
        <v>1764</v>
      </c>
      <c r="G46" s="30" t="s">
        <v>831</v>
      </c>
      <c r="H46" s="30" t="s">
        <v>1729</v>
      </c>
    </row>
    <row r="47" spans="1:8" hidden="1" x14ac:dyDescent="0.25">
      <c r="A47" s="30" t="s">
        <v>1762</v>
      </c>
      <c r="B47" s="162" t="s">
        <v>1725</v>
      </c>
      <c r="C47" s="162" t="s">
        <v>1726</v>
      </c>
      <c r="D47" s="30" t="s">
        <v>1772</v>
      </c>
      <c r="E47" s="162" t="s">
        <v>420</v>
      </c>
      <c r="F47" s="30" t="s">
        <v>1764</v>
      </c>
      <c r="G47" s="30" t="s">
        <v>833</v>
      </c>
      <c r="H47" s="30" t="s">
        <v>1729</v>
      </c>
    </row>
    <row r="48" spans="1:8" hidden="1" x14ac:dyDescent="0.25">
      <c r="A48" s="30" t="s">
        <v>1762</v>
      </c>
      <c r="B48" s="162" t="s">
        <v>1725</v>
      </c>
      <c r="C48" s="162" t="s">
        <v>1726</v>
      </c>
      <c r="D48" s="30" t="s">
        <v>1773</v>
      </c>
      <c r="E48" s="162" t="s">
        <v>420</v>
      </c>
      <c r="F48" s="30" t="s">
        <v>1764</v>
      </c>
      <c r="G48" s="30" t="s">
        <v>836</v>
      </c>
      <c r="H48" s="30" t="s">
        <v>1729</v>
      </c>
    </row>
    <row r="49" spans="1:8" hidden="1" x14ac:dyDescent="0.25">
      <c r="A49" s="30" t="s">
        <v>1762</v>
      </c>
      <c r="B49" s="162" t="s">
        <v>1725</v>
      </c>
      <c r="C49" s="162" t="s">
        <v>1726</v>
      </c>
      <c r="D49" s="30" t="s">
        <v>1774</v>
      </c>
      <c r="E49" s="162" t="s">
        <v>420</v>
      </c>
      <c r="F49" s="30" t="s">
        <v>1764</v>
      </c>
      <c r="G49" s="30" t="s">
        <v>839</v>
      </c>
      <c r="H49" s="30" t="s">
        <v>1729</v>
      </c>
    </row>
    <row r="50" spans="1:8" hidden="1" x14ac:dyDescent="0.25">
      <c r="A50" s="30" t="s">
        <v>1762</v>
      </c>
      <c r="B50" s="162" t="s">
        <v>1725</v>
      </c>
      <c r="C50" s="162" t="s">
        <v>1726</v>
      </c>
      <c r="D50" s="30" t="s">
        <v>1743</v>
      </c>
      <c r="E50" s="162" t="s">
        <v>759</v>
      </c>
      <c r="F50" s="30" t="s">
        <v>1764</v>
      </c>
      <c r="G50" s="30" t="s">
        <v>841</v>
      </c>
      <c r="H50" s="30" t="s">
        <v>1729</v>
      </c>
    </row>
    <row r="51" spans="1:8" hidden="1" x14ac:dyDescent="0.25">
      <c r="A51" s="30" t="s">
        <v>1762</v>
      </c>
      <c r="B51" s="162" t="s">
        <v>1725</v>
      </c>
      <c r="C51" s="162" t="s">
        <v>1726</v>
      </c>
      <c r="D51" s="30" t="s">
        <v>1742</v>
      </c>
      <c r="E51" s="162" t="s">
        <v>759</v>
      </c>
      <c r="F51" s="30" t="s">
        <v>1764</v>
      </c>
      <c r="G51" s="30" t="s">
        <v>392</v>
      </c>
      <c r="H51" s="30" t="s">
        <v>1775</v>
      </c>
    </row>
    <row r="52" spans="1:8" hidden="1" x14ac:dyDescent="0.25">
      <c r="A52" s="30" t="s">
        <v>1762</v>
      </c>
      <c r="B52" s="162" t="s">
        <v>1725</v>
      </c>
      <c r="C52" s="162" t="s">
        <v>1726</v>
      </c>
      <c r="D52" s="30" t="s">
        <v>1776</v>
      </c>
      <c r="E52" s="162" t="s">
        <v>420</v>
      </c>
      <c r="F52" s="30" t="s">
        <v>1764</v>
      </c>
      <c r="G52" s="30" t="s">
        <v>845</v>
      </c>
      <c r="H52" s="30" t="s">
        <v>1729</v>
      </c>
    </row>
    <row r="53" spans="1:8" hidden="1" x14ac:dyDescent="0.25">
      <c r="A53" s="30" t="s">
        <v>1762</v>
      </c>
      <c r="B53" s="162" t="s">
        <v>1725</v>
      </c>
      <c r="C53" s="162" t="s">
        <v>1726</v>
      </c>
      <c r="D53" s="30" t="s">
        <v>1727</v>
      </c>
      <c r="E53" s="162" t="s">
        <v>759</v>
      </c>
      <c r="F53" s="30" t="s">
        <v>1764</v>
      </c>
      <c r="G53" s="30" t="s">
        <v>391</v>
      </c>
      <c r="H53" s="30" t="s">
        <v>1729</v>
      </c>
    </row>
    <row r="54" spans="1:8" hidden="1" x14ac:dyDescent="0.25">
      <c r="A54" s="30" t="s">
        <v>1762</v>
      </c>
      <c r="B54" s="162" t="s">
        <v>1725</v>
      </c>
      <c r="C54" s="162" t="s">
        <v>1726</v>
      </c>
      <c r="D54" s="30" t="s">
        <v>1777</v>
      </c>
      <c r="E54" s="162" t="s">
        <v>420</v>
      </c>
      <c r="F54" s="30" t="s">
        <v>1764</v>
      </c>
      <c r="G54" s="30" t="s">
        <v>396</v>
      </c>
      <c r="H54" s="30" t="s">
        <v>302</v>
      </c>
    </row>
    <row r="55" spans="1:8" hidden="1" x14ac:dyDescent="0.25">
      <c r="A55" s="30" t="s">
        <v>1762</v>
      </c>
      <c r="B55" s="162" t="s">
        <v>1725</v>
      </c>
      <c r="C55" s="162" t="s">
        <v>1726</v>
      </c>
      <c r="D55" s="30" t="s">
        <v>1778</v>
      </c>
      <c r="E55" s="162" t="s">
        <v>420</v>
      </c>
      <c r="F55" s="30" t="s">
        <v>1764</v>
      </c>
      <c r="G55" s="30" t="s">
        <v>848</v>
      </c>
      <c r="H55" s="30" t="s">
        <v>1729</v>
      </c>
    </row>
    <row r="56" spans="1:8" hidden="1" x14ac:dyDescent="0.25">
      <c r="A56" s="30" t="s">
        <v>1762</v>
      </c>
      <c r="B56" s="162" t="s">
        <v>1725</v>
      </c>
      <c r="C56" s="162" t="s">
        <v>1726</v>
      </c>
      <c r="D56" s="30" t="s">
        <v>1779</v>
      </c>
      <c r="E56" s="162" t="s">
        <v>420</v>
      </c>
      <c r="F56" s="30" t="s">
        <v>1764</v>
      </c>
      <c r="G56" s="30" t="s">
        <v>851</v>
      </c>
      <c r="H56" s="30" t="s">
        <v>1729</v>
      </c>
    </row>
    <row r="57" spans="1:8" hidden="1" x14ac:dyDescent="0.25">
      <c r="A57" s="30" t="s">
        <v>1762</v>
      </c>
      <c r="B57" s="162" t="s">
        <v>1725</v>
      </c>
      <c r="C57" s="162" t="s">
        <v>1726</v>
      </c>
      <c r="D57" s="30" t="s">
        <v>1780</v>
      </c>
      <c r="E57" s="162" t="s">
        <v>420</v>
      </c>
      <c r="F57" s="30" t="s">
        <v>1764</v>
      </c>
      <c r="G57" s="30" t="s">
        <v>853</v>
      </c>
      <c r="H57" s="30" t="s">
        <v>1729</v>
      </c>
    </row>
    <row r="58" spans="1:8" hidden="1" x14ac:dyDescent="0.25">
      <c r="A58" s="30" t="s">
        <v>1762</v>
      </c>
      <c r="B58" s="162" t="s">
        <v>1725</v>
      </c>
      <c r="C58" s="162" t="s">
        <v>1726</v>
      </c>
      <c r="D58" s="30" t="s">
        <v>1732</v>
      </c>
      <c r="E58" s="162" t="s">
        <v>759</v>
      </c>
      <c r="F58" s="30" t="s">
        <v>1764</v>
      </c>
      <c r="G58" s="30" t="s">
        <v>388</v>
      </c>
      <c r="H58" s="30" t="s">
        <v>1729</v>
      </c>
    </row>
    <row r="59" spans="1:8" hidden="1" x14ac:dyDescent="0.25">
      <c r="A59" s="30" t="s">
        <v>1762</v>
      </c>
      <c r="B59" s="162" t="s">
        <v>1725</v>
      </c>
      <c r="C59" s="162" t="s">
        <v>1726</v>
      </c>
      <c r="D59" s="30" t="s">
        <v>1781</v>
      </c>
      <c r="E59" s="162" t="s">
        <v>420</v>
      </c>
      <c r="F59" s="30" t="s">
        <v>1764</v>
      </c>
      <c r="G59" s="30" t="s">
        <v>855</v>
      </c>
      <c r="H59" s="30" t="s">
        <v>1729</v>
      </c>
    </row>
    <row r="60" spans="1:8" hidden="1" x14ac:dyDescent="0.25">
      <c r="A60" s="30" t="s">
        <v>1762</v>
      </c>
      <c r="B60" s="162" t="s">
        <v>1725</v>
      </c>
      <c r="C60" s="162" t="s">
        <v>1726</v>
      </c>
      <c r="D60" s="30" t="s">
        <v>1782</v>
      </c>
      <c r="E60" s="162" t="s">
        <v>420</v>
      </c>
      <c r="F60" s="30" t="s">
        <v>1764</v>
      </c>
      <c r="G60" s="30" t="s">
        <v>857</v>
      </c>
      <c r="H60" s="30" t="s">
        <v>1729</v>
      </c>
    </row>
    <row r="61" spans="1:8" s="232" customFormat="1" x14ac:dyDescent="0.25">
      <c r="A61" s="167" t="s">
        <v>1762</v>
      </c>
      <c r="B61" s="230" t="s">
        <v>1725</v>
      </c>
      <c r="C61" s="167" t="s">
        <v>1820</v>
      </c>
      <c r="D61" s="167" t="s">
        <v>2158</v>
      </c>
      <c r="E61" s="230" t="s">
        <v>420</v>
      </c>
      <c r="F61" s="167" t="s">
        <v>1764</v>
      </c>
      <c r="G61" s="167" t="s">
        <v>706</v>
      </c>
      <c r="H61" s="167" t="s">
        <v>302</v>
      </c>
    </row>
    <row r="62" spans="1:8" hidden="1" x14ac:dyDescent="0.25">
      <c r="A62" s="30" t="s">
        <v>1762</v>
      </c>
      <c r="B62" s="162" t="s">
        <v>517</v>
      </c>
      <c r="C62" s="162" t="s">
        <v>1096</v>
      </c>
      <c r="D62" s="30"/>
      <c r="E62" s="162" t="s">
        <v>759</v>
      </c>
      <c r="F62" s="30" t="s">
        <v>1764</v>
      </c>
      <c r="G62" s="162" t="s">
        <v>517</v>
      </c>
      <c r="H62" s="162" t="s">
        <v>1096</v>
      </c>
    </row>
    <row r="63" spans="1:8" hidden="1" x14ac:dyDescent="0.25">
      <c r="A63" s="30" t="s">
        <v>1762</v>
      </c>
      <c r="B63" s="162" t="s">
        <v>812</v>
      </c>
      <c r="C63" s="162" t="s">
        <v>827</v>
      </c>
      <c r="D63" s="30"/>
      <c r="E63" s="162" t="s">
        <v>759</v>
      </c>
      <c r="F63" s="30" t="s">
        <v>1764</v>
      </c>
      <c r="G63" s="162" t="s">
        <v>812</v>
      </c>
      <c r="H63" s="162" t="s">
        <v>827</v>
      </c>
    </row>
    <row r="64" spans="1:8" hidden="1" x14ac:dyDescent="0.25">
      <c r="A64" s="30" t="s">
        <v>1762</v>
      </c>
      <c r="B64" s="162" t="s">
        <v>1185</v>
      </c>
      <c r="C64" s="162" t="s">
        <v>1726</v>
      </c>
      <c r="D64" s="30"/>
      <c r="E64" s="162" t="s">
        <v>759</v>
      </c>
      <c r="F64" s="30" t="s">
        <v>1764</v>
      </c>
      <c r="G64" s="162" t="s">
        <v>1185</v>
      </c>
      <c r="H64" s="162" t="s">
        <v>1729</v>
      </c>
    </row>
    <row r="65" spans="1:8" hidden="1" x14ac:dyDescent="0.25">
      <c r="A65" s="30" t="s">
        <v>1762</v>
      </c>
      <c r="B65" s="162" t="s">
        <v>1761</v>
      </c>
      <c r="C65" s="162" t="s">
        <v>320</v>
      </c>
      <c r="D65" s="30"/>
      <c r="E65" s="162" t="s">
        <v>759</v>
      </c>
      <c r="F65" s="30" t="s">
        <v>1764</v>
      </c>
      <c r="G65" s="162" t="s">
        <v>1761</v>
      </c>
      <c r="H65" s="162" t="s">
        <v>1729</v>
      </c>
    </row>
    <row r="66" spans="1:8" hidden="1" x14ac:dyDescent="0.25">
      <c r="A66" s="135" t="s">
        <v>1762</v>
      </c>
      <c r="B66" s="164" t="s">
        <v>433</v>
      </c>
      <c r="C66" s="164" t="s">
        <v>1760</v>
      </c>
      <c r="D66" s="135"/>
      <c r="E66" s="164" t="s">
        <v>759</v>
      </c>
      <c r="F66" s="135" t="s">
        <v>1764</v>
      </c>
      <c r="G66" s="164" t="s">
        <v>433</v>
      </c>
      <c r="H66" s="164" t="s">
        <v>1760</v>
      </c>
    </row>
    <row r="67" spans="1:8" hidden="1" x14ac:dyDescent="0.25">
      <c r="A67" s="28" t="s">
        <v>1762</v>
      </c>
      <c r="B67" s="165" t="s">
        <v>1725</v>
      </c>
      <c r="C67" s="165" t="s">
        <v>1726</v>
      </c>
      <c r="D67" s="28" t="s">
        <v>1783</v>
      </c>
      <c r="E67" s="165" t="s">
        <v>420</v>
      </c>
      <c r="F67" s="28" t="s">
        <v>1784</v>
      </c>
      <c r="G67" s="28" t="s">
        <v>859</v>
      </c>
      <c r="H67" s="28" t="s">
        <v>1729</v>
      </c>
    </row>
    <row r="68" spans="1:8" hidden="1" x14ac:dyDescent="0.25">
      <c r="A68" s="30" t="s">
        <v>1762</v>
      </c>
      <c r="B68" s="162" t="s">
        <v>1725</v>
      </c>
      <c r="C68" s="162" t="s">
        <v>1726</v>
      </c>
      <c r="D68" s="30" t="s">
        <v>1785</v>
      </c>
      <c r="E68" s="162" t="s">
        <v>420</v>
      </c>
      <c r="F68" s="30" t="s">
        <v>1784</v>
      </c>
      <c r="G68" s="30" t="s">
        <v>861</v>
      </c>
      <c r="H68" s="30" t="s">
        <v>302</v>
      </c>
    </row>
    <row r="69" spans="1:8" hidden="1" x14ac:dyDescent="0.25">
      <c r="A69" s="30" t="s">
        <v>1762</v>
      </c>
      <c r="B69" s="162" t="s">
        <v>1725</v>
      </c>
      <c r="C69" s="162" t="s">
        <v>1726</v>
      </c>
      <c r="D69" s="30" t="s">
        <v>1786</v>
      </c>
      <c r="E69" s="162" t="s">
        <v>420</v>
      </c>
      <c r="F69" s="30" t="s">
        <v>1784</v>
      </c>
      <c r="G69" s="30" t="s">
        <v>863</v>
      </c>
      <c r="H69" s="30" t="s">
        <v>1729</v>
      </c>
    </row>
    <row r="70" spans="1:8" hidden="1" x14ac:dyDescent="0.25">
      <c r="A70" s="30" t="s">
        <v>1762</v>
      </c>
      <c r="B70" s="162" t="s">
        <v>1725</v>
      </c>
      <c r="C70" s="162" t="s">
        <v>1726</v>
      </c>
      <c r="D70" s="30" t="s">
        <v>1787</v>
      </c>
      <c r="E70" s="162" t="s">
        <v>420</v>
      </c>
      <c r="F70" s="30" t="s">
        <v>1784</v>
      </c>
      <c r="G70" s="30" t="s">
        <v>865</v>
      </c>
      <c r="H70" s="30" t="s">
        <v>1729</v>
      </c>
    </row>
    <row r="71" spans="1:8" hidden="1" x14ac:dyDescent="0.25">
      <c r="A71" s="30" t="s">
        <v>1762</v>
      </c>
      <c r="B71" s="162" t="s">
        <v>1725</v>
      </c>
      <c r="C71" s="162" t="s">
        <v>1726</v>
      </c>
      <c r="D71" s="30" t="s">
        <v>1788</v>
      </c>
      <c r="E71" s="162" t="s">
        <v>420</v>
      </c>
      <c r="F71" s="30" t="s">
        <v>1784</v>
      </c>
      <c r="G71" s="30" t="s">
        <v>868</v>
      </c>
      <c r="H71" s="30" t="s">
        <v>1729</v>
      </c>
    </row>
    <row r="72" spans="1:8" hidden="1" x14ac:dyDescent="0.25">
      <c r="A72" s="30" t="s">
        <v>1762</v>
      </c>
      <c r="B72" s="162" t="s">
        <v>1725</v>
      </c>
      <c r="C72" s="162" t="s">
        <v>1726</v>
      </c>
      <c r="D72" s="30" t="s">
        <v>1789</v>
      </c>
      <c r="E72" s="162" t="s">
        <v>420</v>
      </c>
      <c r="F72" s="30" t="s">
        <v>1784</v>
      </c>
      <c r="G72" s="30" t="s">
        <v>1790</v>
      </c>
      <c r="H72" s="30" t="s">
        <v>1729</v>
      </c>
    </row>
    <row r="73" spans="1:8" hidden="1" x14ac:dyDescent="0.25">
      <c r="A73" s="30" t="s">
        <v>1762</v>
      </c>
      <c r="B73" s="162" t="s">
        <v>1725</v>
      </c>
      <c r="C73" s="162" t="s">
        <v>1726</v>
      </c>
      <c r="D73" s="30" t="s">
        <v>1791</v>
      </c>
      <c r="E73" s="162" t="s">
        <v>420</v>
      </c>
      <c r="F73" s="30" t="s">
        <v>1784</v>
      </c>
      <c r="G73" s="30" t="s">
        <v>872</v>
      </c>
      <c r="H73" s="30" t="s">
        <v>1729</v>
      </c>
    </row>
    <row r="74" spans="1:8" hidden="1" x14ac:dyDescent="0.25">
      <c r="A74" s="30" t="s">
        <v>1762</v>
      </c>
      <c r="B74" s="162" t="s">
        <v>517</v>
      </c>
      <c r="C74" s="162" t="s">
        <v>1096</v>
      </c>
      <c r="D74" s="30"/>
      <c r="E74" s="162" t="s">
        <v>759</v>
      </c>
      <c r="F74" s="30" t="s">
        <v>1784</v>
      </c>
      <c r="G74" s="162" t="s">
        <v>517</v>
      </c>
      <c r="H74" s="162" t="s">
        <v>1096</v>
      </c>
    </row>
    <row r="75" spans="1:8" hidden="1" x14ac:dyDescent="0.25">
      <c r="A75" s="30" t="s">
        <v>1762</v>
      </c>
      <c r="B75" s="162" t="s">
        <v>812</v>
      </c>
      <c r="C75" s="162" t="s">
        <v>827</v>
      </c>
      <c r="D75" s="30"/>
      <c r="E75" s="162" t="s">
        <v>759</v>
      </c>
      <c r="F75" s="30" t="s">
        <v>1784</v>
      </c>
      <c r="G75" s="162" t="s">
        <v>812</v>
      </c>
      <c r="H75" s="162" t="s">
        <v>827</v>
      </c>
    </row>
    <row r="76" spans="1:8" hidden="1" x14ac:dyDescent="0.25">
      <c r="A76" s="30" t="s">
        <v>1762</v>
      </c>
      <c r="B76" s="162" t="s">
        <v>1185</v>
      </c>
      <c r="C76" s="162" t="s">
        <v>1726</v>
      </c>
      <c r="D76" s="30"/>
      <c r="E76" s="162" t="s">
        <v>759</v>
      </c>
      <c r="F76" s="30" t="s">
        <v>1784</v>
      </c>
      <c r="G76" s="162" t="s">
        <v>1185</v>
      </c>
      <c r="H76" s="162" t="s">
        <v>1729</v>
      </c>
    </row>
    <row r="77" spans="1:8" hidden="1" x14ac:dyDescent="0.25">
      <c r="A77" s="30" t="s">
        <v>1762</v>
      </c>
      <c r="B77" s="162" t="s">
        <v>1761</v>
      </c>
      <c r="C77" s="162" t="s">
        <v>320</v>
      </c>
      <c r="D77" s="30"/>
      <c r="E77" s="162" t="s">
        <v>759</v>
      </c>
      <c r="F77" s="30" t="s">
        <v>1784</v>
      </c>
      <c r="G77" s="162" t="s">
        <v>391</v>
      </c>
      <c r="H77" s="162" t="s">
        <v>1729</v>
      </c>
    </row>
    <row r="78" spans="1:8" hidden="1" x14ac:dyDescent="0.25">
      <c r="A78" s="135" t="s">
        <v>1762</v>
      </c>
      <c r="B78" s="164" t="s">
        <v>433</v>
      </c>
      <c r="C78" s="164" t="s">
        <v>1760</v>
      </c>
      <c r="D78" s="135"/>
      <c r="E78" s="164" t="s">
        <v>759</v>
      </c>
      <c r="F78" s="135" t="s">
        <v>1784</v>
      </c>
      <c r="G78" s="164" t="s">
        <v>433</v>
      </c>
      <c r="H78" s="164" t="s">
        <v>1760</v>
      </c>
    </row>
    <row r="79" spans="1:8" hidden="1" x14ac:dyDescent="0.25">
      <c r="A79" s="28" t="s">
        <v>1762</v>
      </c>
      <c r="B79" s="165" t="s">
        <v>1725</v>
      </c>
      <c r="C79" s="165" t="s">
        <v>1726</v>
      </c>
      <c r="D79" s="28" t="s">
        <v>1792</v>
      </c>
      <c r="E79" s="165" t="s">
        <v>420</v>
      </c>
      <c r="F79" s="28" t="s">
        <v>1793</v>
      </c>
      <c r="G79" s="28" t="s">
        <v>877</v>
      </c>
      <c r="H79" s="28" t="s">
        <v>1729</v>
      </c>
    </row>
    <row r="80" spans="1:8" hidden="1" x14ac:dyDescent="0.25">
      <c r="A80" s="30" t="s">
        <v>1762</v>
      </c>
      <c r="B80" s="162" t="s">
        <v>1725</v>
      </c>
      <c r="C80" s="162" t="s">
        <v>1726</v>
      </c>
      <c r="D80" s="30" t="s">
        <v>1794</v>
      </c>
      <c r="E80" s="162" t="s">
        <v>420</v>
      </c>
      <c r="F80" s="30" t="s">
        <v>1793</v>
      </c>
      <c r="G80" s="30" t="s">
        <v>879</v>
      </c>
      <c r="H80" s="30" t="s">
        <v>1729</v>
      </c>
    </row>
    <row r="81" spans="1:8" hidden="1" x14ac:dyDescent="0.25">
      <c r="A81" s="30" t="s">
        <v>1762</v>
      </c>
      <c r="B81" s="162" t="s">
        <v>1725</v>
      </c>
      <c r="C81" s="162" t="s">
        <v>1726</v>
      </c>
      <c r="D81" s="30" t="s">
        <v>1795</v>
      </c>
      <c r="E81" s="162" t="s">
        <v>420</v>
      </c>
      <c r="F81" s="30" t="s">
        <v>1793</v>
      </c>
      <c r="G81" s="30" t="s">
        <v>882</v>
      </c>
      <c r="H81" s="30" t="s">
        <v>302</v>
      </c>
    </row>
    <row r="82" spans="1:8" hidden="1" x14ac:dyDescent="0.25">
      <c r="A82" s="30" t="s">
        <v>1762</v>
      </c>
      <c r="B82" s="162" t="s">
        <v>1725</v>
      </c>
      <c r="C82" s="162" t="s">
        <v>1726</v>
      </c>
      <c r="D82" s="30" t="s">
        <v>1796</v>
      </c>
      <c r="E82" s="162" t="s">
        <v>420</v>
      </c>
      <c r="F82" s="30" t="s">
        <v>1793</v>
      </c>
      <c r="G82" s="30" t="s">
        <v>884</v>
      </c>
      <c r="H82" s="30" t="s">
        <v>1729</v>
      </c>
    </row>
    <row r="83" spans="1:8" hidden="1" x14ac:dyDescent="0.25">
      <c r="A83" s="30" t="s">
        <v>1762</v>
      </c>
      <c r="B83" s="162" t="s">
        <v>1725</v>
      </c>
      <c r="C83" s="162" t="s">
        <v>1726</v>
      </c>
      <c r="D83" s="30" t="s">
        <v>1797</v>
      </c>
      <c r="E83" s="162" t="s">
        <v>420</v>
      </c>
      <c r="F83" s="30" t="s">
        <v>1793</v>
      </c>
      <c r="G83" s="30" t="s">
        <v>886</v>
      </c>
      <c r="H83" s="30" t="s">
        <v>1729</v>
      </c>
    </row>
    <row r="84" spans="1:8" hidden="1" x14ac:dyDescent="0.25">
      <c r="A84" s="30" t="s">
        <v>1762</v>
      </c>
      <c r="B84" s="162" t="s">
        <v>1725</v>
      </c>
      <c r="C84" s="162" t="s">
        <v>1726</v>
      </c>
      <c r="D84" s="30" t="s">
        <v>1798</v>
      </c>
      <c r="E84" s="162" t="s">
        <v>420</v>
      </c>
      <c r="F84" s="30" t="s">
        <v>1793</v>
      </c>
      <c r="G84" s="162" t="s">
        <v>889</v>
      </c>
      <c r="H84" s="162" t="s">
        <v>1729</v>
      </c>
    </row>
    <row r="85" spans="1:8" hidden="1" x14ac:dyDescent="0.25">
      <c r="A85" s="30" t="s">
        <v>1762</v>
      </c>
      <c r="B85" s="162" t="s">
        <v>1725</v>
      </c>
      <c r="C85" s="162" t="s">
        <v>1726</v>
      </c>
      <c r="D85" s="30" t="s">
        <v>1799</v>
      </c>
      <c r="E85" s="162" t="s">
        <v>420</v>
      </c>
      <c r="F85" s="30" t="s">
        <v>1793</v>
      </c>
      <c r="G85" s="30" t="s">
        <v>892</v>
      </c>
      <c r="H85" s="30" t="s">
        <v>1729</v>
      </c>
    </row>
    <row r="86" spans="1:8" hidden="1" x14ac:dyDescent="0.25">
      <c r="A86" s="30" t="s">
        <v>1762</v>
      </c>
      <c r="B86" s="162" t="s">
        <v>1725</v>
      </c>
      <c r="C86" s="162" t="s">
        <v>1726</v>
      </c>
      <c r="D86" s="30" t="s">
        <v>1800</v>
      </c>
      <c r="E86" s="162" t="s">
        <v>420</v>
      </c>
      <c r="F86" s="30" t="s">
        <v>1793</v>
      </c>
      <c r="G86" s="30" t="s">
        <v>897</v>
      </c>
      <c r="H86" s="30" t="s">
        <v>1729</v>
      </c>
    </row>
    <row r="87" spans="1:8" hidden="1" x14ac:dyDescent="0.25">
      <c r="A87" s="30" t="s">
        <v>1762</v>
      </c>
      <c r="B87" s="162" t="s">
        <v>517</v>
      </c>
      <c r="C87" s="162" t="s">
        <v>1096</v>
      </c>
      <c r="D87" s="30"/>
      <c r="E87" s="162" t="s">
        <v>759</v>
      </c>
      <c r="F87" s="30" t="s">
        <v>1793</v>
      </c>
      <c r="G87" s="162" t="s">
        <v>517</v>
      </c>
      <c r="H87" s="162" t="s">
        <v>1096</v>
      </c>
    </row>
    <row r="88" spans="1:8" hidden="1" x14ac:dyDescent="0.25">
      <c r="A88" s="30" t="s">
        <v>1762</v>
      </c>
      <c r="B88" s="162" t="s">
        <v>812</v>
      </c>
      <c r="C88" s="162" t="s">
        <v>827</v>
      </c>
      <c r="D88" s="30"/>
      <c r="E88" s="162" t="s">
        <v>759</v>
      </c>
      <c r="F88" s="30" t="s">
        <v>1793</v>
      </c>
      <c r="G88" s="162" t="s">
        <v>812</v>
      </c>
      <c r="H88" s="162" t="s">
        <v>827</v>
      </c>
    </row>
    <row r="89" spans="1:8" hidden="1" x14ac:dyDescent="0.25">
      <c r="A89" s="30" t="s">
        <v>1762</v>
      </c>
      <c r="B89" s="162" t="s">
        <v>1185</v>
      </c>
      <c r="C89" s="162" t="s">
        <v>1726</v>
      </c>
      <c r="D89" s="30"/>
      <c r="E89" s="162" t="s">
        <v>759</v>
      </c>
      <c r="F89" s="30" t="s">
        <v>1793</v>
      </c>
      <c r="G89" s="162" t="s">
        <v>1185</v>
      </c>
      <c r="H89" s="162" t="s">
        <v>1729</v>
      </c>
    </row>
    <row r="90" spans="1:8" hidden="1" x14ac:dyDescent="0.25">
      <c r="A90" s="30" t="s">
        <v>1762</v>
      </c>
      <c r="B90" s="162" t="s">
        <v>1761</v>
      </c>
      <c r="C90" s="162" t="s">
        <v>320</v>
      </c>
      <c r="D90" s="30"/>
      <c r="E90" s="162" t="s">
        <v>759</v>
      </c>
      <c r="F90" s="30" t="s">
        <v>1793</v>
      </c>
      <c r="G90" s="162" t="s">
        <v>391</v>
      </c>
      <c r="H90" s="162" t="s">
        <v>1729</v>
      </c>
    </row>
    <row r="91" spans="1:8" hidden="1" x14ac:dyDescent="0.25">
      <c r="A91" s="135" t="s">
        <v>1762</v>
      </c>
      <c r="B91" s="164" t="s">
        <v>433</v>
      </c>
      <c r="C91" s="164" t="s">
        <v>1760</v>
      </c>
      <c r="D91" s="135"/>
      <c r="E91" s="164" t="s">
        <v>759</v>
      </c>
      <c r="F91" s="135" t="s">
        <v>1793</v>
      </c>
      <c r="G91" s="164" t="s">
        <v>433</v>
      </c>
      <c r="H91" s="164" t="s">
        <v>1760</v>
      </c>
    </row>
    <row r="92" spans="1:8" hidden="1" x14ac:dyDescent="0.25">
      <c r="A92" s="28" t="s">
        <v>1762</v>
      </c>
      <c r="B92" s="165" t="s">
        <v>1725</v>
      </c>
      <c r="C92" s="165" t="s">
        <v>1726</v>
      </c>
      <c r="D92" s="28" t="s">
        <v>1801</v>
      </c>
      <c r="E92" s="165" t="s">
        <v>420</v>
      </c>
      <c r="F92" s="28" t="s">
        <v>1802</v>
      </c>
      <c r="G92" s="28" t="s">
        <v>899</v>
      </c>
      <c r="H92" s="28" t="s">
        <v>1729</v>
      </c>
    </row>
    <row r="93" spans="1:8" hidden="1" x14ac:dyDescent="0.25">
      <c r="A93" s="30" t="s">
        <v>1762</v>
      </c>
      <c r="B93" s="162" t="s">
        <v>1725</v>
      </c>
      <c r="C93" s="162" t="s">
        <v>1726</v>
      </c>
      <c r="D93" s="30" t="s">
        <v>1803</v>
      </c>
      <c r="E93" s="162" t="s">
        <v>420</v>
      </c>
      <c r="F93" s="30" t="s">
        <v>1802</v>
      </c>
      <c r="G93" s="30" t="s">
        <v>901</v>
      </c>
      <c r="H93" s="30" t="s">
        <v>1729</v>
      </c>
    </row>
    <row r="94" spans="1:8" hidden="1" x14ac:dyDescent="0.25">
      <c r="A94" s="30" t="s">
        <v>1762</v>
      </c>
      <c r="B94" s="162" t="s">
        <v>1725</v>
      </c>
      <c r="C94" s="162" t="s">
        <v>1726</v>
      </c>
      <c r="D94" s="30" t="s">
        <v>1804</v>
      </c>
      <c r="E94" s="162" t="s">
        <v>420</v>
      </c>
      <c r="F94" s="30" t="s">
        <v>1802</v>
      </c>
      <c r="G94" s="30" t="s">
        <v>903</v>
      </c>
      <c r="H94" s="30" t="s">
        <v>1729</v>
      </c>
    </row>
    <row r="95" spans="1:8" hidden="1" x14ac:dyDescent="0.25">
      <c r="A95" s="30" t="s">
        <v>1762</v>
      </c>
      <c r="B95" s="162" t="s">
        <v>1725</v>
      </c>
      <c r="C95" s="162" t="s">
        <v>1726</v>
      </c>
      <c r="D95" s="30" t="s">
        <v>1805</v>
      </c>
      <c r="E95" s="162" t="s">
        <v>420</v>
      </c>
      <c r="F95" s="30" t="s">
        <v>1802</v>
      </c>
      <c r="G95" s="30" t="s">
        <v>906</v>
      </c>
      <c r="H95" s="30" t="s">
        <v>1729</v>
      </c>
    </row>
    <row r="96" spans="1:8" hidden="1" x14ac:dyDescent="0.25">
      <c r="A96" s="30" t="s">
        <v>1762</v>
      </c>
      <c r="B96" s="162" t="s">
        <v>1725</v>
      </c>
      <c r="C96" s="162" t="s">
        <v>1726</v>
      </c>
      <c r="D96" s="30" t="s">
        <v>1806</v>
      </c>
      <c r="E96" s="162" t="s">
        <v>420</v>
      </c>
      <c r="F96" s="30" t="s">
        <v>1802</v>
      </c>
      <c r="G96" s="30" t="s">
        <v>908</v>
      </c>
      <c r="H96" s="30" t="s">
        <v>1729</v>
      </c>
    </row>
    <row r="97" spans="1:8" hidden="1" x14ac:dyDescent="0.25">
      <c r="A97" s="30" t="s">
        <v>1762</v>
      </c>
      <c r="B97" s="162" t="s">
        <v>1725</v>
      </c>
      <c r="C97" s="162" t="s">
        <v>1726</v>
      </c>
      <c r="D97" s="30" t="s">
        <v>1807</v>
      </c>
      <c r="E97" s="162" t="s">
        <v>420</v>
      </c>
      <c r="F97" s="30" t="s">
        <v>1802</v>
      </c>
      <c r="G97" s="30" t="s">
        <v>909</v>
      </c>
      <c r="H97" s="30" t="s">
        <v>302</v>
      </c>
    </row>
    <row r="98" spans="1:8" hidden="1" x14ac:dyDescent="0.25">
      <c r="A98" s="30" t="s">
        <v>1762</v>
      </c>
      <c r="B98" s="162" t="s">
        <v>517</v>
      </c>
      <c r="C98" s="162" t="s">
        <v>1096</v>
      </c>
      <c r="D98" s="30"/>
      <c r="E98" s="162" t="s">
        <v>759</v>
      </c>
      <c r="F98" s="30" t="s">
        <v>1802</v>
      </c>
      <c r="G98" s="162" t="s">
        <v>517</v>
      </c>
      <c r="H98" s="162" t="s">
        <v>1096</v>
      </c>
    </row>
    <row r="99" spans="1:8" hidden="1" x14ac:dyDescent="0.25">
      <c r="A99" s="30" t="s">
        <v>1762</v>
      </c>
      <c r="B99" s="162" t="s">
        <v>812</v>
      </c>
      <c r="C99" s="162" t="s">
        <v>827</v>
      </c>
      <c r="D99" s="30"/>
      <c r="E99" s="162" t="s">
        <v>759</v>
      </c>
      <c r="F99" s="30" t="s">
        <v>1802</v>
      </c>
      <c r="G99" s="162" t="s">
        <v>812</v>
      </c>
      <c r="H99" s="162" t="s">
        <v>827</v>
      </c>
    </row>
    <row r="100" spans="1:8" hidden="1" x14ac:dyDescent="0.25">
      <c r="A100" s="30" t="s">
        <v>1762</v>
      </c>
      <c r="B100" s="162" t="s">
        <v>1185</v>
      </c>
      <c r="C100" s="162" t="s">
        <v>1726</v>
      </c>
      <c r="D100" s="30"/>
      <c r="E100" s="162" t="s">
        <v>759</v>
      </c>
      <c r="F100" s="30" t="s">
        <v>1802</v>
      </c>
      <c r="G100" s="162" t="s">
        <v>1185</v>
      </c>
      <c r="H100" s="162" t="s">
        <v>1729</v>
      </c>
    </row>
    <row r="101" spans="1:8" hidden="1" x14ac:dyDescent="0.25">
      <c r="A101" s="30" t="s">
        <v>1762</v>
      </c>
      <c r="B101" s="162" t="s">
        <v>1761</v>
      </c>
      <c r="C101" s="162" t="s">
        <v>320</v>
      </c>
      <c r="D101" s="30"/>
      <c r="E101" s="162" t="s">
        <v>759</v>
      </c>
      <c r="F101" s="30" t="s">
        <v>1802</v>
      </c>
      <c r="G101" s="162" t="s">
        <v>391</v>
      </c>
      <c r="H101" s="162" t="s">
        <v>1729</v>
      </c>
    </row>
    <row r="102" spans="1:8" hidden="1" x14ac:dyDescent="0.25">
      <c r="A102" s="135" t="s">
        <v>1762</v>
      </c>
      <c r="B102" s="164" t="s">
        <v>433</v>
      </c>
      <c r="C102" s="164" t="s">
        <v>1760</v>
      </c>
      <c r="D102" s="135"/>
      <c r="E102" s="164" t="s">
        <v>759</v>
      </c>
      <c r="F102" s="135" t="s">
        <v>1802</v>
      </c>
      <c r="G102" s="164" t="s">
        <v>433</v>
      </c>
      <c r="H102" s="164" t="s">
        <v>1760</v>
      </c>
    </row>
    <row r="103" spans="1:8" hidden="1" x14ac:dyDescent="0.25">
      <c r="A103" s="28" t="s">
        <v>1808</v>
      </c>
      <c r="B103" s="165" t="s">
        <v>1725</v>
      </c>
      <c r="C103" s="165" t="s">
        <v>1726</v>
      </c>
      <c r="D103" s="28" t="s">
        <v>1809</v>
      </c>
      <c r="E103" s="165" t="s">
        <v>759</v>
      </c>
      <c r="F103" s="28" t="s">
        <v>1810</v>
      </c>
      <c r="G103" s="28" t="s">
        <v>911</v>
      </c>
      <c r="H103" s="28" t="s">
        <v>1729</v>
      </c>
    </row>
    <row r="104" spans="1:8" hidden="1" x14ac:dyDescent="0.25">
      <c r="A104" s="30" t="s">
        <v>1808</v>
      </c>
      <c r="B104" s="162" t="s">
        <v>1725</v>
      </c>
      <c r="C104" s="162" t="s">
        <v>1726</v>
      </c>
      <c r="D104" s="30" t="s">
        <v>1811</v>
      </c>
      <c r="E104" s="162" t="s">
        <v>420</v>
      </c>
      <c r="F104" s="30" t="s">
        <v>1810</v>
      </c>
      <c r="G104" s="30" t="s">
        <v>912</v>
      </c>
      <c r="H104" s="30" t="s">
        <v>1729</v>
      </c>
    </row>
    <row r="105" spans="1:8" hidden="1" x14ac:dyDescent="0.25">
      <c r="A105" s="30" t="s">
        <v>1808</v>
      </c>
      <c r="B105" s="162" t="s">
        <v>1725</v>
      </c>
      <c r="C105" s="162" t="s">
        <v>1726</v>
      </c>
      <c r="D105" s="30" t="s">
        <v>1812</v>
      </c>
      <c r="E105" s="162" t="s">
        <v>759</v>
      </c>
      <c r="F105" s="30" t="s">
        <v>1810</v>
      </c>
      <c r="G105" s="30" t="s">
        <v>430</v>
      </c>
      <c r="H105" s="30" t="s">
        <v>1775</v>
      </c>
    </row>
    <row r="106" spans="1:8" hidden="1" x14ac:dyDescent="0.25">
      <c r="A106" s="30" t="s">
        <v>1808</v>
      </c>
      <c r="B106" s="162" t="s">
        <v>1725</v>
      </c>
      <c r="C106" s="162" t="s">
        <v>1726</v>
      </c>
      <c r="D106" s="30" t="s">
        <v>1813</v>
      </c>
      <c r="E106" s="162" t="s">
        <v>420</v>
      </c>
      <c r="F106" s="30" t="s">
        <v>1810</v>
      </c>
      <c r="G106" s="30" t="s">
        <v>492</v>
      </c>
      <c r="H106" s="30" t="s">
        <v>1729</v>
      </c>
    </row>
    <row r="107" spans="1:8" hidden="1" x14ac:dyDescent="0.25">
      <c r="A107" s="30" t="s">
        <v>1808</v>
      </c>
      <c r="B107" s="162" t="s">
        <v>1725</v>
      </c>
      <c r="C107" s="162" t="s">
        <v>1726</v>
      </c>
      <c r="D107" s="30" t="s">
        <v>1814</v>
      </c>
      <c r="E107" s="162" t="s">
        <v>420</v>
      </c>
      <c r="F107" s="30" t="s">
        <v>1810</v>
      </c>
      <c r="G107" s="30" t="s">
        <v>915</v>
      </c>
      <c r="H107" s="30" t="s">
        <v>1729</v>
      </c>
    </row>
    <row r="108" spans="1:8" hidden="1" x14ac:dyDescent="0.25">
      <c r="A108" s="30" t="s">
        <v>1808</v>
      </c>
      <c r="B108" s="162" t="s">
        <v>1725</v>
      </c>
      <c r="C108" s="162" t="s">
        <v>1726</v>
      </c>
      <c r="D108" s="30" t="s">
        <v>1815</v>
      </c>
      <c r="E108" s="162" t="s">
        <v>759</v>
      </c>
      <c r="F108" s="30" t="s">
        <v>1810</v>
      </c>
      <c r="G108" s="30" t="s">
        <v>917</v>
      </c>
      <c r="H108" s="30" t="s">
        <v>1729</v>
      </c>
    </row>
    <row r="109" spans="1:8" hidden="1" x14ac:dyDescent="0.25">
      <c r="A109" s="30" t="s">
        <v>1808</v>
      </c>
      <c r="B109" s="162" t="s">
        <v>1725</v>
      </c>
      <c r="C109" s="162" t="s">
        <v>1726</v>
      </c>
      <c r="D109" s="30" t="s">
        <v>1816</v>
      </c>
      <c r="E109" s="162" t="s">
        <v>759</v>
      </c>
      <c r="F109" s="30" t="s">
        <v>1810</v>
      </c>
      <c r="G109" s="30" t="s">
        <v>428</v>
      </c>
      <c r="H109" s="30" t="s">
        <v>302</v>
      </c>
    </row>
    <row r="110" spans="1:8" hidden="1" x14ac:dyDescent="0.25">
      <c r="A110" s="30" t="s">
        <v>1808</v>
      </c>
      <c r="B110" s="162" t="s">
        <v>1725</v>
      </c>
      <c r="C110" s="162" t="s">
        <v>1726</v>
      </c>
      <c r="D110" s="30" t="s">
        <v>1817</v>
      </c>
      <c r="E110" s="162" t="s">
        <v>420</v>
      </c>
      <c r="F110" s="30" t="s">
        <v>1810</v>
      </c>
      <c r="G110" s="30" t="s">
        <v>921</v>
      </c>
      <c r="H110" s="30" t="s">
        <v>1729</v>
      </c>
    </row>
    <row r="111" spans="1:8" hidden="1" x14ac:dyDescent="0.25">
      <c r="A111" s="30" t="s">
        <v>1808</v>
      </c>
      <c r="B111" s="162" t="s">
        <v>1725</v>
      </c>
      <c r="C111" s="162" t="s">
        <v>1726</v>
      </c>
      <c r="D111" s="30" t="s">
        <v>1818</v>
      </c>
      <c r="E111" s="162" t="s">
        <v>420</v>
      </c>
      <c r="F111" s="30" t="s">
        <v>1810</v>
      </c>
      <c r="G111" s="30" t="s">
        <v>426</v>
      </c>
      <c r="H111" s="30" t="s">
        <v>1729</v>
      </c>
    </row>
    <row r="112" spans="1:8" hidden="1" x14ac:dyDescent="0.25">
      <c r="A112" s="30" t="s">
        <v>1808</v>
      </c>
      <c r="B112" s="162" t="s">
        <v>1725</v>
      </c>
      <c r="C112" s="162" t="s">
        <v>1726</v>
      </c>
      <c r="D112" s="30" t="s">
        <v>1819</v>
      </c>
      <c r="E112" s="162" t="s">
        <v>420</v>
      </c>
      <c r="F112" s="30" t="s">
        <v>1810</v>
      </c>
      <c r="G112" s="30" t="s">
        <v>924</v>
      </c>
      <c r="H112" s="30" t="s">
        <v>1729</v>
      </c>
    </row>
    <row r="113" spans="1:8" hidden="1" x14ac:dyDescent="0.25">
      <c r="A113" s="28" t="s">
        <v>1808</v>
      </c>
      <c r="B113" s="28" t="s">
        <v>1725</v>
      </c>
      <c r="C113" s="28" t="s">
        <v>1820</v>
      </c>
      <c r="D113" s="28" t="s">
        <v>1821</v>
      </c>
      <c r="E113" s="28" t="s">
        <v>420</v>
      </c>
      <c r="F113" s="28" t="s">
        <v>1810</v>
      </c>
      <c r="G113" s="28" t="s">
        <v>1251</v>
      </c>
      <c r="H113" s="28" t="s">
        <v>1729</v>
      </c>
    </row>
    <row r="114" spans="1:8" hidden="1" x14ac:dyDescent="0.25">
      <c r="A114" s="30" t="s">
        <v>1808</v>
      </c>
      <c r="B114" s="30" t="s">
        <v>1725</v>
      </c>
      <c r="C114" s="30" t="s">
        <v>1820</v>
      </c>
      <c r="D114" s="30" t="s">
        <v>1822</v>
      </c>
      <c r="E114" s="30" t="s">
        <v>420</v>
      </c>
      <c r="F114" s="30" t="s">
        <v>1810</v>
      </c>
      <c r="G114" s="30" t="s">
        <v>1253</v>
      </c>
      <c r="H114" s="30" t="s">
        <v>1729</v>
      </c>
    </row>
    <row r="115" spans="1:8" hidden="1" x14ac:dyDescent="0.25">
      <c r="A115" s="30" t="s">
        <v>1808</v>
      </c>
      <c r="B115" s="30" t="s">
        <v>1725</v>
      </c>
      <c r="C115" s="30" t="s">
        <v>1820</v>
      </c>
      <c r="D115" s="30" t="s">
        <v>1823</v>
      </c>
      <c r="E115" s="30" t="s">
        <v>420</v>
      </c>
      <c r="F115" s="30" t="s">
        <v>1810</v>
      </c>
      <c r="G115" s="30" t="s">
        <v>1256</v>
      </c>
      <c r="H115" s="30" t="s">
        <v>1729</v>
      </c>
    </row>
    <row r="116" spans="1:8" hidden="1" x14ac:dyDescent="0.25">
      <c r="A116" s="30" t="s">
        <v>1808</v>
      </c>
      <c r="B116" s="30" t="s">
        <v>1725</v>
      </c>
      <c r="C116" s="30" t="s">
        <v>1820</v>
      </c>
      <c r="D116" s="30" t="s">
        <v>1824</v>
      </c>
      <c r="E116" s="30" t="s">
        <v>759</v>
      </c>
      <c r="F116" s="30" t="s">
        <v>1810</v>
      </c>
      <c r="G116" s="30" t="s">
        <v>1258</v>
      </c>
      <c r="H116" s="30" t="s">
        <v>1729</v>
      </c>
    </row>
    <row r="117" spans="1:8" hidden="1" x14ac:dyDescent="0.25">
      <c r="A117" s="30" t="s">
        <v>1808</v>
      </c>
      <c r="B117" s="30" t="s">
        <v>928</v>
      </c>
      <c r="C117" s="30" t="s">
        <v>1729</v>
      </c>
      <c r="D117" s="30"/>
      <c r="E117" s="30" t="s">
        <v>420</v>
      </c>
      <c r="F117" s="30" t="s">
        <v>1810</v>
      </c>
      <c r="G117" s="30" t="s">
        <v>928</v>
      </c>
      <c r="H117" s="30" t="s">
        <v>1729</v>
      </c>
    </row>
    <row r="118" spans="1:8" hidden="1" x14ac:dyDescent="0.25">
      <c r="A118" s="28" t="s">
        <v>1808</v>
      </c>
      <c r="B118" s="165" t="s">
        <v>1725</v>
      </c>
      <c r="C118" s="165" t="s">
        <v>1726</v>
      </c>
      <c r="D118" s="28" t="s">
        <v>1825</v>
      </c>
      <c r="E118" s="165" t="s">
        <v>759</v>
      </c>
      <c r="F118" s="28" t="s">
        <v>1810</v>
      </c>
      <c r="G118" s="28" t="s">
        <v>926</v>
      </c>
      <c r="H118" s="28" t="s">
        <v>1729</v>
      </c>
    </row>
    <row r="119" spans="1:8" hidden="1" x14ac:dyDescent="0.25">
      <c r="A119" s="30" t="s">
        <v>1808</v>
      </c>
      <c r="B119" s="162" t="s">
        <v>1725</v>
      </c>
      <c r="C119" s="162" t="s">
        <v>1726</v>
      </c>
      <c r="D119" s="30" t="s">
        <v>1826</v>
      </c>
      <c r="E119" s="162" t="s">
        <v>420</v>
      </c>
      <c r="F119" s="30" t="s">
        <v>1810</v>
      </c>
      <c r="G119" s="30" t="s">
        <v>417</v>
      </c>
      <c r="H119" s="30" t="s">
        <v>1729</v>
      </c>
    </row>
    <row r="120" spans="1:8" hidden="1" x14ac:dyDescent="0.25">
      <c r="A120" s="30" t="s">
        <v>1808</v>
      </c>
      <c r="B120" s="162" t="s">
        <v>517</v>
      </c>
      <c r="C120" s="162" t="s">
        <v>1096</v>
      </c>
      <c r="D120" s="30"/>
      <c r="E120" s="162" t="s">
        <v>759</v>
      </c>
      <c r="F120" s="30" t="s">
        <v>1810</v>
      </c>
      <c r="G120" s="162" t="s">
        <v>517</v>
      </c>
      <c r="H120" s="162" t="s">
        <v>1096</v>
      </c>
    </row>
    <row r="121" spans="1:8" hidden="1" x14ac:dyDescent="0.25">
      <c r="A121" s="30" t="s">
        <v>1808</v>
      </c>
      <c r="B121" s="162" t="s">
        <v>812</v>
      </c>
      <c r="C121" s="162" t="s">
        <v>827</v>
      </c>
      <c r="D121" s="30"/>
      <c r="E121" s="162" t="s">
        <v>759</v>
      </c>
      <c r="F121" s="30" t="s">
        <v>1810</v>
      </c>
      <c r="G121" s="162" t="s">
        <v>812</v>
      </c>
      <c r="H121" s="162" t="s">
        <v>827</v>
      </c>
    </row>
    <row r="122" spans="1:8" hidden="1" x14ac:dyDescent="0.25">
      <c r="A122" s="30" t="s">
        <v>1808</v>
      </c>
      <c r="B122" s="162" t="s">
        <v>1185</v>
      </c>
      <c r="C122" s="162" t="s">
        <v>1726</v>
      </c>
      <c r="D122" s="30"/>
      <c r="E122" s="162" t="s">
        <v>759</v>
      </c>
      <c r="F122" s="30" t="s">
        <v>1810</v>
      </c>
      <c r="G122" s="162" t="s">
        <v>1185</v>
      </c>
      <c r="H122" s="162" t="s">
        <v>1729</v>
      </c>
    </row>
    <row r="123" spans="1:8" hidden="1" x14ac:dyDescent="0.25">
      <c r="A123" s="30" t="s">
        <v>1808</v>
      </c>
      <c r="B123" s="162" t="s">
        <v>1761</v>
      </c>
      <c r="C123" s="162" t="s">
        <v>320</v>
      </c>
      <c r="D123" s="30"/>
      <c r="E123" s="162" t="s">
        <v>759</v>
      </c>
      <c r="F123" s="30" t="s">
        <v>1810</v>
      </c>
      <c r="G123" s="30" t="s">
        <v>928</v>
      </c>
      <c r="H123" s="162" t="s">
        <v>1729</v>
      </c>
    </row>
    <row r="124" spans="1:8" hidden="1" x14ac:dyDescent="0.25">
      <c r="A124" s="135" t="s">
        <v>1808</v>
      </c>
      <c r="B124" s="164" t="s">
        <v>433</v>
      </c>
      <c r="C124" s="164" t="s">
        <v>1760</v>
      </c>
      <c r="D124" s="135"/>
      <c r="E124" s="164" t="s">
        <v>759</v>
      </c>
      <c r="F124" s="135" t="s">
        <v>1810</v>
      </c>
      <c r="G124" s="164" t="s">
        <v>433</v>
      </c>
      <c r="H124" s="164" t="s">
        <v>1760</v>
      </c>
    </row>
    <row r="125" spans="1:8" hidden="1" x14ac:dyDescent="0.25">
      <c r="A125" s="165" t="s">
        <v>1827</v>
      </c>
      <c r="B125" s="165" t="s">
        <v>1725</v>
      </c>
      <c r="C125" s="165" t="s">
        <v>1726</v>
      </c>
      <c r="D125" s="165" t="s">
        <v>433</v>
      </c>
      <c r="E125" s="165" t="s">
        <v>759</v>
      </c>
      <c r="F125" s="165" t="s">
        <v>1828</v>
      </c>
      <c r="G125" s="165" t="s">
        <v>433</v>
      </c>
      <c r="H125" s="165" t="s">
        <v>1760</v>
      </c>
    </row>
    <row r="126" spans="1:8" hidden="1" x14ac:dyDescent="0.25">
      <c r="A126" s="162" t="s">
        <v>1827</v>
      </c>
      <c r="B126" s="162" t="s">
        <v>1725</v>
      </c>
      <c r="C126" s="162" t="s">
        <v>1726</v>
      </c>
      <c r="D126" s="162" t="s">
        <v>668</v>
      </c>
      <c r="E126" s="162" t="s">
        <v>420</v>
      </c>
      <c r="F126" s="162" t="s">
        <v>1828</v>
      </c>
      <c r="G126" s="162" t="s">
        <v>668</v>
      </c>
      <c r="H126" s="162" t="s">
        <v>1729</v>
      </c>
    </row>
    <row r="127" spans="1:8" hidden="1" x14ac:dyDescent="0.25">
      <c r="A127" s="162" t="s">
        <v>1827</v>
      </c>
      <c r="B127" s="162" t="s">
        <v>1725</v>
      </c>
      <c r="C127" s="162" t="s">
        <v>1726</v>
      </c>
      <c r="D127" s="162" t="s">
        <v>667</v>
      </c>
      <c r="E127" s="162" t="s">
        <v>759</v>
      </c>
      <c r="F127" s="162" t="s">
        <v>1828</v>
      </c>
      <c r="G127" s="162" t="s">
        <v>667</v>
      </c>
      <c r="H127" s="162" t="s">
        <v>302</v>
      </c>
    </row>
    <row r="128" spans="1:8" hidden="1" x14ac:dyDescent="0.25">
      <c r="A128" s="162" t="s">
        <v>1827</v>
      </c>
      <c r="B128" s="162" t="s">
        <v>1725</v>
      </c>
      <c r="C128" s="162" t="s">
        <v>1726</v>
      </c>
      <c r="D128" s="162" t="s">
        <v>673</v>
      </c>
      <c r="E128" s="162" t="s">
        <v>759</v>
      </c>
      <c r="F128" s="162" t="s">
        <v>1828</v>
      </c>
      <c r="G128" s="162" t="s">
        <v>673</v>
      </c>
      <c r="H128" s="162" t="s">
        <v>1729</v>
      </c>
    </row>
    <row r="129" spans="1:8" hidden="1" x14ac:dyDescent="0.25">
      <c r="A129" s="162" t="s">
        <v>1827</v>
      </c>
      <c r="B129" s="162" t="s">
        <v>1725</v>
      </c>
      <c r="C129" s="162" t="s">
        <v>1726</v>
      </c>
      <c r="D129" s="162" t="s">
        <v>1282</v>
      </c>
      <c r="E129" s="162" t="s">
        <v>759</v>
      </c>
      <c r="F129" s="162" t="s">
        <v>1828</v>
      </c>
      <c r="G129" s="162" t="s">
        <v>1282</v>
      </c>
      <c r="H129" s="162" t="s">
        <v>1729</v>
      </c>
    </row>
    <row r="130" spans="1:8" hidden="1" x14ac:dyDescent="0.25">
      <c r="A130" s="162" t="s">
        <v>1827</v>
      </c>
      <c r="B130" s="162" t="s">
        <v>1725</v>
      </c>
      <c r="C130" s="162" t="s">
        <v>1726</v>
      </c>
      <c r="D130" s="162" t="s">
        <v>1280</v>
      </c>
      <c r="E130" s="162" t="s">
        <v>759</v>
      </c>
      <c r="F130" s="162" t="s">
        <v>1828</v>
      </c>
      <c r="G130" s="162" t="s">
        <v>1280</v>
      </c>
      <c r="H130" s="162" t="s">
        <v>1729</v>
      </c>
    </row>
    <row r="131" spans="1:8" hidden="1" x14ac:dyDescent="0.25">
      <c r="A131" s="162" t="s">
        <v>1827</v>
      </c>
      <c r="B131" s="162" t="s">
        <v>1725</v>
      </c>
      <c r="C131" s="162" t="s">
        <v>1726</v>
      </c>
      <c r="D131" s="162" t="s">
        <v>1829</v>
      </c>
      <c r="E131" s="162" t="s">
        <v>420</v>
      </c>
      <c r="F131" s="162" t="s">
        <v>1828</v>
      </c>
      <c r="G131" s="162" t="s">
        <v>1829</v>
      </c>
      <c r="H131" s="162" t="s">
        <v>827</v>
      </c>
    </row>
    <row r="132" spans="1:8" hidden="1" x14ac:dyDescent="0.25">
      <c r="A132" s="162" t="s">
        <v>1827</v>
      </c>
      <c r="B132" s="162" t="s">
        <v>1725</v>
      </c>
      <c r="C132" s="162" t="s">
        <v>1726</v>
      </c>
      <c r="D132" s="162" t="s">
        <v>1830</v>
      </c>
      <c r="E132" s="162" t="s">
        <v>759</v>
      </c>
      <c r="F132" s="162" t="s">
        <v>1828</v>
      </c>
      <c r="G132" s="162" t="s">
        <v>1830</v>
      </c>
      <c r="H132" s="162" t="s">
        <v>1729</v>
      </c>
    </row>
    <row r="133" spans="1:8" hidden="1" x14ac:dyDescent="0.25">
      <c r="A133" s="162" t="s">
        <v>1827</v>
      </c>
      <c r="B133" s="162" t="s">
        <v>1725</v>
      </c>
      <c r="C133" s="162" t="s">
        <v>1726</v>
      </c>
      <c r="D133" s="162" t="s">
        <v>388</v>
      </c>
      <c r="E133" s="162" t="s">
        <v>759</v>
      </c>
      <c r="F133" s="162" t="s">
        <v>1828</v>
      </c>
      <c r="G133" s="162" t="s">
        <v>388</v>
      </c>
      <c r="H133" s="162" t="s">
        <v>1729</v>
      </c>
    </row>
    <row r="134" spans="1:8" hidden="1" x14ac:dyDescent="0.25">
      <c r="A134" s="162" t="s">
        <v>1827</v>
      </c>
      <c r="B134" s="162" t="s">
        <v>1725</v>
      </c>
      <c r="C134" s="162" t="s">
        <v>1726</v>
      </c>
      <c r="D134" s="162" t="s">
        <v>695</v>
      </c>
      <c r="E134" s="162" t="s">
        <v>759</v>
      </c>
      <c r="F134" s="162" t="s">
        <v>1828</v>
      </c>
      <c r="G134" s="162" t="s">
        <v>695</v>
      </c>
      <c r="H134" s="162" t="s">
        <v>1729</v>
      </c>
    </row>
    <row r="135" spans="1:8" hidden="1" x14ac:dyDescent="0.25">
      <c r="A135" s="162" t="s">
        <v>1827</v>
      </c>
      <c r="B135" s="162" t="s">
        <v>1725</v>
      </c>
      <c r="C135" s="162" t="s">
        <v>1726</v>
      </c>
      <c r="D135" s="162" t="s">
        <v>1831</v>
      </c>
      <c r="E135" s="162" t="s">
        <v>420</v>
      </c>
      <c r="F135" s="162" t="s">
        <v>1828</v>
      </c>
      <c r="G135" s="162" t="s">
        <v>965</v>
      </c>
      <c r="H135" s="162" t="s">
        <v>1729</v>
      </c>
    </row>
    <row r="136" spans="1:8" hidden="1" x14ac:dyDescent="0.25">
      <c r="A136" s="162" t="s">
        <v>1827</v>
      </c>
      <c r="B136" s="162" t="s">
        <v>1725</v>
      </c>
      <c r="C136" s="162" t="s">
        <v>1726</v>
      </c>
      <c r="D136" s="162" t="s">
        <v>1832</v>
      </c>
      <c r="E136" s="162" t="s">
        <v>420</v>
      </c>
      <c r="F136" s="162" t="s">
        <v>1828</v>
      </c>
      <c r="G136" s="162" t="s">
        <v>1833</v>
      </c>
      <c r="H136" s="162" t="s">
        <v>1729</v>
      </c>
    </row>
    <row r="137" spans="1:8" hidden="1" x14ac:dyDescent="0.25">
      <c r="A137" s="162" t="s">
        <v>1827</v>
      </c>
      <c r="B137" s="162" t="s">
        <v>1725</v>
      </c>
      <c r="C137" s="162" t="s">
        <v>1726</v>
      </c>
      <c r="D137" s="162" t="s">
        <v>1834</v>
      </c>
      <c r="E137" s="162" t="s">
        <v>420</v>
      </c>
      <c r="F137" s="162" t="s">
        <v>1828</v>
      </c>
      <c r="G137" s="162" t="s">
        <v>1835</v>
      </c>
      <c r="H137" s="162" t="s">
        <v>1729</v>
      </c>
    </row>
    <row r="138" spans="1:8" hidden="1" x14ac:dyDescent="0.25">
      <c r="A138" s="162" t="s">
        <v>1827</v>
      </c>
      <c r="B138" s="162" t="s">
        <v>1725</v>
      </c>
      <c r="C138" s="162" t="s">
        <v>1726</v>
      </c>
      <c r="D138" s="162" t="s">
        <v>1319</v>
      </c>
      <c r="E138" s="162" t="s">
        <v>759</v>
      </c>
      <c r="F138" s="162" t="s">
        <v>1828</v>
      </c>
      <c r="G138" s="162" t="s">
        <v>975</v>
      </c>
      <c r="H138" s="162" t="s">
        <v>302</v>
      </c>
    </row>
    <row r="139" spans="1:8" hidden="1" x14ac:dyDescent="0.25">
      <c r="A139" s="162" t="s">
        <v>1827</v>
      </c>
      <c r="B139" s="162" t="s">
        <v>1725</v>
      </c>
      <c r="C139" s="162" t="s">
        <v>1726</v>
      </c>
      <c r="D139" s="162" t="s">
        <v>676</v>
      </c>
      <c r="E139" s="162" t="s">
        <v>759</v>
      </c>
      <c r="F139" s="162" t="s">
        <v>1828</v>
      </c>
      <c r="G139" s="162" t="s">
        <v>456</v>
      </c>
      <c r="H139" s="162" t="s">
        <v>302</v>
      </c>
    </row>
    <row r="140" spans="1:8" hidden="1" x14ac:dyDescent="0.25">
      <c r="A140" s="162" t="s">
        <v>1827</v>
      </c>
      <c r="B140" s="162" t="s">
        <v>1725</v>
      </c>
      <c r="C140" s="162" t="s">
        <v>1726</v>
      </c>
      <c r="D140" s="162" t="s">
        <v>1836</v>
      </c>
      <c r="E140" s="162" t="s">
        <v>420</v>
      </c>
      <c r="F140" s="162" t="s">
        <v>1828</v>
      </c>
      <c r="G140" s="162" t="s">
        <v>1837</v>
      </c>
      <c r="H140" s="162" t="s">
        <v>1729</v>
      </c>
    </row>
    <row r="141" spans="1:8" hidden="1" x14ac:dyDescent="0.25">
      <c r="A141" s="162" t="s">
        <v>1827</v>
      </c>
      <c r="B141" s="162" t="s">
        <v>1725</v>
      </c>
      <c r="C141" s="162" t="s">
        <v>1726</v>
      </c>
      <c r="D141" s="162" t="s">
        <v>1838</v>
      </c>
      <c r="E141" s="162" t="s">
        <v>759</v>
      </c>
      <c r="F141" s="162" t="s">
        <v>1828</v>
      </c>
      <c r="G141" s="162" t="s">
        <v>1839</v>
      </c>
      <c r="H141" s="162" t="s">
        <v>1729</v>
      </c>
    </row>
    <row r="142" spans="1:8" hidden="1" x14ac:dyDescent="0.25">
      <c r="A142" s="162" t="s">
        <v>1827</v>
      </c>
      <c r="B142" s="162" t="s">
        <v>455</v>
      </c>
      <c r="C142" s="162" t="s">
        <v>1729</v>
      </c>
      <c r="D142" s="162"/>
      <c r="E142" s="162" t="s">
        <v>759</v>
      </c>
      <c r="F142" s="162" t="s">
        <v>1828</v>
      </c>
      <c r="G142" s="162" t="s">
        <v>455</v>
      </c>
      <c r="H142" s="162" t="s">
        <v>1729</v>
      </c>
    </row>
    <row r="143" spans="1:8" hidden="1" x14ac:dyDescent="0.25">
      <c r="A143" s="162" t="s">
        <v>1827</v>
      </c>
      <c r="B143" s="162" t="s">
        <v>517</v>
      </c>
      <c r="C143" s="162" t="s">
        <v>1096</v>
      </c>
      <c r="D143" s="162"/>
      <c r="E143" s="162" t="s">
        <v>759</v>
      </c>
      <c r="F143" s="162" t="s">
        <v>1828</v>
      </c>
      <c r="G143" s="162" t="s">
        <v>517</v>
      </c>
      <c r="H143" s="162" t="s">
        <v>1096</v>
      </c>
    </row>
    <row r="144" spans="1:8" hidden="1" x14ac:dyDescent="0.25">
      <c r="A144" s="162" t="s">
        <v>1827</v>
      </c>
      <c r="B144" s="162" t="s">
        <v>1185</v>
      </c>
      <c r="C144" s="162" t="s">
        <v>1726</v>
      </c>
      <c r="D144" s="162"/>
      <c r="E144" s="162" t="s">
        <v>759</v>
      </c>
      <c r="F144" s="162" t="s">
        <v>1828</v>
      </c>
      <c r="G144" s="162" t="s">
        <v>1185</v>
      </c>
      <c r="H144" s="162" t="s">
        <v>1729</v>
      </c>
    </row>
    <row r="145" spans="1:8" hidden="1" x14ac:dyDescent="0.25">
      <c r="A145" s="164" t="s">
        <v>1827</v>
      </c>
      <c r="B145" s="164" t="s">
        <v>812</v>
      </c>
      <c r="C145" s="164" t="s">
        <v>827</v>
      </c>
      <c r="D145" s="164"/>
      <c r="E145" s="164" t="s">
        <v>759</v>
      </c>
      <c r="F145" s="164" t="s">
        <v>1828</v>
      </c>
      <c r="G145" s="164" t="s">
        <v>812</v>
      </c>
      <c r="H145" s="164" t="s">
        <v>827</v>
      </c>
    </row>
    <row r="146" spans="1:8" hidden="1" x14ac:dyDescent="0.25">
      <c r="A146" s="165" t="s">
        <v>1827</v>
      </c>
      <c r="B146" s="165" t="s">
        <v>1725</v>
      </c>
      <c r="C146" s="165" t="s">
        <v>1726</v>
      </c>
      <c r="D146" s="165" t="s">
        <v>1840</v>
      </c>
      <c r="E146" s="165" t="s">
        <v>759</v>
      </c>
      <c r="F146" s="165" t="s">
        <v>1841</v>
      </c>
      <c r="G146" s="165" t="s">
        <v>1842</v>
      </c>
      <c r="H146" s="165" t="s">
        <v>302</v>
      </c>
    </row>
    <row r="147" spans="1:8" hidden="1" x14ac:dyDescent="0.25">
      <c r="A147" s="162" t="s">
        <v>1827</v>
      </c>
      <c r="B147" s="162" t="s">
        <v>1725</v>
      </c>
      <c r="C147" s="162" t="s">
        <v>1726</v>
      </c>
      <c r="D147" s="162" t="s">
        <v>1843</v>
      </c>
      <c r="E147" s="162" t="s">
        <v>420</v>
      </c>
      <c r="F147" s="162" t="s">
        <v>1841</v>
      </c>
      <c r="G147" s="162" t="s">
        <v>1844</v>
      </c>
      <c r="H147" s="162" t="s">
        <v>302</v>
      </c>
    </row>
    <row r="148" spans="1:8" hidden="1" x14ac:dyDescent="0.25">
      <c r="A148" s="162" t="s">
        <v>1827</v>
      </c>
      <c r="B148" s="162" t="s">
        <v>1725</v>
      </c>
      <c r="C148" s="162" t="s">
        <v>1726</v>
      </c>
      <c r="D148" s="162" t="s">
        <v>1845</v>
      </c>
      <c r="E148" s="162" t="s">
        <v>759</v>
      </c>
      <c r="F148" s="162" t="s">
        <v>1841</v>
      </c>
      <c r="G148" s="162" t="s">
        <v>1846</v>
      </c>
      <c r="H148" s="162" t="s">
        <v>1729</v>
      </c>
    </row>
    <row r="149" spans="1:8" hidden="1" x14ac:dyDescent="0.25">
      <c r="A149" s="162" t="s">
        <v>1827</v>
      </c>
      <c r="B149" s="162" t="s">
        <v>1725</v>
      </c>
      <c r="C149" s="162" t="s">
        <v>1726</v>
      </c>
      <c r="D149" s="162" t="s">
        <v>1847</v>
      </c>
      <c r="E149" s="162" t="s">
        <v>759</v>
      </c>
      <c r="F149" s="162" t="s">
        <v>1841</v>
      </c>
      <c r="G149" s="162" t="s">
        <v>1848</v>
      </c>
      <c r="H149" s="162" t="s">
        <v>1775</v>
      </c>
    </row>
    <row r="150" spans="1:8" hidden="1" x14ac:dyDescent="0.25">
      <c r="A150" s="162" t="s">
        <v>1827</v>
      </c>
      <c r="B150" s="162" t="s">
        <v>517</v>
      </c>
      <c r="C150" s="162" t="s">
        <v>1096</v>
      </c>
      <c r="D150" s="162"/>
      <c r="E150" s="162" t="s">
        <v>759</v>
      </c>
      <c r="F150" s="162" t="s">
        <v>1841</v>
      </c>
      <c r="G150" s="162" t="s">
        <v>517</v>
      </c>
      <c r="H150" s="162" t="s">
        <v>1096</v>
      </c>
    </row>
    <row r="151" spans="1:8" hidden="1" x14ac:dyDescent="0.25">
      <c r="A151" s="162" t="s">
        <v>1827</v>
      </c>
      <c r="B151" s="162" t="s">
        <v>455</v>
      </c>
      <c r="C151" s="162" t="s">
        <v>1729</v>
      </c>
      <c r="D151" s="162"/>
      <c r="E151" s="162" t="s">
        <v>759</v>
      </c>
      <c r="F151" s="162" t="s">
        <v>1841</v>
      </c>
      <c r="G151" s="162" t="s">
        <v>455</v>
      </c>
      <c r="H151" s="162" t="s">
        <v>1729</v>
      </c>
    </row>
    <row r="152" spans="1:8" hidden="1" x14ac:dyDescent="0.25">
      <c r="A152" s="164" t="s">
        <v>1827</v>
      </c>
      <c r="B152" s="164" t="s">
        <v>812</v>
      </c>
      <c r="C152" s="164" t="s">
        <v>827</v>
      </c>
      <c r="D152" s="164"/>
      <c r="E152" s="164" t="s">
        <v>759</v>
      </c>
      <c r="F152" s="164" t="s">
        <v>1841</v>
      </c>
      <c r="G152" s="164" t="s">
        <v>812</v>
      </c>
      <c r="H152" s="164" t="s">
        <v>827</v>
      </c>
    </row>
    <row r="153" spans="1:8" hidden="1" x14ac:dyDescent="0.25">
      <c r="A153" s="165" t="s">
        <v>1849</v>
      </c>
      <c r="B153" s="165" t="s">
        <v>1725</v>
      </c>
      <c r="C153" s="165" t="s">
        <v>1726</v>
      </c>
      <c r="D153" s="165" t="s">
        <v>1809</v>
      </c>
      <c r="E153" s="165" t="s">
        <v>759</v>
      </c>
      <c r="F153" s="165" t="s">
        <v>1850</v>
      </c>
      <c r="G153" s="165" t="s">
        <v>1809</v>
      </c>
      <c r="H153" s="165" t="s">
        <v>1729</v>
      </c>
    </row>
    <row r="154" spans="1:8" hidden="1" x14ac:dyDescent="0.25">
      <c r="A154" s="162" t="s">
        <v>1849</v>
      </c>
      <c r="B154" s="162" t="s">
        <v>1725</v>
      </c>
      <c r="C154" s="162" t="s">
        <v>1726</v>
      </c>
      <c r="D154" s="162" t="s">
        <v>1811</v>
      </c>
      <c r="E154" s="162" t="s">
        <v>420</v>
      </c>
      <c r="F154" s="162" t="s">
        <v>1850</v>
      </c>
      <c r="G154" s="162" t="s">
        <v>1811</v>
      </c>
      <c r="H154" s="162" t="s">
        <v>1729</v>
      </c>
    </row>
    <row r="155" spans="1:8" hidden="1" x14ac:dyDescent="0.25">
      <c r="A155" s="162" t="s">
        <v>1849</v>
      </c>
      <c r="B155" s="162" t="s">
        <v>1725</v>
      </c>
      <c r="C155" s="162" t="s">
        <v>1726</v>
      </c>
      <c r="D155" s="162" t="s">
        <v>1851</v>
      </c>
      <c r="E155" s="162" t="s">
        <v>759</v>
      </c>
      <c r="F155" s="162" t="s">
        <v>1850</v>
      </c>
      <c r="G155" s="162" t="s">
        <v>1852</v>
      </c>
      <c r="H155" s="162" t="s">
        <v>302</v>
      </c>
    </row>
    <row r="156" spans="1:8" hidden="1" x14ac:dyDescent="0.25">
      <c r="A156" s="162" t="s">
        <v>1849</v>
      </c>
      <c r="B156" s="162" t="s">
        <v>1725</v>
      </c>
      <c r="C156" s="162" t="s">
        <v>1726</v>
      </c>
      <c r="D156" s="162" t="s">
        <v>1853</v>
      </c>
      <c r="E156" s="162" t="s">
        <v>759</v>
      </c>
      <c r="F156" s="162" t="s">
        <v>1850</v>
      </c>
      <c r="G156" s="162" t="s">
        <v>1854</v>
      </c>
      <c r="H156" s="162" t="s">
        <v>1729</v>
      </c>
    </row>
    <row r="157" spans="1:8" hidden="1" x14ac:dyDescent="0.25">
      <c r="A157" s="162" t="s">
        <v>1849</v>
      </c>
      <c r="B157" s="162" t="s">
        <v>1725</v>
      </c>
      <c r="C157" s="162" t="s">
        <v>1726</v>
      </c>
      <c r="D157" s="162" t="s">
        <v>1855</v>
      </c>
      <c r="E157" s="162" t="s">
        <v>759</v>
      </c>
      <c r="F157" s="162" t="s">
        <v>1850</v>
      </c>
      <c r="G157" s="162" t="s">
        <v>1856</v>
      </c>
      <c r="H157" s="162" t="s">
        <v>1729</v>
      </c>
    </row>
    <row r="158" spans="1:8" hidden="1" x14ac:dyDescent="0.25">
      <c r="A158" s="162" t="s">
        <v>1849</v>
      </c>
      <c r="B158" s="162" t="s">
        <v>1725</v>
      </c>
      <c r="C158" s="162" t="s">
        <v>1726</v>
      </c>
      <c r="D158" s="162" t="s">
        <v>1857</v>
      </c>
      <c r="E158" s="162" t="s">
        <v>759</v>
      </c>
      <c r="F158" s="162" t="s">
        <v>1850</v>
      </c>
      <c r="G158" s="162" t="s">
        <v>1858</v>
      </c>
      <c r="H158" s="162" t="s">
        <v>1729</v>
      </c>
    </row>
    <row r="159" spans="1:8" hidden="1" x14ac:dyDescent="0.25">
      <c r="A159" s="162" t="s">
        <v>1849</v>
      </c>
      <c r="B159" s="162" t="s">
        <v>1725</v>
      </c>
      <c r="C159" s="162" t="s">
        <v>1726</v>
      </c>
      <c r="D159" s="162" t="s">
        <v>1859</v>
      </c>
      <c r="E159" s="162" t="s">
        <v>759</v>
      </c>
      <c r="F159" s="162" t="s">
        <v>1850</v>
      </c>
      <c r="G159" s="162" t="s">
        <v>1859</v>
      </c>
      <c r="H159" s="162" t="s">
        <v>1729</v>
      </c>
    </row>
    <row r="160" spans="1:8" hidden="1" x14ac:dyDescent="0.25">
      <c r="A160" s="162" t="s">
        <v>1849</v>
      </c>
      <c r="B160" s="162" t="s">
        <v>1725</v>
      </c>
      <c r="C160" s="162" t="s">
        <v>1726</v>
      </c>
      <c r="D160" s="162" t="s">
        <v>1860</v>
      </c>
      <c r="E160" s="162" t="s">
        <v>420</v>
      </c>
      <c r="F160" s="162" t="s">
        <v>1850</v>
      </c>
      <c r="G160" s="162" t="s">
        <v>1860</v>
      </c>
      <c r="H160" s="162" t="s">
        <v>1729</v>
      </c>
    </row>
    <row r="161" spans="1:8" hidden="1" x14ac:dyDescent="0.25">
      <c r="A161" s="162" t="s">
        <v>1849</v>
      </c>
      <c r="B161" s="162" t="s">
        <v>1725</v>
      </c>
      <c r="C161" s="162" t="s">
        <v>1726</v>
      </c>
      <c r="D161" s="162" t="s">
        <v>1861</v>
      </c>
      <c r="E161" s="162" t="s">
        <v>759</v>
      </c>
      <c r="F161" s="162" t="s">
        <v>1850</v>
      </c>
      <c r="G161" s="162" t="s">
        <v>1861</v>
      </c>
      <c r="H161" s="162" t="s">
        <v>1729</v>
      </c>
    </row>
    <row r="162" spans="1:8" hidden="1" x14ac:dyDescent="0.25">
      <c r="A162" s="162" t="s">
        <v>1849</v>
      </c>
      <c r="B162" s="162" t="s">
        <v>1725</v>
      </c>
      <c r="C162" s="162" t="s">
        <v>1726</v>
      </c>
      <c r="D162" s="162" t="s">
        <v>1862</v>
      </c>
      <c r="E162" s="162" t="s">
        <v>420</v>
      </c>
      <c r="F162" s="162" t="s">
        <v>1850</v>
      </c>
      <c r="G162" s="162" t="s">
        <v>1862</v>
      </c>
      <c r="H162" s="162" t="s">
        <v>1729</v>
      </c>
    </row>
    <row r="163" spans="1:8" hidden="1" x14ac:dyDescent="0.25">
      <c r="A163" s="162" t="s">
        <v>1849</v>
      </c>
      <c r="B163" s="162" t="s">
        <v>928</v>
      </c>
      <c r="C163" s="162" t="s">
        <v>1729</v>
      </c>
      <c r="D163" s="162"/>
      <c r="E163" s="162" t="s">
        <v>759</v>
      </c>
      <c r="F163" s="162" t="s">
        <v>1850</v>
      </c>
      <c r="G163" s="162" t="s">
        <v>928</v>
      </c>
      <c r="H163" s="162" t="s">
        <v>1729</v>
      </c>
    </row>
    <row r="164" spans="1:8" hidden="1" x14ac:dyDescent="0.25">
      <c r="A164" s="162" t="s">
        <v>1849</v>
      </c>
      <c r="B164" s="162" t="s">
        <v>517</v>
      </c>
      <c r="C164" s="162" t="s">
        <v>1096</v>
      </c>
      <c r="D164" s="162"/>
      <c r="E164" s="162" t="s">
        <v>759</v>
      </c>
      <c r="F164" s="162" t="s">
        <v>1850</v>
      </c>
      <c r="G164" s="162" t="s">
        <v>517</v>
      </c>
      <c r="H164" s="162" t="s">
        <v>1096</v>
      </c>
    </row>
    <row r="165" spans="1:8" hidden="1" x14ac:dyDescent="0.25">
      <c r="A165" s="162" t="s">
        <v>1849</v>
      </c>
      <c r="B165" s="162" t="s">
        <v>1185</v>
      </c>
      <c r="C165" s="162" t="s">
        <v>1729</v>
      </c>
      <c r="D165" s="162"/>
      <c r="E165" s="162" t="s">
        <v>759</v>
      </c>
      <c r="F165" s="162" t="s">
        <v>1850</v>
      </c>
      <c r="G165" s="162" t="s">
        <v>1185</v>
      </c>
      <c r="H165" s="162" t="s">
        <v>1729</v>
      </c>
    </row>
    <row r="166" spans="1:8" hidden="1" x14ac:dyDescent="0.25">
      <c r="A166" s="162" t="s">
        <v>1849</v>
      </c>
      <c r="B166" s="162" t="s">
        <v>812</v>
      </c>
      <c r="C166" s="162" t="s">
        <v>827</v>
      </c>
      <c r="D166" s="162"/>
      <c r="E166" s="162" t="s">
        <v>759</v>
      </c>
      <c r="F166" s="162" t="s">
        <v>1850</v>
      </c>
      <c r="G166" s="162" t="s">
        <v>812</v>
      </c>
      <c r="H166" s="162" t="s">
        <v>827</v>
      </c>
    </row>
    <row r="167" spans="1:8" hidden="1" x14ac:dyDescent="0.25">
      <c r="A167" s="164" t="s">
        <v>1849</v>
      </c>
      <c r="B167" s="164" t="s">
        <v>433</v>
      </c>
      <c r="C167" s="164" t="s">
        <v>1760</v>
      </c>
      <c r="D167" s="164"/>
      <c r="E167" s="164" t="s">
        <v>759</v>
      </c>
      <c r="F167" s="164" t="s">
        <v>1850</v>
      </c>
      <c r="G167" s="164" t="s">
        <v>433</v>
      </c>
      <c r="H167" s="164" t="s">
        <v>1760</v>
      </c>
    </row>
    <row r="168" spans="1:8" hidden="1" x14ac:dyDescent="0.25">
      <c r="A168" s="165" t="s">
        <v>1863</v>
      </c>
      <c r="B168" s="165" t="s">
        <v>1725</v>
      </c>
      <c r="C168" s="165" t="s">
        <v>1726</v>
      </c>
      <c r="D168" s="165" t="s">
        <v>668</v>
      </c>
      <c r="E168" s="165" t="s">
        <v>759</v>
      </c>
      <c r="F168" s="165" t="s">
        <v>154</v>
      </c>
      <c r="G168" s="165" t="s">
        <v>668</v>
      </c>
      <c r="H168" s="165" t="s">
        <v>302</v>
      </c>
    </row>
    <row r="169" spans="1:8" hidden="1" x14ac:dyDescent="0.25">
      <c r="A169" s="162" t="s">
        <v>1863</v>
      </c>
      <c r="B169" s="162" t="s">
        <v>1725</v>
      </c>
      <c r="C169" s="162" t="s">
        <v>1726</v>
      </c>
      <c r="D169" s="162" t="s">
        <v>1864</v>
      </c>
      <c r="E169" s="162" t="s">
        <v>759</v>
      </c>
      <c r="F169" s="162" t="s">
        <v>154</v>
      </c>
      <c r="G169" s="162" t="s">
        <v>1865</v>
      </c>
      <c r="H169" s="162" t="s">
        <v>302</v>
      </c>
    </row>
    <row r="170" spans="1:8" hidden="1" x14ac:dyDescent="0.25">
      <c r="A170" s="162" t="s">
        <v>1863</v>
      </c>
      <c r="B170" s="162" t="s">
        <v>1725</v>
      </c>
      <c r="C170" s="162" t="s">
        <v>1726</v>
      </c>
      <c r="D170" s="162" t="s">
        <v>1866</v>
      </c>
      <c r="E170" s="162" t="s">
        <v>759</v>
      </c>
      <c r="F170" s="162" t="s">
        <v>154</v>
      </c>
      <c r="G170" s="162" t="s">
        <v>667</v>
      </c>
      <c r="H170" s="162" t="s">
        <v>302</v>
      </c>
    </row>
    <row r="171" spans="1:8" hidden="1" x14ac:dyDescent="0.25">
      <c r="A171" s="162" t="s">
        <v>1863</v>
      </c>
      <c r="B171" s="162" t="s">
        <v>1725</v>
      </c>
      <c r="C171" s="162" t="s">
        <v>1726</v>
      </c>
      <c r="D171" s="162" t="s">
        <v>1867</v>
      </c>
      <c r="E171" s="162" t="s">
        <v>759</v>
      </c>
      <c r="F171" s="162" t="s">
        <v>154</v>
      </c>
      <c r="G171" s="162" t="s">
        <v>1271</v>
      </c>
      <c r="H171" s="162" t="s">
        <v>1093</v>
      </c>
    </row>
    <row r="172" spans="1:8" hidden="1" x14ac:dyDescent="0.25">
      <c r="A172" s="162" t="s">
        <v>1863</v>
      </c>
      <c r="B172" s="162" t="s">
        <v>1725</v>
      </c>
      <c r="C172" s="162" t="s">
        <v>1726</v>
      </c>
      <c r="D172" s="162" t="s">
        <v>1868</v>
      </c>
      <c r="E172" s="162" t="s">
        <v>759</v>
      </c>
      <c r="F172" s="162" t="s">
        <v>154</v>
      </c>
      <c r="G172" s="162" t="s">
        <v>1869</v>
      </c>
      <c r="H172" s="162" t="s">
        <v>1729</v>
      </c>
    </row>
    <row r="173" spans="1:8" hidden="1" x14ac:dyDescent="0.25">
      <c r="A173" s="162" t="s">
        <v>1863</v>
      </c>
      <c r="B173" s="162" t="s">
        <v>1725</v>
      </c>
      <c r="C173" s="162" t="s">
        <v>1726</v>
      </c>
      <c r="D173" s="162" t="s">
        <v>1870</v>
      </c>
      <c r="E173" s="162" t="s">
        <v>759</v>
      </c>
      <c r="F173" s="162" t="s">
        <v>154</v>
      </c>
      <c r="G173" s="162" t="s">
        <v>1871</v>
      </c>
      <c r="H173" s="162" t="s">
        <v>1729</v>
      </c>
    </row>
    <row r="174" spans="1:8" hidden="1" x14ac:dyDescent="0.25">
      <c r="A174" s="162" t="s">
        <v>1863</v>
      </c>
      <c r="B174" s="162" t="s">
        <v>1725</v>
      </c>
      <c r="C174" s="162" t="s">
        <v>1726</v>
      </c>
      <c r="D174" s="162" t="s">
        <v>1872</v>
      </c>
      <c r="E174" s="162" t="s">
        <v>759</v>
      </c>
      <c r="F174" s="162" t="s">
        <v>154</v>
      </c>
      <c r="G174" s="162" t="s">
        <v>1873</v>
      </c>
      <c r="H174" s="162" t="s">
        <v>1729</v>
      </c>
    </row>
    <row r="175" spans="1:8" hidden="1" x14ac:dyDescent="0.25">
      <c r="A175" s="162" t="s">
        <v>1863</v>
      </c>
      <c r="B175" s="162" t="s">
        <v>1725</v>
      </c>
      <c r="C175" s="162" t="s">
        <v>1726</v>
      </c>
      <c r="D175" s="162" t="s">
        <v>1874</v>
      </c>
      <c r="E175" s="162" t="s">
        <v>759</v>
      </c>
      <c r="F175" s="162" t="s">
        <v>154</v>
      </c>
      <c r="G175" s="162" t="s">
        <v>1875</v>
      </c>
      <c r="H175" s="162" t="s">
        <v>1729</v>
      </c>
    </row>
    <row r="176" spans="1:8" hidden="1" x14ac:dyDescent="0.25">
      <c r="A176" s="162" t="s">
        <v>1863</v>
      </c>
      <c r="B176" s="162" t="s">
        <v>1725</v>
      </c>
      <c r="C176" s="162" t="s">
        <v>1726</v>
      </c>
      <c r="D176" s="162" t="s">
        <v>1876</v>
      </c>
      <c r="E176" s="162" t="s">
        <v>759</v>
      </c>
      <c r="F176" s="162" t="s">
        <v>154</v>
      </c>
      <c r="G176" s="162" t="s">
        <v>1877</v>
      </c>
      <c r="H176" s="162" t="s">
        <v>1729</v>
      </c>
    </row>
    <row r="177" spans="1:8" hidden="1" x14ac:dyDescent="0.25">
      <c r="A177" s="162" t="s">
        <v>1863</v>
      </c>
      <c r="B177" s="162" t="s">
        <v>1725</v>
      </c>
      <c r="C177" s="162" t="s">
        <v>1726</v>
      </c>
      <c r="D177" s="162" t="s">
        <v>1878</v>
      </c>
      <c r="E177" s="162" t="s">
        <v>759</v>
      </c>
      <c r="F177" s="162" t="s">
        <v>154</v>
      </c>
      <c r="G177" s="162" t="s">
        <v>1879</v>
      </c>
      <c r="H177" s="162" t="s">
        <v>1729</v>
      </c>
    </row>
    <row r="178" spans="1:8" hidden="1" x14ac:dyDescent="0.25">
      <c r="A178" s="162" t="s">
        <v>1863</v>
      </c>
      <c r="B178" s="162" t="s">
        <v>1725</v>
      </c>
      <c r="C178" s="162" t="s">
        <v>1726</v>
      </c>
      <c r="D178" s="162" t="s">
        <v>1880</v>
      </c>
      <c r="E178" s="162" t="s">
        <v>759</v>
      </c>
      <c r="F178" s="162" t="s">
        <v>154</v>
      </c>
      <c r="G178" s="162" t="s">
        <v>1881</v>
      </c>
      <c r="H178" s="162" t="s">
        <v>1729</v>
      </c>
    </row>
    <row r="179" spans="1:8" hidden="1" x14ac:dyDescent="0.25">
      <c r="A179" s="162" t="s">
        <v>1863</v>
      </c>
      <c r="B179" s="162" t="s">
        <v>1725</v>
      </c>
      <c r="C179" s="162" t="s">
        <v>1726</v>
      </c>
      <c r="D179" s="162" t="s">
        <v>1882</v>
      </c>
      <c r="E179" s="162" t="s">
        <v>759</v>
      </c>
      <c r="F179" s="162" t="s">
        <v>154</v>
      </c>
      <c r="G179" s="162" t="s">
        <v>1883</v>
      </c>
      <c r="H179" s="162" t="s">
        <v>1729</v>
      </c>
    </row>
    <row r="180" spans="1:8" hidden="1" x14ac:dyDescent="0.25">
      <c r="A180" s="162" t="s">
        <v>1863</v>
      </c>
      <c r="B180" s="162" t="s">
        <v>1725</v>
      </c>
      <c r="C180" s="162" t="s">
        <v>1726</v>
      </c>
      <c r="D180" s="162" t="s">
        <v>1884</v>
      </c>
      <c r="E180" s="162" t="s">
        <v>759</v>
      </c>
      <c r="F180" s="162" t="s">
        <v>154</v>
      </c>
      <c r="G180" s="162" t="s">
        <v>1884</v>
      </c>
      <c r="H180" s="162" t="s">
        <v>1729</v>
      </c>
    </row>
    <row r="181" spans="1:8" hidden="1" x14ac:dyDescent="0.25">
      <c r="A181" s="162" t="s">
        <v>1863</v>
      </c>
      <c r="B181" s="162" t="s">
        <v>1725</v>
      </c>
      <c r="C181" s="162" t="s">
        <v>1726</v>
      </c>
      <c r="D181" s="162" t="s">
        <v>388</v>
      </c>
      <c r="E181" s="162" t="s">
        <v>759</v>
      </c>
      <c r="F181" s="162" t="s">
        <v>154</v>
      </c>
      <c r="G181" s="162" t="s">
        <v>1885</v>
      </c>
      <c r="H181" s="162" t="s">
        <v>1729</v>
      </c>
    </row>
    <row r="182" spans="1:8" hidden="1" x14ac:dyDescent="0.25">
      <c r="A182" s="162" t="s">
        <v>1863</v>
      </c>
      <c r="B182" s="162" t="s">
        <v>1725</v>
      </c>
      <c r="C182" s="162" t="s">
        <v>1726</v>
      </c>
      <c r="D182" s="162" t="s">
        <v>1886</v>
      </c>
      <c r="E182" s="162" t="s">
        <v>759</v>
      </c>
      <c r="F182" s="162" t="s">
        <v>154</v>
      </c>
      <c r="G182" s="162" t="s">
        <v>1887</v>
      </c>
      <c r="H182" s="162" t="s">
        <v>1729</v>
      </c>
    </row>
    <row r="183" spans="1:8" hidden="1" x14ac:dyDescent="0.25">
      <c r="A183" s="162" t="s">
        <v>1863</v>
      </c>
      <c r="B183" s="162" t="s">
        <v>1725</v>
      </c>
      <c r="C183" s="162" t="s">
        <v>1726</v>
      </c>
      <c r="D183" s="162" t="s">
        <v>1888</v>
      </c>
      <c r="E183" s="162" t="s">
        <v>759</v>
      </c>
      <c r="F183" s="162" t="s">
        <v>154</v>
      </c>
      <c r="G183" s="162" t="s">
        <v>1888</v>
      </c>
      <c r="H183" s="162" t="s">
        <v>1729</v>
      </c>
    </row>
    <row r="184" spans="1:8" hidden="1" x14ac:dyDescent="0.25">
      <c r="A184" s="162" t="s">
        <v>1863</v>
      </c>
      <c r="B184" s="162" t="s">
        <v>517</v>
      </c>
      <c r="C184" s="162" t="s">
        <v>1096</v>
      </c>
      <c r="D184" s="162"/>
      <c r="E184" s="162" t="s">
        <v>759</v>
      </c>
      <c r="F184" s="162" t="s">
        <v>154</v>
      </c>
      <c r="G184" s="162" t="s">
        <v>517</v>
      </c>
      <c r="H184" s="162" t="s">
        <v>1096</v>
      </c>
    </row>
    <row r="185" spans="1:8" hidden="1" x14ac:dyDescent="0.25">
      <c r="A185" s="162" t="s">
        <v>1863</v>
      </c>
      <c r="B185" s="162" t="s">
        <v>388</v>
      </c>
      <c r="C185" s="162" t="s">
        <v>1729</v>
      </c>
      <c r="D185" s="162"/>
      <c r="E185" s="162" t="s">
        <v>759</v>
      </c>
      <c r="F185" s="162" t="s">
        <v>154</v>
      </c>
      <c r="G185" s="162" t="s">
        <v>388</v>
      </c>
      <c r="H185" s="162" t="s">
        <v>1729</v>
      </c>
    </row>
    <row r="186" spans="1:8" hidden="1" x14ac:dyDescent="0.25">
      <c r="A186" s="162" t="s">
        <v>1863</v>
      </c>
      <c r="B186" s="162" t="s">
        <v>1183</v>
      </c>
      <c r="C186" s="162" t="s">
        <v>1729</v>
      </c>
      <c r="D186" s="162"/>
      <c r="E186" s="162" t="s">
        <v>759</v>
      </c>
      <c r="F186" s="162" t="s">
        <v>154</v>
      </c>
      <c r="G186" s="162" t="s">
        <v>1183</v>
      </c>
      <c r="H186" s="162" t="s">
        <v>1729</v>
      </c>
    </row>
    <row r="187" spans="1:8" hidden="1" x14ac:dyDescent="0.25">
      <c r="A187" s="164" t="s">
        <v>1863</v>
      </c>
      <c r="B187" s="164" t="s">
        <v>1265</v>
      </c>
      <c r="C187" s="164" t="s">
        <v>1096</v>
      </c>
      <c r="D187" s="164"/>
      <c r="E187" s="164" t="s">
        <v>759</v>
      </c>
      <c r="F187" s="164" t="s">
        <v>154</v>
      </c>
      <c r="G187" s="164" t="s">
        <v>1265</v>
      </c>
      <c r="H187" s="164" t="s">
        <v>1096</v>
      </c>
    </row>
    <row r="188" spans="1:8" hidden="1" x14ac:dyDescent="0.25">
      <c r="A188" s="28" t="s">
        <v>115</v>
      </c>
      <c r="B188" s="28" t="s">
        <v>1725</v>
      </c>
      <c r="C188" s="28" t="s">
        <v>1820</v>
      </c>
      <c r="D188" s="28" t="s">
        <v>1889</v>
      </c>
      <c r="E188" s="165" t="s">
        <v>420</v>
      </c>
      <c r="F188" s="28" t="s">
        <v>1890</v>
      </c>
      <c r="G188" s="28" t="s">
        <v>980</v>
      </c>
      <c r="H188" s="28" t="s">
        <v>1729</v>
      </c>
    </row>
    <row r="189" spans="1:8" hidden="1" x14ac:dyDescent="0.25">
      <c r="A189" s="30" t="s">
        <v>115</v>
      </c>
      <c r="B189" s="30" t="s">
        <v>1725</v>
      </c>
      <c r="C189" s="30" t="s">
        <v>1820</v>
      </c>
      <c r="D189" s="30" t="s">
        <v>1891</v>
      </c>
      <c r="E189" s="162" t="s">
        <v>420</v>
      </c>
      <c r="F189" s="30" t="s">
        <v>1890</v>
      </c>
      <c r="G189" s="30" t="s">
        <v>982</v>
      </c>
      <c r="H189" s="30" t="s">
        <v>1729</v>
      </c>
    </row>
    <row r="190" spans="1:8" hidden="1" x14ac:dyDescent="0.25">
      <c r="A190" s="30" t="s">
        <v>115</v>
      </c>
      <c r="B190" s="30" t="s">
        <v>1725</v>
      </c>
      <c r="C190" s="30" t="s">
        <v>1820</v>
      </c>
      <c r="D190" s="30" t="s">
        <v>1892</v>
      </c>
      <c r="E190" s="162" t="s">
        <v>420</v>
      </c>
      <c r="F190" s="30" t="s">
        <v>1890</v>
      </c>
      <c r="G190" s="30" t="s">
        <v>984</v>
      </c>
      <c r="H190" s="30" t="s">
        <v>1729</v>
      </c>
    </row>
    <row r="191" spans="1:8" hidden="1" x14ac:dyDescent="0.25">
      <c r="A191" s="30" t="s">
        <v>115</v>
      </c>
      <c r="B191" s="30" t="s">
        <v>1725</v>
      </c>
      <c r="C191" s="30" t="s">
        <v>1820</v>
      </c>
      <c r="D191" s="30" t="s">
        <v>1893</v>
      </c>
      <c r="E191" s="162" t="s">
        <v>420</v>
      </c>
      <c r="F191" s="30" t="s">
        <v>1890</v>
      </c>
      <c r="G191" s="30" t="s">
        <v>986</v>
      </c>
      <c r="H191" s="30" t="s">
        <v>1729</v>
      </c>
    </row>
    <row r="192" spans="1:8" hidden="1" x14ac:dyDescent="0.25">
      <c r="A192" s="30" t="s">
        <v>115</v>
      </c>
      <c r="B192" s="30" t="s">
        <v>1725</v>
      </c>
      <c r="C192" s="30" t="s">
        <v>1820</v>
      </c>
      <c r="D192" s="30" t="s">
        <v>1894</v>
      </c>
      <c r="E192" s="162" t="s">
        <v>420</v>
      </c>
      <c r="F192" s="30" t="s">
        <v>1890</v>
      </c>
      <c r="G192" s="30" t="s">
        <v>988</v>
      </c>
      <c r="H192" s="30" t="s">
        <v>1729</v>
      </c>
    </row>
    <row r="193" spans="1:8" hidden="1" x14ac:dyDescent="0.25">
      <c r="A193" s="30" t="s">
        <v>115</v>
      </c>
      <c r="B193" s="30" t="s">
        <v>1725</v>
      </c>
      <c r="C193" s="30" t="s">
        <v>1820</v>
      </c>
      <c r="D193" s="30" t="s">
        <v>1895</v>
      </c>
      <c r="E193" s="162" t="s">
        <v>420</v>
      </c>
      <c r="F193" s="30" t="s">
        <v>1890</v>
      </c>
      <c r="G193" s="30" t="s">
        <v>990</v>
      </c>
      <c r="H193" s="30" t="s">
        <v>827</v>
      </c>
    </row>
    <row r="194" spans="1:8" hidden="1" x14ac:dyDescent="0.25">
      <c r="A194" s="30" t="s">
        <v>115</v>
      </c>
      <c r="B194" s="30" t="s">
        <v>1725</v>
      </c>
      <c r="C194" s="30" t="s">
        <v>1820</v>
      </c>
      <c r="D194" s="30" t="s">
        <v>1896</v>
      </c>
      <c r="E194" s="162" t="s">
        <v>420</v>
      </c>
      <c r="F194" s="30" t="s">
        <v>1890</v>
      </c>
      <c r="G194" s="30" t="s">
        <v>992</v>
      </c>
      <c r="H194" s="30" t="s">
        <v>827</v>
      </c>
    </row>
    <row r="195" spans="1:8" hidden="1" x14ac:dyDescent="0.25">
      <c r="A195" s="30" t="s">
        <v>115</v>
      </c>
      <c r="B195" s="30" t="s">
        <v>1725</v>
      </c>
      <c r="C195" s="30" t="s">
        <v>1820</v>
      </c>
      <c r="D195" s="30" t="s">
        <v>1897</v>
      </c>
      <c r="E195" s="162" t="s">
        <v>420</v>
      </c>
      <c r="F195" s="30" t="s">
        <v>1890</v>
      </c>
      <c r="G195" s="30" t="s">
        <v>994</v>
      </c>
      <c r="H195" s="30" t="s">
        <v>827</v>
      </c>
    </row>
    <row r="196" spans="1:8" hidden="1" x14ac:dyDescent="0.25">
      <c r="A196" s="30" t="s">
        <v>115</v>
      </c>
      <c r="B196" s="30" t="s">
        <v>1725</v>
      </c>
      <c r="C196" s="30" t="s">
        <v>1820</v>
      </c>
      <c r="D196" s="30" t="s">
        <v>1898</v>
      </c>
      <c r="E196" s="162" t="s">
        <v>420</v>
      </c>
      <c r="F196" s="30" t="s">
        <v>1890</v>
      </c>
      <c r="G196" s="30" t="s">
        <v>996</v>
      </c>
      <c r="H196" s="30" t="s">
        <v>827</v>
      </c>
    </row>
    <row r="197" spans="1:8" hidden="1" x14ac:dyDescent="0.25">
      <c r="A197" s="30" t="s">
        <v>115</v>
      </c>
      <c r="B197" s="30" t="s">
        <v>1725</v>
      </c>
      <c r="C197" s="30" t="s">
        <v>1820</v>
      </c>
      <c r="D197" s="30" t="s">
        <v>1899</v>
      </c>
      <c r="E197" s="162" t="s">
        <v>420</v>
      </c>
      <c r="F197" s="30" t="s">
        <v>1890</v>
      </c>
      <c r="G197" s="30" t="s">
        <v>998</v>
      </c>
      <c r="H197" s="30" t="s">
        <v>827</v>
      </c>
    </row>
    <row r="198" spans="1:8" hidden="1" x14ac:dyDescent="0.25">
      <c r="A198" s="30" t="s">
        <v>115</v>
      </c>
      <c r="B198" s="30" t="s">
        <v>1725</v>
      </c>
      <c r="C198" s="30" t="s">
        <v>1820</v>
      </c>
      <c r="D198" s="30" t="s">
        <v>1900</v>
      </c>
      <c r="E198" s="162" t="s">
        <v>420</v>
      </c>
      <c r="F198" s="30" t="s">
        <v>1890</v>
      </c>
      <c r="G198" s="30" t="s">
        <v>1000</v>
      </c>
      <c r="H198" s="30" t="s">
        <v>827</v>
      </c>
    </row>
    <row r="199" spans="1:8" hidden="1" x14ac:dyDescent="0.25">
      <c r="A199" s="30" t="s">
        <v>115</v>
      </c>
      <c r="B199" s="30" t="s">
        <v>1725</v>
      </c>
      <c r="C199" s="30" t="s">
        <v>1820</v>
      </c>
      <c r="D199" s="30" t="s">
        <v>1901</v>
      </c>
      <c r="E199" s="162" t="s">
        <v>420</v>
      </c>
      <c r="F199" s="30" t="s">
        <v>1890</v>
      </c>
      <c r="G199" s="30" t="s">
        <v>1002</v>
      </c>
      <c r="H199" s="30" t="s">
        <v>827</v>
      </c>
    </row>
    <row r="200" spans="1:8" hidden="1" x14ac:dyDescent="0.25">
      <c r="A200" s="30" t="s">
        <v>115</v>
      </c>
      <c r="B200" s="30" t="s">
        <v>1725</v>
      </c>
      <c r="C200" s="30" t="s">
        <v>1820</v>
      </c>
      <c r="D200" s="30" t="s">
        <v>1902</v>
      </c>
      <c r="E200" s="162" t="s">
        <v>420</v>
      </c>
      <c r="F200" s="30" t="s">
        <v>1890</v>
      </c>
      <c r="G200" s="30" t="s">
        <v>1004</v>
      </c>
      <c r="H200" s="30" t="s">
        <v>827</v>
      </c>
    </row>
    <row r="201" spans="1:8" hidden="1" x14ac:dyDescent="0.25">
      <c r="A201" s="30" t="s">
        <v>115</v>
      </c>
      <c r="B201" s="30" t="s">
        <v>1725</v>
      </c>
      <c r="C201" s="30" t="s">
        <v>1820</v>
      </c>
      <c r="D201" s="30" t="s">
        <v>1877</v>
      </c>
      <c r="E201" s="162" t="s">
        <v>420</v>
      </c>
      <c r="F201" s="30" t="s">
        <v>1890</v>
      </c>
      <c r="G201" s="30" t="s">
        <v>1006</v>
      </c>
      <c r="H201" s="30" t="s">
        <v>1729</v>
      </c>
    </row>
    <row r="202" spans="1:8" hidden="1" x14ac:dyDescent="0.25">
      <c r="A202" s="30" t="s">
        <v>115</v>
      </c>
      <c r="B202" s="30" t="s">
        <v>1725</v>
      </c>
      <c r="C202" s="30" t="s">
        <v>1820</v>
      </c>
      <c r="D202" s="30" t="s">
        <v>1903</v>
      </c>
      <c r="E202" s="162" t="s">
        <v>420</v>
      </c>
      <c r="F202" s="30" t="s">
        <v>1890</v>
      </c>
      <c r="G202" s="30" t="s">
        <v>1008</v>
      </c>
      <c r="H202" s="30" t="s">
        <v>1729</v>
      </c>
    </row>
    <row r="203" spans="1:8" hidden="1" x14ac:dyDescent="0.25">
      <c r="A203" s="30" t="s">
        <v>115</v>
      </c>
      <c r="B203" s="30" t="s">
        <v>1725</v>
      </c>
      <c r="C203" s="30" t="s">
        <v>1820</v>
      </c>
      <c r="D203" s="30" t="s">
        <v>1904</v>
      </c>
      <c r="E203" s="162" t="s">
        <v>420</v>
      </c>
      <c r="F203" s="30" t="s">
        <v>1890</v>
      </c>
      <c r="G203" s="30" t="s">
        <v>1010</v>
      </c>
      <c r="H203" s="30" t="s">
        <v>1729</v>
      </c>
    </row>
    <row r="204" spans="1:8" hidden="1" x14ac:dyDescent="0.25">
      <c r="A204" s="30" t="s">
        <v>115</v>
      </c>
      <c r="B204" s="30" t="s">
        <v>1725</v>
      </c>
      <c r="C204" s="30" t="s">
        <v>1820</v>
      </c>
      <c r="D204" s="30" t="s">
        <v>1905</v>
      </c>
      <c r="E204" s="162" t="s">
        <v>420</v>
      </c>
      <c r="F204" s="30" t="s">
        <v>1890</v>
      </c>
      <c r="G204" s="30" t="s">
        <v>1012</v>
      </c>
      <c r="H204" s="30" t="s">
        <v>1729</v>
      </c>
    </row>
    <row r="205" spans="1:8" hidden="1" x14ac:dyDescent="0.25">
      <c r="A205" s="30" t="s">
        <v>115</v>
      </c>
      <c r="B205" s="30" t="s">
        <v>1725</v>
      </c>
      <c r="C205" s="30" t="s">
        <v>1820</v>
      </c>
      <c r="D205" s="30" t="s">
        <v>1873</v>
      </c>
      <c r="E205" s="162" t="s">
        <v>420</v>
      </c>
      <c r="F205" s="30" t="s">
        <v>1890</v>
      </c>
      <c r="G205" s="30" t="s">
        <v>1014</v>
      </c>
      <c r="H205" s="30" t="s">
        <v>1729</v>
      </c>
    </row>
    <row r="206" spans="1:8" hidden="1" x14ac:dyDescent="0.25">
      <c r="A206" s="30" t="s">
        <v>115</v>
      </c>
      <c r="B206" s="30" t="s">
        <v>1725</v>
      </c>
      <c r="C206" s="30" t="s">
        <v>1820</v>
      </c>
      <c r="D206" s="30" t="s">
        <v>1906</v>
      </c>
      <c r="E206" s="162" t="s">
        <v>420</v>
      </c>
      <c r="F206" s="30" t="s">
        <v>1890</v>
      </c>
      <c r="G206" s="30" t="s">
        <v>503</v>
      </c>
      <c r="H206" s="162" t="s">
        <v>302</v>
      </c>
    </row>
    <row r="207" spans="1:8" hidden="1" x14ac:dyDescent="0.25">
      <c r="A207" s="30" t="s">
        <v>115</v>
      </c>
      <c r="B207" s="30" t="s">
        <v>1725</v>
      </c>
      <c r="C207" s="30" t="s">
        <v>1820</v>
      </c>
      <c r="D207" s="30" t="s">
        <v>1274</v>
      </c>
      <c r="E207" s="162" t="s">
        <v>420</v>
      </c>
      <c r="F207" s="30" t="s">
        <v>1890</v>
      </c>
      <c r="G207" s="30" t="s">
        <v>508</v>
      </c>
      <c r="H207" s="162" t="s">
        <v>302</v>
      </c>
    </row>
    <row r="208" spans="1:8" hidden="1" x14ac:dyDescent="0.25">
      <c r="A208" s="30" t="s">
        <v>115</v>
      </c>
      <c r="B208" s="30" t="s">
        <v>1725</v>
      </c>
      <c r="C208" s="30" t="s">
        <v>1820</v>
      </c>
      <c r="D208" s="30" t="s">
        <v>1907</v>
      </c>
      <c r="E208" s="162" t="s">
        <v>420</v>
      </c>
      <c r="F208" s="30" t="s">
        <v>1890</v>
      </c>
      <c r="G208" s="30" t="s">
        <v>548</v>
      </c>
      <c r="H208" s="30" t="s">
        <v>1729</v>
      </c>
    </row>
    <row r="209" spans="1:8" hidden="1" x14ac:dyDescent="0.25">
      <c r="A209" s="30" t="s">
        <v>115</v>
      </c>
      <c r="B209" s="30" t="s">
        <v>1725</v>
      </c>
      <c r="C209" s="30" t="s">
        <v>1820</v>
      </c>
      <c r="D209" s="30" t="s">
        <v>1908</v>
      </c>
      <c r="E209" s="162" t="s">
        <v>420</v>
      </c>
      <c r="F209" s="30" t="s">
        <v>1890</v>
      </c>
      <c r="G209" s="30" t="s">
        <v>1019</v>
      </c>
      <c r="H209" s="30" t="s">
        <v>827</v>
      </c>
    </row>
    <row r="210" spans="1:8" hidden="1" x14ac:dyDescent="0.25">
      <c r="A210" s="30" t="s">
        <v>115</v>
      </c>
      <c r="B210" s="30" t="s">
        <v>1725</v>
      </c>
      <c r="C210" s="30" t="s">
        <v>1820</v>
      </c>
      <c r="D210" s="30" t="s">
        <v>388</v>
      </c>
      <c r="E210" s="162" t="s">
        <v>420</v>
      </c>
      <c r="F210" s="30" t="s">
        <v>1890</v>
      </c>
      <c r="G210" s="30" t="s">
        <v>388</v>
      </c>
      <c r="H210" s="30" t="s">
        <v>1729</v>
      </c>
    </row>
    <row r="211" spans="1:8" hidden="1" x14ac:dyDescent="0.25">
      <c r="A211" s="30" t="s">
        <v>115</v>
      </c>
      <c r="B211" s="30" t="s">
        <v>1725</v>
      </c>
      <c r="C211" s="30" t="s">
        <v>1820</v>
      </c>
      <c r="D211" s="30" t="s">
        <v>673</v>
      </c>
      <c r="E211" s="162" t="s">
        <v>420</v>
      </c>
      <c r="F211" s="30" t="s">
        <v>1890</v>
      </c>
      <c r="G211" s="30" t="s">
        <v>1022</v>
      </c>
      <c r="H211" s="30" t="s">
        <v>1729</v>
      </c>
    </row>
    <row r="212" spans="1:8" hidden="1" x14ac:dyDescent="0.25">
      <c r="A212" s="30" t="s">
        <v>115</v>
      </c>
      <c r="B212" s="30" t="s">
        <v>1725</v>
      </c>
      <c r="C212" s="30" t="s">
        <v>1820</v>
      </c>
      <c r="D212" s="30" t="s">
        <v>1909</v>
      </c>
      <c r="E212" s="162" t="s">
        <v>420</v>
      </c>
      <c r="F212" s="30" t="s">
        <v>1890</v>
      </c>
      <c r="G212" s="30" t="s">
        <v>1024</v>
      </c>
      <c r="H212" s="30" t="s">
        <v>1729</v>
      </c>
    </row>
    <row r="213" spans="1:8" hidden="1" x14ac:dyDescent="0.25">
      <c r="A213" s="30" t="s">
        <v>115</v>
      </c>
      <c r="B213" s="30" t="s">
        <v>1725</v>
      </c>
      <c r="C213" s="30" t="s">
        <v>1820</v>
      </c>
      <c r="D213" s="30" t="s">
        <v>1910</v>
      </c>
      <c r="E213" s="162" t="s">
        <v>420</v>
      </c>
      <c r="F213" s="30" t="s">
        <v>1890</v>
      </c>
      <c r="G213" s="30" t="s">
        <v>1911</v>
      </c>
      <c r="H213" s="30" t="s">
        <v>1729</v>
      </c>
    </row>
    <row r="214" spans="1:8" hidden="1" x14ac:dyDescent="0.25">
      <c r="A214" s="30" t="s">
        <v>115</v>
      </c>
      <c r="B214" s="30" t="s">
        <v>1725</v>
      </c>
      <c r="C214" s="30" t="s">
        <v>1820</v>
      </c>
      <c r="D214" s="30" t="s">
        <v>1912</v>
      </c>
      <c r="E214" s="162" t="s">
        <v>420</v>
      </c>
      <c r="F214" s="30" t="s">
        <v>1890</v>
      </c>
      <c r="G214" s="30" t="s">
        <v>1913</v>
      </c>
      <c r="H214" s="30" t="s">
        <v>1729</v>
      </c>
    </row>
    <row r="215" spans="1:8" hidden="1" x14ac:dyDescent="0.25">
      <c r="A215" s="30" t="s">
        <v>115</v>
      </c>
      <c r="B215" s="30" t="s">
        <v>1725</v>
      </c>
      <c r="C215" s="30" t="s">
        <v>1820</v>
      </c>
      <c r="D215" s="30" t="s">
        <v>1860</v>
      </c>
      <c r="E215" s="162" t="s">
        <v>420</v>
      </c>
      <c r="F215" s="30" t="s">
        <v>1890</v>
      </c>
      <c r="G215" s="30" t="s">
        <v>513</v>
      </c>
      <c r="H215" s="30" t="s">
        <v>1729</v>
      </c>
    </row>
    <row r="216" spans="1:8" hidden="1" x14ac:dyDescent="0.25">
      <c r="A216" s="30" t="s">
        <v>115</v>
      </c>
      <c r="B216" s="30" t="s">
        <v>1725</v>
      </c>
      <c r="C216" s="30" t="s">
        <v>1820</v>
      </c>
      <c r="D216" s="30" t="s">
        <v>1914</v>
      </c>
      <c r="E216" s="162" t="s">
        <v>420</v>
      </c>
      <c r="F216" s="30" t="s">
        <v>1890</v>
      </c>
      <c r="G216" s="30" t="s">
        <v>1030</v>
      </c>
      <c r="H216" s="30" t="s">
        <v>827</v>
      </c>
    </row>
    <row r="217" spans="1:8" hidden="1" x14ac:dyDescent="0.25">
      <c r="A217" s="30" t="s">
        <v>115</v>
      </c>
      <c r="B217" s="30" t="s">
        <v>1725</v>
      </c>
      <c r="C217" s="30" t="s">
        <v>1820</v>
      </c>
      <c r="D217" s="30" t="s">
        <v>1327</v>
      </c>
      <c r="E217" s="162" t="s">
        <v>420</v>
      </c>
      <c r="F217" s="30" t="s">
        <v>1890</v>
      </c>
      <c r="G217" s="30" t="s">
        <v>499</v>
      </c>
      <c r="H217" s="30" t="s">
        <v>1729</v>
      </c>
    </row>
    <row r="218" spans="1:8" hidden="1" x14ac:dyDescent="0.25">
      <c r="A218" s="30" t="s">
        <v>115</v>
      </c>
      <c r="B218" s="30" t="s">
        <v>1725</v>
      </c>
      <c r="C218" s="30" t="s">
        <v>1820</v>
      </c>
      <c r="D218" s="30" t="s">
        <v>1915</v>
      </c>
      <c r="E218" s="162" t="s">
        <v>420</v>
      </c>
      <c r="F218" s="30" t="s">
        <v>1890</v>
      </c>
      <c r="G218" s="30" t="s">
        <v>507</v>
      </c>
      <c r="H218" s="30" t="s">
        <v>1729</v>
      </c>
    </row>
    <row r="219" spans="1:8" hidden="1" x14ac:dyDescent="0.25">
      <c r="A219" s="30" t="s">
        <v>115</v>
      </c>
      <c r="B219" s="30" t="s">
        <v>1725</v>
      </c>
      <c r="C219" s="30" t="s">
        <v>1820</v>
      </c>
      <c r="D219" s="30" t="s">
        <v>1916</v>
      </c>
      <c r="E219" s="162" t="s">
        <v>420</v>
      </c>
      <c r="F219" s="30" t="s">
        <v>1890</v>
      </c>
      <c r="G219" s="30" t="s">
        <v>1034</v>
      </c>
      <c r="H219" s="30" t="s">
        <v>1729</v>
      </c>
    </row>
    <row r="220" spans="1:8" hidden="1" x14ac:dyDescent="0.25">
      <c r="A220" s="30" t="s">
        <v>115</v>
      </c>
      <c r="B220" s="30" t="s">
        <v>1725</v>
      </c>
      <c r="C220" s="30" t="s">
        <v>1820</v>
      </c>
      <c r="D220" s="30" t="s">
        <v>1917</v>
      </c>
      <c r="E220" s="162" t="s">
        <v>420</v>
      </c>
      <c r="F220" s="30" t="s">
        <v>1890</v>
      </c>
      <c r="G220" s="30" t="s">
        <v>1036</v>
      </c>
      <c r="H220" s="30" t="s">
        <v>1729</v>
      </c>
    </row>
    <row r="221" spans="1:8" hidden="1" x14ac:dyDescent="0.25">
      <c r="A221" s="30" t="s">
        <v>115</v>
      </c>
      <c r="B221" s="30" t="s">
        <v>1725</v>
      </c>
      <c r="C221" s="30" t="s">
        <v>1820</v>
      </c>
      <c r="D221" s="30" t="s">
        <v>1918</v>
      </c>
      <c r="E221" s="162" t="s">
        <v>420</v>
      </c>
      <c r="F221" s="30" t="s">
        <v>1890</v>
      </c>
      <c r="G221" s="30" t="s">
        <v>1038</v>
      </c>
      <c r="H221" s="30" t="s">
        <v>1729</v>
      </c>
    </row>
    <row r="222" spans="1:8" hidden="1" x14ac:dyDescent="0.25">
      <c r="A222" s="30" t="s">
        <v>115</v>
      </c>
      <c r="B222" s="30" t="s">
        <v>1725</v>
      </c>
      <c r="C222" s="30" t="s">
        <v>1820</v>
      </c>
      <c r="D222" s="30" t="s">
        <v>1919</v>
      </c>
      <c r="E222" s="162" t="s">
        <v>420</v>
      </c>
      <c r="F222" s="30" t="s">
        <v>1890</v>
      </c>
      <c r="G222" s="30" t="s">
        <v>1040</v>
      </c>
      <c r="H222" s="30" t="s">
        <v>1729</v>
      </c>
    </row>
    <row r="223" spans="1:8" hidden="1" x14ac:dyDescent="0.25">
      <c r="A223" s="30" t="s">
        <v>115</v>
      </c>
      <c r="B223" s="30" t="s">
        <v>1725</v>
      </c>
      <c r="C223" s="30" t="s">
        <v>1820</v>
      </c>
      <c r="D223" s="30" t="s">
        <v>1920</v>
      </c>
      <c r="E223" s="162" t="s">
        <v>420</v>
      </c>
      <c r="F223" s="30" t="s">
        <v>1890</v>
      </c>
      <c r="G223" s="30" t="s">
        <v>1042</v>
      </c>
      <c r="H223" s="30" t="s">
        <v>1729</v>
      </c>
    </row>
    <row r="224" spans="1:8" hidden="1" x14ac:dyDescent="0.25">
      <c r="A224" s="30" t="s">
        <v>115</v>
      </c>
      <c r="B224" s="30" t="s">
        <v>1725</v>
      </c>
      <c r="C224" s="30" t="s">
        <v>1820</v>
      </c>
      <c r="D224" s="30" t="s">
        <v>1921</v>
      </c>
      <c r="E224" s="162" t="s">
        <v>420</v>
      </c>
      <c r="F224" s="30" t="s">
        <v>1890</v>
      </c>
      <c r="G224" s="30" t="s">
        <v>1044</v>
      </c>
      <c r="H224" s="30" t="s">
        <v>1729</v>
      </c>
    </row>
    <row r="225" spans="1:8" hidden="1" x14ac:dyDescent="0.25">
      <c r="A225" s="30" t="s">
        <v>115</v>
      </c>
      <c r="B225" s="30" t="s">
        <v>1725</v>
      </c>
      <c r="C225" s="30" t="s">
        <v>1820</v>
      </c>
      <c r="D225" s="30" t="s">
        <v>1922</v>
      </c>
      <c r="E225" s="162" t="s">
        <v>420</v>
      </c>
      <c r="F225" s="30" t="s">
        <v>1890</v>
      </c>
      <c r="G225" s="30" t="s">
        <v>573</v>
      </c>
      <c r="H225" s="30" t="s">
        <v>1729</v>
      </c>
    </row>
    <row r="226" spans="1:8" hidden="1" x14ac:dyDescent="0.25">
      <c r="A226" s="30" t="s">
        <v>115</v>
      </c>
      <c r="B226" s="30" t="s">
        <v>1725</v>
      </c>
      <c r="C226" s="30" t="s">
        <v>1820</v>
      </c>
      <c r="D226" s="30" t="s">
        <v>1923</v>
      </c>
      <c r="E226" s="162" t="s">
        <v>420</v>
      </c>
      <c r="F226" s="30" t="s">
        <v>1890</v>
      </c>
      <c r="G226" s="30" t="s">
        <v>1047</v>
      </c>
      <c r="H226" s="30" t="s">
        <v>1729</v>
      </c>
    </row>
    <row r="227" spans="1:8" hidden="1" x14ac:dyDescent="0.25">
      <c r="A227" s="30" t="s">
        <v>115</v>
      </c>
      <c r="B227" s="30" t="s">
        <v>1725</v>
      </c>
      <c r="C227" s="30" t="s">
        <v>1820</v>
      </c>
      <c r="D227" s="30" t="s">
        <v>1924</v>
      </c>
      <c r="E227" s="162" t="s">
        <v>420</v>
      </c>
      <c r="F227" s="30" t="s">
        <v>1890</v>
      </c>
      <c r="G227" s="30" t="s">
        <v>1049</v>
      </c>
      <c r="H227" s="30" t="s">
        <v>1729</v>
      </c>
    </row>
    <row r="228" spans="1:8" hidden="1" x14ac:dyDescent="0.25">
      <c r="A228" s="30" t="s">
        <v>115</v>
      </c>
      <c r="B228" s="30" t="s">
        <v>1725</v>
      </c>
      <c r="C228" s="30" t="s">
        <v>1820</v>
      </c>
      <c r="D228" s="30" t="s">
        <v>1925</v>
      </c>
      <c r="E228" s="162" t="s">
        <v>420</v>
      </c>
      <c r="F228" s="30" t="s">
        <v>1890</v>
      </c>
      <c r="G228" s="30" t="s">
        <v>574</v>
      </c>
      <c r="H228" s="30" t="s">
        <v>1729</v>
      </c>
    </row>
    <row r="229" spans="1:8" hidden="1" x14ac:dyDescent="0.25">
      <c r="A229" s="30" t="s">
        <v>115</v>
      </c>
      <c r="B229" s="30" t="s">
        <v>1725</v>
      </c>
      <c r="C229" s="30" t="s">
        <v>1820</v>
      </c>
      <c r="D229" s="30" t="s">
        <v>1926</v>
      </c>
      <c r="E229" s="162" t="s">
        <v>420</v>
      </c>
      <c r="F229" s="30" t="s">
        <v>1890</v>
      </c>
      <c r="G229" s="30" t="s">
        <v>1053</v>
      </c>
      <c r="H229" s="30" t="s">
        <v>1729</v>
      </c>
    </row>
    <row r="230" spans="1:8" hidden="1" x14ac:dyDescent="0.25">
      <c r="A230" s="30" t="s">
        <v>115</v>
      </c>
      <c r="B230" s="30" t="s">
        <v>1725</v>
      </c>
      <c r="C230" s="30" t="s">
        <v>1820</v>
      </c>
      <c r="D230" s="30" t="s">
        <v>1927</v>
      </c>
      <c r="E230" s="162" t="s">
        <v>420</v>
      </c>
      <c r="F230" s="30" t="s">
        <v>1890</v>
      </c>
      <c r="G230" s="30" t="s">
        <v>1055</v>
      </c>
      <c r="H230" s="30" t="s">
        <v>1729</v>
      </c>
    </row>
    <row r="231" spans="1:8" hidden="1" x14ac:dyDescent="0.25">
      <c r="A231" s="30" t="s">
        <v>115</v>
      </c>
      <c r="B231" s="30" t="s">
        <v>1725</v>
      </c>
      <c r="C231" s="30" t="s">
        <v>1820</v>
      </c>
      <c r="D231" s="30" t="s">
        <v>1928</v>
      </c>
      <c r="E231" s="162" t="s">
        <v>420</v>
      </c>
      <c r="F231" s="30" t="s">
        <v>1890</v>
      </c>
      <c r="G231" s="30" t="s">
        <v>1929</v>
      </c>
      <c r="H231" s="30" t="s">
        <v>1729</v>
      </c>
    </row>
    <row r="232" spans="1:8" hidden="1" x14ac:dyDescent="0.25">
      <c r="A232" s="30" t="s">
        <v>115</v>
      </c>
      <c r="B232" s="30" t="s">
        <v>1725</v>
      </c>
      <c r="C232" s="30" t="s">
        <v>1820</v>
      </c>
      <c r="D232" s="30" t="s">
        <v>1930</v>
      </c>
      <c r="E232" s="162" t="s">
        <v>420</v>
      </c>
      <c r="F232" s="30" t="s">
        <v>1890</v>
      </c>
      <c r="G232" s="30" t="s">
        <v>1931</v>
      </c>
      <c r="H232" s="30" t="s">
        <v>1729</v>
      </c>
    </row>
    <row r="233" spans="1:8" hidden="1" x14ac:dyDescent="0.25">
      <c r="A233" s="30" t="s">
        <v>115</v>
      </c>
      <c r="B233" s="30" t="s">
        <v>1725</v>
      </c>
      <c r="C233" s="30" t="s">
        <v>1820</v>
      </c>
      <c r="D233" s="30" t="s">
        <v>1932</v>
      </c>
      <c r="E233" s="162" t="s">
        <v>420</v>
      </c>
      <c r="F233" s="30" t="s">
        <v>1890</v>
      </c>
      <c r="G233" s="30" t="s">
        <v>1933</v>
      </c>
      <c r="H233" s="30" t="s">
        <v>1729</v>
      </c>
    </row>
    <row r="234" spans="1:8" hidden="1" x14ac:dyDescent="0.25">
      <c r="A234" s="30" t="s">
        <v>115</v>
      </c>
      <c r="B234" s="30" t="s">
        <v>1725</v>
      </c>
      <c r="C234" s="30" t="s">
        <v>1820</v>
      </c>
      <c r="D234" s="30" t="s">
        <v>1934</v>
      </c>
      <c r="E234" s="162" t="s">
        <v>420</v>
      </c>
      <c r="F234" s="30" t="s">
        <v>1890</v>
      </c>
      <c r="G234" s="30" t="s">
        <v>1935</v>
      </c>
      <c r="H234" s="30" t="s">
        <v>1729</v>
      </c>
    </row>
    <row r="235" spans="1:8" hidden="1" x14ac:dyDescent="0.25">
      <c r="A235" s="30" t="s">
        <v>115</v>
      </c>
      <c r="B235" s="30" t="s">
        <v>1725</v>
      </c>
      <c r="C235" s="30" t="s">
        <v>1820</v>
      </c>
      <c r="D235" s="30" t="s">
        <v>1936</v>
      </c>
      <c r="E235" s="162" t="s">
        <v>420</v>
      </c>
      <c r="F235" s="30" t="s">
        <v>1890</v>
      </c>
      <c r="G235" s="30" t="s">
        <v>1065</v>
      </c>
      <c r="H235" s="30" t="s">
        <v>1729</v>
      </c>
    </row>
    <row r="236" spans="1:8" hidden="1" x14ac:dyDescent="0.25">
      <c r="A236" s="30" t="s">
        <v>115</v>
      </c>
      <c r="B236" s="30" t="s">
        <v>1725</v>
      </c>
      <c r="C236" s="30" t="s">
        <v>1820</v>
      </c>
      <c r="D236" s="30" t="s">
        <v>1937</v>
      </c>
      <c r="E236" s="162" t="s">
        <v>420</v>
      </c>
      <c r="F236" s="30" t="s">
        <v>1890</v>
      </c>
      <c r="G236" s="30" t="s">
        <v>1067</v>
      </c>
      <c r="H236" s="30" t="s">
        <v>1729</v>
      </c>
    </row>
    <row r="237" spans="1:8" hidden="1" x14ac:dyDescent="0.25">
      <c r="A237" s="30" t="s">
        <v>115</v>
      </c>
      <c r="B237" s="30" t="s">
        <v>1725</v>
      </c>
      <c r="C237" s="30" t="s">
        <v>1820</v>
      </c>
      <c r="D237" s="30" t="s">
        <v>1938</v>
      </c>
      <c r="E237" s="162" t="s">
        <v>420</v>
      </c>
      <c r="F237" s="30" t="s">
        <v>1890</v>
      </c>
      <c r="G237" s="30" t="s">
        <v>1071</v>
      </c>
      <c r="H237" s="30" t="s">
        <v>1729</v>
      </c>
    </row>
    <row r="238" spans="1:8" hidden="1" x14ac:dyDescent="0.25">
      <c r="A238" s="30" t="s">
        <v>115</v>
      </c>
      <c r="B238" s="30" t="s">
        <v>1725</v>
      </c>
      <c r="C238" s="30" t="s">
        <v>1820</v>
      </c>
      <c r="D238" s="30" t="s">
        <v>1939</v>
      </c>
      <c r="E238" s="162" t="s">
        <v>420</v>
      </c>
      <c r="F238" s="30" t="s">
        <v>1890</v>
      </c>
      <c r="G238" s="30" t="s">
        <v>1069</v>
      </c>
      <c r="H238" s="30" t="s">
        <v>1729</v>
      </c>
    </row>
    <row r="239" spans="1:8" hidden="1" x14ac:dyDescent="0.25">
      <c r="A239" s="30" t="s">
        <v>115</v>
      </c>
      <c r="B239" s="30" t="s">
        <v>1725</v>
      </c>
      <c r="C239" s="30" t="s">
        <v>1820</v>
      </c>
      <c r="D239" s="30" t="s">
        <v>1940</v>
      </c>
      <c r="E239" s="162" t="s">
        <v>420</v>
      </c>
      <c r="F239" s="30" t="s">
        <v>1890</v>
      </c>
      <c r="G239" s="30" t="s">
        <v>522</v>
      </c>
      <c r="H239" s="162" t="s">
        <v>302</v>
      </c>
    </row>
    <row r="240" spans="1:8" hidden="1" x14ac:dyDescent="0.25">
      <c r="A240" s="30" t="s">
        <v>115</v>
      </c>
      <c r="B240" s="30" t="s">
        <v>1725</v>
      </c>
      <c r="C240" s="30" t="s">
        <v>1820</v>
      </c>
      <c r="D240" s="30" t="s">
        <v>1270</v>
      </c>
      <c r="E240" s="162" t="s">
        <v>420</v>
      </c>
      <c r="F240" s="30" t="s">
        <v>1890</v>
      </c>
      <c r="G240" s="30" t="s">
        <v>505</v>
      </c>
      <c r="H240" s="162" t="s">
        <v>302</v>
      </c>
    </row>
    <row r="241" spans="1:8" hidden="1" x14ac:dyDescent="0.25">
      <c r="A241" s="30" t="s">
        <v>115</v>
      </c>
      <c r="B241" s="30" t="s">
        <v>1725</v>
      </c>
      <c r="C241" s="30" t="s">
        <v>1820</v>
      </c>
      <c r="D241" s="30" t="s">
        <v>1875</v>
      </c>
      <c r="E241" s="162" t="s">
        <v>420</v>
      </c>
      <c r="F241" s="30" t="s">
        <v>1890</v>
      </c>
      <c r="G241" s="30" t="s">
        <v>1075</v>
      </c>
      <c r="H241" s="30" t="s">
        <v>1729</v>
      </c>
    </row>
    <row r="242" spans="1:8" hidden="1" x14ac:dyDescent="0.25">
      <c r="A242" s="30" t="s">
        <v>115</v>
      </c>
      <c r="B242" s="30" t="s">
        <v>1725</v>
      </c>
      <c r="C242" s="30" t="s">
        <v>1820</v>
      </c>
      <c r="D242" s="30" t="s">
        <v>1941</v>
      </c>
      <c r="E242" s="162" t="s">
        <v>420</v>
      </c>
      <c r="F242" s="30" t="s">
        <v>1890</v>
      </c>
      <c r="G242" s="30" t="s">
        <v>1077</v>
      </c>
      <c r="H242" s="30" t="s">
        <v>1729</v>
      </c>
    </row>
    <row r="243" spans="1:8" hidden="1" x14ac:dyDescent="0.25">
      <c r="A243" s="30" t="s">
        <v>115</v>
      </c>
      <c r="B243" s="30" t="s">
        <v>1725</v>
      </c>
      <c r="C243" s="30" t="s">
        <v>1820</v>
      </c>
      <c r="D243" s="30" t="s">
        <v>1879</v>
      </c>
      <c r="E243" s="162" t="s">
        <v>420</v>
      </c>
      <c r="F243" s="30" t="s">
        <v>1890</v>
      </c>
      <c r="G243" s="30" t="s">
        <v>1079</v>
      </c>
      <c r="H243" s="30" t="s">
        <v>1729</v>
      </c>
    </row>
    <row r="244" spans="1:8" hidden="1" x14ac:dyDescent="0.25">
      <c r="A244" s="30" t="s">
        <v>115</v>
      </c>
      <c r="B244" s="30" t="s">
        <v>1725</v>
      </c>
      <c r="C244" s="30" t="s">
        <v>1820</v>
      </c>
      <c r="D244" s="30" t="s">
        <v>1942</v>
      </c>
      <c r="E244" s="162" t="s">
        <v>420</v>
      </c>
      <c r="F244" s="30" t="s">
        <v>1890</v>
      </c>
      <c r="G244" s="30" t="s">
        <v>1081</v>
      </c>
      <c r="H244" s="30" t="s">
        <v>1729</v>
      </c>
    </row>
    <row r="245" spans="1:8" hidden="1" x14ac:dyDescent="0.25">
      <c r="A245" s="30" t="s">
        <v>115</v>
      </c>
      <c r="B245" s="30" t="s">
        <v>1725</v>
      </c>
      <c r="C245" s="30" t="s">
        <v>1820</v>
      </c>
      <c r="D245" s="30" t="s">
        <v>1943</v>
      </c>
      <c r="E245" s="162" t="s">
        <v>420</v>
      </c>
      <c r="F245" s="30" t="s">
        <v>1890</v>
      </c>
      <c r="G245" s="30" t="s">
        <v>1083</v>
      </c>
      <c r="H245" s="30" t="s">
        <v>1729</v>
      </c>
    </row>
    <row r="246" spans="1:8" hidden="1" x14ac:dyDescent="0.25">
      <c r="A246" s="30" t="s">
        <v>115</v>
      </c>
      <c r="B246" s="30" t="s">
        <v>1725</v>
      </c>
      <c r="C246" s="30" t="s">
        <v>1820</v>
      </c>
      <c r="D246" s="30" t="s">
        <v>1944</v>
      </c>
      <c r="E246" s="162" t="s">
        <v>420</v>
      </c>
      <c r="F246" s="30" t="s">
        <v>1890</v>
      </c>
      <c r="G246" s="30" t="s">
        <v>538</v>
      </c>
      <c r="H246" s="30" t="s">
        <v>1729</v>
      </c>
    </row>
    <row r="247" spans="1:8" hidden="1" x14ac:dyDescent="0.25">
      <c r="A247" s="30" t="s">
        <v>115</v>
      </c>
      <c r="B247" s="30" t="s">
        <v>1725</v>
      </c>
      <c r="C247" s="30" t="s">
        <v>1820</v>
      </c>
      <c r="D247" s="30" t="s">
        <v>1945</v>
      </c>
      <c r="E247" s="162" t="s">
        <v>420</v>
      </c>
      <c r="F247" s="30" t="s">
        <v>1890</v>
      </c>
      <c r="G247" s="30" t="s">
        <v>1086</v>
      </c>
      <c r="H247" s="30" t="s">
        <v>827</v>
      </c>
    </row>
    <row r="248" spans="1:8" hidden="1" x14ac:dyDescent="0.25">
      <c r="A248" s="30" t="s">
        <v>115</v>
      </c>
      <c r="B248" s="30" t="s">
        <v>1725</v>
      </c>
      <c r="C248" s="30" t="s">
        <v>1820</v>
      </c>
      <c r="D248" s="30" t="s">
        <v>1271</v>
      </c>
      <c r="E248" s="162" t="s">
        <v>420</v>
      </c>
      <c r="F248" s="30" t="s">
        <v>1890</v>
      </c>
      <c r="G248" s="30" t="s">
        <v>519</v>
      </c>
      <c r="H248" s="30" t="s">
        <v>1729</v>
      </c>
    </row>
    <row r="249" spans="1:8" hidden="1" x14ac:dyDescent="0.25">
      <c r="A249" s="30" t="s">
        <v>115</v>
      </c>
      <c r="B249" s="30" t="s">
        <v>1725</v>
      </c>
      <c r="C249" s="30" t="s">
        <v>1820</v>
      </c>
      <c r="D249" s="30" t="s">
        <v>1272</v>
      </c>
      <c r="E249" s="162" t="s">
        <v>420</v>
      </c>
      <c r="F249" s="30" t="s">
        <v>1890</v>
      </c>
      <c r="G249" s="30" t="s">
        <v>1089</v>
      </c>
      <c r="H249" s="30" t="s">
        <v>1729</v>
      </c>
    </row>
    <row r="250" spans="1:8" hidden="1" x14ac:dyDescent="0.25">
      <c r="A250" s="30" t="s">
        <v>115</v>
      </c>
      <c r="B250" s="30" t="s">
        <v>1725</v>
      </c>
      <c r="C250" s="30" t="s">
        <v>1820</v>
      </c>
      <c r="D250" s="30" t="s">
        <v>1946</v>
      </c>
      <c r="E250" s="162" t="s">
        <v>420</v>
      </c>
      <c r="F250" s="30" t="s">
        <v>1890</v>
      </c>
      <c r="G250" s="30" t="s">
        <v>543</v>
      </c>
      <c r="H250" s="30" t="s">
        <v>1729</v>
      </c>
    </row>
    <row r="251" spans="1:8" hidden="1" x14ac:dyDescent="0.25">
      <c r="A251" s="30" t="s">
        <v>115</v>
      </c>
      <c r="B251" s="30" t="s">
        <v>1725</v>
      </c>
      <c r="C251" s="30" t="s">
        <v>1820</v>
      </c>
      <c r="D251" s="30" t="s">
        <v>1947</v>
      </c>
      <c r="E251" s="162" t="s">
        <v>420</v>
      </c>
      <c r="F251" s="30" t="s">
        <v>1890</v>
      </c>
      <c r="G251" s="30" t="s">
        <v>526</v>
      </c>
      <c r="H251" s="162" t="s">
        <v>302</v>
      </c>
    </row>
    <row r="252" spans="1:8" hidden="1" x14ac:dyDescent="0.25">
      <c r="A252" s="30" t="s">
        <v>115</v>
      </c>
      <c r="B252" s="30" t="s">
        <v>1725</v>
      </c>
      <c r="C252" s="30" t="s">
        <v>1820</v>
      </c>
      <c r="D252" s="30" t="s">
        <v>1948</v>
      </c>
      <c r="E252" s="30" t="s">
        <v>420</v>
      </c>
      <c r="F252" s="30" t="s">
        <v>1890</v>
      </c>
      <c r="G252" s="30" t="s">
        <v>524</v>
      </c>
      <c r="H252" s="162" t="s">
        <v>1093</v>
      </c>
    </row>
    <row r="253" spans="1:8" hidden="1" x14ac:dyDescent="0.25">
      <c r="A253" s="30" t="s">
        <v>115</v>
      </c>
      <c r="B253" s="30" t="s">
        <v>1725</v>
      </c>
      <c r="C253" s="30" t="s">
        <v>1820</v>
      </c>
      <c r="D253" s="30" t="s">
        <v>695</v>
      </c>
      <c r="E253" s="30" t="s">
        <v>420</v>
      </c>
      <c r="F253" s="30" t="s">
        <v>1890</v>
      </c>
      <c r="G253" s="30" t="s">
        <v>695</v>
      </c>
      <c r="H253" s="30" t="s">
        <v>1729</v>
      </c>
    </row>
    <row r="254" spans="1:8" hidden="1" x14ac:dyDescent="0.25">
      <c r="A254" s="30" t="s">
        <v>115</v>
      </c>
      <c r="B254" s="30" t="s">
        <v>517</v>
      </c>
      <c r="C254" s="30" t="s">
        <v>1096</v>
      </c>
      <c r="D254" s="30"/>
      <c r="E254" s="30" t="s">
        <v>759</v>
      </c>
      <c r="F254" s="30" t="s">
        <v>1890</v>
      </c>
      <c r="G254" s="30" t="s">
        <v>517</v>
      </c>
      <c r="H254" s="162" t="s">
        <v>1096</v>
      </c>
    </row>
    <row r="255" spans="1:8" hidden="1" x14ac:dyDescent="0.25">
      <c r="A255" s="135" t="s">
        <v>115</v>
      </c>
      <c r="B255" s="135" t="s">
        <v>812</v>
      </c>
      <c r="C255" s="135" t="s">
        <v>827</v>
      </c>
      <c r="D255" s="135"/>
      <c r="E255" s="135" t="s">
        <v>759</v>
      </c>
      <c r="F255" s="135" t="s">
        <v>1890</v>
      </c>
      <c r="G255" s="135" t="s">
        <v>812</v>
      </c>
      <c r="H255" s="164" t="s">
        <v>827</v>
      </c>
    </row>
    <row r="256" spans="1:8" hidden="1" x14ac:dyDescent="0.25">
      <c r="A256" s="28" t="s">
        <v>115</v>
      </c>
      <c r="B256" s="28" t="s">
        <v>1725</v>
      </c>
      <c r="C256" s="28" t="s">
        <v>1820</v>
      </c>
      <c r="D256" s="28" t="s">
        <v>1949</v>
      </c>
      <c r="E256" s="28" t="s">
        <v>420</v>
      </c>
      <c r="F256" s="28" t="s">
        <v>1950</v>
      </c>
      <c r="G256" s="28" t="s">
        <v>1220</v>
      </c>
      <c r="H256" s="28" t="s">
        <v>1729</v>
      </c>
    </row>
    <row r="257" spans="1:8" hidden="1" x14ac:dyDescent="0.25">
      <c r="A257" s="30" t="s">
        <v>115</v>
      </c>
      <c r="B257" s="30" t="s">
        <v>1725</v>
      </c>
      <c r="C257" s="30" t="s">
        <v>1820</v>
      </c>
      <c r="D257" s="30" t="s">
        <v>1951</v>
      </c>
      <c r="E257" s="30" t="s">
        <v>420</v>
      </c>
      <c r="F257" s="30" t="s">
        <v>1950</v>
      </c>
      <c r="G257" s="30" t="s">
        <v>1223</v>
      </c>
      <c r="H257" s="30" t="s">
        <v>1729</v>
      </c>
    </row>
    <row r="258" spans="1:8" hidden="1" x14ac:dyDescent="0.25">
      <c r="A258" s="30" t="s">
        <v>115</v>
      </c>
      <c r="B258" s="30" t="s">
        <v>1725</v>
      </c>
      <c r="C258" s="30" t="s">
        <v>1820</v>
      </c>
      <c r="D258" s="30" t="s">
        <v>1952</v>
      </c>
      <c r="E258" s="30" t="s">
        <v>420</v>
      </c>
      <c r="F258" s="30" t="s">
        <v>1950</v>
      </c>
      <c r="G258" s="30" t="s">
        <v>1226</v>
      </c>
      <c r="H258" s="162" t="s">
        <v>302</v>
      </c>
    </row>
    <row r="259" spans="1:8" hidden="1" x14ac:dyDescent="0.25">
      <c r="A259" s="30" t="s">
        <v>115</v>
      </c>
      <c r="B259" s="30" t="s">
        <v>1725</v>
      </c>
      <c r="C259" s="30" t="s">
        <v>1820</v>
      </c>
      <c r="D259" s="30" t="s">
        <v>1953</v>
      </c>
      <c r="E259" s="30" t="s">
        <v>420</v>
      </c>
      <c r="F259" s="30" t="s">
        <v>1950</v>
      </c>
      <c r="G259" s="30" t="s">
        <v>1228</v>
      </c>
      <c r="H259" s="30" t="s">
        <v>1729</v>
      </c>
    </row>
    <row r="260" spans="1:8" hidden="1" x14ac:dyDescent="0.25">
      <c r="A260" s="30" t="s">
        <v>115</v>
      </c>
      <c r="B260" s="30" t="s">
        <v>1725</v>
      </c>
      <c r="C260" s="30" t="s">
        <v>1820</v>
      </c>
      <c r="D260" s="30" t="s">
        <v>388</v>
      </c>
      <c r="E260" s="30" t="s">
        <v>759</v>
      </c>
      <c r="F260" s="30" t="s">
        <v>1950</v>
      </c>
      <c r="G260" s="30" t="s">
        <v>388</v>
      </c>
      <c r="H260" s="30" t="s">
        <v>1729</v>
      </c>
    </row>
    <row r="261" spans="1:8" hidden="1" x14ac:dyDescent="0.25">
      <c r="A261" s="30" t="s">
        <v>115</v>
      </c>
      <c r="B261" s="30" t="s">
        <v>1725</v>
      </c>
      <c r="C261" s="30" t="s">
        <v>1820</v>
      </c>
      <c r="D261" s="30" t="s">
        <v>695</v>
      </c>
      <c r="E261" s="30" t="s">
        <v>420</v>
      </c>
      <c r="F261" s="30" t="s">
        <v>1950</v>
      </c>
      <c r="G261" s="30" t="s">
        <v>695</v>
      </c>
      <c r="H261" s="30" t="s">
        <v>1729</v>
      </c>
    </row>
    <row r="262" spans="1:8" hidden="1" x14ac:dyDescent="0.25">
      <c r="A262" s="30" t="s">
        <v>115</v>
      </c>
      <c r="B262" s="30" t="s">
        <v>517</v>
      </c>
      <c r="C262" s="30" t="s">
        <v>1096</v>
      </c>
      <c r="D262" s="30"/>
      <c r="E262" s="30" t="s">
        <v>759</v>
      </c>
      <c r="F262" s="30" t="s">
        <v>1950</v>
      </c>
      <c r="G262" s="30" t="s">
        <v>517</v>
      </c>
      <c r="H262" s="162" t="s">
        <v>1096</v>
      </c>
    </row>
    <row r="263" spans="1:8" hidden="1" x14ac:dyDescent="0.25">
      <c r="A263" s="30" t="s">
        <v>115</v>
      </c>
      <c r="B263" s="30" t="s">
        <v>812</v>
      </c>
      <c r="C263" s="30" t="s">
        <v>827</v>
      </c>
      <c r="D263" s="30"/>
      <c r="E263" s="30" t="s">
        <v>759</v>
      </c>
      <c r="F263" s="30" t="s">
        <v>1950</v>
      </c>
      <c r="G263" s="30" t="s">
        <v>812</v>
      </c>
      <c r="H263" s="162" t="s">
        <v>827</v>
      </c>
    </row>
    <row r="264" spans="1:8" hidden="1" x14ac:dyDescent="0.25">
      <c r="A264" s="30" t="s">
        <v>115</v>
      </c>
      <c r="B264" s="30" t="s">
        <v>1725</v>
      </c>
      <c r="C264" s="30" t="s">
        <v>1820</v>
      </c>
      <c r="D264" s="30" t="s">
        <v>1954</v>
      </c>
      <c r="E264" s="30" t="s">
        <v>420</v>
      </c>
      <c r="F264" s="30" t="s">
        <v>1955</v>
      </c>
      <c r="G264" s="30" t="s">
        <v>557</v>
      </c>
      <c r="H264" s="162" t="s">
        <v>302</v>
      </c>
    </row>
    <row r="265" spans="1:8" hidden="1" x14ac:dyDescent="0.25">
      <c r="A265" s="30" t="s">
        <v>115</v>
      </c>
      <c r="B265" s="30" t="s">
        <v>1725</v>
      </c>
      <c r="C265" s="30" t="s">
        <v>1820</v>
      </c>
      <c r="D265" s="30" t="s">
        <v>1956</v>
      </c>
      <c r="E265" s="30" t="s">
        <v>420</v>
      </c>
      <c r="F265" s="30" t="s">
        <v>1955</v>
      </c>
      <c r="G265" s="30" t="s">
        <v>556</v>
      </c>
      <c r="H265" s="30" t="s">
        <v>1729</v>
      </c>
    </row>
    <row r="266" spans="1:8" hidden="1" x14ac:dyDescent="0.25">
      <c r="A266" s="30" t="s">
        <v>115</v>
      </c>
      <c r="B266" s="30" t="s">
        <v>1725</v>
      </c>
      <c r="C266" s="30" t="s">
        <v>1820</v>
      </c>
      <c r="D266" s="30" t="s">
        <v>388</v>
      </c>
      <c r="E266" s="30" t="s">
        <v>759</v>
      </c>
      <c r="F266" s="30" t="s">
        <v>1955</v>
      </c>
      <c r="G266" s="30" t="s">
        <v>388</v>
      </c>
      <c r="H266" s="30" t="s">
        <v>1729</v>
      </c>
    </row>
    <row r="267" spans="1:8" hidden="1" x14ac:dyDescent="0.25">
      <c r="A267" s="30" t="s">
        <v>115</v>
      </c>
      <c r="B267" s="30" t="s">
        <v>517</v>
      </c>
      <c r="C267" s="30" t="s">
        <v>1096</v>
      </c>
      <c r="D267" s="30"/>
      <c r="E267" s="30" t="s">
        <v>759</v>
      </c>
      <c r="F267" s="30" t="s">
        <v>1955</v>
      </c>
      <c r="G267" s="30" t="s">
        <v>517</v>
      </c>
      <c r="H267" s="162" t="s">
        <v>1096</v>
      </c>
    </row>
    <row r="268" spans="1:8" hidden="1" x14ac:dyDescent="0.25">
      <c r="A268" s="135" t="s">
        <v>115</v>
      </c>
      <c r="B268" s="135" t="s">
        <v>812</v>
      </c>
      <c r="C268" s="135" t="s">
        <v>827</v>
      </c>
      <c r="D268" s="135"/>
      <c r="E268" s="135" t="s">
        <v>759</v>
      </c>
      <c r="F268" s="135" t="s">
        <v>1955</v>
      </c>
      <c r="G268" s="135" t="s">
        <v>812</v>
      </c>
      <c r="H268" s="164" t="s">
        <v>827</v>
      </c>
    </row>
    <row r="269" spans="1:8" hidden="1" x14ac:dyDescent="0.25">
      <c r="A269" s="28" t="s">
        <v>115</v>
      </c>
      <c r="B269" s="28" t="s">
        <v>1725</v>
      </c>
      <c r="C269" s="28" t="s">
        <v>1820</v>
      </c>
      <c r="D269" s="28" t="s">
        <v>1957</v>
      </c>
      <c r="E269" s="28" t="s">
        <v>420</v>
      </c>
      <c r="F269" s="28" t="s">
        <v>1958</v>
      </c>
      <c r="G269" s="28" t="s">
        <v>1235</v>
      </c>
      <c r="H269" s="28" t="s">
        <v>1729</v>
      </c>
    </row>
    <row r="270" spans="1:8" hidden="1" x14ac:dyDescent="0.25">
      <c r="A270" s="30" t="s">
        <v>115</v>
      </c>
      <c r="B270" s="30" t="s">
        <v>1725</v>
      </c>
      <c r="C270" s="30" t="s">
        <v>1820</v>
      </c>
      <c r="D270" s="30" t="s">
        <v>388</v>
      </c>
      <c r="E270" s="30" t="s">
        <v>759</v>
      </c>
      <c r="F270" s="30" t="s">
        <v>1958</v>
      </c>
      <c r="G270" s="30" t="s">
        <v>388</v>
      </c>
      <c r="H270" s="30" t="s">
        <v>1729</v>
      </c>
    </row>
    <row r="271" spans="1:8" hidden="1" x14ac:dyDescent="0.25">
      <c r="A271" s="30" t="s">
        <v>115</v>
      </c>
      <c r="B271" s="30" t="s">
        <v>517</v>
      </c>
      <c r="C271" s="30" t="s">
        <v>1096</v>
      </c>
      <c r="D271" s="30"/>
      <c r="E271" s="30" t="s">
        <v>759</v>
      </c>
      <c r="F271" s="30" t="s">
        <v>1958</v>
      </c>
      <c r="G271" s="30" t="s">
        <v>517</v>
      </c>
      <c r="H271" s="162" t="s">
        <v>1096</v>
      </c>
    </row>
    <row r="272" spans="1:8" hidden="1" x14ac:dyDescent="0.25">
      <c r="A272" s="135" t="s">
        <v>115</v>
      </c>
      <c r="B272" s="135" t="s">
        <v>812</v>
      </c>
      <c r="C272" s="135" t="s">
        <v>827</v>
      </c>
      <c r="D272" s="135"/>
      <c r="E272" s="135" t="s">
        <v>759</v>
      </c>
      <c r="F272" s="135" t="s">
        <v>1958</v>
      </c>
      <c r="G272" s="135" t="s">
        <v>812</v>
      </c>
      <c r="H272" s="164" t="s">
        <v>827</v>
      </c>
    </row>
    <row r="273" spans="1:8" hidden="1" x14ac:dyDescent="0.25">
      <c r="A273" s="28" t="s">
        <v>115</v>
      </c>
      <c r="B273" s="28" t="s">
        <v>1725</v>
      </c>
      <c r="C273" s="28" t="s">
        <v>1820</v>
      </c>
      <c r="D273" s="28" t="s">
        <v>1959</v>
      </c>
      <c r="E273" s="28" t="s">
        <v>420</v>
      </c>
      <c r="F273" s="28" t="s">
        <v>1960</v>
      </c>
      <c r="G273" s="28" t="s">
        <v>653</v>
      </c>
      <c r="H273" s="28" t="s">
        <v>1729</v>
      </c>
    </row>
    <row r="274" spans="1:8" hidden="1" x14ac:dyDescent="0.25">
      <c r="A274" s="30" t="s">
        <v>115</v>
      </c>
      <c r="B274" s="30" t="s">
        <v>1725</v>
      </c>
      <c r="C274" s="30" t="s">
        <v>1820</v>
      </c>
      <c r="D274" s="30" t="s">
        <v>1961</v>
      </c>
      <c r="E274" s="30" t="s">
        <v>420</v>
      </c>
      <c r="F274" s="30" t="s">
        <v>1960</v>
      </c>
      <c r="G274" s="30" t="s">
        <v>658</v>
      </c>
      <c r="H274" s="30" t="s">
        <v>1729</v>
      </c>
    </row>
    <row r="275" spans="1:8" hidden="1" x14ac:dyDescent="0.25">
      <c r="A275" s="30" t="s">
        <v>115</v>
      </c>
      <c r="B275" s="30" t="s">
        <v>1725</v>
      </c>
      <c r="C275" s="30" t="s">
        <v>1820</v>
      </c>
      <c r="D275" s="30" t="s">
        <v>388</v>
      </c>
      <c r="E275" s="30" t="s">
        <v>759</v>
      </c>
      <c r="F275" s="30" t="s">
        <v>1960</v>
      </c>
      <c r="G275" s="30" t="s">
        <v>388</v>
      </c>
      <c r="H275" s="30" t="s">
        <v>1729</v>
      </c>
    </row>
    <row r="276" spans="1:8" hidden="1" x14ac:dyDescent="0.25">
      <c r="A276" s="30" t="s">
        <v>115</v>
      </c>
      <c r="B276" s="30" t="s">
        <v>517</v>
      </c>
      <c r="C276" s="30" t="s">
        <v>1096</v>
      </c>
      <c r="D276" s="30"/>
      <c r="E276" s="30" t="s">
        <v>759</v>
      </c>
      <c r="F276" s="30" t="s">
        <v>1960</v>
      </c>
      <c r="G276" s="30" t="s">
        <v>517</v>
      </c>
      <c r="H276" s="162" t="s">
        <v>1096</v>
      </c>
    </row>
    <row r="277" spans="1:8" hidden="1" x14ac:dyDescent="0.25">
      <c r="A277" s="135" t="s">
        <v>115</v>
      </c>
      <c r="B277" s="135" t="s">
        <v>812</v>
      </c>
      <c r="C277" s="135" t="s">
        <v>827</v>
      </c>
      <c r="D277" s="135"/>
      <c r="E277" s="135" t="s">
        <v>759</v>
      </c>
      <c r="F277" s="135" t="s">
        <v>1960</v>
      </c>
      <c r="G277" s="135" t="s">
        <v>812</v>
      </c>
      <c r="H277" s="164" t="s">
        <v>827</v>
      </c>
    </row>
    <row r="278" spans="1:8" hidden="1" x14ac:dyDescent="0.25">
      <c r="A278" s="28" t="s">
        <v>115</v>
      </c>
      <c r="B278" s="28" t="s">
        <v>1725</v>
      </c>
      <c r="C278" s="28" t="s">
        <v>1820</v>
      </c>
      <c r="D278" s="28" t="s">
        <v>1962</v>
      </c>
      <c r="E278" s="28" t="s">
        <v>420</v>
      </c>
      <c r="F278" s="28" t="s">
        <v>1963</v>
      </c>
      <c r="G278" s="28" t="s">
        <v>1238</v>
      </c>
      <c r="H278" s="28" t="s">
        <v>1729</v>
      </c>
    </row>
    <row r="279" spans="1:8" hidden="1" x14ac:dyDescent="0.25">
      <c r="A279" s="30" t="s">
        <v>115</v>
      </c>
      <c r="B279" s="30" t="s">
        <v>1725</v>
      </c>
      <c r="C279" s="30" t="s">
        <v>1820</v>
      </c>
      <c r="D279" s="30" t="s">
        <v>388</v>
      </c>
      <c r="E279" s="30" t="s">
        <v>420</v>
      </c>
      <c r="F279" s="30" t="s">
        <v>1963</v>
      </c>
      <c r="G279" s="30" t="s">
        <v>388</v>
      </c>
      <c r="H279" s="30" t="s">
        <v>1729</v>
      </c>
    </row>
    <row r="280" spans="1:8" hidden="1" x14ac:dyDescent="0.25">
      <c r="A280" s="30" t="s">
        <v>115</v>
      </c>
      <c r="B280" s="30" t="s">
        <v>517</v>
      </c>
      <c r="C280" s="30" t="s">
        <v>1096</v>
      </c>
      <c r="D280" s="30"/>
      <c r="E280" s="30" t="s">
        <v>759</v>
      </c>
      <c r="F280" s="30" t="s">
        <v>1963</v>
      </c>
      <c r="G280" s="30" t="s">
        <v>517</v>
      </c>
      <c r="H280" s="162" t="s">
        <v>1096</v>
      </c>
    </row>
    <row r="281" spans="1:8" hidden="1" x14ac:dyDescent="0.25">
      <c r="A281" s="135" t="s">
        <v>115</v>
      </c>
      <c r="B281" s="135" t="s">
        <v>812</v>
      </c>
      <c r="C281" s="135" t="s">
        <v>827</v>
      </c>
      <c r="D281" s="135"/>
      <c r="E281" s="135" t="s">
        <v>759</v>
      </c>
      <c r="F281" s="135" t="s">
        <v>1963</v>
      </c>
      <c r="G281" s="135" t="s">
        <v>812</v>
      </c>
      <c r="H281" s="164" t="s">
        <v>827</v>
      </c>
    </row>
    <row r="282" spans="1:8" hidden="1" x14ac:dyDescent="0.25">
      <c r="A282" s="28" t="s">
        <v>1964</v>
      </c>
      <c r="B282" s="28" t="s">
        <v>1725</v>
      </c>
      <c r="C282" s="28" t="s">
        <v>1820</v>
      </c>
      <c r="D282" s="28" t="s">
        <v>1965</v>
      </c>
      <c r="E282" s="28" t="s">
        <v>420</v>
      </c>
      <c r="F282" s="28" t="s">
        <v>1966</v>
      </c>
      <c r="G282" s="28" t="s">
        <v>578</v>
      </c>
      <c r="H282" s="28" t="s">
        <v>1729</v>
      </c>
    </row>
    <row r="283" spans="1:8" hidden="1" x14ac:dyDescent="0.25">
      <c r="A283" s="30" t="s">
        <v>1964</v>
      </c>
      <c r="B283" s="30" t="s">
        <v>1725</v>
      </c>
      <c r="C283" s="30" t="s">
        <v>1820</v>
      </c>
      <c r="D283" s="30" t="s">
        <v>1967</v>
      </c>
      <c r="E283" s="30" t="s">
        <v>420</v>
      </c>
      <c r="F283" s="30" t="s">
        <v>1966</v>
      </c>
      <c r="G283" s="30" t="s">
        <v>1244</v>
      </c>
      <c r="H283" s="30" t="s">
        <v>1729</v>
      </c>
    </row>
    <row r="284" spans="1:8" hidden="1" x14ac:dyDescent="0.25">
      <c r="A284" s="30" t="s">
        <v>1964</v>
      </c>
      <c r="B284" s="30" t="s">
        <v>1725</v>
      </c>
      <c r="C284" s="30" t="s">
        <v>1820</v>
      </c>
      <c r="D284" s="30" t="s">
        <v>1968</v>
      </c>
      <c r="E284" s="30" t="s">
        <v>420</v>
      </c>
      <c r="F284" s="30" t="s">
        <v>1966</v>
      </c>
      <c r="G284" s="30" t="s">
        <v>1246</v>
      </c>
      <c r="H284" s="30" t="s">
        <v>1729</v>
      </c>
    </row>
    <row r="285" spans="1:8" hidden="1" x14ac:dyDescent="0.25">
      <c r="A285" s="30" t="s">
        <v>1964</v>
      </c>
      <c r="B285" s="30" t="s">
        <v>517</v>
      </c>
      <c r="C285" s="30" t="s">
        <v>1096</v>
      </c>
      <c r="D285" s="30"/>
      <c r="E285" s="30" t="s">
        <v>759</v>
      </c>
      <c r="F285" s="30" t="s">
        <v>1966</v>
      </c>
      <c r="G285" s="30" t="s">
        <v>517</v>
      </c>
      <c r="H285" s="162" t="s">
        <v>1096</v>
      </c>
    </row>
    <row r="286" spans="1:8" hidden="1" x14ac:dyDescent="0.25">
      <c r="A286" s="30" t="s">
        <v>1964</v>
      </c>
      <c r="B286" s="30" t="s">
        <v>812</v>
      </c>
      <c r="C286" s="30" t="s">
        <v>827</v>
      </c>
      <c r="D286" s="30"/>
      <c r="E286" s="30" t="s">
        <v>759</v>
      </c>
      <c r="F286" s="30" t="s">
        <v>1966</v>
      </c>
      <c r="G286" s="30" t="s">
        <v>812</v>
      </c>
      <c r="H286" s="162" t="s">
        <v>827</v>
      </c>
    </row>
    <row r="287" spans="1:8" hidden="1" x14ac:dyDescent="0.25">
      <c r="A287" s="30" t="s">
        <v>1964</v>
      </c>
      <c r="B287" s="30" t="s">
        <v>433</v>
      </c>
      <c r="C287" s="30" t="s">
        <v>808</v>
      </c>
      <c r="D287" s="30"/>
      <c r="E287" s="30" t="s">
        <v>759</v>
      </c>
      <c r="F287" s="30" t="s">
        <v>1966</v>
      </c>
      <c r="G287" s="30" t="s">
        <v>433</v>
      </c>
      <c r="H287" s="30" t="s">
        <v>808</v>
      </c>
    </row>
    <row r="288" spans="1:8" hidden="1" x14ac:dyDescent="0.25">
      <c r="A288" s="135" t="s">
        <v>1964</v>
      </c>
      <c r="B288" s="135" t="s">
        <v>1249</v>
      </c>
      <c r="C288" s="135" t="s">
        <v>1729</v>
      </c>
      <c r="D288" s="135"/>
      <c r="E288" s="135" t="s">
        <v>759</v>
      </c>
      <c r="F288" s="135" t="s">
        <v>1966</v>
      </c>
      <c r="G288" s="135" t="s">
        <v>1249</v>
      </c>
      <c r="H288" s="135" t="s">
        <v>1729</v>
      </c>
    </row>
    <row r="289" spans="1:8" hidden="1" x14ac:dyDescent="0.25">
      <c r="A289" s="28" t="s">
        <v>1969</v>
      </c>
      <c r="B289" s="28" t="s">
        <v>1725</v>
      </c>
      <c r="C289" s="28" t="s">
        <v>1726</v>
      </c>
      <c r="D289" s="28" t="s">
        <v>1970</v>
      </c>
      <c r="E289" s="28" t="s">
        <v>420</v>
      </c>
      <c r="F289" s="28" t="s">
        <v>152</v>
      </c>
      <c r="G289" s="28" t="s">
        <v>1971</v>
      </c>
      <c r="H289" s="28" t="s">
        <v>1729</v>
      </c>
    </row>
    <row r="290" spans="1:8" hidden="1" x14ac:dyDescent="0.25">
      <c r="A290" s="30" t="s">
        <v>1969</v>
      </c>
      <c r="B290" s="30" t="s">
        <v>1725</v>
      </c>
      <c r="C290" s="30" t="s">
        <v>1726</v>
      </c>
      <c r="D290" s="30" t="s">
        <v>1972</v>
      </c>
      <c r="E290" s="30" t="s">
        <v>420</v>
      </c>
      <c r="F290" s="30" t="s">
        <v>152</v>
      </c>
      <c r="G290" s="30" t="s">
        <v>1973</v>
      </c>
      <c r="H290" s="30" t="s">
        <v>1729</v>
      </c>
    </row>
    <row r="291" spans="1:8" hidden="1" x14ac:dyDescent="0.25">
      <c r="A291" s="30" t="s">
        <v>1969</v>
      </c>
      <c r="B291" s="30" t="s">
        <v>1725</v>
      </c>
      <c r="C291" s="30" t="s">
        <v>1726</v>
      </c>
      <c r="D291" s="30" t="s">
        <v>1870</v>
      </c>
      <c r="E291" s="30" t="s">
        <v>420</v>
      </c>
      <c r="F291" s="30" t="s">
        <v>152</v>
      </c>
      <c r="G291" s="30" t="s">
        <v>1974</v>
      </c>
      <c r="H291" s="30" t="s">
        <v>1729</v>
      </c>
    </row>
    <row r="292" spans="1:8" hidden="1" x14ac:dyDescent="0.25">
      <c r="A292" s="30" t="s">
        <v>1969</v>
      </c>
      <c r="B292" s="30" t="s">
        <v>1725</v>
      </c>
      <c r="C292" s="30" t="s">
        <v>1726</v>
      </c>
      <c r="D292" s="30" t="s">
        <v>1975</v>
      </c>
      <c r="E292" s="30" t="s">
        <v>420</v>
      </c>
      <c r="F292" s="30" t="s">
        <v>152</v>
      </c>
      <c r="G292" s="30" t="s">
        <v>1162</v>
      </c>
      <c r="H292" s="30" t="s">
        <v>1729</v>
      </c>
    </row>
    <row r="293" spans="1:8" hidden="1" x14ac:dyDescent="0.25">
      <c r="A293" s="30" t="s">
        <v>1969</v>
      </c>
      <c r="B293" s="30" t="s">
        <v>1725</v>
      </c>
      <c r="C293" s="30" t="s">
        <v>1726</v>
      </c>
      <c r="D293" s="30" t="s">
        <v>1976</v>
      </c>
      <c r="E293" s="30" t="s">
        <v>420</v>
      </c>
      <c r="F293" s="30" t="s">
        <v>152</v>
      </c>
      <c r="G293" s="30" t="s">
        <v>1976</v>
      </c>
      <c r="H293" s="162" t="s">
        <v>302</v>
      </c>
    </row>
    <row r="294" spans="1:8" hidden="1" x14ac:dyDescent="0.25">
      <c r="A294" s="30" t="s">
        <v>1969</v>
      </c>
      <c r="B294" s="30" t="s">
        <v>1725</v>
      </c>
      <c r="C294" s="30" t="s">
        <v>1726</v>
      </c>
      <c r="D294" s="30" t="s">
        <v>1864</v>
      </c>
      <c r="E294" s="30" t="s">
        <v>420</v>
      </c>
      <c r="F294" s="30" t="s">
        <v>152</v>
      </c>
      <c r="G294" s="30" t="s">
        <v>1977</v>
      </c>
      <c r="H294" s="30" t="s">
        <v>302</v>
      </c>
    </row>
    <row r="295" spans="1:8" hidden="1" x14ac:dyDescent="0.25">
      <c r="A295" s="30" t="s">
        <v>1969</v>
      </c>
      <c r="B295" s="30" t="s">
        <v>1725</v>
      </c>
      <c r="C295" s="30" t="s">
        <v>1726</v>
      </c>
      <c r="D295" s="30" t="s">
        <v>1978</v>
      </c>
      <c r="E295" s="30" t="s">
        <v>420</v>
      </c>
      <c r="F295" s="30" t="s">
        <v>152</v>
      </c>
      <c r="G295" s="30" t="s">
        <v>1979</v>
      </c>
      <c r="H295" s="30" t="s">
        <v>1729</v>
      </c>
    </row>
    <row r="296" spans="1:8" hidden="1" x14ac:dyDescent="0.25">
      <c r="A296" s="30" t="s">
        <v>1969</v>
      </c>
      <c r="B296" s="30" t="s">
        <v>1725</v>
      </c>
      <c r="C296" s="30" t="s">
        <v>1726</v>
      </c>
      <c r="D296" s="30" t="s">
        <v>1980</v>
      </c>
      <c r="E296" s="30" t="s">
        <v>420</v>
      </c>
      <c r="F296" s="30" t="s">
        <v>152</v>
      </c>
      <c r="G296" s="30" t="s">
        <v>1981</v>
      </c>
      <c r="H296" s="30" t="s">
        <v>1729</v>
      </c>
    </row>
    <row r="297" spans="1:8" hidden="1" x14ac:dyDescent="0.25">
      <c r="A297" s="30" t="s">
        <v>1969</v>
      </c>
      <c r="B297" s="30" t="s">
        <v>1725</v>
      </c>
      <c r="C297" s="30" t="s">
        <v>1726</v>
      </c>
      <c r="D297" s="30" t="s">
        <v>1982</v>
      </c>
      <c r="E297" s="30" t="s">
        <v>420</v>
      </c>
      <c r="F297" s="30" t="s">
        <v>152</v>
      </c>
      <c r="G297" s="30" t="s">
        <v>1983</v>
      </c>
      <c r="H297" s="30" t="s">
        <v>1729</v>
      </c>
    </row>
    <row r="298" spans="1:8" hidden="1" x14ac:dyDescent="0.25">
      <c r="A298" s="30" t="s">
        <v>1969</v>
      </c>
      <c r="B298" s="30" t="s">
        <v>1725</v>
      </c>
      <c r="C298" s="30" t="s">
        <v>1726</v>
      </c>
      <c r="D298" s="30" t="s">
        <v>1984</v>
      </c>
      <c r="E298" s="30" t="s">
        <v>759</v>
      </c>
      <c r="F298" s="30" t="s">
        <v>152</v>
      </c>
      <c r="G298" s="30" t="s">
        <v>1984</v>
      </c>
      <c r="H298" s="30" t="s">
        <v>1729</v>
      </c>
    </row>
    <row r="299" spans="1:8" hidden="1" x14ac:dyDescent="0.25">
      <c r="A299" s="30" t="s">
        <v>1969</v>
      </c>
      <c r="B299" s="30" t="s">
        <v>1725</v>
      </c>
      <c r="C299" s="30" t="s">
        <v>1726</v>
      </c>
      <c r="D299" s="30" t="s">
        <v>668</v>
      </c>
      <c r="E299" s="30" t="s">
        <v>420</v>
      </c>
      <c r="F299" s="30" t="s">
        <v>152</v>
      </c>
      <c r="G299" s="30" t="s">
        <v>668</v>
      </c>
      <c r="H299" s="30" t="s">
        <v>302</v>
      </c>
    </row>
    <row r="300" spans="1:8" hidden="1" x14ac:dyDescent="0.25">
      <c r="A300" s="30" t="s">
        <v>1969</v>
      </c>
      <c r="B300" s="30" t="s">
        <v>1725</v>
      </c>
      <c r="C300" s="30" t="s">
        <v>1726</v>
      </c>
      <c r="D300" s="30" t="s">
        <v>1867</v>
      </c>
      <c r="E300" s="30" t="s">
        <v>420</v>
      </c>
      <c r="F300" s="30" t="s">
        <v>152</v>
      </c>
      <c r="G300" s="30" t="s">
        <v>1985</v>
      </c>
      <c r="H300" s="30" t="s">
        <v>1093</v>
      </c>
    </row>
    <row r="301" spans="1:8" hidden="1" x14ac:dyDescent="0.25">
      <c r="A301" s="30" t="s">
        <v>1969</v>
      </c>
      <c r="B301" s="30" t="s">
        <v>1725</v>
      </c>
      <c r="C301" s="30" t="s">
        <v>1726</v>
      </c>
      <c r="D301" s="30" t="s">
        <v>1986</v>
      </c>
      <c r="E301" s="30" t="s">
        <v>420</v>
      </c>
      <c r="F301" s="30" t="s">
        <v>152</v>
      </c>
      <c r="G301" s="30" t="s">
        <v>1987</v>
      </c>
      <c r="H301" s="30" t="s">
        <v>1729</v>
      </c>
    </row>
    <row r="302" spans="1:8" hidden="1" x14ac:dyDescent="0.25">
      <c r="A302" s="30" t="s">
        <v>1969</v>
      </c>
      <c r="B302" s="30" t="s">
        <v>1725</v>
      </c>
      <c r="C302" s="30" t="s">
        <v>1726</v>
      </c>
      <c r="D302" s="30" t="s">
        <v>1988</v>
      </c>
      <c r="E302" s="30" t="s">
        <v>420</v>
      </c>
      <c r="F302" s="30" t="s">
        <v>152</v>
      </c>
      <c r="G302" s="30" t="s">
        <v>1989</v>
      </c>
      <c r="H302" s="30" t="s">
        <v>1729</v>
      </c>
    </row>
    <row r="303" spans="1:8" hidden="1" x14ac:dyDescent="0.25">
      <c r="A303" s="30" t="s">
        <v>1969</v>
      </c>
      <c r="B303" s="30" t="s">
        <v>1725</v>
      </c>
      <c r="C303" s="30" t="s">
        <v>1726</v>
      </c>
      <c r="D303" s="30" t="s">
        <v>1868</v>
      </c>
      <c r="E303" s="30" t="s">
        <v>420</v>
      </c>
      <c r="F303" s="30" t="s">
        <v>152</v>
      </c>
      <c r="G303" s="30" t="s">
        <v>1990</v>
      </c>
      <c r="H303" s="30" t="s">
        <v>1729</v>
      </c>
    </row>
    <row r="304" spans="1:8" hidden="1" x14ac:dyDescent="0.25">
      <c r="A304" s="30" t="s">
        <v>1969</v>
      </c>
      <c r="B304" s="30" t="s">
        <v>1725</v>
      </c>
      <c r="C304" s="30" t="s">
        <v>1726</v>
      </c>
      <c r="D304" s="30" t="s">
        <v>1866</v>
      </c>
      <c r="E304" s="30" t="s">
        <v>420</v>
      </c>
      <c r="F304" s="30" t="s">
        <v>152</v>
      </c>
      <c r="G304" s="30" t="s">
        <v>1991</v>
      </c>
      <c r="H304" s="30" t="s">
        <v>302</v>
      </c>
    </row>
    <row r="305" spans="1:8" hidden="1" x14ac:dyDescent="0.25">
      <c r="A305" s="30" t="s">
        <v>1969</v>
      </c>
      <c r="B305" s="30" t="s">
        <v>1725</v>
      </c>
      <c r="C305" s="30" t="s">
        <v>1726</v>
      </c>
      <c r="D305" s="30" t="s">
        <v>1888</v>
      </c>
      <c r="E305" s="30" t="s">
        <v>759</v>
      </c>
      <c r="F305" s="30" t="s">
        <v>152</v>
      </c>
      <c r="G305" s="30" t="s">
        <v>1888</v>
      </c>
      <c r="H305" s="30" t="s">
        <v>1729</v>
      </c>
    </row>
    <row r="306" spans="1:8" hidden="1" x14ac:dyDescent="0.25">
      <c r="A306" s="30" t="s">
        <v>1969</v>
      </c>
      <c r="B306" s="30" t="s">
        <v>1725</v>
      </c>
      <c r="C306" s="30" t="s">
        <v>1726</v>
      </c>
      <c r="D306" s="30" t="s">
        <v>1992</v>
      </c>
      <c r="E306" s="30" t="s">
        <v>420</v>
      </c>
      <c r="F306" s="30" t="s">
        <v>152</v>
      </c>
      <c r="G306" s="30" t="s">
        <v>1992</v>
      </c>
      <c r="H306" s="30" t="s">
        <v>1729</v>
      </c>
    </row>
    <row r="307" spans="1:8" hidden="1" x14ac:dyDescent="0.25">
      <c r="A307" s="30" t="s">
        <v>1969</v>
      </c>
      <c r="B307" s="30" t="s">
        <v>1725</v>
      </c>
      <c r="C307" s="30" t="s">
        <v>1726</v>
      </c>
      <c r="D307" s="30" t="s">
        <v>388</v>
      </c>
      <c r="E307" s="30" t="s">
        <v>759</v>
      </c>
      <c r="F307" s="30" t="s">
        <v>152</v>
      </c>
      <c r="G307" s="30" t="s">
        <v>388</v>
      </c>
      <c r="H307" s="30" t="s">
        <v>1729</v>
      </c>
    </row>
    <row r="308" spans="1:8" hidden="1" x14ac:dyDescent="0.25">
      <c r="A308" s="30" t="s">
        <v>1969</v>
      </c>
      <c r="B308" s="30" t="s">
        <v>1725</v>
      </c>
      <c r="C308" s="30" t="s">
        <v>1726</v>
      </c>
      <c r="D308" s="30" t="s">
        <v>1886</v>
      </c>
      <c r="E308" s="30" t="s">
        <v>420</v>
      </c>
      <c r="F308" s="30" t="s">
        <v>152</v>
      </c>
      <c r="G308" s="30" t="s">
        <v>1993</v>
      </c>
      <c r="H308" s="30" t="s">
        <v>1729</v>
      </c>
    </row>
    <row r="309" spans="1:8" hidden="1" x14ac:dyDescent="0.25">
      <c r="A309" s="30" t="s">
        <v>1969</v>
      </c>
      <c r="B309" s="30" t="s">
        <v>1725</v>
      </c>
      <c r="C309" s="30" t="s">
        <v>1726</v>
      </c>
      <c r="D309" s="30" t="s">
        <v>1994</v>
      </c>
      <c r="E309" s="30" t="s">
        <v>420</v>
      </c>
      <c r="F309" s="30" t="s">
        <v>152</v>
      </c>
      <c r="G309" s="30" t="s">
        <v>1995</v>
      </c>
      <c r="H309" s="30" t="s">
        <v>1729</v>
      </c>
    </row>
    <row r="310" spans="1:8" hidden="1" x14ac:dyDescent="0.25">
      <c r="A310" s="30" t="s">
        <v>1969</v>
      </c>
      <c r="B310" s="30" t="s">
        <v>1725</v>
      </c>
      <c r="C310" s="30" t="s">
        <v>1726</v>
      </c>
      <c r="D310" s="30" t="s">
        <v>1996</v>
      </c>
      <c r="E310" s="30" t="s">
        <v>420</v>
      </c>
      <c r="F310" s="30" t="s">
        <v>152</v>
      </c>
      <c r="G310" s="30" t="s">
        <v>1997</v>
      </c>
      <c r="H310" s="30" t="s">
        <v>1729</v>
      </c>
    </row>
    <row r="311" spans="1:8" hidden="1" x14ac:dyDescent="0.25">
      <c r="A311" s="30" t="s">
        <v>1969</v>
      </c>
      <c r="B311" s="30" t="s">
        <v>1725</v>
      </c>
      <c r="C311" s="30" t="s">
        <v>1726</v>
      </c>
      <c r="D311" s="30" t="s">
        <v>1998</v>
      </c>
      <c r="E311" s="30" t="s">
        <v>420</v>
      </c>
      <c r="F311" s="30" t="s">
        <v>152</v>
      </c>
      <c r="G311" s="30" t="s">
        <v>1999</v>
      </c>
      <c r="H311" s="30" t="s">
        <v>1729</v>
      </c>
    </row>
    <row r="312" spans="1:8" hidden="1" x14ac:dyDescent="0.25">
      <c r="A312" s="30" t="s">
        <v>1969</v>
      </c>
      <c r="B312" s="30" t="s">
        <v>1725</v>
      </c>
      <c r="C312" s="30" t="s">
        <v>1726</v>
      </c>
      <c r="D312" s="30" t="s">
        <v>2000</v>
      </c>
      <c r="E312" s="30" t="s">
        <v>420</v>
      </c>
      <c r="F312" s="30" t="s">
        <v>152</v>
      </c>
      <c r="G312" s="30" t="s">
        <v>2001</v>
      </c>
      <c r="H312" s="30" t="s">
        <v>1729</v>
      </c>
    </row>
    <row r="313" spans="1:8" hidden="1" x14ac:dyDescent="0.25">
      <c r="A313" s="30" t="s">
        <v>1969</v>
      </c>
      <c r="B313" s="30" t="s">
        <v>1725</v>
      </c>
      <c r="C313" s="30" t="s">
        <v>1726</v>
      </c>
      <c r="D313" s="30" t="s">
        <v>2002</v>
      </c>
      <c r="E313" s="30" t="s">
        <v>420</v>
      </c>
      <c r="F313" s="30" t="s">
        <v>152</v>
      </c>
      <c r="G313" s="30" t="s">
        <v>2003</v>
      </c>
      <c r="H313" s="30" t="s">
        <v>1729</v>
      </c>
    </row>
    <row r="314" spans="1:8" hidden="1" x14ac:dyDescent="0.25">
      <c r="A314" s="30" t="s">
        <v>1969</v>
      </c>
      <c r="B314" s="30" t="s">
        <v>1725</v>
      </c>
      <c r="C314" s="30" t="s">
        <v>1726</v>
      </c>
      <c r="D314" s="30" t="s">
        <v>1809</v>
      </c>
      <c r="E314" s="30" t="s">
        <v>420</v>
      </c>
      <c r="F314" s="30" t="s">
        <v>152</v>
      </c>
      <c r="G314" s="30" t="s">
        <v>1809</v>
      </c>
      <c r="H314" s="30" t="s">
        <v>1729</v>
      </c>
    </row>
    <row r="315" spans="1:8" hidden="1" x14ac:dyDescent="0.25">
      <c r="A315" s="30" t="s">
        <v>1969</v>
      </c>
      <c r="B315" s="30" t="s">
        <v>517</v>
      </c>
      <c r="C315" s="30" t="s">
        <v>1096</v>
      </c>
      <c r="D315" s="30"/>
      <c r="E315" s="30" t="s">
        <v>759</v>
      </c>
      <c r="F315" s="30" t="s">
        <v>152</v>
      </c>
      <c r="G315" s="30" t="s">
        <v>517</v>
      </c>
      <c r="H315" s="162" t="s">
        <v>1096</v>
      </c>
    </row>
    <row r="316" spans="1:8" hidden="1" x14ac:dyDescent="0.25">
      <c r="A316" s="30" t="s">
        <v>1969</v>
      </c>
      <c r="B316" s="30" t="s">
        <v>812</v>
      </c>
      <c r="C316" s="30" t="s">
        <v>827</v>
      </c>
      <c r="D316" s="30"/>
      <c r="E316" s="30" t="s">
        <v>759</v>
      </c>
      <c r="F316" s="30" t="s">
        <v>152</v>
      </c>
      <c r="G316" s="30" t="s">
        <v>812</v>
      </c>
      <c r="H316" s="30" t="s">
        <v>827</v>
      </c>
    </row>
    <row r="317" spans="1:8" hidden="1" x14ac:dyDescent="0.25">
      <c r="A317" s="135" t="s">
        <v>1969</v>
      </c>
      <c r="B317" s="135" t="s">
        <v>1183</v>
      </c>
      <c r="C317" s="135" t="s">
        <v>1729</v>
      </c>
      <c r="D317" s="135"/>
      <c r="E317" s="135" t="s">
        <v>759</v>
      </c>
      <c r="F317" s="135" t="s">
        <v>152</v>
      </c>
      <c r="G317" s="135" t="s">
        <v>1183</v>
      </c>
      <c r="H317" s="135" t="s">
        <v>1729</v>
      </c>
    </row>
    <row r="318" spans="1:8" hidden="1" x14ac:dyDescent="0.25">
      <c r="A318" s="28" t="s">
        <v>2004</v>
      </c>
      <c r="B318" s="28" t="s">
        <v>1725</v>
      </c>
      <c r="C318" s="28" t="s">
        <v>1726</v>
      </c>
      <c r="D318" s="28" t="s">
        <v>668</v>
      </c>
      <c r="E318" s="28" t="s">
        <v>420</v>
      </c>
      <c r="F318" s="28" t="s">
        <v>153</v>
      </c>
      <c r="G318" s="28" t="s">
        <v>668</v>
      </c>
      <c r="H318" s="28" t="s">
        <v>302</v>
      </c>
    </row>
    <row r="319" spans="1:8" hidden="1" x14ac:dyDescent="0.25">
      <c r="A319" s="30" t="s">
        <v>2004</v>
      </c>
      <c r="B319" s="30" t="s">
        <v>1725</v>
      </c>
      <c r="C319" s="30" t="s">
        <v>1726</v>
      </c>
      <c r="D319" s="30" t="s">
        <v>1866</v>
      </c>
      <c r="E319" s="30" t="s">
        <v>420</v>
      </c>
      <c r="F319" s="30" t="s">
        <v>153</v>
      </c>
      <c r="G319" s="30" t="s">
        <v>1991</v>
      </c>
      <c r="H319" s="30" t="s">
        <v>302</v>
      </c>
    </row>
    <row r="320" spans="1:8" hidden="1" x14ac:dyDescent="0.25">
      <c r="A320" s="30" t="s">
        <v>2004</v>
      </c>
      <c r="B320" s="30" t="s">
        <v>1725</v>
      </c>
      <c r="C320" s="30" t="s">
        <v>1726</v>
      </c>
      <c r="D320" s="30" t="s">
        <v>1870</v>
      </c>
      <c r="E320" s="30" t="s">
        <v>420</v>
      </c>
      <c r="F320" s="30" t="s">
        <v>153</v>
      </c>
      <c r="G320" s="30" t="s">
        <v>1974</v>
      </c>
      <c r="H320" s="30" t="s">
        <v>1729</v>
      </c>
    </row>
    <row r="321" spans="1:8" hidden="1" x14ac:dyDescent="0.25">
      <c r="A321" s="30" t="s">
        <v>2004</v>
      </c>
      <c r="B321" s="30" t="s">
        <v>1725</v>
      </c>
      <c r="C321" s="30" t="s">
        <v>1726</v>
      </c>
      <c r="D321" s="30" t="s">
        <v>1888</v>
      </c>
      <c r="E321" s="30" t="s">
        <v>759</v>
      </c>
      <c r="F321" s="30" t="s">
        <v>153</v>
      </c>
      <c r="G321" s="30" t="s">
        <v>1196</v>
      </c>
      <c r="H321" s="30" t="s">
        <v>1729</v>
      </c>
    </row>
    <row r="322" spans="1:8" hidden="1" x14ac:dyDescent="0.25">
      <c r="A322" s="30" t="s">
        <v>2004</v>
      </c>
      <c r="B322" s="30" t="s">
        <v>1725</v>
      </c>
      <c r="C322" s="30" t="s">
        <v>1726</v>
      </c>
      <c r="D322" s="30" t="s">
        <v>1992</v>
      </c>
      <c r="E322" s="30" t="s">
        <v>420</v>
      </c>
      <c r="F322" s="30" t="s">
        <v>153</v>
      </c>
      <c r="G322" s="30" t="s">
        <v>1146</v>
      </c>
      <c r="H322" s="30" t="s">
        <v>1729</v>
      </c>
    </row>
    <row r="323" spans="1:8" hidden="1" x14ac:dyDescent="0.25">
      <c r="A323" s="30" t="s">
        <v>2004</v>
      </c>
      <c r="B323" s="30" t="s">
        <v>1725</v>
      </c>
      <c r="C323" s="30" t="s">
        <v>1726</v>
      </c>
      <c r="D323" s="30" t="s">
        <v>1975</v>
      </c>
      <c r="E323" s="30" t="s">
        <v>420</v>
      </c>
      <c r="F323" s="30" t="s">
        <v>153</v>
      </c>
      <c r="G323" s="30" t="s">
        <v>1162</v>
      </c>
      <c r="H323" s="30" t="s">
        <v>1729</v>
      </c>
    </row>
    <row r="324" spans="1:8" hidden="1" x14ac:dyDescent="0.25">
      <c r="A324" s="30" t="s">
        <v>2004</v>
      </c>
      <c r="B324" s="30" t="s">
        <v>1725</v>
      </c>
      <c r="C324" s="30" t="s">
        <v>1726</v>
      </c>
      <c r="D324" s="30" t="s">
        <v>1976</v>
      </c>
      <c r="E324" s="30" t="s">
        <v>759</v>
      </c>
      <c r="F324" s="30" t="s">
        <v>153</v>
      </c>
      <c r="G324" s="30" t="s">
        <v>1189</v>
      </c>
      <c r="H324" s="30" t="s">
        <v>302</v>
      </c>
    </row>
    <row r="325" spans="1:8" hidden="1" x14ac:dyDescent="0.25">
      <c r="A325" s="30" t="s">
        <v>2004</v>
      </c>
      <c r="B325" s="30" t="s">
        <v>1725</v>
      </c>
      <c r="C325" s="30" t="s">
        <v>1726</v>
      </c>
      <c r="D325" s="30" t="s">
        <v>1864</v>
      </c>
      <c r="E325" s="30" t="s">
        <v>420</v>
      </c>
      <c r="F325" s="30" t="s">
        <v>153</v>
      </c>
      <c r="G325" s="30" t="s">
        <v>598</v>
      </c>
      <c r="H325" s="30" t="s">
        <v>302</v>
      </c>
    </row>
    <row r="326" spans="1:8" hidden="1" x14ac:dyDescent="0.25">
      <c r="A326" s="30" t="s">
        <v>2004</v>
      </c>
      <c r="B326" s="30" t="s">
        <v>1725</v>
      </c>
      <c r="C326" s="30" t="s">
        <v>1726</v>
      </c>
      <c r="D326" s="30" t="s">
        <v>1978</v>
      </c>
      <c r="E326" s="30" t="s">
        <v>420</v>
      </c>
      <c r="F326" s="30" t="s">
        <v>153</v>
      </c>
      <c r="G326" s="30" t="s">
        <v>1158</v>
      </c>
      <c r="H326" s="30" t="s">
        <v>1729</v>
      </c>
    </row>
    <row r="327" spans="1:8" hidden="1" x14ac:dyDescent="0.25">
      <c r="A327" s="30" t="s">
        <v>2004</v>
      </c>
      <c r="B327" s="30" t="s">
        <v>1725</v>
      </c>
      <c r="C327" s="30" t="s">
        <v>1726</v>
      </c>
      <c r="D327" s="30" t="s">
        <v>1982</v>
      </c>
      <c r="E327" s="30" t="s">
        <v>420</v>
      </c>
      <c r="F327" s="30" t="s">
        <v>153</v>
      </c>
      <c r="G327" s="30" t="s">
        <v>1179</v>
      </c>
      <c r="H327" s="30" t="s">
        <v>1729</v>
      </c>
    </row>
    <row r="328" spans="1:8" hidden="1" x14ac:dyDescent="0.25">
      <c r="A328" s="30" t="s">
        <v>2004</v>
      </c>
      <c r="B328" s="30" t="s">
        <v>1725</v>
      </c>
      <c r="C328" s="30" t="s">
        <v>1726</v>
      </c>
      <c r="D328" s="30" t="s">
        <v>1984</v>
      </c>
      <c r="E328" s="30" t="s">
        <v>420</v>
      </c>
      <c r="F328" s="30" t="s">
        <v>153</v>
      </c>
      <c r="G328" s="30" t="s">
        <v>1187</v>
      </c>
      <c r="H328" s="30" t="s">
        <v>1729</v>
      </c>
    </row>
    <row r="329" spans="1:8" hidden="1" x14ac:dyDescent="0.25">
      <c r="A329" s="30" t="s">
        <v>2004</v>
      </c>
      <c r="B329" s="30" t="s">
        <v>1725</v>
      </c>
      <c r="C329" s="30" t="s">
        <v>1726</v>
      </c>
      <c r="D329" s="30" t="s">
        <v>1867</v>
      </c>
      <c r="E329" s="30" t="s">
        <v>420</v>
      </c>
      <c r="F329" s="30" t="s">
        <v>153</v>
      </c>
      <c r="G329" s="30" t="s">
        <v>596</v>
      </c>
      <c r="H329" s="30" t="s">
        <v>1093</v>
      </c>
    </row>
    <row r="330" spans="1:8" hidden="1" x14ac:dyDescent="0.25">
      <c r="A330" s="30" t="s">
        <v>2004</v>
      </c>
      <c r="B330" s="30" t="s">
        <v>1725</v>
      </c>
      <c r="C330" s="30" t="s">
        <v>1726</v>
      </c>
      <c r="D330" s="30" t="s">
        <v>1988</v>
      </c>
      <c r="E330" s="30" t="s">
        <v>420</v>
      </c>
      <c r="F330" s="30" t="s">
        <v>153</v>
      </c>
      <c r="G330" s="30" t="s">
        <v>1142</v>
      </c>
      <c r="H330" s="30" t="s">
        <v>1729</v>
      </c>
    </row>
    <row r="331" spans="1:8" hidden="1" x14ac:dyDescent="0.25">
      <c r="A331" s="30" t="s">
        <v>2004</v>
      </c>
      <c r="B331" s="30" t="s">
        <v>1725</v>
      </c>
      <c r="C331" s="30" t="s">
        <v>1726</v>
      </c>
      <c r="D331" s="30" t="s">
        <v>1868</v>
      </c>
      <c r="E331" s="30" t="s">
        <v>420</v>
      </c>
      <c r="F331" s="30" t="s">
        <v>153</v>
      </c>
      <c r="G331" s="30" t="s">
        <v>1182</v>
      </c>
      <c r="H331" s="30" t="s">
        <v>1729</v>
      </c>
    </row>
    <row r="332" spans="1:8" hidden="1" x14ac:dyDescent="0.25">
      <c r="A332" s="30" t="s">
        <v>2004</v>
      </c>
      <c r="B332" s="30" t="s">
        <v>1725</v>
      </c>
      <c r="C332" s="30" t="s">
        <v>1726</v>
      </c>
      <c r="D332" s="30" t="s">
        <v>388</v>
      </c>
      <c r="E332" s="30" t="s">
        <v>759</v>
      </c>
      <c r="F332" s="30" t="s">
        <v>153</v>
      </c>
      <c r="G332" s="30" t="s">
        <v>388</v>
      </c>
      <c r="H332" s="30" t="s">
        <v>1729</v>
      </c>
    </row>
    <row r="333" spans="1:8" hidden="1" x14ac:dyDescent="0.25">
      <c r="A333" s="30" t="s">
        <v>2004</v>
      </c>
      <c r="B333" s="30" t="s">
        <v>1725</v>
      </c>
      <c r="C333" s="30" t="s">
        <v>1726</v>
      </c>
      <c r="D333" s="30" t="s">
        <v>1886</v>
      </c>
      <c r="E333" s="30" t="s">
        <v>420</v>
      </c>
      <c r="F333" s="30" t="s">
        <v>153</v>
      </c>
      <c r="G333" s="30" t="s">
        <v>592</v>
      </c>
      <c r="H333" s="30" t="s">
        <v>1729</v>
      </c>
    </row>
    <row r="334" spans="1:8" hidden="1" x14ac:dyDescent="0.25">
      <c r="A334" s="30" t="s">
        <v>2004</v>
      </c>
      <c r="B334" s="30" t="s">
        <v>1725</v>
      </c>
      <c r="C334" s="30" t="s">
        <v>1726</v>
      </c>
      <c r="D334" s="30" t="s">
        <v>1994</v>
      </c>
      <c r="E334" s="30" t="s">
        <v>420</v>
      </c>
      <c r="F334" s="30" t="s">
        <v>153</v>
      </c>
      <c r="G334" s="30" t="s">
        <v>1149</v>
      </c>
      <c r="H334" s="30" t="s">
        <v>1729</v>
      </c>
    </row>
    <row r="335" spans="1:8" hidden="1" x14ac:dyDescent="0.25">
      <c r="A335" s="30" t="s">
        <v>2004</v>
      </c>
      <c r="B335" s="30" t="s">
        <v>1725</v>
      </c>
      <c r="C335" s="30" t="s">
        <v>1726</v>
      </c>
      <c r="D335" s="30" t="s">
        <v>2005</v>
      </c>
      <c r="E335" s="30" t="s">
        <v>420</v>
      </c>
      <c r="F335" s="30" t="s">
        <v>153</v>
      </c>
      <c r="G335" s="30" t="s">
        <v>1199</v>
      </c>
      <c r="H335" s="30" t="s">
        <v>1729</v>
      </c>
    </row>
    <row r="336" spans="1:8" hidden="1" x14ac:dyDescent="0.25">
      <c r="A336" s="30" t="s">
        <v>2004</v>
      </c>
      <c r="B336" s="30" t="s">
        <v>1725</v>
      </c>
      <c r="C336" s="30" t="s">
        <v>1726</v>
      </c>
      <c r="D336" s="30" t="s">
        <v>1996</v>
      </c>
      <c r="E336" s="30" t="s">
        <v>420</v>
      </c>
      <c r="F336" s="30" t="s">
        <v>153</v>
      </c>
      <c r="G336" s="30" t="s">
        <v>1168</v>
      </c>
      <c r="H336" s="30" t="s">
        <v>1729</v>
      </c>
    </row>
    <row r="337" spans="1:8" hidden="1" x14ac:dyDescent="0.25">
      <c r="A337" s="30" t="s">
        <v>2004</v>
      </c>
      <c r="B337" s="30" t="s">
        <v>1725</v>
      </c>
      <c r="C337" s="30" t="s">
        <v>1726</v>
      </c>
      <c r="D337" s="30" t="s">
        <v>1998</v>
      </c>
      <c r="E337" s="30" t="s">
        <v>420</v>
      </c>
      <c r="F337" s="30" t="s">
        <v>153</v>
      </c>
      <c r="G337" s="30" t="s">
        <v>1154</v>
      </c>
      <c r="H337" s="30" t="s">
        <v>1729</v>
      </c>
    </row>
    <row r="338" spans="1:8" hidden="1" x14ac:dyDescent="0.25">
      <c r="A338" s="30" t="s">
        <v>2004</v>
      </c>
      <c r="B338" s="30" t="s">
        <v>1725</v>
      </c>
      <c r="C338" s="30" t="s">
        <v>1726</v>
      </c>
      <c r="D338" s="30" t="s">
        <v>2000</v>
      </c>
      <c r="E338" s="30" t="s">
        <v>420</v>
      </c>
      <c r="F338" s="30" t="s">
        <v>153</v>
      </c>
      <c r="G338" s="30" t="s">
        <v>1175</v>
      </c>
      <c r="H338" s="30" t="s">
        <v>1729</v>
      </c>
    </row>
    <row r="339" spans="1:8" hidden="1" x14ac:dyDescent="0.25">
      <c r="A339" s="30" t="s">
        <v>2004</v>
      </c>
      <c r="B339" s="30" t="s">
        <v>1725</v>
      </c>
      <c r="C339" s="30" t="s">
        <v>1726</v>
      </c>
      <c r="D339" s="30" t="s">
        <v>2002</v>
      </c>
      <c r="E339" s="30" t="s">
        <v>420</v>
      </c>
      <c r="F339" s="30" t="s">
        <v>153</v>
      </c>
      <c r="G339" s="30" t="s">
        <v>1152</v>
      </c>
      <c r="H339" s="30" t="s">
        <v>1729</v>
      </c>
    </row>
    <row r="340" spans="1:8" hidden="1" x14ac:dyDescent="0.25">
      <c r="A340" s="30" t="s">
        <v>2004</v>
      </c>
      <c r="B340" s="30" t="s">
        <v>1725</v>
      </c>
      <c r="C340" s="30" t="s">
        <v>1726</v>
      </c>
      <c r="D340" s="30" t="s">
        <v>1970</v>
      </c>
      <c r="E340" s="30" t="s">
        <v>420</v>
      </c>
      <c r="F340" s="30" t="s">
        <v>153</v>
      </c>
      <c r="G340" s="30" t="s">
        <v>1173</v>
      </c>
      <c r="H340" s="30" t="s">
        <v>1729</v>
      </c>
    </row>
    <row r="341" spans="1:8" hidden="1" x14ac:dyDescent="0.25">
      <c r="A341" s="30" t="s">
        <v>2004</v>
      </c>
      <c r="B341" s="30" t="s">
        <v>1725</v>
      </c>
      <c r="C341" s="30" t="s">
        <v>1726</v>
      </c>
      <c r="D341" s="30" t="s">
        <v>1876</v>
      </c>
      <c r="E341" s="30" t="s">
        <v>420</v>
      </c>
      <c r="F341" s="30" t="s">
        <v>153</v>
      </c>
      <c r="G341" s="30" t="s">
        <v>1205</v>
      </c>
      <c r="H341" s="30" t="s">
        <v>1729</v>
      </c>
    </row>
    <row r="342" spans="1:8" hidden="1" x14ac:dyDescent="0.25">
      <c r="A342" s="30" t="s">
        <v>2004</v>
      </c>
      <c r="B342" s="30" t="s">
        <v>1725</v>
      </c>
      <c r="C342" s="30" t="s">
        <v>1726</v>
      </c>
      <c r="D342" s="30" t="s">
        <v>1878</v>
      </c>
      <c r="E342" s="30" t="s">
        <v>420</v>
      </c>
      <c r="F342" s="30" t="s">
        <v>153</v>
      </c>
      <c r="G342" s="30" t="s">
        <v>1207</v>
      </c>
      <c r="H342" s="30" t="s">
        <v>1729</v>
      </c>
    </row>
    <row r="343" spans="1:8" hidden="1" x14ac:dyDescent="0.25">
      <c r="A343" s="30" t="s">
        <v>2004</v>
      </c>
      <c r="B343" s="30" t="s">
        <v>1725</v>
      </c>
      <c r="C343" s="30" t="s">
        <v>1726</v>
      </c>
      <c r="D343" s="30" t="s">
        <v>1809</v>
      </c>
      <c r="E343" s="30" t="s">
        <v>420</v>
      </c>
      <c r="F343" s="30" t="s">
        <v>153</v>
      </c>
      <c r="G343" s="30" t="s">
        <v>1809</v>
      </c>
      <c r="H343" s="30" t="s">
        <v>1729</v>
      </c>
    </row>
    <row r="344" spans="1:8" hidden="1" x14ac:dyDescent="0.25">
      <c r="A344" s="30" t="s">
        <v>2004</v>
      </c>
      <c r="B344" s="30" t="s">
        <v>517</v>
      </c>
      <c r="C344" s="30" t="s">
        <v>1096</v>
      </c>
      <c r="D344" s="30"/>
      <c r="E344" s="30" t="s">
        <v>759</v>
      </c>
      <c r="F344" s="30" t="s">
        <v>153</v>
      </c>
      <c r="G344" s="30" t="s">
        <v>517</v>
      </c>
      <c r="H344" s="30" t="s">
        <v>1096</v>
      </c>
    </row>
    <row r="345" spans="1:8" hidden="1" x14ac:dyDescent="0.25">
      <c r="A345" s="30" t="s">
        <v>2004</v>
      </c>
      <c r="B345" s="30" t="s">
        <v>812</v>
      </c>
      <c r="C345" s="30" t="s">
        <v>827</v>
      </c>
      <c r="D345" s="30"/>
      <c r="E345" s="30" t="s">
        <v>759</v>
      </c>
      <c r="F345" s="30" t="s">
        <v>153</v>
      </c>
      <c r="G345" s="30" t="s">
        <v>812</v>
      </c>
      <c r="H345" s="30" t="s">
        <v>827</v>
      </c>
    </row>
    <row r="346" spans="1:8" hidden="1" x14ac:dyDescent="0.25">
      <c r="A346" s="135" t="s">
        <v>2004</v>
      </c>
      <c r="B346" s="135" t="s">
        <v>1183</v>
      </c>
      <c r="C346" s="135" t="s">
        <v>1729</v>
      </c>
      <c r="D346" s="135"/>
      <c r="E346" s="135" t="s">
        <v>759</v>
      </c>
      <c r="F346" s="135" t="s">
        <v>153</v>
      </c>
      <c r="G346" s="135" t="s">
        <v>1183</v>
      </c>
      <c r="H346" s="135" t="s">
        <v>1729</v>
      </c>
    </row>
    <row r="347" spans="1:8" hidden="1" x14ac:dyDescent="0.25">
      <c r="A347" s="28" t="s">
        <v>183</v>
      </c>
      <c r="B347" s="28" t="s">
        <v>388</v>
      </c>
      <c r="C347" s="28" t="s">
        <v>1729</v>
      </c>
      <c r="D347" s="28"/>
      <c r="E347" s="28" t="s">
        <v>420</v>
      </c>
      <c r="F347" s="28" t="s">
        <v>2006</v>
      </c>
      <c r="G347" s="28" t="s">
        <v>388</v>
      </c>
      <c r="H347" s="28" t="s">
        <v>1729</v>
      </c>
    </row>
    <row r="348" spans="1:8" hidden="1" x14ac:dyDescent="0.25">
      <c r="A348" s="30" t="s">
        <v>183</v>
      </c>
      <c r="B348" s="30" t="s">
        <v>1265</v>
      </c>
      <c r="C348" s="162" t="s">
        <v>302</v>
      </c>
      <c r="D348" s="30"/>
      <c r="E348" s="30" t="s">
        <v>420</v>
      </c>
      <c r="F348" s="30" t="s">
        <v>2006</v>
      </c>
      <c r="G348" s="30" t="s">
        <v>1265</v>
      </c>
      <c r="H348" s="162" t="s">
        <v>302</v>
      </c>
    </row>
    <row r="349" spans="1:8" hidden="1" x14ac:dyDescent="0.25">
      <c r="A349" s="30" t="s">
        <v>183</v>
      </c>
      <c r="B349" s="30" t="s">
        <v>1725</v>
      </c>
      <c r="C349" s="30" t="s">
        <v>1820</v>
      </c>
      <c r="D349" s="30" t="s">
        <v>388</v>
      </c>
      <c r="E349" s="30" t="s">
        <v>420</v>
      </c>
      <c r="F349" s="30" t="s">
        <v>2006</v>
      </c>
      <c r="G349" s="30" t="s">
        <v>1267</v>
      </c>
      <c r="H349" s="30" t="s">
        <v>1729</v>
      </c>
    </row>
    <row r="350" spans="1:8" hidden="1" x14ac:dyDescent="0.25">
      <c r="A350" s="30" t="s">
        <v>183</v>
      </c>
      <c r="B350" s="30" t="s">
        <v>1725</v>
      </c>
      <c r="C350" s="30" t="s">
        <v>1820</v>
      </c>
      <c r="D350" s="30" t="s">
        <v>1270</v>
      </c>
      <c r="E350" s="30" t="s">
        <v>420</v>
      </c>
      <c r="F350" s="30" t="s">
        <v>2006</v>
      </c>
      <c r="G350" s="30" t="s">
        <v>1270</v>
      </c>
      <c r="H350" s="162" t="s">
        <v>302</v>
      </c>
    </row>
    <row r="351" spans="1:8" hidden="1" x14ac:dyDescent="0.25">
      <c r="A351" s="30" t="s">
        <v>183</v>
      </c>
      <c r="B351" s="30" t="s">
        <v>1725</v>
      </c>
      <c r="C351" s="30" t="s">
        <v>1820</v>
      </c>
      <c r="D351" s="30" t="s">
        <v>1271</v>
      </c>
      <c r="E351" s="30" t="s">
        <v>420</v>
      </c>
      <c r="F351" s="30" t="s">
        <v>2006</v>
      </c>
      <c r="G351" s="30" t="s">
        <v>1271</v>
      </c>
      <c r="H351" s="30" t="s">
        <v>1729</v>
      </c>
    </row>
    <row r="352" spans="1:8" hidden="1" x14ac:dyDescent="0.25">
      <c r="A352" s="30" t="s">
        <v>183</v>
      </c>
      <c r="B352" s="30" t="s">
        <v>1725</v>
      </c>
      <c r="C352" s="30" t="s">
        <v>1820</v>
      </c>
      <c r="D352" s="30" t="s">
        <v>1272</v>
      </c>
      <c r="E352" s="30" t="s">
        <v>420</v>
      </c>
      <c r="F352" s="30" t="s">
        <v>2006</v>
      </c>
      <c r="G352" s="30" t="s">
        <v>1272</v>
      </c>
      <c r="H352" s="30" t="s">
        <v>1729</v>
      </c>
    </row>
    <row r="353" spans="1:8" hidden="1" x14ac:dyDescent="0.25">
      <c r="A353" s="30" t="s">
        <v>183</v>
      </c>
      <c r="B353" s="30" t="s">
        <v>1725</v>
      </c>
      <c r="C353" s="30" t="s">
        <v>1820</v>
      </c>
      <c r="D353" s="30" t="s">
        <v>695</v>
      </c>
      <c r="E353" s="30" t="s">
        <v>420</v>
      </c>
      <c r="F353" s="30" t="s">
        <v>2006</v>
      </c>
      <c r="G353" s="30" t="s">
        <v>695</v>
      </c>
      <c r="H353" s="30" t="s">
        <v>1729</v>
      </c>
    </row>
    <row r="354" spans="1:8" hidden="1" x14ac:dyDescent="0.25">
      <c r="A354" s="30" t="s">
        <v>183</v>
      </c>
      <c r="B354" s="30" t="s">
        <v>1725</v>
      </c>
      <c r="C354" s="30" t="s">
        <v>1820</v>
      </c>
      <c r="D354" s="30" t="s">
        <v>1274</v>
      </c>
      <c r="E354" s="162" t="s">
        <v>420</v>
      </c>
      <c r="F354" s="30" t="s">
        <v>2006</v>
      </c>
      <c r="G354" s="30" t="s">
        <v>508</v>
      </c>
      <c r="H354" s="162" t="s">
        <v>302</v>
      </c>
    </row>
    <row r="355" spans="1:8" hidden="1" x14ac:dyDescent="0.25">
      <c r="A355" s="30" t="s">
        <v>183</v>
      </c>
      <c r="B355" s="30" t="s">
        <v>1276</v>
      </c>
      <c r="C355" s="30" t="s">
        <v>1729</v>
      </c>
      <c r="D355" s="30"/>
      <c r="E355" s="162" t="s">
        <v>420</v>
      </c>
      <c r="F355" s="30" t="s">
        <v>2006</v>
      </c>
      <c r="G355" s="30" t="s">
        <v>1276</v>
      </c>
      <c r="H355" s="30" t="s">
        <v>1729</v>
      </c>
    </row>
    <row r="356" spans="1:8" hidden="1" x14ac:dyDescent="0.25">
      <c r="A356" s="30" t="s">
        <v>183</v>
      </c>
      <c r="B356" s="30" t="s">
        <v>517</v>
      </c>
      <c r="C356" s="30" t="s">
        <v>1096</v>
      </c>
      <c r="D356" s="30"/>
      <c r="E356" s="30" t="s">
        <v>759</v>
      </c>
      <c r="F356" s="30" t="s">
        <v>2006</v>
      </c>
      <c r="G356" s="30" t="s">
        <v>517</v>
      </c>
      <c r="H356" s="162" t="s">
        <v>1096</v>
      </c>
    </row>
    <row r="357" spans="1:8" hidden="1" x14ac:dyDescent="0.25">
      <c r="A357" s="135" t="s">
        <v>183</v>
      </c>
      <c r="B357" s="135" t="s">
        <v>812</v>
      </c>
      <c r="C357" s="135" t="s">
        <v>827</v>
      </c>
      <c r="D357" s="135"/>
      <c r="E357" s="135" t="s">
        <v>759</v>
      </c>
      <c r="F357" s="135" t="s">
        <v>2006</v>
      </c>
      <c r="G357" s="135" t="s">
        <v>812</v>
      </c>
      <c r="H357" s="164" t="s">
        <v>827</v>
      </c>
    </row>
    <row r="358" spans="1:8" hidden="1" x14ac:dyDescent="0.25">
      <c r="A358" s="28" t="s">
        <v>2007</v>
      </c>
      <c r="B358" s="28" t="s">
        <v>1725</v>
      </c>
      <c r="C358" s="28" t="s">
        <v>1820</v>
      </c>
      <c r="D358" s="28" t="s">
        <v>433</v>
      </c>
      <c r="E358" s="28" t="s">
        <v>420</v>
      </c>
      <c r="F358" s="28" t="s">
        <v>184</v>
      </c>
      <c r="G358" s="28" t="s">
        <v>433</v>
      </c>
      <c r="H358" s="28" t="s">
        <v>2008</v>
      </c>
    </row>
    <row r="359" spans="1:8" hidden="1" x14ac:dyDescent="0.25">
      <c r="A359" s="30" t="s">
        <v>2007</v>
      </c>
      <c r="B359" s="30" t="s">
        <v>1725</v>
      </c>
      <c r="C359" s="30" t="s">
        <v>1820</v>
      </c>
      <c r="D359" s="30" t="s">
        <v>668</v>
      </c>
      <c r="E359" s="30" t="s">
        <v>420</v>
      </c>
      <c r="F359" s="30" t="s">
        <v>184</v>
      </c>
      <c r="G359" s="30" t="s">
        <v>668</v>
      </c>
      <c r="H359" s="30" t="s">
        <v>302</v>
      </c>
    </row>
    <row r="360" spans="1:8" hidden="1" x14ac:dyDescent="0.25">
      <c r="A360" s="30" t="s">
        <v>2007</v>
      </c>
      <c r="B360" s="30" t="s">
        <v>1725</v>
      </c>
      <c r="C360" s="30" t="s">
        <v>1820</v>
      </c>
      <c r="D360" s="30" t="s">
        <v>667</v>
      </c>
      <c r="E360" s="30" t="s">
        <v>420</v>
      </c>
      <c r="F360" s="30" t="s">
        <v>184</v>
      </c>
      <c r="G360" s="30" t="s">
        <v>667</v>
      </c>
      <c r="H360" s="30" t="s">
        <v>302</v>
      </c>
    </row>
    <row r="361" spans="1:8" hidden="1" x14ac:dyDescent="0.25">
      <c r="A361" s="30" t="s">
        <v>2007</v>
      </c>
      <c r="B361" s="30" t="s">
        <v>1725</v>
      </c>
      <c r="C361" s="30" t="s">
        <v>1820</v>
      </c>
      <c r="D361" s="30" t="s">
        <v>673</v>
      </c>
      <c r="E361" s="30" t="s">
        <v>420</v>
      </c>
      <c r="F361" s="30" t="s">
        <v>184</v>
      </c>
      <c r="G361" s="30" t="s">
        <v>673</v>
      </c>
      <c r="H361" s="30" t="s">
        <v>1729</v>
      </c>
    </row>
    <row r="362" spans="1:8" hidden="1" x14ac:dyDescent="0.25">
      <c r="A362" s="30" t="s">
        <v>2007</v>
      </c>
      <c r="B362" s="30" t="s">
        <v>1725</v>
      </c>
      <c r="C362" s="30" t="s">
        <v>1820</v>
      </c>
      <c r="D362" s="30" t="s">
        <v>1280</v>
      </c>
      <c r="E362" s="30" t="s">
        <v>420</v>
      </c>
      <c r="F362" s="30" t="s">
        <v>184</v>
      </c>
      <c r="G362" s="30" t="s">
        <v>1280</v>
      </c>
      <c r="H362" s="30" t="s">
        <v>1729</v>
      </c>
    </row>
    <row r="363" spans="1:8" hidden="1" x14ac:dyDescent="0.25">
      <c r="A363" s="30" t="s">
        <v>2007</v>
      </c>
      <c r="B363" s="30" t="s">
        <v>1725</v>
      </c>
      <c r="C363" s="30" t="s">
        <v>1820</v>
      </c>
      <c r="D363" s="30" t="s">
        <v>1282</v>
      </c>
      <c r="E363" s="30" t="s">
        <v>420</v>
      </c>
      <c r="F363" s="30" t="s">
        <v>184</v>
      </c>
      <c r="G363" s="30" t="s">
        <v>1282</v>
      </c>
      <c r="H363" s="30" t="s">
        <v>1729</v>
      </c>
    </row>
    <row r="364" spans="1:8" hidden="1" x14ac:dyDescent="0.25">
      <c r="A364" s="30" t="s">
        <v>2007</v>
      </c>
      <c r="B364" s="30" t="s">
        <v>1725</v>
      </c>
      <c r="C364" s="30" t="s">
        <v>1820</v>
      </c>
      <c r="D364" s="30" t="s">
        <v>701</v>
      </c>
      <c r="E364" s="28" t="s">
        <v>420</v>
      </c>
      <c r="F364" s="30" t="s">
        <v>184</v>
      </c>
      <c r="G364" s="30" t="s">
        <v>701</v>
      </c>
      <c r="H364" s="30" t="s">
        <v>1729</v>
      </c>
    </row>
    <row r="365" spans="1:8" hidden="1" x14ac:dyDescent="0.25">
      <c r="A365" s="30" t="s">
        <v>2007</v>
      </c>
      <c r="B365" s="30" t="s">
        <v>1725</v>
      </c>
      <c r="C365" s="30" t="s">
        <v>1820</v>
      </c>
      <c r="D365" s="30" t="s">
        <v>695</v>
      </c>
      <c r="E365" s="30" t="s">
        <v>420</v>
      </c>
      <c r="F365" s="30" t="s">
        <v>184</v>
      </c>
      <c r="G365" s="30" t="s">
        <v>695</v>
      </c>
      <c r="H365" s="30" t="s">
        <v>1729</v>
      </c>
    </row>
    <row r="366" spans="1:8" hidden="1" x14ac:dyDescent="0.25">
      <c r="A366" s="30" t="s">
        <v>2007</v>
      </c>
      <c r="B366" s="30" t="s">
        <v>1725</v>
      </c>
      <c r="C366" s="30" t="s">
        <v>1820</v>
      </c>
      <c r="D366" s="30" t="s">
        <v>388</v>
      </c>
      <c r="E366" s="30" t="s">
        <v>420</v>
      </c>
      <c r="F366" s="30" t="s">
        <v>184</v>
      </c>
      <c r="G366" s="30" t="s">
        <v>388</v>
      </c>
      <c r="H366" s="30" t="s">
        <v>1729</v>
      </c>
    </row>
    <row r="367" spans="1:8" hidden="1" x14ac:dyDescent="0.25">
      <c r="A367" s="30" t="s">
        <v>2007</v>
      </c>
      <c r="B367" s="30" t="s">
        <v>1725</v>
      </c>
      <c r="C367" s="30" t="s">
        <v>1820</v>
      </c>
      <c r="D367" s="30" t="s">
        <v>1288</v>
      </c>
      <c r="E367" s="30" t="s">
        <v>420</v>
      </c>
      <c r="F367" s="30" t="s">
        <v>184</v>
      </c>
      <c r="G367" s="30" t="s">
        <v>1288</v>
      </c>
      <c r="H367" s="30" t="s">
        <v>1729</v>
      </c>
    </row>
    <row r="368" spans="1:8" hidden="1" x14ac:dyDescent="0.25">
      <c r="A368" s="30" t="s">
        <v>2007</v>
      </c>
      <c r="B368" s="30" t="s">
        <v>1725</v>
      </c>
      <c r="C368" s="30" t="s">
        <v>1820</v>
      </c>
      <c r="D368" s="30" t="s">
        <v>2009</v>
      </c>
      <c r="E368" s="30" t="s">
        <v>420</v>
      </c>
      <c r="F368" s="30" t="s">
        <v>184</v>
      </c>
      <c r="G368" s="30" t="s">
        <v>1290</v>
      </c>
      <c r="H368" s="30" t="s">
        <v>1729</v>
      </c>
    </row>
    <row r="369" spans="1:8" hidden="1" x14ac:dyDescent="0.25">
      <c r="A369" s="30" t="s">
        <v>2007</v>
      </c>
      <c r="B369" s="30" t="s">
        <v>1725</v>
      </c>
      <c r="C369" s="30" t="s">
        <v>1820</v>
      </c>
      <c r="D369" s="30" t="s">
        <v>2010</v>
      </c>
      <c r="E369" s="30" t="s">
        <v>420</v>
      </c>
      <c r="F369" s="30" t="s">
        <v>184</v>
      </c>
      <c r="G369" s="30" t="s">
        <v>1292</v>
      </c>
      <c r="H369" s="30" t="s">
        <v>1729</v>
      </c>
    </row>
    <row r="370" spans="1:8" hidden="1" x14ac:dyDescent="0.25">
      <c r="A370" s="30" t="s">
        <v>2007</v>
      </c>
      <c r="B370" s="30" t="s">
        <v>1725</v>
      </c>
      <c r="C370" s="30" t="s">
        <v>1820</v>
      </c>
      <c r="D370" s="30" t="s">
        <v>2011</v>
      </c>
      <c r="E370" s="28" t="s">
        <v>420</v>
      </c>
      <c r="F370" s="30" t="s">
        <v>184</v>
      </c>
      <c r="G370" s="30" t="s">
        <v>1294</v>
      </c>
      <c r="H370" s="30" t="s">
        <v>1729</v>
      </c>
    </row>
    <row r="371" spans="1:8" hidden="1" x14ac:dyDescent="0.25">
      <c r="A371" s="30" t="s">
        <v>2007</v>
      </c>
      <c r="B371" s="30" t="s">
        <v>1725</v>
      </c>
      <c r="C371" s="30" t="s">
        <v>1820</v>
      </c>
      <c r="D371" s="30" t="s">
        <v>2012</v>
      </c>
      <c r="E371" s="30" t="s">
        <v>420</v>
      </c>
      <c r="F371" s="30" t="s">
        <v>184</v>
      </c>
      <c r="G371" s="30" t="s">
        <v>1297</v>
      </c>
      <c r="H371" s="30" t="s">
        <v>1729</v>
      </c>
    </row>
    <row r="372" spans="1:8" hidden="1" x14ac:dyDescent="0.25">
      <c r="A372" s="30" t="s">
        <v>2007</v>
      </c>
      <c r="B372" s="30" t="s">
        <v>1725</v>
      </c>
      <c r="C372" s="30" t="s">
        <v>1820</v>
      </c>
      <c r="D372" s="30" t="s">
        <v>2013</v>
      </c>
      <c r="E372" s="30" t="s">
        <v>420</v>
      </c>
      <c r="F372" s="30" t="s">
        <v>184</v>
      </c>
      <c r="G372" s="30" t="s">
        <v>1300</v>
      </c>
      <c r="H372" s="30" t="s">
        <v>1729</v>
      </c>
    </row>
    <row r="373" spans="1:8" hidden="1" x14ac:dyDescent="0.25">
      <c r="A373" s="30" t="s">
        <v>2007</v>
      </c>
      <c r="B373" s="30" t="s">
        <v>1725</v>
      </c>
      <c r="C373" s="30" t="s">
        <v>1820</v>
      </c>
      <c r="D373" s="30" t="s">
        <v>1755</v>
      </c>
      <c r="E373" s="30" t="s">
        <v>420</v>
      </c>
      <c r="F373" s="30" t="s">
        <v>184</v>
      </c>
      <c r="G373" s="30" t="s">
        <v>1302</v>
      </c>
      <c r="H373" s="30" t="s">
        <v>1729</v>
      </c>
    </row>
    <row r="374" spans="1:8" hidden="1" x14ac:dyDescent="0.25">
      <c r="A374" s="30" t="s">
        <v>2007</v>
      </c>
      <c r="B374" s="30" t="s">
        <v>1725</v>
      </c>
      <c r="C374" s="30" t="s">
        <v>1820</v>
      </c>
      <c r="D374" s="30" t="s">
        <v>2014</v>
      </c>
      <c r="E374" s="30" t="s">
        <v>420</v>
      </c>
      <c r="F374" s="30" t="s">
        <v>184</v>
      </c>
      <c r="G374" s="30" t="s">
        <v>2015</v>
      </c>
      <c r="H374" s="30" t="s">
        <v>1729</v>
      </c>
    </row>
    <row r="375" spans="1:8" hidden="1" x14ac:dyDescent="0.25">
      <c r="A375" s="30" t="s">
        <v>2007</v>
      </c>
      <c r="B375" s="30" t="s">
        <v>1725</v>
      </c>
      <c r="C375" s="30" t="s">
        <v>1820</v>
      </c>
      <c r="D375" s="30" t="s">
        <v>2016</v>
      </c>
      <c r="E375" s="30" t="s">
        <v>420</v>
      </c>
      <c r="F375" s="30" t="s">
        <v>184</v>
      </c>
      <c r="G375" s="30" t="s">
        <v>2017</v>
      </c>
      <c r="H375" s="30" t="s">
        <v>1729</v>
      </c>
    </row>
    <row r="376" spans="1:8" hidden="1" x14ac:dyDescent="0.25">
      <c r="A376" s="30" t="s">
        <v>2007</v>
      </c>
      <c r="B376" s="30" t="s">
        <v>1725</v>
      </c>
      <c r="C376" s="30" t="s">
        <v>1820</v>
      </c>
      <c r="D376" s="30" t="s">
        <v>2018</v>
      </c>
      <c r="E376" s="28" t="s">
        <v>420</v>
      </c>
      <c r="F376" s="30" t="s">
        <v>184</v>
      </c>
      <c r="G376" s="30" t="s">
        <v>1312</v>
      </c>
      <c r="H376" s="30" t="s">
        <v>1729</v>
      </c>
    </row>
    <row r="377" spans="1:8" hidden="1" x14ac:dyDescent="0.25">
      <c r="A377" s="30" t="s">
        <v>2007</v>
      </c>
      <c r="B377" s="30" t="s">
        <v>1725</v>
      </c>
      <c r="C377" s="30" t="s">
        <v>1820</v>
      </c>
      <c r="D377" s="30" t="s">
        <v>2019</v>
      </c>
      <c r="E377" s="30" t="s">
        <v>420</v>
      </c>
      <c r="F377" s="30" t="s">
        <v>184</v>
      </c>
      <c r="G377" s="30" t="s">
        <v>1314</v>
      </c>
      <c r="H377" s="30" t="s">
        <v>1729</v>
      </c>
    </row>
    <row r="378" spans="1:8" hidden="1" x14ac:dyDescent="0.25">
      <c r="A378" s="30" t="s">
        <v>2007</v>
      </c>
      <c r="B378" s="30" t="s">
        <v>1725</v>
      </c>
      <c r="C378" s="30" t="s">
        <v>1820</v>
      </c>
      <c r="D378" s="30" t="s">
        <v>2020</v>
      </c>
      <c r="E378" s="30" t="s">
        <v>420</v>
      </c>
      <c r="F378" s="30" t="s">
        <v>184</v>
      </c>
      <c r="G378" s="30" t="s">
        <v>1316</v>
      </c>
      <c r="H378" s="30" t="s">
        <v>1729</v>
      </c>
    </row>
    <row r="379" spans="1:8" hidden="1" x14ac:dyDescent="0.25">
      <c r="A379" s="30" t="s">
        <v>2007</v>
      </c>
      <c r="B379" s="30" t="s">
        <v>1725</v>
      </c>
      <c r="C379" s="30" t="s">
        <v>1820</v>
      </c>
      <c r="D379" s="30" t="s">
        <v>1319</v>
      </c>
      <c r="E379" s="30" t="s">
        <v>420</v>
      </c>
      <c r="F379" s="30" t="s">
        <v>184</v>
      </c>
      <c r="G379" s="30" t="s">
        <v>1319</v>
      </c>
      <c r="H379" s="30" t="s">
        <v>302</v>
      </c>
    </row>
    <row r="380" spans="1:8" hidden="1" x14ac:dyDescent="0.25">
      <c r="A380" s="30" t="s">
        <v>2007</v>
      </c>
      <c r="B380" s="30" t="s">
        <v>1725</v>
      </c>
      <c r="C380" s="30" t="s">
        <v>1820</v>
      </c>
      <c r="D380" s="30" t="s">
        <v>676</v>
      </c>
      <c r="E380" s="30" t="s">
        <v>420</v>
      </c>
      <c r="F380" s="30" t="s">
        <v>184</v>
      </c>
      <c r="G380" s="30" t="s">
        <v>676</v>
      </c>
      <c r="H380" s="30" t="s">
        <v>302</v>
      </c>
    </row>
    <row r="381" spans="1:8" hidden="1" x14ac:dyDescent="0.25">
      <c r="A381" s="30" t="s">
        <v>2007</v>
      </c>
      <c r="B381" s="30" t="s">
        <v>1725</v>
      </c>
      <c r="C381" s="30" t="s">
        <v>1820</v>
      </c>
      <c r="D381" s="30" t="s">
        <v>1320</v>
      </c>
      <c r="E381" s="30" t="s">
        <v>420</v>
      </c>
      <c r="F381" s="30" t="s">
        <v>184</v>
      </c>
      <c r="G381" s="30" t="s">
        <v>1320</v>
      </c>
      <c r="H381" s="30" t="s">
        <v>1729</v>
      </c>
    </row>
    <row r="382" spans="1:8" hidden="1" x14ac:dyDescent="0.25">
      <c r="A382" s="30" t="s">
        <v>2007</v>
      </c>
      <c r="B382" s="30" t="s">
        <v>1725</v>
      </c>
      <c r="C382" s="30" t="s">
        <v>1820</v>
      </c>
      <c r="D382" s="30" t="s">
        <v>1322</v>
      </c>
      <c r="E382" s="28" t="s">
        <v>420</v>
      </c>
      <c r="F382" s="30" t="s">
        <v>184</v>
      </c>
      <c r="G382" s="30" t="s">
        <v>1322</v>
      </c>
      <c r="H382" s="30" t="s">
        <v>1729</v>
      </c>
    </row>
    <row r="383" spans="1:8" hidden="1" x14ac:dyDescent="0.25">
      <c r="A383" s="30" t="s">
        <v>2007</v>
      </c>
      <c r="B383" s="30" t="s">
        <v>1725</v>
      </c>
      <c r="C383" s="30" t="s">
        <v>1820</v>
      </c>
      <c r="D383" s="30" t="s">
        <v>2021</v>
      </c>
      <c r="E383" s="30" t="s">
        <v>420</v>
      </c>
      <c r="F383" s="30" t="s">
        <v>184</v>
      </c>
      <c r="G383" s="30" t="s">
        <v>674</v>
      </c>
      <c r="H383" s="30" t="s">
        <v>1093</v>
      </c>
    </row>
    <row r="384" spans="1:8" hidden="1" x14ac:dyDescent="0.25">
      <c r="A384" s="30" t="s">
        <v>2007</v>
      </c>
      <c r="B384" s="30" t="s">
        <v>1725</v>
      </c>
      <c r="C384" s="30" t="s">
        <v>1820</v>
      </c>
      <c r="D384" s="30" t="s">
        <v>1327</v>
      </c>
      <c r="E384" s="30" t="s">
        <v>420</v>
      </c>
      <c r="F384" s="30" t="s">
        <v>184</v>
      </c>
      <c r="G384" s="30" t="s">
        <v>1327</v>
      </c>
      <c r="H384" s="30" t="s">
        <v>1729</v>
      </c>
    </row>
    <row r="385" spans="1:9" hidden="1" x14ac:dyDescent="0.25">
      <c r="A385" s="30" t="s">
        <v>2007</v>
      </c>
      <c r="B385" s="30" t="s">
        <v>1725</v>
      </c>
      <c r="C385" s="30" t="s">
        <v>1820</v>
      </c>
      <c r="D385" s="30" t="s">
        <v>2022</v>
      </c>
      <c r="E385" s="30" t="s">
        <v>420</v>
      </c>
      <c r="F385" s="30" t="s">
        <v>184</v>
      </c>
      <c r="G385" s="30" t="s">
        <v>1328</v>
      </c>
      <c r="H385" s="30" t="s">
        <v>1729</v>
      </c>
    </row>
    <row r="386" spans="1:9" hidden="1" x14ac:dyDescent="0.25">
      <c r="A386" s="30" t="s">
        <v>2007</v>
      </c>
      <c r="B386" s="30" t="s">
        <v>1725</v>
      </c>
      <c r="C386" s="30" t="s">
        <v>1820</v>
      </c>
      <c r="D386" s="30" t="s">
        <v>1329</v>
      </c>
      <c r="E386" s="30" t="s">
        <v>420</v>
      </c>
      <c r="F386" s="30" t="s">
        <v>184</v>
      </c>
      <c r="G386" s="30" t="s">
        <v>1329</v>
      </c>
      <c r="H386" s="30" t="s">
        <v>827</v>
      </c>
    </row>
    <row r="387" spans="1:9" hidden="1" x14ac:dyDescent="0.25">
      <c r="A387" s="30" t="s">
        <v>2007</v>
      </c>
      <c r="B387" s="30" t="s">
        <v>517</v>
      </c>
      <c r="C387" s="30" t="s">
        <v>1096</v>
      </c>
      <c r="D387" s="30"/>
      <c r="E387" s="30" t="s">
        <v>759</v>
      </c>
      <c r="F387" s="30" t="s">
        <v>184</v>
      </c>
      <c r="G387" s="30" t="s">
        <v>517</v>
      </c>
      <c r="H387" s="30" t="s">
        <v>1096</v>
      </c>
    </row>
    <row r="388" spans="1:9" hidden="1" x14ac:dyDescent="0.25">
      <c r="A388" s="135" t="s">
        <v>2007</v>
      </c>
      <c r="B388" s="135" t="s">
        <v>812</v>
      </c>
      <c r="C388" s="135" t="s">
        <v>827</v>
      </c>
      <c r="D388" s="135"/>
      <c r="E388" s="135" t="s">
        <v>759</v>
      </c>
      <c r="F388" s="135" t="s">
        <v>184</v>
      </c>
      <c r="G388" s="135" t="s">
        <v>812</v>
      </c>
      <c r="H388" s="135" t="s">
        <v>827</v>
      </c>
    </row>
    <row r="389" spans="1:9" hidden="1" x14ac:dyDescent="0.25">
      <c r="A389" s="28" t="s">
        <v>2023</v>
      </c>
      <c r="B389" s="28" t="s">
        <v>1725</v>
      </c>
      <c r="C389" s="28" t="s">
        <v>1820</v>
      </c>
      <c r="D389" s="28" t="s">
        <v>1331</v>
      </c>
      <c r="E389" s="28" t="s">
        <v>420</v>
      </c>
      <c r="F389" s="28" t="s">
        <v>2024</v>
      </c>
      <c r="G389" s="28" t="s">
        <v>1331</v>
      </c>
      <c r="H389" s="28" t="s">
        <v>1729</v>
      </c>
    </row>
    <row r="390" spans="1:9" hidden="1" x14ac:dyDescent="0.25">
      <c r="A390" s="30" t="s">
        <v>2023</v>
      </c>
      <c r="B390" s="30" t="s">
        <v>1725</v>
      </c>
      <c r="C390" s="30" t="s">
        <v>1820</v>
      </c>
      <c r="D390" s="30" t="s">
        <v>388</v>
      </c>
      <c r="E390" s="30" t="s">
        <v>420</v>
      </c>
      <c r="F390" s="30" t="s">
        <v>2024</v>
      </c>
      <c r="G390" s="30" t="s">
        <v>388</v>
      </c>
      <c r="H390" s="30" t="s">
        <v>1729</v>
      </c>
    </row>
    <row r="391" spans="1:9" hidden="1" x14ac:dyDescent="0.25">
      <c r="A391" s="30" t="s">
        <v>2023</v>
      </c>
      <c r="B391" s="30" t="s">
        <v>1725</v>
      </c>
      <c r="C391" s="30" t="s">
        <v>1820</v>
      </c>
      <c r="D391" s="30" t="s">
        <v>673</v>
      </c>
      <c r="E391" s="30" t="s">
        <v>420</v>
      </c>
      <c r="F391" s="30" t="s">
        <v>2024</v>
      </c>
      <c r="G391" s="30" t="s">
        <v>673</v>
      </c>
      <c r="H391" s="30" t="s">
        <v>1729</v>
      </c>
    </row>
    <row r="392" spans="1:9" hidden="1" x14ac:dyDescent="0.25">
      <c r="A392" s="30" t="s">
        <v>2023</v>
      </c>
      <c r="B392" s="30" t="s">
        <v>1725</v>
      </c>
      <c r="C392" s="30" t="s">
        <v>1820</v>
      </c>
      <c r="D392" s="30" t="s">
        <v>2025</v>
      </c>
      <c r="E392" s="30" t="s">
        <v>420</v>
      </c>
      <c r="F392" s="30" t="s">
        <v>2024</v>
      </c>
      <c r="G392" s="30" t="s">
        <v>722</v>
      </c>
      <c r="H392" s="30" t="s">
        <v>1729</v>
      </c>
    </row>
    <row r="393" spans="1:9" hidden="1" x14ac:dyDescent="0.25">
      <c r="A393" s="30" t="s">
        <v>2023</v>
      </c>
      <c r="B393" s="30" t="s">
        <v>1725</v>
      </c>
      <c r="C393" s="30" t="s">
        <v>1820</v>
      </c>
      <c r="D393" s="30" t="s">
        <v>2026</v>
      </c>
      <c r="E393" s="30" t="s">
        <v>420</v>
      </c>
      <c r="F393" s="30" t="s">
        <v>2024</v>
      </c>
      <c r="G393" s="30" t="s">
        <v>724</v>
      </c>
      <c r="H393" s="30" t="s">
        <v>1729</v>
      </c>
    </row>
    <row r="394" spans="1:9" hidden="1" x14ac:dyDescent="0.25">
      <c r="A394" s="30" t="s">
        <v>2023</v>
      </c>
      <c r="B394" s="30" t="s">
        <v>1725</v>
      </c>
      <c r="C394" s="30" t="s">
        <v>1820</v>
      </c>
      <c r="D394" s="30" t="s">
        <v>2027</v>
      </c>
      <c r="E394" s="30" t="s">
        <v>420</v>
      </c>
      <c r="F394" s="30" t="s">
        <v>2024</v>
      </c>
      <c r="G394" s="30" t="s">
        <v>712</v>
      </c>
      <c r="H394" s="30" t="s">
        <v>1093</v>
      </c>
      <c r="I394" s="157" t="s">
        <v>2028</v>
      </c>
    </row>
    <row r="395" spans="1:9" hidden="1" x14ac:dyDescent="0.25">
      <c r="A395" s="30" t="s">
        <v>2023</v>
      </c>
      <c r="B395" s="30" t="s">
        <v>1725</v>
      </c>
      <c r="C395" s="30" t="s">
        <v>1820</v>
      </c>
      <c r="D395" s="30" t="s">
        <v>2029</v>
      </c>
      <c r="E395" s="30" t="s">
        <v>420</v>
      </c>
      <c r="F395" s="30" t="s">
        <v>2024</v>
      </c>
      <c r="G395" s="30" t="s">
        <v>1337</v>
      </c>
      <c r="H395" s="30" t="s">
        <v>1729</v>
      </c>
    </row>
    <row r="396" spans="1:9" hidden="1" x14ac:dyDescent="0.25">
      <c r="A396" s="30" t="s">
        <v>2023</v>
      </c>
      <c r="B396" s="30" t="s">
        <v>1725</v>
      </c>
      <c r="C396" s="30" t="s">
        <v>1820</v>
      </c>
      <c r="D396" s="30" t="s">
        <v>704</v>
      </c>
      <c r="E396" s="30" t="s">
        <v>420</v>
      </c>
      <c r="F396" s="30" t="s">
        <v>2024</v>
      </c>
      <c r="G396" s="30" t="s">
        <v>704</v>
      </c>
      <c r="H396" s="30" t="s">
        <v>302</v>
      </c>
    </row>
    <row r="397" spans="1:9" hidden="1" x14ac:dyDescent="0.25">
      <c r="A397" s="30" t="s">
        <v>2023</v>
      </c>
      <c r="B397" s="30" t="s">
        <v>1725</v>
      </c>
      <c r="C397" s="30" t="s">
        <v>1820</v>
      </c>
      <c r="D397" s="30" t="s">
        <v>705</v>
      </c>
      <c r="E397" s="30" t="s">
        <v>420</v>
      </c>
      <c r="F397" s="30" t="s">
        <v>2024</v>
      </c>
      <c r="G397" s="30" t="s">
        <v>705</v>
      </c>
      <c r="H397" s="30" t="s">
        <v>302</v>
      </c>
    </row>
    <row r="398" spans="1:9" hidden="1" x14ac:dyDescent="0.25">
      <c r="A398" s="30" t="s">
        <v>2023</v>
      </c>
      <c r="B398" s="30" t="s">
        <v>1725</v>
      </c>
      <c r="C398" s="30" t="s">
        <v>1820</v>
      </c>
      <c r="D398" s="30" t="s">
        <v>2030</v>
      </c>
      <c r="E398" s="30" t="s">
        <v>420</v>
      </c>
      <c r="F398" s="30" t="s">
        <v>2024</v>
      </c>
      <c r="G398" s="30" t="s">
        <v>1341</v>
      </c>
      <c r="H398" s="30" t="s">
        <v>1729</v>
      </c>
    </row>
    <row r="399" spans="1:9" hidden="1" x14ac:dyDescent="0.25">
      <c r="A399" s="30" t="s">
        <v>2023</v>
      </c>
      <c r="B399" s="30" t="s">
        <v>1725</v>
      </c>
      <c r="C399" s="30" t="s">
        <v>1820</v>
      </c>
      <c r="D399" s="30" t="s">
        <v>2031</v>
      </c>
      <c r="E399" s="30" t="s">
        <v>420</v>
      </c>
      <c r="F399" s="30" t="s">
        <v>2024</v>
      </c>
      <c r="G399" s="30" t="s">
        <v>1343</v>
      </c>
      <c r="H399" s="30" t="s">
        <v>1729</v>
      </c>
    </row>
    <row r="400" spans="1:9" hidden="1" x14ac:dyDescent="0.25">
      <c r="A400" s="30" t="s">
        <v>2023</v>
      </c>
      <c r="B400" s="30" t="s">
        <v>1725</v>
      </c>
      <c r="C400" s="30" t="s">
        <v>1820</v>
      </c>
      <c r="D400" s="30" t="s">
        <v>2032</v>
      </c>
      <c r="E400" s="30" t="s">
        <v>420</v>
      </c>
      <c r="F400" s="30" t="s">
        <v>2024</v>
      </c>
      <c r="G400" s="30" t="s">
        <v>1345</v>
      </c>
      <c r="H400" s="30" t="s">
        <v>1729</v>
      </c>
    </row>
    <row r="401" spans="1:8" hidden="1" x14ac:dyDescent="0.25">
      <c r="A401" s="30" t="s">
        <v>2023</v>
      </c>
      <c r="B401" s="30" t="s">
        <v>1725</v>
      </c>
      <c r="C401" s="30" t="s">
        <v>1820</v>
      </c>
      <c r="D401" s="30" t="s">
        <v>2033</v>
      </c>
      <c r="E401" s="30" t="s">
        <v>420</v>
      </c>
      <c r="F401" s="30" t="s">
        <v>2024</v>
      </c>
      <c r="G401" s="30" t="s">
        <v>1347</v>
      </c>
      <c r="H401" s="30" t="s">
        <v>1729</v>
      </c>
    </row>
    <row r="402" spans="1:8" hidden="1" x14ac:dyDescent="0.25">
      <c r="A402" s="30" t="s">
        <v>2023</v>
      </c>
      <c r="B402" s="30" t="s">
        <v>1725</v>
      </c>
      <c r="C402" s="30" t="s">
        <v>1820</v>
      </c>
      <c r="D402" s="30" t="s">
        <v>1349</v>
      </c>
      <c r="E402" s="30" t="s">
        <v>420</v>
      </c>
      <c r="F402" s="30" t="s">
        <v>2024</v>
      </c>
      <c r="G402" s="30" t="s">
        <v>1349</v>
      </c>
      <c r="H402" s="30" t="s">
        <v>1729</v>
      </c>
    </row>
    <row r="403" spans="1:8" hidden="1" x14ac:dyDescent="0.25">
      <c r="A403" s="30" t="s">
        <v>2023</v>
      </c>
      <c r="B403" s="30" t="s">
        <v>1725</v>
      </c>
      <c r="C403" s="30" t="s">
        <v>1820</v>
      </c>
      <c r="D403" s="30" t="s">
        <v>695</v>
      </c>
      <c r="E403" s="30" t="s">
        <v>420</v>
      </c>
      <c r="F403" s="30" t="s">
        <v>2024</v>
      </c>
      <c r="G403" s="30" t="s">
        <v>695</v>
      </c>
      <c r="H403" s="30" t="s">
        <v>1729</v>
      </c>
    </row>
    <row r="404" spans="1:8" hidden="1" x14ac:dyDescent="0.25">
      <c r="A404" s="30" t="s">
        <v>2023</v>
      </c>
      <c r="B404" s="30" t="s">
        <v>1725</v>
      </c>
      <c r="C404" s="30" t="s">
        <v>1820</v>
      </c>
      <c r="D404" s="30" t="s">
        <v>1352</v>
      </c>
      <c r="E404" s="30" t="s">
        <v>420</v>
      </c>
      <c r="F404" s="30" t="s">
        <v>2024</v>
      </c>
      <c r="G404" s="30" t="s">
        <v>1352</v>
      </c>
      <c r="H404" s="30" t="s">
        <v>1096</v>
      </c>
    </row>
    <row r="405" spans="1:8" hidden="1" x14ac:dyDescent="0.25">
      <c r="A405" s="30" t="s">
        <v>2023</v>
      </c>
      <c r="B405" s="30" t="s">
        <v>1725</v>
      </c>
      <c r="C405" s="30" t="s">
        <v>1820</v>
      </c>
      <c r="D405" s="30" t="s">
        <v>1354</v>
      </c>
      <c r="E405" s="30" t="s">
        <v>420</v>
      </c>
      <c r="F405" s="30" t="s">
        <v>2024</v>
      </c>
      <c r="G405" s="30" t="s">
        <v>1354</v>
      </c>
      <c r="H405" s="30" t="s">
        <v>1096</v>
      </c>
    </row>
    <row r="406" spans="1:8" hidden="1" x14ac:dyDescent="0.25">
      <c r="A406" s="30" t="s">
        <v>2023</v>
      </c>
      <c r="B406" s="30" t="s">
        <v>1725</v>
      </c>
      <c r="C406" s="30" t="s">
        <v>1820</v>
      </c>
      <c r="D406" s="30" t="s">
        <v>706</v>
      </c>
      <c r="E406" s="30" t="s">
        <v>420</v>
      </c>
      <c r="F406" s="30" t="s">
        <v>2024</v>
      </c>
      <c r="G406" s="30" t="s">
        <v>706</v>
      </c>
      <c r="H406" s="30" t="s">
        <v>1096</v>
      </c>
    </row>
    <row r="407" spans="1:8" hidden="1" x14ac:dyDescent="0.25">
      <c r="A407" s="30" t="s">
        <v>2023</v>
      </c>
      <c r="B407" s="30" t="s">
        <v>1725</v>
      </c>
      <c r="C407" s="30" t="s">
        <v>1820</v>
      </c>
      <c r="D407" s="30" t="s">
        <v>733</v>
      </c>
      <c r="E407" s="30" t="s">
        <v>420</v>
      </c>
      <c r="F407" s="30" t="s">
        <v>2024</v>
      </c>
      <c r="G407" s="30" t="s">
        <v>733</v>
      </c>
      <c r="H407" s="30" t="s">
        <v>1729</v>
      </c>
    </row>
    <row r="408" spans="1:8" hidden="1" x14ac:dyDescent="0.25">
      <c r="A408" s="30" t="s">
        <v>2023</v>
      </c>
      <c r="B408" s="30" t="s">
        <v>517</v>
      </c>
      <c r="C408" s="30" t="s">
        <v>1096</v>
      </c>
      <c r="D408" s="30"/>
      <c r="E408" s="30" t="s">
        <v>759</v>
      </c>
      <c r="F408" s="30" t="s">
        <v>2024</v>
      </c>
      <c r="G408" s="30" t="s">
        <v>517</v>
      </c>
      <c r="H408" s="30" t="s">
        <v>1096</v>
      </c>
    </row>
    <row r="409" spans="1:8" hidden="1" x14ac:dyDescent="0.25">
      <c r="A409" s="135" t="s">
        <v>2023</v>
      </c>
      <c r="B409" s="135" t="s">
        <v>812</v>
      </c>
      <c r="C409" s="135" t="s">
        <v>827</v>
      </c>
      <c r="D409" s="135"/>
      <c r="E409" s="135" t="s">
        <v>759</v>
      </c>
      <c r="F409" s="135" t="s">
        <v>2024</v>
      </c>
      <c r="G409" s="135" t="s">
        <v>812</v>
      </c>
      <c r="H409" s="135" t="s">
        <v>827</v>
      </c>
    </row>
    <row r="410" spans="1:8" hidden="1" x14ac:dyDescent="0.25">
      <c r="A410" s="28" t="s">
        <v>115</v>
      </c>
      <c r="B410" s="28" t="s">
        <v>1725</v>
      </c>
      <c r="C410" s="28" t="s">
        <v>1820</v>
      </c>
      <c r="D410" s="28" t="s">
        <v>2034</v>
      </c>
      <c r="E410" s="28" t="s">
        <v>420</v>
      </c>
      <c r="F410" s="28" t="s">
        <v>224</v>
      </c>
      <c r="G410" s="28" t="s">
        <v>2035</v>
      </c>
      <c r="H410" s="28" t="s">
        <v>1729</v>
      </c>
    </row>
    <row r="411" spans="1:8" hidden="1" x14ac:dyDescent="0.25">
      <c r="A411" s="30" t="s">
        <v>115</v>
      </c>
      <c r="B411" s="30" t="s">
        <v>1725</v>
      </c>
      <c r="C411" s="30" t="s">
        <v>1820</v>
      </c>
      <c r="D411" s="28" t="s">
        <v>2036</v>
      </c>
      <c r="E411" s="30" t="s">
        <v>420</v>
      </c>
      <c r="F411" s="30" t="s">
        <v>224</v>
      </c>
      <c r="G411" s="28" t="s">
        <v>2037</v>
      </c>
      <c r="H411" s="30" t="s">
        <v>1729</v>
      </c>
    </row>
    <row r="412" spans="1:8" hidden="1" x14ac:dyDescent="0.25">
      <c r="A412" s="30" t="s">
        <v>115</v>
      </c>
      <c r="B412" s="30" t="s">
        <v>1725</v>
      </c>
      <c r="C412" s="30" t="s">
        <v>1820</v>
      </c>
      <c r="D412" s="30" t="s">
        <v>2038</v>
      </c>
      <c r="E412" s="30" t="s">
        <v>420</v>
      </c>
      <c r="F412" s="30" t="s">
        <v>224</v>
      </c>
      <c r="G412" s="30" t="s">
        <v>2039</v>
      </c>
      <c r="H412" s="30" t="s">
        <v>1729</v>
      </c>
    </row>
    <row r="413" spans="1:8" hidden="1" x14ac:dyDescent="0.25">
      <c r="A413" s="30" t="s">
        <v>115</v>
      </c>
      <c r="B413" s="30" t="s">
        <v>1725</v>
      </c>
      <c r="C413" s="30" t="s">
        <v>1820</v>
      </c>
      <c r="D413" s="28" t="s">
        <v>2040</v>
      </c>
      <c r="E413" s="30" t="s">
        <v>420</v>
      </c>
      <c r="F413" s="28" t="s">
        <v>224</v>
      </c>
      <c r="G413" s="28" t="s">
        <v>2041</v>
      </c>
      <c r="H413" s="30" t="s">
        <v>1729</v>
      </c>
    </row>
    <row r="414" spans="1:8" hidden="1" x14ac:dyDescent="0.25">
      <c r="A414" s="30" t="s">
        <v>115</v>
      </c>
      <c r="B414" s="30" t="s">
        <v>1725</v>
      </c>
      <c r="C414" s="30" t="s">
        <v>1820</v>
      </c>
      <c r="D414" s="28" t="s">
        <v>2042</v>
      </c>
      <c r="E414" s="30" t="s">
        <v>420</v>
      </c>
      <c r="F414" s="28" t="s">
        <v>224</v>
      </c>
      <c r="G414" s="28" t="s">
        <v>2043</v>
      </c>
      <c r="H414" s="30" t="s">
        <v>1729</v>
      </c>
    </row>
    <row r="415" spans="1:8" hidden="1" x14ac:dyDescent="0.25">
      <c r="A415" s="30" t="s">
        <v>115</v>
      </c>
      <c r="B415" s="30" t="s">
        <v>1725</v>
      </c>
      <c r="C415" s="30" t="s">
        <v>1820</v>
      </c>
      <c r="D415" s="30" t="s">
        <v>388</v>
      </c>
      <c r="E415" s="30" t="s">
        <v>759</v>
      </c>
      <c r="F415" s="28" t="s">
        <v>224</v>
      </c>
      <c r="G415" s="30" t="s">
        <v>388</v>
      </c>
      <c r="H415" s="30" t="s">
        <v>1729</v>
      </c>
    </row>
    <row r="416" spans="1:8" hidden="1" x14ac:dyDescent="0.25">
      <c r="A416" s="30" t="s">
        <v>115</v>
      </c>
      <c r="B416" s="30" t="s">
        <v>517</v>
      </c>
      <c r="C416" s="30" t="s">
        <v>1096</v>
      </c>
      <c r="D416" s="30"/>
      <c r="E416" s="30" t="s">
        <v>759</v>
      </c>
      <c r="F416" s="28" t="s">
        <v>224</v>
      </c>
      <c r="G416" s="30" t="s">
        <v>517</v>
      </c>
      <c r="H416" s="162" t="s">
        <v>1096</v>
      </c>
    </row>
    <row r="417" spans="1:9" ht="14.4" hidden="1" thickBot="1" x14ac:dyDescent="0.3">
      <c r="A417" s="135" t="s">
        <v>115</v>
      </c>
      <c r="B417" s="135" t="s">
        <v>812</v>
      </c>
      <c r="C417" s="135" t="s">
        <v>827</v>
      </c>
      <c r="D417" s="135"/>
      <c r="E417" s="135" t="s">
        <v>759</v>
      </c>
      <c r="F417" s="135" t="s">
        <v>224</v>
      </c>
      <c r="G417" s="135" t="s">
        <v>812</v>
      </c>
      <c r="H417" s="164" t="s">
        <v>827</v>
      </c>
    </row>
    <row r="418" spans="1:9" x14ac:dyDescent="0.25">
      <c r="A418" s="166" t="s">
        <v>2131</v>
      </c>
      <c r="B418" s="166" t="s">
        <v>1725</v>
      </c>
      <c r="C418" s="166" t="s">
        <v>1820</v>
      </c>
      <c r="D418" s="166" t="s">
        <v>2133</v>
      </c>
      <c r="E418" s="166" t="s">
        <v>420</v>
      </c>
      <c r="F418" s="166" t="s">
        <v>2145</v>
      </c>
      <c r="G418" s="166" t="s">
        <v>2133</v>
      </c>
      <c r="H418" s="166" t="s">
        <v>1729</v>
      </c>
    </row>
    <row r="419" spans="1:9" x14ac:dyDescent="0.25">
      <c r="A419" s="167" t="s">
        <v>2131</v>
      </c>
      <c r="B419" s="167" t="s">
        <v>1725</v>
      </c>
      <c r="C419" s="167" t="s">
        <v>1820</v>
      </c>
      <c r="D419" s="167" t="s">
        <v>1811</v>
      </c>
      <c r="E419" s="167" t="s">
        <v>420</v>
      </c>
      <c r="F419" s="167" t="s">
        <v>2145</v>
      </c>
      <c r="G419" s="167" t="s">
        <v>1811</v>
      </c>
      <c r="H419" s="167" t="s">
        <v>1729</v>
      </c>
    </row>
    <row r="420" spans="1:9" x14ac:dyDescent="0.25">
      <c r="A420" s="167" t="s">
        <v>2131</v>
      </c>
      <c r="B420" s="167" t="s">
        <v>1725</v>
      </c>
      <c r="C420" s="167" t="s">
        <v>1820</v>
      </c>
      <c r="D420" s="167" t="s">
        <v>2134</v>
      </c>
      <c r="E420" s="167" t="s">
        <v>420</v>
      </c>
      <c r="F420" s="167" t="s">
        <v>2145</v>
      </c>
      <c r="G420" s="167" t="s">
        <v>2134</v>
      </c>
      <c r="H420" s="167" t="s">
        <v>1729</v>
      </c>
    </row>
    <row r="421" spans="1:9" x14ac:dyDescent="0.25">
      <c r="A421" s="167" t="s">
        <v>2131</v>
      </c>
      <c r="B421" s="167" t="s">
        <v>1725</v>
      </c>
      <c r="C421" s="167" t="s">
        <v>1820</v>
      </c>
      <c r="D421" s="167" t="s">
        <v>2135</v>
      </c>
      <c r="E421" s="167" t="s">
        <v>420</v>
      </c>
      <c r="F421" s="167" t="s">
        <v>2145</v>
      </c>
      <c r="G421" s="167" t="s">
        <v>2146</v>
      </c>
      <c r="H421" s="167" t="s">
        <v>1729</v>
      </c>
    </row>
    <row r="422" spans="1:9" x14ac:dyDescent="0.25">
      <c r="A422" s="167" t="s">
        <v>2131</v>
      </c>
      <c r="B422" s="167" t="s">
        <v>1725</v>
      </c>
      <c r="C422" s="167" t="s">
        <v>1820</v>
      </c>
      <c r="D422" s="167" t="s">
        <v>2136</v>
      </c>
      <c r="E422" s="167" t="s">
        <v>420</v>
      </c>
      <c r="F422" s="167" t="s">
        <v>2145</v>
      </c>
      <c r="G422" s="167" t="s">
        <v>2147</v>
      </c>
      <c r="H422" s="167" t="s">
        <v>1729</v>
      </c>
    </row>
    <row r="423" spans="1:9" x14ac:dyDescent="0.25">
      <c r="A423" s="167" t="s">
        <v>2131</v>
      </c>
      <c r="B423" s="167" t="s">
        <v>1725</v>
      </c>
      <c r="C423" s="167" t="s">
        <v>1820</v>
      </c>
      <c r="D423" s="167" t="s">
        <v>2137</v>
      </c>
      <c r="E423" s="167" t="s">
        <v>420</v>
      </c>
      <c r="F423" s="167" t="s">
        <v>2145</v>
      </c>
      <c r="G423" s="167" t="s">
        <v>2148</v>
      </c>
      <c r="H423" s="167" t="s">
        <v>1729</v>
      </c>
    </row>
    <row r="424" spans="1:9" x14ac:dyDescent="0.25">
      <c r="A424" s="167" t="s">
        <v>2131</v>
      </c>
      <c r="B424" s="167" t="s">
        <v>1725</v>
      </c>
      <c r="C424" s="167" t="s">
        <v>1820</v>
      </c>
      <c r="D424" s="167" t="s">
        <v>2156</v>
      </c>
      <c r="E424" s="167" t="s">
        <v>420</v>
      </c>
      <c r="F424" s="167" t="s">
        <v>2145</v>
      </c>
      <c r="G424" s="167" t="s">
        <v>2157</v>
      </c>
      <c r="H424" s="167" t="s">
        <v>1729</v>
      </c>
    </row>
    <row r="425" spans="1:9" x14ac:dyDescent="0.25">
      <c r="A425" s="167" t="s">
        <v>2131</v>
      </c>
      <c r="B425" s="167" t="s">
        <v>1725</v>
      </c>
      <c r="C425" s="167" t="s">
        <v>1820</v>
      </c>
      <c r="D425" s="167" t="s">
        <v>2138</v>
      </c>
      <c r="E425" s="167" t="s">
        <v>420</v>
      </c>
      <c r="F425" s="167" t="s">
        <v>2145</v>
      </c>
      <c r="G425" s="167" t="s">
        <v>2149</v>
      </c>
      <c r="H425" s="167" t="s">
        <v>1729</v>
      </c>
    </row>
    <row r="426" spans="1:9" x14ac:dyDescent="0.25">
      <c r="A426" s="167" t="s">
        <v>2131</v>
      </c>
      <c r="B426" s="167" t="s">
        <v>1725</v>
      </c>
      <c r="C426" s="167" t="s">
        <v>1820</v>
      </c>
      <c r="D426" s="167" t="s">
        <v>2139</v>
      </c>
      <c r="E426" s="167" t="s">
        <v>420</v>
      </c>
      <c r="F426" s="167" t="s">
        <v>2145</v>
      </c>
      <c r="G426" s="167" t="s">
        <v>2150</v>
      </c>
      <c r="H426" s="167" t="s">
        <v>1729</v>
      </c>
    </row>
    <row r="427" spans="1:9" x14ac:dyDescent="0.25">
      <c r="A427" s="167" t="s">
        <v>2131</v>
      </c>
      <c r="B427" s="167" t="s">
        <v>1725</v>
      </c>
      <c r="C427" s="167" t="s">
        <v>1820</v>
      </c>
      <c r="D427" s="167" t="s">
        <v>2140</v>
      </c>
      <c r="E427" s="167" t="s">
        <v>420</v>
      </c>
      <c r="F427" s="167" t="s">
        <v>2145</v>
      </c>
      <c r="G427" s="167" t="s">
        <v>2151</v>
      </c>
      <c r="H427" s="167" t="s">
        <v>302</v>
      </c>
    </row>
    <row r="428" spans="1:9" x14ac:dyDescent="0.25">
      <c r="A428" s="167" t="s">
        <v>2131</v>
      </c>
      <c r="B428" s="167" t="s">
        <v>1725</v>
      </c>
      <c r="C428" s="167" t="s">
        <v>1820</v>
      </c>
      <c r="D428" s="167" t="s">
        <v>2141</v>
      </c>
      <c r="E428" s="167" t="s">
        <v>420</v>
      </c>
      <c r="F428" s="167" t="s">
        <v>2145</v>
      </c>
      <c r="G428" s="167" t="s">
        <v>2152</v>
      </c>
      <c r="H428" s="167" t="s">
        <v>1093</v>
      </c>
      <c r="I428" s="157" t="s">
        <v>2028</v>
      </c>
    </row>
    <row r="429" spans="1:9" x14ac:dyDescent="0.25">
      <c r="A429" s="167" t="s">
        <v>2131</v>
      </c>
      <c r="B429" s="167" t="s">
        <v>1725</v>
      </c>
      <c r="C429" s="167" t="s">
        <v>1820</v>
      </c>
      <c r="D429" s="167" t="s">
        <v>2142</v>
      </c>
      <c r="E429" s="167" t="s">
        <v>420</v>
      </c>
      <c r="F429" s="167" t="s">
        <v>2145</v>
      </c>
      <c r="G429" s="167" t="s">
        <v>2153</v>
      </c>
      <c r="H429" s="167" t="s">
        <v>1729</v>
      </c>
    </row>
    <row r="430" spans="1:9" x14ac:dyDescent="0.25">
      <c r="A430" s="167" t="s">
        <v>2131</v>
      </c>
      <c r="B430" s="167" t="s">
        <v>1725</v>
      </c>
      <c r="C430" s="167" t="s">
        <v>1820</v>
      </c>
      <c r="D430" s="167" t="s">
        <v>2143</v>
      </c>
      <c r="E430" s="167" t="s">
        <v>420</v>
      </c>
      <c r="F430" s="167" t="s">
        <v>2145</v>
      </c>
      <c r="G430" s="167" t="s">
        <v>2154</v>
      </c>
      <c r="H430" s="167" t="s">
        <v>302</v>
      </c>
    </row>
    <row r="431" spans="1:9" x14ac:dyDescent="0.25">
      <c r="A431" s="167" t="s">
        <v>2131</v>
      </c>
      <c r="B431" s="167" t="s">
        <v>1725</v>
      </c>
      <c r="C431" s="167" t="s">
        <v>1820</v>
      </c>
      <c r="D431" s="167" t="s">
        <v>2144</v>
      </c>
      <c r="E431" s="167" t="s">
        <v>420</v>
      </c>
      <c r="F431" s="167" t="s">
        <v>2145</v>
      </c>
      <c r="G431" s="167" t="s">
        <v>2155</v>
      </c>
      <c r="H431" s="167" t="s">
        <v>302</v>
      </c>
    </row>
    <row r="432" spans="1:9" x14ac:dyDescent="0.25">
      <c r="A432" s="167" t="s">
        <v>2131</v>
      </c>
      <c r="B432" s="167" t="s">
        <v>433</v>
      </c>
      <c r="C432" s="167" t="s">
        <v>808</v>
      </c>
      <c r="D432" s="167"/>
      <c r="E432" s="167" t="s">
        <v>759</v>
      </c>
      <c r="F432" s="167" t="s">
        <v>2145</v>
      </c>
      <c r="G432" s="167" t="s">
        <v>433</v>
      </c>
      <c r="H432" s="167" t="s">
        <v>808</v>
      </c>
    </row>
    <row r="433" spans="1:8" x14ac:dyDescent="0.25">
      <c r="A433" s="167" t="s">
        <v>2131</v>
      </c>
      <c r="B433" s="167" t="s">
        <v>517</v>
      </c>
      <c r="C433" s="167" t="s">
        <v>1096</v>
      </c>
      <c r="D433" s="167"/>
      <c r="E433" s="167" t="s">
        <v>759</v>
      </c>
      <c r="F433" s="167" t="s">
        <v>2145</v>
      </c>
      <c r="G433" s="167" t="s">
        <v>517</v>
      </c>
      <c r="H433" s="230" t="s">
        <v>1096</v>
      </c>
    </row>
    <row r="434" spans="1:8" ht="14.4" thickBot="1" x14ac:dyDescent="0.3">
      <c r="A434" s="168" t="s">
        <v>2131</v>
      </c>
      <c r="B434" s="168" t="s">
        <v>812</v>
      </c>
      <c r="C434" s="168" t="s">
        <v>827</v>
      </c>
      <c r="D434" s="168"/>
      <c r="E434" s="168" t="s">
        <v>759</v>
      </c>
      <c r="F434" s="168" t="s">
        <v>2145</v>
      </c>
      <c r="G434" s="168" t="s">
        <v>812</v>
      </c>
      <c r="H434" s="231" t="s">
        <v>827</v>
      </c>
    </row>
  </sheetData>
  <autoFilter ref="A1:H434">
    <filterColumn colId="1">
      <colorFilter dxfId="1297" cellColor="0"/>
    </filterColumn>
  </autoFilter>
  <pageMargins left="0.7" right="0.7" top="0.75" bottom="0.75" header="0.51181102362204689" footer="0.51181102362204689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activeCell="C27" sqref="C27"/>
      <selection pane="bottomLeft" activeCell="B28" sqref="B28"/>
    </sheetView>
  </sheetViews>
  <sheetFormatPr defaultColWidth="8.6640625" defaultRowHeight="14.4" x14ac:dyDescent="0.3"/>
  <cols>
    <col min="1" max="1" width="37.33203125" style="118" customWidth="1"/>
    <col min="2" max="2" width="51" style="118" customWidth="1"/>
    <col min="3" max="3" width="53.44140625" style="118" customWidth="1"/>
    <col min="4" max="4" width="18.5546875" style="118" customWidth="1"/>
    <col min="5" max="5" width="42" style="118" customWidth="1"/>
    <col min="6" max="6" width="39.5546875" style="118" customWidth="1"/>
    <col min="7" max="16384" width="8.6640625" style="118"/>
  </cols>
  <sheetData>
    <row r="1" spans="1:14" ht="26.4" x14ac:dyDescent="0.3">
      <c r="A1" s="169" t="s">
        <v>2044</v>
      </c>
      <c r="B1" s="170" t="s">
        <v>2045</v>
      </c>
      <c r="C1" s="170" t="s">
        <v>2046</v>
      </c>
      <c r="D1" s="170" t="s">
        <v>262</v>
      </c>
      <c r="F1" s="171"/>
      <c r="G1" s="171"/>
      <c r="H1" s="171"/>
      <c r="I1" s="171"/>
      <c r="J1" s="171"/>
      <c r="K1" s="171"/>
      <c r="L1" s="171"/>
      <c r="M1" s="171"/>
      <c r="N1" s="171"/>
    </row>
    <row r="2" spans="1:14" x14ac:dyDescent="0.3">
      <c r="A2" s="172" t="s">
        <v>1728</v>
      </c>
      <c r="B2" s="172" t="s">
        <v>2047</v>
      </c>
      <c r="C2" s="172" t="s">
        <v>2048</v>
      </c>
      <c r="D2" s="173" t="s">
        <v>270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</row>
    <row r="3" spans="1:14" x14ac:dyDescent="0.3">
      <c r="A3" s="172" t="s">
        <v>1764</v>
      </c>
      <c r="B3" s="172" t="s">
        <v>2049</v>
      </c>
      <c r="C3" s="172" t="s">
        <v>2050</v>
      </c>
      <c r="D3" s="173" t="s">
        <v>270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14" x14ac:dyDescent="0.3">
      <c r="A4" s="172" t="s">
        <v>1784</v>
      </c>
      <c r="B4" s="172" t="s">
        <v>2051</v>
      </c>
      <c r="C4" s="172" t="s">
        <v>2052</v>
      </c>
      <c r="D4" s="173" t="s">
        <v>270</v>
      </c>
      <c r="E4" s="171"/>
      <c r="F4" s="174"/>
      <c r="G4" s="171"/>
      <c r="H4" s="171"/>
      <c r="I4" s="171"/>
      <c r="J4" s="171"/>
      <c r="K4" s="171"/>
      <c r="L4" s="171"/>
      <c r="M4" s="171"/>
      <c r="N4" s="171"/>
    </row>
    <row r="5" spans="1:14" x14ac:dyDescent="0.3">
      <c r="A5" s="172" t="s">
        <v>1793</v>
      </c>
      <c r="B5" s="172" t="s">
        <v>2053</v>
      </c>
      <c r="C5" s="172" t="s">
        <v>2054</v>
      </c>
      <c r="D5" s="173" t="s">
        <v>270</v>
      </c>
      <c r="E5" s="171"/>
      <c r="F5" s="171"/>
      <c r="G5" s="171"/>
      <c r="H5" s="171"/>
      <c r="I5" s="171"/>
      <c r="J5" s="171"/>
      <c r="K5" s="171"/>
      <c r="L5" s="171"/>
      <c r="M5" s="171"/>
      <c r="N5" s="171"/>
    </row>
    <row r="6" spans="1:14" x14ac:dyDescent="0.3">
      <c r="A6" s="172" t="s">
        <v>1802</v>
      </c>
      <c r="B6" s="172" t="s">
        <v>2055</v>
      </c>
      <c r="C6" s="172" t="s">
        <v>2056</v>
      </c>
      <c r="D6" s="173" t="s">
        <v>270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</row>
    <row r="7" spans="1:14" x14ac:dyDescent="0.3">
      <c r="A7" s="172" t="s">
        <v>1810</v>
      </c>
      <c r="B7" s="172" t="s">
        <v>2057</v>
      </c>
      <c r="C7" s="172" t="s">
        <v>2058</v>
      </c>
      <c r="D7" s="173" t="s">
        <v>270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</row>
    <row r="8" spans="1:14" x14ac:dyDescent="0.3">
      <c r="A8" s="172" t="s">
        <v>1828</v>
      </c>
      <c r="B8" s="172" t="s">
        <v>2059</v>
      </c>
      <c r="C8" s="10" t="s">
        <v>2060</v>
      </c>
      <c r="D8" s="173" t="s">
        <v>270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</row>
    <row r="9" spans="1:14" x14ac:dyDescent="0.3">
      <c r="A9" s="172" t="s">
        <v>1841</v>
      </c>
      <c r="B9" s="172" t="s">
        <v>2061</v>
      </c>
      <c r="C9" s="10" t="s">
        <v>2062</v>
      </c>
      <c r="D9" s="173" t="s">
        <v>270</v>
      </c>
      <c r="E9" s="171"/>
      <c r="F9" s="171"/>
      <c r="G9" s="171"/>
      <c r="H9" s="171"/>
      <c r="I9" s="171"/>
      <c r="J9" s="171"/>
      <c r="K9" s="171"/>
      <c r="L9" s="171"/>
      <c r="M9" s="171"/>
      <c r="N9" s="171"/>
    </row>
    <row r="10" spans="1:14" x14ac:dyDescent="0.3">
      <c r="A10" s="172" t="s">
        <v>1850</v>
      </c>
      <c r="B10" s="172" t="s">
        <v>2063</v>
      </c>
      <c r="C10" s="172" t="s">
        <v>2064</v>
      </c>
      <c r="D10" s="173" t="s">
        <v>270</v>
      </c>
      <c r="E10" s="171"/>
      <c r="F10" s="171"/>
      <c r="G10" s="171"/>
      <c r="H10" s="171"/>
      <c r="I10" s="171"/>
      <c r="J10" s="171"/>
      <c r="K10" s="171"/>
      <c r="L10" s="171"/>
      <c r="M10" s="171"/>
      <c r="N10" s="171"/>
    </row>
    <row r="11" spans="1:14" x14ac:dyDescent="0.3">
      <c r="A11" s="172" t="s">
        <v>1890</v>
      </c>
      <c r="B11" s="172" t="s">
        <v>2065</v>
      </c>
      <c r="C11" s="172" t="s">
        <v>2066</v>
      </c>
      <c r="D11" s="173" t="s">
        <v>270</v>
      </c>
      <c r="E11" s="171"/>
      <c r="F11" s="171"/>
      <c r="G11" s="171"/>
      <c r="H11" s="171"/>
      <c r="I11" s="171"/>
      <c r="J11" s="171"/>
      <c r="K11" s="171"/>
      <c r="L11" s="171"/>
      <c r="M11" s="171"/>
      <c r="N11" s="171"/>
    </row>
    <row r="12" spans="1:14" x14ac:dyDescent="0.3">
      <c r="A12" s="172" t="s">
        <v>1950</v>
      </c>
      <c r="B12" s="172" t="s">
        <v>2067</v>
      </c>
      <c r="C12" s="172" t="s">
        <v>2068</v>
      </c>
      <c r="D12" s="173" t="s">
        <v>270</v>
      </c>
      <c r="E12" s="171"/>
      <c r="F12" s="171"/>
      <c r="G12" s="171"/>
      <c r="H12" s="171"/>
      <c r="I12" s="171"/>
      <c r="J12" s="171"/>
      <c r="K12" s="171"/>
      <c r="L12" s="171"/>
      <c r="M12" s="171"/>
      <c r="N12" s="171"/>
    </row>
    <row r="13" spans="1:14" x14ac:dyDescent="0.3">
      <c r="A13" s="172" t="s">
        <v>1955</v>
      </c>
      <c r="B13" s="172" t="s">
        <v>2069</v>
      </c>
      <c r="C13" s="172" t="s">
        <v>2070</v>
      </c>
      <c r="D13" s="173" t="s">
        <v>270</v>
      </c>
      <c r="E13" s="171"/>
      <c r="F13" s="171"/>
      <c r="G13" s="171"/>
      <c r="H13" s="171"/>
      <c r="I13" s="171"/>
      <c r="J13" s="171"/>
      <c r="K13" s="171"/>
      <c r="L13" s="171"/>
      <c r="M13" s="171"/>
      <c r="N13" s="171"/>
    </row>
    <row r="14" spans="1:14" x14ac:dyDescent="0.3">
      <c r="A14" s="10" t="s">
        <v>1958</v>
      </c>
      <c r="B14" s="10" t="s">
        <v>2071</v>
      </c>
      <c r="C14" s="10" t="s">
        <v>2072</v>
      </c>
      <c r="D14" s="173" t="s">
        <v>270</v>
      </c>
      <c r="E14" s="171"/>
      <c r="F14" s="171"/>
      <c r="H14" s="171"/>
      <c r="I14" s="171"/>
      <c r="J14" s="171"/>
      <c r="K14" s="171"/>
      <c r="L14" s="171"/>
      <c r="M14" s="171"/>
      <c r="N14" s="171"/>
    </row>
    <row r="15" spans="1:14" x14ac:dyDescent="0.3">
      <c r="A15" s="10" t="s">
        <v>1963</v>
      </c>
      <c r="B15" s="10" t="s">
        <v>2073</v>
      </c>
      <c r="C15" s="10" t="s">
        <v>2074</v>
      </c>
      <c r="D15" s="175" t="s">
        <v>270</v>
      </c>
      <c r="E15" s="171"/>
      <c r="F15" s="171"/>
      <c r="H15" s="171"/>
      <c r="I15" s="171"/>
      <c r="J15" s="171"/>
      <c r="K15" s="171"/>
      <c r="L15" s="171"/>
      <c r="M15" s="171"/>
      <c r="N15" s="171"/>
    </row>
    <row r="16" spans="1:14" x14ac:dyDescent="0.3">
      <c r="A16" s="10" t="s">
        <v>1966</v>
      </c>
      <c r="B16" s="10" t="s">
        <v>2075</v>
      </c>
      <c r="C16" s="10" t="s">
        <v>2076</v>
      </c>
      <c r="D16" s="173" t="s">
        <v>270</v>
      </c>
      <c r="E16" s="171"/>
      <c r="F16" s="171"/>
      <c r="G16" s="171"/>
      <c r="H16" s="171"/>
      <c r="I16" s="171"/>
      <c r="J16" s="171"/>
      <c r="K16" s="171"/>
      <c r="L16" s="171"/>
      <c r="M16" s="171"/>
      <c r="N16" s="171"/>
    </row>
    <row r="17" spans="1:14" x14ac:dyDescent="0.3">
      <c r="A17" s="10" t="s">
        <v>1969</v>
      </c>
      <c r="B17" s="10" t="s">
        <v>2077</v>
      </c>
      <c r="C17" s="10" t="s">
        <v>2078</v>
      </c>
      <c r="D17" s="173" t="s">
        <v>270</v>
      </c>
      <c r="E17" s="171"/>
      <c r="F17" s="171"/>
      <c r="G17" s="171"/>
      <c r="H17" s="171"/>
      <c r="I17" s="171"/>
      <c r="J17" s="171"/>
      <c r="K17" s="171"/>
      <c r="L17" s="171"/>
      <c r="M17" s="171"/>
      <c r="N17" s="171"/>
    </row>
    <row r="18" spans="1:14" x14ac:dyDescent="0.3">
      <c r="A18" s="10" t="s">
        <v>2004</v>
      </c>
      <c r="B18" s="10" t="s">
        <v>2079</v>
      </c>
      <c r="C18" s="10" t="s">
        <v>2080</v>
      </c>
      <c r="D18" s="175" t="s">
        <v>270</v>
      </c>
      <c r="E18" s="171"/>
      <c r="F18" s="171"/>
      <c r="G18" s="171"/>
      <c r="H18" s="171"/>
      <c r="I18" s="171"/>
      <c r="J18" s="171"/>
      <c r="K18" s="171"/>
      <c r="L18" s="171"/>
      <c r="M18" s="171"/>
      <c r="N18" s="171"/>
    </row>
    <row r="19" spans="1:14" x14ac:dyDescent="0.3">
      <c r="A19" s="10" t="s">
        <v>1863</v>
      </c>
      <c r="B19" s="10" t="s">
        <v>2081</v>
      </c>
      <c r="C19" s="10" t="s">
        <v>2082</v>
      </c>
      <c r="D19" s="173" t="s">
        <v>270</v>
      </c>
      <c r="E19" s="171"/>
      <c r="F19" s="171"/>
      <c r="G19" s="171"/>
      <c r="H19" s="171"/>
      <c r="I19" s="171"/>
      <c r="J19" s="171"/>
      <c r="K19" s="171"/>
      <c r="L19" s="171"/>
      <c r="M19" s="171"/>
      <c r="N19" s="171"/>
    </row>
    <row r="20" spans="1:14" x14ac:dyDescent="0.3">
      <c r="A20" s="10" t="s">
        <v>2006</v>
      </c>
      <c r="B20" s="10" t="s">
        <v>2083</v>
      </c>
      <c r="C20" s="10" t="s">
        <v>2084</v>
      </c>
      <c r="D20" s="173" t="s">
        <v>270</v>
      </c>
      <c r="E20" s="171"/>
      <c r="F20" s="171"/>
      <c r="G20" s="171"/>
      <c r="H20" s="171"/>
      <c r="I20" s="171"/>
      <c r="J20" s="171"/>
      <c r="K20" s="171"/>
      <c r="L20" s="171"/>
      <c r="M20" s="171"/>
      <c r="N20" s="171"/>
    </row>
    <row r="21" spans="1:14" x14ac:dyDescent="0.3">
      <c r="A21" s="10" t="s">
        <v>1960</v>
      </c>
      <c r="B21" s="10" t="s">
        <v>2085</v>
      </c>
      <c r="C21" s="10" t="s">
        <v>2086</v>
      </c>
      <c r="D21" s="173" t="s">
        <v>270</v>
      </c>
      <c r="E21" s="171"/>
      <c r="F21" s="171"/>
      <c r="G21" s="171"/>
      <c r="H21" s="171"/>
      <c r="I21" s="171"/>
      <c r="J21" s="171"/>
      <c r="K21" s="171"/>
      <c r="L21" s="171"/>
      <c r="M21" s="171"/>
      <c r="N21" s="171"/>
    </row>
    <row r="22" spans="1:14" x14ac:dyDescent="0.3">
      <c r="A22" s="10" t="s">
        <v>184</v>
      </c>
      <c r="B22" s="10" t="s">
        <v>2087</v>
      </c>
      <c r="C22" s="10" t="s">
        <v>2088</v>
      </c>
      <c r="D22" s="173" t="s">
        <v>270</v>
      </c>
      <c r="E22" s="171"/>
      <c r="F22" s="171"/>
      <c r="G22" s="171"/>
      <c r="H22" s="171"/>
      <c r="I22" s="171"/>
      <c r="J22" s="171"/>
      <c r="K22" s="171"/>
      <c r="L22" s="171"/>
      <c r="M22" s="171"/>
      <c r="N22" s="171"/>
    </row>
    <row r="23" spans="1:14" x14ac:dyDescent="0.3">
      <c r="A23" s="172" t="s">
        <v>2024</v>
      </c>
      <c r="B23" s="172" t="s">
        <v>2089</v>
      </c>
      <c r="C23" s="172" t="s">
        <v>2090</v>
      </c>
      <c r="D23" s="173" t="s">
        <v>270</v>
      </c>
      <c r="E23" s="171"/>
      <c r="F23" s="171"/>
      <c r="G23" s="171"/>
      <c r="H23" s="171"/>
      <c r="I23" s="171"/>
      <c r="J23" s="171"/>
      <c r="K23" s="171"/>
      <c r="L23" s="171"/>
      <c r="M23" s="171"/>
      <c r="N23" s="171"/>
    </row>
    <row r="24" spans="1:14" x14ac:dyDescent="0.3">
      <c r="A24" s="10" t="s">
        <v>224</v>
      </c>
      <c r="B24" s="172" t="s">
        <v>2091</v>
      </c>
      <c r="C24" s="172" t="s">
        <v>226</v>
      </c>
      <c r="D24" s="173" t="s">
        <v>270</v>
      </c>
      <c r="E24" s="171"/>
      <c r="F24" s="171"/>
      <c r="G24" s="171"/>
      <c r="H24" s="171"/>
      <c r="I24" s="171"/>
      <c r="J24" s="171"/>
      <c r="K24" s="171"/>
      <c r="L24" s="171"/>
      <c r="M24" s="171"/>
      <c r="N24" s="171"/>
    </row>
    <row r="25" spans="1:14" x14ac:dyDescent="0.3">
      <c r="A25" s="254" t="s">
        <v>2145</v>
      </c>
      <c r="B25" s="254" t="s">
        <v>2183</v>
      </c>
      <c r="C25" s="254" t="s">
        <v>2184</v>
      </c>
      <c r="D25" s="255" t="s">
        <v>270</v>
      </c>
      <c r="E25" s="171"/>
      <c r="F25" s="171"/>
      <c r="G25" s="171"/>
      <c r="H25" s="171"/>
      <c r="I25" s="171"/>
      <c r="J25" s="171"/>
      <c r="K25" s="171"/>
      <c r="L25" s="171"/>
      <c r="M25" s="171"/>
      <c r="N25" s="171"/>
    </row>
    <row r="26" spans="1:14" x14ac:dyDescent="0.3"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</row>
    <row r="27" spans="1:14" x14ac:dyDescent="0.3"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</row>
    <row r="28" spans="1:14" x14ac:dyDescent="0.3"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</row>
    <row r="29" spans="1:14" x14ac:dyDescent="0.3"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</row>
    <row r="30" spans="1:14" x14ac:dyDescent="0.3"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</row>
    <row r="31" spans="1:14" x14ac:dyDescent="0.3"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</row>
    <row r="32" spans="1:14" x14ac:dyDescent="0.3"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</row>
    <row r="33" spans="2:14" x14ac:dyDescent="0.3"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2:14" x14ac:dyDescent="0.3"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</row>
    <row r="35" spans="2:14" x14ac:dyDescent="0.3"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</row>
  </sheetData>
  <conditionalFormatting sqref="C8:C9">
    <cfRule type="expression" dxfId="1" priority="2">
      <formula>#REF!&lt;&gt;#REF!</formula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6" activePane="bottomLeft" state="frozen"/>
      <selection activeCell="E32" sqref="E32"/>
      <selection pane="bottomLeft" activeCell="B26" sqref="B26"/>
    </sheetView>
  </sheetViews>
  <sheetFormatPr defaultColWidth="8.6640625" defaultRowHeight="14.4" x14ac:dyDescent="0.3"/>
  <cols>
    <col min="1" max="1" width="44.5546875" style="176" customWidth="1"/>
    <col min="2" max="2" width="49.44140625" style="118" customWidth="1"/>
    <col min="3" max="3" width="31.109375" style="118" customWidth="1"/>
    <col min="4" max="4" width="13.88671875" style="118" customWidth="1"/>
    <col min="5" max="5" width="33.33203125" style="118" customWidth="1"/>
    <col min="6" max="16384" width="8.6640625" style="118"/>
  </cols>
  <sheetData>
    <row r="1" spans="1:5" ht="15" customHeight="1" x14ac:dyDescent="0.3">
      <c r="A1" s="316" t="s">
        <v>2092</v>
      </c>
      <c r="B1" s="317"/>
      <c r="C1" s="317"/>
      <c r="D1" s="157"/>
    </row>
    <row r="2" spans="1:5" s="177" customFormat="1" x14ac:dyDescent="0.3">
      <c r="A2" s="159" t="s">
        <v>2093</v>
      </c>
      <c r="B2" s="178" t="s">
        <v>2094</v>
      </c>
      <c r="C2" s="178" t="s">
        <v>2095</v>
      </c>
      <c r="D2" s="178" t="s">
        <v>262</v>
      </c>
      <c r="E2" s="179"/>
    </row>
    <row r="3" spans="1:5" x14ac:dyDescent="0.3">
      <c r="A3" s="172" t="s">
        <v>2048</v>
      </c>
      <c r="B3" s="172" t="s">
        <v>208</v>
      </c>
      <c r="C3" s="172"/>
      <c r="D3" s="172" t="s">
        <v>270</v>
      </c>
      <c r="E3" s="180"/>
    </row>
    <row r="4" spans="1:5" x14ac:dyDescent="0.3">
      <c r="A4" s="172" t="s">
        <v>2050</v>
      </c>
      <c r="B4" s="172" t="s">
        <v>41</v>
      </c>
      <c r="C4" s="172"/>
      <c r="D4" s="172" t="s">
        <v>270</v>
      </c>
    </row>
    <row r="5" spans="1:5" x14ac:dyDescent="0.3">
      <c r="A5" s="172" t="s">
        <v>2052</v>
      </c>
      <c r="B5" s="172" t="s">
        <v>42</v>
      </c>
      <c r="C5" s="172"/>
      <c r="D5" s="172" t="s">
        <v>270</v>
      </c>
    </row>
    <row r="6" spans="1:5" x14ac:dyDescent="0.3">
      <c r="A6" s="172" t="s">
        <v>2054</v>
      </c>
      <c r="B6" s="172" t="s">
        <v>43</v>
      </c>
      <c r="C6" s="172"/>
      <c r="D6" s="172" t="s">
        <v>270</v>
      </c>
    </row>
    <row r="7" spans="1:5" x14ac:dyDescent="0.3">
      <c r="A7" s="172" t="s">
        <v>2056</v>
      </c>
      <c r="B7" s="172" t="s">
        <v>44</v>
      </c>
      <c r="C7" s="172"/>
      <c r="D7" s="172" t="s">
        <v>270</v>
      </c>
    </row>
    <row r="8" spans="1:5" x14ac:dyDescent="0.3">
      <c r="A8" s="172" t="s">
        <v>2058</v>
      </c>
      <c r="B8" s="172" t="s">
        <v>45</v>
      </c>
      <c r="C8" s="172"/>
      <c r="D8" s="172" t="s">
        <v>270</v>
      </c>
    </row>
    <row r="9" spans="1:5" x14ac:dyDescent="0.3">
      <c r="A9" s="172" t="s">
        <v>2060</v>
      </c>
      <c r="B9" s="172" t="s">
        <v>56</v>
      </c>
      <c r="C9" s="172"/>
      <c r="D9" s="172" t="s">
        <v>270</v>
      </c>
    </row>
    <row r="10" spans="1:5" x14ac:dyDescent="0.3">
      <c r="A10" s="172" t="s">
        <v>2064</v>
      </c>
      <c r="B10" s="172" t="s">
        <v>57</v>
      </c>
      <c r="C10" s="172"/>
      <c r="D10" s="172" t="s">
        <v>270</v>
      </c>
    </row>
    <row r="11" spans="1:5" x14ac:dyDescent="0.3">
      <c r="A11" s="172" t="s">
        <v>2062</v>
      </c>
      <c r="B11" s="172" t="s">
        <v>471</v>
      </c>
      <c r="C11" s="172"/>
      <c r="D11" s="172" t="s">
        <v>270</v>
      </c>
    </row>
    <row r="12" spans="1:5" x14ac:dyDescent="0.3">
      <c r="A12" s="172" t="s">
        <v>2066</v>
      </c>
      <c r="B12" s="172" t="s">
        <v>166</v>
      </c>
      <c r="C12" s="172"/>
      <c r="D12" s="172" t="s">
        <v>270</v>
      </c>
    </row>
    <row r="13" spans="1:5" x14ac:dyDescent="0.3">
      <c r="A13" s="172" t="s">
        <v>2068</v>
      </c>
      <c r="B13" s="172" t="s">
        <v>160</v>
      </c>
      <c r="C13" s="172"/>
      <c r="D13" s="172" t="s">
        <v>270</v>
      </c>
    </row>
    <row r="14" spans="1:5" x14ac:dyDescent="0.3">
      <c r="A14" s="172" t="s">
        <v>2070</v>
      </c>
      <c r="B14" s="172" t="s">
        <v>552</v>
      </c>
      <c r="C14" s="172"/>
      <c r="D14" s="172" t="s">
        <v>270</v>
      </c>
    </row>
    <row r="15" spans="1:5" x14ac:dyDescent="0.3">
      <c r="A15" s="172" t="s">
        <v>2072</v>
      </c>
      <c r="B15" s="172" t="s">
        <v>1234</v>
      </c>
      <c r="C15" s="172"/>
      <c r="D15" s="172" t="s">
        <v>270</v>
      </c>
    </row>
    <row r="16" spans="1:5" x14ac:dyDescent="0.3">
      <c r="A16" s="172" t="s">
        <v>2074</v>
      </c>
      <c r="B16" s="172" t="s">
        <v>1237</v>
      </c>
      <c r="C16" s="172"/>
      <c r="D16" s="172" t="s">
        <v>270</v>
      </c>
    </row>
    <row r="17" spans="1:4" x14ac:dyDescent="0.3">
      <c r="A17" s="172" t="s">
        <v>2076</v>
      </c>
      <c r="B17" s="172" t="s">
        <v>1242</v>
      </c>
      <c r="C17" s="172"/>
      <c r="D17" s="172" t="s">
        <v>270</v>
      </c>
    </row>
    <row r="18" spans="1:4" x14ac:dyDescent="0.3">
      <c r="A18" s="172" t="s">
        <v>2078</v>
      </c>
      <c r="B18" s="172" t="s">
        <v>149</v>
      </c>
      <c r="C18" s="172"/>
      <c r="D18" s="172" t="s">
        <v>270</v>
      </c>
    </row>
    <row r="19" spans="1:4" x14ac:dyDescent="0.3">
      <c r="A19" s="172" t="s">
        <v>2080</v>
      </c>
      <c r="B19" s="172" t="s">
        <v>150</v>
      </c>
      <c r="C19" s="172"/>
      <c r="D19" s="172" t="s">
        <v>270</v>
      </c>
    </row>
    <row r="20" spans="1:4" x14ac:dyDescent="0.3">
      <c r="A20" s="172" t="s">
        <v>2082</v>
      </c>
      <c r="B20" s="172" t="s">
        <v>151</v>
      </c>
      <c r="C20" s="172"/>
      <c r="D20" s="172" t="s">
        <v>270</v>
      </c>
    </row>
    <row r="21" spans="1:4" x14ac:dyDescent="0.3">
      <c r="A21" s="172" t="s">
        <v>2086</v>
      </c>
      <c r="B21" s="10" t="s">
        <v>175</v>
      </c>
      <c r="C21" s="10"/>
      <c r="D21" s="172" t="s">
        <v>270</v>
      </c>
    </row>
    <row r="22" spans="1:4" x14ac:dyDescent="0.3">
      <c r="A22" s="172" t="s">
        <v>2084</v>
      </c>
      <c r="B22" s="172" t="s">
        <v>177</v>
      </c>
      <c r="C22" s="172" t="s">
        <v>2096</v>
      </c>
      <c r="D22" s="172" t="s">
        <v>270</v>
      </c>
    </row>
    <row r="23" spans="1:4" x14ac:dyDescent="0.3">
      <c r="A23" s="10" t="s">
        <v>2088</v>
      </c>
      <c r="B23" s="10" t="s">
        <v>186</v>
      </c>
      <c r="C23" s="10"/>
      <c r="D23" s="10" t="s">
        <v>270</v>
      </c>
    </row>
    <row r="24" spans="1:4" x14ac:dyDescent="0.3">
      <c r="A24" s="172" t="s">
        <v>2090</v>
      </c>
      <c r="B24" s="172" t="s">
        <v>196</v>
      </c>
      <c r="C24" s="125"/>
      <c r="D24" s="10" t="s">
        <v>270</v>
      </c>
    </row>
    <row r="25" spans="1:4" x14ac:dyDescent="0.3">
      <c r="A25" s="172" t="s">
        <v>226</v>
      </c>
      <c r="B25" s="172" t="s">
        <v>228</v>
      </c>
      <c r="C25" s="172"/>
      <c r="D25" s="172" t="s">
        <v>270</v>
      </c>
    </row>
    <row r="26" spans="1:4" x14ac:dyDescent="0.3">
      <c r="A26" s="254" t="s">
        <v>2184</v>
      </c>
      <c r="B26" s="235" t="s">
        <v>2185</v>
      </c>
      <c r="C26" s="256"/>
      <c r="D26" s="254" t="s">
        <v>270</v>
      </c>
    </row>
  </sheetData>
  <mergeCells count="1">
    <mergeCell ref="A1:C1"/>
  </mergeCells>
  <pageMargins left="0.7" right="0.7" top="0.75" bottom="0.75" header="0.51181102362204689" footer="0.51181102362204689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110" workbookViewId="0">
      <pane ySplit="2" topLeftCell="A3" activePane="bottomLeft" state="frozen"/>
      <selection pane="bottomLeft"/>
    </sheetView>
  </sheetViews>
  <sheetFormatPr defaultColWidth="31.5546875" defaultRowHeight="13.8" x14ac:dyDescent="0.3"/>
  <cols>
    <col min="1" max="1" width="33.88671875" style="181" customWidth="1"/>
    <col min="2" max="2" width="16" style="181" customWidth="1"/>
    <col min="3" max="3" width="58.6640625" style="182" customWidth="1"/>
    <col min="4" max="4" width="22.6640625" style="181" customWidth="1"/>
    <col min="5" max="5" width="31.5546875" style="181"/>
    <col min="6" max="6" width="15.6640625" style="181" customWidth="1"/>
    <col min="7" max="7" width="14.44140625" style="181" customWidth="1"/>
    <col min="8" max="16384" width="31.5546875" style="181"/>
  </cols>
  <sheetData>
    <row r="1" spans="1:7" ht="15" customHeight="1" x14ac:dyDescent="0.3">
      <c r="B1" s="1" t="s">
        <v>2097</v>
      </c>
      <c r="C1" s="181"/>
    </row>
    <row r="2" spans="1:7" s="183" customFormat="1" ht="15" customHeight="1" x14ac:dyDescent="0.3">
      <c r="A2" s="184" t="s">
        <v>2098</v>
      </c>
      <c r="B2" s="184" t="s">
        <v>2099</v>
      </c>
      <c r="C2" s="185" t="s">
        <v>2100</v>
      </c>
      <c r="D2" s="185" t="s">
        <v>263</v>
      </c>
      <c r="E2" s="185" t="s">
        <v>2101</v>
      </c>
      <c r="F2" s="186" t="s">
        <v>5</v>
      </c>
      <c r="G2" s="187" t="s">
        <v>2102</v>
      </c>
    </row>
    <row r="3" spans="1:7" ht="12" customHeight="1" x14ac:dyDescent="0.3">
      <c r="A3" s="188"/>
      <c r="B3" s="189"/>
      <c r="C3" s="188"/>
      <c r="D3" s="188"/>
      <c r="E3" s="188"/>
      <c r="F3" s="188"/>
      <c r="G3" s="188"/>
    </row>
    <row r="4" spans="1:7" ht="12" customHeight="1" x14ac:dyDescent="0.3">
      <c r="A4" s="190"/>
      <c r="B4" s="190"/>
      <c r="C4" s="188"/>
      <c r="D4" s="188"/>
      <c r="E4" s="188"/>
      <c r="F4" s="188"/>
      <c r="G4" s="188"/>
    </row>
    <row r="5" spans="1:7" ht="12" customHeight="1" x14ac:dyDescent="0.3">
      <c r="A5" s="190"/>
      <c r="B5" s="190"/>
      <c r="C5" s="188"/>
      <c r="D5" s="188"/>
      <c r="E5" s="188"/>
      <c r="F5" s="188"/>
      <c r="G5" s="188"/>
    </row>
    <row r="6" spans="1:7" ht="12" customHeight="1" x14ac:dyDescent="0.3">
      <c r="A6" s="190"/>
      <c r="B6" s="190"/>
      <c r="C6" s="188"/>
      <c r="D6" s="188"/>
      <c r="E6" s="188"/>
      <c r="F6" s="188"/>
      <c r="G6" s="188"/>
    </row>
    <row r="7" spans="1:7" ht="12" customHeight="1" x14ac:dyDescent="0.3">
      <c r="A7" s="188"/>
      <c r="B7" s="191"/>
      <c r="C7" s="188"/>
      <c r="D7" s="188"/>
      <c r="E7" s="188"/>
      <c r="F7" s="188"/>
      <c r="G7" s="188"/>
    </row>
    <row r="8" spans="1:7" ht="12" customHeight="1" x14ac:dyDescent="0.3">
      <c r="A8" s="188"/>
      <c r="B8" s="188"/>
      <c r="C8" s="188"/>
      <c r="D8" s="188"/>
      <c r="E8" s="188"/>
      <c r="F8" s="188"/>
      <c r="G8" s="188"/>
    </row>
    <row r="9" spans="1:7" ht="12" customHeight="1" x14ac:dyDescent="0.3">
      <c r="A9" s="188"/>
      <c r="B9" s="188"/>
      <c r="C9" s="188"/>
      <c r="D9" s="188"/>
      <c r="E9" s="188"/>
      <c r="F9" s="188"/>
      <c r="G9" s="188"/>
    </row>
    <row r="10" spans="1:7" ht="12" customHeight="1" x14ac:dyDescent="0.3">
      <c r="A10" s="188"/>
      <c r="B10" s="188"/>
      <c r="C10" s="188"/>
      <c r="D10" s="188"/>
      <c r="E10" s="188"/>
      <c r="F10" s="188"/>
      <c r="G10" s="188"/>
    </row>
    <row r="11" spans="1:7" ht="12.75" customHeight="1" x14ac:dyDescent="0.3">
      <c r="A11" s="188"/>
      <c r="B11" s="188"/>
      <c r="C11" s="188"/>
      <c r="D11" s="188"/>
      <c r="E11" s="188"/>
      <c r="F11" s="188"/>
      <c r="G11" s="188"/>
    </row>
    <row r="12" spans="1:7" ht="12" customHeight="1" x14ac:dyDescent="0.3">
      <c r="A12" s="188"/>
      <c r="B12" s="188"/>
      <c r="C12" s="188"/>
      <c r="D12" s="188"/>
      <c r="E12" s="188"/>
      <c r="F12" s="188"/>
      <c r="G12" s="188"/>
    </row>
    <row r="13" spans="1:7" ht="12" customHeight="1" x14ac:dyDescent="0.3">
      <c r="A13" s="188"/>
      <c r="B13" s="188"/>
      <c r="C13" s="188"/>
      <c r="D13" s="188"/>
      <c r="E13" s="188"/>
      <c r="F13" s="188"/>
      <c r="G13" s="188"/>
    </row>
    <row r="14" spans="1:7" ht="12" customHeight="1" x14ac:dyDescent="0.3">
      <c r="A14" s="188"/>
      <c r="B14" s="188"/>
      <c r="C14" s="188"/>
      <c r="D14" s="188"/>
      <c r="E14" s="188"/>
      <c r="F14" s="188"/>
      <c r="G14" s="188"/>
    </row>
    <row r="15" spans="1:7" ht="12" customHeight="1" x14ac:dyDescent="0.3">
      <c r="A15" s="188"/>
      <c r="B15" s="188"/>
      <c r="C15" s="188"/>
      <c r="D15" s="188"/>
      <c r="E15" s="188"/>
      <c r="F15" s="188"/>
      <c r="G15" s="188"/>
    </row>
    <row r="16" spans="1:7" ht="12" customHeight="1" x14ac:dyDescent="0.3">
      <c r="A16" s="192"/>
      <c r="B16" s="192"/>
      <c r="C16" s="188"/>
      <c r="D16" s="188"/>
      <c r="E16" s="188"/>
      <c r="F16" s="188"/>
      <c r="G16" s="188"/>
    </row>
    <row r="17" spans="1:7" ht="12" customHeight="1" x14ac:dyDescent="0.3">
      <c r="A17" s="192"/>
      <c r="B17" s="192"/>
      <c r="C17" s="188"/>
      <c r="D17" s="188"/>
      <c r="E17" s="188"/>
      <c r="F17" s="188"/>
      <c r="G17" s="188"/>
    </row>
    <row r="18" spans="1:7" ht="11.25" customHeight="1" x14ac:dyDescent="0.3">
      <c r="A18" s="193"/>
      <c r="B18" s="193"/>
      <c r="C18" s="188"/>
      <c r="D18" s="188"/>
      <c r="E18" s="188"/>
      <c r="F18" s="188"/>
      <c r="G18" s="188"/>
    </row>
    <row r="19" spans="1:7" ht="11.25" customHeight="1" x14ac:dyDescent="0.3">
      <c r="A19" s="193"/>
      <c r="B19" s="193"/>
      <c r="C19" s="188"/>
      <c r="D19" s="188"/>
      <c r="E19" s="188"/>
      <c r="F19" s="188"/>
      <c r="G19" s="188"/>
    </row>
    <row r="20" spans="1:7" ht="12.75" customHeight="1" x14ac:dyDescent="0.3">
      <c r="A20" s="193"/>
      <c r="B20" s="193"/>
      <c r="C20" s="188"/>
      <c r="D20" s="188"/>
      <c r="E20" s="188"/>
      <c r="F20" s="188"/>
      <c r="G20" s="188"/>
    </row>
    <row r="21" spans="1:7" ht="12" customHeight="1" x14ac:dyDescent="0.3">
      <c r="A21" s="193"/>
      <c r="B21" s="193"/>
      <c r="C21" s="188"/>
      <c r="D21" s="188"/>
      <c r="E21" s="188"/>
      <c r="F21" s="188"/>
      <c r="G21" s="188"/>
    </row>
    <row r="22" spans="1:7" ht="11.25" customHeight="1" x14ac:dyDescent="0.3">
      <c r="A22" s="193"/>
      <c r="B22" s="193"/>
      <c r="C22" s="188"/>
      <c r="D22" s="188"/>
      <c r="E22" s="188"/>
      <c r="F22" s="188"/>
      <c r="G22" s="188"/>
    </row>
    <row r="23" spans="1:7" ht="12" customHeight="1" x14ac:dyDescent="0.3">
      <c r="A23" s="188"/>
      <c r="B23" s="188"/>
      <c r="C23" s="188"/>
      <c r="D23" s="188"/>
      <c r="E23" s="188"/>
      <c r="F23" s="188"/>
      <c r="G23" s="188"/>
    </row>
    <row r="24" spans="1:7" ht="12.75" customHeight="1" x14ac:dyDescent="0.3">
      <c r="A24" s="188"/>
      <c r="B24" s="188"/>
      <c r="C24" s="188"/>
      <c r="D24" s="188"/>
      <c r="E24" s="188"/>
      <c r="F24" s="188"/>
      <c r="G24" s="188"/>
    </row>
    <row r="25" spans="1:7" ht="12.75" customHeight="1" x14ac:dyDescent="0.3">
      <c r="A25" s="188"/>
      <c r="B25" s="188"/>
      <c r="C25" s="188"/>
      <c r="D25" s="188"/>
      <c r="E25" s="188"/>
      <c r="F25" s="188"/>
      <c r="G25" s="188"/>
    </row>
    <row r="26" spans="1:7" ht="12.75" customHeight="1" x14ac:dyDescent="0.3">
      <c r="A26" s="188"/>
      <c r="B26" s="188"/>
      <c r="C26" s="188"/>
      <c r="D26" s="188"/>
      <c r="E26" s="188"/>
      <c r="F26" s="188"/>
      <c r="G26" s="188"/>
    </row>
    <row r="27" spans="1:7" ht="12.75" customHeight="1" x14ac:dyDescent="0.3">
      <c r="A27" s="188"/>
      <c r="B27" s="188"/>
      <c r="C27" s="188"/>
      <c r="D27" s="188"/>
      <c r="E27" s="188"/>
      <c r="F27" s="188"/>
      <c r="G27" s="188"/>
    </row>
    <row r="28" spans="1:7" ht="12.75" customHeight="1" x14ac:dyDescent="0.3">
      <c r="A28" s="188"/>
      <c r="B28" s="188"/>
      <c r="C28" s="188"/>
      <c r="D28" s="188"/>
      <c r="E28" s="188"/>
      <c r="F28" s="188"/>
      <c r="G28" s="188"/>
    </row>
    <row r="29" spans="1:7" ht="15" customHeight="1" x14ac:dyDescent="0.3">
      <c r="A29" s="188"/>
      <c r="B29" s="188"/>
      <c r="C29" s="188"/>
      <c r="D29" s="188"/>
      <c r="E29" s="188"/>
      <c r="F29" s="188"/>
      <c r="G29" s="188"/>
    </row>
    <row r="30" spans="1:7" ht="15" customHeight="1" x14ac:dyDescent="0.3">
      <c r="A30" s="188"/>
      <c r="B30" s="188"/>
      <c r="C30" s="188"/>
      <c r="D30" s="188"/>
      <c r="E30" s="188"/>
      <c r="F30" s="188"/>
      <c r="G30" s="188"/>
    </row>
    <row r="31" spans="1:7" ht="15" customHeight="1" x14ac:dyDescent="0.3">
      <c r="A31" s="188"/>
      <c r="B31" s="188"/>
      <c r="C31" s="188"/>
      <c r="D31" s="188"/>
      <c r="E31" s="188"/>
      <c r="F31" s="188"/>
      <c r="G31" s="188"/>
    </row>
    <row r="32" spans="1:7" ht="15" customHeight="1" x14ac:dyDescent="0.3">
      <c r="A32" s="188"/>
      <c r="B32" s="188"/>
      <c r="C32" s="188"/>
      <c r="D32" s="188"/>
      <c r="E32" s="188"/>
      <c r="F32" s="188"/>
      <c r="G32" s="188"/>
    </row>
    <row r="33" spans="1:7" ht="15" customHeight="1" x14ac:dyDescent="0.3">
      <c r="A33" s="188"/>
      <c r="B33" s="188"/>
      <c r="C33" s="188"/>
      <c r="D33" s="188"/>
      <c r="E33" s="188"/>
      <c r="F33" s="188"/>
      <c r="G33" s="188"/>
    </row>
    <row r="34" spans="1:7" ht="15" customHeight="1" x14ac:dyDescent="0.3">
      <c r="A34" s="188"/>
      <c r="B34" s="188"/>
      <c r="C34" s="188"/>
      <c r="D34" s="188"/>
      <c r="E34" s="188"/>
      <c r="F34" s="188"/>
      <c r="G34" s="188"/>
    </row>
    <row r="35" spans="1:7" ht="15" customHeight="1" x14ac:dyDescent="0.3">
      <c r="A35" s="188"/>
      <c r="B35" s="188"/>
      <c r="C35" s="188"/>
      <c r="D35" s="188"/>
      <c r="E35" s="188"/>
      <c r="F35" s="188"/>
      <c r="G35" s="188"/>
    </row>
    <row r="36" spans="1:7" ht="15" customHeight="1" x14ac:dyDescent="0.3">
      <c r="A36" s="188"/>
      <c r="B36" s="188"/>
      <c r="C36" s="188"/>
      <c r="D36" s="188"/>
      <c r="E36" s="188"/>
      <c r="F36" s="188"/>
      <c r="G36" s="188"/>
    </row>
    <row r="37" spans="1:7" ht="15" customHeight="1" x14ac:dyDescent="0.3">
      <c r="A37" s="188"/>
      <c r="B37" s="188"/>
      <c r="C37" s="188"/>
      <c r="D37" s="188"/>
      <c r="E37" s="188"/>
      <c r="F37" s="188"/>
      <c r="G37" s="188"/>
    </row>
  </sheetData>
  <pageMargins left="0.7" right="0.7" top="0.75" bottom="0.75" header="0.51181102362204689" footer="0.51181102362204689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="110" workbookViewId="0"/>
  </sheetViews>
  <sheetFormatPr defaultColWidth="8.6640625" defaultRowHeight="14.4" x14ac:dyDescent="0.3"/>
  <cols>
    <col min="1" max="1" width="16.6640625" style="194" customWidth="1"/>
    <col min="3" max="3" width="17.33203125" style="194" customWidth="1"/>
    <col min="7" max="7" width="23.5546875" style="194" customWidth="1"/>
    <col min="9" max="9" width="11.33203125" style="194" customWidth="1"/>
    <col min="11" max="11" width="11.6640625" style="194" customWidth="1"/>
  </cols>
  <sheetData>
    <row r="1" spans="1:11" x14ac:dyDescent="0.3">
      <c r="A1" s="194" t="s">
        <v>262</v>
      </c>
      <c r="C1" s="194" t="s">
        <v>253</v>
      </c>
      <c r="E1" s="194" t="s">
        <v>2103</v>
      </c>
      <c r="G1" s="194" t="s">
        <v>259</v>
      </c>
      <c r="I1" s="195" t="s">
        <v>261</v>
      </c>
      <c r="K1" s="194" t="s">
        <v>2104</v>
      </c>
    </row>
    <row r="2" spans="1:11" x14ac:dyDescent="0.3">
      <c r="A2" s="194" t="s">
        <v>2105</v>
      </c>
      <c r="C2" s="194" t="s">
        <v>269</v>
      </c>
      <c r="E2" s="194" t="s">
        <v>2106</v>
      </c>
      <c r="G2" s="194" t="s">
        <v>2107</v>
      </c>
      <c r="I2" s="196">
        <v>1</v>
      </c>
      <c r="K2" s="194" t="s">
        <v>2108</v>
      </c>
    </row>
    <row r="3" spans="1:11" x14ac:dyDescent="0.3">
      <c r="A3" s="194" t="s">
        <v>2109</v>
      </c>
      <c r="C3" s="194" t="s">
        <v>330</v>
      </c>
      <c r="E3" s="194" t="s">
        <v>2110</v>
      </c>
      <c r="G3" s="194" t="s">
        <v>2111</v>
      </c>
      <c r="I3" s="197" t="s">
        <v>2112</v>
      </c>
      <c r="K3" s="194" t="s">
        <v>2113</v>
      </c>
    </row>
    <row r="4" spans="1:11" x14ac:dyDescent="0.3">
      <c r="A4" s="194" t="s">
        <v>270</v>
      </c>
      <c r="C4" s="194" t="s">
        <v>332</v>
      </c>
      <c r="G4" s="194" t="s">
        <v>2114</v>
      </c>
    </row>
    <row r="5" spans="1:11" x14ac:dyDescent="0.3">
      <c r="A5" s="194" t="s">
        <v>342</v>
      </c>
      <c r="C5" s="194" t="s">
        <v>273</v>
      </c>
    </row>
    <row r="6" spans="1:11" x14ac:dyDescent="0.3">
      <c r="A6" s="194" t="s">
        <v>2115</v>
      </c>
      <c r="C6" s="194" t="s">
        <v>2116</v>
      </c>
    </row>
    <row r="7" spans="1:11" x14ac:dyDescent="0.3">
      <c r="C7" s="194" t="s">
        <v>2117</v>
      </c>
    </row>
  </sheetData>
  <pageMargins left="0.7" right="0.7" top="0.75" bottom="0.75" header="0.51181102362204689" footer="0.51181102362204689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Список изменений</vt:lpstr>
      <vt:lpstr>S2T</vt:lpstr>
      <vt:lpstr>Source columns</vt:lpstr>
      <vt:lpstr>Target tables</vt:lpstr>
      <vt:lpstr>Target columns</vt:lpstr>
      <vt:lpstr>Метаданные для hadoop</vt:lpstr>
      <vt:lpstr>hadoop -&gt;A</vt:lpstr>
      <vt:lpstr>А-слой-&gt;В-слой-&gt;S-слой</vt:lpstr>
      <vt:lpstr>Additional objects</vt:lpstr>
      <vt:lpstr>Глоссарий</vt:lpstr>
      <vt:lpstr>'Source columns'!anchor_tgt_columns_fk</vt:lpstr>
      <vt:lpstr>'Source columns'!anchor_tgt_columns_note</vt:lpstr>
      <vt:lpstr>'Source columns'!anchor_tgt_columns_null</vt:lpstr>
      <vt:lpstr>'Source columns'!anchor_tgt_columns_pk</vt:lpstr>
      <vt:lpstr>'Source columns'!anchor_tgt_columns_po</vt:lpstr>
      <vt:lpstr>'Source columns'!anchor_tgt_columns_type</vt:lpstr>
      <vt:lpstr>'Target tables'!anchor_tgt_tables_ntab</vt:lpstr>
      <vt:lpstr>'Target tables'!anchor_tgt_tables_sa</vt:lpstr>
      <vt:lpstr>first_value</vt:lpstr>
      <vt:lpstr>'Source columns'!lst_tgt_columns</vt:lpstr>
      <vt:lpstr>'Target tables'!lst_tgt_tables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Черкашин Владимир Алексеевич</dc:creator>
  <dc:description/>
  <cp:lastModifiedBy>Масальцева Эка Михайловна</cp:lastModifiedBy>
  <cp:revision>83</cp:revision>
  <dcterms:created xsi:type="dcterms:W3CDTF">2015-06-19T08:04:17Z</dcterms:created>
  <dcterms:modified xsi:type="dcterms:W3CDTF">2026-03-31T08:10:11Z</dcterms:modified>
  <dc:language>ru-RU</dc:language>
</cp:coreProperties>
</file>