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l-sp-p0003658\Documents\S2T\"/>
    </mc:Choice>
  </mc:AlternateContent>
  <bookViews>
    <workbookView xWindow="0" yWindow="0" windowWidth="28800" windowHeight="12300" tabRatio="756" activeTab="8"/>
  </bookViews>
  <sheets>
    <sheet name="pxf2a" sheetId="1" r:id="rId1"/>
    <sheet name="a2b_columns" sheetId="2" r:id="rId2"/>
    <sheet name="source_tables" sheetId="3" r:id="rId3"/>
    <sheet name="source_columns" sheetId="4" r:id="rId4"/>
    <sheet name="target_tables" sheetId="13" r:id="rId5"/>
    <sheet name="target_columns" sheetId="14" r:id="rId6"/>
    <sheet name="s2t" sheetId="7" r:id="rId7"/>
    <sheet name="additional_objects" sheetId="8" r:id="rId8"/>
    <sheet name="change_log" sheetId="9" r:id="rId9"/>
    <sheet name="s305_0999_enums" sheetId="10" r:id="rId10"/>
  </sheets>
  <definedNames>
    <definedName name="_xlnm._FilterDatabase" localSheetId="6" hidden="1">s2t!$A$1:$W$333</definedName>
    <definedName name="lst_src_tables">#REF!</definedName>
    <definedName name="lst_tgt_columns">#REF!</definedName>
    <definedName name="lst_tgt_tables">#REF!</definedName>
  </definedNames>
  <calcPr calcId="162913" iterateDelta="1E-4"/>
</workbook>
</file>

<file path=xl/calcChain.xml><?xml version="1.0" encoding="utf-8"?>
<calcChain xmlns="http://schemas.openxmlformats.org/spreadsheetml/2006/main">
  <c r="A314" i="7" l="1"/>
  <c r="A310" i="7"/>
  <c r="A15" i="7"/>
  <c r="K26" i="7"/>
  <c r="A25" i="14"/>
  <c r="A37" i="14"/>
  <c r="A7" i="14"/>
  <c r="A236" i="14"/>
  <c r="A175" i="14"/>
  <c r="A11" i="14"/>
  <c r="A85" i="14"/>
  <c r="A88" i="14"/>
  <c r="A91" i="14"/>
  <c r="A235" i="14"/>
  <c r="A142" i="14"/>
  <c r="A135" i="14"/>
  <c r="A83" i="14"/>
  <c r="A40" i="14"/>
  <c r="A136" i="14"/>
  <c r="A212" i="14"/>
  <c r="A84" i="14"/>
  <c r="A57" i="14"/>
  <c r="A202" i="14"/>
  <c r="A238" i="14"/>
  <c r="A138" i="14"/>
  <c r="A201" i="14"/>
  <c r="A99" i="14"/>
  <c r="A237" i="14"/>
  <c r="A66" i="14"/>
  <c r="A141" i="14"/>
  <c r="A6" i="14"/>
  <c r="A215" i="14"/>
  <c r="A73" i="14"/>
  <c r="A234" i="14"/>
  <c r="A184" i="14"/>
  <c r="A49" i="14"/>
  <c r="A223" i="14"/>
  <c r="A132" i="14"/>
  <c r="A220" i="14"/>
  <c r="A157" i="14"/>
  <c r="A156" i="14"/>
  <c r="A93" i="14"/>
  <c r="A134" i="14"/>
  <c r="A64" i="14"/>
  <c r="A29" i="14"/>
  <c r="A149" i="14"/>
  <c r="A28" i="14"/>
  <c r="A206" i="14"/>
  <c r="A147" i="14"/>
  <c r="A244" i="14"/>
  <c r="A183" i="14"/>
  <c r="A172" i="14"/>
  <c r="A111" i="14"/>
  <c r="A219" i="14"/>
  <c r="A20" i="14"/>
  <c r="A231" i="14"/>
  <c r="A65" i="14"/>
  <c r="A171" i="14"/>
  <c r="A78" i="14"/>
  <c r="A118" i="14"/>
  <c r="A18" i="14"/>
  <c r="A127" i="14"/>
  <c r="A46" i="14"/>
  <c r="A158" i="14"/>
  <c r="A100" i="14"/>
  <c r="A30" i="14"/>
  <c r="A203" i="14"/>
  <c r="A187" i="14"/>
  <c r="A35" i="14"/>
  <c r="A102" i="14"/>
  <c r="A26" i="14"/>
  <c r="A131" i="14"/>
  <c r="A143" i="14"/>
  <c r="A177" i="14"/>
  <c r="A121" i="14"/>
  <c r="A58" i="14"/>
  <c r="A190" i="14"/>
  <c r="A15" i="14"/>
  <c r="A72" i="14"/>
  <c r="A61" i="14"/>
  <c r="A145" i="14"/>
  <c r="A178" i="14"/>
  <c r="A227" i="14"/>
  <c r="A225" i="14"/>
  <c r="A140" i="14"/>
  <c r="A161" i="14"/>
  <c r="A152" i="14"/>
  <c r="A97" i="14"/>
  <c r="A196" i="14"/>
  <c r="A33" i="14"/>
  <c r="A193" i="14"/>
  <c r="A60" i="14"/>
  <c r="A229" i="14"/>
  <c r="A200" i="14"/>
  <c r="A204" i="14"/>
  <c r="A239" i="14"/>
  <c r="A241" i="14"/>
  <c r="A180" i="14"/>
  <c r="A119" i="14"/>
  <c r="A108" i="14"/>
  <c r="A47" i="14"/>
  <c r="A27" i="14"/>
  <c r="A228" i="14"/>
  <c r="A167" i="14"/>
  <c r="A207" i="14"/>
  <c r="A107" i="14"/>
  <c r="K310" i="7"/>
  <c r="A173" i="14"/>
  <c r="A226" i="14"/>
  <c r="A110" i="14"/>
  <c r="A230" i="14"/>
  <c r="A17" i="14"/>
  <c r="A39" i="14"/>
  <c r="A19" i="14"/>
  <c r="A166" i="14"/>
  <c r="A9" i="14"/>
  <c r="A123" i="14"/>
  <c r="A139" i="14"/>
  <c r="A59" i="14"/>
  <c r="A179" i="14"/>
  <c r="A34" i="14"/>
  <c r="A120" i="14"/>
  <c r="A242" i="14"/>
  <c r="A115" i="14"/>
  <c r="A209" i="14"/>
  <c r="A63" i="14"/>
  <c r="A2" i="14"/>
  <c r="A51" i="14"/>
  <c r="A245" i="14"/>
  <c r="A129" i="14"/>
  <c r="A48" i="14"/>
  <c r="A148" i="14"/>
  <c r="A21" i="14"/>
  <c r="A70" i="14"/>
  <c r="A192" i="14"/>
  <c r="A14" i="14"/>
  <c r="A74" i="14"/>
  <c r="A13" i="14"/>
  <c r="K314" i="7"/>
  <c r="A189" i="14"/>
  <c r="A182" i="14"/>
  <c r="A199" i="14"/>
  <c r="A208" i="14"/>
  <c r="A114" i="14"/>
  <c r="A23" i="14"/>
  <c r="A169" i="14"/>
  <c r="A218" i="14"/>
  <c r="A77" i="14"/>
  <c r="A54" i="14"/>
  <c r="A22" i="14"/>
  <c r="A153" i="14"/>
  <c r="A12" i="14"/>
  <c r="A106" i="14"/>
  <c r="A41" i="14"/>
  <c r="A125" i="14"/>
  <c r="A151" i="14"/>
  <c r="A68" i="14"/>
  <c r="A38" i="14"/>
  <c r="A198" i="14"/>
  <c r="A75" i="14"/>
  <c r="A176" i="14"/>
  <c r="A96" i="14"/>
  <c r="A213" i="14"/>
  <c r="A232" i="14"/>
  <c r="A92" i="14"/>
  <c r="A31" i="14"/>
  <c r="A211" i="14"/>
  <c r="A101" i="14"/>
  <c r="K15" i="7"/>
  <c r="A116" i="14"/>
  <c r="A55" i="14"/>
  <c r="A44" i="14"/>
  <c r="A222" i="14"/>
  <c r="A170" i="14"/>
  <c r="A164" i="14"/>
  <c r="A103" i="14"/>
  <c r="A126" i="14"/>
  <c r="A43" i="14"/>
  <c r="A4" i="14"/>
  <c r="A188" i="14"/>
  <c r="A162" i="14"/>
  <c r="A52" i="14"/>
  <c r="A71" i="14"/>
  <c r="A98" i="14"/>
  <c r="A56" i="14"/>
  <c r="A94" i="14"/>
  <c r="A224" i="14"/>
  <c r="A36" i="14"/>
  <c r="A214" i="14"/>
  <c r="A109" i="14"/>
  <c r="A186" i="14"/>
  <c r="A154" i="14"/>
  <c r="A195" i="14"/>
  <c r="A133" i="14"/>
  <c r="A243" i="14"/>
  <c r="A150" i="14"/>
  <c r="A122" i="14"/>
  <c r="A113" i="14"/>
  <c r="A185" i="14"/>
  <c r="A5" i="14"/>
  <c r="A86" i="14"/>
  <c r="A137" i="14"/>
  <c r="A67" i="14"/>
  <c r="A197" i="14"/>
  <c r="A163" i="14"/>
  <c r="A62" i="14"/>
  <c r="A69" i="14"/>
  <c r="A87" i="14"/>
  <c r="A112" i="14"/>
  <c r="A210" i="14"/>
  <c r="A32" i="14"/>
  <c r="A81" i="14"/>
  <c r="A181" i="14"/>
  <c r="A146" i="14"/>
  <c r="A194" i="14"/>
  <c r="A16" i="14"/>
  <c r="A117" i="14"/>
  <c r="A128" i="14"/>
  <c r="A82" i="14"/>
  <c r="A8" i="14"/>
  <c r="A124" i="14"/>
  <c r="A130" i="14"/>
  <c r="A205" i="14"/>
  <c r="A216" i="14"/>
  <c r="A53" i="14"/>
  <c r="A233" i="14"/>
  <c r="A50" i="14"/>
  <c r="A155" i="14"/>
  <c r="A10" i="14"/>
  <c r="A217" i="14"/>
  <c r="A80" i="14"/>
  <c r="A105" i="14"/>
  <c r="A144" i="14"/>
  <c r="A45" i="14"/>
  <c r="A221" i="14"/>
  <c r="A240" i="14"/>
  <c r="A191" i="14"/>
  <c r="A89" i="14"/>
  <c r="A159" i="14"/>
  <c r="A168" i="14"/>
  <c r="A174" i="14"/>
  <c r="A24" i="14"/>
  <c r="A95" i="14"/>
  <c r="A3" i="14"/>
  <c r="A165" i="14"/>
  <c r="A90" i="14"/>
  <c r="A76" i="14"/>
  <c r="A79" i="14"/>
  <c r="A42" i="14"/>
  <c r="A104" i="14"/>
  <c r="A160" i="14"/>
  <c r="I315" i="7" s="1"/>
  <c r="I319" i="7"/>
  <c r="I313" i="7"/>
  <c r="I320" i="7"/>
  <c r="E15" i="7"/>
  <c r="I321" i="7"/>
  <c r="I14" i="7"/>
  <c r="I325" i="7"/>
  <c r="I311" i="7"/>
  <c r="I327" i="7"/>
  <c r="I326" i="7"/>
  <c r="H15" i="7"/>
  <c r="I312" i="7"/>
  <c r="I332" i="7"/>
  <c r="I317" i="7"/>
  <c r="I15" i="7"/>
  <c r="G15" i="7"/>
  <c r="G14" i="7"/>
  <c r="I333" i="7"/>
  <c r="I329" i="7"/>
  <c r="F14" i="7"/>
  <c r="D14" i="7"/>
  <c r="I308" i="7"/>
  <c r="F15" i="7"/>
  <c r="I323" i="7"/>
  <c r="I324" i="7"/>
  <c r="D15" i="7"/>
  <c r="I316" i="7"/>
  <c r="I309" i="7"/>
  <c r="I322" i="7"/>
  <c r="I310" i="7"/>
  <c r="H14" i="7"/>
  <c r="I328" i="7"/>
  <c r="I330" i="7"/>
  <c r="I331" i="7"/>
  <c r="I318" i="7"/>
  <c r="E14" i="7"/>
  <c r="A105" i="7" l="1"/>
  <c r="A99" i="7"/>
  <c r="K319" i="7"/>
  <c r="K326" i="7"/>
  <c r="K313" i="7"/>
  <c r="K322" i="7"/>
  <c r="K309" i="7"/>
  <c r="K105" i="7"/>
  <c r="K329" i="7"/>
  <c r="K331" i="7"/>
  <c r="K324" i="7"/>
  <c r="K311" i="7"/>
  <c r="K317" i="7"/>
  <c r="K327" i="7"/>
  <c r="K312" i="7"/>
  <c r="K328" i="7"/>
  <c r="K318" i="7"/>
  <c r="K99" i="7"/>
  <c r="K330" i="7"/>
  <c r="K323" i="7"/>
  <c r="I314" i="7"/>
  <c r="K321" i="7"/>
  <c r="K308" i="7"/>
  <c r="K325" i="7"/>
  <c r="K332" i="7"/>
  <c r="K320" i="7"/>
  <c r="K333" i="7"/>
  <c r="K55" i="7"/>
  <c r="K315" i="7"/>
  <c r="K316" i="7"/>
  <c r="A333" i="7" l="1"/>
  <c r="A332" i="7"/>
  <c r="A331" i="7"/>
  <c r="A330" i="7"/>
  <c r="A328" i="7"/>
  <c r="A327" i="7"/>
  <c r="A326" i="7"/>
  <c r="A325" i="7"/>
  <c r="A323" i="7"/>
  <c r="A322" i="7"/>
  <c r="A321" i="7"/>
  <c r="A319" i="7"/>
  <c r="A318" i="7"/>
  <c r="A317" i="7"/>
  <c r="A315" i="7"/>
  <c r="A313" i="7"/>
  <c r="A311" i="7"/>
  <c r="A309" i="7"/>
  <c r="A307" i="7" l="1"/>
  <c r="A306" i="7"/>
  <c r="A305" i="7"/>
  <c r="A303" i="7"/>
  <c r="A304" i="7" s="1"/>
  <c r="V302" i="7"/>
  <c r="A301" i="7"/>
  <c r="A300" i="7"/>
  <c r="A299" i="7"/>
  <c r="V298" i="7"/>
  <c r="A297" i="7"/>
  <c r="A296" i="7"/>
  <c r="V295" i="7"/>
  <c r="A294" i="7"/>
  <c r="A290" i="7"/>
  <c r="A289" i="7"/>
  <c r="A288" i="7"/>
  <c r="A287" i="7"/>
  <c r="A286" i="7"/>
  <c r="A285" i="7"/>
  <c r="A293" i="7" s="1"/>
  <c r="A284" i="7"/>
  <c r="A292" i="7" s="1"/>
  <c r="A283" i="7"/>
  <c r="A291" i="7" s="1"/>
  <c r="V282" i="7"/>
  <c r="A281" i="7"/>
  <c r="A280" i="7"/>
  <c r="A279" i="7"/>
  <c r="A278" i="7"/>
  <c r="V277" i="7"/>
  <c r="A276" i="7"/>
  <c r="A275" i="7"/>
  <c r="A274" i="7"/>
  <c r="A273" i="7"/>
  <c r="A272" i="7"/>
  <c r="A271" i="7"/>
  <c r="A270" i="7"/>
  <c r="A269" i="7"/>
  <c r="A268" i="7"/>
  <c r="A267" i="7"/>
  <c r="V266" i="7"/>
  <c r="A265" i="7"/>
  <c r="A264" i="7"/>
  <c r="A263" i="7"/>
  <c r="A262" i="7"/>
  <c r="A261" i="7"/>
  <c r="A260" i="7"/>
  <c r="A259" i="7"/>
  <c r="A258" i="7"/>
  <c r="A257" i="7"/>
  <c r="A256" i="7"/>
  <c r="V255" i="7"/>
  <c r="A254" i="7"/>
  <c r="A253" i="7"/>
  <c r="A252" i="7"/>
  <c r="A251" i="7"/>
  <c r="A250" i="7"/>
  <c r="A249" i="7"/>
  <c r="A248" i="7"/>
  <c r="A247" i="7"/>
  <c r="A246" i="7"/>
  <c r="A245" i="7"/>
  <c r="V244" i="7"/>
  <c r="A243" i="7"/>
  <c r="A242" i="7"/>
  <c r="A241" i="7"/>
  <c r="A240" i="7"/>
  <c r="A239" i="7"/>
  <c r="A238" i="7"/>
  <c r="A237" i="7"/>
  <c r="A236" i="7"/>
  <c r="A235" i="7"/>
  <c r="A234" i="7"/>
  <c r="V233" i="7"/>
  <c r="A232" i="7"/>
  <c r="A231" i="7"/>
  <c r="V230" i="7"/>
  <c r="A229" i="7"/>
  <c r="A228" i="7"/>
  <c r="V227" i="7"/>
  <c r="A226" i="7"/>
  <c r="A225" i="7"/>
  <c r="V224" i="7"/>
  <c r="A223" i="7"/>
  <c r="A222" i="7"/>
  <c r="A221" i="7"/>
  <c r="A220" i="7"/>
  <c r="A219" i="7"/>
  <c r="A218" i="7"/>
  <c r="A217" i="7"/>
  <c r="A216" i="7"/>
  <c r="A215" i="7"/>
  <c r="A214" i="7"/>
  <c r="V213" i="7"/>
  <c r="A212" i="7"/>
  <c r="A211" i="7"/>
  <c r="A210" i="7"/>
  <c r="V209" i="7"/>
  <c r="A208" i="7"/>
  <c r="A207" i="7"/>
  <c r="V206" i="7"/>
  <c r="A205" i="7"/>
  <c r="A201" i="7"/>
  <c r="A200" i="7"/>
  <c r="A199" i="7"/>
  <c r="A198" i="7"/>
  <c r="A197" i="7"/>
  <c r="A196" i="7"/>
  <c r="A204" i="7" s="1"/>
  <c r="A195" i="7"/>
  <c r="A203" i="7" s="1"/>
  <c r="A194" i="7"/>
  <c r="A202" i="7" s="1"/>
  <c r="V193" i="7"/>
  <c r="A192" i="7"/>
  <c r="A191" i="7"/>
  <c r="A190" i="7"/>
  <c r="V189" i="7"/>
  <c r="A188" i="7"/>
  <c r="A184" i="7"/>
  <c r="A183" i="7"/>
  <c r="A182" i="7"/>
  <c r="A181" i="7"/>
  <c r="A180" i="7"/>
  <c r="A179" i="7"/>
  <c r="A187" i="7" s="1"/>
  <c r="A178" i="7"/>
  <c r="A186" i="7" s="1"/>
  <c r="A177" i="7"/>
  <c r="A185" i="7" s="1"/>
  <c r="V176" i="7"/>
  <c r="A175" i="7"/>
  <c r="A174" i="7"/>
  <c r="A173" i="7"/>
  <c r="V172" i="7"/>
  <c r="A171" i="7"/>
  <c r="A170" i="7"/>
  <c r="A169" i="7"/>
  <c r="V168" i="7"/>
  <c r="A167" i="7"/>
  <c r="A166" i="7"/>
  <c r="A165" i="7"/>
  <c r="V164" i="7"/>
  <c r="A163" i="7"/>
  <c r="A162" i="7"/>
  <c r="A161" i="7"/>
  <c r="V160" i="7"/>
  <c r="A159" i="7"/>
  <c r="A158" i="7"/>
  <c r="A157" i="7"/>
  <c r="A156" i="7"/>
  <c r="A154" i="7"/>
  <c r="A153" i="7"/>
  <c r="V152" i="7"/>
  <c r="A151" i="7"/>
  <c r="A150" i="7"/>
  <c r="A149" i="7"/>
  <c r="V148" i="7"/>
  <c r="A147" i="7"/>
  <c r="A144" i="7"/>
  <c r="A143" i="7"/>
  <c r="A142" i="7"/>
  <c r="A141" i="7"/>
  <c r="A140" i="7"/>
  <c r="A146" i="7" s="1"/>
  <c r="A139" i="7"/>
  <c r="A145" i="7" s="1"/>
  <c r="V138" i="7"/>
  <c r="A137" i="7"/>
  <c r="A136" i="7"/>
  <c r="A135" i="7"/>
  <c r="V134" i="7"/>
  <c r="A133" i="7"/>
  <c r="A132" i="7"/>
  <c r="V131" i="7"/>
  <c r="A130" i="7"/>
  <c r="A129" i="7"/>
  <c r="A128" i="7"/>
  <c r="A127" i="7"/>
  <c r="V126" i="7"/>
  <c r="A125" i="7"/>
  <c r="A124" i="7"/>
  <c r="A123" i="7"/>
  <c r="A122" i="7"/>
  <c r="V121" i="7"/>
  <c r="A120" i="7"/>
  <c r="A119" i="7"/>
  <c r="V118" i="7"/>
  <c r="A117" i="7"/>
  <c r="A116" i="7"/>
  <c r="V115" i="7"/>
  <c r="A114" i="7"/>
  <c r="A113" i="7"/>
  <c r="A112" i="7"/>
  <c r="V111" i="7"/>
  <c r="A110" i="7"/>
  <c r="A109" i="7"/>
  <c r="A108" i="7"/>
  <c r="V107" i="7"/>
  <c r="A106" i="7"/>
  <c r="A104" i="7"/>
  <c r="A103" i="7"/>
  <c r="A102" i="7"/>
  <c r="V101" i="7"/>
  <c r="A100" i="7"/>
  <c r="A98" i="7"/>
  <c r="A97" i="7"/>
  <c r="A96" i="7"/>
  <c r="V95" i="7"/>
  <c r="A94" i="7"/>
  <c r="A90" i="7"/>
  <c r="A89" i="7"/>
  <c r="A88" i="7"/>
  <c r="A87" i="7"/>
  <c r="A86" i="7"/>
  <c r="A85" i="7"/>
  <c r="A93" i="7" s="1"/>
  <c r="A84" i="7"/>
  <c r="A92" i="7" s="1"/>
  <c r="A83" i="7"/>
  <c r="A91" i="7" s="1"/>
  <c r="V82" i="7"/>
  <c r="A81" i="7"/>
  <c r="A80" i="7"/>
  <c r="A79" i="7"/>
  <c r="V78" i="7"/>
  <c r="A77" i="7"/>
  <c r="A76" i="7"/>
  <c r="A75" i="7"/>
  <c r="V74" i="7"/>
  <c r="A73" i="7"/>
  <c r="A72" i="7"/>
  <c r="A71" i="7"/>
  <c r="V70" i="7"/>
  <c r="A69" i="7"/>
  <c r="A68" i="7"/>
  <c r="A67" i="7"/>
  <c r="V66" i="7"/>
  <c r="A65" i="7"/>
  <c r="A64" i="7"/>
  <c r="A63" i="7"/>
  <c r="A62" i="7"/>
  <c r="A61" i="7"/>
  <c r="A60" i="7"/>
  <c r="V59" i="7"/>
  <c r="A58" i="7"/>
  <c r="A57" i="7"/>
  <c r="A56" i="7"/>
  <c r="V55" i="7"/>
  <c r="A54" i="7"/>
  <c r="A53" i="7"/>
  <c r="A52" i="7"/>
  <c r="V51" i="7"/>
  <c r="A50" i="7"/>
  <c r="A49" i="7"/>
  <c r="A48" i="7"/>
  <c r="V47" i="7"/>
  <c r="A46" i="7"/>
  <c r="A45" i="7"/>
  <c r="A44" i="7"/>
  <c r="V43" i="7"/>
  <c r="A42" i="7"/>
  <c r="A41" i="7"/>
  <c r="A40" i="7"/>
  <c r="A39" i="7"/>
  <c r="A38" i="7"/>
  <c r="A37" i="7"/>
  <c r="A36" i="7"/>
  <c r="A35" i="7"/>
  <c r="A34" i="7"/>
  <c r="V33" i="7"/>
  <c r="A32" i="7"/>
  <c r="A31" i="7"/>
  <c r="A30" i="7"/>
  <c r="V29" i="7"/>
  <c r="A20" i="7"/>
  <c r="A23" i="7" s="1"/>
  <c r="A19" i="7"/>
  <c r="A22" i="7" s="1"/>
  <c r="A25" i="7" s="1"/>
  <c r="A18" i="7"/>
  <c r="A21" i="7" s="1"/>
  <c r="A24" i="7" s="1"/>
  <c r="V17" i="7"/>
  <c r="A16" i="7"/>
  <c r="A13" i="7"/>
  <c r="A12" i="7"/>
  <c r="A11" i="7"/>
  <c r="A10" i="7"/>
  <c r="A9" i="7"/>
  <c r="A8" i="7"/>
  <c r="A7" i="7"/>
  <c r="A6" i="7"/>
  <c r="A5" i="7"/>
  <c r="A4" i="7"/>
  <c r="A3" i="7"/>
  <c r="A14" i="7" s="1"/>
  <c r="V2" i="7"/>
  <c r="K192" i="7"/>
  <c r="A401" i="4"/>
  <c r="A19" i="4"/>
  <c r="A625" i="4"/>
  <c r="A18" i="4"/>
  <c r="A272" i="4"/>
  <c r="K116" i="7"/>
  <c r="K145" i="7"/>
  <c r="A504" i="4"/>
  <c r="K195" i="7"/>
  <c r="A673" i="4"/>
  <c r="K232" i="7"/>
  <c r="H6" i="7"/>
  <c r="A53" i="4"/>
  <c r="A608" i="4"/>
  <c r="A407" i="4"/>
  <c r="A341" i="4"/>
  <c r="K94" i="7"/>
  <c r="K238" i="7"/>
  <c r="A210" i="4"/>
  <c r="A736" i="4"/>
  <c r="A208" i="4"/>
  <c r="A423" i="4"/>
  <c r="A380" i="4"/>
  <c r="K283" i="7"/>
  <c r="A278" i="4"/>
  <c r="K247" i="7"/>
  <c r="A303" i="4"/>
  <c r="A213" i="4"/>
  <c r="A124" i="4"/>
  <c r="K87" i="7"/>
  <c r="A581" i="4"/>
  <c r="A648" i="4"/>
  <c r="K49" i="7"/>
  <c r="A427" i="4"/>
  <c r="D33" i="7"/>
  <c r="H161" i="7"/>
  <c r="D111" i="7"/>
  <c r="A446" i="4"/>
  <c r="A466" i="4"/>
  <c r="A224" i="4"/>
  <c r="E95" i="7"/>
  <c r="D242" i="7"/>
  <c r="D20" i="7"/>
  <c r="I16" i="7"/>
  <c r="A175" i="4"/>
  <c r="K214" i="7"/>
  <c r="D207" i="7"/>
  <c r="I210" i="7"/>
  <c r="E52" i="7"/>
  <c r="G114" i="7"/>
  <c r="A489" i="4"/>
  <c r="A286" i="4"/>
  <c r="K299" i="7"/>
  <c r="G266" i="7"/>
  <c r="G305" i="7"/>
  <c r="H47" i="7"/>
  <c r="K113" i="7"/>
  <c r="A236" i="4"/>
  <c r="I251" i="7"/>
  <c r="E113" i="7"/>
  <c r="E276" i="7"/>
  <c r="G143" i="7"/>
  <c r="A28" i="4"/>
  <c r="A269" i="4"/>
  <c r="H122" i="7"/>
  <c r="F85" i="7"/>
  <c r="G155" i="7"/>
  <c r="H268" i="7"/>
  <c r="D287" i="7"/>
  <c r="A154" i="4"/>
  <c r="H216" i="7"/>
  <c r="F204" i="7"/>
  <c r="H108" i="7"/>
  <c r="H111" i="7"/>
  <c r="F145" i="7"/>
  <c r="A121" i="4"/>
  <c r="I53" i="7"/>
  <c r="D298" i="7"/>
  <c r="H73" i="7"/>
  <c r="I307" i="7"/>
  <c r="I131" i="7"/>
  <c r="K78" i="7"/>
  <c r="A69" i="4"/>
  <c r="H17" i="7"/>
  <c r="H105" i="7"/>
  <c r="E249" i="7"/>
  <c r="E292" i="7"/>
  <c r="F91" i="7"/>
  <c r="F137" i="7"/>
  <c r="E307" i="7"/>
  <c r="D164" i="7"/>
  <c r="E106" i="7"/>
  <c r="E196" i="7"/>
  <c r="A139" i="4"/>
  <c r="I217" i="7"/>
  <c r="G300" i="7"/>
  <c r="F247" i="7"/>
  <c r="F182" i="7"/>
  <c r="H74" i="7"/>
  <c r="K8" i="7"/>
  <c r="D284" i="7"/>
  <c r="E183" i="7"/>
  <c r="D169" i="7"/>
  <c r="I271" i="7"/>
  <c r="G39" i="7"/>
  <c r="H25" i="7"/>
  <c r="G106" i="7"/>
  <c r="E201" i="7"/>
  <c r="H170" i="7"/>
  <c r="H53" i="7"/>
  <c r="E83" i="7"/>
  <c r="H130" i="7"/>
  <c r="A123" i="4"/>
  <c r="I278" i="7"/>
  <c r="H235" i="7"/>
  <c r="I2" i="7"/>
  <c r="G86" i="7"/>
  <c r="H91" i="7"/>
  <c r="D77" i="7"/>
  <c r="F240" i="7"/>
  <c r="H145" i="7"/>
  <c r="A45" i="4"/>
  <c r="G152" i="7"/>
  <c r="I225" i="7"/>
  <c r="D89" i="7"/>
  <c r="H210" i="7"/>
  <c r="K86" i="7"/>
  <c r="A177" i="4"/>
  <c r="A604" i="4"/>
  <c r="A585" i="4"/>
  <c r="A529" i="4"/>
  <c r="A393" i="4"/>
  <c r="A722" i="4"/>
  <c r="A131" i="4"/>
  <c r="A9" i="4"/>
  <c r="A23" i="4"/>
  <c r="A86" i="4"/>
  <c r="A641" i="4"/>
  <c r="K7" i="7"/>
  <c r="A195" i="4"/>
  <c r="A29" i="4"/>
  <c r="A129" i="4"/>
  <c r="A44" i="4"/>
  <c r="A706" i="4"/>
  <c r="A255" i="4"/>
  <c r="A537" i="4"/>
  <c r="K135" i="7"/>
  <c r="K178" i="7"/>
  <c r="A647" i="4"/>
  <c r="A65" i="4"/>
  <c r="A114" i="4"/>
  <c r="K75" i="7"/>
  <c r="A144" i="4"/>
  <c r="A490" i="4"/>
  <c r="K290" i="7"/>
  <c r="A403" i="4"/>
  <c r="A520" i="4"/>
  <c r="H4" i="7"/>
  <c r="K19" i="7"/>
  <c r="A119" i="4"/>
  <c r="A746" i="4"/>
  <c r="E76" i="7"/>
  <c r="G257" i="7"/>
  <c r="E123" i="7"/>
  <c r="A762" i="4"/>
  <c r="A593" i="4"/>
  <c r="A479" i="4"/>
  <c r="D78" i="7"/>
  <c r="H289" i="7"/>
  <c r="D235" i="7"/>
  <c r="H168" i="7"/>
  <c r="A590" i="4"/>
  <c r="A545" i="4"/>
  <c r="A205" i="4"/>
  <c r="H116" i="7"/>
  <c r="D156" i="7"/>
  <c r="F239" i="7"/>
  <c r="K183" i="7"/>
  <c r="K291" i="7"/>
  <c r="A620" i="4"/>
  <c r="D270" i="7"/>
  <c r="H94" i="7"/>
  <c r="F221" i="7"/>
  <c r="A509" i="4"/>
  <c r="A88" i="4"/>
  <c r="G29" i="7"/>
  <c r="D206" i="7"/>
  <c r="F146" i="7"/>
  <c r="H45" i="7"/>
  <c r="A207" i="4"/>
  <c r="K301" i="7"/>
  <c r="D117" i="7"/>
  <c r="E293" i="7"/>
  <c r="I170" i="7"/>
  <c r="I168" i="7"/>
  <c r="I223" i="7"/>
  <c r="A68" i="4"/>
  <c r="I281" i="7"/>
  <c r="E189" i="7"/>
  <c r="G190" i="7"/>
  <c r="E162" i="7"/>
  <c r="H102" i="7"/>
  <c r="A247" i="4"/>
  <c r="I77" i="7"/>
  <c r="I268" i="7"/>
  <c r="E261" i="7"/>
  <c r="E190" i="7"/>
  <c r="D95" i="7"/>
  <c r="A150" i="4"/>
  <c r="A467" i="4"/>
  <c r="D99" i="7"/>
  <c r="E99" i="7"/>
  <c r="E151" i="7"/>
  <c r="F264" i="7"/>
  <c r="H280" i="7"/>
  <c r="D108" i="7"/>
  <c r="F122" i="7"/>
  <c r="H60" i="7"/>
  <c r="I169" i="7"/>
  <c r="E138" i="7"/>
  <c r="A261" i="4"/>
  <c r="D247" i="7"/>
  <c r="D307" i="7"/>
  <c r="D5" i="7"/>
  <c r="D11" i="7"/>
  <c r="D67" i="7"/>
  <c r="A686" i="4"/>
  <c r="E91" i="7"/>
  <c r="I34" i="7"/>
  <c r="I245" i="7"/>
  <c r="I250" i="7"/>
  <c r="D54" i="7"/>
  <c r="D38" i="7"/>
  <c r="I216" i="7"/>
  <c r="D24" i="7"/>
  <c r="D144" i="7"/>
  <c r="D57" i="7"/>
  <c r="F51" i="7"/>
  <c r="I254" i="7"/>
  <c r="E48" i="7"/>
  <c r="I13" i="7"/>
  <c r="D146" i="7"/>
  <c r="F61" i="7"/>
  <c r="H44" i="7"/>
  <c r="H66" i="7"/>
  <c r="I292" i="7"/>
  <c r="I135" i="7"/>
  <c r="I102" i="7"/>
  <c r="A133" i="4"/>
  <c r="I164" i="7"/>
  <c r="E20" i="7"/>
  <c r="D186" i="7"/>
  <c r="H156" i="7"/>
  <c r="A635" i="4"/>
  <c r="K179" i="7"/>
  <c r="K188" i="7"/>
  <c r="A670" i="4"/>
  <c r="A682" i="4"/>
  <c r="A14" i="4"/>
  <c r="A145" i="4"/>
  <c r="K68" i="7"/>
  <c r="A473" i="4"/>
  <c r="A502" i="4"/>
  <c r="A643" i="4"/>
  <c r="A435" i="4"/>
  <c r="I6" i="7"/>
  <c r="A159" i="4"/>
  <c r="A425" i="4"/>
  <c r="A146" i="4"/>
  <c r="A703" i="4"/>
  <c r="K204" i="7"/>
  <c r="A644" i="4"/>
  <c r="A334" i="4"/>
  <c r="A569" i="4"/>
  <c r="A759" i="4"/>
  <c r="A37" i="4"/>
  <c r="A336" i="4"/>
  <c r="A718" i="4"/>
  <c r="K47" i="7"/>
  <c r="A562" i="4"/>
  <c r="A228" i="4"/>
  <c r="A46" i="4"/>
  <c r="A58" i="4"/>
  <c r="A532" i="4"/>
  <c r="A528" i="4"/>
  <c r="K189" i="7"/>
  <c r="A613" i="4"/>
  <c r="A115" i="4"/>
  <c r="D281" i="7"/>
  <c r="E98" i="7"/>
  <c r="F21" i="7"/>
  <c r="A16" i="4"/>
  <c r="K100" i="7"/>
  <c r="K236" i="7"/>
  <c r="H92" i="7"/>
  <c r="G245" i="7"/>
  <c r="E108" i="7"/>
  <c r="G31" i="7"/>
  <c r="A365" i="4"/>
  <c r="K129" i="7"/>
  <c r="K58" i="7"/>
  <c r="G205" i="7"/>
  <c r="G192" i="7"/>
  <c r="H136" i="7"/>
  <c r="A497" i="4"/>
  <c r="A216" i="4"/>
  <c r="D12" i="7"/>
  <c r="H303" i="7"/>
  <c r="H266" i="7"/>
  <c r="G182" i="7"/>
  <c r="A360" i="4"/>
  <c r="A531" i="4"/>
  <c r="D60" i="7"/>
  <c r="D239" i="7"/>
  <c r="G272" i="7"/>
  <c r="I113" i="7"/>
  <c r="A441" i="4"/>
  <c r="A669" i="4"/>
  <c r="H123" i="7"/>
  <c r="E8" i="7"/>
  <c r="D129" i="7"/>
  <c r="G153" i="7"/>
  <c r="F243" i="7"/>
  <c r="A675" i="4"/>
  <c r="E290" i="7"/>
  <c r="I253" i="7"/>
  <c r="F254" i="7"/>
  <c r="E245" i="7"/>
  <c r="I280" i="7"/>
  <c r="A501" i="4"/>
  <c r="H75" i="7"/>
  <c r="G211" i="7"/>
  <c r="G197" i="7"/>
  <c r="I110" i="7"/>
  <c r="E297" i="7"/>
  <c r="K31" i="7"/>
  <c r="G54" i="7"/>
  <c r="G241" i="7"/>
  <c r="I105" i="7"/>
  <c r="F265" i="7"/>
  <c r="I79" i="7"/>
  <c r="F12" i="7"/>
  <c r="I264" i="7"/>
  <c r="I303" i="7"/>
  <c r="F195" i="7"/>
  <c r="F40" i="7"/>
  <c r="F271" i="7"/>
  <c r="D34" i="7"/>
  <c r="I125" i="7"/>
  <c r="E172" i="7"/>
  <c r="H281" i="7"/>
  <c r="I294" i="7"/>
  <c r="E45" i="7"/>
  <c r="K72" i="7"/>
  <c r="I104" i="7"/>
  <c r="D193" i="7"/>
  <c r="E120" i="7"/>
  <c r="H144" i="7"/>
  <c r="G187" i="7"/>
  <c r="I298" i="7"/>
  <c r="H285" i="7"/>
  <c r="G175" i="7"/>
  <c r="E174" i="7"/>
  <c r="F201" i="7"/>
  <c r="D93" i="7"/>
  <c r="D285" i="7"/>
  <c r="G275" i="7"/>
  <c r="E306" i="7"/>
  <c r="D145" i="7"/>
  <c r="H300" i="7"/>
  <c r="H98" i="7"/>
  <c r="H78" i="7"/>
  <c r="F285" i="7"/>
  <c r="D141" i="7"/>
  <c r="F293" i="7"/>
  <c r="E3" i="7"/>
  <c r="D257" i="7"/>
  <c r="G139" i="7"/>
  <c r="A361" i="4"/>
  <c r="I299" i="7"/>
  <c r="K231" i="7"/>
  <c r="A12" i="4"/>
  <c r="A253" i="4"/>
  <c r="K194" i="7"/>
  <c r="A456" i="4"/>
  <c r="K106" i="7"/>
  <c r="A259" i="4"/>
  <c r="A554" i="4"/>
  <c r="A221" i="4"/>
  <c r="A59" i="4"/>
  <c r="A696" i="4"/>
  <c r="K181" i="7"/>
  <c r="A772" i="4"/>
  <c r="A667" i="4"/>
  <c r="K46" i="7"/>
  <c r="A656" i="4"/>
  <c r="A257" i="4"/>
  <c r="A665" i="4"/>
  <c r="A702" i="4"/>
  <c r="K271" i="7"/>
  <c r="A364" i="4"/>
  <c r="A633" i="4"/>
  <c r="A546" i="4"/>
  <c r="K213" i="7"/>
  <c r="A477" i="4"/>
  <c r="A429" i="4"/>
  <c r="A196" i="4"/>
  <c r="A8" i="4"/>
  <c r="K191" i="7"/>
  <c r="A755" i="4"/>
  <c r="A25" i="4"/>
  <c r="A105" i="4"/>
  <c r="K201" i="7"/>
  <c r="A80" i="4"/>
  <c r="K146" i="7"/>
  <c r="F279" i="7"/>
  <c r="F235" i="7"/>
  <c r="D123" i="7"/>
  <c r="A615" i="4"/>
  <c r="A512" i="4"/>
  <c r="A30" i="4"/>
  <c r="H81" i="7"/>
  <c r="F218" i="7"/>
  <c r="E129" i="7"/>
  <c r="I287" i="7"/>
  <c r="K210" i="7"/>
  <c r="A492" i="4"/>
  <c r="A11" i="4"/>
  <c r="D22" i="7"/>
  <c r="G217" i="7"/>
  <c r="D212" i="7"/>
  <c r="A75" i="4"/>
  <c r="K198" i="7"/>
  <c r="I230" i="7"/>
  <c r="E69" i="7"/>
  <c r="D177" i="7"/>
  <c r="G191" i="7"/>
  <c r="K220" i="7"/>
  <c r="H16" i="7"/>
  <c r="A421" i="4"/>
  <c r="K125" i="7"/>
  <c r="A188" i="4"/>
  <c r="K288" i="7"/>
  <c r="A770" i="4"/>
  <c r="A651" i="4"/>
  <c r="A679" i="4"/>
  <c r="A391" i="4"/>
  <c r="A258" i="4"/>
  <c r="A461" i="4"/>
  <c r="A733" i="4"/>
  <c r="K30" i="7"/>
  <c r="A735" i="4"/>
  <c r="A500" i="4"/>
  <c r="A165" i="4"/>
  <c r="K136" i="7"/>
  <c r="K235" i="7"/>
  <c r="A570" i="4"/>
  <c r="A676" i="4"/>
  <c r="A135" i="4"/>
  <c r="K50" i="7"/>
  <c r="A468" i="4"/>
  <c r="K70" i="7"/>
  <c r="A558" i="4"/>
  <c r="A370" i="4"/>
  <c r="A540" i="4"/>
  <c r="A198" i="4"/>
  <c r="K176" i="7"/>
  <c r="A327" i="4"/>
  <c r="K101" i="7"/>
  <c r="A173" i="4"/>
  <c r="A443" i="4"/>
  <c r="A413" i="4"/>
  <c r="A95" i="4"/>
  <c r="F4" i="7"/>
  <c r="D91" i="7"/>
  <c r="F129" i="7"/>
  <c r="F116" i="7"/>
  <c r="K114" i="7"/>
  <c r="A126" i="4"/>
  <c r="A178" i="4"/>
  <c r="D109" i="7"/>
  <c r="E253" i="7"/>
  <c r="H231" i="7"/>
  <c r="A293" i="4"/>
  <c r="K164" i="7"/>
  <c r="A503" i="4"/>
  <c r="G76" i="7"/>
  <c r="G125" i="7"/>
  <c r="G7" i="7"/>
  <c r="H184" i="7"/>
  <c r="A262" i="4"/>
  <c r="A348" i="4"/>
  <c r="A222" i="4"/>
  <c r="I94" i="7"/>
  <c r="D174" i="7"/>
  <c r="H158" i="7"/>
  <c r="A552" i="4"/>
  <c r="G11" i="7"/>
  <c r="I162" i="7"/>
  <c r="D35" i="7"/>
  <c r="E230" i="7"/>
  <c r="I48" i="7"/>
  <c r="A549" i="4"/>
  <c r="G229" i="7"/>
  <c r="I199" i="7"/>
  <c r="F155" i="7"/>
  <c r="G130" i="7"/>
  <c r="H114" i="7"/>
  <c r="A611" i="4"/>
  <c r="H8" i="7"/>
  <c r="H133" i="7"/>
  <c r="I283" i="7"/>
  <c r="E218" i="7"/>
  <c r="G274" i="7"/>
  <c r="E209" i="7"/>
  <c r="A76" i="4"/>
  <c r="F304" i="7"/>
  <c r="E191" i="7"/>
  <c r="E255" i="7"/>
  <c r="E200" i="7"/>
  <c r="F120" i="7"/>
  <c r="A219" i="4"/>
  <c r="G176" i="7"/>
  <c r="E221" i="7"/>
  <c r="G19" i="7"/>
  <c r="G170" i="7"/>
  <c r="G121" i="7"/>
  <c r="E206" i="7"/>
  <c r="I244" i="7"/>
  <c r="D255" i="7"/>
  <c r="H180" i="7"/>
  <c r="H32" i="7"/>
  <c r="E208" i="7"/>
  <c r="I138" i="7"/>
  <c r="H223" i="7"/>
  <c r="H209" i="7"/>
  <c r="H177" i="7"/>
  <c r="F98" i="7"/>
  <c r="D82" i="7"/>
  <c r="A646" i="4"/>
  <c r="I263" i="7"/>
  <c r="G247" i="7"/>
  <c r="D216" i="7"/>
  <c r="G34" i="7"/>
  <c r="G232" i="7"/>
  <c r="A430" i="4"/>
  <c r="E119" i="7"/>
  <c r="I45" i="7"/>
  <c r="G171" i="7"/>
  <c r="E256" i="7"/>
  <c r="E81" i="7"/>
  <c r="E61" i="7"/>
  <c r="E39" i="7"/>
  <c r="D259" i="7"/>
  <c r="F238" i="7"/>
  <c r="F188" i="7"/>
  <c r="D81" i="7"/>
  <c r="F194" i="7"/>
  <c r="G146" i="7"/>
  <c r="D194" i="7"/>
  <c r="F86" i="7"/>
  <c r="I123" i="7"/>
  <c r="I286" i="7"/>
  <c r="G117" i="7"/>
  <c r="H212" i="7"/>
  <c r="D300" i="7"/>
  <c r="A579" i="4"/>
  <c r="A147" i="4"/>
  <c r="A731" i="4"/>
  <c r="A748" i="4"/>
  <c r="A355" i="4"/>
  <c r="K223" i="7"/>
  <c r="K262" i="7"/>
  <c r="K215" i="7"/>
  <c r="A496" i="4"/>
  <c r="A741" i="4"/>
  <c r="K184" i="7"/>
  <c r="K10" i="7"/>
  <c r="A572" i="4"/>
  <c r="A249" i="4"/>
  <c r="A72" i="4"/>
  <c r="K296" i="7"/>
  <c r="A399" i="4"/>
  <c r="K168" i="7"/>
  <c r="A738" i="4"/>
  <c r="K141" i="7"/>
  <c r="K171" i="7"/>
  <c r="K57" i="7"/>
  <c r="A152" i="4"/>
  <c r="A232" i="4"/>
  <c r="A639" i="4"/>
  <c r="K118" i="7"/>
  <c r="A449" i="4"/>
  <c r="A426" i="4"/>
  <c r="K98" i="7"/>
  <c r="A374" i="4"/>
  <c r="K199" i="7"/>
  <c r="K24" i="7"/>
  <c r="A767" i="4"/>
  <c r="A550" i="4"/>
  <c r="K300" i="7"/>
  <c r="E88" i="7"/>
  <c r="D278" i="7"/>
  <c r="F251" i="7"/>
  <c r="A251" i="4"/>
  <c r="A638" i="4"/>
  <c r="A234" i="4"/>
  <c r="D297" i="7"/>
  <c r="G201" i="7"/>
  <c r="G25" i="7"/>
  <c r="A111" i="4"/>
  <c r="A485" i="4"/>
  <c r="A379" i="4"/>
  <c r="E56" i="7"/>
  <c r="H165" i="7"/>
  <c r="I9" i="7"/>
  <c r="E133" i="7"/>
  <c r="K39" i="7"/>
  <c r="A411" i="4"/>
  <c r="A288" i="4"/>
  <c r="F164" i="7"/>
  <c r="H275" i="7"/>
  <c r="D44" i="7"/>
  <c r="A486" i="4"/>
  <c r="A408" i="4"/>
  <c r="A50" i="4"/>
  <c r="A474" i="4"/>
  <c r="K281" i="7"/>
  <c r="K63" i="7"/>
  <c r="K224" i="7"/>
  <c r="K162" i="7"/>
  <c r="K143" i="7"/>
  <c r="A621" i="4"/>
  <c r="K103" i="7"/>
  <c r="A586" i="4"/>
  <c r="I3" i="7"/>
  <c r="A85" i="4"/>
  <c r="A356" i="4"/>
  <c r="K297" i="7"/>
  <c r="A231" i="4"/>
  <c r="K96" i="7"/>
  <c r="E6" i="7"/>
  <c r="A640" i="4"/>
  <c r="K219" i="7"/>
  <c r="K150" i="7"/>
  <c r="A200" i="4"/>
  <c r="A422" i="4"/>
  <c r="A184" i="4"/>
  <c r="A62" i="4"/>
  <c r="A631" i="4"/>
  <c r="A740" i="4"/>
  <c r="K79" i="7"/>
  <c r="A610" i="4"/>
  <c r="A419" i="4"/>
  <c r="K263" i="7"/>
  <c r="A15" i="4"/>
  <c r="A354" i="4"/>
  <c r="A603" i="4"/>
  <c r="E279" i="7"/>
  <c r="D103" i="7"/>
  <c r="F81" i="7"/>
  <c r="A495" i="4"/>
  <c r="A438" i="4"/>
  <c r="F58" i="7"/>
  <c r="E90" i="7"/>
  <c r="H171" i="7"/>
  <c r="G220" i="7"/>
  <c r="A156" i="4"/>
  <c r="K44" i="7"/>
  <c r="A642" i="4"/>
  <c r="I188" i="7"/>
  <c r="F8" i="7"/>
  <c r="G8" i="7"/>
  <c r="A645" i="4"/>
  <c r="A758" i="4"/>
  <c r="A22" i="4"/>
  <c r="K272" i="7"/>
  <c r="F306" i="7"/>
  <c r="G151" i="7"/>
  <c r="H120" i="7"/>
  <c r="K71" i="7"/>
  <c r="G119" i="7"/>
  <c r="E271" i="7"/>
  <c r="G288" i="7"/>
  <c r="F262" i="7"/>
  <c r="I134" i="7"/>
  <c r="K95" i="7"/>
  <c r="I92" i="7"/>
  <c r="G161" i="7"/>
  <c r="I128" i="7"/>
  <c r="F277" i="7"/>
  <c r="H261" i="7"/>
  <c r="A694" i="4"/>
  <c r="A229" i="4"/>
  <c r="D66" i="7"/>
  <c r="F171" i="7"/>
  <c r="D19" i="7"/>
  <c r="D299" i="7"/>
  <c r="A616" i="4"/>
  <c r="A217" i="4"/>
  <c r="D219" i="7"/>
  <c r="G83" i="7"/>
  <c r="D202" i="7"/>
  <c r="F96" i="7"/>
  <c r="H221" i="7"/>
  <c r="A313" i="4"/>
  <c r="A268" i="4"/>
  <c r="K102" i="7"/>
  <c r="A71" i="4"/>
  <c r="A519" i="4"/>
  <c r="A619" i="4"/>
  <c r="A66" i="4"/>
  <c r="A183" i="4"/>
  <c r="K269" i="7"/>
  <c r="K211" i="7"/>
  <c r="A299" i="4"/>
  <c r="A574" i="4"/>
  <c r="K21" i="7"/>
  <c r="A637" i="4"/>
  <c r="K193" i="7"/>
  <c r="A573" i="4"/>
  <c r="A557" i="4"/>
  <c r="A711" i="4"/>
  <c r="K23" i="7"/>
  <c r="A301" i="4"/>
  <c r="A295" i="4"/>
  <c r="A10" i="4"/>
  <c r="A571" i="4"/>
  <c r="A525" i="4"/>
  <c r="A271" i="4"/>
  <c r="K37" i="7"/>
  <c r="K225" i="7"/>
  <c r="A181" i="4"/>
  <c r="A363" i="4"/>
  <c r="K241" i="7"/>
  <c r="A171" i="4"/>
  <c r="A328" i="4"/>
  <c r="A358" i="4"/>
  <c r="K294" i="7"/>
  <c r="F193" i="7"/>
  <c r="F296" i="7"/>
  <c r="D25" i="7"/>
  <c r="H295" i="7"/>
  <c r="A223" i="4"/>
  <c r="K34" i="7"/>
  <c r="H5" i="7"/>
  <c r="E231" i="7"/>
  <c r="E167" i="7"/>
  <c r="G109" i="7"/>
  <c r="K166" i="7"/>
  <c r="A530" i="4"/>
  <c r="K74" i="7"/>
  <c r="H279" i="7"/>
  <c r="I194" i="7"/>
  <c r="F222" i="7"/>
  <c r="A394" i="4"/>
  <c r="A169" i="4"/>
  <c r="A624" i="4"/>
  <c r="I63" i="7"/>
  <c r="I270" i="7"/>
  <c r="I274" i="7"/>
  <c r="D18" i="7"/>
  <c r="A87" i="4"/>
  <c r="H38" i="7"/>
  <c r="D130" i="7"/>
  <c r="E264" i="7"/>
  <c r="I235" i="7"/>
  <c r="D227" i="7"/>
  <c r="K45" i="7"/>
  <c r="G222" i="7"/>
  <c r="E36" i="7"/>
  <c r="D192" i="7"/>
  <c r="H291" i="7"/>
  <c r="I56" i="7"/>
  <c r="A307" i="4"/>
  <c r="D80" i="7"/>
  <c r="I241" i="7"/>
  <c r="G299" i="7"/>
  <c r="F114" i="7"/>
  <c r="F300" i="7"/>
  <c r="A225" i="4"/>
  <c r="A753" i="4"/>
  <c r="E112" i="7"/>
  <c r="D160" i="7"/>
  <c r="D41" i="7"/>
  <c r="H69" i="7"/>
  <c r="E237" i="7"/>
  <c r="A306" i="4"/>
  <c r="F119" i="7"/>
  <c r="H192" i="7"/>
  <c r="H265" i="7"/>
  <c r="H83" i="7"/>
  <c r="A35" i="4"/>
  <c r="G250" i="7"/>
  <c r="F219" i="7"/>
  <c r="D166" i="7"/>
  <c r="D204" i="7"/>
  <c r="H33" i="7"/>
  <c r="A339" i="4"/>
  <c r="I54" i="7"/>
  <c r="I192" i="7"/>
  <c r="F169" i="7"/>
  <c r="F286" i="7"/>
  <c r="H131" i="7"/>
  <c r="H113" i="7"/>
  <c r="E114" i="7"/>
  <c r="E94" i="7"/>
  <c r="D244" i="7"/>
  <c r="I51" i="7"/>
  <c r="F42" i="7"/>
  <c r="F63" i="7"/>
  <c r="F13" i="7"/>
  <c r="D262" i="7"/>
  <c r="I273" i="7"/>
  <c r="E80" i="7"/>
  <c r="I75" i="7"/>
  <c r="H287" i="7"/>
  <c r="A320" i="4"/>
  <c r="E173" i="7"/>
  <c r="H143" i="7"/>
  <c r="H167" i="7"/>
  <c r="E227" i="7"/>
  <c r="D61" i="7"/>
  <c r="H290" i="7"/>
  <c r="H297" i="7"/>
  <c r="I178" i="7"/>
  <c r="F282" i="7"/>
  <c r="D260" i="7"/>
  <c r="H294" i="7"/>
  <c r="G111" i="7"/>
  <c r="D31" i="7"/>
  <c r="E294" i="7"/>
  <c r="A239" i="4"/>
  <c r="A516" i="4"/>
  <c r="A601" i="4"/>
  <c r="A691" i="4"/>
  <c r="A337" i="4"/>
  <c r="A134" i="4"/>
  <c r="A471" i="4"/>
  <c r="K65" i="7"/>
  <c r="A73" i="4"/>
  <c r="A21" i="4"/>
  <c r="A151" i="4"/>
  <c r="A350" i="4"/>
  <c r="K107" i="7"/>
  <c r="K28" i="7"/>
  <c r="K197" i="7"/>
  <c r="A211" i="4"/>
  <c r="K117" i="7"/>
  <c r="A43" i="4"/>
  <c r="K139" i="7"/>
  <c r="A771" i="4"/>
  <c r="K284" i="7"/>
  <c r="K203" i="7"/>
  <c r="K144" i="7"/>
  <c r="K295" i="7"/>
  <c r="K233" i="7"/>
  <c r="A462" i="4"/>
  <c r="A186" i="4"/>
  <c r="A400" i="4"/>
  <c r="A614" i="4"/>
  <c r="A329" i="4"/>
  <c r="A112" i="4"/>
  <c r="A206" i="4"/>
  <c r="A322" i="4"/>
  <c r="A763" i="4"/>
  <c r="E37" i="7"/>
  <c r="G270" i="7"/>
  <c r="I174" i="7"/>
  <c r="F102" i="7"/>
  <c r="A599" i="4"/>
  <c r="F3" i="7"/>
  <c r="K62" i="7"/>
  <c r="F105" i="7"/>
  <c r="H182" i="7"/>
  <c r="I293" i="7"/>
  <c r="K36" i="7"/>
  <c r="A248" i="4"/>
  <c r="H49" i="7"/>
  <c r="H52" i="7"/>
  <c r="E152" i="7"/>
  <c r="F305" i="7"/>
  <c r="A170" i="4"/>
  <c r="K147" i="7"/>
  <c r="A424" i="4"/>
  <c r="I93" i="7"/>
  <c r="F244" i="7"/>
  <c r="I151" i="7"/>
  <c r="F275" i="7"/>
  <c r="I5" i="7"/>
  <c r="I145" i="7"/>
  <c r="H225" i="7"/>
  <c r="G105" i="7"/>
  <c r="E23" i="7"/>
  <c r="F147" i="7"/>
  <c r="A230" i="4"/>
  <c r="D176" i="7"/>
  <c r="F216" i="7"/>
  <c r="E86" i="7"/>
  <c r="I300" i="7"/>
  <c r="F34" i="7"/>
  <c r="A13" i="4"/>
  <c r="D293" i="7"/>
  <c r="F228" i="7"/>
  <c r="F289" i="7"/>
  <c r="D251" i="7"/>
  <c r="H28" i="7"/>
  <c r="A538" i="4"/>
  <c r="K42" i="7"/>
  <c r="F291" i="7"/>
  <c r="D261" i="7"/>
  <c r="G248" i="7"/>
  <c r="F184" i="7"/>
  <c r="K51" i="7"/>
  <c r="A233" i="4"/>
  <c r="F226" i="7"/>
  <c r="E96" i="7"/>
  <c r="E12" i="7"/>
  <c r="D68" i="7"/>
  <c r="K173" i="7"/>
  <c r="G23" i="7"/>
  <c r="F173" i="7"/>
  <c r="D3" i="7"/>
  <c r="H41" i="7"/>
  <c r="F180" i="7"/>
  <c r="A319" i="4"/>
  <c r="G100" i="7"/>
  <c r="G258" i="7"/>
  <c r="F127" i="7"/>
  <c r="I213" i="7"/>
  <c r="D265" i="7"/>
  <c r="F151" i="7"/>
  <c r="I119" i="7"/>
  <c r="D179" i="7"/>
  <c r="F248" i="7"/>
  <c r="G194" i="7"/>
  <c r="F39" i="7"/>
  <c r="E64" i="7"/>
  <c r="D205" i="7"/>
  <c r="D142" i="7"/>
  <c r="I115" i="7"/>
  <c r="D113" i="7"/>
  <c r="F176" i="7"/>
  <c r="I76" i="7"/>
  <c r="A493" i="4"/>
  <c r="D252" i="7"/>
  <c r="H200" i="7"/>
  <c r="D296" i="7"/>
  <c r="G206" i="7"/>
  <c r="F212" i="7"/>
  <c r="A382" i="4"/>
  <c r="F215" i="7"/>
  <c r="G169" i="7"/>
  <c r="D198" i="7"/>
  <c r="F111" i="7"/>
  <c r="F230" i="7"/>
  <c r="H214" i="7"/>
  <c r="H160" i="7"/>
  <c r="E41" i="7"/>
  <c r="A564" i="4"/>
  <c r="K252" i="7"/>
  <c r="A67" i="4"/>
  <c r="A575" i="4"/>
  <c r="A568" i="4"/>
  <c r="K273" i="7"/>
  <c r="A42" i="4"/>
  <c r="K161" i="7"/>
  <c r="A668" i="4"/>
  <c r="A83" i="4"/>
  <c r="K13" i="7"/>
  <c r="A214" i="4"/>
  <c r="K119" i="7"/>
  <c r="A63" i="4"/>
  <c r="K175" i="7"/>
  <c r="K170" i="7"/>
  <c r="A197" i="4"/>
  <c r="K270" i="7"/>
  <c r="A544" i="4"/>
  <c r="A626" i="4"/>
  <c r="A2" i="4"/>
  <c r="K239" i="7"/>
  <c r="A132" i="4"/>
  <c r="A321" i="4"/>
  <c r="A388" i="4"/>
  <c r="A522" i="4"/>
  <c r="A385" i="4"/>
  <c r="A280" i="4"/>
  <c r="A416" i="4"/>
  <c r="A345" i="4"/>
  <c r="K17" i="7"/>
  <c r="K229" i="7"/>
  <c r="A172" i="4"/>
  <c r="A397" i="4"/>
  <c r="D47" i="7"/>
  <c r="F250" i="7"/>
  <c r="G307" i="7"/>
  <c r="D250" i="7"/>
  <c r="A652" i="4"/>
  <c r="A769" i="4"/>
  <c r="E38" i="7"/>
  <c r="I201" i="7"/>
  <c r="I149" i="7"/>
  <c r="H12" i="7"/>
  <c r="A351" i="4"/>
  <c r="A713" i="4"/>
  <c r="F30" i="7"/>
  <c r="G102" i="7"/>
  <c r="H21" i="7"/>
  <c r="E199" i="7"/>
  <c r="K27" i="7"/>
  <c r="A148" i="4"/>
  <c r="K97" i="7"/>
  <c r="D222" i="7"/>
  <c r="G166" i="7"/>
  <c r="F150" i="7"/>
  <c r="A7" i="4"/>
  <c r="K172" i="7"/>
  <c r="G13" i="7"/>
  <c r="H125" i="7"/>
  <c r="F263" i="7"/>
  <c r="E301" i="7"/>
  <c r="H252" i="7"/>
  <c r="K69" i="7"/>
  <c r="F167" i="7"/>
  <c r="E149" i="7"/>
  <c r="F112" i="7"/>
  <c r="H107" i="7"/>
  <c r="H110" i="7"/>
  <c r="A405" i="4"/>
  <c r="E288" i="7"/>
  <c r="H183" i="7"/>
  <c r="G62" i="7"/>
  <c r="F48" i="7"/>
  <c r="E17" i="7"/>
  <c r="K251" i="7"/>
  <c r="I35" i="7"/>
  <c r="G285" i="7"/>
  <c r="E142" i="7"/>
  <c r="D135" i="7"/>
  <c r="I257" i="7"/>
  <c r="K109" i="7"/>
  <c r="K180" i="7"/>
  <c r="I98" i="7"/>
  <c r="H241" i="7"/>
  <c r="I158" i="7"/>
  <c r="H24" i="7"/>
  <c r="K126" i="7"/>
  <c r="E79" i="7"/>
  <c r="I141" i="7"/>
  <c r="F278" i="7"/>
  <c r="E124" i="7"/>
  <c r="I57" i="7"/>
  <c r="A533" i="4"/>
  <c r="D116" i="7"/>
  <c r="G55" i="7"/>
  <c r="D248" i="7"/>
  <c r="H88" i="7"/>
  <c r="H138" i="7"/>
  <c r="F294" i="7"/>
  <c r="D187" i="7"/>
  <c r="I30" i="7"/>
  <c r="G219" i="7"/>
  <c r="I224" i="7"/>
  <c r="E32" i="7"/>
  <c r="E207" i="7"/>
  <c r="G33" i="7"/>
  <c r="H159" i="7"/>
  <c r="E121" i="7"/>
  <c r="E239" i="7"/>
  <c r="G199" i="7"/>
  <c r="H228" i="7"/>
  <c r="A20" i="4"/>
  <c r="E44" i="7"/>
  <c r="H109" i="7"/>
  <c r="D264" i="7"/>
  <c r="F45" i="7"/>
  <c r="D64" i="7"/>
  <c r="A3" i="4"/>
  <c r="G279" i="7"/>
  <c r="E54" i="7"/>
  <c r="I106" i="7"/>
  <c r="D165" i="7"/>
  <c r="E31" i="7"/>
  <c r="I177" i="7"/>
  <c r="H240" i="7"/>
  <c r="H230" i="7"/>
  <c r="K306" i="7"/>
  <c r="A266" i="4"/>
  <c r="A176" i="4"/>
  <c r="A74" i="4"/>
  <c r="A56" i="4"/>
  <c r="K307" i="7"/>
  <c r="A699" i="4"/>
  <c r="A189" i="4"/>
  <c r="A312" i="4"/>
  <c r="A252" i="4"/>
  <c r="A584" i="4"/>
  <c r="A561" i="4"/>
  <c r="K156" i="7"/>
  <c r="A632" i="4"/>
  <c r="A90" i="4"/>
  <c r="A113" i="4"/>
  <c r="K158" i="7"/>
  <c r="A447" i="4"/>
  <c r="K268" i="7"/>
  <c r="A534" i="4"/>
  <c r="A404" i="4"/>
  <c r="K73" i="7"/>
  <c r="K245" i="7"/>
  <c r="A220" i="4"/>
  <c r="K90" i="7"/>
  <c r="A548" i="4"/>
  <c r="A402" i="4"/>
  <c r="A721" i="4"/>
  <c r="A527" i="4"/>
  <c r="A543" i="4"/>
  <c r="A410" i="4"/>
  <c r="K59" i="7"/>
  <c r="A396" i="4"/>
  <c r="A392" i="4"/>
  <c r="A167" i="4"/>
  <c r="G60" i="7"/>
  <c r="F280" i="7"/>
  <c r="H185" i="7"/>
  <c r="D8" i="7"/>
  <c r="A330" i="4"/>
  <c r="A567" i="4"/>
  <c r="A297" i="4"/>
  <c r="F284" i="7"/>
  <c r="F110" i="7"/>
  <c r="I127" i="7"/>
  <c r="A163" i="4"/>
  <c r="A325" i="4"/>
  <c r="D45" i="7"/>
  <c r="E103" i="7"/>
  <c r="I246" i="7"/>
  <c r="E160" i="7"/>
  <c r="K292" i="7"/>
  <c r="A480" i="4"/>
  <c r="A38" i="4"/>
  <c r="I95" i="7"/>
  <c r="F16" i="7"/>
  <c r="I215" i="7"/>
  <c r="K66" i="7"/>
  <c r="K277" i="7"/>
  <c r="I238" i="7"/>
  <c r="I140" i="7"/>
  <c r="D131" i="7"/>
  <c r="G209" i="7"/>
  <c r="E136" i="7"/>
  <c r="A304" i="4"/>
  <c r="I163" i="7"/>
  <c r="E257" i="7"/>
  <c r="D128" i="7"/>
  <c r="D184" i="7"/>
  <c r="F191" i="7"/>
  <c r="K240" i="7"/>
  <c r="G254" i="7"/>
  <c r="G97" i="7"/>
  <c r="H117" i="7"/>
  <c r="F80" i="7"/>
  <c r="G188" i="7"/>
  <c r="K81" i="7"/>
  <c r="G57" i="7"/>
  <c r="E109" i="7"/>
  <c r="G148" i="7"/>
  <c r="H229" i="7"/>
  <c r="G243" i="7"/>
  <c r="A515" i="4"/>
  <c r="A521" i="4"/>
  <c r="D236" i="7"/>
  <c r="H247" i="7"/>
  <c r="F258" i="7"/>
  <c r="H39" i="7"/>
  <c r="D224" i="7"/>
  <c r="E147" i="7"/>
  <c r="H278" i="7"/>
  <c r="G261" i="7"/>
  <c r="H37" i="7"/>
  <c r="E53" i="7"/>
  <c r="A680" i="4"/>
  <c r="D104" i="7"/>
  <c r="G128" i="7"/>
  <c r="H119" i="7"/>
  <c r="I96" i="7"/>
  <c r="G16" i="7"/>
  <c r="A291" i="4"/>
  <c r="I20" i="7"/>
  <c r="F246" i="7"/>
  <c r="I155" i="7"/>
  <c r="G65" i="7"/>
  <c r="G53" i="7"/>
  <c r="I91" i="7"/>
  <c r="F198" i="7"/>
  <c r="I46" i="7"/>
  <c r="G212" i="7"/>
  <c r="E169" i="7"/>
  <c r="I62" i="7"/>
  <c r="H201" i="7"/>
  <c r="A138" i="4"/>
  <c r="D16" i="7"/>
  <c r="D191" i="7"/>
  <c r="E223" i="7"/>
  <c r="I22" i="7"/>
  <c r="E77" i="7"/>
  <c r="A238" i="4"/>
  <c r="H137" i="7"/>
  <c r="I24" i="7"/>
  <c r="F178" i="7"/>
  <c r="E248" i="7"/>
  <c r="H146" i="7"/>
  <c r="H72" i="7"/>
  <c r="I82" i="7"/>
  <c r="A27" i="4"/>
  <c r="K154" i="7"/>
  <c r="K89" i="7"/>
  <c r="A707" i="4"/>
  <c r="A265" i="4"/>
  <c r="A681" i="4"/>
  <c r="A734" i="4"/>
  <c r="A726" i="4"/>
  <c r="A765" i="4"/>
  <c r="A335" i="4"/>
  <c r="K177" i="7"/>
  <c r="A122" i="4"/>
  <c r="A720" i="4"/>
  <c r="A332" i="4"/>
  <c r="A79" i="4"/>
  <c r="A653" i="4"/>
  <c r="I205" i="7"/>
  <c r="A6" i="4"/>
  <c r="G44" i="7"/>
  <c r="D106" i="7"/>
  <c r="K243" i="7"/>
  <c r="D21" i="7"/>
  <c r="D304" i="7"/>
  <c r="A174" i="4"/>
  <c r="D132" i="7"/>
  <c r="H260" i="7"/>
  <c r="A609" i="4"/>
  <c r="F142" i="7"/>
  <c r="D233" i="7"/>
  <c r="A442" i="4"/>
  <c r="I221" i="7"/>
  <c r="G198" i="7"/>
  <c r="A386" i="4"/>
  <c r="I100" i="7"/>
  <c r="F220" i="7"/>
  <c r="E100" i="7"/>
  <c r="A137" i="4"/>
  <c r="I266" i="7"/>
  <c r="G63" i="7"/>
  <c r="K226" i="7"/>
  <c r="I37" i="7"/>
  <c r="E110" i="7"/>
  <c r="D153" i="7"/>
  <c r="D32" i="7"/>
  <c r="F134" i="7"/>
  <c r="H100" i="7"/>
  <c r="D76" i="7"/>
  <c r="F126" i="7"/>
  <c r="G135" i="7"/>
  <c r="E67" i="7"/>
  <c r="K280" i="7"/>
  <c r="F76" i="7"/>
  <c r="F125" i="7"/>
  <c r="F181" i="7"/>
  <c r="E57" i="7"/>
  <c r="F192" i="7"/>
  <c r="G50" i="7"/>
  <c r="D249" i="7"/>
  <c r="I55" i="7"/>
  <c r="H251" i="7"/>
  <c r="D195" i="7"/>
  <c r="I72" i="7"/>
  <c r="G80" i="7"/>
  <c r="A708" i="4"/>
  <c r="F168" i="7"/>
  <c r="D85" i="7"/>
  <c r="G93" i="7"/>
  <c r="I291" i="7"/>
  <c r="E260" i="7"/>
  <c r="E78" i="7"/>
  <c r="E87" i="7"/>
  <c r="E228" i="7"/>
  <c r="E65" i="7"/>
  <c r="H292" i="7"/>
  <c r="I262" i="7"/>
  <c r="E137" i="7"/>
  <c r="A607" i="4"/>
  <c r="G84" i="7"/>
  <c r="F68" i="7"/>
  <c r="F103" i="7"/>
  <c r="D148" i="7"/>
  <c r="D171" i="7"/>
  <c r="D140" i="7"/>
  <c r="H19" i="7"/>
  <c r="A331" i="4"/>
  <c r="A687" i="4"/>
  <c r="A518" i="4"/>
  <c r="A678" i="4"/>
  <c r="A369" i="4"/>
  <c r="A17" i="4"/>
  <c r="A245" i="4"/>
  <c r="A162" i="4"/>
  <c r="D10" i="7"/>
  <c r="K84" i="7"/>
  <c r="A323" i="4"/>
  <c r="K64" i="7"/>
  <c r="A179" i="4"/>
  <c r="A578" i="4"/>
  <c r="A598" i="4"/>
  <c r="A448" i="4"/>
  <c r="D30" i="7"/>
  <c r="K305" i="7"/>
  <c r="G225" i="7"/>
  <c r="D167" i="7"/>
  <c r="K207" i="7"/>
  <c r="F92" i="7"/>
  <c r="E104" i="7"/>
  <c r="K155" i="7"/>
  <c r="D122" i="7"/>
  <c r="G242" i="7"/>
  <c r="F104" i="7"/>
  <c r="F135" i="7"/>
  <c r="E158" i="7"/>
  <c r="A764" i="4"/>
  <c r="F9" i="7"/>
  <c r="E185" i="7"/>
  <c r="A693" i="4"/>
  <c r="H174" i="7"/>
  <c r="G253" i="7"/>
  <c r="H151" i="7"/>
  <c r="A93" i="4"/>
  <c r="D155" i="7"/>
  <c r="D303" i="7"/>
  <c r="K108" i="7"/>
  <c r="G95" i="7"/>
  <c r="H42" i="7"/>
  <c r="H61" i="7"/>
  <c r="E130" i="7"/>
  <c r="I304" i="7"/>
  <c r="F62" i="7"/>
  <c r="I249" i="7"/>
  <c r="H243" i="7"/>
  <c r="G289" i="7"/>
  <c r="H82" i="7"/>
  <c r="G79" i="7"/>
  <c r="D115" i="7"/>
  <c r="D43" i="7"/>
  <c r="E105" i="7"/>
  <c r="D182" i="7"/>
  <c r="G259" i="7"/>
  <c r="F144" i="7"/>
  <c r="I206" i="7"/>
  <c r="D36" i="7"/>
  <c r="F267" i="7"/>
  <c r="F292" i="7"/>
  <c r="F82" i="7"/>
  <c r="I255" i="7"/>
  <c r="G178" i="7"/>
  <c r="G38" i="7"/>
  <c r="H129" i="7"/>
  <c r="D46" i="7"/>
  <c r="I130" i="7"/>
  <c r="H181" i="7"/>
  <c r="G297" i="7"/>
  <c r="G180" i="7"/>
  <c r="G304" i="7"/>
  <c r="G147" i="7"/>
  <c r="G96" i="7"/>
  <c r="D121" i="7"/>
  <c r="F19" i="7"/>
  <c r="G231" i="7"/>
  <c r="H296" i="7"/>
  <c r="G268" i="7"/>
  <c r="G37" i="7"/>
  <c r="E165" i="7"/>
  <c r="F10" i="7"/>
  <c r="H246" i="7"/>
  <c r="G267" i="7"/>
  <c r="A654" i="4"/>
  <c r="A316" i="4"/>
  <c r="K196" i="7"/>
  <c r="K9" i="7"/>
  <c r="A279" i="4"/>
  <c r="A106" i="4"/>
  <c r="A750" i="4"/>
  <c r="K6" i="7"/>
  <c r="A302" i="4"/>
  <c r="A663" i="4"/>
  <c r="K304" i="7"/>
  <c r="A591" i="4"/>
  <c r="K16" i="7"/>
  <c r="A730" i="4"/>
  <c r="A559" i="4"/>
  <c r="H50" i="7"/>
  <c r="F217" i="7"/>
  <c r="A39" i="4"/>
  <c r="K182" i="7"/>
  <c r="G230" i="7"/>
  <c r="K186" i="7"/>
  <c r="I11" i="7"/>
  <c r="E135" i="7"/>
  <c r="A235" i="4"/>
  <c r="I259" i="7"/>
  <c r="G168" i="7"/>
  <c r="D90" i="7"/>
  <c r="G236" i="7"/>
  <c r="G200" i="7"/>
  <c r="A371" i="4"/>
  <c r="D286" i="7"/>
  <c r="E141" i="7"/>
  <c r="A684" i="4"/>
  <c r="H89" i="7"/>
  <c r="D214" i="7"/>
  <c r="I182" i="7"/>
  <c r="A314" i="4"/>
  <c r="I137" i="7"/>
  <c r="G210" i="7"/>
  <c r="A353" i="4"/>
  <c r="D305" i="7"/>
  <c r="H250" i="7"/>
  <c r="H162" i="7"/>
  <c r="G265" i="7"/>
  <c r="E298" i="7"/>
  <c r="D92" i="7"/>
  <c r="K115" i="7"/>
  <c r="E258" i="7"/>
  <c r="I116" i="7"/>
  <c r="E198" i="7"/>
  <c r="F44" i="7"/>
  <c r="E304" i="7"/>
  <c r="I10" i="7"/>
  <c r="E224" i="7"/>
  <c r="F128" i="7"/>
  <c r="D138" i="7"/>
  <c r="I277" i="7"/>
  <c r="H208" i="7"/>
  <c r="D237" i="7"/>
  <c r="I240" i="7"/>
  <c r="E127" i="7"/>
  <c r="H195" i="7"/>
  <c r="I84" i="7"/>
  <c r="D40" i="7"/>
  <c r="G35" i="7"/>
  <c r="D65" i="7"/>
  <c r="F203" i="7"/>
  <c r="D190" i="7"/>
  <c r="E247" i="7"/>
  <c r="H207" i="7"/>
  <c r="H178" i="7"/>
  <c r="G164" i="7"/>
  <c r="F229" i="7"/>
  <c r="I83" i="7"/>
  <c r="G227" i="7"/>
  <c r="D240" i="7"/>
  <c r="I302" i="7"/>
  <c r="D188" i="7"/>
  <c r="D196" i="7"/>
  <c r="H259" i="7"/>
  <c r="G6" i="7"/>
  <c r="I21" i="7"/>
  <c r="H288" i="7"/>
  <c r="F288" i="7"/>
  <c r="A483" i="4"/>
  <c r="A218" i="4"/>
  <c r="A187" i="4"/>
  <c r="A418" i="4"/>
  <c r="A700" i="4"/>
  <c r="K253" i="7"/>
  <c r="K121" i="7"/>
  <c r="A623" i="4"/>
  <c r="A716" i="4"/>
  <c r="K61" i="7"/>
  <c r="A494" i="4"/>
  <c r="A470" i="4"/>
  <c r="A326" i="4"/>
  <c r="A116" i="4"/>
  <c r="A445" i="4"/>
  <c r="E24" i="7"/>
  <c r="F269" i="7"/>
  <c r="A277" i="4"/>
  <c r="A333" i="4"/>
  <c r="D306" i="7"/>
  <c r="A508" i="4"/>
  <c r="H175" i="7"/>
  <c r="G269" i="7"/>
  <c r="A203" i="4"/>
  <c r="H31" i="7"/>
  <c r="H126" i="7"/>
  <c r="G45" i="7"/>
  <c r="G12" i="7"/>
  <c r="H139" i="7"/>
  <c r="A153" i="4"/>
  <c r="I67" i="7"/>
  <c r="D223" i="7"/>
  <c r="A274" i="4"/>
  <c r="H220" i="7"/>
  <c r="H148" i="7"/>
  <c r="D220" i="7"/>
  <c r="A283" i="4"/>
  <c r="D74" i="7"/>
  <c r="D217" i="7"/>
  <c r="A70" i="4"/>
  <c r="D168" i="7"/>
  <c r="E187" i="7"/>
  <c r="I173" i="7"/>
  <c r="F109" i="7"/>
  <c r="D110" i="7"/>
  <c r="H76" i="7"/>
  <c r="A96" i="4"/>
  <c r="H48" i="7"/>
  <c r="H90" i="7"/>
  <c r="I171" i="7"/>
  <c r="F106" i="7"/>
  <c r="G127" i="7"/>
  <c r="H87" i="7"/>
  <c r="F32" i="7"/>
  <c r="F72" i="7"/>
  <c r="H173" i="7"/>
  <c r="F97" i="7"/>
  <c r="F31" i="7"/>
  <c r="F281" i="7"/>
  <c r="H140" i="7"/>
  <c r="G116" i="7"/>
  <c r="G278" i="7"/>
  <c r="D197" i="7"/>
  <c r="F179" i="7"/>
  <c r="D48" i="7"/>
  <c r="G186" i="7"/>
  <c r="H166" i="7"/>
  <c r="D289" i="7"/>
  <c r="I191" i="7"/>
  <c r="G204" i="7"/>
  <c r="H70" i="7"/>
  <c r="G179" i="7"/>
  <c r="G66" i="7"/>
  <c r="I208" i="7"/>
  <c r="D37" i="7"/>
  <c r="D120" i="7"/>
  <c r="H164" i="7"/>
  <c r="F205" i="7"/>
  <c r="H176" i="7"/>
  <c r="I289" i="7"/>
  <c r="D73" i="7"/>
  <c r="G43" i="7"/>
  <c r="I288" i="7"/>
  <c r="E164" i="7"/>
  <c r="A596" i="4"/>
  <c r="K274" i="7"/>
  <c r="A78" i="4"/>
  <c r="A727" i="4"/>
  <c r="A506" i="4"/>
  <c r="K287" i="7"/>
  <c r="K212" i="7"/>
  <c r="A160" i="4"/>
  <c r="H11" i="7"/>
  <c r="A49" i="4"/>
  <c r="A310" i="4"/>
  <c r="K276" i="7"/>
  <c r="K208" i="7"/>
  <c r="A128" i="4"/>
  <c r="A352" i="4"/>
  <c r="K187" i="7"/>
  <c r="D112" i="7"/>
  <c r="A215" i="4"/>
  <c r="H196" i="7"/>
  <c r="F190" i="7"/>
  <c r="A140" i="4"/>
  <c r="A432" i="4"/>
  <c r="A757" i="4"/>
  <c r="A655" i="4"/>
  <c r="A373" i="4"/>
  <c r="K163" i="7"/>
  <c r="A499" i="4"/>
  <c r="A588" i="4"/>
  <c r="A346" i="4"/>
  <c r="A141" i="4"/>
  <c r="A491" i="4"/>
  <c r="A469" i="4"/>
  <c r="A674" i="4"/>
  <c r="A739" i="4"/>
  <c r="A725" i="4"/>
  <c r="A158" i="4"/>
  <c r="I139" i="7"/>
  <c r="E211" i="7"/>
  <c r="A263" i="4"/>
  <c r="G218" i="7"/>
  <c r="A378" i="4"/>
  <c r="K256" i="7"/>
  <c r="F17" i="7"/>
  <c r="A428" i="4"/>
  <c r="D51" i="7"/>
  <c r="I284" i="7"/>
  <c r="A143" i="4"/>
  <c r="E27" i="7"/>
  <c r="E132" i="7"/>
  <c r="K127" i="7"/>
  <c r="F107" i="7"/>
  <c r="E146" i="7"/>
  <c r="H224" i="7"/>
  <c r="K22" i="7"/>
  <c r="G134" i="7"/>
  <c r="E219" i="7"/>
  <c r="A556" i="4"/>
  <c r="H7" i="7"/>
  <c r="E267" i="7"/>
  <c r="I236" i="7"/>
  <c r="K227" i="7"/>
  <c r="H211" i="7"/>
  <c r="E63" i="7"/>
  <c r="I12" i="7"/>
  <c r="D100" i="7"/>
  <c r="F89" i="7"/>
  <c r="H282" i="7"/>
  <c r="H271" i="7"/>
  <c r="D159" i="7"/>
  <c r="D256" i="7"/>
  <c r="H34" i="7"/>
  <c r="H264" i="7"/>
  <c r="F165" i="7"/>
  <c r="E30" i="7"/>
  <c r="A398" i="4"/>
  <c r="E241" i="7"/>
  <c r="G5" i="7"/>
  <c r="G255" i="7"/>
  <c r="H222" i="7"/>
  <c r="G301" i="7"/>
  <c r="E92" i="7"/>
  <c r="G107" i="7"/>
  <c r="I175" i="7"/>
  <c r="H232" i="7"/>
  <c r="F297" i="7"/>
  <c r="E84" i="7"/>
  <c r="I111" i="7"/>
  <c r="D185" i="7"/>
  <c r="D29" i="7"/>
  <c r="I33" i="7"/>
  <c r="I233" i="7"/>
  <c r="H20" i="7"/>
  <c r="G260" i="7"/>
  <c r="E35" i="7"/>
  <c r="I203" i="7"/>
  <c r="I186" i="7"/>
  <c r="G85" i="7"/>
  <c r="E85" i="7"/>
  <c r="I114" i="7"/>
  <c r="E236" i="7"/>
  <c r="F237" i="7"/>
  <c r="I89" i="7"/>
  <c r="G142" i="7"/>
  <c r="F52" i="7"/>
  <c r="A724" i="4"/>
  <c r="A41" i="4"/>
  <c r="K137" i="7"/>
  <c r="A98" i="4"/>
  <c r="A526" i="4"/>
  <c r="D2" i="7"/>
  <c r="K148" i="7"/>
  <c r="A458" i="4"/>
  <c r="A580" i="4"/>
  <c r="A594" i="4"/>
  <c r="A118" i="4"/>
  <c r="A276" i="4"/>
  <c r="A340" i="4"/>
  <c r="A754" i="4"/>
  <c r="A523" i="4"/>
  <c r="A704" i="4"/>
  <c r="F252" i="7"/>
  <c r="A511" i="4"/>
  <c r="A710" i="4"/>
  <c r="E192" i="7"/>
  <c r="A510" i="4"/>
  <c r="K165" i="7"/>
  <c r="D279" i="7"/>
  <c r="K254" i="7"/>
  <c r="A715" i="4"/>
  <c r="I42" i="7"/>
  <c r="A338" i="4"/>
  <c r="I121" i="7"/>
  <c r="F88" i="7"/>
  <c r="A381" i="4"/>
  <c r="F37" i="7"/>
  <c r="D272" i="7"/>
  <c r="D280" i="7"/>
  <c r="I47" i="7"/>
  <c r="F273" i="7"/>
  <c r="D229" i="7"/>
  <c r="K130" i="7"/>
  <c r="D125" i="7"/>
  <c r="G280" i="7"/>
  <c r="H263" i="7"/>
  <c r="E21" i="7"/>
  <c r="H254" i="7"/>
  <c r="E252" i="7"/>
  <c r="D266" i="7"/>
  <c r="H149" i="7"/>
  <c r="F206" i="7"/>
  <c r="F54" i="7"/>
  <c r="G40" i="7"/>
  <c r="G120" i="7"/>
  <c r="G181" i="7"/>
  <c r="A149" i="4"/>
  <c r="G64" i="7"/>
  <c r="E148" i="7"/>
  <c r="H93" i="7"/>
  <c r="A31" i="4"/>
  <c r="E220" i="7"/>
  <c r="I58" i="7"/>
  <c r="G291" i="7"/>
  <c r="F7" i="7"/>
  <c r="E128" i="7"/>
  <c r="G82" i="7"/>
  <c r="H43" i="7"/>
  <c r="F121" i="7"/>
  <c r="H64" i="7"/>
  <c r="G94" i="7"/>
  <c r="I282" i="7"/>
  <c r="E60" i="7"/>
  <c r="H71" i="7"/>
  <c r="I109" i="7"/>
  <c r="I285" i="7"/>
  <c r="F101" i="7"/>
  <c r="H233" i="7"/>
  <c r="G113" i="7"/>
  <c r="G159" i="7"/>
  <c r="F148" i="7"/>
  <c r="A622" i="4"/>
  <c r="G72" i="7"/>
  <c r="E205" i="7"/>
  <c r="H35" i="7"/>
  <c r="H128" i="7"/>
  <c r="G303" i="7"/>
  <c r="D127" i="7"/>
  <c r="F241" i="7"/>
  <c r="A524" i="4"/>
  <c r="A507" i="4"/>
  <c r="K111" i="7"/>
  <c r="K43" i="7"/>
  <c r="A464" i="4"/>
  <c r="A318" i="4"/>
  <c r="A311" i="4"/>
  <c r="K267" i="7"/>
  <c r="A412" i="4"/>
  <c r="A260" i="4"/>
  <c r="K255" i="7"/>
  <c r="K265" i="7"/>
  <c r="A349" i="4"/>
  <c r="A437" i="4"/>
  <c r="A701" i="4"/>
  <c r="A127" i="4"/>
  <c r="D295" i="7"/>
  <c r="A305" i="4"/>
  <c r="H59" i="7"/>
  <c r="H258" i="7"/>
  <c r="A185" i="4"/>
  <c r="H62" i="7"/>
  <c r="I226" i="7"/>
  <c r="A384" i="4"/>
  <c r="G69" i="7"/>
  <c r="H249" i="7"/>
  <c r="A737" i="4"/>
  <c r="D133" i="7"/>
  <c r="E43" i="7"/>
  <c r="K140" i="7"/>
  <c r="H272" i="7"/>
  <c r="F139" i="7"/>
  <c r="F261" i="7"/>
  <c r="G87" i="7"/>
  <c r="G154" i="7"/>
  <c r="F259" i="7"/>
  <c r="K128" i="7"/>
  <c r="G277" i="7"/>
  <c r="F28" i="7"/>
  <c r="E222" i="7"/>
  <c r="K76" i="7"/>
  <c r="F162" i="7"/>
  <c r="D149" i="7"/>
  <c r="I152" i="7"/>
  <c r="D210" i="7"/>
  <c r="I187" i="7"/>
  <c r="D53" i="7"/>
  <c r="G251" i="7"/>
  <c r="D154" i="7"/>
  <c r="D75" i="7"/>
  <c r="K112" i="7"/>
  <c r="I99" i="7"/>
  <c r="H236" i="7"/>
  <c r="F33" i="7"/>
  <c r="K41" i="7"/>
  <c r="I142" i="7"/>
  <c r="I7" i="7"/>
  <c r="H202" i="7"/>
  <c r="F301" i="7"/>
  <c r="F299" i="7"/>
  <c r="G172" i="7"/>
  <c r="G56" i="7"/>
  <c r="D283" i="7"/>
  <c r="I184" i="7"/>
  <c r="F209" i="7"/>
  <c r="A26" i="4"/>
  <c r="E107" i="7"/>
  <c r="F231" i="7"/>
  <c r="G185" i="7"/>
  <c r="D63" i="7"/>
  <c r="I28" i="7"/>
  <c r="E179" i="7"/>
  <c r="D27" i="7"/>
  <c r="E202" i="7"/>
  <c r="F156" i="7"/>
  <c r="E101" i="7"/>
  <c r="E70" i="7"/>
  <c r="D62" i="7"/>
  <c r="G91" i="7"/>
  <c r="D158" i="7"/>
  <c r="D268" i="7"/>
  <c r="G306" i="7"/>
  <c r="G89" i="7"/>
  <c r="A709" i="4"/>
  <c r="K35" i="7"/>
  <c r="K20" i="7"/>
  <c r="A51" i="4"/>
  <c r="A367" i="4"/>
  <c r="A434" i="4"/>
  <c r="A417" i="4"/>
  <c r="A692" i="4"/>
  <c r="K303" i="7"/>
  <c r="A636" i="4"/>
  <c r="A387" i="4"/>
  <c r="A539" i="4"/>
  <c r="E154" i="7"/>
  <c r="K205" i="7"/>
  <c r="I272" i="7"/>
  <c r="A697" i="4"/>
  <c r="G173" i="7"/>
  <c r="G99" i="7"/>
  <c r="G157" i="7"/>
  <c r="K53" i="7"/>
  <c r="G295" i="7"/>
  <c r="A592" i="4"/>
  <c r="F149" i="7"/>
  <c r="A376" i="4"/>
  <c r="H255" i="7"/>
  <c r="E163" i="7"/>
  <c r="F172" i="7"/>
  <c r="I61" i="7"/>
  <c r="D271" i="7"/>
  <c r="G104" i="7"/>
  <c r="D288" i="7"/>
  <c r="H274" i="7"/>
  <c r="I66" i="7"/>
  <c r="G133" i="7"/>
  <c r="E229" i="7"/>
  <c r="E46" i="7"/>
  <c r="G129" i="7"/>
  <c r="E235" i="7"/>
  <c r="F113" i="7"/>
  <c r="H29" i="7"/>
  <c r="F270" i="7"/>
  <c r="F210" i="7"/>
  <c r="A451" i="4"/>
  <c r="H86" i="7"/>
  <c r="G202" i="7"/>
  <c r="H188" i="7"/>
  <c r="E259" i="7"/>
  <c r="G282" i="7"/>
  <c r="F256" i="7"/>
  <c r="H234" i="7"/>
  <c r="E175" i="7"/>
  <c r="D183" i="7"/>
  <c r="H242" i="7"/>
  <c r="D101" i="7"/>
  <c r="A289" i="4"/>
  <c r="A766" i="4"/>
  <c r="A587" i="4"/>
  <c r="A298" i="4"/>
  <c r="A487" i="4"/>
  <c r="K92" i="7"/>
  <c r="A671" i="4"/>
  <c r="K40" i="7"/>
  <c r="A267" i="4"/>
  <c r="I258" i="7"/>
  <c r="K2" i="7"/>
  <c r="G252" i="7"/>
  <c r="K185" i="7"/>
  <c r="H238" i="7"/>
  <c r="A81" i="4"/>
  <c r="E74" i="7"/>
  <c r="F124" i="7"/>
  <c r="I179" i="7"/>
  <c r="E139" i="7"/>
  <c r="F158" i="7"/>
  <c r="A290" i="4"/>
  <c r="F115" i="7"/>
  <c r="A629" i="4"/>
  <c r="G296" i="7"/>
  <c r="H305" i="7"/>
  <c r="I212" i="7"/>
  <c r="E303" i="7"/>
  <c r="H301" i="7"/>
  <c r="G184" i="7"/>
  <c r="F29" i="7"/>
  <c r="H23" i="7"/>
  <c r="H46" i="7"/>
  <c r="H217" i="7"/>
  <c r="E40" i="7"/>
  <c r="G118" i="7"/>
  <c r="F276" i="7"/>
  <c r="K120" i="7"/>
  <c r="I129" i="7"/>
  <c r="G46" i="7"/>
  <c r="D87" i="7"/>
  <c r="D234" i="7"/>
  <c r="A420" i="4"/>
  <c r="H51" i="7"/>
  <c r="F307" i="7"/>
  <c r="I70" i="7"/>
  <c r="H57" i="7"/>
  <c r="I122" i="7"/>
  <c r="D230" i="7"/>
  <c r="G195" i="7"/>
  <c r="D114" i="7"/>
  <c r="I190" i="7"/>
  <c r="I43" i="7"/>
  <c r="G287" i="7"/>
  <c r="F77" i="7"/>
  <c r="A130" i="4"/>
  <c r="E5" i="7"/>
  <c r="A439" i="4"/>
  <c r="A459" i="4"/>
  <c r="A34" i="4"/>
  <c r="A756" i="4"/>
  <c r="E4" i="7"/>
  <c r="A566" i="4"/>
  <c r="D4" i="7"/>
  <c r="F46" i="7"/>
  <c r="K110" i="7"/>
  <c r="E242" i="7"/>
  <c r="K209" i="7"/>
  <c r="H127" i="7"/>
  <c r="K18" i="7"/>
  <c r="G9" i="7"/>
  <c r="G240" i="7"/>
  <c r="F245" i="7"/>
  <c r="E300" i="7"/>
  <c r="H283" i="7"/>
  <c r="A752" i="4"/>
  <c r="I248" i="7"/>
  <c r="A64" i="4"/>
  <c r="F170" i="7"/>
  <c r="I108" i="7"/>
  <c r="D276" i="7"/>
  <c r="E302" i="7"/>
  <c r="G238" i="7"/>
  <c r="F177" i="7"/>
  <c r="E299" i="7"/>
  <c r="F71" i="7"/>
  <c r="I176" i="7"/>
  <c r="I276" i="7"/>
  <c r="F117" i="7"/>
  <c r="H245" i="7"/>
  <c r="F253" i="7"/>
  <c r="A61" i="4"/>
  <c r="F123" i="7"/>
  <c r="D102" i="7"/>
  <c r="H36" i="7"/>
  <c r="D267" i="7"/>
  <c r="H169" i="7"/>
  <c r="G78" i="7"/>
  <c r="H141" i="7"/>
  <c r="E25" i="7"/>
  <c r="H112" i="7"/>
  <c r="H237" i="7"/>
  <c r="D228" i="7"/>
  <c r="E182" i="7"/>
  <c r="E204" i="7"/>
  <c r="I260" i="7"/>
  <c r="G283" i="7"/>
  <c r="D258" i="7"/>
  <c r="A77" i="4"/>
  <c r="A168" i="4"/>
  <c r="A498" i="4"/>
  <c r="A212" i="4"/>
  <c r="A161" i="4"/>
  <c r="A547" i="4"/>
  <c r="K261" i="7"/>
  <c r="K260" i="7"/>
  <c r="A40" i="4"/>
  <c r="D98" i="7"/>
  <c r="A89" i="4"/>
  <c r="G81" i="7"/>
  <c r="K11" i="7"/>
  <c r="I239" i="7"/>
  <c r="A107" i="4"/>
  <c r="G233" i="7"/>
  <c r="H273" i="7"/>
  <c r="F38" i="7"/>
  <c r="I305" i="7"/>
  <c r="D172" i="7"/>
  <c r="A209" i="4"/>
  <c r="E13" i="7"/>
  <c r="K248" i="7"/>
  <c r="G115" i="7"/>
  <c r="H307" i="7"/>
  <c r="G18" i="7"/>
  <c r="G162" i="7"/>
  <c r="D263" i="7"/>
  <c r="E284" i="7"/>
  <c r="I167" i="7"/>
  <c r="F225" i="7"/>
  <c r="G61" i="7"/>
  <c r="F131" i="7"/>
  <c r="D301" i="7"/>
  <c r="I147" i="7"/>
  <c r="D56" i="7"/>
  <c r="K32" i="7"/>
  <c r="H219" i="7"/>
  <c r="I200" i="7"/>
  <c r="H104" i="7"/>
  <c r="G17" i="7"/>
  <c r="F84" i="7"/>
  <c r="I126" i="7"/>
  <c r="E244" i="7"/>
  <c r="I290" i="7"/>
  <c r="G123" i="7"/>
  <c r="H77" i="7"/>
  <c r="I242" i="7"/>
  <c r="H103" i="7"/>
  <c r="I27" i="7"/>
  <c r="D294" i="7"/>
  <c r="I229" i="7"/>
  <c r="E246" i="7"/>
  <c r="A688" i="4"/>
  <c r="A453" i="4"/>
  <c r="K282" i="7"/>
  <c r="A243" i="4"/>
  <c r="K286" i="7"/>
  <c r="A366" i="4"/>
  <c r="K249" i="7"/>
  <c r="A589" i="4"/>
  <c r="K33" i="7"/>
  <c r="E215" i="7"/>
  <c r="A285" i="4"/>
  <c r="H150" i="7"/>
  <c r="A250" i="4"/>
  <c r="I306" i="7"/>
  <c r="D94" i="7"/>
  <c r="A180" i="4"/>
  <c r="I71" i="7"/>
  <c r="E226" i="7"/>
  <c r="G246" i="7"/>
  <c r="H213" i="7"/>
  <c r="D274" i="7"/>
  <c r="E277" i="7"/>
  <c r="A630" i="4"/>
  <c r="E213" i="7"/>
  <c r="A264" i="4"/>
  <c r="E126" i="7"/>
  <c r="K216" i="7"/>
  <c r="F302" i="7"/>
  <c r="I196" i="7"/>
  <c r="G286" i="7"/>
  <c r="I154" i="7"/>
  <c r="G141" i="7"/>
  <c r="E134" i="7"/>
  <c r="F185" i="7"/>
  <c r="F20" i="7"/>
  <c r="F22" i="7"/>
  <c r="I159" i="7"/>
  <c r="F213" i="7"/>
  <c r="D157" i="7"/>
  <c r="F100" i="7"/>
  <c r="I73" i="7"/>
  <c r="I144" i="7"/>
  <c r="F69" i="7"/>
  <c r="I146" i="7"/>
  <c r="F133" i="7"/>
  <c r="H253" i="7"/>
  <c r="I301" i="7"/>
  <c r="I232" i="7"/>
  <c r="I269" i="7"/>
  <c r="D139" i="7"/>
  <c r="H27" i="7"/>
  <c r="F78" i="7"/>
  <c r="G4" i="7"/>
  <c r="A729" i="4"/>
  <c r="A472" i="4"/>
  <c r="A685" i="4"/>
  <c r="A120" i="4"/>
  <c r="A5" i="4"/>
  <c r="A728" i="4"/>
  <c r="K202" i="7"/>
  <c r="A705" i="4"/>
  <c r="A482" i="4"/>
  <c r="A182" i="4"/>
  <c r="H142" i="7"/>
  <c r="F214" i="7"/>
  <c r="A454" i="4"/>
  <c r="H96" i="7"/>
  <c r="A597" i="4"/>
  <c r="F207" i="7"/>
  <c r="G256" i="7"/>
  <c r="I118" i="7"/>
  <c r="A104" i="4"/>
  <c r="I38" i="7"/>
  <c r="A600" i="4"/>
  <c r="G167" i="7"/>
  <c r="I214" i="7"/>
  <c r="G122" i="7"/>
  <c r="E62" i="7"/>
  <c r="H198" i="7"/>
  <c r="G149" i="7"/>
  <c r="F152" i="7"/>
  <c r="H10" i="7"/>
  <c r="A677" i="4"/>
  <c r="I247" i="7"/>
  <c r="D178" i="7"/>
  <c r="D17" i="7"/>
  <c r="I74" i="7"/>
  <c r="K77" i="7"/>
  <c r="H157" i="7"/>
  <c r="H206" i="7"/>
  <c r="E254" i="7"/>
  <c r="G271" i="7"/>
  <c r="I107" i="7"/>
  <c r="E97" i="7"/>
  <c r="F183" i="7"/>
  <c r="D137" i="7"/>
  <c r="I195" i="7"/>
  <c r="D173" i="7"/>
  <c r="K91" i="7"/>
  <c r="G293" i="7"/>
  <c r="A136" i="4"/>
  <c r="E33" i="7"/>
  <c r="H124" i="7"/>
  <c r="A54" i="4"/>
  <c r="D39" i="7"/>
  <c r="D161" i="7"/>
  <c r="D211" i="7"/>
  <c r="A455" i="4"/>
  <c r="A513" i="4"/>
  <c r="A732" i="4"/>
  <c r="K14" i="7"/>
  <c r="A577" i="4"/>
  <c r="A343" i="4"/>
  <c r="A414" i="4"/>
  <c r="A662" i="4"/>
  <c r="A406" i="4"/>
  <c r="A484" i="4"/>
  <c r="D28" i="7"/>
  <c r="D254" i="7"/>
  <c r="A463" i="4"/>
  <c r="G112" i="7"/>
  <c r="K257" i="7"/>
  <c r="F242" i="7"/>
  <c r="E22" i="7"/>
  <c r="I198" i="7"/>
  <c r="K266" i="7"/>
  <c r="I279" i="7"/>
  <c r="K82" i="7"/>
  <c r="H65" i="7"/>
  <c r="H199" i="7"/>
  <c r="D241" i="7"/>
  <c r="I143" i="7"/>
  <c r="D238" i="7"/>
  <c r="D7" i="7"/>
  <c r="E144" i="7"/>
  <c r="E73" i="7"/>
  <c r="A761" i="4"/>
  <c r="G235" i="7"/>
  <c r="G74" i="7"/>
  <c r="H106" i="7"/>
  <c r="F196" i="7"/>
  <c r="A698" i="4"/>
  <c r="I160" i="7"/>
  <c r="I68" i="7"/>
  <c r="D79" i="7"/>
  <c r="G21" i="7"/>
  <c r="G88" i="7"/>
  <c r="F140" i="7"/>
  <c r="F200" i="7"/>
  <c r="I44" i="7"/>
  <c r="F87" i="7"/>
  <c r="G103" i="7"/>
  <c r="E50" i="7"/>
  <c r="I36" i="7"/>
  <c r="I148" i="7"/>
  <c r="E55" i="7"/>
  <c r="I25" i="7"/>
  <c r="E161" i="7"/>
  <c r="I49" i="7"/>
  <c r="F67" i="7"/>
  <c r="H67" i="7"/>
  <c r="A749" i="4"/>
  <c r="A415" i="4"/>
  <c r="A714" i="4"/>
  <c r="A760" i="4"/>
  <c r="K169" i="7"/>
  <c r="A309" i="4"/>
  <c r="K83" i="7"/>
  <c r="A292" i="4"/>
  <c r="A657" i="4"/>
  <c r="K230" i="7"/>
  <c r="A563" i="4"/>
  <c r="D126" i="7"/>
  <c r="K258" i="7"/>
  <c r="F55" i="7"/>
  <c r="A103" i="4"/>
  <c r="I209" i="7"/>
  <c r="F108" i="7"/>
  <c r="H115" i="7"/>
  <c r="G58" i="7"/>
  <c r="D273" i="7"/>
  <c r="A359" i="4"/>
  <c r="E234" i="7"/>
  <c r="A110" i="4"/>
  <c r="E89" i="7"/>
  <c r="E225" i="7"/>
  <c r="F160" i="7"/>
  <c r="F73" i="7"/>
  <c r="I101" i="7"/>
  <c r="G156" i="7"/>
  <c r="D215" i="7"/>
  <c r="I172" i="7"/>
  <c r="H101" i="7"/>
  <c r="G28" i="7"/>
  <c r="F287" i="7"/>
  <c r="I256" i="7"/>
  <c r="E278" i="7"/>
  <c r="H30" i="7"/>
  <c r="E268" i="7"/>
  <c r="F47" i="7"/>
  <c r="E186" i="7"/>
  <c r="H153" i="7"/>
  <c r="I32" i="7"/>
  <c r="G290" i="7"/>
  <c r="I41" i="7"/>
  <c r="D96" i="7"/>
  <c r="E216" i="7"/>
  <c r="E34" i="7"/>
  <c r="G70" i="7"/>
  <c r="F74" i="7"/>
  <c r="F94" i="7"/>
  <c r="E295" i="7"/>
  <c r="G294" i="7"/>
  <c r="K152" i="7"/>
  <c r="D181" i="7"/>
  <c r="K190" i="7"/>
  <c r="K221" i="7"/>
  <c r="K149" i="7"/>
  <c r="K25" i="7"/>
  <c r="A270" i="4"/>
  <c r="A33" i="4"/>
  <c r="K234" i="7"/>
  <c r="A744" i="4"/>
  <c r="A282" i="4"/>
  <c r="A237" i="4"/>
  <c r="E102" i="7"/>
  <c r="E296" i="7"/>
  <c r="H154" i="7"/>
  <c r="H270" i="7"/>
  <c r="D107" i="7"/>
  <c r="I97" i="7"/>
  <c r="G124" i="7"/>
  <c r="D226" i="7"/>
  <c r="E66" i="7"/>
  <c r="E150" i="7"/>
  <c r="I52" i="7"/>
  <c r="I181" i="7"/>
  <c r="I296" i="7"/>
  <c r="H152" i="7"/>
  <c r="E16" i="7"/>
  <c r="G75" i="7"/>
  <c r="F157" i="7"/>
  <c r="H132" i="7"/>
  <c r="G298" i="7"/>
  <c r="F227" i="7"/>
  <c r="H203" i="7"/>
  <c r="F64" i="7"/>
  <c r="K67" i="7"/>
  <c r="K48" i="7"/>
  <c r="A199" i="4"/>
  <c r="A612" i="4"/>
  <c r="K246" i="7"/>
  <c r="A514" i="4"/>
  <c r="A478" i="4"/>
  <c r="F5" i="7"/>
  <c r="A666" i="4"/>
  <c r="A745" i="4"/>
  <c r="D59" i="7"/>
  <c r="H262" i="7"/>
  <c r="E269" i="7"/>
  <c r="A101" i="4"/>
  <c r="G228" i="7"/>
  <c r="F257" i="7"/>
  <c r="D9" i="7"/>
  <c r="I19" i="7"/>
  <c r="F60" i="7"/>
  <c r="F138" i="7"/>
  <c r="K122" i="7"/>
  <c r="I133" i="7"/>
  <c r="E155" i="7"/>
  <c r="F199" i="7"/>
  <c r="G214" i="7"/>
  <c r="G244" i="7"/>
  <c r="G52" i="7"/>
  <c r="E250" i="7"/>
  <c r="G92" i="7"/>
  <c r="E287" i="7"/>
  <c r="E273" i="7"/>
  <c r="A555" i="4"/>
  <c r="F25" i="7"/>
  <c r="I234" i="7"/>
  <c r="H197" i="7"/>
  <c r="H186" i="7"/>
  <c r="F266" i="7"/>
  <c r="A712" i="4"/>
  <c r="E115" i="7"/>
  <c r="F249" i="7"/>
  <c r="H68" i="7"/>
  <c r="E178" i="7"/>
  <c r="A553" i="4"/>
  <c r="A246" i="4"/>
  <c r="A108" i="4"/>
  <c r="A142" i="4"/>
  <c r="A48" i="4"/>
  <c r="A94" i="4"/>
  <c r="K293" i="7"/>
  <c r="A595" i="4"/>
  <c r="A52" i="4"/>
  <c r="K289" i="7"/>
  <c r="I153" i="7"/>
  <c r="I237" i="7"/>
  <c r="E262" i="7"/>
  <c r="A157" i="4"/>
  <c r="I69" i="7"/>
  <c r="D277" i="7"/>
  <c r="H40" i="7"/>
  <c r="G27" i="7"/>
  <c r="H276" i="7"/>
  <c r="F118" i="7"/>
  <c r="A84" i="4"/>
  <c r="G32" i="7"/>
  <c r="D162" i="7"/>
  <c r="I86" i="7"/>
  <c r="F290" i="7"/>
  <c r="I180" i="7"/>
  <c r="E180" i="7"/>
  <c r="D253" i="7"/>
  <c r="E217" i="7"/>
  <c r="H179" i="7"/>
  <c r="D200" i="7"/>
  <c r="F130" i="7"/>
  <c r="A194" i="4"/>
  <c r="E170" i="7"/>
  <c r="A201" i="4"/>
  <c r="E59" i="7"/>
  <c r="I219" i="7"/>
  <c r="G150" i="7"/>
  <c r="D209" i="7"/>
  <c r="G237" i="7"/>
  <c r="A244" i="4"/>
  <c r="K104" i="7"/>
  <c r="K138" i="7"/>
  <c r="K250" i="7"/>
  <c r="A315" i="4"/>
  <c r="A344" i="4"/>
  <c r="A517" i="4"/>
  <c r="A204" i="4"/>
  <c r="A99" i="4"/>
  <c r="K123" i="7"/>
  <c r="H22" i="7"/>
  <c r="I222" i="7"/>
  <c r="I132" i="7"/>
  <c r="A155" i="4"/>
  <c r="F23" i="7"/>
  <c r="E240" i="7"/>
  <c r="E171" i="7"/>
  <c r="F56" i="7"/>
  <c r="E125" i="7"/>
  <c r="E266" i="7"/>
  <c r="K278" i="7"/>
  <c r="I65" i="7"/>
  <c r="I166" i="7"/>
  <c r="E7" i="7"/>
  <c r="D201" i="7"/>
  <c r="I29" i="7"/>
  <c r="G51" i="7"/>
  <c r="I243" i="7"/>
  <c r="H194" i="7"/>
  <c r="E140" i="7"/>
  <c r="H269" i="7"/>
  <c r="K54" i="7"/>
  <c r="I165" i="7"/>
  <c r="F6" i="7"/>
  <c r="G281" i="7"/>
  <c r="G145" i="7"/>
  <c r="F70" i="7"/>
  <c r="E184" i="7"/>
  <c r="E285" i="7"/>
  <c r="A55" i="4"/>
  <c r="A60" i="4"/>
  <c r="A308" i="4"/>
  <c r="K200" i="7"/>
  <c r="A431" i="4"/>
  <c r="A460" i="4"/>
  <c r="F59" i="7"/>
  <c r="F57" i="7"/>
  <c r="K285" i="7"/>
  <c r="K12" i="7"/>
  <c r="D170" i="7"/>
  <c r="H134" i="7"/>
  <c r="D163" i="7"/>
  <c r="H284" i="7"/>
  <c r="H13" i="7"/>
  <c r="G160" i="7"/>
  <c r="H190" i="7"/>
  <c r="D42" i="7"/>
  <c r="G42" i="7"/>
  <c r="E274" i="7"/>
  <c r="A125" i="4"/>
  <c r="E181" i="7"/>
  <c r="G163" i="7"/>
  <c r="H205" i="7"/>
  <c r="H187" i="7"/>
  <c r="I185" i="7"/>
  <c r="F35" i="7"/>
  <c r="D52" i="7"/>
  <c r="G213" i="7"/>
  <c r="A617" i="4"/>
  <c r="F95" i="7"/>
  <c r="K38" i="7"/>
  <c r="A627" i="4"/>
  <c r="F208" i="7"/>
  <c r="I295" i="7"/>
  <c r="A287" i="4"/>
  <c r="I157" i="7"/>
  <c r="D13" i="7"/>
  <c r="F187" i="7"/>
  <c r="G262" i="7"/>
  <c r="K60" i="7"/>
  <c r="A241" i="4"/>
  <c r="K174" i="7"/>
  <c r="K302" i="7"/>
  <c r="A605" i="4"/>
  <c r="G158" i="7"/>
  <c r="D134" i="7"/>
  <c r="H244" i="7"/>
  <c r="A583" i="4"/>
  <c r="H227" i="7"/>
  <c r="A717" i="4"/>
  <c r="G36" i="7"/>
  <c r="E280" i="7"/>
  <c r="H9" i="7"/>
  <c r="A395" i="4"/>
  <c r="E153" i="7"/>
  <c r="F141" i="7"/>
  <c r="D58" i="7"/>
  <c r="I64" i="7"/>
  <c r="I60" i="7"/>
  <c r="A191" i="4"/>
  <c r="A389" i="4"/>
  <c r="K228" i="7"/>
  <c r="K218" i="7"/>
  <c r="K93" i="7"/>
  <c r="I261" i="7"/>
  <c r="G140" i="7"/>
  <c r="G41" i="7"/>
  <c r="K206" i="7"/>
  <c r="I231" i="7"/>
  <c r="A409" i="4"/>
  <c r="H293" i="7"/>
  <c r="G138" i="7"/>
  <c r="H302" i="7"/>
  <c r="K29" i="7"/>
  <c r="F18" i="7"/>
  <c r="E251" i="7"/>
  <c r="F236" i="7"/>
  <c r="H304" i="7"/>
  <c r="G3" i="7"/>
  <c r="G224" i="7"/>
  <c r="I87" i="7"/>
  <c r="H95" i="7"/>
  <c r="G48" i="7"/>
  <c r="E203" i="7"/>
  <c r="A57" i="4"/>
  <c r="D282" i="7"/>
  <c r="H286" i="7"/>
  <c r="E282" i="7"/>
  <c r="H189" i="7"/>
  <c r="F154" i="7"/>
  <c r="F49" i="7"/>
  <c r="A362" i="4"/>
  <c r="A82" i="4"/>
  <c r="A192" i="4"/>
  <c r="A436" i="4"/>
  <c r="A475" i="4"/>
  <c r="D221" i="7"/>
  <c r="I275" i="7"/>
  <c r="E176" i="7"/>
  <c r="A100" i="4"/>
  <c r="G239" i="7"/>
  <c r="A242" i="4"/>
  <c r="H248" i="7"/>
  <c r="H135" i="7"/>
  <c r="I39" i="7"/>
  <c r="K159" i="7"/>
  <c r="H55" i="7"/>
  <c r="D243" i="7"/>
  <c r="E122" i="7"/>
  <c r="F303" i="7"/>
  <c r="D71" i="7"/>
  <c r="F11" i="7"/>
  <c r="F197" i="7"/>
  <c r="D225" i="7"/>
  <c r="D246" i="7"/>
  <c r="H56" i="7"/>
  <c r="A433" i="4"/>
  <c r="E188" i="7"/>
  <c r="E157" i="7"/>
  <c r="F234" i="7"/>
  <c r="D232" i="7"/>
  <c r="G73" i="7"/>
  <c r="I228" i="7"/>
  <c r="K5" i="7"/>
  <c r="A227" i="4"/>
  <c r="A606" i="4"/>
  <c r="A536" i="4"/>
  <c r="K85" i="7"/>
  <c r="F99" i="7"/>
  <c r="D147" i="7"/>
  <c r="D175" i="7"/>
  <c r="E143" i="7"/>
  <c r="D143" i="7"/>
  <c r="K244" i="7"/>
  <c r="E28" i="7"/>
  <c r="E10" i="7"/>
  <c r="D70" i="7"/>
  <c r="A751" i="4"/>
  <c r="A317" i="4"/>
  <c r="E195" i="7"/>
  <c r="H97" i="7"/>
  <c r="A768" i="4"/>
  <c r="G226" i="7"/>
  <c r="I161" i="7"/>
  <c r="G10" i="7"/>
  <c r="I50" i="7"/>
  <c r="H80" i="7"/>
  <c r="D290" i="7"/>
  <c r="D124" i="7"/>
  <c r="G292" i="7"/>
  <c r="I31" i="7"/>
  <c r="F224" i="7"/>
  <c r="H85" i="7"/>
  <c r="E68" i="7"/>
  <c r="A390" i="4"/>
  <c r="A275" i="4"/>
  <c r="K52" i="7"/>
  <c r="A723" i="4"/>
  <c r="K88" i="7"/>
  <c r="A32" i="4"/>
  <c r="D72" i="7"/>
  <c r="D180" i="7"/>
  <c r="E275" i="7"/>
  <c r="F223" i="7"/>
  <c r="H204" i="7"/>
  <c r="H267" i="7"/>
  <c r="A190" i="4"/>
  <c r="G207" i="7"/>
  <c r="E194" i="7"/>
  <c r="G110" i="7"/>
  <c r="A256" i="4"/>
  <c r="I90" i="7"/>
  <c r="D119" i="7"/>
  <c r="G302" i="7"/>
  <c r="I88" i="7"/>
  <c r="F272" i="7"/>
  <c r="G137" i="7"/>
  <c r="D151" i="7"/>
  <c r="I202" i="7"/>
  <c r="E145" i="7"/>
  <c r="H172" i="7"/>
  <c r="I59" i="7"/>
  <c r="G71" i="7"/>
  <c r="I18" i="7"/>
  <c r="H99" i="7"/>
  <c r="F2" i="7"/>
  <c r="A602" i="4"/>
  <c r="A342" i="4"/>
  <c r="A294" i="4"/>
  <c r="A560" i="4"/>
  <c r="A576" i="4"/>
  <c r="A166" i="4"/>
  <c r="H63" i="7"/>
  <c r="A582" i="4"/>
  <c r="A91" i="4"/>
  <c r="F136" i="7"/>
  <c r="K264" i="7"/>
  <c r="A450" i="4"/>
  <c r="A683" i="4"/>
  <c r="K160" i="7"/>
  <c r="A117" i="4"/>
  <c r="K157" i="7"/>
  <c r="A649" i="4"/>
  <c r="A24" i="4"/>
  <c r="A92" i="4"/>
  <c r="K4" i="7"/>
  <c r="I227" i="7"/>
  <c r="G174" i="7"/>
  <c r="I40" i="7"/>
  <c r="F143" i="7"/>
  <c r="G264" i="7"/>
  <c r="F159" i="7"/>
  <c r="E131" i="7"/>
  <c r="D291" i="7"/>
  <c r="F24" i="7"/>
  <c r="D302" i="7"/>
  <c r="F66" i="7"/>
  <c r="I81" i="7"/>
  <c r="G189" i="7"/>
  <c r="G234" i="7"/>
  <c r="H215" i="7"/>
  <c r="E283" i="7"/>
  <c r="I183" i="7"/>
  <c r="D189" i="7"/>
  <c r="F75" i="7"/>
  <c r="F43" i="7"/>
  <c r="I207" i="7"/>
  <c r="E243" i="7"/>
  <c r="A273" i="4"/>
  <c r="A300" i="4"/>
  <c r="E270" i="7"/>
  <c r="E232" i="7"/>
  <c r="K151" i="7"/>
  <c r="A747" i="4"/>
  <c r="I297" i="7"/>
  <c r="G59" i="7"/>
  <c r="F274" i="7"/>
  <c r="F268" i="7"/>
  <c r="D203" i="7"/>
  <c r="D88" i="7"/>
  <c r="H2" i="7"/>
  <c r="A368" i="4"/>
  <c r="A240" i="4"/>
  <c r="G221" i="7"/>
  <c r="G144" i="7"/>
  <c r="A109" i="4"/>
  <c r="K153" i="7"/>
  <c r="E47" i="7"/>
  <c r="G47" i="7"/>
  <c r="F27" i="7"/>
  <c r="E281" i="7"/>
  <c r="A661" i="4"/>
  <c r="E272" i="7"/>
  <c r="I265" i="7"/>
  <c r="A444" i="4"/>
  <c r="E116" i="7"/>
  <c r="G22" i="7"/>
  <c r="A452" i="4"/>
  <c r="F36" i="7"/>
  <c r="G98" i="7"/>
  <c r="A202" i="4"/>
  <c r="F163" i="7"/>
  <c r="A226" i="4"/>
  <c r="H121" i="7"/>
  <c r="K3" i="7"/>
  <c r="F295" i="7"/>
  <c r="F189" i="7"/>
  <c r="H191" i="7"/>
  <c r="H3" i="7"/>
  <c r="H218" i="7"/>
  <c r="K124" i="7"/>
  <c r="K167" i="7"/>
  <c r="H18" i="7"/>
  <c r="G132" i="7"/>
  <c r="A634" i="4"/>
  <c r="D6" i="7"/>
  <c r="E75" i="7"/>
  <c r="F53" i="7"/>
  <c r="E212" i="7"/>
  <c r="G108" i="7"/>
  <c r="K222" i="7"/>
  <c r="F174" i="7"/>
  <c r="D97" i="7"/>
  <c r="A377" i="4"/>
  <c r="G126" i="7"/>
  <c r="A488" i="4"/>
  <c r="A551" i="4"/>
  <c r="F232" i="7"/>
  <c r="E210" i="7"/>
  <c r="I85" i="7"/>
  <c r="I112" i="7"/>
  <c r="G136" i="7"/>
  <c r="I78" i="7"/>
  <c r="H256" i="7"/>
  <c r="E177" i="7"/>
  <c r="F132" i="7"/>
  <c r="E93" i="7"/>
  <c r="A296" i="4"/>
  <c r="K298" i="7"/>
  <c r="E286" i="7"/>
  <c r="A773" i="4"/>
  <c r="F41" i="7"/>
  <c r="E291" i="7"/>
  <c r="F90" i="7"/>
  <c r="F79" i="7"/>
  <c r="E197" i="7"/>
  <c r="E42" i="7"/>
  <c r="E159" i="7"/>
  <c r="D218" i="7"/>
  <c r="A628" i="4"/>
  <c r="A440" i="4"/>
  <c r="I103" i="7"/>
  <c r="K275" i="7"/>
  <c r="G77" i="7"/>
  <c r="K142" i="7"/>
  <c r="H147" i="7"/>
  <c r="G49" i="7"/>
  <c r="G90" i="7"/>
  <c r="H84" i="7"/>
  <c r="D269" i="7"/>
  <c r="G183" i="7"/>
  <c r="K279" i="7"/>
  <c r="G2" i="7"/>
  <c r="A284" i="4"/>
  <c r="A97" i="4"/>
  <c r="G249" i="7"/>
  <c r="G24" i="7"/>
  <c r="A324" i="4"/>
  <c r="D83" i="7"/>
  <c r="F298" i="7"/>
  <c r="K259" i="7"/>
  <c r="A618" i="4"/>
  <c r="E233" i="7"/>
  <c r="E193" i="7"/>
  <c r="G67" i="7"/>
  <c r="I156" i="7"/>
  <c r="D105" i="7"/>
  <c r="I8" i="7"/>
  <c r="E168" i="7"/>
  <c r="D199" i="7"/>
  <c r="H257" i="7"/>
  <c r="D213" i="7"/>
  <c r="A281" i="4"/>
  <c r="D275" i="7"/>
  <c r="I150" i="7"/>
  <c r="D118" i="7"/>
  <c r="A565" i="4"/>
  <c r="F202" i="7"/>
  <c r="D152" i="7"/>
  <c r="I189" i="7"/>
  <c r="E51" i="7"/>
  <c r="G284" i="7"/>
  <c r="I193" i="7"/>
  <c r="K134" i="7"/>
  <c r="A36" i="4"/>
  <c r="A193" i="4"/>
  <c r="F260" i="7"/>
  <c r="F211" i="7"/>
  <c r="E118" i="7"/>
  <c r="A719" i="4"/>
  <c r="F153" i="7"/>
  <c r="A743" i="4"/>
  <c r="G208" i="7"/>
  <c r="E29" i="7"/>
  <c r="A742" i="4"/>
  <c r="I218" i="7"/>
  <c r="E289" i="7"/>
  <c r="I197" i="7"/>
  <c r="E111" i="7"/>
  <c r="G223" i="7"/>
  <c r="H79" i="7"/>
  <c r="A375" i="4"/>
  <c r="E71" i="7"/>
  <c r="I17" i="7"/>
  <c r="F161" i="7"/>
  <c r="H299" i="7"/>
  <c r="I23" i="7"/>
  <c r="G177" i="7"/>
  <c r="E305" i="7"/>
  <c r="A164" i="4"/>
  <c r="F166" i="7"/>
  <c r="I80" i="7"/>
  <c r="E166" i="7"/>
  <c r="A383" i="4"/>
  <c r="A254" i="4"/>
  <c r="H118" i="7"/>
  <c r="I220" i="7"/>
  <c r="G165" i="7"/>
  <c r="E19" i="7"/>
  <c r="F233" i="7"/>
  <c r="F255" i="7"/>
  <c r="H54" i="7"/>
  <c r="D292" i="7"/>
  <c r="E156" i="7"/>
  <c r="A664" i="4"/>
  <c r="E58" i="7"/>
  <c r="A347" i="4"/>
  <c r="K56" i="7"/>
  <c r="D136" i="7"/>
  <c r="G276" i="7"/>
  <c r="I120" i="7"/>
  <c r="I252" i="7"/>
  <c r="F93" i="7"/>
  <c r="H298" i="7"/>
  <c r="A481" i="4"/>
  <c r="H193" i="7"/>
  <c r="H163" i="7"/>
  <c r="H58" i="7"/>
  <c r="G196" i="7"/>
  <c r="A542" i="4"/>
  <c r="A465" i="4"/>
  <c r="E72" i="7"/>
  <c r="G101" i="7"/>
  <c r="E82" i="7"/>
  <c r="H155" i="7"/>
  <c r="I124" i="7"/>
  <c r="F175" i="7"/>
  <c r="D23" i="7"/>
  <c r="H306" i="7"/>
  <c r="A102" i="4"/>
  <c r="D231" i="7"/>
  <c r="E2" i="7"/>
  <c r="A650" i="4"/>
  <c r="A4" i="4"/>
  <c r="G30" i="7"/>
  <c r="A357" i="4"/>
  <c r="K80" i="7"/>
  <c r="E9" i="7"/>
  <c r="I267" i="7"/>
  <c r="D55" i="7"/>
  <c r="E214" i="7"/>
  <c r="H277" i="7"/>
  <c r="D69" i="7"/>
  <c r="I117" i="7"/>
  <c r="A457" i="4"/>
  <c r="I4" i="7"/>
  <c r="F186" i="7"/>
  <c r="E49" i="7"/>
  <c r="E265" i="7"/>
  <c r="K217" i="7"/>
  <c r="D86" i="7"/>
  <c r="I211" i="7"/>
  <c r="D49" i="7"/>
  <c r="E117" i="7"/>
  <c r="A47" i="4"/>
  <c r="K237" i="7"/>
  <c r="H226" i="7"/>
  <c r="A372" i="4"/>
  <c r="G203" i="7"/>
  <c r="G131" i="7"/>
  <c r="F50" i="7"/>
  <c r="D50" i="7"/>
  <c r="F83" i="7"/>
  <c r="D150" i="7"/>
  <c r="G193" i="7"/>
  <c r="D208" i="7"/>
  <c r="I204" i="7"/>
  <c r="H239" i="7"/>
  <c r="G273" i="7"/>
  <c r="G68" i="7"/>
  <c r="O99" i="7"/>
  <c r="A541" i="4"/>
  <c r="K242" i="7"/>
  <c r="A535" i="4"/>
  <c r="F65" i="7"/>
  <c r="E11" i="7"/>
  <c r="E263" i="7"/>
  <c r="E18" i="7"/>
  <c r="D84" i="7"/>
  <c r="A505" i="4"/>
  <c r="G20" i="7"/>
  <c r="G216" i="7"/>
  <c r="F283" i="7"/>
  <c r="D245" i="7"/>
  <c r="I136" i="7"/>
  <c r="G215" i="7"/>
  <c r="E238" i="7"/>
  <c r="A476" i="4"/>
  <c r="G263" i="7"/>
  <c r="O329" i="7"/>
  <c r="P330" i="7"/>
  <c r="O316" i="7"/>
  <c r="N308" i="7"/>
  <c r="N327" i="7"/>
  <c r="N313" i="7"/>
  <c r="N316" i="7"/>
  <c r="M314" i="7"/>
  <c r="N99" i="7"/>
  <c r="N324" i="7"/>
  <c r="P105" i="7"/>
  <c r="N333" i="7"/>
  <c r="M99" i="7"/>
  <c r="O312" i="7"/>
  <c r="P99" i="7"/>
  <c r="P314" i="7"/>
  <c r="P316" i="7"/>
  <c r="P329" i="7"/>
  <c r="M326" i="7"/>
  <c r="N311" i="7"/>
  <c r="O55" i="7"/>
  <c r="P332" i="7"/>
  <c r="M331" i="7"/>
  <c r="N133" i="7"/>
  <c r="P15" i="7"/>
  <c r="M321" i="7"/>
  <c r="O324" i="7"/>
  <c r="N310" i="7"/>
  <c r="M319" i="7"/>
  <c r="P318" i="7"/>
  <c r="O15" i="7"/>
  <c r="M328" i="7"/>
  <c r="O332" i="7"/>
  <c r="N314" i="7"/>
  <c r="M313" i="7"/>
  <c r="N323" i="7"/>
  <c r="O309" i="7"/>
  <c r="O105" i="7"/>
  <c r="P327" i="7"/>
  <c r="M333" i="7"/>
  <c r="N131" i="7"/>
  <c r="N332" i="7"/>
  <c r="O132" i="7"/>
  <c r="P317" i="7"/>
  <c r="O326" i="7"/>
  <c r="N309" i="7"/>
  <c r="N105" i="7"/>
  <c r="N329" i="7"/>
  <c r="N330" i="7"/>
  <c r="O331" i="7"/>
  <c r="M15" i="7"/>
  <c r="N326" i="7"/>
  <c r="P321" i="7"/>
  <c r="P310" i="7"/>
  <c r="P132" i="7"/>
  <c r="M329" i="7"/>
  <c r="M324" i="7"/>
  <c r="M330" i="7"/>
  <c r="M132" i="7"/>
  <c r="M325" i="7"/>
  <c r="P326" i="7"/>
  <c r="M312" i="7"/>
  <c r="N132" i="7"/>
  <c r="O318" i="7"/>
  <c r="P309" i="7"/>
  <c r="O311" i="7"/>
  <c r="N55" i="7"/>
  <c r="O330" i="7"/>
  <c r="N319" i="7"/>
  <c r="M317" i="7"/>
  <c r="P311" i="7"/>
  <c r="M309" i="7"/>
  <c r="P331" i="7"/>
  <c r="N317" i="7"/>
  <c r="M310" i="7"/>
  <c r="N320" i="7"/>
  <c r="N325" i="7"/>
  <c r="N315" i="7"/>
  <c r="N328" i="7"/>
  <c r="O333" i="7"/>
  <c r="M55" i="7"/>
  <c r="M323" i="7"/>
  <c r="O315" i="7"/>
  <c r="P322" i="7"/>
  <c r="O322" i="7"/>
  <c r="M311" i="7"/>
  <c r="P55" i="7"/>
  <c r="N312" i="7"/>
  <c r="M308" i="7"/>
  <c r="M318" i="7"/>
  <c r="P308" i="7"/>
  <c r="P320" i="7"/>
  <c r="M105" i="7"/>
  <c r="P319" i="7"/>
  <c r="O317" i="7"/>
  <c r="M327" i="7"/>
  <c r="O310" i="7"/>
  <c r="O313" i="7"/>
  <c r="M315" i="7"/>
  <c r="M131" i="7"/>
  <c r="N318" i="7"/>
  <c r="N321" i="7"/>
  <c r="M322" i="7"/>
  <c r="O325" i="7"/>
  <c r="O319" i="7"/>
  <c r="O133" i="7"/>
  <c r="N322" i="7"/>
  <c r="P325" i="7"/>
  <c r="M320" i="7"/>
  <c r="N331" i="7"/>
  <c r="P313" i="7"/>
  <c r="O131" i="7"/>
  <c r="P333" i="7"/>
  <c r="P315" i="7"/>
  <c r="N15" i="7"/>
  <c r="M332" i="7"/>
  <c r="O320" i="7"/>
  <c r="P133" i="7"/>
  <c r="O328" i="7"/>
  <c r="P328" i="7"/>
  <c r="O314" i="7"/>
  <c r="O321" i="7"/>
  <c r="O323" i="7"/>
  <c r="P131" i="7"/>
  <c r="O327" i="7"/>
  <c r="M133" i="7"/>
  <c r="O308" i="7"/>
  <c r="P323" i="7"/>
  <c r="P312" i="7"/>
  <c r="P324" i="7"/>
  <c r="M316" i="7"/>
  <c r="N242" i="7" l="1"/>
  <c r="P134" i="7"/>
  <c r="P298" i="7"/>
  <c r="M153" i="7"/>
  <c r="O264" i="7"/>
  <c r="N5" i="7"/>
  <c r="O218" i="7"/>
  <c r="M38" i="7"/>
  <c r="N278" i="7"/>
  <c r="P289" i="7"/>
  <c r="M67" i="7"/>
  <c r="N190" i="7"/>
  <c r="N169" i="7"/>
  <c r="N91" i="7"/>
  <c r="P249" i="7"/>
  <c r="M11" i="7"/>
  <c r="N110" i="7"/>
  <c r="N92" i="7"/>
  <c r="P35" i="7"/>
  <c r="M140" i="7"/>
  <c r="P111" i="7"/>
  <c r="N137" i="7"/>
  <c r="P163" i="7"/>
  <c r="N287" i="7"/>
  <c r="P115" i="7"/>
  <c r="M9" i="7"/>
  <c r="P64" i="7"/>
  <c r="P177" i="7"/>
  <c r="M277" i="7"/>
  <c r="M245" i="7"/>
  <c r="P307" i="7"/>
  <c r="M251" i="7"/>
  <c r="N229" i="7"/>
  <c r="M175" i="7"/>
  <c r="O252" i="7"/>
  <c r="N36" i="7"/>
  <c r="N203" i="7"/>
  <c r="M28" i="7"/>
  <c r="N166" i="7"/>
  <c r="M37" i="7"/>
  <c r="O269" i="7"/>
  <c r="M44" i="7"/>
  <c r="O96" i="7"/>
  <c r="N224" i="7"/>
  <c r="O24" i="7"/>
  <c r="M171" i="7"/>
  <c r="N184" i="7"/>
  <c r="M114" i="7"/>
  <c r="O235" i="7"/>
  <c r="P220" i="7"/>
  <c r="P191" i="7"/>
  <c r="O106" i="7"/>
  <c r="M58" i="7"/>
  <c r="O47" i="7"/>
  <c r="N301" i="7"/>
  <c r="N75" i="7"/>
  <c r="M8" i="7"/>
  <c r="N49" i="7"/>
  <c r="P94" i="7"/>
  <c r="O192" i="7"/>
  <c r="N151" i="7"/>
  <c r="P260" i="7"/>
  <c r="O187" i="7"/>
  <c r="M119" i="7"/>
  <c r="O63" i="7"/>
  <c r="M129" i="7"/>
  <c r="P88" i="7"/>
  <c r="P82" i="7"/>
  <c r="N53" i="7"/>
  <c r="O227" i="7"/>
  <c r="M186" i="7"/>
  <c r="P73" i="7"/>
  <c r="N173" i="7"/>
  <c r="N34" i="7"/>
  <c r="O199" i="7"/>
  <c r="M136" i="7"/>
  <c r="N194" i="7"/>
  <c r="N232" i="7"/>
  <c r="O242" i="7"/>
  <c r="O134" i="7"/>
  <c r="N298" i="7"/>
  <c r="P153" i="7"/>
  <c r="M264" i="7"/>
  <c r="P5" i="7"/>
  <c r="M218" i="7"/>
  <c r="P38" i="7"/>
  <c r="O278" i="7"/>
  <c r="N289" i="7"/>
  <c r="N67" i="7"/>
  <c r="M190" i="7"/>
  <c r="O169" i="7"/>
  <c r="O91" i="7"/>
  <c r="O249" i="7"/>
  <c r="N11" i="7"/>
  <c r="M110" i="7"/>
  <c r="P92" i="7"/>
  <c r="M35" i="7"/>
  <c r="P140" i="7"/>
  <c r="N111" i="7"/>
  <c r="O137" i="7"/>
  <c r="N163" i="7"/>
  <c r="M287" i="7"/>
  <c r="M115" i="7"/>
  <c r="N9" i="7"/>
  <c r="N64" i="7"/>
  <c r="M177" i="7"/>
  <c r="P277" i="7"/>
  <c r="O245" i="7"/>
  <c r="M307" i="7"/>
  <c r="O251" i="7"/>
  <c r="O229" i="7"/>
  <c r="O175" i="7"/>
  <c r="P252" i="7"/>
  <c r="O36" i="7"/>
  <c r="P203" i="7"/>
  <c r="O28" i="7"/>
  <c r="O166" i="7"/>
  <c r="N37" i="7"/>
  <c r="P269" i="7"/>
  <c r="N44" i="7"/>
  <c r="P96" i="7"/>
  <c r="P224" i="7"/>
  <c r="M24" i="7"/>
  <c r="P171" i="7"/>
  <c r="P184" i="7"/>
  <c r="N114" i="7"/>
  <c r="P235" i="7"/>
  <c r="O220" i="7"/>
  <c r="N191" i="7"/>
  <c r="N106" i="7"/>
  <c r="N58" i="7"/>
  <c r="P47" i="7"/>
  <c r="M301" i="7"/>
  <c r="P75" i="7"/>
  <c r="P8" i="7"/>
  <c r="P49" i="7"/>
  <c r="O94" i="7"/>
  <c r="P192" i="7"/>
  <c r="M222" i="7"/>
  <c r="O77" i="7"/>
  <c r="O265" i="7"/>
  <c r="O84" i="7"/>
  <c r="M17" i="7"/>
  <c r="N107" i="7"/>
  <c r="P297" i="7"/>
  <c r="P136" i="7"/>
  <c r="O78" i="7"/>
  <c r="M151" i="7"/>
  <c r="P77" i="7"/>
  <c r="M130" i="7"/>
  <c r="M196" i="7"/>
  <c r="O306" i="7"/>
  <c r="P62" i="7"/>
  <c r="M102" i="7"/>
  <c r="N101" i="7"/>
  <c r="O291" i="7"/>
  <c r="P242" i="7"/>
  <c r="N134" i="7"/>
  <c r="M298" i="7"/>
  <c r="N153" i="7"/>
  <c r="N264" i="7"/>
  <c r="O5" i="7"/>
  <c r="N218" i="7"/>
  <c r="N38" i="7"/>
  <c r="M278" i="7"/>
  <c r="O289" i="7"/>
  <c r="P67" i="7"/>
  <c r="O190" i="7"/>
  <c r="P169" i="7"/>
  <c r="M91" i="7"/>
  <c r="M249" i="7"/>
  <c r="P11" i="7"/>
  <c r="P110" i="7"/>
  <c r="O92" i="7"/>
  <c r="O35" i="7"/>
  <c r="O140" i="7"/>
  <c r="M111" i="7"/>
  <c r="P137" i="7"/>
  <c r="M163" i="7"/>
  <c r="O287" i="7"/>
  <c r="N115" i="7"/>
  <c r="O9" i="7"/>
  <c r="O64" i="7"/>
  <c r="O177" i="7"/>
  <c r="O277" i="7"/>
  <c r="P245" i="7"/>
  <c r="O307" i="7"/>
  <c r="N251" i="7"/>
  <c r="P229" i="7"/>
  <c r="N175" i="7"/>
  <c r="N252" i="7"/>
  <c r="M36" i="7"/>
  <c r="O203" i="7"/>
  <c r="N28" i="7"/>
  <c r="M166" i="7"/>
  <c r="P37" i="7"/>
  <c r="N269" i="7"/>
  <c r="O44" i="7"/>
  <c r="N96" i="7"/>
  <c r="O224" i="7"/>
  <c r="P24" i="7"/>
  <c r="N171" i="7"/>
  <c r="M184" i="7"/>
  <c r="P114" i="7"/>
  <c r="M235" i="7"/>
  <c r="N220" i="7"/>
  <c r="O191" i="7"/>
  <c r="M106" i="7"/>
  <c r="O58" i="7"/>
  <c r="N47" i="7"/>
  <c r="P301" i="7"/>
  <c r="O75" i="7"/>
  <c r="O8" i="7"/>
  <c r="M49" i="7"/>
  <c r="M94" i="7"/>
  <c r="N192" i="7"/>
  <c r="P259" i="7"/>
  <c r="M234" i="7"/>
  <c r="N120" i="7"/>
  <c r="O130" i="7"/>
  <c r="O274" i="7"/>
  <c r="P89" i="7"/>
  <c r="M306" i="7"/>
  <c r="M173" i="7"/>
  <c r="M34" i="7"/>
  <c r="M263" i="7"/>
  <c r="P141" i="7"/>
  <c r="P198" i="7"/>
  <c r="O204" i="7"/>
  <c r="O87" i="7"/>
  <c r="P222" i="7"/>
  <c r="O159" i="7"/>
  <c r="O12" i="7"/>
  <c r="O293" i="7"/>
  <c r="O152" i="7"/>
  <c r="P286" i="7"/>
  <c r="O41" i="7"/>
  <c r="N187" i="7"/>
  <c r="N84" i="7"/>
  <c r="O17" i="7"/>
  <c r="P107" i="7"/>
  <c r="N263" i="7"/>
  <c r="M141" i="7"/>
  <c r="O198" i="7"/>
  <c r="O129" i="7"/>
  <c r="N78" i="7"/>
  <c r="M242" i="7"/>
  <c r="M134" i="7"/>
  <c r="O298" i="7"/>
  <c r="O153" i="7"/>
  <c r="P264" i="7"/>
  <c r="M5" i="7"/>
  <c r="P218" i="7"/>
  <c r="O38" i="7"/>
  <c r="P278" i="7"/>
  <c r="M289" i="7"/>
  <c r="O67" i="7"/>
  <c r="P190" i="7"/>
  <c r="M169" i="7"/>
  <c r="P91" i="7"/>
  <c r="N249" i="7"/>
  <c r="O11" i="7"/>
  <c r="O110" i="7"/>
  <c r="M92" i="7"/>
  <c r="N35" i="7"/>
  <c r="N140" i="7"/>
  <c r="O111" i="7"/>
  <c r="M137" i="7"/>
  <c r="O163" i="7"/>
  <c r="P287" i="7"/>
  <c r="O115" i="7"/>
  <c r="P9" i="7"/>
  <c r="M64" i="7"/>
  <c r="N177" i="7"/>
  <c r="N277" i="7"/>
  <c r="N245" i="7"/>
  <c r="N307" i="7"/>
  <c r="P251" i="7"/>
  <c r="M229" i="7"/>
  <c r="P175" i="7"/>
  <c r="M252" i="7"/>
  <c r="P36" i="7"/>
  <c r="M203" i="7"/>
  <c r="P28" i="7"/>
  <c r="P166" i="7"/>
  <c r="O37" i="7"/>
  <c r="M269" i="7"/>
  <c r="P44" i="7"/>
  <c r="M96" i="7"/>
  <c r="M224" i="7"/>
  <c r="N24" i="7"/>
  <c r="O171" i="7"/>
  <c r="O184" i="7"/>
  <c r="O114" i="7"/>
  <c r="N235" i="7"/>
  <c r="M220" i="7"/>
  <c r="M191" i="7"/>
  <c r="P106" i="7"/>
  <c r="P58" i="7"/>
  <c r="M47" i="7"/>
  <c r="O301" i="7"/>
  <c r="M75" i="7"/>
  <c r="N8" i="7"/>
  <c r="O49" i="7"/>
  <c r="N94" i="7"/>
  <c r="M192" i="7"/>
  <c r="O237" i="7"/>
  <c r="O82" i="7"/>
  <c r="N41" i="7"/>
  <c r="N196" i="7"/>
  <c r="M73" i="7"/>
  <c r="M284" i="7"/>
  <c r="O102" i="7"/>
  <c r="M215" i="7"/>
  <c r="O213" i="7"/>
  <c r="M291" i="7"/>
  <c r="N259" i="7"/>
  <c r="O228" i="7"/>
  <c r="O123" i="7"/>
  <c r="O234" i="7"/>
  <c r="M260" i="7"/>
  <c r="P265" i="7"/>
  <c r="M274" i="7"/>
  <c r="O89" i="7"/>
  <c r="P69" i="7"/>
  <c r="N119" i="7"/>
  <c r="O284" i="7"/>
  <c r="P23" i="7"/>
  <c r="P63" i="7"/>
  <c r="N215" i="7"/>
  <c r="M213" i="7"/>
  <c r="M204" i="7"/>
  <c r="N87" i="7"/>
  <c r="P237" i="7"/>
  <c r="M259" i="7"/>
  <c r="O222" i="7"/>
  <c r="P151" i="7"/>
  <c r="N88" i="7"/>
  <c r="P159" i="7"/>
  <c r="P228" i="7"/>
  <c r="N12" i="7"/>
  <c r="M123" i="7"/>
  <c r="N293" i="7"/>
  <c r="P234" i="7"/>
  <c r="M152" i="7"/>
  <c r="N82" i="7"/>
  <c r="N77" i="7"/>
  <c r="O286" i="7"/>
  <c r="N260" i="7"/>
  <c r="O120" i="7"/>
  <c r="M53" i="7"/>
  <c r="M41" i="7"/>
  <c r="M265" i="7"/>
  <c r="P130" i="7"/>
  <c r="P227" i="7"/>
  <c r="P187" i="7"/>
  <c r="N274" i="7"/>
  <c r="P186" i="7"/>
  <c r="O196" i="7"/>
  <c r="M84" i="7"/>
  <c r="M89" i="7"/>
  <c r="P66" i="7"/>
  <c r="N73" i="7"/>
  <c r="P306" i="7"/>
  <c r="M69" i="7"/>
  <c r="N17" i="7"/>
  <c r="O119" i="7"/>
  <c r="O173" i="7"/>
  <c r="O62" i="7"/>
  <c r="P284" i="7"/>
  <c r="M107" i="7"/>
  <c r="O34" i="7"/>
  <c r="O23" i="7"/>
  <c r="P102" i="7"/>
  <c r="P263" i="7"/>
  <c r="O297" i="7"/>
  <c r="M63" i="7"/>
  <c r="N199" i="7"/>
  <c r="O141" i="7"/>
  <c r="O215" i="7"/>
  <c r="M101" i="7"/>
  <c r="N136" i="7"/>
  <c r="N198" i="7"/>
  <c r="P213" i="7"/>
  <c r="P194" i="7"/>
  <c r="N129" i="7"/>
  <c r="N204" i="7"/>
  <c r="N291" i="7"/>
  <c r="N178" i="7"/>
  <c r="P78" i="7"/>
  <c r="M87" i="7"/>
  <c r="M232" i="7"/>
  <c r="M279" i="7"/>
  <c r="M167" i="7"/>
  <c r="P4" i="7"/>
  <c r="P52" i="7"/>
  <c r="O29" i="7"/>
  <c r="O302" i="7"/>
  <c r="P285" i="7"/>
  <c r="M250" i="7"/>
  <c r="N25" i="7"/>
  <c r="P202" i="7"/>
  <c r="P205" i="7"/>
  <c r="N22" i="7"/>
  <c r="M108" i="7"/>
  <c r="O292" i="7"/>
  <c r="P239" i="7"/>
  <c r="N139" i="7"/>
  <c r="N95" i="7"/>
  <c r="N98" i="7"/>
  <c r="O176" i="7"/>
  <c r="P271" i="7"/>
  <c r="M68" i="7"/>
  <c r="M195" i="7"/>
  <c r="P279" i="7"/>
  <c r="M302" i="7"/>
  <c r="O25" i="7"/>
  <c r="M282" i="7"/>
  <c r="O255" i="7"/>
  <c r="M61" i="7"/>
  <c r="N154" i="7"/>
  <c r="M126" i="7"/>
  <c r="P13" i="7"/>
  <c r="P139" i="7"/>
  <c r="N193" i="7"/>
  <c r="O79" i="7"/>
  <c r="M217" i="7"/>
  <c r="O279" i="7"/>
  <c r="O167" i="7"/>
  <c r="O4" i="7"/>
  <c r="N52" i="7"/>
  <c r="N29" i="7"/>
  <c r="N302" i="7"/>
  <c r="N285" i="7"/>
  <c r="P250" i="7"/>
  <c r="P122" i="7"/>
  <c r="P25" i="7"/>
  <c r="M258" i="7"/>
  <c r="P266" i="7"/>
  <c r="O202" i="7"/>
  <c r="P282" i="7"/>
  <c r="M261" i="7"/>
  <c r="M185" i="7"/>
  <c r="N205" i="7"/>
  <c r="N112" i="7"/>
  <c r="N255" i="7"/>
  <c r="P254" i="7"/>
  <c r="O22" i="7"/>
  <c r="O208" i="7"/>
  <c r="O61" i="7"/>
  <c r="M182" i="7"/>
  <c r="P108" i="7"/>
  <c r="P280" i="7"/>
  <c r="O154" i="7"/>
  <c r="M292" i="7"/>
  <c r="M268" i="7"/>
  <c r="N126" i="7"/>
  <c r="O172" i="7"/>
  <c r="M239" i="7"/>
  <c r="O13" i="7"/>
  <c r="P51" i="7"/>
  <c r="M233" i="7"/>
  <c r="M139" i="7"/>
  <c r="N65" i="7"/>
  <c r="N294" i="7"/>
  <c r="O193" i="7"/>
  <c r="O95" i="7"/>
  <c r="M79" i="7"/>
  <c r="N103" i="7"/>
  <c r="P281" i="7"/>
  <c r="P98" i="7"/>
  <c r="M168" i="7"/>
  <c r="M262" i="7"/>
  <c r="M176" i="7"/>
  <c r="N30" i="7"/>
  <c r="M210" i="7"/>
  <c r="N271" i="7"/>
  <c r="O231" i="7"/>
  <c r="P236" i="7"/>
  <c r="O68" i="7"/>
  <c r="P183" i="7"/>
  <c r="N135" i="7"/>
  <c r="N113" i="7"/>
  <c r="O247" i="7"/>
  <c r="N195" i="7"/>
  <c r="P217" i="7"/>
  <c r="O122" i="7"/>
  <c r="O258" i="7"/>
  <c r="O266" i="7"/>
  <c r="O282" i="7"/>
  <c r="P261" i="7"/>
  <c r="O185" i="7"/>
  <c r="O112" i="7"/>
  <c r="P255" i="7"/>
  <c r="N254" i="7"/>
  <c r="N208" i="7"/>
  <c r="P61" i="7"/>
  <c r="O182" i="7"/>
  <c r="N280" i="7"/>
  <c r="M154" i="7"/>
  <c r="O268" i="7"/>
  <c r="O126" i="7"/>
  <c r="M172" i="7"/>
  <c r="N13" i="7"/>
  <c r="O51" i="7"/>
  <c r="N233" i="7"/>
  <c r="M65" i="7"/>
  <c r="M294" i="7"/>
  <c r="M193" i="7"/>
  <c r="P79" i="7"/>
  <c r="P103" i="7"/>
  <c r="N281" i="7"/>
  <c r="N168" i="7"/>
  <c r="N262" i="7"/>
  <c r="P30" i="7"/>
  <c r="N210" i="7"/>
  <c r="M231" i="7"/>
  <c r="O236" i="7"/>
  <c r="O183" i="7"/>
  <c r="M135" i="7"/>
  <c r="P113" i="7"/>
  <c r="P247" i="7"/>
  <c r="N217" i="7"/>
  <c r="N167" i="7"/>
  <c r="M4" i="7"/>
  <c r="M52" i="7"/>
  <c r="P29" i="7"/>
  <c r="O285" i="7"/>
  <c r="O250" i="7"/>
  <c r="M122" i="7"/>
  <c r="N258" i="7"/>
  <c r="N266" i="7"/>
  <c r="M202" i="7"/>
  <c r="N261" i="7"/>
  <c r="N185" i="7"/>
  <c r="M205" i="7"/>
  <c r="M112" i="7"/>
  <c r="O254" i="7"/>
  <c r="M22" i="7"/>
  <c r="P208" i="7"/>
  <c r="N182" i="7"/>
  <c r="O108" i="7"/>
  <c r="M280" i="7"/>
  <c r="N292" i="7"/>
  <c r="N268" i="7"/>
  <c r="N172" i="7"/>
  <c r="N239" i="7"/>
  <c r="N51" i="7"/>
  <c r="P233" i="7"/>
  <c r="P65" i="7"/>
  <c r="O294" i="7"/>
  <c r="M95" i="7"/>
  <c r="O103" i="7"/>
  <c r="O80" i="7"/>
  <c r="O142" i="7"/>
  <c r="M124" i="7"/>
  <c r="N157" i="7"/>
  <c r="M244" i="7"/>
  <c r="N206" i="7"/>
  <c r="O174" i="7"/>
  <c r="N200" i="7"/>
  <c r="N138" i="7"/>
  <c r="P246" i="7"/>
  <c r="M149" i="7"/>
  <c r="O230" i="7"/>
  <c r="O257" i="7"/>
  <c r="M216" i="7"/>
  <c r="N32" i="7"/>
  <c r="P18" i="7"/>
  <c r="M2" i="7"/>
  <c r="P303" i="7"/>
  <c r="N76" i="7"/>
  <c r="P267" i="7"/>
  <c r="M165" i="7"/>
  <c r="P127" i="7"/>
  <c r="M276" i="7"/>
  <c r="O121" i="7"/>
  <c r="P16" i="7"/>
  <c r="N207" i="7"/>
  <c r="P226" i="7"/>
  <c r="O81" i="7"/>
  <c r="N59" i="7"/>
  <c r="N158" i="7"/>
  <c r="M180" i="7"/>
  <c r="M97" i="7"/>
  <c r="N270" i="7"/>
  <c r="P161" i="7"/>
  <c r="O42" i="7"/>
  <c r="N295" i="7"/>
  <c r="O117" i="7"/>
  <c r="N45" i="7"/>
  <c r="P241" i="7"/>
  <c r="N21" i="7"/>
  <c r="N71" i="7"/>
  <c r="O150" i="7"/>
  <c r="O143" i="7"/>
  <c r="P39" i="7"/>
  <c r="O118" i="7"/>
  <c r="M296" i="7"/>
  <c r="N223" i="7"/>
  <c r="N70" i="7"/>
  <c r="M288" i="7"/>
  <c r="P146" i="7"/>
  <c r="O46" i="7"/>
  <c r="N72" i="7"/>
  <c r="O100" i="7"/>
  <c r="N188" i="7"/>
  <c r="P19" i="7"/>
  <c r="P7" i="7"/>
  <c r="P299" i="7"/>
  <c r="P283" i="7"/>
  <c r="O145" i="7"/>
  <c r="M6" i="7"/>
  <c r="N109" i="7"/>
  <c r="M170" i="7"/>
  <c r="O147" i="7"/>
  <c r="N144" i="7"/>
  <c r="M74" i="7"/>
  <c r="O225" i="7"/>
  <c r="O272" i="7"/>
  <c r="O219" i="7"/>
  <c r="P162" i="7"/>
  <c r="O57" i="7"/>
  <c r="O10" i="7"/>
  <c r="N164" i="7"/>
  <c r="N125" i="7"/>
  <c r="M201" i="7"/>
  <c r="N181" i="7"/>
  <c r="N189" i="7"/>
  <c r="P179" i="7"/>
  <c r="O290" i="7"/>
  <c r="N214" i="7"/>
  <c r="P238" i="7"/>
  <c r="M116" i="7"/>
  <c r="M56" i="7"/>
  <c r="M3" i="7"/>
  <c r="P160" i="7"/>
  <c r="N85" i="7"/>
  <c r="P93" i="7"/>
  <c r="O60" i="7"/>
  <c r="N54" i="7"/>
  <c r="P104" i="7"/>
  <c r="N48" i="7"/>
  <c r="M221" i="7"/>
  <c r="P83" i="7"/>
  <c r="P14" i="7"/>
  <c r="M33" i="7"/>
  <c r="M209" i="7"/>
  <c r="M40" i="7"/>
  <c r="M128" i="7"/>
  <c r="N148" i="7"/>
  <c r="M253" i="7"/>
  <c r="P243" i="7"/>
  <c r="M156" i="7"/>
  <c r="P170" i="7"/>
  <c r="M147" i="7"/>
  <c r="P74" i="7"/>
  <c r="O211" i="7"/>
  <c r="O162" i="7"/>
  <c r="M10" i="7"/>
  <c r="M125" i="7"/>
  <c r="P181" i="7"/>
  <c r="M179" i="7"/>
  <c r="O214" i="7"/>
  <c r="N116" i="7"/>
  <c r="N56" i="7"/>
  <c r="M275" i="7"/>
  <c r="P3" i="7"/>
  <c r="O160" i="7"/>
  <c r="M85" i="7"/>
  <c r="M93" i="7"/>
  <c r="N60" i="7"/>
  <c r="M54" i="7"/>
  <c r="M104" i="7"/>
  <c r="O48" i="7"/>
  <c r="N221" i="7"/>
  <c r="O83" i="7"/>
  <c r="O14" i="7"/>
  <c r="N33" i="7"/>
  <c r="M248" i="7"/>
  <c r="N209" i="7"/>
  <c r="N40" i="7"/>
  <c r="N20" i="7"/>
  <c r="O128" i="7"/>
  <c r="P43" i="7"/>
  <c r="O148" i="7"/>
  <c r="M256" i="7"/>
  <c r="M212" i="7"/>
  <c r="O253" i="7"/>
  <c r="N305" i="7"/>
  <c r="M243" i="7"/>
  <c r="M240" i="7"/>
  <c r="N90" i="7"/>
  <c r="N156" i="7"/>
  <c r="P27" i="7"/>
  <c r="N273" i="7"/>
  <c r="N197" i="7"/>
  <c r="M211" i="7"/>
  <c r="O300" i="7"/>
  <c r="M50" i="7"/>
  <c r="N31" i="7"/>
  <c r="P86" i="7"/>
  <c r="N275" i="7"/>
  <c r="P248" i="7"/>
  <c r="O20" i="7"/>
  <c r="O43" i="7"/>
  <c r="O256" i="7"/>
  <c r="N212" i="7"/>
  <c r="N6" i="7"/>
  <c r="O305" i="7"/>
  <c r="O240" i="7"/>
  <c r="O90" i="7"/>
  <c r="P109" i="7"/>
  <c r="O27" i="7"/>
  <c r="M273" i="7"/>
  <c r="O144" i="7"/>
  <c r="M197" i="7"/>
  <c r="N225" i="7"/>
  <c r="M272" i="7"/>
  <c r="N219" i="7"/>
  <c r="N300" i="7"/>
  <c r="P57" i="7"/>
  <c r="M164" i="7"/>
  <c r="O50" i="7"/>
  <c r="O201" i="7"/>
  <c r="P31" i="7"/>
  <c r="P189" i="7"/>
  <c r="M290" i="7"/>
  <c r="M86" i="7"/>
  <c r="O238" i="7"/>
  <c r="P56" i="7"/>
  <c r="P275" i="7"/>
  <c r="O3" i="7"/>
  <c r="N160" i="7"/>
  <c r="P85" i="7"/>
  <c r="N93" i="7"/>
  <c r="M60" i="7"/>
  <c r="P54" i="7"/>
  <c r="N104" i="7"/>
  <c r="M48" i="7"/>
  <c r="P221" i="7"/>
  <c r="M83" i="7"/>
  <c r="M14" i="7"/>
  <c r="O33" i="7"/>
  <c r="N248" i="7"/>
  <c r="P209" i="7"/>
  <c r="O40" i="7"/>
  <c r="M20" i="7"/>
  <c r="N128" i="7"/>
  <c r="N43" i="7"/>
  <c r="P148" i="7"/>
  <c r="N256" i="7"/>
  <c r="O212" i="7"/>
  <c r="P253" i="7"/>
  <c r="O6" i="7"/>
  <c r="M305" i="7"/>
  <c r="N243" i="7"/>
  <c r="P240" i="7"/>
  <c r="P90" i="7"/>
  <c r="P156" i="7"/>
  <c r="O109" i="7"/>
  <c r="M27" i="7"/>
  <c r="O170" i="7"/>
  <c r="P273" i="7"/>
  <c r="N147" i="7"/>
  <c r="M144" i="7"/>
  <c r="P197" i="7"/>
  <c r="N74" i="7"/>
  <c r="P225" i="7"/>
  <c r="P211" i="7"/>
  <c r="N272" i="7"/>
  <c r="M219" i="7"/>
  <c r="M162" i="7"/>
  <c r="P300" i="7"/>
  <c r="M57" i="7"/>
  <c r="P10" i="7"/>
  <c r="P164" i="7"/>
  <c r="P50" i="7"/>
  <c r="O125" i="7"/>
  <c r="P201" i="7"/>
  <c r="O181" i="7"/>
  <c r="M31" i="7"/>
  <c r="M189" i="7"/>
  <c r="N179" i="7"/>
  <c r="P290" i="7"/>
  <c r="O86" i="7"/>
  <c r="M214" i="7"/>
  <c r="M238" i="7"/>
  <c r="O116" i="7"/>
  <c r="M88" i="7"/>
  <c r="N159" i="7"/>
  <c r="M228" i="7"/>
  <c r="P12" i="7"/>
  <c r="P123" i="7"/>
  <c r="P293" i="7"/>
  <c r="N152" i="7"/>
  <c r="N286" i="7"/>
  <c r="P53" i="7"/>
  <c r="M227" i="7"/>
  <c r="N186" i="7"/>
  <c r="N66" i="7"/>
  <c r="N69" i="7"/>
  <c r="M62" i="7"/>
  <c r="N23" i="7"/>
  <c r="M199" i="7"/>
  <c r="O101" i="7"/>
  <c r="O194" i="7"/>
  <c r="O178" i="7"/>
  <c r="O232" i="7"/>
  <c r="N237" i="7"/>
  <c r="M120" i="7"/>
  <c r="O66" i="7"/>
  <c r="M297" i="7"/>
  <c r="P178" i="7"/>
  <c r="M237" i="7"/>
  <c r="O157" i="7"/>
  <c r="N174" i="7"/>
  <c r="N234" i="7"/>
  <c r="N216" i="7"/>
  <c r="O2" i="7"/>
  <c r="N130" i="7"/>
  <c r="N121" i="7"/>
  <c r="M226" i="7"/>
  <c r="N306" i="7"/>
  <c r="N161" i="7"/>
  <c r="N117" i="7"/>
  <c r="N102" i="7"/>
  <c r="M281" i="7"/>
  <c r="P262" i="7"/>
  <c r="M198" i="7"/>
  <c r="O31" i="7"/>
  <c r="O19" i="7"/>
  <c r="O283" i="7"/>
  <c r="O217" i="7"/>
  <c r="P157" i="7"/>
  <c r="P60" i="7"/>
  <c r="M25" i="7"/>
  <c r="P216" i="7"/>
  <c r="P40" i="7"/>
  <c r="M254" i="7"/>
  <c r="M121" i="7"/>
  <c r="O243" i="7"/>
  <c r="P126" i="7"/>
  <c r="M161" i="7"/>
  <c r="O197" i="7"/>
  <c r="P95" i="7"/>
  <c r="N39" i="7"/>
  <c r="O262" i="7"/>
  <c r="O210" i="7"/>
  <c r="P129" i="7"/>
  <c r="N290" i="7"/>
  <c r="M283" i="7"/>
  <c r="P80" i="7"/>
  <c r="M157" i="7"/>
  <c r="M12" i="7"/>
  <c r="O149" i="7"/>
  <c r="O216" i="7"/>
  <c r="P121" i="7"/>
  <c r="P180" i="7"/>
  <c r="O161" i="7"/>
  <c r="O39" i="7"/>
  <c r="M178" i="7"/>
  <c r="N149" i="7"/>
  <c r="M39" i="7"/>
  <c r="O135" i="7"/>
  <c r="P149" i="7"/>
  <c r="P173" i="7"/>
  <c r="O146" i="7"/>
  <c r="O221" i="7"/>
  <c r="M45" i="7"/>
  <c r="P195" i="7"/>
  <c r="P152" i="7"/>
  <c r="O263" i="7"/>
  <c r="P165" i="7"/>
  <c r="N146" i="7"/>
  <c r="O32" i="7"/>
  <c r="M7" i="7"/>
  <c r="N279" i="7"/>
  <c r="O244" i="7"/>
  <c r="O54" i="7"/>
  <c r="P258" i="7"/>
  <c r="M32" i="7"/>
  <c r="P20" i="7"/>
  <c r="P22" i="7"/>
  <c r="M16" i="7"/>
  <c r="N240" i="7"/>
  <c r="P172" i="7"/>
  <c r="M42" i="7"/>
  <c r="O74" i="7"/>
  <c r="N79" i="7"/>
  <c r="M98" i="7"/>
  <c r="P176" i="7"/>
  <c r="N213" i="7"/>
  <c r="O189" i="7"/>
  <c r="N7" i="7"/>
  <c r="M145" i="7"/>
  <c r="P32" i="7"/>
  <c r="M66" i="7"/>
  <c r="O97" i="7"/>
  <c r="P34" i="7"/>
  <c r="M150" i="7"/>
  <c r="P118" i="7"/>
  <c r="M271" i="7"/>
  <c r="P204" i="7"/>
  <c r="N86" i="7"/>
  <c r="N250" i="7"/>
  <c r="P112" i="7"/>
  <c r="P6" i="7"/>
  <c r="N97" i="7"/>
  <c r="P147" i="7"/>
  <c r="P150" i="7"/>
  <c r="N118" i="7"/>
  <c r="O70" i="7"/>
  <c r="O271" i="7"/>
  <c r="M78" i="7"/>
  <c r="N142" i="7"/>
  <c r="M230" i="7"/>
  <c r="O76" i="7"/>
  <c r="P196" i="7"/>
  <c r="P97" i="7"/>
  <c r="M241" i="7"/>
  <c r="N150" i="7"/>
  <c r="P46" i="7"/>
  <c r="O113" i="7"/>
  <c r="M29" i="7"/>
  <c r="N83" i="7"/>
  <c r="P256" i="7"/>
  <c r="M59" i="7"/>
  <c r="O233" i="7"/>
  <c r="P219" i="7"/>
  <c r="P70" i="7"/>
  <c r="M188" i="7"/>
  <c r="N222" i="7"/>
  <c r="M82" i="7"/>
  <c r="P76" i="7"/>
  <c r="O207" i="7"/>
  <c r="P17" i="7"/>
  <c r="N297" i="7"/>
  <c r="N50" i="7"/>
  <c r="N299" i="7"/>
  <c r="P206" i="7"/>
  <c r="M266" i="7"/>
  <c r="P128" i="7"/>
  <c r="M90" i="7"/>
  <c r="O295" i="7"/>
  <c r="M103" i="7"/>
  <c r="M181" i="7"/>
  <c r="M299" i="7"/>
  <c r="P142" i="7"/>
  <c r="N244" i="7"/>
  <c r="N123" i="7"/>
  <c r="P230" i="7"/>
  <c r="P41" i="7"/>
  <c r="N127" i="7"/>
  <c r="N16" i="7"/>
  <c r="P42" i="7"/>
  <c r="N176" i="7"/>
  <c r="P145" i="7"/>
  <c r="P292" i="7"/>
  <c r="P68" i="7"/>
  <c r="M159" i="7"/>
  <c r="M138" i="7"/>
  <c r="O260" i="7"/>
  <c r="O127" i="7"/>
  <c r="P59" i="7"/>
  <c r="N62" i="7"/>
  <c r="M118" i="7"/>
  <c r="N68" i="7"/>
  <c r="P138" i="7"/>
  <c r="M76" i="7"/>
  <c r="N27" i="7"/>
  <c r="N46" i="7"/>
  <c r="O138" i="7"/>
  <c r="M187" i="7"/>
  <c r="O241" i="7"/>
  <c r="O188" i="7"/>
  <c r="O104" i="7"/>
  <c r="M207" i="7"/>
  <c r="P168" i="7"/>
  <c r="M142" i="7"/>
  <c r="O85" i="7"/>
  <c r="N230" i="7"/>
  <c r="O248" i="7"/>
  <c r="M127" i="7"/>
  <c r="P294" i="7"/>
  <c r="P116" i="7"/>
  <c r="M70" i="7"/>
  <c r="O275" i="7"/>
  <c r="O261" i="7"/>
  <c r="N108" i="7"/>
  <c r="N241" i="7"/>
  <c r="N57" i="7"/>
  <c r="M113" i="7"/>
  <c r="O206" i="7"/>
  <c r="M18" i="7"/>
  <c r="O59" i="7"/>
  <c r="M295" i="7"/>
  <c r="N141" i="7"/>
  <c r="M46" i="7"/>
  <c r="P167" i="7"/>
  <c r="O18" i="7"/>
  <c r="M208" i="7"/>
  <c r="O239" i="7"/>
  <c r="M225" i="7"/>
  <c r="O136" i="7"/>
  <c r="P188" i="7"/>
  <c r="N124" i="7"/>
  <c r="M206" i="7"/>
  <c r="M293" i="7"/>
  <c r="M257" i="7"/>
  <c r="N18" i="7"/>
  <c r="N265" i="7"/>
  <c r="N276" i="7"/>
  <c r="P207" i="7"/>
  <c r="O73" i="7"/>
  <c r="M270" i="7"/>
  <c r="P295" i="7"/>
  <c r="M23" i="7"/>
  <c r="M143" i="7"/>
  <c r="O168" i="7"/>
  <c r="O30" i="7"/>
  <c r="M194" i="7"/>
  <c r="O179" i="7"/>
  <c r="O299" i="7"/>
  <c r="P124" i="7"/>
  <c r="O93" i="7"/>
  <c r="N122" i="7"/>
  <c r="N257" i="7"/>
  <c r="O209" i="7"/>
  <c r="M255" i="7"/>
  <c r="P276" i="7"/>
  <c r="P305" i="7"/>
  <c r="P268" i="7"/>
  <c r="P270" i="7"/>
  <c r="P144" i="7"/>
  <c r="P193" i="7"/>
  <c r="N143" i="7"/>
  <c r="N296" i="7"/>
  <c r="M30" i="7"/>
  <c r="P231" i="7"/>
  <c r="P291" i="7"/>
  <c r="P214" i="7"/>
  <c r="P296" i="7"/>
  <c r="N183" i="7"/>
  <c r="M72" i="7"/>
  <c r="N4" i="7"/>
  <c r="N202" i="7"/>
  <c r="M43" i="7"/>
  <c r="O226" i="7"/>
  <c r="M117" i="7"/>
  <c r="O281" i="7"/>
  <c r="P125" i="7"/>
  <c r="N19" i="7"/>
  <c r="N165" i="7"/>
  <c r="P223" i="7"/>
  <c r="N80" i="7"/>
  <c r="O205" i="7"/>
  <c r="P154" i="7"/>
  <c r="O273" i="7"/>
  <c r="M223" i="7"/>
  <c r="N236" i="7"/>
  <c r="M80" i="7"/>
  <c r="M286" i="7"/>
  <c r="O165" i="7"/>
  <c r="N180" i="7"/>
  <c r="P71" i="7"/>
  <c r="P100" i="7"/>
  <c r="O200" i="7"/>
  <c r="N282" i="7"/>
  <c r="M148" i="7"/>
  <c r="N81" i="7"/>
  <c r="M51" i="7"/>
  <c r="O164" i="7"/>
  <c r="O7" i="7"/>
  <c r="P244" i="7"/>
  <c r="N227" i="7"/>
  <c r="O69" i="7"/>
  <c r="P45" i="7"/>
  <c r="N201" i="7"/>
  <c r="N145" i="7"/>
  <c r="O124" i="7"/>
  <c r="N228" i="7"/>
  <c r="M246" i="7"/>
  <c r="P257" i="7"/>
  <c r="P120" i="7"/>
  <c r="O267" i="7"/>
  <c r="O276" i="7"/>
  <c r="P84" i="7"/>
  <c r="P158" i="7"/>
  <c r="O270" i="7"/>
  <c r="N284" i="7"/>
  <c r="M21" i="7"/>
  <c r="P143" i="7"/>
  <c r="P288" i="7"/>
  <c r="N231" i="7"/>
  <c r="P87" i="7"/>
  <c r="P48" i="7"/>
  <c r="N283" i="7"/>
  <c r="N89" i="7"/>
  <c r="O71" i="7"/>
  <c r="M236" i="7"/>
  <c r="M285" i="7"/>
  <c r="M71" i="7"/>
  <c r="M200" i="7"/>
  <c r="O186" i="7"/>
  <c r="M300" i="7"/>
  <c r="O195" i="7"/>
  <c r="O52" i="7"/>
  <c r="P182" i="7"/>
  <c r="P272" i="7"/>
  <c r="O259" i="7"/>
  <c r="P81" i="7"/>
  <c r="P101" i="7"/>
  <c r="N3" i="7"/>
  <c r="P302" i="7"/>
  <c r="O246" i="7"/>
  <c r="N14" i="7"/>
  <c r="P185" i="7"/>
  <c r="N267" i="7"/>
  <c r="P212" i="7"/>
  <c r="O280" i="7"/>
  <c r="O158" i="7"/>
  <c r="N170" i="7"/>
  <c r="O139" i="7"/>
  <c r="O21" i="7"/>
  <c r="N162" i="7"/>
  <c r="O296" i="7"/>
  <c r="N288" i="7"/>
  <c r="P72" i="7"/>
  <c r="M183" i="7"/>
  <c r="N247" i="7"/>
  <c r="O151" i="7"/>
  <c r="P174" i="7"/>
  <c r="N246" i="7"/>
  <c r="M77" i="7"/>
  <c r="N2" i="7"/>
  <c r="M267" i="7"/>
  <c r="P274" i="7"/>
  <c r="N226" i="7"/>
  <c r="M158" i="7"/>
  <c r="P119" i="7"/>
  <c r="P117" i="7"/>
  <c r="P21" i="7"/>
  <c r="N63" i="7"/>
  <c r="N10" i="7"/>
  <c r="O288" i="7"/>
  <c r="M19" i="7"/>
  <c r="M247" i="7"/>
  <c r="M174" i="7"/>
  <c r="P2" i="7"/>
  <c r="N61" i="7"/>
  <c r="O156" i="7"/>
  <c r="M13" i="7"/>
  <c r="N211" i="7"/>
  <c r="P215" i="7"/>
  <c r="O72" i="7"/>
  <c r="O53" i="7"/>
  <c r="O107" i="7"/>
  <c r="P210" i="7"/>
  <c r="N238" i="7"/>
  <c r="M160" i="7"/>
  <c r="P33" i="7"/>
  <c r="N253" i="7"/>
  <c r="O180" i="7"/>
  <c r="O65" i="7"/>
  <c r="M146" i="7"/>
  <c r="P232" i="7"/>
  <c r="O88" i="7"/>
  <c r="O303" i="7"/>
  <c r="M81" i="7"/>
  <c r="O45" i="7"/>
  <c r="O223" i="7"/>
  <c r="P135" i="7"/>
  <c r="O56" i="7"/>
  <c r="M303" i="7"/>
  <c r="M109" i="7"/>
  <c r="P199" i="7"/>
  <c r="M100" i="7"/>
  <c r="P200" i="7"/>
  <c r="N303" i="7"/>
  <c r="O16" i="7"/>
  <c r="N42" i="7"/>
  <c r="O98" i="7"/>
  <c r="N100" i="7"/>
</calcChain>
</file>

<file path=xl/sharedStrings.xml><?xml version="1.0" encoding="utf-8"?>
<sst xmlns="http://schemas.openxmlformats.org/spreadsheetml/2006/main" count="9840" uniqueCount="1625">
  <si>
    <t>Название материализованной A-таблицы</t>
  </si>
  <si>
    <t>Название внешней A-таблицы</t>
  </si>
  <si>
    <t>Название таблицы реплики</t>
  </si>
  <si>
    <t>СОД</t>
  </si>
  <si>
    <t>generated on 2024-12-17 19:28:33</t>
  </si>
  <si>
    <t>a_000042_additionaltechnicaldata</t>
  </si>
  <si>
    <t>a_000042_additionaltechnicaldata_snp_ext</t>
  </si>
  <si>
    <t>internal_dul_sidec_dspc.t_core_additionaltechnicaldata</t>
  </si>
  <si>
    <t>снимок-снимок</t>
  </si>
  <si>
    <t>a_000042_additionaltechnicaldata_diff_ext</t>
  </si>
  <si>
    <t>internal_dul_sidec_dspc.t_core_additionaltechnicaldata_delta</t>
  </si>
  <si>
    <t>a_000042_agreementservice</t>
  </si>
  <si>
    <t>a_000042_agreementservice_snp_ext</t>
  </si>
  <si>
    <t>internal_dul_sidec_dspc.t_core_agreementservice</t>
  </si>
  <si>
    <t>a_000042_agreementservice_diff_ext</t>
  </si>
  <si>
    <t>internal_dul_sidec_dspc.t_core_agreementservice_delta</t>
  </si>
  <si>
    <t>a_000042_amountdepend</t>
  </si>
  <si>
    <t>a_000042_amountdepend_snp_ext</t>
  </si>
  <si>
    <t>internal_dul_sidec_dspc.t_core_amountdepend</t>
  </si>
  <si>
    <t>a_000042_amountdepend_diff_ext</t>
  </si>
  <si>
    <t>internal_dul_sidec_dspc.t_core_amountdepend_delta</t>
  </si>
  <si>
    <t>a_000042_baseagreement</t>
  </si>
  <si>
    <t>a_000042_baseagreement_snp_ext</t>
  </si>
  <si>
    <t>internal_dul_sidec_dspc.t_core_baseagreement</t>
  </si>
  <si>
    <t>a_000042_baseagreement_diff_ext</t>
  </si>
  <si>
    <t>internal_dul_sidec_dspc.t_core_baseagreement_delta</t>
  </si>
  <si>
    <t>a_000042_calculatedonamount</t>
  </si>
  <si>
    <t>a_000042_calculatedonamount_snp_ext</t>
  </si>
  <si>
    <t>internal_dul_sidec_dspc.t_core_calculatedonamount</t>
  </si>
  <si>
    <t>a_000042_calculatedonamount_diff_ext</t>
  </si>
  <si>
    <t>internal_dul_sidec_dspc.t_core_calculatedonamount_delta</t>
  </si>
  <si>
    <t>a_000042_calculateratestructure</t>
  </si>
  <si>
    <t>a_000042_calculateratestructure_snp_ext</t>
  </si>
  <si>
    <t>internal_dul_sidec_dspc.t_core_calculateratestructure</t>
  </si>
  <si>
    <t>a_000042_calculateratestructure_diff_ext</t>
  </si>
  <si>
    <t>internal_dul_sidec_dspc.t_core_calculateratestructure_delta</t>
  </si>
  <si>
    <t>a_000042_depositadditionalinfo</t>
  </si>
  <si>
    <t>a_000042_depositadditionalinfo_snp_ext</t>
  </si>
  <si>
    <t>internal_dul_sidec_dspc.t_core_depositadditionalinfo</t>
  </si>
  <si>
    <t>a_000042_depositadditionalinfo_diff_ext</t>
  </si>
  <si>
    <t>internal_dul_sidec_dspc.t_core_depositadditionalinfo_delta</t>
  </si>
  <si>
    <t>a_000042_individualparams</t>
  </si>
  <si>
    <t>a_000042_individualparams_snp_ext</t>
  </si>
  <si>
    <t>internal_dul_sidec_dspc.t_core_individualparams</t>
  </si>
  <si>
    <t>a_000042_individualparams_diff_ext</t>
  </si>
  <si>
    <t>internal_dul_sidec_dspc.t_core_individualparams_delta</t>
  </si>
  <si>
    <t>a_000042_interestrate</t>
  </si>
  <si>
    <t>a_000042_interestrate_snp_ext</t>
  </si>
  <si>
    <t>internal_dul_sidec_dspc.t_core_interestrate</t>
  </si>
  <si>
    <t>a_000042_interestrate_diff_ext</t>
  </si>
  <si>
    <t>internal_dul_sidec_dspc.t_core_interestrate_delta</t>
  </si>
  <si>
    <t>a_000042_nsoadditionalinfo</t>
  </si>
  <si>
    <t>a_000042_nsoadditionalinfo_snp_ext</t>
  </si>
  <si>
    <t>internal_dul_sidec_dspc.t_core_nsoadditionalinfo</t>
  </si>
  <si>
    <t>a_000042_nsoadditionalinfo_diff_ext</t>
  </si>
  <si>
    <t>internal_dul_sidec_dspc.t_core_nsoadditionalinfo_delta</t>
  </si>
  <si>
    <t>a_000042_paymentdetails</t>
  </si>
  <si>
    <t>a_000042_paymentdetails_snp_ext</t>
  </si>
  <si>
    <t>internal_dul_sidec_dspc.t_core_paymentdetails</t>
  </si>
  <si>
    <t>a_000042_paymentdetails_diff_ext</t>
  </si>
  <si>
    <t>internal_dul_sidec_dspc.t_core_paymentdetails_delta</t>
  </si>
  <si>
    <t>a_000042_paymentperiod</t>
  </si>
  <si>
    <t>a_000042_paymentperiod_snp_ext</t>
  </si>
  <si>
    <t>internal_dul_sidec_dspc.t_core_paymentperiod</t>
  </si>
  <si>
    <t>a_000042_paymentperiod_diff_ext</t>
  </si>
  <si>
    <t>internal_dul_sidec_dspc.t_core_paymentperiod_delta</t>
  </si>
  <si>
    <t>a_000042_planservice</t>
  </si>
  <si>
    <t>a_000042_planservice_snp_ext</t>
  </si>
  <si>
    <t>internal_dul_sidec_dspc.t_core_planservice</t>
  </si>
  <si>
    <t>a_000042_planservice_diff_ext</t>
  </si>
  <si>
    <t>internal_dul_sidec_dspc.t_core_planservice_delta</t>
  </si>
  <si>
    <t>a_000042_product</t>
  </si>
  <si>
    <t>a_000042_product_snp_ext</t>
  </si>
  <si>
    <t>internal_dul_sidec_dspc.t_core_product</t>
  </si>
  <si>
    <t>a_000042_product_diff_ext</t>
  </si>
  <si>
    <t>internal_dul_sidec_dspc.t_core_product_delta</t>
  </si>
  <si>
    <t>a_000042_productaccount</t>
  </si>
  <si>
    <t>a_000042_productaccount_snp_ext</t>
  </si>
  <si>
    <t>internal_dul_sidec_dspc.t_core_productaccount</t>
  </si>
  <si>
    <t>a_000042_productaccount_diff_ext</t>
  </si>
  <si>
    <t>internal_dul_sidec_dspc.t_core_productaccount_delta</t>
  </si>
  <si>
    <t>a_000042_productkind</t>
  </si>
  <si>
    <t>a_000042_productkind_snp_ext</t>
  </si>
  <si>
    <t>internal_dul_sidec_dspc.t_core_productkind</t>
  </si>
  <si>
    <t>a_000042_productkind_diff_ext</t>
  </si>
  <si>
    <t>internal_dul_sidec_dspc.t_core_productkind_delta</t>
  </si>
  <si>
    <t>a_000042_productlegacyadditionalinformation</t>
  </si>
  <si>
    <t>a_000042_productlegacyadditionalinformation_snp_ext</t>
  </si>
  <si>
    <t>internal_dul_sidec_dspc.t_core_productlegacyadditionalinformation</t>
  </si>
  <si>
    <t>a_000042_productlegacyadditionalinformation_diff_ext</t>
  </si>
  <si>
    <t>internal_dul_sidec_dspc.t_core_productlegacyadditionalinformation_delta</t>
  </si>
  <si>
    <t>a_000042_productrecallcondition</t>
  </si>
  <si>
    <t>a_000042_productrecallcondition_snp_ext</t>
  </si>
  <si>
    <t>internal_dul_sidec_dspc.t_core_productrecallcondition</t>
  </si>
  <si>
    <t>a_000042_productrecallcondition_diff_ext</t>
  </si>
  <si>
    <t>internal_dul_sidec_dspc.t_core_productrecallcondition_delta</t>
  </si>
  <si>
    <t>a_000042_productservice</t>
  </si>
  <si>
    <t>a_000042_productservice_snp_ext</t>
  </si>
  <si>
    <t>internal_dul_sidec_dspc.t_core_productservice</t>
  </si>
  <si>
    <t>a_000042_productservice_diff_ext</t>
  </si>
  <si>
    <t>internal_dul_sidec_dspc.t_core_productservice_delta</t>
  </si>
  <si>
    <t>a_000042_productsettings</t>
  </si>
  <si>
    <t>a_000042_productsettings_snp_ext</t>
  </si>
  <si>
    <t>internal_dul_sidec_dspc.t_core_productsettings</t>
  </si>
  <si>
    <t>a_000042_productsettings_diff_ext</t>
  </si>
  <si>
    <t>internal_dul_sidec_dspc.t_core_productsettings_delta</t>
  </si>
  <si>
    <t>a_000042_ratetariff</t>
  </si>
  <si>
    <t>a_000042_ratetariff_snp_ext</t>
  </si>
  <si>
    <t>internal_dul_sidec_dspc.t_core_ratetariff</t>
  </si>
  <si>
    <t>a_000042_ratetariff_diff_ext</t>
  </si>
  <si>
    <t>internal_dul_sidec_dspc.t_core_ratetariff_delta</t>
  </si>
  <si>
    <t>a_000042_register</t>
  </si>
  <si>
    <t>a_000042_register_snp_ext</t>
  </si>
  <si>
    <t>internal_dul_sidec_dspc.t_core_register</t>
  </si>
  <si>
    <t>a_000042_register_diff_ext</t>
  </si>
  <si>
    <t>internal_dul_sidec_dspc.t_core_register_delta</t>
  </si>
  <si>
    <t>a_000042_specialattributes</t>
  </si>
  <si>
    <t>a_000042_specialattributes_snp_ext</t>
  </si>
  <si>
    <t>internal_dul_sidec_dspc.t_core_specialattributes</t>
  </si>
  <si>
    <t>a_000042_specialattributes_diff_ext</t>
  </si>
  <si>
    <t>internal_dul_sidec_dspc.t_core_specialattributes_delta</t>
  </si>
  <si>
    <t>a_000042_status</t>
  </si>
  <si>
    <t>a_000042_status_snp_ext</t>
  </si>
  <si>
    <t>internal_dul_sidec_dspc.t_core_status</t>
  </si>
  <si>
    <t>a_000042_status_diff_ext</t>
  </si>
  <si>
    <t>internal_dul_sidec_dspc.t_core_status_delta</t>
  </si>
  <si>
    <t>a_000042_technicalservice</t>
  </si>
  <si>
    <t>a_000042_technicalservice_snp_ext</t>
  </si>
  <si>
    <t>internal_dul_sidec_dspc.t_core_technicalservice</t>
  </si>
  <si>
    <t>a_000042_technicalservice_diff_ext</t>
  </si>
  <si>
    <t>internal_dul_sidec_dspc.t_core_technicalservice_delta</t>
  </si>
  <si>
    <t>a_000042_termdepend</t>
  </si>
  <si>
    <t>a_000042_termdepend_snp_ext</t>
  </si>
  <si>
    <t>internal_dul_sidec_dspc.t_core_termdepend</t>
  </si>
  <si>
    <t>a_000042_termdepend_diff_ext</t>
  </si>
  <si>
    <t>internal_dul_sidec_dspc.t_core_termdepend_delta</t>
  </si>
  <si>
    <t>a_000042_userinfo</t>
  </si>
  <si>
    <t>a_000042_userinfo_snp_ext</t>
  </si>
  <si>
    <t>internal_dul_sidec_dspc.t_core_userinfo</t>
  </si>
  <si>
    <t>a_000042_userinfo_diff_ext</t>
  </si>
  <si>
    <t>internal_dul_sidec_dspc.t_core_userinfo_delta</t>
  </si>
  <si>
    <t>Название приемника</t>
  </si>
  <si>
    <t>Название поля приемника</t>
  </si>
  <si>
    <t>Тип данных поля приемника</t>
  </si>
  <si>
    <t>Первичный ключ приемника</t>
  </si>
  <si>
    <t>notnull поля приемника</t>
  </si>
  <si>
    <t>Описание поля приемника</t>
  </si>
  <si>
    <t>Название источника</t>
  </si>
  <si>
    <t>Название поля источника</t>
  </si>
  <si>
    <t>Тип данных поля источника</t>
  </si>
  <si>
    <t>Первичный ключ источника</t>
  </si>
  <si>
    <t>notnull поля источника</t>
  </si>
  <si>
    <t>b3050000420001_agreementservice</t>
  </si>
  <si>
    <t>agreementbegindate</t>
  </si>
  <si>
    <t>timestamp without time zone</t>
  </si>
  <si>
    <t>agreementenddate</t>
  </si>
  <si>
    <t>agreementnumber</t>
  </si>
  <si>
    <t>text</t>
  </si>
  <si>
    <t>agreementref_entityid</t>
  </si>
  <si>
    <t>agreementref_entityid_uid</t>
  </si>
  <si>
    <t>uuid</t>
  </si>
  <si>
    <t>agreementtype</t>
  </si>
  <si>
    <t>bpminstanceid</t>
  </si>
  <si>
    <t>branchflag</t>
  </si>
  <si>
    <t>boolean</t>
  </si>
  <si>
    <t>channeltype</t>
  </si>
  <si>
    <t>channeltype_uid</t>
  </si>
  <si>
    <t>client_entityid</t>
  </si>
  <si>
    <t>clientversion</t>
  </si>
  <si>
    <t>createdate</t>
  </si>
  <si>
    <t>department_entityid</t>
  </si>
  <si>
    <t>digitalid</t>
  </si>
  <si>
    <t>divisioncode</t>
  </si>
  <si>
    <t>documentversion</t>
  </si>
  <si>
    <t>enddate</t>
  </si>
  <si>
    <t>error</t>
  </si>
  <si>
    <t>idempotencykey</t>
  </si>
  <si>
    <t>inputtype</t>
  </si>
  <si>
    <t>note</t>
  </si>
  <si>
    <t>object_id</t>
  </si>
  <si>
    <t>object_id_uid</t>
  </si>
  <si>
    <t>offflag</t>
  </si>
  <si>
    <t>smallint</t>
  </si>
  <si>
    <t>officialdoc</t>
  </si>
  <si>
    <t>officialinfo</t>
  </si>
  <si>
    <t>operationdate</t>
  </si>
  <si>
    <t>operationguid</t>
  </si>
  <si>
    <t>refusereason</t>
  </si>
  <si>
    <t>requestdate</t>
  </si>
  <si>
    <t>requestnumber</t>
  </si>
  <si>
    <t>servicetype</t>
  </si>
  <si>
    <t>servicetype_uid</t>
  </si>
  <si>
    <t>signdate</t>
  </si>
  <si>
    <t>signer_entityid</t>
  </si>
  <si>
    <t>signerfullname</t>
  </si>
  <si>
    <t>signidentifier_entityid</t>
  </si>
  <si>
    <t>signtype</t>
  </si>
  <si>
    <t>startdatetime</t>
  </si>
  <si>
    <t>statusfordul_watcher_id</t>
  </si>
  <si>
    <t>statusfordul_watcher_id_uid</t>
  </si>
  <si>
    <t>statusreasonfordul_watcher</t>
  </si>
  <si>
    <t>substatus</t>
  </si>
  <si>
    <t>suspendreason_id</t>
  </si>
  <si>
    <t>sys_lastchangedate</t>
  </si>
  <si>
    <t>syshistnumber</t>
  </si>
  <si>
    <t>bigint</t>
  </si>
  <si>
    <t>syslasthistversion</t>
  </si>
  <si>
    <t>tbcode</t>
  </si>
  <si>
    <t>type</t>
  </si>
  <si>
    <t>usercreate_entityid</t>
  </si>
  <si>
    <t>usercreate_entityid_uid</t>
  </si>
  <si>
    <t>userfirsthand_entityid</t>
  </si>
  <si>
    <t>usersecondhand_entityid</t>
  </si>
  <si>
    <t>valuedate</t>
  </si>
  <si>
    <t>ctl_action</t>
  </si>
  <si>
    <t>ctl_loading</t>
  </si>
  <si>
    <t>ctl_validfrom</t>
  </si>
  <si>
    <t>info_system_id</t>
  </si>
  <si>
    <t>info_system_inst_cd</t>
  </si>
  <si>
    <t>info_system_type_cd</t>
  </si>
  <si>
    <t>input_file_id</t>
  </si>
  <si>
    <t>input_package_id</t>
  </si>
  <si>
    <t>workflow_run_id</t>
  </si>
  <si>
    <t>b3050000420002_baseagreement</t>
  </si>
  <si>
    <t>agreementtype_uid</t>
  </si>
  <si>
    <t>begindate</t>
  </si>
  <si>
    <t>changedate</t>
  </si>
  <si>
    <t>client_entityid_uid</t>
  </si>
  <si>
    <t>closedate</t>
  </si>
  <si>
    <t>divisioncode_uid</t>
  </si>
  <si>
    <t>inn</t>
  </si>
  <si>
    <t>number_</t>
  </si>
  <si>
    <t>b3050000420003_individualparams</t>
  </si>
  <si>
    <t>aggregateroot_id</t>
  </si>
  <si>
    <t>agreementdate</t>
  </si>
  <si>
    <t>calcid</t>
  </si>
  <si>
    <t>pkpref_entityid</t>
  </si>
  <si>
    <t>service_id</t>
  </si>
  <si>
    <t>b3050000420004_nsoadditionalinfo</t>
  </si>
  <si>
    <t>calculatemethod</t>
  </si>
  <si>
    <t>closecalculatetype</t>
  </si>
  <si>
    <t>idaccountnumber</t>
  </si>
  <si>
    <t>idaccountnumber_uid</t>
  </si>
  <si>
    <t>isarchivedeal</t>
  </si>
  <si>
    <t>payonaccountclosure</t>
  </si>
  <si>
    <t>product_id</t>
  </si>
  <si>
    <t>rkoaccountnumber</t>
  </si>
  <si>
    <t>systemname</t>
  </si>
  <si>
    <t>b3050000420005_paymentdetails</t>
  </si>
  <si>
    <t>amount</t>
  </si>
  <si>
    <t>numeric(38,10)</t>
  </si>
  <si>
    <t>amountrub</t>
  </si>
  <si>
    <t>currencycode</t>
  </si>
  <si>
    <t>currencycode_uid</t>
  </si>
  <si>
    <t>documentnumber</t>
  </si>
  <si>
    <t>documenttype</t>
  </si>
  <si>
    <t>operationdto</t>
  </si>
  <si>
    <t>operationid</t>
  </si>
  <si>
    <t>operationtypecode</t>
  </si>
  <si>
    <t>operationtypecode_uid</t>
  </si>
  <si>
    <t>paymentdocid</t>
  </si>
  <si>
    <t>priority</t>
  </si>
  <si>
    <t>purpose</t>
  </si>
  <si>
    <t>receivermoduleid</t>
  </si>
  <si>
    <t>registerid</t>
  </si>
  <si>
    <t>registerid_uid</t>
  </si>
  <si>
    <t>requestid</t>
  </si>
  <si>
    <t>serviceid</t>
  </si>
  <si>
    <t>taxdetailstype</t>
  </si>
  <si>
    <t>technicalservice_id</t>
  </si>
  <si>
    <t>technicalservice_id_uid</t>
  </si>
  <si>
    <t>uin</t>
  </si>
  <si>
    <t>b3050000420006_paymentperiod</t>
  </si>
  <si>
    <t>code</t>
  </si>
  <si>
    <t>name</t>
  </si>
  <si>
    <t>b3050000420007_product</t>
  </si>
  <si>
    <t>agreement_entityid</t>
  </si>
  <si>
    <t>agreement_entityid_uid</t>
  </si>
  <si>
    <t>contractbegindate</t>
  </si>
  <si>
    <t>contractground_id</t>
  </si>
  <si>
    <t>duration</t>
  </si>
  <si>
    <t>goldproduct</t>
  </si>
  <si>
    <t>goldproductremovedate</t>
  </si>
  <si>
    <t>isresident</t>
  </si>
  <si>
    <t>notes</t>
  </si>
  <si>
    <t>paymentperiod_id</t>
  </si>
  <si>
    <t>paymentperiod_id_uid</t>
  </si>
  <si>
    <t>productkind_id</t>
  </si>
  <si>
    <t>productkind_id_uid</t>
  </si>
  <si>
    <t>productnumber</t>
  </si>
  <si>
    <t>productrate_entityid</t>
  </si>
  <si>
    <t>producttaxrate_entityid</t>
  </si>
  <si>
    <t>producttype</t>
  </si>
  <si>
    <t>producttype_uid</t>
  </si>
  <si>
    <t>rate_entityid</t>
  </si>
  <si>
    <t>taxrate_entityid</t>
  </si>
  <si>
    <t>b3050000420008_productkind</t>
  </si>
  <si>
    <t>isreplenishable</t>
  </si>
  <si>
    <t>isstructural</t>
  </si>
  <si>
    <t>numberdaysforreplenishment</t>
  </si>
  <si>
    <t>typecondition</t>
  </si>
  <si>
    <t>b3050000420009_productlegacyadditionalinformation</t>
  </si>
  <si>
    <t>isaccountsexistinlegacy</t>
  </si>
  <si>
    <t>isregistermigratedinlegacy</t>
  </si>
  <si>
    <t>isregisterupdatedinppc</t>
  </si>
  <si>
    <t>isupdatedinppc</t>
  </si>
  <si>
    <t>legacyproductid</t>
  </si>
  <si>
    <t>b3050000420010_productservice</t>
  </si>
  <si>
    <t>checkingaccountnumber</t>
  </si>
  <si>
    <t>contractdate</t>
  </si>
  <si>
    <t>contractnumber</t>
  </si>
  <si>
    <t>debitdate</t>
  </si>
  <si>
    <t>offertype</t>
  </si>
  <si>
    <t>offertype_uid</t>
  </si>
  <si>
    <t>paymentperiodcode</t>
  </si>
  <si>
    <t>product_entityid</t>
  </si>
  <si>
    <t>product_entityid_uid</t>
  </si>
  <si>
    <t>productbegindate</t>
  </si>
  <si>
    <t>productcode</t>
  </si>
  <si>
    <t>productenddate</t>
  </si>
  <si>
    <t>productid</t>
  </si>
  <si>
    <t>rate</t>
  </si>
  <si>
    <t>replenishmenttype</t>
  </si>
  <si>
    <t>subscribername</t>
  </si>
  <si>
    <t>taxrate</t>
  </si>
  <si>
    <t>b3050000420012_register</t>
  </si>
  <si>
    <t>accountid</t>
  </si>
  <si>
    <t>product_id_uid</t>
  </si>
  <si>
    <t>registernumber</t>
  </si>
  <si>
    <t>typeregister</t>
  </si>
  <si>
    <t>typeregister_uid</t>
  </si>
  <si>
    <t>b3050000420013_specialattributes</t>
  </si>
  <si>
    <t>controlbs</t>
  </si>
  <si>
    <t>specialcode</t>
  </si>
  <si>
    <t>specialcode_uid</t>
  </si>
  <si>
    <t>b3050000420014_status</t>
  </si>
  <si>
    <t>description</t>
  </si>
  <si>
    <t>initial_</t>
  </si>
  <si>
    <t>stakeholder_id</t>
  </si>
  <si>
    <t>statustype</t>
  </si>
  <si>
    <t>b3050000420015_technicalservice</t>
  </si>
  <si>
    <t>initialclientservice_entityid</t>
  </si>
  <si>
    <t>parentservice_entityid</t>
  </si>
  <si>
    <t>b3050000420016_userinfo</t>
  </si>
  <si>
    <t>fullname</t>
  </si>
  <si>
    <t>login</t>
  </si>
  <si>
    <t>message</t>
  </si>
  <si>
    <t>b3050000420017_interestrate</t>
  </si>
  <si>
    <t>object_id_param_uid</t>
  </si>
  <si>
    <t>ratekind</t>
  </si>
  <si>
    <t>ratekind_uid</t>
  </si>
  <si>
    <t>ratetariff_id</t>
  </si>
  <si>
    <t>b3050000420018_ratetariff</t>
  </si>
  <si>
    <t>tariffkind</t>
  </si>
  <si>
    <t>b3050000420019_amountdepend</t>
  </si>
  <si>
    <t>calculatedrateref_entityid</t>
  </si>
  <si>
    <t>calculatedrateref_rootentityid</t>
  </si>
  <si>
    <t>ratelink_id</t>
  </si>
  <si>
    <t>ratelink_id_uid</t>
  </si>
  <si>
    <t>b3050000420020_calculatedonamount</t>
  </si>
  <si>
    <t>indicator_</t>
  </si>
  <si>
    <t>indicator_uid</t>
  </si>
  <si>
    <t>maxratelimit</t>
  </si>
  <si>
    <t>minratelimit</t>
  </si>
  <si>
    <t>operation</t>
  </si>
  <si>
    <t>ratio</t>
  </si>
  <si>
    <t>b3050000420021_calculateratestructure</t>
  </si>
  <si>
    <t>b3050000420022_termdepend</t>
  </si>
  <si>
    <t>term</t>
  </si>
  <si>
    <t>integer</t>
  </si>
  <si>
    <t>b3050000420025_productrecallcondition</t>
  </si>
  <si>
    <t>productrecallrate_entityid</t>
  </si>
  <si>
    <t>recalldate</t>
  </si>
  <si>
    <t>recallrate</t>
  </si>
  <si>
    <t>b3050000420026_depositadditionalinfo</t>
  </si>
  <si>
    <t>depositaccountname</t>
  </si>
  <si>
    <t>firstproduct_entityid</t>
  </si>
  <si>
    <t>firstproduct_entityid_uid</t>
  </si>
  <si>
    <t>interestdeductionaccount</t>
  </si>
  <si>
    <t>maxamount</t>
  </si>
  <si>
    <t>maxreplenishmentamount</t>
  </si>
  <si>
    <t>minamount</t>
  </si>
  <si>
    <t>minreplenishmentamount</t>
  </si>
  <si>
    <t>newproduct_entityid</t>
  </si>
  <si>
    <t>newproduct_entityid_uid</t>
  </si>
  <si>
    <t>partialamounteditability</t>
  </si>
  <si>
    <t>partialrecallrate_entityid</t>
  </si>
  <si>
    <t>possibilitypartialrefund</t>
  </si>
  <si>
    <t>recoveryrate_entityid</t>
  </si>
  <si>
    <t>stockexchange</t>
  </si>
  <si>
    <t>trustmanagementname</t>
  </si>
  <si>
    <t>b3050000420027_productaccount</t>
  </si>
  <si>
    <t>accountnumber</t>
  </si>
  <si>
    <t>accounttype</t>
  </si>
  <si>
    <t>bankbrokerswiftcode</t>
  </si>
  <si>
    <t>bankname</t>
  </si>
  <si>
    <t>bankswiftaddress</t>
  </si>
  <si>
    <t>bankswiftcode</t>
  </si>
  <si>
    <t>bankswiftname</t>
  </si>
  <si>
    <t>bic</t>
  </si>
  <si>
    <t>corraccountnumber</t>
  </si>
  <si>
    <t>ibancode</t>
  </si>
  <si>
    <t>issbrf</t>
  </si>
  <si>
    <t>kbk</t>
  </si>
  <si>
    <t>kpp</t>
  </si>
  <si>
    <t>namebeneficiary</t>
  </si>
  <si>
    <t>namecorrespondent</t>
  </si>
  <si>
    <t>oktmo</t>
  </si>
  <si>
    <t>orgname</t>
  </si>
  <si>
    <t>b3050000420028_additionaltechnicaldata</t>
  </si>
  <si>
    <t>begincalcperiod</t>
  </si>
  <si>
    <t>endcalcperiod</t>
  </si>
  <si>
    <t>b3050000420029_planservice</t>
  </si>
  <si>
    <t>parentserviceid_entityid</t>
  </si>
  <si>
    <t>planstartdate</t>
  </si>
  <si>
    <t>rundate</t>
  </si>
  <si>
    <t>service_entityid</t>
  </si>
  <si>
    <t>service_entityid_uid</t>
  </si>
  <si>
    <t>typeplanservice</t>
  </si>
  <si>
    <t>typeplanservice_uid</t>
  </si>
  <si>
    <t>uodprocedure_entityid</t>
  </si>
  <si>
    <t>b3050000420030_productsettings</t>
  </si>
  <si>
    <t>daysbeforereturn</t>
  </si>
  <si>
    <t>daysforreplenishment</t>
  </si>
  <si>
    <t>daysneedforrecallrequest</t>
  </si>
  <si>
    <t>ispartialrecallable</t>
  </si>
  <si>
    <t>isrecallable</t>
  </si>
  <si>
    <t>Номер таблицы</t>
  </si>
  <si>
    <t>Имя таблицы</t>
  </si>
  <si>
    <t>Описание таблицы</t>
  </si>
  <si>
    <t>generated on 2024-11-30 16:29:31</t>
  </si>
  <si>
    <t>Сервис создания соглашения</t>
  </si>
  <si>
    <t>Базовый класс соглашений</t>
  </si>
  <si>
    <t>Доп. поля для индивидуальных депозитов</t>
  </si>
  <si>
    <t>Расширение для НСО</t>
  </si>
  <si>
    <t>Платежные данные</t>
  </si>
  <si>
    <t>Периодичность выплаты процентов</t>
  </si>
  <si>
    <t>Класс продуктов</t>
  </si>
  <si>
    <t>Виды продуктов</t>
  </si>
  <si>
    <t>Класс дополнительной информации из ЕКС или ППРБ 3g</t>
  </si>
  <si>
    <t>Сервис создания продукта</t>
  </si>
  <si>
    <t>Продуктовый регистр</t>
  </si>
  <si>
    <t>Структура для хранения спец атрибутов</t>
  </si>
  <si>
    <t>Таблица статусов</t>
  </si>
  <si>
    <t>Технические сервисы</t>
  </si>
  <si>
    <t>Информация о пользователях</t>
  </si>
  <si>
    <t>Процентные ставки</t>
  </si>
  <si>
    <t>Структура для хранения массива ставок в зависимости от остатка</t>
  </si>
  <si>
    <t>Структура для хранения массива плавающих ставок с зависимостью от остатка</t>
  </si>
  <si>
    <t>Структура для правила расчета плавающих ставок</t>
  </si>
  <si>
    <t>Структура для хранения массива ставок в зависимости от срока</t>
  </si>
  <si>
    <t>Доп. поля для отзываемого продукта</t>
  </si>
  <si>
    <t>Расширение для Депозитов</t>
  </si>
  <si>
    <t>Счета продукта</t>
  </si>
  <si>
    <t>Дополнительные данные для технических сервисов</t>
  </si>
  <si>
    <t>Плановый сервис</t>
  </si>
  <si>
    <t>Настройки для продуктов</t>
  </si>
  <si>
    <t>seek</t>
  </si>
  <si>
    <t>table</t>
  </si>
  <si>
    <t>column</t>
  </si>
  <si>
    <t>datatype</t>
  </si>
  <si>
    <t>notnullsource</t>
  </si>
  <si>
    <t>pk</t>
  </si>
  <si>
    <t>comment</t>
  </si>
  <si>
    <t>VLOOKUP("t_core_"&amp;MID([@table]; 16; 100)&amp;"."&amp;[@column]; pdm_table[[PDM_KEY]:[label5]]; 7; FALSE)</t>
  </si>
  <si>
    <t>Дата соглашения</t>
  </si>
  <si>
    <t>Дата закрытия соглашения</t>
  </si>
  <si>
    <t>Номер соглашения</t>
  </si>
  <si>
    <t>Ссылка на соглашение</t>
  </si>
  <si>
    <t>Тип соглашения</t>
  </si>
  <si>
    <t>Id инстанс BPM</t>
  </si>
  <si>
    <t>Признак того, что клиент является филиалом, а не головой</t>
  </si>
  <si>
    <t>Канал поступления</t>
  </si>
  <si>
    <t>Ссылка на клиента</t>
  </si>
  <si>
    <t>Версия клиента</t>
  </si>
  <si>
    <t>Дата создания сервиса</t>
  </si>
  <si>
    <t>Ссылка на подразделение (ВСП)</t>
  </si>
  <si>
    <t>Ссылка на договор ДБО</t>
  </si>
  <si>
    <t>Код(subdivisionCode) подразделения из справочника Division</t>
  </si>
  <si>
    <t>Версия документа</t>
  </si>
  <si>
    <t>Дата окончания сервиса</t>
  </si>
  <si>
    <t>Ошибка</t>
  </si>
  <si>
    <t>Ключ идемпотентности</t>
  </si>
  <si>
    <t>Способ ввода</t>
  </si>
  <si>
    <t>Примечание</t>
  </si>
  <si>
    <t>Прикладной ID объекта</t>
  </si>
  <si>
    <t>Признак деактивации записи</t>
  </si>
  <si>
    <t>Документ, на основании которого оператор действует</t>
  </si>
  <si>
    <t>Должность оператора, выполняющего запрос</t>
  </si>
  <si>
    <t>Дата операционного дня</t>
  </si>
  <si>
    <t>GUID операции</t>
  </si>
  <si>
    <t>Причина отмены</t>
  </si>
  <si>
    <t>Дата запроса</t>
  </si>
  <si>
    <t>Номер запроса</t>
  </si>
  <si>
    <t>Тип сервиса</t>
  </si>
  <si>
    <t>Дата подписания</t>
  </si>
  <si>
    <t>Ссылка на подписанта</t>
  </si>
  <si>
    <t>Официальное имя подписавшего клиента</t>
  </si>
  <si>
    <t>Идентификатор подписи в ЕСМ</t>
  </si>
  <si>
    <t>Тип подписи приходит из ЕФС</t>
  </si>
  <si>
    <t>Дата старта процесса</t>
  </si>
  <si>
    <t>Статус по наблюдателю: dul_watcher. Id: 1</t>
  </si>
  <si>
    <t>Причина установки статуса по наблюдателю: dul_watcher. Id: 1</t>
  </si>
  <si>
    <t>Система, от которой ожидаем действий</t>
  </si>
  <si>
    <t>Причина приостановления</t>
  </si>
  <si>
    <t>System attribute: date of the last modification</t>
  </si>
  <si>
    <t>Версия агрегата в момент историцирования</t>
  </si>
  <si>
    <t>Версия историцирования объекта</t>
  </si>
  <si>
    <t>Код филиала (тербанк)</t>
  </si>
  <si>
    <t>Дискриминатор классов</t>
  </si>
  <si>
    <t>Ссылка на пользователя, создавшего заявление</t>
  </si>
  <si>
    <t>Ссылка на первую руку - контроль проверок</t>
  </si>
  <si>
    <t>Ссылка на вторую руку - контроль заявления</t>
  </si>
  <si>
    <t>Дата валютирования</t>
  </si>
  <si>
    <t>Дата начала</t>
  </si>
  <si>
    <t>Дата изменения</t>
  </si>
  <si>
    <t>Дата закрытия</t>
  </si>
  <si>
    <t>Дата окончания</t>
  </si>
  <si>
    <t>ИНН клиента</t>
  </si>
  <si>
    <t>ссылка на корень агрегата</t>
  </si>
  <si>
    <t>Дата начала соглашения</t>
  </si>
  <si>
    <t>ИД финансового калькулятора</t>
  </si>
  <si>
    <t>Ссылка на ПКП</t>
  </si>
  <si>
    <t>Соглашение</t>
  </si>
  <si>
    <t>Признак расчета процентов</t>
  </si>
  <si>
    <t>Признак начисления процентов при закрытии</t>
  </si>
  <si>
    <t>id договора в системе содержащий счет</t>
  </si>
  <si>
    <t>Признак архивной сделки</t>
  </si>
  <si>
    <t>Выплата при закрытии счета</t>
  </si>
  <si>
    <t>Номер счета поддержания НСО</t>
  </si>
  <si>
    <t>Наименование системы содержащей счет</t>
  </si>
  <si>
    <t>Сумма</t>
  </si>
  <si>
    <t>Сумма в рублях</t>
  </si>
  <si>
    <t>Код валюты</t>
  </si>
  <si>
    <t>Номер документа</t>
  </si>
  <si>
    <t>Тип документа</t>
  </si>
  <si>
    <t>Сериализованный List OperationDto от другой фабрики для АЕ</t>
  </si>
  <si>
    <t>Идентификатор операции</t>
  </si>
  <si>
    <t>Код типа операции</t>
  </si>
  <si>
    <t>Идентификатор платежного документа</t>
  </si>
  <si>
    <t>Очередность платежа</t>
  </si>
  <si>
    <t>Назначение платежа</t>
  </si>
  <si>
    <t>Имя фабрики обработавшей платеж</t>
  </si>
  <si>
    <t>Идентификатор регистра</t>
  </si>
  <si>
    <t>Идентификатор запроса в PGW</t>
  </si>
  <si>
    <t>Идентификатор сервиса</t>
  </si>
  <si>
    <t>Тип налогового платежа</t>
  </si>
  <si>
    <t>Уникальный идентификатор начисления</t>
  </si>
  <si>
    <t>Код</t>
  </si>
  <si>
    <t>Наименование</t>
  </si>
  <si>
    <t>Дата начала действия продукта</t>
  </si>
  <si>
    <t>Фактическая дата закрытия продукта</t>
  </si>
  <si>
    <t>Дата заключения договора</t>
  </si>
  <si>
    <t>Тип договора основания</t>
  </si>
  <si>
    <t>Дата и время создания сущности</t>
  </si>
  <si>
    <t>Срок</t>
  </si>
  <si>
    <t>Дата окончания действия продукта</t>
  </si>
  <si>
    <t>Признак золотого продукта</t>
  </si>
  <si>
    <t>Дата снятия Признака золотого продукта</t>
  </si>
  <si>
    <t>Признак резидентства</t>
  </si>
  <si>
    <t>Дополнительная информация</t>
  </si>
  <si>
    <t>Вид продукта</t>
  </si>
  <si>
    <t>Номер продукта</t>
  </si>
  <si>
    <t>Процентная ставка</t>
  </si>
  <si>
    <t>Тип продукта</t>
  </si>
  <si>
    <t>Процентная ставка налога</t>
  </si>
  <si>
    <t>Возможность пополнения</t>
  </si>
  <si>
    <t>Признак структурного депозита, если true -  депозит структурный(DCD), false - не структурный</t>
  </si>
  <si>
    <t>Кол-во дней для пополнения</t>
  </si>
  <si>
    <t>Тип условий</t>
  </si>
  <si>
    <t>Признак наличия счетов в ЕКС</t>
  </si>
  <si>
    <t>Признак миграции регистра в ЕКС</t>
  </si>
  <si>
    <t>Признак обновления регистров в ППК</t>
  </si>
  <si>
    <t>Признак обновления legacy ID в ППК</t>
  </si>
  <si>
    <t>id продукта 3-го поколения</t>
  </si>
  <si>
    <t>Ссылка на  продукт</t>
  </si>
  <si>
    <t>Дата продукта</t>
  </si>
  <si>
    <t>Дата списания</t>
  </si>
  <si>
    <t>Тип коммерческого предложения</t>
  </si>
  <si>
    <t>Продукт</t>
  </si>
  <si>
    <t>Код имени продукта</t>
  </si>
  <si>
    <t>ID продукта</t>
  </si>
  <si>
    <t>Тип пополнения</t>
  </si>
  <si>
    <t>ФИО подписанта</t>
  </si>
  <si>
    <t>Единый идентификатор счета</t>
  </si>
  <si>
    <t>Номер счета регистра</t>
  </si>
  <si>
    <t>тип регистра</t>
  </si>
  <si>
    <t>Признак контроля Банковское Сопровождение</t>
  </si>
  <si>
    <t>Код спец. признака продукта</t>
  </si>
  <si>
    <t>Код статуса</t>
  </si>
  <si>
    <t>Описание статуса</t>
  </si>
  <si>
    <t>Является ли статус дефолтным при создании объекта</t>
  </si>
  <si>
    <t>Название статуса</t>
  </si>
  <si>
    <t>Ссылка на наблюдателя</t>
  </si>
  <si>
    <t>Тип базового класса</t>
  </si>
  <si>
    <t>Клиентский сервис - инициатор</t>
  </si>
  <si>
    <t>Родительский сервис</t>
  </si>
  <si>
    <t>Типы технических сервисов</t>
  </si>
  <si>
    <t>ФИО</t>
  </si>
  <si>
    <t>Логин пользователя</t>
  </si>
  <si>
    <t>Сообщение пользователя</t>
  </si>
  <si>
    <t>Табельный номер</t>
  </si>
  <si>
    <t>Дата начала действия тарифа</t>
  </si>
  <si>
    <t>Вид ставки</t>
  </si>
  <si>
    <t>Вид тарифа</t>
  </si>
  <si>
    <t>Остаток</t>
  </si>
  <si>
    <t>Ссылка на плавающие ставки</t>
  </si>
  <si>
    <t>индикатор</t>
  </si>
  <si>
    <t>Верхняя граница ставки</t>
  </si>
  <si>
    <t>Нижняя граница ставки</t>
  </si>
  <si>
    <t>Тип операции</t>
  </si>
  <si>
    <t>Коэффициент</t>
  </si>
  <si>
    <t>Дата отзыва</t>
  </si>
  <si>
    <t>Ставка отзыва</t>
  </si>
  <si>
    <t>Предельная дата перечисления средств</t>
  </si>
  <si>
    <t>Наименование депозитного счета</t>
  </si>
  <si>
    <t>Ссылка на первый продукт</t>
  </si>
  <si>
    <t>Счет для списания излишне выплаченных процентов</t>
  </si>
  <si>
    <t>Максимальная сумма депозита</t>
  </si>
  <si>
    <t>Максимальная сумма для единовременного пополнения</t>
  </si>
  <si>
    <t>Минимальная сумма депозита</t>
  </si>
  <si>
    <t>Минимальная сумма для единовременного пополнения</t>
  </si>
  <si>
    <t>Ссылка на новый пролонгированный продукт</t>
  </si>
  <si>
    <t>Возможность изменения суммы частично-досрочного отзыва</t>
  </si>
  <si>
    <t>Ставка частичного отзыва</t>
  </si>
  <si>
    <t>Возможность частично-досрочного отзыва</t>
  </si>
  <si>
    <t>Ставка расторжения при взыскании</t>
  </si>
  <si>
    <t>Биржа</t>
  </si>
  <si>
    <t>Наименование доверительного управления</t>
  </si>
  <si>
    <t>Номер счета</t>
  </si>
  <si>
    <t>Тип счета</t>
  </si>
  <si>
    <t>SWIFT банка-посредника</t>
  </si>
  <si>
    <t>Имя банка-получателя</t>
  </si>
  <si>
    <t>Адрес банка-получателя</t>
  </si>
  <si>
    <t>SWIFT банка-получателя</t>
  </si>
  <si>
    <t>Интернациональное имя банка-получателя</t>
  </si>
  <si>
    <t>Коррсчет банка-получателя</t>
  </si>
  <si>
    <t>Интернациональный номер счета</t>
  </si>
  <si>
    <t>ИНН организации</t>
  </si>
  <si>
    <t>Счет принадлежит сбербанку</t>
  </si>
  <si>
    <t>КБК</t>
  </si>
  <si>
    <t>КПП организации</t>
  </si>
  <si>
    <t>Имя бенефициара</t>
  </si>
  <si>
    <t>Имя корреспондента</t>
  </si>
  <si>
    <t>ОКТМО</t>
  </si>
  <si>
    <t>Имя организации</t>
  </si>
  <si>
    <t>Дата начала расчетного периода</t>
  </si>
  <si>
    <t>Дата окончания расчетного периода</t>
  </si>
  <si>
    <t>Плановая дата запуска сервиса</t>
  </si>
  <si>
    <t>Дата запуска плановой операции</t>
  </si>
  <si>
    <t>Ссылка на исполняемый сервис</t>
  </si>
  <si>
    <t>Кол-во дней между заявлением на Отзыв и Закрытием</t>
  </si>
  <si>
    <t>Кол-во дней необходимых для возможности Отзыва</t>
  </si>
  <si>
    <t>Возможность отзыва</t>
  </si>
  <si>
    <t>Ссылка на справочник Шаблонов продукта</t>
  </si>
  <si>
    <t>t_agr_dep</t>
  </si>
  <si>
    <t>Депозитный договор</t>
  </si>
  <si>
    <t>t_agr_dep$dul</t>
  </si>
  <si>
    <t>Специфические атрибуты депозитного договора</t>
  </si>
  <si>
    <t>t_agr_dep_cust</t>
  </si>
  <si>
    <t>Cвязь договора с клиентом</t>
  </si>
  <si>
    <t>t_agr_dep_fin</t>
  </si>
  <si>
    <t>Финансовые атрибуты депозитного договора</t>
  </si>
  <si>
    <t>t_agr_dep_int_org</t>
  </si>
  <si>
    <t>Подразделение депозитного договора</t>
  </si>
  <si>
    <t>t_agr_dep_purpose_type</t>
  </si>
  <si>
    <t>Назначение депозитного договора</t>
  </si>
  <si>
    <t>t_agr_dep_rate_rule</t>
  </si>
  <si>
    <t>Связь договора и процентной схемы</t>
  </si>
  <si>
    <t>t_agr_dep_stts</t>
  </si>
  <si>
    <t>Статус депозитного договора</t>
  </si>
  <si>
    <t>t_agr_dep_type</t>
  </si>
  <si>
    <t>Тип депозитного договора</t>
  </si>
  <si>
    <t>t_agr_frame</t>
  </si>
  <si>
    <t>Рамочный договор (договор обслуживания)</t>
  </si>
  <si>
    <t>t_agr_frame_cust</t>
  </si>
  <si>
    <t>t_agr_frame_int_org</t>
  </si>
  <si>
    <t>Подразделение рамочного договора</t>
  </si>
  <si>
    <t>t_agr_frame_stts</t>
  </si>
  <si>
    <t>Статус рамочного договора</t>
  </si>
  <si>
    <t>t_agr_frame_type</t>
  </si>
  <si>
    <t>Тип договора обслуживания</t>
  </si>
  <si>
    <t>t_bus_srv</t>
  </si>
  <si>
    <t>Бизнес-Сервис</t>
  </si>
  <si>
    <t>t_bus_srv$dul</t>
  </si>
  <si>
    <t>Специфические атрибуты бизнес-сервиса депозитного договора</t>
  </si>
  <si>
    <t>t_bus_srv_categ_type</t>
  </si>
  <si>
    <t>Категория бизнес-сервиса</t>
  </si>
  <si>
    <t>t_bus_srv_rel_role_type</t>
  </si>
  <si>
    <t>Роль связи сервиса</t>
  </si>
  <si>
    <t>t_bus_srv_related</t>
  </si>
  <si>
    <t>Связь сервиса</t>
  </si>
  <si>
    <t>t_bus_srv_type</t>
  </si>
  <si>
    <t>Тип бизнес-сервиса</t>
  </si>
  <si>
    <t>t_chnl_type</t>
  </si>
  <si>
    <t>Виды каналов</t>
  </si>
  <si>
    <t>t_crncy</t>
  </si>
  <si>
    <t>Валюта</t>
  </si>
  <si>
    <t>t_emp</t>
  </si>
  <si>
    <t>Сотрудники</t>
  </si>
  <si>
    <t>t_emp_idfn</t>
  </si>
  <si>
    <t>Идентификационные признаки сотрудника</t>
  </si>
  <si>
    <t>t_entity_stts</t>
  </si>
  <si>
    <t>Справочник статусов</t>
  </si>
  <si>
    <t>t_info_system</t>
  </si>
  <si>
    <t>справочник систем-источников</t>
  </si>
  <si>
    <t>t_int_org</t>
  </si>
  <si>
    <t>Подразделения СБ РФ</t>
  </si>
  <si>
    <t>t_mkt_idx</t>
  </si>
  <si>
    <t>Рыночный индикатор</t>
  </si>
  <si>
    <t>t_offer_type</t>
  </si>
  <si>
    <t>Вид коммерческого предложения</t>
  </si>
  <si>
    <t>t_optn</t>
  </si>
  <si>
    <t>Операция</t>
  </si>
  <si>
    <t>t_optn_type</t>
  </si>
  <si>
    <t>t_prod</t>
  </si>
  <si>
    <t>t_prod$dul</t>
  </si>
  <si>
    <t>Специфические атрибуты продукта</t>
  </si>
  <si>
    <t>t_rate_rule</t>
  </si>
  <si>
    <t>Процентные схемы по депозитному договору</t>
  </si>
  <si>
    <t>t_rate_rule_param</t>
  </si>
  <si>
    <t>Параметры процентной схемы по депозитному договору</t>
  </si>
  <si>
    <t>t_rate_type</t>
  </si>
  <si>
    <t>Тип ставки</t>
  </si>
  <si>
    <t>t_registry</t>
  </si>
  <si>
    <t>Регистр</t>
  </si>
  <si>
    <t>t_registry_stts</t>
  </si>
  <si>
    <t>Статус регистра</t>
  </si>
  <si>
    <t>t_registry_type</t>
  </si>
  <si>
    <t>Шаблон регистра</t>
  </si>
  <si>
    <t>t_tariff_type</t>
  </si>
  <si>
    <t>Тип тарифа</t>
  </si>
  <si>
    <t>t_time_period_type</t>
  </si>
  <si>
    <t>Периодичность</t>
  </si>
  <si>
    <t>notnull</t>
  </si>
  <si>
    <t>fk</t>
  </si>
  <si>
    <t>reference</t>
  </si>
  <si>
    <t>agr_dep_id</t>
  </si>
  <si>
    <t>id депозитного договора</t>
  </si>
  <si>
    <t>agr_dep_num</t>
  </si>
  <si>
    <t>Номер депозитного договора</t>
  </si>
  <si>
    <t>agr_dep_type_id</t>
  </si>
  <si>
    <t>t_agr_dep_type.agr_dep_type_id</t>
  </si>
  <si>
    <t>agr_frame_id</t>
  </si>
  <si>
    <t>t_agr_frame.agr_frame_id</t>
  </si>
  <si>
    <t>id рамочного соглашения</t>
  </si>
  <si>
    <t>agr_rko_id</t>
  </si>
  <si>
    <t>t_agr_rko.agr_rko_id</t>
  </si>
  <si>
    <t>id договора РКО</t>
  </si>
  <si>
    <t>close_dt</t>
  </si>
  <si>
    <t>date</t>
  </si>
  <si>
    <t>Фактическая дата закрытия депозитного договора</t>
  </si>
  <si>
    <t>create_dt</t>
  </si>
  <si>
    <t>Дата создания</t>
  </si>
  <si>
    <t>crncy_id</t>
  </si>
  <si>
    <t>t_crncy.crncy_id</t>
  </si>
  <si>
    <t>id валюты договора</t>
  </si>
  <si>
    <t>expiration_dt</t>
  </si>
  <si>
    <t>Дата окончания действия депозитного договора</t>
  </si>
  <si>
    <t>host_agr_dep_id</t>
  </si>
  <si>
    <t>id депозитного договора в источнике</t>
  </si>
  <si>
    <t>open_dt</t>
  </si>
  <si>
    <t>Дата начала действия депозитного договора</t>
  </si>
  <si>
    <t>prod_id</t>
  </si>
  <si>
    <t>t_prod.prod_id</t>
  </si>
  <si>
    <t>id продукта</t>
  </si>
  <si>
    <t>rko_coa_num</t>
  </si>
  <si>
    <t>Номер счета договора РКО</t>
  </si>
  <si>
    <t>sign_dt</t>
  </si>
  <si>
    <t>Дата заключения депозитного договора</t>
  </si>
  <si>
    <t>t_agr_dep.agr_dep_id</t>
  </si>
  <si>
    <t>dul$agr_dep_desc</t>
  </si>
  <si>
    <t>Дополнительная информация по сделке</t>
  </si>
  <si>
    <t>dul$agr_dep_purpose_type_id</t>
  </si>
  <si>
    <t>t_agr_dep_purpose_type.agr_dep_purpose_type_id</t>
  </si>
  <si>
    <t>id назначения депозитного договора</t>
  </si>
  <si>
    <t>dul$first_agr_dep_id</t>
  </si>
  <si>
    <t>id первого депозитного договора</t>
  </si>
  <si>
    <t>dul$host_ext_id</t>
  </si>
  <si>
    <t>dul$master_flag_del_dt</t>
  </si>
  <si>
    <t>Дата последнего снятия признака золотого продукта</t>
  </si>
  <si>
    <t>dul$new_agr_dep_id</t>
  </si>
  <si>
    <t>id нового пролонгированого депозитного договора</t>
  </si>
  <si>
    <t>dul$partial_refund_amount_change_flag</t>
  </si>
  <si>
    <t>dul$partial_refund_flag</t>
  </si>
  <si>
    <t>start_dt</t>
  </si>
  <si>
    <t>Дата начала действия</t>
  </si>
  <si>
    <t>end_dt</t>
  </si>
  <si>
    <t>Дата окончания действия</t>
  </si>
  <si>
    <t>cust_id</t>
  </si>
  <si>
    <t>t_cust.cust_id</t>
  </si>
  <si>
    <t>id клиента</t>
  </si>
  <si>
    <t>agr_dep_crncy_amt</t>
  </si>
  <si>
    <t>numeric</t>
  </si>
  <si>
    <t>Сумма в валюте договора</t>
  </si>
  <si>
    <t>duration_days_val</t>
  </si>
  <si>
    <t>Длительность в днях</t>
  </si>
  <si>
    <t>intrst_pymnt_time_period_id</t>
  </si>
  <si>
    <t>t_time_period_type.time_period_type_id</t>
  </si>
  <si>
    <t>max_agr_dep_amt</t>
  </si>
  <si>
    <t>max_replenishment_amt</t>
  </si>
  <si>
    <t>min_agr_dep_amt</t>
  </si>
  <si>
    <t>min_replenishment_amt</t>
  </si>
  <si>
    <t>int_org_id</t>
  </si>
  <si>
    <t>t_int_org.int_org_id</t>
  </si>
  <si>
    <t>id подразделения</t>
  </si>
  <si>
    <t>agr_dep_purpose_type_id</t>
  </si>
  <si>
    <t>agr_dep_purpose_type_cd</t>
  </si>
  <si>
    <t>Код назначения депозитного договора</t>
  </si>
  <si>
    <t>agr_dep_purpose_type_name</t>
  </si>
  <si>
    <t>Наименование назначения депозитного договора</t>
  </si>
  <si>
    <t>host_agr_dep_purpose_type_id</t>
  </si>
  <si>
    <t>id назначения депозитного в источнике</t>
  </si>
  <si>
    <t>rate_rule_id</t>
  </si>
  <si>
    <t>t_rate_rule.rate_rule_id</t>
  </si>
  <si>
    <t>id процентной схемы</t>
  </si>
  <si>
    <t>rate_type_id</t>
  </si>
  <si>
    <t>t_rate_type.rate_type_id</t>
  </si>
  <si>
    <t>id типа ставки</t>
  </si>
  <si>
    <t>agr_dep_stts_id</t>
  </si>
  <si>
    <t>t_entity_stts.entity_stts_id</t>
  </si>
  <si>
    <t>id статуса</t>
  </si>
  <si>
    <t>id типа депозитного договора</t>
  </si>
  <si>
    <t>agr_dep_type_cd</t>
  </si>
  <si>
    <t>Код типа депозитного договора</t>
  </si>
  <si>
    <t>agr_dep_type_desc</t>
  </si>
  <si>
    <t>Описание типа депозитного договора</t>
  </si>
  <si>
    <t>host_agr_dep_type_id</t>
  </si>
  <si>
    <t>id типа депозитного договора в источнике</t>
  </si>
  <si>
    <t>id рамочного договора</t>
  </si>
  <si>
    <t>agr_frame_desc</t>
  </si>
  <si>
    <t>Дополнительная информация по рамочному договору</t>
  </si>
  <si>
    <t>agr_frame_num</t>
  </si>
  <si>
    <t>Номер рамочного договора</t>
  </si>
  <si>
    <t>agr_frame_type_id</t>
  </si>
  <si>
    <t>t_agr_frame_type.agr_frame_type_id</t>
  </si>
  <si>
    <t>id типа рамочного договора</t>
  </si>
  <si>
    <t>host_agr_frame_id</t>
  </si>
  <si>
    <t>id рамочного договора в источнике</t>
  </si>
  <si>
    <t>agr_frame_stts_id</t>
  </si>
  <si>
    <t>id типа договора обслуживания</t>
  </si>
  <si>
    <t>agr_frame_type_cd</t>
  </si>
  <si>
    <t>Код типа договора обслуживания</t>
  </si>
  <si>
    <t>agr_frame_type_desc</t>
  </si>
  <si>
    <t>Описание типа договора обслуживания</t>
  </si>
  <si>
    <t>host_agr_frame_type_id</t>
  </si>
  <si>
    <t>id типа договора обслуживания в источнике</t>
  </si>
  <si>
    <t>bus_srv_id</t>
  </si>
  <si>
    <t>id сервиса</t>
  </si>
  <si>
    <t>bus_srv_categ_type_id</t>
  </si>
  <si>
    <t>t_bus_srv_categ_type.bus_srv_categ_type_id</t>
  </si>
  <si>
    <t>Категория сервиса</t>
  </si>
  <si>
    <t>bus_srv_dt</t>
  </si>
  <si>
    <t>Дата выполнения</t>
  </si>
  <si>
    <t>bus_srv_stts_id</t>
  </si>
  <si>
    <t>Статус сервиса</t>
  </si>
  <si>
    <t>bus_srv_type_id</t>
  </si>
  <si>
    <t>t_bus_srv_type.bus_srv_type_id</t>
  </si>
  <si>
    <t>chnl_type_id</t>
  </si>
  <si>
    <t>t_chnl_type.chnl_type_id</t>
  </si>
  <si>
    <t>Тип канала</t>
  </si>
  <si>
    <t>create_emp_id</t>
  </si>
  <si>
    <t>t_emp.emp_id</t>
  </si>
  <si>
    <t>id сотрудника, создавшего сервис</t>
  </si>
  <si>
    <t>host_bus_srv_id</t>
  </si>
  <si>
    <t>id сервиса в источнике</t>
  </si>
  <si>
    <t>t_bus_srv.bus_srv_id</t>
  </si>
  <si>
    <t>dul$host_calypso_agr_id</t>
  </si>
  <si>
    <t>id структурной сделки в АС Calypso</t>
  </si>
  <si>
    <t>dul$host_fc_calc_id</t>
  </si>
  <si>
    <t>id финансового калькулятора (id расчета в АС ФК)</t>
  </si>
  <si>
    <t>dul$offer_type_id</t>
  </si>
  <si>
    <t>t_offer_type.offer_type_id</t>
  </si>
  <si>
    <t>dul$refuse_reason_desc</t>
  </si>
  <si>
    <t>Причина отмены сервиса</t>
  </si>
  <si>
    <t>id категории бизнес-сервиса</t>
  </si>
  <si>
    <t>bus_srv_categ_type_cd</t>
  </si>
  <si>
    <t>Код категории бизнес-сервиса</t>
  </si>
  <si>
    <t>bus_srv_categ_type_desc</t>
  </si>
  <si>
    <t>Описание категории бизнес-сервиса</t>
  </si>
  <si>
    <t>host_bus_srv_categ_type_id</t>
  </si>
  <si>
    <t>id категории бизнес-сервиса в источнике</t>
  </si>
  <si>
    <t>bus_srv_rel_role_id</t>
  </si>
  <si>
    <t>id роли связи сервиса</t>
  </si>
  <si>
    <t>bus_srv_rel_role_desc</t>
  </si>
  <si>
    <t>Описание роли связи сервиса</t>
  </si>
  <si>
    <t>host_bus_srv_rel_role_id</t>
  </si>
  <si>
    <t>id роли связи сервиса в источнике</t>
  </si>
  <si>
    <t>t_bus_srv_rel_role_type.bus_srv_rel_role_id</t>
  </si>
  <si>
    <t>related_bus_srv_id</t>
  </si>
  <si>
    <t>id связанного сервиса</t>
  </si>
  <si>
    <t>id типа бизнес сервиса</t>
  </si>
  <si>
    <t>bus_srv_type_cd</t>
  </si>
  <si>
    <t>Код типа бизнес сервиса</t>
  </si>
  <si>
    <t>bus_srv_type_desc</t>
  </si>
  <si>
    <t>Описание типа бизнес сервиса</t>
  </si>
  <si>
    <t>host_bus_srv_type_id</t>
  </si>
  <si>
    <t>id типа бизнес сервиса в источнике</t>
  </si>
  <si>
    <t>id типа канала</t>
  </si>
  <si>
    <t>chnl_type_cd</t>
  </si>
  <si>
    <t>Код типа канала</t>
  </si>
  <si>
    <t>chnl_type_desc</t>
  </si>
  <si>
    <t>Описание типа канала</t>
  </si>
  <si>
    <t>host_chnl_type_id</t>
  </si>
  <si>
    <t>id типа канала в источнике</t>
  </si>
  <si>
    <t>id валюты</t>
  </si>
  <si>
    <t>crncy_iso_cd</t>
  </si>
  <si>
    <t>ISO код валюты</t>
  </si>
  <si>
    <t>host_crncy_id</t>
  </si>
  <si>
    <t>id валюты в источнике</t>
  </si>
  <si>
    <t>emp_id</t>
  </si>
  <si>
    <t>id сотрудника</t>
  </si>
  <si>
    <t>host_emp_id</t>
  </si>
  <si>
    <t>id сотрудника в источнике</t>
  </si>
  <si>
    <t>prsnl_num</t>
  </si>
  <si>
    <t>full_name</t>
  </si>
  <si>
    <t>login_name</t>
  </si>
  <si>
    <t>Логин</t>
  </si>
  <si>
    <t>entity_stts_id</t>
  </si>
  <si>
    <t>entity_stts_cd</t>
  </si>
  <si>
    <t>entity_stts_name</t>
  </si>
  <si>
    <t>Наименование статуса</t>
  </si>
  <si>
    <t>entity_stts_type_cd</t>
  </si>
  <si>
    <t>Код типа статуса</t>
  </si>
  <si>
    <t>host_entity_stts_id</t>
  </si>
  <si>
    <t>id статуса в источнике</t>
  </si>
  <si>
    <t>Уникальный идентификатор системы-источника</t>
  </si>
  <si>
    <t>info_system_desc</t>
  </si>
  <si>
    <t>Описание системы-источника</t>
  </si>
  <si>
    <t>Код инстанса системы-источника</t>
  </si>
  <si>
    <t>Тип системы-источника</t>
  </si>
  <si>
    <t>host_int_org_id</t>
  </si>
  <si>
    <t>id подразделения в источнике</t>
  </si>
  <si>
    <t>int_org_num</t>
  </si>
  <si>
    <t>Номер подразделения</t>
  </si>
  <si>
    <t>mkt_idx_id</t>
  </si>
  <si>
    <t>Уникальный идентификатор рыночного индикатора</t>
  </si>
  <si>
    <t>host_mkt_idx_id</t>
  </si>
  <si>
    <t>Уникальный идентификатор рыночного индикатора в источнике</t>
  </si>
  <si>
    <t>mkt_idx_cd</t>
  </si>
  <si>
    <t>Код рыночного индикатора</t>
  </si>
  <si>
    <t>mkt_idx_desc</t>
  </si>
  <si>
    <t>Описание рыночного индикатора</t>
  </si>
  <si>
    <t>mkt_idx_type_id</t>
  </si>
  <si>
    <t>Ссылка на тип рыночного индикатора</t>
  </si>
  <si>
    <t>offer_type_id</t>
  </si>
  <si>
    <t>id типа предложения</t>
  </si>
  <si>
    <t>host_offer_type_id</t>
  </si>
  <si>
    <t>id типа предложения в источнике</t>
  </si>
  <si>
    <t>offer_type_cd</t>
  </si>
  <si>
    <t>Код типа предложения</t>
  </si>
  <si>
    <t>offer_type_desc</t>
  </si>
  <si>
    <t>Описание тип предложения</t>
  </si>
  <si>
    <t>optn_id</t>
  </si>
  <si>
    <t>id операции</t>
  </si>
  <si>
    <t>Валюта операции</t>
  </si>
  <si>
    <t>host_optn_id</t>
  </si>
  <si>
    <t>id операции в источнике</t>
  </si>
  <si>
    <t>optn_amt</t>
  </si>
  <si>
    <t>Сумма операции в валюте операции</t>
  </si>
  <si>
    <t>optn_amt_rub</t>
  </si>
  <si>
    <t>optn_type_id</t>
  </si>
  <si>
    <t>t_optn_type.optn_type_id</t>
  </si>
  <si>
    <t>id типа операции</t>
  </si>
  <si>
    <t>registry_id</t>
  </si>
  <si>
    <t>t_registry.registry_id</t>
  </si>
  <si>
    <t>id регистра</t>
  </si>
  <si>
    <t>host_optn_type_id</t>
  </si>
  <si>
    <t>id типа операции в источнике</t>
  </si>
  <si>
    <t>optn_type_cd</t>
  </si>
  <si>
    <t>optn_type_name</t>
  </si>
  <si>
    <t>Наименование типа операции</t>
  </si>
  <si>
    <t>host_prod_id</t>
  </si>
  <si>
    <t>id продукта в источнике</t>
  </si>
  <si>
    <t>prod_cd</t>
  </si>
  <si>
    <t>Код продукта</t>
  </si>
  <si>
    <t>prod_name</t>
  </si>
  <si>
    <t>Наименование продукта</t>
  </si>
  <si>
    <t>dul$condition_cd</t>
  </si>
  <si>
    <t>dul$recallable_flag</t>
  </si>
  <si>
    <t>dul$partial_recallable_flag</t>
  </si>
  <si>
    <t>dul$replenishable_flag</t>
  </si>
  <si>
    <t>dul$structural_flag</t>
  </si>
  <si>
    <t>Признак структурного депозита (DCD)</t>
  </si>
  <si>
    <t>visibility_start_dt</t>
  </si>
  <si>
    <t>дата начала действия процентной схемы</t>
  </si>
  <si>
    <t>host_rate_rule_id</t>
  </si>
  <si>
    <t>id процентной схемы в системе-источнике</t>
  </si>
  <si>
    <t>tariff_type_id</t>
  </si>
  <si>
    <t>t_tariff_type.tariff_type_id</t>
  </si>
  <si>
    <t>id типа тарифа</t>
  </si>
  <si>
    <t>rate_rule_param_id</t>
  </si>
  <si>
    <t>id параметров процентной схемы</t>
  </si>
  <si>
    <t>agr_dep_rate</t>
  </si>
  <si>
    <t>процентная ставка</t>
  </si>
  <si>
    <t>amount_val</t>
  </si>
  <si>
    <t>значение параметра - остаток</t>
  </si>
  <si>
    <t>cap_rate</t>
  </si>
  <si>
    <t>максимальное значение ставки</t>
  </si>
  <si>
    <t>floor_rate</t>
  </si>
  <si>
    <t>минимальное значение ставки</t>
  </si>
  <si>
    <t>host_rate_rule_param_id</t>
  </si>
  <si>
    <t>id параметров процентной схемы в системе-источника</t>
  </si>
  <si>
    <t>t_mkt_idx.mkt_idx_id</t>
  </si>
  <si>
    <t>id рыночного индикатора</t>
  </si>
  <si>
    <t>operation_cd</t>
  </si>
  <si>
    <t>код типа операции</t>
  </si>
  <si>
    <t>ratio_val</t>
  </si>
  <si>
    <t>значение параметра - коэффициент</t>
  </si>
  <si>
    <t>term_val</t>
  </si>
  <si>
    <t>значение параметра - срок</t>
  </si>
  <si>
    <t>host_rate_type_id</t>
  </si>
  <si>
    <t>id типа ставки в источнике</t>
  </si>
  <si>
    <t>rate_type_desc</t>
  </si>
  <si>
    <t>Описание типа ставки</t>
  </si>
  <si>
    <t>Дата опердня, в которую был открыт регистр</t>
  </si>
  <si>
    <t>prnt_registry_id</t>
  </si>
  <si>
    <t>Дата опердня, в которую был закрыт регистр</t>
  </si>
  <si>
    <t>coa_num</t>
  </si>
  <si>
    <t>Лицевой счет</t>
  </si>
  <si>
    <t>host_registry_id</t>
  </si>
  <si>
    <t>id регистра в источнике</t>
  </si>
  <si>
    <t>registry_type_id</t>
  </si>
  <si>
    <t>t_registry_type.registry_type_id</t>
  </si>
  <si>
    <t>Тип регистра</t>
  </si>
  <si>
    <t>registry_stts_id</t>
  </si>
  <si>
    <t>id типа регистра</t>
  </si>
  <si>
    <t>host_registry_type_id</t>
  </si>
  <si>
    <t>id типа регистра в источнике</t>
  </si>
  <si>
    <t>registry_type_cd</t>
  </si>
  <si>
    <t>Код типа регистра</t>
  </si>
  <si>
    <t>registry_type_desc</t>
  </si>
  <si>
    <t>Описание типа регистра</t>
  </si>
  <si>
    <t>host_tariff_type_id</t>
  </si>
  <si>
    <t>id типа тарифа в источнике</t>
  </si>
  <si>
    <t>tariff_type_cd</t>
  </si>
  <si>
    <t>Код типа тарифа</t>
  </si>
  <si>
    <t>tariff_type_desc</t>
  </si>
  <si>
    <t>Описание типа тарифа</t>
  </si>
  <si>
    <t>time_period_type_id</t>
  </si>
  <si>
    <t>id периодичности</t>
  </si>
  <si>
    <t>host_time_period_type_id</t>
  </si>
  <si>
    <t>id периодичности в источнике</t>
  </si>
  <si>
    <t>time_period_type_cd</t>
  </si>
  <si>
    <t>Код периодичности</t>
  </si>
  <si>
    <t>time_period_type_name</t>
  </si>
  <si>
    <t>Наименование периодичности</t>
  </si>
  <si>
    <t>Блок</t>
  </si>
  <si>
    <t>Целевая таблица</t>
  </si>
  <si>
    <t>Целевое поле</t>
  </si>
  <si>
    <t>Тип данных</t>
  </si>
  <si>
    <t>not null</t>
  </si>
  <si>
    <t>Первичный ключ</t>
  </si>
  <si>
    <t>Внешний ключ</t>
  </si>
  <si>
    <t>Ссылка</t>
  </si>
  <si>
    <t>Описание</t>
  </si>
  <si>
    <t>№ ф.- ист.</t>
  </si>
  <si>
    <t>Таблица-источник</t>
  </si>
  <si>
    <t>Поле-источник</t>
  </si>
  <si>
    <t>Описание трансформации</t>
  </si>
  <si>
    <t>Роль в СОД</t>
  </si>
  <si>
    <t>Параметры</t>
  </si>
  <si>
    <t>Трансформация табличного уровня</t>
  </si>
  <si>
    <t>N-таблица</t>
  </si>
  <si>
    <t>ключ</t>
  </si>
  <si>
    <t>снимок-история</t>
  </si>
  <si>
    <t>select b.*
from $$305stg.b3050000420007_product as b
where 1 = 1 
 and client_entityid_uid is not null</t>
  </si>
  <si>
    <t>начало</t>
  </si>
  <si>
    <t>$$MaxDate</t>
  </si>
  <si>
    <t>конец</t>
  </si>
  <si>
    <t>select b.*
from $$305stg.b3050000420007_product as b
where 1 = 1
 and b.divisioncode_uid is not null
 and trim(coalesce(b.divisioncode, '')) &lt;&gt; ''</t>
  </si>
  <si>
    <t>снимок-снимок с накоплением</t>
  </si>
  <si>
    <t>select
 b.specialcode_uid
 , max(b.specialcode) as specialcode
 , max(b.input_file_id) as input_file_id
 , max(b.info_system_id) as info_system_id
 , max(b.ctl_action) as ctl_action
 , max(b.ctl_validfrom::date) as ctl_validfrom
from $$305stg.b3050000420013_specialattributes as b
where 1 = 1
 and b.specialcode_uid is not null
group by 1</t>
  </si>
  <si>
    <t>select b.*
from $$305stg.b3050000420007_product as b
where 1 = 1
 and b.statusfordul_watcher_id_uid is not null</t>
  </si>
  <si>
    <t>with b as
(
 select
  b.producttype_uid  
  , max(b.producttype) as producttype
  , max(b.input_file_id) as input_file_id
  , max(b.info_system_id) as info_system_id
  , max(b.ctl_action) as ctl_action
  , max(b.ctl_validfrom::date) as ctl_validfrom
 from $$305stg.b3050000420007_product as b
 where 1 = 1
  and b.producttype_uid is not null
 group by 1
)
select
 b.*
 , enums.label
from
 b
 left outer join $$305stg.s305_0999_enums as enums
 on 1 = 1
  and lower(trim(b.producttype)) = lower(trim(enums.value_name))
  and lower(trim(enums.enum_name)) = 'producttype'
  and enums.label is not null</t>
  </si>
  <si>
    <t>label</t>
  </si>
  <si>
    <t>select b.*
from $$305stg.b3050000420002_baseagreement as b
where 1 = 1</t>
  </si>
  <si>
    <t>select b.*
from $$305stg.b3050000420002_baseagreement as b
where 1 = 1
 and b.client_entityid_uid is not null</t>
  </si>
  <si>
    <t>select b.*
from $$305stg.b3050000420002_baseagreement as b
where 1 = 1
 and b.divisioncode_uid is not null
 and trim(coalesce(b.divisioncode, '')) &lt;&gt; ''</t>
  </si>
  <si>
    <t>select b.*
from $$305stg.b3050000420002_baseagreement as b
where 1 = 1
 and b.statusfordul_watcher_id_uid is not null</t>
  </si>
  <si>
    <t>with b as
(
 select
  b.agreementtype_uid
  , max(b.agreementtype) as agreementtype
  , max(b.input_file_id) as input_file_id
  , max(b.info_system_id) as info_system_id
  , max(b.ctl_action) as ctl_action
  , max(b.ctl_validfrom::date) as ctl_validfrom
 from $$305stg.b3050000420002_baseagreement as b
 where 1 = 1
  and b.agreementtype_uid is not null
 group by 1
)
select
 b.*
 , enums.label
from
 b
 left outer join $$305stg.s305_0999_enums as enums
 on 1 = 1
  and lower(trim(b.agreementtype)) = lower(trim(enums.value_name))
  and lower(trim(enums.enum_name)) = 'agreementtype'
  and enums.label is not null</t>
  </si>
  <si>
    <t>'00000000-0000-0000-0000-0000fffffc17'</t>
  </si>
  <si>
    <t>-1001^Сервис создания соглашения</t>
  </si>
  <si>
    <t>select
  b.*
 from $$305stg.b3050000420001_agreementservice as b
 where 1 = 1
  and b.refuseReason is not null</t>
  </si>
  <si>
    <t>refuseReason</t>
  </si>
  <si>
    <t>with b as
(  
 select
  b.servicetype_uid
  , max(b.servicetype) as servicetype
  , max(b.input_file_id) as input_file_id
  , max(b.info_system_id) as info_system_id
  , max(b.ctl_action) as ctl_action
  , max(b.ctl_validfrom::date) as ctl_validfrom
 from $$305stg.b3050000420001_agreementservice as b
 where 1 = 1
  and b.servicetype_uid is not null
 group by 1
)
select
 b.*
 , enums.label
from
 b
 left outer join $$305stg.s305_0999_enums as enums
 on 1 = 1
  and lower(trim(b.servicetype)) = lower(trim(enums.value_name))
  and lower(trim(enums.enum_name)) = 'agreementservicetype'
  and enums.label is not null</t>
  </si>
  <si>
    <t>with src as
(
 select
  b.channeltype_uid
  , max(b.channeltype) as channeltype
  , max(b.input_file_id) as input_file_id
  , max(b.info_system_id) as info_system_id
  , max(b.ctl_action) as ctl_action
  , max(b.ctl_validfrom::date) as ctl_validfrom
 from $$305stg.b3050000420001_agreementservice as b
 where 1 = 1
  and b.channeltype_uid is not null
 group by 1
 union all
 select
  b.channeltype_uid
  , max(b.channeltype) as channeltype
  , max(b.input_file_id) as input_file_id
  , max(b.info_system_id) as info_system_id
  , max(b.ctl_action) as ctl_action
  , max(b.ctl_validfrom::date) as ctl_validfrom
 from $$305stg.b3050000420010_productservice as b
 where 1 = 1
  and b.channeltype_uid is not null
 group by 1
 union all
 select
  b.channeltype_uid
  , max(b.channeltype) as channeltype
  , max(b.input_file_id) as input_file_id
  , max(b.info_system_id) as info_system_id
  , max(b.ctl_action) as ctl_action
  , max(b.ctl_validfrom::date) as ctl_validfrom
 from $$305stg.b3050000420015_technicalservice as b
 where 1 = 1
  and b.channeltype_uid is not null
 group by 1
)
, src_deduplicated as
(
 select 
  b.*
  , row_number() over(partition by b.channeltype_uid order by b.ctl_validfrom desc, b.ctl_action desc, b.input_file_id desc) as rn
 from src as b
)
select
 b.*
 , enums.label
from
 src_deduplicated as b
 left outer join $$305stg.s305_0999_enums as enums
 on 1 = 1
  and lower(trim(b.channeltype)) = lower(trim(enums.value_name))
  and lower(trim(enums.enum_name)) = 'channeltype'
  and enums.label is not null
where 1 = 1
 and b.rn = 1</t>
  </si>
  <si>
    <t>with src as
(
 select
  b.currencycode_uid
  , max(b.currencycode) as currencycode
  , max(b.input_file_id) as input_file_id
  , max(b.info_system_id) as info_system_id
  , max(b.ctl_action) as ctl_action
  , max(b.ctl_validfrom::date) as ctl_validfrom
 from $$305stg.b3050000420007_product as b
 where 1 = 1
  and b.currencycode_uid is not null
 group by 1
 union all
 select
  b.currencycode_uid
  , max(b.currencycode) as currencycode
  , max(b.input_file_id) as input_file_id
  , max(b.info_system_id) as info_system_id
  , max(b.ctl_action) as ctl_action
  , max(b.ctl_validfrom::date) as ctl_validfrom
 from $$305stg.b3050000420005_paymentdetails as b
 where 1 = 1
  and b.currencycode_uid is not null
 group by 1
)
, src_deduplicated as
(
 select 
  b.*
  , row_number() over(partition by b.currencycode_uid order by b.ctl_validfrom desc, b.ctl_action desc, b.input_file_id desc) as rn
 from src as b
)
select b.*
from src_deduplicated as b
where 1 = 1
 and b.rn = 1</t>
  </si>
  <si>
    <t>select b.*
from $$305stg.b3050000420016_userinfo as b
where 1 = 1
 and lower(trim(b.fullname)) is distinct from 'технический пользователь'</t>
  </si>
  <si>
    <t>select b.*
from $$305stg.b3050000420016_userinfo as b
where 1 = 1
 and lower(trim(b.fullname)) is distinct from 'технический пользователь'
 and (b.fullname is not null or b.login is not null)</t>
  </si>
  <si>
    <t>select b.*
from $$305stg.b3050000420014_status as b
where 1 = 1</t>
  </si>
  <si>
    <t>b3050000420007_product, b3050000420002_baseagreement</t>
  </si>
  <si>
    <t>with src as
(
 select
  b.divisioncode_uid
  , max(b.divisioncode) as divisioncode
  , max(b.input_file_id) as input_file_id
  , max(b.info_system_id) as info_system_id
  , max(b.ctl_action) as ctl_action
  , max(b.ctl_validfrom::date) as ctl_validfrom
 from $$305stg.b3050000420007_product as b
 where 1 = 1
  and b.divisioncode_uid is not null
  and trim(coalesce(b.divisioncode, '')) &lt;&gt; ''
 group by 1
 union all
 select
  b.divisioncode_uid
  , max(b.divisioncode) as divisioncode
  , max(b.input_file_id) as input_file_id
  , max(b.info_system_id) as info_system_id
  , max(b.ctl_action) as ctl_action
  , max(b.ctl_validfrom::date) as ctl_validfrom
 from $$305stg.b3050000420002_baseagreement as b
 where 1 = 1
  and b.divisioncode_uid is not null
  and trim(coalesce(b.divisioncode, '')) &lt;&gt; ''
 group by 1
)
, src_deduplicated as
(
 select 
  b.*
  , row_number() over(partition by b.divisioncode_uid order by b.ctl_validfrom desc, b.ctl_action desc, b.input_file_id desc) as rn
 from src as b
)
select b.*
from src_deduplicated as b
where true
 and b.rn = 1</t>
  </si>
  <si>
    <t>with b as
(
 select
  b.offertype_uid  
  , max(b.offertype) as offertype
  , max(b.input_file_id) as input_file_id
  , max(b.info_system_id) as info_system_id
  , max(b.ctl_action) as ctl_action
  , max(b.ctl_validfrom::date) as ctl_validfrom
 from $$305stg.b3050000420010_productservice as b
 where 1 = 1
  and b.offertype_uid is not null
 group by 1
)
select
 b.*
 , enums.label
from
 b
 left outer join $$305stg.s305_0999_enums as enums
 on 1 = 1
  and lower(trim(b.offertype)) = lower(trim(enums.value_name))
  and lower(trim(enums.enum_name)) = 'offertype'
  and enums.label is not null</t>
  </si>
  <si>
    <t>select b.*
from $$305stg.b3050000420008_productkind as b
where 1 = 1</t>
  </si>
  <si>
    <t>select b.*
from $$305stg.b3050000420012_register as b
where 1 = 1</t>
  </si>
  <si>
    <t>accountid_uid</t>
  </si>
  <si>
    <t>select b.*
from $$305stg.b3050000420012_register as b
where 1 = 1
 and b.statusfordul_watcher_id_uid is not null</t>
  </si>
  <si>
    <t>with b as
(
 select
  b.typeregister_uid
  , max(b.typeregister) as typeregister
  , max(b.input_file_id) as input_file_id
  , max(b.info_system_id) as info_system_id
  , max(b.ctl_action) as ctl_action
  , max(b.ctl_validfrom::date) as ctl_validfrom
 from $$305stg.b3050000420012_register as b
 where 1 = 1
  and b.typeregister_uid is not null
 group by 1
)
select
 b.*
 , enums.label
from
 b
 left outer join $$305stg.s305_0999_enums as enums
 on 1 = 1
  and lower(trim(b.typeregister)) = lower(trim(enums.value_name))
  and lower(trim(enums.enum_name)) = 'registertype'
  and enums.label is not null</t>
  </si>
  <si>
    <t>with b as
(
select
 b.ratekind_uid
 , max(b.ratekind) as ratekind
 , max(b.input_file_id) as input_file_id
 , max(b.info_system_id) as info_system_id
 , max(b.ctl_action) as ctl_action
 , max(b.ctl_validfrom::date) as ctl_validfrom
from $$305stg.b3050000420017_interestrate as b
where 1 = 1
 and b.ratekind_uid is not null
group by 1
)
select
 b.*
 , enums.label
from b
left outer join $$305stg.s305_0999_enums as enums
 on 1 = 1
  and lower(trim(b.ratekind)) = lower(trim(enums.value_name))
  and lower(trim(enums.enum_name)) = 'ratekind'
  and enums.label is not null</t>
  </si>
  <si>
    <t>select b.*
from $$305stg.b3050000420006_paymentperiod as b
where 1 = 1</t>
  </si>
  <si>
    <t>'00000000-0000-0000-0000-0000fffffc16'</t>
  </si>
  <si>
    <t>-1002^Сервис создания продукта (сделки)</t>
  </si>
  <si>
    <t>with src as
(
 select
  b.servicetype_uid
  , max(b.servicetype) as servicetype
  , max(b.input_file_id) as input_file_id
  , max(b.info_system_id) as info_system_id
  , max(b.ctl_action) as ctl_action
  , max(b.ctl_validfrom::date) as ctl_validfrom
 from $$305stg.b3050000420010_productservice as b
 where 1 = 1
  and b.servicetype_uid is not null
 group by 1
 union all
 select
  b.servicetype_uid
  , max(b.servicetype) as servicetype
  , max(b.input_file_id) as input_file_id
  , max(b.info_system_id) as info_system_id
  , max(b.ctl_action) as ctl_action
  , max(b.ctl_validfrom::date) as ctl_validfrom
 from $$305stg.b3050000420015_technicalservice as b
 where 1 = 1
  and b.servicetype_uid is not null
 group by 1
 union all
 select
  b.typeplanservice_uid as servicetype_uid
  , max(b.typeplanservice) as servicetype
  , max(b.input_file_id) as input_file_id
  , max(b.info_system_id) as info_system_id
  , max(b.ctl_action) as ctl_action
  , max(b.ctl_validfrom::date) as ctl_validfrom
 from $$305stg.b3050000420029_planservice as b
 where 1 = 1
  and b.typeplanservice_uid is not null
 group by 1
)
, src_deduplicated as
(
 select 
  b.*
  , row_number() over(partition by b.servicetype_uid order by b.ctl_validfrom desc, b.ctl_action desc, b.input_file_id desc) as rn
 from src as b
)
select
 b.*
 , enums.label
from
 src_deduplicated as b
 left outer join $$305stg.s305_0999_enums as enums
 on 1 = 1
  and lower(trim(b.servicetype)) = lower(trim(enums.value_name))
  and lower(trim(enums.enum_name)) = 'servicetype'
  and enums.label is not null
where 1 = 1
 and b.rn = 1</t>
  </si>
  <si>
    <t>'00000000-0000-0000-0000-0000fffffc15'</t>
  </si>
  <si>
    <t>-1003^Технический сервис</t>
  </si>
  <si>
    <t>beginCalcPeriod</t>
  </si>
  <si>
    <t>endCalcPeriod</t>
  </si>
  <si>
    <t>-1001^Ставка по депозиту при соблюдении условий</t>
  </si>
  <si>
    <t>select b.*
from $$305stg.b3050000420017_interestrate as b
where 1 = 1</t>
  </si>
  <si>
    <t>coalesce(begindate, ctl_validfrom)</t>
  </si>
  <si>
    <t>select b.*
from $$305stg.b3050000420017_interestrate as b
where true
  and b.rate is not null</t>
  </si>
  <si>
    <t>-1002^Ставка по депозиту при отзыве</t>
  </si>
  <si>
    <t>-1003^Ставка по депозиту при частичном отзыве</t>
  </si>
  <si>
    <t>'00000000-0000-0000-0000-0000fffffc14'</t>
  </si>
  <si>
    <t>-1004^Ставка по депозиту при взыскании</t>
  </si>
  <si>
    <t>select b.*
from $$305stg.b3050000420019_amountdepend as b
where 1 = 1</t>
  </si>
  <si>
    <t>select b.*
from $$305stg.b3050000420022_termdepend as b
where 1 = 1</t>
  </si>
  <si>
    <t>select b.*
from $$305stg.b3050000420020_calculatedonamount as b
where 1 = 1</t>
  </si>
  <si>
    <t>select b.*
from $$305stg.b3050000420021_calculateratestructure as b
where 1 = 1</t>
  </si>
  <si>
    <t>indicator_id</t>
  </si>
  <si>
    <t>with src as
(
 select
  b.indicator_uid as indicator_id
  , max(b.indicator_) as indicator_cd
  , max(b.input_file_id) as input_file_id
  , max(b.info_system_id) as info_system_id
  , max(b.ctl_action) as ctl_action
  , max(b.ctl_validfrom::date) as ctl_validfrom
 from $$305stg.b3050000420020_calculatedonamount as b
 where 1 = 1
  and b.indicator_uid is not null
 group by 1
union all
 select
  b.indicator_uid as indicator_id
  , max(b.indicator_) as indicator_cd
  , max(b.input_file_id) as input_file_id
  , max(b.info_system_id) as info_system_id
  , max(b.ctl_action) as ctl_action
  , max(b.ctl_validfrom::date) as ctl_validfrom
 from $$305stg.b3050000420021_calculateratestructure as b
 where 1 = 1
  and b.indicator_uid is not null
 group by 1
)
, src_deduplicated as
(
select
  b.*
  , row_number () over (partition by b.indicator_id order by ctl_validfrom desc) as rn
 from src as b
 where 1 = 1
)
select
 b.*
 , enums.label
from
 src_deduplicated as b
 left outer join $$305stg.s305_0999_enums as enums
 on true
  and lower(trim(b.indicator_cd)) = lower(trim(enums.value_name))
  and lower(trim(enums.enum_name)) = 'typeindicator'
  and enums.label is not null
where true
 and b.rn = 1</t>
  </si>
  <si>
    <t>indicator_cd</t>
  </si>
  <si>
    <t>select b.*
from $$305stg.b3050000420029_planservice as b
where true</t>
  </si>
  <si>
    <t>-1004^Плановый сервис</t>
  </si>
  <si>
    <t>select b.*
from $$305stg.b3050000420029_planservice as b
where true
 and b.service_entityid is not null</t>
  </si>
  <si>
    <t>with src as
(
 select
  b.operationtypecode_uid
  , max(b.operationtypecode) as operationtypecode
  , max(b.input_file_id) as input_file_id
  , max(b.info_system_id) as info_system_id
  , max(b.ctl_action) as ctl_action
  , max(b.ctl_validfrom::date) as ctl_validfrom
 from $$305stg.b3050000420005_paymentdetails as b
 where true
  and b.operationtypecode_uid is not null
 group by b.operationtypecode_uid
)
select
 b.*
 , enums.label
from
 src as b
 left outer join $$305stg.s305_0999_enums as enums
 on true
  and lower(trim(b.operationtypecode)) = lower(trim(enums.value_name))
  and lower(trim(enums.enum_name)) = 'manual_operationtype'
  and enums.label is not null</t>
  </si>
  <si>
    <t>typeCondition</t>
  </si>
  <si>
    <t>sql</t>
  </si>
  <si>
    <t>s305_0999_enums</t>
  </si>
  <si>
    <t>-- Справочники, которые источник не выгружает в реплику.
-- Заполняется ручными скриптами (datafix) по мере появления информации.
Скрпит на листе "s305_0999_enums".</t>
  </si>
  <si>
    <t>v_b3050000420007_product_productrate</t>
  </si>
  <si>
    <t>SELECT b3050000420007_product.object_id,
    b3050000420007_product.object_id_uid,
    b3050000420007_product.productrate_entityid,
    b3050000420007_product.ctl_action,
    b3050000420007_product.ctl_loading,
    b3050000420007_product.ctl_validfrom,
    b3050000420007_product.info_system_type_cd,
    b3050000420007_product.info_system_inst_cd,
    b3050000420007_product.info_system_id,
    b3050000420007_product.input_file_id,
    b3050000420007_product.input_package_id,
    b3050000420007_product.workflow_run_id
   FROM s_grnplm_as_t_didsd_305_db_stg.b3050000420007_product
  WHERE b3050000420007_product.object_id IS NOT NULL AND b3050000420007_product.productrate_entityid IS NOT NULL;</t>
  </si>
  <si>
    <t>v_b3050000420016_userinfo</t>
  </si>
  <si>
    <t>SELECT
 b3050000420016_userinfo.object_id,
    b3050000420016_userinfo.object_id_uid,
    b3050000420016_userinfo.ctl_action,
    b3050000420016_userinfo.ctl_loading,
    b3050000420016_userinfo.ctl_validfrom,
    b3050000420016_userinfo.info_system_type_cd,
    b3050000420016_userinfo.info_system_inst_cd,
    b3050000420016_userinfo.info_system_id,
    b3050000420016_userinfo.input_file_id,
    b3050000420016_userinfo.input_package_id,
    b3050000420016_userinfo.workflow_run_id
FROM s_grnplm_as_t_didsd_305_db_stg.b3050000420016_userinfo
WHERE (lower(btrim(b3050000420016_userinfo.fullname)) IS DISTINCT FROM 'технический пользователь'::text);</t>
  </si>
  <si>
    <t>v_b3050000420025_productrecallcondition_productrecallrate</t>
  </si>
  <si>
    <t>SELECT b3050000420025_productrecallcondition.object_id,
    b3050000420025_productrecallcondition.product_id,
    b3050000420025_productrecallcondition.productrecallrate_entityid,
    b3050000420025_productrecallcondition.ctl_action,
    b3050000420025_productrecallcondition.ctl_loading,
    b3050000420025_productrecallcondition.ctl_validfrom,
    b3050000420025_productrecallcondition.info_system_type_cd,
    b3050000420025_productrecallcondition.info_system_inst_cd,
    b3050000420025_productrecallcondition.info_system_id,
    b3050000420025_productrecallcondition.input_file_id,
    b3050000420025_productrecallcondition.input_package_id,
    b3050000420025_productrecallcondition.workflow_run_id
   FROM s_grnplm_as_t_didsd_305_db_stg.b3050000420025_productrecallcondition
  WHERE b3050000420025_productrecallcondition.object_id IS NOT NULL AND b3050000420025_productrecallcondition.product_id IS NOT NULL AND b3050000420025_productrecallcondition.productrecallrate_entityid IS NOT NULL;</t>
  </si>
  <si>
    <t>v_b3050000420026_depositadditionalinfo_partialrecallrate</t>
  </si>
  <si>
    <t>SELECT b3050000420026_depositadditionalinfo.object_id,
    b3050000420026_depositadditionalinfo.product_id,
    b3050000420026_depositadditionalinfo.partialrecallrate_entityid,
    b3050000420026_depositadditionalinfo.ctl_action,
    b3050000420026_depositadditionalinfo.ctl_loading,
    b3050000420026_depositadditionalinfo.ctl_validfrom,
    b3050000420026_depositadditionalinfo.info_system_type_cd,
    b3050000420026_depositadditionalinfo.info_system_inst_cd,
    b3050000420026_depositadditionalinfo.info_system_id,
    b3050000420026_depositadditionalinfo.input_file_id,
    b3050000420026_depositadditionalinfo.input_package_id,
    b3050000420026_depositadditionalinfo.workflow_run_id
   FROM s_grnplm_as_t_didsd_305_db_stg.b3050000420026_depositadditionalinfo
  WHERE b3050000420026_depositadditionalinfo.object_id IS NOT NULL AND b3050000420026_depositadditionalinfo.product_id IS NOT NULL AND b3050000420026_depositadditionalinfo.partialrecallrate_entityid IS NOT NULL;</t>
  </si>
  <si>
    <t>v_b3050000420026_depositadditionalinfo_recoveryrate</t>
  </si>
  <si>
    <t>SELECT b3050000420026_depositadditionalinfo.object_id,
    b3050000420026_depositadditionalinfo.product_id,
    b3050000420026_depositadditionalinfo.recoveryrate_entityid,
    b3050000420026_depositadditionalinfo.ctl_action,
    b3050000420026_depositadditionalinfo.ctl_loading,
    b3050000420026_depositadditionalinfo.ctl_validfrom,
    b3050000420026_depositadditionalinfo.info_system_type_cd,
    b3050000420026_depositadditionalinfo.info_system_inst_cd,
    b3050000420026_depositadditionalinfo.info_system_id,
    b3050000420026_depositadditionalinfo.input_file_id,
    b3050000420026_depositadditionalinfo.input_package_id,
    b3050000420026_depositadditionalinfo.workflow_run_id
   FROM s_grnplm_as_t_didsd_305_db_stg.b3050000420026_depositadditionalinfo
  WHERE b3050000420026_depositadditionalinfo.object_id IS NOT NULL AND b3050000420026_depositadditionalinfo.product_id IS NOT NULL AND b3050000420026_depositadditionalinfo.recoveryrate_entityid IS NOT NULL;</t>
  </si>
  <si>
    <t>v_b3050000420027_productaccount</t>
  </si>
  <si>
    <t>SELECT
 b3050000420027_productaccount.object_id,
    b3050000420027_productaccount.product_id,
    b3050000420027_productaccount.accounttype,
    b3050000420027_productaccount.accountnumber,
    b3050000420027_productaccount.ctl_action,
    b3050000420027_productaccount.ctl_loading,
    b3050000420027_productaccount.ctl_validfrom,
    b3050000420027_productaccount.info_system_type_cd,
    b3050000420027_productaccount.info_system_inst_cd,
    b3050000420027_productaccount.info_system_id,
    b3050000420027_productaccount.input_file_id,
    b3050000420027_productaccount.input_package_id,
    b3050000420027_productaccount.workflow_run_id
FROM s_grnplm_as_t_didsd_305_db_stg.b3050000420027_productaccount
WHERE (lower(btrim(b3050000420027_productaccount.accounttype)) = 'debit'::text);</t>
  </si>
  <si>
    <t>v_b3050000420028_additionaltechnicaldata</t>
  </si>
  <si>
    <t>SELECT b3050000420028_additionaltechnicaldata.object_id,
    b3050000420028_additionaltechnicaldata.technicalservice_id,
    b3050000420028_additionaltechnicaldata.begincalcperiod,
    b3050000420028_additionaltechnicaldata.endcalcperiod,
    b3050000420028_additionaltechnicaldata.ctl_action,
    b3050000420028_additionaltechnicaldata.ctl_loading,
    b3050000420028_additionaltechnicaldata.ctl_validfrom,
    b3050000420028_additionaltechnicaldata.info_system_type_cd,
    b3050000420028_additionaltechnicaldata.info_system_inst_cd,
    b3050000420028_additionaltechnicaldata.info_system_id,
    b3050000420028_additionaltechnicaldata.input_file_id,
    b3050000420028_additionaltechnicaldata.input_package_id,
    b3050000420028_additionaltechnicaldata.workflow_run_id
   FROM s_grnplm_as_t_didsd_305_db_stg.b3050000420028_additionaltechnicaldata
  WHERE b3050000420028_additionaltechnicaldata.begincalcperiod IS NOT NULL OR b3050000420028_additionaltechnicaldata.endcalcperiod IS NOT NULL;</t>
  </si>
  <si>
    <t>s305_0003_individualparams</t>
  </si>
  <si>
    <t>select object_id, service_id, calcId, 1 as incr_flag, ctl_action, ctl_loading, ctl_validfrom, info_system_id, info_system_inst_cd, info_system_type_cd, input_file_id, input_package_id, workflow_run_id from b3050000420003_individualparams</t>
  </si>
  <si>
    <t>s305_0004_nsoadditionalinfo</t>
  </si>
  <si>
    <t>select object_id, product_id, systemname, rkoaccountnumber, idaccountnumber_uid, 1 as incr_flag, ctl_action, ctl_loading, ctl_validfrom, info_system_id, info_system_inst_cd, info_system_type_cd, input_file_id, input_package_id, workflow_run_id from b3050000420004_nsoadditionalinfo</t>
  </si>
  <si>
    <t>s305_0007_product</t>
  </si>
  <si>
    <t>select object_id, object_id_uid, agreement_entityid_uid, begindate, closedate, contractbegindate, createdate, currencycode_uid, enddate, goldproduct, goldproductremovedate, productkind_id_uid, productnumber, producttype, producttype_uid, notes, productrate_entityid, amount, duration, paymentperiod_id_uid, 1 as incr_flag, ctl_action, ctl_loading, ctl_validfrom, info_system_id, info_system_inst_cd, info_system_type_cd, input_file_id, input_package_id, workflow_run_id from b3050000420007_product</t>
  </si>
  <si>
    <t>s305_0007_product_productrate</t>
  </si>
  <si>
    <t>select * from v_b3050000420007_product_productrate</t>
  </si>
  <si>
    <t>s305_0008_productkind</t>
  </si>
  <si>
    <t>select object_id, object_id_uid, isstructural, typecondition, 1 as incr_flag, ctl_action, ctl_loading, ctl_validfrom, info_system_id, info_system_inst_cd, info_system_type_cd, input_file_id, input_package_id, workflow_run_id from b3050000420008_productkind</t>
  </si>
  <si>
    <t>s305_0009_productlegacyadditionalinformation</t>
  </si>
  <si>
    <t>select object_id, product_id, legacyproductid, 1 as incr_flag, ctl_action, ctl_loading, ctl_validfrom, info_system_id, info_system_inst_cd, info_system_type_cd, input_file_id, input_package_id, workflow_run_id from b3050000420009_productlegacyadditionalinformation</t>
  </si>
  <si>
    <t>s305_0010_productservice</t>
  </si>
  <si>
    <t>select object_id, object_id_uid, producttype, offertype_uid, requestnumber, product_entityid_uid, 1 as incr_flag, ctl_action, ctl_loading, ctl_validfrom, info_system_id, info_system_inst_cd, info_system_type_cd, input_file_id, input_package_id, workflow_run_id from b3050000420010_productservice</t>
  </si>
  <si>
    <t>s305_0013_specialattributes</t>
  </si>
  <si>
    <t>select object_id, product_id, specialcode, specialcode_uid, 1 as incr_flag, ctl_action, ctl_loading, ctl_validfrom, info_system_id, info_system_inst_cd, info_system_type_cd, input_file_id, input_package_id, workflow_run_id from b3050000420013_specialattributes</t>
  </si>
  <si>
    <t>s305_0015_technicalservice</t>
  </si>
  <si>
    <t>select object_id, object_id_uid, product_entityid_uid, statusfordul_watcher_id_uid, servicetype_uid, channeltype_uid, createdate, 1 as incr_flag, ctl_action, ctl_loading, ctl_validfrom, info_system_id, info_system_inst_cd, info_system_type_cd, input_file_id, input_package_id, workflow_run_id from b3050000420015_technicalservice</t>
  </si>
  <si>
    <t>s305_0016_userinfo</t>
  </si>
  <si>
    <t>select * from v_b3050000420016_userinfo</t>
  </si>
  <si>
    <t>s305_0017_interestrate</t>
  </si>
  <si>
    <t>select object_id, object_id_uid, ratetariff_id, 1 as incr_flag, ctl_action, ctl_loading, ctl_validfrom, info_system_id, info_system_inst_cd, info_system_type_cd, input_file_id, input_package_id, workflow_run_id from b3050000420017_interestrate</t>
  </si>
  <si>
    <t>s305_0025_productrecallcondition_productrecallrate</t>
  </si>
  <si>
    <t>select * from v_b3050000420025_productrecallcondition_productrecallrate</t>
  </si>
  <si>
    <t>s305_0026_depositadditionalinfo</t>
  </si>
  <si>
    <t>select object_id, product_id, partialrecallrate_entityid, recoveryrate_entityid, firstproduct_entityid_uid, newproduct_entityid_uid, partialamounteditability, possibilitypartialrefund, minamount, maxamount, minreplenishmentamount, maxreplenishmentamount, 1 as incr_flag, ctl_action, ctl_loading, ctl_validfrom, info_system_id, info_system_inst_cd, info_system_type_cd, input_file_id, input_package_id, workflow_run_id from b3050000420026_depositadditionalinfo</t>
  </si>
  <si>
    <t>s305_0026_depositadditionalinfo_partialrecallrate</t>
  </si>
  <si>
    <t>select * from v_b3050000420026_depositadditionalinfo_partialrecallrate</t>
  </si>
  <si>
    <t>s305_0026_depositadditionalinfo_recoveryrate</t>
  </si>
  <si>
    <t>select * from v_b3050000420026_depositadditionalinfo_recoveryrate</t>
  </si>
  <si>
    <t>s305_0027_productaccount</t>
  </si>
  <si>
    <t>select * from v_b3050000420027_productaccount</t>
  </si>
  <si>
    <t>s305_0028_additionaltechnicaldata</t>
  </si>
  <si>
    <t>select * from v_b3050000420028_additionaltechnicaldata</t>
  </si>
  <si>
    <t>s305_0030_productsettings</t>
  </si>
  <si>
    <t>select object_id, productkind_id, isrecallable, isreplenishable, 1 as incr_flag, ctl_action, ctl_loading, ctl_validfrom, info_system_id, info_system_inst_cd, info_system_type_cd, input_file_id, input_package_id, workflow_run_id from b3050000420030_productsettings</t>
  </si>
  <si>
    <t>Версия</t>
  </si>
  <si>
    <t>Дата</t>
  </si>
  <si>
    <t>Автор</t>
  </si>
  <si>
    <t>Комментарий</t>
  </si>
  <si>
    <t>Afanasova</t>
  </si>
  <si>
    <t>Первая версия документа</t>
  </si>
  <si>
    <t>Tartushkin</t>
  </si>
  <si>
    <t>Лист s2t:
Изменены:
[10] t_agr_dep - удалено поле host_ext_id, ttu переделано на s, убран фильтр на systemname = 'rko'.
[20] t_agr_dep$dul - ttu переделано на s, добавлен расчет dul$master_flag_del_dt
[70] t_agr_dep_rate - добавлены поля mkt_idx_id, active_flag, изменен ключ на host_agr_dep_rate_id, изменена стратегия на 'снимок-снимок с накоплением', доработано ttu.
[90] t_agr_dep_type - добавлена расшифровка по enum
[100] t_agr_frame - добавлено agr_frame_desc &lt;- b3050000420002_baseagreement.note
[140] t_agr_frame_type - добавлена расшифровка по enum
[150] t_bus_srv - добавлен фильтр не технического пользователя
[370] t_bus_srv - добавлено chnl_type_id &lt;- b3050000420010_productservice.channeltype_uid, добавлен фильтр на технического пользователя
[390] t_bus_srv - добавлено chnl_type_id &lt;- b3050000420015_technicalservice.channeltype_uid
[180] t_bus_srv_type - добавлена расшифровка по enum
[380] t_bus_srv_type - добавлена расшифровка по enum, добавлен b3050000420015_technicalservice
[190] t_chnl_type - добавлена расшифровка по enum, добавлены каналы из продуктового и технического сервисов
[210] t_emp - добавлен фильтр не технического пользователя
[220] t_emp_idfn - добавлен фильтр не технического пользователя
[280] t_optn - добавлен product_entityid_uid
Дoбавлены:
[160] t_bus_srv$dul
[170] t_bus_srv$dul
[270] t_offer_type
Удалены:
[260] t_mkt_idx
[300] t_rate_categ_type
[310] t_rate_type
[400] t_bus_srv_type
Лист target_columns:
Удален t_agr_dep.host_ext_id
Добавлен t_agr_dep_rate.mkt_idx_id - Уникальный идентификатор рыночного индикатора
Добавлен t_agr_dep_rate.active_flag - Признак актуальности записи для расчета процентов
Лист source_columns:
pk изменен с key на objectid
Добавлено описание полей</t>
  </si>
  <si>
    <t>[30] t_agr_dep_cust - client_uid заменен на cleint_entityid_uid
[70] t_agr_dep_rate - изменено заполнение agr_dep_id, rate_categ_type_id (для producttype = 'nso' всегда 'Фиксированная'.
Удален лист Q&amp;A.</t>
  </si>
  <si>
    <t>Обновлен лист a2b_columns</t>
  </si>
  <si>
    <t>[20] t_agr_dep$dul - исправлено ttu в части вычисления master_flag_del_dt
[190] t_chnl_type - исправлена синтаксическая ошибка в s2t.
[200] t_crncy - исправлена синтаксическая ошибка в s2t.
[250] t_int_org - исправлена синтаксическая ошибка в s2t.
[380] t_bus_srv_type - исправлена синтаксическая ошибка в s2t.
[70] t_agr_dep_rate - begindate приводится к типу date
[270] t_offer_type - producttype_uid -&gt; offertype_uid
[90] t_agr_dep_type - enums.enum_name -&gt; lower(trim(enums.enum_name))
[140] t_agr_frame_type - enums.enum_name -&gt; lower(trim(enums.enum_name))
[180] t_bus_srv_type - enums.enum_name -&gt; lower(trim(enums.enum_name))
[190] t_chnl_type - enums.enum_name -&gt; lower(trim(enums.enum_name))
[270] t_offer_type - enums.enum_name -&gt; lower(trim(enums.enum_name))
[340] t_registry_type - enums.enum_name -&gt; lower(trim(enums.enum_name))
[380] t_bus_srv_type - enums.enum_name -&gt; lower(trim(enums.enum_name))</t>
  </si>
  <si>
    <t>[70] t_agr_dep_rate - rate_tariff_type_id -&gt; tariff_type_id</t>
  </si>
  <si>
    <t>[170] t_bus_srv$dul - исправлена опечатка offertype_uuid -&gt; offertype_uid
[340] t_registry_type - исправлена опечатка registertype -&gt; typeregister</t>
  </si>
  <si>
    <t>Для блоков из списка ниже добавлено поле b.input_file_id desc в сортировку для дедубликации:
[190] t_chnl_type
[200] t_crncy
[250] t_int_org
[380] t_bus_srv_type</t>
  </si>
  <si>
    <t>[60] Изменено заполнение поля t_agr_dep_purpose_type.host_agr_dep_purpose_type_id: specialcode_uid -&gt; specialcode
[140] Изменено заполнение поля t_agr_frame_type.host_agr_frame_type_id: agreementtype_uid -&gt; agreementtype
Для t_agr_dep.create_dt тип поля изменен с text на date.</t>
  </si>
  <si>
    <t xml:space="preserve">На листах "a2b_columns", "source_columns" удалены колонки из списка ниже:
1. product.paymentdetail
2. product.paymentdetail_short_foreign_key
3. status.aggregateroot
4. status.aggregateroot_short_foreign_key
5. status.chgcnt
6. status.offflag
7. status.partitionid
8. status.recmodelversion
Эти колонки есть в s2t источника, но по факту отсутствуют в реплике.
</t>
  </si>
  <si>
    <t>[170] t_bus_srv$dul - добавлен фильтр product_entityid_uid is not null, поле requestnumber теперь кладется в dul$host_calypso_agr_id, а не в dul$refuse_reason_desc.
[370] t_bus_srv - добавлен фильтр product_entityid_uid is not null.</t>
  </si>
  <si>
    <t>На листе "a2b_columns" актуализированы состав, наименование и типы полей по метаданным реплики a+. При этом тип источника decimal(38, 10) заменен на numeric.</t>
  </si>
  <si>
    <t>Лист "s2t" актуализирован для соответствия реплике A+ в части наименования полей.</t>
  </si>
  <si>
    <t xml:space="preserve">Для блоков из списка ниже добавлен lower(trim()) для value_name в соединение со справочником s305_0999_enums:
[90] t_agr_dep_type
[140] t_agr_frame_type
[180] t_bus_srv_type
[190] t_chnl_type
[270] t_offer_type
[340] t_registry_type
[380] t_bus_srv_type
В блок [350] t_tariff_type добавлено соединение с соединение со справочником s305_0999_enums.
</t>
  </si>
  <si>
    <t>лист "pxf2a"
a_000042_rate: удалена
a_000042_interestrate, a_000042_ratetariff, a_000042_amountdepend, a_000042_calculatedonamount, a_000042_calculateratestructure, a_000042_termdepend, a_000042_dailyinterest, a_000042_interestjournal, a_000042_productrecallcondition, a_000042_depositadditionalinfo: добавлены
Лист "source_tables"
b3050000420017_interestrate, b3050000420018_ratetariff, b3050000420019_amountdepend, b3050000420020_calculatedonamount, b3050000420021_calculateratestructure, b3050000420022_termdepend, b3050000420023_dailyinterest, b3050000420024_interestjournal, b3050000420025_productrecallcondition, b3050000420026_depositadditionalinfo: добавлены
b3050000420011_rate: удалена
Лист "target_tables", "target_columns"
t_agr_dep_rate, t_rate_categ_type: удалены
t_rate_rule, t_agr_dep_rate_rule, t_rate_rule_param: добавлены</t>
  </si>
  <si>
    <t>Лист "s2t"
удалены блоки:
[70] t_agr_dep_rate
[350] t_tariff_type: изменена таблица источник b3050000420011_rate -&gt; b3050000420017_interestrate
добавлены блоки:
[410] t_rate_rule
[400] t_agr_dep_rate_rule
[430] t_agr_dep_rate_rule
[440] t_agr_dep_rate_rule
[450] t_agr_dep_rate_rule
[420] t_rate_rule_param
[460] t_rate_rule_param
[470] t_rate_rule_param
[480] t_rate_rule_param
[490] t_rate_rule_param
[500] t_mkt_idx</t>
  </si>
  <si>
    <t>Лист "s2t"
[410] t_rate_rule - СОД "снимок-история" заменен на "снимок-снимок".</t>
  </si>
  <si>
    <t>Лист "s2t", в блоках ниже incr_flg заменен на incr_flag.
[400] t_agr_dep_rate_rule
[430] t_agr_dep_rate_rule
[440] t_agr_dep_rate_rule
[450] t_agr_dep_rate_rule</t>
  </si>
  <si>
    <t>Лист "s2t"
[410] t_rate_rule - colaesce заменен на coalesce.</t>
  </si>
  <si>
    <t>Лист "s2t"
[410] t_rate_rule - изменен тип данных поля host_rate_rule_id integer -&gt; text</t>
  </si>
  <si>
    <t>Лист "s2t":
[10] t_agr_dep - Блок нерабочий, временно отключен (-10). Убран фильтр на producttype, добавлена загрузка счета РКО для депозитов, сделана загатовка для agr_rko_id, доработаны фильтры на incr_flag (предыдущие гризили все записи основной таблицы, если доп таблица не приджойнилась).
[20] t_agr_dep$dul - Убран фильтр на producttype, доработаны фильтры на incr_flag (предыдущие гризили все записи основной таблицы, если доп таблица не приджойнилась).
[30] t_agr_dep_cust - Убран фильтр на producttype.
[40] t_agr_dep_fin - Убран фильтр на producttype.
[50] t_agr_dep_int_org - Убран фильтр на producttype.
[170] t_bus_srv$dul - Доработаны фильтры на incr_flag (предыдущие гризили все записи основной таблицы, если доп таблица не приджойнилась).
[500] t_mkt_idx - Добавлено enums.label.</t>
  </si>
  <si>
    <t>Лист "s2t":
[10] t_agr_dep - Добавлено поле t_agr_dep.agr_rko_id, актуализирована ТТУ, блок включен.</t>
  </si>
  <si>
    <t>Актуализированы листы "pxf2a", "a2b_columns" "source_tables", "source_columns".</t>
  </si>
  <si>
    <t>Обновлены листы "source_tables", "target_tables", "target_columns".
Лист "s2t":
[20] t_agr_dep$dul - добавлены dul$first_agr_dep_id, dul$new_agr_dep_id, dul$partial_refund_amount_change_flag, dul$partial_refund_flag.
[40] t_agr_dep_fin - добавлены max_agr_dep_amt, max_replenishment_amt, min_agr_dep_amt, min_replenishment_amt.
[280] t_optn - добавлены optn_amt_rub, optn_type_id.
[390] t_bus_srv - добавлены start_dt, end_dt
[510] t_bus_srv - новый блок.
[520] t_bus_srv_related - новый блок.
[530] t_optn_type - новый блок.
[540] t_prod$dul - новый блок.</t>
  </si>
  <si>
    <t>Лист "s2t":
[520] t_bus_srv_related - исправлен фильтр b.typeplanservice is not null -&gt; b.service_entityid is not null.</t>
  </si>
  <si>
    <t>Обновлены листы "pxf2a", "a2b_columns", "source_columns".
Лист "s2t":
[380] t_bus_srv_type - добалена загрузка из planservice.</t>
  </si>
  <si>
    <t>[80] t_agr_dep_stts - Убран фильтр на nso.
[20] t_agr_dep$dul - Изменен СОД "снимок-снимок с накоплением" на "снимок-снимок"
[160] t_bus_srv$dul - Изменен СОД "снимок-снимок с накоплением" на "снимок-снимок"
[170] t_bus_srv$dul - Изменен СОД "снимок-снимок с накоплением" на "снимок-снимок"</t>
  </si>
  <si>
    <t>Доработки для удаления ставок по договору в случае переключения договора на другую коллекцию.
Лист "s2t":
[400] t_agr_dep_rate_rule - изменен запрос и ключ, 
[430] t_agr_dep_rate_rule - изменен запрос и ключ, 
[440] t_agr_dep_rate_rule - изменен запрос и ключ,
[450] t_agr_dep_rate_rule - изменен запрос и ключ.</t>
  </si>
  <si>
    <t>Лист "s2t":
[420] t_rate_rule_param - добавлен фильтр rate is not null.</t>
  </si>
  <si>
    <t>Доработки для удаления ставок по договору в случае переключения договора на другую коллекцию.
Лист "s2t":
[400] t_agr_dep_rate_rule - изменен запрос (добавлена дедубликация), 
[430] t_agr_dep_rate_rule - изменен запрос  (добавлена дедубликация) 
[440] t_agr_dep_rate_rule - изменен запрос (добавлена дедубликация),
[450] t_agr_dep_rate_rule - изменен запрос (добавлена дедубликация).
Лист "additional_objects".
Добавлены фильтрующие представления для S:
v_b3050000420007_product_productrate
v_b3050000420025_productrecallcondition_productrecallrate
v_b3050000420026_depositadditionalinfo_partialrecallrate
v_b3050000420026_depositadditionalinfo_recoveryrate
v_b3050000420028_additionaltechnicaldata</t>
  </si>
  <si>
    <t>Доработки по замене department_entityid на divisioncode.
Лист "s2t":
[50] t_agr_dep_int_org - изменен мапинг полей и запрос (department_entityid - divisioncode, department_entityid_uid -&gt; divisioncode_uid),
[120] t_agr_frame_int_org - изменен мапинг полей и запрос (department_entityid - divisioncode, department_entityid_uid -&gt; divisioncode_uid),
[250] t_int_org - изменен мапинг полей и запрос (department_entityid - divisioncode, department_entityid_uid -&gt; divisioncode_uid).
Лист "a2b_columns":
Удалены:
b3050000420002_baseagreement.department_entityid_uid
b3050000420007_product.department_entityid_uid
Добавлены:
b3050000420002_baseagreement.divisioncode_uid
b3050000420007_product.divisioncode_uid
Лист "source_columns":
Удалены:
b3050000420002_baseagreement.department_entityid_uid
b3050000420007_product.department_entityid_uid
Добавлены:
b3050000420002_baseagreement.divisioncode_uid
b3050000420007_product.divisioncode_uid</t>
  </si>
  <si>
    <t>Сорокин</t>
  </si>
  <si>
    <t>Добавлено заполнение поля dul$partial_recall_flag в блоке 540</t>
  </si>
  <si>
    <t>На листе "s2t" для блоков из списка ниже добавлен фильтр на пустую строку:
[50] t_agr_dep_int_org
[120] t_agr_frame_int_org
[250] t_int_org</t>
  </si>
  <si>
    <t>На листе "additional_objects" перечислены используемые S-таблицы.
На листе "s2t" для [250] t_int_org указана вторая таблица-источник.</t>
  </si>
  <si>
    <t>На листе "additional_objects" заполнена колонка sql для всех S-таблиц.
Добавлен лист "s305_0999_enums" со скриптом заполения s305_0999_enums.</t>
  </si>
  <si>
    <t>Добавлено заполнение поля t_registry.prnt_registry_id</t>
  </si>
  <si>
    <r>
      <t>with</t>
    </r>
    <r>
      <rPr>
        <sz val="10"/>
        <color indexed="64"/>
        <rFont val="Consolas"/>
        <family val="3"/>
        <charset val="204"/>
      </rPr>
      <t xml:space="preserve"> tt_enums(enum_name, value_name, </t>
    </r>
    <r>
      <rPr>
        <b/>
        <sz val="10"/>
        <color indexed="16"/>
        <rFont val="Consolas"/>
        <family val="3"/>
        <charset val="204"/>
      </rPr>
      <t>label</t>
    </r>
    <r>
      <rPr>
        <sz val="10"/>
        <color indexed="64"/>
        <rFont val="Consolas"/>
        <family val="3"/>
        <charset val="204"/>
      </rPr>
      <t xml:space="preserve">) </t>
    </r>
    <r>
      <rPr>
        <b/>
        <sz val="10"/>
        <color indexed="16"/>
        <rFont val="Consolas"/>
        <family val="3"/>
        <charset val="204"/>
      </rPr>
      <t>as</t>
    </r>
  </si>
  <si>
    <t>(</t>
  </si>
  <si>
    <t>values</t>
  </si>
  <si>
    <r>
      <t>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'credit'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зачисления'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</si>
  <si>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'debit'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списания'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</si>
  <si>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'interest_account'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</si>
  <si>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'percent_pay'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выплаты'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</si>
  <si>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'previous_account'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'Предыдущий счет'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</si>
  <si>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'return'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возврата'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</si>
  <si>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'accounttype'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'third_party'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'Счет возврата\выплаты третьим лицам'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</si>
  <si>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</si>
  <si>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'edit'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</si>
  <si>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'migration'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</si>
  <si>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'open'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</si>
  <si>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'reorganization'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</si>
  <si>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'agreement'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'Двустороннее соглашение'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</si>
  <si>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'agreementtype'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'offer'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'Оферта'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</si>
  <si>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'calculatemethod'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'daily_average_balance'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'Начисление процентов на среднехронологический остаток'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</si>
  <si>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'calculatemethod'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'incoming_balance'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'Начисление процентов на входящий остаток'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</si>
  <si>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'bbmo'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'БЕЗБУМАЖНЫЙ БЭК- И МИДДЛ-ОФИС'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</si>
  <si>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'crm'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'CRM'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</si>
  <si>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'dbo'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'ДБО'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</si>
  <si>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'dogma'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'DOGMA'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</si>
  <si>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'hand_input'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'Ручной ввод'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</si>
  <si>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'oep'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'Операторы электронных площадок'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</si>
  <si>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'rmkib'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'RMKIB'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</si>
  <si>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'sbbol'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'СББОЛ'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</si>
  <si>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'sbmt'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'SBMT'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</si>
  <si>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'service'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'Сервис'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</si>
  <si>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'ufs'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'Единая фронтальная система'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</si>
  <si>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'upsh'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'УПШ'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</si>
  <si>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'channeltype'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'vsp'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'ВСП'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</si>
  <si>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'agreement_exist'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действующего соглашения'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</si>
  <si>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'authorities'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полномочий подписанта'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</si>
  <si>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'auto_client_stop_list'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клиента в «Стоп-лист»'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</si>
  <si>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'bankrupt_epk_deposit'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Клиента на банкротство'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</si>
  <si>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'client_customs_suspension'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приостановлений ФТС'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</si>
  <si>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'client_inn_kio_exist'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ИНН\КИО'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</si>
  <si>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'client_insolvent_result'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ликвидации'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</si>
  <si>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'client_suspension_result'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приостановлений ФНС'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</si>
  <si>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'compliance_decision'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Compliance'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</si>
  <si>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'compliance_sanctions'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клиента в санкционных списках'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</si>
  <si>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'correct_dates'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корректности дат сервиса'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</si>
  <si>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'correct_debit_date'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корректности даты для перечисления средств'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</si>
  <si>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'deals_exist'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действующих сделок'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</si>
  <si>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'individual_in_stop_list'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подписанта в «Стоп-лист»'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</si>
  <si>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'individual_percent_rate'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индивидуальной ставки'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</si>
  <si>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'loyalty'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лояльности'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</si>
  <si>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'non_resident_registration'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действующей постановки на учет в ФНС'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</si>
  <si>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'offer_exist'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наличия действующей оферты'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</si>
  <si>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'offer_not_exist'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отсутствия действующей оферты'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</si>
  <si>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'owner_physic_person_account'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счетов возврата и выплаты процентов на предмет принадлежности их к ФЛ'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</si>
  <si>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'percent_rate'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ставки продукта'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</si>
  <si>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счета выплаты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</si>
  <si>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'percents_pay_compliance_sanctions'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клиента в санкционных списках'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</si>
  <si>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'return_account'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счета возврата депозита'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</si>
  <si>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'checktype'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'spec_acc_deposit'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спец. счетов'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</si>
  <si>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'closecalculatetype'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'calculated'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'Проценты начисляются'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</si>
  <si>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'closecalculatetype'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'egr_not_calculated'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'Проценты начисляются. При ликвидации не начисляются'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</si>
  <si>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'closecalculatetype'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'no_information'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'Нет информации'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</si>
  <si>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'closecalculatetype'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'not_calculated'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'Проценты не начисляются'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</si>
  <si>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'bhb_push'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'БХБ.Уведомления. PUSH'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</si>
  <si>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'bhb_sms'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'БХБ.Уведомления. SMS'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</si>
  <si>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'bhb_web'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'БХБ.Уведомления. Колокольчик'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</si>
  <si>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'event_segment'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'Событийный сегмент'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</si>
  <si>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'frod'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'Фрод-мониторинг'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</si>
  <si>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'destination'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'sbbol'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'ИО в СББОЛ'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</si>
  <si>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'evententitytype'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'movement'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'Движения по регистрам'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</si>
  <si>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'fileentitystatus'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'Обработано с ошибкой'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</si>
  <si>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'fileentitystatus'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'success'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'Успешно обработано'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</si>
  <si>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'inputtype'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'Автоматический'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</si>
  <si>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'inputtype'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'hand'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'Ручной'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</si>
  <si>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'kindoperation'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'add'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'Сложение'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</si>
  <si>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'kindoperation'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'divide'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'Деление'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</si>
  <si>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'kindoperation'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'multiply'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'Умножение'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</si>
  <si>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'kindoperation'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'sub'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'Вычитание'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</si>
  <si>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'accountinginterestoperation'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'Начисление процентов по договору'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</si>
  <si>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'closeinterestaccountoperation'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'Закрытие счета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</si>
  <si>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'closeproductaccountoperationdto'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</si>
  <si>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'collectionorderoperation'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'Инкассовое поручение по списанию с депозита'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</si>
  <si>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'dpc.deposit.opr.creditoperation'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'ЦОД.Вклады.Зачисление на счет/вклад'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</si>
  <si>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'dpc.deposit.opr.fictitiouscreditoperation'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'ЦОД.Вклады.Зачисление на счет/вклад (Фиктивная)'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</si>
  <si>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'dulaccountingpercentsoperation'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'Начисление процентов по депозитам юридических лиц'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</si>
  <si>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'duladjunctiondepositoperation'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'Пополнение депозита в сервисе ПФ ДЮЛ'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</si>
  <si>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'dulchargeaccountedpercentsoperation'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'Зачисление учтенных процентов по депозитному договору ЮЛ / договору НСО'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</si>
  <si>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'dulpayinteresttaxoperation'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налога с регистра счета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</si>
  <si>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'dulpaypercentsoperation'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средств с регистра счета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</si>
  <si>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'dulreturnaccountedpercentsoperation'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ранее отраженных излишне начисленных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</si>
  <si>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'dulreturndepositamountoperation'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средств с регистра остатка основного счета депозита'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</si>
  <si>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'dulwriteoffaccountedpercentsoperation'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излишне учтенных процентов по депозитному договору ЮЛ / договору НСО'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</si>
  <si>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'fictitiousoperation'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'Фиктивная операция 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</si>
  <si>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'interbankpaymentcreditoperationtype'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'Зачисление на корреспондентский счет'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</si>
  <si>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'interestpaymentoperation'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'Выплата процентов по договору'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</si>
  <si>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'legalsettlementcreditholdoperation'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'Операция по зачислению на счет ЮЛ 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</si>
  <si>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'legalsettlementdebitholdoperation'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'Операция по установке холда на сумму платежа для уменьшения доступного остатка (списание с р/счета ЮЛ)'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</si>
  <si>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'lororubfixinoperation'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'Зачисление на счет Респондента'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</si>
  <si>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'opendepositaccountoperation'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'Открытие депозитного счета'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</si>
  <si>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'openinterestaccountoperation'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'Открытие счета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</si>
  <si>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'paymenttax'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'Удержание налога'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</si>
  <si>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'prolongatedepositaccountoperation'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'Пролонгация депозитного счета'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</si>
  <si>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'replenishmentoperation'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'Пополнение депозита'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</si>
  <si>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'writeoffaccountedinterestoperation'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излишне учтенных процентов по договору 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</si>
  <si>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'manual_operationtype'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'writeoffpaidinterestdepositoperation'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'Списание излишне выплаченных процентов по депозиту'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</si>
  <si>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'migrationtype'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'digital_id'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'Миграция digitalId'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</si>
  <si>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'movementkind'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'Увеличивается остаток'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</si>
  <si>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'movementkind'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'out'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'Уменьшается остаток'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</si>
  <si>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'offertype'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'Автокотировка'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</si>
  <si>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'offertype'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'handinput'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'Ручной ввод'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</si>
  <si>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'offertype'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'pkp'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'Предодобренное коммерческое предложение(ПКП)'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</si>
  <si>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'producttype'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'deposit'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</si>
  <si>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'producttype'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'nso'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</si>
  <si>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'producttype'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'sdo'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</si>
  <si>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'calculated'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'Вычисляемая'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</si>
  <si>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'depend_on_amount'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'Ставка зависит от суммы'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</si>
  <si>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'depend_on_term'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'Ставка зависит от срока'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</si>
  <si>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'fix'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'Фиксированная ставка'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</si>
  <si>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'ratetariffkind'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'Индивидуальная ставка продукта'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</si>
  <si>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'ratetariffkind'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'tariff'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'Данные из справочника'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</si>
  <si>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'another_bank_account_closed'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</si>
  <si>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'authority_for_service_not_exists'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</si>
  <si>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'bankrupt_all'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</si>
  <si>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'bankrupt_all_party'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</si>
  <si>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'bankrupt_individual_financial_recovery'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</si>
  <si>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'bankrupt_individual_management'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</si>
  <si>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'bankrupt_individual_restructuring'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</si>
  <si>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'bankrupt_individual_selling_stuff'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</si>
  <si>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'bankrupt_legal_amicable_settlement'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</si>
  <si>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'bankrupt_legal_competition_prolongation'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</si>
  <si>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'bankrupt_legal_competition_recall'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</si>
  <si>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'bankrupt_legal_liquidation'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</si>
  <si>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'bankrupt_legal_stage_check'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</si>
  <si>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'bankrupt_legal_supervision'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</si>
  <si>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'client_inn_kio_not_exist'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</si>
  <si>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'client_in_sanctions_list'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</si>
  <si>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'close_payment_account'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</si>
  <si>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'compliance_decision_data_error_refuse'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</si>
  <si>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'compliance_decision_tech_error_refuse'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</si>
  <si>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'correct_dates'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</si>
  <si>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'correct_debit_date'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</si>
  <si>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'different_inn'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</si>
  <si>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'found_active_offer_request'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</si>
  <si>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'found_agreement'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</si>
  <si>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'found_agreement_hand_input'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</si>
  <si>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'found_deals'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</si>
  <si>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'found_offer_hand_input'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</si>
  <si>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'internal_bank_policy_sanctions'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</si>
  <si>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'non_resident_registration_confirmed'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</si>
  <si>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'not_agreed_individual_percent_rate'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</si>
  <si>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</si>
  <si>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'not_provided_operations_conditions'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</si>
  <si>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'not_provided_operations_debtor'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</si>
  <si>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'not_provided_operations_dep_eq_acc'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</si>
  <si>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'not_provided_operations_eq_acc'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</si>
  <si>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'not_provided_operations_invest'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</si>
  <si>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'not_provided_operations_nominal'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</si>
  <si>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'not_provided_operations_notarius'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</si>
  <si>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'not_provided_operations_nso_eq_acc'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</si>
  <si>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'not_provided_operations_overhaul'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</si>
  <si>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'not_provided_operations_pension'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</si>
  <si>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'not_provided_operations_prav_org'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</si>
  <si>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'not_provided_operations_reg_op'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</si>
  <si>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'not_provided_operations_reg_op_dep'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</si>
  <si>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'not_provided_operations_rko_goz'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</si>
  <si>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'not_provided_operations_seg_bank'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</si>
  <si>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'not_provided_operations_seg_nso'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</si>
  <si>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'not_provided_operations_sro'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</si>
  <si>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'not_provided_operations_ssp'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</si>
  <si>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'not_provided_operations_sum'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</si>
  <si>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'not_provided_operations_trust'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</si>
  <si>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'not_provided_operations_zalog'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</si>
  <si>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'owner_account_is_physic_person'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</si>
  <si>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'percents_pay_account_not_approved'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</si>
  <si>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'rcr_error_102'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</si>
  <si>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'rcr_error_102_sdo'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</si>
  <si>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'relation_21_not_found'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</si>
  <si>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'return_account_not_approved'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</si>
  <si>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'stop_list_person_invalid_document'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</si>
  <si>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'refusereasoncode'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'stop_list_suspension'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</si>
  <si>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'registertype'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'deposit_account'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'Депозитный счет'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</si>
  <si>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'registertype'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'interest_account'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'Учет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</si>
  <si>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'registertype'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'payment_account'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'Выплата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</si>
  <si>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'registertype'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'tax_payment'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'Выплата налога'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</si>
  <si>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'replenishmenttype'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'Поручение на списание Банком'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</si>
  <si>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'replenishmenttype'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'client'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'Самостоятельное перечисление'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</si>
  <si>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'rmoctasktype'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'Сервис расторжения'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</si>
  <si>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'rmoctasktype'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'hybrid'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'Гибрид (создание+расторжение)'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</si>
  <si>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'rmoctasktype'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'open'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'Сервис создания'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</si>
  <si>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'calculate'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'Расчет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</si>
  <si>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'cancel_interest_accounting'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'Аннулирование учета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</si>
  <si>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'cancellation'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'Аннулирование'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</si>
  <si>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'cancel_open_accounts'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'Аннулирование открытия счетов'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</si>
  <si>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'change'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'Изменение'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</si>
  <si>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'change_conditions'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'Изменение существенных условий'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</si>
  <si>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'check_sanction_list'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в санкционных списках'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</si>
  <si>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'close'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'Закрытие продукта'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</si>
  <si>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'interest_accounting'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'Учет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</si>
  <si>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'interest_payment'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'Выплата процентов'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</si>
  <si>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'legacy_interest_accounting'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'Учет процентов из ЕКС'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</si>
  <si>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'legacy_interest_payment'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'Выплата процентов из ЕКС'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</si>
  <si>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'migration'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'Миграция'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</si>
  <si>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'open'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'Открытие'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</si>
  <si>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'prolongation'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'Пролонгация'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</si>
  <si>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'recall'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'Отзыв'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</si>
  <si>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'replenishment'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'Пополнение'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</si>
  <si>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'send_interest_account'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'Отправка счета в ЕКС'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</si>
  <si>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'tax_payment'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'Удержание налога'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</si>
  <si>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'servicetype'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'tax_refund'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'Возврат налога'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</si>
  <si>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'specialattributedecisiontype'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'accept'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'Проверка пройдена'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</si>
  <si>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'specialattributedecisiontype'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'Требуется дополнительная проверка ФП Банковское сопровождение'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</si>
  <si>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'specialattributedecisiontype'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'dul'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'Требуется дополнительная проверка сотрудником'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</si>
  <si>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'specialattributedecisiontype'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'refuse'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'Отказ по проверке'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</si>
  <si>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'specialattributedecisiontype'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'sa'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'Требуется проверка на равенство счетов'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</si>
  <si>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'substatustype'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'Accounting Engine'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</si>
  <si>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'substatustype'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'batch'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'Platform V Batch'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</si>
  <si>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'substatustype'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'pgw'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'Payment Gateway'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</si>
  <si>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'substatustype'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'uod'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'Управление операционным днем'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</si>
  <si>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'typeindicator'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'keyrate'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'Ключевая ставка'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</si>
  <si>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'typeindicator'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'mosprime'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'Индикатор MosPrime'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</si>
  <si>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'typeindicator'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'ruonia'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'Индикатор RUONIA'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</si>
  <si>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'typeofconditions'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'individual'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'Индивидуальные условия'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</si>
  <si>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'typeofconditions'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'none'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</si>
  <si>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'typeofconditions'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'public'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'Публичные условия'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</si>
  <si>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'authority_for_service_check'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</si>
  <si>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</si>
  <si>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'bankrupt_individual_financial_recovery'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</si>
  <si>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'bankrupt_individual_management'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</si>
  <si>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'bankrupt_individual_restructuring'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</si>
  <si>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'bankrupt_individual_selling_stuff'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</si>
  <si>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'bankrupt_legal_amicable_settlement'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</si>
  <si>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'bankrupt_legal_competition_prolongation'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</si>
  <si>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'bankrupt_legal_competition_recall'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</si>
  <si>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'bankrupt_legal_liquidation'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</si>
  <si>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'bankrupt_legal_stage_check'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</si>
  <si>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'bankrupt_legal_supervision'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</si>
  <si>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'compliance_decision_data_error'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</si>
  <si>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'compliance_decision_tech_error'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</si>
  <si>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'data_error_compliance_sanctions_check'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</si>
  <si>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'diu_change_spec_acc_deposit_check'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</si>
  <si>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'diu_spec_acc_deposit_check'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</si>
  <si>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'equal_score_spec_acc_deposit_check'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</si>
  <si>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'error_authority_for_service_check'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</si>
  <si>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'error_bankrupt'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</si>
  <si>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'error_found_agreement'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</si>
  <si>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'error_individual_percent_rate_check'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</si>
  <si>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'error_non_resident_registration'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</si>
  <si>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'error_owner_physic_person_account'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</si>
  <si>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'error_percents_pay_account'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</si>
  <si>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'error_return_account'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</si>
  <si>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</si>
  <si>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'error_stop_list_check_individual_in'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</si>
  <si>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'error_stop_list_check_legal_in'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</si>
  <si>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'found_agreement'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</si>
  <si>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'found_deals'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</si>
  <si>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'investment_change_spec_acc_deposit_check'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</si>
  <si>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'investment_spec_acc_deposit_check'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</si>
  <si>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'non_resident_registration'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</si>
  <si>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'not_auto_individual_percent_rate_check'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</si>
  <si>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'pension_change_spec_acc_deposit_check'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</si>
  <si>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'pension_spec_acc_deposit_check'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</si>
  <si>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'percents_pay_account_21_error'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</si>
  <si>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'percents_pay_account_closed'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</si>
  <si>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'percents_pay_account_closed_sdo'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</si>
  <si>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'percents_pay_account_is_not_sbrf'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</si>
  <si>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'percents_pay_compliance_error'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</si>
  <si>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'region_operator_spec_acc_deposit_check'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</si>
  <si>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'reg_op_change_spec_acc_deposit_check'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</si>
  <si>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'return_account_is_not_sbrf'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</si>
  <si>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'segregated_bank_spec_acc_deposit_check'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</si>
  <si>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</si>
  <si>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'stop_list_check_individual_in'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</si>
  <si>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'stop_list_check_legal_in'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</si>
  <si>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'trust_accept_nso_spec_acc_deposit_check'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</si>
  <si>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'trust_accept_spec_acc_deposit_check'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</si>
  <si>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'trust_nso_spec_acc_deposit_check'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</si>
  <si>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'trust_spec_acc_deposit_check'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</si>
  <si>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r>
      <t>, (</t>
    </r>
    <r>
      <rPr>
        <b/>
        <sz val="10"/>
        <color indexed="17"/>
        <rFont val="Consolas"/>
        <family val="3"/>
        <charset val="204"/>
      </rPr>
      <t>'userinstructioncode'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7"/>
        <rFont val="Consolas"/>
        <family val="3"/>
        <charset val="204"/>
      </rPr>
      <t>'zalog_spec_acc_deposit_check'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null</t>
    </r>
    <r>
      <rPr>
        <sz val="10"/>
        <color indexed="64"/>
        <rFont val="Consolas"/>
        <family val="3"/>
        <charset val="204"/>
      </rPr>
      <t>)</t>
    </r>
  </si>
  <si>
    <t>)</t>
  </si>
  <si>
    <r>
      <t>insert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6"/>
        <rFont val="Consolas"/>
        <family val="3"/>
        <charset val="204"/>
      </rPr>
      <t>into</t>
    </r>
    <r>
      <rPr>
        <sz val="10"/>
        <color indexed="64"/>
        <rFont val="Consolas"/>
        <family val="3"/>
        <charset val="204"/>
      </rPr>
      <t xml:space="preserve"> </t>
    </r>
    <r>
      <rPr>
        <sz val="10"/>
        <color rgb="FF956037"/>
        <rFont val="Consolas"/>
        <family val="3"/>
        <charset val="204"/>
      </rPr>
      <t>s_grnplm_as_t_didsd_305_db_stg</t>
    </r>
    <r>
      <rPr>
        <sz val="10"/>
        <color indexed="64"/>
        <rFont val="Consolas"/>
        <family val="3"/>
        <charset val="204"/>
      </rPr>
      <t>.</t>
    </r>
    <r>
      <rPr>
        <sz val="10"/>
        <color rgb="FF8E00C6"/>
        <rFont val="Consolas"/>
        <family val="3"/>
        <charset val="204"/>
      </rPr>
      <t>s305_0999_enums</t>
    </r>
    <r>
      <rPr>
        <sz val="10"/>
        <color indexed="64"/>
        <rFont val="Consolas"/>
        <family val="3"/>
        <charset val="204"/>
      </rPr>
      <t xml:space="preserve"> (</t>
    </r>
    <r>
      <rPr>
        <sz val="10"/>
        <color rgb="FF006464"/>
        <rFont val="Consolas"/>
        <family val="3"/>
        <charset val="204"/>
      </rPr>
      <t>enum_name</t>
    </r>
    <r>
      <rPr>
        <sz val="10"/>
        <color indexed="64"/>
        <rFont val="Consolas"/>
        <family val="3"/>
        <charset val="204"/>
      </rPr>
      <t xml:space="preserve">, </t>
    </r>
    <r>
      <rPr>
        <sz val="10"/>
        <color rgb="FF006464"/>
        <rFont val="Consolas"/>
        <family val="3"/>
        <charset val="204"/>
      </rPr>
      <t>value_name</t>
    </r>
    <r>
      <rPr>
        <sz val="10"/>
        <color indexed="64"/>
        <rFont val="Consolas"/>
        <family val="3"/>
        <charset val="204"/>
      </rPr>
      <t xml:space="preserve">, </t>
    </r>
    <r>
      <rPr>
        <b/>
        <sz val="10"/>
        <color indexed="16"/>
        <rFont val="Consolas"/>
        <family val="3"/>
        <charset val="204"/>
      </rPr>
      <t>label</t>
    </r>
    <r>
      <rPr>
        <sz val="10"/>
        <color indexed="64"/>
        <rFont val="Consolas"/>
        <family val="3"/>
        <charset val="204"/>
      </rPr>
      <t>)</t>
    </r>
  </si>
  <si>
    <r>
      <t>select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sz val="10"/>
        <color rgb="FF006464"/>
        <rFont val="Consolas"/>
        <family val="3"/>
        <charset val="204"/>
      </rPr>
      <t>enum_name</t>
    </r>
    <r>
      <rPr>
        <sz val="10"/>
        <color indexed="64"/>
        <rFont val="Consolas"/>
        <family val="3"/>
        <charset val="204"/>
      </rPr>
      <t xml:space="preserve">),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sz val="10"/>
        <color rgb="FF006464"/>
        <rFont val="Consolas"/>
        <family val="3"/>
        <charset val="204"/>
      </rPr>
      <t>value_name</t>
    </r>
    <r>
      <rPr>
        <sz val="10"/>
        <color indexed="64"/>
        <rFont val="Consolas"/>
        <family val="3"/>
        <charset val="204"/>
      </rPr>
      <t xml:space="preserve">), </t>
    </r>
    <r>
      <rPr>
        <b/>
        <sz val="10"/>
        <color indexed="16"/>
        <rFont val="Consolas"/>
        <family val="3"/>
        <charset val="204"/>
      </rPr>
      <t>label</t>
    </r>
  </si>
  <si>
    <r>
      <t>from</t>
    </r>
    <r>
      <rPr>
        <sz val="10"/>
        <color indexed="64"/>
        <rFont val="Consolas"/>
        <family val="3"/>
        <charset val="204"/>
      </rPr>
      <t xml:space="preserve"> </t>
    </r>
    <r>
      <rPr>
        <b/>
        <i/>
        <sz val="10"/>
        <color rgb="FFFF3737"/>
        <rFont val="Consolas"/>
        <family val="3"/>
        <charset val="204"/>
      </rPr>
      <t>tt_enums</t>
    </r>
    <r>
      <rPr>
        <sz val="10"/>
        <color indexed="64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</t>
    </r>
  </si>
  <si>
    <t>where</t>
  </si>
  <si>
    <r>
      <t>not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6"/>
        <rFont val="Consolas"/>
        <family val="3"/>
        <charset val="204"/>
      </rPr>
      <t>exists</t>
    </r>
  </si>
  <si>
    <r>
      <t>select</t>
    </r>
    <r>
      <rPr>
        <sz val="10"/>
        <color indexed="64"/>
        <rFont val="Consolas"/>
        <family val="3"/>
        <charset val="204"/>
      </rPr>
      <t xml:space="preserve"> </t>
    </r>
    <r>
      <rPr>
        <sz val="10"/>
        <color indexed="4"/>
        <rFont val="Consolas"/>
        <family val="3"/>
        <charset val="204"/>
      </rPr>
      <t>1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6"/>
        <rFont val="Consolas"/>
        <family val="3"/>
        <charset val="204"/>
      </rPr>
      <t>from</t>
    </r>
    <r>
      <rPr>
        <sz val="10"/>
        <color indexed="64"/>
        <rFont val="Consolas"/>
        <family val="3"/>
        <charset val="204"/>
      </rPr>
      <t xml:space="preserve"> </t>
    </r>
    <r>
      <rPr>
        <sz val="10"/>
        <color rgb="FF956037"/>
        <rFont val="Consolas"/>
        <family val="3"/>
        <charset val="204"/>
      </rPr>
      <t>s_grnplm_as_t_didsd_305_db_stg</t>
    </r>
    <r>
      <rPr>
        <sz val="10"/>
        <color indexed="64"/>
        <rFont val="Consolas"/>
        <family val="3"/>
        <charset val="204"/>
      </rPr>
      <t>.</t>
    </r>
    <r>
      <rPr>
        <sz val="10"/>
        <color rgb="FF8E00C6"/>
        <rFont val="Consolas"/>
        <family val="3"/>
        <charset val="204"/>
      </rPr>
      <t>s305_0999_enums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6"/>
        <rFont val="Consolas"/>
        <family val="3"/>
        <charset val="204"/>
      </rPr>
      <t>as</t>
    </r>
    <r>
      <rPr>
        <sz val="10"/>
        <color indexed="64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t</t>
    </r>
  </si>
  <si>
    <r>
      <t>where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i/>
        <sz val="10"/>
        <color rgb="FF8E00C6"/>
        <rFont val="Consolas"/>
        <family val="3"/>
        <charset val="204"/>
      </rPr>
      <t>s</t>
    </r>
    <r>
      <rPr>
        <sz val="10"/>
        <color indexed="64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enum_name</t>
    </r>
    <r>
      <rPr>
        <sz val="10"/>
        <color indexed="64"/>
        <rFont val="Consolas"/>
        <family val="3"/>
        <charset val="204"/>
      </rPr>
      <t xml:space="preserve">) =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i/>
        <sz val="10"/>
        <color rgb="FF8E00C6"/>
        <rFont val="Consolas"/>
        <family val="3"/>
        <charset val="204"/>
      </rPr>
      <t>t</t>
    </r>
    <r>
      <rPr>
        <sz val="10"/>
        <color indexed="64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enum_name</t>
    </r>
    <r>
      <rPr>
        <sz val="10"/>
        <color indexed="64"/>
        <rFont val="Consolas"/>
        <family val="3"/>
        <charset val="204"/>
      </rPr>
      <t xml:space="preserve">) </t>
    </r>
    <r>
      <rPr>
        <b/>
        <sz val="10"/>
        <color indexed="16"/>
        <rFont val="Consolas"/>
        <family val="3"/>
        <charset val="204"/>
      </rPr>
      <t>and</t>
    </r>
    <r>
      <rPr>
        <sz val="10"/>
        <color indexed="64"/>
        <rFont val="Consolas"/>
        <family val="3"/>
        <charset val="204"/>
      </rPr>
      <t xml:space="preserve">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i/>
        <sz val="10"/>
        <color rgb="FF8E00C6"/>
        <rFont val="Consolas"/>
        <family val="3"/>
        <charset val="204"/>
      </rPr>
      <t>s</t>
    </r>
    <r>
      <rPr>
        <sz val="10"/>
        <color indexed="64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value_name</t>
    </r>
    <r>
      <rPr>
        <sz val="10"/>
        <color indexed="64"/>
        <rFont val="Consolas"/>
        <family val="3"/>
        <charset val="204"/>
      </rPr>
      <t xml:space="preserve">) = </t>
    </r>
    <r>
      <rPr>
        <b/>
        <sz val="10"/>
        <color indexed="18"/>
        <rFont val="Consolas"/>
        <family val="3"/>
        <charset val="204"/>
      </rPr>
      <t>lower</t>
    </r>
    <r>
      <rPr>
        <sz val="10"/>
        <color indexed="64"/>
        <rFont val="Consolas"/>
        <family val="3"/>
        <charset val="204"/>
      </rPr>
      <t>(</t>
    </r>
    <r>
      <rPr>
        <i/>
        <sz val="10"/>
        <color rgb="FF8E00C6"/>
        <rFont val="Consolas"/>
        <family val="3"/>
        <charset val="204"/>
      </rPr>
      <t>t</t>
    </r>
    <r>
      <rPr>
        <sz val="10"/>
        <color indexed="64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value_name</t>
    </r>
    <r>
      <rPr>
        <sz val="10"/>
        <color indexed="64"/>
        <rFont val="Consolas"/>
        <family val="3"/>
        <charset val="204"/>
      </rPr>
      <t>)</t>
    </r>
  </si>
  <si>
    <t>;</t>
  </si>
  <si>
    <t>Описание блока</t>
  </si>
  <si>
    <t>Связь договора и процентной схемы (при соблюдении условий)</t>
  </si>
  <si>
    <t>Связь договора и процентной схемы (при отзыве)</t>
  </si>
  <si>
    <t>Связь договора и процентной схемы (при частичном отзыве)</t>
  </si>
  <si>
    <t>Связь договора и процентной схемы (при взыскании)</t>
  </si>
  <si>
    <t>Параметры процентной схемы по депозитному договору (простая ставка)</t>
  </si>
  <si>
    <t>Параметры процентной схемы по депозитному договору (ставка в зависимости от суммы депозита)</t>
  </si>
  <si>
    <t>Параметры процентной схемы по депозитному договору (плавающая ставка с зависимостью от остатка)</t>
  </si>
  <si>
    <t>Параметры процентной схемы по депозитному договору (плавающая ставка)</t>
  </si>
  <si>
    <t>Параметры процентной схемы по депозитному договору (ставка в зависимости от срока депозита)</t>
  </si>
  <si>
    <t>Бизнес-Сервис (создание соглашения)</t>
  </si>
  <si>
    <t>Бизнес-Сервис (создание продукта)</t>
  </si>
  <si>
    <t>Бизнес-Сервис (технический сервис)</t>
  </si>
  <si>
    <t>Бизнес-Сервис (плановый сервис)</t>
  </si>
  <si>
    <t>Специфические атрибуты бизнес-сервиса депозитного договора (создание соглашения)</t>
  </si>
  <si>
    <t>Специфические атрибуты бизнес-сервиса депозитного договора (создание продукта)</t>
  </si>
  <si>
    <t>Тип бизнес-сервиса (для сервиса создания соглашения)</t>
  </si>
  <si>
    <t>Тип бизнес-сервиса (для продуктового, технического и планового сервисов)</t>
  </si>
  <si>
    <t>На листе "s2t" добавлена колонка "Описание блока".</t>
  </si>
  <si>
    <t>-1001^Исполняемый сервис</t>
  </si>
  <si>
    <t>possibilityfullrefund</t>
  </si>
  <si>
    <t>possibilityreplenishment</t>
  </si>
  <si>
    <t>Возможность полного отзыва</t>
  </si>
  <si>
    <t>На листах "a2b_columns" и "source_columns" для depositadditionalinfo добавлены поля possibilityfullrefund, possibilityreplenishment.</t>
  </si>
  <si>
    <t>dul$full_refund_flag</t>
  </si>
  <si>
    <t>На листе "s2t"
[20] t_agr_dep$dul - добавлены поля dul$full_refund_flag, dul$replenishable_flag.</t>
  </si>
  <si>
    <t>select
 b.*
 , technicalservice.product_entityid_uid
from
 $$305stg.b3050000420005_paymentdetails as b
 left outer join $$305stg.s305_0015_technicalservice as technicalservice
 on true
  and b.technicalservice_id = technicalservice.object_id
  and upper(technicalservice.ctl_action) &lt;&gt; 'D'
where 1 = 1</t>
  </si>
  <si>
    <t>select
 b.*
 , userinfo.object_id_uid as create_emp_id
from 
 $$305stg.b3050000420010_productservice as b
 -- This s-table contains users whose name is NOT 'Технический пользователь'
 left outer join $$305stg.s305_0016_userinfo as userinfo
 on true
  and b.usercreate_entityid = userinfo.object_id
  and upper(userinfo.ctl_action) &lt;&gt; 'D'
where 1 = 1
 and b.product_entityid_uid is not null</t>
  </si>
  <si>
    <t>select
 technicalservice.*
 , additionaltechnicaldata.beginCalcPeriod
 , additionaltechnicaldata.endCalcPeriod
from
 $$305stg.s305_0015_technicalservice as technicalservice
 left outer join $$305stg.s305_0028_additionaltechnicaldata as additionaltechnicaldata
 on true
  and technicalservice.object_id = additionaltechnicaldata.technicalservice_id
  and upper(additionaltechnicaldata.ctl_action) &lt;&gt; 'D'
where true
 and 
 (
    -- technicalservice arrived with increment
    -- 1 - load, 0 - skip, null - skip
    technicalservice.incr_flag = 1
    -- Following conditions SHOULD NOT BE NULL!
    -- additionaltechnicaldata arrived with increment or technicalservice arrived with increment
    -- 1 - load, 0 - skip, null - analyze technicalservice.incr_flag
    or coalesce(additionaltechnicaldata.incr_flag, technicalservice.incr_flag) = 1
 )</t>
  </si>
  <si>
    <t>select 
 productkind.*
 , case productkind.isstructural when true then 'Y' when false then 'N' end as dul$structural_flag
 , case productsettings.ispartialrecallable when true then 'Y' when false then 'N' end as dul$partial_recallable_flag
 , case productsettings.isrecallable when true then 'Y' when false then 'N' end as dul$recallable_flag
 , case productsettings.isreplenishable when true then 'Y' when false then 'N' end as dul$replenishable_flag
from
 $$305stg.s305_0008_productkind as productkind
 left outer join $$305stg.s305_0030_productsettings as productsettings
 on true
  and productkind.object_id = productsettings.productkind_id
  and upper(productsettings.ctl_action) &lt;&gt; 'D'
where true
 and
 (
  -- productkind arrived with increment
  -- 1 - load, 0 - skip, null - skip
  productkind.incr_flag = 1
  -- Following conditions SHOULD NOT BE NULL!
  -- productsettings arrived with increment or productkind arrived with increment
  -- 1 - load, 0 - skip, null - analyze productkind.incr_flag
  or coalesce(productsettings.incr_flag, productkind.incr_flag) = 1
 )</t>
  </si>
  <si>
    <t>select
 product.*
 , depositadditionalinfo.minamount
 , depositadditionalinfo.maxamount
 , depositadditionalinfo.minreplenishmentamount
 , depositadditionalinfo.maxreplenishmentamount
from
 $$305stg.s305_0007_product as product
 left outer join $$305stg.s305_0026_depositadditionalinfo as depositadditionalinfo
 on true
  and product.object_id = depositadditionalinfo.product_id
  and upper(depositadditionalinfo.ctl_action) &lt;&gt; 'D'
where true
 and
 (
  product.amount is not null
  or product.duration is not null
  or product.paymentperiod_id_uid is not null
  or depositadditionalinfo.minamount is not null
  or depositadditionalinfo.maxamount is not null
  or depositadditionalinfo.minreplenishmentamount is not null
  or depositadditionalinfo.maxreplenishmentamount is not null
 )
 and
 (
  -- Product arrived with increment
  -- 1 - load, 0 - skip, null - skip
  product.incr_flag = 1
  -- Following conditions SHOULD NOT BE NULL!
  -- depositadditionalinfo arrived with increment or Product arrived with increment
  -- 1 - load, 0 - skip, null - analyze product.incr_flag
  or coalesce(depositadditionalinfo.incr_flag, product.incr_flag) = 1
 )</t>
  </si>
  <si>
    <t>На листе "s2t" для блоков из списка ниже добавлен фильтр на ctl_action &lt;&gt; 'D' для присоединяемых (join) таблиц:
[10] t_agr_dep
[20] t_agr_dep$dul
[40] t_agr_dep_fin
[150] t_bus_srv
[170] t_bus_srv$dul
[280] t_optn
[370] t_bus_srv
[390] t_bus_srv
[540] t_prod$dul</t>
  </si>
  <si>
    <t>select
 b.*
 , userinfo.object_id_uid as create_emp_id
from
 $$305stg.b3050000420001_agreementservice as b
 -- This s-table contains users whose name is not 'Технический пользователь'
 left outer join $$305stg.s305_0016_userinfo as userinfo
 on true
  and b.usercreate_entityid = userinfo.object_id
  and upper(userinfo.ctl_action) &lt;&gt; 'D'
where 1 = 1</t>
  </si>
  <si>
    <t>generated on 2025-10-23 19:53:00 from file "tai_s2t_utility_060_input\DM 2024-10-17-305-manual-547.xlsx", sheet "UDP модели АХД ППРБ"</t>
  </si>
  <si>
    <t>t_agr_dep_coa</t>
  </si>
  <si>
    <t>agr_dep_coa_role_id</t>
  </si>
  <si>
    <t>t_agr_dep_coa_role.agr_dep_coa_role_id</t>
  </si>
  <si>
    <t>id роли счета</t>
  </si>
  <si>
    <t>coa_id</t>
  </si>
  <si>
    <t>t_coa.coa_id</t>
  </si>
  <si>
    <t>id счета</t>
  </si>
  <si>
    <t>t_agr_dep_coa_role</t>
  </si>
  <si>
    <t>agr_dep_coa_role_cd</t>
  </si>
  <si>
    <t>Код роли счета</t>
  </si>
  <si>
    <t>agr_dep_coa_role_desc</t>
  </si>
  <si>
    <t>Описание роли счета</t>
  </si>
  <si>
    <t>host_agr_dep_coa_role_id</t>
  </si>
  <si>
    <t>id роли счета в системе-источнике</t>
  </si>
  <si>
    <t>t_agr_dep_ext_coa</t>
  </si>
  <si>
    <t>agr_dep_ext_coa_role_id</t>
  </si>
  <si>
    <t>t_agr_dep_ext_coa_role.agr_dep_ext_coa_role_id</t>
  </si>
  <si>
    <t>id роли внешнего счета</t>
  </si>
  <si>
    <t>ext_coa_id</t>
  </si>
  <si>
    <t>t_ext_coa.ext_coa_id</t>
  </si>
  <si>
    <t>id внешнего счета</t>
  </si>
  <si>
    <t>t_agr_dep_ext_coa_role</t>
  </si>
  <si>
    <t>agr_dep_ext_coa_role_cd</t>
  </si>
  <si>
    <t>Код роли внешнего счета</t>
  </si>
  <si>
    <t>agr_dep_ext_coa_role_desc</t>
  </si>
  <si>
    <t>Описание роли внешнего счета</t>
  </si>
  <si>
    <t>host_agr_dep_ext_coa_role_id</t>
  </si>
  <si>
    <t>id роли внешнего счета в системе-источнике</t>
  </si>
  <si>
    <t>t_coa</t>
  </si>
  <si>
    <t>host_coa_id</t>
  </si>
  <si>
    <t>id счета в системе-источнике</t>
  </si>
  <si>
    <t>t_ext_coa</t>
  </si>
  <si>
    <t>ext_coa_num</t>
  </si>
  <si>
    <t>Номер внешнего счета</t>
  </si>
  <si>
    <t>host_ext_coa_id</t>
  </si>
  <si>
    <t>id внешнего счета в системе-источнике</t>
  </si>
  <si>
    <t xml:space="preserve">Признак возможности частично-досрочного расторжения </t>
  </si>
  <si>
    <t>Идентификатор родительского регистра</t>
  </si>
  <si>
    <t>Связь депозитного договора и счета</t>
  </si>
  <si>
    <t>Справочник "Роль счета"</t>
  </si>
  <si>
    <t>Аналитический счет</t>
  </si>
  <si>
    <t>Связь депозитного договора и внешнего счета</t>
  </si>
  <si>
    <t>Справочник "Роль внешнего счета"</t>
  </si>
  <si>
    <t>Аналитический счет во внешнем банке</t>
  </si>
  <si>
    <t>n3050000420030_agr_dep_coa</t>
  </si>
  <si>
    <t>n3050000420040_agr_dep_coa_role</t>
  </si>
  <si>
    <t>n3050000420060_agr_dep_ext_coa</t>
  </si>
  <si>
    <t>n3050000420070_agr_dep_ext_coa_role</t>
  </si>
  <si>
    <t>n3050000420260_coa</t>
  </si>
  <si>
    <t>n3050000420310_ext_coa</t>
  </si>
  <si>
    <t>ext_coa_uid</t>
  </si>
  <si>
    <t>accounttype_uid</t>
  </si>
  <si>
    <t>with b as
(
 select
  b.accounttype_uid  
  , max(b.accounttype) as accounttype
  , max(b.input_file_id) as input_file_id
  , max(b.info_system_id) as info_system_id
  , max(b.ctl_action) as ctl_action
  , max(b.ctl_validfrom::date) as ctl_validfrom
 from $$305stg.b3050000420027_productaccount as b
 where 1 = 1
  and b.accounttype_uid is not null
 group by 1
)
select
 b.*
 , enums.label
from
 b
 left outer join $$305stg.s305_0999_enums as enums
 on 1 = 1
  and lower(trim(b.accounttype)) = lower(trim(enums.value_name))
  and lower(trim(enums.enum_name)) = 'accounttype'
  and enums.label is not null</t>
  </si>
  <si>
    <t>dul$input_type_cd</t>
  </si>
  <si>
    <t>Способ ввода заявки на депозит.</t>
  </si>
  <si>
    <t>На листе "source_columns" для b3050000420027_productaccount добавлены поля:
accounttype_uid
object_id_uid
ext_coa_uid
product_id_uid
На листе "target_tables" добавлены таблицы:
t_agr_dep_coa
t_agr_dep_coa_role
t_agr_dep_ext_coa
t_agr_dep_ext_coa_role
t_coa
t_ext_coa
На листе "target_columns" добавлены таблицы:
t_agr_dep_coa
t_agr_dep_coa_role
t_agr_dep_ext_coa
t_agr_dep_ext_coa_role
t_coa
t_ext_coa
и поле t_bus_srv$dul.dul$input_type_cd
На листе "s2t"
Добавлены блоки:
[550] t_coa
[560] t_ext_coa
[570] t_agr_dep_coa_role
[580] t_agr_dep_ext_coa_role
[590] t_agr_dep_coa
[600] t_agr_dep_ext_coa
Для блока [170] t_bus_srv$dul добавлено поле dul$input_type_cd.</t>
  </si>
  <si>
    <t>select
 productservice.*
 , individualparams.calcid
from
 $$305stg.s305_0010_productservice as productservice
 left outer join $$305stg.s305_0003_individualparams as individualparams
 on true
  and productservice.object_id = individualparams.service_id
  and upper(individualparams.ctl_action) &lt;&gt; 'D'
where true
 and
 (
  individualparams.calcid is not null
  or productservice.offertype_uid is not null
  or productservice.requestnumber is not null
  or productservice.inputtype is not null
 )
 and
 (
  -- ProductService arrived with increment
  -- 1 - load, 0 - skip, null - skip
  productservice.incr_flag = 1
  -- Following conditions SHOULD NOT BE NULL!
  -- IndividualParams arrived with increment or ProductService arrived with increment
  -- 1 - load, 0 - skip, null - analyze ProductService.incr_flag  
  or coalesce(individualparams.incr_flag, productservice.incr_flag) = 1
 )
 and productservice.product_entityid_uid is not null</t>
  </si>
  <si>
    <t>coalesce(accounttype_uid, '00000000-0000-0000-0000-0000ffffffff'::uuid)</t>
  </si>
  <si>
    <t>На листе "s2t":
[170] t_bus_srv$dul - добавлен фильтр "or productservice.inputtype is not null"
[590] t_agr_dep_coa - добавлен coalesce(accounttype_uid, '00000000-0000-0000-0000-0000ffffffff'::uuid)
[600] t_agr_dep_ext_coa - добавлен coalesce(accounttype_uid, '00000000-0000-0000-0000-0000ffffffff'::uuid)</t>
  </si>
  <si>
    <t>На листе "s2t":
[10] t_agr_dep - добавлена дедубликация для productaccount на случай, если мы пропустили инкремент с удалениями.</t>
  </si>
  <si>
    <t>select distinct on (b.product_id, b.accounttype)
 b.* 
from $$305stg.b3050000420027_productaccount as b
where true
 and coalesce(b.issbrf, false) 
 and b.product_id_uid is not null
 -- Убираем удаления (они все равно не обрабатываются), чтобы избежать дублей.
 and upper(b.ctl_action) &lt;&gt; 'D'
order by
 b.product_id 
 -- Берем последнюю запись в резрезе целевого ключа (product_id + accounttype)
 , b.accounttype
 , b.ctl_validfrom desc
 , b.object_id desc</t>
  </si>
  <si>
    <t>select distinct on (b.product_id, b.accounttype)
 b.* 
from $$305stg.b3050000420027_productaccount as b
where true
 and NOT coalesce(b.issbrf, false) 
 and b.product_id_uid is not null
 -- Убираем удаления (они все равно не обрабатываются), чтобы избежать дублей.
 and upper(b.ctl_action) &lt;&gt; 'D'
order by
 b.product_id 
 -- Берем последнюю запись в резрезе целевого ключа (product_id + accounttype)
 , b.accounttype
 , b.ctl_validfrom desc
 , b.object_id desc</t>
  </si>
  <si>
    <t>На листе "s2t":
[400] t_agr_dep_rate_rule - Дополнительная дедубликация
[430] t_agr_dep_rate_rule - Дополнительная дедубликация
[440] t_agr_dep_rate_rule - Дополнительная дедубликация
[450] t_agr_dep_rate_rule - Дополнительная дедубликация
[590] t_agr_dep_coa - Дополнительная дедубликация
[600] t_agr_dep_ext_coa - Дополнительная дедубликация</t>
  </si>
  <si>
    <t>Технический релиз. Довнесены изменения, которые должны были быть в v44, но потерялись.
На листе "s2t":
[450] t_agr_dep_rate_rule - Дополнительная дедубликация</t>
  </si>
  <si>
    <t>select
 product.object_id_uid
 , interestrate.object_id_uid as rate_rule_id
 , interestrate.input_file_id
 , interestrate.info_system_id
 , interestrate.ctl_action
 , interestrate.ctl_validfrom
from
 -- We need product only to look up product.object_id_uid. Don't care about product.incr_flag.
 $$305stg.s305_0007_product as product
 -- The key is product_id + partialrecallrate_entityid, but only one record per product can be with incr_flag = 1
 inner join
 (
  -- Possible cases:
  -- 1) partialrecallrate_entityid changed
  -- 2) the whole recored was deleted and new record was inserted with new partialrecallrate_entityid
  -- We need to take ONLY the last rate collection. Otherwise we might generate inserts for rates in depricated collections.
  select distinct on (product_id) *
  from $$305stg.s305_0026_depositadditionalinfo_partialrecallrate
  order by product_id, ctl_validfrom desc, object_id desc
 ) as depositadditionalinfo
 on product.object_id = depositadditionalinfo.product_id
 inner join $$305stg.s305_0017_interestrate as interestrate
 on depositadditionalinfo.partialrecallrate_entityid = interestrate.ratetariff_id
where true
 and (depositadditionalinfo.incr_flag = 1 or interestrate.incr_flag = 1)
union all
-- Generate deletions when product rate collection has changed
select
 product.object_id_uid
 , interestrate.object_id_uid as rate_rule_id
 -- using metadata from depositadditionalinfo table
 , depositadditionalinfo.input_file_id
 , depositadditionalinfo.info_system_id
 , 'D' as ctl_action
 , depositadditionalinfo.ctl_validfrom
from
 $$305stg.s305_0007_product as product
 inner join $$305stg.s305_0026_depositadditionalinfo_partialrecallrate as depositadditionalinfo
 on product.object_id = depositadditionalinfo.product_id
 -- all rates for all collections
 inner join $$305stg.s305_0017_interestrate as interestrate
 on depositadditionalinfo.partialrecallrate_entityid = interestrate.ratetariff_id
 -- Filter out products with changed collection
 inner join $$305stg.s305_0026_depositadditionalinfo_partialrecallrate as depositadditionalinfo_incr
 on true
  -- Important!
  -- Generate deletions only if collection has changed.
  -- Do nothing if collection stays the same, but rates inside collection have changed.
  and depositadditionalinfo_incr.incr_flag = 1
  -- same product
  and depositadditionalinfo.product_id = depositadditionalinfo_incr.product_id   
  -- but collection is different from current
  and depositadditionalinfo.partialrecallrate_entityid &lt;&gt; depositadditionalinfo_incr.partialrecallrate_entityid</t>
  </si>
  <si>
    <t>select
 product.object_id_uid
 , interestrate.object_id_uid as rate_rule_id
 , interestrate.input_file_id
 , interestrate.info_system_id
 , interestrate.ctl_action 
 , interestrate.ctl_validfrom
from
 -- We need product only to look up product.object_id_uid. Don't care about product.incr_flag.
 $$305stg.s305_0007_product as product
 -- The key is product_id + recoveryrate_entityid, but only one record per product can be with incr_flag = 1
 inner join
 (
  -- Possible cases:
  -- 1) recoveryrate_entityid changed
  -- 2) the whole recored was deleted and new record was inserted with new recoveryrate_entityid
  -- We need to take ONLY the last rate collection. Otherwise we might generate inserts for rates in depricated collections.
  select distinct on (product_id) *
  from $$305stg.s305_0026_depositadditionalinfo_recoveryrate
  order by product_id, ctl_validfrom desc, object_id desc
 ) as depositadditionalinfo
 on product.object_id = depositadditionalinfo.product_id
 inner join $$305stg.s305_0017_interestrate as interestrate
 on depositadditionalinfo.recoveryrate_entityid = interestrate.ratetariff_id
where true
 and (depositadditionalinfo.incr_flag = 1 or interestrate.incr_flag = 1)
union all
-- Generate deletions when product rate collection has changed
select
 product.object_id_uid
 , interestrate.object_id_uid as rate_rule_id
 -- using metadata from depositadditionalinfo table
 , depositadditionalinfo.input_file_id
 , depositadditionalinfo.info_system_id
 , 'D' as ctl_action
 , depositadditionalinfo.ctl_validfrom
from
 $$305stg.s305_0007_product as product
 inner join $$305stg.s305_0026_depositadditionalinfo_recoveryrate as depositadditionalinfo
 on product.object_id = depositadditionalinfo.product_id
 -- all rates for all collections
 inner join $$305stg.s305_0017_interestrate as interestrate
 on depositadditionalinfo.recoveryrate_entityid = interestrate.ratetariff_id
 -- Filter out products with changed collection
 inner join $$305stg.s305_0026_depositadditionalinfo_recoveryrate as depositadditionalinfo_incr
 on true
  -- Important!
  -- Generate deletions only if collection has changed.
  -- Do nothing if collection stays the same, but rates inside collection have changed.
  and depositadditionalinfo_incr.incr_flag = 1
  -- same product
  and depositadditionalinfo.product_id = depositadditionalinfo_incr.product_id   
  -- but collection is different from current
  and depositadditionalinfo.recoveryrate_entityid &lt;&gt; depositadditionalinfo_incr.recoveryrate_entityid</t>
  </si>
  <si>
    <t>select
 product.object_id_uid
 , interestrate.object_id_uid as rate_rule_id  
 , interestrate.input_file_id
 , interestrate.info_system_id
 , interestrate.ctl_action
 , interestrate.ctl_validfrom
from
 -- The key is product_id + productrate_entityid, but only one record per product can be with incr_flag = 1
 (
-- Possible cases:
  -- 1) productrate_entityid changed
  -- We need to take ONLY the last rate collection. Otherwise we might generate inserts for rates in depricated collections. 
  select distinct on (object_id_uid) *
  from $$305stg.s305_0007_product_productrate
  order by object_id_uid, ctl_validfrom desc
 ) as product
-- Each record is a child to exactly one collection, each collection has no more than one record per product.
 inner join $$305stg.s305_0017_interestrate as interestrate
 on product.productrate_entityid = interestrate.ratetariff_id
where true
 and (product.incr_flag = 1 or interestrate.incr_flag = 1)
union all
-- Generate deletions when product rate collection has changed
select
 product.object_id_uid
 , interestrate.object_id_uid as rate_rule_id
 -- using metadata from product table
 , product.input_file_id
 , product.info_system_id
 , 'D' as ctl_action
 , product.ctl_validfrom
from
 $$305stg.s305_0007_product_productrate as product
 -- all rates for all collections
 inner join $$305stg.s305_0017_interestrate as interestrate
 on product.productrate_entityid = interestrate.ratetariff_id
 -- Filter out products with changed collection
 inner join $$305stg.s305_0007_product_productrate as product_incr
 on true
  -- Important!
  -- Generate deletions only if collection has changed.
  -- Do nothing if collection stays the same, but rates inside collection have changed.
  and product_incr.incr_flag = 1
  -- same product
  and product.object_id_uid = product_incr.object_id_uid   
  -- but collection is different from current
  and product.productrate_entityid &lt;&gt; product_incr.productrate_entityid</t>
  </si>
  <si>
    <t xml:space="preserve">На листе "s2t":
[400] t_agr_dep_rate_rule - Частичный откат изменений s2t_v044. Излишне строгие условия отсекали удаления, когда ссылка на тариф менялась на самой записи без удаления и вставки новой записи.
[430] t_agr_dep_rate_rule - Частичный откат изменений s2t_v044. Излишне строгие условия отсекали удаления, когда ссылка на тариф менялась на самой записи без удаления и вставки новой записи.
[440] t_agr_dep_rate_rule - Частичный откат изменений s2t_v044. Излишне строгие условия отсекали удаления, когда ссылка на тариф менялась на самой записи без удаления и вставки новой записи.
[450] t_agr_dep_rate_rule - Частичный откат изменений s2t_v044. Излишне строгие условия отсекали удаления, когда ссылка на тариф менялась на самой записи без удаления и вставки новой записи.
</t>
  </si>
  <si>
    <t>generated on 2025-11-27 16:42:19 from file "tai_s2t_utility_060_input\DM 2024-10-17-305-manual-547.xlsx", sheet "UDP модели АХД ППРБ"</t>
  </si>
  <si>
    <t>del_dt</t>
  </si>
  <si>
    <t>Дата удаления на источнике</t>
  </si>
  <si>
    <t>select
 product.* 
 --, nsoadditionalinfo.rkoaccountnumber
 , case
  when lower(trim(product.producttype)) = 'deposit'
  then productaccount.accountnumber
  -- Olga: Для продуктов SDO номер счета РКО лежит там же, где и для NSO - t_core_NSOadditionalinfo.rkoaccountnumber
  else nsoadditionalinfo.rkoaccountnumber
 end as rko_coa_num
 -- Maxim: Это ID договора РКО, грузить надо обязательно, сурогатить по схеме 306. Там это поле t_agr_rko.agr_rko_id.
 -- Принимаем риски:
 -- 1) плохая заполняемость (~ 1,3 млн из 4 млн),
 -- 2) источник предупредил, что idaccountnumber необязательное и на счет РКО надо выходит через rkoaccountnumber.
 , nsoadditionalinfo.idaccountnumber_uid --as agr_rko_id
 , case when upper(product.ctl_action) = 'D' then product.ctl_validfrom else date '9999-12-31' end as del_dt
from
 $$305stg.s305_0007_product as product
 -- No need to use full join, nsoadditionalinfo without product is not needed.
 left outer join $$305stg.s305_0004_nsoadditionalinfo as nsoadditionalinfo
 on true
  and product.object_id = nsoadditionalinfo.product_id
  and upper(nsoadditionalinfo.ctl_action) &lt;&gt; 'D'
 -- No need to use full join, productaccount without product is not needed.
 left outer join 
 (
 -- При потере удалений (например, по каким-то причинам пропустили инкремент с удалениями)
 -- можем получить ситуацию, когда для бизнес-ключа (product_id + accounttype) будет несколько записей.
 -- Соответственно, дедублицируем и берем последнюю по ctl_validfrom и object_id.
 select distinct on (productaccount.product_id, productaccount.accounttype)
  *
 from $$305stg.s305_0027_productaccount as productaccount
 where lower(trim(productaccount.accounttype)) = 'debit'
 order by 
  productaccount.product_id
  , productaccount.accounttype
  , productaccount.ctl_validfrom desc
  -- Удаление и вставка могут быть с одинаковым ctl_validfrom - берем запись с большим ID.
  , productaccount.object_id desc
 ) as productaccount
 on true
  and product.object_id = productaccount.product_id 
  and lower(trim(productaccount.accounttype)) = 'debit' 
  and lower(trim(product.producttype)) = 'deposit'
  and upper(productaccount.ctl_action) &lt;&gt; 'D'
where true 
 and
 (
  -- Product arrived with increment
  -- 1 - load, 0 - skip, null - skip
  product.incr_flag = 1
  -- Following conditions SHOULD NOT BE NULL!
  -- ProductAccount arrived with increment or Product arrived with increment
  -- 1 - load, 0 - skip, null - analyze product.incr_flag
  or coalesce(productaccount.incr_flag, product.incr_flag) = 1
  -- NsoAdditionalInfo arrived with increment or Product arrived with increment
  -- 1 - load, 0 - skip, null - analyze product.incr_flag
  or coalesce(nsoadditionalinfo.incr_flag, product.incr_flag) = 1
 )</t>
  </si>
  <si>
    <t>select
 b.* 
 , case when upper(b.ctl_action) = 'D' then b.ctl_validfrom else date '9999-12-31' end as del_dt
from $$305stg.b3050000420027_productaccount as b
where true
 and coalesce(b.issbrf, false)</t>
  </si>
  <si>
    <t>select
 b.* 
 , case when upper(b.ctl_action) = 'D' then b.ctl_validfrom else date '9999-12-31' end as del_dt
from $$305stg.b3050000420027_productaccount as b
where true
 and not coalesce(b.issbrf, false)</t>
  </si>
  <si>
    <t>На листе "target_columns" обновлена модель.
На листе "s2t":
[10] t_agr_dep - Добавлено заполнение поля del_dt, СОД 'снимок-снимок' заменен на 'снимок-снимок с накоплением'.
[550] t_coa - Добавлено заполнение поля del_dt, СОД 'снимок-снимок' заменен на 'снимок-снимок с накоплением'.
[560] t_ext_coa - Добавлено заполнение поля del_dt, СОД 'снимок-снимок' заменен на 'снимок-снимок с накоплением'.</t>
  </si>
  <si>
    <t>with productrecallcondition as
(
 -- Possible cases:
 -- 1) productrecallrate_entityid changed.
 -- The key is product_id + productrecallrate_entityid, but only one record per product can be with incr_flag = 1
 -- 2) the whole record was deleted and new record was inserted with new productrecallrate_entityid
 -- The key is product_id + productrecallrate_entityid, but TWO records per product can be with incr_flag = 1
 -- We need to take ONLY the last rate collection. Otherwise we might generate inserts for rates in depricated collections.
  select distinct on (product_id) *
  from $$305stg.s305_0025_productrecallcondition_productrecallrate
  order by product_id, ctl_validfrom desc, object_id desc
)
select
 product.object_id_uid
 , interestrate.object_id_uid as rate_rule_id
 , interestrate.input_file_id
 , interestrate.info_system_id
 , interestrate.ctl_action
 , interestrate.ctl_validfrom
from
 -- We need product only to look up product.object_id_uid. Don't care about product.incr_flag.
 $$305stg.s305_0007_product as product  
 inner join productrecallcondition
 on product.object_id = productrecallcondition.product_id
 inner join $$305stg.s305_0017_interestrate as interestrate
 on productrecallcondition.productrecallrate_entityid = interestrate.ratetariff_id 
where true
 and (productrecallcondition.incr_flag = 1 or interestrate.incr_flag = 1)
union all
-- Generate deletions when product rate collection has changed
select  
 product.object_id_uid
 , interestrate.object_id_uid as rate_rule_id 
 -- using metadata from productrecallcondition table
 , productrecallcondition.input_file_id
 , productrecallcondition.info_system_id
 , 'D' as ctl_action
 , productrecallcondition.ctl_validfrom
from
 $$305stg.s305_0007_product as product
 inner join 
 (
  select *
  from $$305stg.s305_0025_productrecallcondition_productrecallrate as to_delete
  -- исключаем из удаления записи которые вставляем в верхнем блоке
  -- это кейс, когда в инкременте (incr_flag = 1) две записи:
  -- 2) the whole recored was deleted and new record was inserted with new productrecallrate_entityid
  where not exists
  (    
  select null
  from productrecallcondition
  where true
   -- соединение не по productrecallcondition.object_id, а по product_id + productrecallrate_entityid.
   -- таким образом, мы корректно обработаем случай, когда для того же самого object_id поменялся productrecallrate_entityid
   -- т.е. у нас в s305_0025_productrecallcondition_productrecallrate могут быть записи с одинаковыми object_id (и product_id)
   -- , но разными productrecallrate_entityid.
   and to_delete.product_id = productrecallcondition.product_id
   and to_delete.productrecallrate_entityid = productrecallcondition.productrecallrate_entityid     
  )
 ) as productrecallcondition
 on product.object_id = productrecallcondition.product_id
 -- all rates for all collections
 inner join $$305stg.s305_0017_interestrate as interestrate
 on productrecallcondition.productrecallrate_entityid = interestrate.ratetariff_id
 -- Filter out products with changed collection
 inner join $$305stg.s305_0025_productrecallcondition_productrecallrate as productrecallcondition_incr
 on true
  -- Important!
  -- Generate deletions only if collection has changed.
  -- Do nothing if collection stays the same, but rates inside collection have changed.
  and productrecallcondition_incr.incr_flag = 1
  -- same product
  and productrecallcondition.product_id = productrecallcondition_incr.product_id   
  -- but collection is different from current
  and productrecallcondition.productrecallrate_entityid &lt;&gt; productrecallcondition_incr.productrecallrate_entityid</t>
  </si>
  <si>
    <t>На листе "s2t":
[430] t_agr_dep_rate_rule - теперь логика корректно учитывает смену тарифа (ставки) как путем обновления записи, так и путем удаления старой и вставки новой записей.</t>
  </si>
  <si>
    <t>interestpaymenttype</t>
  </si>
  <si>
    <t>Тип капитализации процентов</t>
  </si>
  <si>
    <t>dul$intrst_pymnt_cd</t>
  </si>
  <si>
    <t>select
 product.*
 -- По замечанию модельной группы шифруем master_flag в master_flag_del_dt:
 -- 1) если flag false и нет даты, то 1900-01-01
 -- 2) если флаг false и есть дата, то дату
 -- 3) если флаг true то 9999-12-31
 , case
  when product.goldproduct = false and product.goldproductremovedate is null then $$MinDate
  when product.goldproduct = false and product.goldproductremovedate is not null then product.goldproductremovedate::date
  when product.goldproduct = true then date $$MaxDate
 end::date as dul$master_flag_del_dt
 , specialattributes.specialcode_uid
 , productlegacy.legacyproductid
 , depositadditionalinfo.firstproduct_entityid_uid
 , depositadditionalinfo.newproduct_entityid_uid
 , case depositadditionalinfo.partialamounteditability when true then 'Y' when false then 'N' end as dul$partial_refund_amount_change_flag
 , case depositadditionalinfo.possibilitypartialrefund when true then 'Y' when false then 'N' end as dul$partial_refund_flag
 , case depositadditionalinfo.possibilityfullrefund when true then 'Y' when false then 'N' end as dul$full_refund_flag
 , case depositadditionalinfo.possibilityreplenishment when true then 'Y' when false then 'N' end as dul$replenishable_flag
 , depositadditionalinfo.interestpaymenttype
from
 $$305stg.s305_0007_product as product
 left outer join $$305stg.s305_0013_specialattributes as specialattributes
 on true
  and product.object_id = specialattributes.product_id
  and upper(specialattributes.ctl_action) &lt;&gt; 'D'
 left outer join $$305stg.s305_0009_productlegacyadditionalinformation as productlegacy
 on true
  and product.object_id = productlegacy.product_id
  and upper(productlegacy.ctl_action) &lt;&gt; 'D'
 left outer join $$305stg.s305_0026_depositadditionalinfo as depositadditionalinfo
 on true
  and product.object_id = depositadditionalinfo.product_id
  and upper(depositadditionalinfo.ctl_action) &lt;&gt; 'D'
where true
 and
 (
  product.notes is not null
  or product.goldproduct is not null  
  or product.goldproductremovedate is not null
  or specialattributes.specialcode_uid is not null
  or productlegacy.legacyproductid is not null
  or depositadditionalinfo.firstproduct_entityid_uid is not null
  or depositadditionalinfo.newproduct_entityid_uid is not null
  or depositadditionalinfo.partialamounteditability is not null
  or depositadditionalinfo.possibilitypartialrefund is not null
  or depositadditionalinfo.possibilityfullrefund is not null
  or depositadditionalinfo.possibilityreplenishment is not null
  or depositadditionalinfo.interestpaymenttype is not null
 )
 and
 (
  -- Product arrived with increment
  -- 1 - load, 0 - skip, null - skip
  product.incr_flag = 1
  -- Following conditions SHOULD NOT BE NULL!
  -- SpecialAttributes arrived with increment or Product arrived with increment
  -- 1 - load, 0 - skip, null - analyze product.incr_flag
  or coalesce(specialattributes.incr_flag, product.incr_flag) = 1
  -- ProductLegacy arrived with increment or Product arrived with increment
  -- 1 - load, 0 - skip, null - analyze product.incr_flag
  or coalesce(productlegacy.incr_flag, product.incr_flag) = 1
  -- depositadditionalinfo arrived with increment or Product arrived with increment
  -- 1 - load, 0 - skip, null - analyze product.incr_flag
  or coalesce(depositadditionalinfo.incr_flag, product.incr_flag) = 1
 )</t>
  </si>
  <si>
    <t>Добавлена загрузка поля dul$intrst_pymnt_cd в блоке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</si>
</sst>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indexed="16"/>
      <name val="Consolas"/>
      <family val="3"/>
      <charset val="204"/>
    </font>
    <font>
      <sz val="10"/>
      <color indexed="64"/>
      <name val="Consolas"/>
      <family val="3"/>
      <charset val="204"/>
    </font>
    <font>
      <sz val="10"/>
      <color indexed="2"/>
      <name val="Consolas"/>
      <family val="3"/>
      <charset val="204"/>
    </font>
    <font>
      <b/>
      <sz val="10"/>
      <color indexed="17"/>
      <name val="Consolas"/>
      <family val="3"/>
      <charset val="204"/>
    </font>
    <font>
      <sz val="10"/>
      <color rgb="FF956037"/>
      <name val="Consolas"/>
      <family val="3"/>
      <charset val="204"/>
    </font>
    <font>
      <sz val="10"/>
      <color rgb="FF8E00C6"/>
      <name val="Consolas"/>
      <family val="3"/>
      <charset val="204"/>
    </font>
    <font>
      <sz val="10"/>
      <color rgb="FF006464"/>
      <name val="Consolas"/>
      <family val="3"/>
      <charset val="204"/>
    </font>
    <font>
      <b/>
      <sz val="10"/>
      <color indexed="18"/>
      <name val="Consolas"/>
      <family val="3"/>
      <charset val="204"/>
    </font>
    <font>
      <b/>
      <i/>
      <sz val="10"/>
      <color rgb="FFFF3737"/>
      <name val="Consolas"/>
      <family val="3"/>
      <charset val="204"/>
    </font>
    <font>
      <i/>
      <sz val="10"/>
      <color rgb="FF8E00C6"/>
      <name val="Consolas"/>
      <family val="3"/>
      <charset val="204"/>
    </font>
    <font>
      <sz val="10"/>
      <color indexed="4"/>
      <name val="Consolas"/>
      <family val="3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6" fillId="0" borderId="0"/>
    <xf numFmtId="0" fontId="22" fillId="0" borderId="0"/>
  </cellStyleXfs>
  <cellXfs count="69">
    <xf numFmtId="0" fontId="0" fillId="0" borderId="0" xfId="0"/>
    <xf numFmtId="0" fontId="7" fillId="2" borderId="0" xfId="0" applyFont="1" applyFill="1"/>
    <xf numFmtId="0" fontId="0" fillId="0" borderId="1" xfId="0" applyBorder="1"/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8" fillId="3" borderId="0" xfId="0" applyFont="1" applyFill="1"/>
    <xf numFmtId="0" fontId="0" fillId="0" borderId="0" xfId="0"/>
    <xf numFmtId="0" fontId="0" fillId="0" borderId="0" xfId="0"/>
    <xf numFmtId="0" fontId="9" fillId="0" borderId="4" xfId="0" applyFont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quotePrefix="1"/>
    <xf numFmtId="0" fontId="0" fillId="0" borderId="0" xfId="0"/>
    <xf numFmtId="0" fontId="0" fillId="0" borderId="0" xfId="0"/>
    <xf numFmtId="0" fontId="0" fillId="0" borderId="1" xfId="0" quotePrefix="1" applyBorder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3" borderId="3" xfId="0" applyFont="1" applyFill="1" applyBorder="1"/>
    <xf numFmtId="0" fontId="21" fillId="0" borderId="4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/>
    </xf>
    <xf numFmtId="164" fontId="0" fillId="0" borderId="0" xfId="0" applyNumberFormat="1"/>
    <xf numFmtId="164" fontId="0" fillId="0" borderId="0" xfId="0" applyNumberFormat="1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ill="1"/>
    <xf numFmtId="0" fontId="22" fillId="0" borderId="0" xfId="2"/>
    <xf numFmtId="0" fontId="23" fillId="6" borderId="0" xfId="2" applyFont="1" applyFill="1"/>
    <xf numFmtId="0" fontId="22" fillId="0" borderId="1" xfId="2" applyBorder="1"/>
    <xf numFmtId="0" fontId="0" fillId="0" borderId="0" xfId="0" applyAlignment="1">
      <alignment horizontal="left" vertical="top" wrapText="1"/>
    </xf>
    <xf numFmtId="0" fontId="0" fillId="5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6" xfId="0" quotePrefix="1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/>
  </cellXfs>
  <cellStyles count="3">
    <cellStyle name="Normal 2" xfId="1"/>
    <cellStyle name="Normal 3" xfId="2"/>
    <cellStyle name="Обычный" xfId="0" builtinId="0"/>
  </cellStyles>
  <dxfs count="20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indexed="51"/>
          <bgColor indexed="51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51"/>
          <bgColor indexed="51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numFmt numFmtId="164" formatCode="yyyy\-mm\-dd"/>
    </dxf>
    <dxf>
      <alignment horizontal="left" vertical="top" textRotation="0" wrapText="0" relativeIndent="0" shrinkToFit="0"/>
    </dxf>
    <dxf>
      <alignment horizontal="left" vertical="top" textRotation="0" wrapText="0" relativeIndent="0" shrinkToFit="0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pxf2a" displayName="pxf2a" ref="A1:D55">
  <autoFilter ref="A1:D55"/>
  <tableColumns count="4">
    <tableColumn id="1" name="Название материализованной A-таблицы"/>
    <tableColumn id="2" name="Название внешней A-таблицы"/>
    <tableColumn id="3" name="Название таблицы реплики"/>
    <tableColumn id="4" name="СОД"/>
  </tableColumns>
  <tableStyleInfo name="TableStyleMedium22" showFirstColumn="0" showLastColumn="0" showRowStripes="0" showColumnStripes="0"/>
</table>
</file>

<file path=xl/tables/table2.xml><?xml version="1.0" encoding="utf-8"?>
<table xmlns="http://schemas.openxmlformats.org/spreadsheetml/2006/main" id="2" name="a2b_columns" displayName="a2b_columns" ref="A1:K769">
  <autoFilter ref="A1:K769"/>
  <tableColumns count="11">
    <tableColumn id="1" name="Название приемника"/>
    <tableColumn id="2" name="Название поля приемника"/>
    <tableColumn id="3" name="Тип данных поля приемника"/>
    <tableColumn id="4" name="Первичный ключ приемника"/>
    <tableColumn id="5" name="notnull поля приемника"/>
    <tableColumn id="6" name="Описание поля приемника"/>
    <tableColumn id="7" name="Название источника"/>
    <tableColumn id="8" name="Название поля источника"/>
    <tableColumn id="9" name="Тип данных поля источника"/>
    <tableColumn id="10" name="Первичный ключ источника"/>
    <tableColumn id="11" name="notnull поля источника"/>
  </tableColumns>
  <tableStyleInfo name="TableStyleMedium22" showFirstColumn="0" showLastColumn="0" showRowStripes="0" showColumnStripes="0"/>
</table>
</file>

<file path=xl/tables/table3.xml><?xml version="1.0" encoding="utf-8"?>
<table xmlns="http://schemas.openxmlformats.org/spreadsheetml/2006/main" id="3" name="source_tables" displayName="source_tables" ref="A1:C28">
  <autoFilter ref="A1:C28"/>
  <tableColumns count="3">
    <tableColumn id="1" name="Номер таблицы"/>
    <tableColumn id="2" name="Имя таблицы"/>
    <tableColumn id="3" name="Описание таблицы" dataDxfId="207"/>
  </tableColumns>
  <tableStyleInfo name="TableStyleMedium22" showFirstColumn="0" showLastColumn="0" showRowStripes="0" showColumnStripes="0"/>
</table>
</file>

<file path=xl/tables/table4.xml><?xml version="1.0" encoding="utf-8"?>
<table xmlns="http://schemas.openxmlformats.org/spreadsheetml/2006/main" id="4" name="source_columns" displayName="source_columns" ref="A1:G773">
  <autoFilter ref="A1:G773"/>
  <tableColumns count="7">
    <tableColumn id="1" name="seek"/>
    <tableColumn id="2" name="table"/>
    <tableColumn id="3" name="column"/>
    <tableColumn id="4" name="datatype"/>
    <tableColumn id="5" name="notnullsource"/>
    <tableColumn id="6" name="pk"/>
    <tableColumn id="7" name="comment" dataDxfId="206"/>
  </tableColumns>
  <tableStyleInfo name="TableStyleMedium22" showFirstColumn="0" showLastColumn="0" showRowStripes="0" showColumnStripes="0"/>
</table>
</file>

<file path=xl/tables/table5.xml><?xml version="1.0" encoding="utf-8"?>
<table xmlns="http://schemas.openxmlformats.org/spreadsheetml/2006/main" id="10" name="target_tables" displayName="target_tables" ref="A1:B48" totalsRowShown="0">
  <autoFilter ref="A1:B48"/>
  <tableColumns count="2">
    <tableColumn id="1" name="table"/>
    <tableColumn id="2" name="description" dataDxfId="205"/>
  </tableColumns>
  <tableStyleInfo name="TableStyleMedium22" showFirstColumn="0" showLastColumn="0" showRowStripes="0" showColumnStripes="0"/>
</table>
</file>

<file path=xl/tables/table6.xml><?xml version="1.0" encoding="utf-8"?>
<table xmlns="http://schemas.openxmlformats.org/spreadsheetml/2006/main" id="5" name="target_columns" displayName="target_columns" ref="A1:I245" totalsRowShown="0">
  <autoFilter ref="A1:I245"/>
  <tableColumns count="9">
    <tableColumn id="1" name="seek">
      <calculatedColumnFormula>INDIRECT("R[0]C[1]", 0)&amp;INDIRECT("R[0]C[2]", 0)</calculatedColumnFormula>
    </tableColumn>
    <tableColumn id="2" name="table"/>
    <tableColumn id="3" name="column"/>
    <tableColumn id="4" name="datatype"/>
    <tableColumn id="5" name="notnull"/>
    <tableColumn id="6" name="pk"/>
    <tableColumn id="7" name="fk"/>
    <tableColumn id="8" name="reference"/>
    <tableColumn id="9" name="comment"/>
  </tableColumns>
  <tableStyleInfo name="TableStyleMedium22" showFirstColumn="0" showLastColumn="0" showRowStripes="0" showColumnStripes="0"/>
</table>
</file>

<file path=xl/tables/table7.xml><?xml version="1.0" encoding="utf-8"?>
<table xmlns="http://schemas.openxmlformats.org/spreadsheetml/2006/main" id="7" name="additional_objects" displayName="additional_objects" ref="A1:B27">
  <autoFilter ref="A1:B27">
    <filterColumn colId="0">
      <filters>
        <filter val="s305_0007_product_productrate"/>
        <filter val="s305_0017_interestrate"/>
        <filter val="s305_0025_productrecallcondition_productrecallrate"/>
        <filter val="s305_0026_depositadditionalinfo_partialrecallrate"/>
        <filter val="s305_0026_depositadditionalinfo_recoveryrate"/>
        <filter val="v_b3050000420007_product_productrate"/>
        <filter val="v_b3050000420025_productrecallcondition_productrecallrate"/>
        <filter val="v_b3050000420026_depositadditionalinfo_partialrecallrate"/>
        <filter val="v_b3050000420026_depositadditionalinfo_recoveryrate"/>
      </filters>
    </filterColumn>
  </autoFilter>
  <tableColumns count="2">
    <tableColumn id="1" name="name" dataDxfId="204"/>
    <tableColumn id="2" name="sql" dataDxfId="203"/>
  </tableColumns>
  <tableStyleInfo name="TableStyleMedium22" showFirstColumn="0" showLastColumn="0" showRowStripes="0" showColumnStripes="0"/>
</table>
</file>

<file path=xl/tables/table8.xml><?xml version="1.0" encoding="utf-8"?>
<table xmlns="http://schemas.openxmlformats.org/spreadsheetml/2006/main" id="8" name="change_log" displayName="change_log" ref="A1:D201">
  <autoFilter ref="A1:D201"/>
  <tableColumns count="4">
    <tableColumn id="1" name="Версия"/>
    <tableColumn id="2" name="Дата" dataDxfId="202"/>
    <tableColumn id="3" name="Автор"/>
    <tableColumn id="4" name="Комментарий"/>
  </tableColumns>
  <tableStyleInfo name="TableStyleMedium2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4DFEC"/>
  </sheetPr>
  <dimension ref="A1:H55"/>
  <sheetViews>
    <sheetView topLeftCell="A17" zoomScale="66" workbookViewId="0">
      <selection activeCell="A55" sqref="A55"/>
    </sheetView>
  </sheetViews>
  <sheetFormatPr defaultRowHeight="15" x14ac:dyDescent="0.25"/>
  <cols>
    <col min="1" max="1" width="45.42578125" bestFit="1" customWidth="1"/>
    <col min="2" max="2" width="50.7109375" customWidth="1"/>
    <col min="3" max="3" width="69.140625" bestFit="1" customWidth="1"/>
    <col min="4" max="4" width="2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 s="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</row>
    <row r="3" spans="1:8" x14ac:dyDescent="0.25">
      <c r="A3" t="s">
        <v>5</v>
      </c>
      <c r="B3" t="s">
        <v>9</v>
      </c>
      <c r="C3" t="s">
        <v>10</v>
      </c>
      <c r="D3" t="s">
        <v>8</v>
      </c>
    </row>
    <row r="4" spans="1:8" x14ac:dyDescent="0.25">
      <c r="A4" t="s">
        <v>11</v>
      </c>
      <c r="B4" t="s">
        <v>12</v>
      </c>
      <c r="C4" t="s">
        <v>13</v>
      </c>
      <c r="D4" t="s">
        <v>8</v>
      </c>
    </row>
    <row r="5" spans="1:8" x14ac:dyDescent="0.25">
      <c r="A5" t="s">
        <v>11</v>
      </c>
      <c r="B5" t="s">
        <v>14</v>
      </c>
      <c r="C5" t="s">
        <v>15</v>
      </c>
      <c r="D5" t="s">
        <v>8</v>
      </c>
    </row>
    <row r="6" spans="1:8" x14ac:dyDescent="0.25">
      <c r="A6" t="s">
        <v>16</v>
      </c>
      <c r="B6" t="s">
        <v>17</v>
      </c>
      <c r="C6" t="s">
        <v>18</v>
      </c>
      <c r="D6" t="s">
        <v>8</v>
      </c>
    </row>
    <row r="7" spans="1:8" x14ac:dyDescent="0.25">
      <c r="A7" t="s">
        <v>16</v>
      </c>
      <c r="B7" t="s">
        <v>19</v>
      </c>
      <c r="C7" t="s">
        <v>20</v>
      </c>
      <c r="D7" t="s">
        <v>8</v>
      </c>
    </row>
    <row r="8" spans="1:8" x14ac:dyDescent="0.25">
      <c r="A8" t="s">
        <v>21</v>
      </c>
      <c r="B8" t="s">
        <v>22</v>
      </c>
      <c r="C8" t="s">
        <v>23</v>
      </c>
      <c r="D8" t="s">
        <v>8</v>
      </c>
    </row>
    <row r="9" spans="1:8" x14ac:dyDescent="0.25">
      <c r="A9" t="s">
        <v>21</v>
      </c>
      <c r="B9" t="s">
        <v>24</v>
      </c>
      <c r="C9" t="s">
        <v>25</v>
      </c>
      <c r="D9" t="s">
        <v>8</v>
      </c>
    </row>
    <row r="10" spans="1:8" x14ac:dyDescent="0.25">
      <c r="A10" t="s">
        <v>26</v>
      </c>
      <c r="B10" t="s">
        <v>27</v>
      </c>
      <c r="C10" t="s">
        <v>28</v>
      </c>
      <c r="D10" t="s">
        <v>8</v>
      </c>
    </row>
    <row r="11" spans="1:8" x14ac:dyDescent="0.25">
      <c r="A11" t="s">
        <v>26</v>
      </c>
      <c r="B11" t="s">
        <v>29</v>
      </c>
      <c r="C11" t="s">
        <v>30</v>
      </c>
      <c r="D11" t="s">
        <v>8</v>
      </c>
    </row>
    <row r="12" spans="1:8" x14ac:dyDescent="0.25">
      <c r="A12" t="s">
        <v>31</v>
      </c>
      <c r="B12" t="s">
        <v>32</v>
      </c>
      <c r="C12" t="s">
        <v>33</v>
      </c>
      <c r="D12" t="s">
        <v>8</v>
      </c>
    </row>
    <row r="13" spans="1:8" x14ac:dyDescent="0.25">
      <c r="A13" t="s">
        <v>31</v>
      </c>
      <c r="B13" t="s">
        <v>34</v>
      </c>
      <c r="C13" t="s">
        <v>35</v>
      </c>
      <c r="D13" t="s">
        <v>8</v>
      </c>
    </row>
    <row r="14" spans="1:8" x14ac:dyDescent="0.25">
      <c r="A14" t="s">
        <v>36</v>
      </c>
      <c r="B14" t="s">
        <v>37</v>
      </c>
      <c r="C14" t="s">
        <v>38</v>
      </c>
      <c r="D14" t="s">
        <v>8</v>
      </c>
    </row>
    <row r="15" spans="1:8" x14ac:dyDescent="0.25">
      <c r="A15" t="s">
        <v>36</v>
      </c>
      <c r="B15" t="s">
        <v>39</v>
      </c>
      <c r="C15" t="s">
        <v>40</v>
      </c>
      <c r="D15" t="s">
        <v>8</v>
      </c>
    </row>
    <row r="16" spans="1:8" x14ac:dyDescent="0.25">
      <c r="A16" t="s">
        <v>41</v>
      </c>
      <c r="B16" t="s">
        <v>42</v>
      </c>
      <c r="C16" t="s">
        <v>43</v>
      </c>
      <c r="D16" t="s">
        <v>8</v>
      </c>
    </row>
    <row r="17" spans="1:4" x14ac:dyDescent="0.25">
      <c r="A17" t="s">
        <v>41</v>
      </c>
      <c r="B17" t="s">
        <v>44</v>
      </c>
      <c r="C17" t="s">
        <v>45</v>
      </c>
      <c r="D17" t="s">
        <v>8</v>
      </c>
    </row>
    <row r="18" spans="1:4" x14ac:dyDescent="0.25">
      <c r="A18" t="s">
        <v>46</v>
      </c>
      <c r="B18" t="s">
        <v>47</v>
      </c>
      <c r="C18" t="s">
        <v>48</v>
      </c>
      <c r="D18" t="s">
        <v>8</v>
      </c>
    </row>
    <row r="19" spans="1:4" x14ac:dyDescent="0.25">
      <c r="A19" t="s">
        <v>46</v>
      </c>
      <c r="B19" t="s">
        <v>49</v>
      </c>
      <c r="C19" t="s">
        <v>50</v>
      </c>
      <c r="D19" t="s">
        <v>8</v>
      </c>
    </row>
    <row r="20" spans="1:4" x14ac:dyDescent="0.25">
      <c r="A20" t="s">
        <v>51</v>
      </c>
      <c r="B20" t="s">
        <v>52</v>
      </c>
      <c r="C20" t="s">
        <v>53</v>
      </c>
      <c r="D20" t="s">
        <v>8</v>
      </c>
    </row>
    <row r="21" spans="1:4" x14ac:dyDescent="0.25">
      <c r="A21" t="s">
        <v>51</v>
      </c>
      <c r="B21" t="s">
        <v>54</v>
      </c>
      <c r="C21" t="s">
        <v>55</v>
      </c>
      <c r="D21" t="s">
        <v>8</v>
      </c>
    </row>
    <row r="22" spans="1:4" x14ac:dyDescent="0.25">
      <c r="A22" t="s">
        <v>56</v>
      </c>
      <c r="B22" t="s">
        <v>57</v>
      </c>
      <c r="C22" t="s">
        <v>58</v>
      </c>
      <c r="D22" t="s">
        <v>8</v>
      </c>
    </row>
    <row r="23" spans="1:4" x14ac:dyDescent="0.25">
      <c r="A23" t="s">
        <v>56</v>
      </c>
      <c r="B23" t="s">
        <v>59</v>
      </c>
      <c r="C23" t="s">
        <v>60</v>
      </c>
      <c r="D23" t="s">
        <v>8</v>
      </c>
    </row>
    <row r="24" spans="1:4" x14ac:dyDescent="0.25">
      <c r="A24" t="s">
        <v>61</v>
      </c>
      <c r="B24" t="s">
        <v>62</v>
      </c>
      <c r="C24" t="s">
        <v>63</v>
      </c>
      <c r="D24" t="s">
        <v>8</v>
      </c>
    </row>
    <row r="25" spans="1:4" x14ac:dyDescent="0.25">
      <c r="A25" t="s">
        <v>61</v>
      </c>
      <c r="B25" t="s">
        <v>64</v>
      </c>
      <c r="C25" t="s">
        <v>65</v>
      </c>
      <c r="D25" t="s">
        <v>8</v>
      </c>
    </row>
    <row r="26" spans="1:4" x14ac:dyDescent="0.25">
      <c r="A26" t="s">
        <v>66</v>
      </c>
      <c r="B26" t="s">
        <v>67</v>
      </c>
      <c r="C26" t="s">
        <v>68</v>
      </c>
      <c r="D26" t="s">
        <v>8</v>
      </c>
    </row>
    <row r="27" spans="1:4" x14ac:dyDescent="0.25">
      <c r="A27" t="s">
        <v>66</v>
      </c>
      <c r="B27" t="s">
        <v>69</v>
      </c>
      <c r="C27" t="s">
        <v>70</v>
      </c>
      <c r="D27" t="s">
        <v>8</v>
      </c>
    </row>
    <row r="28" spans="1:4" x14ac:dyDescent="0.25">
      <c r="A28" t="s">
        <v>71</v>
      </c>
      <c r="B28" t="s">
        <v>72</v>
      </c>
      <c r="C28" t="s">
        <v>73</v>
      </c>
      <c r="D28" t="s">
        <v>8</v>
      </c>
    </row>
    <row r="29" spans="1:4" x14ac:dyDescent="0.25">
      <c r="A29" t="s">
        <v>71</v>
      </c>
      <c r="B29" t="s">
        <v>74</v>
      </c>
      <c r="C29" t="s">
        <v>75</v>
      </c>
      <c r="D29" t="s">
        <v>8</v>
      </c>
    </row>
    <row r="30" spans="1:4" x14ac:dyDescent="0.25">
      <c r="A30" t="s">
        <v>76</v>
      </c>
      <c r="B30" t="s">
        <v>77</v>
      </c>
      <c r="C30" t="s">
        <v>78</v>
      </c>
      <c r="D30" t="s">
        <v>8</v>
      </c>
    </row>
    <row r="31" spans="1:4" x14ac:dyDescent="0.25">
      <c r="A31" t="s">
        <v>76</v>
      </c>
      <c r="B31" t="s">
        <v>79</v>
      </c>
      <c r="C31" t="s">
        <v>80</v>
      </c>
      <c r="D31" t="s">
        <v>8</v>
      </c>
    </row>
    <row r="32" spans="1:4" x14ac:dyDescent="0.25">
      <c r="A32" t="s">
        <v>81</v>
      </c>
      <c r="B32" t="s">
        <v>82</v>
      </c>
      <c r="C32" t="s">
        <v>83</v>
      </c>
      <c r="D32" t="s">
        <v>8</v>
      </c>
    </row>
    <row r="33" spans="1:4" x14ac:dyDescent="0.25">
      <c r="A33" t="s">
        <v>81</v>
      </c>
      <c r="B33" t="s">
        <v>84</v>
      </c>
      <c r="C33" t="s">
        <v>85</v>
      </c>
      <c r="D33" t="s">
        <v>8</v>
      </c>
    </row>
    <row r="34" spans="1:4" x14ac:dyDescent="0.25">
      <c r="A34" t="s">
        <v>86</v>
      </c>
      <c r="B34" t="s">
        <v>87</v>
      </c>
      <c r="C34" t="s">
        <v>88</v>
      </c>
      <c r="D34" t="s">
        <v>8</v>
      </c>
    </row>
    <row r="35" spans="1:4" x14ac:dyDescent="0.25">
      <c r="A35" t="s">
        <v>86</v>
      </c>
      <c r="B35" t="s">
        <v>89</v>
      </c>
      <c r="C35" t="s">
        <v>90</v>
      </c>
      <c r="D35" t="s">
        <v>8</v>
      </c>
    </row>
    <row r="36" spans="1:4" x14ac:dyDescent="0.25">
      <c r="A36" t="s">
        <v>91</v>
      </c>
      <c r="B36" t="s">
        <v>92</v>
      </c>
      <c r="C36" t="s">
        <v>93</v>
      </c>
      <c r="D36" t="s">
        <v>8</v>
      </c>
    </row>
    <row r="37" spans="1:4" x14ac:dyDescent="0.25">
      <c r="A37" t="s">
        <v>91</v>
      </c>
      <c r="B37" t="s">
        <v>94</v>
      </c>
      <c r="C37" t="s">
        <v>95</v>
      </c>
      <c r="D37" t="s">
        <v>8</v>
      </c>
    </row>
    <row r="38" spans="1:4" x14ac:dyDescent="0.25">
      <c r="A38" t="s">
        <v>96</v>
      </c>
      <c r="B38" t="s">
        <v>97</v>
      </c>
      <c r="C38" t="s">
        <v>98</v>
      </c>
      <c r="D38" t="s">
        <v>8</v>
      </c>
    </row>
    <row r="39" spans="1:4" x14ac:dyDescent="0.25">
      <c r="A39" t="s">
        <v>96</v>
      </c>
      <c r="B39" t="s">
        <v>99</v>
      </c>
      <c r="C39" t="s">
        <v>100</v>
      </c>
      <c r="D39" t="s">
        <v>8</v>
      </c>
    </row>
    <row r="40" spans="1:4" x14ac:dyDescent="0.25">
      <c r="A40" t="s">
        <v>101</v>
      </c>
      <c r="B40" t="s">
        <v>102</v>
      </c>
      <c r="C40" t="s">
        <v>103</v>
      </c>
      <c r="D40" t="s">
        <v>8</v>
      </c>
    </row>
    <row r="41" spans="1:4" x14ac:dyDescent="0.25">
      <c r="A41" t="s">
        <v>101</v>
      </c>
      <c r="B41" t="s">
        <v>104</v>
      </c>
      <c r="C41" t="s">
        <v>105</v>
      </c>
      <c r="D41" t="s">
        <v>8</v>
      </c>
    </row>
    <row r="42" spans="1:4" x14ac:dyDescent="0.25">
      <c r="A42" t="s">
        <v>106</v>
      </c>
      <c r="B42" t="s">
        <v>107</v>
      </c>
      <c r="C42" t="s">
        <v>108</v>
      </c>
      <c r="D42" t="s">
        <v>8</v>
      </c>
    </row>
    <row r="43" spans="1:4" x14ac:dyDescent="0.25">
      <c r="A43" t="s">
        <v>106</v>
      </c>
      <c r="B43" t="s">
        <v>109</v>
      </c>
      <c r="C43" t="s">
        <v>110</v>
      </c>
      <c r="D43" t="s">
        <v>8</v>
      </c>
    </row>
    <row r="44" spans="1:4" x14ac:dyDescent="0.25">
      <c r="A44" t="s">
        <v>111</v>
      </c>
      <c r="B44" t="s">
        <v>112</v>
      </c>
      <c r="C44" t="s">
        <v>113</v>
      </c>
      <c r="D44" t="s">
        <v>8</v>
      </c>
    </row>
    <row r="45" spans="1:4" x14ac:dyDescent="0.25">
      <c r="A45" t="s">
        <v>111</v>
      </c>
      <c r="B45" t="s">
        <v>114</v>
      </c>
      <c r="C45" t="s">
        <v>115</v>
      </c>
      <c r="D45" t="s">
        <v>8</v>
      </c>
    </row>
    <row r="46" spans="1:4" x14ac:dyDescent="0.25">
      <c r="A46" t="s">
        <v>116</v>
      </c>
      <c r="B46" t="s">
        <v>117</v>
      </c>
      <c r="C46" t="s">
        <v>118</v>
      </c>
      <c r="D46" t="s">
        <v>8</v>
      </c>
    </row>
    <row r="47" spans="1:4" x14ac:dyDescent="0.25">
      <c r="A47" t="s">
        <v>116</v>
      </c>
      <c r="B47" t="s">
        <v>119</v>
      </c>
      <c r="C47" t="s">
        <v>120</v>
      </c>
      <c r="D47" t="s">
        <v>8</v>
      </c>
    </row>
    <row r="48" spans="1:4" x14ac:dyDescent="0.25">
      <c r="A48" t="s">
        <v>121</v>
      </c>
      <c r="B48" t="s">
        <v>122</v>
      </c>
      <c r="C48" t="s">
        <v>123</v>
      </c>
      <c r="D48" t="s">
        <v>8</v>
      </c>
    </row>
    <row r="49" spans="1:4" x14ac:dyDescent="0.25">
      <c r="A49" t="s">
        <v>121</v>
      </c>
      <c r="B49" t="s">
        <v>124</v>
      </c>
      <c r="C49" t="s">
        <v>125</v>
      </c>
      <c r="D49" t="s">
        <v>8</v>
      </c>
    </row>
    <row r="50" spans="1:4" x14ac:dyDescent="0.25">
      <c r="A50" t="s">
        <v>126</v>
      </c>
      <c r="B50" t="s">
        <v>127</v>
      </c>
      <c r="C50" t="s">
        <v>128</v>
      </c>
      <c r="D50" t="s">
        <v>8</v>
      </c>
    </row>
    <row r="51" spans="1:4" x14ac:dyDescent="0.25">
      <c r="A51" t="s">
        <v>126</v>
      </c>
      <c r="B51" t="s">
        <v>129</v>
      </c>
      <c r="C51" t="s">
        <v>130</v>
      </c>
      <c r="D51" t="s">
        <v>8</v>
      </c>
    </row>
    <row r="52" spans="1:4" x14ac:dyDescent="0.25">
      <c r="A52" t="s">
        <v>131</v>
      </c>
      <c r="B52" t="s">
        <v>132</v>
      </c>
      <c r="C52" t="s">
        <v>133</v>
      </c>
      <c r="D52" t="s">
        <v>8</v>
      </c>
    </row>
    <row r="53" spans="1:4" x14ac:dyDescent="0.25">
      <c r="A53" t="s">
        <v>131</v>
      </c>
      <c r="B53" t="s">
        <v>134</v>
      </c>
      <c r="C53" t="s">
        <v>135</v>
      </c>
      <c r="D53" t="s">
        <v>8</v>
      </c>
    </row>
    <row r="54" spans="1:4" x14ac:dyDescent="0.25">
      <c r="A54" t="s">
        <v>136</v>
      </c>
      <c r="B54" t="s">
        <v>137</v>
      </c>
      <c r="C54" t="s">
        <v>138</v>
      </c>
      <c r="D54" t="s">
        <v>8</v>
      </c>
    </row>
    <row r="55" spans="1:4" x14ac:dyDescent="0.25">
      <c r="A55" t="s">
        <v>136</v>
      </c>
      <c r="B55" t="s">
        <v>139</v>
      </c>
      <c r="C55" t="s">
        <v>140</v>
      </c>
      <c r="D55" t="s">
        <v>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4DFEC"/>
  </sheetPr>
  <dimension ref="A1:O771"/>
  <sheetViews>
    <sheetView topLeftCell="A642" zoomScaleNormal="100" workbookViewId="0">
      <selection activeCell="A659" sqref="A659"/>
    </sheetView>
  </sheetViews>
  <sheetFormatPr defaultRowHeight="15" x14ac:dyDescent="0.25"/>
  <cols>
    <col min="1" max="1" width="50.7109375" customWidth="1"/>
    <col min="2" max="2" width="33.7109375" customWidth="1"/>
    <col min="3" max="3" width="29.7109375" customWidth="1"/>
    <col min="4" max="4" width="19.7109375" customWidth="1"/>
    <col min="5" max="5" width="10.7109375" customWidth="1"/>
    <col min="6" max="6" width="100.7109375" customWidth="1"/>
    <col min="7" max="7" width="38.7109375" customWidth="1"/>
    <col min="8" max="8" width="33.7109375" customWidth="1"/>
    <col min="9" max="9" width="30.7109375" customWidth="1"/>
    <col min="10" max="10" width="19.7109375" customWidth="1"/>
    <col min="11" max="11" width="10.7109375" customWidth="1"/>
  </cols>
  <sheetData>
    <row r="1" spans="1:15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O1" s="1" t="s">
        <v>4</v>
      </c>
    </row>
    <row r="2" spans="1:15" x14ac:dyDescent="0.25">
      <c r="A2" t="s">
        <v>152</v>
      </c>
      <c r="B2" t="s">
        <v>153</v>
      </c>
      <c r="C2" t="s">
        <v>154</v>
      </c>
      <c r="D2" t="b">
        <v>0</v>
      </c>
      <c r="E2" t="b">
        <v>0</v>
      </c>
      <c r="G2" t="s">
        <v>11</v>
      </c>
      <c r="H2" t="s">
        <v>153</v>
      </c>
      <c r="I2" t="s">
        <v>154</v>
      </c>
      <c r="J2" t="b">
        <v>0</v>
      </c>
      <c r="K2" t="b">
        <v>0</v>
      </c>
    </row>
    <row r="3" spans="1:15" x14ac:dyDescent="0.25">
      <c r="A3" t="s">
        <v>152</v>
      </c>
      <c r="B3" t="s">
        <v>155</v>
      </c>
      <c r="C3" t="s">
        <v>154</v>
      </c>
      <c r="D3" t="b">
        <v>0</v>
      </c>
      <c r="E3" t="b">
        <v>0</v>
      </c>
      <c r="G3" t="s">
        <v>11</v>
      </c>
      <c r="H3" t="s">
        <v>155</v>
      </c>
      <c r="I3" t="s">
        <v>154</v>
      </c>
      <c r="J3" t="b">
        <v>0</v>
      </c>
      <c r="K3" t="b">
        <v>0</v>
      </c>
    </row>
    <row r="4" spans="1:15" x14ac:dyDescent="0.25">
      <c r="A4" t="s">
        <v>152</v>
      </c>
      <c r="B4" t="s">
        <v>156</v>
      </c>
      <c r="C4" t="s">
        <v>157</v>
      </c>
      <c r="D4" t="b">
        <v>0</v>
      </c>
      <c r="E4" t="b">
        <v>0</v>
      </c>
      <c r="G4" t="s">
        <v>11</v>
      </c>
      <c r="H4" t="s">
        <v>156</v>
      </c>
      <c r="I4" t="s">
        <v>157</v>
      </c>
      <c r="J4" t="b">
        <v>0</v>
      </c>
      <c r="K4" t="b">
        <v>0</v>
      </c>
    </row>
    <row r="5" spans="1:15" x14ac:dyDescent="0.25">
      <c r="A5" t="s">
        <v>152</v>
      </c>
      <c r="B5" t="s">
        <v>158</v>
      </c>
      <c r="C5" t="s">
        <v>157</v>
      </c>
      <c r="D5" t="b">
        <v>0</v>
      </c>
      <c r="E5" t="b">
        <v>0</v>
      </c>
      <c r="G5" t="s">
        <v>11</v>
      </c>
      <c r="H5" t="s">
        <v>158</v>
      </c>
      <c r="I5" t="s">
        <v>157</v>
      </c>
      <c r="J5" t="b">
        <v>0</v>
      </c>
      <c r="K5" t="b">
        <v>0</v>
      </c>
    </row>
    <row r="6" spans="1:15" x14ac:dyDescent="0.25">
      <c r="A6" t="s">
        <v>152</v>
      </c>
      <c r="B6" t="s">
        <v>159</v>
      </c>
      <c r="C6" t="s">
        <v>160</v>
      </c>
      <c r="D6" t="b">
        <v>0</v>
      </c>
      <c r="E6" t="b">
        <v>0</v>
      </c>
    </row>
    <row r="7" spans="1:15" x14ac:dyDescent="0.25">
      <c r="A7" t="s">
        <v>152</v>
      </c>
      <c r="B7" t="s">
        <v>161</v>
      </c>
      <c r="C7" t="s">
        <v>157</v>
      </c>
      <c r="D7" t="b">
        <v>0</v>
      </c>
      <c r="E7" t="b">
        <v>0</v>
      </c>
      <c r="G7" t="s">
        <v>11</v>
      </c>
      <c r="H7" t="s">
        <v>161</v>
      </c>
      <c r="I7" t="s">
        <v>157</v>
      </c>
      <c r="J7" t="b">
        <v>0</v>
      </c>
      <c r="K7" t="b">
        <v>0</v>
      </c>
    </row>
    <row r="8" spans="1:15" x14ac:dyDescent="0.25">
      <c r="A8" t="s">
        <v>152</v>
      </c>
      <c r="B8" t="s">
        <v>162</v>
      </c>
      <c r="C8" t="s">
        <v>157</v>
      </c>
      <c r="D8" t="b">
        <v>0</v>
      </c>
      <c r="E8" t="b">
        <v>0</v>
      </c>
      <c r="G8" t="s">
        <v>11</v>
      </c>
      <c r="H8" t="s">
        <v>162</v>
      </c>
      <c r="I8" t="s">
        <v>157</v>
      </c>
      <c r="J8" t="b">
        <v>0</v>
      </c>
      <c r="K8" t="b">
        <v>0</v>
      </c>
    </row>
    <row r="9" spans="1:15" x14ac:dyDescent="0.25">
      <c r="A9" t="s">
        <v>152</v>
      </c>
      <c r="B9" t="s">
        <v>163</v>
      </c>
      <c r="C9" t="s">
        <v>164</v>
      </c>
      <c r="D9" t="b">
        <v>0</v>
      </c>
      <c r="E9" t="b">
        <v>0</v>
      </c>
      <c r="G9" t="s">
        <v>11</v>
      </c>
      <c r="H9" t="s">
        <v>163</v>
      </c>
      <c r="I9" t="s">
        <v>164</v>
      </c>
      <c r="J9" t="b">
        <v>0</v>
      </c>
      <c r="K9" t="b">
        <v>0</v>
      </c>
    </row>
    <row r="10" spans="1:15" x14ac:dyDescent="0.25">
      <c r="A10" t="s">
        <v>152</v>
      </c>
      <c r="B10" t="s">
        <v>165</v>
      </c>
      <c r="C10" t="s">
        <v>157</v>
      </c>
      <c r="D10" t="b">
        <v>0</v>
      </c>
      <c r="E10" t="b">
        <v>0</v>
      </c>
      <c r="G10" t="s">
        <v>11</v>
      </c>
      <c r="H10" t="s">
        <v>165</v>
      </c>
      <c r="I10" t="s">
        <v>157</v>
      </c>
      <c r="J10" t="b">
        <v>0</v>
      </c>
      <c r="K10" t="b">
        <v>0</v>
      </c>
    </row>
    <row r="11" spans="1:15" x14ac:dyDescent="0.25">
      <c r="A11" t="s">
        <v>152</v>
      </c>
      <c r="B11" t="s">
        <v>166</v>
      </c>
      <c r="C11" t="s">
        <v>160</v>
      </c>
      <c r="D11" t="b">
        <v>0</v>
      </c>
      <c r="E11" t="b">
        <v>0</v>
      </c>
    </row>
    <row r="12" spans="1:15" x14ac:dyDescent="0.25">
      <c r="A12" t="s">
        <v>152</v>
      </c>
      <c r="B12" t="s">
        <v>167</v>
      </c>
      <c r="C12" t="s">
        <v>157</v>
      </c>
      <c r="D12" t="b">
        <v>0</v>
      </c>
      <c r="E12" t="b">
        <v>0</v>
      </c>
      <c r="G12" t="s">
        <v>11</v>
      </c>
      <c r="H12" t="s">
        <v>167</v>
      </c>
      <c r="I12" t="s">
        <v>157</v>
      </c>
      <c r="J12" t="b">
        <v>0</v>
      </c>
      <c r="K12" t="b">
        <v>0</v>
      </c>
    </row>
    <row r="13" spans="1:15" x14ac:dyDescent="0.25">
      <c r="A13" t="s">
        <v>152</v>
      </c>
      <c r="B13" t="s">
        <v>168</v>
      </c>
      <c r="C13" t="s">
        <v>157</v>
      </c>
      <c r="D13" t="b">
        <v>0</v>
      </c>
      <c r="E13" t="b">
        <v>0</v>
      </c>
      <c r="G13" t="s">
        <v>11</v>
      </c>
      <c r="H13" t="s">
        <v>168</v>
      </c>
      <c r="I13" t="s">
        <v>157</v>
      </c>
      <c r="J13" t="b">
        <v>0</v>
      </c>
      <c r="K13" t="b">
        <v>0</v>
      </c>
    </row>
    <row r="14" spans="1:15" x14ac:dyDescent="0.25">
      <c r="A14" t="s">
        <v>152</v>
      </c>
      <c r="B14" t="s">
        <v>169</v>
      </c>
      <c r="C14" t="s">
        <v>154</v>
      </c>
      <c r="D14" t="b">
        <v>0</v>
      </c>
      <c r="E14" t="b">
        <v>0</v>
      </c>
      <c r="G14" t="s">
        <v>11</v>
      </c>
      <c r="H14" t="s">
        <v>169</v>
      </c>
      <c r="I14" t="s">
        <v>154</v>
      </c>
      <c r="J14" t="b">
        <v>0</v>
      </c>
      <c r="K14" t="b">
        <v>0</v>
      </c>
    </row>
    <row r="15" spans="1:15" x14ac:dyDescent="0.25">
      <c r="A15" t="s">
        <v>152</v>
      </c>
      <c r="B15" t="s">
        <v>170</v>
      </c>
      <c r="C15" t="s">
        <v>157</v>
      </c>
      <c r="D15" t="b">
        <v>0</v>
      </c>
      <c r="E15" t="b">
        <v>0</v>
      </c>
      <c r="G15" t="s">
        <v>11</v>
      </c>
      <c r="H15" t="s">
        <v>170</v>
      </c>
      <c r="I15" t="s">
        <v>157</v>
      </c>
      <c r="J15" t="b">
        <v>0</v>
      </c>
      <c r="K15" t="b">
        <v>0</v>
      </c>
    </row>
    <row r="16" spans="1:15" x14ac:dyDescent="0.25">
      <c r="A16" t="s">
        <v>152</v>
      </c>
      <c r="B16" t="s">
        <v>171</v>
      </c>
      <c r="C16" t="s">
        <v>157</v>
      </c>
      <c r="D16" t="b">
        <v>0</v>
      </c>
      <c r="E16" t="b">
        <v>0</v>
      </c>
      <c r="G16" t="s">
        <v>11</v>
      </c>
      <c r="H16" t="s">
        <v>171</v>
      </c>
      <c r="I16" t="s">
        <v>157</v>
      </c>
      <c r="J16" t="b">
        <v>0</v>
      </c>
      <c r="K16" t="b">
        <v>0</v>
      </c>
    </row>
    <row r="17" spans="1:11" x14ac:dyDescent="0.25">
      <c r="A17" t="s">
        <v>152</v>
      </c>
      <c r="B17" t="s">
        <v>172</v>
      </c>
      <c r="C17" t="s">
        <v>157</v>
      </c>
      <c r="D17" t="b">
        <v>0</v>
      </c>
      <c r="E17" t="b">
        <v>0</v>
      </c>
      <c r="G17" t="s">
        <v>11</v>
      </c>
      <c r="H17" t="s">
        <v>172</v>
      </c>
      <c r="I17" t="s">
        <v>157</v>
      </c>
      <c r="J17" t="b">
        <v>0</v>
      </c>
      <c r="K17" t="b">
        <v>0</v>
      </c>
    </row>
    <row r="18" spans="1:11" x14ac:dyDescent="0.25">
      <c r="A18" t="s">
        <v>152</v>
      </c>
      <c r="B18" t="s">
        <v>173</v>
      </c>
      <c r="C18" t="s">
        <v>157</v>
      </c>
      <c r="D18" t="b">
        <v>0</v>
      </c>
      <c r="E18" t="b">
        <v>0</v>
      </c>
      <c r="G18" t="s">
        <v>11</v>
      </c>
      <c r="H18" t="s">
        <v>173</v>
      </c>
      <c r="I18" t="s">
        <v>157</v>
      </c>
      <c r="J18" t="b">
        <v>0</v>
      </c>
      <c r="K18" t="b">
        <v>0</v>
      </c>
    </row>
    <row r="19" spans="1:11" x14ac:dyDescent="0.25">
      <c r="A19" t="s">
        <v>152</v>
      </c>
      <c r="B19" t="s">
        <v>174</v>
      </c>
      <c r="C19" t="s">
        <v>154</v>
      </c>
      <c r="D19" t="b">
        <v>0</v>
      </c>
      <c r="E19" t="b">
        <v>0</v>
      </c>
      <c r="G19" t="s">
        <v>11</v>
      </c>
      <c r="H19" t="s">
        <v>174</v>
      </c>
      <c r="I19" t="s">
        <v>154</v>
      </c>
      <c r="J19" t="b">
        <v>0</v>
      </c>
      <c r="K19" t="b">
        <v>0</v>
      </c>
    </row>
    <row r="20" spans="1:11" x14ac:dyDescent="0.25">
      <c r="A20" t="s">
        <v>152</v>
      </c>
      <c r="B20" t="s">
        <v>175</v>
      </c>
      <c r="C20" t="s">
        <v>157</v>
      </c>
      <c r="D20" t="b">
        <v>0</v>
      </c>
      <c r="E20" t="b">
        <v>0</v>
      </c>
      <c r="G20" t="s">
        <v>11</v>
      </c>
      <c r="H20" t="s">
        <v>175</v>
      </c>
      <c r="I20" t="s">
        <v>157</v>
      </c>
      <c r="J20" t="b">
        <v>0</v>
      </c>
      <c r="K20" t="b">
        <v>0</v>
      </c>
    </row>
    <row r="21" spans="1:11" x14ac:dyDescent="0.25">
      <c r="A21" t="s">
        <v>152</v>
      </c>
      <c r="B21" t="s">
        <v>176</v>
      </c>
      <c r="C21" t="s">
        <v>157</v>
      </c>
      <c r="D21" t="b">
        <v>0</v>
      </c>
      <c r="E21" t="b">
        <v>0</v>
      </c>
      <c r="G21" t="s">
        <v>11</v>
      </c>
      <c r="H21" t="s">
        <v>176</v>
      </c>
      <c r="I21" t="s">
        <v>157</v>
      </c>
      <c r="J21" t="b">
        <v>0</v>
      </c>
      <c r="K21" t="b">
        <v>0</v>
      </c>
    </row>
    <row r="22" spans="1:11" x14ac:dyDescent="0.25">
      <c r="A22" t="s">
        <v>152</v>
      </c>
      <c r="B22" t="s">
        <v>177</v>
      </c>
      <c r="C22" t="s">
        <v>157</v>
      </c>
      <c r="D22" t="b">
        <v>0</v>
      </c>
      <c r="E22" t="b">
        <v>0</v>
      </c>
      <c r="G22" t="s">
        <v>11</v>
      </c>
      <c r="H22" t="s">
        <v>177</v>
      </c>
      <c r="I22" t="s">
        <v>157</v>
      </c>
      <c r="J22" t="b">
        <v>0</v>
      </c>
      <c r="K22" t="b">
        <v>0</v>
      </c>
    </row>
    <row r="23" spans="1:11" x14ac:dyDescent="0.25">
      <c r="A23" t="s">
        <v>152</v>
      </c>
      <c r="B23" t="s">
        <v>178</v>
      </c>
      <c r="C23" t="s">
        <v>157</v>
      </c>
      <c r="D23" t="b">
        <v>0</v>
      </c>
      <c r="E23" t="b">
        <v>0</v>
      </c>
      <c r="G23" t="s">
        <v>11</v>
      </c>
      <c r="H23" t="s">
        <v>178</v>
      </c>
      <c r="I23" t="s">
        <v>157</v>
      </c>
      <c r="J23" t="b">
        <v>0</v>
      </c>
      <c r="K23" t="b">
        <v>0</v>
      </c>
    </row>
    <row r="24" spans="1:11" x14ac:dyDescent="0.25">
      <c r="A24" t="s">
        <v>152</v>
      </c>
      <c r="B24" t="s">
        <v>179</v>
      </c>
      <c r="C24" t="s">
        <v>157</v>
      </c>
      <c r="D24" t="b">
        <v>1</v>
      </c>
      <c r="E24" t="b">
        <v>1</v>
      </c>
      <c r="G24" t="s">
        <v>11</v>
      </c>
      <c r="H24" t="s">
        <v>179</v>
      </c>
      <c r="I24" t="s">
        <v>157</v>
      </c>
      <c r="J24" t="b">
        <v>1</v>
      </c>
      <c r="K24" t="b">
        <v>0</v>
      </c>
    </row>
    <row r="25" spans="1:11" x14ac:dyDescent="0.25">
      <c r="A25" t="s">
        <v>152</v>
      </c>
      <c r="B25" t="s">
        <v>180</v>
      </c>
      <c r="C25" t="s">
        <v>160</v>
      </c>
      <c r="D25" t="b">
        <v>0</v>
      </c>
      <c r="E25" t="b">
        <v>0</v>
      </c>
    </row>
    <row r="26" spans="1:11" x14ac:dyDescent="0.25">
      <c r="A26" t="s">
        <v>152</v>
      </c>
      <c r="B26" t="s">
        <v>181</v>
      </c>
      <c r="C26" t="s">
        <v>182</v>
      </c>
      <c r="D26" t="b">
        <v>0</v>
      </c>
      <c r="E26" t="b">
        <v>0</v>
      </c>
      <c r="G26" t="s">
        <v>11</v>
      </c>
      <c r="H26" t="s">
        <v>181</v>
      </c>
      <c r="I26" t="s">
        <v>182</v>
      </c>
      <c r="J26" t="b">
        <v>0</v>
      </c>
      <c r="K26" t="b">
        <v>0</v>
      </c>
    </row>
    <row r="27" spans="1:11" x14ac:dyDescent="0.25">
      <c r="A27" t="s">
        <v>152</v>
      </c>
      <c r="B27" t="s">
        <v>183</v>
      </c>
      <c r="C27" t="s">
        <v>157</v>
      </c>
      <c r="D27" t="b">
        <v>0</v>
      </c>
      <c r="E27" t="b">
        <v>0</v>
      </c>
      <c r="G27" t="s">
        <v>11</v>
      </c>
      <c r="H27" t="s">
        <v>183</v>
      </c>
      <c r="I27" t="s">
        <v>157</v>
      </c>
      <c r="J27" t="b">
        <v>0</v>
      </c>
      <c r="K27" t="b">
        <v>0</v>
      </c>
    </row>
    <row r="28" spans="1:11" x14ac:dyDescent="0.25">
      <c r="A28" t="s">
        <v>152</v>
      </c>
      <c r="B28" t="s">
        <v>184</v>
      </c>
      <c r="C28" t="s">
        <v>157</v>
      </c>
      <c r="D28" t="b">
        <v>0</v>
      </c>
      <c r="E28" t="b">
        <v>0</v>
      </c>
      <c r="G28" t="s">
        <v>11</v>
      </c>
      <c r="H28" t="s">
        <v>184</v>
      </c>
      <c r="I28" t="s">
        <v>157</v>
      </c>
      <c r="J28" t="b">
        <v>0</v>
      </c>
      <c r="K28" t="b">
        <v>0</v>
      </c>
    </row>
    <row r="29" spans="1:11" x14ac:dyDescent="0.25">
      <c r="A29" t="s">
        <v>152</v>
      </c>
      <c r="B29" t="s">
        <v>185</v>
      </c>
      <c r="C29" t="s">
        <v>154</v>
      </c>
      <c r="D29" t="b">
        <v>0</v>
      </c>
      <c r="E29" t="b">
        <v>0</v>
      </c>
      <c r="G29" t="s">
        <v>11</v>
      </c>
      <c r="H29" t="s">
        <v>185</v>
      </c>
      <c r="I29" t="s">
        <v>154</v>
      </c>
      <c r="J29" t="b">
        <v>0</v>
      </c>
      <c r="K29" t="b">
        <v>0</v>
      </c>
    </row>
    <row r="30" spans="1:11" x14ac:dyDescent="0.25">
      <c r="A30" t="s">
        <v>152</v>
      </c>
      <c r="B30" t="s">
        <v>186</v>
      </c>
      <c r="C30" t="s">
        <v>157</v>
      </c>
      <c r="D30" t="b">
        <v>0</v>
      </c>
      <c r="E30" t="b">
        <v>0</v>
      </c>
      <c r="G30" t="s">
        <v>11</v>
      </c>
      <c r="H30" t="s">
        <v>186</v>
      </c>
      <c r="I30" t="s">
        <v>157</v>
      </c>
      <c r="J30" t="b">
        <v>0</v>
      </c>
      <c r="K30" t="b">
        <v>0</v>
      </c>
    </row>
    <row r="31" spans="1:11" x14ac:dyDescent="0.25">
      <c r="A31" t="s">
        <v>152</v>
      </c>
      <c r="B31" t="s">
        <v>187</v>
      </c>
      <c r="C31" t="s">
        <v>157</v>
      </c>
      <c r="D31" t="b">
        <v>0</v>
      </c>
      <c r="E31" t="b">
        <v>0</v>
      </c>
      <c r="G31" t="s">
        <v>11</v>
      </c>
      <c r="H31" t="s">
        <v>187</v>
      </c>
      <c r="I31" t="s">
        <v>157</v>
      </c>
      <c r="J31" t="b">
        <v>0</v>
      </c>
      <c r="K31" t="b">
        <v>0</v>
      </c>
    </row>
    <row r="32" spans="1:11" x14ac:dyDescent="0.25">
      <c r="A32" t="s">
        <v>152</v>
      </c>
      <c r="B32" t="s">
        <v>188</v>
      </c>
      <c r="C32" t="s">
        <v>154</v>
      </c>
      <c r="D32" t="b">
        <v>0</v>
      </c>
      <c r="E32" t="b">
        <v>0</v>
      </c>
      <c r="G32" t="s">
        <v>11</v>
      </c>
      <c r="H32" t="s">
        <v>188</v>
      </c>
      <c r="I32" t="s">
        <v>154</v>
      </c>
      <c r="J32" t="b">
        <v>0</v>
      </c>
      <c r="K32" t="b">
        <v>0</v>
      </c>
    </row>
    <row r="33" spans="1:11" x14ac:dyDescent="0.25">
      <c r="A33" t="s">
        <v>152</v>
      </c>
      <c r="B33" t="s">
        <v>189</v>
      </c>
      <c r="C33" t="s">
        <v>157</v>
      </c>
      <c r="D33" t="b">
        <v>0</v>
      </c>
      <c r="E33" t="b">
        <v>0</v>
      </c>
      <c r="G33" t="s">
        <v>11</v>
      </c>
      <c r="H33" t="s">
        <v>189</v>
      </c>
      <c r="I33" t="s">
        <v>157</v>
      </c>
      <c r="J33" t="b">
        <v>0</v>
      </c>
      <c r="K33" t="b">
        <v>0</v>
      </c>
    </row>
    <row r="34" spans="1:11" x14ac:dyDescent="0.25">
      <c r="A34" t="s">
        <v>152</v>
      </c>
      <c r="B34" t="s">
        <v>190</v>
      </c>
      <c r="C34" t="s">
        <v>157</v>
      </c>
      <c r="D34" t="b">
        <v>0</v>
      </c>
      <c r="E34" t="b">
        <v>0</v>
      </c>
      <c r="G34" t="s">
        <v>11</v>
      </c>
      <c r="H34" t="s">
        <v>190</v>
      </c>
      <c r="I34" t="s">
        <v>157</v>
      </c>
      <c r="J34" t="b">
        <v>0</v>
      </c>
      <c r="K34" t="b">
        <v>0</v>
      </c>
    </row>
    <row r="35" spans="1:11" x14ac:dyDescent="0.25">
      <c r="A35" t="s">
        <v>152</v>
      </c>
      <c r="B35" t="s">
        <v>191</v>
      </c>
      <c r="C35" t="s">
        <v>160</v>
      </c>
      <c r="D35" t="b">
        <v>0</v>
      </c>
      <c r="E35" t="b">
        <v>0</v>
      </c>
    </row>
    <row r="36" spans="1:11" x14ac:dyDescent="0.25">
      <c r="A36" t="s">
        <v>152</v>
      </c>
      <c r="B36" t="s">
        <v>192</v>
      </c>
      <c r="C36" t="s">
        <v>154</v>
      </c>
      <c r="D36" t="b">
        <v>0</v>
      </c>
      <c r="E36" t="b">
        <v>0</v>
      </c>
      <c r="G36" t="s">
        <v>11</v>
      </c>
      <c r="H36" t="s">
        <v>192</v>
      </c>
      <c r="I36" t="s">
        <v>154</v>
      </c>
      <c r="J36" t="b">
        <v>0</v>
      </c>
      <c r="K36" t="b">
        <v>0</v>
      </c>
    </row>
    <row r="37" spans="1:11" x14ac:dyDescent="0.25">
      <c r="A37" t="s">
        <v>152</v>
      </c>
      <c r="B37" t="s">
        <v>193</v>
      </c>
      <c r="C37" t="s">
        <v>157</v>
      </c>
      <c r="D37" t="b">
        <v>0</v>
      </c>
      <c r="E37" t="b">
        <v>0</v>
      </c>
      <c r="G37" t="s">
        <v>11</v>
      </c>
      <c r="H37" t="s">
        <v>193</v>
      </c>
      <c r="I37" t="s">
        <v>157</v>
      </c>
      <c r="J37" t="b">
        <v>0</v>
      </c>
      <c r="K37" t="b">
        <v>0</v>
      </c>
    </row>
    <row r="38" spans="1:11" x14ac:dyDescent="0.25">
      <c r="A38" t="s">
        <v>152</v>
      </c>
      <c r="B38" t="s">
        <v>194</v>
      </c>
      <c r="C38" t="s">
        <v>157</v>
      </c>
      <c r="D38" t="b">
        <v>0</v>
      </c>
      <c r="E38" t="b">
        <v>0</v>
      </c>
      <c r="G38" t="s">
        <v>11</v>
      </c>
      <c r="H38" t="s">
        <v>194</v>
      </c>
      <c r="I38" t="s">
        <v>157</v>
      </c>
      <c r="J38" t="b">
        <v>0</v>
      </c>
      <c r="K38" t="b">
        <v>0</v>
      </c>
    </row>
    <row r="39" spans="1:11" x14ac:dyDescent="0.25">
      <c r="A39" t="s">
        <v>152</v>
      </c>
      <c r="B39" t="s">
        <v>195</v>
      </c>
      <c r="C39" t="s">
        <v>157</v>
      </c>
      <c r="D39" t="b">
        <v>0</v>
      </c>
      <c r="E39" t="b">
        <v>0</v>
      </c>
      <c r="G39" t="s">
        <v>11</v>
      </c>
      <c r="H39" t="s">
        <v>195</v>
      </c>
      <c r="I39" t="s">
        <v>157</v>
      </c>
      <c r="J39" t="b">
        <v>0</v>
      </c>
      <c r="K39" t="b">
        <v>0</v>
      </c>
    </row>
    <row r="40" spans="1:11" x14ac:dyDescent="0.25">
      <c r="A40" t="s">
        <v>152</v>
      </c>
      <c r="B40" t="s">
        <v>196</v>
      </c>
      <c r="C40" t="s">
        <v>157</v>
      </c>
      <c r="D40" t="b">
        <v>0</v>
      </c>
      <c r="E40" t="b">
        <v>0</v>
      </c>
      <c r="G40" t="s">
        <v>11</v>
      </c>
      <c r="H40" t="s">
        <v>196</v>
      </c>
      <c r="I40" t="s">
        <v>157</v>
      </c>
      <c r="J40" t="b">
        <v>0</v>
      </c>
      <c r="K40" t="b">
        <v>0</v>
      </c>
    </row>
    <row r="41" spans="1:11" x14ac:dyDescent="0.25">
      <c r="A41" t="s">
        <v>152</v>
      </c>
      <c r="B41" t="s">
        <v>197</v>
      </c>
      <c r="C41" t="s">
        <v>154</v>
      </c>
      <c r="D41" t="b">
        <v>0</v>
      </c>
      <c r="E41" t="b">
        <v>0</v>
      </c>
      <c r="G41" t="s">
        <v>11</v>
      </c>
      <c r="H41" t="s">
        <v>197</v>
      </c>
      <c r="I41" t="s">
        <v>154</v>
      </c>
      <c r="J41" t="b">
        <v>0</v>
      </c>
      <c r="K41" t="b">
        <v>0</v>
      </c>
    </row>
    <row r="42" spans="1:11" x14ac:dyDescent="0.25">
      <c r="A42" t="s">
        <v>152</v>
      </c>
      <c r="B42" t="s">
        <v>198</v>
      </c>
      <c r="C42" t="s">
        <v>157</v>
      </c>
      <c r="D42" t="b">
        <v>0</v>
      </c>
      <c r="E42" t="b">
        <v>0</v>
      </c>
      <c r="G42" t="s">
        <v>11</v>
      </c>
      <c r="H42" t="s">
        <v>198</v>
      </c>
      <c r="I42" t="s">
        <v>157</v>
      </c>
      <c r="J42" t="b">
        <v>0</v>
      </c>
      <c r="K42" t="b">
        <v>0</v>
      </c>
    </row>
    <row r="43" spans="1:11" x14ac:dyDescent="0.25">
      <c r="A43" t="s">
        <v>152</v>
      </c>
      <c r="B43" t="s">
        <v>199</v>
      </c>
      <c r="C43" t="s">
        <v>160</v>
      </c>
      <c r="D43" t="b">
        <v>0</v>
      </c>
      <c r="E43" t="b">
        <v>0</v>
      </c>
    </row>
    <row r="44" spans="1:11" x14ac:dyDescent="0.25">
      <c r="A44" t="s">
        <v>152</v>
      </c>
      <c r="B44" t="s">
        <v>200</v>
      </c>
      <c r="C44" t="s">
        <v>157</v>
      </c>
      <c r="D44" t="b">
        <v>0</v>
      </c>
      <c r="E44" t="b">
        <v>0</v>
      </c>
      <c r="G44" t="s">
        <v>11</v>
      </c>
      <c r="H44" t="s">
        <v>200</v>
      </c>
      <c r="I44" t="s">
        <v>157</v>
      </c>
      <c r="J44" t="b">
        <v>0</v>
      </c>
      <c r="K44" t="b">
        <v>0</v>
      </c>
    </row>
    <row r="45" spans="1:11" x14ac:dyDescent="0.25">
      <c r="A45" t="s">
        <v>152</v>
      </c>
      <c r="B45" t="s">
        <v>201</v>
      </c>
      <c r="C45" t="s">
        <v>157</v>
      </c>
      <c r="D45" t="b">
        <v>0</v>
      </c>
      <c r="E45" t="b">
        <v>0</v>
      </c>
      <c r="G45" t="s">
        <v>11</v>
      </c>
      <c r="H45" t="s">
        <v>201</v>
      </c>
      <c r="I45" t="s">
        <v>157</v>
      </c>
      <c r="J45" t="b">
        <v>0</v>
      </c>
      <c r="K45" t="b">
        <v>0</v>
      </c>
    </row>
    <row r="46" spans="1:11" x14ac:dyDescent="0.25">
      <c r="A46" t="s">
        <v>152</v>
      </c>
      <c r="B46" t="s">
        <v>202</v>
      </c>
      <c r="C46" t="s">
        <v>157</v>
      </c>
      <c r="D46" t="b">
        <v>0</v>
      </c>
      <c r="E46" t="b">
        <v>0</v>
      </c>
      <c r="G46" t="s">
        <v>11</v>
      </c>
      <c r="H46" t="s">
        <v>202</v>
      </c>
      <c r="I46" t="s">
        <v>157</v>
      </c>
      <c r="J46" t="b">
        <v>0</v>
      </c>
      <c r="K46" t="b">
        <v>0</v>
      </c>
    </row>
    <row r="47" spans="1:11" x14ac:dyDescent="0.25">
      <c r="A47" t="s">
        <v>152</v>
      </c>
      <c r="B47" t="s">
        <v>203</v>
      </c>
      <c r="C47" t="s">
        <v>154</v>
      </c>
      <c r="D47" t="b">
        <v>0</v>
      </c>
      <c r="E47" t="b">
        <v>0</v>
      </c>
      <c r="G47" t="s">
        <v>11</v>
      </c>
      <c r="H47" t="s">
        <v>203</v>
      </c>
      <c r="I47" t="s">
        <v>154</v>
      </c>
      <c r="J47" t="b">
        <v>0</v>
      </c>
      <c r="K47" t="b">
        <v>0</v>
      </c>
    </row>
    <row r="48" spans="1:11" x14ac:dyDescent="0.25">
      <c r="A48" t="s">
        <v>152</v>
      </c>
      <c r="B48" t="s">
        <v>204</v>
      </c>
      <c r="C48" t="s">
        <v>205</v>
      </c>
      <c r="D48" t="b">
        <v>0</v>
      </c>
      <c r="E48" t="b">
        <v>0</v>
      </c>
      <c r="G48" t="s">
        <v>11</v>
      </c>
      <c r="H48" t="s">
        <v>204</v>
      </c>
      <c r="I48" t="s">
        <v>205</v>
      </c>
      <c r="J48" t="b">
        <v>0</v>
      </c>
      <c r="K48" t="b">
        <v>0</v>
      </c>
    </row>
    <row r="49" spans="1:11" x14ac:dyDescent="0.25">
      <c r="A49" t="s">
        <v>152</v>
      </c>
      <c r="B49" t="s">
        <v>206</v>
      </c>
      <c r="C49" t="s">
        <v>205</v>
      </c>
      <c r="D49" t="b">
        <v>0</v>
      </c>
      <c r="E49" t="b">
        <v>0</v>
      </c>
      <c r="G49" t="s">
        <v>11</v>
      </c>
      <c r="H49" t="s">
        <v>206</v>
      </c>
      <c r="I49" t="s">
        <v>205</v>
      </c>
      <c r="J49" t="b">
        <v>0</v>
      </c>
      <c r="K49" t="b">
        <v>0</v>
      </c>
    </row>
    <row r="50" spans="1:11" x14ac:dyDescent="0.25">
      <c r="A50" t="s">
        <v>152</v>
      </c>
      <c r="B50" t="s">
        <v>207</v>
      </c>
      <c r="C50" t="s">
        <v>157</v>
      </c>
      <c r="D50" t="b">
        <v>0</v>
      </c>
      <c r="E50" t="b">
        <v>0</v>
      </c>
      <c r="G50" t="s">
        <v>11</v>
      </c>
      <c r="H50" t="s">
        <v>207</v>
      </c>
      <c r="I50" t="s">
        <v>157</v>
      </c>
      <c r="J50" t="b">
        <v>0</v>
      </c>
      <c r="K50" t="b">
        <v>0</v>
      </c>
    </row>
    <row r="51" spans="1:11" x14ac:dyDescent="0.25">
      <c r="A51" t="s">
        <v>152</v>
      </c>
      <c r="B51" t="s">
        <v>208</v>
      </c>
      <c r="C51" t="s">
        <v>157</v>
      </c>
      <c r="D51" t="b">
        <v>0</v>
      </c>
      <c r="E51" t="b">
        <v>0</v>
      </c>
      <c r="G51" t="s">
        <v>11</v>
      </c>
      <c r="H51" t="s">
        <v>208</v>
      </c>
      <c r="I51" t="s">
        <v>157</v>
      </c>
      <c r="J51" t="b">
        <v>0</v>
      </c>
      <c r="K51" t="b">
        <v>0</v>
      </c>
    </row>
    <row r="52" spans="1:11" x14ac:dyDescent="0.25">
      <c r="A52" t="s">
        <v>152</v>
      </c>
      <c r="B52" t="s">
        <v>209</v>
      </c>
      <c r="C52" t="s">
        <v>157</v>
      </c>
      <c r="D52" t="b">
        <v>0</v>
      </c>
      <c r="E52" t="b">
        <v>0</v>
      </c>
      <c r="G52" t="s">
        <v>11</v>
      </c>
      <c r="H52" t="s">
        <v>209</v>
      </c>
      <c r="I52" t="s">
        <v>157</v>
      </c>
      <c r="J52" t="b">
        <v>0</v>
      </c>
      <c r="K52" t="b">
        <v>0</v>
      </c>
    </row>
    <row r="53" spans="1:11" x14ac:dyDescent="0.25">
      <c r="A53" t="s">
        <v>152</v>
      </c>
      <c r="B53" t="s">
        <v>210</v>
      </c>
      <c r="C53" t="s">
        <v>160</v>
      </c>
      <c r="D53" t="b">
        <v>0</v>
      </c>
      <c r="E53" t="b">
        <v>0</v>
      </c>
    </row>
    <row r="54" spans="1:11" x14ac:dyDescent="0.25">
      <c r="A54" t="s">
        <v>152</v>
      </c>
      <c r="B54" t="s">
        <v>211</v>
      </c>
      <c r="C54" t="s">
        <v>157</v>
      </c>
      <c r="D54" t="b">
        <v>0</v>
      </c>
      <c r="E54" t="b">
        <v>0</v>
      </c>
      <c r="G54" t="s">
        <v>11</v>
      </c>
      <c r="H54" t="s">
        <v>211</v>
      </c>
      <c r="I54" t="s">
        <v>157</v>
      </c>
      <c r="J54" t="b">
        <v>0</v>
      </c>
      <c r="K54" t="b">
        <v>0</v>
      </c>
    </row>
    <row r="55" spans="1:11" x14ac:dyDescent="0.25">
      <c r="A55" t="s">
        <v>152</v>
      </c>
      <c r="B55" t="s">
        <v>212</v>
      </c>
      <c r="C55" t="s">
        <v>157</v>
      </c>
      <c r="D55" t="b">
        <v>0</v>
      </c>
      <c r="E55" t="b">
        <v>0</v>
      </c>
      <c r="G55" t="s">
        <v>11</v>
      </c>
      <c r="H55" t="s">
        <v>212</v>
      </c>
      <c r="I55" t="s">
        <v>157</v>
      </c>
      <c r="J55" t="b">
        <v>0</v>
      </c>
      <c r="K55" t="b">
        <v>0</v>
      </c>
    </row>
    <row r="56" spans="1:11" x14ac:dyDescent="0.25">
      <c r="A56" t="s">
        <v>152</v>
      </c>
      <c r="B56" t="s">
        <v>213</v>
      </c>
      <c r="C56" t="s">
        <v>154</v>
      </c>
      <c r="D56" t="b">
        <v>0</v>
      </c>
      <c r="E56" t="b">
        <v>0</v>
      </c>
      <c r="G56" t="s">
        <v>11</v>
      </c>
      <c r="H56" t="s">
        <v>213</v>
      </c>
      <c r="I56" t="s">
        <v>154</v>
      </c>
      <c r="J56" t="b">
        <v>0</v>
      </c>
      <c r="K56" t="b">
        <v>0</v>
      </c>
    </row>
    <row r="57" spans="1:11" x14ac:dyDescent="0.25">
      <c r="A57" t="s">
        <v>152</v>
      </c>
      <c r="B57" t="s">
        <v>214</v>
      </c>
      <c r="C57" t="s">
        <v>157</v>
      </c>
      <c r="D57" t="b">
        <v>0</v>
      </c>
      <c r="E57" t="b">
        <v>0</v>
      </c>
      <c r="G57" t="s">
        <v>11</v>
      </c>
      <c r="H57" t="s">
        <v>214</v>
      </c>
      <c r="I57" t="s">
        <v>157</v>
      </c>
      <c r="J57" t="b">
        <v>0</v>
      </c>
      <c r="K57" t="b">
        <v>0</v>
      </c>
    </row>
    <row r="58" spans="1:11" x14ac:dyDescent="0.25">
      <c r="A58" t="s">
        <v>152</v>
      </c>
      <c r="B58" t="s">
        <v>215</v>
      </c>
      <c r="C58" t="s">
        <v>205</v>
      </c>
      <c r="D58" t="b">
        <v>0</v>
      </c>
      <c r="E58" t="b">
        <v>0</v>
      </c>
      <c r="G58" t="s">
        <v>11</v>
      </c>
      <c r="H58" t="s">
        <v>215</v>
      </c>
      <c r="I58" t="s">
        <v>205</v>
      </c>
      <c r="J58" t="b">
        <v>0</v>
      </c>
      <c r="K58" t="b">
        <v>0</v>
      </c>
    </row>
    <row r="59" spans="1:11" x14ac:dyDescent="0.25">
      <c r="A59" t="s">
        <v>152</v>
      </c>
      <c r="B59" t="s">
        <v>216</v>
      </c>
      <c r="C59" t="s">
        <v>154</v>
      </c>
      <c r="D59" t="b">
        <v>0</v>
      </c>
      <c r="E59" t="b">
        <v>0</v>
      </c>
      <c r="G59" t="s">
        <v>11</v>
      </c>
      <c r="H59" t="s">
        <v>216</v>
      </c>
      <c r="I59" t="s">
        <v>154</v>
      </c>
      <c r="J59" t="b">
        <v>0</v>
      </c>
      <c r="K59" t="b">
        <v>0</v>
      </c>
    </row>
    <row r="60" spans="1:11" x14ac:dyDescent="0.25">
      <c r="A60" t="s">
        <v>152</v>
      </c>
      <c r="B60" t="s">
        <v>217</v>
      </c>
      <c r="C60" t="s">
        <v>205</v>
      </c>
      <c r="D60" t="b">
        <v>0</v>
      </c>
      <c r="E60" t="b">
        <v>0</v>
      </c>
    </row>
    <row r="61" spans="1:11" x14ac:dyDescent="0.25">
      <c r="A61" t="s">
        <v>152</v>
      </c>
      <c r="B61" t="s">
        <v>218</v>
      </c>
      <c r="C61" t="s">
        <v>157</v>
      </c>
      <c r="D61" t="b">
        <v>0</v>
      </c>
      <c r="E61" t="b">
        <v>0</v>
      </c>
    </row>
    <row r="62" spans="1:11" x14ac:dyDescent="0.25">
      <c r="A62" t="s">
        <v>152</v>
      </c>
      <c r="B62" t="s">
        <v>219</v>
      </c>
      <c r="C62" t="s">
        <v>157</v>
      </c>
      <c r="D62" t="b">
        <v>0</v>
      </c>
      <c r="E62" t="b">
        <v>0</v>
      </c>
    </row>
    <row r="63" spans="1:11" x14ac:dyDescent="0.25">
      <c r="A63" t="s">
        <v>152</v>
      </c>
      <c r="B63" t="s">
        <v>220</v>
      </c>
      <c r="C63" t="s">
        <v>205</v>
      </c>
      <c r="D63" t="b">
        <v>0</v>
      </c>
      <c r="E63" t="b">
        <v>0</v>
      </c>
    </row>
    <row r="64" spans="1:11" x14ac:dyDescent="0.25">
      <c r="A64" t="s">
        <v>152</v>
      </c>
      <c r="B64" t="s">
        <v>221</v>
      </c>
      <c r="C64" t="s">
        <v>205</v>
      </c>
      <c r="D64" t="b">
        <v>0</v>
      </c>
      <c r="E64" t="b">
        <v>0</v>
      </c>
    </row>
    <row r="65" spans="1:11" s="2" customFormat="1" x14ac:dyDescent="0.25">
      <c r="A65" s="2" t="s">
        <v>152</v>
      </c>
      <c r="B65" s="2" t="s">
        <v>222</v>
      </c>
      <c r="C65" s="2" t="s">
        <v>205</v>
      </c>
      <c r="D65" s="2" t="b">
        <v>0</v>
      </c>
      <c r="E65" s="2" t="b">
        <v>0</v>
      </c>
    </row>
    <row r="66" spans="1:11" x14ac:dyDescent="0.25">
      <c r="A66" t="s">
        <v>223</v>
      </c>
      <c r="B66" t="s">
        <v>161</v>
      </c>
      <c r="C66" t="s">
        <v>157</v>
      </c>
      <c r="D66" t="b">
        <v>0</v>
      </c>
      <c r="E66" t="b">
        <v>0</v>
      </c>
      <c r="G66" t="s">
        <v>21</v>
      </c>
      <c r="H66" t="s">
        <v>161</v>
      </c>
      <c r="I66" t="s">
        <v>157</v>
      </c>
      <c r="J66" t="b">
        <v>0</v>
      </c>
      <c r="K66" t="b">
        <v>0</v>
      </c>
    </row>
    <row r="67" spans="1:11" x14ac:dyDescent="0.25">
      <c r="A67" t="s">
        <v>223</v>
      </c>
      <c r="B67" t="s">
        <v>224</v>
      </c>
      <c r="C67" t="s">
        <v>160</v>
      </c>
      <c r="D67" t="b">
        <v>0</v>
      </c>
      <c r="E67" t="b">
        <v>0</v>
      </c>
    </row>
    <row r="68" spans="1:11" x14ac:dyDescent="0.25">
      <c r="A68" t="s">
        <v>223</v>
      </c>
      <c r="B68" t="s">
        <v>225</v>
      </c>
      <c r="C68" t="s">
        <v>154</v>
      </c>
      <c r="D68" t="b">
        <v>0</v>
      </c>
      <c r="E68" t="b">
        <v>0</v>
      </c>
      <c r="G68" t="s">
        <v>21</v>
      </c>
      <c r="H68" t="s">
        <v>225</v>
      </c>
      <c r="I68" t="s">
        <v>154</v>
      </c>
      <c r="J68" t="b">
        <v>0</v>
      </c>
      <c r="K68" t="b">
        <v>0</v>
      </c>
    </row>
    <row r="69" spans="1:11" x14ac:dyDescent="0.25">
      <c r="A69" t="s">
        <v>223</v>
      </c>
      <c r="B69" t="s">
        <v>163</v>
      </c>
      <c r="C69" t="s">
        <v>164</v>
      </c>
      <c r="D69" t="b">
        <v>0</v>
      </c>
      <c r="E69" t="b">
        <v>0</v>
      </c>
      <c r="G69" t="s">
        <v>21</v>
      </c>
      <c r="H69" t="s">
        <v>163</v>
      </c>
      <c r="I69" t="s">
        <v>164</v>
      </c>
      <c r="J69" t="b">
        <v>0</v>
      </c>
      <c r="K69" t="b">
        <v>0</v>
      </c>
    </row>
    <row r="70" spans="1:11" x14ac:dyDescent="0.25">
      <c r="A70" t="s">
        <v>223</v>
      </c>
      <c r="B70" t="s">
        <v>226</v>
      </c>
      <c r="C70" t="s">
        <v>154</v>
      </c>
      <c r="D70" t="b">
        <v>0</v>
      </c>
      <c r="E70" t="b">
        <v>0</v>
      </c>
      <c r="G70" t="s">
        <v>21</v>
      </c>
      <c r="H70" t="s">
        <v>226</v>
      </c>
      <c r="I70" t="s">
        <v>154</v>
      </c>
      <c r="J70" t="b">
        <v>0</v>
      </c>
      <c r="K70" t="b">
        <v>0</v>
      </c>
    </row>
    <row r="71" spans="1:11" x14ac:dyDescent="0.25">
      <c r="A71" t="s">
        <v>223</v>
      </c>
      <c r="B71" t="s">
        <v>167</v>
      </c>
      <c r="C71" t="s">
        <v>157</v>
      </c>
      <c r="D71" t="b">
        <v>0</v>
      </c>
      <c r="E71" t="b">
        <v>0</v>
      </c>
      <c r="G71" t="s">
        <v>21</v>
      </c>
      <c r="H71" t="s">
        <v>167</v>
      </c>
      <c r="I71" t="s">
        <v>157</v>
      </c>
      <c r="J71" t="b">
        <v>0</v>
      </c>
      <c r="K71" t="b">
        <v>0</v>
      </c>
    </row>
    <row r="72" spans="1:11" x14ac:dyDescent="0.25">
      <c r="A72" t="s">
        <v>223</v>
      </c>
      <c r="B72" t="s">
        <v>227</v>
      </c>
      <c r="C72" t="s">
        <v>160</v>
      </c>
      <c r="D72" t="b">
        <v>0</v>
      </c>
      <c r="E72" t="b">
        <v>0</v>
      </c>
    </row>
    <row r="73" spans="1:11" x14ac:dyDescent="0.25">
      <c r="A73" t="s">
        <v>223</v>
      </c>
      <c r="B73" t="s">
        <v>168</v>
      </c>
      <c r="C73" t="s">
        <v>157</v>
      </c>
      <c r="D73" t="b">
        <v>0</v>
      </c>
      <c r="E73" t="b">
        <v>0</v>
      </c>
      <c r="G73" t="s">
        <v>21</v>
      </c>
      <c r="H73" t="s">
        <v>168</v>
      </c>
      <c r="I73" t="s">
        <v>157</v>
      </c>
      <c r="J73" t="b">
        <v>0</v>
      </c>
      <c r="K73" t="b">
        <v>0</v>
      </c>
    </row>
    <row r="74" spans="1:11" x14ac:dyDescent="0.25">
      <c r="A74" t="s">
        <v>223</v>
      </c>
      <c r="B74" t="s">
        <v>228</v>
      </c>
      <c r="C74" t="s">
        <v>154</v>
      </c>
      <c r="D74" t="b">
        <v>0</v>
      </c>
      <c r="E74" t="b">
        <v>0</v>
      </c>
      <c r="G74" t="s">
        <v>21</v>
      </c>
      <c r="H74" t="s">
        <v>228</v>
      </c>
      <c r="I74" t="s">
        <v>154</v>
      </c>
      <c r="J74" t="b">
        <v>0</v>
      </c>
      <c r="K74" t="b">
        <v>0</v>
      </c>
    </row>
    <row r="75" spans="1:11" x14ac:dyDescent="0.25">
      <c r="A75" t="s">
        <v>223</v>
      </c>
      <c r="B75" t="s">
        <v>170</v>
      </c>
      <c r="C75" t="s">
        <v>157</v>
      </c>
      <c r="D75" t="b">
        <v>0</v>
      </c>
      <c r="E75" t="b">
        <v>0</v>
      </c>
      <c r="G75" t="s">
        <v>21</v>
      </c>
      <c r="H75" t="s">
        <v>170</v>
      </c>
      <c r="I75" t="s">
        <v>157</v>
      </c>
      <c r="J75" t="b">
        <v>0</v>
      </c>
      <c r="K75" t="b">
        <v>0</v>
      </c>
    </row>
    <row r="76" spans="1:11" x14ac:dyDescent="0.25">
      <c r="A76" t="s">
        <v>223</v>
      </c>
      <c r="B76" t="s">
        <v>172</v>
      </c>
      <c r="C76" t="s">
        <v>157</v>
      </c>
      <c r="D76" t="b">
        <v>0</v>
      </c>
      <c r="E76" t="b">
        <v>0</v>
      </c>
      <c r="G76" t="s">
        <v>21</v>
      </c>
      <c r="H76" t="s">
        <v>172</v>
      </c>
      <c r="I76" t="s">
        <v>157</v>
      </c>
      <c r="J76" t="b">
        <v>0</v>
      </c>
      <c r="K76" t="b">
        <v>0</v>
      </c>
    </row>
    <row r="77" spans="1:11" x14ac:dyDescent="0.25">
      <c r="A77" t="s">
        <v>223</v>
      </c>
      <c r="B77" s="3" t="s">
        <v>229</v>
      </c>
      <c r="C77" t="s">
        <v>160</v>
      </c>
      <c r="D77" t="b">
        <v>0</v>
      </c>
      <c r="E77" t="b">
        <v>0</v>
      </c>
    </row>
    <row r="78" spans="1:11" x14ac:dyDescent="0.25">
      <c r="A78" t="s">
        <v>223</v>
      </c>
      <c r="B78" t="s">
        <v>174</v>
      </c>
      <c r="C78" t="s">
        <v>154</v>
      </c>
      <c r="D78" t="b">
        <v>0</v>
      </c>
      <c r="E78" t="b">
        <v>0</v>
      </c>
      <c r="G78" t="s">
        <v>21</v>
      </c>
      <c r="H78" t="s">
        <v>174</v>
      </c>
      <c r="I78" t="s">
        <v>154</v>
      </c>
      <c r="J78" t="b">
        <v>0</v>
      </c>
      <c r="K78" t="b">
        <v>0</v>
      </c>
    </row>
    <row r="79" spans="1:11" x14ac:dyDescent="0.25">
      <c r="A79" t="s">
        <v>223</v>
      </c>
      <c r="B79" t="s">
        <v>230</v>
      </c>
      <c r="C79" t="s">
        <v>157</v>
      </c>
      <c r="D79" t="b">
        <v>0</v>
      </c>
      <c r="E79" t="b">
        <v>0</v>
      </c>
      <c r="G79" t="s">
        <v>21</v>
      </c>
      <c r="H79" t="s">
        <v>230</v>
      </c>
      <c r="I79" t="s">
        <v>157</v>
      </c>
      <c r="J79" t="b">
        <v>0</v>
      </c>
      <c r="K79" t="b">
        <v>0</v>
      </c>
    </row>
    <row r="80" spans="1:11" x14ac:dyDescent="0.25">
      <c r="A80" t="s">
        <v>223</v>
      </c>
      <c r="B80" t="s">
        <v>178</v>
      </c>
      <c r="C80" t="s">
        <v>157</v>
      </c>
      <c r="D80" t="b">
        <v>0</v>
      </c>
      <c r="E80" t="b">
        <v>0</v>
      </c>
      <c r="G80" t="s">
        <v>21</v>
      </c>
      <c r="H80" t="s">
        <v>178</v>
      </c>
      <c r="I80" t="s">
        <v>157</v>
      </c>
      <c r="J80" t="b">
        <v>0</v>
      </c>
      <c r="K80" t="b">
        <v>0</v>
      </c>
    </row>
    <row r="81" spans="1:11" x14ac:dyDescent="0.25">
      <c r="A81" t="s">
        <v>223</v>
      </c>
      <c r="B81" t="s">
        <v>231</v>
      </c>
      <c r="C81" t="s">
        <v>157</v>
      </c>
      <c r="D81" t="b">
        <v>0</v>
      </c>
      <c r="E81" t="b">
        <v>0</v>
      </c>
      <c r="G81" t="s">
        <v>21</v>
      </c>
      <c r="H81" t="s">
        <v>231</v>
      </c>
      <c r="I81" t="s">
        <v>157</v>
      </c>
      <c r="J81" t="b">
        <v>0</v>
      </c>
      <c r="K81" t="b">
        <v>0</v>
      </c>
    </row>
    <row r="82" spans="1:11" x14ac:dyDescent="0.25">
      <c r="A82" t="s">
        <v>223</v>
      </c>
      <c r="B82" t="s">
        <v>179</v>
      </c>
      <c r="C82" t="s">
        <v>157</v>
      </c>
      <c r="D82" t="b">
        <v>1</v>
      </c>
      <c r="E82" t="b">
        <v>1</v>
      </c>
      <c r="G82" t="s">
        <v>21</v>
      </c>
      <c r="H82" t="s">
        <v>179</v>
      </c>
      <c r="I82" t="s">
        <v>157</v>
      </c>
      <c r="J82" t="b">
        <v>1</v>
      </c>
      <c r="K82" t="b">
        <v>0</v>
      </c>
    </row>
    <row r="83" spans="1:11" x14ac:dyDescent="0.25">
      <c r="A83" t="s">
        <v>223</v>
      </c>
      <c r="B83" t="s">
        <v>180</v>
      </c>
      <c r="C83" t="s">
        <v>160</v>
      </c>
      <c r="D83" t="b">
        <v>0</v>
      </c>
      <c r="E83" t="b">
        <v>0</v>
      </c>
    </row>
    <row r="84" spans="1:11" x14ac:dyDescent="0.25">
      <c r="A84" t="s">
        <v>223</v>
      </c>
      <c r="B84" t="s">
        <v>181</v>
      </c>
      <c r="C84" t="s">
        <v>182</v>
      </c>
      <c r="D84" t="b">
        <v>0</v>
      </c>
      <c r="E84" t="b">
        <v>0</v>
      </c>
      <c r="G84" t="s">
        <v>21</v>
      </c>
      <c r="H84" t="s">
        <v>181</v>
      </c>
      <c r="I84" t="s">
        <v>182</v>
      </c>
      <c r="J84" t="b">
        <v>0</v>
      </c>
      <c r="K84" t="b">
        <v>0</v>
      </c>
    </row>
    <row r="85" spans="1:11" x14ac:dyDescent="0.25">
      <c r="A85" t="s">
        <v>223</v>
      </c>
      <c r="B85" t="s">
        <v>198</v>
      </c>
      <c r="C85" t="s">
        <v>157</v>
      </c>
      <c r="D85" t="b">
        <v>0</v>
      </c>
      <c r="E85" t="b">
        <v>0</v>
      </c>
      <c r="G85" t="s">
        <v>21</v>
      </c>
      <c r="H85" t="s">
        <v>198</v>
      </c>
      <c r="I85" t="s">
        <v>157</v>
      </c>
      <c r="J85" t="b">
        <v>0</v>
      </c>
      <c r="K85" t="b">
        <v>0</v>
      </c>
    </row>
    <row r="86" spans="1:11" x14ac:dyDescent="0.25">
      <c r="A86" t="s">
        <v>223</v>
      </c>
      <c r="B86" t="s">
        <v>199</v>
      </c>
      <c r="C86" t="s">
        <v>160</v>
      </c>
      <c r="D86" t="b">
        <v>0</v>
      </c>
      <c r="E86" t="b">
        <v>0</v>
      </c>
    </row>
    <row r="87" spans="1:11" x14ac:dyDescent="0.25">
      <c r="A87" t="s">
        <v>223</v>
      </c>
      <c r="B87" t="s">
        <v>200</v>
      </c>
      <c r="C87" t="s">
        <v>157</v>
      </c>
      <c r="D87" t="b">
        <v>0</v>
      </c>
      <c r="E87" t="b">
        <v>0</v>
      </c>
      <c r="G87" t="s">
        <v>21</v>
      </c>
      <c r="H87" t="s">
        <v>200</v>
      </c>
      <c r="I87" t="s">
        <v>157</v>
      </c>
      <c r="J87" t="b">
        <v>0</v>
      </c>
      <c r="K87" t="b">
        <v>0</v>
      </c>
    </row>
    <row r="88" spans="1:11" x14ac:dyDescent="0.25">
      <c r="A88" t="s">
        <v>223</v>
      </c>
      <c r="B88" t="s">
        <v>203</v>
      </c>
      <c r="C88" t="s">
        <v>154</v>
      </c>
      <c r="D88" t="b">
        <v>0</v>
      </c>
      <c r="E88" t="b">
        <v>0</v>
      </c>
      <c r="G88" t="s">
        <v>21</v>
      </c>
      <c r="H88" t="s">
        <v>203</v>
      </c>
      <c r="I88" t="s">
        <v>154</v>
      </c>
      <c r="J88" t="b">
        <v>0</v>
      </c>
      <c r="K88" t="b">
        <v>0</v>
      </c>
    </row>
    <row r="89" spans="1:11" x14ac:dyDescent="0.25">
      <c r="A89" t="s">
        <v>223</v>
      </c>
      <c r="B89" t="s">
        <v>208</v>
      </c>
      <c r="C89" t="s">
        <v>157</v>
      </c>
      <c r="D89" t="b">
        <v>0</v>
      </c>
      <c r="E89" t="b">
        <v>0</v>
      </c>
      <c r="G89" t="s">
        <v>21</v>
      </c>
      <c r="H89" t="s">
        <v>208</v>
      </c>
      <c r="I89" t="s">
        <v>157</v>
      </c>
      <c r="J89" t="b">
        <v>0</v>
      </c>
      <c r="K89" t="b">
        <v>0</v>
      </c>
    </row>
    <row r="90" spans="1:11" x14ac:dyDescent="0.25">
      <c r="A90" t="s">
        <v>223</v>
      </c>
      <c r="B90" t="s">
        <v>214</v>
      </c>
      <c r="C90" t="s">
        <v>157</v>
      </c>
      <c r="D90" t="b">
        <v>0</v>
      </c>
      <c r="E90" t="b">
        <v>0</v>
      </c>
      <c r="G90" t="s">
        <v>21</v>
      </c>
      <c r="H90" t="s">
        <v>214</v>
      </c>
      <c r="I90" t="s">
        <v>157</v>
      </c>
      <c r="J90" t="b">
        <v>0</v>
      </c>
      <c r="K90" t="b">
        <v>0</v>
      </c>
    </row>
    <row r="91" spans="1:11" x14ac:dyDescent="0.25">
      <c r="A91" t="s">
        <v>223</v>
      </c>
      <c r="B91" t="s">
        <v>215</v>
      </c>
      <c r="C91" t="s">
        <v>205</v>
      </c>
      <c r="D91" t="b">
        <v>0</v>
      </c>
      <c r="E91" t="b">
        <v>0</v>
      </c>
      <c r="G91" t="s">
        <v>21</v>
      </c>
      <c r="H91" t="s">
        <v>215</v>
      </c>
      <c r="I91" t="s">
        <v>205</v>
      </c>
      <c r="J91" t="b">
        <v>0</v>
      </c>
      <c r="K91" t="b">
        <v>0</v>
      </c>
    </row>
    <row r="92" spans="1:11" x14ac:dyDescent="0.25">
      <c r="A92" t="s">
        <v>223</v>
      </c>
      <c r="B92" t="s">
        <v>216</v>
      </c>
      <c r="C92" t="s">
        <v>154</v>
      </c>
      <c r="D92" t="b">
        <v>0</v>
      </c>
      <c r="E92" t="b">
        <v>0</v>
      </c>
      <c r="G92" t="s">
        <v>21</v>
      </c>
      <c r="H92" t="s">
        <v>216</v>
      </c>
      <c r="I92" t="s">
        <v>154</v>
      </c>
      <c r="J92" t="b">
        <v>0</v>
      </c>
      <c r="K92" t="b">
        <v>0</v>
      </c>
    </row>
    <row r="93" spans="1:11" x14ac:dyDescent="0.25">
      <c r="A93" t="s">
        <v>223</v>
      </c>
      <c r="B93" t="s">
        <v>217</v>
      </c>
      <c r="C93" t="s">
        <v>205</v>
      </c>
      <c r="D93" t="b">
        <v>0</v>
      </c>
      <c r="E93" t="b">
        <v>0</v>
      </c>
    </row>
    <row r="94" spans="1:11" x14ac:dyDescent="0.25">
      <c r="A94" t="s">
        <v>223</v>
      </c>
      <c r="B94" t="s">
        <v>218</v>
      </c>
      <c r="C94" t="s">
        <v>157</v>
      </c>
      <c r="D94" t="b">
        <v>0</v>
      </c>
      <c r="E94" t="b">
        <v>0</v>
      </c>
    </row>
    <row r="95" spans="1:11" x14ac:dyDescent="0.25">
      <c r="A95" t="s">
        <v>223</v>
      </c>
      <c r="B95" t="s">
        <v>219</v>
      </c>
      <c r="C95" t="s">
        <v>157</v>
      </c>
      <c r="D95" t="b">
        <v>0</v>
      </c>
      <c r="E95" t="b">
        <v>0</v>
      </c>
    </row>
    <row r="96" spans="1:11" x14ac:dyDescent="0.25">
      <c r="A96" t="s">
        <v>223</v>
      </c>
      <c r="B96" t="s">
        <v>220</v>
      </c>
      <c r="C96" t="s">
        <v>205</v>
      </c>
      <c r="D96" t="b">
        <v>0</v>
      </c>
      <c r="E96" t="b">
        <v>0</v>
      </c>
    </row>
    <row r="97" spans="1:11" x14ac:dyDescent="0.25">
      <c r="A97" t="s">
        <v>223</v>
      </c>
      <c r="B97" t="s">
        <v>221</v>
      </c>
      <c r="C97" t="s">
        <v>205</v>
      </c>
      <c r="D97" t="b">
        <v>0</v>
      </c>
      <c r="E97" t="b">
        <v>0</v>
      </c>
    </row>
    <row r="98" spans="1:11" x14ac:dyDescent="0.25">
      <c r="A98" s="2" t="s">
        <v>223</v>
      </c>
      <c r="B98" s="2" t="s">
        <v>222</v>
      </c>
      <c r="C98" s="2" t="s">
        <v>205</v>
      </c>
      <c r="D98" s="2" t="b">
        <v>0</v>
      </c>
      <c r="E98" s="2" t="b">
        <v>0</v>
      </c>
      <c r="F98" s="2"/>
      <c r="G98" s="2"/>
      <c r="H98" s="2"/>
      <c r="I98" s="2"/>
      <c r="J98" s="2"/>
      <c r="K98" s="2"/>
    </row>
    <row r="99" spans="1:11" s="2" customFormat="1" x14ac:dyDescent="0.25">
      <c r="A99" t="s">
        <v>232</v>
      </c>
      <c r="B99" t="s">
        <v>233</v>
      </c>
      <c r="C99" t="s">
        <v>157</v>
      </c>
      <c r="D99" t="b">
        <v>0</v>
      </c>
      <c r="E99" t="b">
        <v>0</v>
      </c>
      <c r="G99" t="s">
        <v>41</v>
      </c>
      <c r="H99" t="s">
        <v>233</v>
      </c>
      <c r="I99" t="s">
        <v>157</v>
      </c>
      <c r="J99" t="b">
        <v>0</v>
      </c>
      <c r="K99" t="b">
        <v>0</v>
      </c>
    </row>
    <row r="100" spans="1:11" x14ac:dyDescent="0.25">
      <c r="A100" t="s">
        <v>232</v>
      </c>
      <c r="B100" t="s">
        <v>234</v>
      </c>
      <c r="C100" t="s">
        <v>154</v>
      </c>
      <c r="D100" t="b">
        <v>0</v>
      </c>
      <c r="E100" t="b">
        <v>0</v>
      </c>
      <c r="G100" t="s">
        <v>41</v>
      </c>
      <c r="H100" t="s">
        <v>234</v>
      </c>
      <c r="I100" t="s">
        <v>154</v>
      </c>
      <c r="J100" t="b">
        <v>0</v>
      </c>
      <c r="K100" t="b">
        <v>0</v>
      </c>
    </row>
    <row r="101" spans="1:11" x14ac:dyDescent="0.25">
      <c r="A101" t="s">
        <v>232</v>
      </c>
      <c r="B101" t="s">
        <v>156</v>
      </c>
      <c r="C101" t="s">
        <v>157</v>
      </c>
      <c r="D101" t="b">
        <v>0</v>
      </c>
      <c r="E101" t="b">
        <v>0</v>
      </c>
      <c r="G101" t="s">
        <v>41</v>
      </c>
      <c r="H101" t="s">
        <v>156</v>
      </c>
      <c r="I101" t="s">
        <v>157</v>
      </c>
      <c r="J101" t="b">
        <v>0</v>
      </c>
      <c r="K101" t="b">
        <v>0</v>
      </c>
    </row>
    <row r="102" spans="1:11" x14ac:dyDescent="0.25">
      <c r="A102" t="s">
        <v>232</v>
      </c>
      <c r="B102" t="s">
        <v>158</v>
      </c>
      <c r="C102" t="s">
        <v>157</v>
      </c>
      <c r="D102" t="b">
        <v>0</v>
      </c>
      <c r="E102" t="b">
        <v>0</v>
      </c>
      <c r="G102" t="s">
        <v>41</v>
      </c>
      <c r="H102" t="s">
        <v>158</v>
      </c>
      <c r="I102" t="s">
        <v>157</v>
      </c>
      <c r="J102" t="b">
        <v>0</v>
      </c>
      <c r="K102" t="b">
        <v>0</v>
      </c>
    </row>
    <row r="103" spans="1:11" x14ac:dyDescent="0.25">
      <c r="A103" t="s">
        <v>232</v>
      </c>
      <c r="B103" t="s">
        <v>235</v>
      </c>
      <c r="C103" t="s">
        <v>157</v>
      </c>
      <c r="D103" t="b">
        <v>0</v>
      </c>
      <c r="E103" t="b">
        <v>0</v>
      </c>
      <c r="G103" t="s">
        <v>41</v>
      </c>
      <c r="H103" t="s">
        <v>235</v>
      </c>
      <c r="I103" t="s">
        <v>157</v>
      </c>
      <c r="J103" t="b">
        <v>0</v>
      </c>
      <c r="K103" t="b">
        <v>0</v>
      </c>
    </row>
    <row r="104" spans="1:11" x14ac:dyDescent="0.25">
      <c r="A104" t="s">
        <v>232</v>
      </c>
      <c r="B104" t="s">
        <v>179</v>
      </c>
      <c r="C104" t="s">
        <v>157</v>
      </c>
      <c r="D104" t="b">
        <v>1</v>
      </c>
      <c r="E104" t="b">
        <v>1</v>
      </c>
      <c r="G104" t="s">
        <v>41</v>
      </c>
      <c r="H104" t="s">
        <v>179</v>
      </c>
      <c r="I104" t="s">
        <v>157</v>
      </c>
      <c r="J104" t="b">
        <v>1</v>
      </c>
      <c r="K104" t="b">
        <v>0</v>
      </c>
    </row>
    <row r="105" spans="1:11" x14ac:dyDescent="0.25">
      <c r="A105" t="s">
        <v>232</v>
      </c>
      <c r="B105" t="s">
        <v>181</v>
      </c>
      <c r="C105" t="s">
        <v>182</v>
      </c>
      <c r="D105" t="b">
        <v>0</v>
      </c>
      <c r="E105" t="b">
        <v>0</v>
      </c>
      <c r="G105" t="s">
        <v>41</v>
      </c>
      <c r="H105" t="s">
        <v>181</v>
      </c>
      <c r="I105" t="s">
        <v>182</v>
      </c>
      <c r="J105" t="b">
        <v>0</v>
      </c>
      <c r="K105" t="b">
        <v>0</v>
      </c>
    </row>
    <row r="106" spans="1:11" x14ac:dyDescent="0.25">
      <c r="A106" t="s">
        <v>232</v>
      </c>
      <c r="B106" t="s">
        <v>236</v>
      </c>
      <c r="C106" t="s">
        <v>157</v>
      </c>
      <c r="D106" t="b">
        <v>0</v>
      </c>
      <c r="E106" t="b">
        <v>0</v>
      </c>
      <c r="G106" t="s">
        <v>41</v>
      </c>
      <c r="H106" t="s">
        <v>236</v>
      </c>
      <c r="I106" t="s">
        <v>157</v>
      </c>
      <c r="J106" t="b">
        <v>0</v>
      </c>
      <c r="K106" t="b">
        <v>0</v>
      </c>
    </row>
    <row r="107" spans="1:11" x14ac:dyDescent="0.25">
      <c r="A107" t="s">
        <v>232</v>
      </c>
      <c r="B107" t="s">
        <v>237</v>
      </c>
      <c r="C107" t="s">
        <v>157</v>
      </c>
      <c r="D107" t="b">
        <v>0</v>
      </c>
      <c r="E107" t="b">
        <v>0</v>
      </c>
      <c r="G107" t="s">
        <v>41</v>
      </c>
      <c r="H107" t="s">
        <v>237</v>
      </c>
      <c r="I107" t="s">
        <v>157</v>
      </c>
      <c r="J107" t="b">
        <v>0</v>
      </c>
      <c r="K107" t="b">
        <v>0</v>
      </c>
    </row>
    <row r="108" spans="1:11" x14ac:dyDescent="0.25">
      <c r="A108" t="s">
        <v>232</v>
      </c>
      <c r="B108" t="s">
        <v>203</v>
      </c>
      <c r="C108" t="s">
        <v>154</v>
      </c>
      <c r="D108" t="b">
        <v>0</v>
      </c>
      <c r="E108" t="b">
        <v>0</v>
      </c>
      <c r="G108" t="s">
        <v>41</v>
      </c>
      <c r="H108" t="s">
        <v>203</v>
      </c>
      <c r="I108" t="s">
        <v>154</v>
      </c>
      <c r="J108" t="b">
        <v>0</v>
      </c>
      <c r="K108" t="b">
        <v>0</v>
      </c>
    </row>
    <row r="109" spans="1:11" x14ac:dyDescent="0.25">
      <c r="A109" t="s">
        <v>232</v>
      </c>
      <c r="B109" t="s">
        <v>208</v>
      </c>
      <c r="C109" t="s">
        <v>157</v>
      </c>
      <c r="D109" t="b">
        <v>0</v>
      </c>
      <c r="E109" t="b">
        <v>0</v>
      </c>
      <c r="G109" t="s">
        <v>41</v>
      </c>
      <c r="H109" t="s">
        <v>208</v>
      </c>
      <c r="I109" t="s">
        <v>157</v>
      </c>
      <c r="J109" t="b">
        <v>0</v>
      </c>
      <c r="K109" t="b">
        <v>0</v>
      </c>
    </row>
    <row r="110" spans="1:11" x14ac:dyDescent="0.25">
      <c r="A110" t="s">
        <v>232</v>
      </c>
      <c r="B110" t="s">
        <v>214</v>
      </c>
      <c r="C110" t="s">
        <v>157</v>
      </c>
      <c r="D110" t="b">
        <v>0</v>
      </c>
      <c r="E110" t="b">
        <v>0</v>
      </c>
      <c r="G110" t="s">
        <v>41</v>
      </c>
      <c r="H110" t="s">
        <v>214</v>
      </c>
      <c r="I110" t="s">
        <v>157</v>
      </c>
      <c r="J110" t="b">
        <v>0</v>
      </c>
      <c r="K110" t="b">
        <v>0</v>
      </c>
    </row>
    <row r="111" spans="1:11" x14ac:dyDescent="0.25">
      <c r="A111" t="s">
        <v>232</v>
      </c>
      <c r="B111" t="s">
        <v>215</v>
      </c>
      <c r="C111" t="s">
        <v>205</v>
      </c>
      <c r="D111" t="b">
        <v>0</v>
      </c>
      <c r="E111" t="b">
        <v>0</v>
      </c>
      <c r="G111" t="s">
        <v>41</v>
      </c>
      <c r="H111" t="s">
        <v>215</v>
      </c>
      <c r="I111" t="s">
        <v>205</v>
      </c>
      <c r="J111" t="b">
        <v>0</v>
      </c>
      <c r="K111" t="b">
        <v>0</v>
      </c>
    </row>
    <row r="112" spans="1:11" x14ac:dyDescent="0.25">
      <c r="A112" t="s">
        <v>232</v>
      </c>
      <c r="B112" t="s">
        <v>216</v>
      </c>
      <c r="C112" t="s">
        <v>154</v>
      </c>
      <c r="D112" t="b">
        <v>0</v>
      </c>
      <c r="E112" t="b">
        <v>0</v>
      </c>
      <c r="G112" t="s">
        <v>41</v>
      </c>
      <c r="H112" t="s">
        <v>216</v>
      </c>
      <c r="I112" t="s">
        <v>154</v>
      </c>
      <c r="J112" t="b">
        <v>0</v>
      </c>
      <c r="K112" t="b">
        <v>0</v>
      </c>
    </row>
    <row r="113" spans="1:11" x14ac:dyDescent="0.25">
      <c r="A113" t="s">
        <v>232</v>
      </c>
      <c r="B113" t="s">
        <v>217</v>
      </c>
      <c r="C113" t="s">
        <v>205</v>
      </c>
      <c r="D113" t="b">
        <v>0</v>
      </c>
      <c r="E113" t="b">
        <v>0</v>
      </c>
    </row>
    <row r="114" spans="1:11" x14ac:dyDescent="0.25">
      <c r="A114" t="s">
        <v>232</v>
      </c>
      <c r="B114" t="s">
        <v>218</v>
      </c>
      <c r="C114" t="s">
        <v>157</v>
      </c>
      <c r="D114" t="b">
        <v>0</v>
      </c>
      <c r="E114" t="b">
        <v>0</v>
      </c>
    </row>
    <row r="115" spans="1:11" x14ac:dyDescent="0.25">
      <c r="A115" t="s">
        <v>232</v>
      </c>
      <c r="B115" t="s">
        <v>219</v>
      </c>
      <c r="C115" t="s">
        <v>157</v>
      </c>
      <c r="D115" t="b">
        <v>0</v>
      </c>
      <c r="E115" t="b">
        <v>0</v>
      </c>
    </row>
    <row r="116" spans="1:11" x14ac:dyDescent="0.25">
      <c r="A116" t="s">
        <v>232</v>
      </c>
      <c r="B116" t="s">
        <v>220</v>
      </c>
      <c r="C116" t="s">
        <v>205</v>
      </c>
      <c r="D116" t="b">
        <v>0</v>
      </c>
      <c r="E116" t="b">
        <v>0</v>
      </c>
    </row>
    <row r="117" spans="1:11" x14ac:dyDescent="0.25">
      <c r="A117" t="s">
        <v>232</v>
      </c>
      <c r="B117" t="s">
        <v>221</v>
      </c>
      <c r="C117" t="s">
        <v>205</v>
      </c>
      <c r="D117" t="b">
        <v>0</v>
      </c>
      <c r="E117" t="b">
        <v>0</v>
      </c>
    </row>
    <row r="118" spans="1:11" x14ac:dyDescent="0.25">
      <c r="A118" s="2" t="s">
        <v>232</v>
      </c>
      <c r="B118" s="2" t="s">
        <v>222</v>
      </c>
      <c r="C118" s="2" t="s">
        <v>205</v>
      </c>
      <c r="D118" s="2" t="b">
        <v>0</v>
      </c>
      <c r="E118" s="2" t="b">
        <v>0</v>
      </c>
      <c r="F118" s="2"/>
      <c r="G118" s="2"/>
      <c r="H118" s="2"/>
      <c r="I118" s="2"/>
      <c r="J118" s="2"/>
      <c r="K118" s="2"/>
    </row>
    <row r="119" spans="1:11" s="2" customFormat="1" x14ac:dyDescent="0.25">
      <c r="A119" t="s">
        <v>238</v>
      </c>
      <c r="B119" t="s">
        <v>233</v>
      </c>
      <c r="C119" t="s">
        <v>157</v>
      </c>
      <c r="D119" t="b">
        <v>0</v>
      </c>
      <c r="E119" t="b">
        <v>0</v>
      </c>
      <c r="G119" t="s">
        <v>51</v>
      </c>
      <c r="H119" t="s">
        <v>233</v>
      </c>
      <c r="I119" t="s">
        <v>157</v>
      </c>
      <c r="J119" t="b">
        <v>0</v>
      </c>
      <c r="K119" t="b">
        <v>0</v>
      </c>
    </row>
    <row r="120" spans="1:11" x14ac:dyDescent="0.25">
      <c r="A120" t="s">
        <v>238</v>
      </c>
      <c r="B120" t="s">
        <v>239</v>
      </c>
      <c r="C120" t="s">
        <v>157</v>
      </c>
      <c r="D120" t="b">
        <v>0</v>
      </c>
      <c r="E120" t="b">
        <v>0</v>
      </c>
      <c r="G120" t="s">
        <v>51</v>
      </c>
      <c r="H120" t="s">
        <v>239</v>
      </c>
      <c r="I120" t="s">
        <v>157</v>
      </c>
      <c r="J120" t="b">
        <v>0</v>
      </c>
      <c r="K120" t="b">
        <v>0</v>
      </c>
    </row>
    <row r="121" spans="1:11" x14ac:dyDescent="0.25">
      <c r="A121" t="s">
        <v>238</v>
      </c>
      <c r="B121" t="s">
        <v>240</v>
      </c>
      <c r="C121" t="s">
        <v>157</v>
      </c>
      <c r="D121" t="b">
        <v>0</v>
      </c>
      <c r="E121" t="b">
        <v>0</v>
      </c>
      <c r="G121" t="s">
        <v>51</v>
      </c>
      <c r="H121" t="s">
        <v>240</v>
      </c>
      <c r="I121" t="s">
        <v>157</v>
      </c>
      <c r="J121" t="b">
        <v>0</v>
      </c>
      <c r="K121" t="b">
        <v>0</v>
      </c>
    </row>
    <row r="122" spans="1:11" x14ac:dyDescent="0.25">
      <c r="A122" t="s">
        <v>238</v>
      </c>
      <c r="B122" t="s">
        <v>241</v>
      </c>
      <c r="C122" t="s">
        <v>157</v>
      </c>
      <c r="D122" t="b">
        <v>0</v>
      </c>
      <c r="E122" t="b">
        <v>0</v>
      </c>
      <c r="G122" t="s">
        <v>51</v>
      </c>
      <c r="H122" t="s">
        <v>241</v>
      </c>
      <c r="I122" t="s">
        <v>157</v>
      </c>
      <c r="J122" t="b">
        <v>0</v>
      </c>
      <c r="K122" t="b">
        <v>0</v>
      </c>
    </row>
    <row r="123" spans="1:11" x14ac:dyDescent="0.25">
      <c r="A123" t="s">
        <v>238</v>
      </c>
      <c r="B123" t="s">
        <v>242</v>
      </c>
      <c r="C123" t="s">
        <v>160</v>
      </c>
      <c r="D123" t="b">
        <v>0</v>
      </c>
      <c r="E123" t="b">
        <v>0</v>
      </c>
    </row>
    <row r="124" spans="1:11" x14ac:dyDescent="0.25">
      <c r="A124" t="s">
        <v>238</v>
      </c>
      <c r="B124" t="s">
        <v>243</v>
      </c>
      <c r="C124" t="s">
        <v>164</v>
      </c>
      <c r="D124" t="b">
        <v>0</v>
      </c>
      <c r="E124" t="b">
        <v>0</v>
      </c>
      <c r="G124" t="s">
        <v>51</v>
      </c>
      <c r="H124" t="s">
        <v>243</v>
      </c>
      <c r="I124" t="s">
        <v>164</v>
      </c>
      <c r="J124" t="b">
        <v>0</v>
      </c>
      <c r="K124" t="b">
        <v>0</v>
      </c>
    </row>
    <row r="125" spans="1:11" x14ac:dyDescent="0.25">
      <c r="A125" t="s">
        <v>238</v>
      </c>
      <c r="B125" t="s">
        <v>179</v>
      </c>
      <c r="C125" t="s">
        <v>157</v>
      </c>
      <c r="D125" t="b">
        <v>1</v>
      </c>
      <c r="E125" t="b">
        <v>1</v>
      </c>
      <c r="G125" t="s">
        <v>51</v>
      </c>
      <c r="H125" t="s">
        <v>179</v>
      </c>
      <c r="I125" t="s">
        <v>157</v>
      </c>
      <c r="J125" t="b">
        <v>1</v>
      </c>
      <c r="K125" t="b">
        <v>0</v>
      </c>
    </row>
    <row r="126" spans="1:11" x14ac:dyDescent="0.25">
      <c r="A126" t="s">
        <v>238</v>
      </c>
      <c r="B126" t="s">
        <v>181</v>
      </c>
      <c r="C126" t="s">
        <v>182</v>
      </c>
      <c r="D126" t="b">
        <v>0</v>
      </c>
      <c r="E126" t="b">
        <v>0</v>
      </c>
      <c r="G126" t="s">
        <v>51</v>
      </c>
      <c r="H126" t="s">
        <v>181</v>
      </c>
      <c r="I126" t="s">
        <v>182</v>
      </c>
      <c r="J126" t="b">
        <v>0</v>
      </c>
      <c r="K126" t="b">
        <v>0</v>
      </c>
    </row>
    <row r="127" spans="1:11" x14ac:dyDescent="0.25">
      <c r="A127" t="s">
        <v>238</v>
      </c>
      <c r="B127" t="s">
        <v>244</v>
      </c>
      <c r="C127" t="s">
        <v>164</v>
      </c>
      <c r="D127" t="b">
        <v>0</v>
      </c>
      <c r="E127" t="b">
        <v>0</v>
      </c>
      <c r="G127" t="s">
        <v>51</v>
      </c>
      <c r="H127" t="s">
        <v>244</v>
      </c>
      <c r="I127" t="s">
        <v>164</v>
      </c>
      <c r="J127" t="b">
        <v>0</v>
      </c>
      <c r="K127" t="b">
        <v>0</v>
      </c>
    </row>
    <row r="128" spans="1:11" x14ac:dyDescent="0.25">
      <c r="A128" t="s">
        <v>238</v>
      </c>
      <c r="B128" t="s">
        <v>245</v>
      </c>
      <c r="C128" t="s">
        <v>157</v>
      </c>
      <c r="D128" t="b">
        <v>0</v>
      </c>
      <c r="E128" t="b">
        <v>0</v>
      </c>
      <c r="G128" t="s">
        <v>51</v>
      </c>
      <c r="H128" t="s">
        <v>245</v>
      </c>
      <c r="I128" t="s">
        <v>157</v>
      </c>
      <c r="J128" t="b">
        <v>0</v>
      </c>
      <c r="K128" t="b">
        <v>0</v>
      </c>
    </row>
    <row r="129" spans="1:11" x14ac:dyDescent="0.25">
      <c r="A129" t="s">
        <v>238</v>
      </c>
      <c r="B129" t="s">
        <v>246</v>
      </c>
      <c r="C129" t="s">
        <v>157</v>
      </c>
      <c r="D129" t="b">
        <v>0</v>
      </c>
      <c r="E129" t="b">
        <v>0</v>
      </c>
      <c r="G129" t="s">
        <v>51</v>
      </c>
      <c r="H129" t="s">
        <v>246</v>
      </c>
      <c r="I129" t="s">
        <v>157</v>
      </c>
      <c r="J129" t="b">
        <v>0</v>
      </c>
      <c r="K129" t="b">
        <v>0</v>
      </c>
    </row>
    <row r="130" spans="1:11" x14ac:dyDescent="0.25">
      <c r="A130" t="s">
        <v>238</v>
      </c>
      <c r="B130" t="s">
        <v>203</v>
      </c>
      <c r="C130" t="s">
        <v>154</v>
      </c>
      <c r="D130" t="b">
        <v>0</v>
      </c>
      <c r="E130" t="b">
        <v>0</v>
      </c>
      <c r="G130" t="s">
        <v>51</v>
      </c>
      <c r="H130" t="s">
        <v>203</v>
      </c>
      <c r="I130" t="s">
        <v>154</v>
      </c>
      <c r="J130" t="b">
        <v>0</v>
      </c>
      <c r="K130" t="b">
        <v>0</v>
      </c>
    </row>
    <row r="131" spans="1:11" x14ac:dyDescent="0.25">
      <c r="A131" t="s">
        <v>238</v>
      </c>
      <c r="B131" t="s">
        <v>247</v>
      </c>
      <c r="C131" t="s">
        <v>157</v>
      </c>
      <c r="D131" t="b">
        <v>0</v>
      </c>
      <c r="E131" t="b">
        <v>0</v>
      </c>
      <c r="G131" t="s">
        <v>51</v>
      </c>
      <c r="H131" t="s">
        <v>247</v>
      </c>
      <c r="I131" t="s">
        <v>157</v>
      </c>
      <c r="J131" t="b">
        <v>0</v>
      </c>
      <c r="K131" t="b">
        <v>0</v>
      </c>
    </row>
    <row r="132" spans="1:11" x14ac:dyDescent="0.25">
      <c r="A132" t="s">
        <v>238</v>
      </c>
      <c r="B132" t="s">
        <v>208</v>
      </c>
      <c r="C132" t="s">
        <v>157</v>
      </c>
      <c r="D132" t="b">
        <v>0</v>
      </c>
      <c r="E132" t="b">
        <v>0</v>
      </c>
      <c r="G132" t="s">
        <v>51</v>
      </c>
      <c r="H132" t="s">
        <v>208</v>
      </c>
      <c r="I132" t="s">
        <v>157</v>
      </c>
      <c r="J132" t="b">
        <v>0</v>
      </c>
      <c r="K132" t="b">
        <v>0</v>
      </c>
    </row>
    <row r="133" spans="1:11" x14ac:dyDescent="0.25">
      <c r="A133" t="s">
        <v>238</v>
      </c>
      <c r="B133" t="s">
        <v>214</v>
      </c>
      <c r="C133" t="s">
        <v>157</v>
      </c>
      <c r="D133" t="b">
        <v>0</v>
      </c>
      <c r="E133" t="b">
        <v>0</v>
      </c>
      <c r="G133" t="s">
        <v>51</v>
      </c>
      <c r="H133" t="s">
        <v>214</v>
      </c>
      <c r="I133" t="s">
        <v>157</v>
      </c>
      <c r="J133" t="b">
        <v>0</v>
      </c>
      <c r="K133" t="b">
        <v>0</v>
      </c>
    </row>
    <row r="134" spans="1:11" x14ac:dyDescent="0.25">
      <c r="A134" t="s">
        <v>238</v>
      </c>
      <c r="B134" t="s">
        <v>215</v>
      </c>
      <c r="C134" t="s">
        <v>205</v>
      </c>
      <c r="D134" t="b">
        <v>0</v>
      </c>
      <c r="E134" t="b">
        <v>0</v>
      </c>
      <c r="G134" t="s">
        <v>51</v>
      </c>
      <c r="H134" t="s">
        <v>215</v>
      </c>
      <c r="I134" t="s">
        <v>205</v>
      </c>
      <c r="J134" t="b">
        <v>0</v>
      </c>
      <c r="K134" t="b">
        <v>0</v>
      </c>
    </row>
    <row r="135" spans="1:11" x14ac:dyDescent="0.25">
      <c r="A135" t="s">
        <v>238</v>
      </c>
      <c r="B135" t="s">
        <v>216</v>
      </c>
      <c r="C135" t="s">
        <v>154</v>
      </c>
      <c r="D135" t="b">
        <v>0</v>
      </c>
      <c r="E135" t="b">
        <v>0</v>
      </c>
      <c r="G135" t="s">
        <v>51</v>
      </c>
      <c r="H135" t="s">
        <v>216</v>
      </c>
      <c r="I135" t="s">
        <v>154</v>
      </c>
      <c r="J135" t="b">
        <v>0</v>
      </c>
      <c r="K135" t="b">
        <v>0</v>
      </c>
    </row>
    <row r="136" spans="1:11" x14ac:dyDescent="0.25">
      <c r="A136" t="s">
        <v>238</v>
      </c>
      <c r="B136" t="s">
        <v>217</v>
      </c>
      <c r="C136" t="s">
        <v>205</v>
      </c>
      <c r="D136" t="b">
        <v>0</v>
      </c>
      <c r="E136" t="b">
        <v>0</v>
      </c>
    </row>
    <row r="137" spans="1:11" x14ac:dyDescent="0.25">
      <c r="A137" t="s">
        <v>238</v>
      </c>
      <c r="B137" t="s">
        <v>218</v>
      </c>
      <c r="C137" t="s">
        <v>157</v>
      </c>
      <c r="D137" t="b">
        <v>0</v>
      </c>
      <c r="E137" t="b">
        <v>0</v>
      </c>
    </row>
    <row r="138" spans="1:11" x14ac:dyDescent="0.25">
      <c r="A138" t="s">
        <v>238</v>
      </c>
      <c r="B138" t="s">
        <v>219</v>
      </c>
      <c r="C138" t="s">
        <v>157</v>
      </c>
      <c r="D138" t="b">
        <v>0</v>
      </c>
      <c r="E138" t="b">
        <v>0</v>
      </c>
    </row>
    <row r="139" spans="1:11" x14ac:dyDescent="0.25">
      <c r="A139" t="s">
        <v>238</v>
      </c>
      <c r="B139" t="s">
        <v>220</v>
      </c>
      <c r="C139" t="s">
        <v>205</v>
      </c>
      <c r="D139" t="b">
        <v>0</v>
      </c>
      <c r="E139" t="b">
        <v>0</v>
      </c>
    </row>
    <row r="140" spans="1:11" x14ac:dyDescent="0.25">
      <c r="A140" t="s">
        <v>238</v>
      </c>
      <c r="B140" t="s">
        <v>221</v>
      </c>
      <c r="C140" t="s">
        <v>205</v>
      </c>
      <c r="D140" t="b">
        <v>0</v>
      </c>
      <c r="E140" t="b">
        <v>0</v>
      </c>
    </row>
    <row r="141" spans="1:11" x14ac:dyDescent="0.25">
      <c r="A141" s="2" t="s">
        <v>238</v>
      </c>
      <c r="B141" s="2" t="s">
        <v>222</v>
      </c>
      <c r="C141" s="2" t="s">
        <v>205</v>
      </c>
      <c r="D141" s="2" t="b">
        <v>0</v>
      </c>
      <c r="E141" s="2" t="b">
        <v>0</v>
      </c>
      <c r="F141" s="2"/>
      <c r="G141" s="2"/>
      <c r="H141" s="2"/>
      <c r="I141" s="2"/>
      <c r="J141" s="2"/>
      <c r="K141" s="2"/>
    </row>
    <row r="142" spans="1:11" s="2" customFormat="1" x14ac:dyDescent="0.25">
      <c r="A142" t="s">
        <v>248</v>
      </c>
      <c r="B142" t="s">
        <v>233</v>
      </c>
      <c r="C142" t="s">
        <v>157</v>
      </c>
      <c r="D142" t="b">
        <v>0</v>
      </c>
      <c r="E142" t="b">
        <v>0</v>
      </c>
      <c r="G142" t="s">
        <v>56</v>
      </c>
      <c r="H142" t="s">
        <v>233</v>
      </c>
      <c r="I142" t="s">
        <v>157</v>
      </c>
      <c r="J142" t="b">
        <v>0</v>
      </c>
      <c r="K142" t="b">
        <v>0</v>
      </c>
    </row>
    <row r="143" spans="1:11" x14ac:dyDescent="0.25">
      <c r="A143" t="s">
        <v>248</v>
      </c>
      <c r="B143" t="s">
        <v>249</v>
      </c>
      <c r="C143" t="s">
        <v>250</v>
      </c>
      <c r="D143" t="b">
        <v>0</v>
      </c>
      <c r="E143" t="b">
        <v>0</v>
      </c>
      <c r="G143" t="s">
        <v>56</v>
      </c>
      <c r="H143" t="s">
        <v>249</v>
      </c>
      <c r="I143" t="s">
        <v>250</v>
      </c>
      <c r="J143" t="b">
        <v>0</v>
      </c>
      <c r="K143" t="b">
        <v>0</v>
      </c>
    </row>
    <row r="144" spans="1:11" x14ac:dyDescent="0.25">
      <c r="A144" t="s">
        <v>248</v>
      </c>
      <c r="B144" t="s">
        <v>251</v>
      </c>
      <c r="C144" t="s">
        <v>250</v>
      </c>
      <c r="D144" t="b">
        <v>0</v>
      </c>
      <c r="E144" t="b">
        <v>0</v>
      </c>
      <c r="G144" t="s">
        <v>56</v>
      </c>
      <c r="H144" t="s">
        <v>251</v>
      </c>
      <c r="I144" t="s">
        <v>250</v>
      </c>
      <c r="J144" t="b">
        <v>0</v>
      </c>
      <c r="K144" t="b">
        <v>0</v>
      </c>
    </row>
    <row r="145" spans="1:11" x14ac:dyDescent="0.25">
      <c r="A145" t="s">
        <v>248</v>
      </c>
      <c r="B145" t="s">
        <v>252</v>
      </c>
      <c r="C145" t="s">
        <v>157</v>
      </c>
      <c r="D145" t="b">
        <v>0</v>
      </c>
      <c r="E145" t="b">
        <v>0</v>
      </c>
      <c r="G145" t="s">
        <v>56</v>
      </c>
      <c r="H145" t="s">
        <v>252</v>
      </c>
      <c r="I145" t="s">
        <v>157</v>
      </c>
      <c r="J145" t="b">
        <v>0</v>
      </c>
      <c r="K145" t="b">
        <v>0</v>
      </c>
    </row>
    <row r="146" spans="1:11" x14ac:dyDescent="0.25">
      <c r="A146" t="s">
        <v>248</v>
      </c>
      <c r="B146" t="s">
        <v>253</v>
      </c>
      <c r="C146" t="s">
        <v>160</v>
      </c>
      <c r="D146" t="b">
        <v>0</v>
      </c>
      <c r="E146" t="b">
        <v>0</v>
      </c>
    </row>
    <row r="147" spans="1:11" x14ac:dyDescent="0.25">
      <c r="A147" t="s">
        <v>248</v>
      </c>
      <c r="B147" t="s">
        <v>254</v>
      </c>
      <c r="C147" t="s">
        <v>157</v>
      </c>
      <c r="D147" t="b">
        <v>0</v>
      </c>
      <c r="E147" t="b">
        <v>0</v>
      </c>
      <c r="G147" t="s">
        <v>56</v>
      </c>
      <c r="H147" t="s">
        <v>254</v>
      </c>
      <c r="I147" t="s">
        <v>157</v>
      </c>
      <c r="J147" t="b">
        <v>0</v>
      </c>
      <c r="K147" t="b">
        <v>0</v>
      </c>
    </row>
    <row r="148" spans="1:11" x14ac:dyDescent="0.25">
      <c r="A148" t="s">
        <v>248</v>
      </c>
      <c r="B148" t="s">
        <v>255</v>
      </c>
      <c r="C148" t="s">
        <v>157</v>
      </c>
      <c r="D148" t="b">
        <v>0</v>
      </c>
      <c r="E148" t="b">
        <v>0</v>
      </c>
      <c r="G148" t="s">
        <v>56</v>
      </c>
      <c r="H148" t="s">
        <v>255</v>
      </c>
      <c r="I148" t="s">
        <v>157</v>
      </c>
      <c r="J148" t="b">
        <v>0</v>
      </c>
      <c r="K148" t="b">
        <v>0</v>
      </c>
    </row>
    <row r="149" spans="1:11" x14ac:dyDescent="0.25">
      <c r="A149" t="s">
        <v>248</v>
      </c>
      <c r="B149" t="s">
        <v>179</v>
      </c>
      <c r="C149" t="s">
        <v>157</v>
      </c>
      <c r="D149" t="b">
        <v>1</v>
      </c>
      <c r="E149" t="b">
        <v>1</v>
      </c>
      <c r="G149" t="s">
        <v>56</v>
      </c>
      <c r="H149" t="s">
        <v>179</v>
      </c>
      <c r="I149" t="s">
        <v>157</v>
      </c>
      <c r="J149" t="b">
        <v>1</v>
      </c>
      <c r="K149" t="b">
        <v>0</v>
      </c>
    </row>
    <row r="150" spans="1:11" x14ac:dyDescent="0.25">
      <c r="A150" t="s">
        <v>248</v>
      </c>
      <c r="B150" t="s">
        <v>180</v>
      </c>
      <c r="C150" t="s">
        <v>160</v>
      </c>
      <c r="D150" t="b">
        <v>0</v>
      </c>
      <c r="E150" t="b">
        <v>0</v>
      </c>
    </row>
    <row r="151" spans="1:11" x14ac:dyDescent="0.25">
      <c r="A151" t="s">
        <v>248</v>
      </c>
      <c r="B151" t="s">
        <v>181</v>
      </c>
      <c r="C151" t="s">
        <v>182</v>
      </c>
      <c r="D151" t="b">
        <v>0</v>
      </c>
      <c r="E151" t="b">
        <v>0</v>
      </c>
      <c r="G151" t="s">
        <v>56</v>
      </c>
      <c r="H151" t="s">
        <v>181</v>
      </c>
      <c r="I151" t="s">
        <v>182</v>
      </c>
      <c r="J151" t="b">
        <v>0</v>
      </c>
      <c r="K151" t="b">
        <v>0</v>
      </c>
    </row>
    <row r="152" spans="1:11" x14ac:dyDescent="0.25">
      <c r="A152" t="s">
        <v>248</v>
      </c>
      <c r="B152" t="s">
        <v>256</v>
      </c>
      <c r="C152" t="s">
        <v>157</v>
      </c>
      <c r="D152" t="b">
        <v>0</v>
      </c>
      <c r="E152" t="b">
        <v>0</v>
      </c>
      <c r="G152" t="s">
        <v>56</v>
      </c>
      <c r="H152" t="s">
        <v>256</v>
      </c>
      <c r="I152" t="s">
        <v>157</v>
      </c>
      <c r="J152" t="b">
        <v>0</v>
      </c>
      <c r="K152" t="b">
        <v>0</v>
      </c>
    </row>
    <row r="153" spans="1:11" x14ac:dyDescent="0.25">
      <c r="A153" t="s">
        <v>248</v>
      </c>
      <c r="B153" t="s">
        <v>257</v>
      </c>
      <c r="C153" t="s">
        <v>157</v>
      </c>
      <c r="D153" t="b">
        <v>0</v>
      </c>
      <c r="E153" t="b">
        <v>0</v>
      </c>
      <c r="G153" t="s">
        <v>56</v>
      </c>
      <c r="H153" t="s">
        <v>257</v>
      </c>
      <c r="I153" t="s">
        <v>157</v>
      </c>
      <c r="J153" t="b">
        <v>0</v>
      </c>
      <c r="K153" t="b">
        <v>0</v>
      </c>
    </row>
    <row r="154" spans="1:11" x14ac:dyDescent="0.25">
      <c r="A154" t="s">
        <v>248</v>
      </c>
      <c r="B154" t="s">
        <v>258</v>
      </c>
      <c r="C154" t="s">
        <v>157</v>
      </c>
      <c r="D154" t="b">
        <v>0</v>
      </c>
      <c r="E154" t="b">
        <v>0</v>
      </c>
      <c r="G154" t="s">
        <v>56</v>
      </c>
      <c r="H154" t="s">
        <v>258</v>
      </c>
      <c r="I154" t="s">
        <v>157</v>
      </c>
      <c r="J154" t="b">
        <v>0</v>
      </c>
      <c r="K154" t="b">
        <v>0</v>
      </c>
    </row>
    <row r="155" spans="1:11" x14ac:dyDescent="0.25">
      <c r="A155" t="s">
        <v>248</v>
      </c>
      <c r="B155" t="s">
        <v>259</v>
      </c>
      <c r="C155" t="s">
        <v>160</v>
      </c>
      <c r="D155" t="b">
        <v>0</v>
      </c>
      <c r="E155" t="b">
        <v>0</v>
      </c>
    </row>
    <row r="156" spans="1:11" x14ac:dyDescent="0.25">
      <c r="A156" t="s">
        <v>248</v>
      </c>
      <c r="B156" t="s">
        <v>260</v>
      </c>
      <c r="C156" t="s">
        <v>157</v>
      </c>
      <c r="D156" t="b">
        <v>0</v>
      </c>
      <c r="E156" t="b">
        <v>0</v>
      </c>
      <c r="G156" t="s">
        <v>56</v>
      </c>
      <c r="H156" t="s">
        <v>260</v>
      </c>
      <c r="I156" t="s">
        <v>157</v>
      </c>
      <c r="J156" t="b">
        <v>0</v>
      </c>
      <c r="K156" t="b">
        <v>0</v>
      </c>
    </row>
    <row r="157" spans="1:11" x14ac:dyDescent="0.25">
      <c r="A157" t="s">
        <v>248</v>
      </c>
      <c r="B157" t="s">
        <v>261</v>
      </c>
      <c r="C157" t="s">
        <v>157</v>
      </c>
      <c r="D157" t="b">
        <v>0</v>
      </c>
      <c r="E157" t="b">
        <v>0</v>
      </c>
      <c r="G157" t="s">
        <v>56</v>
      </c>
      <c r="H157" t="s">
        <v>261</v>
      </c>
      <c r="I157" t="s">
        <v>157</v>
      </c>
      <c r="J157" t="b">
        <v>0</v>
      </c>
      <c r="K157" t="b">
        <v>0</v>
      </c>
    </row>
    <row r="158" spans="1:11" x14ac:dyDescent="0.25">
      <c r="A158" t="s">
        <v>248</v>
      </c>
      <c r="B158" t="s">
        <v>262</v>
      </c>
      <c r="C158" t="s">
        <v>157</v>
      </c>
      <c r="D158" t="b">
        <v>0</v>
      </c>
      <c r="E158" t="b">
        <v>0</v>
      </c>
      <c r="G158" t="s">
        <v>56</v>
      </c>
      <c r="H158" t="s">
        <v>262</v>
      </c>
      <c r="I158" t="s">
        <v>157</v>
      </c>
      <c r="J158" t="b">
        <v>0</v>
      </c>
      <c r="K158" t="b">
        <v>0</v>
      </c>
    </row>
    <row r="159" spans="1:11" x14ac:dyDescent="0.25">
      <c r="A159" t="s">
        <v>248</v>
      </c>
      <c r="B159" t="s">
        <v>263</v>
      </c>
      <c r="C159" t="s">
        <v>157</v>
      </c>
      <c r="D159" t="b">
        <v>0</v>
      </c>
      <c r="E159" t="b">
        <v>0</v>
      </c>
      <c r="G159" t="s">
        <v>56</v>
      </c>
      <c r="H159" t="s">
        <v>263</v>
      </c>
      <c r="I159" t="s">
        <v>157</v>
      </c>
      <c r="J159" t="b">
        <v>0</v>
      </c>
      <c r="K159" t="b">
        <v>0</v>
      </c>
    </row>
    <row r="160" spans="1:11" x14ac:dyDescent="0.25">
      <c r="A160" t="s">
        <v>248</v>
      </c>
      <c r="B160" t="s">
        <v>264</v>
      </c>
      <c r="C160" t="s">
        <v>157</v>
      </c>
      <c r="D160" t="b">
        <v>0</v>
      </c>
      <c r="E160" t="b">
        <v>0</v>
      </c>
      <c r="G160" t="s">
        <v>56</v>
      </c>
      <c r="H160" t="s">
        <v>264</v>
      </c>
      <c r="I160" t="s">
        <v>157</v>
      </c>
      <c r="J160" t="b">
        <v>0</v>
      </c>
      <c r="K160" t="b">
        <v>0</v>
      </c>
    </row>
    <row r="161" spans="1:11" x14ac:dyDescent="0.25">
      <c r="A161" t="s">
        <v>248</v>
      </c>
      <c r="B161" t="s">
        <v>265</v>
      </c>
      <c r="C161" t="s">
        <v>160</v>
      </c>
      <c r="D161" t="b">
        <v>0</v>
      </c>
      <c r="E161" t="b">
        <v>0</v>
      </c>
    </row>
    <row r="162" spans="1:11" x14ac:dyDescent="0.25">
      <c r="A162" t="s">
        <v>248</v>
      </c>
      <c r="B162" t="s">
        <v>266</v>
      </c>
      <c r="C162" t="s">
        <v>157</v>
      </c>
      <c r="D162" t="b">
        <v>0</v>
      </c>
      <c r="E162" t="b">
        <v>0</v>
      </c>
      <c r="G162" t="s">
        <v>56</v>
      </c>
      <c r="H162" t="s">
        <v>266</v>
      </c>
      <c r="I162" t="s">
        <v>157</v>
      </c>
      <c r="J162" t="b">
        <v>0</v>
      </c>
      <c r="K162" t="b">
        <v>0</v>
      </c>
    </row>
    <row r="163" spans="1:11" x14ac:dyDescent="0.25">
      <c r="A163" t="s">
        <v>248</v>
      </c>
      <c r="B163" t="s">
        <v>267</v>
      </c>
      <c r="C163" t="s">
        <v>157</v>
      </c>
      <c r="D163" t="b">
        <v>0</v>
      </c>
      <c r="E163" t="b">
        <v>0</v>
      </c>
      <c r="G163" t="s">
        <v>56</v>
      </c>
      <c r="H163" t="s">
        <v>267</v>
      </c>
      <c r="I163" t="s">
        <v>157</v>
      </c>
      <c r="J163" t="b">
        <v>0</v>
      </c>
      <c r="K163" t="b">
        <v>0</v>
      </c>
    </row>
    <row r="164" spans="1:11" x14ac:dyDescent="0.25">
      <c r="A164" t="s">
        <v>248</v>
      </c>
      <c r="B164" t="s">
        <v>203</v>
      </c>
      <c r="C164" t="s">
        <v>154</v>
      </c>
      <c r="D164" t="b">
        <v>0</v>
      </c>
      <c r="E164" t="b">
        <v>0</v>
      </c>
      <c r="G164" t="s">
        <v>56</v>
      </c>
      <c r="H164" t="s">
        <v>203</v>
      </c>
      <c r="I164" t="s">
        <v>154</v>
      </c>
      <c r="J164" t="b">
        <v>0</v>
      </c>
      <c r="K164" t="b">
        <v>0</v>
      </c>
    </row>
    <row r="165" spans="1:11" x14ac:dyDescent="0.25">
      <c r="A165" t="s">
        <v>248</v>
      </c>
      <c r="B165" t="s">
        <v>268</v>
      </c>
      <c r="C165" t="s">
        <v>157</v>
      </c>
      <c r="D165" t="b">
        <v>0</v>
      </c>
      <c r="E165" t="b">
        <v>0</v>
      </c>
      <c r="G165" t="s">
        <v>56</v>
      </c>
      <c r="H165" t="s">
        <v>268</v>
      </c>
      <c r="I165" t="s">
        <v>157</v>
      </c>
      <c r="J165" t="b">
        <v>0</v>
      </c>
      <c r="K165" t="b">
        <v>0</v>
      </c>
    </row>
    <row r="166" spans="1:11" x14ac:dyDescent="0.25">
      <c r="A166" t="s">
        <v>248</v>
      </c>
      <c r="B166" t="s">
        <v>269</v>
      </c>
      <c r="C166" t="s">
        <v>157</v>
      </c>
      <c r="D166" t="b">
        <v>0</v>
      </c>
      <c r="E166" t="b">
        <v>0</v>
      </c>
      <c r="G166" t="s">
        <v>56</v>
      </c>
      <c r="H166" t="s">
        <v>269</v>
      </c>
      <c r="I166" t="s">
        <v>157</v>
      </c>
      <c r="J166" t="b">
        <v>0</v>
      </c>
      <c r="K166" t="b">
        <v>0</v>
      </c>
    </row>
    <row r="167" spans="1:11" x14ac:dyDescent="0.25">
      <c r="A167" t="s">
        <v>248</v>
      </c>
      <c r="B167" t="s">
        <v>270</v>
      </c>
      <c r="C167" t="s">
        <v>160</v>
      </c>
      <c r="D167" t="b">
        <v>0</v>
      </c>
      <c r="E167" t="b">
        <v>0</v>
      </c>
    </row>
    <row r="168" spans="1:11" x14ac:dyDescent="0.25">
      <c r="A168" t="s">
        <v>248</v>
      </c>
      <c r="B168" t="s">
        <v>208</v>
      </c>
      <c r="C168" t="s">
        <v>157</v>
      </c>
      <c r="D168" t="b">
        <v>0</v>
      </c>
      <c r="E168" t="b">
        <v>0</v>
      </c>
      <c r="G168" t="s">
        <v>56</v>
      </c>
      <c r="H168" t="s">
        <v>208</v>
      </c>
      <c r="I168" t="s">
        <v>157</v>
      </c>
      <c r="J168" t="b">
        <v>0</v>
      </c>
      <c r="K168" t="b">
        <v>0</v>
      </c>
    </row>
    <row r="169" spans="1:11" x14ac:dyDescent="0.25">
      <c r="A169" t="s">
        <v>248</v>
      </c>
      <c r="B169" t="s">
        <v>271</v>
      </c>
      <c r="C169" t="s">
        <v>157</v>
      </c>
      <c r="D169" t="b">
        <v>0</v>
      </c>
      <c r="E169" t="b">
        <v>0</v>
      </c>
      <c r="G169" t="s">
        <v>56</v>
      </c>
      <c r="H169" t="s">
        <v>271</v>
      </c>
      <c r="I169" t="s">
        <v>157</v>
      </c>
      <c r="J169" t="b">
        <v>0</v>
      </c>
      <c r="K169" t="b">
        <v>0</v>
      </c>
    </row>
    <row r="170" spans="1:11" x14ac:dyDescent="0.25">
      <c r="A170" t="s">
        <v>248</v>
      </c>
      <c r="B170" t="s">
        <v>213</v>
      </c>
      <c r="C170" t="s">
        <v>154</v>
      </c>
      <c r="D170" t="b">
        <v>0</v>
      </c>
      <c r="E170" t="b">
        <v>0</v>
      </c>
      <c r="G170" t="s">
        <v>56</v>
      </c>
      <c r="H170" t="s">
        <v>213</v>
      </c>
      <c r="I170" t="s">
        <v>154</v>
      </c>
      <c r="J170" t="b">
        <v>0</v>
      </c>
      <c r="K170" t="b">
        <v>0</v>
      </c>
    </row>
    <row r="171" spans="1:11" x14ac:dyDescent="0.25">
      <c r="A171" t="s">
        <v>248</v>
      </c>
      <c r="B171" t="s">
        <v>214</v>
      </c>
      <c r="C171" t="s">
        <v>157</v>
      </c>
      <c r="D171" t="b">
        <v>0</v>
      </c>
      <c r="E171" t="b">
        <v>0</v>
      </c>
      <c r="G171" t="s">
        <v>56</v>
      </c>
      <c r="H171" t="s">
        <v>214</v>
      </c>
      <c r="I171" t="s">
        <v>157</v>
      </c>
      <c r="J171" t="b">
        <v>0</v>
      </c>
      <c r="K171" t="b">
        <v>0</v>
      </c>
    </row>
    <row r="172" spans="1:11" x14ac:dyDescent="0.25">
      <c r="A172" t="s">
        <v>248</v>
      </c>
      <c r="B172" t="s">
        <v>215</v>
      </c>
      <c r="C172" t="s">
        <v>205</v>
      </c>
      <c r="D172" t="b">
        <v>0</v>
      </c>
      <c r="E172" t="b">
        <v>0</v>
      </c>
      <c r="G172" t="s">
        <v>56</v>
      </c>
      <c r="H172" t="s">
        <v>215</v>
      </c>
      <c r="I172" t="s">
        <v>205</v>
      </c>
      <c r="J172" t="b">
        <v>0</v>
      </c>
      <c r="K172" t="b">
        <v>0</v>
      </c>
    </row>
    <row r="173" spans="1:11" x14ac:dyDescent="0.25">
      <c r="A173" t="s">
        <v>248</v>
      </c>
      <c r="B173" t="s">
        <v>216</v>
      </c>
      <c r="C173" t="s">
        <v>154</v>
      </c>
      <c r="D173" t="b">
        <v>0</v>
      </c>
      <c r="E173" t="b">
        <v>0</v>
      </c>
      <c r="G173" t="s">
        <v>56</v>
      </c>
      <c r="H173" t="s">
        <v>216</v>
      </c>
      <c r="I173" t="s">
        <v>154</v>
      </c>
      <c r="J173" t="b">
        <v>0</v>
      </c>
      <c r="K173" t="b">
        <v>0</v>
      </c>
    </row>
    <row r="174" spans="1:11" x14ac:dyDescent="0.25">
      <c r="A174" t="s">
        <v>248</v>
      </c>
      <c r="B174" t="s">
        <v>217</v>
      </c>
      <c r="C174" t="s">
        <v>205</v>
      </c>
      <c r="D174" t="b">
        <v>0</v>
      </c>
      <c r="E174" t="b">
        <v>0</v>
      </c>
    </row>
    <row r="175" spans="1:11" x14ac:dyDescent="0.25">
      <c r="A175" t="s">
        <v>248</v>
      </c>
      <c r="B175" t="s">
        <v>218</v>
      </c>
      <c r="C175" t="s">
        <v>157</v>
      </c>
      <c r="D175" t="b">
        <v>0</v>
      </c>
      <c r="E175" t="b">
        <v>0</v>
      </c>
    </row>
    <row r="176" spans="1:11" x14ac:dyDescent="0.25">
      <c r="A176" t="s">
        <v>248</v>
      </c>
      <c r="B176" t="s">
        <v>219</v>
      </c>
      <c r="C176" t="s">
        <v>157</v>
      </c>
      <c r="D176" t="b">
        <v>0</v>
      </c>
      <c r="E176" t="b">
        <v>0</v>
      </c>
    </row>
    <row r="177" spans="1:11" x14ac:dyDescent="0.25">
      <c r="A177" t="s">
        <v>248</v>
      </c>
      <c r="B177" t="s">
        <v>220</v>
      </c>
      <c r="C177" t="s">
        <v>205</v>
      </c>
      <c r="D177" t="b">
        <v>0</v>
      </c>
      <c r="E177" t="b">
        <v>0</v>
      </c>
    </row>
    <row r="178" spans="1:11" x14ac:dyDescent="0.25">
      <c r="A178" t="s">
        <v>248</v>
      </c>
      <c r="B178" t="s">
        <v>221</v>
      </c>
      <c r="C178" t="s">
        <v>205</v>
      </c>
      <c r="D178" t="b">
        <v>0</v>
      </c>
      <c r="E178" t="b">
        <v>0</v>
      </c>
    </row>
    <row r="179" spans="1:11" x14ac:dyDescent="0.25">
      <c r="A179" s="2" t="s">
        <v>248</v>
      </c>
      <c r="B179" s="2" t="s">
        <v>222</v>
      </c>
      <c r="C179" s="2" t="s">
        <v>205</v>
      </c>
      <c r="D179" s="2" t="b">
        <v>0</v>
      </c>
      <c r="E179" s="2" t="b">
        <v>0</v>
      </c>
      <c r="F179" s="2"/>
      <c r="G179" s="2"/>
      <c r="H179" s="2"/>
      <c r="I179" s="2"/>
      <c r="J179" s="2"/>
      <c r="K179" s="2"/>
    </row>
    <row r="180" spans="1:11" s="2" customFormat="1" x14ac:dyDescent="0.25">
      <c r="A180" t="s">
        <v>272</v>
      </c>
      <c r="B180" t="s">
        <v>233</v>
      </c>
      <c r="C180" t="s">
        <v>157</v>
      </c>
      <c r="D180" t="b">
        <v>0</v>
      </c>
      <c r="E180" t="b">
        <v>0</v>
      </c>
      <c r="G180" t="s">
        <v>61</v>
      </c>
      <c r="H180" t="s">
        <v>233</v>
      </c>
      <c r="I180" t="s">
        <v>157</v>
      </c>
      <c r="J180" t="b">
        <v>0</v>
      </c>
      <c r="K180" t="b">
        <v>0</v>
      </c>
    </row>
    <row r="181" spans="1:11" x14ac:dyDescent="0.25">
      <c r="A181" t="s">
        <v>272</v>
      </c>
      <c r="B181" t="s">
        <v>273</v>
      </c>
      <c r="C181" t="s">
        <v>157</v>
      </c>
      <c r="D181" t="b">
        <v>0</v>
      </c>
      <c r="E181" t="b">
        <v>0</v>
      </c>
      <c r="G181" t="s">
        <v>61</v>
      </c>
      <c r="H181" t="s">
        <v>273</v>
      </c>
      <c r="I181" t="s">
        <v>157</v>
      </c>
      <c r="J181" t="b">
        <v>0</v>
      </c>
      <c r="K181" t="b">
        <v>0</v>
      </c>
    </row>
    <row r="182" spans="1:11" x14ac:dyDescent="0.25">
      <c r="A182" t="s">
        <v>272</v>
      </c>
      <c r="B182" t="s">
        <v>274</v>
      </c>
      <c r="C182" t="s">
        <v>157</v>
      </c>
      <c r="D182" t="b">
        <v>0</v>
      </c>
      <c r="E182" t="b">
        <v>0</v>
      </c>
      <c r="G182" t="s">
        <v>61</v>
      </c>
      <c r="H182" t="s">
        <v>274</v>
      </c>
      <c r="I182" t="s">
        <v>157</v>
      </c>
      <c r="J182" t="b">
        <v>0</v>
      </c>
      <c r="K182" t="b">
        <v>0</v>
      </c>
    </row>
    <row r="183" spans="1:11" x14ac:dyDescent="0.25">
      <c r="A183" t="s">
        <v>272</v>
      </c>
      <c r="B183" t="s">
        <v>179</v>
      </c>
      <c r="C183" t="s">
        <v>157</v>
      </c>
      <c r="D183" t="b">
        <v>1</v>
      </c>
      <c r="E183" t="b">
        <v>1</v>
      </c>
      <c r="G183" t="s">
        <v>61</v>
      </c>
      <c r="H183" t="s">
        <v>179</v>
      </c>
      <c r="I183" t="s">
        <v>157</v>
      </c>
      <c r="J183" t="b">
        <v>1</v>
      </c>
      <c r="K183" t="b">
        <v>0</v>
      </c>
    </row>
    <row r="184" spans="1:11" x14ac:dyDescent="0.25">
      <c r="A184" t="s">
        <v>272</v>
      </c>
      <c r="B184" t="s">
        <v>180</v>
      </c>
      <c r="C184" t="s">
        <v>160</v>
      </c>
      <c r="D184" t="b">
        <v>0</v>
      </c>
      <c r="E184" t="b">
        <v>0</v>
      </c>
    </row>
    <row r="185" spans="1:11" x14ac:dyDescent="0.25">
      <c r="A185" t="s">
        <v>272</v>
      </c>
      <c r="B185" t="s">
        <v>208</v>
      </c>
      <c r="C185" t="s">
        <v>157</v>
      </c>
      <c r="D185" t="b">
        <v>0</v>
      </c>
      <c r="E185" t="b">
        <v>0</v>
      </c>
      <c r="G185" t="s">
        <v>61</v>
      </c>
      <c r="H185" t="s">
        <v>208</v>
      </c>
      <c r="I185" t="s">
        <v>157</v>
      </c>
      <c r="J185" t="b">
        <v>0</v>
      </c>
      <c r="K185" t="b">
        <v>0</v>
      </c>
    </row>
    <row r="186" spans="1:11" x14ac:dyDescent="0.25">
      <c r="A186" t="s">
        <v>272</v>
      </c>
      <c r="B186" t="s">
        <v>214</v>
      </c>
      <c r="C186" t="s">
        <v>157</v>
      </c>
      <c r="D186" t="b">
        <v>0</v>
      </c>
      <c r="E186" t="b">
        <v>0</v>
      </c>
      <c r="G186" t="s">
        <v>61</v>
      </c>
      <c r="H186" t="s">
        <v>214</v>
      </c>
      <c r="I186" t="s">
        <v>157</v>
      </c>
      <c r="J186" t="b">
        <v>0</v>
      </c>
      <c r="K186" t="b">
        <v>0</v>
      </c>
    </row>
    <row r="187" spans="1:11" x14ac:dyDescent="0.25">
      <c r="A187" t="s">
        <v>272</v>
      </c>
      <c r="B187" t="s">
        <v>215</v>
      </c>
      <c r="C187" t="s">
        <v>205</v>
      </c>
      <c r="D187" t="b">
        <v>0</v>
      </c>
      <c r="E187" t="b">
        <v>0</v>
      </c>
      <c r="G187" t="s">
        <v>61</v>
      </c>
      <c r="H187" t="s">
        <v>215</v>
      </c>
      <c r="I187" t="s">
        <v>205</v>
      </c>
      <c r="J187" t="b">
        <v>0</v>
      </c>
      <c r="K187" t="b">
        <v>0</v>
      </c>
    </row>
    <row r="188" spans="1:11" x14ac:dyDescent="0.25">
      <c r="A188" t="s">
        <v>272</v>
      </c>
      <c r="B188" t="s">
        <v>216</v>
      </c>
      <c r="C188" t="s">
        <v>154</v>
      </c>
      <c r="D188" t="b">
        <v>0</v>
      </c>
      <c r="E188" t="b">
        <v>0</v>
      </c>
      <c r="G188" t="s">
        <v>61</v>
      </c>
      <c r="H188" t="s">
        <v>216</v>
      </c>
      <c r="I188" t="s">
        <v>154</v>
      </c>
      <c r="J188" t="b">
        <v>0</v>
      </c>
      <c r="K188" t="b">
        <v>0</v>
      </c>
    </row>
    <row r="189" spans="1:11" x14ac:dyDescent="0.25">
      <c r="A189" t="s">
        <v>272</v>
      </c>
      <c r="B189" t="s">
        <v>217</v>
      </c>
      <c r="C189" t="s">
        <v>205</v>
      </c>
      <c r="D189" t="b">
        <v>0</v>
      </c>
      <c r="E189" t="b">
        <v>0</v>
      </c>
    </row>
    <row r="190" spans="1:11" x14ac:dyDescent="0.25">
      <c r="A190" t="s">
        <v>272</v>
      </c>
      <c r="B190" t="s">
        <v>218</v>
      </c>
      <c r="C190" t="s">
        <v>157</v>
      </c>
      <c r="D190" t="b">
        <v>0</v>
      </c>
      <c r="E190" t="b">
        <v>0</v>
      </c>
    </row>
    <row r="191" spans="1:11" x14ac:dyDescent="0.25">
      <c r="A191" t="s">
        <v>272</v>
      </c>
      <c r="B191" t="s">
        <v>219</v>
      </c>
      <c r="C191" t="s">
        <v>157</v>
      </c>
      <c r="D191" t="b">
        <v>0</v>
      </c>
      <c r="E191" t="b">
        <v>0</v>
      </c>
    </row>
    <row r="192" spans="1:11" x14ac:dyDescent="0.25">
      <c r="A192" t="s">
        <v>272</v>
      </c>
      <c r="B192" t="s">
        <v>220</v>
      </c>
      <c r="C192" t="s">
        <v>205</v>
      </c>
      <c r="D192" t="b">
        <v>0</v>
      </c>
      <c r="E192" t="b">
        <v>0</v>
      </c>
    </row>
    <row r="193" spans="1:11" x14ac:dyDescent="0.25">
      <c r="A193" t="s">
        <v>272</v>
      </c>
      <c r="B193" t="s">
        <v>221</v>
      </c>
      <c r="C193" t="s">
        <v>205</v>
      </c>
      <c r="D193" t="b">
        <v>0</v>
      </c>
      <c r="E193" t="b">
        <v>0</v>
      </c>
    </row>
    <row r="194" spans="1:11" x14ac:dyDescent="0.25">
      <c r="A194" s="2" t="s">
        <v>272</v>
      </c>
      <c r="B194" s="2" t="s">
        <v>222</v>
      </c>
      <c r="C194" s="2" t="s">
        <v>205</v>
      </c>
      <c r="D194" s="2" t="b">
        <v>0</v>
      </c>
      <c r="E194" s="2" t="b">
        <v>0</v>
      </c>
      <c r="F194" s="2"/>
      <c r="G194" s="2"/>
      <c r="H194" s="2"/>
      <c r="I194" s="2"/>
      <c r="J194" s="2"/>
      <c r="K194" s="2"/>
    </row>
    <row r="195" spans="1:11" s="2" customFormat="1" x14ac:dyDescent="0.25">
      <c r="A195" t="s">
        <v>275</v>
      </c>
      <c r="B195" t="s">
        <v>276</v>
      </c>
      <c r="C195" t="s">
        <v>157</v>
      </c>
      <c r="D195" t="b">
        <v>0</v>
      </c>
      <c r="E195" t="b">
        <v>0</v>
      </c>
      <c r="G195" t="s">
        <v>71</v>
      </c>
      <c r="H195" t="s">
        <v>276</v>
      </c>
      <c r="I195" t="s">
        <v>157</v>
      </c>
      <c r="J195" t="b">
        <v>0</v>
      </c>
      <c r="K195" t="b">
        <v>0</v>
      </c>
    </row>
    <row r="196" spans="1:11" x14ac:dyDescent="0.25">
      <c r="A196" t="s">
        <v>275</v>
      </c>
      <c r="B196" t="s">
        <v>277</v>
      </c>
      <c r="C196" t="s">
        <v>160</v>
      </c>
      <c r="D196" t="b">
        <v>0</v>
      </c>
      <c r="E196" t="b">
        <v>0</v>
      </c>
    </row>
    <row r="197" spans="1:11" x14ac:dyDescent="0.25">
      <c r="A197" t="s">
        <v>275</v>
      </c>
      <c r="B197" t="s">
        <v>249</v>
      </c>
      <c r="C197" t="s">
        <v>250</v>
      </c>
      <c r="D197" t="b">
        <v>0</v>
      </c>
      <c r="E197" t="b">
        <v>0</v>
      </c>
      <c r="G197" t="s">
        <v>71</v>
      </c>
      <c r="H197" t="s">
        <v>249</v>
      </c>
      <c r="I197" t="s">
        <v>250</v>
      </c>
      <c r="J197" t="b">
        <v>0</v>
      </c>
      <c r="K197" t="b">
        <v>0</v>
      </c>
    </row>
    <row r="198" spans="1:11" x14ac:dyDescent="0.25">
      <c r="A198" t="s">
        <v>275</v>
      </c>
      <c r="B198" t="s">
        <v>225</v>
      </c>
      <c r="C198" t="s">
        <v>154</v>
      </c>
      <c r="D198" t="b">
        <v>0</v>
      </c>
      <c r="E198" t="b">
        <v>0</v>
      </c>
      <c r="G198" t="s">
        <v>71</v>
      </c>
      <c r="H198" t="s">
        <v>225</v>
      </c>
      <c r="I198" t="s">
        <v>154</v>
      </c>
      <c r="J198" t="b">
        <v>0</v>
      </c>
      <c r="K198" t="b">
        <v>0</v>
      </c>
    </row>
    <row r="199" spans="1:11" x14ac:dyDescent="0.25">
      <c r="A199" t="s">
        <v>275</v>
      </c>
      <c r="B199" t="s">
        <v>167</v>
      </c>
      <c r="C199" t="s">
        <v>157</v>
      </c>
      <c r="D199" t="b">
        <v>0</v>
      </c>
      <c r="E199" t="b">
        <v>0</v>
      </c>
      <c r="G199" t="s">
        <v>71</v>
      </c>
      <c r="H199" t="s">
        <v>167</v>
      </c>
      <c r="I199" t="s">
        <v>157</v>
      </c>
      <c r="J199" t="b">
        <v>0</v>
      </c>
      <c r="K199" t="b">
        <v>0</v>
      </c>
    </row>
    <row r="200" spans="1:11" x14ac:dyDescent="0.25">
      <c r="A200" t="s">
        <v>275</v>
      </c>
      <c r="B200" t="s">
        <v>227</v>
      </c>
      <c r="C200" t="s">
        <v>160</v>
      </c>
      <c r="D200" t="b">
        <v>0</v>
      </c>
      <c r="E200" t="b">
        <v>0</v>
      </c>
    </row>
    <row r="201" spans="1:11" x14ac:dyDescent="0.25">
      <c r="A201" t="s">
        <v>275</v>
      </c>
      <c r="B201" t="s">
        <v>168</v>
      </c>
      <c r="C201" t="s">
        <v>157</v>
      </c>
      <c r="D201" t="b">
        <v>0</v>
      </c>
      <c r="E201" t="b">
        <v>0</v>
      </c>
      <c r="G201" t="s">
        <v>71</v>
      </c>
      <c r="H201" t="s">
        <v>168</v>
      </c>
      <c r="I201" t="s">
        <v>157</v>
      </c>
      <c r="J201" t="b">
        <v>0</v>
      </c>
      <c r="K201" t="b">
        <v>0</v>
      </c>
    </row>
    <row r="202" spans="1:11" x14ac:dyDescent="0.25">
      <c r="A202" t="s">
        <v>275</v>
      </c>
      <c r="B202" t="s">
        <v>228</v>
      </c>
      <c r="C202" t="s">
        <v>154</v>
      </c>
      <c r="D202" t="b">
        <v>0</v>
      </c>
      <c r="E202" t="b">
        <v>0</v>
      </c>
      <c r="G202" t="s">
        <v>71</v>
      </c>
      <c r="H202" t="s">
        <v>228</v>
      </c>
      <c r="I202" t="s">
        <v>154</v>
      </c>
      <c r="J202" t="b">
        <v>0</v>
      </c>
      <c r="K202" t="b">
        <v>0</v>
      </c>
    </row>
    <row r="203" spans="1:11" x14ac:dyDescent="0.25">
      <c r="A203" t="s">
        <v>275</v>
      </c>
      <c r="B203" t="s">
        <v>278</v>
      </c>
      <c r="C203" t="s">
        <v>154</v>
      </c>
      <c r="D203" t="b">
        <v>0</v>
      </c>
      <c r="E203" t="b">
        <v>0</v>
      </c>
      <c r="G203" t="s">
        <v>71</v>
      </c>
      <c r="H203" t="s">
        <v>278</v>
      </c>
      <c r="I203" t="s">
        <v>154</v>
      </c>
      <c r="J203" t="b">
        <v>0</v>
      </c>
      <c r="K203" t="b">
        <v>0</v>
      </c>
    </row>
    <row r="204" spans="1:11" x14ac:dyDescent="0.25">
      <c r="A204" t="s">
        <v>275</v>
      </c>
      <c r="B204" t="s">
        <v>279</v>
      </c>
      <c r="C204" t="s">
        <v>157</v>
      </c>
      <c r="D204" t="b">
        <v>0</v>
      </c>
      <c r="E204" t="b">
        <v>0</v>
      </c>
      <c r="G204" t="s">
        <v>71</v>
      </c>
      <c r="H204" t="s">
        <v>279</v>
      </c>
      <c r="I204" t="s">
        <v>157</v>
      </c>
      <c r="J204" t="b">
        <v>0</v>
      </c>
      <c r="K204" t="b">
        <v>0</v>
      </c>
    </row>
    <row r="205" spans="1:11" x14ac:dyDescent="0.25">
      <c r="A205" t="s">
        <v>275</v>
      </c>
      <c r="B205" t="s">
        <v>169</v>
      </c>
      <c r="C205" t="s">
        <v>154</v>
      </c>
      <c r="D205" t="b">
        <v>0</v>
      </c>
      <c r="E205" t="b">
        <v>0</v>
      </c>
      <c r="G205" t="s">
        <v>71</v>
      </c>
      <c r="H205" t="s">
        <v>169</v>
      </c>
      <c r="I205" t="s">
        <v>154</v>
      </c>
      <c r="J205" t="b">
        <v>0</v>
      </c>
      <c r="K205" t="b">
        <v>0</v>
      </c>
    </row>
    <row r="206" spans="1:11" x14ac:dyDescent="0.25">
      <c r="A206" t="s">
        <v>275</v>
      </c>
      <c r="B206" t="s">
        <v>252</v>
      </c>
      <c r="C206" t="s">
        <v>157</v>
      </c>
      <c r="D206" t="b">
        <v>0</v>
      </c>
      <c r="E206" t="b">
        <v>0</v>
      </c>
      <c r="G206" t="s">
        <v>71</v>
      </c>
      <c r="H206" t="s">
        <v>252</v>
      </c>
      <c r="I206" t="s">
        <v>157</v>
      </c>
      <c r="J206" t="b">
        <v>0</v>
      </c>
      <c r="K206" t="b">
        <v>0</v>
      </c>
    </row>
    <row r="207" spans="1:11" x14ac:dyDescent="0.25">
      <c r="A207" t="s">
        <v>275</v>
      </c>
      <c r="B207" t="s">
        <v>253</v>
      </c>
      <c r="C207" t="s">
        <v>160</v>
      </c>
      <c r="D207" t="b">
        <v>0</v>
      </c>
      <c r="E207" t="b">
        <v>0</v>
      </c>
    </row>
    <row r="208" spans="1:11" x14ac:dyDescent="0.25">
      <c r="A208" t="s">
        <v>275</v>
      </c>
      <c r="B208" t="s">
        <v>170</v>
      </c>
      <c r="C208" t="s">
        <v>157</v>
      </c>
      <c r="D208" t="b">
        <v>0</v>
      </c>
      <c r="E208" t="b">
        <v>0</v>
      </c>
      <c r="G208" t="s">
        <v>71</v>
      </c>
      <c r="H208" t="s">
        <v>170</v>
      </c>
      <c r="I208" t="s">
        <v>157</v>
      </c>
      <c r="J208" t="b">
        <v>0</v>
      </c>
      <c r="K208" t="b">
        <v>0</v>
      </c>
    </row>
    <row r="209" spans="1:11" x14ac:dyDescent="0.25">
      <c r="A209" t="s">
        <v>275</v>
      </c>
      <c r="B209" t="s">
        <v>172</v>
      </c>
      <c r="C209" t="s">
        <v>157</v>
      </c>
      <c r="D209" t="b">
        <v>0</v>
      </c>
      <c r="E209" t="b">
        <v>0</v>
      </c>
      <c r="G209" t="s">
        <v>71</v>
      </c>
      <c r="H209" t="s">
        <v>172</v>
      </c>
      <c r="I209" t="s">
        <v>157</v>
      </c>
      <c r="J209" t="b">
        <v>0</v>
      </c>
      <c r="K209" t="b">
        <v>0</v>
      </c>
    </row>
    <row r="210" spans="1:11" x14ac:dyDescent="0.25">
      <c r="A210" t="s">
        <v>275</v>
      </c>
      <c r="B210" s="3" t="s">
        <v>229</v>
      </c>
      <c r="C210" t="s">
        <v>160</v>
      </c>
      <c r="D210" t="b">
        <v>0</v>
      </c>
      <c r="E210" t="b">
        <v>0</v>
      </c>
    </row>
    <row r="211" spans="1:11" x14ac:dyDescent="0.25">
      <c r="A211" t="s">
        <v>275</v>
      </c>
      <c r="B211" t="s">
        <v>280</v>
      </c>
      <c r="C211" t="s">
        <v>250</v>
      </c>
      <c r="D211" t="b">
        <v>0</v>
      </c>
      <c r="E211" t="b">
        <v>0</v>
      </c>
      <c r="G211" t="s">
        <v>71</v>
      </c>
      <c r="H211" t="s">
        <v>280</v>
      </c>
      <c r="I211" t="s">
        <v>250</v>
      </c>
      <c r="J211" t="b">
        <v>0</v>
      </c>
      <c r="K211" t="b">
        <v>0</v>
      </c>
    </row>
    <row r="212" spans="1:11" x14ac:dyDescent="0.25">
      <c r="A212" t="s">
        <v>275</v>
      </c>
      <c r="B212" t="s">
        <v>174</v>
      </c>
      <c r="C212" t="s">
        <v>154</v>
      </c>
      <c r="D212" t="b">
        <v>0</v>
      </c>
      <c r="E212" t="b">
        <v>0</v>
      </c>
      <c r="G212" t="s">
        <v>71</v>
      </c>
      <c r="H212" t="s">
        <v>174</v>
      </c>
      <c r="I212" t="s">
        <v>154</v>
      </c>
      <c r="J212" t="b">
        <v>0</v>
      </c>
      <c r="K212" t="b">
        <v>0</v>
      </c>
    </row>
    <row r="213" spans="1:11" x14ac:dyDescent="0.25">
      <c r="A213" t="s">
        <v>275</v>
      </c>
      <c r="B213" t="s">
        <v>281</v>
      </c>
      <c r="C213" t="s">
        <v>164</v>
      </c>
      <c r="D213" t="b">
        <v>0</v>
      </c>
      <c r="E213" t="b">
        <v>0</v>
      </c>
      <c r="G213" t="s">
        <v>71</v>
      </c>
      <c r="H213" t="s">
        <v>281</v>
      </c>
      <c r="I213" t="s">
        <v>164</v>
      </c>
      <c r="J213" t="b">
        <v>0</v>
      </c>
      <c r="K213" t="b">
        <v>0</v>
      </c>
    </row>
    <row r="214" spans="1:11" x14ac:dyDescent="0.25">
      <c r="A214" t="s">
        <v>275</v>
      </c>
      <c r="B214" t="s">
        <v>282</v>
      </c>
      <c r="C214" t="s">
        <v>154</v>
      </c>
      <c r="D214" t="b">
        <v>0</v>
      </c>
      <c r="E214" t="b">
        <v>0</v>
      </c>
      <c r="G214" t="s">
        <v>71</v>
      </c>
      <c r="H214" t="s">
        <v>282</v>
      </c>
      <c r="I214" t="s">
        <v>154</v>
      </c>
      <c r="J214" t="b">
        <v>0</v>
      </c>
      <c r="K214" t="b">
        <v>0</v>
      </c>
    </row>
    <row r="215" spans="1:11" x14ac:dyDescent="0.25">
      <c r="A215" t="s">
        <v>275</v>
      </c>
      <c r="B215" t="s">
        <v>283</v>
      </c>
      <c r="C215" t="s">
        <v>164</v>
      </c>
      <c r="D215" t="b">
        <v>0</v>
      </c>
      <c r="E215" t="b">
        <v>0</v>
      </c>
      <c r="G215" t="s">
        <v>71</v>
      </c>
      <c r="H215" t="s">
        <v>283</v>
      </c>
      <c r="I215" t="s">
        <v>164</v>
      </c>
      <c r="J215" t="b">
        <v>0</v>
      </c>
      <c r="K215" t="b">
        <v>0</v>
      </c>
    </row>
    <row r="216" spans="1:11" x14ac:dyDescent="0.25">
      <c r="A216" t="s">
        <v>275</v>
      </c>
      <c r="B216" t="s">
        <v>284</v>
      </c>
      <c r="C216" t="s">
        <v>157</v>
      </c>
      <c r="D216" t="b">
        <v>0</v>
      </c>
      <c r="E216" t="b">
        <v>0</v>
      </c>
      <c r="G216" t="s">
        <v>71</v>
      </c>
      <c r="H216" t="s">
        <v>284</v>
      </c>
      <c r="I216" t="s">
        <v>157</v>
      </c>
      <c r="J216" t="b">
        <v>0</v>
      </c>
      <c r="K216" t="b">
        <v>0</v>
      </c>
    </row>
    <row r="217" spans="1:11" x14ac:dyDescent="0.25">
      <c r="A217" t="s">
        <v>275</v>
      </c>
      <c r="B217" t="s">
        <v>179</v>
      </c>
      <c r="C217" t="s">
        <v>157</v>
      </c>
      <c r="D217" t="b">
        <v>1</v>
      </c>
      <c r="E217" t="b">
        <v>1</v>
      </c>
      <c r="G217" t="s">
        <v>71</v>
      </c>
      <c r="H217" t="s">
        <v>179</v>
      </c>
      <c r="I217" t="s">
        <v>157</v>
      </c>
      <c r="J217" t="b">
        <v>1</v>
      </c>
      <c r="K217" t="b">
        <v>0</v>
      </c>
    </row>
    <row r="218" spans="1:11" x14ac:dyDescent="0.25">
      <c r="A218" t="s">
        <v>275</v>
      </c>
      <c r="B218" t="s">
        <v>180</v>
      </c>
      <c r="C218" t="s">
        <v>160</v>
      </c>
      <c r="D218" t="b">
        <v>0</v>
      </c>
      <c r="E218" t="b">
        <v>0</v>
      </c>
    </row>
    <row r="219" spans="1:11" x14ac:dyDescent="0.25">
      <c r="A219" t="s">
        <v>275</v>
      </c>
      <c r="B219" t="s">
        <v>181</v>
      </c>
      <c r="C219" t="s">
        <v>182</v>
      </c>
      <c r="D219" t="b">
        <v>0</v>
      </c>
      <c r="E219" t="b">
        <v>0</v>
      </c>
      <c r="G219" t="s">
        <v>71</v>
      </c>
      <c r="H219" t="s">
        <v>181</v>
      </c>
      <c r="I219" t="s">
        <v>182</v>
      </c>
      <c r="J219" t="b">
        <v>0</v>
      </c>
      <c r="K219" t="b">
        <v>0</v>
      </c>
    </row>
    <row r="220" spans="1:11" x14ac:dyDescent="0.25">
      <c r="A220" t="s">
        <v>275</v>
      </c>
      <c r="B220" t="s">
        <v>285</v>
      </c>
      <c r="C220" t="s">
        <v>157</v>
      </c>
      <c r="D220" t="b">
        <v>0</v>
      </c>
      <c r="E220" t="b">
        <v>0</v>
      </c>
      <c r="G220" t="s">
        <v>71</v>
      </c>
      <c r="H220" t="s">
        <v>285</v>
      </c>
      <c r="I220" t="s">
        <v>157</v>
      </c>
      <c r="J220" t="b">
        <v>0</v>
      </c>
      <c r="K220" t="b">
        <v>0</v>
      </c>
    </row>
    <row r="221" spans="1:11" x14ac:dyDescent="0.25">
      <c r="A221" t="s">
        <v>275</v>
      </c>
      <c r="B221" t="s">
        <v>286</v>
      </c>
      <c r="C221" t="s">
        <v>160</v>
      </c>
      <c r="D221" t="b">
        <v>0</v>
      </c>
      <c r="E221" t="b">
        <v>0</v>
      </c>
    </row>
    <row r="222" spans="1:11" x14ac:dyDescent="0.25">
      <c r="A222" t="s">
        <v>275</v>
      </c>
      <c r="B222" t="s">
        <v>287</v>
      </c>
      <c r="C222" t="s">
        <v>157</v>
      </c>
      <c r="D222" t="b">
        <v>0</v>
      </c>
      <c r="E222" t="b">
        <v>0</v>
      </c>
      <c r="G222" t="s">
        <v>71</v>
      </c>
      <c r="H222" t="s">
        <v>287</v>
      </c>
      <c r="I222" t="s">
        <v>157</v>
      </c>
      <c r="J222" t="b">
        <v>0</v>
      </c>
      <c r="K222" t="b">
        <v>0</v>
      </c>
    </row>
    <row r="223" spans="1:11" x14ac:dyDescent="0.25">
      <c r="A223" t="s">
        <v>275</v>
      </c>
      <c r="B223" t="s">
        <v>288</v>
      </c>
      <c r="C223" t="s">
        <v>160</v>
      </c>
      <c r="D223" t="b">
        <v>0</v>
      </c>
      <c r="E223" t="b">
        <v>0</v>
      </c>
    </row>
    <row r="224" spans="1:11" x14ac:dyDescent="0.25">
      <c r="A224" t="s">
        <v>275</v>
      </c>
      <c r="B224" t="s">
        <v>289</v>
      </c>
      <c r="C224" t="s">
        <v>157</v>
      </c>
      <c r="D224" t="b">
        <v>0</v>
      </c>
      <c r="E224" t="b">
        <v>0</v>
      </c>
      <c r="G224" t="s">
        <v>71</v>
      </c>
      <c r="H224" t="s">
        <v>289</v>
      </c>
      <c r="I224" t="s">
        <v>157</v>
      </c>
      <c r="J224" t="b">
        <v>0</v>
      </c>
      <c r="K224" t="b">
        <v>0</v>
      </c>
    </row>
    <row r="225" spans="1:11" x14ac:dyDescent="0.25">
      <c r="A225" t="s">
        <v>275</v>
      </c>
      <c r="B225" t="s">
        <v>290</v>
      </c>
      <c r="C225" t="s">
        <v>157</v>
      </c>
      <c r="D225" t="b">
        <v>0</v>
      </c>
      <c r="E225" t="b">
        <v>0</v>
      </c>
      <c r="G225" t="s">
        <v>71</v>
      </c>
      <c r="H225" t="s">
        <v>290</v>
      </c>
      <c r="I225" t="s">
        <v>157</v>
      </c>
      <c r="J225" t="b">
        <v>0</v>
      </c>
      <c r="K225" t="b">
        <v>0</v>
      </c>
    </row>
    <row r="226" spans="1:11" x14ac:dyDescent="0.25">
      <c r="A226" t="s">
        <v>275</v>
      </c>
      <c r="B226" t="s">
        <v>291</v>
      </c>
      <c r="C226" t="s">
        <v>157</v>
      </c>
      <c r="D226" t="b">
        <v>0</v>
      </c>
      <c r="E226" t="b">
        <v>0</v>
      </c>
      <c r="G226" t="s">
        <v>71</v>
      </c>
      <c r="H226" t="s">
        <v>291</v>
      </c>
      <c r="I226" t="s">
        <v>157</v>
      </c>
      <c r="J226" t="b">
        <v>0</v>
      </c>
      <c r="K226" t="b">
        <v>0</v>
      </c>
    </row>
    <row r="227" spans="1:11" x14ac:dyDescent="0.25">
      <c r="A227" t="s">
        <v>275</v>
      </c>
      <c r="B227" t="s">
        <v>292</v>
      </c>
      <c r="C227" t="s">
        <v>157</v>
      </c>
      <c r="D227" t="b">
        <v>0</v>
      </c>
      <c r="E227" t="b">
        <v>0</v>
      </c>
      <c r="G227" t="s">
        <v>71</v>
      </c>
      <c r="H227" t="s">
        <v>292</v>
      </c>
      <c r="I227" t="s">
        <v>157</v>
      </c>
      <c r="J227" t="b">
        <v>0</v>
      </c>
      <c r="K227" t="b">
        <v>0</v>
      </c>
    </row>
    <row r="228" spans="1:11" x14ac:dyDescent="0.25">
      <c r="A228" t="s">
        <v>275</v>
      </c>
      <c r="B228" t="s">
        <v>293</v>
      </c>
      <c r="C228" t="s">
        <v>160</v>
      </c>
      <c r="D228" t="b">
        <v>0</v>
      </c>
      <c r="E228" t="b">
        <v>0</v>
      </c>
    </row>
    <row r="229" spans="1:11" x14ac:dyDescent="0.25">
      <c r="A229" t="s">
        <v>275</v>
      </c>
      <c r="B229" t="s">
        <v>294</v>
      </c>
      <c r="C229" t="s">
        <v>157</v>
      </c>
      <c r="D229" t="b">
        <v>0</v>
      </c>
      <c r="E229" t="b">
        <v>0</v>
      </c>
      <c r="G229" t="s">
        <v>71</v>
      </c>
      <c r="H229" t="s">
        <v>294</v>
      </c>
      <c r="I229" t="s">
        <v>157</v>
      </c>
      <c r="J229" t="b">
        <v>0</v>
      </c>
      <c r="K229" t="b">
        <v>0</v>
      </c>
    </row>
    <row r="230" spans="1:11" x14ac:dyDescent="0.25">
      <c r="A230" t="s">
        <v>275</v>
      </c>
      <c r="B230" t="s">
        <v>198</v>
      </c>
      <c r="C230" t="s">
        <v>157</v>
      </c>
      <c r="D230" t="b">
        <v>0</v>
      </c>
      <c r="E230" t="b">
        <v>0</v>
      </c>
      <c r="G230" t="s">
        <v>71</v>
      </c>
      <c r="H230" t="s">
        <v>198</v>
      </c>
      <c r="I230" t="s">
        <v>157</v>
      </c>
      <c r="J230" t="b">
        <v>0</v>
      </c>
      <c r="K230" t="b">
        <v>0</v>
      </c>
    </row>
    <row r="231" spans="1:11" x14ac:dyDescent="0.25">
      <c r="A231" t="s">
        <v>275</v>
      </c>
      <c r="B231" t="s">
        <v>199</v>
      </c>
      <c r="C231" t="s">
        <v>160</v>
      </c>
      <c r="D231" t="b">
        <v>0</v>
      </c>
      <c r="E231" t="b">
        <v>0</v>
      </c>
    </row>
    <row r="232" spans="1:11" x14ac:dyDescent="0.25">
      <c r="A232" t="s">
        <v>275</v>
      </c>
      <c r="B232" t="s">
        <v>200</v>
      </c>
      <c r="C232" t="s">
        <v>157</v>
      </c>
      <c r="D232" t="b">
        <v>0</v>
      </c>
      <c r="E232" t="b">
        <v>0</v>
      </c>
      <c r="G232" t="s">
        <v>71</v>
      </c>
      <c r="H232" t="s">
        <v>200</v>
      </c>
      <c r="I232" t="s">
        <v>157</v>
      </c>
      <c r="J232" t="b">
        <v>0</v>
      </c>
      <c r="K232" t="b">
        <v>0</v>
      </c>
    </row>
    <row r="233" spans="1:11" x14ac:dyDescent="0.25">
      <c r="A233" t="s">
        <v>275</v>
      </c>
      <c r="B233" t="s">
        <v>203</v>
      </c>
      <c r="C233" t="s">
        <v>154</v>
      </c>
      <c r="D233" t="b">
        <v>0</v>
      </c>
      <c r="E233" t="b">
        <v>0</v>
      </c>
      <c r="G233" t="s">
        <v>71</v>
      </c>
      <c r="H233" t="s">
        <v>203</v>
      </c>
      <c r="I233" t="s">
        <v>154</v>
      </c>
      <c r="J233" t="b">
        <v>0</v>
      </c>
      <c r="K233" t="b">
        <v>0</v>
      </c>
    </row>
    <row r="234" spans="1:11" x14ac:dyDescent="0.25">
      <c r="A234" t="s">
        <v>275</v>
      </c>
      <c r="B234" t="s">
        <v>295</v>
      </c>
      <c r="C234" t="s">
        <v>157</v>
      </c>
      <c r="D234" t="b">
        <v>0</v>
      </c>
      <c r="E234" t="b">
        <v>0</v>
      </c>
      <c r="G234" t="s">
        <v>71</v>
      </c>
      <c r="H234" t="s">
        <v>295</v>
      </c>
      <c r="I234" t="s">
        <v>157</v>
      </c>
      <c r="J234" t="b">
        <v>0</v>
      </c>
      <c r="K234" t="b">
        <v>0</v>
      </c>
    </row>
    <row r="235" spans="1:11" x14ac:dyDescent="0.25">
      <c r="A235" t="s">
        <v>275</v>
      </c>
      <c r="B235" t="s">
        <v>207</v>
      </c>
      <c r="C235" t="s">
        <v>157</v>
      </c>
      <c r="D235" t="b">
        <v>0</v>
      </c>
      <c r="E235" t="b">
        <v>0</v>
      </c>
      <c r="G235" t="s">
        <v>71</v>
      </c>
      <c r="H235" t="s">
        <v>207</v>
      </c>
      <c r="I235" t="s">
        <v>157</v>
      </c>
      <c r="J235" t="b">
        <v>0</v>
      </c>
      <c r="K235" t="b">
        <v>0</v>
      </c>
    </row>
    <row r="236" spans="1:11" x14ac:dyDescent="0.25">
      <c r="A236" t="s">
        <v>275</v>
      </c>
      <c r="B236" t="s">
        <v>208</v>
      </c>
      <c r="C236" t="s">
        <v>157</v>
      </c>
      <c r="D236" t="b">
        <v>0</v>
      </c>
      <c r="E236" t="b">
        <v>0</v>
      </c>
      <c r="G236" t="s">
        <v>71</v>
      </c>
      <c r="H236" t="s">
        <v>208</v>
      </c>
      <c r="I236" t="s">
        <v>157</v>
      </c>
      <c r="J236" t="b">
        <v>0</v>
      </c>
      <c r="K236" t="b">
        <v>0</v>
      </c>
    </row>
    <row r="237" spans="1:11" x14ac:dyDescent="0.25">
      <c r="A237" t="s">
        <v>275</v>
      </c>
      <c r="B237" t="s">
        <v>214</v>
      </c>
      <c r="C237" t="s">
        <v>157</v>
      </c>
      <c r="D237" t="b">
        <v>0</v>
      </c>
      <c r="E237" t="b">
        <v>0</v>
      </c>
      <c r="G237" t="s">
        <v>71</v>
      </c>
      <c r="H237" t="s">
        <v>214</v>
      </c>
      <c r="I237" t="s">
        <v>157</v>
      </c>
      <c r="J237" t="b">
        <v>0</v>
      </c>
      <c r="K237" t="b">
        <v>0</v>
      </c>
    </row>
    <row r="238" spans="1:11" x14ac:dyDescent="0.25">
      <c r="A238" t="s">
        <v>275</v>
      </c>
      <c r="B238" t="s">
        <v>215</v>
      </c>
      <c r="C238" t="s">
        <v>205</v>
      </c>
      <c r="D238" t="b">
        <v>0</v>
      </c>
      <c r="E238" t="b">
        <v>0</v>
      </c>
      <c r="G238" t="s">
        <v>71</v>
      </c>
      <c r="H238" t="s">
        <v>215</v>
      </c>
      <c r="I238" t="s">
        <v>205</v>
      </c>
      <c r="J238" t="b">
        <v>0</v>
      </c>
      <c r="K238" t="b">
        <v>0</v>
      </c>
    </row>
    <row r="239" spans="1:11" x14ac:dyDescent="0.25">
      <c r="A239" t="s">
        <v>275</v>
      </c>
      <c r="B239" t="s">
        <v>216</v>
      </c>
      <c r="C239" t="s">
        <v>154</v>
      </c>
      <c r="D239" t="b">
        <v>0</v>
      </c>
      <c r="E239" t="b">
        <v>0</v>
      </c>
      <c r="G239" t="s">
        <v>71</v>
      </c>
      <c r="H239" t="s">
        <v>216</v>
      </c>
      <c r="I239" t="s">
        <v>154</v>
      </c>
      <c r="J239" t="b">
        <v>0</v>
      </c>
      <c r="K239" t="b">
        <v>0</v>
      </c>
    </row>
    <row r="240" spans="1:11" x14ac:dyDescent="0.25">
      <c r="A240" t="s">
        <v>275</v>
      </c>
      <c r="B240" t="s">
        <v>217</v>
      </c>
      <c r="C240" t="s">
        <v>205</v>
      </c>
      <c r="D240" t="b">
        <v>0</v>
      </c>
      <c r="E240" t="b">
        <v>0</v>
      </c>
    </row>
    <row r="241" spans="1:11" x14ac:dyDescent="0.25">
      <c r="A241" t="s">
        <v>275</v>
      </c>
      <c r="B241" t="s">
        <v>218</v>
      </c>
      <c r="C241" t="s">
        <v>157</v>
      </c>
      <c r="D241" t="b">
        <v>0</v>
      </c>
      <c r="E241" t="b">
        <v>0</v>
      </c>
    </row>
    <row r="242" spans="1:11" x14ac:dyDescent="0.25">
      <c r="A242" t="s">
        <v>275</v>
      </c>
      <c r="B242" t="s">
        <v>219</v>
      </c>
      <c r="C242" t="s">
        <v>157</v>
      </c>
      <c r="D242" t="b">
        <v>0</v>
      </c>
      <c r="E242" t="b">
        <v>0</v>
      </c>
    </row>
    <row r="243" spans="1:11" x14ac:dyDescent="0.25">
      <c r="A243" t="s">
        <v>275</v>
      </c>
      <c r="B243" t="s">
        <v>220</v>
      </c>
      <c r="C243" t="s">
        <v>205</v>
      </c>
      <c r="D243" t="b">
        <v>0</v>
      </c>
      <c r="E243" t="b">
        <v>0</v>
      </c>
    </row>
    <row r="244" spans="1:11" x14ac:dyDescent="0.25">
      <c r="A244" t="s">
        <v>275</v>
      </c>
      <c r="B244" t="s">
        <v>221</v>
      </c>
      <c r="C244" t="s">
        <v>205</v>
      </c>
      <c r="D244" t="b">
        <v>0</v>
      </c>
      <c r="E244" t="b">
        <v>0</v>
      </c>
    </row>
    <row r="245" spans="1:11" x14ac:dyDescent="0.25">
      <c r="A245" s="2" t="s">
        <v>275</v>
      </c>
      <c r="B245" s="2" t="s">
        <v>222</v>
      </c>
      <c r="C245" s="2" t="s">
        <v>205</v>
      </c>
      <c r="D245" s="2" t="b">
        <v>0</v>
      </c>
      <c r="E245" s="2" t="b">
        <v>0</v>
      </c>
      <c r="F245" s="2"/>
      <c r="G245" s="2"/>
      <c r="H245" s="2"/>
      <c r="I245" s="2"/>
      <c r="J245" s="2"/>
      <c r="K245" s="2"/>
    </row>
    <row r="246" spans="1:11" x14ac:dyDescent="0.25">
      <c r="A246" t="s">
        <v>296</v>
      </c>
      <c r="B246" t="s">
        <v>233</v>
      </c>
      <c r="C246" t="s">
        <v>157</v>
      </c>
      <c r="D246" t="b">
        <v>0</v>
      </c>
      <c r="E246" t="b">
        <v>0</v>
      </c>
      <c r="G246" t="s">
        <v>81</v>
      </c>
      <c r="H246" t="s">
        <v>233</v>
      </c>
      <c r="I246" t="s">
        <v>157</v>
      </c>
      <c r="J246" t="b">
        <v>0</v>
      </c>
      <c r="K246" t="b">
        <v>0</v>
      </c>
    </row>
    <row r="247" spans="1:11" s="2" customFormat="1" x14ac:dyDescent="0.25">
      <c r="A247" t="s">
        <v>296</v>
      </c>
      <c r="B247" t="s">
        <v>273</v>
      </c>
      <c r="C247" t="s">
        <v>157</v>
      </c>
      <c r="D247" t="b">
        <v>0</v>
      </c>
      <c r="E247" t="b">
        <v>0</v>
      </c>
      <c r="G247" t="s">
        <v>81</v>
      </c>
      <c r="H247" t="s">
        <v>273</v>
      </c>
      <c r="I247" t="s">
        <v>157</v>
      </c>
      <c r="J247" t="b">
        <v>0</v>
      </c>
      <c r="K247" t="b">
        <v>0</v>
      </c>
    </row>
    <row r="248" spans="1:11" x14ac:dyDescent="0.25">
      <c r="A248" t="s">
        <v>296</v>
      </c>
      <c r="B248" t="s">
        <v>297</v>
      </c>
      <c r="C248" t="s">
        <v>164</v>
      </c>
      <c r="D248" t="b">
        <v>0</v>
      </c>
      <c r="E248" t="b">
        <v>0</v>
      </c>
      <c r="G248" t="s">
        <v>81</v>
      </c>
      <c r="H248" t="s">
        <v>297</v>
      </c>
      <c r="I248" t="s">
        <v>164</v>
      </c>
      <c r="J248" t="b">
        <v>0</v>
      </c>
      <c r="K248" t="b">
        <v>0</v>
      </c>
    </row>
    <row r="249" spans="1:11" x14ac:dyDescent="0.25">
      <c r="A249" t="s">
        <v>296</v>
      </c>
      <c r="B249" t="s">
        <v>298</v>
      </c>
      <c r="C249" t="s">
        <v>164</v>
      </c>
      <c r="D249" t="b">
        <v>0</v>
      </c>
      <c r="E249" t="b">
        <v>0</v>
      </c>
      <c r="G249" t="s">
        <v>81</v>
      </c>
      <c r="H249" t="s">
        <v>298</v>
      </c>
      <c r="I249" t="s">
        <v>164</v>
      </c>
      <c r="J249" t="b">
        <v>0</v>
      </c>
      <c r="K249" t="b">
        <v>0</v>
      </c>
    </row>
    <row r="250" spans="1:11" x14ac:dyDescent="0.25">
      <c r="A250" t="s">
        <v>296</v>
      </c>
      <c r="B250" t="s">
        <v>274</v>
      </c>
      <c r="C250" t="s">
        <v>157</v>
      </c>
      <c r="D250" t="b">
        <v>0</v>
      </c>
      <c r="E250" t="b">
        <v>0</v>
      </c>
      <c r="G250" t="s">
        <v>81</v>
      </c>
      <c r="H250" t="s">
        <v>274</v>
      </c>
      <c r="I250" t="s">
        <v>157</v>
      </c>
      <c r="J250" t="b">
        <v>0</v>
      </c>
      <c r="K250" t="b">
        <v>0</v>
      </c>
    </row>
    <row r="251" spans="1:11" x14ac:dyDescent="0.25">
      <c r="A251" t="s">
        <v>296</v>
      </c>
      <c r="B251" t="s">
        <v>299</v>
      </c>
      <c r="C251" t="s">
        <v>182</v>
      </c>
      <c r="D251" t="b">
        <v>0</v>
      </c>
      <c r="E251" t="b">
        <v>0</v>
      </c>
      <c r="G251" t="s">
        <v>81</v>
      </c>
      <c r="H251" t="s">
        <v>299</v>
      </c>
      <c r="I251" t="s">
        <v>182</v>
      </c>
      <c r="J251" t="b">
        <v>0</v>
      </c>
      <c r="K251" t="b">
        <v>0</v>
      </c>
    </row>
    <row r="252" spans="1:11" x14ac:dyDescent="0.25">
      <c r="A252" t="s">
        <v>296</v>
      </c>
      <c r="B252" t="s">
        <v>179</v>
      </c>
      <c r="C252" t="s">
        <v>157</v>
      </c>
      <c r="D252" t="b">
        <v>1</v>
      </c>
      <c r="E252" t="b">
        <v>1</v>
      </c>
      <c r="G252" t="s">
        <v>81</v>
      </c>
      <c r="H252" t="s">
        <v>179</v>
      </c>
      <c r="I252" t="s">
        <v>157</v>
      </c>
      <c r="J252" t="b">
        <v>1</v>
      </c>
      <c r="K252" t="b">
        <v>0</v>
      </c>
    </row>
    <row r="253" spans="1:11" x14ac:dyDescent="0.25">
      <c r="A253" t="s">
        <v>296</v>
      </c>
      <c r="B253" t="s">
        <v>180</v>
      </c>
      <c r="C253" t="s">
        <v>160</v>
      </c>
      <c r="D253" t="b">
        <v>0</v>
      </c>
      <c r="E253" t="b">
        <v>0</v>
      </c>
    </row>
    <row r="254" spans="1:11" x14ac:dyDescent="0.25">
      <c r="A254" t="s">
        <v>296</v>
      </c>
      <c r="B254" t="s">
        <v>208</v>
      </c>
      <c r="C254" t="s">
        <v>157</v>
      </c>
      <c r="D254" t="b">
        <v>0</v>
      </c>
      <c r="E254" t="b">
        <v>0</v>
      </c>
      <c r="G254" t="s">
        <v>81</v>
      </c>
      <c r="H254" t="s">
        <v>208</v>
      </c>
      <c r="I254" t="s">
        <v>157</v>
      </c>
      <c r="J254" t="b">
        <v>0</v>
      </c>
      <c r="K254" t="b">
        <v>0</v>
      </c>
    </row>
    <row r="255" spans="1:11" x14ac:dyDescent="0.25">
      <c r="A255" t="s">
        <v>296</v>
      </c>
      <c r="B255" t="s">
        <v>300</v>
      </c>
      <c r="C255" t="s">
        <v>157</v>
      </c>
      <c r="D255" t="b">
        <v>0</v>
      </c>
      <c r="E255" t="b">
        <v>0</v>
      </c>
      <c r="G255" t="s">
        <v>81</v>
      </c>
      <c r="H255" t="s">
        <v>300</v>
      </c>
      <c r="I255" t="s">
        <v>157</v>
      </c>
      <c r="J255" t="b">
        <v>0</v>
      </c>
      <c r="K255" t="b">
        <v>0</v>
      </c>
    </row>
    <row r="256" spans="1:11" x14ac:dyDescent="0.25">
      <c r="A256" t="s">
        <v>296</v>
      </c>
      <c r="B256" t="s">
        <v>214</v>
      </c>
      <c r="C256" t="s">
        <v>157</v>
      </c>
      <c r="D256" t="b">
        <v>0</v>
      </c>
      <c r="E256" t="b">
        <v>0</v>
      </c>
      <c r="G256" t="s">
        <v>81</v>
      </c>
      <c r="H256" t="s">
        <v>214</v>
      </c>
      <c r="I256" t="s">
        <v>157</v>
      </c>
      <c r="J256" t="b">
        <v>0</v>
      </c>
      <c r="K256" t="b">
        <v>0</v>
      </c>
    </row>
    <row r="257" spans="1:11" x14ac:dyDescent="0.25">
      <c r="A257" t="s">
        <v>296</v>
      </c>
      <c r="B257" t="s">
        <v>215</v>
      </c>
      <c r="C257" t="s">
        <v>205</v>
      </c>
      <c r="D257" t="b">
        <v>0</v>
      </c>
      <c r="E257" t="b">
        <v>0</v>
      </c>
      <c r="G257" t="s">
        <v>81</v>
      </c>
      <c r="H257" t="s">
        <v>215</v>
      </c>
      <c r="I257" t="s">
        <v>205</v>
      </c>
      <c r="J257" t="b">
        <v>0</v>
      </c>
      <c r="K257" t="b">
        <v>0</v>
      </c>
    </row>
    <row r="258" spans="1:11" x14ac:dyDescent="0.25">
      <c r="A258" t="s">
        <v>296</v>
      </c>
      <c r="B258" t="s">
        <v>216</v>
      </c>
      <c r="C258" t="s">
        <v>154</v>
      </c>
      <c r="D258" t="b">
        <v>0</v>
      </c>
      <c r="E258" t="b">
        <v>0</v>
      </c>
      <c r="G258" t="s">
        <v>81</v>
      </c>
      <c r="H258" t="s">
        <v>216</v>
      </c>
      <c r="I258" t="s">
        <v>154</v>
      </c>
      <c r="J258" t="b">
        <v>0</v>
      </c>
      <c r="K258" t="b">
        <v>0</v>
      </c>
    </row>
    <row r="259" spans="1:11" x14ac:dyDescent="0.25">
      <c r="A259" t="s">
        <v>296</v>
      </c>
      <c r="B259" t="s">
        <v>217</v>
      </c>
      <c r="C259" t="s">
        <v>205</v>
      </c>
      <c r="D259" t="b">
        <v>0</v>
      </c>
      <c r="E259" t="b">
        <v>0</v>
      </c>
    </row>
    <row r="260" spans="1:11" x14ac:dyDescent="0.25">
      <c r="A260" t="s">
        <v>296</v>
      </c>
      <c r="B260" t="s">
        <v>218</v>
      </c>
      <c r="C260" t="s">
        <v>157</v>
      </c>
      <c r="D260" t="b">
        <v>0</v>
      </c>
      <c r="E260" t="b">
        <v>0</v>
      </c>
    </row>
    <row r="261" spans="1:11" x14ac:dyDescent="0.25">
      <c r="A261" t="s">
        <v>296</v>
      </c>
      <c r="B261" t="s">
        <v>219</v>
      </c>
      <c r="C261" t="s">
        <v>157</v>
      </c>
      <c r="D261" t="b">
        <v>0</v>
      </c>
      <c r="E261" t="b">
        <v>0</v>
      </c>
    </row>
    <row r="262" spans="1:11" x14ac:dyDescent="0.25">
      <c r="A262" t="s">
        <v>296</v>
      </c>
      <c r="B262" t="s">
        <v>220</v>
      </c>
      <c r="C262" t="s">
        <v>205</v>
      </c>
      <c r="D262" t="b">
        <v>0</v>
      </c>
      <c r="E262" t="b">
        <v>0</v>
      </c>
    </row>
    <row r="263" spans="1:11" x14ac:dyDescent="0.25">
      <c r="A263" t="s">
        <v>296</v>
      </c>
      <c r="B263" t="s">
        <v>221</v>
      </c>
      <c r="C263" t="s">
        <v>205</v>
      </c>
      <c r="D263" t="b">
        <v>0</v>
      </c>
      <c r="E263" t="b">
        <v>0</v>
      </c>
    </row>
    <row r="264" spans="1:11" x14ac:dyDescent="0.25">
      <c r="A264" s="2" t="s">
        <v>296</v>
      </c>
      <c r="B264" s="2" t="s">
        <v>222</v>
      </c>
      <c r="C264" s="2" t="s">
        <v>205</v>
      </c>
      <c r="D264" s="2" t="b">
        <v>0</v>
      </c>
      <c r="E264" s="2" t="b">
        <v>0</v>
      </c>
      <c r="F264" s="2"/>
      <c r="G264" s="2"/>
      <c r="H264" s="2"/>
      <c r="I264" s="2"/>
      <c r="J264" s="2"/>
      <c r="K264" s="2"/>
    </row>
    <row r="265" spans="1:11" x14ac:dyDescent="0.25">
      <c r="A265" t="s">
        <v>301</v>
      </c>
      <c r="B265" t="s">
        <v>233</v>
      </c>
      <c r="C265" t="s">
        <v>157</v>
      </c>
      <c r="D265" t="b">
        <v>0</v>
      </c>
      <c r="E265" t="b">
        <v>0</v>
      </c>
      <c r="G265" t="s">
        <v>86</v>
      </c>
      <c r="H265" t="s">
        <v>233</v>
      </c>
      <c r="I265" t="s">
        <v>157</v>
      </c>
      <c r="J265" t="b">
        <v>0</v>
      </c>
      <c r="K265" t="b">
        <v>0</v>
      </c>
    </row>
    <row r="266" spans="1:11" s="2" customFormat="1" x14ac:dyDescent="0.25">
      <c r="A266" t="s">
        <v>301</v>
      </c>
      <c r="B266" t="s">
        <v>302</v>
      </c>
      <c r="C266" t="s">
        <v>164</v>
      </c>
      <c r="D266" t="b">
        <v>0</v>
      </c>
      <c r="E266" t="b">
        <v>0</v>
      </c>
      <c r="G266" t="s">
        <v>86</v>
      </c>
      <c r="H266" t="s">
        <v>302</v>
      </c>
      <c r="I266" t="s">
        <v>164</v>
      </c>
      <c r="J266" t="b">
        <v>0</v>
      </c>
      <c r="K266" t="b">
        <v>0</v>
      </c>
    </row>
    <row r="267" spans="1:11" x14ac:dyDescent="0.25">
      <c r="A267" t="s">
        <v>301</v>
      </c>
      <c r="B267" t="s">
        <v>303</v>
      </c>
      <c r="C267" t="s">
        <v>164</v>
      </c>
      <c r="D267" t="b">
        <v>0</v>
      </c>
      <c r="E267" t="b">
        <v>0</v>
      </c>
      <c r="G267" t="s">
        <v>86</v>
      </c>
      <c r="H267" t="s">
        <v>303</v>
      </c>
      <c r="I267" t="s">
        <v>164</v>
      </c>
      <c r="J267" t="b">
        <v>0</v>
      </c>
      <c r="K267" t="b">
        <v>0</v>
      </c>
    </row>
    <row r="268" spans="1:11" x14ac:dyDescent="0.25">
      <c r="A268" t="s">
        <v>301</v>
      </c>
      <c r="B268" t="s">
        <v>304</v>
      </c>
      <c r="C268" t="s">
        <v>164</v>
      </c>
      <c r="D268" t="b">
        <v>0</v>
      </c>
      <c r="E268" t="b">
        <v>0</v>
      </c>
      <c r="G268" t="s">
        <v>86</v>
      </c>
      <c r="H268" t="s">
        <v>304</v>
      </c>
      <c r="I268" t="s">
        <v>164</v>
      </c>
      <c r="J268" t="b">
        <v>0</v>
      </c>
      <c r="K268" t="b">
        <v>0</v>
      </c>
    </row>
    <row r="269" spans="1:11" x14ac:dyDescent="0.25">
      <c r="A269" t="s">
        <v>301</v>
      </c>
      <c r="B269" t="s">
        <v>305</v>
      </c>
      <c r="C269" t="s">
        <v>164</v>
      </c>
      <c r="D269" t="b">
        <v>0</v>
      </c>
      <c r="E269" t="b">
        <v>0</v>
      </c>
      <c r="G269" t="s">
        <v>86</v>
      </c>
      <c r="H269" t="s">
        <v>305</v>
      </c>
      <c r="I269" t="s">
        <v>164</v>
      </c>
      <c r="J269" t="b">
        <v>0</v>
      </c>
      <c r="K269" t="b">
        <v>0</v>
      </c>
    </row>
    <row r="270" spans="1:11" x14ac:dyDescent="0.25">
      <c r="A270" t="s">
        <v>301</v>
      </c>
      <c r="B270" t="s">
        <v>306</v>
      </c>
      <c r="C270" t="s">
        <v>157</v>
      </c>
      <c r="D270" t="b">
        <v>0</v>
      </c>
      <c r="E270" t="b">
        <v>0</v>
      </c>
      <c r="G270" t="s">
        <v>86</v>
      </c>
      <c r="H270" t="s">
        <v>306</v>
      </c>
      <c r="I270" t="s">
        <v>157</v>
      </c>
      <c r="J270" t="b">
        <v>0</v>
      </c>
      <c r="K270" t="b">
        <v>0</v>
      </c>
    </row>
    <row r="271" spans="1:11" x14ac:dyDescent="0.25">
      <c r="A271" t="s">
        <v>301</v>
      </c>
      <c r="B271" t="s">
        <v>179</v>
      </c>
      <c r="C271" t="s">
        <v>157</v>
      </c>
      <c r="D271" t="b">
        <v>1</v>
      </c>
      <c r="E271" t="b">
        <v>1</v>
      </c>
      <c r="G271" t="s">
        <v>86</v>
      </c>
      <c r="H271" t="s">
        <v>179</v>
      </c>
      <c r="I271" t="s">
        <v>157</v>
      </c>
      <c r="J271" t="b">
        <v>1</v>
      </c>
      <c r="K271" t="b">
        <v>0</v>
      </c>
    </row>
    <row r="272" spans="1:11" x14ac:dyDescent="0.25">
      <c r="A272" t="s">
        <v>301</v>
      </c>
      <c r="B272" t="s">
        <v>181</v>
      </c>
      <c r="C272" t="s">
        <v>182</v>
      </c>
      <c r="D272" t="b">
        <v>0</v>
      </c>
      <c r="E272" t="b">
        <v>0</v>
      </c>
      <c r="G272" t="s">
        <v>86</v>
      </c>
      <c r="H272" t="s">
        <v>181</v>
      </c>
      <c r="I272" t="s">
        <v>182</v>
      </c>
      <c r="J272" t="b">
        <v>0</v>
      </c>
      <c r="K272" t="b">
        <v>0</v>
      </c>
    </row>
    <row r="273" spans="1:11" x14ac:dyDescent="0.25">
      <c r="A273" t="s">
        <v>301</v>
      </c>
      <c r="B273" t="s">
        <v>245</v>
      </c>
      <c r="C273" t="s">
        <v>157</v>
      </c>
      <c r="D273" t="b">
        <v>0</v>
      </c>
      <c r="E273" t="b">
        <v>0</v>
      </c>
      <c r="G273" t="s">
        <v>86</v>
      </c>
      <c r="H273" t="s">
        <v>245</v>
      </c>
      <c r="I273" t="s">
        <v>157</v>
      </c>
      <c r="J273" t="b">
        <v>0</v>
      </c>
      <c r="K273" t="b">
        <v>0</v>
      </c>
    </row>
    <row r="274" spans="1:11" x14ac:dyDescent="0.25">
      <c r="A274" t="s">
        <v>301</v>
      </c>
      <c r="B274" t="s">
        <v>203</v>
      </c>
      <c r="C274" t="s">
        <v>154</v>
      </c>
      <c r="D274" t="b">
        <v>0</v>
      </c>
      <c r="E274" t="b">
        <v>0</v>
      </c>
      <c r="G274" t="s">
        <v>86</v>
      </c>
      <c r="H274" t="s">
        <v>203</v>
      </c>
      <c r="I274" t="s">
        <v>154</v>
      </c>
      <c r="J274" t="b">
        <v>0</v>
      </c>
      <c r="K274" t="b">
        <v>0</v>
      </c>
    </row>
    <row r="275" spans="1:11" x14ac:dyDescent="0.25">
      <c r="A275" t="s">
        <v>301</v>
      </c>
      <c r="B275" t="s">
        <v>208</v>
      </c>
      <c r="C275" t="s">
        <v>157</v>
      </c>
      <c r="D275" t="b">
        <v>0</v>
      </c>
      <c r="E275" t="b">
        <v>0</v>
      </c>
      <c r="G275" t="s">
        <v>86</v>
      </c>
      <c r="H275" t="s">
        <v>208</v>
      </c>
      <c r="I275" t="s">
        <v>157</v>
      </c>
      <c r="J275" t="b">
        <v>0</v>
      </c>
      <c r="K275" t="b">
        <v>0</v>
      </c>
    </row>
    <row r="276" spans="1:11" x14ac:dyDescent="0.25">
      <c r="A276" t="s">
        <v>301</v>
      </c>
      <c r="B276" t="s">
        <v>214</v>
      </c>
      <c r="C276" t="s">
        <v>157</v>
      </c>
      <c r="D276" t="b">
        <v>0</v>
      </c>
      <c r="E276" t="b">
        <v>0</v>
      </c>
      <c r="G276" t="s">
        <v>86</v>
      </c>
      <c r="H276" t="s">
        <v>214</v>
      </c>
      <c r="I276" t="s">
        <v>157</v>
      </c>
      <c r="J276" t="b">
        <v>0</v>
      </c>
      <c r="K276" t="b">
        <v>0</v>
      </c>
    </row>
    <row r="277" spans="1:11" x14ac:dyDescent="0.25">
      <c r="A277" t="s">
        <v>301</v>
      </c>
      <c r="B277" t="s">
        <v>215</v>
      </c>
      <c r="C277" t="s">
        <v>205</v>
      </c>
      <c r="D277" t="b">
        <v>0</v>
      </c>
      <c r="E277" t="b">
        <v>0</v>
      </c>
      <c r="G277" t="s">
        <v>86</v>
      </c>
      <c r="H277" t="s">
        <v>215</v>
      </c>
      <c r="I277" t="s">
        <v>205</v>
      </c>
      <c r="J277" t="b">
        <v>0</v>
      </c>
      <c r="K277" t="b">
        <v>0</v>
      </c>
    </row>
    <row r="278" spans="1:11" x14ac:dyDescent="0.25">
      <c r="A278" t="s">
        <v>301</v>
      </c>
      <c r="B278" t="s">
        <v>216</v>
      </c>
      <c r="C278" t="s">
        <v>154</v>
      </c>
      <c r="D278" t="b">
        <v>0</v>
      </c>
      <c r="E278" t="b">
        <v>0</v>
      </c>
      <c r="G278" t="s">
        <v>86</v>
      </c>
      <c r="H278" t="s">
        <v>216</v>
      </c>
      <c r="I278" t="s">
        <v>154</v>
      </c>
      <c r="J278" t="b">
        <v>0</v>
      </c>
      <c r="K278" t="b">
        <v>0</v>
      </c>
    </row>
    <row r="279" spans="1:11" x14ac:dyDescent="0.25">
      <c r="A279" t="s">
        <v>301</v>
      </c>
      <c r="B279" t="s">
        <v>217</v>
      </c>
      <c r="C279" t="s">
        <v>205</v>
      </c>
      <c r="D279" t="b">
        <v>0</v>
      </c>
      <c r="E279" t="b">
        <v>0</v>
      </c>
    </row>
    <row r="280" spans="1:11" x14ac:dyDescent="0.25">
      <c r="A280" t="s">
        <v>301</v>
      </c>
      <c r="B280" t="s">
        <v>218</v>
      </c>
      <c r="C280" t="s">
        <v>157</v>
      </c>
      <c r="D280" t="b">
        <v>0</v>
      </c>
      <c r="E280" t="b">
        <v>0</v>
      </c>
    </row>
    <row r="281" spans="1:11" x14ac:dyDescent="0.25">
      <c r="A281" t="s">
        <v>301</v>
      </c>
      <c r="B281" t="s">
        <v>219</v>
      </c>
      <c r="C281" t="s">
        <v>157</v>
      </c>
      <c r="D281" t="b">
        <v>0</v>
      </c>
      <c r="E281" t="b">
        <v>0</v>
      </c>
    </row>
    <row r="282" spans="1:11" x14ac:dyDescent="0.25">
      <c r="A282" t="s">
        <v>301</v>
      </c>
      <c r="B282" t="s">
        <v>220</v>
      </c>
      <c r="C282" t="s">
        <v>205</v>
      </c>
      <c r="D282" t="b">
        <v>0</v>
      </c>
      <c r="E282" t="b">
        <v>0</v>
      </c>
    </row>
    <row r="283" spans="1:11" x14ac:dyDescent="0.25">
      <c r="A283" t="s">
        <v>301</v>
      </c>
      <c r="B283" t="s">
        <v>221</v>
      </c>
      <c r="C283" t="s">
        <v>205</v>
      </c>
      <c r="D283" t="b">
        <v>0</v>
      </c>
      <c r="E283" t="b">
        <v>0</v>
      </c>
    </row>
    <row r="284" spans="1:11" x14ac:dyDescent="0.25">
      <c r="A284" s="2" t="s">
        <v>301</v>
      </c>
      <c r="B284" s="2" t="s">
        <v>222</v>
      </c>
      <c r="C284" s="2" t="s">
        <v>205</v>
      </c>
      <c r="D284" s="2" t="b">
        <v>0</v>
      </c>
      <c r="E284" s="2" t="b">
        <v>0</v>
      </c>
      <c r="F284" s="2"/>
      <c r="G284" s="2"/>
      <c r="H284" s="2"/>
      <c r="I284" s="2"/>
      <c r="J284" s="2"/>
      <c r="K284" s="2"/>
    </row>
    <row r="285" spans="1:11" x14ac:dyDescent="0.25">
      <c r="A285" t="s">
        <v>307</v>
      </c>
      <c r="B285" t="s">
        <v>249</v>
      </c>
      <c r="C285" t="s">
        <v>250</v>
      </c>
      <c r="D285" t="b">
        <v>0</v>
      </c>
      <c r="E285" t="b">
        <v>0</v>
      </c>
      <c r="G285" t="s">
        <v>96</v>
      </c>
      <c r="H285" t="s">
        <v>249</v>
      </c>
      <c r="I285" t="s">
        <v>250</v>
      </c>
      <c r="J285" t="b">
        <v>0</v>
      </c>
      <c r="K285" t="b">
        <v>0</v>
      </c>
    </row>
    <row r="286" spans="1:11" s="2" customFormat="1" x14ac:dyDescent="0.25">
      <c r="A286" t="s">
        <v>307</v>
      </c>
      <c r="B286" t="s">
        <v>162</v>
      </c>
      <c r="C286" t="s">
        <v>157</v>
      </c>
      <c r="D286" t="b">
        <v>0</v>
      </c>
      <c r="E286" t="b">
        <v>0</v>
      </c>
      <c r="G286" t="s">
        <v>96</v>
      </c>
      <c r="H286" t="s">
        <v>162</v>
      </c>
      <c r="I286" t="s">
        <v>157</v>
      </c>
      <c r="J286" t="b">
        <v>0</v>
      </c>
      <c r="K286" t="b">
        <v>0</v>
      </c>
    </row>
    <row r="287" spans="1:11" x14ac:dyDescent="0.25">
      <c r="A287" t="s">
        <v>307</v>
      </c>
      <c r="B287" t="s">
        <v>165</v>
      </c>
      <c r="C287" t="s">
        <v>157</v>
      </c>
      <c r="D287" t="b">
        <v>0</v>
      </c>
      <c r="E287" t="b">
        <v>0</v>
      </c>
      <c r="G287" t="s">
        <v>96</v>
      </c>
      <c r="H287" t="s">
        <v>165</v>
      </c>
      <c r="I287" t="s">
        <v>157</v>
      </c>
      <c r="J287" t="b">
        <v>0</v>
      </c>
      <c r="K287" t="b">
        <v>0</v>
      </c>
    </row>
    <row r="288" spans="1:11" x14ac:dyDescent="0.25">
      <c r="A288" t="s">
        <v>307</v>
      </c>
      <c r="B288" t="s">
        <v>166</v>
      </c>
      <c r="C288" t="s">
        <v>160</v>
      </c>
      <c r="D288" t="b">
        <v>0</v>
      </c>
      <c r="E288" t="b">
        <v>0</v>
      </c>
    </row>
    <row r="289" spans="1:11" x14ac:dyDescent="0.25">
      <c r="A289" t="s">
        <v>307</v>
      </c>
      <c r="B289" t="s">
        <v>308</v>
      </c>
      <c r="C289" t="s">
        <v>157</v>
      </c>
      <c r="D289" t="b">
        <v>0</v>
      </c>
      <c r="E289" t="b">
        <v>0</v>
      </c>
      <c r="G289" t="s">
        <v>96</v>
      </c>
      <c r="H289" t="s">
        <v>308</v>
      </c>
      <c r="I289" t="s">
        <v>157</v>
      </c>
      <c r="J289" t="b">
        <v>0</v>
      </c>
      <c r="K289" t="b">
        <v>0</v>
      </c>
    </row>
    <row r="290" spans="1:11" x14ac:dyDescent="0.25">
      <c r="A290" t="s">
        <v>307</v>
      </c>
      <c r="B290" t="s">
        <v>167</v>
      </c>
      <c r="C290" t="s">
        <v>157</v>
      </c>
      <c r="D290" t="b">
        <v>0</v>
      </c>
      <c r="E290" t="b">
        <v>0</v>
      </c>
      <c r="G290" t="s">
        <v>96</v>
      </c>
      <c r="H290" t="s">
        <v>167</v>
      </c>
      <c r="I290" t="s">
        <v>157</v>
      </c>
      <c r="J290" t="b">
        <v>0</v>
      </c>
      <c r="K290" t="b">
        <v>0</v>
      </c>
    </row>
    <row r="291" spans="1:11" x14ac:dyDescent="0.25">
      <c r="A291" t="s">
        <v>307</v>
      </c>
      <c r="B291" t="s">
        <v>168</v>
      </c>
      <c r="C291" t="s">
        <v>157</v>
      </c>
      <c r="D291" t="b">
        <v>0</v>
      </c>
      <c r="E291" t="b">
        <v>0</v>
      </c>
      <c r="G291" t="s">
        <v>96</v>
      </c>
      <c r="H291" t="s">
        <v>168</v>
      </c>
      <c r="I291" t="s">
        <v>157</v>
      </c>
      <c r="J291" t="b">
        <v>0</v>
      </c>
      <c r="K291" t="b">
        <v>0</v>
      </c>
    </row>
    <row r="292" spans="1:11" x14ac:dyDescent="0.25">
      <c r="A292" t="s">
        <v>307</v>
      </c>
      <c r="B292" t="s">
        <v>309</v>
      </c>
      <c r="C292" t="s">
        <v>154</v>
      </c>
      <c r="D292" t="b">
        <v>0</v>
      </c>
      <c r="E292" t="b">
        <v>0</v>
      </c>
      <c r="G292" t="s">
        <v>96</v>
      </c>
      <c r="H292" t="s">
        <v>309</v>
      </c>
      <c r="I292" t="s">
        <v>154</v>
      </c>
      <c r="J292" t="b">
        <v>0</v>
      </c>
      <c r="K292" t="b">
        <v>0</v>
      </c>
    </row>
    <row r="293" spans="1:11" x14ac:dyDescent="0.25">
      <c r="A293" t="s">
        <v>307</v>
      </c>
      <c r="B293" t="s">
        <v>279</v>
      </c>
      <c r="C293" t="s">
        <v>157</v>
      </c>
      <c r="D293" t="b">
        <v>0</v>
      </c>
      <c r="E293" t="b">
        <v>0</v>
      </c>
      <c r="G293" t="s">
        <v>96</v>
      </c>
      <c r="H293" t="s">
        <v>279</v>
      </c>
      <c r="I293" t="s">
        <v>157</v>
      </c>
      <c r="J293" t="b">
        <v>0</v>
      </c>
      <c r="K293" t="b">
        <v>0</v>
      </c>
    </row>
    <row r="294" spans="1:11" x14ac:dyDescent="0.25">
      <c r="A294" t="s">
        <v>307</v>
      </c>
      <c r="B294" t="s">
        <v>310</v>
      </c>
      <c r="C294" t="s">
        <v>157</v>
      </c>
      <c r="D294" t="b">
        <v>0</v>
      </c>
      <c r="E294" t="b">
        <v>0</v>
      </c>
      <c r="G294" t="s">
        <v>96</v>
      </c>
      <c r="H294" t="s">
        <v>310</v>
      </c>
      <c r="I294" t="s">
        <v>157</v>
      </c>
      <c r="J294" t="b">
        <v>0</v>
      </c>
      <c r="K294" t="b">
        <v>0</v>
      </c>
    </row>
    <row r="295" spans="1:11" x14ac:dyDescent="0.25">
      <c r="A295" t="s">
        <v>307</v>
      </c>
      <c r="B295" t="s">
        <v>169</v>
      </c>
      <c r="C295" t="s">
        <v>154</v>
      </c>
      <c r="D295" t="b">
        <v>0</v>
      </c>
      <c r="E295" t="b">
        <v>0</v>
      </c>
      <c r="G295" t="s">
        <v>96</v>
      </c>
      <c r="H295" t="s">
        <v>169</v>
      </c>
      <c r="I295" t="s">
        <v>154</v>
      </c>
      <c r="J295" t="b">
        <v>0</v>
      </c>
      <c r="K295" t="b">
        <v>0</v>
      </c>
    </row>
    <row r="296" spans="1:11" x14ac:dyDescent="0.25">
      <c r="A296" t="s">
        <v>307</v>
      </c>
      <c r="B296" t="s">
        <v>252</v>
      </c>
      <c r="C296" t="s">
        <v>157</v>
      </c>
      <c r="D296" t="b">
        <v>0</v>
      </c>
      <c r="E296" t="b">
        <v>0</v>
      </c>
      <c r="G296" t="s">
        <v>96</v>
      </c>
      <c r="H296" t="s">
        <v>252</v>
      </c>
      <c r="I296" t="s">
        <v>157</v>
      </c>
      <c r="J296" t="b">
        <v>0</v>
      </c>
      <c r="K296" t="b">
        <v>0</v>
      </c>
    </row>
    <row r="297" spans="1:11" x14ac:dyDescent="0.25">
      <c r="A297" t="s">
        <v>307</v>
      </c>
      <c r="B297" t="s">
        <v>311</v>
      </c>
      <c r="C297" t="s">
        <v>154</v>
      </c>
      <c r="D297" t="b">
        <v>0</v>
      </c>
      <c r="E297" t="b">
        <v>0</v>
      </c>
      <c r="G297" t="s">
        <v>96</v>
      </c>
      <c r="H297" t="s">
        <v>311</v>
      </c>
      <c r="I297" t="s">
        <v>154</v>
      </c>
      <c r="J297" t="b">
        <v>0</v>
      </c>
      <c r="K297" t="b">
        <v>0</v>
      </c>
    </row>
    <row r="298" spans="1:11" x14ac:dyDescent="0.25">
      <c r="A298" t="s">
        <v>307</v>
      </c>
      <c r="B298" t="s">
        <v>170</v>
      </c>
      <c r="C298" t="s">
        <v>157</v>
      </c>
      <c r="D298" t="b">
        <v>0</v>
      </c>
      <c r="E298" t="b">
        <v>0</v>
      </c>
      <c r="G298" t="s">
        <v>96</v>
      </c>
      <c r="H298" t="s">
        <v>170</v>
      </c>
      <c r="I298" t="s">
        <v>157</v>
      </c>
      <c r="J298" t="b">
        <v>0</v>
      </c>
      <c r="K298" t="b">
        <v>0</v>
      </c>
    </row>
    <row r="299" spans="1:11" x14ac:dyDescent="0.25">
      <c r="A299" t="s">
        <v>307</v>
      </c>
      <c r="B299" t="s">
        <v>171</v>
      </c>
      <c r="C299" t="s">
        <v>157</v>
      </c>
      <c r="D299" t="b">
        <v>0</v>
      </c>
      <c r="E299" t="b">
        <v>0</v>
      </c>
      <c r="G299" t="s">
        <v>96</v>
      </c>
      <c r="H299" t="s">
        <v>171</v>
      </c>
      <c r="I299" t="s">
        <v>157</v>
      </c>
      <c r="J299" t="b">
        <v>0</v>
      </c>
      <c r="K299" t="b">
        <v>0</v>
      </c>
    </row>
    <row r="300" spans="1:11" x14ac:dyDescent="0.25">
      <c r="A300" t="s">
        <v>307</v>
      </c>
      <c r="B300" t="s">
        <v>172</v>
      </c>
      <c r="C300" t="s">
        <v>157</v>
      </c>
      <c r="D300" t="b">
        <v>0</v>
      </c>
      <c r="E300" t="b">
        <v>0</v>
      </c>
      <c r="G300" t="s">
        <v>96</v>
      </c>
      <c r="H300" t="s">
        <v>172</v>
      </c>
      <c r="I300" t="s">
        <v>157</v>
      </c>
      <c r="J300" t="b">
        <v>0</v>
      </c>
      <c r="K300" t="b">
        <v>0</v>
      </c>
    </row>
    <row r="301" spans="1:11" x14ac:dyDescent="0.25">
      <c r="A301" t="s">
        <v>307</v>
      </c>
      <c r="B301" t="s">
        <v>173</v>
      </c>
      <c r="C301" t="s">
        <v>157</v>
      </c>
      <c r="D301" t="b">
        <v>0</v>
      </c>
      <c r="E301" t="b">
        <v>0</v>
      </c>
      <c r="G301" t="s">
        <v>96</v>
      </c>
      <c r="H301" t="s">
        <v>173</v>
      </c>
      <c r="I301" t="s">
        <v>157</v>
      </c>
      <c r="J301" t="b">
        <v>0</v>
      </c>
      <c r="K301" t="b">
        <v>0</v>
      </c>
    </row>
    <row r="302" spans="1:11" x14ac:dyDescent="0.25">
      <c r="A302" t="s">
        <v>307</v>
      </c>
      <c r="B302" t="s">
        <v>280</v>
      </c>
      <c r="C302" t="s">
        <v>250</v>
      </c>
      <c r="D302" t="b">
        <v>0</v>
      </c>
      <c r="E302" t="b">
        <v>0</v>
      </c>
      <c r="G302" t="s">
        <v>96</v>
      </c>
      <c r="H302" t="s">
        <v>280</v>
      </c>
      <c r="I302" t="s">
        <v>250</v>
      </c>
      <c r="J302" t="b">
        <v>0</v>
      </c>
      <c r="K302" t="b">
        <v>0</v>
      </c>
    </row>
    <row r="303" spans="1:11" x14ac:dyDescent="0.25">
      <c r="A303" t="s">
        <v>307</v>
      </c>
      <c r="B303" t="s">
        <v>174</v>
      </c>
      <c r="C303" t="s">
        <v>154</v>
      </c>
      <c r="D303" t="b">
        <v>0</v>
      </c>
      <c r="E303" t="b">
        <v>0</v>
      </c>
      <c r="G303" t="s">
        <v>96</v>
      </c>
      <c r="H303" t="s">
        <v>174</v>
      </c>
      <c r="I303" t="s">
        <v>154</v>
      </c>
      <c r="J303" t="b">
        <v>0</v>
      </c>
      <c r="K303" t="b">
        <v>0</v>
      </c>
    </row>
    <row r="304" spans="1:11" x14ac:dyDescent="0.25">
      <c r="A304" t="s">
        <v>307</v>
      </c>
      <c r="B304" t="s">
        <v>175</v>
      </c>
      <c r="C304" t="s">
        <v>157</v>
      </c>
      <c r="D304" t="b">
        <v>0</v>
      </c>
      <c r="E304" t="b">
        <v>0</v>
      </c>
      <c r="G304" t="s">
        <v>96</v>
      </c>
      <c r="H304" t="s">
        <v>175</v>
      </c>
      <c r="I304" t="s">
        <v>157</v>
      </c>
      <c r="J304" t="b">
        <v>0</v>
      </c>
      <c r="K304" t="b">
        <v>0</v>
      </c>
    </row>
    <row r="305" spans="1:11" x14ac:dyDescent="0.25">
      <c r="A305" t="s">
        <v>307</v>
      </c>
      <c r="B305" t="s">
        <v>176</v>
      </c>
      <c r="C305" t="s">
        <v>157</v>
      </c>
      <c r="D305" t="b">
        <v>0</v>
      </c>
      <c r="E305" t="b">
        <v>0</v>
      </c>
      <c r="G305" t="s">
        <v>96</v>
      </c>
      <c r="H305" t="s">
        <v>176</v>
      </c>
      <c r="I305" t="s">
        <v>157</v>
      </c>
      <c r="J305" t="b">
        <v>0</v>
      </c>
      <c r="K305" t="b">
        <v>0</v>
      </c>
    </row>
    <row r="306" spans="1:11" x14ac:dyDescent="0.25">
      <c r="A306" t="s">
        <v>307</v>
      </c>
      <c r="B306" t="s">
        <v>177</v>
      </c>
      <c r="C306" t="s">
        <v>157</v>
      </c>
      <c r="D306" t="b">
        <v>0</v>
      </c>
      <c r="E306" t="b">
        <v>0</v>
      </c>
      <c r="G306" t="s">
        <v>96</v>
      </c>
      <c r="H306" t="s">
        <v>177</v>
      </c>
      <c r="I306" t="s">
        <v>157</v>
      </c>
      <c r="J306" t="b">
        <v>0</v>
      </c>
      <c r="K306" t="b">
        <v>0</v>
      </c>
    </row>
    <row r="307" spans="1:11" x14ac:dyDescent="0.25">
      <c r="A307" t="s">
        <v>307</v>
      </c>
      <c r="B307" t="s">
        <v>178</v>
      </c>
      <c r="C307" t="s">
        <v>157</v>
      </c>
      <c r="D307" t="b">
        <v>0</v>
      </c>
      <c r="E307" t="b">
        <v>0</v>
      </c>
      <c r="G307" t="s">
        <v>96</v>
      </c>
      <c r="H307" t="s">
        <v>178</v>
      </c>
      <c r="I307" t="s">
        <v>157</v>
      </c>
      <c r="J307" t="b">
        <v>0</v>
      </c>
      <c r="K307" t="b">
        <v>0</v>
      </c>
    </row>
    <row r="308" spans="1:11" x14ac:dyDescent="0.25">
      <c r="A308" t="s">
        <v>307</v>
      </c>
      <c r="B308" t="s">
        <v>179</v>
      </c>
      <c r="C308" t="s">
        <v>157</v>
      </c>
      <c r="D308" t="b">
        <v>1</v>
      </c>
      <c r="E308" t="b">
        <v>1</v>
      </c>
      <c r="G308" t="s">
        <v>96</v>
      </c>
      <c r="H308" t="s">
        <v>179</v>
      </c>
      <c r="I308" t="s">
        <v>157</v>
      </c>
      <c r="J308" t="b">
        <v>1</v>
      </c>
      <c r="K308" t="b">
        <v>0</v>
      </c>
    </row>
    <row r="309" spans="1:11" x14ac:dyDescent="0.25">
      <c r="A309" t="s">
        <v>307</v>
      </c>
      <c r="B309" t="s">
        <v>180</v>
      </c>
      <c r="C309" t="s">
        <v>160</v>
      </c>
      <c r="D309" t="b">
        <v>0</v>
      </c>
      <c r="E309" t="b">
        <v>0</v>
      </c>
    </row>
    <row r="310" spans="1:11" x14ac:dyDescent="0.25">
      <c r="A310" t="s">
        <v>307</v>
      </c>
      <c r="B310" t="s">
        <v>312</v>
      </c>
      <c r="C310" t="s">
        <v>157</v>
      </c>
      <c r="D310" t="b">
        <v>0</v>
      </c>
      <c r="E310" t="b">
        <v>0</v>
      </c>
      <c r="G310" t="s">
        <v>96</v>
      </c>
      <c r="H310" t="s">
        <v>312</v>
      </c>
      <c r="I310" t="s">
        <v>157</v>
      </c>
      <c r="J310" t="b">
        <v>0</v>
      </c>
      <c r="K310" t="b">
        <v>0</v>
      </c>
    </row>
    <row r="311" spans="1:11" x14ac:dyDescent="0.25">
      <c r="A311" t="s">
        <v>307</v>
      </c>
      <c r="B311" t="s">
        <v>313</v>
      </c>
      <c r="C311" t="s">
        <v>160</v>
      </c>
      <c r="D311" t="b">
        <v>0</v>
      </c>
      <c r="E311" t="b">
        <v>0</v>
      </c>
    </row>
    <row r="312" spans="1:11" x14ac:dyDescent="0.25">
      <c r="A312" t="s">
        <v>307</v>
      </c>
      <c r="B312" t="s">
        <v>181</v>
      </c>
      <c r="C312" t="s">
        <v>182</v>
      </c>
      <c r="D312" t="b">
        <v>0</v>
      </c>
      <c r="E312" t="b">
        <v>0</v>
      </c>
      <c r="G312" t="s">
        <v>96</v>
      </c>
      <c r="H312" t="s">
        <v>181</v>
      </c>
      <c r="I312" t="s">
        <v>182</v>
      </c>
      <c r="J312" t="b">
        <v>0</v>
      </c>
      <c r="K312" t="b">
        <v>0</v>
      </c>
    </row>
    <row r="313" spans="1:11" x14ac:dyDescent="0.25">
      <c r="A313" t="s">
        <v>307</v>
      </c>
      <c r="B313" t="s">
        <v>183</v>
      </c>
      <c r="C313" t="s">
        <v>157</v>
      </c>
      <c r="D313" t="b">
        <v>0</v>
      </c>
      <c r="E313" t="b">
        <v>0</v>
      </c>
      <c r="G313" t="s">
        <v>96</v>
      </c>
      <c r="H313" t="s">
        <v>183</v>
      </c>
      <c r="I313" t="s">
        <v>157</v>
      </c>
      <c r="J313" t="b">
        <v>0</v>
      </c>
      <c r="K313" t="b">
        <v>0</v>
      </c>
    </row>
    <row r="314" spans="1:11" x14ac:dyDescent="0.25">
      <c r="A314" t="s">
        <v>307</v>
      </c>
      <c r="B314" t="s">
        <v>184</v>
      </c>
      <c r="C314" t="s">
        <v>157</v>
      </c>
      <c r="D314" t="b">
        <v>0</v>
      </c>
      <c r="E314" t="b">
        <v>0</v>
      </c>
      <c r="G314" t="s">
        <v>96</v>
      </c>
      <c r="H314" t="s">
        <v>184</v>
      </c>
      <c r="I314" t="s">
        <v>157</v>
      </c>
      <c r="J314" t="b">
        <v>0</v>
      </c>
      <c r="K314" t="b">
        <v>0</v>
      </c>
    </row>
    <row r="315" spans="1:11" x14ac:dyDescent="0.25">
      <c r="A315" t="s">
        <v>307</v>
      </c>
      <c r="B315" t="s">
        <v>185</v>
      </c>
      <c r="C315" t="s">
        <v>154</v>
      </c>
      <c r="D315" t="b">
        <v>0</v>
      </c>
      <c r="E315" t="b">
        <v>0</v>
      </c>
      <c r="G315" t="s">
        <v>96</v>
      </c>
      <c r="H315" t="s">
        <v>185</v>
      </c>
      <c r="I315" t="s">
        <v>154</v>
      </c>
      <c r="J315" t="b">
        <v>0</v>
      </c>
      <c r="K315" t="b">
        <v>0</v>
      </c>
    </row>
    <row r="316" spans="1:11" x14ac:dyDescent="0.25">
      <c r="A316" t="s">
        <v>307</v>
      </c>
      <c r="B316" t="s">
        <v>186</v>
      </c>
      <c r="C316" t="s">
        <v>157</v>
      </c>
      <c r="D316" t="b">
        <v>0</v>
      </c>
      <c r="E316" t="b">
        <v>0</v>
      </c>
      <c r="G316" t="s">
        <v>96</v>
      </c>
      <c r="H316" t="s">
        <v>186</v>
      </c>
      <c r="I316" t="s">
        <v>157</v>
      </c>
      <c r="J316" t="b">
        <v>0</v>
      </c>
      <c r="K316" t="b">
        <v>0</v>
      </c>
    </row>
    <row r="317" spans="1:11" x14ac:dyDescent="0.25">
      <c r="A317" t="s">
        <v>307</v>
      </c>
      <c r="B317" t="s">
        <v>314</v>
      </c>
      <c r="C317" t="s">
        <v>157</v>
      </c>
      <c r="D317" t="b">
        <v>0</v>
      </c>
      <c r="E317" t="b">
        <v>0</v>
      </c>
      <c r="G317" t="s">
        <v>96</v>
      </c>
      <c r="H317" t="s">
        <v>314</v>
      </c>
      <c r="I317" t="s">
        <v>157</v>
      </c>
      <c r="J317" t="b">
        <v>0</v>
      </c>
      <c r="K317" t="b">
        <v>0</v>
      </c>
    </row>
    <row r="318" spans="1:11" x14ac:dyDescent="0.25">
      <c r="A318" t="s">
        <v>307</v>
      </c>
      <c r="B318" t="s">
        <v>315</v>
      </c>
      <c r="C318" t="s">
        <v>157</v>
      </c>
      <c r="D318" t="b">
        <v>0</v>
      </c>
      <c r="E318" t="b">
        <v>0</v>
      </c>
      <c r="G318" t="s">
        <v>96</v>
      </c>
      <c r="H318" t="s">
        <v>315</v>
      </c>
      <c r="I318" t="s">
        <v>157</v>
      </c>
      <c r="J318" t="b">
        <v>0</v>
      </c>
      <c r="K318" t="b">
        <v>0</v>
      </c>
    </row>
    <row r="319" spans="1:11" x14ac:dyDescent="0.25">
      <c r="A319" t="s">
        <v>307</v>
      </c>
      <c r="B319" t="s">
        <v>316</v>
      </c>
      <c r="C319" t="s">
        <v>160</v>
      </c>
      <c r="D319" t="b">
        <v>0</v>
      </c>
      <c r="E319" t="b">
        <v>0</v>
      </c>
    </row>
    <row r="320" spans="1:11" x14ac:dyDescent="0.25">
      <c r="A320" t="s">
        <v>307</v>
      </c>
      <c r="B320" t="s">
        <v>317</v>
      </c>
      <c r="C320" t="s">
        <v>154</v>
      </c>
      <c r="D320" t="b">
        <v>0</v>
      </c>
      <c r="E320" t="b">
        <v>0</v>
      </c>
      <c r="G320" t="s">
        <v>96</v>
      </c>
      <c r="H320" t="s">
        <v>317</v>
      </c>
      <c r="I320" t="s">
        <v>154</v>
      </c>
      <c r="J320" t="b">
        <v>0</v>
      </c>
      <c r="K320" t="b">
        <v>0</v>
      </c>
    </row>
    <row r="321" spans="1:11" x14ac:dyDescent="0.25">
      <c r="A321" t="s">
        <v>307</v>
      </c>
      <c r="B321" t="s">
        <v>318</v>
      </c>
      <c r="C321" t="s">
        <v>157</v>
      </c>
      <c r="D321" t="b">
        <v>0</v>
      </c>
      <c r="E321" t="b">
        <v>0</v>
      </c>
      <c r="G321" t="s">
        <v>96</v>
      </c>
      <c r="H321" t="s">
        <v>318</v>
      </c>
      <c r="I321" t="s">
        <v>157</v>
      </c>
      <c r="J321" t="b">
        <v>0</v>
      </c>
      <c r="K321" t="b">
        <v>0</v>
      </c>
    </row>
    <row r="322" spans="1:11" x14ac:dyDescent="0.25">
      <c r="A322" t="s">
        <v>307</v>
      </c>
      <c r="B322" t="s">
        <v>319</v>
      </c>
      <c r="C322" t="s">
        <v>154</v>
      </c>
      <c r="D322" t="b">
        <v>0</v>
      </c>
      <c r="E322" t="b">
        <v>0</v>
      </c>
      <c r="G322" t="s">
        <v>96</v>
      </c>
      <c r="H322" t="s">
        <v>319</v>
      </c>
      <c r="I322" t="s">
        <v>154</v>
      </c>
      <c r="J322" t="b">
        <v>0</v>
      </c>
      <c r="K322" t="b">
        <v>0</v>
      </c>
    </row>
    <row r="323" spans="1:11" x14ac:dyDescent="0.25">
      <c r="A323" t="s">
        <v>307</v>
      </c>
      <c r="B323" t="s">
        <v>320</v>
      </c>
      <c r="C323" t="s">
        <v>157</v>
      </c>
      <c r="D323" t="b">
        <v>0</v>
      </c>
      <c r="E323" t="b">
        <v>0</v>
      </c>
      <c r="G323" t="s">
        <v>96</v>
      </c>
      <c r="H323" t="s">
        <v>320</v>
      </c>
      <c r="I323" t="s">
        <v>157</v>
      </c>
      <c r="J323" t="b">
        <v>0</v>
      </c>
      <c r="K323" t="b">
        <v>0</v>
      </c>
    </row>
    <row r="324" spans="1:11" x14ac:dyDescent="0.25">
      <c r="A324" t="s">
        <v>307</v>
      </c>
      <c r="B324" t="s">
        <v>289</v>
      </c>
      <c r="C324" t="s">
        <v>157</v>
      </c>
      <c r="D324" t="b">
        <v>0</v>
      </c>
      <c r="E324" t="b">
        <v>0</v>
      </c>
      <c r="G324" t="s">
        <v>96</v>
      </c>
      <c r="H324" t="s">
        <v>289</v>
      </c>
      <c r="I324" t="s">
        <v>157</v>
      </c>
      <c r="J324" t="b">
        <v>0</v>
      </c>
      <c r="K324" t="b">
        <v>0</v>
      </c>
    </row>
    <row r="325" spans="1:11" x14ac:dyDescent="0.25">
      <c r="A325" t="s">
        <v>307</v>
      </c>
      <c r="B325" t="s">
        <v>290</v>
      </c>
      <c r="C325" t="s">
        <v>157</v>
      </c>
      <c r="D325" t="b">
        <v>0</v>
      </c>
      <c r="E325" t="b">
        <v>0</v>
      </c>
      <c r="G325" t="s">
        <v>96</v>
      </c>
      <c r="H325" t="s">
        <v>290</v>
      </c>
      <c r="I325" t="s">
        <v>157</v>
      </c>
      <c r="J325" t="b">
        <v>0</v>
      </c>
      <c r="K325" t="b">
        <v>0</v>
      </c>
    </row>
    <row r="326" spans="1:11" x14ac:dyDescent="0.25">
      <c r="A326" t="s">
        <v>307</v>
      </c>
      <c r="B326" t="s">
        <v>292</v>
      </c>
      <c r="C326" t="s">
        <v>157</v>
      </c>
      <c r="D326" t="b">
        <v>0</v>
      </c>
      <c r="E326" t="b">
        <v>0</v>
      </c>
      <c r="G326" t="s">
        <v>96</v>
      </c>
      <c r="H326" t="s">
        <v>292</v>
      </c>
      <c r="I326" t="s">
        <v>157</v>
      </c>
      <c r="J326" t="b">
        <v>0</v>
      </c>
      <c r="K326" t="b">
        <v>0</v>
      </c>
    </row>
    <row r="327" spans="1:11" x14ac:dyDescent="0.25">
      <c r="A327" t="s">
        <v>307</v>
      </c>
      <c r="B327" t="s">
        <v>321</v>
      </c>
      <c r="C327" t="s">
        <v>250</v>
      </c>
      <c r="D327" t="b">
        <v>0</v>
      </c>
      <c r="E327" t="b">
        <v>0</v>
      </c>
      <c r="G327" t="s">
        <v>96</v>
      </c>
      <c r="H327" t="s">
        <v>321</v>
      </c>
      <c r="I327" t="s">
        <v>250</v>
      </c>
      <c r="J327" t="b">
        <v>0</v>
      </c>
      <c r="K327" t="b">
        <v>0</v>
      </c>
    </row>
    <row r="328" spans="1:11" x14ac:dyDescent="0.25">
      <c r="A328" t="s">
        <v>307</v>
      </c>
      <c r="B328" t="s">
        <v>187</v>
      </c>
      <c r="C328" t="s">
        <v>157</v>
      </c>
      <c r="D328" t="b">
        <v>0</v>
      </c>
      <c r="E328" t="b">
        <v>0</v>
      </c>
      <c r="G328" t="s">
        <v>96</v>
      </c>
      <c r="H328" t="s">
        <v>187</v>
      </c>
      <c r="I328" t="s">
        <v>157</v>
      </c>
      <c r="J328" t="b">
        <v>0</v>
      </c>
      <c r="K328" t="b">
        <v>0</v>
      </c>
    </row>
    <row r="329" spans="1:11" x14ac:dyDescent="0.25">
      <c r="A329" t="s">
        <v>307</v>
      </c>
      <c r="B329" t="s">
        <v>322</v>
      </c>
      <c r="C329" t="s">
        <v>157</v>
      </c>
      <c r="D329" t="b">
        <v>0</v>
      </c>
      <c r="E329" t="b">
        <v>0</v>
      </c>
      <c r="G329" t="s">
        <v>96</v>
      </c>
      <c r="H329" t="s">
        <v>322</v>
      </c>
      <c r="I329" t="s">
        <v>157</v>
      </c>
      <c r="J329" t="b">
        <v>0</v>
      </c>
      <c r="K329" t="b">
        <v>0</v>
      </c>
    </row>
    <row r="330" spans="1:11" x14ac:dyDescent="0.25">
      <c r="A330" t="s">
        <v>307</v>
      </c>
      <c r="B330" t="s">
        <v>188</v>
      </c>
      <c r="C330" t="s">
        <v>154</v>
      </c>
      <c r="D330" t="b">
        <v>0</v>
      </c>
      <c r="E330" t="b">
        <v>0</v>
      </c>
      <c r="G330" t="s">
        <v>96</v>
      </c>
      <c r="H330" t="s">
        <v>188</v>
      </c>
      <c r="I330" t="s">
        <v>154</v>
      </c>
      <c r="J330" t="b">
        <v>0</v>
      </c>
      <c r="K330" t="b">
        <v>0</v>
      </c>
    </row>
    <row r="331" spans="1:11" x14ac:dyDescent="0.25">
      <c r="A331" t="s">
        <v>307</v>
      </c>
      <c r="B331" t="s">
        <v>189</v>
      </c>
      <c r="C331" t="s">
        <v>157</v>
      </c>
      <c r="D331" t="b">
        <v>0</v>
      </c>
      <c r="E331" t="b">
        <v>0</v>
      </c>
      <c r="G331" t="s">
        <v>96</v>
      </c>
      <c r="H331" t="s">
        <v>189</v>
      </c>
      <c r="I331" t="s">
        <v>157</v>
      </c>
      <c r="J331" t="b">
        <v>0</v>
      </c>
      <c r="K331" t="b">
        <v>0</v>
      </c>
    </row>
    <row r="332" spans="1:11" x14ac:dyDescent="0.25">
      <c r="A332" t="s">
        <v>307</v>
      </c>
      <c r="B332" t="s">
        <v>190</v>
      </c>
      <c r="C332" t="s">
        <v>157</v>
      </c>
      <c r="D332" t="b">
        <v>0</v>
      </c>
      <c r="E332" t="b">
        <v>0</v>
      </c>
      <c r="G332" t="s">
        <v>96</v>
      </c>
      <c r="H332" t="s">
        <v>190</v>
      </c>
      <c r="I332" t="s">
        <v>157</v>
      </c>
      <c r="J332" t="b">
        <v>0</v>
      </c>
      <c r="K332" t="b">
        <v>0</v>
      </c>
    </row>
    <row r="333" spans="1:11" x14ac:dyDescent="0.25">
      <c r="A333" t="s">
        <v>307</v>
      </c>
      <c r="B333" t="s">
        <v>191</v>
      </c>
      <c r="C333" t="s">
        <v>160</v>
      </c>
      <c r="D333" t="b">
        <v>0</v>
      </c>
      <c r="E333" t="b">
        <v>0</v>
      </c>
    </row>
    <row r="334" spans="1:11" x14ac:dyDescent="0.25">
      <c r="A334" t="s">
        <v>307</v>
      </c>
      <c r="B334" t="s">
        <v>192</v>
      </c>
      <c r="C334" t="s">
        <v>154</v>
      </c>
      <c r="D334" t="b">
        <v>0</v>
      </c>
      <c r="E334" t="b">
        <v>0</v>
      </c>
      <c r="G334" t="s">
        <v>96</v>
      </c>
      <c r="H334" t="s">
        <v>192</v>
      </c>
      <c r="I334" t="s">
        <v>154</v>
      </c>
      <c r="J334" t="b">
        <v>0</v>
      </c>
      <c r="K334" t="b">
        <v>0</v>
      </c>
    </row>
    <row r="335" spans="1:11" x14ac:dyDescent="0.25">
      <c r="A335" t="s">
        <v>307</v>
      </c>
      <c r="B335" t="s">
        <v>193</v>
      </c>
      <c r="C335" t="s">
        <v>157</v>
      </c>
      <c r="D335" t="b">
        <v>0</v>
      </c>
      <c r="E335" t="b">
        <v>0</v>
      </c>
      <c r="G335" t="s">
        <v>96</v>
      </c>
      <c r="H335" t="s">
        <v>193</v>
      </c>
      <c r="I335" t="s">
        <v>157</v>
      </c>
      <c r="J335" t="b">
        <v>0</v>
      </c>
      <c r="K335" t="b">
        <v>0</v>
      </c>
    </row>
    <row r="336" spans="1:11" x14ac:dyDescent="0.25">
      <c r="A336" t="s">
        <v>307</v>
      </c>
      <c r="B336" t="s">
        <v>194</v>
      </c>
      <c r="C336" t="s">
        <v>157</v>
      </c>
      <c r="D336" t="b">
        <v>0</v>
      </c>
      <c r="E336" t="b">
        <v>0</v>
      </c>
      <c r="G336" t="s">
        <v>96</v>
      </c>
      <c r="H336" t="s">
        <v>194</v>
      </c>
      <c r="I336" t="s">
        <v>157</v>
      </c>
      <c r="J336" t="b">
        <v>0</v>
      </c>
      <c r="K336" t="b">
        <v>0</v>
      </c>
    </row>
    <row r="337" spans="1:11" x14ac:dyDescent="0.25">
      <c r="A337" t="s">
        <v>307</v>
      </c>
      <c r="B337" t="s">
        <v>195</v>
      </c>
      <c r="C337" t="s">
        <v>157</v>
      </c>
      <c r="D337" t="b">
        <v>0</v>
      </c>
      <c r="E337" t="b">
        <v>0</v>
      </c>
      <c r="G337" t="s">
        <v>96</v>
      </c>
      <c r="H337" t="s">
        <v>195</v>
      </c>
      <c r="I337" t="s">
        <v>157</v>
      </c>
      <c r="J337" t="b">
        <v>0</v>
      </c>
      <c r="K337" t="b">
        <v>0</v>
      </c>
    </row>
    <row r="338" spans="1:11" x14ac:dyDescent="0.25">
      <c r="A338" t="s">
        <v>307</v>
      </c>
      <c r="B338" t="s">
        <v>196</v>
      </c>
      <c r="C338" t="s">
        <v>157</v>
      </c>
      <c r="D338" t="b">
        <v>0</v>
      </c>
      <c r="E338" t="b">
        <v>0</v>
      </c>
      <c r="G338" t="s">
        <v>96</v>
      </c>
      <c r="H338" t="s">
        <v>196</v>
      </c>
      <c r="I338" t="s">
        <v>157</v>
      </c>
      <c r="J338" t="b">
        <v>0</v>
      </c>
      <c r="K338" t="b">
        <v>0</v>
      </c>
    </row>
    <row r="339" spans="1:11" x14ac:dyDescent="0.25">
      <c r="A339" t="s">
        <v>307</v>
      </c>
      <c r="B339" t="s">
        <v>197</v>
      </c>
      <c r="C339" t="s">
        <v>154</v>
      </c>
      <c r="D339" t="b">
        <v>0</v>
      </c>
      <c r="E339" t="b">
        <v>0</v>
      </c>
      <c r="G339" t="s">
        <v>96</v>
      </c>
      <c r="H339" t="s">
        <v>197</v>
      </c>
      <c r="I339" t="s">
        <v>154</v>
      </c>
      <c r="J339" t="b">
        <v>0</v>
      </c>
      <c r="K339" t="b">
        <v>0</v>
      </c>
    </row>
    <row r="340" spans="1:11" x14ac:dyDescent="0.25">
      <c r="A340" t="s">
        <v>307</v>
      </c>
      <c r="B340" t="s">
        <v>198</v>
      </c>
      <c r="C340" t="s">
        <v>157</v>
      </c>
      <c r="D340" t="b">
        <v>0</v>
      </c>
      <c r="E340" t="b">
        <v>0</v>
      </c>
      <c r="G340" t="s">
        <v>96</v>
      </c>
      <c r="H340" t="s">
        <v>198</v>
      </c>
      <c r="I340" t="s">
        <v>157</v>
      </c>
      <c r="J340" t="b">
        <v>0</v>
      </c>
      <c r="K340" t="b">
        <v>0</v>
      </c>
    </row>
    <row r="341" spans="1:11" x14ac:dyDescent="0.25">
      <c r="A341" t="s">
        <v>307</v>
      </c>
      <c r="B341" t="s">
        <v>199</v>
      </c>
      <c r="C341" t="s">
        <v>160</v>
      </c>
      <c r="D341" t="b">
        <v>0</v>
      </c>
      <c r="E341" t="b">
        <v>0</v>
      </c>
    </row>
    <row r="342" spans="1:11" x14ac:dyDescent="0.25">
      <c r="A342" t="s">
        <v>307</v>
      </c>
      <c r="B342" t="s">
        <v>200</v>
      </c>
      <c r="C342" t="s">
        <v>157</v>
      </c>
      <c r="D342" t="b">
        <v>0</v>
      </c>
      <c r="E342" t="b">
        <v>0</v>
      </c>
      <c r="G342" t="s">
        <v>96</v>
      </c>
      <c r="H342" t="s">
        <v>200</v>
      </c>
      <c r="I342" t="s">
        <v>157</v>
      </c>
      <c r="J342" t="b">
        <v>0</v>
      </c>
      <c r="K342" t="b">
        <v>0</v>
      </c>
    </row>
    <row r="343" spans="1:11" x14ac:dyDescent="0.25">
      <c r="A343" t="s">
        <v>307</v>
      </c>
      <c r="B343" t="s">
        <v>323</v>
      </c>
      <c r="C343" t="s">
        <v>157</v>
      </c>
      <c r="D343" t="b">
        <v>0</v>
      </c>
      <c r="E343" t="b">
        <v>0</v>
      </c>
      <c r="G343" t="s">
        <v>96</v>
      </c>
      <c r="H343" t="s">
        <v>323</v>
      </c>
      <c r="I343" t="s">
        <v>157</v>
      </c>
      <c r="J343" t="b">
        <v>0</v>
      </c>
      <c r="K343" t="b">
        <v>0</v>
      </c>
    </row>
    <row r="344" spans="1:11" x14ac:dyDescent="0.25">
      <c r="A344" t="s">
        <v>307</v>
      </c>
      <c r="B344" t="s">
        <v>201</v>
      </c>
      <c r="C344" t="s">
        <v>157</v>
      </c>
      <c r="D344" t="b">
        <v>0</v>
      </c>
      <c r="E344" t="b">
        <v>0</v>
      </c>
      <c r="G344" t="s">
        <v>96</v>
      </c>
      <c r="H344" t="s">
        <v>201</v>
      </c>
      <c r="I344" t="s">
        <v>157</v>
      </c>
      <c r="J344" t="b">
        <v>0</v>
      </c>
      <c r="K344" t="b">
        <v>0</v>
      </c>
    </row>
    <row r="345" spans="1:11" x14ac:dyDescent="0.25">
      <c r="A345" t="s">
        <v>307</v>
      </c>
      <c r="B345" t="s">
        <v>202</v>
      </c>
      <c r="C345" t="s">
        <v>157</v>
      </c>
      <c r="D345" t="b">
        <v>0</v>
      </c>
      <c r="E345" t="b">
        <v>0</v>
      </c>
      <c r="G345" t="s">
        <v>96</v>
      </c>
      <c r="H345" t="s">
        <v>202</v>
      </c>
      <c r="I345" t="s">
        <v>157</v>
      </c>
      <c r="J345" t="b">
        <v>0</v>
      </c>
      <c r="K345" t="b">
        <v>0</v>
      </c>
    </row>
    <row r="346" spans="1:11" x14ac:dyDescent="0.25">
      <c r="A346" t="s">
        <v>307</v>
      </c>
      <c r="B346" t="s">
        <v>203</v>
      </c>
      <c r="C346" t="s">
        <v>154</v>
      </c>
      <c r="D346" t="b">
        <v>0</v>
      </c>
      <c r="E346" t="b">
        <v>0</v>
      </c>
      <c r="G346" t="s">
        <v>96</v>
      </c>
      <c r="H346" t="s">
        <v>203</v>
      </c>
      <c r="I346" t="s">
        <v>154</v>
      </c>
      <c r="J346" t="b">
        <v>0</v>
      </c>
      <c r="K346" t="b">
        <v>0</v>
      </c>
    </row>
    <row r="347" spans="1:11" x14ac:dyDescent="0.25">
      <c r="A347" t="s">
        <v>307</v>
      </c>
      <c r="B347" t="s">
        <v>204</v>
      </c>
      <c r="C347" t="s">
        <v>205</v>
      </c>
      <c r="D347" t="b">
        <v>0</v>
      </c>
      <c r="E347" t="b">
        <v>0</v>
      </c>
      <c r="G347" t="s">
        <v>96</v>
      </c>
      <c r="H347" t="s">
        <v>204</v>
      </c>
      <c r="I347" t="s">
        <v>205</v>
      </c>
      <c r="J347" t="b">
        <v>0</v>
      </c>
      <c r="K347" t="b">
        <v>0</v>
      </c>
    </row>
    <row r="348" spans="1:11" x14ac:dyDescent="0.25">
      <c r="A348" t="s">
        <v>307</v>
      </c>
      <c r="B348" t="s">
        <v>206</v>
      </c>
      <c r="C348" t="s">
        <v>205</v>
      </c>
      <c r="D348" t="b">
        <v>0</v>
      </c>
      <c r="E348" t="b">
        <v>0</v>
      </c>
      <c r="G348" t="s">
        <v>96</v>
      </c>
      <c r="H348" t="s">
        <v>206</v>
      </c>
      <c r="I348" t="s">
        <v>205</v>
      </c>
      <c r="J348" t="b">
        <v>0</v>
      </c>
      <c r="K348" t="b">
        <v>0</v>
      </c>
    </row>
    <row r="349" spans="1:11" x14ac:dyDescent="0.25">
      <c r="A349" t="s">
        <v>307</v>
      </c>
      <c r="B349" t="s">
        <v>324</v>
      </c>
      <c r="C349" t="s">
        <v>250</v>
      </c>
      <c r="D349" t="b">
        <v>0</v>
      </c>
      <c r="E349" t="b">
        <v>0</v>
      </c>
      <c r="G349" t="s">
        <v>96</v>
      </c>
      <c r="H349" t="s">
        <v>324</v>
      </c>
      <c r="I349" t="s">
        <v>250</v>
      </c>
      <c r="J349" t="b">
        <v>0</v>
      </c>
      <c r="K349" t="b">
        <v>0</v>
      </c>
    </row>
    <row r="350" spans="1:11" x14ac:dyDescent="0.25">
      <c r="A350" t="s">
        <v>307</v>
      </c>
      <c r="B350" t="s">
        <v>207</v>
      </c>
      <c r="C350" t="s">
        <v>157</v>
      </c>
      <c r="D350" t="b">
        <v>0</v>
      </c>
      <c r="E350" t="b">
        <v>0</v>
      </c>
      <c r="G350" t="s">
        <v>96</v>
      </c>
      <c r="H350" t="s">
        <v>207</v>
      </c>
      <c r="I350" t="s">
        <v>157</v>
      </c>
      <c r="J350" t="b">
        <v>0</v>
      </c>
      <c r="K350" t="b">
        <v>0</v>
      </c>
    </row>
    <row r="351" spans="1:11" x14ac:dyDescent="0.25">
      <c r="A351" t="s">
        <v>307</v>
      </c>
      <c r="B351" t="s">
        <v>208</v>
      </c>
      <c r="C351" t="s">
        <v>157</v>
      </c>
      <c r="D351" t="b">
        <v>0</v>
      </c>
      <c r="E351" t="b">
        <v>0</v>
      </c>
      <c r="G351" t="s">
        <v>96</v>
      </c>
      <c r="H351" t="s">
        <v>208</v>
      </c>
      <c r="I351" t="s">
        <v>157</v>
      </c>
      <c r="J351" t="b">
        <v>0</v>
      </c>
      <c r="K351" t="b">
        <v>0</v>
      </c>
    </row>
    <row r="352" spans="1:11" x14ac:dyDescent="0.25">
      <c r="A352" t="s">
        <v>307</v>
      </c>
      <c r="B352" t="s">
        <v>209</v>
      </c>
      <c r="C352" t="s">
        <v>157</v>
      </c>
      <c r="D352" t="b">
        <v>0</v>
      </c>
      <c r="E352" t="b">
        <v>0</v>
      </c>
      <c r="G352" t="s">
        <v>96</v>
      </c>
      <c r="H352" t="s">
        <v>209</v>
      </c>
      <c r="I352" t="s">
        <v>157</v>
      </c>
      <c r="J352" t="b">
        <v>0</v>
      </c>
      <c r="K352" t="b">
        <v>0</v>
      </c>
    </row>
    <row r="353" spans="1:11" x14ac:dyDescent="0.25">
      <c r="A353" t="s">
        <v>307</v>
      </c>
      <c r="B353" t="s">
        <v>210</v>
      </c>
      <c r="C353" t="s">
        <v>160</v>
      </c>
      <c r="D353" t="b">
        <v>0</v>
      </c>
      <c r="E353" t="b">
        <v>0</v>
      </c>
    </row>
    <row r="354" spans="1:11" x14ac:dyDescent="0.25">
      <c r="A354" t="s">
        <v>307</v>
      </c>
      <c r="B354" t="s">
        <v>211</v>
      </c>
      <c r="C354" t="s">
        <v>157</v>
      </c>
      <c r="D354" t="b">
        <v>0</v>
      </c>
      <c r="E354" t="b">
        <v>0</v>
      </c>
      <c r="G354" t="s">
        <v>96</v>
      </c>
      <c r="H354" t="s">
        <v>211</v>
      </c>
      <c r="I354" t="s">
        <v>157</v>
      </c>
      <c r="J354" t="b">
        <v>0</v>
      </c>
      <c r="K354" t="b">
        <v>0</v>
      </c>
    </row>
    <row r="355" spans="1:11" x14ac:dyDescent="0.25">
      <c r="A355" t="s">
        <v>307</v>
      </c>
      <c r="B355" t="s">
        <v>212</v>
      </c>
      <c r="C355" t="s">
        <v>157</v>
      </c>
      <c r="D355" t="b">
        <v>0</v>
      </c>
      <c r="E355" t="b">
        <v>0</v>
      </c>
      <c r="G355" t="s">
        <v>96</v>
      </c>
      <c r="H355" t="s">
        <v>212</v>
      </c>
      <c r="I355" t="s">
        <v>157</v>
      </c>
      <c r="J355" t="b">
        <v>0</v>
      </c>
      <c r="K355" t="b">
        <v>0</v>
      </c>
    </row>
    <row r="356" spans="1:11" x14ac:dyDescent="0.25">
      <c r="A356" t="s">
        <v>307</v>
      </c>
      <c r="B356" t="s">
        <v>213</v>
      </c>
      <c r="C356" t="s">
        <v>154</v>
      </c>
      <c r="D356" t="b">
        <v>0</v>
      </c>
      <c r="E356" t="b">
        <v>0</v>
      </c>
      <c r="G356" t="s">
        <v>96</v>
      </c>
      <c r="H356" t="s">
        <v>213</v>
      </c>
      <c r="I356" t="s">
        <v>154</v>
      </c>
      <c r="J356" t="b">
        <v>0</v>
      </c>
      <c r="K356" t="b">
        <v>0</v>
      </c>
    </row>
    <row r="357" spans="1:11" x14ac:dyDescent="0.25">
      <c r="A357" t="s">
        <v>307</v>
      </c>
      <c r="B357" t="s">
        <v>214</v>
      </c>
      <c r="C357" t="s">
        <v>157</v>
      </c>
      <c r="D357" t="b">
        <v>0</v>
      </c>
      <c r="E357" t="b">
        <v>0</v>
      </c>
      <c r="G357" t="s">
        <v>96</v>
      </c>
      <c r="H357" t="s">
        <v>214</v>
      </c>
      <c r="I357" t="s">
        <v>157</v>
      </c>
      <c r="J357" t="b">
        <v>0</v>
      </c>
      <c r="K357" t="b">
        <v>0</v>
      </c>
    </row>
    <row r="358" spans="1:11" x14ac:dyDescent="0.25">
      <c r="A358" t="s">
        <v>307</v>
      </c>
      <c r="B358" t="s">
        <v>215</v>
      </c>
      <c r="C358" t="s">
        <v>205</v>
      </c>
      <c r="D358" t="b">
        <v>0</v>
      </c>
      <c r="E358" t="b">
        <v>0</v>
      </c>
      <c r="G358" t="s">
        <v>96</v>
      </c>
      <c r="H358" t="s">
        <v>215</v>
      </c>
      <c r="I358" t="s">
        <v>205</v>
      </c>
      <c r="J358" t="b">
        <v>0</v>
      </c>
      <c r="K358" t="b">
        <v>0</v>
      </c>
    </row>
    <row r="359" spans="1:11" x14ac:dyDescent="0.25">
      <c r="A359" t="s">
        <v>307</v>
      </c>
      <c r="B359" t="s">
        <v>216</v>
      </c>
      <c r="C359" t="s">
        <v>154</v>
      </c>
      <c r="D359" t="b">
        <v>0</v>
      </c>
      <c r="E359" t="b">
        <v>0</v>
      </c>
      <c r="G359" t="s">
        <v>96</v>
      </c>
      <c r="H359" t="s">
        <v>216</v>
      </c>
      <c r="I359" t="s">
        <v>154</v>
      </c>
      <c r="J359" t="b">
        <v>0</v>
      </c>
      <c r="K359" t="b">
        <v>0</v>
      </c>
    </row>
    <row r="360" spans="1:11" x14ac:dyDescent="0.25">
      <c r="A360" t="s">
        <v>307</v>
      </c>
      <c r="B360" t="s">
        <v>217</v>
      </c>
      <c r="C360" t="s">
        <v>205</v>
      </c>
      <c r="D360" t="b">
        <v>0</v>
      </c>
      <c r="E360" t="b">
        <v>0</v>
      </c>
    </row>
    <row r="361" spans="1:11" x14ac:dyDescent="0.25">
      <c r="A361" t="s">
        <v>307</v>
      </c>
      <c r="B361" t="s">
        <v>218</v>
      </c>
      <c r="C361" t="s">
        <v>157</v>
      </c>
      <c r="D361" t="b">
        <v>0</v>
      </c>
      <c r="E361" t="b">
        <v>0</v>
      </c>
    </row>
    <row r="362" spans="1:11" x14ac:dyDescent="0.25">
      <c r="A362" t="s">
        <v>307</v>
      </c>
      <c r="B362" t="s">
        <v>219</v>
      </c>
      <c r="C362" t="s">
        <v>157</v>
      </c>
      <c r="D362" t="b">
        <v>0</v>
      </c>
      <c r="E362" t="b">
        <v>0</v>
      </c>
    </row>
    <row r="363" spans="1:11" x14ac:dyDescent="0.25">
      <c r="A363" t="s">
        <v>307</v>
      </c>
      <c r="B363" t="s">
        <v>220</v>
      </c>
      <c r="C363" t="s">
        <v>205</v>
      </c>
      <c r="D363" t="b">
        <v>0</v>
      </c>
      <c r="E363" t="b">
        <v>0</v>
      </c>
    </row>
    <row r="364" spans="1:11" x14ac:dyDescent="0.25">
      <c r="A364" t="s">
        <v>307</v>
      </c>
      <c r="B364" t="s">
        <v>221</v>
      </c>
      <c r="C364" t="s">
        <v>205</v>
      </c>
      <c r="D364" t="b">
        <v>0</v>
      </c>
      <c r="E364" t="b">
        <v>0</v>
      </c>
    </row>
    <row r="365" spans="1:11" x14ac:dyDescent="0.25">
      <c r="A365" s="2" t="s">
        <v>307</v>
      </c>
      <c r="B365" s="2" t="s">
        <v>222</v>
      </c>
      <c r="C365" s="2" t="s">
        <v>205</v>
      </c>
      <c r="D365" s="2" t="b">
        <v>0</v>
      </c>
      <c r="E365" s="2" t="b">
        <v>0</v>
      </c>
      <c r="F365" s="2"/>
      <c r="G365" s="2"/>
      <c r="H365" s="2"/>
      <c r="I365" s="2"/>
      <c r="J365" s="2"/>
      <c r="K365" s="2"/>
    </row>
    <row r="366" spans="1:11" x14ac:dyDescent="0.25">
      <c r="A366" t="s">
        <v>325</v>
      </c>
      <c r="B366" t="s">
        <v>326</v>
      </c>
      <c r="C366" t="s">
        <v>157</v>
      </c>
      <c r="D366" t="b">
        <v>0</v>
      </c>
      <c r="E366" t="b">
        <v>0</v>
      </c>
      <c r="G366" t="s">
        <v>111</v>
      </c>
      <c r="H366" t="s">
        <v>326</v>
      </c>
      <c r="I366" t="s">
        <v>157</v>
      </c>
      <c r="J366" t="b">
        <v>0</v>
      </c>
      <c r="K366" t="b">
        <v>0</v>
      </c>
    </row>
    <row r="367" spans="1:11" s="2" customFormat="1" x14ac:dyDescent="0.25">
      <c r="A367" t="s">
        <v>325</v>
      </c>
      <c r="B367" t="s">
        <v>233</v>
      </c>
      <c r="C367" t="s">
        <v>157</v>
      </c>
      <c r="D367" t="b">
        <v>0</v>
      </c>
      <c r="E367" t="b">
        <v>0</v>
      </c>
      <c r="G367" t="s">
        <v>111</v>
      </c>
      <c r="H367" t="s">
        <v>233</v>
      </c>
      <c r="I367" t="s">
        <v>157</v>
      </c>
      <c r="J367" t="b">
        <v>0</v>
      </c>
      <c r="K367" t="b">
        <v>0</v>
      </c>
    </row>
    <row r="368" spans="1:11" x14ac:dyDescent="0.25">
      <c r="A368" t="s">
        <v>325</v>
      </c>
      <c r="B368" t="s">
        <v>225</v>
      </c>
      <c r="C368" t="s">
        <v>154</v>
      </c>
      <c r="D368" t="b">
        <v>0</v>
      </c>
      <c r="E368" t="b">
        <v>0</v>
      </c>
      <c r="G368" t="s">
        <v>111</v>
      </c>
      <c r="H368" t="s">
        <v>225</v>
      </c>
      <c r="I368" t="s">
        <v>154</v>
      </c>
      <c r="J368" t="b">
        <v>0</v>
      </c>
      <c r="K368" t="b">
        <v>0</v>
      </c>
    </row>
    <row r="369" spans="1:11" x14ac:dyDescent="0.25">
      <c r="A369" t="s">
        <v>325</v>
      </c>
      <c r="B369" t="s">
        <v>174</v>
      </c>
      <c r="C369" t="s">
        <v>154</v>
      </c>
      <c r="D369" t="b">
        <v>0</v>
      </c>
      <c r="E369" t="b">
        <v>0</v>
      </c>
      <c r="G369" t="s">
        <v>111</v>
      </c>
      <c r="H369" t="s">
        <v>174</v>
      </c>
      <c r="I369" t="s">
        <v>154</v>
      </c>
      <c r="J369" t="b">
        <v>0</v>
      </c>
      <c r="K369" t="b">
        <v>0</v>
      </c>
    </row>
    <row r="370" spans="1:11" x14ac:dyDescent="0.25">
      <c r="A370" t="s">
        <v>325</v>
      </c>
      <c r="B370" t="s">
        <v>179</v>
      </c>
      <c r="C370" t="s">
        <v>157</v>
      </c>
      <c r="D370" t="b">
        <v>1</v>
      </c>
      <c r="E370" t="b">
        <v>1</v>
      </c>
      <c r="G370" t="s">
        <v>111</v>
      </c>
      <c r="H370" t="s">
        <v>179</v>
      </c>
      <c r="I370" t="s">
        <v>157</v>
      </c>
      <c r="J370" t="b">
        <v>1</v>
      </c>
      <c r="K370" t="b">
        <v>0</v>
      </c>
    </row>
    <row r="371" spans="1:11" x14ac:dyDescent="0.25">
      <c r="A371" t="s">
        <v>325</v>
      </c>
      <c r="B371" t="s">
        <v>180</v>
      </c>
      <c r="C371" t="s">
        <v>160</v>
      </c>
      <c r="D371" t="b">
        <v>0</v>
      </c>
      <c r="E371" t="b">
        <v>0</v>
      </c>
    </row>
    <row r="372" spans="1:11" x14ac:dyDescent="0.25">
      <c r="A372" t="s">
        <v>325</v>
      </c>
      <c r="B372" t="s">
        <v>181</v>
      </c>
      <c r="C372" t="s">
        <v>182</v>
      </c>
      <c r="D372" t="b">
        <v>0</v>
      </c>
      <c r="E372" t="b">
        <v>0</v>
      </c>
      <c r="G372" t="s">
        <v>111</v>
      </c>
      <c r="H372" t="s">
        <v>181</v>
      </c>
      <c r="I372" t="s">
        <v>182</v>
      </c>
      <c r="J372" t="b">
        <v>0</v>
      </c>
      <c r="K372" t="b">
        <v>0</v>
      </c>
    </row>
    <row r="373" spans="1:11" x14ac:dyDescent="0.25">
      <c r="A373" t="s">
        <v>325</v>
      </c>
      <c r="B373" t="s">
        <v>245</v>
      </c>
      <c r="C373" t="s">
        <v>157</v>
      </c>
      <c r="D373" t="b">
        <v>0</v>
      </c>
      <c r="E373" t="b">
        <v>0</v>
      </c>
      <c r="G373" t="s">
        <v>111</v>
      </c>
      <c r="H373" t="s">
        <v>245</v>
      </c>
      <c r="I373" t="s">
        <v>157</v>
      </c>
      <c r="J373" t="b">
        <v>0</v>
      </c>
      <c r="K373" t="b">
        <v>0</v>
      </c>
    </row>
    <row r="374" spans="1:11" x14ac:dyDescent="0.25">
      <c r="A374" t="s">
        <v>325</v>
      </c>
      <c r="B374" t="s">
        <v>327</v>
      </c>
      <c r="C374" t="s">
        <v>160</v>
      </c>
      <c r="D374" t="b">
        <v>0</v>
      </c>
      <c r="E374" t="b">
        <v>0</v>
      </c>
    </row>
    <row r="375" spans="1:11" x14ac:dyDescent="0.25">
      <c r="A375" t="s">
        <v>325</v>
      </c>
      <c r="B375" t="s">
        <v>328</v>
      </c>
      <c r="C375" t="s">
        <v>157</v>
      </c>
      <c r="D375" t="b">
        <v>0</v>
      </c>
      <c r="E375" t="b">
        <v>0</v>
      </c>
      <c r="G375" t="s">
        <v>111</v>
      </c>
      <c r="H375" t="s">
        <v>328</v>
      </c>
      <c r="I375" t="s">
        <v>157</v>
      </c>
      <c r="J375" t="b">
        <v>0</v>
      </c>
      <c r="K375" t="b">
        <v>0</v>
      </c>
    </row>
    <row r="376" spans="1:11" x14ac:dyDescent="0.25">
      <c r="A376" t="s">
        <v>325</v>
      </c>
      <c r="B376" t="s">
        <v>198</v>
      </c>
      <c r="C376" t="s">
        <v>157</v>
      </c>
      <c r="D376" t="b">
        <v>0</v>
      </c>
      <c r="E376" t="b">
        <v>0</v>
      </c>
      <c r="G376" t="s">
        <v>111</v>
      </c>
      <c r="H376" t="s">
        <v>198</v>
      </c>
      <c r="I376" t="s">
        <v>157</v>
      </c>
      <c r="J376" t="b">
        <v>0</v>
      </c>
      <c r="K376" t="b">
        <v>0</v>
      </c>
    </row>
    <row r="377" spans="1:11" x14ac:dyDescent="0.25">
      <c r="A377" t="s">
        <v>325</v>
      </c>
      <c r="B377" t="s">
        <v>199</v>
      </c>
      <c r="C377" t="s">
        <v>160</v>
      </c>
      <c r="D377" t="b">
        <v>0</v>
      </c>
      <c r="E377" t="b">
        <v>0</v>
      </c>
    </row>
    <row r="378" spans="1:11" x14ac:dyDescent="0.25">
      <c r="A378" t="s">
        <v>325</v>
      </c>
      <c r="B378" t="s">
        <v>200</v>
      </c>
      <c r="C378" t="s">
        <v>157</v>
      </c>
      <c r="D378" t="b">
        <v>0</v>
      </c>
      <c r="E378" t="b">
        <v>0</v>
      </c>
      <c r="G378" t="s">
        <v>111</v>
      </c>
      <c r="H378" t="s">
        <v>200</v>
      </c>
      <c r="I378" t="s">
        <v>157</v>
      </c>
      <c r="J378" t="b">
        <v>0</v>
      </c>
      <c r="K378" t="b">
        <v>0</v>
      </c>
    </row>
    <row r="379" spans="1:11" x14ac:dyDescent="0.25">
      <c r="A379" t="s">
        <v>325</v>
      </c>
      <c r="B379" t="s">
        <v>203</v>
      </c>
      <c r="C379" t="s">
        <v>154</v>
      </c>
      <c r="D379" t="b">
        <v>0</v>
      </c>
      <c r="E379" t="b">
        <v>0</v>
      </c>
      <c r="G379" t="s">
        <v>111</v>
      </c>
      <c r="H379" t="s">
        <v>203</v>
      </c>
      <c r="I379" t="s">
        <v>154</v>
      </c>
      <c r="J379" t="b">
        <v>0</v>
      </c>
      <c r="K379" t="b">
        <v>0</v>
      </c>
    </row>
    <row r="380" spans="1:11" x14ac:dyDescent="0.25">
      <c r="A380" t="s">
        <v>325</v>
      </c>
      <c r="B380" t="s">
        <v>208</v>
      </c>
      <c r="C380" t="s">
        <v>157</v>
      </c>
      <c r="D380" t="b">
        <v>0</v>
      </c>
      <c r="E380" t="b">
        <v>0</v>
      </c>
      <c r="G380" t="s">
        <v>111</v>
      </c>
      <c r="H380" t="s">
        <v>208</v>
      </c>
      <c r="I380" t="s">
        <v>157</v>
      </c>
      <c r="J380" t="b">
        <v>0</v>
      </c>
      <c r="K380" t="b">
        <v>0</v>
      </c>
    </row>
    <row r="381" spans="1:11" x14ac:dyDescent="0.25">
      <c r="A381" t="s">
        <v>325</v>
      </c>
      <c r="B381" t="s">
        <v>329</v>
      </c>
      <c r="C381" t="s">
        <v>157</v>
      </c>
      <c r="D381" t="b">
        <v>0</v>
      </c>
      <c r="E381" t="b">
        <v>0</v>
      </c>
      <c r="G381" t="s">
        <v>111</v>
      </c>
      <c r="H381" t="s">
        <v>329</v>
      </c>
      <c r="I381" t="s">
        <v>157</v>
      </c>
      <c r="J381" t="b">
        <v>0</v>
      </c>
      <c r="K381" t="b">
        <v>0</v>
      </c>
    </row>
    <row r="382" spans="1:11" x14ac:dyDescent="0.25">
      <c r="A382" t="s">
        <v>325</v>
      </c>
      <c r="B382" t="s">
        <v>330</v>
      </c>
      <c r="C382" t="s">
        <v>160</v>
      </c>
      <c r="D382" t="b">
        <v>0</v>
      </c>
      <c r="E382" t="b">
        <v>0</v>
      </c>
    </row>
    <row r="383" spans="1:11" x14ac:dyDescent="0.25">
      <c r="A383" t="s">
        <v>325</v>
      </c>
      <c r="B383" t="s">
        <v>214</v>
      </c>
      <c r="C383" t="s">
        <v>157</v>
      </c>
      <c r="D383" t="b">
        <v>0</v>
      </c>
      <c r="E383" t="b">
        <v>0</v>
      </c>
      <c r="G383" t="s">
        <v>111</v>
      </c>
      <c r="H383" t="s">
        <v>214</v>
      </c>
      <c r="I383" t="s">
        <v>157</v>
      </c>
      <c r="J383" t="b">
        <v>0</v>
      </c>
      <c r="K383" t="b">
        <v>0</v>
      </c>
    </row>
    <row r="384" spans="1:11" x14ac:dyDescent="0.25">
      <c r="A384" t="s">
        <v>325</v>
      </c>
      <c r="B384" t="s">
        <v>215</v>
      </c>
      <c r="C384" t="s">
        <v>205</v>
      </c>
      <c r="D384" t="b">
        <v>0</v>
      </c>
      <c r="E384" t="b">
        <v>0</v>
      </c>
      <c r="G384" t="s">
        <v>111</v>
      </c>
      <c r="H384" t="s">
        <v>215</v>
      </c>
      <c r="I384" t="s">
        <v>205</v>
      </c>
      <c r="J384" t="b">
        <v>0</v>
      </c>
      <c r="K384" t="b">
        <v>0</v>
      </c>
    </row>
    <row r="385" spans="1:11" x14ac:dyDescent="0.25">
      <c r="A385" t="s">
        <v>325</v>
      </c>
      <c r="B385" t="s">
        <v>216</v>
      </c>
      <c r="C385" t="s">
        <v>154</v>
      </c>
      <c r="D385" t="b">
        <v>0</v>
      </c>
      <c r="E385" t="b">
        <v>0</v>
      </c>
      <c r="G385" t="s">
        <v>111</v>
      </c>
      <c r="H385" t="s">
        <v>216</v>
      </c>
      <c r="I385" t="s">
        <v>154</v>
      </c>
      <c r="J385" t="b">
        <v>0</v>
      </c>
      <c r="K385" t="b">
        <v>0</v>
      </c>
    </row>
    <row r="386" spans="1:11" x14ac:dyDescent="0.25">
      <c r="A386" t="s">
        <v>325</v>
      </c>
      <c r="B386" t="s">
        <v>217</v>
      </c>
      <c r="C386" t="s">
        <v>205</v>
      </c>
      <c r="D386" t="b">
        <v>0</v>
      </c>
      <c r="E386" t="b">
        <v>0</v>
      </c>
    </row>
    <row r="387" spans="1:11" x14ac:dyDescent="0.25">
      <c r="A387" t="s">
        <v>325</v>
      </c>
      <c r="B387" t="s">
        <v>218</v>
      </c>
      <c r="C387" t="s">
        <v>157</v>
      </c>
      <c r="D387" t="b">
        <v>0</v>
      </c>
      <c r="E387" t="b">
        <v>0</v>
      </c>
    </row>
    <row r="388" spans="1:11" x14ac:dyDescent="0.25">
      <c r="A388" t="s">
        <v>325</v>
      </c>
      <c r="B388" t="s">
        <v>219</v>
      </c>
      <c r="C388" t="s">
        <v>157</v>
      </c>
      <c r="D388" t="b">
        <v>0</v>
      </c>
      <c r="E388" t="b">
        <v>0</v>
      </c>
    </row>
    <row r="389" spans="1:11" x14ac:dyDescent="0.25">
      <c r="A389" t="s">
        <v>325</v>
      </c>
      <c r="B389" t="s">
        <v>220</v>
      </c>
      <c r="C389" t="s">
        <v>205</v>
      </c>
      <c r="D389" t="b">
        <v>0</v>
      </c>
      <c r="E389" t="b">
        <v>0</v>
      </c>
    </row>
    <row r="390" spans="1:11" x14ac:dyDescent="0.25">
      <c r="A390" t="s">
        <v>325</v>
      </c>
      <c r="B390" t="s">
        <v>221</v>
      </c>
      <c r="C390" t="s">
        <v>205</v>
      </c>
      <c r="D390" t="b">
        <v>0</v>
      </c>
      <c r="E390" t="b">
        <v>0</v>
      </c>
    </row>
    <row r="391" spans="1:11" x14ac:dyDescent="0.25">
      <c r="A391" s="2" t="s">
        <v>325</v>
      </c>
      <c r="B391" s="2" t="s">
        <v>222</v>
      </c>
      <c r="C391" s="2" t="s">
        <v>205</v>
      </c>
      <c r="D391" s="2" t="b">
        <v>0</v>
      </c>
      <c r="E391" s="2" t="b">
        <v>0</v>
      </c>
      <c r="F391" s="2"/>
      <c r="G391" s="2"/>
      <c r="H391" s="2"/>
      <c r="I391" s="2"/>
      <c r="J391" s="2"/>
      <c r="K391" s="2"/>
    </row>
    <row r="392" spans="1:11" x14ac:dyDescent="0.25">
      <c r="A392" t="s">
        <v>331</v>
      </c>
      <c r="B392" t="s">
        <v>233</v>
      </c>
      <c r="C392" t="s">
        <v>157</v>
      </c>
      <c r="D392" t="b">
        <v>0</v>
      </c>
      <c r="E392" t="b">
        <v>0</v>
      </c>
      <c r="G392" t="s">
        <v>116</v>
      </c>
      <c r="H392" t="s">
        <v>233</v>
      </c>
      <c r="I392" t="s">
        <v>157</v>
      </c>
      <c r="J392" t="b">
        <v>0</v>
      </c>
      <c r="K392" t="b">
        <v>0</v>
      </c>
    </row>
    <row r="393" spans="1:11" s="2" customFormat="1" x14ac:dyDescent="0.25">
      <c r="A393" t="s">
        <v>331</v>
      </c>
      <c r="B393" t="s">
        <v>332</v>
      </c>
      <c r="C393" t="s">
        <v>164</v>
      </c>
      <c r="D393" t="b">
        <v>0</v>
      </c>
      <c r="E393" t="b">
        <v>0</v>
      </c>
      <c r="G393" t="s">
        <v>116</v>
      </c>
      <c r="H393" t="s">
        <v>332</v>
      </c>
      <c r="I393" t="s">
        <v>164</v>
      </c>
      <c r="J393" t="b">
        <v>0</v>
      </c>
      <c r="K393" t="b">
        <v>0</v>
      </c>
    </row>
    <row r="394" spans="1:11" x14ac:dyDescent="0.25">
      <c r="A394" t="s">
        <v>331</v>
      </c>
      <c r="B394" t="s">
        <v>179</v>
      </c>
      <c r="C394" t="s">
        <v>157</v>
      </c>
      <c r="D394" t="b">
        <v>1</v>
      </c>
      <c r="E394" t="b">
        <v>1</v>
      </c>
      <c r="G394" t="s">
        <v>116</v>
      </c>
      <c r="H394" t="s">
        <v>179</v>
      </c>
      <c r="I394" t="s">
        <v>157</v>
      </c>
      <c r="J394" t="b">
        <v>1</v>
      </c>
      <c r="K394" t="b">
        <v>0</v>
      </c>
    </row>
    <row r="395" spans="1:11" x14ac:dyDescent="0.25">
      <c r="A395" t="s">
        <v>331</v>
      </c>
      <c r="B395" t="s">
        <v>181</v>
      </c>
      <c r="C395" t="s">
        <v>182</v>
      </c>
      <c r="D395" t="b">
        <v>0</v>
      </c>
      <c r="E395" t="b">
        <v>0</v>
      </c>
      <c r="G395" t="s">
        <v>116</v>
      </c>
      <c r="H395" t="s">
        <v>181</v>
      </c>
      <c r="I395" t="s">
        <v>182</v>
      </c>
      <c r="J395" t="b">
        <v>0</v>
      </c>
      <c r="K395" t="b">
        <v>0</v>
      </c>
    </row>
    <row r="396" spans="1:11" x14ac:dyDescent="0.25">
      <c r="A396" t="s">
        <v>331</v>
      </c>
      <c r="B396" t="s">
        <v>245</v>
      </c>
      <c r="C396" t="s">
        <v>157</v>
      </c>
      <c r="D396" t="b">
        <v>0</v>
      </c>
      <c r="E396" t="b">
        <v>0</v>
      </c>
      <c r="G396" t="s">
        <v>116</v>
      </c>
      <c r="H396" t="s">
        <v>245</v>
      </c>
      <c r="I396" t="s">
        <v>157</v>
      </c>
      <c r="J396" t="b">
        <v>0</v>
      </c>
      <c r="K396" t="b">
        <v>0</v>
      </c>
    </row>
    <row r="397" spans="1:11" x14ac:dyDescent="0.25">
      <c r="A397" t="s">
        <v>331</v>
      </c>
      <c r="B397" t="s">
        <v>333</v>
      </c>
      <c r="C397" t="s">
        <v>157</v>
      </c>
      <c r="D397" t="b">
        <v>0</v>
      </c>
      <c r="E397" t="b">
        <v>0</v>
      </c>
      <c r="G397" t="s">
        <v>116</v>
      </c>
      <c r="H397" t="s">
        <v>333</v>
      </c>
      <c r="I397" t="s">
        <v>157</v>
      </c>
      <c r="J397" t="b">
        <v>0</v>
      </c>
      <c r="K397" t="b">
        <v>0</v>
      </c>
    </row>
    <row r="398" spans="1:11" x14ac:dyDescent="0.25">
      <c r="A398" t="s">
        <v>331</v>
      </c>
      <c r="B398" t="s">
        <v>334</v>
      </c>
      <c r="C398" t="s">
        <v>160</v>
      </c>
      <c r="D398" t="b">
        <v>0</v>
      </c>
      <c r="E398" t="b">
        <v>0</v>
      </c>
    </row>
    <row r="399" spans="1:11" x14ac:dyDescent="0.25">
      <c r="A399" t="s">
        <v>331</v>
      </c>
      <c r="B399" t="s">
        <v>203</v>
      </c>
      <c r="C399" t="s">
        <v>154</v>
      </c>
      <c r="D399" t="b">
        <v>0</v>
      </c>
      <c r="E399" t="b">
        <v>0</v>
      </c>
      <c r="G399" t="s">
        <v>116</v>
      </c>
      <c r="H399" t="s">
        <v>203</v>
      </c>
      <c r="I399" t="s">
        <v>154</v>
      </c>
      <c r="J399" t="b">
        <v>0</v>
      </c>
      <c r="K399" t="b">
        <v>0</v>
      </c>
    </row>
    <row r="400" spans="1:11" x14ac:dyDescent="0.25">
      <c r="A400" t="s">
        <v>331</v>
      </c>
      <c r="B400" t="s">
        <v>208</v>
      </c>
      <c r="C400" t="s">
        <v>157</v>
      </c>
      <c r="D400" t="b">
        <v>0</v>
      </c>
      <c r="E400" t="b">
        <v>0</v>
      </c>
      <c r="G400" t="s">
        <v>116</v>
      </c>
      <c r="H400" t="s">
        <v>208</v>
      </c>
      <c r="I400" t="s">
        <v>157</v>
      </c>
      <c r="J400" t="b">
        <v>0</v>
      </c>
      <c r="K400" t="b">
        <v>0</v>
      </c>
    </row>
    <row r="401" spans="1:11" x14ac:dyDescent="0.25">
      <c r="A401" t="s">
        <v>331</v>
      </c>
      <c r="B401" t="s">
        <v>214</v>
      </c>
      <c r="C401" t="s">
        <v>157</v>
      </c>
      <c r="D401" t="b">
        <v>0</v>
      </c>
      <c r="E401" t="b">
        <v>0</v>
      </c>
      <c r="G401" t="s">
        <v>116</v>
      </c>
      <c r="H401" t="s">
        <v>214</v>
      </c>
      <c r="I401" t="s">
        <v>157</v>
      </c>
      <c r="J401" t="b">
        <v>0</v>
      </c>
      <c r="K401" t="b">
        <v>0</v>
      </c>
    </row>
    <row r="402" spans="1:11" x14ac:dyDescent="0.25">
      <c r="A402" t="s">
        <v>331</v>
      </c>
      <c r="B402" t="s">
        <v>215</v>
      </c>
      <c r="C402" t="s">
        <v>205</v>
      </c>
      <c r="D402" t="b">
        <v>0</v>
      </c>
      <c r="E402" t="b">
        <v>0</v>
      </c>
      <c r="G402" t="s">
        <v>116</v>
      </c>
      <c r="H402" t="s">
        <v>215</v>
      </c>
      <c r="I402" t="s">
        <v>205</v>
      </c>
      <c r="J402" t="b">
        <v>0</v>
      </c>
      <c r="K402" t="b">
        <v>0</v>
      </c>
    </row>
    <row r="403" spans="1:11" x14ac:dyDescent="0.25">
      <c r="A403" t="s">
        <v>331</v>
      </c>
      <c r="B403" t="s">
        <v>216</v>
      </c>
      <c r="C403" t="s">
        <v>154</v>
      </c>
      <c r="D403" t="b">
        <v>0</v>
      </c>
      <c r="E403" t="b">
        <v>0</v>
      </c>
      <c r="G403" t="s">
        <v>116</v>
      </c>
      <c r="H403" t="s">
        <v>216</v>
      </c>
      <c r="I403" t="s">
        <v>154</v>
      </c>
      <c r="J403" t="b">
        <v>0</v>
      </c>
      <c r="K403" t="b">
        <v>0</v>
      </c>
    </row>
    <row r="404" spans="1:11" x14ac:dyDescent="0.25">
      <c r="A404" t="s">
        <v>331</v>
      </c>
      <c r="B404" t="s">
        <v>217</v>
      </c>
      <c r="C404" t="s">
        <v>205</v>
      </c>
      <c r="D404" t="b">
        <v>0</v>
      </c>
      <c r="E404" t="b">
        <v>0</v>
      </c>
    </row>
    <row r="405" spans="1:11" x14ac:dyDescent="0.25">
      <c r="A405" t="s">
        <v>331</v>
      </c>
      <c r="B405" t="s">
        <v>218</v>
      </c>
      <c r="C405" t="s">
        <v>157</v>
      </c>
      <c r="D405" t="b">
        <v>0</v>
      </c>
      <c r="E405" t="b">
        <v>0</v>
      </c>
    </row>
    <row r="406" spans="1:11" x14ac:dyDescent="0.25">
      <c r="A406" t="s">
        <v>331</v>
      </c>
      <c r="B406" t="s">
        <v>219</v>
      </c>
      <c r="C406" t="s">
        <v>157</v>
      </c>
      <c r="D406" t="b">
        <v>0</v>
      </c>
      <c r="E406" t="b">
        <v>0</v>
      </c>
    </row>
    <row r="407" spans="1:11" x14ac:dyDescent="0.25">
      <c r="A407" t="s">
        <v>331</v>
      </c>
      <c r="B407" t="s">
        <v>220</v>
      </c>
      <c r="C407" t="s">
        <v>205</v>
      </c>
      <c r="D407" t="b">
        <v>0</v>
      </c>
      <c r="E407" t="b">
        <v>0</v>
      </c>
    </row>
    <row r="408" spans="1:11" x14ac:dyDescent="0.25">
      <c r="A408" t="s">
        <v>331</v>
      </c>
      <c r="B408" t="s">
        <v>221</v>
      </c>
      <c r="C408" t="s">
        <v>205</v>
      </c>
      <c r="D408" t="b">
        <v>0</v>
      </c>
      <c r="E408" t="b">
        <v>0</v>
      </c>
    </row>
    <row r="409" spans="1:11" x14ac:dyDescent="0.25">
      <c r="A409" s="2" t="s">
        <v>331</v>
      </c>
      <c r="B409" s="2" t="s">
        <v>222</v>
      </c>
      <c r="C409" s="2" t="s">
        <v>205</v>
      </c>
      <c r="D409" s="2" t="b">
        <v>0</v>
      </c>
      <c r="E409" s="2" t="b">
        <v>0</v>
      </c>
      <c r="F409" s="2"/>
      <c r="G409" s="2"/>
      <c r="H409" s="2"/>
      <c r="I409" s="2"/>
      <c r="J409" s="2"/>
      <c r="K409" s="2"/>
    </row>
    <row r="410" spans="1:11" x14ac:dyDescent="0.25">
      <c r="A410" t="s">
        <v>335</v>
      </c>
      <c r="B410" t="s">
        <v>233</v>
      </c>
      <c r="C410" t="s">
        <v>157</v>
      </c>
      <c r="D410" t="b">
        <v>0</v>
      </c>
      <c r="E410" t="b">
        <v>0</v>
      </c>
      <c r="G410" t="s">
        <v>121</v>
      </c>
      <c r="H410" t="s">
        <v>233</v>
      </c>
      <c r="I410" t="s">
        <v>157</v>
      </c>
      <c r="J410" t="b">
        <v>0</v>
      </c>
      <c r="K410" t="b">
        <v>0</v>
      </c>
    </row>
    <row r="411" spans="1:11" s="2" customFormat="1" x14ac:dyDescent="0.25">
      <c r="A411" t="s">
        <v>335</v>
      </c>
      <c r="B411" t="s">
        <v>273</v>
      </c>
      <c r="C411" t="s">
        <v>157</v>
      </c>
      <c r="D411" t="b">
        <v>0</v>
      </c>
      <c r="E411" t="b">
        <v>0</v>
      </c>
      <c r="G411" t="s">
        <v>121</v>
      </c>
      <c r="H411" t="s">
        <v>273</v>
      </c>
      <c r="I411" t="s">
        <v>157</v>
      </c>
      <c r="J411" t="b">
        <v>0</v>
      </c>
      <c r="K411" t="b">
        <v>0</v>
      </c>
    </row>
    <row r="412" spans="1:11" x14ac:dyDescent="0.25">
      <c r="A412" t="s">
        <v>335</v>
      </c>
      <c r="B412" t="s">
        <v>336</v>
      </c>
      <c r="C412" t="s">
        <v>157</v>
      </c>
      <c r="D412" t="b">
        <v>0</v>
      </c>
      <c r="E412" t="b">
        <v>0</v>
      </c>
      <c r="G412" t="s">
        <v>121</v>
      </c>
      <c r="H412" t="s">
        <v>336</v>
      </c>
      <c r="I412" t="s">
        <v>157</v>
      </c>
      <c r="J412" t="b">
        <v>0</v>
      </c>
      <c r="K412" t="b">
        <v>0</v>
      </c>
    </row>
    <row r="413" spans="1:11" x14ac:dyDescent="0.25">
      <c r="A413" t="s">
        <v>335</v>
      </c>
      <c r="B413" t="s">
        <v>337</v>
      </c>
      <c r="C413" t="s">
        <v>164</v>
      </c>
      <c r="D413" t="b">
        <v>0</v>
      </c>
      <c r="E413" t="b">
        <v>0</v>
      </c>
      <c r="G413" t="s">
        <v>121</v>
      </c>
      <c r="H413" t="s">
        <v>337</v>
      </c>
      <c r="I413" t="s">
        <v>164</v>
      </c>
      <c r="J413" t="b">
        <v>0</v>
      </c>
      <c r="K413" t="b">
        <v>0</v>
      </c>
    </row>
    <row r="414" spans="1:11" x14ac:dyDescent="0.25">
      <c r="A414" t="s">
        <v>335</v>
      </c>
      <c r="B414" t="s">
        <v>274</v>
      </c>
      <c r="C414" t="s">
        <v>157</v>
      </c>
      <c r="D414" t="b">
        <v>0</v>
      </c>
      <c r="E414" t="b">
        <v>0</v>
      </c>
      <c r="G414" t="s">
        <v>121</v>
      </c>
      <c r="H414" t="s">
        <v>274</v>
      </c>
      <c r="I414" t="s">
        <v>157</v>
      </c>
      <c r="J414" t="b">
        <v>0</v>
      </c>
      <c r="K414" t="b">
        <v>0</v>
      </c>
    </row>
    <row r="415" spans="1:11" x14ac:dyDescent="0.25">
      <c r="A415" t="s">
        <v>335</v>
      </c>
      <c r="B415" t="s">
        <v>179</v>
      </c>
      <c r="C415" t="s">
        <v>157</v>
      </c>
      <c r="D415" t="b">
        <v>1</v>
      </c>
      <c r="E415" t="b">
        <v>1</v>
      </c>
      <c r="G415" t="s">
        <v>121</v>
      </c>
      <c r="H415" t="s">
        <v>179</v>
      </c>
      <c r="I415" t="s">
        <v>157</v>
      </c>
      <c r="J415" t="b">
        <v>1</v>
      </c>
      <c r="K415" t="b">
        <v>0</v>
      </c>
    </row>
    <row r="416" spans="1:11" x14ac:dyDescent="0.25">
      <c r="A416" t="s">
        <v>335</v>
      </c>
      <c r="B416" t="s">
        <v>180</v>
      </c>
      <c r="C416" t="s">
        <v>160</v>
      </c>
      <c r="D416" t="b">
        <v>0</v>
      </c>
      <c r="E416" t="b">
        <v>0</v>
      </c>
    </row>
    <row r="417" spans="1:11" x14ac:dyDescent="0.25">
      <c r="A417" t="s">
        <v>335</v>
      </c>
      <c r="B417" t="s">
        <v>181</v>
      </c>
      <c r="C417" t="s">
        <v>182</v>
      </c>
      <c r="D417" t="b">
        <v>0</v>
      </c>
      <c r="E417" t="b">
        <v>0</v>
      </c>
      <c r="G417" t="s">
        <v>121</v>
      </c>
      <c r="H417" t="s">
        <v>181</v>
      </c>
      <c r="I417" t="s">
        <v>182</v>
      </c>
      <c r="J417" t="b">
        <v>0</v>
      </c>
      <c r="K417" t="b">
        <v>0</v>
      </c>
    </row>
    <row r="418" spans="1:11" x14ac:dyDescent="0.25">
      <c r="A418" t="s">
        <v>335</v>
      </c>
      <c r="B418" t="s">
        <v>338</v>
      </c>
      <c r="C418" t="s">
        <v>157</v>
      </c>
      <c r="D418" t="b">
        <v>0</v>
      </c>
      <c r="E418" t="b">
        <v>0</v>
      </c>
      <c r="G418" t="s">
        <v>121</v>
      </c>
      <c r="H418" t="s">
        <v>338</v>
      </c>
      <c r="I418" t="s">
        <v>157</v>
      </c>
      <c r="J418" t="b">
        <v>0</v>
      </c>
      <c r="K418" t="b">
        <v>0</v>
      </c>
    </row>
    <row r="419" spans="1:11" x14ac:dyDescent="0.25">
      <c r="A419" t="s">
        <v>335</v>
      </c>
      <c r="B419" t="s">
        <v>339</v>
      </c>
      <c r="C419" t="s">
        <v>157</v>
      </c>
      <c r="D419" t="b">
        <v>0</v>
      </c>
      <c r="E419" t="b">
        <v>0</v>
      </c>
      <c r="G419" t="s">
        <v>121</v>
      </c>
      <c r="H419" t="s">
        <v>339</v>
      </c>
      <c r="I419" t="s">
        <v>157</v>
      </c>
      <c r="J419" t="b">
        <v>0</v>
      </c>
      <c r="K419" t="b">
        <v>0</v>
      </c>
    </row>
    <row r="420" spans="1:11" x14ac:dyDescent="0.25">
      <c r="A420" t="s">
        <v>335</v>
      </c>
      <c r="B420" t="s">
        <v>203</v>
      </c>
      <c r="C420" t="s">
        <v>154</v>
      </c>
      <c r="D420" t="b">
        <v>0</v>
      </c>
      <c r="E420" t="b">
        <v>0</v>
      </c>
      <c r="G420" t="s">
        <v>121</v>
      </c>
      <c r="H420" t="s">
        <v>203</v>
      </c>
      <c r="I420" t="s">
        <v>154</v>
      </c>
      <c r="J420" t="b">
        <v>0</v>
      </c>
      <c r="K420" t="b">
        <v>0</v>
      </c>
    </row>
    <row r="421" spans="1:11" x14ac:dyDescent="0.25">
      <c r="A421" t="s">
        <v>335</v>
      </c>
      <c r="B421" t="s">
        <v>214</v>
      </c>
      <c r="C421" t="s">
        <v>157</v>
      </c>
      <c r="D421" t="b">
        <v>0</v>
      </c>
      <c r="E421" t="b">
        <v>0</v>
      </c>
      <c r="G421" t="s">
        <v>121</v>
      </c>
      <c r="H421" t="s">
        <v>214</v>
      </c>
      <c r="I421" t="s">
        <v>157</v>
      </c>
      <c r="J421" t="b">
        <v>0</v>
      </c>
      <c r="K421" t="b">
        <v>0</v>
      </c>
    </row>
    <row r="422" spans="1:11" x14ac:dyDescent="0.25">
      <c r="A422" t="s">
        <v>335</v>
      </c>
      <c r="B422" t="s">
        <v>215</v>
      </c>
      <c r="C422" t="s">
        <v>205</v>
      </c>
      <c r="D422" t="b">
        <v>0</v>
      </c>
      <c r="E422" t="b">
        <v>0</v>
      </c>
      <c r="G422" t="s">
        <v>121</v>
      </c>
      <c r="H422" t="s">
        <v>215</v>
      </c>
      <c r="I422" t="s">
        <v>205</v>
      </c>
      <c r="J422" t="b">
        <v>0</v>
      </c>
      <c r="K422" t="b">
        <v>0</v>
      </c>
    </row>
    <row r="423" spans="1:11" x14ac:dyDescent="0.25">
      <c r="A423" t="s">
        <v>335</v>
      </c>
      <c r="B423" t="s">
        <v>216</v>
      </c>
      <c r="C423" t="s">
        <v>154</v>
      </c>
      <c r="D423" t="b">
        <v>0</v>
      </c>
      <c r="E423" t="b">
        <v>0</v>
      </c>
      <c r="G423" t="s">
        <v>121</v>
      </c>
      <c r="H423" t="s">
        <v>216</v>
      </c>
      <c r="I423" t="s">
        <v>154</v>
      </c>
      <c r="J423" t="b">
        <v>0</v>
      </c>
      <c r="K423" t="b">
        <v>0</v>
      </c>
    </row>
    <row r="424" spans="1:11" x14ac:dyDescent="0.25">
      <c r="A424" t="s">
        <v>335</v>
      </c>
      <c r="B424" t="s">
        <v>217</v>
      </c>
      <c r="C424" t="s">
        <v>205</v>
      </c>
      <c r="D424" t="b">
        <v>0</v>
      </c>
      <c r="E424" t="b">
        <v>0</v>
      </c>
    </row>
    <row r="425" spans="1:11" x14ac:dyDescent="0.25">
      <c r="A425" t="s">
        <v>335</v>
      </c>
      <c r="B425" t="s">
        <v>218</v>
      </c>
      <c r="C425" t="s">
        <v>157</v>
      </c>
      <c r="D425" t="b">
        <v>0</v>
      </c>
      <c r="E425" t="b">
        <v>0</v>
      </c>
    </row>
    <row r="426" spans="1:11" x14ac:dyDescent="0.25">
      <c r="A426" t="s">
        <v>335</v>
      </c>
      <c r="B426" t="s">
        <v>219</v>
      </c>
      <c r="C426" t="s">
        <v>157</v>
      </c>
      <c r="D426" t="b">
        <v>0</v>
      </c>
      <c r="E426" t="b">
        <v>0</v>
      </c>
    </row>
    <row r="427" spans="1:11" x14ac:dyDescent="0.25">
      <c r="A427" t="s">
        <v>335</v>
      </c>
      <c r="B427" t="s">
        <v>220</v>
      </c>
      <c r="C427" t="s">
        <v>205</v>
      </c>
      <c r="D427" t="b">
        <v>0</v>
      </c>
      <c r="E427" t="b">
        <v>0</v>
      </c>
    </row>
    <row r="428" spans="1:11" x14ac:dyDescent="0.25">
      <c r="A428" t="s">
        <v>335</v>
      </c>
      <c r="B428" t="s">
        <v>221</v>
      </c>
      <c r="C428" t="s">
        <v>205</v>
      </c>
      <c r="D428" t="b">
        <v>0</v>
      </c>
      <c r="E428" t="b">
        <v>0</v>
      </c>
    </row>
    <row r="429" spans="1:11" x14ac:dyDescent="0.25">
      <c r="A429" s="2" t="s">
        <v>335</v>
      </c>
      <c r="B429" s="2" t="s">
        <v>222</v>
      </c>
      <c r="C429" s="2" t="s">
        <v>205</v>
      </c>
      <c r="D429" s="2" t="b">
        <v>0</v>
      </c>
      <c r="E429" s="2" t="b">
        <v>0</v>
      </c>
      <c r="F429" s="2"/>
      <c r="G429" s="2"/>
      <c r="H429" s="2"/>
      <c r="I429" s="2"/>
      <c r="J429" s="2"/>
      <c r="K429" s="2"/>
    </row>
    <row r="430" spans="1:11" x14ac:dyDescent="0.25">
      <c r="A430" t="s">
        <v>340</v>
      </c>
      <c r="B430" t="s">
        <v>162</v>
      </c>
      <c r="C430" t="s">
        <v>157</v>
      </c>
      <c r="D430" t="b">
        <v>0</v>
      </c>
      <c r="E430" t="b">
        <v>0</v>
      </c>
      <c r="G430" t="s">
        <v>126</v>
      </c>
      <c r="H430" t="s">
        <v>162</v>
      </c>
      <c r="I430" t="s">
        <v>157</v>
      </c>
      <c r="J430" t="b">
        <v>0</v>
      </c>
      <c r="K430" t="b">
        <v>0</v>
      </c>
    </row>
    <row r="431" spans="1:11" s="2" customFormat="1" x14ac:dyDescent="0.25">
      <c r="A431" t="s">
        <v>340</v>
      </c>
      <c r="B431" t="s">
        <v>165</v>
      </c>
      <c r="C431" t="s">
        <v>157</v>
      </c>
      <c r="D431" t="b">
        <v>0</v>
      </c>
      <c r="E431" t="b">
        <v>0</v>
      </c>
      <c r="G431" t="s">
        <v>126</v>
      </c>
      <c r="H431" t="s">
        <v>165</v>
      </c>
      <c r="I431" t="s">
        <v>157</v>
      </c>
      <c r="J431" t="b">
        <v>0</v>
      </c>
      <c r="K431" t="b">
        <v>0</v>
      </c>
    </row>
    <row r="432" spans="1:11" x14ac:dyDescent="0.25">
      <c r="A432" t="s">
        <v>340</v>
      </c>
      <c r="B432" t="s">
        <v>166</v>
      </c>
      <c r="C432" t="s">
        <v>160</v>
      </c>
      <c r="D432" t="b">
        <v>0</v>
      </c>
      <c r="E432" t="b">
        <v>0</v>
      </c>
    </row>
    <row r="433" spans="1:11" x14ac:dyDescent="0.25">
      <c r="A433" t="s">
        <v>340</v>
      </c>
      <c r="B433" t="s">
        <v>167</v>
      </c>
      <c r="C433" t="s">
        <v>157</v>
      </c>
      <c r="D433" t="b">
        <v>0</v>
      </c>
      <c r="E433" t="b">
        <v>0</v>
      </c>
      <c r="G433" t="s">
        <v>126</v>
      </c>
      <c r="H433" t="s">
        <v>167</v>
      </c>
      <c r="I433" t="s">
        <v>157</v>
      </c>
      <c r="J433" t="b">
        <v>0</v>
      </c>
      <c r="K433" t="b">
        <v>0</v>
      </c>
    </row>
    <row r="434" spans="1:11" x14ac:dyDescent="0.25">
      <c r="A434" t="s">
        <v>340</v>
      </c>
      <c r="B434" t="s">
        <v>168</v>
      </c>
      <c r="C434" t="s">
        <v>157</v>
      </c>
      <c r="D434" t="b">
        <v>0</v>
      </c>
      <c r="E434" t="b">
        <v>0</v>
      </c>
      <c r="G434" t="s">
        <v>126</v>
      </c>
      <c r="H434" t="s">
        <v>168</v>
      </c>
      <c r="I434" t="s">
        <v>157</v>
      </c>
      <c r="J434" t="b">
        <v>0</v>
      </c>
      <c r="K434" t="b">
        <v>0</v>
      </c>
    </row>
    <row r="435" spans="1:11" x14ac:dyDescent="0.25">
      <c r="A435" t="s">
        <v>340</v>
      </c>
      <c r="B435" t="s">
        <v>169</v>
      </c>
      <c r="C435" t="s">
        <v>154</v>
      </c>
      <c r="D435" t="b">
        <v>0</v>
      </c>
      <c r="E435" t="b">
        <v>0</v>
      </c>
      <c r="G435" t="s">
        <v>126</v>
      </c>
      <c r="H435" t="s">
        <v>169</v>
      </c>
      <c r="I435" t="s">
        <v>154</v>
      </c>
      <c r="J435" t="b">
        <v>0</v>
      </c>
      <c r="K435" t="b">
        <v>0</v>
      </c>
    </row>
    <row r="436" spans="1:11" x14ac:dyDescent="0.25">
      <c r="A436" t="s">
        <v>340</v>
      </c>
      <c r="B436" t="s">
        <v>170</v>
      </c>
      <c r="C436" t="s">
        <v>157</v>
      </c>
      <c r="D436" t="b">
        <v>0</v>
      </c>
      <c r="E436" t="b">
        <v>0</v>
      </c>
      <c r="G436" t="s">
        <v>126</v>
      </c>
      <c r="H436" t="s">
        <v>170</v>
      </c>
      <c r="I436" t="s">
        <v>157</v>
      </c>
      <c r="J436" t="b">
        <v>0</v>
      </c>
      <c r="K436" t="b">
        <v>0</v>
      </c>
    </row>
    <row r="437" spans="1:11" x14ac:dyDescent="0.25">
      <c r="A437" t="s">
        <v>340</v>
      </c>
      <c r="B437" t="s">
        <v>172</v>
      </c>
      <c r="C437" t="s">
        <v>157</v>
      </c>
      <c r="D437" t="b">
        <v>0</v>
      </c>
      <c r="E437" t="b">
        <v>0</v>
      </c>
      <c r="G437" t="s">
        <v>126</v>
      </c>
      <c r="H437" t="s">
        <v>172</v>
      </c>
      <c r="I437" t="s">
        <v>157</v>
      </c>
      <c r="J437" t="b">
        <v>0</v>
      </c>
      <c r="K437" t="b">
        <v>0</v>
      </c>
    </row>
    <row r="438" spans="1:11" x14ac:dyDescent="0.25">
      <c r="A438" t="s">
        <v>340</v>
      </c>
      <c r="B438" t="s">
        <v>174</v>
      </c>
      <c r="C438" t="s">
        <v>154</v>
      </c>
      <c r="D438" t="b">
        <v>0</v>
      </c>
      <c r="E438" t="b">
        <v>0</v>
      </c>
      <c r="G438" t="s">
        <v>126</v>
      </c>
      <c r="H438" t="s">
        <v>174</v>
      </c>
      <c r="I438" t="s">
        <v>154</v>
      </c>
      <c r="J438" t="b">
        <v>0</v>
      </c>
      <c r="K438" t="b">
        <v>0</v>
      </c>
    </row>
    <row r="439" spans="1:11" x14ac:dyDescent="0.25">
      <c r="A439" t="s">
        <v>340</v>
      </c>
      <c r="B439" t="s">
        <v>175</v>
      </c>
      <c r="C439" t="s">
        <v>157</v>
      </c>
      <c r="D439" t="b">
        <v>0</v>
      </c>
      <c r="E439" t="b">
        <v>0</v>
      </c>
      <c r="G439" t="s">
        <v>126</v>
      </c>
      <c r="H439" t="s">
        <v>175</v>
      </c>
      <c r="I439" t="s">
        <v>157</v>
      </c>
      <c r="J439" t="b">
        <v>0</v>
      </c>
      <c r="K439" t="b">
        <v>0</v>
      </c>
    </row>
    <row r="440" spans="1:11" x14ac:dyDescent="0.25">
      <c r="A440" t="s">
        <v>340</v>
      </c>
      <c r="B440" t="s">
        <v>176</v>
      </c>
      <c r="C440" t="s">
        <v>157</v>
      </c>
      <c r="D440" t="b">
        <v>0</v>
      </c>
      <c r="E440" t="b">
        <v>0</v>
      </c>
      <c r="G440" t="s">
        <v>126</v>
      </c>
      <c r="H440" t="s">
        <v>176</v>
      </c>
      <c r="I440" t="s">
        <v>157</v>
      </c>
      <c r="J440" t="b">
        <v>0</v>
      </c>
      <c r="K440" t="b">
        <v>0</v>
      </c>
    </row>
    <row r="441" spans="1:11" x14ac:dyDescent="0.25">
      <c r="A441" t="s">
        <v>340</v>
      </c>
      <c r="B441" t="s">
        <v>341</v>
      </c>
      <c r="C441" t="s">
        <v>157</v>
      </c>
      <c r="D441" t="b">
        <v>0</v>
      </c>
      <c r="E441" t="b">
        <v>0</v>
      </c>
      <c r="G441" t="s">
        <v>126</v>
      </c>
      <c r="H441" t="s">
        <v>341</v>
      </c>
      <c r="I441" t="s">
        <v>157</v>
      </c>
      <c r="J441" t="b">
        <v>0</v>
      </c>
      <c r="K441" t="b">
        <v>0</v>
      </c>
    </row>
    <row r="442" spans="1:11" x14ac:dyDescent="0.25">
      <c r="A442" t="s">
        <v>340</v>
      </c>
      <c r="B442" t="s">
        <v>177</v>
      </c>
      <c r="C442" t="s">
        <v>157</v>
      </c>
      <c r="D442" t="b">
        <v>0</v>
      </c>
      <c r="E442" t="b">
        <v>0</v>
      </c>
      <c r="G442" t="s">
        <v>126</v>
      </c>
      <c r="H442" t="s">
        <v>177</v>
      </c>
      <c r="I442" t="s">
        <v>157</v>
      </c>
      <c r="J442" t="b">
        <v>0</v>
      </c>
      <c r="K442" t="b">
        <v>0</v>
      </c>
    </row>
    <row r="443" spans="1:11" x14ac:dyDescent="0.25">
      <c r="A443" t="s">
        <v>340</v>
      </c>
      <c r="B443" t="s">
        <v>179</v>
      </c>
      <c r="C443" t="s">
        <v>157</v>
      </c>
      <c r="D443" t="b">
        <v>1</v>
      </c>
      <c r="E443" t="b">
        <v>1</v>
      </c>
      <c r="G443" t="s">
        <v>126</v>
      </c>
      <c r="H443" t="s">
        <v>179</v>
      </c>
      <c r="I443" t="s">
        <v>157</v>
      </c>
      <c r="J443" t="b">
        <v>1</v>
      </c>
      <c r="K443" t="b">
        <v>0</v>
      </c>
    </row>
    <row r="444" spans="1:11" x14ac:dyDescent="0.25">
      <c r="A444" t="s">
        <v>340</v>
      </c>
      <c r="B444" t="s">
        <v>180</v>
      </c>
      <c r="C444" t="s">
        <v>160</v>
      </c>
      <c r="D444" t="b">
        <v>0</v>
      </c>
      <c r="E444" t="b">
        <v>0</v>
      </c>
    </row>
    <row r="445" spans="1:11" x14ac:dyDescent="0.25">
      <c r="A445" t="s">
        <v>340</v>
      </c>
      <c r="B445" t="s">
        <v>181</v>
      </c>
      <c r="C445" t="s">
        <v>182</v>
      </c>
      <c r="D445" t="b">
        <v>0</v>
      </c>
      <c r="E445" t="b">
        <v>0</v>
      </c>
      <c r="G445" t="s">
        <v>126</v>
      </c>
      <c r="H445" t="s">
        <v>181</v>
      </c>
      <c r="I445" t="s">
        <v>182</v>
      </c>
      <c r="J445" t="b">
        <v>0</v>
      </c>
      <c r="K445" t="b">
        <v>0</v>
      </c>
    </row>
    <row r="446" spans="1:11" x14ac:dyDescent="0.25">
      <c r="A446" t="s">
        <v>340</v>
      </c>
      <c r="B446" t="s">
        <v>185</v>
      </c>
      <c r="C446" t="s">
        <v>154</v>
      </c>
      <c r="D446" t="b">
        <v>0</v>
      </c>
      <c r="E446" t="b">
        <v>0</v>
      </c>
      <c r="G446" t="s">
        <v>126</v>
      </c>
      <c r="H446" t="s">
        <v>185</v>
      </c>
      <c r="I446" t="s">
        <v>154</v>
      </c>
      <c r="J446" t="b">
        <v>0</v>
      </c>
      <c r="K446" t="b">
        <v>0</v>
      </c>
    </row>
    <row r="447" spans="1:11" x14ac:dyDescent="0.25">
      <c r="A447" t="s">
        <v>340</v>
      </c>
      <c r="B447" t="s">
        <v>342</v>
      </c>
      <c r="C447" t="s">
        <v>157</v>
      </c>
      <c r="D447" t="b">
        <v>0</v>
      </c>
      <c r="E447" t="b">
        <v>0</v>
      </c>
      <c r="G447" t="s">
        <v>126</v>
      </c>
      <c r="H447" t="s">
        <v>342</v>
      </c>
      <c r="I447" t="s">
        <v>157</v>
      </c>
      <c r="J447" t="b">
        <v>0</v>
      </c>
      <c r="K447" t="b">
        <v>0</v>
      </c>
    </row>
    <row r="448" spans="1:11" x14ac:dyDescent="0.25">
      <c r="A448" t="s">
        <v>340</v>
      </c>
      <c r="B448" t="s">
        <v>315</v>
      </c>
      <c r="C448" t="s">
        <v>157</v>
      </c>
      <c r="D448" t="b">
        <v>0</v>
      </c>
      <c r="E448" t="b">
        <v>0</v>
      </c>
      <c r="G448" t="s">
        <v>126</v>
      </c>
      <c r="H448" t="s">
        <v>315</v>
      </c>
      <c r="I448" t="s">
        <v>157</v>
      </c>
      <c r="J448" t="b">
        <v>0</v>
      </c>
      <c r="K448" t="b">
        <v>0</v>
      </c>
    </row>
    <row r="449" spans="1:11" x14ac:dyDescent="0.25">
      <c r="A449" t="s">
        <v>340</v>
      </c>
      <c r="B449" t="s">
        <v>316</v>
      </c>
      <c r="C449" t="s">
        <v>160</v>
      </c>
      <c r="D449" t="b">
        <v>0</v>
      </c>
      <c r="E449" t="b">
        <v>0</v>
      </c>
    </row>
    <row r="450" spans="1:11" x14ac:dyDescent="0.25">
      <c r="A450" t="s">
        <v>340</v>
      </c>
      <c r="B450" t="s">
        <v>187</v>
      </c>
      <c r="C450" t="s">
        <v>157</v>
      </c>
      <c r="D450" t="b">
        <v>0</v>
      </c>
      <c r="E450" t="b">
        <v>0</v>
      </c>
      <c r="G450" t="s">
        <v>126</v>
      </c>
      <c r="H450" t="s">
        <v>187</v>
      </c>
      <c r="I450" t="s">
        <v>157</v>
      </c>
      <c r="J450" t="b">
        <v>0</v>
      </c>
      <c r="K450" t="b">
        <v>0</v>
      </c>
    </row>
    <row r="451" spans="1:11" x14ac:dyDescent="0.25">
      <c r="A451" t="s">
        <v>340</v>
      </c>
      <c r="B451" t="s">
        <v>190</v>
      </c>
      <c r="C451" t="s">
        <v>157</v>
      </c>
      <c r="D451" t="b">
        <v>0</v>
      </c>
      <c r="E451" t="b">
        <v>0</v>
      </c>
      <c r="G451" t="s">
        <v>126</v>
      </c>
      <c r="H451" t="s">
        <v>190</v>
      </c>
      <c r="I451" t="s">
        <v>157</v>
      </c>
      <c r="J451" t="b">
        <v>0</v>
      </c>
      <c r="K451" t="b">
        <v>0</v>
      </c>
    </row>
    <row r="452" spans="1:11" x14ac:dyDescent="0.25">
      <c r="A452" t="s">
        <v>340</v>
      </c>
      <c r="B452" t="s">
        <v>191</v>
      </c>
      <c r="C452" t="s">
        <v>160</v>
      </c>
      <c r="D452" t="b">
        <v>0</v>
      </c>
      <c r="E452" t="b">
        <v>0</v>
      </c>
    </row>
    <row r="453" spans="1:11" x14ac:dyDescent="0.25">
      <c r="A453" t="s">
        <v>340</v>
      </c>
      <c r="B453" t="s">
        <v>197</v>
      </c>
      <c r="C453" t="s">
        <v>154</v>
      </c>
      <c r="D453" t="b">
        <v>0</v>
      </c>
      <c r="E453" t="b">
        <v>0</v>
      </c>
      <c r="G453" t="s">
        <v>126</v>
      </c>
      <c r="H453" t="s">
        <v>197</v>
      </c>
      <c r="I453" t="s">
        <v>154</v>
      </c>
      <c r="J453" t="b">
        <v>0</v>
      </c>
      <c r="K453" t="b">
        <v>0</v>
      </c>
    </row>
    <row r="454" spans="1:11" x14ac:dyDescent="0.25">
      <c r="A454" t="s">
        <v>340</v>
      </c>
      <c r="B454" t="s">
        <v>198</v>
      </c>
      <c r="C454" t="s">
        <v>157</v>
      </c>
      <c r="D454" t="b">
        <v>0</v>
      </c>
      <c r="E454" t="b">
        <v>0</v>
      </c>
      <c r="G454" t="s">
        <v>126</v>
      </c>
      <c r="H454" t="s">
        <v>198</v>
      </c>
      <c r="I454" t="s">
        <v>157</v>
      </c>
      <c r="J454" t="b">
        <v>0</v>
      </c>
      <c r="K454" t="b">
        <v>0</v>
      </c>
    </row>
    <row r="455" spans="1:11" x14ac:dyDescent="0.25">
      <c r="A455" t="s">
        <v>340</v>
      </c>
      <c r="B455" t="s">
        <v>199</v>
      </c>
      <c r="C455" t="s">
        <v>160</v>
      </c>
      <c r="D455" t="b">
        <v>0</v>
      </c>
      <c r="E455" t="b">
        <v>0</v>
      </c>
    </row>
    <row r="456" spans="1:11" x14ac:dyDescent="0.25">
      <c r="A456" t="s">
        <v>340</v>
      </c>
      <c r="B456" t="s">
        <v>200</v>
      </c>
      <c r="C456" t="s">
        <v>157</v>
      </c>
      <c r="D456" t="b">
        <v>0</v>
      </c>
      <c r="E456" t="b">
        <v>0</v>
      </c>
      <c r="G456" t="s">
        <v>126</v>
      </c>
      <c r="H456" t="s">
        <v>200</v>
      </c>
      <c r="I456" t="s">
        <v>157</v>
      </c>
      <c r="J456" t="b">
        <v>0</v>
      </c>
      <c r="K456" t="b">
        <v>0</v>
      </c>
    </row>
    <row r="457" spans="1:11" x14ac:dyDescent="0.25">
      <c r="A457" t="s">
        <v>340</v>
      </c>
      <c r="B457" t="s">
        <v>201</v>
      </c>
      <c r="C457" t="s">
        <v>157</v>
      </c>
      <c r="D457" t="b">
        <v>0</v>
      </c>
      <c r="E457" t="b">
        <v>0</v>
      </c>
      <c r="G457" t="s">
        <v>126</v>
      </c>
      <c r="H457" t="s">
        <v>201</v>
      </c>
      <c r="I457" t="s">
        <v>157</v>
      </c>
      <c r="J457" t="b">
        <v>0</v>
      </c>
      <c r="K457" t="b">
        <v>0</v>
      </c>
    </row>
    <row r="458" spans="1:11" x14ac:dyDescent="0.25">
      <c r="A458" t="s">
        <v>340</v>
      </c>
      <c r="B458" t="s">
        <v>202</v>
      </c>
      <c r="C458" t="s">
        <v>157</v>
      </c>
      <c r="D458" t="b">
        <v>0</v>
      </c>
      <c r="E458" t="b">
        <v>0</v>
      </c>
      <c r="G458" t="s">
        <v>126</v>
      </c>
      <c r="H458" t="s">
        <v>202</v>
      </c>
      <c r="I458" t="s">
        <v>157</v>
      </c>
      <c r="J458" t="b">
        <v>0</v>
      </c>
      <c r="K458" t="b">
        <v>0</v>
      </c>
    </row>
    <row r="459" spans="1:11" x14ac:dyDescent="0.25">
      <c r="A459" t="s">
        <v>340</v>
      </c>
      <c r="B459" t="s">
        <v>203</v>
      </c>
      <c r="C459" t="s">
        <v>154</v>
      </c>
      <c r="D459" t="b">
        <v>0</v>
      </c>
      <c r="E459" t="b">
        <v>0</v>
      </c>
      <c r="G459" t="s">
        <v>126</v>
      </c>
      <c r="H459" t="s">
        <v>203</v>
      </c>
      <c r="I459" t="s">
        <v>154</v>
      </c>
      <c r="J459" t="b">
        <v>0</v>
      </c>
      <c r="K459" t="b">
        <v>0</v>
      </c>
    </row>
    <row r="460" spans="1:11" x14ac:dyDescent="0.25">
      <c r="A460" t="s">
        <v>340</v>
      </c>
      <c r="B460" t="s">
        <v>204</v>
      </c>
      <c r="C460" t="s">
        <v>205</v>
      </c>
      <c r="D460" t="b">
        <v>0</v>
      </c>
      <c r="E460" t="b">
        <v>0</v>
      </c>
      <c r="G460" t="s">
        <v>126</v>
      </c>
      <c r="H460" t="s">
        <v>204</v>
      </c>
      <c r="I460" t="s">
        <v>205</v>
      </c>
      <c r="J460" t="b">
        <v>0</v>
      </c>
      <c r="K460" t="b">
        <v>0</v>
      </c>
    </row>
    <row r="461" spans="1:11" x14ac:dyDescent="0.25">
      <c r="A461" t="s">
        <v>340</v>
      </c>
      <c r="B461" t="s">
        <v>206</v>
      </c>
      <c r="C461" t="s">
        <v>205</v>
      </c>
      <c r="D461" t="b">
        <v>0</v>
      </c>
      <c r="E461" t="b">
        <v>0</v>
      </c>
      <c r="G461" t="s">
        <v>126</v>
      </c>
      <c r="H461" t="s">
        <v>206</v>
      </c>
      <c r="I461" t="s">
        <v>205</v>
      </c>
      <c r="J461" t="b">
        <v>0</v>
      </c>
      <c r="K461" t="b">
        <v>0</v>
      </c>
    </row>
    <row r="462" spans="1:11" x14ac:dyDescent="0.25">
      <c r="A462" t="s">
        <v>340</v>
      </c>
      <c r="B462" t="s">
        <v>207</v>
      </c>
      <c r="C462" t="s">
        <v>157</v>
      </c>
      <c r="D462" t="b">
        <v>0</v>
      </c>
      <c r="E462" t="b">
        <v>0</v>
      </c>
      <c r="G462" t="s">
        <v>126</v>
      </c>
      <c r="H462" t="s">
        <v>207</v>
      </c>
      <c r="I462" t="s">
        <v>157</v>
      </c>
      <c r="J462" t="b">
        <v>0</v>
      </c>
      <c r="K462" t="b">
        <v>0</v>
      </c>
    </row>
    <row r="463" spans="1:11" x14ac:dyDescent="0.25">
      <c r="A463" t="s">
        <v>340</v>
      </c>
      <c r="B463" t="s">
        <v>208</v>
      </c>
      <c r="C463" t="s">
        <v>157</v>
      </c>
      <c r="D463" t="b">
        <v>0</v>
      </c>
      <c r="E463" t="b">
        <v>0</v>
      </c>
      <c r="G463" t="s">
        <v>126</v>
      </c>
      <c r="H463" t="s">
        <v>208</v>
      </c>
      <c r="I463" t="s">
        <v>157</v>
      </c>
      <c r="J463" t="b">
        <v>0</v>
      </c>
      <c r="K463" t="b">
        <v>0</v>
      </c>
    </row>
    <row r="464" spans="1:11" x14ac:dyDescent="0.25">
      <c r="A464" t="s">
        <v>340</v>
      </c>
      <c r="B464" t="s">
        <v>213</v>
      </c>
      <c r="C464" t="s">
        <v>154</v>
      </c>
      <c r="D464" t="b">
        <v>0</v>
      </c>
      <c r="E464" t="b">
        <v>0</v>
      </c>
      <c r="G464" t="s">
        <v>126</v>
      </c>
      <c r="H464" t="s">
        <v>213</v>
      </c>
      <c r="I464" t="s">
        <v>154</v>
      </c>
      <c r="J464" t="b">
        <v>0</v>
      </c>
      <c r="K464" t="b">
        <v>0</v>
      </c>
    </row>
    <row r="465" spans="1:11" x14ac:dyDescent="0.25">
      <c r="A465" t="s">
        <v>340</v>
      </c>
      <c r="B465" t="s">
        <v>214</v>
      </c>
      <c r="C465" t="s">
        <v>157</v>
      </c>
      <c r="D465" t="b">
        <v>0</v>
      </c>
      <c r="E465" t="b">
        <v>0</v>
      </c>
      <c r="G465" t="s">
        <v>126</v>
      </c>
      <c r="H465" t="s">
        <v>214</v>
      </c>
      <c r="I465" t="s">
        <v>157</v>
      </c>
      <c r="J465" t="b">
        <v>0</v>
      </c>
      <c r="K465" t="b">
        <v>0</v>
      </c>
    </row>
    <row r="466" spans="1:11" x14ac:dyDescent="0.25">
      <c r="A466" t="s">
        <v>340</v>
      </c>
      <c r="B466" t="s">
        <v>215</v>
      </c>
      <c r="C466" t="s">
        <v>205</v>
      </c>
      <c r="D466" t="b">
        <v>0</v>
      </c>
      <c r="E466" t="b">
        <v>0</v>
      </c>
      <c r="G466" t="s">
        <v>126</v>
      </c>
      <c r="H466" t="s">
        <v>215</v>
      </c>
      <c r="I466" t="s">
        <v>205</v>
      </c>
      <c r="J466" t="b">
        <v>0</v>
      </c>
      <c r="K466" t="b">
        <v>0</v>
      </c>
    </row>
    <row r="467" spans="1:11" x14ac:dyDescent="0.25">
      <c r="A467" t="s">
        <v>340</v>
      </c>
      <c r="B467" t="s">
        <v>216</v>
      </c>
      <c r="C467" t="s">
        <v>154</v>
      </c>
      <c r="D467" t="b">
        <v>0</v>
      </c>
      <c r="E467" t="b">
        <v>0</v>
      </c>
      <c r="G467" t="s">
        <v>126</v>
      </c>
      <c r="H467" t="s">
        <v>216</v>
      </c>
      <c r="I467" t="s">
        <v>154</v>
      </c>
      <c r="J467" t="b">
        <v>0</v>
      </c>
      <c r="K467" t="b">
        <v>0</v>
      </c>
    </row>
    <row r="468" spans="1:11" x14ac:dyDescent="0.25">
      <c r="A468" t="s">
        <v>340</v>
      </c>
      <c r="B468" t="s">
        <v>217</v>
      </c>
      <c r="C468" t="s">
        <v>205</v>
      </c>
      <c r="D468" t="b">
        <v>0</v>
      </c>
      <c r="E468" t="b">
        <v>0</v>
      </c>
    </row>
    <row r="469" spans="1:11" x14ac:dyDescent="0.25">
      <c r="A469" t="s">
        <v>340</v>
      </c>
      <c r="B469" t="s">
        <v>218</v>
      </c>
      <c r="C469" t="s">
        <v>157</v>
      </c>
      <c r="D469" t="b">
        <v>0</v>
      </c>
      <c r="E469" t="b">
        <v>0</v>
      </c>
    </row>
    <row r="470" spans="1:11" x14ac:dyDescent="0.25">
      <c r="A470" t="s">
        <v>340</v>
      </c>
      <c r="B470" t="s">
        <v>219</v>
      </c>
      <c r="C470" t="s">
        <v>157</v>
      </c>
      <c r="D470" t="b">
        <v>0</v>
      </c>
      <c r="E470" t="b">
        <v>0</v>
      </c>
    </row>
    <row r="471" spans="1:11" x14ac:dyDescent="0.25">
      <c r="A471" t="s">
        <v>340</v>
      </c>
      <c r="B471" t="s">
        <v>220</v>
      </c>
      <c r="C471" t="s">
        <v>205</v>
      </c>
      <c r="D471" t="b">
        <v>0</v>
      </c>
      <c r="E471" t="b">
        <v>0</v>
      </c>
    </row>
    <row r="472" spans="1:11" x14ac:dyDescent="0.25">
      <c r="A472" t="s">
        <v>340</v>
      </c>
      <c r="B472" t="s">
        <v>221</v>
      </c>
      <c r="C472" t="s">
        <v>205</v>
      </c>
      <c r="D472" t="b">
        <v>0</v>
      </c>
      <c r="E472" t="b">
        <v>0</v>
      </c>
    </row>
    <row r="473" spans="1:11" x14ac:dyDescent="0.25">
      <c r="A473" s="2" t="s">
        <v>340</v>
      </c>
      <c r="B473" s="2" t="s">
        <v>222</v>
      </c>
      <c r="C473" s="2" t="s">
        <v>205</v>
      </c>
      <c r="D473" s="2" t="b">
        <v>0</v>
      </c>
      <c r="E473" s="2" t="b">
        <v>0</v>
      </c>
      <c r="F473" s="2"/>
      <c r="G473" s="2"/>
      <c r="H473" s="2"/>
      <c r="I473" s="2"/>
      <c r="J473" s="2"/>
      <c r="K473" s="2"/>
    </row>
    <row r="474" spans="1:11" x14ac:dyDescent="0.25">
      <c r="A474" t="s">
        <v>343</v>
      </c>
      <c r="B474" t="s">
        <v>344</v>
      </c>
      <c r="C474" t="s">
        <v>157</v>
      </c>
      <c r="D474" t="b">
        <v>0</v>
      </c>
      <c r="E474" t="b">
        <v>0</v>
      </c>
      <c r="G474" t="s">
        <v>136</v>
      </c>
      <c r="H474" t="s">
        <v>344</v>
      </c>
      <c r="I474" t="s">
        <v>157</v>
      </c>
      <c r="J474" t="b">
        <v>0</v>
      </c>
      <c r="K474" t="b">
        <v>0</v>
      </c>
    </row>
    <row r="475" spans="1:11" s="2" customFormat="1" x14ac:dyDescent="0.25">
      <c r="A475" t="s">
        <v>343</v>
      </c>
      <c r="B475" t="s">
        <v>345</v>
      </c>
      <c r="C475" t="s">
        <v>157</v>
      </c>
      <c r="D475" t="b">
        <v>0</v>
      </c>
      <c r="E475" t="b">
        <v>0</v>
      </c>
      <c r="G475" t="s">
        <v>136</v>
      </c>
      <c r="H475" t="s">
        <v>345</v>
      </c>
      <c r="I475" t="s">
        <v>157</v>
      </c>
      <c r="J475" t="b">
        <v>0</v>
      </c>
      <c r="K475" t="b">
        <v>0</v>
      </c>
    </row>
    <row r="476" spans="1:11" x14ac:dyDescent="0.25">
      <c r="A476" t="s">
        <v>343</v>
      </c>
      <c r="B476" t="s">
        <v>346</v>
      </c>
      <c r="C476" t="s">
        <v>157</v>
      </c>
      <c r="D476" t="b">
        <v>0</v>
      </c>
      <c r="E476" t="b">
        <v>0</v>
      </c>
      <c r="G476" t="s">
        <v>136</v>
      </c>
      <c r="H476" t="s">
        <v>346</v>
      </c>
      <c r="I476" t="s">
        <v>157</v>
      </c>
      <c r="J476" t="b">
        <v>0</v>
      </c>
      <c r="K476" t="b">
        <v>0</v>
      </c>
    </row>
    <row r="477" spans="1:11" x14ac:dyDescent="0.25">
      <c r="A477" t="s">
        <v>343</v>
      </c>
      <c r="B477" t="s">
        <v>231</v>
      </c>
      <c r="C477" t="s">
        <v>157</v>
      </c>
      <c r="D477" t="b">
        <v>0</v>
      </c>
      <c r="E477" t="b">
        <v>0</v>
      </c>
      <c r="G477" t="s">
        <v>136</v>
      </c>
      <c r="H477" t="s">
        <v>231</v>
      </c>
      <c r="I477" t="s">
        <v>157</v>
      </c>
      <c r="J477" t="b">
        <v>0</v>
      </c>
      <c r="K477" t="b">
        <v>0</v>
      </c>
    </row>
    <row r="478" spans="1:11" x14ac:dyDescent="0.25">
      <c r="A478" t="s">
        <v>343</v>
      </c>
      <c r="B478" t="s">
        <v>179</v>
      </c>
      <c r="C478" t="s">
        <v>157</v>
      </c>
      <c r="D478" t="b">
        <v>1</v>
      </c>
      <c r="E478" t="b">
        <v>1</v>
      </c>
      <c r="G478" t="s">
        <v>136</v>
      </c>
      <c r="H478" t="s">
        <v>179</v>
      </c>
      <c r="I478" t="s">
        <v>157</v>
      </c>
      <c r="J478" t="b">
        <v>1</v>
      </c>
      <c r="K478" t="b">
        <v>0</v>
      </c>
    </row>
    <row r="479" spans="1:11" x14ac:dyDescent="0.25">
      <c r="A479" t="s">
        <v>343</v>
      </c>
      <c r="B479" t="s">
        <v>180</v>
      </c>
      <c r="C479" t="s">
        <v>160</v>
      </c>
      <c r="D479" t="b">
        <v>0</v>
      </c>
      <c r="E479" t="b">
        <v>0</v>
      </c>
    </row>
    <row r="480" spans="1:11" x14ac:dyDescent="0.25">
      <c r="A480" t="s">
        <v>343</v>
      </c>
      <c r="B480" t="s">
        <v>181</v>
      </c>
      <c r="C480" t="s">
        <v>182</v>
      </c>
      <c r="D480" t="b">
        <v>0</v>
      </c>
      <c r="E480" t="b">
        <v>0</v>
      </c>
      <c r="G480" t="s">
        <v>136</v>
      </c>
      <c r="H480" t="s">
        <v>181</v>
      </c>
      <c r="I480" t="s">
        <v>182</v>
      </c>
      <c r="J480" t="b">
        <v>0</v>
      </c>
      <c r="K480" t="b">
        <v>0</v>
      </c>
    </row>
    <row r="481" spans="1:11" x14ac:dyDescent="0.25">
      <c r="A481" t="s">
        <v>343</v>
      </c>
      <c r="B481" t="s">
        <v>203</v>
      </c>
      <c r="C481" t="s">
        <v>154</v>
      </c>
      <c r="D481" t="b">
        <v>0</v>
      </c>
      <c r="E481" t="b">
        <v>0</v>
      </c>
      <c r="G481" t="s">
        <v>136</v>
      </c>
      <c r="H481" t="s">
        <v>203</v>
      </c>
      <c r="I481" t="s">
        <v>154</v>
      </c>
      <c r="J481" t="b">
        <v>0</v>
      </c>
      <c r="K481" t="b">
        <v>0</v>
      </c>
    </row>
    <row r="482" spans="1:11" x14ac:dyDescent="0.25">
      <c r="A482" t="s">
        <v>343</v>
      </c>
      <c r="B482" t="s">
        <v>208</v>
      </c>
      <c r="C482" t="s">
        <v>157</v>
      </c>
      <c r="D482" t="b">
        <v>0</v>
      </c>
      <c r="E482" t="b">
        <v>0</v>
      </c>
      <c r="G482" t="s">
        <v>136</v>
      </c>
      <c r="H482" t="s">
        <v>208</v>
      </c>
      <c r="I482" t="s">
        <v>157</v>
      </c>
      <c r="J482" t="b">
        <v>0</v>
      </c>
      <c r="K482" t="b">
        <v>0</v>
      </c>
    </row>
    <row r="483" spans="1:11" x14ac:dyDescent="0.25">
      <c r="A483" t="s">
        <v>343</v>
      </c>
      <c r="B483" t="s">
        <v>214</v>
      </c>
      <c r="C483" t="s">
        <v>157</v>
      </c>
      <c r="D483" t="b">
        <v>0</v>
      </c>
      <c r="E483" t="b">
        <v>0</v>
      </c>
      <c r="G483" t="s">
        <v>136</v>
      </c>
      <c r="H483" t="s">
        <v>214</v>
      </c>
      <c r="I483" t="s">
        <v>157</v>
      </c>
      <c r="J483" t="b">
        <v>0</v>
      </c>
      <c r="K483" t="b">
        <v>0</v>
      </c>
    </row>
    <row r="484" spans="1:11" x14ac:dyDescent="0.25">
      <c r="A484" t="s">
        <v>343</v>
      </c>
      <c r="B484" t="s">
        <v>215</v>
      </c>
      <c r="C484" t="s">
        <v>205</v>
      </c>
      <c r="D484" t="b">
        <v>0</v>
      </c>
      <c r="E484" t="b">
        <v>0</v>
      </c>
      <c r="G484" t="s">
        <v>136</v>
      </c>
      <c r="H484" t="s">
        <v>215</v>
      </c>
      <c r="I484" t="s">
        <v>205</v>
      </c>
      <c r="J484" t="b">
        <v>0</v>
      </c>
      <c r="K484" t="b">
        <v>0</v>
      </c>
    </row>
    <row r="485" spans="1:11" x14ac:dyDescent="0.25">
      <c r="A485" t="s">
        <v>343</v>
      </c>
      <c r="B485" t="s">
        <v>216</v>
      </c>
      <c r="C485" t="s">
        <v>154</v>
      </c>
      <c r="D485" t="b">
        <v>0</v>
      </c>
      <c r="E485" t="b">
        <v>0</v>
      </c>
      <c r="G485" t="s">
        <v>136</v>
      </c>
      <c r="H485" t="s">
        <v>216</v>
      </c>
      <c r="I485" t="s">
        <v>154</v>
      </c>
      <c r="J485" t="b">
        <v>0</v>
      </c>
      <c r="K485" t="b">
        <v>0</v>
      </c>
    </row>
    <row r="486" spans="1:11" x14ac:dyDescent="0.25">
      <c r="A486" t="s">
        <v>343</v>
      </c>
      <c r="B486" t="s">
        <v>217</v>
      </c>
      <c r="C486" t="s">
        <v>205</v>
      </c>
      <c r="D486" t="b">
        <v>0</v>
      </c>
      <c r="E486" t="b">
        <v>0</v>
      </c>
    </row>
    <row r="487" spans="1:11" x14ac:dyDescent="0.25">
      <c r="A487" t="s">
        <v>343</v>
      </c>
      <c r="B487" t="s">
        <v>218</v>
      </c>
      <c r="C487" t="s">
        <v>157</v>
      </c>
      <c r="D487" t="b">
        <v>0</v>
      </c>
      <c r="E487" t="b">
        <v>0</v>
      </c>
    </row>
    <row r="488" spans="1:11" x14ac:dyDescent="0.25">
      <c r="A488" t="s">
        <v>343</v>
      </c>
      <c r="B488" t="s">
        <v>219</v>
      </c>
      <c r="C488" t="s">
        <v>157</v>
      </c>
      <c r="D488" t="b">
        <v>0</v>
      </c>
      <c r="E488" t="b">
        <v>0</v>
      </c>
    </row>
    <row r="489" spans="1:11" x14ac:dyDescent="0.25">
      <c r="A489" t="s">
        <v>343</v>
      </c>
      <c r="B489" t="s">
        <v>220</v>
      </c>
      <c r="C489" t="s">
        <v>205</v>
      </c>
      <c r="D489" t="b">
        <v>0</v>
      </c>
      <c r="E489" t="b">
        <v>0</v>
      </c>
    </row>
    <row r="490" spans="1:11" x14ac:dyDescent="0.25">
      <c r="A490" t="s">
        <v>343</v>
      </c>
      <c r="B490" t="s">
        <v>221</v>
      </c>
      <c r="C490" t="s">
        <v>205</v>
      </c>
      <c r="D490" t="b">
        <v>0</v>
      </c>
      <c r="E490" t="b">
        <v>0</v>
      </c>
    </row>
    <row r="491" spans="1:11" x14ac:dyDescent="0.25">
      <c r="A491" s="2" t="s">
        <v>343</v>
      </c>
      <c r="B491" s="2" t="s">
        <v>222</v>
      </c>
      <c r="C491" s="2" t="s">
        <v>205</v>
      </c>
      <c r="D491" s="2" t="b">
        <v>0</v>
      </c>
      <c r="E491" s="2" t="b">
        <v>0</v>
      </c>
      <c r="F491" s="2"/>
      <c r="G491" s="2"/>
      <c r="H491" s="2"/>
      <c r="I491" s="2"/>
      <c r="J491" s="2"/>
      <c r="K491" s="2"/>
    </row>
    <row r="492" spans="1:11" x14ac:dyDescent="0.25">
      <c r="A492" t="s">
        <v>347</v>
      </c>
      <c r="B492" t="s">
        <v>233</v>
      </c>
      <c r="C492" t="s">
        <v>157</v>
      </c>
      <c r="D492" t="b">
        <v>0</v>
      </c>
      <c r="E492" t="b">
        <v>0</v>
      </c>
      <c r="G492" t="s">
        <v>46</v>
      </c>
      <c r="H492" t="s">
        <v>233</v>
      </c>
      <c r="I492" t="s">
        <v>157</v>
      </c>
      <c r="J492" t="b">
        <v>0</v>
      </c>
      <c r="K492" t="b">
        <v>0</v>
      </c>
    </row>
    <row r="493" spans="1:11" s="2" customFormat="1" x14ac:dyDescent="0.25">
      <c r="A493" t="s">
        <v>347</v>
      </c>
      <c r="B493" t="s">
        <v>225</v>
      </c>
      <c r="C493" t="s">
        <v>154</v>
      </c>
      <c r="D493" t="b">
        <v>0</v>
      </c>
      <c r="E493" t="b">
        <v>0</v>
      </c>
      <c r="G493" t="s">
        <v>46</v>
      </c>
      <c r="H493" t="s">
        <v>225</v>
      </c>
      <c r="I493" t="s">
        <v>154</v>
      </c>
      <c r="J493" t="b">
        <v>0</v>
      </c>
      <c r="K493" t="b">
        <v>0</v>
      </c>
    </row>
    <row r="494" spans="1:11" x14ac:dyDescent="0.25">
      <c r="A494" t="s">
        <v>347</v>
      </c>
      <c r="B494" t="s">
        <v>179</v>
      </c>
      <c r="C494" t="s">
        <v>157</v>
      </c>
      <c r="D494" t="b">
        <v>1</v>
      </c>
      <c r="E494" t="b">
        <v>0</v>
      </c>
      <c r="G494" t="s">
        <v>46</v>
      </c>
      <c r="H494" t="s">
        <v>179</v>
      </c>
      <c r="I494" t="s">
        <v>157</v>
      </c>
      <c r="J494" t="b">
        <v>1</v>
      </c>
      <c r="K494" t="b">
        <v>0</v>
      </c>
    </row>
    <row r="495" spans="1:11" x14ac:dyDescent="0.25">
      <c r="A495" t="s">
        <v>347</v>
      </c>
      <c r="B495" t="s">
        <v>348</v>
      </c>
      <c r="C495" t="s">
        <v>160</v>
      </c>
      <c r="D495" t="b">
        <v>0</v>
      </c>
      <c r="E495" t="b">
        <v>0</v>
      </c>
    </row>
    <row r="496" spans="1:11" x14ac:dyDescent="0.25">
      <c r="A496" t="s">
        <v>347</v>
      </c>
      <c r="B496" t="s">
        <v>180</v>
      </c>
      <c r="C496" t="s">
        <v>160</v>
      </c>
      <c r="D496" t="b">
        <v>0</v>
      </c>
      <c r="E496" t="b">
        <v>0</v>
      </c>
    </row>
    <row r="497" spans="1:11" x14ac:dyDescent="0.25">
      <c r="A497" t="s">
        <v>347</v>
      </c>
      <c r="B497" t="s">
        <v>181</v>
      </c>
      <c r="C497" t="s">
        <v>182</v>
      </c>
      <c r="D497" t="b">
        <v>0</v>
      </c>
      <c r="E497" t="b">
        <v>0</v>
      </c>
      <c r="G497" t="s">
        <v>46</v>
      </c>
      <c r="H497" t="s">
        <v>181</v>
      </c>
      <c r="I497" t="s">
        <v>182</v>
      </c>
      <c r="J497" t="b">
        <v>0</v>
      </c>
      <c r="K497" t="b">
        <v>0</v>
      </c>
    </row>
    <row r="498" spans="1:11" x14ac:dyDescent="0.25">
      <c r="A498" t="s">
        <v>347</v>
      </c>
      <c r="B498" t="s">
        <v>321</v>
      </c>
      <c r="C498" t="s">
        <v>250</v>
      </c>
      <c r="D498" t="b">
        <v>0</v>
      </c>
      <c r="E498" t="b">
        <v>0</v>
      </c>
      <c r="G498" t="s">
        <v>46</v>
      </c>
      <c r="H498" t="s">
        <v>321</v>
      </c>
      <c r="I498" t="s">
        <v>250</v>
      </c>
      <c r="J498" t="b">
        <v>0</v>
      </c>
      <c r="K498" t="b">
        <v>0</v>
      </c>
    </row>
    <row r="499" spans="1:11" x14ac:dyDescent="0.25">
      <c r="A499" t="s">
        <v>347</v>
      </c>
      <c r="B499" t="s">
        <v>349</v>
      </c>
      <c r="C499" t="s">
        <v>157</v>
      </c>
      <c r="D499" t="b">
        <v>0</v>
      </c>
      <c r="E499" t="b">
        <v>0</v>
      </c>
      <c r="G499" t="s">
        <v>46</v>
      </c>
      <c r="H499" t="s">
        <v>349</v>
      </c>
      <c r="I499" t="s">
        <v>157</v>
      </c>
      <c r="J499" t="b">
        <v>0</v>
      </c>
      <c r="K499" t="b">
        <v>0</v>
      </c>
    </row>
    <row r="500" spans="1:11" x14ac:dyDescent="0.25">
      <c r="A500" t="s">
        <v>347</v>
      </c>
      <c r="B500" t="s">
        <v>350</v>
      </c>
      <c r="C500" t="s">
        <v>160</v>
      </c>
      <c r="D500" t="b">
        <v>0</v>
      </c>
      <c r="E500" t="b">
        <v>0</v>
      </c>
    </row>
    <row r="501" spans="1:11" x14ac:dyDescent="0.25">
      <c r="A501" t="s">
        <v>347</v>
      </c>
      <c r="B501" t="s">
        <v>351</v>
      </c>
      <c r="C501" t="s">
        <v>157</v>
      </c>
      <c r="D501" t="b">
        <v>0</v>
      </c>
      <c r="E501" t="b">
        <v>0</v>
      </c>
      <c r="G501" t="s">
        <v>46</v>
      </c>
      <c r="H501" t="s">
        <v>351</v>
      </c>
      <c r="I501" t="s">
        <v>157</v>
      </c>
      <c r="J501" t="b">
        <v>0</v>
      </c>
      <c r="K501" t="b">
        <v>0</v>
      </c>
    </row>
    <row r="502" spans="1:11" x14ac:dyDescent="0.25">
      <c r="A502" t="s">
        <v>347</v>
      </c>
      <c r="B502" t="s">
        <v>203</v>
      </c>
      <c r="C502" t="s">
        <v>154</v>
      </c>
      <c r="D502" t="b">
        <v>0</v>
      </c>
      <c r="E502" t="b">
        <v>0</v>
      </c>
      <c r="G502" t="s">
        <v>46</v>
      </c>
      <c r="H502" t="s">
        <v>203</v>
      </c>
      <c r="I502" t="s">
        <v>154</v>
      </c>
      <c r="J502" t="b">
        <v>0</v>
      </c>
      <c r="K502" t="b">
        <v>0</v>
      </c>
    </row>
    <row r="503" spans="1:11" x14ac:dyDescent="0.25">
      <c r="A503" t="s">
        <v>347</v>
      </c>
      <c r="B503" t="s">
        <v>208</v>
      </c>
      <c r="C503" t="s">
        <v>157</v>
      </c>
      <c r="D503" t="b">
        <v>0</v>
      </c>
      <c r="E503" t="b">
        <v>0</v>
      </c>
      <c r="G503" t="s">
        <v>46</v>
      </c>
      <c r="H503" t="s">
        <v>208</v>
      </c>
      <c r="I503" t="s">
        <v>157</v>
      </c>
      <c r="J503" t="b">
        <v>0</v>
      </c>
      <c r="K503" t="b">
        <v>0</v>
      </c>
    </row>
    <row r="504" spans="1:11" x14ac:dyDescent="0.25">
      <c r="A504" t="s">
        <v>347</v>
      </c>
      <c r="B504" t="s">
        <v>214</v>
      </c>
      <c r="C504" t="s">
        <v>157</v>
      </c>
      <c r="D504" t="b">
        <v>0</v>
      </c>
      <c r="E504" t="b">
        <v>0</v>
      </c>
      <c r="G504" t="s">
        <v>46</v>
      </c>
      <c r="H504" t="s">
        <v>214</v>
      </c>
      <c r="I504" t="s">
        <v>157</v>
      </c>
      <c r="J504" t="b">
        <v>0</v>
      </c>
      <c r="K504" t="b">
        <v>0</v>
      </c>
    </row>
    <row r="505" spans="1:11" x14ac:dyDescent="0.25">
      <c r="A505" t="s">
        <v>347</v>
      </c>
      <c r="B505" t="s">
        <v>215</v>
      </c>
      <c r="C505" t="s">
        <v>205</v>
      </c>
      <c r="D505" t="b">
        <v>0</v>
      </c>
      <c r="E505" t="b">
        <v>0</v>
      </c>
      <c r="G505" t="s">
        <v>46</v>
      </c>
      <c r="H505" t="s">
        <v>215</v>
      </c>
      <c r="I505" t="s">
        <v>205</v>
      </c>
      <c r="J505" t="b">
        <v>0</v>
      </c>
      <c r="K505" t="b">
        <v>0</v>
      </c>
    </row>
    <row r="506" spans="1:11" x14ac:dyDescent="0.25">
      <c r="A506" t="s">
        <v>347</v>
      </c>
      <c r="B506" t="s">
        <v>216</v>
      </c>
      <c r="C506" t="s">
        <v>154</v>
      </c>
      <c r="D506" t="b">
        <v>0</v>
      </c>
      <c r="E506" t="b">
        <v>0</v>
      </c>
      <c r="G506" t="s">
        <v>46</v>
      </c>
      <c r="H506" t="s">
        <v>216</v>
      </c>
      <c r="I506" t="s">
        <v>154</v>
      </c>
      <c r="J506" t="b">
        <v>0</v>
      </c>
      <c r="K506" t="b">
        <v>0</v>
      </c>
    </row>
    <row r="507" spans="1:11" x14ac:dyDescent="0.25">
      <c r="A507" t="s">
        <v>347</v>
      </c>
      <c r="B507" t="s">
        <v>217</v>
      </c>
      <c r="C507" t="s">
        <v>205</v>
      </c>
      <c r="D507" t="b">
        <v>0</v>
      </c>
      <c r="E507" t="b">
        <v>0</v>
      </c>
    </row>
    <row r="508" spans="1:11" x14ac:dyDescent="0.25">
      <c r="A508" t="s">
        <v>347</v>
      </c>
      <c r="B508" t="s">
        <v>218</v>
      </c>
      <c r="C508" t="s">
        <v>157</v>
      </c>
      <c r="D508" t="b">
        <v>0</v>
      </c>
      <c r="E508" t="b">
        <v>0</v>
      </c>
    </row>
    <row r="509" spans="1:11" x14ac:dyDescent="0.25">
      <c r="A509" t="s">
        <v>347</v>
      </c>
      <c r="B509" t="s">
        <v>219</v>
      </c>
      <c r="C509" t="s">
        <v>157</v>
      </c>
      <c r="D509" t="b">
        <v>0</v>
      </c>
      <c r="E509" t="b">
        <v>0</v>
      </c>
    </row>
    <row r="510" spans="1:11" x14ac:dyDescent="0.25">
      <c r="A510" t="s">
        <v>347</v>
      </c>
      <c r="B510" t="s">
        <v>220</v>
      </c>
      <c r="C510" t="s">
        <v>205</v>
      </c>
      <c r="D510" t="b">
        <v>0</v>
      </c>
      <c r="E510" t="b">
        <v>0</v>
      </c>
    </row>
    <row r="511" spans="1:11" x14ac:dyDescent="0.25">
      <c r="A511" t="s">
        <v>347</v>
      </c>
      <c r="B511" t="s">
        <v>221</v>
      </c>
      <c r="C511" t="s">
        <v>205</v>
      </c>
      <c r="D511" t="b">
        <v>0</v>
      </c>
      <c r="E511" t="b">
        <v>0</v>
      </c>
    </row>
    <row r="512" spans="1:11" x14ac:dyDescent="0.25">
      <c r="A512" s="2" t="s">
        <v>347</v>
      </c>
      <c r="B512" s="2" t="s">
        <v>222</v>
      </c>
      <c r="C512" s="2" t="s">
        <v>205</v>
      </c>
      <c r="D512" s="2" t="b">
        <v>0</v>
      </c>
      <c r="E512" s="2" t="b">
        <v>0</v>
      </c>
      <c r="F512" s="2"/>
      <c r="G512" s="2"/>
      <c r="H512" s="2"/>
      <c r="I512" s="2"/>
      <c r="J512" s="2"/>
      <c r="K512" s="2"/>
    </row>
    <row r="513" spans="1:11" x14ac:dyDescent="0.25">
      <c r="A513" t="s">
        <v>352</v>
      </c>
      <c r="B513" t="s">
        <v>179</v>
      </c>
      <c r="C513" t="s">
        <v>157</v>
      </c>
      <c r="D513" t="b">
        <v>1</v>
      </c>
      <c r="E513" t="b">
        <v>0</v>
      </c>
      <c r="G513" t="s">
        <v>106</v>
      </c>
      <c r="H513" t="s">
        <v>179</v>
      </c>
      <c r="I513" t="s">
        <v>157</v>
      </c>
      <c r="J513" t="b">
        <v>1</v>
      </c>
      <c r="K513" t="b">
        <v>0</v>
      </c>
    </row>
    <row r="514" spans="1:11" s="2" customFormat="1" x14ac:dyDescent="0.25">
      <c r="A514" t="s">
        <v>352</v>
      </c>
      <c r="B514" t="s">
        <v>181</v>
      </c>
      <c r="C514" t="s">
        <v>182</v>
      </c>
      <c r="D514" t="b">
        <v>0</v>
      </c>
      <c r="E514" t="b">
        <v>0</v>
      </c>
      <c r="G514" t="s">
        <v>106</v>
      </c>
      <c r="H514" t="s">
        <v>181</v>
      </c>
      <c r="I514" t="s">
        <v>182</v>
      </c>
      <c r="J514" t="b">
        <v>0</v>
      </c>
      <c r="K514" t="b">
        <v>0</v>
      </c>
    </row>
    <row r="515" spans="1:11" x14ac:dyDescent="0.25">
      <c r="A515" t="s">
        <v>352</v>
      </c>
      <c r="B515" t="s">
        <v>203</v>
      </c>
      <c r="C515" t="s">
        <v>154</v>
      </c>
      <c r="D515" t="b">
        <v>0</v>
      </c>
      <c r="E515" t="b">
        <v>0</v>
      </c>
      <c r="G515" t="s">
        <v>106</v>
      </c>
      <c r="H515" t="s">
        <v>203</v>
      </c>
      <c r="I515" t="s">
        <v>154</v>
      </c>
      <c r="J515" t="b">
        <v>0</v>
      </c>
      <c r="K515" t="b">
        <v>0</v>
      </c>
    </row>
    <row r="516" spans="1:11" x14ac:dyDescent="0.25">
      <c r="A516" t="s">
        <v>352</v>
      </c>
      <c r="B516" t="s">
        <v>353</v>
      </c>
      <c r="C516" t="s">
        <v>157</v>
      </c>
      <c r="D516" t="b">
        <v>0</v>
      </c>
      <c r="E516" t="b">
        <v>0</v>
      </c>
      <c r="G516" t="s">
        <v>106</v>
      </c>
      <c r="H516" t="s">
        <v>353</v>
      </c>
      <c r="I516" t="s">
        <v>157</v>
      </c>
      <c r="J516" t="b">
        <v>0</v>
      </c>
      <c r="K516" t="b">
        <v>0</v>
      </c>
    </row>
    <row r="517" spans="1:11" x14ac:dyDescent="0.25">
      <c r="A517" t="s">
        <v>352</v>
      </c>
      <c r="B517" t="s">
        <v>208</v>
      </c>
      <c r="C517" t="s">
        <v>157</v>
      </c>
      <c r="D517" t="b">
        <v>0</v>
      </c>
      <c r="E517" t="b">
        <v>0</v>
      </c>
      <c r="G517" t="s">
        <v>106</v>
      </c>
      <c r="H517" t="s">
        <v>208</v>
      </c>
      <c r="I517" t="s">
        <v>157</v>
      </c>
      <c r="J517" t="b">
        <v>0</v>
      </c>
      <c r="K517" t="b">
        <v>0</v>
      </c>
    </row>
    <row r="518" spans="1:11" x14ac:dyDescent="0.25">
      <c r="A518" t="s">
        <v>352</v>
      </c>
      <c r="B518" t="s">
        <v>214</v>
      </c>
      <c r="C518" t="s">
        <v>157</v>
      </c>
      <c r="D518" t="b">
        <v>0</v>
      </c>
      <c r="E518" t="b">
        <v>0</v>
      </c>
      <c r="G518" t="s">
        <v>106</v>
      </c>
      <c r="H518" t="s">
        <v>214</v>
      </c>
      <c r="I518" t="s">
        <v>157</v>
      </c>
      <c r="J518" t="b">
        <v>0</v>
      </c>
      <c r="K518" t="b">
        <v>0</v>
      </c>
    </row>
    <row r="519" spans="1:11" x14ac:dyDescent="0.25">
      <c r="A519" t="s">
        <v>352</v>
      </c>
      <c r="B519" t="s">
        <v>215</v>
      </c>
      <c r="C519" t="s">
        <v>205</v>
      </c>
      <c r="D519" t="b">
        <v>0</v>
      </c>
      <c r="E519" t="b">
        <v>0</v>
      </c>
      <c r="G519" t="s">
        <v>106</v>
      </c>
      <c r="H519" t="s">
        <v>215</v>
      </c>
      <c r="I519" t="s">
        <v>205</v>
      </c>
      <c r="J519" t="b">
        <v>0</v>
      </c>
      <c r="K519" t="b">
        <v>0</v>
      </c>
    </row>
    <row r="520" spans="1:11" x14ac:dyDescent="0.25">
      <c r="A520" t="s">
        <v>352</v>
      </c>
      <c r="B520" t="s">
        <v>216</v>
      </c>
      <c r="C520" t="s">
        <v>154</v>
      </c>
      <c r="D520" t="b">
        <v>0</v>
      </c>
      <c r="E520" t="b">
        <v>0</v>
      </c>
      <c r="G520" t="s">
        <v>106</v>
      </c>
      <c r="H520" t="s">
        <v>216</v>
      </c>
      <c r="I520" t="s">
        <v>154</v>
      </c>
      <c r="J520" t="b">
        <v>0</v>
      </c>
      <c r="K520" t="b">
        <v>0</v>
      </c>
    </row>
    <row r="521" spans="1:11" x14ac:dyDescent="0.25">
      <c r="A521" t="s">
        <v>352</v>
      </c>
      <c r="B521" t="s">
        <v>217</v>
      </c>
      <c r="C521" t="s">
        <v>205</v>
      </c>
      <c r="D521" t="b">
        <v>0</v>
      </c>
      <c r="E521" t="b">
        <v>0</v>
      </c>
    </row>
    <row r="522" spans="1:11" x14ac:dyDescent="0.25">
      <c r="A522" t="s">
        <v>352</v>
      </c>
      <c r="B522" t="s">
        <v>218</v>
      </c>
      <c r="C522" t="s">
        <v>157</v>
      </c>
      <c r="D522" t="b">
        <v>0</v>
      </c>
      <c r="E522" t="b">
        <v>0</v>
      </c>
    </row>
    <row r="523" spans="1:11" x14ac:dyDescent="0.25">
      <c r="A523" t="s">
        <v>352</v>
      </c>
      <c r="B523" t="s">
        <v>219</v>
      </c>
      <c r="C523" t="s">
        <v>157</v>
      </c>
      <c r="D523" t="b">
        <v>0</v>
      </c>
      <c r="E523" t="b">
        <v>0</v>
      </c>
    </row>
    <row r="524" spans="1:11" x14ac:dyDescent="0.25">
      <c r="A524" t="s">
        <v>352</v>
      </c>
      <c r="B524" t="s">
        <v>220</v>
      </c>
      <c r="C524" t="s">
        <v>205</v>
      </c>
      <c r="D524" t="b">
        <v>0</v>
      </c>
      <c r="E524" t="b">
        <v>0</v>
      </c>
    </row>
    <row r="525" spans="1:11" x14ac:dyDescent="0.25">
      <c r="A525" t="s">
        <v>352</v>
      </c>
      <c r="B525" t="s">
        <v>221</v>
      </c>
      <c r="C525" t="s">
        <v>205</v>
      </c>
      <c r="D525" t="b">
        <v>0</v>
      </c>
      <c r="E525" t="b">
        <v>0</v>
      </c>
    </row>
    <row r="526" spans="1:11" x14ac:dyDescent="0.25">
      <c r="A526" s="2" t="s">
        <v>352</v>
      </c>
      <c r="B526" s="2" t="s">
        <v>222</v>
      </c>
      <c r="C526" s="2" t="s">
        <v>205</v>
      </c>
      <c r="D526" s="2" t="b">
        <v>0</v>
      </c>
      <c r="E526" s="2" t="b">
        <v>0</v>
      </c>
      <c r="F526" s="2"/>
      <c r="G526" s="2"/>
      <c r="H526" s="2"/>
      <c r="I526" s="2"/>
      <c r="J526" s="2"/>
      <c r="K526" s="2"/>
    </row>
    <row r="527" spans="1:11" x14ac:dyDescent="0.25">
      <c r="A527" t="s">
        <v>354</v>
      </c>
      <c r="B527" t="s">
        <v>233</v>
      </c>
      <c r="C527" t="s">
        <v>157</v>
      </c>
      <c r="D527" t="b">
        <v>0</v>
      </c>
      <c r="E527" t="b">
        <v>0</v>
      </c>
      <c r="G527" t="s">
        <v>16</v>
      </c>
      <c r="H527" t="s">
        <v>233</v>
      </c>
      <c r="I527" t="s">
        <v>157</v>
      </c>
      <c r="J527" t="b">
        <v>0</v>
      </c>
      <c r="K527" t="b">
        <v>0</v>
      </c>
    </row>
    <row r="528" spans="1:11" s="2" customFormat="1" x14ac:dyDescent="0.25">
      <c r="A528" t="s">
        <v>354</v>
      </c>
      <c r="B528" t="s">
        <v>249</v>
      </c>
      <c r="C528" t="s">
        <v>250</v>
      </c>
      <c r="D528" t="b">
        <v>0</v>
      </c>
      <c r="E528" t="b">
        <v>0</v>
      </c>
      <c r="G528" t="s">
        <v>16</v>
      </c>
      <c r="H528" t="s">
        <v>249</v>
      </c>
      <c r="I528" t="s">
        <v>250</v>
      </c>
      <c r="J528" t="b">
        <v>0</v>
      </c>
      <c r="K528" t="b">
        <v>0</v>
      </c>
    </row>
    <row r="529" spans="1:11" x14ac:dyDescent="0.25">
      <c r="A529" t="s">
        <v>354</v>
      </c>
      <c r="B529" t="s">
        <v>355</v>
      </c>
      <c r="C529" t="s">
        <v>157</v>
      </c>
      <c r="D529" t="b">
        <v>0</v>
      </c>
      <c r="E529" t="b">
        <v>0</v>
      </c>
      <c r="G529" t="s">
        <v>16</v>
      </c>
      <c r="H529" t="s">
        <v>355</v>
      </c>
      <c r="I529" t="s">
        <v>157</v>
      </c>
      <c r="J529" t="b">
        <v>0</v>
      </c>
      <c r="K529" t="b">
        <v>0</v>
      </c>
    </row>
    <row r="530" spans="1:11" x14ac:dyDescent="0.25">
      <c r="A530" t="s">
        <v>354</v>
      </c>
      <c r="B530" t="s">
        <v>356</v>
      </c>
      <c r="C530" t="s">
        <v>157</v>
      </c>
      <c r="D530" t="b">
        <v>0</v>
      </c>
      <c r="E530" t="b">
        <v>0</v>
      </c>
      <c r="G530" t="s">
        <v>16</v>
      </c>
      <c r="H530" t="s">
        <v>356</v>
      </c>
      <c r="I530" t="s">
        <v>157</v>
      </c>
      <c r="J530" t="b">
        <v>0</v>
      </c>
      <c r="K530" t="b">
        <v>0</v>
      </c>
    </row>
    <row r="531" spans="1:11" x14ac:dyDescent="0.25">
      <c r="A531" t="s">
        <v>354</v>
      </c>
      <c r="B531" t="s">
        <v>179</v>
      </c>
      <c r="C531" t="s">
        <v>157</v>
      </c>
      <c r="D531" t="b">
        <v>1</v>
      </c>
      <c r="E531" t="b">
        <v>0</v>
      </c>
      <c r="G531" t="s">
        <v>16</v>
      </c>
      <c r="H531" t="s">
        <v>179</v>
      </c>
      <c r="I531" t="s">
        <v>157</v>
      </c>
      <c r="J531" t="b">
        <v>1</v>
      </c>
      <c r="K531" t="b">
        <v>0</v>
      </c>
    </row>
    <row r="532" spans="1:11" x14ac:dyDescent="0.25">
      <c r="A532" t="s">
        <v>354</v>
      </c>
      <c r="B532" t="s">
        <v>180</v>
      </c>
      <c r="C532" t="s">
        <v>160</v>
      </c>
      <c r="D532" t="b">
        <v>0</v>
      </c>
      <c r="E532" t="b">
        <v>0</v>
      </c>
    </row>
    <row r="533" spans="1:11" x14ac:dyDescent="0.25">
      <c r="A533" t="s">
        <v>354</v>
      </c>
      <c r="B533" t="s">
        <v>181</v>
      </c>
      <c r="C533" t="s">
        <v>182</v>
      </c>
      <c r="D533" t="b">
        <v>0</v>
      </c>
      <c r="E533" t="b">
        <v>0</v>
      </c>
      <c r="G533" t="s">
        <v>16</v>
      </c>
      <c r="H533" t="s">
        <v>181</v>
      </c>
      <c r="I533" t="s">
        <v>182</v>
      </c>
      <c r="J533" t="b">
        <v>0</v>
      </c>
      <c r="K533" t="b">
        <v>0</v>
      </c>
    </row>
    <row r="534" spans="1:11" x14ac:dyDescent="0.25">
      <c r="A534" t="s">
        <v>354</v>
      </c>
      <c r="B534" t="s">
        <v>321</v>
      </c>
      <c r="C534" t="s">
        <v>250</v>
      </c>
      <c r="D534" t="b">
        <v>0</v>
      </c>
      <c r="E534" t="b">
        <v>0</v>
      </c>
      <c r="G534" t="s">
        <v>16</v>
      </c>
      <c r="H534" t="s">
        <v>321</v>
      </c>
      <c r="I534" t="s">
        <v>250</v>
      </c>
      <c r="J534" t="b">
        <v>0</v>
      </c>
      <c r="K534" t="b">
        <v>0</v>
      </c>
    </row>
    <row r="535" spans="1:11" x14ac:dyDescent="0.25">
      <c r="A535" t="s">
        <v>354</v>
      </c>
      <c r="B535" t="s">
        <v>357</v>
      </c>
      <c r="C535" t="s">
        <v>157</v>
      </c>
      <c r="D535" t="b">
        <v>0</v>
      </c>
      <c r="E535" t="b">
        <v>0</v>
      </c>
      <c r="G535" t="s">
        <v>16</v>
      </c>
      <c r="H535" t="s">
        <v>357</v>
      </c>
      <c r="I535" t="s">
        <v>157</v>
      </c>
      <c r="J535" t="b">
        <v>0</v>
      </c>
      <c r="K535" t="b">
        <v>0</v>
      </c>
    </row>
    <row r="536" spans="1:11" x14ac:dyDescent="0.25">
      <c r="A536" t="s">
        <v>354</v>
      </c>
      <c r="B536" t="s">
        <v>358</v>
      </c>
      <c r="C536" t="s">
        <v>160</v>
      </c>
      <c r="D536" t="b">
        <v>0</v>
      </c>
      <c r="E536" t="b">
        <v>0</v>
      </c>
    </row>
    <row r="537" spans="1:11" x14ac:dyDescent="0.25">
      <c r="A537" t="s">
        <v>354</v>
      </c>
      <c r="B537" t="s">
        <v>203</v>
      </c>
      <c r="C537" t="s">
        <v>154</v>
      </c>
      <c r="D537" t="b">
        <v>0</v>
      </c>
      <c r="E537" t="b">
        <v>0</v>
      </c>
      <c r="G537" t="s">
        <v>16</v>
      </c>
      <c r="H537" t="s">
        <v>203</v>
      </c>
      <c r="I537" t="s">
        <v>154</v>
      </c>
      <c r="J537" t="b">
        <v>0</v>
      </c>
      <c r="K537" t="b">
        <v>0</v>
      </c>
    </row>
    <row r="538" spans="1:11" x14ac:dyDescent="0.25">
      <c r="A538" t="s">
        <v>354</v>
      </c>
      <c r="B538" t="s">
        <v>208</v>
      </c>
      <c r="C538" t="s">
        <v>157</v>
      </c>
      <c r="D538" t="b">
        <v>0</v>
      </c>
      <c r="E538" t="b">
        <v>0</v>
      </c>
      <c r="G538" t="s">
        <v>16</v>
      </c>
      <c r="H538" t="s">
        <v>208</v>
      </c>
      <c r="I538" t="s">
        <v>157</v>
      </c>
      <c r="J538" t="b">
        <v>0</v>
      </c>
      <c r="K538" t="b">
        <v>0</v>
      </c>
    </row>
    <row r="539" spans="1:11" x14ac:dyDescent="0.25">
      <c r="A539" t="s">
        <v>354</v>
      </c>
      <c r="B539" t="s">
        <v>214</v>
      </c>
      <c r="C539" t="s">
        <v>157</v>
      </c>
      <c r="D539" t="b">
        <v>0</v>
      </c>
      <c r="E539" t="b">
        <v>0</v>
      </c>
      <c r="G539" t="s">
        <v>16</v>
      </c>
      <c r="H539" t="s">
        <v>214</v>
      </c>
      <c r="I539" t="s">
        <v>157</v>
      </c>
      <c r="J539" t="b">
        <v>0</v>
      </c>
      <c r="K539" t="b">
        <v>0</v>
      </c>
    </row>
    <row r="540" spans="1:11" x14ac:dyDescent="0.25">
      <c r="A540" t="s">
        <v>354</v>
      </c>
      <c r="B540" t="s">
        <v>215</v>
      </c>
      <c r="C540" t="s">
        <v>205</v>
      </c>
      <c r="D540" t="b">
        <v>0</v>
      </c>
      <c r="E540" t="b">
        <v>0</v>
      </c>
      <c r="G540" t="s">
        <v>16</v>
      </c>
      <c r="H540" t="s">
        <v>215</v>
      </c>
      <c r="I540" t="s">
        <v>205</v>
      </c>
      <c r="J540" t="b">
        <v>0</v>
      </c>
      <c r="K540" t="b">
        <v>0</v>
      </c>
    </row>
    <row r="541" spans="1:11" x14ac:dyDescent="0.25">
      <c r="A541" t="s">
        <v>354</v>
      </c>
      <c r="B541" t="s">
        <v>216</v>
      </c>
      <c r="C541" t="s">
        <v>154</v>
      </c>
      <c r="D541" t="b">
        <v>0</v>
      </c>
      <c r="E541" t="b">
        <v>0</v>
      </c>
      <c r="G541" t="s">
        <v>16</v>
      </c>
      <c r="H541" t="s">
        <v>216</v>
      </c>
      <c r="I541" t="s">
        <v>154</v>
      </c>
      <c r="J541" t="b">
        <v>0</v>
      </c>
      <c r="K541" t="b">
        <v>0</v>
      </c>
    </row>
    <row r="542" spans="1:11" x14ac:dyDescent="0.25">
      <c r="A542" t="s">
        <v>354</v>
      </c>
      <c r="B542" t="s">
        <v>217</v>
      </c>
      <c r="C542" t="s">
        <v>205</v>
      </c>
      <c r="D542" t="b">
        <v>0</v>
      </c>
      <c r="E542" t="b">
        <v>0</v>
      </c>
    </row>
    <row r="543" spans="1:11" x14ac:dyDescent="0.25">
      <c r="A543" t="s">
        <v>354</v>
      </c>
      <c r="B543" t="s">
        <v>218</v>
      </c>
      <c r="C543" t="s">
        <v>157</v>
      </c>
      <c r="D543" t="b">
        <v>0</v>
      </c>
      <c r="E543" t="b">
        <v>0</v>
      </c>
    </row>
    <row r="544" spans="1:11" x14ac:dyDescent="0.25">
      <c r="A544" t="s">
        <v>354</v>
      </c>
      <c r="B544" t="s">
        <v>219</v>
      </c>
      <c r="C544" t="s">
        <v>157</v>
      </c>
      <c r="D544" t="b">
        <v>0</v>
      </c>
      <c r="E544" t="b">
        <v>0</v>
      </c>
    </row>
    <row r="545" spans="1:11" x14ac:dyDescent="0.25">
      <c r="A545" t="s">
        <v>354</v>
      </c>
      <c r="B545" t="s">
        <v>220</v>
      </c>
      <c r="C545" t="s">
        <v>205</v>
      </c>
      <c r="D545" t="b">
        <v>0</v>
      </c>
      <c r="E545" t="b">
        <v>0</v>
      </c>
    </row>
    <row r="546" spans="1:11" x14ac:dyDescent="0.25">
      <c r="A546" t="s">
        <v>354</v>
      </c>
      <c r="B546" t="s">
        <v>221</v>
      </c>
      <c r="C546" t="s">
        <v>205</v>
      </c>
      <c r="D546" t="b">
        <v>0</v>
      </c>
      <c r="E546" t="b">
        <v>0</v>
      </c>
    </row>
    <row r="547" spans="1:11" x14ac:dyDescent="0.25">
      <c r="A547" s="2" t="s">
        <v>354</v>
      </c>
      <c r="B547" s="2" t="s">
        <v>222</v>
      </c>
      <c r="C547" s="2" t="s">
        <v>205</v>
      </c>
      <c r="D547" s="2" t="b">
        <v>0</v>
      </c>
      <c r="E547" s="2" t="b">
        <v>0</v>
      </c>
      <c r="F547" s="2"/>
      <c r="G547" s="2"/>
      <c r="H547" s="2"/>
      <c r="I547" s="2"/>
      <c r="J547" s="2"/>
      <c r="K547" s="2"/>
    </row>
    <row r="548" spans="1:11" x14ac:dyDescent="0.25">
      <c r="A548" t="s">
        <v>359</v>
      </c>
      <c r="B548" t="s">
        <v>233</v>
      </c>
      <c r="C548" t="s">
        <v>157</v>
      </c>
      <c r="D548" t="b">
        <v>0</v>
      </c>
      <c r="E548" t="b">
        <v>0</v>
      </c>
      <c r="G548" t="s">
        <v>26</v>
      </c>
      <c r="H548" t="s">
        <v>233</v>
      </c>
      <c r="I548" t="s">
        <v>157</v>
      </c>
      <c r="J548" t="b">
        <v>0</v>
      </c>
      <c r="K548" t="b">
        <v>0</v>
      </c>
    </row>
    <row r="549" spans="1:11" s="2" customFormat="1" x14ac:dyDescent="0.25">
      <c r="A549" t="s">
        <v>359</v>
      </c>
      <c r="B549" t="s">
        <v>249</v>
      </c>
      <c r="C549" t="s">
        <v>250</v>
      </c>
      <c r="D549" t="b">
        <v>0</v>
      </c>
      <c r="E549" t="b">
        <v>0</v>
      </c>
      <c r="G549" t="s">
        <v>26</v>
      </c>
      <c r="H549" t="s">
        <v>249</v>
      </c>
      <c r="I549" t="s">
        <v>250</v>
      </c>
      <c r="J549" t="b">
        <v>0</v>
      </c>
      <c r="K549" t="b">
        <v>0</v>
      </c>
    </row>
    <row r="550" spans="1:11" x14ac:dyDescent="0.25">
      <c r="A550" t="s">
        <v>359</v>
      </c>
      <c r="B550" t="s">
        <v>360</v>
      </c>
      <c r="C550" t="s">
        <v>157</v>
      </c>
      <c r="D550" t="b">
        <v>0</v>
      </c>
      <c r="E550" t="b">
        <v>0</v>
      </c>
      <c r="G550" t="s">
        <v>26</v>
      </c>
      <c r="H550" t="s">
        <v>360</v>
      </c>
      <c r="I550" t="s">
        <v>157</v>
      </c>
      <c r="J550" t="b">
        <v>0</v>
      </c>
      <c r="K550" t="b">
        <v>0</v>
      </c>
    </row>
    <row r="551" spans="1:11" x14ac:dyDescent="0.25">
      <c r="A551" t="s">
        <v>359</v>
      </c>
      <c r="B551" t="s">
        <v>361</v>
      </c>
      <c r="C551" t="s">
        <v>160</v>
      </c>
      <c r="D551" t="b">
        <v>0</v>
      </c>
      <c r="E551" t="b">
        <v>0</v>
      </c>
    </row>
    <row r="552" spans="1:11" x14ac:dyDescent="0.25">
      <c r="A552" t="s">
        <v>359</v>
      </c>
      <c r="B552" t="s">
        <v>362</v>
      </c>
      <c r="C552" t="s">
        <v>250</v>
      </c>
      <c r="D552" t="b">
        <v>0</v>
      </c>
      <c r="E552" t="b">
        <v>0</v>
      </c>
      <c r="G552" t="s">
        <v>26</v>
      </c>
      <c r="H552" t="s">
        <v>362</v>
      </c>
      <c r="I552" t="s">
        <v>250</v>
      </c>
      <c r="J552" t="b">
        <v>0</v>
      </c>
      <c r="K552" t="b">
        <v>0</v>
      </c>
    </row>
    <row r="553" spans="1:11" x14ac:dyDescent="0.25">
      <c r="A553" t="s">
        <v>359</v>
      </c>
      <c r="B553" t="s">
        <v>363</v>
      </c>
      <c r="C553" t="s">
        <v>250</v>
      </c>
      <c r="D553" t="b">
        <v>0</v>
      </c>
      <c r="E553" t="b">
        <v>0</v>
      </c>
      <c r="G553" t="s">
        <v>26</v>
      </c>
      <c r="H553" t="s">
        <v>363</v>
      </c>
      <c r="I553" t="s">
        <v>250</v>
      </c>
      <c r="J553" t="b">
        <v>0</v>
      </c>
      <c r="K553" t="b">
        <v>0</v>
      </c>
    </row>
    <row r="554" spans="1:11" x14ac:dyDescent="0.25">
      <c r="A554" t="s">
        <v>359</v>
      </c>
      <c r="B554" t="s">
        <v>179</v>
      </c>
      <c r="C554" t="s">
        <v>157</v>
      </c>
      <c r="D554" t="b">
        <v>1</v>
      </c>
      <c r="E554" t="b">
        <v>0</v>
      </c>
      <c r="G554" t="s">
        <v>26</v>
      </c>
      <c r="H554" t="s">
        <v>179</v>
      </c>
      <c r="I554" t="s">
        <v>157</v>
      </c>
      <c r="J554" t="b">
        <v>1</v>
      </c>
      <c r="K554" t="b">
        <v>0</v>
      </c>
    </row>
    <row r="555" spans="1:11" x14ac:dyDescent="0.25">
      <c r="A555" t="s">
        <v>359</v>
      </c>
      <c r="B555" t="s">
        <v>180</v>
      </c>
      <c r="C555" t="s">
        <v>160</v>
      </c>
      <c r="D555" t="b">
        <v>0</v>
      </c>
      <c r="E555" t="b">
        <v>0</v>
      </c>
    </row>
    <row r="556" spans="1:11" x14ac:dyDescent="0.25">
      <c r="A556" t="s">
        <v>359</v>
      </c>
      <c r="B556" t="s">
        <v>181</v>
      </c>
      <c r="C556" t="s">
        <v>182</v>
      </c>
      <c r="D556" t="b">
        <v>0</v>
      </c>
      <c r="E556" t="b">
        <v>0</v>
      </c>
      <c r="G556" t="s">
        <v>26</v>
      </c>
      <c r="H556" t="s">
        <v>181</v>
      </c>
      <c r="I556" t="s">
        <v>182</v>
      </c>
      <c r="J556" t="b">
        <v>0</v>
      </c>
      <c r="K556" t="b">
        <v>0</v>
      </c>
    </row>
    <row r="557" spans="1:11" x14ac:dyDescent="0.25">
      <c r="A557" t="s">
        <v>359</v>
      </c>
      <c r="B557" t="s">
        <v>364</v>
      </c>
      <c r="C557" t="s">
        <v>157</v>
      </c>
      <c r="D557" t="b">
        <v>0</v>
      </c>
      <c r="E557" t="b">
        <v>0</v>
      </c>
      <c r="G557" t="s">
        <v>26</v>
      </c>
      <c r="H557" t="s">
        <v>364</v>
      </c>
      <c r="I557" t="s">
        <v>157</v>
      </c>
      <c r="J557" t="b">
        <v>0</v>
      </c>
      <c r="K557" t="b">
        <v>0</v>
      </c>
    </row>
    <row r="558" spans="1:11" x14ac:dyDescent="0.25">
      <c r="A558" t="s">
        <v>359</v>
      </c>
      <c r="B558" t="s">
        <v>321</v>
      </c>
      <c r="C558" t="s">
        <v>250</v>
      </c>
      <c r="D558" t="b">
        <v>0</v>
      </c>
      <c r="E558" t="b">
        <v>0</v>
      </c>
      <c r="G558" t="s">
        <v>26</v>
      </c>
      <c r="H558" t="s">
        <v>321</v>
      </c>
      <c r="I558" t="s">
        <v>250</v>
      </c>
      <c r="J558" t="b">
        <v>0</v>
      </c>
      <c r="K558" t="b">
        <v>0</v>
      </c>
    </row>
    <row r="559" spans="1:11" x14ac:dyDescent="0.25">
      <c r="A559" t="s">
        <v>359</v>
      </c>
      <c r="B559" t="s">
        <v>357</v>
      </c>
      <c r="C559" t="s">
        <v>157</v>
      </c>
      <c r="D559" t="b">
        <v>0</v>
      </c>
      <c r="E559" t="b">
        <v>0</v>
      </c>
      <c r="G559" t="s">
        <v>26</v>
      </c>
      <c r="H559" t="s">
        <v>357</v>
      </c>
      <c r="I559" t="s">
        <v>157</v>
      </c>
      <c r="J559" t="b">
        <v>0</v>
      </c>
      <c r="K559" t="b">
        <v>0</v>
      </c>
    </row>
    <row r="560" spans="1:11" x14ac:dyDescent="0.25">
      <c r="A560" t="s">
        <v>359</v>
      </c>
      <c r="B560" t="s">
        <v>358</v>
      </c>
      <c r="C560" t="s">
        <v>160</v>
      </c>
      <c r="D560" t="b">
        <v>0</v>
      </c>
      <c r="E560" t="b">
        <v>0</v>
      </c>
    </row>
    <row r="561" spans="1:11" x14ac:dyDescent="0.25">
      <c r="A561" t="s">
        <v>359</v>
      </c>
      <c r="B561" t="s">
        <v>365</v>
      </c>
      <c r="C561" t="s">
        <v>250</v>
      </c>
      <c r="D561" t="b">
        <v>0</v>
      </c>
      <c r="E561" t="b">
        <v>0</v>
      </c>
      <c r="G561" t="s">
        <v>26</v>
      </c>
      <c r="H561" t="s">
        <v>365</v>
      </c>
      <c r="I561" t="s">
        <v>250</v>
      </c>
      <c r="J561" t="b">
        <v>0</v>
      </c>
      <c r="K561" t="b">
        <v>0</v>
      </c>
    </row>
    <row r="562" spans="1:11" x14ac:dyDescent="0.25">
      <c r="A562" t="s">
        <v>359</v>
      </c>
      <c r="B562" t="s">
        <v>203</v>
      </c>
      <c r="C562" t="s">
        <v>154</v>
      </c>
      <c r="D562" t="b">
        <v>0</v>
      </c>
      <c r="E562" t="b">
        <v>0</v>
      </c>
      <c r="G562" t="s">
        <v>26</v>
      </c>
      <c r="H562" t="s">
        <v>203</v>
      </c>
      <c r="I562" t="s">
        <v>154</v>
      </c>
      <c r="J562" t="b">
        <v>0</v>
      </c>
      <c r="K562" t="b">
        <v>0</v>
      </c>
    </row>
    <row r="563" spans="1:11" x14ac:dyDescent="0.25">
      <c r="A563" t="s">
        <v>359</v>
      </c>
      <c r="B563" t="s">
        <v>208</v>
      </c>
      <c r="C563" t="s">
        <v>157</v>
      </c>
      <c r="D563" t="b">
        <v>0</v>
      </c>
      <c r="E563" t="b">
        <v>0</v>
      </c>
      <c r="G563" t="s">
        <v>26</v>
      </c>
      <c r="H563" t="s">
        <v>208</v>
      </c>
      <c r="I563" t="s">
        <v>157</v>
      </c>
      <c r="J563" t="b">
        <v>0</v>
      </c>
      <c r="K563" t="b">
        <v>0</v>
      </c>
    </row>
    <row r="564" spans="1:11" x14ac:dyDescent="0.25">
      <c r="A564" t="s">
        <v>359</v>
      </c>
      <c r="B564" t="s">
        <v>214</v>
      </c>
      <c r="C564" t="s">
        <v>157</v>
      </c>
      <c r="D564" t="b">
        <v>0</v>
      </c>
      <c r="E564" t="b">
        <v>0</v>
      </c>
      <c r="G564" t="s">
        <v>26</v>
      </c>
      <c r="H564" t="s">
        <v>214</v>
      </c>
      <c r="I564" t="s">
        <v>157</v>
      </c>
      <c r="J564" t="b">
        <v>0</v>
      </c>
      <c r="K564" t="b">
        <v>0</v>
      </c>
    </row>
    <row r="565" spans="1:11" x14ac:dyDescent="0.25">
      <c r="A565" t="s">
        <v>359</v>
      </c>
      <c r="B565" t="s">
        <v>215</v>
      </c>
      <c r="C565" t="s">
        <v>205</v>
      </c>
      <c r="D565" t="b">
        <v>0</v>
      </c>
      <c r="E565" t="b">
        <v>0</v>
      </c>
      <c r="G565" t="s">
        <v>26</v>
      </c>
      <c r="H565" t="s">
        <v>215</v>
      </c>
      <c r="I565" t="s">
        <v>205</v>
      </c>
      <c r="J565" t="b">
        <v>0</v>
      </c>
      <c r="K565" t="b">
        <v>0</v>
      </c>
    </row>
    <row r="566" spans="1:11" x14ac:dyDescent="0.25">
      <c r="A566" t="s">
        <v>359</v>
      </c>
      <c r="B566" t="s">
        <v>216</v>
      </c>
      <c r="C566" t="s">
        <v>154</v>
      </c>
      <c r="D566" t="b">
        <v>0</v>
      </c>
      <c r="E566" t="b">
        <v>0</v>
      </c>
      <c r="G566" t="s">
        <v>26</v>
      </c>
      <c r="H566" t="s">
        <v>216</v>
      </c>
      <c r="I566" t="s">
        <v>154</v>
      </c>
      <c r="J566" t="b">
        <v>0</v>
      </c>
      <c r="K566" t="b">
        <v>0</v>
      </c>
    </row>
    <row r="567" spans="1:11" x14ac:dyDescent="0.25">
      <c r="A567" t="s">
        <v>359</v>
      </c>
      <c r="B567" t="s">
        <v>217</v>
      </c>
      <c r="C567" t="s">
        <v>205</v>
      </c>
      <c r="D567" t="b">
        <v>0</v>
      </c>
      <c r="E567" t="b">
        <v>0</v>
      </c>
    </row>
    <row r="568" spans="1:11" x14ac:dyDescent="0.25">
      <c r="A568" t="s">
        <v>359</v>
      </c>
      <c r="B568" t="s">
        <v>218</v>
      </c>
      <c r="C568" t="s">
        <v>157</v>
      </c>
      <c r="D568" t="b">
        <v>0</v>
      </c>
      <c r="E568" t="b">
        <v>0</v>
      </c>
    </row>
    <row r="569" spans="1:11" x14ac:dyDescent="0.25">
      <c r="A569" t="s">
        <v>359</v>
      </c>
      <c r="B569" t="s">
        <v>219</v>
      </c>
      <c r="C569" t="s">
        <v>157</v>
      </c>
      <c r="D569" t="b">
        <v>0</v>
      </c>
      <c r="E569" t="b">
        <v>0</v>
      </c>
    </row>
    <row r="570" spans="1:11" x14ac:dyDescent="0.25">
      <c r="A570" t="s">
        <v>359</v>
      </c>
      <c r="B570" t="s">
        <v>220</v>
      </c>
      <c r="C570" t="s">
        <v>205</v>
      </c>
      <c r="D570" t="b">
        <v>0</v>
      </c>
      <c r="E570" t="b">
        <v>0</v>
      </c>
    </row>
    <row r="571" spans="1:11" x14ac:dyDescent="0.25">
      <c r="A571" t="s">
        <v>359</v>
      </c>
      <c r="B571" t="s">
        <v>221</v>
      </c>
      <c r="C571" t="s">
        <v>205</v>
      </c>
      <c r="D571" t="b">
        <v>0</v>
      </c>
      <c r="E571" t="b">
        <v>0</v>
      </c>
    </row>
    <row r="572" spans="1:11" x14ac:dyDescent="0.25">
      <c r="A572" s="2" t="s">
        <v>359</v>
      </c>
      <c r="B572" s="2" t="s">
        <v>222</v>
      </c>
      <c r="C572" s="2" t="s">
        <v>205</v>
      </c>
      <c r="D572" s="2" t="b">
        <v>0</v>
      </c>
      <c r="E572" s="2" t="b">
        <v>0</v>
      </c>
      <c r="F572" s="2"/>
      <c r="G572" s="2"/>
      <c r="H572" s="2"/>
      <c r="I572" s="2"/>
      <c r="J572" s="2"/>
      <c r="K572" s="2"/>
    </row>
    <row r="573" spans="1:11" x14ac:dyDescent="0.25">
      <c r="A573" t="s">
        <v>366</v>
      </c>
      <c r="B573" t="s">
        <v>233</v>
      </c>
      <c r="C573" t="s">
        <v>157</v>
      </c>
      <c r="D573" t="b">
        <v>0</v>
      </c>
      <c r="E573" t="b">
        <v>0</v>
      </c>
      <c r="G573" t="s">
        <v>31</v>
      </c>
      <c r="H573" t="s">
        <v>233</v>
      </c>
      <c r="I573" t="s">
        <v>157</v>
      </c>
      <c r="J573" t="b">
        <v>0</v>
      </c>
      <c r="K573" t="b">
        <v>0</v>
      </c>
    </row>
    <row r="574" spans="1:11" s="2" customFormat="1" x14ac:dyDescent="0.25">
      <c r="A574" t="s">
        <v>366</v>
      </c>
      <c r="B574" t="s">
        <v>360</v>
      </c>
      <c r="C574" t="s">
        <v>157</v>
      </c>
      <c r="D574" t="b">
        <v>0</v>
      </c>
      <c r="E574" t="b">
        <v>0</v>
      </c>
      <c r="G574" t="s">
        <v>31</v>
      </c>
      <c r="H574" t="s">
        <v>360</v>
      </c>
      <c r="I574" t="s">
        <v>157</v>
      </c>
      <c r="J574" t="b">
        <v>0</v>
      </c>
      <c r="K574" t="b">
        <v>0</v>
      </c>
    </row>
    <row r="575" spans="1:11" x14ac:dyDescent="0.25">
      <c r="A575" t="s">
        <v>366</v>
      </c>
      <c r="B575" t="s">
        <v>361</v>
      </c>
      <c r="C575" t="s">
        <v>160</v>
      </c>
      <c r="D575" t="b">
        <v>0</v>
      </c>
      <c r="E575" t="b">
        <v>0</v>
      </c>
    </row>
    <row r="576" spans="1:11" x14ac:dyDescent="0.25">
      <c r="A576" t="s">
        <v>366</v>
      </c>
      <c r="B576" t="s">
        <v>362</v>
      </c>
      <c r="C576" t="s">
        <v>250</v>
      </c>
      <c r="D576" t="b">
        <v>0</v>
      </c>
      <c r="E576" t="b">
        <v>0</v>
      </c>
      <c r="G576" t="s">
        <v>31</v>
      </c>
      <c r="H576" t="s">
        <v>362</v>
      </c>
      <c r="I576" t="s">
        <v>250</v>
      </c>
      <c r="J576" t="b">
        <v>0</v>
      </c>
      <c r="K576" t="b">
        <v>0</v>
      </c>
    </row>
    <row r="577" spans="1:11" x14ac:dyDescent="0.25">
      <c r="A577" t="s">
        <v>366</v>
      </c>
      <c r="B577" t="s">
        <v>363</v>
      </c>
      <c r="C577" t="s">
        <v>250</v>
      </c>
      <c r="D577" t="b">
        <v>0</v>
      </c>
      <c r="E577" t="b">
        <v>0</v>
      </c>
      <c r="G577" t="s">
        <v>31</v>
      </c>
      <c r="H577" t="s">
        <v>363</v>
      </c>
      <c r="I577" t="s">
        <v>250</v>
      </c>
      <c r="J577" t="b">
        <v>0</v>
      </c>
      <c r="K577" t="b">
        <v>0</v>
      </c>
    </row>
    <row r="578" spans="1:11" x14ac:dyDescent="0.25">
      <c r="A578" t="s">
        <v>366</v>
      </c>
      <c r="B578" t="s">
        <v>179</v>
      </c>
      <c r="C578" t="s">
        <v>157</v>
      </c>
      <c r="D578" t="b">
        <v>1</v>
      </c>
      <c r="E578" t="b">
        <v>0</v>
      </c>
      <c r="G578" t="s">
        <v>31</v>
      </c>
      <c r="H578" t="s">
        <v>179</v>
      </c>
      <c r="I578" t="s">
        <v>157</v>
      </c>
      <c r="J578" t="b">
        <v>1</v>
      </c>
      <c r="K578" t="b">
        <v>0</v>
      </c>
    </row>
    <row r="579" spans="1:11" x14ac:dyDescent="0.25">
      <c r="A579" t="s">
        <v>366</v>
      </c>
      <c r="B579" t="s">
        <v>180</v>
      </c>
      <c r="C579" t="s">
        <v>160</v>
      </c>
      <c r="D579" t="b">
        <v>0</v>
      </c>
      <c r="E579" t="b">
        <v>0</v>
      </c>
    </row>
    <row r="580" spans="1:11" x14ac:dyDescent="0.25">
      <c r="A580" t="s">
        <v>366</v>
      </c>
      <c r="B580" t="s">
        <v>181</v>
      </c>
      <c r="C580" t="s">
        <v>182</v>
      </c>
      <c r="D580" t="b">
        <v>0</v>
      </c>
      <c r="E580" t="b">
        <v>0</v>
      </c>
      <c r="G580" t="s">
        <v>31</v>
      </c>
      <c r="H580" t="s">
        <v>181</v>
      </c>
      <c r="I580" t="s">
        <v>182</v>
      </c>
      <c r="J580" t="b">
        <v>0</v>
      </c>
      <c r="K580" t="b">
        <v>0</v>
      </c>
    </row>
    <row r="581" spans="1:11" x14ac:dyDescent="0.25">
      <c r="A581" t="s">
        <v>366</v>
      </c>
      <c r="B581" t="s">
        <v>364</v>
      </c>
      <c r="C581" t="s">
        <v>157</v>
      </c>
      <c r="D581" t="b">
        <v>0</v>
      </c>
      <c r="E581" t="b">
        <v>0</v>
      </c>
      <c r="G581" t="s">
        <v>31</v>
      </c>
      <c r="H581" t="s">
        <v>364</v>
      </c>
      <c r="I581" t="s">
        <v>157</v>
      </c>
      <c r="J581" t="b">
        <v>0</v>
      </c>
      <c r="K581" t="b">
        <v>0</v>
      </c>
    </row>
    <row r="582" spans="1:11" x14ac:dyDescent="0.25">
      <c r="A582" t="s">
        <v>366</v>
      </c>
      <c r="B582" t="s">
        <v>357</v>
      </c>
      <c r="C582" t="s">
        <v>157</v>
      </c>
      <c r="D582" t="b">
        <v>0</v>
      </c>
      <c r="E582" t="b">
        <v>0</v>
      </c>
      <c r="G582" t="s">
        <v>31</v>
      </c>
      <c r="H582" t="s">
        <v>357</v>
      </c>
      <c r="I582" t="s">
        <v>157</v>
      </c>
      <c r="J582" t="b">
        <v>0</v>
      </c>
      <c r="K582" t="b">
        <v>0</v>
      </c>
    </row>
    <row r="583" spans="1:11" x14ac:dyDescent="0.25">
      <c r="A583" t="s">
        <v>366</v>
      </c>
      <c r="B583" t="s">
        <v>358</v>
      </c>
      <c r="C583" t="s">
        <v>160</v>
      </c>
      <c r="D583" t="b">
        <v>0</v>
      </c>
      <c r="E583" t="b">
        <v>0</v>
      </c>
    </row>
    <row r="584" spans="1:11" x14ac:dyDescent="0.25">
      <c r="A584" t="s">
        <v>366</v>
      </c>
      <c r="B584" t="s">
        <v>365</v>
      </c>
      <c r="C584" t="s">
        <v>250</v>
      </c>
      <c r="D584" t="b">
        <v>0</v>
      </c>
      <c r="E584" t="b">
        <v>0</v>
      </c>
      <c r="G584" t="s">
        <v>31</v>
      </c>
      <c r="H584" t="s">
        <v>365</v>
      </c>
      <c r="I584" t="s">
        <v>250</v>
      </c>
      <c r="J584" t="b">
        <v>0</v>
      </c>
      <c r="K584" t="b">
        <v>0</v>
      </c>
    </row>
    <row r="585" spans="1:11" x14ac:dyDescent="0.25">
      <c r="A585" t="s">
        <v>366</v>
      </c>
      <c r="B585" t="s">
        <v>203</v>
      </c>
      <c r="C585" t="s">
        <v>154</v>
      </c>
      <c r="D585" t="b">
        <v>0</v>
      </c>
      <c r="E585" t="b">
        <v>0</v>
      </c>
      <c r="G585" t="s">
        <v>31</v>
      </c>
      <c r="H585" t="s">
        <v>203</v>
      </c>
      <c r="I585" t="s">
        <v>154</v>
      </c>
      <c r="J585" t="b">
        <v>0</v>
      </c>
      <c r="K585" t="b">
        <v>0</v>
      </c>
    </row>
    <row r="586" spans="1:11" x14ac:dyDescent="0.25">
      <c r="A586" t="s">
        <v>366</v>
      </c>
      <c r="B586" t="s">
        <v>208</v>
      </c>
      <c r="C586" t="s">
        <v>157</v>
      </c>
      <c r="D586" t="b">
        <v>0</v>
      </c>
      <c r="E586" t="b">
        <v>0</v>
      </c>
      <c r="G586" t="s">
        <v>31</v>
      </c>
      <c r="H586" t="s">
        <v>208</v>
      </c>
      <c r="I586" t="s">
        <v>157</v>
      </c>
      <c r="J586" t="b">
        <v>0</v>
      </c>
      <c r="K586" t="b">
        <v>0</v>
      </c>
    </row>
    <row r="587" spans="1:11" x14ac:dyDescent="0.25">
      <c r="A587" t="s">
        <v>366</v>
      </c>
      <c r="B587" t="s">
        <v>214</v>
      </c>
      <c r="C587" t="s">
        <v>157</v>
      </c>
      <c r="D587" t="b">
        <v>0</v>
      </c>
      <c r="E587" t="b">
        <v>0</v>
      </c>
      <c r="G587" t="s">
        <v>31</v>
      </c>
      <c r="H587" t="s">
        <v>214</v>
      </c>
      <c r="I587" t="s">
        <v>157</v>
      </c>
      <c r="J587" t="b">
        <v>0</v>
      </c>
      <c r="K587" t="b">
        <v>0</v>
      </c>
    </row>
    <row r="588" spans="1:11" x14ac:dyDescent="0.25">
      <c r="A588" t="s">
        <v>366</v>
      </c>
      <c r="B588" t="s">
        <v>215</v>
      </c>
      <c r="C588" t="s">
        <v>205</v>
      </c>
      <c r="D588" t="b">
        <v>0</v>
      </c>
      <c r="E588" t="b">
        <v>0</v>
      </c>
      <c r="G588" t="s">
        <v>31</v>
      </c>
      <c r="H588" t="s">
        <v>215</v>
      </c>
      <c r="I588" t="s">
        <v>205</v>
      </c>
      <c r="J588" t="b">
        <v>0</v>
      </c>
      <c r="K588" t="b">
        <v>0</v>
      </c>
    </row>
    <row r="589" spans="1:11" x14ac:dyDescent="0.25">
      <c r="A589" t="s">
        <v>366</v>
      </c>
      <c r="B589" t="s">
        <v>216</v>
      </c>
      <c r="C589" t="s">
        <v>154</v>
      </c>
      <c r="D589" t="b">
        <v>0</v>
      </c>
      <c r="E589" t="b">
        <v>0</v>
      </c>
      <c r="G589" t="s">
        <v>31</v>
      </c>
      <c r="H589" t="s">
        <v>216</v>
      </c>
      <c r="I589" t="s">
        <v>154</v>
      </c>
      <c r="J589" t="b">
        <v>0</v>
      </c>
      <c r="K589" t="b">
        <v>0</v>
      </c>
    </row>
    <row r="590" spans="1:11" x14ac:dyDescent="0.25">
      <c r="A590" t="s">
        <v>366</v>
      </c>
      <c r="B590" t="s">
        <v>217</v>
      </c>
      <c r="C590" t="s">
        <v>205</v>
      </c>
      <c r="D590" t="b">
        <v>0</v>
      </c>
      <c r="E590" t="b">
        <v>0</v>
      </c>
    </row>
    <row r="591" spans="1:11" x14ac:dyDescent="0.25">
      <c r="A591" t="s">
        <v>366</v>
      </c>
      <c r="B591" t="s">
        <v>218</v>
      </c>
      <c r="C591" t="s">
        <v>157</v>
      </c>
      <c r="D591" t="b">
        <v>0</v>
      </c>
      <c r="E591" t="b">
        <v>0</v>
      </c>
    </row>
    <row r="592" spans="1:11" x14ac:dyDescent="0.25">
      <c r="A592" t="s">
        <v>366</v>
      </c>
      <c r="B592" t="s">
        <v>219</v>
      </c>
      <c r="C592" t="s">
        <v>157</v>
      </c>
      <c r="D592" t="b">
        <v>0</v>
      </c>
      <c r="E592" t="b">
        <v>0</v>
      </c>
    </row>
    <row r="593" spans="1:11" x14ac:dyDescent="0.25">
      <c r="A593" t="s">
        <v>366</v>
      </c>
      <c r="B593" t="s">
        <v>220</v>
      </c>
      <c r="C593" t="s">
        <v>205</v>
      </c>
      <c r="D593" t="b">
        <v>0</v>
      </c>
      <c r="E593" t="b">
        <v>0</v>
      </c>
    </row>
    <row r="594" spans="1:11" x14ac:dyDescent="0.25">
      <c r="A594" t="s">
        <v>366</v>
      </c>
      <c r="B594" t="s">
        <v>221</v>
      </c>
      <c r="C594" t="s">
        <v>205</v>
      </c>
      <c r="D594" t="b">
        <v>0</v>
      </c>
      <c r="E594" t="b">
        <v>0</v>
      </c>
    </row>
    <row r="595" spans="1:11" x14ac:dyDescent="0.25">
      <c r="A595" s="2" t="s">
        <v>366</v>
      </c>
      <c r="B595" s="2" t="s">
        <v>222</v>
      </c>
      <c r="C595" s="2" t="s">
        <v>205</v>
      </c>
      <c r="D595" s="2" t="b">
        <v>0</v>
      </c>
      <c r="E595" s="2" t="b">
        <v>0</v>
      </c>
      <c r="F595" s="2"/>
      <c r="G595" s="2"/>
      <c r="H595" s="2"/>
      <c r="I595" s="2"/>
      <c r="J595" s="2"/>
      <c r="K595" s="2"/>
    </row>
    <row r="596" spans="1:11" x14ac:dyDescent="0.25">
      <c r="A596" t="s">
        <v>367</v>
      </c>
      <c r="B596" t="s">
        <v>233</v>
      </c>
      <c r="C596" t="s">
        <v>157</v>
      </c>
      <c r="D596" t="b">
        <v>0</v>
      </c>
      <c r="E596" t="b">
        <v>0</v>
      </c>
      <c r="G596" t="s">
        <v>131</v>
      </c>
      <c r="H596" t="s">
        <v>233</v>
      </c>
      <c r="I596" t="s">
        <v>157</v>
      </c>
      <c r="J596" t="b">
        <v>0</v>
      </c>
      <c r="K596" t="b">
        <v>0</v>
      </c>
    </row>
    <row r="597" spans="1:11" s="2" customFormat="1" x14ac:dyDescent="0.25">
      <c r="A597" t="s">
        <v>367</v>
      </c>
      <c r="B597" t="s">
        <v>179</v>
      </c>
      <c r="C597" t="s">
        <v>157</v>
      </c>
      <c r="D597" t="b">
        <v>1</v>
      </c>
      <c r="E597" t="b">
        <v>0</v>
      </c>
      <c r="G597" t="s">
        <v>131</v>
      </c>
      <c r="H597" t="s">
        <v>179</v>
      </c>
      <c r="I597" t="s">
        <v>157</v>
      </c>
      <c r="J597" t="b">
        <v>1</v>
      </c>
      <c r="K597" t="b">
        <v>0</v>
      </c>
    </row>
    <row r="598" spans="1:11" x14ac:dyDescent="0.25">
      <c r="A598" t="s">
        <v>367</v>
      </c>
      <c r="B598" t="s">
        <v>180</v>
      </c>
      <c r="C598" t="s">
        <v>160</v>
      </c>
      <c r="D598" t="b">
        <v>0</v>
      </c>
      <c r="E598" t="b">
        <v>0</v>
      </c>
    </row>
    <row r="599" spans="1:11" x14ac:dyDescent="0.25">
      <c r="A599" t="s">
        <v>367</v>
      </c>
      <c r="B599" t="s">
        <v>181</v>
      </c>
      <c r="C599" t="s">
        <v>182</v>
      </c>
      <c r="D599" t="b">
        <v>0</v>
      </c>
      <c r="E599" t="b">
        <v>0</v>
      </c>
      <c r="G599" t="s">
        <v>131</v>
      </c>
      <c r="H599" t="s">
        <v>181</v>
      </c>
      <c r="I599" t="s">
        <v>182</v>
      </c>
      <c r="J599" t="b">
        <v>0</v>
      </c>
      <c r="K599" t="b">
        <v>0</v>
      </c>
    </row>
    <row r="600" spans="1:11" x14ac:dyDescent="0.25">
      <c r="A600" t="s">
        <v>367</v>
      </c>
      <c r="B600" t="s">
        <v>321</v>
      </c>
      <c r="C600" t="s">
        <v>250</v>
      </c>
      <c r="D600" t="b">
        <v>0</v>
      </c>
      <c r="E600" t="b">
        <v>0</v>
      </c>
      <c r="G600" t="s">
        <v>131</v>
      </c>
      <c r="H600" t="s">
        <v>321</v>
      </c>
      <c r="I600" t="s">
        <v>250</v>
      </c>
      <c r="J600" t="b">
        <v>0</v>
      </c>
      <c r="K600" t="b">
        <v>0</v>
      </c>
    </row>
    <row r="601" spans="1:11" x14ac:dyDescent="0.25">
      <c r="A601" t="s">
        <v>367</v>
      </c>
      <c r="B601" t="s">
        <v>357</v>
      </c>
      <c r="C601" t="s">
        <v>157</v>
      </c>
      <c r="D601" t="b">
        <v>0</v>
      </c>
      <c r="E601" t="b">
        <v>0</v>
      </c>
      <c r="G601" t="s">
        <v>131</v>
      </c>
      <c r="H601" t="s">
        <v>357</v>
      </c>
      <c r="I601" t="s">
        <v>157</v>
      </c>
      <c r="J601" t="b">
        <v>0</v>
      </c>
      <c r="K601" t="b">
        <v>0</v>
      </c>
    </row>
    <row r="602" spans="1:11" x14ac:dyDescent="0.25">
      <c r="A602" t="s">
        <v>367</v>
      </c>
      <c r="B602" t="s">
        <v>358</v>
      </c>
      <c r="C602" t="s">
        <v>160</v>
      </c>
      <c r="D602" t="b">
        <v>0</v>
      </c>
      <c r="E602" t="b">
        <v>0</v>
      </c>
    </row>
    <row r="603" spans="1:11" x14ac:dyDescent="0.25">
      <c r="A603" t="s">
        <v>367</v>
      </c>
      <c r="B603" t="s">
        <v>203</v>
      </c>
      <c r="C603" t="s">
        <v>154</v>
      </c>
      <c r="D603" t="b">
        <v>0</v>
      </c>
      <c r="E603" t="b">
        <v>0</v>
      </c>
      <c r="G603" t="s">
        <v>131</v>
      </c>
      <c r="H603" t="s">
        <v>203</v>
      </c>
      <c r="I603" t="s">
        <v>154</v>
      </c>
      <c r="J603" t="b">
        <v>0</v>
      </c>
      <c r="K603" t="b">
        <v>0</v>
      </c>
    </row>
    <row r="604" spans="1:11" x14ac:dyDescent="0.25">
      <c r="A604" t="s">
        <v>367</v>
      </c>
      <c r="B604" t="s">
        <v>368</v>
      </c>
      <c r="C604" t="s">
        <v>369</v>
      </c>
      <c r="D604" t="b">
        <v>0</v>
      </c>
      <c r="E604" t="b">
        <v>0</v>
      </c>
      <c r="G604" t="s">
        <v>131</v>
      </c>
      <c r="H604" t="s">
        <v>368</v>
      </c>
      <c r="I604" t="s">
        <v>369</v>
      </c>
      <c r="J604" t="b">
        <v>0</v>
      </c>
      <c r="K604" t="b">
        <v>0</v>
      </c>
    </row>
    <row r="605" spans="1:11" x14ac:dyDescent="0.25">
      <c r="A605" t="s">
        <v>367</v>
      </c>
      <c r="B605" t="s">
        <v>208</v>
      </c>
      <c r="C605" t="s">
        <v>157</v>
      </c>
      <c r="D605" t="b">
        <v>0</v>
      </c>
      <c r="E605" t="b">
        <v>0</v>
      </c>
      <c r="G605" t="s">
        <v>131</v>
      </c>
      <c r="H605" t="s">
        <v>208</v>
      </c>
      <c r="I605" t="s">
        <v>157</v>
      </c>
      <c r="J605" t="b">
        <v>0</v>
      </c>
      <c r="K605" t="b">
        <v>0</v>
      </c>
    </row>
    <row r="606" spans="1:11" x14ac:dyDescent="0.25">
      <c r="A606" t="s">
        <v>367</v>
      </c>
      <c r="B606" t="s">
        <v>214</v>
      </c>
      <c r="C606" t="s">
        <v>157</v>
      </c>
      <c r="D606" t="b">
        <v>0</v>
      </c>
      <c r="E606" t="b">
        <v>0</v>
      </c>
      <c r="G606" t="s">
        <v>131</v>
      </c>
      <c r="H606" t="s">
        <v>214</v>
      </c>
      <c r="I606" t="s">
        <v>157</v>
      </c>
      <c r="J606" t="b">
        <v>0</v>
      </c>
      <c r="K606" t="b">
        <v>0</v>
      </c>
    </row>
    <row r="607" spans="1:11" x14ac:dyDescent="0.25">
      <c r="A607" t="s">
        <v>367</v>
      </c>
      <c r="B607" t="s">
        <v>215</v>
      </c>
      <c r="C607" t="s">
        <v>205</v>
      </c>
      <c r="D607" t="b">
        <v>0</v>
      </c>
      <c r="E607" t="b">
        <v>0</v>
      </c>
      <c r="G607" t="s">
        <v>131</v>
      </c>
      <c r="H607" t="s">
        <v>215</v>
      </c>
      <c r="I607" t="s">
        <v>205</v>
      </c>
      <c r="J607" t="b">
        <v>0</v>
      </c>
      <c r="K607" t="b">
        <v>0</v>
      </c>
    </row>
    <row r="608" spans="1:11" x14ac:dyDescent="0.25">
      <c r="A608" t="s">
        <v>367</v>
      </c>
      <c r="B608" t="s">
        <v>216</v>
      </c>
      <c r="C608" t="s">
        <v>154</v>
      </c>
      <c r="D608" t="b">
        <v>0</v>
      </c>
      <c r="E608" t="b">
        <v>0</v>
      </c>
      <c r="G608" t="s">
        <v>131</v>
      </c>
      <c r="H608" t="s">
        <v>216</v>
      </c>
      <c r="I608" t="s">
        <v>154</v>
      </c>
      <c r="J608" t="b">
        <v>0</v>
      </c>
      <c r="K608" t="b">
        <v>0</v>
      </c>
    </row>
    <row r="609" spans="1:11" x14ac:dyDescent="0.25">
      <c r="A609" t="s">
        <v>367</v>
      </c>
      <c r="B609" t="s">
        <v>217</v>
      </c>
      <c r="C609" t="s">
        <v>205</v>
      </c>
      <c r="D609" t="b">
        <v>0</v>
      </c>
      <c r="E609" t="b">
        <v>0</v>
      </c>
    </row>
    <row r="610" spans="1:11" x14ac:dyDescent="0.25">
      <c r="A610" t="s">
        <v>367</v>
      </c>
      <c r="B610" t="s">
        <v>218</v>
      </c>
      <c r="C610" t="s">
        <v>157</v>
      </c>
      <c r="D610" t="b">
        <v>0</v>
      </c>
      <c r="E610" t="b">
        <v>0</v>
      </c>
    </row>
    <row r="611" spans="1:11" x14ac:dyDescent="0.25">
      <c r="A611" t="s">
        <v>367</v>
      </c>
      <c r="B611" t="s">
        <v>219</v>
      </c>
      <c r="C611" t="s">
        <v>157</v>
      </c>
      <c r="D611" t="b">
        <v>0</v>
      </c>
      <c r="E611" t="b">
        <v>0</v>
      </c>
    </row>
    <row r="612" spans="1:11" x14ac:dyDescent="0.25">
      <c r="A612" t="s">
        <v>367</v>
      </c>
      <c r="B612" t="s">
        <v>220</v>
      </c>
      <c r="C612" t="s">
        <v>205</v>
      </c>
      <c r="D612" t="b">
        <v>0</v>
      </c>
      <c r="E612" t="b">
        <v>0</v>
      </c>
    </row>
    <row r="613" spans="1:11" x14ac:dyDescent="0.25">
      <c r="A613" t="s">
        <v>367</v>
      </c>
      <c r="B613" t="s">
        <v>221</v>
      </c>
      <c r="C613" t="s">
        <v>205</v>
      </c>
      <c r="D613" t="b">
        <v>0</v>
      </c>
      <c r="E613" t="b">
        <v>0</v>
      </c>
    </row>
    <row r="614" spans="1:11" x14ac:dyDescent="0.25">
      <c r="A614" s="2" t="s">
        <v>367</v>
      </c>
      <c r="B614" s="2" t="s">
        <v>222</v>
      </c>
      <c r="C614" s="2" t="s">
        <v>205</v>
      </c>
      <c r="D614" s="2" t="b">
        <v>0</v>
      </c>
      <c r="E614" s="2" t="b">
        <v>0</v>
      </c>
      <c r="F614" s="2"/>
      <c r="G614" s="2"/>
      <c r="H614" s="2"/>
      <c r="I614" s="2"/>
      <c r="J614" s="2"/>
      <c r="K614" s="2"/>
    </row>
    <row r="615" spans="1:11" x14ac:dyDescent="0.25">
      <c r="A615" t="s">
        <v>370</v>
      </c>
      <c r="B615" t="s">
        <v>233</v>
      </c>
      <c r="C615" t="s">
        <v>157</v>
      </c>
      <c r="D615" t="b">
        <v>0</v>
      </c>
      <c r="E615" t="b">
        <v>0</v>
      </c>
      <c r="G615" t="s">
        <v>91</v>
      </c>
      <c r="H615" t="s">
        <v>233</v>
      </c>
      <c r="I615" t="s">
        <v>157</v>
      </c>
      <c r="J615" t="b">
        <v>0</v>
      </c>
      <c r="K615" t="b">
        <v>0</v>
      </c>
    </row>
    <row r="616" spans="1:11" s="2" customFormat="1" x14ac:dyDescent="0.25">
      <c r="A616" t="s">
        <v>370</v>
      </c>
      <c r="B616" t="s">
        <v>179</v>
      </c>
      <c r="C616" t="s">
        <v>157</v>
      </c>
      <c r="D616" t="b">
        <v>1</v>
      </c>
      <c r="E616" t="b">
        <v>0</v>
      </c>
      <c r="G616" t="s">
        <v>91</v>
      </c>
      <c r="H616" t="s">
        <v>179</v>
      </c>
      <c r="I616" t="s">
        <v>157</v>
      </c>
      <c r="J616" t="b">
        <v>1</v>
      </c>
      <c r="K616" t="b">
        <v>0</v>
      </c>
    </row>
    <row r="617" spans="1:11" x14ac:dyDescent="0.25">
      <c r="A617" t="s">
        <v>370</v>
      </c>
      <c r="B617" t="s">
        <v>181</v>
      </c>
      <c r="C617" t="s">
        <v>182</v>
      </c>
      <c r="D617" t="b">
        <v>0</v>
      </c>
      <c r="E617" t="b">
        <v>0</v>
      </c>
      <c r="G617" t="s">
        <v>91</v>
      </c>
      <c r="H617" t="s">
        <v>181</v>
      </c>
      <c r="I617" t="s">
        <v>182</v>
      </c>
      <c r="J617" t="b">
        <v>0</v>
      </c>
      <c r="K617" t="b">
        <v>0</v>
      </c>
    </row>
    <row r="618" spans="1:11" x14ac:dyDescent="0.25">
      <c r="A618" t="s">
        <v>370</v>
      </c>
      <c r="B618" t="s">
        <v>245</v>
      </c>
      <c r="C618" t="s">
        <v>157</v>
      </c>
      <c r="D618" t="b">
        <v>0</v>
      </c>
      <c r="E618" t="b">
        <v>0</v>
      </c>
      <c r="G618" t="s">
        <v>91</v>
      </c>
      <c r="H618" t="s">
        <v>245</v>
      </c>
      <c r="I618" t="s">
        <v>157</v>
      </c>
      <c r="J618" t="b">
        <v>0</v>
      </c>
      <c r="K618" t="b">
        <v>0</v>
      </c>
    </row>
    <row r="619" spans="1:11" x14ac:dyDescent="0.25">
      <c r="A619" t="s">
        <v>370</v>
      </c>
      <c r="B619" t="s">
        <v>371</v>
      </c>
      <c r="C619" t="s">
        <v>157</v>
      </c>
      <c r="D619" t="b">
        <v>0</v>
      </c>
      <c r="E619" t="b">
        <v>0</v>
      </c>
      <c r="G619" t="s">
        <v>91</v>
      </c>
      <c r="H619" t="s">
        <v>371</v>
      </c>
      <c r="I619" t="s">
        <v>157</v>
      </c>
      <c r="J619" t="b">
        <v>0</v>
      </c>
      <c r="K619" t="b">
        <v>0</v>
      </c>
    </row>
    <row r="620" spans="1:11" x14ac:dyDescent="0.25">
      <c r="A620" t="s">
        <v>370</v>
      </c>
      <c r="B620" t="s">
        <v>294</v>
      </c>
      <c r="C620" t="s">
        <v>157</v>
      </c>
      <c r="D620" t="b">
        <v>0</v>
      </c>
      <c r="E620" t="b">
        <v>0</v>
      </c>
      <c r="G620" t="s">
        <v>91</v>
      </c>
      <c r="H620" t="s">
        <v>294</v>
      </c>
      <c r="I620" t="s">
        <v>157</v>
      </c>
      <c r="J620" t="b">
        <v>0</v>
      </c>
      <c r="K620" t="b">
        <v>0</v>
      </c>
    </row>
    <row r="621" spans="1:11" x14ac:dyDescent="0.25">
      <c r="A621" t="s">
        <v>370</v>
      </c>
      <c r="B621" t="s">
        <v>372</v>
      </c>
      <c r="C621" t="s">
        <v>154</v>
      </c>
      <c r="D621" t="b">
        <v>0</v>
      </c>
      <c r="E621" t="b">
        <v>0</v>
      </c>
      <c r="G621" t="s">
        <v>91</v>
      </c>
      <c r="H621" t="s">
        <v>372</v>
      </c>
      <c r="I621" t="s">
        <v>154</v>
      </c>
      <c r="J621" t="b">
        <v>0</v>
      </c>
      <c r="K621" t="b">
        <v>0</v>
      </c>
    </row>
    <row r="622" spans="1:11" x14ac:dyDescent="0.25">
      <c r="A622" t="s">
        <v>370</v>
      </c>
      <c r="B622" t="s">
        <v>373</v>
      </c>
      <c r="C622" t="s">
        <v>250</v>
      </c>
      <c r="D622" t="b">
        <v>0</v>
      </c>
      <c r="E622" t="b">
        <v>0</v>
      </c>
      <c r="G622" t="s">
        <v>91</v>
      </c>
      <c r="H622" t="s">
        <v>373</v>
      </c>
      <c r="I622" t="s">
        <v>250</v>
      </c>
      <c r="J622" t="b">
        <v>0</v>
      </c>
      <c r="K622" t="b">
        <v>0</v>
      </c>
    </row>
    <row r="623" spans="1:11" x14ac:dyDescent="0.25">
      <c r="A623" t="s">
        <v>370</v>
      </c>
      <c r="B623" t="s">
        <v>203</v>
      </c>
      <c r="C623" t="s">
        <v>154</v>
      </c>
      <c r="D623" t="b">
        <v>0</v>
      </c>
      <c r="E623" t="b">
        <v>0</v>
      </c>
      <c r="G623" t="s">
        <v>91</v>
      </c>
      <c r="H623" t="s">
        <v>203</v>
      </c>
      <c r="I623" t="s">
        <v>154</v>
      </c>
      <c r="J623" t="b">
        <v>0</v>
      </c>
      <c r="K623" t="b">
        <v>0</v>
      </c>
    </row>
    <row r="624" spans="1:11" x14ac:dyDescent="0.25">
      <c r="A624" t="s">
        <v>370</v>
      </c>
      <c r="B624" t="s">
        <v>208</v>
      </c>
      <c r="C624" t="s">
        <v>157</v>
      </c>
      <c r="D624" t="b">
        <v>0</v>
      </c>
      <c r="E624" t="b">
        <v>0</v>
      </c>
      <c r="G624" t="s">
        <v>91</v>
      </c>
      <c r="H624" t="s">
        <v>208</v>
      </c>
      <c r="I624" t="s">
        <v>157</v>
      </c>
      <c r="J624" t="b">
        <v>0</v>
      </c>
      <c r="K624" t="b">
        <v>0</v>
      </c>
    </row>
    <row r="625" spans="1:11" x14ac:dyDescent="0.25">
      <c r="A625" t="s">
        <v>370</v>
      </c>
      <c r="B625" t="s">
        <v>214</v>
      </c>
      <c r="C625" t="s">
        <v>157</v>
      </c>
      <c r="D625" t="b">
        <v>0</v>
      </c>
      <c r="E625" t="b">
        <v>0</v>
      </c>
      <c r="G625" t="s">
        <v>91</v>
      </c>
      <c r="H625" t="s">
        <v>214</v>
      </c>
      <c r="I625" t="s">
        <v>157</v>
      </c>
      <c r="J625" t="b">
        <v>0</v>
      </c>
      <c r="K625" t="b">
        <v>0</v>
      </c>
    </row>
    <row r="626" spans="1:11" x14ac:dyDescent="0.25">
      <c r="A626" t="s">
        <v>370</v>
      </c>
      <c r="B626" t="s">
        <v>215</v>
      </c>
      <c r="C626" t="s">
        <v>205</v>
      </c>
      <c r="D626" t="b">
        <v>0</v>
      </c>
      <c r="E626" t="b">
        <v>0</v>
      </c>
      <c r="G626" t="s">
        <v>91</v>
      </c>
      <c r="H626" t="s">
        <v>215</v>
      </c>
      <c r="I626" t="s">
        <v>205</v>
      </c>
      <c r="J626" t="b">
        <v>0</v>
      </c>
      <c r="K626" t="b">
        <v>0</v>
      </c>
    </row>
    <row r="627" spans="1:11" x14ac:dyDescent="0.25">
      <c r="A627" t="s">
        <v>370</v>
      </c>
      <c r="B627" t="s">
        <v>216</v>
      </c>
      <c r="C627" t="s">
        <v>154</v>
      </c>
      <c r="D627" t="b">
        <v>0</v>
      </c>
      <c r="E627" t="b">
        <v>0</v>
      </c>
      <c r="G627" t="s">
        <v>91</v>
      </c>
      <c r="H627" t="s">
        <v>216</v>
      </c>
      <c r="I627" t="s">
        <v>154</v>
      </c>
      <c r="J627" t="b">
        <v>0</v>
      </c>
      <c r="K627" t="b">
        <v>0</v>
      </c>
    </row>
    <row r="628" spans="1:11" x14ac:dyDescent="0.25">
      <c r="A628" t="s">
        <v>370</v>
      </c>
      <c r="B628" t="s">
        <v>217</v>
      </c>
      <c r="C628" t="s">
        <v>205</v>
      </c>
      <c r="D628" t="b">
        <v>0</v>
      </c>
      <c r="E628" t="b">
        <v>0</v>
      </c>
    </row>
    <row r="629" spans="1:11" x14ac:dyDescent="0.25">
      <c r="A629" t="s">
        <v>370</v>
      </c>
      <c r="B629" t="s">
        <v>218</v>
      </c>
      <c r="C629" t="s">
        <v>157</v>
      </c>
      <c r="D629" t="b">
        <v>0</v>
      </c>
      <c r="E629" t="b">
        <v>0</v>
      </c>
    </row>
    <row r="630" spans="1:11" x14ac:dyDescent="0.25">
      <c r="A630" t="s">
        <v>370</v>
      </c>
      <c r="B630" t="s">
        <v>219</v>
      </c>
      <c r="C630" t="s">
        <v>157</v>
      </c>
      <c r="D630" t="b">
        <v>0</v>
      </c>
      <c r="E630" t="b">
        <v>0</v>
      </c>
    </row>
    <row r="631" spans="1:11" x14ac:dyDescent="0.25">
      <c r="A631" t="s">
        <v>370</v>
      </c>
      <c r="B631" t="s">
        <v>220</v>
      </c>
      <c r="C631" t="s">
        <v>205</v>
      </c>
      <c r="D631" t="b">
        <v>0</v>
      </c>
      <c r="E631" t="b">
        <v>0</v>
      </c>
    </row>
    <row r="632" spans="1:11" x14ac:dyDescent="0.25">
      <c r="A632" t="s">
        <v>370</v>
      </c>
      <c r="B632" t="s">
        <v>221</v>
      </c>
      <c r="C632" t="s">
        <v>205</v>
      </c>
      <c r="D632" t="b">
        <v>0</v>
      </c>
      <c r="E632" t="b">
        <v>0</v>
      </c>
    </row>
    <row r="633" spans="1:11" x14ac:dyDescent="0.25">
      <c r="A633" s="2" t="s">
        <v>370</v>
      </c>
      <c r="B633" s="2" t="s">
        <v>222</v>
      </c>
      <c r="C633" s="2" t="s">
        <v>205</v>
      </c>
      <c r="D633" s="2" t="b">
        <v>0</v>
      </c>
      <c r="E633" s="2" t="b">
        <v>0</v>
      </c>
      <c r="F633" s="2"/>
      <c r="G633" s="2"/>
      <c r="H633" s="2"/>
      <c r="I633" s="2"/>
      <c r="J633" s="2"/>
      <c r="K633" s="2"/>
    </row>
    <row r="634" spans="1:11" x14ac:dyDescent="0.25">
      <c r="A634" t="s">
        <v>374</v>
      </c>
      <c r="B634" t="s">
        <v>233</v>
      </c>
      <c r="C634" t="s">
        <v>157</v>
      </c>
      <c r="D634" t="b">
        <v>0</v>
      </c>
      <c r="E634" t="b">
        <v>0</v>
      </c>
      <c r="G634" t="s">
        <v>36</v>
      </c>
      <c r="H634" t="s">
        <v>233</v>
      </c>
      <c r="I634" t="s">
        <v>157</v>
      </c>
      <c r="J634" t="b">
        <v>0</v>
      </c>
      <c r="K634" t="b">
        <v>0</v>
      </c>
    </row>
    <row r="635" spans="1:11" s="2" customFormat="1" x14ac:dyDescent="0.25">
      <c r="A635" t="s">
        <v>374</v>
      </c>
      <c r="B635" t="s">
        <v>311</v>
      </c>
      <c r="C635" t="s">
        <v>154</v>
      </c>
      <c r="D635" t="b">
        <v>0</v>
      </c>
      <c r="E635" t="b">
        <v>0</v>
      </c>
      <c r="G635" t="s">
        <v>36</v>
      </c>
      <c r="H635" t="s">
        <v>311</v>
      </c>
      <c r="I635" t="s">
        <v>154</v>
      </c>
      <c r="J635" t="b">
        <v>0</v>
      </c>
      <c r="K635" t="b">
        <v>0</v>
      </c>
    </row>
    <row r="636" spans="1:11" x14ac:dyDescent="0.25">
      <c r="A636" t="s">
        <v>374</v>
      </c>
      <c r="B636" t="s">
        <v>375</v>
      </c>
      <c r="C636" t="s">
        <v>157</v>
      </c>
      <c r="D636" t="b">
        <v>0</v>
      </c>
      <c r="E636" t="b">
        <v>0</v>
      </c>
      <c r="G636" t="s">
        <v>36</v>
      </c>
      <c r="H636" t="s">
        <v>375</v>
      </c>
      <c r="I636" t="s">
        <v>157</v>
      </c>
      <c r="J636" t="b">
        <v>0</v>
      </c>
      <c r="K636" t="b">
        <v>0</v>
      </c>
    </row>
    <row r="637" spans="1:11" x14ac:dyDescent="0.25">
      <c r="A637" t="s">
        <v>374</v>
      </c>
      <c r="B637" t="s">
        <v>376</v>
      </c>
      <c r="C637" t="s">
        <v>157</v>
      </c>
      <c r="D637" t="b">
        <v>0</v>
      </c>
      <c r="E637" t="b">
        <v>0</v>
      </c>
      <c r="G637" t="s">
        <v>36</v>
      </c>
      <c r="H637" t="s">
        <v>376</v>
      </c>
      <c r="I637" t="s">
        <v>157</v>
      </c>
      <c r="J637" t="b">
        <v>0</v>
      </c>
      <c r="K637" t="b">
        <v>0</v>
      </c>
    </row>
    <row r="638" spans="1:11" x14ac:dyDescent="0.25">
      <c r="A638" t="s">
        <v>374</v>
      </c>
      <c r="B638" t="s">
        <v>377</v>
      </c>
      <c r="C638" t="s">
        <v>160</v>
      </c>
      <c r="D638" t="b">
        <v>0</v>
      </c>
      <c r="E638" t="b">
        <v>0</v>
      </c>
    </row>
    <row r="639" spans="1:11" x14ac:dyDescent="0.25">
      <c r="A639" t="s">
        <v>374</v>
      </c>
      <c r="B639" t="s">
        <v>378</v>
      </c>
      <c r="C639" t="s">
        <v>157</v>
      </c>
      <c r="D639" t="b">
        <v>0</v>
      </c>
      <c r="E639" t="b">
        <v>0</v>
      </c>
      <c r="G639" t="s">
        <v>36</v>
      </c>
      <c r="H639" t="s">
        <v>378</v>
      </c>
      <c r="I639" t="s">
        <v>157</v>
      </c>
      <c r="J639" t="b">
        <v>0</v>
      </c>
      <c r="K639" t="b">
        <v>0</v>
      </c>
    </row>
    <row r="640" spans="1:11" x14ac:dyDescent="0.25">
      <c r="A640" t="s">
        <v>374</v>
      </c>
      <c r="B640" t="s">
        <v>379</v>
      </c>
      <c r="C640" t="s">
        <v>250</v>
      </c>
      <c r="D640" t="b">
        <v>0</v>
      </c>
      <c r="E640" t="b">
        <v>0</v>
      </c>
      <c r="G640" t="s">
        <v>36</v>
      </c>
      <c r="H640" t="s">
        <v>379</v>
      </c>
      <c r="I640" t="s">
        <v>250</v>
      </c>
      <c r="J640" t="b">
        <v>0</v>
      </c>
      <c r="K640" t="b">
        <v>0</v>
      </c>
    </row>
    <row r="641" spans="1:11" x14ac:dyDescent="0.25">
      <c r="A641" t="s">
        <v>374</v>
      </c>
      <c r="B641" t="s">
        <v>380</v>
      </c>
      <c r="C641" t="s">
        <v>250</v>
      </c>
      <c r="D641" t="b">
        <v>0</v>
      </c>
      <c r="E641" t="b">
        <v>0</v>
      </c>
      <c r="G641" t="s">
        <v>36</v>
      </c>
      <c r="H641" t="s">
        <v>380</v>
      </c>
      <c r="I641" t="s">
        <v>250</v>
      </c>
      <c r="J641" t="b">
        <v>0</v>
      </c>
      <c r="K641" t="b">
        <v>0</v>
      </c>
    </row>
    <row r="642" spans="1:11" x14ac:dyDescent="0.25">
      <c r="A642" t="s">
        <v>374</v>
      </c>
      <c r="B642" t="s">
        <v>381</v>
      </c>
      <c r="C642" t="s">
        <v>250</v>
      </c>
      <c r="D642" t="b">
        <v>0</v>
      </c>
      <c r="E642" t="b">
        <v>0</v>
      </c>
      <c r="G642" t="s">
        <v>36</v>
      </c>
      <c r="H642" t="s">
        <v>381</v>
      </c>
      <c r="I642" t="s">
        <v>250</v>
      </c>
      <c r="J642" t="b">
        <v>0</v>
      </c>
      <c r="K642" t="b">
        <v>0</v>
      </c>
    </row>
    <row r="643" spans="1:11" x14ac:dyDescent="0.25">
      <c r="A643" t="s">
        <v>374</v>
      </c>
      <c r="B643" t="s">
        <v>382</v>
      </c>
      <c r="C643" t="s">
        <v>250</v>
      </c>
      <c r="D643" t="b">
        <v>0</v>
      </c>
      <c r="E643" t="b">
        <v>0</v>
      </c>
      <c r="G643" t="s">
        <v>36</v>
      </c>
      <c r="H643" t="s">
        <v>382</v>
      </c>
      <c r="I643" t="s">
        <v>250</v>
      </c>
      <c r="J643" t="b">
        <v>0</v>
      </c>
      <c r="K643" t="b">
        <v>0</v>
      </c>
    </row>
    <row r="644" spans="1:11" x14ac:dyDescent="0.25">
      <c r="A644" t="s">
        <v>374</v>
      </c>
      <c r="B644" t="s">
        <v>383</v>
      </c>
      <c r="C644" t="s">
        <v>157</v>
      </c>
      <c r="D644" t="b">
        <v>0</v>
      </c>
      <c r="E644" t="b">
        <v>0</v>
      </c>
      <c r="G644" t="s">
        <v>36</v>
      </c>
      <c r="H644" t="s">
        <v>383</v>
      </c>
      <c r="I644" t="s">
        <v>157</v>
      </c>
      <c r="J644" t="b">
        <v>0</v>
      </c>
      <c r="K644" t="b">
        <v>0</v>
      </c>
    </row>
    <row r="645" spans="1:11" x14ac:dyDescent="0.25">
      <c r="A645" t="s">
        <v>374</v>
      </c>
      <c r="B645" t="s">
        <v>384</v>
      </c>
      <c r="C645" t="s">
        <v>160</v>
      </c>
      <c r="D645" t="b">
        <v>0</v>
      </c>
      <c r="E645" t="b">
        <v>0</v>
      </c>
    </row>
    <row r="646" spans="1:11" x14ac:dyDescent="0.25">
      <c r="A646" t="s">
        <v>374</v>
      </c>
      <c r="B646" t="s">
        <v>179</v>
      </c>
      <c r="C646" t="s">
        <v>157</v>
      </c>
      <c r="D646" t="b">
        <v>1</v>
      </c>
      <c r="E646" t="b">
        <v>0</v>
      </c>
      <c r="G646" t="s">
        <v>36</v>
      </c>
      <c r="H646" t="s">
        <v>179</v>
      </c>
      <c r="I646" t="s">
        <v>157</v>
      </c>
      <c r="J646" t="b">
        <v>1</v>
      </c>
      <c r="K646" t="b">
        <v>0</v>
      </c>
    </row>
    <row r="647" spans="1:11" x14ac:dyDescent="0.25">
      <c r="A647" t="s">
        <v>374</v>
      </c>
      <c r="B647" t="s">
        <v>181</v>
      </c>
      <c r="C647" t="s">
        <v>182</v>
      </c>
      <c r="D647" t="b">
        <v>0</v>
      </c>
      <c r="E647" t="b">
        <v>0</v>
      </c>
      <c r="G647" t="s">
        <v>36</v>
      </c>
      <c r="H647" t="s">
        <v>181</v>
      </c>
      <c r="I647" t="s">
        <v>182</v>
      </c>
      <c r="J647" t="b">
        <v>0</v>
      </c>
      <c r="K647" t="b">
        <v>0</v>
      </c>
    </row>
    <row r="648" spans="1:11" x14ac:dyDescent="0.25">
      <c r="A648" t="s">
        <v>374</v>
      </c>
      <c r="B648" t="s">
        <v>385</v>
      </c>
      <c r="C648" t="s">
        <v>164</v>
      </c>
      <c r="D648" t="b">
        <v>0</v>
      </c>
      <c r="E648" t="b">
        <v>0</v>
      </c>
      <c r="G648" t="s">
        <v>36</v>
      </c>
      <c r="H648" t="s">
        <v>385</v>
      </c>
      <c r="I648" t="s">
        <v>164</v>
      </c>
      <c r="J648" t="b">
        <v>0</v>
      </c>
      <c r="K648" t="b">
        <v>0</v>
      </c>
    </row>
    <row r="649" spans="1:11" x14ac:dyDescent="0.25">
      <c r="A649" t="s">
        <v>374</v>
      </c>
      <c r="B649" t="s">
        <v>386</v>
      </c>
      <c r="C649" t="s">
        <v>157</v>
      </c>
      <c r="D649" t="b">
        <v>0</v>
      </c>
      <c r="E649" t="b">
        <v>0</v>
      </c>
      <c r="G649" t="s">
        <v>36</v>
      </c>
      <c r="H649" t="s">
        <v>386</v>
      </c>
      <c r="I649" t="s">
        <v>157</v>
      </c>
      <c r="J649" t="b">
        <v>0</v>
      </c>
      <c r="K649" t="b">
        <v>0</v>
      </c>
    </row>
    <row r="650" spans="1:11" x14ac:dyDescent="0.25">
      <c r="A650" t="s">
        <v>374</v>
      </c>
      <c r="B650" t="s">
        <v>387</v>
      </c>
      <c r="C650" t="s">
        <v>164</v>
      </c>
      <c r="D650" t="b">
        <v>0</v>
      </c>
      <c r="E650" t="b">
        <v>0</v>
      </c>
      <c r="G650" t="s">
        <v>36</v>
      </c>
      <c r="H650" t="s">
        <v>387</v>
      </c>
      <c r="I650" t="s">
        <v>164</v>
      </c>
      <c r="J650" t="b">
        <v>0</v>
      </c>
      <c r="K650" t="b">
        <v>0</v>
      </c>
    </row>
    <row r="651" spans="1:11" x14ac:dyDescent="0.25">
      <c r="A651" t="s">
        <v>374</v>
      </c>
      <c r="B651" t="s">
        <v>245</v>
      </c>
      <c r="C651" t="s">
        <v>157</v>
      </c>
      <c r="D651" t="b">
        <v>0</v>
      </c>
      <c r="E651" t="b">
        <v>0</v>
      </c>
      <c r="G651" t="s">
        <v>36</v>
      </c>
      <c r="H651" t="s">
        <v>245</v>
      </c>
      <c r="I651" t="s">
        <v>157</v>
      </c>
      <c r="J651" t="b">
        <v>0</v>
      </c>
      <c r="K651" t="b">
        <v>0</v>
      </c>
    </row>
    <row r="652" spans="1:11" x14ac:dyDescent="0.25">
      <c r="A652" t="s">
        <v>374</v>
      </c>
      <c r="B652" t="s">
        <v>327</v>
      </c>
      <c r="C652" t="s">
        <v>160</v>
      </c>
      <c r="D652" t="b">
        <v>0</v>
      </c>
      <c r="E652" t="b">
        <v>0</v>
      </c>
    </row>
    <row r="653" spans="1:11" x14ac:dyDescent="0.25">
      <c r="A653" t="s">
        <v>374</v>
      </c>
      <c r="B653" t="s">
        <v>388</v>
      </c>
      <c r="C653" t="s">
        <v>157</v>
      </c>
      <c r="D653" t="b">
        <v>0</v>
      </c>
      <c r="E653" t="b">
        <v>0</v>
      </c>
      <c r="G653" t="s">
        <v>36</v>
      </c>
      <c r="H653" t="s">
        <v>388</v>
      </c>
      <c r="I653" t="s">
        <v>157</v>
      </c>
      <c r="J653" t="b">
        <v>0</v>
      </c>
      <c r="K653" t="b">
        <v>0</v>
      </c>
    </row>
    <row r="654" spans="1:11" x14ac:dyDescent="0.25">
      <c r="A654" t="s">
        <v>374</v>
      </c>
      <c r="B654" t="s">
        <v>389</v>
      </c>
      <c r="C654" t="s">
        <v>157</v>
      </c>
      <c r="D654" t="b">
        <v>0</v>
      </c>
      <c r="E654" t="b">
        <v>0</v>
      </c>
      <c r="G654" t="s">
        <v>36</v>
      </c>
      <c r="H654" t="s">
        <v>389</v>
      </c>
      <c r="I654" t="s">
        <v>157</v>
      </c>
      <c r="J654" t="b">
        <v>0</v>
      </c>
      <c r="K654" t="b">
        <v>0</v>
      </c>
    </row>
    <row r="655" spans="1:11" x14ac:dyDescent="0.25">
      <c r="A655" t="s">
        <v>374</v>
      </c>
      <c r="B655" t="s">
        <v>203</v>
      </c>
      <c r="C655" t="s">
        <v>154</v>
      </c>
      <c r="D655" t="b">
        <v>0</v>
      </c>
      <c r="E655" t="b">
        <v>0</v>
      </c>
      <c r="G655" t="s">
        <v>36</v>
      </c>
      <c r="H655" t="s">
        <v>203</v>
      </c>
      <c r="I655" t="s">
        <v>154</v>
      </c>
      <c r="J655" t="b">
        <v>0</v>
      </c>
      <c r="K655" t="b">
        <v>0</v>
      </c>
    </row>
    <row r="656" spans="1:11" x14ac:dyDescent="0.25">
      <c r="A656" t="s">
        <v>374</v>
      </c>
      <c r="B656" t="s">
        <v>390</v>
      </c>
      <c r="C656" t="s">
        <v>157</v>
      </c>
      <c r="D656" t="b">
        <v>0</v>
      </c>
      <c r="E656" t="b">
        <v>0</v>
      </c>
      <c r="G656" t="s">
        <v>36</v>
      </c>
      <c r="H656" t="s">
        <v>390</v>
      </c>
      <c r="I656" t="s">
        <v>157</v>
      </c>
      <c r="J656" t="b">
        <v>0</v>
      </c>
      <c r="K656" t="b">
        <v>0</v>
      </c>
    </row>
    <row r="657" spans="1:11" x14ac:dyDescent="0.25">
      <c r="A657" t="s">
        <v>374</v>
      </c>
      <c r="B657" t="s">
        <v>208</v>
      </c>
      <c r="C657" t="s">
        <v>157</v>
      </c>
      <c r="D657" t="b">
        <v>0</v>
      </c>
      <c r="E657" t="b">
        <v>0</v>
      </c>
      <c r="G657" t="s">
        <v>36</v>
      </c>
      <c r="H657" t="s">
        <v>208</v>
      </c>
      <c r="I657" t="s">
        <v>157</v>
      </c>
      <c r="J657" t="b">
        <v>0</v>
      </c>
      <c r="K657" t="b">
        <v>0</v>
      </c>
    </row>
    <row r="658" spans="1:11" s="15" customFormat="1" x14ac:dyDescent="0.25">
      <c r="A658" s="15" t="s">
        <v>374</v>
      </c>
      <c r="B658" s="15" t="s">
        <v>1529</v>
      </c>
      <c r="C658" s="15" t="s">
        <v>164</v>
      </c>
      <c r="D658" s="15" t="b">
        <v>0</v>
      </c>
      <c r="E658" s="15" t="b">
        <v>0</v>
      </c>
      <c r="G658" s="15" t="s">
        <v>36</v>
      </c>
      <c r="H658" s="15" t="s">
        <v>1529</v>
      </c>
      <c r="I658" s="15" t="s">
        <v>164</v>
      </c>
      <c r="J658" s="15" t="b">
        <v>0</v>
      </c>
      <c r="K658" s="15" t="b">
        <v>0</v>
      </c>
    </row>
    <row r="659" spans="1:11" s="15" customFormat="1" x14ac:dyDescent="0.25">
      <c r="A659" s="15" t="s">
        <v>374</v>
      </c>
      <c r="B659" s="15" t="s">
        <v>1620</v>
      </c>
      <c r="C659" s="15" t="s">
        <v>157</v>
      </c>
      <c r="D659" s="15" t="b">
        <v>0</v>
      </c>
      <c r="E659" s="15" t="b">
        <v>0</v>
      </c>
      <c r="G659" s="15" t="s">
        <v>36</v>
      </c>
      <c r="H659" s="15" t="s">
        <v>1620</v>
      </c>
      <c r="I659" s="15" t="s">
        <v>157</v>
      </c>
      <c r="J659" s="15" t="b">
        <v>0</v>
      </c>
      <c r="K659" s="15" t="b">
        <v>0</v>
      </c>
    </row>
    <row r="660" spans="1:11" s="15" customFormat="1" x14ac:dyDescent="0.25">
      <c r="A660" s="15" t="s">
        <v>374</v>
      </c>
      <c r="B660" s="15" t="s">
        <v>1530</v>
      </c>
      <c r="C660" s="15" t="s">
        <v>164</v>
      </c>
      <c r="D660" s="15" t="b">
        <v>0</v>
      </c>
      <c r="E660" s="15" t="b">
        <v>0</v>
      </c>
      <c r="G660" s="15" t="s">
        <v>36</v>
      </c>
      <c r="H660" s="15" t="s">
        <v>1530</v>
      </c>
      <c r="I660" s="15" t="s">
        <v>164</v>
      </c>
      <c r="J660" s="15" t="b">
        <v>0</v>
      </c>
      <c r="K660" s="15" t="b">
        <v>0</v>
      </c>
    </row>
    <row r="661" spans="1:11" x14ac:dyDescent="0.25">
      <c r="A661" t="s">
        <v>374</v>
      </c>
      <c r="B661" t="s">
        <v>214</v>
      </c>
      <c r="C661" t="s">
        <v>157</v>
      </c>
      <c r="D661" t="b">
        <v>0</v>
      </c>
      <c r="E661" t="b">
        <v>0</v>
      </c>
      <c r="G661" t="s">
        <v>36</v>
      </c>
      <c r="H661" t="s">
        <v>214</v>
      </c>
      <c r="I661" t="s">
        <v>157</v>
      </c>
      <c r="J661" t="b">
        <v>0</v>
      </c>
      <c r="K661" t="b">
        <v>0</v>
      </c>
    </row>
    <row r="662" spans="1:11" x14ac:dyDescent="0.25">
      <c r="A662" t="s">
        <v>374</v>
      </c>
      <c r="B662" t="s">
        <v>215</v>
      </c>
      <c r="C662" t="s">
        <v>205</v>
      </c>
      <c r="D662" t="b">
        <v>0</v>
      </c>
      <c r="E662" t="b">
        <v>0</v>
      </c>
      <c r="G662" t="s">
        <v>36</v>
      </c>
      <c r="H662" t="s">
        <v>215</v>
      </c>
      <c r="I662" t="s">
        <v>205</v>
      </c>
      <c r="J662" t="b">
        <v>0</v>
      </c>
      <c r="K662" t="b">
        <v>0</v>
      </c>
    </row>
    <row r="663" spans="1:11" x14ac:dyDescent="0.25">
      <c r="A663" t="s">
        <v>374</v>
      </c>
      <c r="B663" t="s">
        <v>216</v>
      </c>
      <c r="C663" t="s">
        <v>154</v>
      </c>
      <c r="D663" t="b">
        <v>0</v>
      </c>
      <c r="E663" t="b">
        <v>0</v>
      </c>
      <c r="G663" t="s">
        <v>36</v>
      </c>
      <c r="H663" t="s">
        <v>216</v>
      </c>
      <c r="I663" t="s">
        <v>154</v>
      </c>
      <c r="J663" t="b">
        <v>0</v>
      </c>
      <c r="K663" t="b">
        <v>0</v>
      </c>
    </row>
    <row r="664" spans="1:11" x14ac:dyDescent="0.25">
      <c r="A664" t="s">
        <v>374</v>
      </c>
      <c r="B664" t="s">
        <v>217</v>
      </c>
      <c r="C664" t="s">
        <v>205</v>
      </c>
      <c r="D664" t="b">
        <v>0</v>
      </c>
      <c r="E664" t="b">
        <v>0</v>
      </c>
    </row>
    <row r="665" spans="1:11" x14ac:dyDescent="0.25">
      <c r="A665" t="s">
        <v>374</v>
      </c>
      <c r="B665" t="s">
        <v>218</v>
      </c>
      <c r="C665" t="s">
        <v>157</v>
      </c>
      <c r="D665" t="b">
        <v>0</v>
      </c>
      <c r="E665" t="b">
        <v>0</v>
      </c>
    </row>
    <row r="666" spans="1:11" x14ac:dyDescent="0.25">
      <c r="A666" t="s">
        <v>374</v>
      </c>
      <c r="B666" t="s">
        <v>219</v>
      </c>
      <c r="C666" t="s">
        <v>157</v>
      </c>
      <c r="D666" t="b">
        <v>0</v>
      </c>
      <c r="E666" t="b">
        <v>0</v>
      </c>
    </row>
    <row r="667" spans="1:11" x14ac:dyDescent="0.25">
      <c r="A667" t="s">
        <v>374</v>
      </c>
      <c r="B667" t="s">
        <v>220</v>
      </c>
      <c r="C667" t="s">
        <v>205</v>
      </c>
      <c r="D667" t="b">
        <v>0</v>
      </c>
      <c r="E667" t="b">
        <v>0</v>
      </c>
    </row>
    <row r="668" spans="1:11" x14ac:dyDescent="0.25">
      <c r="A668" t="s">
        <v>374</v>
      </c>
      <c r="B668" t="s">
        <v>221</v>
      </c>
      <c r="C668" t="s">
        <v>205</v>
      </c>
      <c r="D668" t="b">
        <v>0</v>
      </c>
      <c r="E668" t="b">
        <v>0</v>
      </c>
    </row>
    <row r="669" spans="1:11" x14ac:dyDescent="0.25">
      <c r="A669" s="2" t="s">
        <v>374</v>
      </c>
      <c r="B669" s="2" t="s">
        <v>222</v>
      </c>
      <c r="C669" s="2" t="s">
        <v>205</v>
      </c>
      <c r="D669" s="2" t="b">
        <v>0</v>
      </c>
      <c r="E669" s="2" t="b">
        <v>0</v>
      </c>
      <c r="F669" s="2"/>
      <c r="G669" s="2"/>
      <c r="H669" s="2"/>
      <c r="I669" s="2"/>
      <c r="J669" s="2"/>
      <c r="K669" s="2"/>
    </row>
    <row r="670" spans="1:11" x14ac:dyDescent="0.25">
      <c r="A670" t="s">
        <v>391</v>
      </c>
      <c r="B670" t="s">
        <v>392</v>
      </c>
      <c r="C670" t="s">
        <v>157</v>
      </c>
      <c r="D670" t="b">
        <v>0</v>
      </c>
      <c r="E670" t="b">
        <v>0</v>
      </c>
      <c r="G670" t="s">
        <v>76</v>
      </c>
      <c r="H670" t="s">
        <v>392</v>
      </c>
      <c r="I670" t="s">
        <v>157</v>
      </c>
      <c r="J670" t="b">
        <v>0</v>
      </c>
      <c r="K670" t="b">
        <v>0</v>
      </c>
    </row>
    <row r="671" spans="1:11" s="2" customFormat="1" x14ac:dyDescent="0.25">
      <c r="A671" t="s">
        <v>391</v>
      </c>
      <c r="B671" t="s">
        <v>393</v>
      </c>
      <c r="C671" t="s">
        <v>157</v>
      </c>
      <c r="D671" t="b">
        <v>0</v>
      </c>
      <c r="E671" t="b">
        <v>0</v>
      </c>
      <c r="G671" t="s">
        <v>76</v>
      </c>
      <c r="H671" t="s">
        <v>393</v>
      </c>
      <c r="I671" t="s">
        <v>157</v>
      </c>
      <c r="J671" t="b">
        <v>0</v>
      </c>
      <c r="K671" t="b">
        <v>0</v>
      </c>
    </row>
    <row r="672" spans="1:11" x14ac:dyDescent="0.25">
      <c r="A672" t="s">
        <v>391</v>
      </c>
      <c r="B672" t="s">
        <v>233</v>
      </c>
      <c r="C672" t="s">
        <v>157</v>
      </c>
      <c r="D672" t="b">
        <v>0</v>
      </c>
      <c r="E672" t="b">
        <v>0</v>
      </c>
      <c r="G672" t="s">
        <v>76</v>
      </c>
      <c r="H672" t="s">
        <v>233</v>
      </c>
      <c r="I672" t="s">
        <v>157</v>
      </c>
      <c r="J672" t="b">
        <v>0</v>
      </c>
      <c r="K672" t="b">
        <v>0</v>
      </c>
    </row>
    <row r="673" spans="1:11" x14ac:dyDescent="0.25">
      <c r="A673" t="s">
        <v>391</v>
      </c>
      <c r="B673" t="s">
        <v>394</v>
      </c>
      <c r="C673" t="s">
        <v>157</v>
      </c>
      <c r="D673" t="b">
        <v>0</v>
      </c>
      <c r="E673" t="b">
        <v>0</v>
      </c>
      <c r="G673" t="s">
        <v>76</v>
      </c>
      <c r="H673" t="s">
        <v>394</v>
      </c>
      <c r="I673" t="s">
        <v>157</v>
      </c>
      <c r="J673" t="b">
        <v>0</v>
      </c>
      <c r="K673" t="b">
        <v>0</v>
      </c>
    </row>
    <row r="674" spans="1:11" x14ac:dyDescent="0.25">
      <c r="A674" t="s">
        <v>391</v>
      </c>
      <c r="B674" t="s">
        <v>395</v>
      </c>
      <c r="C674" t="s">
        <v>157</v>
      </c>
      <c r="D674" t="b">
        <v>0</v>
      </c>
      <c r="E674" t="b">
        <v>0</v>
      </c>
      <c r="G674" t="s">
        <v>76</v>
      </c>
      <c r="H674" t="s">
        <v>395</v>
      </c>
      <c r="I674" t="s">
        <v>157</v>
      </c>
      <c r="J674" t="b">
        <v>0</v>
      </c>
      <c r="K674" t="b">
        <v>0</v>
      </c>
    </row>
    <row r="675" spans="1:11" x14ac:dyDescent="0.25">
      <c r="A675" t="s">
        <v>391</v>
      </c>
      <c r="B675" t="s">
        <v>396</v>
      </c>
      <c r="C675" t="s">
        <v>157</v>
      </c>
      <c r="D675" t="b">
        <v>0</v>
      </c>
      <c r="E675" t="b">
        <v>0</v>
      </c>
      <c r="G675" t="s">
        <v>76</v>
      </c>
      <c r="H675" t="s">
        <v>396</v>
      </c>
      <c r="I675" t="s">
        <v>157</v>
      </c>
      <c r="J675" t="b">
        <v>0</v>
      </c>
      <c r="K675" t="b">
        <v>0</v>
      </c>
    </row>
    <row r="676" spans="1:11" x14ac:dyDescent="0.25">
      <c r="A676" t="s">
        <v>391</v>
      </c>
      <c r="B676" t="s">
        <v>397</v>
      </c>
      <c r="C676" t="s">
        <v>157</v>
      </c>
      <c r="D676" t="b">
        <v>0</v>
      </c>
      <c r="E676" t="b">
        <v>0</v>
      </c>
      <c r="G676" t="s">
        <v>76</v>
      </c>
      <c r="H676" t="s">
        <v>397</v>
      </c>
      <c r="I676" t="s">
        <v>157</v>
      </c>
      <c r="J676" t="b">
        <v>0</v>
      </c>
      <c r="K676" t="b">
        <v>0</v>
      </c>
    </row>
    <row r="677" spans="1:11" x14ac:dyDescent="0.25">
      <c r="A677" t="s">
        <v>391</v>
      </c>
      <c r="B677" t="s">
        <v>398</v>
      </c>
      <c r="C677" t="s">
        <v>157</v>
      </c>
      <c r="D677" t="b">
        <v>0</v>
      </c>
      <c r="E677" t="b">
        <v>0</v>
      </c>
      <c r="G677" t="s">
        <v>76</v>
      </c>
      <c r="H677" t="s">
        <v>398</v>
      </c>
      <c r="I677" t="s">
        <v>157</v>
      </c>
      <c r="J677" t="b">
        <v>0</v>
      </c>
      <c r="K677" t="b">
        <v>0</v>
      </c>
    </row>
    <row r="678" spans="1:11" x14ac:dyDescent="0.25">
      <c r="A678" t="s">
        <v>391</v>
      </c>
      <c r="B678" t="s">
        <v>399</v>
      </c>
      <c r="C678" t="s">
        <v>157</v>
      </c>
      <c r="D678" t="b">
        <v>0</v>
      </c>
      <c r="E678" t="b">
        <v>0</v>
      </c>
      <c r="G678" t="s">
        <v>76</v>
      </c>
      <c r="H678" t="s">
        <v>399</v>
      </c>
      <c r="I678" t="s">
        <v>157</v>
      </c>
      <c r="J678" t="b">
        <v>0</v>
      </c>
      <c r="K678" t="b">
        <v>0</v>
      </c>
    </row>
    <row r="679" spans="1:11" x14ac:dyDescent="0.25">
      <c r="A679" t="s">
        <v>391</v>
      </c>
      <c r="B679" t="s">
        <v>400</v>
      </c>
      <c r="C679" t="s">
        <v>157</v>
      </c>
      <c r="D679" t="b">
        <v>0</v>
      </c>
      <c r="E679" t="b">
        <v>0</v>
      </c>
      <c r="G679" t="s">
        <v>76</v>
      </c>
      <c r="H679" t="s">
        <v>400</v>
      </c>
      <c r="I679" t="s">
        <v>157</v>
      </c>
      <c r="J679" t="b">
        <v>0</v>
      </c>
      <c r="K679" t="b">
        <v>0</v>
      </c>
    </row>
    <row r="680" spans="1:11" x14ac:dyDescent="0.25">
      <c r="A680" t="s">
        <v>391</v>
      </c>
      <c r="B680" t="s">
        <v>401</v>
      </c>
      <c r="C680" t="s">
        <v>157</v>
      </c>
      <c r="D680" t="b">
        <v>0</v>
      </c>
      <c r="E680" t="b">
        <v>0</v>
      </c>
      <c r="G680" t="s">
        <v>76</v>
      </c>
      <c r="H680" t="s">
        <v>401</v>
      </c>
      <c r="I680" t="s">
        <v>157</v>
      </c>
      <c r="J680" t="b">
        <v>0</v>
      </c>
      <c r="K680" t="b">
        <v>0</v>
      </c>
    </row>
    <row r="681" spans="1:11" x14ac:dyDescent="0.25">
      <c r="A681" t="s">
        <v>391</v>
      </c>
      <c r="B681" t="s">
        <v>230</v>
      </c>
      <c r="C681" t="s">
        <v>157</v>
      </c>
      <c r="D681" t="b">
        <v>0</v>
      </c>
      <c r="E681" t="b">
        <v>0</v>
      </c>
      <c r="G681" t="s">
        <v>76</v>
      </c>
      <c r="H681" t="s">
        <v>230</v>
      </c>
      <c r="I681" t="s">
        <v>157</v>
      </c>
      <c r="J681" t="b">
        <v>0</v>
      </c>
      <c r="K681" t="b">
        <v>0</v>
      </c>
    </row>
    <row r="682" spans="1:11" x14ac:dyDescent="0.25">
      <c r="A682" t="s">
        <v>391</v>
      </c>
      <c r="B682" t="s">
        <v>402</v>
      </c>
      <c r="C682" t="s">
        <v>164</v>
      </c>
      <c r="D682" t="b">
        <v>0</v>
      </c>
      <c r="E682" t="b">
        <v>0</v>
      </c>
      <c r="G682" t="s">
        <v>76</v>
      </c>
      <c r="H682" t="s">
        <v>402</v>
      </c>
      <c r="I682" t="s">
        <v>164</v>
      </c>
      <c r="J682" t="b">
        <v>0</v>
      </c>
      <c r="K682" t="b">
        <v>0</v>
      </c>
    </row>
    <row r="683" spans="1:11" x14ac:dyDescent="0.25">
      <c r="A683" t="s">
        <v>391</v>
      </c>
      <c r="B683" t="s">
        <v>403</v>
      </c>
      <c r="C683" t="s">
        <v>157</v>
      </c>
      <c r="D683" t="b">
        <v>0</v>
      </c>
      <c r="E683" t="b">
        <v>0</v>
      </c>
      <c r="G683" t="s">
        <v>76</v>
      </c>
      <c r="H683" t="s">
        <v>403</v>
      </c>
      <c r="I683" t="s">
        <v>157</v>
      </c>
      <c r="J683" t="b">
        <v>0</v>
      </c>
      <c r="K683" t="b">
        <v>0</v>
      </c>
    </row>
    <row r="684" spans="1:11" x14ac:dyDescent="0.25">
      <c r="A684" t="s">
        <v>391</v>
      </c>
      <c r="B684" t="s">
        <v>404</v>
      </c>
      <c r="C684" t="s">
        <v>157</v>
      </c>
      <c r="D684" t="b">
        <v>0</v>
      </c>
      <c r="E684" t="b">
        <v>0</v>
      </c>
      <c r="G684" t="s">
        <v>76</v>
      </c>
      <c r="H684" t="s">
        <v>404</v>
      </c>
      <c r="I684" t="s">
        <v>157</v>
      </c>
      <c r="J684" t="b">
        <v>0</v>
      </c>
      <c r="K684" t="b">
        <v>0</v>
      </c>
    </row>
    <row r="685" spans="1:11" x14ac:dyDescent="0.25">
      <c r="A685" t="s">
        <v>391</v>
      </c>
      <c r="B685" t="s">
        <v>405</v>
      </c>
      <c r="C685" t="s">
        <v>157</v>
      </c>
      <c r="D685" t="b">
        <v>0</v>
      </c>
      <c r="E685" t="b">
        <v>0</v>
      </c>
      <c r="G685" t="s">
        <v>76</v>
      </c>
      <c r="H685" t="s">
        <v>405</v>
      </c>
      <c r="I685" t="s">
        <v>157</v>
      </c>
      <c r="J685" t="b">
        <v>0</v>
      </c>
      <c r="K685" t="b">
        <v>0</v>
      </c>
    </row>
    <row r="686" spans="1:11" x14ac:dyDescent="0.25">
      <c r="A686" t="s">
        <v>391</v>
      </c>
      <c r="B686" t="s">
        <v>406</v>
      </c>
      <c r="C686" t="s">
        <v>157</v>
      </c>
      <c r="D686" t="b">
        <v>0</v>
      </c>
      <c r="E686" t="b">
        <v>0</v>
      </c>
      <c r="G686" t="s">
        <v>76</v>
      </c>
      <c r="H686" t="s">
        <v>406</v>
      </c>
      <c r="I686" t="s">
        <v>157</v>
      </c>
      <c r="J686" t="b">
        <v>0</v>
      </c>
      <c r="K686" t="b">
        <v>0</v>
      </c>
    </row>
    <row r="687" spans="1:11" x14ac:dyDescent="0.25">
      <c r="A687" t="s">
        <v>391</v>
      </c>
      <c r="B687" t="s">
        <v>179</v>
      </c>
      <c r="C687" t="s">
        <v>157</v>
      </c>
      <c r="D687" t="b">
        <v>1</v>
      </c>
      <c r="E687" t="b">
        <v>0</v>
      </c>
      <c r="G687" t="s">
        <v>76</v>
      </c>
      <c r="H687" t="s">
        <v>179</v>
      </c>
      <c r="I687" t="s">
        <v>157</v>
      </c>
      <c r="J687" t="b">
        <v>1</v>
      </c>
      <c r="K687" t="b">
        <v>0</v>
      </c>
    </row>
    <row r="688" spans="1:11" x14ac:dyDescent="0.25">
      <c r="A688" t="s">
        <v>391</v>
      </c>
      <c r="B688" t="s">
        <v>181</v>
      </c>
      <c r="C688" t="s">
        <v>182</v>
      </c>
      <c r="D688" t="b">
        <v>0</v>
      </c>
      <c r="E688" t="b">
        <v>0</v>
      </c>
      <c r="G688" t="s">
        <v>76</v>
      </c>
      <c r="H688" t="s">
        <v>181</v>
      </c>
      <c r="I688" t="s">
        <v>182</v>
      </c>
      <c r="J688" t="b">
        <v>0</v>
      </c>
      <c r="K688" t="b">
        <v>0</v>
      </c>
    </row>
    <row r="689" spans="1:11" x14ac:dyDescent="0.25">
      <c r="A689" t="s">
        <v>391</v>
      </c>
      <c r="B689" t="s">
        <v>407</v>
      </c>
      <c r="C689" t="s">
        <v>157</v>
      </c>
      <c r="D689" t="b">
        <v>0</v>
      </c>
      <c r="E689" t="b">
        <v>0</v>
      </c>
      <c r="G689" t="s">
        <v>76</v>
      </c>
      <c r="H689" t="s">
        <v>407</v>
      </c>
      <c r="I689" t="s">
        <v>157</v>
      </c>
      <c r="J689" t="b">
        <v>0</v>
      </c>
      <c r="K689" t="b">
        <v>0</v>
      </c>
    </row>
    <row r="690" spans="1:11" x14ac:dyDescent="0.25">
      <c r="A690" t="s">
        <v>391</v>
      </c>
      <c r="B690" t="s">
        <v>408</v>
      </c>
      <c r="C690" t="s">
        <v>157</v>
      </c>
      <c r="D690" t="b">
        <v>0</v>
      </c>
      <c r="E690" t="b">
        <v>0</v>
      </c>
      <c r="G690" t="s">
        <v>76</v>
      </c>
      <c r="H690" t="s">
        <v>408</v>
      </c>
      <c r="I690" t="s">
        <v>157</v>
      </c>
      <c r="J690" t="b">
        <v>0</v>
      </c>
      <c r="K690" t="b">
        <v>0</v>
      </c>
    </row>
    <row r="691" spans="1:11" x14ac:dyDescent="0.25">
      <c r="A691" t="s">
        <v>391</v>
      </c>
      <c r="B691" t="s">
        <v>245</v>
      </c>
      <c r="C691" t="s">
        <v>157</v>
      </c>
      <c r="D691" t="b">
        <v>0</v>
      </c>
      <c r="E691" t="b">
        <v>0</v>
      </c>
      <c r="G691" t="s">
        <v>76</v>
      </c>
      <c r="H691" t="s">
        <v>245</v>
      </c>
      <c r="I691" t="s">
        <v>157</v>
      </c>
      <c r="J691" t="b">
        <v>0</v>
      </c>
      <c r="K691" t="b">
        <v>0</v>
      </c>
    </row>
    <row r="692" spans="1:11" x14ac:dyDescent="0.25">
      <c r="A692" t="s">
        <v>391</v>
      </c>
      <c r="B692" t="s">
        <v>203</v>
      </c>
      <c r="C692" t="s">
        <v>154</v>
      </c>
      <c r="D692" t="b">
        <v>0</v>
      </c>
      <c r="E692" t="b">
        <v>0</v>
      </c>
      <c r="G692" t="s">
        <v>76</v>
      </c>
      <c r="H692" t="s">
        <v>203</v>
      </c>
      <c r="I692" t="s">
        <v>154</v>
      </c>
      <c r="J692" t="b">
        <v>0</v>
      </c>
      <c r="K692" t="b">
        <v>0</v>
      </c>
    </row>
    <row r="693" spans="1:11" x14ac:dyDescent="0.25">
      <c r="A693" t="s">
        <v>391</v>
      </c>
      <c r="B693" t="s">
        <v>208</v>
      </c>
      <c r="C693" t="s">
        <v>157</v>
      </c>
      <c r="D693" t="b">
        <v>0</v>
      </c>
      <c r="E693" t="b">
        <v>0</v>
      </c>
      <c r="G693" t="s">
        <v>76</v>
      </c>
      <c r="H693" t="s">
        <v>208</v>
      </c>
      <c r="I693" t="s">
        <v>157</v>
      </c>
      <c r="J693" t="b">
        <v>0</v>
      </c>
      <c r="K693" t="b">
        <v>0</v>
      </c>
    </row>
    <row r="694" spans="1:11" x14ac:dyDescent="0.25">
      <c r="A694" t="s">
        <v>391</v>
      </c>
      <c r="B694" t="s">
        <v>214</v>
      </c>
      <c r="C694" t="s">
        <v>157</v>
      </c>
      <c r="D694" t="b">
        <v>0</v>
      </c>
      <c r="E694" t="b">
        <v>0</v>
      </c>
      <c r="G694" t="s">
        <v>76</v>
      </c>
      <c r="H694" t="s">
        <v>214</v>
      </c>
      <c r="I694" t="s">
        <v>157</v>
      </c>
      <c r="J694" t="b">
        <v>0</v>
      </c>
      <c r="K694" t="b">
        <v>0</v>
      </c>
    </row>
    <row r="695" spans="1:11" x14ac:dyDescent="0.25">
      <c r="A695" t="s">
        <v>391</v>
      </c>
      <c r="B695" t="s">
        <v>215</v>
      </c>
      <c r="C695" t="s">
        <v>205</v>
      </c>
      <c r="D695" t="b">
        <v>0</v>
      </c>
      <c r="E695" t="b">
        <v>0</v>
      </c>
      <c r="G695" t="s">
        <v>76</v>
      </c>
      <c r="H695" t="s">
        <v>215</v>
      </c>
      <c r="I695" t="s">
        <v>205</v>
      </c>
      <c r="J695" t="b">
        <v>0</v>
      </c>
      <c r="K695" t="b">
        <v>0</v>
      </c>
    </row>
    <row r="696" spans="1:11" x14ac:dyDescent="0.25">
      <c r="A696" t="s">
        <v>391</v>
      </c>
      <c r="B696" t="s">
        <v>216</v>
      </c>
      <c r="C696" t="s">
        <v>154</v>
      </c>
      <c r="D696" t="b">
        <v>0</v>
      </c>
      <c r="E696" t="b">
        <v>0</v>
      </c>
      <c r="G696" t="s">
        <v>76</v>
      </c>
      <c r="H696" t="s">
        <v>216</v>
      </c>
      <c r="I696" t="s">
        <v>154</v>
      </c>
      <c r="J696" t="b">
        <v>0</v>
      </c>
      <c r="K696" t="b">
        <v>0</v>
      </c>
    </row>
    <row r="697" spans="1:11" x14ac:dyDescent="0.25">
      <c r="A697" t="s">
        <v>391</v>
      </c>
      <c r="B697" t="s">
        <v>217</v>
      </c>
      <c r="C697" t="s">
        <v>205</v>
      </c>
      <c r="D697" t="b">
        <v>0</v>
      </c>
      <c r="E697" t="b">
        <v>0</v>
      </c>
    </row>
    <row r="698" spans="1:11" x14ac:dyDescent="0.25">
      <c r="A698" t="s">
        <v>391</v>
      </c>
      <c r="B698" t="s">
        <v>218</v>
      </c>
      <c r="C698" t="s">
        <v>157</v>
      </c>
      <c r="D698" t="b">
        <v>0</v>
      </c>
      <c r="E698" t="b">
        <v>0</v>
      </c>
    </row>
    <row r="699" spans="1:11" x14ac:dyDescent="0.25">
      <c r="A699" t="s">
        <v>391</v>
      </c>
      <c r="B699" t="s">
        <v>219</v>
      </c>
      <c r="C699" t="s">
        <v>157</v>
      </c>
      <c r="D699" t="b">
        <v>0</v>
      </c>
      <c r="E699" t="b">
        <v>0</v>
      </c>
    </row>
    <row r="700" spans="1:11" x14ac:dyDescent="0.25">
      <c r="A700" t="s">
        <v>391</v>
      </c>
      <c r="B700" t="s">
        <v>220</v>
      </c>
      <c r="C700" t="s">
        <v>205</v>
      </c>
      <c r="D700" t="b">
        <v>0</v>
      </c>
      <c r="E700" t="b">
        <v>0</v>
      </c>
    </row>
    <row r="701" spans="1:11" x14ac:dyDescent="0.25">
      <c r="A701" t="s">
        <v>391</v>
      </c>
      <c r="B701" t="s">
        <v>221</v>
      </c>
      <c r="C701" t="s">
        <v>205</v>
      </c>
      <c r="D701" t="b">
        <v>0</v>
      </c>
      <c r="E701" t="b">
        <v>0</v>
      </c>
    </row>
    <row r="702" spans="1:11" x14ac:dyDescent="0.25">
      <c r="A702" s="2" t="s">
        <v>391</v>
      </c>
      <c r="B702" s="2" t="s">
        <v>222</v>
      </c>
      <c r="C702" s="2" t="s">
        <v>205</v>
      </c>
      <c r="D702" s="2" t="b">
        <v>0</v>
      </c>
      <c r="E702" s="2" t="b">
        <v>0</v>
      </c>
      <c r="F702" s="2"/>
      <c r="G702" s="2"/>
      <c r="H702" s="2"/>
      <c r="I702" s="2"/>
      <c r="J702" s="2"/>
      <c r="K702" s="2"/>
    </row>
    <row r="703" spans="1:11" x14ac:dyDescent="0.25">
      <c r="A703" t="s">
        <v>409</v>
      </c>
      <c r="B703" t="s">
        <v>233</v>
      </c>
      <c r="C703" t="s">
        <v>157</v>
      </c>
      <c r="D703" t="b">
        <v>0</v>
      </c>
      <c r="E703" t="b">
        <v>0</v>
      </c>
      <c r="G703" t="s">
        <v>5</v>
      </c>
      <c r="H703" t="s">
        <v>233</v>
      </c>
      <c r="I703" t="s">
        <v>157</v>
      </c>
      <c r="J703" t="b">
        <v>0</v>
      </c>
      <c r="K703" t="b">
        <v>0</v>
      </c>
    </row>
    <row r="704" spans="1:11" s="2" customFormat="1" x14ac:dyDescent="0.25">
      <c r="A704" t="s">
        <v>409</v>
      </c>
      <c r="B704" t="s">
        <v>410</v>
      </c>
      <c r="C704" t="s">
        <v>154</v>
      </c>
      <c r="D704" t="b">
        <v>0</v>
      </c>
      <c r="E704" t="b">
        <v>0</v>
      </c>
      <c r="G704" t="s">
        <v>5</v>
      </c>
      <c r="H704" t="s">
        <v>410</v>
      </c>
      <c r="I704" t="s">
        <v>154</v>
      </c>
      <c r="J704" t="b">
        <v>0</v>
      </c>
      <c r="K704" t="b">
        <v>0</v>
      </c>
    </row>
    <row r="705" spans="1:11" x14ac:dyDescent="0.25">
      <c r="A705" t="s">
        <v>409</v>
      </c>
      <c r="B705" t="s">
        <v>411</v>
      </c>
      <c r="C705" t="s">
        <v>154</v>
      </c>
      <c r="D705" t="b">
        <v>0</v>
      </c>
      <c r="E705" t="b">
        <v>0</v>
      </c>
      <c r="G705" t="s">
        <v>5</v>
      </c>
      <c r="H705" t="s">
        <v>411</v>
      </c>
      <c r="I705" t="s">
        <v>154</v>
      </c>
      <c r="J705" t="b">
        <v>0</v>
      </c>
      <c r="K705" t="b">
        <v>0</v>
      </c>
    </row>
    <row r="706" spans="1:11" x14ac:dyDescent="0.25">
      <c r="A706" t="s">
        <v>409</v>
      </c>
      <c r="B706" t="s">
        <v>179</v>
      </c>
      <c r="C706" t="s">
        <v>157</v>
      </c>
      <c r="D706" t="b">
        <v>1</v>
      </c>
      <c r="E706" t="b">
        <v>0</v>
      </c>
      <c r="G706" t="s">
        <v>5</v>
      </c>
      <c r="H706" t="s">
        <v>179</v>
      </c>
      <c r="I706" t="s">
        <v>157</v>
      </c>
      <c r="J706" t="b">
        <v>1</v>
      </c>
      <c r="K706" t="b">
        <v>0</v>
      </c>
    </row>
    <row r="707" spans="1:11" x14ac:dyDescent="0.25">
      <c r="A707" t="s">
        <v>409</v>
      </c>
      <c r="B707" t="s">
        <v>181</v>
      </c>
      <c r="C707" t="s">
        <v>182</v>
      </c>
      <c r="D707" t="b">
        <v>0</v>
      </c>
      <c r="E707" t="b">
        <v>0</v>
      </c>
      <c r="G707" t="s">
        <v>5</v>
      </c>
      <c r="H707" t="s">
        <v>181</v>
      </c>
      <c r="I707" t="s">
        <v>182</v>
      </c>
      <c r="J707" t="b">
        <v>0</v>
      </c>
      <c r="K707" t="b">
        <v>0</v>
      </c>
    </row>
    <row r="708" spans="1:11" x14ac:dyDescent="0.25">
      <c r="A708" t="s">
        <v>409</v>
      </c>
      <c r="B708" t="s">
        <v>203</v>
      </c>
      <c r="C708" t="s">
        <v>154</v>
      </c>
      <c r="D708" t="b">
        <v>0</v>
      </c>
      <c r="E708" t="b">
        <v>0</v>
      </c>
      <c r="G708" t="s">
        <v>5</v>
      </c>
      <c r="H708" t="s">
        <v>203</v>
      </c>
      <c r="I708" t="s">
        <v>154</v>
      </c>
      <c r="J708" t="b">
        <v>0</v>
      </c>
      <c r="K708" t="b">
        <v>0</v>
      </c>
    </row>
    <row r="709" spans="1:11" x14ac:dyDescent="0.25">
      <c r="A709" t="s">
        <v>409</v>
      </c>
      <c r="B709" t="s">
        <v>269</v>
      </c>
      <c r="C709" t="s">
        <v>157</v>
      </c>
      <c r="D709" t="b">
        <v>0</v>
      </c>
      <c r="E709" t="b">
        <v>0</v>
      </c>
      <c r="G709" t="s">
        <v>5</v>
      </c>
      <c r="H709" t="s">
        <v>269</v>
      </c>
      <c r="I709" t="s">
        <v>157</v>
      </c>
      <c r="J709" t="b">
        <v>0</v>
      </c>
      <c r="K709" t="b">
        <v>0</v>
      </c>
    </row>
    <row r="710" spans="1:11" x14ac:dyDescent="0.25">
      <c r="A710" t="s">
        <v>409</v>
      </c>
      <c r="B710" t="s">
        <v>208</v>
      </c>
      <c r="C710" t="s">
        <v>157</v>
      </c>
      <c r="D710" t="b">
        <v>0</v>
      </c>
      <c r="E710" t="b">
        <v>0</v>
      </c>
      <c r="G710" t="s">
        <v>5</v>
      </c>
      <c r="H710" t="s">
        <v>208</v>
      </c>
      <c r="I710" t="s">
        <v>157</v>
      </c>
      <c r="J710" t="b">
        <v>0</v>
      </c>
      <c r="K710" t="b">
        <v>0</v>
      </c>
    </row>
    <row r="711" spans="1:11" x14ac:dyDescent="0.25">
      <c r="A711" t="s">
        <v>409</v>
      </c>
      <c r="B711" t="s">
        <v>214</v>
      </c>
      <c r="C711" t="s">
        <v>157</v>
      </c>
      <c r="D711" t="b">
        <v>0</v>
      </c>
      <c r="E711" t="b">
        <v>0</v>
      </c>
      <c r="G711" t="s">
        <v>5</v>
      </c>
      <c r="H711" t="s">
        <v>214</v>
      </c>
      <c r="I711" t="s">
        <v>157</v>
      </c>
      <c r="J711" t="b">
        <v>0</v>
      </c>
      <c r="K711" t="b">
        <v>0</v>
      </c>
    </row>
    <row r="712" spans="1:11" x14ac:dyDescent="0.25">
      <c r="A712" t="s">
        <v>409</v>
      </c>
      <c r="B712" t="s">
        <v>215</v>
      </c>
      <c r="C712" t="s">
        <v>205</v>
      </c>
      <c r="D712" t="b">
        <v>0</v>
      </c>
      <c r="E712" t="b">
        <v>0</v>
      </c>
      <c r="G712" t="s">
        <v>5</v>
      </c>
      <c r="H712" t="s">
        <v>215</v>
      </c>
      <c r="I712" t="s">
        <v>205</v>
      </c>
      <c r="J712" t="b">
        <v>0</v>
      </c>
      <c r="K712" t="b">
        <v>0</v>
      </c>
    </row>
    <row r="713" spans="1:11" x14ac:dyDescent="0.25">
      <c r="A713" t="s">
        <v>409</v>
      </c>
      <c r="B713" t="s">
        <v>216</v>
      </c>
      <c r="C713" t="s">
        <v>154</v>
      </c>
      <c r="D713" t="b">
        <v>0</v>
      </c>
      <c r="E713" t="b">
        <v>0</v>
      </c>
      <c r="G713" t="s">
        <v>5</v>
      </c>
      <c r="H713" t="s">
        <v>216</v>
      </c>
      <c r="I713" t="s">
        <v>154</v>
      </c>
      <c r="J713" t="b">
        <v>0</v>
      </c>
      <c r="K713" t="b">
        <v>0</v>
      </c>
    </row>
    <row r="714" spans="1:11" x14ac:dyDescent="0.25">
      <c r="A714" t="s">
        <v>409</v>
      </c>
      <c r="B714" t="s">
        <v>217</v>
      </c>
      <c r="C714" t="s">
        <v>205</v>
      </c>
      <c r="D714" t="b">
        <v>0</v>
      </c>
      <c r="E714" t="b">
        <v>0</v>
      </c>
    </row>
    <row r="715" spans="1:11" x14ac:dyDescent="0.25">
      <c r="A715" t="s">
        <v>409</v>
      </c>
      <c r="B715" t="s">
        <v>218</v>
      </c>
      <c r="C715" t="s">
        <v>157</v>
      </c>
      <c r="D715" t="b">
        <v>0</v>
      </c>
      <c r="E715" t="b">
        <v>0</v>
      </c>
    </row>
    <row r="716" spans="1:11" x14ac:dyDescent="0.25">
      <c r="A716" t="s">
        <v>409</v>
      </c>
      <c r="B716" t="s">
        <v>219</v>
      </c>
      <c r="C716" t="s">
        <v>157</v>
      </c>
      <c r="D716" t="b">
        <v>0</v>
      </c>
      <c r="E716" t="b">
        <v>0</v>
      </c>
    </row>
    <row r="717" spans="1:11" x14ac:dyDescent="0.25">
      <c r="A717" t="s">
        <v>409</v>
      </c>
      <c r="B717" t="s">
        <v>220</v>
      </c>
      <c r="C717" t="s">
        <v>205</v>
      </c>
      <c r="D717" t="b">
        <v>0</v>
      </c>
      <c r="E717" t="b">
        <v>0</v>
      </c>
    </row>
    <row r="718" spans="1:11" x14ac:dyDescent="0.25">
      <c r="A718" t="s">
        <v>409</v>
      </c>
      <c r="B718" t="s">
        <v>221</v>
      </c>
      <c r="C718" t="s">
        <v>205</v>
      </c>
      <c r="D718" t="b">
        <v>0</v>
      </c>
      <c r="E718" t="b">
        <v>0</v>
      </c>
    </row>
    <row r="719" spans="1:11" x14ac:dyDescent="0.25">
      <c r="A719" s="2" t="s">
        <v>409</v>
      </c>
      <c r="B719" s="2" t="s">
        <v>222</v>
      </c>
      <c r="C719" s="2" t="s">
        <v>205</v>
      </c>
      <c r="D719" s="2" t="b">
        <v>0</v>
      </c>
      <c r="E719" s="2" t="b">
        <v>0</v>
      </c>
      <c r="F719" s="2"/>
      <c r="G719" s="2"/>
      <c r="H719" s="2"/>
      <c r="I719" s="2"/>
      <c r="J719" s="2"/>
      <c r="K719" s="2"/>
    </row>
    <row r="720" spans="1:11" x14ac:dyDescent="0.25">
      <c r="A720" t="s">
        <v>412</v>
      </c>
      <c r="B720" t="s">
        <v>233</v>
      </c>
      <c r="C720" t="s">
        <v>157</v>
      </c>
      <c r="D720" t="b">
        <v>0</v>
      </c>
      <c r="E720" t="b">
        <v>0</v>
      </c>
      <c r="G720" t="s">
        <v>66</v>
      </c>
      <c r="H720" t="s">
        <v>233</v>
      </c>
      <c r="I720" t="s">
        <v>157</v>
      </c>
      <c r="J720" t="b">
        <v>0</v>
      </c>
      <c r="K720" t="b">
        <v>0</v>
      </c>
    </row>
    <row r="721" spans="1:11" s="2" customFormat="1" x14ac:dyDescent="0.25">
      <c r="A721" t="s">
        <v>412</v>
      </c>
      <c r="B721" t="s">
        <v>411</v>
      </c>
      <c r="C721" t="s">
        <v>154</v>
      </c>
      <c r="D721" t="b">
        <v>0</v>
      </c>
      <c r="E721" t="b">
        <v>0</v>
      </c>
      <c r="G721" t="s">
        <v>66</v>
      </c>
      <c r="H721" t="s">
        <v>411</v>
      </c>
      <c r="I721" t="s">
        <v>154</v>
      </c>
      <c r="J721" t="b">
        <v>0</v>
      </c>
      <c r="K721" t="b">
        <v>0</v>
      </c>
    </row>
    <row r="722" spans="1:11" x14ac:dyDescent="0.25">
      <c r="A722" t="s">
        <v>412</v>
      </c>
      <c r="B722" t="s">
        <v>175</v>
      </c>
      <c r="C722" t="s">
        <v>157</v>
      </c>
      <c r="D722" t="b">
        <v>0</v>
      </c>
      <c r="E722" t="b">
        <v>0</v>
      </c>
      <c r="G722" t="s">
        <v>66</v>
      </c>
      <c r="H722" t="s">
        <v>175</v>
      </c>
      <c r="I722" t="s">
        <v>157</v>
      </c>
      <c r="J722" t="b">
        <v>0</v>
      </c>
      <c r="K722" t="b">
        <v>0</v>
      </c>
    </row>
    <row r="723" spans="1:11" x14ac:dyDescent="0.25">
      <c r="A723" t="s">
        <v>412</v>
      </c>
      <c r="B723" t="s">
        <v>341</v>
      </c>
      <c r="C723" t="s">
        <v>157</v>
      </c>
      <c r="D723" t="b">
        <v>0</v>
      </c>
      <c r="E723" t="b">
        <v>0</v>
      </c>
      <c r="G723" t="s">
        <v>66</v>
      </c>
      <c r="H723" t="s">
        <v>341</v>
      </c>
      <c r="I723" t="s">
        <v>157</v>
      </c>
      <c r="J723" t="b">
        <v>0</v>
      </c>
      <c r="K723" t="b">
        <v>0</v>
      </c>
    </row>
    <row r="724" spans="1:11" x14ac:dyDescent="0.25">
      <c r="A724" t="s">
        <v>412</v>
      </c>
      <c r="B724" t="s">
        <v>179</v>
      </c>
      <c r="C724" t="s">
        <v>157</v>
      </c>
      <c r="D724" t="b">
        <v>1</v>
      </c>
      <c r="E724" t="b">
        <v>0</v>
      </c>
      <c r="G724" t="s">
        <v>66</v>
      </c>
      <c r="H724" t="s">
        <v>179</v>
      </c>
      <c r="I724" t="s">
        <v>157</v>
      </c>
      <c r="J724" t="b">
        <v>1</v>
      </c>
      <c r="K724" t="b">
        <v>0</v>
      </c>
    </row>
    <row r="725" spans="1:11" x14ac:dyDescent="0.25">
      <c r="A725" t="s">
        <v>412</v>
      </c>
      <c r="B725" t="s">
        <v>180</v>
      </c>
      <c r="C725" t="s">
        <v>160</v>
      </c>
      <c r="D725" t="b">
        <v>0</v>
      </c>
      <c r="E725" t="b">
        <v>0</v>
      </c>
    </row>
    <row r="726" spans="1:11" x14ac:dyDescent="0.25">
      <c r="A726" t="s">
        <v>412</v>
      </c>
      <c r="B726" t="s">
        <v>181</v>
      </c>
      <c r="C726" t="s">
        <v>182</v>
      </c>
      <c r="D726" t="b">
        <v>0</v>
      </c>
      <c r="E726" t="b">
        <v>0</v>
      </c>
      <c r="G726" t="s">
        <v>66</v>
      </c>
      <c r="H726" t="s">
        <v>181</v>
      </c>
      <c r="I726" t="s">
        <v>182</v>
      </c>
      <c r="J726" t="b">
        <v>0</v>
      </c>
      <c r="K726" t="b">
        <v>0</v>
      </c>
    </row>
    <row r="727" spans="1:11" x14ac:dyDescent="0.25">
      <c r="A727" t="s">
        <v>412</v>
      </c>
      <c r="B727" t="s">
        <v>413</v>
      </c>
      <c r="C727" t="s">
        <v>157</v>
      </c>
      <c r="D727" t="b">
        <v>0</v>
      </c>
      <c r="E727" t="b">
        <v>0</v>
      </c>
      <c r="G727" t="s">
        <v>66</v>
      </c>
      <c r="H727" t="s">
        <v>413</v>
      </c>
      <c r="I727" t="s">
        <v>157</v>
      </c>
      <c r="J727" t="b">
        <v>0</v>
      </c>
      <c r="K727" t="b">
        <v>0</v>
      </c>
    </row>
    <row r="728" spans="1:11" x14ac:dyDescent="0.25">
      <c r="A728" t="s">
        <v>412</v>
      </c>
      <c r="B728" t="s">
        <v>414</v>
      </c>
      <c r="C728" t="s">
        <v>154</v>
      </c>
      <c r="D728" t="b">
        <v>0</v>
      </c>
      <c r="E728" t="b">
        <v>0</v>
      </c>
      <c r="G728" t="s">
        <v>66</v>
      </c>
      <c r="H728" t="s">
        <v>414</v>
      </c>
      <c r="I728" t="s">
        <v>154</v>
      </c>
      <c r="J728" t="b">
        <v>0</v>
      </c>
      <c r="K728" t="b">
        <v>0</v>
      </c>
    </row>
    <row r="729" spans="1:11" x14ac:dyDescent="0.25">
      <c r="A729" t="s">
        <v>412</v>
      </c>
      <c r="B729" t="s">
        <v>245</v>
      </c>
      <c r="C729" t="s">
        <v>157</v>
      </c>
      <c r="D729" t="b">
        <v>0</v>
      </c>
      <c r="E729" t="b">
        <v>0</v>
      </c>
      <c r="G729" t="s">
        <v>66</v>
      </c>
      <c r="H729" t="s">
        <v>245</v>
      </c>
      <c r="I729" t="s">
        <v>157</v>
      </c>
      <c r="J729" t="b">
        <v>0</v>
      </c>
      <c r="K729" t="b">
        <v>0</v>
      </c>
    </row>
    <row r="730" spans="1:11" x14ac:dyDescent="0.25">
      <c r="A730" t="s">
        <v>412</v>
      </c>
      <c r="B730" t="s">
        <v>327</v>
      </c>
      <c r="C730" t="s">
        <v>160</v>
      </c>
      <c r="D730" t="b">
        <v>0</v>
      </c>
      <c r="E730" t="b">
        <v>0</v>
      </c>
    </row>
    <row r="731" spans="1:11" x14ac:dyDescent="0.25">
      <c r="A731" t="s">
        <v>412</v>
      </c>
      <c r="B731" t="s">
        <v>415</v>
      </c>
      <c r="C731" t="s">
        <v>154</v>
      </c>
      <c r="D731" t="b">
        <v>0</v>
      </c>
      <c r="E731" t="b">
        <v>0</v>
      </c>
      <c r="G731" t="s">
        <v>66</v>
      </c>
      <c r="H731" t="s">
        <v>415</v>
      </c>
      <c r="I731" t="s">
        <v>154</v>
      </c>
      <c r="J731" t="b">
        <v>0</v>
      </c>
      <c r="K731" t="b">
        <v>0</v>
      </c>
    </row>
    <row r="732" spans="1:11" x14ac:dyDescent="0.25">
      <c r="A732" t="s">
        <v>412</v>
      </c>
      <c r="B732" t="s">
        <v>416</v>
      </c>
      <c r="C732" t="s">
        <v>157</v>
      </c>
      <c r="D732" t="b">
        <v>0</v>
      </c>
      <c r="E732" t="b">
        <v>0</v>
      </c>
      <c r="G732" t="s">
        <v>66</v>
      </c>
      <c r="H732" t="s">
        <v>416</v>
      </c>
      <c r="I732" t="s">
        <v>157</v>
      </c>
      <c r="J732" t="b">
        <v>0</v>
      </c>
      <c r="K732" t="b">
        <v>0</v>
      </c>
    </row>
    <row r="733" spans="1:11" x14ac:dyDescent="0.25">
      <c r="A733" t="s">
        <v>412</v>
      </c>
      <c r="B733" t="s">
        <v>417</v>
      </c>
      <c r="C733" t="s">
        <v>160</v>
      </c>
      <c r="D733" t="b">
        <v>0</v>
      </c>
      <c r="E733" t="b">
        <v>0</v>
      </c>
    </row>
    <row r="734" spans="1:11" x14ac:dyDescent="0.25">
      <c r="A734" t="s">
        <v>412</v>
      </c>
      <c r="B734" t="s">
        <v>198</v>
      </c>
      <c r="C734" t="s">
        <v>157</v>
      </c>
      <c r="D734" t="b">
        <v>0</v>
      </c>
      <c r="E734" t="b">
        <v>0</v>
      </c>
      <c r="G734" t="s">
        <v>66</v>
      </c>
      <c r="H734" t="s">
        <v>198</v>
      </c>
      <c r="I734" t="s">
        <v>157</v>
      </c>
      <c r="J734" t="b">
        <v>0</v>
      </c>
      <c r="K734" t="b">
        <v>0</v>
      </c>
    </row>
    <row r="735" spans="1:11" x14ac:dyDescent="0.25">
      <c r="A735" t="s">
        <v>412</v>
      </c>
      <c r="B735" t="s">
        <v>199</v>
      </c>
      <c r="C735" t="s">
        <v>160</v>
      </c>
      <c r="D735" t="b">
        <v>0</v>
      </c>
      <c r="E735" t="b">
        <v>0</v>
      </c>
    </row>
    <row r="736" spans="1:11" x14ac:dyDescent="0.25">
      <c r="A736" t="s">
        <v>412</v>
      </c>
      <c r="B736" t="s">
        <v>200</v>
      </c>
      <c r="C736" t="s">
        <v>157</v>
      </c>
      <c r="D736" t="b">
        <v>0</v>
      </c>
      <c r="E736" t="b">
        <v>0</v>
      </c>
      <c r="G736" t="s">
        <v>66</v>
      </c>
      <c r="H736" t="s">
        <v>200</v>
      </c>
      <c r="I736" t="s">
        <v>157</v>
      </c>
      <c r="J736" t="b">
        <v>0</v>
      </c>
      <c r="K736" t="b">
        <v>0</v>
      </c>
    </row>
    <row r="737" spans="1:11" x14ac:dyDescent="0.25">
      <c r="A737" t="s">
        <v>412</v>
      </c>
      <c r="B737" t="s">
        <v>203</v>
      </c>
      <c r="C737" t="s">
        <v>154</v>
      </c>
      <c r="D737" t="b">
        <v>0</v>
      </c>
      <c r="E737" t="b">
        <v>0</v>
      </c>
      <c r="G737" t="s">
        <v>66</v>
      </c>
      <c r="H737" t="s">
        <v>203</v>
      </c>
      <c r="I737" t="s">
        <v>154</v>
      </c>
      <c r="J737" t="b">
        <v>0</v>
      </c>
      <c r="K737" t="b">
        <v>0</v>
      </c>
    </row>
    <row r="738" spans="1:11" x14ac:dyDescent="0.25">
      <c r="A738" t="s">
        <v>412</v>
      </c>
      <c r="B738" t="s">
        <v>208</v>
      </c>
      <c r="C738" t="s">
        <v>157</v>
      </c>
      <c r="D738" t="b">
        <v>0</v>
      </c>
      <c r="E738" t="b">
        <v>0</v>
      </c>
      <c r="G738" t="s">
        <v>66</v>
      </c>
      <c r="H738" t="s">
        <v>208</v>
      </c>
      <c r="I738" t="s">
        <v>157</v>
      </c>
      <c r="J738" t="b">
        <v>0</v>
      </c>
      <c r="K738" t="b">
        <v>0</v>
      </c>
    </row>
    <row r="739" spans="1:11" x14ac:dyDescent="0.25">
      <c r="A739" t="s">
        <v>412</v>
      </c>
      <c r="B739" t="s">
        <v>418</v>
      </c>
      <c r="C739" t="s">
        <v>157</v>
      </c>
      <c r="D739" t="b">
        <v>0</v>
      </c>
      <c r="E739" t="b">
        <v>0</v>
      </c>
      <c r="G739" t="s">
        <v>66</v>
      </c>
      <c r="H739" t="s">
        <v>418</v>
      </c>
      <c r="I739" t="s">
        <v>157</v>
      </c>
      <c r="J739" t="b">
        <v>0</v>
      </c>
      <c r="K739" t="b">
        <v>0</v>
      </c>
    </row>
    <row r="740" spans="1:11" x14ac:dyDescent="0.25">
      <c r="A740" t="s">
        <v>412</v>
      </c>
      <c r="B740" t="s">
        <v>419</v>
      </c>
      <c r="C740" t="s">
        <v>160</v>
      </c>
      <c r="D740" t="b">
        <v>0</v>
      </c>
      <c r="E740" t="b">
        <v>0</v>
      </c>
    </row>
    <row r="741" spans="1:11" x14ac:dyDescent="0.25">
      <c r="A741" t="s">
        <v>412</v>
      </c>
      <c r="B741" t="s">
        <v>420</v>
      </c>
      <c r="C741" t="s">
        <v>157</v>
      </c>
      <c r="D741" t="b">
        <v>0</v>
      </c>
      <c r="E741" t="b">
        <v>0</v>
      </c>
      <c r="G741" t="s">
        <v>66</v>
      </c>
      <c r="H741" t="s">
        <v>420</v>
      </c>
      <c r="I741" t="s">
        <v>157</v>
      </c>
      <c r="J741" t="b">
        <v>0</v>
      </c>
      <c r="K741" t="b">
        <v>0</v>
      </c>
    </row>
    <row r="742" spans="1:11" x14ac:dyDescent="0.25">
      <c r="A742" t="s">
        <v>412</v>
      </c>
      <c r="B742" t="s">
        <v>214</v>
      </c>
      <c r="C742" t="s">
        <v>157</v>
      </c>
      <c r="D742" t="b">
        <v>0</v>
      </c>
      <c r="E742" t="b">
        <v>0</v>
      </c>
      <c r="G742" t="s">
        <v>66</v>
      </c>
      <c r="H742" t="s">
        <v>214</v>
      </c>
      <c r="I742" t="s">
        <v>157</v>
      </c>
      <c r="J742" t="b">
        <v>0</v>
      </c>
      <c r="K742" t="b">
        <v>0</v>
      </c>
    </row>
    <row r="743" spans="1:11" x14ac:dyDescent="0.25">
      <c r="A743" t="s">
        <v>412</v>
      </c>
      <c r="B743" t="s">
        <v>215</v>
      </c>
      <c r="C743" t="s">
        <v>205</v>
      </c>
      <c r="D743" t="b">
        <v>0</v>
      </c>
      <c r="E743" t="b">
        <v>0</v>
      </c>
      <c r="G743" t="s">
        <v>66</v>
      </c>
      <c r="H743" t="s">
        <v>215</v>
      </c>
      <c r="I743" t="s">
        <v>205</v>
      </c>
      <c r="J743" t="b">
        <v>0</v>
      </c>
      <c r="K743" t="b">
        <v>0</v>
      </c>
    </row>
    <row r="744" spans="1:11" x14ac:dyDescent="0.25">
      <c r="A744" t="s">
        <v>412</v>
      </c>
      <c r="B744" t="s">
        <v>216</v>
      </c>
      <c r="C744" t="s">
        <v>154</v>
      </c>
      <c r="D744" t="b">
        <v>0</v>
      </c>
      <c r="E744" t="b">
        <v>0</v>
      </c>
      <c r="G744" t="s">
        <v>66</v>
      </c>
      <c r="H744" t="s">
        <v>216</v>
      </c>
      <c r="I744" t="s">
        <v>154</v>
      </c>
      <c r="J744" t="b">
        <v>0</v>
      </c>
      <c r="K744" t="b">
        <v>0</v>
      </c>
    </row>
    <row r="745" spans="1:11" x14ac:dyDescent="0.25">
      <c r="A745" t="s">
        <v>412</v>
      </c>
      <c r="B745" t="s">
        <v>217</v>
      </c>
      <c r="C745" t="s">
        <v>205</v>
      </c>
      <c r="D745" t="b">
        <v>0</v>
      </c>
      <c r="E745" t="b">
        <v>0</v>
      </c>
    </row>
    <row r="746" spans="1:11" x14ac:dyDescent="0.25">
      <c r="A746" t="s">
        <v>412</v>
      </c>
      <c r="B746" t="s">
        <v>218</v>
      </c>
      <c r="C746" t="s">
        <v>157</v>
      </c>
      <c r="D746" t="b">
        <v>0</v>
      </c>
      <c r="E746" t="b">
        <v>0</v>
      </c>
    </row>
    <row r="747" spans="1:11" x14ac:dyDescent="0.25">
      <c r="A747" t="s">
        <v>412</v>
      </c>
      <c r="B747" t="s">
        <v>219</v>
      </c>
      <c r="C747" t="s">
        <v>157</v>
      </c>
      <c r="D747" t="b">
        <v>0</v>
      </c>
      <c r="E747" t="b">
        <v>0</v>
      </c>
    </row>
    <row r="748" spans="1:11" x14ac:dyDescent="0.25">
      <c r="A748" t="s">
        <v>412</v>
      </c>
      <c r="B748" t="s">
        <v>220</v>
      </c>
      <c r="C748" t="s">
        <v>205</v>
      </c>
      <c r="D748" t="b">
        <v>0</v>
      </c>
      <c r="E748" t="b">
        <v>0</v>
      </c>
    </row>
    <row r="749" spans="1:11" x14ac:dyDescent="0.25">
      <c r="A749" t="s">
        <v>412</v>
      </c>
      <c r="B749" t="s">
        <v>221</v>
      </c>
      <c r="C749" t="s">
        <v>205</v>
      </c>
      <c r="D749" t="b">
        <v>0</v>
      </c>
      <c r="E749" t="b">
        <v>0</v>
      </c>
    </row>
    <row r="750" spans="1:11" x14ac:dyDescent="0.25">
      <c r="A750" s="2" t="s">
        <v>412</v>
      </c>
      <c r="B750" s="2" t="s">
        <v>222</v>
      </c>
      <c r="C750" s="2" t="s">
        <v>205</v>
      </c>
      <c r="D750" s="2" t="b">
        <v>0</v>
      </c>
      <c r="E750" s="2" t="b">
        <v>0</v>
      </c>
      <c r="F750" s="2"/>
      <c r="G750" s="2"/>
      <c r="H750" s="2"/>
      <c r="I750" s="2"/>
      <c r="J750" s="2"/>
      <c r="K750" s="2"/>
    </row>
    <row r="751" spans="1:11" x14ac:dyDescent="0.25">
      <c r="A751" t="s">
        <v>421</v>
      </c>
      <c r="B751" t="s">
        <v>233</v>
      </c>
      <c r="C751" t="s">
        <v>157</v>
      </c>
      <c r="D751" t="b">
        <v>0</v>
      </c>
      <c r="E751" t="b">
        <v>0</v>
      </c>
      <c r="G751" t="s">
        <v>101</v>
      </c>
      <c r="H751" t="s">
        <v>233</v>
      </c>
      <c r="I751" t="s">
        <v>157</v>
      </c>
      <c r="J751" t="b">
        <v>0</v>
      </c>
      <c r="K751" t="b">
        <v>0</v>
      </c>
    </row>
    <row r="752" spans="1:11" s="2" customFormat="1" x14ac:dyDescent="0.25">
      <c r="A752" t="s">
        <v>421</v>
      </c>
      <c r="B752" t="s">
        <v>422</v>
      </c>
      <c r="C752" t="s">
        <v>182</v>
      </c>
      <c r="D752" t="b">
        <v>0</v>
      </c>
      <c r="E752" t="b">
        <v>0</v>
      </c>
      <c r="G752" t="s">
        <v>101</v>
      </c>
      <c r="H752" t="s">
        <v>422</v>
      </c>
      <c r="I752" t="s">
        <v>182</v>
      </c>
      <c r="J752" t="b">
        <v>0</v>
      </c>
      <c r="K752" t="b">
        <v>0</v>
      </c>
    </row>
    <row r="753" spans="1:11" x14ac:dyDescent="0.25">
      <c r="A753" t="s">
        <v>421</v>
      </c>
      <c r="B753" t="s">
        <v>423</v>
      </c>
      <c r="C753" t="s">
        <v>182</v>
      </c>
      <c r="D753" t="b">
        <v>0</v>
      </c>
      <c r="E753" t="b">
        <v>0</v>
      </c>
      <c r="G753" t="s">
        <v>101</v>
      </c>
      <c r="H753" t="s">
        <v>423</v>
      </c>
      <c r="I753" t="s">
        <v>182</v>
      </c>
      <c r="J753" t="b">
        <v>0</v>
      </c>
      <c r="K753" t="b">
        <v>0</v>
      </c>
    </row>
    <row r="754" spans="1:11" x14ac:dyDescent="0.25">
      <c r="A754" t="s">
        <v>421</v>
      </c>
      <c r="B754" t="s">
        <v>424</v>
      </c>
      <c r="C754" t="s">
        <v>182</v>
      </c>
      <c r="D754" t="b">
        <v>0</v>
      </c>
      <c r="E754" t="b">
        <v>0</v>
      </c>
      <c r="G754" t="s">
        <v>101</v>
      </c>
      <c r="H754" t="s">
        <v>424</v>
      </c>
      <c r="I754" t="s">
        <v>182</v>
      </c>
      <c r="J754" t="b">
        <v>0</v>
      </c>
      <c r="K754" t="b">
        <v>0</v>
      </c>
    </row>
    <row r="755" spans="1:11" x14ac:dyDescent="0.25">
      <c r="A755" t="s">
        <v>421</v>
      </c>
      <c r="B755" t="s">
        <v>425</v>
      </c>
      <c r="C755" t="s">
        <v>164</v>
      </c>
      <c r="D755" t="b">
        <v>0</v>
      </c>
      <c r="E755" t="b">
        <v>0</v>
      </c>
      <c r="G755" t="s">
        <v>101</v>
      </c>
      <c r="H755" t="s">
        <v>425</v>
      </c>
      <c r="I755" t="s">
        <v>164</v>
      </c>
      <c r="J755" t="b">
        <v>0</v>
      </c>
      <c r="K755" t="b">
        <v>0</v>
      </c>
    </row>
    <row r="756" spans="1:11" x14ac:dyDescent="0.25">
      <c r="A756" t="s">
        <v>421</v>
      </c>
      <c r="B756" t="s">
        <v>426</v>
      </c>
      <c r="C756" t="s">
        <v>164</v>
      </c>
      <c r="D756" t="b">
        <v>0</v>
      </c>
      <c r="E756" t="b">
        <v>0</v>
      </c>
      <c r="G756" t="s">
        <v>101</v>
      </c>
      <c r="H756" t="s">
        <v>426</v>
      </c>
      <c r="I756" t="s">
        <v>164</v>
      </c>
      <c r="J756" t="b">
        <v>0</v>
      </c>
      <c r="K756" t="b">
        <v>0</v>
      </c>
    </row>
    <row r="757" spans="1:11" x14ac:dyDescent="0.25">
      <c r="A757" t="s">
        <v>421</v>
      </c>
      <c r="B757" t="s">
        <v>297</v>
      </c>
      <c r="C757" t="s">
        <v>164</v>
      </c>
      <c r="D757" t="b">
        <v>0</v>
      </c>
      <c r="E757" t="b">
        <v>0</v>
      </c>
      <c r="G757" t="s">
        <v>101</v>
      </c>
      <c r="H757" t="s">
        <v>297</v>
      </c>
      <c r="I757" t="s">
        <v>164</v>
      </c>
      <c r="J757" t="b">
        <v>0</v>
      </c>
      <c r="K757" t="b">
        <v>0</v>
      </c>
    </row>
    <row r="758" spans="1:11" x14ac:dyDescent="0.25">
      <c r="A758" t="s">
        <v>421</v>
      </c>
      <c r="B758" t="s">
        <v>179</v>
      </c>
      <c r="C758" t="s">
        <v>157</v>
      </c>
      <c r="D758" t="b">
        <v>1</v>
      </c>
      <c r="E758" t="b">
        <v>0</v>
      </c>
      <c r="G758" t="s">
        <v>101</v>
      </c>
      <c r="H758" t="s">
        <v>179</v>
      </c>
      <c r="I758" t="s">
        <v>157</v>
      </c>
      <c r="J758" t="b">
        <v>1</v>
      </c>
      <c r="K758" t="b">
        <v>0</v>
      </c>
    </row>
    <row r="759" spans="1:11" x14ac:dyDescent="0.25">
      <c r="A759" t="s">
        <v>421</v>
      </c>
      <c r="B759" t="s">
        <v>287</v>
      </c>
      <c r="C759" t="s">
        <v>157</v>
      </c>
      <c r="D759" t="b">
        <v>0</v>
      </c>
      <c r="E759" t="b">
        <v>0</v>
      </c>
      <c r="G759" t="s">
        <v>101</v>
      </c>
      <c r="H759" t="s">
        <v>287</v>
      </c>
      <c r="I759" t="s">
        <v>157</v>
      </c>
      <c r="J759" t="b">
        <v>0</v>
      </c>
      <c r="K759" t="b">
        <v>0</v>
      </c>
    </row>
    <row r="760" spans="1:11" x14ac:dyDescent="0.25">
      <c r="A760" t="s">
        <v>421</v>
      </c>
      <c r="B760" t="s">
        <v>208</v>
      </c>
      <c r="C760" t="s">
        <v>157</v>
      </c>
      <c r="D760" t="b">
        <v>0</v>
      </c>
      <c r="E760" t="b">
        <v>0</v>
      </c>
      <c r="G760" t="s">
        <v>101</v>
      </c>
      <c r="H760" t="s">
        <v>208</v>
      </c>
      <c r="I760" t="s">
        <v>157</v>
      </c>
      <c r="J760" t="b">
        <v>0</v>
      </c>
      <c r="K760" t="b">
        <v>0</v>
      </c>
    </row>
    <row r="761" spans="1:11" x14ac:dyDescent="0.25">
      <c r="A761" t="s">
        <v>421</v>
      </c>
      <c r="B761" t="s">
        <v>214</v>
      </c>
      <c r="C761" t="s">
        <v>157</v>
      </c>
      <c r="D761" t="b">
        <v>0</v>
      </c>
      <c r="E761" t="b">
        <v>0</v>
      </c>
      <c r="G761" t="s">
        <v>101</v>
      </c>
      <c r="H761" t="s">
        <v>214</v>
      </c>
      <c r="I761" t="s">
        <v>157</v>
      </c>
      <c r="J761" t="b">
        <v>0</v>
      </c>
      <c r="K761" t="b">
        <v>0</v>
      </c>
    </row>
    <row r="762" spans="1:11" x14ac:dyDescent="0.25">
      <c r="A762" t="s">
        <v>421</v>
      </c>
      <c r="B762" t="s">
        <v>215</v>
      </c>
      <c r="C762" t="s">
        <v>205</v>
      </c>
      <c r="D762" t="b">
        <v>0</v>
      </c>
      <c r="E762" t="b">
        <v>0</v>
      </c>
      <c r="G762" t="s">
        <v>101</v>
      </c>
      <c r="H762" t="s">
        <v>215</v>
      </c>
      <c r="I762" t="s">
        <v>205</v>
      </c>
      <c r="J762" t="b">
        <v>0</v>
      </c>
      <c r="K762" t="b">
        <v>0</v>
      </c>
    </row>
    <row r="763" spans="1:11" x14ac:dyDescent="0.25">
      <c r="A763" t="s">
        <v>421</v>
      </c>
      <c r="B763" t="s">
        <v>216</v>
      </c>
      <c r="C763" t="s">
        <v>154</v>
      </c>
      <c r="D763" t="b">
        <v>0</v>
      </c>
      <c r="E763" t="b">
        <v>0</v>
      </c>
      <c r="G763" t="s">
        <v>101</v>
      </c>
      <c r="H763" t="s">
        <v>216</v>
      </c>
      <c r="I763" t="s">
        <v>154</v>
      </c>
      <c r="J763" t="b">
        <v>0</v>
      </c>
      <c r="K763" t="b">
        <v>0</v>
      </c>
    </row>
    <row r="764" spans="1:11" x14ac:dyDescent="0.25">
      <c r="A764" t="s">
        <v>421</v>
      </c>
      <c r="B764" t="s">
        <v>217</v>
      </c>
      <c r="C764" t="s">
        <v>205</v>
      </c>
      <c r="D764" t="b">
        <v>0</v>
      </c>
      <c r="E764" t="b">
        <v>0</v>
      </c>
    </row>
    <row r="765" spans="1:11" x14ac:dyDescent="0.25">
      <c r="A765" t="s">
        <v>421</v>
      </c>
      <c r="B765" t="s">
        <v>218</v>
      </c>
      <c r="C765" t="s">
        <v>157</v>
      </c>
      <c r="D765" t="b">
        <v>0</v>
      </c>
      <c r="E765" t="b">
        <v>0</v>
      </c>
    </row>
    <row r="766" spans="1:11" x14ac:dyDescent="0.25">
      <c r="A766" t="s">
        <v>421</v>
      </c>
      <c r="B766" t="s">
        <v>219</v>
      </c>
      <c r="C766" t="s">
        <v>157</v>
      </c>
      <c r="D766" t="b">
        <v>0</v>
      </c>
      <c r="E766" t="b">
        <v>0</v>
      </c>
    </row>
    <row r="767" spans="1:11" x14ac:dyDescent="0.25">
      <c r="A767" t="s">
        <v>421</v>
      </c>
      <c r="B767" t="s">
        <v>220</v>
      </c>
      <c r="C767" t="s">
        <v>205</v>
      </c>
      <c r="D767" t="b">
        <v>0</v>
      </c>
      <c r="E767" t="b">
        <v>0</v>
      </c>
    </row>
    <row r="768" spans="1:11" x14ac:dyDescent="0.25">
      <c r="A768" t="s">
        <v>421</v>
      </c>
      <c r="B768" t="s">
        <v>221</v>
      </c>
      <c r="C768" t="s">
        <v>205</v>
      </c>
      <c r="D768" t="b">
        <v>0</v>
      </c>
      <c r="E768" t="b">
        <v>0</v>
      </c>
    </row>
    <row r="769" spans="1:11" x14ac:dyDescent="0.25">
      <c r="A769" s="2" t="s">
        <v>421</v>
      </c>
      <c r="B769" s="2" t="s">
        <v>222</v>
      </c>
      <c r="C769" s="2" t="s">
        <v>205</v>
      </c>
      <c r="D769" s="2" t="b">
        <v>0</v>
      </c>
      <c r="E769" s="2" t="b">
        <v>0</v>
      </c>
      <c r="F769" s="2"/>
      <c r="G769" s="2"/>
      <c r="H769" s="2"/>
      <c r="I769" s="2"/>
      <c r="J769" s="2"/>
      <c r="K769" s="2"/>
    </row>
    <row r="771" spans="1:11" s="2" customFormat="1" x14ac:dyDescent="0.25"/>
  </sheetData>
  <conditionalFormatting sqref="E1:E76 E211:E657 E78:E209 K1:K657 E661:E769 K661:K769">
    <cfRule type="cellIs" dxfId="201" priority="18" operator="equal">
      <formula>TRUE</formula>
    </cfRule>
  </conditionalFormatting>
  <conditionalFormatting sqref="D1:D76 D211:D657 D78:D209 J1:J657 D661:D769 J661:J769">
    <cfRule type="cellIs" dxfId="200" priority="17" operator="equal">
      <formula>TRUE</formula>
    </cfRule>
  </conditionalFormatting>
  <conditionalFormatting sqref="E77">
    <cfRule type="cellIs" dxfId="199" priority="16" operator="equal">
      <formula>TRUE</formula>
    </cfRule>
  </conditionalFormatting>
  <conditionalFormatting sqref="D77">
    <cfRule type="cellIs" dxfId="198" priority="15" operator="equal">
      <formula>TRUE</formula>
    </cfRule>
  </conditionalFormatting>
  <conditionalFormatting sqref="E210">
    <cfRule type="cellIs" dxfId="197" priority="14" operator="equal">
      <formula>TRUE</formula>
    </cfRule>
  </conditionalFormatting>
  <conditionalFormatting sqref="D210">
    <cfRule type="cellIs" dxfId="196" priority="13" operator="equal">
      <formula>TRUE</formula>
    </cfRule>
  </conditionalFormatting>
  <conditionalFormatting sqref="E658">
    <cfRule type="cellIs" dxfId="195" priority="12" operator="equal">
      <formula>TRUE</formula>
    </cfRule>
  </conditionalFormatting>
  <conditionalFormatting sqref="D658">
    <cfRule type="cellIs" dxfId="194" priority="11" operator="equal">
      <formula>TRUE</formula>
    </cfRule>
  </conditionalFormatting>
  <conditionalFormatting sqref="E660">
    <cfRule type="cellIs" dxfId="193" priority="10" operator="equal">
      <formula>TRUE</formula>
    </cfRule>
  </conditionalFormatting>
  <conditionalFormatting sqref="D660">
    <cfRule type="cellIs" dxfId="192" priority="9" operator="equal">
      <formula>TRUE</formula>
    </cfRule>
  </conditionalFormatting>
  <conditionalFormatting sqref="K658">
    <cfRule type="cellIs" dxfId="191" priority="8" operator="equal">
      <formula>TRUE</formula>
    </cfRule>
  </conditionalFormatting>
  <conditionalFormatting sqref="J658">
    <cfRule type="cellIs" dxfId="190" priority="7" operator="equal">
      <formula>TRUE</formula>
    </cfRule>
  </conditionalFormatting>
  <conditionalFormatting sqref="K660">
    <cfRule type="cellIs" dxfId="189" priority="6" operator="equal">
      <formula>TRUE</formula>
    </cfRule>
  </conditionalFormatting>
  <conditionalFormatting sqref="J660">
    <cfRule type="cellIs" dxfId="188" priority="5" operator="equal">
      <formula>TRUE</formula>
    </cfRule>
  </conditionalFormatting>
  <conditionalFormatting sqref="E659">
    <cfRule type="cellIs" dxfId="187" priority="4" operator="equal">
      <formula>TRUE</formula>
    </cfRule>
  </conditionalFormatting>
  <conditionalFormatting sqref="D659">
    <cfRule type="cellIs" dxfId="186" priority="3" operator="equal">
      <formula>TRUE</formula>
    </cfRule>
  </conditionalFormatting>
  <conditionalFormatting sqref="K659">
    <cfRule type="cellIs" dxfId="185" priority="2" operator="equal">
      <formula>TRUE</formula>
    </cfRule>
  </conditionalFormatting>
  <conditionalFormatting sqref="J659">
    <cfRule type="cellIs" dxfId="184" priority="1" operator="equal">
      <formula>TRUE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6F1"/>
  </sheetPr>
  <dimension ref="A1:G28"/>
  <sheetViews>
    <sheetView zoomScale="66" workbookViewId="0">
      <selection activeCell="C8" sqref="C8"/>
    </sheetView>
  </sheetViews>
  <sheetFormatPr defaultRowHeight="15" x14ac:dyDescent="0.25"/>
  <cols>
    <col min="1" max="1" width="15.7109375" customWidth="1"/>
    <col min="2" max="2" width="45.7109375" customWidth="1"/>
    <col min="3" max="3" width="100.7109375" customWidth="1"/>
  </cols>
  <sheetData>
    <row r="1" spans="1:7" x14ac:dyDescent="0.25">
      <c r="A1" t="s">
        <v>427</v>
      </c>
      <c r="B1" t="s">
        <v>428</v>
      </c>
      <c r="C1" t="s">
        <v>429</v>
      </c>
      <c r="G1" s="1" t="s">
        <v>430</v>
      </c>
    </row>
    <row r="2" spans="1:7" x14ac:dyDescent="0.25">
      <c r="A2">
        <v>1</v>
      </c>
      <c r="B2" t="s">
        <v>152</v>
      </c>
      <c r="C2" s="4" t="s">
        <v>431</v>
      </c>
    </row>
    <row r="3" spans="1:7" x14ac:dyDescent="0.25">
      <c r="A3">
        <v>2</v>
      </c>
      <c r="B3" t="s">
        <v>223</v>
      </c>
      <c r="C3" s="4" t="s">
        <v>432</v>
      </c>
    </row>
    <row r="4" spans="1:7" x14ac:dyDescent="0.25">
      <c r="A4">
        <v>3</v>
      </c>
      <c r="B4" t="s">
        <v>232</v>
      </c>
      <c r="C4" s="4" t="s">
        <v>433</v>
      </c>
    </row>
    <row r="5" spans="1:7" x14ac:dyDescent="0.25">
      <c r="A5">
        <v>4</v>
      </c>
      <c r="B5" t="s">
        <v>238</v>
      </c>
      <c r="C5" s="4" t="s">
        <v>434</v>
      </c>
    </row>
    <row r="6" spans="1:7" x14ac:dyDescent="0.25">
      <c r="A6">
        <v>5</v>
      </c>
      <c r="B6" t="s">
        <v>248</v>
      </c>
      <c r="C6" s="4" t="s">
        <v>435</v>
      </c>
    </row>
    <row r="7" spans="1:7" x14ac:dyDescent="0.25">
      <c r="A7">
        <v>6</v>
      </c>
      <c r="B7" t="s">
        <v>272</v>
      </c>
      <c r="C7" s="4" t="s">
        <v>436</v>
      </c>
    </row>
    <row r="8" spans="1:7" x14ac:dyDescent="0.25">
      <c r="A8">
        <v>7</v>
      </c>
      <c r="B8" t="s">
        <v>275</v>
      </c>
      <c r="C8" s="4" t="s">
        <v>437</v>
      </c>
    </row>
    <row r="9" spans="1:7" x14ac:dyDescent="0.25">
      <c r="A9">
        <v>8</v>
      </c>
      <c r="B9" t="s">
        <v>296</v>
      </c>
      <c r="C9" s="4" t="s">
        <v>438</v>
      </c>
    </row>
    <row r="10" spans="1:7" x14ac:dyDescent="0.25">
      <c r="A10">
        <v>9</v>
      </c>
      <c r="B10" t="s">
        <v>301</v>
      </c>
      <c r="C10" s="4" t="s">
        <v>439</v>
      </c>
    </row>
    <row r="11" spans="1:7" x14ac:dyDescent="0.25">
      <c r="A11">
        <v>10</v>
      </c>
      <c r="B11" t="s">
        <v>307</v>
      </c>
      <c r="C11" s="4" t="s">
        <v>440</v>
      </c>
    </row>
    <row r="12" spans="1:7" x14ac:dyDescent="0.25">
      <c r="A12">
        <v>12</v>
      </c>
      <c r="B12" t="s">
        <v>325</v>
      </c>
      <c r="C12" s="4" t="s">
        <v>441</v>
      </c>
    </row>
    <row r="13" spans="1:7" x14ac:dyDescent="0.25">
      <c r="A13">
        <v>13</v>
      </c>
      <c r="B13" t="s">
        <v>331</v>
      </c>
      <c r="C13" s="4" t="s">
        <v>442</v>
      </c>
    </row>
    <row r="14" spans="1:7" x14ac:dyDescent="0.25">
      <c r="A14">
        <v>14</v>
      </c>
      <c r="B14" t="s">
        <v>335</v>
      </c>
      <c r="C14" s="4" t="s">
        <v>443</v>
      </c>
    </row>
    <row r="15" spans="1:7" x14ac:dyDescent="0.25">
      <c r="A15">
        <v>15</v>
      </c>
      <c r="B15" t="s">
        <v>340</v>
      </c>
      <c r="C15" s="4" t="s">
        <v>444</v>
      </c>
    </row>
    <row r="16" spans="1:7" x14ac:dyDescent="0.25">
      <c r="A16">
        <v>16</v>
      </c>
      <c r="B16" t="s">
        <v>343</v>
      </c>
      <c r="C16" s="5" t="s">
        <v>445</v>
      </c>
    </row>
    <row r="17" spans="1:3" x14ac:dyDescent="0.25">
      <c r="A17">
        <v>17</v>
      </c>
      <c r="B17" t="s">
        <v>347</v>
      </c>
      <c r="C17" s="5" t="s">
        <v>446</v>
      </c>
    </row>
    <row r="18" spans="1:3" x14ac:dyDescent="0.25">
      <c r="A18">
        <v>18</v>
      </c>
      <c r="B18" t="s">
        <v>352</v>
      </c>
      <c r="C18" s="5" t="s">
        <v>446</v>
      </c>
    </row>
    <row r="19" spans="1:3" x14ac:dyDescent="0.25">
      <c r="A19">
        <v>19</v>
      </c>
      <c r="B19" t="s">
        <v>354</v>
      </c>
      <c r="C19" s="5" t="s">
        <v>447</v>
      </c>
    </row>
    <row r="20" spans="1:3" x14ac:dyDescent="0.25">
      <c r="A20">
        <v>20</v>
      </c>
      <c r="B20" t="s">
        <v>359</v>
      </c>
      <c r="C20" s="23" t="s">
        <v>448</v>
      </c>
    </row>
    <row r="21" spans="1:3" x14ac:dyDescent="0.25">
      <c r="A21">
        <v>21</v>
      </c>
      <c r="B21" t="s">
        <v>366</v>
      </c>
      <c r="C21" s="5" t="s">
        <v>449</v>
      </c>
    </row>
    <row r="22" spans="1:3" x14ac:dyDescent="0.25">
      <c r="A22">
        <v>22</v>
      </c>
      <c r="B22" t="s">
        <v>367</v>
      </c>
      <c r="C22" s="5" t="s">
        <v>450</v>
      </c>
    </row>
    <row r="23" spans="1:3" x14ac:dyDescent="0.25">
      <c r="A23">
        <v>25</v>
      </c>
      <c r="B23" t="s">
        <v>370</v>
      </c>
      <c r="C23" s="5" t="s">
        <v>451</v>
      </c>
    </row>
    <row r="24" spans="1:3" x14ac:dyDescent="0.25">
      <c r="A24">
        <v>26</v>
      </c>
      <c r="B24" t="s">
        <v>374</v>
      </c>
      <c r="C24" s="5" t="s">
        <v>452</v>
      </c>
    </row>
    <row r="25" spans="1:3" x14ac:dyDescent="0.25">
      <c r="A25">
        <v>27</v>
      </c>
      <c r="B25" t="s">
        <v>391</v>
      </c>
      <c r="C25" s="5" t="s">
        <v>453</v>
      </c>
    </row>
    <row r="26" spans="1:3" x14ac:dyDescent="0.25">
      <c r="A26">
        <v>28</v>
      </c>
      <c r="B26" t="s">
        <v>409</v>
      </c>
      <c r="C26" s="5" t="s">
        <v>454</v>
      </c>
    </row>
    <row r="27" spans="1:3" x14ac:dyDescent="0.25">
      <c r="A27">
        <v>29</v>
      </c>
      <c r="B27" t="s">
        <v>412</v>
      </c>
      <c r="C27" s="5" t="s">
        <v>455</v>
      </c>
    </row>
    <row r="28" spans="1:3" x14ac:dyDescent="0.25">
      <c r="A28" s="3">
        <v>30</v>
      </c>
      <c r="B28" s="3" t="s">
        <v>421</v>
      </c>
      <c r="C28" s="4" t="s">
        <v>456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6F1"/>
  </sheetPr>
  <dimension ref="A1:K775"/>
  <sheetViews>
    <sheetView topLeftCell="B646" zoomScaleNormal="100" workbookViewId="0">
      <selection activeCell="B660" sqref="B660"/>
    </sheetView>
  </sheetViews>
  <sheetFormatPr defaultRowHeight="15" outlineLevelCol="1" x14ac:dyDescent="0.25"/>
  <cols>
    <col min="1" max="1" width="70.7109375" hidden="1" customWidth="1" outlineLevel="1"/>
    <col min="2" max="2" width="49.85546875" bestFit="1" customWidth="1" collapsed="1"/>
    <col min="3" max="3" width="40.7109375" customWidth="1"/>
    <col min="4" max="4" width="29.7109375" customWidth="1"/>
    <col min="5" max="5" width="16.5703125" bestFit="1" customWidth="1"/>
    <col min="6" max="6" width="15.7109375" customWidth="1"/>
    <col min="7" max="7" width="100.7109375" customWidth="1"/>
  </cols>
  <sheetData>
    <row r="1" spans="1:11" x14ac:dyDescent="0.25">
      <c r="A1" t="s">
        <v>457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  <c r="I1" s="6" t="s">
        <v>464</v>
      </c>
      <c r="K1" s="1" t="s">
        <v>4</v>
      </c>
    </row>
    <row r="2" spans="1:11" x14ac:dyDescent="0.25">
      <c r="A2" t="str">
        <f t="shared" ref="A2:A65" ca="1" si="0">INDIRECT("R[0]C[1]", 0)&amp;INDIRECT("R[0]C[2]", 0)</f>
        <v>b3050000420001_agreementserviceagreementbegindate</v>
      </c>
      <c r="B2" t="s">
        <v>152</v>
      </c>
      <c r="C2" t="s">
        <v>153</v>
      </c>
      <c r="D2" t="s">
        <v>154</v>
      </c>
      <c r="E2" t="b">
        <v>0</v>
      </c>
      <c r="F2" t="b">
        <v>0</v>
      </c>
      <c r="G2" t="s">
        <v>465</v>
      </c>
    </row>
    <row r="3" spans="1:11" x14ac:dyDescent="0.25">
      <c r="A3" t="str">
        <f t="shared" ca="1" si="0"/>
        <v>b3050000420001_agreementserviceagreementenddate</v>
      </c>
      <c r="B3" t="s">
        <v>152</v>
      </c>
      <c r="C3" t="s">
        <v>155</v>
      </c>
      <c r="D3" t="s">
        <v>154</v>
      </c>
      <c r="E3" t="b">
        <v>0</v>
      </c>
      <c r="F3" t="b">
        <v>0</v>
      </c>
      <c r="G3" t="s">
        <v>466</v>
      </c>
    </row>
    <row r="4" spans="1:11" x14ac:dyDescent="0.25">
      <c r="A4" t="str">
        <f t="shared" ca="1" si="0"/>
        <v>b3050000420001_agreementserviceagreementnumber</v>
      </c>
      <c r="B4" t="s">
        <v>152</v>
      </c>
      <c r="C4" t="s">
        <v>156</v>
      </c>
      <c r="D4" t="s">
        <v>157</v>
      </c>
      <c r="E4" t="b">
        <v>0</v>
      </c>
      <c r="F4" t="b">
        <v>0</v>
      </c>
      <c r="G4" t="s">
        <v>467</v>
      </c>
    </row>
    <row r="5" spans="1:11" x14ac:dyDescent="0.25">
      <c r="A5" t="str">
        <f t="shared" ca="1" si="0"/>
        <v>b3050000420001_agreementserviceagreementref_entityid</v>
      </c>
      <c r="B5" t="s">
        <v>152</v>
      </c>
      <c r="C5" t="s">
        <v>158</v>
      </c>
      <c r="D5" t="s">
        <v>157</v>
      </c>
      <c r="E5" t="b">
        <v>0</v>
      </c>
      <c r="F5" t="b">
        <v>0</v>
      </c>
      <c r="G5" t="s">
        <v>468</v>
      </c>
    </row>
    <row r="6" spans="1:11" x14ac:dyDescent="0.25">
      <c r="A6" t="str">
        <f t="shared" ca="1" si="0"/>
        <v>b3050000420001_agreementserviceagreementref_entityid_uid</v>
      </c>
      <c r="B6" t="s">
        <v>152</v>
      </c>
      <c r="C6" t="s">
        <v>159</v>
      </c>
      <c r="D6" t="s">
        <v>160</v>
      </c>
      <c r="E6" t="b">
        <v>0</v>
      </c>
      <c r="F6" t="b">
        <v>0</v>
      </c>
    </row>
    <row r="7" spans="1:11" x14ac:dyDescent="0.25">
      <c r="A7" t="str">
        <f t="shared" ca="1" si="0"/>
        <v>b3050000420001_agreementserviceagreementtype</v>
      </c>
      <c r="B7" t="s">
        <v>152</v>
      </c>
      <c r="C7" t="s">
        <v>161</v>
      </c>
      <c r="D7" t="s">
        <v>157</v>
      </c>
      <c r="E7" t="b">
        <v>0</v>
      </c>
      <c r="F7" t="b">
        <v>0</v>
      </c>
      <c r="G7" t="s">
        <v>469</v>
      </c>
    </row>
    <row r="8" spans="1:11" x14ac:dyDescent="0.25">
      <c r="A8" t="str">
        <f t="shared" ca="1" si="0"/>
        <v>b3050000420001_agreementservicebpminstanceid</v>
      </c>
      <c r="B8" t="s">
        <v>152</v>
      </c>
      <c r="C8" t="s">
        <v>162</v>
      </c>
      <c r="D8" t="s">
        <v>157</v>
      </c>
      <c r="E8" t="b">
        <v>0</v>
      </c>
      <c r="F8" t="b">
        <v>0</v>
      </c>
      <c r="G8" t="s">
        <v>470</v>
      </c>
    </row>
    <row r="9" spans="1:11" x14ac:dyDescent="0.25">
      <c r="A9" t="str">
        <f t="shared" ca="1" si="0"/>
        <v>b3050000420001_agreementservicebranchflag</v>
      </c>
      <c r="B9" t="s">
        <v>152</v>
      </c>
      <c r="C9" t="s">
        <v>163</v>
      </c>
      <c r="D9" t="s">
        <v>164</v>
      </c>
      <c r="E9" t="b">
        <v>0</v>
      </c>
      <c r="F9" t="b">
        <v>0</v>
      </c>
      <c r="G9" t="s">
        <v>471</v>
      </c>
    </row>
    <row r="10" spans="1:11" x14ac:dyDescent="0.25">
      <c r="A10" t="str">
        <f t="shared" ca="1" si="0"/>
        <v>b3050000420001_agreementservicechanneltype</v>
      </c>
      <c r="B10" t="s">
        <v>152</v>
      </c>
      <c r="C10" t="s">
        <v>165</v>
      </c>
      <c r="D10" t="s">
        <v>157</v>
      </c>
      <c r="E10" t="b">
        <v>0</v>
      </c>
      <c r="F10" t="b">
        <v>0</v>
      </c>
      <c r="G10" t="s">
        <v>472</v>
      </c>
    </row>
    <row r="11" spans="1:11" x14ac:dyDescent="0.25">
      <c r="A11" t="str">
        <f t="shared" ca="1" si="0"/>
        <v>b3050000420001_agreementservicechanneltype_uid</v>
      </c>
      <c r="B11" t="s">
        <v>152</v>
      </c>
      <c r="C11" t="s">
        <v>166</v>
      </c>
      <c r="D11" t="s">
        <v>160</v>
      </c>
      <c r="E11" t="b">
        <v>0</v>
      </c>
      <c r="F11" t="b">
        <v>0</v>
      </c>
    </row>
    <row r="12" spans="1:11" x14ac:dyDescent="0.25">
      <c r="A12" t="str">
        <f t="shared" ca="1" si="0"/>
        <v>b3050000420001_agreementserviceclient_entityid</v>
      </c>
      <c r="B12" t="s">
        <v>152</v>
      </c>
      <c r="C12" t="s">
        <v>167</v>
      </c>
      <c r="D12" t="s">
        <v>157</v>
      </c>
      <c r="E12" t="b">
        <v>0</v>
      </c>
      <c r="F12" t="b">
        <v>0</v>
      </c>
      <c r="G12" t="s">
        <v>473</v>
      </c>
    </row>
    <row r="13" spans="1:11" x14ac:dyDescent="0.25">
      <c r="A13" t="str">
        <f t="shared" ca="1" si="0"/>
        <v>b3050000420001_agreementserviceclientversion</v>
      </c>
      <c r="B13" t="s">
        <v>152</v>
      </c>
      <c r="C13" t="s">
        <v>168</v>
      </c>
      <c r="D13" t="s">
        <v>157</v>
      </c>
      <c r="E13" t="b">
        <v>0</v>
      </c>
      <c r="F13" t="b">
        <v>0</v>
      </c>
      <c r="G13" t="s">
        <v>474</v>
      </c>
    </row>
    <row r="14" spans="1:11" x14ac:dyDescent="0.25">
      <c r="A14" t="str">
        <f t="shared" ca="1" si="0"/>
        <v>b3050000420001_agreementservicecreatedate</v>
      </c>
      <c r="B14" t="s">
        <v>152</v>
      </c>
      <c r="C14" t="s">
        <v>169</v>
      </c>
      <c r="D14" t="s">
        <v>154</v>
      </c>
      <c r="E14" t="b">
        <v>0</v>
      </c>
      <c r="F14" t="b">
        <v>0</v>
      </c>
      <c r="G14" t="s">
        <v>475</v>
      </c>
    </row>
    <row r="15" spans="1:11" x14ac:dyDescent="0.25">
      <c r="A15" t="str">
        <f t="shared" ca="1" si="0"/>
        <v>b3050000420001_agreementservicedepartment_entityid</v>
      </c>
      <c r="B15" t="s">
        <v>152</v>
      </c>
      <c r="C15" t="s">
        <v>170</v>
      </c>
      <c r="D15" t="s">
        <v>157</v>
      </c>
      <c r="E15" t="b">
        <v>0</v>
      </c>
      <c r="F15" t="b">
        <v>0</v>
      </c>
      <c r="G15" t="s">
        <v>476</v>
      </c>
    </row>
    <row r="16" spans="1:11" x14ac:dyDescent="0.25">
      <c r="A16" t="str">
        <f t="shared" ca="1" si="0"/>
        <v>b3050000420001_agreementservicedigitalid</v>
      </c>
      <c r="B16" t="s">
        <v>152</v>
      </c>
      <c r="C16" t="s">
        <v>171</v>
      </c>
      <c r="D16" t="s">
        <v>157</v>
      </c>
      <c r="E16" t="b">
        <v>0</v>
      </c>
      <c r="F16" t="b">
        <v>0</v>
      </c>
      <c r="G16" t="s">
        <v>477</v>
      </c>
    </row>
    <row r="17" spans="1:7" x14ac:dyDescent="0.25">
      <c r="A17" t="str">
        <f t="shared" ca="1" si="0"/>
        <v>b3050000420001_agreementservicedivisioncode</v>
      </c>
      <c r="B17" t="s">
        <v>152</v>
      </c>
      <c r="C17" t="s">
        <v>172</v>
      </c>
      <c r="D17" t="s">
        <v>157</v>
      </c>
      <c r="E17" t="b">
        <v>0</v>
      </c>
      <c r="F17" t="b">
        <v>0</v>
      </c>
      <c r="G17" t="s">
        <v>478</v>
      </c>
    </row>
    <row r="18" spans="1:7" x14ac:dyDescent="0.25">
      <c r="A18" t="str">
        <f t="shared" ca="1" si="0"/>
        <v>b3050000420001_agreementservicedocumentversion</v>
      </c>
      <c r="B18" t="s">
        <v>152</v>
      </c>
      <c r="C18" t="s">
        <v>173</v>
      </c>
      <c r="D18" t="s">
        <v>157</v>
      </c>
      <c r="E18" t="b">
        <v>0</v>
      </c>
      <c r="F18" t="b">
        <v>0</v>
      </c>
      <c r="G18" t="s">
        <v>479</v>
      </c>
    </row>
    <row r="19" spans="1:7" x14ac:dyDescent="0.25">
      <c r="A19" t="str">
        <f t="shared" ca="1" si="0"/>
        <v>b3050000420001_agreementserviceenddate</v>
      </c>
      <c r="B19" t="s">
        <v>152</v>
      </c>
      <c r="C19" t="s">
        <v>174</v>
      </c>
      <c r="D19" t="s">
        <v>154</v>
      </c>
      <c r="E19" t="b">
        <v>0</v>
      </c>
      <c r="F19" t="b">
        <v>0</v>
      </c>
      <c r="G19" t="s">
        <v>480</v>
      </c>
    </row>
    <row r="20" spans="1:7" x14ac:dyDescent="0.25">
      <c r="A20" t="str">
        <f t="shared" ca="1" si="0"/>
        <v>b3050000420001_agreementserviceerror</v>
      </c>
      <c r="B20" t="s">
        <v>152</v>
      </c>
      <c r="C20" t="s">
        <v>175</v>
      </c>
      <c r="D20" t="s">
        <v>157</v>
      </c>
      <c r="E20" t="b">
        <v>0</v>
      </c>
      <c r="F20" t="b">
        <v>0</v>
      </c>
      <c r="G20" t="s">
        <v>481</v>
      </c>
    </row>
    <row r="21" spans="1:7" x14ac:dyDescent="0.25">
      <c r="A21" t="str">
        <f t="shared" ca="1" si="0"/>
        <v>b3050000420001_agreementserviceidempotencykey</v>
      </c>
      <c r="B21" t="s">
        <v>152</v>
      </c>
      <c r="C21" t="s">
        <v>176</v>
      </c>
      <c r="D21" t="s">
        <v>157</v>
      </c>
      <c r="E21" t="b">
        <v>0</v>
      </c>
      <c r="F21" t="b">
        <v>0</v>
      </c>
      <c r="G21" t="s">
        <v>482</v>
      </c>
    </row>
    <row r="22" spans="1:7" x14ac:dyDescent="0.25">
      <c r="A22" t="str">
        <f t="shared" ca="1" si="0"/>
        <v>b3050000420001_agreementserviceinputtype</v>
      </c>
      <c r="B22" t="s">
        <v>152</v>
      </c>
      <c r="C22" t="s">
        <v>177</v>
      </c>
      <c r="D22" t="s">
        <v>157</v>
      </c>
      <c r="E22" t="b">
        <v>0</v>
      </c>
      <c r="F22" t="b">
        <v>0</v>
      </c>
      <c r="G22" t="s">
        <v>483</v>
      </c>
    </row>
    <row r="23" spans="1:7" x14ac:dyDescent="0.25">
      <c r="A23" t="str">
        <f t="shared" ca="1" si="0"/>
        <v>b3050000420001_agreementservicenote</v>
      </c>
      <c r="B23" t="s">
        <v>152</v>
      </c>
      <c r="C23" t="s">
        <v>178</v>
      </c>
      <c r="D23" t="s">
        <v>157</v>
      </c>
      <c r="E23" t="b">
        <v>0</v>
      </c>
      <c r="F23" t="b">
        <v>0</v>
      </c>
      <c r="G23" t="s">
        <v>484</v>
      </c>
    </row>
    <row r="24" spans="1:7" x14ac:dyDescent="0.25">
      <c r="A24" t="str">
        <f t="shared" ca="1" si="0"/>
        <v>b3050000420001_agreementserviceobject_id</v>
      </c>
      <c r="B24" t="s">
        <v>152</v>
      </c>
      <c r="C24" t="s">
        <v>179</v>
      </c>
      <c r="D24" t="s">
        <v>157</v>
      </c>
      <c r="E24" t="b">
        <v>1</v>
      </c>
      <c r="F24" t="b">
        <v>1</v>
      </c>
      <c r="G24" t="s">
        <v>485</v>
      </c>
    </row>
    <row r="25" spans="1:7" x14ac:dyDescent="0.25">
      <c r="A25" t="str">
        <f t="shared" ca="1" si="0"/>
        <v>b3050000420001_agreementserviceobject_id_uid</v>
      </c>
      <c r="B25" t="s">
        <v>152</v>
      </c>
      <c r="C25" t="s">
        <v>180</v>
      </c>
      <c r="D25" t="s">
        <v>160</v>
      </c>
      <c r="E25" t="b">
        <v>0</v>
      </c>
      <c r="F25" t="b">
        <v>0</v>
      </c>
    </row>
    <row r="26" spans="1:7" x14ac:dyDescent="0.25">
      <c r="A26" t="str">
        <f t="shared" ca="1" si="0"/>
        <v>b3050000420001_agreementserviceoffflag</v>
      </c>
      <c r="B26" t="s">
        <v>152</v>
      </c>
      <c r="C26" t="s">
        <v>181</v>
      </c>
      <c r="D26" t="s">
        <v>182</v>
      </c>
      <c r="E26" t="b">
        <v>0</v>
      </c>
      <c r="F26" t="b">
        <v>0</v>
      </c>
      <c r="G26" t="s">
        <v>486</v>
      </c>
    </row>
    <row r="27" spans="1:7" x14ac:dyDescent="0.25">
      <c r="A27" t="str">
        <f t="shared" ca="1" si="0"/>
        <v>b3050000420001_agreementserviceofficialdoc</v>
      </c>
      <c r="B27" t="s">
        <v>152</v>
      </c>
      <c r="C27" t="s">
        <v>183</v>
      </c>
      <c r="D27" t="s">
        <v>157</v>
      </c>
      <c r="E27" t="b">
        <v>0</v>
      </c>
      <c r="F27" t="b">
        <v>0</v>
      </c>
      <c r="G27" t="s">
        <v>487</v>
      </c>
    </row>
    <row r="28" spans="1:7" x14ac:dyDescent="0.25">
      <c r="A28" t="str">
        <f t="shared" ca="1" si="0"/>
        <v>b3050000420001_agreementserviceofficialinfo</v>
      </c>
      <c r="B28" t="s">
        <v>152</v>
      </c>
      <c r="C28" t="s">
        <v>184</v>
      </c>
      <c r="D28" t="s">
        <v>157</v>
      </c>
      <c r="E28" t="b">
        <v>0</v>
      </c>
      <c r="F28" t="b">
        <v>0</v>
      </c>
      <c r="G28" t="s">
        <v>488</v>
      </c>
    </row>
    <row r="29" spans="1:7" x14ac:dyDescent="0.25">
      <c r="A29" t="str">
        <f t="shared" ca="1" si="0"/>
        <v>b3050000420001_agreementserviceoperationdate</v>
      </c>
      <c r="B29" t="s">
        <v>152</v>
      </c>
      <c r="C29" t="s">
        <v>185</v>
      </c>
      <c r="D29" t="s">
        <v>154</v>
      </c>
      <c r="E29" t="b">
        <v>0</v>
      </c>
      <c r="F29" t="b">
        <v>0</v>
      </c>
      <c r="G29" t="s">
        <v>489</v>
      </c>
    </row>
    <row r="30" spans="1:7" x14ac:dyDescent="0.25">
      <c r="A30" t="str">
        <f t="shared" ca="1" si="0"/>
        <v>b3050000420001_agreementserviceoperationguid</v>
      </c>
      <c r="B30" t="s">
        <v>152</v>
      </c>
      <c r="C30" t="s">
        <v>186</v>
      </c>
      <c r="D30" t="s">
        <v>157</v>
      </c>
      <c r="E30" t="b">
        <v>0</v>
      </c>
      <c r="F30" t="b">
        <v>0</v>
      </c>
      <c r="G30" t="s">
        <v>490</v>
      </c>
    </row>
    <row r="31" spans="1:7" x14ac:dyDescent="0.25">
      <c r="A31" t="str">
        <f t="shared" ca="1" si="0"/>
        <v>b3050000420001_agreementservicerefusereason</v>
      </c>
      <c r="B31" t="s">
        <v>152</v>
      </c>
      <c r="C31" t="s">
        <v>187</v>
      </c>
      <c r="D31" t="s">
        <v>157</v>
      </c>
      <c r="E31" t="b">
        <v>0</v>
      </c>
      <c r="F31" t="b">
        <v>0</v>
      </c>
      <c r="G31" t="s">
        <v>491</v>
      </c>
    </row>
    <row r="32" spans="1:7" x14ac:dyDescent="0.25">
      <c r="A32" t="str">
        <f t="shared" ca="1" si="0"/>
        <v>b3050000420001_agreementservicerequestdate</v>
      </c>
      <c r="B32" t="s">
        <v>152</v>
      </c>
      <c r="C32" t="s">
        <v>188</v>
      </c>
      <c r="D32" t="s">
        <v>154</v>
      </c>
      <c r="E32" t="b">
        <v>0</v>
      </c>
      <c r="F32" t="b">
        <v>0</v>
      </c>
      <c r="G32" t="s">
        <v>492</v>
      </c>
    </row>
    <row r="33" spans="1:7" x14ac:dyDescent="0.25">
      <c r="A33" t="str">
        <f t="shared" ca="1" si="0"/>
        <v>b3050000420001_agreementservicerequestnumber</v>
      </c>
      <c r="B33" t="s">
        <v>152</v>
      </c>
      <c r="C33" t="s">
        <v>189</v>
      </c>
      <c r="D33" t="s">
        <v>157</v>
      </c>
      <c r="E33" t="b">
        <v>0</v>
      </c>
      <c r="F33" t="b">
        <v>0</v>
      </c>
      <c r="G33" t="s">
        <v>493</v>
      </c>
    </row>
    <row r="34" spans="1:7" x14ac:dyDescent="0.25">
      <c r="A34" t="str">
        <f t="shared" ca="1" si="0"/>
        <v>b3050000420001_agreementserviceservicetype</v>
      </c>
      <c r="B34" t="s">
        <v>152</v>
      </c>
      <c r="C34" t="s">
        <v>190</v>
      </c>
      <c r="D34" t="s">
        <v>157</v>
      </c>
      <c r="E34" t="b">
        <v>0</v>
      </c>
      <c r="F34" t="b">
        <v>0</v>
      </c>
      <c r="G34" t="s">
        <v>494</v>
      </c>
    </row>
    <row r="35" spans="1:7" x14ac:dyDescent="0.25">
      <c r="A35" t="str">
        <f t="shared" ca="1" si="0"/>
        <v>b3050000420001_agreementserviceservicetype_uid</v>
      </c>
      <c r="B35" t="s">
        <v>152</v>
      </c>
      <c r="C35" t="s">
        <v>191</v>
      </c>
      <c r="D35" t="s">
        <v>160</v>
      </c>
      <c r="E35" t="b">
        <v>0</v>
      </c>
      <c r="F35" t="b">
        <v>0</v>
      </c>
    </row>
    <row r="36" spans="1:7" x14ac:dyDescent="0.25">
      <c r="A36" t="str">
        <f t="shared" ca="1" si="0"/>
        <v>b3050000420001_agreementservicesigndate</v>
      </c>
      <c r="B36" t="s">
        <v>152</v>
      </c>
      <c r="C36" t="s">
        <v>192</v>
      </c>
      <c r="D36" t="s">
        <v>154</v>
      </c>
      <c r="E36" t="b">
        <v>0</v>
      </c>
      <c r="F36" t="b">
        <v>0</v>
      </c>
      <c r="G36" t="s">
        <v>495</v>
      </c>
    </row>
    <row r="37" spans="1:7" x14ac:dyDescent="0.25">
      <c r="A37" t="str">
        <f t="shared" ca="1" si="0"/>
        <v>b3050000420001_agreementservicesigner_entityid</v>
      </c>
      <c r="B37" t="s">
        <v>152</v>
      </c>
      <c r="C37" t="s">
        <v>193</v>
      </c>
      <c r="D37" t="s">
        <v>157</v>
      </c>
      <c r="E37" t="b">
        <v>0</v>
      </c>
      <c r="F37" t="b">
        <v>0</v>
      </c>
      <c r="G37" t="s">
        <v>496</v>
      </c>
    </row>
    <row r="38" spans="1:7" x14ac:dyDescent="0.25">
      <c r="A38" t="str">
        <f t="shared" ca="1" si="0"/>
        <v>b3050000420001_agreementservicesignerfullname</v>
      </c>
      <c r="B38" t="s">
        <v>152</v>
      </c>
      <c r="C38" t="s">
        <v>194</v>
      </c>
      <c r="D38" t="s">
        <v>157</v>
      </c>
      <c r="E38" t="b">
        <v>0</v>
      </c>
      <c r="F38" t="b">
        <v>0</v>
      </c>
      <c r="G38" t="s">
        <v>497</v>
      </c>
    </row>
    <row r="39" spans="1:7" x14ac:dyDescent="0.25">
      <c r="A39" t="str">
        <f t="shared" ca="1" si="0"/>
        <v>b3050000420001_agreementservicesignidentifier_entityid</v>
      </c>
      <c r="B39" t="s">
        <v>152</v>
      </c>
      <c r="C39" t="s">
        <v>195</v>
      </c>
      <c r="D39" t="s">
        <v>157</v>
      </c>
      <c r="E39" t="b">
        <v>0</v>
      </c>
      <c r="F39" t="b">
        <v>0</v>
      </c>
      <c r="G39" t="s">
        <v>498</v>
      </c>
    </row>
    <row r="40" spans="1:7" x14ac:dyDescent="0.25">
      <c r="A40" t="str">
        <f t="shared" ca="1" si="0"/>
        <v>b3050000420001_agreementservicesigntype</v>
      </c>
      <c r="B40" t="s">
        <v>152</v>
      </c>
      <c r="C40" t="s">
        <v>196</v>
      </c>
      <c r="D40" t="s">
        <v>157</v>
      </c>
      <c r="E40" t="b">
        <v>0</v>
      </c>
      <c r="F40" t="b">
        <v>0</v>
      </c>
      <c r="G40" t="s">
        <v>499</v>
      </c>
    </row>
    <row r="41" spans="1:7" x14ac:dyDescent="0.25">
      <c r="A41" t="str">
        <f t="shared" ca="1" si="0"/>
        <v>b3050000420001_agreementservicestartdatetime</v>
      </c>
      <c r="B41" t="s">
        <v>152</v>
      </c>
      <c r="C41" t="s">
        <v>197</v>
      </c>
      <c r="D41" t="s">
        <v>154</v>
      </c>
      <c r="E41" t="b">
        <v>0</v>
      </c>
      <c r="F41" t="b">
        <v>0</v>
      </c>
      <c r="G41" t="s">
        <v>500</v>
      </c>
    </row>
    <row r="42" spans="1:7" x14ac:dyDescent="0.25">
      <c r="A42" t="str">
        <f t="shared" ca="1" si="0"/>
        <v>b3050000420001_agreementservicestatusfordul_watcher_id</v>
      </c>
      <c r="B42" t="s">
        <v>152</v>
      </c>
      <c r="C42" t="s">
        <v>198</v>
      </c>
      <c r="D42" t="s">
        <v>157</v>
      </c>
      <c r="E42" t="b">
        <v>0</v>
      </c>
      <c r="F42" t="b">
        <v>0</v>
      </c>
      <c r="G42" t="s">
        <v>501</v>
      </c>
    </row>
    <row r="43" spans="1:7" x14ac:dyDescent="0.25">
      <c r="A43" t="str">
        <f t="shared" ca="1" si="0"/>
        <v>b3050000420001_agreementservicestatusfordul_watcher_id_uid</v>
      </c>
      <c r="B43" t="s">
        <v>152</v>
      </c>
      <c r="C43" t="s">
        <v>199</v>
      </c>
      <c r="D43" t="s">
        <v>160</v>
      </c>
      <c r="E43" t="b">
        <v>0</v>
      </c>
      <c r="F43" t="b">
        <v>0</v>
      </c>
    </row>
    <row r="44" spans="1:7" x14ac:dyDescent="0.25">
      <c r="A44" t="str">
        <f t="shared" ca="1" si="0"/>
        <v>b3050000420001_agreementservicestatusreasonfordul_watcher</v>
      </c>
      <c r="B44" t="s">
        <v>152</v>
      </c>
      <c r="C44" t="s">
        <v>200</v>
      </c>
      <c r="D44" t="s">
        <v>157</v>
      </c>
      <c r="E44" t="b">
        <v>0</v>
      </c>
      <c r="F44" t="b">
        <v>0</v>
      </c>
      <c r="G44" t="s">
        <v>502</v>
      </c>
    </row>
    <row r="45" spans="1:7" x14ac:dyDescent="0.25">
      <c r="A45" t="str">
        <f t="shared" ca="1" si="0"/>
        <v>b3050000420001_agreementservicesubstatus</v>
      </c>
      <c r="B45" t="s">
        <v>152</v>
      </c>
      <c r="C45" t="s">
        <v>201</v>
      </c>
      <c r="D45" t="s">
        <v>157</v>
      </c>
      <c r="E45" t="b">
        <v>0</v>
      </c>
      <c r="F45" t="b">
        <v>0</v>
      </c>
      <c r="G45" t="s">
        <v>503</v>
      </c>
    </row>
    <row r="46" spans="1:7" x14ac:dyDescent="0.25">
      <c r="A46" t="str">
        <f t="shared" ca="1" si="0"/>
        <v>b3050000420001_agreementservicesuspendreason_id</v>
      </c>
      <c r="B46" t="s">
        <v>152</v>
      </c>
      <c r="C46" t="s">
        <v>202</v>
      </c>
      <c r="D46" t="s">
        <v>157</v>
      </c>
      <c r="E46" t="b">
        <v>0</v>
      </c>
      <c r="F46" t="b">
        <v>0</v>
      </c>
      <c r="G46" t="s">
        <v>504</v>
      </c>
    </row>
    <row r="47" spans="1:7" x14ac:dyDescent="0.25">
      <c r="A47" t="str">
        <f t="shared" ca="1" si="0"/>
        <v>b3050000420001_agreementservicesys_lastchangedate</v>
      </c>
      <c r="B47" t="s">
        <v>152</v>
      </c>
      <c r="C47" t="s">
        <v>203</v>
      </c>
      <c r="D47" t="s">
        <v>154</v>
      </c>
      <c r="E47" t="b">
        <v>0</v>
      </c>
      <c r="F47" t="b">
        <v>0</v>
      </c>
      <c r="G47" t="s">
        <v>505</v>
      </c>
    </row>
    <row r="48" spans="1:7" x14ac:dyDescent="0.25">
      <c r="A48" t="str">
        <f t="shared" ca="1" si="0"/>
        <v>b3050000420001_agreementservicesyshistnumber</v>
      </c>
      <c r="B48" t="s">
        <v>152</v>
      </c>
      <c r="C48" t="s">
        <v>204</v>
      </c>
      <c r="D48" t="s">
        <v>205</v>
      </c>
      <c r="E48" t="b">
        <v>0</v>
      </c>
      <c r="F48" t="b">
        <v>0</v>
      </c>
      <c r="G48" t="s">
        <v>506</v>
      </c>
    </row>
    <row r="49" spans="1:7" x14ac:dyDescent="0.25">
      <c r="A49" t="str">
        <f t="shared" ca="1" si="0"/>
        <v>b3050000420001_agreementservicesyslasthistversion</v>
      </c>
      <c r="B49" t="s">
        <v>152</v>
      </c>
      <c r="C49" t="s">
        <v>206</v>
      </c>
      <c r="D49" t="s">
        <v>205</v>
      </c>
      <c r="E49" t="b">
        <v>0</v>
      </c>
      <c r="F49" t="b">
        <v>0</v>
      </c>
      <c r="G49" t="s">
        <v>507</v>
      </c>
    </row>
    <row r="50" spans="1:7" x14ac:dyDescent="0.25">
      <c r="A50" t="str">
        <f t="shared" ca="1" si="0"/>
        <v>b3050000420001_agreementservicetbcode</v>
      </c>
      <c r="B50" t="s">
        <v>152</v>
      </c>
      <c r="C50" t="s">
        <v>207</v>
      </c>
      <c r="D50" t="s">
        <v>157</v>
      </c>
      <c r="E50" t="b">
        <v>0</v>
      </c>
      <c r="F50" t="b">
        <v>0</v>
      </c>
      <c r="G50" t="s">
        <v>508</v>
      </c>
    </row>
    <row r="51" spans="1:7" x14ac:dyDescent="0.25">
      <c r="A51" t="str">
        <f t="shared" ca="1" si="0"/>
        <v>b3050000420001_agreementservicetype</v>
      </c>
      <c r="B51" t="s">
        <v>152</v>
      </c>
      <c r="C51" t="s">
        <v>208</v>
      </c>
      <c r="D51" t="s">
        <v>157</v>
      </c>
      <c r="E51" t="b">
        <v>0</v>
      </c>
      <c r="F51" t="b">
        <v>0</v>
      </c>
      <c r="G51" t="s">
        <v>509</v>
      </c>
    </row>
    <row r="52" spans="1:7" x14ac:dyDescent="0.25">
      <c r="A52" t="str">
        <f t="shared" ca="1" si="0"/>
        <v>b3050000420001_agreementserviceusercreate_entityid</v>
      </c>
      <c r="B52" t="s">
        <v>152</v>
      </c>
      <c r="C52" t="s">
        <v>209</v>
      </c>
      <c r="D52" t="s">
        <v>157</v>
      </c>
      <c r="E52" t="b">
        <v>0</v>
      </c>
      <c r="F52" t="b">
        <v>0</v>
      </c>
      <c r="G52" t="s">
        <v>510</v>
      </c>
    </row>
    <row r="53" spans="1:7" x14ac:dyDescent="0.25">
      <c r="A53" t="str">
        <f t="shared" ca="1" si="0"/>
        <v>b3050000420001_agreementserviceusercreate_entityid_uid</v>
      </c>
      <c r="B53" t="s">
        <v>152</v>
      </c>
      <c r="C53" t="s">
        <v>210</v>
      </c>
      <c r="D53" t="s">
        <v>160</v>
      </c>
      <c r="E53" t="b">
        <v>0</v>
      </c>
      <c r="F53" t="b">
        <v>0</v>
      </c>
    </row>
    <row r="54" spans="1:7" x14ac:dyDescent="0.25">
      <c r="A54" t="str">
        <f t="shared" ca="1" si="0"/>
        <v>b3050000420001_agreementserviceuserfirsthand_entityid</v>
      </c>
      <c r="B54" t="s">
        <v>152</v>
      </c>
      <c r="C54" t="s">
        <v>211</v>
      </c>
      <c r="D54" t="s">
        <v>157</v>
      </c>
      <c r="E54" t="b">
        <v>0</v>
      </c>
      <c r="F54" t="b">
        <v>0</v>
      </c>
      <c r="G54" t="s">
        <v>511</v>
      </c>
    </row>
    <row r="55" spans="1:7" x14ac:dyDescent="0.25">
      <c r="A55" t="str">
        <f t="shared" ca="1" si="0"/>
        <v>b3050000420001_agreementserviceusersecondhand_entityid</v>
      </c>
      <c r="B55" t="s">
        <v>152</v>
      </c>
      <c r="C55" t="s">
        <v>212</v>
      </c>
      <c r="D55" t="s">
        <v>157</v>
      </c>
      <c r="E55" t="b">
        <v>0</v>
      </c>
      <c r="F55" t="b">
        <v>0</v>
      </c>
      <c r="G55" t="s">
        <v>512</v>
      </c>
    </row>
    <row r="56" spans="1:7" x14ac:dyDescent="0.25">
      <c r="A56" t="str">
        <f t="shared" ca="1" si="0"/>
        <v>b3050000420001_agreementservicevaluedate</v>
      </c>
      <c r="B56" t="s">
        <v>152</v>
      </c>
      <c r="C56" t="s">
        <v>213</v>
      </c>
      <c r="D56" t="s">
        <v>154</v>
      </c>
      <c r="E56" t="b">
        <v>0</v>
      </c>
      <c r="F56" t="b">
        <v>0</v>
      </c>
      <c r="G56" t="s">
        <v>513</v>
      </c>
    </row>
    <row r="57" spans="1:7" x14ac:dyDescent="0.25">
      <c r="A57" t="str">
        <f t="shared" ca="1" si="0"/>
        <v>b3050000420001_agreementservicectl_action</v>
      </c>
      <c r="B57" t="s">
        <v>152</v>
      </c>
      <c r="C57" t="s">
        <v>214</v>
      </c>
      <c r="D57" t="s">
        <v>157</v>
      </c>
      <c r="E57" t="b">
        <v>0</v>
      </c>
      <c r="F57" t="b">
        <v>0</v>
      </c>
    </row>
    <row r="58" spans="1:7" x14ac:dyDescent="0.25">
      <c r="A58" t="str">
        <f t="shared" ca="1" si="0"/>
        <v>b3050000420001_agreementservicectl_loading</v>
      </c>
      <c r="B58" t="s">
        <v>152</v>
      </c>
      <c r="C58" t="s">
        <v>215</v>
      </c>
      <c r="D58" t="s">
        <v>205</v>
      </c>
      <c r="E58" t="b">
        <v>0</v>
      </c>
      <c r="F58" t="b">
        <v>0</v>
      </c>
    </row>
    <row r="59" spans="1:7" x14ac:dyDescent="0.25">
      <c r="A59" t="str">
        <f t="shared" ca="1" si="0"/>
        <v>b3050000420001_agreementservicectl_validfrom</v>
      </c>
      <c r="B59" t="s">
        <v>152</v>
      </c>
      <c r="C59" t="s">
        <v>216</v>
      </c>
      <c r="D59" t="s">
        <v>154</v>
      </c>
      <c r="E59" t="b">
        <v>0</v>
      </c>
      <c r="F59" t="b">
        <v>0</v>
      </c>
    </row>
    <row r="60" spans="1:7" x14ac:dyDescent="0.25">
      <c r="A60" t="str">
        <f t="shared" ca="1" si="0"/>
        <v>b3050000420001_agreementserviceinfo_system_id</v>
      </c>
      <c r="B60" t="s">
        <v>152</v>
      </c>
      <c r="C60" t="s">
        <v>217</v>
      </c>
      <c r="D60" t="s">
        <v>205</v>
      </c>
      <c r="E60" t="b">
        <v>0</v>
      </c>
      <c r="F60" t="b">
        <v>0</v>
      </c>
    </row>
    <row r="61" spans="1:7" x14ac:dyDescent="0.25">
      <c r="A61" t="str">
        <f t="shared" ca="1" si="0"/>
        <v>b3050000420001_agreementserviceinfo_system_inst_cd</v>
      </c>
      <c r="B61" t="s">
        <v>152</v>
      </c>
      <c r="C61" t="s">
        <v>218</v>
      </c>
      <c r="D61" t="s">
        <v>157</v>
      </c>
      <c r="E61" t="b">
        <v>0</v>
      </c>
      <c r="F61" t="b">
        <v>0</v>
      </c>
    </row>
    <row r="62" spans="1:7" x14ac:dyDescent="0.25">
      <c r="A62" t="str">
        <f t="shared" ca="1" si="0"/>
        <v>b3050000420001_agreementserviceinfo_system_type_cd</v>
      </c>
      <c r="B62" t="s">
        <v>152</v>
      </c>
      <c r="C62" t="s">
        <v>219</v>
      </c>
      <c r="D62" t="s">
        <v>157</v>
      </c>
      <c r="E62" t="b">
        <v>0</v>
      </c>
      <c r="F62" t="b">
        <v>0</v>
      </c>
    </row>
    <row r="63" spans="1:7" x14ac:dyDescent="0.25">
      <c r="A63" t="str">
        <f t="shared" ca="1" si="0"/>
        <v>b3050000420001_agreementserviceinput_file_id</v>
      </c>
      <c r="B63" t="s">
        <v>152</v>
      </c>
      <c r="C63" t="s">
        <v>220</v>
      </c>
      <c r="D63" t="s">
        <v>205</v>
      </c>
      <c r="E63" t="b">
        <v>0</v>
      </c>
      <c r="F63" t="b">
        <v>0</v>
      </c>
    </row>
    <row r="64" spans="1:7" x14ac:dyDescent="0.25">
      <c r="A64" t="str">
        <f t="shared" ca="1" si="0"/>
        <v>b3050000420001_agreementserviceinput_package_id</v>
      </c>
      <c r="B64" t="s">
        <v>152</v>
      </c>
      <c r="C64" t="s">
        <v>221</v>
      </c>
      <c r="D64" t="s">
        <v>205</v>
      </c>
      <c r="E64" t="b">
        <v>0</v>
      </c>
      <c r="F64" t="b">
        <v>0</v>
      </c>
    </row>
    <row r="65" spans="1:7" s="2" customFormat="1" x14ac:dyDescent="0.25">
      <c r="A65" s="2" t="str">
        <f t="shared" ca="1" si="0"/>
        <v>b3050000420001_agreementserviceworkflow_run_id</v>
      </c>
      <c r="B65" s="2" t="s">
        <v>152</v>
      </c>
      <c r="C65" s="2" t="s">
        <v>222</v>
      </c>
      <c r="D65" s="2" t="s">
        <v>205</v>
      </c>
      <c r="E65" s="2" t="b">
        <v>0</v>
      </c>
      <c r="F65" s="2" t="b">
        <v>0</v>
      </c>
    </row>
    <row r="66" spans="1:7" x14ac:dyDescent="0.25">
      <c r="A66" t="str">
        <f t="shared" ref="A66:A129" ca="1" si="1">INDIRECT("R[0]C[1]",0)&amp;INDIRECT("R[0]C[2]",0)</f>
        <v>b3050000420002_baseagreementagreementtype</v>
      </c>
      <c r="B66" t="s">
        <v>223</v>
      </c>
      <c r="C66" t="s">
        <v>161</v>
      </c>
      <c r="D66" t="s">
        <v>157</v>
      </c>
      <c r="E66" t="b">
        <v>0</v>
      </c>
      <c r="F66" t="b">
        <v>0</v>
      </c>
      <c r="G66" t="s">
        <v>469</v>
      </c>
    </row>
    <row r="67" spans="1:7" x14ac:dyDescent="0.25">
      <c r="A67" t="str">
        <f t="shared" ca="1" si="1"/>
        <v>b3050000420002_baseagreementagreementtype_uid</v>
      </c>
      <c r="B67" t="s">
        <v>223</v>
      </c>
      <c r="C67" t="s">
        <v>224</v>
      </c>
      <c r="D67" t="s">
        <v>160</v>
      </c>
      <c r="E67" t="b">
        <v>0</v>
      </c>
      <c r="F67" t="b">
        <v>0</v>
      </c>
    </row>
    <row r="68" spans="1:7" x14ac:dyDescent="0.25">
      <c r="A68" t="str">
        <f t="shared" ca="1" si="1"/>
        <v>b3050000420002_baseagreementbegindate</v>
      </c>
      <c r="B68" t="s">
        <v>223</v>
      </c>
      <c r="C68" t="s">
        <v>225</v>
      </c>
      <c r="D68" t="s">
        <v>154</v>
      </c>
      <c r="E68" t="b">
        <v>0</v>
      </c>
      <c r="F68" t="b">
        <v>0</v>
      </c>
      <c r="G68" t="s">
        <v>514</v>
      </c>
    </row>
    <row r="69" spans="1:7" x14ac:dyDescent="0.25">
      <c r="A69" t="str">
        <f t="shared" ca="1" si="1"/>
        <v>b3050000420002_baseagreementbranchflag</v>
      </c>
      <c r="B69" t="s">
        <v>223</v>
      </c>
      <c r="C69" t="s">
        <v>163</v>
      </c>
      <c r="D69" t="s">
        <v>164</v>
      </c>
      <c r="E69" t="b">
        <v>0</v>
      </c>
      <c r="F69" t="b">
        <v>0</v>
      </c>
      <c r="G69" t="s">
        <v>471</v>
      </c>
    </row>
    <row r="70" spans="1:7" x14ac:dyDescent="0.25">
      <c r="A70" t="str">
        <f t="shared" ca="1" si="1"/>
        <v>b3050000420002_baseagreementchangedate</v>
      </c>
      <c r="B70" t="s">
        <v>223</v>
      </c>
      <c r="C70" t="s">
        <v>226</v>
      </c>
      <c r="D70" t="s">
        <v>154</v>
      </c>
      <c r="E70" t="b">
        <v>0</v>
      </c>
      <c r="F70" t="b">
        <v>0</v>
      </c>
      <c r="G70" t="s">
        <v>515</v>
      </c>
    </row>
    <row r="71" spans="1:7" x14ac:dyDescent="0.25">
      <c r="A71" t="str">
        <f t="shared" ca="1" si="1"/>
        <v>b3050000420002_baseagreementclient_entityid</v>
      </c>
      <c r="B71" t="s">
        <v>223</v>
      </c>
      <c r="C71" t="s">
        <v>167</v>
      </c>
      <c r="D71" t="s">
        <v>157</v>
      </c>
      <c r="E71" t="b">
        <v>0</v>
      </c>
      <c r="F71" t="b">
        <v>0</v>
      </c>
      <c r="G71" t="s">
        <v>473</v>
      </c>
    </row>
    <row r="72" spans="1:7" x14ac:dyDescent="0.25">
      <c r="A72" t="str">
        <f t="shared" ca="1" si="1"/>
        <v>b3050000420002_baseagreementclient_entityid_uid</v>
      </c>
      <c r="B72" t="s">
        <v>223</v>
      </c>
      <c r="C72" t="s">
        <v>227</v>
      </c>
      <c r="D72" t="s">
        <v>160</v>
      </c>
      <c r="E72" t="b">
        <v>0</v>
      </c>
      <c r="F72" t="b">
        <v>0</v>
      </c>
    </row>
    <row r="73" spans="1:7" x14ac:dyDescent="0.25">
      <c r="A73" t="str">
        <f t="shared" ca="1" si="1"/>
        <v>b3050000420002_baseagreementclientversion</v>
      </c>
      <c r="B73" t="s">
        <v>223</v>
      </c>
      <c r="C73" t="s">
        <v>168</v>
      </c>
      <c r="D73" t="s">
        <v>157</v>
      </c>
      <c r="E73" t="b">
        <v>0</v>
      </c>
      <c r="F73" t="b">
        <v>0</v>
      </c>
      <c r="G73" t="s">
        <v>474</v>
      </c>
    </row>
    <row r="74" spans="1:7" x14ac:dyDescent="0.25">
      <c r="A74" t="str">
        <f t="shared" ca="1" si="1"/>
        <v>b3050000420002_baseagreementclosedate</v>
      </c>
      <c r="B74" t="s">
        <v>223</v>
      </c>
      <c r="C74" t="s">
        <v>228</v>
      </c>
      <c r="D74" t="s">
        <v>154</v>
      </c>
      <c r="E74" t="b">
        <v>0</v>
      </c>
      <c r="F74" t="b">
        <v>0</v>
      </c>
      <c r="G74" t="s">
        <v>516</v>
      </c>
    </row>
    <row r="75" spans="1:7" x14ac:dyDescent="0.25">
      <c r="A75" t="str">
        <f t="shared" ca="1" si="1"/>
        <v>b3050000420002_baseagreementdepartment_entityid</v>
      </c>
      <c r="B75" t="s">
        <v>223</v>
      </c>
      <c r="C75" t="s">
        <v>170</v>
      </c>
      <c r="D75" t="s">
        <v>157</v>
      </c>
      <c r="E75" t="b">
        <v>0</v>
      </c>
      <c r="F75" t="b">
        <v>0</v>
      </c>
      <c r="G75" t="s">
        <v>476</v>
      </c>
    </row>
    <row r="76" spans="1:7" x14ac:dyDescent="0.25">
      <c r="A76" t="str">
        <f t="shared" ca="1" si="1"/>
        <v>b3050000420002_baseagreementdivisioncode</v>
      </c>
      <c r="B76" t="s">
        <v>223</v>
      </c>
      <c r="C76" t="s">
        <v>172</v>
      </c>
      <c r="D76" t="s">
        <v>157</v>
      </c>
      <c r="E76" t="b">
        <v>0</v>
      </c>
      <c r="F76" t="b">
        <v>0</v>
      </c>
      <c r="G76" t="s">
        <v>478</v>
      </c>
    </row>
    <row r="77" spans="1:7" x14ac:dyDescent="0.25">
      <c r="A77" t="str">
        <f t="shared" ca="1" si="1"/>
        <v>b3050000420002_baseagreementdivisioncode_uid</v>
      </c>
      <c r="B77" t="s">
        <v>223</v>
      </c>
      <c r="C77" s="3" t="s">
        <v>229</v>
      </c>
      <c r="D77" t="s">
        <v>160</v>
      </c>
      <c r="E77" t="b">
        <v>0</v>
      </c>
      <c r="F77" t="b">
        <v>0</v>
      </c>
    </row>
    <row r="78" spans="1:7" x14ac:dyDescent="0.25">
      <c r="A78" t="str">
        <f t="shared" ca="1" si="1"/>
        <v>b3050000420002_baseagreementenddate</v>
      </c>
      <c r="B78" t="s">
        <v>223</v>
      </c>
      <c r="C78" t="s">
        <v>174</v>
      </c>
      <c r="D78" t="s">
        <v>154</v>
      </c>
      <c r="E78" t="b">
        <v>0</v>
      </c>
      <c r="F78" t="b">
        <v>0</v>
      </c>
      <c r="G78" t="s">
        <v>517</v>
      </c>
    </row>
    <row r="79" spans="1:7" x14ac:dyDescent="0.25">
      <c r="A79" t="str">
        <f t="shared" ca="1" si="1"/>
        <v>b3050000420002_baseagreementinn</v>
      </c>
      <c r="B79" t="s">
        <v>223</v>
      </c>
      <c r="C79" t="s">
        <v>230</v>
      </c>
      <c r="D79" t="s">
        <v>157</v>
      </c>
      <c r="E79" t="b">
        <v>0</v>
      </c>
      <c r="F79" t="b">
        <v>0</v>
      </c>
      <c r="G79" t="s">
        <v>518</v>
      </c>
    </row>
    <row r="80" spans="1:7" x14ac:dyDescent="0.25">
      <c r="A80" t="str">
        <f t="shared" ca="1" si="1"/>
        <v>b3050000420002_baseagreementnote</v>
      </c>
      <c r="B80" t="s">
        <v>223</v>
      </c>
      <c r="C80" t="s">
        <v>178</v>
      </c>
      <c r="D80" t="s">
        <v>157</v>
      </c>
      <c r="E80" t="b">
        <v>0</v>
      </c>
      <c r="F80" t="b">
        <v>0</v>
      </c>
      <c r="G80" t="s">
        <v>484</v>
      </c>
    </row>
    <row r="81" spans="1:7" x14ac:dyDescent="0.25">
      <c r="A81" t="str">
        <f t="shared" ca="1" si="1"/>
        <v>b3050000420002_baseagreementnumber_</v>
      </c>
      <c r="B81" t="s">
        <v>223</v>
      </c>
      <c r="C81" t="s">
        <v>231</v>
      </c>
      <c r="D81" t="s">
        <v>157</v>
      </c>
      <c r="E81" t="b">
        <v>0</v>
      </c>
      <c r="F81" t="b">
        <v>0</v>
      </c>
      <c r="G81" t="s">
        <v>467</v>
      </c>
    </row>
    <row r="82" spans="1:7" x14ac:dyDescent="0.25">
      <c r="A82" t="str">
        <f t="shared" ca="1" si="1"/>
        <v>b3050000420002_baseagreementobject_id</v>
      </c>
      <c r="B82" t="s">
        <v>223</v>
      </c>
      <c r="C82" t="s">
        <v>179</v>
      </c>
      <c r="D82" t="s">
        <v>157</v>
      </c>
      <c r="E82" t="b">
        <v>1</v>
      </c>
      <c r="F82" t="b">
        <v>1</v>
      </c>
      <c r="G82" t="s">
        <v>485</v>
      </c>
    </row>
    <row r="83" spans="1:7" x14ac:dyDescent="0.25">
      <c r="A83" t="str">
        <f t="shared" ca="1" si="1"/>
        <v>b3050000420002_baseagreementobject_id_uid</v>
      </c>
      <c r="B83" t="s">
        <v>223</v>
      </c>
      <c r="C83" t="s">
        <v>180</v>
      </c>
      <c r="D83" t="s">
        <v>160</v>
      </c>
      <c r="E83" t="b">
        <v>0</v>
      </c>
      <c r="F83" t="b">
        <v>0</v>
      </c>
    </row>
    <row r="84" spans="1:7" x14ac:dyDescent="0.25">
      <c r="A84" t="str">
        <f t="shared" ca="1" si="1"/>
        <v>b3050000420002_baseagreementoffflag</v>
      </c>
      <c r="B84" t="s">
        <v>223</v>
      </c>
      <c r="C84" t="s">
        <v>181</v>
      </c>
      <c r="D84" t="s">
        <v>182</v>
      </c>
      <c r="E84" t="b">
        <v>0</v>
      </c>
      <c r="F84" t="b">
        <v>0</v>
      </c>
      <c r="G84" t="s">
        <v>486</v>
      </c>
    </row>
    <row r="85" spans="1:7" x14ac:dyDescent="0.25">
      <c r="A85" t="str">
        <f t="shared" ca="1" si="1"/>
        <v>b3050000420002_baseagreementstatusfordul_watcher_id</v>
      </c>
      <c r="B85" t="s">
        <v>223</v>
      </c>
      <c r="C85" t="s">
        <v>198</v>
      </c>
      <c r="D85" t="s">
        <v>157</v>
      </c>
      <c r="E85" t="b">
        <v>0</v>
      </c>
      <c r="F85" t="b">
        <v>0</v>
      </c>
      <c r="G85" t="s">
        <v>501</v>
      </c>
    </row>
    <row r="86" spans="1:7" x14ac:dyDescent="0.25">
      <c r="A86" t="str">
        <f t="shared" ca="1" si="1"/>
        <v>b3050000420002_baseagreementstatusfordul_watcher_id_uid</v>
      </c>
      <c r="B86" t="s">
        <v>223</v>
      </c>
      <c r="C86" t="s">
        <v>199</v>
      </c>
      <c r="D86" t="s">
        <v>160</v>
      </c>
      <c r="E86" t="b">
        <v>0</v>
      </c>
      <c r="F86" t="b">
        <v>0</v>
      </c>
    </row>
    <row r="87" spans="1:7" x14ac:dyDescent="0.25">
      <c r="A87" t="str">
        <f t="shared" ca="1" si="1"/>
        <v>b3050000420002_baseagreementstatusreasonfordul_watcher</v>
      </c>
      <c r="B87" t="s">
        <v>223</v>
      </c>
      <c r="C87" t="s">
        <v>200</v>
      </c>
      <c r="D87" t="s">
        <v>157</v>
      </c>
      <c r="E87" t="b">
        <v>0</v>
      </c>
      <c r="F87" t="b">
        <v>0</v>
      </c>
      <c r="G87" t="s">
        <v>502</v>
      </c>
    </row>
    <row r="88" spans="1:7" x14ac:dyDescent="0.25">
      <c r="A88" t="str">
        <f t="shared" ca="1" si="1"/>
        <v>b3050000420002_baseagreementsys_lastchangedate</v>
      </c>
      <c r="B88" t="s">
        <v>223</v>
      </c>
      <c r="C88" t="s">
        <v>203</v>
      </c>
      <c r="D88" t="s">
        <v>154</v>
      </c>
      <c r="E88" t="b">
        <v>0</v>
      </c>
      <c r="F88" t="b">
        <v>0</v>
      </c>
      <c r="G88" t="s">
        <v>505</v>
      </c>
    </row>
    <row r="89" spans="1:7" x14ac:dyDescent="0.25">
      <c r="A89" t="str">
        <f t="shared" ca="1" si="1"/>
        <v>b3050000420002_baseagreementtype</v>
      </c>
      <c r="B89" t="s">
        <v>223</v>
      </c>
      <c r="C89" t="s">
        <v>208</v>
      </c>
      <c r="D89" t="s">
        <v>157</v>
      </c>
      <c r="E89" t="b">
        <v>0</v>
      </c>
      <c r="F89" t="b">
        <v>0</v>
      </c>
      <c r="G89" t="s">
        <v>509</v>
      </c>
    </row>
    <row r="90" spans="1:7" x14ac:dyDescent="0.25">
      <c r="A90" t="str">
        <f t="shared" ca="1" si="1"/>
        <v>b3050000420002_baseagreementctl_action</v>
      </c>
      <c r="B90" t="s">
        <v>223</v>
      </c>
      <c r="C90" t="s">
        <v>214</v>
      </c>
      <c r="D90" t="s">
        <v>157</v>
      </c>
      <c r="E90" t="b">
        <v>0</v>
      </c>
      <c r="F90" t="b">
        <v>0</v>
      </c>
    </row>
    <row r="91" spans="1:7" x14ac:dyDescent="0.25">
      <c r="A91" t="str">
        <f t="shared" ca="1" si="1"/>
        <v>b3050000420002_baseagreementctl_loading</v>
      </c>
      <c r="B91" t="s">
        <v>223</v>
      </c>
      <c r="C91" t="s">
        <v>215</v>
      </c>
      <c r="D91" t="s">
        <v>205</v>
      </c>
      <c r="E91" t="b">
        <v>0</v>
      </c>
      <c r="F91" t="b">
        <v>0</v>
      </c>
    </row>
    <row r="92" spans="1:7" x14ac:dyDescent="0.25">
      <c r="A92" t="str">
        <f t="shared" ca="1" si="1"/>
        <v>b3050000420002_baseagreementctl_validfrom</v>
      </c>
      <c r="B92" t="s">
        <v>223</v>
      </c>
      <c r="C92" t="s">
        <v>216</v>
      </c>
      <c r="D92" t="s">
        <v>154</v>
      </c>
      <c r="E92" t="b">
        <v>0</v>
      </c>
      <c r="F92" t="b">
        <v>0</v>
      </c>
    </row>
    <row r="93" spans="1:7" x14ac:dyDescent="0.25">
      <c r="A93" t="str">
        <f t="shared" ca="1" si="1"/>
        <v>b3050000420002_baseagreementinfo_system_id</v>
      </c>
      <c r="B93" t="s">
        <v>223</v>
      </c>
      <c r="C93" t="s">
        <v>217</v>
      </c>
      <c r="D93" t="s">
        <v>205</v>
      </c>
      <c r="E93" t="b">
        <v>0</v>
      </c>
      <c r="F93" t="b">
        <v>0</v>
      </c>
    </row>
    <row r="94" spans="1:7" x14ac:dyDescent="0.25">
      <c r="A94" t="str">
        <f t="shared" ca="1" si="1"/>
        <v>b3050000420002_baseagreementinfo_system_inst_cd</v>
      </c>
      <c r="B94" t="s">
        <v>223</v>
      </c>
      <c r="C94" t="s">
        <v>218</v>
      </c>
      <c r="D94" t="s">
        <v>157</v>
      </c>
      <c r="E94" t="b">
        <v>0</v>
      </c>
      <c r="F94" t="b">
        <v>0</v>
      </c>
    </row>
    <row r="95" spans="1:7" x14ac:dyDescent="0.25">
      <c r="A95" t="str">
        <f t="shared" ca="1" si="1"/>
        <v>b3050000420002_baseagreementinfo_system_type_cd</v>
      </c>
      <c r="B95" t="s">
        <v>223</v>
      </c>
      <c r="C95" t="s">
        <v>219</v>
      </c>
      <c r="D95" t="s">
        <v>157</v>
      </c>
      <c r="E95" t="b">
        <v>0</v>
      </c>
      <c r="F95" t="b">
        <v>0</v>
      </c>
    </row>
    <row r="96" spans="1:7" x14ac:dyDescent="0.25">
      <c r="A96" t="str">
        <f t="shared" ca="1" si="1"/>
        <v>b3050000420002_baseagreementinput_file_id</v>
      </c>
      <c r="B96" t="s">
        <v>223</v>
      </c>
      <c r="C96" t="s">
        <v>220</v>
      </c>
      <c r="D96" t="s">
        <v>205</v>
      </c>
      <c r="E96" t="b">
        <v>0</v>
      </c>
      <c r="F96" t="b">
        <v>0</v>
      </c>
    </row>
    <row r="97" spans="1:7" x14ac:dyDescent="0.25">
      <c r="A97" t="str">
        <f t="shared" ca="1" si="1"/>
        <v>b3050000420002_baseagreementinput_package_id</v>
      </c>
      <c r="B97" t="s">
        <v>223</v>
      </c>
      <c r="C97" t="s">
        <v>221</v>
      </c>
      <c r="D97" t="s">
        <v>205</v>
      </c>
      <c r="E97" t="b">
        <v>0</v>
      </c>
      <c r="F97" t="b">
        <v>0</v>
      </c>
    </row>
    <row r="98" spans="1:7" x14ac:dyDescent="0.25">
      <c r="A98" s="2" t="str">
        <f t="shared" ca="1" si="1"/>
        <v>b3050000420002_baseagreementworkflow_run_id</v>
      </c>
      <c r="B98" s="2" t="s">
        <v>223</v>
      </c>
      <c r="C98" s="2" t="s">
        <v>222</v>
      </c>
      <c r="D98" s="2" t="s">
        <v>205</v>
      </c>
      <c r="E98" s="2" t="b">
        <v>0</v>
      </c>
      <c r="F98" s="2" t="b">
        <v>0</v>
      </c>
      <c r="G98" s="2"/>
    </row>
    <row r="99" spans="1:7" s="2" customFormat="1" x14ac:dyDescent="0.25">
      <c r="A99" t="str">
        <f t="shared" ca="1" si="1"/>
        <v>b3050000420003_individualparamsaggregateroot_id</v>
      </c>
      <c r="B99" t="s">
        <v>232</v>
      </c>
      <c r="C99" t="s">
        <v>233</v>
      </c>
      <c r="D99" t="s">
        <v>157</v>
      </c>
      <c r="E99" t="b">
        <v>0</v>
      </c>
      <c r="F99" t="b">
        <v>0</v>
      </c>
      <c r="G99" t="s">
        <v>519</v>
      </c>
    </row>
    <row r="100" spans="1:7" x14ac:dyDescent="0.25">
      <c r="A100" t="str">
        <f t="shared" ca="1" si="1"/>
        <v>b3050000420003_individualparamsagreementdate</v>
      </c>
      <c r="B100" t="s">
        <v>232</v>
      </c>
      <c r="C100" t="s">
        <v>234</v>
      </c>
      <c r="D100" t="s">
        <v>154</v>
      </c>
      <c r="E100" t="b">
        <v>0</v>
      </c>
      <c r="F100" t="b">
        <v>0</v>
      </c>
      <c r="G100" t="s">
        <v>520</v>
      </c>
    </row>
    <row r="101" spans="1:7" x14ac:dyDescent="0.25">
      <c r="A101" t="str">
        <f t="shared" ca="1" si="1"/>
        <v>b3050000420003_individualparamsagreementnumber</v>
      </c>
      <c r="B101" t="s">
        <v>232</v>
      </c>
      <c r="C101" t="s">
        <v>156</v>
      </c>
      <c r="D101" t="s">
        <v>157</v>
      </c>
      <c r="E101" t="b">
        <v>0</v>
      </c>
      <c r="F101" t="b">
        <v>0</v>
      </c>
      <c r="G101" t="s">
        <v>467</v>
      </c>
    </row>
    <row r="102" spans="1:7" x14ac:dyDescent="0.25">
      <c r="A102" t="str">
        <f t="shared" ca="1" si="1"/>
        <v>b3050000420003_individualparamsagreementref_entityid</v>
      </c>
      <c r="B102" t="s">
        <v>232</v>
      </c>
      <c r="C102" t="s">
        <v>158</v>
      </c>
      <c r="D102" t="s">
        <v>157</v>
      </c>
      <c r="E102" t="b">
        <v>0</v>
      </c>
      <c r="F102" t="b">
        <v>0</v>
      </c>
      <c r="G102" t="s">
        <v>468</v>
      </c>
    </row>
    <row r="103" spans="1:7" x14ac:dyDescent="0.25">
      <c r="A103" t="str">
        <f t="shared" ca="1" si="1"/>
        <v>b3050000420003_individualparamscalcid</v>
      </c>
      <c r="B103" t="s">
        <v>232</v>
      </c>
      <c r="C103" t="s">
        <v>235</v>
      </c>
      <c r="D103" t="s">
        <v>157</v>
      </c>
      <c r="E103" t="b">
        <v>0</v>
      </c>
      <c r="F103" t="b">
        <v>0</v>
      </c>
      <c r="G103" t="s">
        <v>521</v>
      </c>
    </row>
    <row r="104" spans="1:7" x14ac:dyDescent="0.25">
      <c r="A104" t="str">
        <f t="shared" ca="1" si="1"/>
        <v>b3050000420003_individualparamsobject_id</v>
      </c>
      <c r="B104" t="s">
        <v>232</v>
      </c>
      <c r="C104" t="s">
        <v>179</v>
      </c>
      <c r="D104" t="s">
        <v>157</v>
      </c>
      <c r="E104" t="b">
        <v>1</v>
      </c>
      <c r="F104" t="b">
        <v>1</v>
      </c>
      <c r="G104" t="s">
        <v>485</v>
      </c>
    </row>
    <row r="105" spans="1:7" x14ac:dyDescent="0.25">
      <c r="A105" t="str">
        <f t="shared" ca="1" si="1"/>
        <v>b3050000420003_individualparamsoffflag</v>
      </c>
      <c r="B105" t="s">
        <v>232</v>
      </c>
      <c r="C105" t="s">
        <v>181</v>
      </c>
      <c r="D105" t="s">
        <v>182</v>
      </c>
      <c r="E105" t="b">
        <v>0</v>
      </c>
      <c r="F105" t="b">
        <v>0</v>
      </c>
      <c r="G105" t="s">
        <v>486</v>
      </c>
    </row>
    <row r="106" spans="1:7" x14ac:dyDescent="0.25">
      <c r="A106" t="str">
        <f t="shared" ca="1" si="1"/>
        <v>b3050000420003_individualparamspkpref_entityid</v>
      </c>
      <c r="B106" t="s">
        <v>232</v>
      </c>
      <c r="C106" t="s">
        <v>236</v>
      </c>
      <c r="D106" t="s">
        <v>157</v>
      </c>
      <c r="E106" t="b">
        <v>0</v>
      </c>
      <c r="F106" t="b">
        <v>0</v>
      </c>
      <c r="G106" t="s">
        <v>522</v>
      </c>
    </row>
    <row r="107" spans="1:7" x14ac:dyDescent="0.25">
      <c r="A107" t="str">
        <f t="shared" ca="1" si="1"/>
        <v>b3050000420003_individualparamsservice_id</v>
      </c>
      <c r="B107" t="s">
        <v>232</v>
      </c>
      <c r="C107" t="s">
        <v>237</v>
      </c>
      <c r="D107" t="s">
        <v>157</v>
      </c>
      <c r="E107" t="b">
        <v>0</v>
      </c>
      <c r="F107" t="b">
        <v>0</v>
      </c>
      <c r="G107" t="s">
        <v>523</v>
      </c>
    </row>
    <row r="108" spans="1:7" x14ac:dyDescent="0.25">
      <c r="A108" t="str">
        <f t="shared" ca="1" si="1"/>
        <v>b3050000420003_individualparamssys_lastchangedate</v>
      </c>
      <c r="B108" t="s">
        <v>232</v>
      </c>
      <c r="C108" t="s">
        <v>203</v>
      </c>
      <c r="D108" t="s">
        <v>154</v>
      </c>
      <c r="E108" t="b">
        <v>0</v>
      </c>
      <c r="F108" t="b">
        <v>0</v>
      </c>
      <c r="G108" t="s">
        <v>505</v>
      </c>
    </row>
    <row r="109" spans="1:7" x14ac:dyDescent="0.25">
      <c r="A109" t="str">
        <f t="shared" ca="1" si="1"/>
        <v>b3050000420003_individualparamstype</v>
      </c>
      <c r="B109" t="s">
        <v>232</v>
      </c>
      <c r="C109" t="s">
        <v>208</v>
      </c>
      <c r="D109" t="s">
        <v>157</v>
      </c>
      <c r="E109" t="b">
        <v>0</v>
      </c>
      <c r="F109" t="b">
        <v>0</v>
      </c>
      <c r="G109" t="s">
        <v>509</v>
      </c>
    </row>
    <row r="110" spans="1:7" x14ac:dyDescent="0.25">
      <c r="A110" t="str">
        <f t="shared" ca="1" si="1"/>
        <v>b3050000420003_individualparamsctl_action</v>
      </c>
      <c r="B110" t="s">
        <v>232</v>
      </c>
      <c r="C110" t="s">
        <v>214</v>
      </c>
      <c r="D110" t="s">
        <v>157</v>
      </c>
      <c r="E110" t="b">
        <v>0</v>
      </c>
      <c r="F110" t="b">
        <v>0</v>
      </c>
    </row>
    <row r="111" spans="1:7" x14ac:dyDescent="0.25">
      <c r="A111" t="str">
        <f t="shared" ca="1" si="1"/>
        <v>b3050000420003_individualparamsctl_loading</v>
      </c>
      <c r="B111" t="s">
        <v>232</v>
      </c>
      <c r="C111" t="s">
        <v>215</v>
      </c>
      <c r="D111" t="s">
        <v>205</v>
      </c>
      <c r="E111" t="b">
        <v>0</v>
      </c>
      <c r="F111" t="b">
        <v>0</v>
      </c>
    </row>
    <row r="112" spans="1:7" x14ac:dyDescent="0.25">
      <c r="A112" t="str">
        <f t="shared" ca="1" si="1"/>
        <v>b3050000420003_individualparamsctl_validfrom</v>
      </c>
      <c r="B112" t="s">
        <v>232</v>
      </c>
      <c r="C112" t="s">
        <v>216</v>
      </c>
      <c r="D112" t="s">
        <v>154</v>
      </c>
      <c r="E112" t="b">
        <v>0</v>
      </c>
      <c r="F112" t="b">
        <v>0</v>
      </c>
    </row>
    <row r="113" spans="1:7" x14ac:dyDescent="0.25">
      <c r="A113" t="str">
        <f t="shared" ca="1" si="1"/>
        <v>b3050000420003_individualparamsinfo_system_id</v>
      </c>
      <c r="B113" t="s">
        <v>232</v>
      </c>
      <c r="C113" t="s">
        <v>217</v>
      </c>
      <c r="D113" t="s">
        <v>205</v>
      </c>
      <c r="E113" t="b">
        <v>0</v>
      </c>
      <c r="F113" t="b">
        <v>0</v>
      </c>
    </row>
    <row r="114" spans="1:7" x14ac:dyDescent="0.25">
      <c r="A114" t="str">
        <f t="shared" ca="1" si="1"/>
        <v>b3050000420003_individualparamsinfo_system_inst_cd</v>
      </c>
      <c r="B114" t="s">
        <v>232</v>
      </c>
      <c r="C114" t="s">
        <v>218</v>
      </c>
      <c r="D114" t="s">
        <v>157</v>
      </c>
      <c r="E114" t="b">
        <v>0</v>
      </c>
      <c r="F114" t="b">
        <v>0</v>
      </c>
    </row>
    <row r="115" spans="1:7" x14ac:dyDescent="0.25">
      <c r="A115" t="str">
        <f t="shared" ca="1" si="1"/>
        <v>b3050000420003_individualparamsinfo_system_type_cd</v>
      </c>
      <c r="B115" t="s">
        <v>232</v>
      </c>
      <c r="C115" t="s">
        <v>219</v>
      </c>
      <c r="D115" t="s">
        <v>157</v>
      </c>
      <c r="E115" t="b">
        <v>0</v>
      </c>
      <c r="F115" t="b">
        <v>0</v>
      </c>
    </row>
    <row r="116" spans="1:7" x14ac:dyDescent="0.25">
      <c r="A116" t="str">
        <f t="shared" ca="1" si="1"/>
        <v>b3050000420003_individualparamsinput_file_id</v>
      </c>
      <c r="B116" t="s">
        <v>232</v>
      </c>
      <c r="C116" t="s">
        <v>220</v>
      </c>
      <c r="D116" t="s">
        <v>205</v>
      </c>
      <c r="E116" t="b">
        <v>0</v>
      </c>
      <c r="F116" t="b">
        <v>0</v>
      </c>
    </row>
    <row r="117" spans="1:7" x14ac:dyDescent="0.25">
      <c r="A117" t="str">
        <f t="shared" ca="1" si="1"/>
        <v>b3050000420003_individualparamsinput_package_id</v>
      </c>
      <c r="B117" t="s">
        <v>232</v>
      </c>
      <c r="C117" t="s">
        <v>221</v>
      </c>
      <c r="D117" t="s">
        <v>205</v>
      </c>
      <c r="E117" t="b">
        <v>0</v>
      </c>
      <c r="F117" t="b">
        <v>0</v>
      </c>
    </row>
    <row r="118" spans="1:7" x14ac:dyDescent="0.25">
      <c r="A118" s="2" t="str">
        <f t="shared" ca="1" si="1"/>
        <v>b3050000420003_individualparamsworkflow_run_id</v>
      </c>
      <c r="B118" s="2" t="s">
        <v>232</v>
      </c>
      <c r="C118" s="2" t="s">
        <v>222</v>
      </c>
      <c r="D118" s="2" t="s">
        <v>205</v>
      </c>
      <c r="E118" s="2" t="b">
        <v>0</v>
      </c>
      <c r="F118" s="2" t="b">
        <v>0</v>
      </c>
      <c r="G118" s="2"/>
    </row>
    <row r="119" spans="1:7" s="2" customFormat="1" x14ac:dyDescent="0.25">
      <c r="A119" t="str">
        <f t="shared" ca="1" si="1"/>
        <v>b3050000420004_nsoadditionalinfoaggregateroot_id</v>
      </c>
      <c r="B119" t="s">
        <v>238</v>
      </c>
      <c r="C119" t="s">
        <v>233</v>
      </c>
      <c r="D119" t="s">
        <v>157</v>
      </c>
      <c r="E119" t="b">
        <v>0</v>
      </c>
      <c r="F119" t="b">
        <v>0</v>
      </c>
      <c r="G119" t="s">
        <v>519</v>
      </c>
    </row>
    <row r="120" spans="1:7" x14ac:dyDescent="0.25">
      <c r="A120" t="str">
        <f t="shared" ca="1" si="1"/>
        <v>b3050000420004_nsoadditionalinfocalculatemethod</v>
      </c>
      <c r="B120" t="s">
        <v>238</v>
      </c>
      <c r="C120" t="s">
        <v>239</v>
      </c>
      <c r="D120" t="s">
        <v>157</v>
      </c>
      <c r="E120" t="b">
        <v>0</v>
      </c>
      <c r="F120" t="b">
        <v>0</v>
      </c>
      <c r="G120" t="s">
        <v>524</v>
      </c>
    </row>
    <row r="121" spans="1:7" x14ac:dyDescent="0.25">
      <c r="A121" t="str">
        <f t="shared" ca="1" si="1"/>
        <v>b3050000420004_nsoadditionalinfoclosecalculatetype</v>
      </c>
      <c r="B121" t="s">
        <v>238</v>
      </c>
      <c r="C121" t="s">
        <v>240</v>
      </c>
      <c r="D121" t="s">
        <v>157</v>
      </c>
      <c r="E121" t="b">
        <v>0</v>
      </c>
      <c r="F121" t="b">
        <v>0</v>
      </c>
      <c r="G121" t="s">
        <v>525</v>
      </c>
    </row>
    <row r="122" spans="1:7" x14ac:dyDescent="0.25">
      <c r="A122" t="str">
        <f t="shared" ca="1" si="1"/>
        <v>b3050000420004_nsoadditionalinfoidaccountnumber</v>
      </c>
      <c r="B122" t="s">
        <v>238</v>
      </c>
      <c r="C122" t="s">
        <v>241</v>
      </c>
      <c r="D122" t="s">
        <v>157</v>
      </c>
      <c r="E122" t="b">
        <v>0</v>
      </c>
      <c r="F122" t="b">
        <v>0</v>
      </c>
      <c r="G122" t="s">
        <v>526</v>
      </c>
    </row>
    <row r="123" spans="1:7" x14ac:dyDescent="0.25">
      <c r="A123" t="str">
        <f t="shared" ca="1" si="1"/>
        <v>b3050000420004_nsoadditionalinfoidaccountnumber_uid</v>
      </c>
      <c r="B123" t="s">
        <v>238</v>
      </c>
      <c r="C123" t="s">
        <v>242</v>
      </c>
      <c r="D123" t="s">
        <v>160</v>
      </c>
      <c r="E123" t="b">
        <v>0</v>
      </c>
      <c r="F123" t="b">
        <v>0</v>
      </c>
    </row>
    <row r="124" spans="1:7" x14ac:dyDescent="0.25">
      <c r="A124" t="str">
        <f t="shared" ca="1" si="1"/>
        <v>b3050000420004_nsoadditionalinfoisarchivedeal</v>
      </c>
      <c r="B124" t="s">
        <v>238</v>
      </c>
      <c r="C124" t="s">
        <v>243</v>
      </c>
      <c r="D124" t="s">
        <v>164</v>
      </c>
      <c r="E124" t="b">
        <v>0</v>
      </c>
      <c r="F124" t="b">
        <v>0</v>
      </c>
      <c r="G124" t="s">
        <v>527</v>
      </c>
    </row>
    <row r="125" spans="1:7" x14ac:dyDescent="0.25">
      <c r="A125" t="str">
        <f t="shared" ca="1" si="1"/>
        <v>b3050000420004_nsoadditionalinfoobject_id</v>
      </c>
      <c r="B125" t="s">
        <v>238</v>
      </c>
      <c r="C125" t="s">
        <v>179</v>
      </c>
      <c r="D125" t="s">
        <v>157</v>
      </c>
      <c r="E125" t="b">
        <v>1</v>
      </c>
      <c r="F125" t="b">
        <v>1</v>
      </c>
      <c r="G125" t="s">
        <v>485</v>
      </c>
    </row>
    <row r="126" spans="1:7" x14ac:dyDescent="0.25">
      <c r="A126" t="str">
        <f t="shared" ca="1" si="1"/>
        <v>b3050000420004_nsoadditionalinfooffflag</v>
      </c>
      <c r="B126" t="s">
        <v>238</v>
      </c>
      <c r="C126" t="s">
        <v>181</v>
      </c>
      <c r="D126" t="s">
        <v>182</v>
      </c>
      <c r="E126" t="b">
        <v>0</v>
      </c>
      <c r="F126" t="b">
        <v>0</v>
      </c>
      <c r="G126" t="s">
        <v>486</v>
      </c>
    </row>
    <row r="127" spans="1:7" x14ac:dyDescent="0.25">
      <c r="A127" t="str">
        <f t="shared" ca="1" si="1"/>
        <v>b3050000420004_nsoadditionalinfopayonaccountclosure</v>
      </c>
      <c r="B127" t="s">
        <v>238</v>
      </c>
      <c r="C127" t="s">
        <v>244</v>
      </c>
      <c r="D127" t="s">
        <v>164</v>
      </c>
      <c r="E127" t="b">
        <v>0</v>
      </c>
      <c r="F127" t="b">
        <v>0</v>
      </c>
      <c r="G127" t="s">
        <v>528</v>
      </c>
    </row>
    <row r="128" spans="1:7" x14ac:dyDescent="0.25">
      <c r="A128" t="str">
        <f t="shared" ca="1" si="1"/>
        <v>b3050000420004_nsoadditionalinfoproduct_id</v>
      </c>
      <c r="B128" t="s">
        <v>238</v>
      </c>
      <c r="C128" t="s">
        <v>245</v>
      </c>
      <c r="D128" t="s">
        <v>157</v>
      </c>
      <c r="E128" t="b">
        <v>0</v>
      </c>
      <c r="F128" t="b">
        <v>0</v>
      </c>
    </row>
    <row r="129" spans="1:7" x14ac:dyDescent="0.25">
      <c r="A129" t="str">
        <f t="shared" ca="1" si="1"/>
        <v>b3050000420004_nsoadditionalinforkoaccountnumber</v>
      </c>
      <c r="B129" t="s">
        <v>238</v>
      </c>
      <c r="C129" t="s">
        <v>246</v>
      </c>
      <c r="D129" t="s">
        <v>157</v>
      </c>
      <c r="E129" t="b">
        <v>0</v>
      </c>
      <c r="F129" t="b">
        <v>0</v>
      </c>
      <c r="G129" t="s">
        <v>529</v>
      </c>
    </row>
    <row r="130" spans="1:7" x14ac:dyDescent="0.25">
      <c r="A130" t="str">
        <f t="shared" ref="A130:A193" ca="1" si="2">INDIRECT("R[0]C[1]",0)&amp;INDIRECT("R[0]C[2]",0)</f>
        <v>b3050000420004_nsoadditionalinfosys_lastchangedate</v>
      </c>
      <c r="B130" t="s">
        <v>238</v>
      </c>
      <c r="C130" t="s">
        <v>203</v>
      </c>
      <c r="D130" t="s">
        <v>154</v>
      </c>
      <c r="E130" t="b">
        <v>0</v>
      </c>
      <c r="F130" t="b">
        <v>0</v>
      </c>
      <c r="G130" t="s">
        <v>505</v>
      </c>
    </row>
    <row r="131" spans="1:7" x14ac:dyDescent="0.25">
      <c r="A131" t="str">
        <f t="shared" ca="1" si="2"/>
        <v>b3050000420004_nsoadditionalinfosystemname</v>
      </c>
      <c r="B131" t="s">
        <v>238</v>
      </c>
      <c r="C131" t="s">
        <v>247</v>
      </c>
      <c r="D131" t="s">
        <v>157</v>
      </c>
      <c r="E131" t="b">
        <v>0</v>
      </c>
      <c r="F131" t="b">
        <v>0</v>
      </c>
      <c r="G131" t="s">
        <v>530</v>
      </c>
    </row>
    <row r="132" spans="1:7" x14ac:dyDescent="0.25">
      <c r="A132" t="str">
        <f t="shared" ca="1" si="2"/>
        <v>b3050000420004_nsoadditionalinfotype</v>
      </c>
      <c r="B132" t="s">
        <v>238</v>
      </c>
      <c r="C132" t="s">
        <v>208</v>
      </c>
      <c r="D132" t="s">
        <v>157</v>
      </c>
      <c r="E132" t="b">
        <v>0</v>
      </c>
      <c r="F132" t="b">
        <v>0</v>
      </c>
      <c r="G132" t="s">
        <v>509</v>
      </c>
    </row>
    <row r="133" spans="1:7" x14ac:dyDescent="0.25">
      <c r="A133" t="str">
        <f t="shared" ca="1" si="2"/>
        <v>b3050000420004_nsoadditionalinfoctl_action</v>
      </c>
      <c r="B133" t="s">
        <v>238</v>
      </c>
      <c r="C133" t="s">
        <v>214</v>
      </c>
      <c r="D133" t="s">
        <v>157</v>
      </c>
      <c r="E133" t="b">
        <v>0</v>
      </c>
      <c r="F133" t="b">
        <v>0</v>
      </c>
    </row>
    <row r="134" spans="1:7" x14ac:dyDescent="0.25">
      <c r="A134" t="str">
        <f t="shared" ca="1" si="2"/>
        <v>b3050000420004_nsoadditionalinfoctl_loading</v>
      </c>
      <c r="B134" t="s">
        <v>238</v>
      </c>
      <c r="C134" t="s">
        <v>215</v>
      </c>
      <c r="D134" t="s">
        <v>205</v>
      </c>
      <c r="E134" t="b">
        <v>0</v>
      </c>
      <c r="F134" t="b">
        <v>0</v>
      </c>
    </row>
    <row r="135" spans="1:7" x14ac:dyDescent="0.25">
      <c r="A135" t="str">
        <f t="shared" ca="1" si="2"/>
        <v>b3050000420004_nsoadditionalinfoctl_validfrom</v>
      </c>
      <c r="B135" t="s">
        <v>238</v>
      </c>
      <c r="C135" t="s">
        <v>216</v>
      </c>
      <c r="D135" t="s">
        <v>154</v>
      </c>
      <c r="E135" t="b">
        <v>0</v>
      </c>
      <c r="F135" t="b">
        <v>0</v>
      </c>
    </row>
    <row r="136" spans="1:7" x14ac:dyDescent="0.25">
      <c r="A136" t="str">
        <f t="shared" ca="1" si="2"/>
        <v>b3050000420004_nsoadditionalinfoinfo_system_id</v>
      </c>
      <c r="B136" t="s">
        <v>238</v>
      </c>
      <c r="C136" t="s">
        <v>217</v>
      </c>
      <c r="D136" t="s">
        <v>205</v>
      </c>
      <c r="E136" t="b">
        <v>0</v>
      </c>
      <c r="F136" t="b">
        <v>0</v>
      </c>
    </row>
    <row r="137" spans="1:7" x14ac:dyDescent="0.25">
      <c r="A137" t="str">
        <f t="shared" ca="1" si="2"/>
        <v>b3050000420004_nsoadditionalinfoinfo_system_inst_cd</v>
      </c>
      <c r="B137" t="s">
        <v>238</v>
      </c>
      <c r="C137" t="s">
        <v>218</v>
      </c>
      <c r="D137" t="s">
        <v>157</v>
      </c>
      <c r="E137" t="b">
        <v>0</v>
      </c>
      <c r="F137" t="b">
        <v>0</v>
      </c>
    </row>
    <row r="138" spans="1:7" x14ac:dyDescent="0.25">
      <c r="A138" t="str">
        <f t="shared" ca="1" si="2"/>
        <v>b3050000420004_nsoadditionalinfoinfo_system_type_cd</v>
      </c>
      <c r="B138" t="s">
        <v>238</v>
      </c>
      <c r="C138" t="s">
        <v>219</v>
      </c>
      <c r="D138" t="s">
        <v>157</v>
      </c>
      <c r="E138" t="b">
        <v>0</v>
      </c>
      <c r="F138" t="b">
        <v>0</v>
      </c>
    </row>
    <row r="139" spans="1:7" x14ac:dyDescent="0.25">
      <c r="A139" t="str">
        <f t="shared" ca="1" si="2"/>
        <v>b3050000420004_nsoadditionalinfoinput_file_id</v>
      </c>
      <c r="B139" t="s">
        <v>238</v>
      </c>
      <c r="C139" t="s">
        <v>220</v>
      </c>
      <c r="D139" t="s">
        <v>205</v>
      </c>
      <c r="E139" t="b">
        <v>0</v>
      </c>
      <c r="F139" t="b">
        <v>0</v>
      </c>
    </row>
    <row r="140" spans="1:7" x14ac:dyDescent="0.25">
      <c r="A140" t="str">
        <f t="shared" ca="1" si="2"/>
        <v>b3050000420004_nsoadditionalinfoinput_package_id</v>
      </c>
      <c r="B140" t="s">
        <v>238</v>
      </c>
      <c r="C140" t="s">
        <v>221</v>
      </c>
      <c r="D140" t="s">
        <v>205</v>
      </c>
      <c r="E140" t="b">
        <v>0</v>
      </c>
      <c r="F140" t="b">
        <v>0</v>
      </c>
    </row>
    <row r="141" spans="1:7" x14ac:dyDescent="0.25">
      <c r="A141" s="2" t="str">
        <f t="shared" ca="1" si="2"/>
        <v>b3050000420004_nsoadditionalinfoworkflow_run_id</v>
      </c>
      <c r="B141" s="2" t="s">
        <v>238</v>
      </c>
      <c r="C141" s="2" t="s">
        <v>222</v>
      </c>
      <c r="D141" s="2" t="s">
        <v>205</v>
      </c>
      <c r="E141" s="2" t="b">
        <v>0</v>
      </c>
      <c r="F141" s="2" t="b">
        <v>0</v>
      </c>
      <c r="G141" s="2"/>
    </row>
    <row r="142" spans="1:7" s="2" customFormat="1" x14ac:dyDescent="0.25">
      <c r="A142" t="str">
        <f t="shared" ca="1" si="2"/>
        <v>b3050000420005_paymentdetailsaggregateroot_id</v>
      </c>
      <c r="B142" t="s">
        <v>248</v>
      </c>
      <c r="C142" t="s">
        <v>233</v>
      </c>
      <c r="D142" t="s">
        <v>157</v>
      </c>
      <c r="E142" t="b">
        <v>0</v>
      </c>
      <c r="F142" t="b">
        <v>0</v>
      </c>
      <c r="G142" t="s">
        <v>519</v>
      </c>
    </row>
    <row r="143" spans="1:7" x14ac:dyDescent="0.25">
      <c r="A143" t="str">
        <f t="shared" ca="1" si="2"/>
        <v>b3050000420005_paymentdetailsamount</v>
      </c>
      <c r="B143" t="s">
        <v>248</v>
      </c>
      <c r="C143" t="s">
        <v>249</v>
      </c>
      <c r="D143" t="s">
        <v>250</v>
      </c>
      <c r="E143" t="b">
        <v>0</v>
      </c>
      <c r="F143" t="b">
        <v>0</v>
      </c>
      <c r="G143" t="s">
        <v>531</v>
      </c>
    </row>
    <row r="144" spans="1:7" x14ac:dyDescent="0.25">
      <c r="A144" t="str">
        <f t="shared" ca="1" si="2"/>
        <v>b3050000420005_paymentdetailsamountrub</v>
      </c>
      <c r="B144" t="s">
        <v>248</v>
      </c>
      <c r="C144" t="s">
        <v>251</v>
      </c>
      <c r="D144" t="s">
        <v>250</v>
      </c>
      <c r="E144" t="b">
        <v>0</v>
      </c>
      <c r="F144" t="b">
        <v>0</v>
      </c>
      <c r="G144" t="s">
        <v>532</v>
      </c>
    </row>
    <row r="145" spans="1:7" x14ac:dyDescent="0.25">
      <c r="A145" t="str">
        <f t="shared" ca="1" si="2"/>
        <v>b3050000420005_paymentdetailscurrencycode</v>
      </c>
      <c r="B145" t="s">
        <v>248</v>
      </c>
      <c r="C145" t="s">
        <v>252</v>
      </c>
      <c r="D145" t="s">
        <v>157</v>
      </c>
      <c r="E145" t="b">
        <v>0</v>
      </c>
      <c r="F145" t="b">
        <v>0</v>
      </c>
      <c r="G145" t="s">
        <v>533</v>
      </c>
    </row>
    <row r="146" spans="1:7" x14ac:dyDescent="0.25">
      <c r="A146" t="str">
        <f t="shared" ca="1" si="2"/>
        <v>b3050000420005_paymentdetailscurrencycode_uid</v>
      </c>
      <c r="B146" t="s">
        <v>248</v>
      </c>
      <c r="C146" t="s">
        <v>253</v>
      </c>
      <c r="D146" t="s">
        <v>160</v>
      </c>
      <c r="E146" t="b">
        <v>0</v>
      </c>
      <c r="F146" t="b">
        <v>0</v>
      </c>
    </row>
    <row r="147" spans="1:7" x14ac:dyDescent="0.25">
      <c r="A147" t="str">
        <f t="shared" ca="1" si="2"/>
        <v>b3050000420005_paymentdetailsdocumentnumber</v>
      </c>
      <c r="B147" t="s">
        <v>248</v>
      </c>
      <c r="C147" t="s">
        <v>254</v>
      </c>
      <c r="D147" t="s">
        <v>157</v>
      </c>
      <c r="E147" t="b">
        <v>0</v>
      </c>
      <c r="F147" t="b">
        <v>0</v>
      </c>
      <c r="G147" t="s">
        <v>534</v>
      </c>
    </row>
    <row r="148" spans="1:7" x14ac:dyDescent="0.25">
      <c r="A148" t="str">
        <f t="shared" ca="1" si="2"/>
        <v>b3050000420005_paymentdetailsdocumenttype</v>
      </c>
      <c r="B148" t="s">
        <v>248</v>
      </c>
      <c r="C148" t="s">
        <v>255</v>
      </c>
      <c r="D148" t="s">
        <v>157</v>
      </c>
      <c r="E148" t="b">
        <v>0</v>
      </c>
      <c r="F148" t="b">
        <v>0</v>
      </c>
      <c r="G148" t="s">
        <v>535</v>
      </c>
    </row>
    <row r="149" spans="1:7" x14ac:dyDescent="0.25">
      <c r="A149" t="str">
        <f t="shared" ca="1" si="2"/>
        <v>b3050000420005_paymentdetailsobject_id</v>
      </c>
      <c r="B149" t="s">
        <v>248</v>
      </c>
      <c r="C149" t="s">
        <v>179</v>
      </c>
      <c r="D149" t="s">
        <v>157</v>
      </c>
      <c r="E149" t="b">
        <v>1</v>
      </c>
      <c r="F149" t="b">
        <v>1</v>
      </c>
      <c r="G149" t="s">
        <v>485</v>
      </c>
    </row>
    <row r="150" spans="1:7" x14ac:dyDescent="0.25">
      <c r="A150" t="str">
        <f t="shared" ca="1" si="2"/>
        <v>b3050000420005_paymentdetailsobject_id_uid</v>
      </c>
      <c r="B150" t="s">
        <v>248</v>
      </c>
      <c r="C150" t="s">
        <v>180</v>
      </c>
      <c r="D150" t="s">
        <v>160</v>
      </c>
      <c r="E150" t="b">
        <v>0</v>
      </c>
      <c r="F150" t="b">
        <v>0</v>
      </c>
    </row>
    <row r="151" spans="1:7" x14ac:dyDescent="0.25">
      <c r="A151" t="str">
        <f t="shared" ca="1" si="2"/>
        <v>b3050000420005_paymentdetailsoffflag</v>
      </c>
      <c r="B151" t="s">
        <v>248</v>
      </c>
      <c r="C151" t="s">
        <v>181</v>
      </c>
      <c r="D151" t="s">
        <v>182</v>
      </c>
      <c r="E151" t="b">
        <v>0</v>
      </c>
      <c r="F151" t="b">
        <v>0</v>
      </c>
      <c r="G151" t="s">
        <v>486</v>
      </c>
    </row>
    <row r="152" spans="1:7" x14ac:dyDescent="0.25">
      <c r="A152" t="str">
        <f t="shared" ca="1" si="2"/>
        <v>b3050000420005_paymentdetailsoperationdto</v>
      </c>
      <c r="B152" t="s">
        <v>248</v>
      </c>
      <c r="C152" t="s">
        <v>256</v>
      </c>
      <c r="D152" t="s">
        <v>157</v>
      </c>
      <c r="E152" t="b">
        <v>0</v>
      </c>
      <c r="F152" t="b">
        <v>0</v>
      </c>
      <c r="G152" t="s">
        <v>536</v>
      </c>
    </row>
    <row r="153" spans="1:7" x14ac:dyDescent="0.25">
      <c r="A153" t="str">
        <f t="shared" ca="1" si="2"/>
        <v>b3050000420005_paymentdetailsoperationid</v>
      </c>
      <c r="B153" t="s">
        <v>248</v>
      </c>
      <c r="C153" t="s">
        <v>257</v>
      </c>
      <c r="D153" t="s">
        <v>157</v>
      </c>
      <c r="E153" t="b">
        <v>0</v>
      </c>
      <c r="F153" t="b">
        <v>0</v>
      </c>
      <c r="G153" t="s">
        <v>537</v>
      </c>
    </row>
    <row r="154" spans="1:7" x14ac:dyDescent="0.25">
      <c r="A154" t="str">
        <f t="shared" ca="1" si="2"/>
        <v>b3050000420005_paymentdetailsoperationtypecode</v>
      </c>
      <c r="B154" t="s">
        <v>248</v>
      </c>
      <c r="C154" t="s">
        <v>258</v>
      </c>
      <c r="D154" t="s">
        <v>157</v>
      </c>
      <c r="E154" t="b">
        <v>0</v>
      </c>
      <c r="F154" t="b">
        <v>0</v>
      </c>
      <c r="G154" t="s">
        <v>538</v>
      </c>
    </row>
    <row r="155" spans="1:7" x14ac:dyDescent="0.25">
      <c r="A155" t="str">
        <f t="shared" ca="1" si="2"/>
        <v>b3050000420005_paymentdetailsoperationtypecode_uid</v>
      </c>
      <c r="B155" t="s">
        <v>248</v>
      </c>
      <c r="C155" t="s">
        <v>259</v>
      </c>
      <c r="D155" t="s">
        <v>160</v>
      </c>
      <c r="E155" t="b">
        <v>0</v>
      </c>
      <c r="F155" t="b">
        <v>0</v>
      </c>
    </row>
    <row r="156" spans="1:7" x14ac:dyDescent="0.25">
      <c r="A156" t="str">
        <f t="shared" ca="1" si="2"/>
        <v>b3050000420005_paymentdetailspaymentdocid</v>
      </c>
      <c r="B156" t="s">
        <v>248</v>
      </c>
      <c r="C156" t="s">
        <v>260</v>
      </c>
      <c r="D156" t="s">
        <v>157</v>
      </c>
      <c r="E156" t="b">
        <v>0</v>
      </c>
      <c r="F156" t="b">
        <v>0</v>
      </c>
      <c r="G156" t="s">
        <v>539</v>
      </c>
    </row>
    <row r="157" spans="1:7" x14ac:dyDescent="0.25">
      <c r="A157" t="str">
        <f t="shared" ca="1" si="2"/>
        <v>b3050000420005_paymentdetailspriority</v>
      </c>
      <c r="B157" t="s">
        <v>248</v>
      </c>
      <c r="C157" t="s">
        <v>261</v>
      </c>
      <c r="D157" t="s">
        <v>157</v>
      </c>
      <c r="E157" t="b">
        <v>0</v>
      </c>
      <c r="F157" t="b">
        <v>0</v>
      </c>
      <c r="G157" t="s">
        <v>540</v>
      </c>
    </row>
    <row r="158" spans="1:7" x14ac:dyDescent="0.25">
      <c r="A158" t="str">
        <f t="shared" ca="1" si="2"/>
        <v>b3050000420005_paymentdetailspurpose</v>
      </c>
      <c r="B158" t="s">
        <v>248</v>
      </c>
      <c r="C158" t="s">
        <v>262</v>
      </c>
      <c r="D158" t="s">
        <v>157</v>
      </c>
      <c r="E158" t="b">
        <v>0</v>
      </c>
      <c r="F158" t="b">
        <v>0</v>
      </c>
      <c r="G158" t="s">
        <v>541</v>
      </c>
    </row>
    <row r="159" spans="1:7" x14ac:dyDescent="0.25">
      <c r="A159" t="str">
        <f t="shared" ca="1" si="2"/>
        <v>b3050000420005_paymentdetailsreceivermoduleid</v>
      </c>
      <c r="B159" t="s">
        <v>248</v>
      </c>
      <c r="C159" t="s">
        <v>263</v>
      </c>
      <c r="D159" t="s">
        <v>157</v>
      </c>
      <c r="E159" t="b">
        <v>0</v>
      </c>
      <c r="F159" t="b">
        <v>0</v>
      </c>
      <c r="G159" t="s">
        <v>542</v>
      </c>
    </row>
    <row r="160" spans="1:7" x14ac:dyDescent="0.25">
      <c r="A160" t="str">
        <f t="shared" ca="1" si="2"/>
        <v>b3050000420005_paymentdetailsregisterid</v>
      </c>
      <c r="B160" t="s">
        <v>248</v>
      </c>
      <c r="C160" t="s">
        <v>264</v>
      </c>
      <c r="D160" t="s">
        <v>157</v>
      </c>
      <c r="E160" t="b">
        <v>0</v>
      </c>
      <c r="F160" t="b">
        <v>0</v>
      </c>
      <c r="G160" t="s">
        <v>543</v>
      </c>
    </row>
    <row r="161" spans="1:7" x14ac:dyDescent="0.25">
      <c r="A161" t="str">
        <f t="shared" ca="1" si="2"/>
        <v>b3050000420005_paymentdetailsregisterid_uid</v>
      </c>
      <c r="B161" t="s">
        <v>248</v>
      </c>
      <c r="C161" t="s">
        <v>265</v>
      </c>
      <c r="D161" t="s">
        <v>160</v>
      </c>
      <c r="E161" t="b">
        <v>0</v>
      </c>
      <c r="F161" t="b">
        <v>0</v>
      </c>
    </row>
    <row r="162" spans="1:7" x14ac:dyDescent="0.25">
      <c r="A162" t="str">
        <f t="shared" ca="1" si="2"/>
        <v>b3050000420005_paymentdetailsrequestid</v>
      </c>
      <c r="B162" t="s">
        <v>248</v>
      </c>
      <c r="C162" t="s">
        <v>266</v>
      </c>
      <c r="D162" t="s">
        <v>157</v>
      </c>
      <c r="E162" t="b">
        <v>0</v>
      </c>
      <c r="F162" t="b">
        <v>0</v>
      </c>
      <c r="G162" t="s">
        <v>544</v>
      </c>
    </row>
    <row r="163" spans="1:7" x14ac:dyDescent="0.25">
      <c r="A163" t="str">
        <f t="shared" ca="1" si="2"/>
        <v>b3050000420005_paymentdetailsserviceid</v>
      </c>
      <c r="B163" t="s">
        <v>248</v>
      </c>
      <c r="C163" t="s">
        <v>267</v>
      </c>
      <c r="D163" t="s">
        <v>157</v>
      </c>
      <c r="E163" t="b">
        <v>0</v>
      </c>
      <c r="F163" t="b">
        <v>0</v>
      </c>
      <c r="G163" t="s">
        <v>545</v>
      </c>
    </row>
    <row r="164" spans="1:7" x14ac:dyDescent="0.25">
      <c r="A164" t="str">
        <f t="shared" ca="1" si="2"/>
        <v>b3050000420005_paymentdetailssys_lastchangedate</v>
      </c>
      <c r="B164" t="s">
        <v>248</v>
      </c>
      <c r="C164" t="s">
        <v>203</v>
      </c>
      <c r="D164" t="s">
        <v>154</v>
      </c>
      <c r="E164" t="b">
        <v>0</v>
      </c>
      <c r="F164" t="b">
        <v>0</v>
      </c>
      <c r="G164" t="s">
        <v>505</v>
      </c>
    </row>
    <row r="165" spans="1:7" x14ac:dyDescent="0.25">
      <c r="A165" t="str">
        <f t="shared" ca="1" si="2"/>
        <v>b3050000420005_paymentdetailstaxdetailstype</v>
      </c>
      <c r="B165" t="s">
        <v>248</v>
      </c>
      <c r="C165" t="s">
        <v>268</v>
      </c>
      <c r="D165" t="s">
        <v>157</v>
      </c>
      <c r="E165" t="b">
        <v>0</v>
      </c>
      <c r="F165" t="b">
        <v>0</v>
      </c>
      <c r="G165" t="s">
        <v>546</v>
      </c>
    </row>
    <row r="166" spans="1:7" x14ac:dyDescent="0.25">
      <c r="A166" t="str">
        <f t="shared" ca="1" si="2"/>
        <v>b3050000420005_paymentdetailstechnicalservice_id</v>
      </c>
      <c r="B166" t="s">
        <v>248</v>
      </c>
      <c r="C166" t="s">
        <v>269</v>
      </c>
      <c r="D166" t="s">
        <v>157</v>
      </c>
      <c r="E166" t="b">
        <v>0</v>
      </c>
      <c r="F166" t="b">
        <v>0</v>
      </c>
    </row>
    <row r="167" spans="1:7" x14ac:dyDescent="0.25">
      <c r="A167" t="str">
        <f t="shared" ca="1" si="2"/>
        <v>b3050000420005_paymentdetailstechnicalservice_id_uid</v>
      </c>
      <c r="B167" t="s">
        <v>248</v>
      </c>
      <c r="C167" t="s">
        <v>270</v>
      </c>
      <c r="D167" t="s">
        <v>160</v>
      </c>
      <c r="E167" t="b">
        <v>0</v>
      </c>
      <c r="F167" t="b">
        <v>0</v>
      </c>
    </row>
    <row r="168" spans="1:7" x14ac:dyDescent="0.25">
      <c r="A168" t="str">
        <f t="shared" ca="1" si="2"/>
        <v>b3050000420005_paymentdetailstype</v>
      </c>
      <c r="B168" t="s">
        <v>248</v>
      </c>
      <c r="C168" t="s">
        <v>208</v>
      </c>
      <c r="D168" t="s">
        <v>157</v>
      </c>
      <c r="E168" t="b">
        <v>0</v>
      </c>
      <c r="F168" t="b">
        <v>0</v>
      </c>
      <c r="G168" t="s">
        <v>509</v>
      </c>
    </row>
    <row r="169" spans="1:7" x14ac:dyDescent="0.25">
      <c r="A169" t="str">
        <f t="shared" ca="1" si="2"/>
        <v>b3050000420005_paymentdetailsuin</v>
      </c>
      <c r="B169" t="s">
        <v>248</v>
      </c>
      <c r="C169" t="s">
        <v>271</v>
      </c>
      <c r="D169" t="s">
        <v>157</v>
      </c>
      <c r="E169" t="b">
        <v>0</v>
      </c>
      <c r="F169" t="b">
        <v>0</v>
      </c>
      <c r="G169" t="s">
        <v>547</v>
      </c>
    </row>
    <row r="170" spans="1:7" x14ac:dyDescent="0.25">
      <c r="A170" t="str">
        <f t="shared" ca="1" si="2"/>
        <v>b3050000420005_paymentdetailsvaluedate</v>
      </c>
      <c r="B170" t="s">
        <v>248</v>
      </c>
      <c r="C170" t="s">
        <v>213</v>
      </c>
      <c r="D170" t="s">
        <v>154</v>
      </c>
      <c r="E170" t="b">
        <v>0</v>
      </c>
      <c r="F170" t="b">
        <v>0</v>
      </c>
      <c r="G170" t="s">
        <v>513</v>
      </c>
    </row>
    <row r="171" spans="1:7" x14ac:dyDescent="0.25">
      <c r="A171" t="str">
        <f t="shared" ca="1" si="2"/>
        <v>b3050000420005_paymentdetailsctl_action</v>
      </c>
      <c r="B171" t="s">
        <v>248</v>
      </c>
      <c r="C171" t="s">
        <v>214</v>
      </c>
      <c r="D171" t="s">
        <v>157</v>
      </c>
      <c r="E171" t="b">
        <v>0</v>
      </c>
      <c r="F171" t="b">
        <v>0</v>
      </c>
    </row>
    <row r="172" spans="1:7" x14ac:dyDescent="0.25">
      <c r="A172" t="str">
        <f t="shared" ca="1" si="2"/>
        <v>b3050000420005_paymentdetailsctl_loading</v>
      </c>
      <c r="B172" t="s">
        <v>248</v>
      </c>
      <c r="C172" t="s">
        <v>215</v>
      </c>
      <c r="D172" t="s">
        <v>205</v>
      </c>
      <c r="E172" t="b">
        <v>0</v>
      </c>
      <c r="F172" t="b">
        <v>0</v>
      </c>
    </row>
    <row r="173" spans="1:7" x14ac:dyDescent="0.25">
      <c r="A173" t="str">
        <f t="shared" ca="1" si="2"/>
        <v>b3050000420005_paymentdetailsctl_validfrom</v>
      </c>
      <c r="B173" t="s">
        <v>248</v>
      </c>
      <c r="C173" t="s">
        <v>216</v>
      </c>
      <c r="D173" t="s">
        <v>154</v>
      </c>
      <c r="E173" t="b">
        <v>0</v>
      </c>
      <c r="F173" t="b">
        <v>0</v>
      </c>
    </row>
    <row r="174" spans="1:7" x14ac:dyDescent="0.25">
      <c r="A174" t="str">
        <f t="shared" ca="1" si="2"/>
        <v>b3050000420005_paymentdetailsinfo_system_id</v>
      </c>
      <c r="B174" t="s">
        <v>248</v>
      </c>
      <c r="C174" t="s">
        <v>217</v>
      </c>
      <c r="D174" t="s">
        <v>205</v>
      </c>
      <c r="E174" t="b">
        <v>0</v>
      </c>
      <c r="F174" t="b">
        <v>0</v>
      </c>
    </row>
    <row r="175" spans="1:7" x14ac:dyDescent="0.25">
      <c r="A175" t="str">
        <f t="shared" ca="1" si="2"/>
        <v>b3050000420005_paymentdetailsinfo_system_inst_cd</v>
      </c>
      <c r="B175" t="s">
        <v>248</v>
      </c>
      <c r="C175" t="s">
        <v>218</v>
      </c>
      <c r="D175" t="s">
        <v>157</v>
      </c>
      <c r="E175" t="b">
        <v>0</v>
      </c>
      <c r="F175" t="b">
        <v>0</v>
      </c>
    </row>
    <row r="176" spans="1:7" x14ac:dyDescent="0.25">
      <c r="A176" t="str">
        <f t="shared" ca="1" si="2"/>
        <v>b3050000420005_paymentdetailsinfo_system_type_cd</v>
      </c>
      <c r="B176" t="s">
        <v>248</v>
      </c>
      <c r="C176" t="s">
        <v>219</v>
      </c>
      <c r="D176" t="s">
        <v>157</v>
      </c>
      <c r="E176" t="b">
        <v>0</v>
      </c>
      <c r="F176" t="b">
        <v>0</v>
      </c>
    </row>
    <row r="177" spans="1:7" x14ac:dyDescent="0.25">
      <c r="A177" t="str">
        <f t="shared" ca="1" si="2"/>
        <v>b3050000420005_paymentdetailsinput_file_id</v>
      </c>
      <c r="B177" t="s">
        <v>248</v>
      </c>
      <c r="C177" t="s">
        <v>220</v>
      </c>
      <c r="D177" t="s">
        <v>205</v>
      </c>
      <c r="E177" t="b">
        <v>0</v>
      </c>
      <c r="F177" t="b">
        <v>0</v>
      </c>
    </row>
    <row r="178" spans="1:7" x14ac:dyDescent="0.25">
      <c r="A178" t="str">
        <f t="shared" ca="1" si="2"/>
        <v>b3050000420005_paymentdetailsinput_package_id</v>
      </c>
      <c r="B178" t="s">
        <v>248</v>
      </c>
      <c r="C178" t="s">
        <v>221</v>
      </c>
      <c r="D178" t="s">
        <v>205</v>
      </c>
      <c r="E178" t="b">
        <v>0</v>
      </c>
      <c r="F178" t="b">
        <v>0</v>
      </c>
    </row>
    <row r="179" spans="1:7" x14ac:dyDescent="0.25">
      <c r="A179" s="2" t="str">
        <f t="shared" ca="1" si="2"/>
        <v>b3050000420005_paymentdetailsworkflow_run_id</v>
      </c>
      <c r="B179" s="2" t="s">
        <v>248</v>
      </c>
      <c r="C179" s="2" t="s">
        <v>222</v>
      </c>
      <c r="D179" s="2" t="s">
        <v>205</v>
      </c>
      <c r="E179" s="2" t="b">
        <v>0</v>
      </c>
      <c r="F179" s="2" t="b">
        <v>0</v>
      </c>
      <c r="G179" s="2"/>
    </row>
    <row r="180" spans="1:7" s="2" customFormat="1" x14ac:dyDescent="0.25">
      <c r="A180" t="str">
        <f t="shared" ca="1" si="2"/>
        <v>b3050000420006_paymentperiodaggregateroot_id</v>
      </c>
      <c r="B180" t="s">
        <v>272</v>
      </c>
      <c r="C180" t="s">
        <v>233</v>
      </c>
      <c r="D180" t="s">
        <v>157</v>
      </c>
      <c r="E180" t="b">
        <v>0</v>
      </c>
      <c r="F180" t="b">
        <v>0</v>
      </c>
      <c r="G180" t="s">
        <v>519</v>
      </c>
    </row>
    <row r="181" spans="1:7" x14ac:dyDescent="0.25">
      <c r="A181" t="str">
        <f t="shared" ca="1" si="2"/>
        <v>b3050000420006_paymentperiodcode</v>
      </c>
      <c r="B181" t="s">
        <v>272</v>
      </c>
      <c r="C181" t="s">
        <v>273</v>
      </c>
      <c r="D181" t="s">
        <v>157</v>
      </c>
      <c r="E181" t="b">
        <v>0</v>
      </c>
      <c r="F181" t="b">
        <v>0</v>
      </c>
      <c r="G181" t="s">
        <v>548</v>
      </c>
    </row>
    <row r="182" spans="1:7" x14ac:dyDescent="0.25">
      <c r="A182" t="str">
        <f t="shared" ca="1" si="2"/>
        <v>b3050000420006_paymentperiodname</v>
      </c>
      <c r="B182" t="s">
        <v>272</v>
      </c>
      <c r="C182" t="s">
        <v>274</v>
      </c>
      <c r="D182" t="s">
        <v>157</v>
      </c>
      <c r="E182" t="b">
        <v>0</v>
      </c>
      <c r="F182" t="b">
        <v>0</v>
      </c>
      <c r="G182" t="s">
        <v>549</v>
      </c>
    </row>
    <row r="183" spans="1:7" x14ac:dyDescent="0.25">
      <c r="A183" t="str">
        <f t="shared" ca="1" si="2"/>
        <v>b3050000420006_paymentperiodobject_id</v>
      </c>
      <c r="B183" t="s">
        <v>272</v>
      </c>
      <c r="C183" t="s">
        <v>179</v>
      </c>
      <c r="D183" t="s">
        <v>157</v>
      </c>
      <c r="E183" t="b">
        <v>1</v>
      </c>
      <c r="F183" t="b">
        <v>1</v>
      </c>
      <c r="G183" t="s">
        <v>485</v>
      </c>
    </row>
    <row r="184" spans="1:7" x14ac:dyDescent="0.25">
      <c r="A184" t="str">
        <f t="shared" ca="1" si="2"/>
        <v>b3050000420006_paymentperiodobject_id_uid</v>
      </c>
      <c r="B184" t="s">
        <v>272</v>
      </c>
      <c r="C184" t="s">
        <v>180</v>
      </c>
      <c r="D184" t="s">
        <v>160</v>
      </c>
      <c r="E184" t="b">
        <v>0</v>
      </c>
      <c r="F184" t="b">
        <v>0</v>
      </c>
    </row>
    <row r="185" spans="1:7" x14ac:dyDescent="0.25">
      <c r="A185" t="str">
        <f t="shared" ca="1" si="2"/>
        <v>b3050000420006_paymentperiodtype</v>
      </c>
      <c r="B185" t="s">
        <v>272</v>
      </c>
      <c r="C185" t="s">
        <v>208</v>
      </c>
      <c r="D185" t="s">
        <v>157</v>
      </c>
      <c r="E185" t="b">
        <v>0</v>
      </c>
      <c r="F185" t="b">
        <v>0</v>
      </c>
      <c r="G185" t="s">
        <v>509</v>
      </c>
    </row>
    <row r="186" spans="1:7" x14ac:dyDescent="0.25">
      <c r="A186" t="str">
        <f t="shared" ca="1" si="2"/>
        <v>b3050000420006_paymentperiodctl_action</v>
      </c>
      <c r="B186" t="s">
        <v>272</v>
      </c>
      <c r="C186" t="s">
        <v>214</v>
      </c>
      <c r="D186" t="s">
        <v>157</v>
      </c>
      <c r="E186" t="b">
        <v>0</v>
      </c>
      <c r="F186" t="b">
        <v>0</v>
      </c>
    </row>
    <row r="187" spans="1:7" x14ac:dyDescent="0.25">
      <c r="A187" t="str">
        <f t="shared" ca="1" si="2"/>
        <v>b3050000420006_paymentperiodctl_loading</v>
      </c>
      <c r="B187" t="s">
        <v>272</v>
      </c>
      <c r="C187" t="s">
        <v>215</v>
      </c>
      <c r="D187" t="s">
        <v>205</v>
      </c>
      <c r="E187" t="b">
        <v>0</v>
      </c>
      <c r="F187" t="b">
        <v>0</v>
      </c>
    </row>
    <row r="188" spans="1:7" x14ac:dyDescent="0.25">
      <c r="A188" t="str">
        <f t="shared" ca="1" si="2"/>
        <v>b3050000420006_paymentperiodctl_validfrom</v>
      </c>
      <c r="B188" t="s">
        <v>272</v>
      </c>
      <c r="C188" t="s">
        <v>216</v>
      </c>
      <c r="D188" t="s">
        <v>154</v>
      </c>
      <c r="E188" t="b">
        <v>0</v>
      </c>
      <c r="F188" t="b">
        <v>0</v>
      </c>
    </row>
    <row r="189" spans="1:7" x14ac:dyDescent="0.25">
      <c r="A189" t="str">
        <f t="shared" ca="1" si="2"/>
        <v>b3050000420006_paymentperiodinfo_system_id</v>
      </c>
      <c r="B189" t="s">
        <v>272</v>
      </c>
      <c r="C189" t="s">
        <v>217</v>
      </c>
      <c r="D189" t="s">
        <v>205</v>
      </c>
      <c r="E189" t="b">
        <v>0</v>
      </c>
      <c r="F189" t="b">
        <v>0</v>
      </c>
    </row>
    <row r="190" spans="1:7" x14ac:dyDescent="0.25">
      <c r="A190" t="str">
        <f t="shared" ca="1" si="2"/>
        <v>b3050000420006_paymentperiodinfo_system_inst_cd</v>
      </c>
      <c r="B190" t="s">
        <v>272</v>
      </c>
      <c r="C190" t="s">
        <v>218</v>
      </c>
      <c r="D190" t="s">
        <v>157</v>
      </c>
      <c r="E190" t="b">
        <v>0</v>
      </c>
      <c r="F190" t="b">
        <v>0</v>
      </c>
    </row>
    <row r="191" spans="1:7" x14ac:dyDescent="0.25">
      <c r="A191" t="str">
        <f t="shared" ca="1" si="2"/>
        <v>b3050000420006_paymentperiodinfo_system_type_cd</v>
      </c>
      <c r="B191" t="s">
        <v>272</v>
      </c>
      <c r="C191" t="s">
        <v>219</v>
      </c>
      <c r="D191" t="s">
        <v>157</v>
      </c>
      <c r="E191" t="b">
        <v>0</v>
      </c>
      <c r="F191" t="b">
        <v>0</v>
      </c>
    </row>
    <row r="192" spans="1:7" x14ac:dyDescent="0.25">
      <c r="A192" t="str">
        <f t="shared" ca="1" si="2"/>
        <v>b3050000420006_paymentperiodinput_file_id</v>
      </c>
      <c r="B192" t="s">
        <v>272</v>
      </c>
      <c r="C192" t="s">
        <v>220</v>
      </c>
      <c r="D192" t="s">
        <v>205</v>
      </c>
      <c r="E192" t="b">
        <v>0</v>
      </c>
      <c r="F192" t="b">
        <v>0</v>
      </c>
    </row>
    <row r="193" spans="1:7" x14ac:dyDescent="0.25">
      <c r="A193" t="str">
        <f t="shared" ca="1" si="2"/>
        <v>b3050000420006_paymentperiodinput_package_id</v>
      </c>
      <c r="B193" t="s">
        <v>272</v>
      </c>
      <c r="C193" t="s">
        <v>221</v>
      </c>
      <c r="D193" t="s">
        <v>205</v>
      </c>
      <c r="E193" t="b">
        <v>0</v>
      </c>
      <c r="F193" t="b">
        <v>0</v>
      </c>
    </row>
    <row r="194" spans="1:7" x14ac:dyDescent="0.25">
      <c r="A194" s="2" t="str">
        <f t="shared" ref="A194:A257" ca="1" si="3">INDIRECT("R[0]C[1]",0)&amp;INDIRECT("R[0]C[2]",0)</f>
        <v>b3050000420006_paymentperiodworkflow_run_id</v>
      </c>
      <c r="B194" s="2" t="s">
        <v>272</v>
      </c>
      <c r="C194" s="2" t="s">
        <v>222</v>
      </c>
      <c r="D194" s="2" t="s">
        <v>205</v>
      </c>
      <c r="E194" s="2" t="b">
        <v>0</v>
      </c>
      <c r="F194" s="2" t="b">
        <v>0</v>
      </c>
      <c r="G194" s="2"/>
    </row>
    <row r="195" spans="1:7" s="2" customFormat="1" x14ac:dyDescent="0.25">
      <c r="A195" t="str">
        <f t="shared" ca="1" si="3"/>
        <v>b3050000420007_productagreement_entityid</v>
      </c>
      <c r="B195" t="s">
        <v>275</v>
      </c>
      <c r="C195" t="s">
        <v>276</v>
      </c>
      <c r="D195" t="s">
        <v>157</v>
      </c>
      <c r="E195" t="b">
        <v>0</v>
      </c>
      <c r="F195" t="b">
        <v>0</v>
      </c>
      <c r="G195" t="s">
        <v>468</v>
      </c>
    </row>
    <row r="196" spans="1:7" x14ac:dyDescent="0.25">
      <c r="A196" t="str">
        <f t="shared" ca="1" si="3"/>
        <v>b3050000420007_productagreement_entityid_uid</v>
      </c>
      <c r="B196" t="s">
        <v>275</v>
      </c>
      <c r="C196" t="s">
        <v>277</v>
      </c>
      <c r="D196" t="s">
        <v>160</v>
      </c>
      <c r="E196" t="b">
        <v>0</v>
      </c>
      <c r="F196" t="b">
        <v>0</v>
      </c>
    </row>
    <row r="197" spans="1:7" x14ac:dyDescent="0.25">
      <c r="A197" t="str">
        <f t="shared" ca="1" si="3"/>
        <v>b3050000420007_productamount</v>
      </c>
      <c r="B197" t="s">
        <v>275</v>
      </c>
      <c r="C197" t="s">
        <v>249</v>
      </c>
      <c r="D197" t="s">
        <v>250</v>
      </c>
      <c r="E197" t="b">
        <v>0</v>
      </c>
      <c r="F197" t="b">
        <v>0</v>
      </c>
      <c r="G197" t="s">
        <v>531</v>
      </c>
    </row>
    <row r="198" spans="1:7" x14ac:dyDescent="0.25">
      <c r="A198" t="str">
        <f t="shared" ca="1" si="3"/>
        <v>b3050000420007_productbegindate</v>
      </c>
      <c r="B198" t="s">
        <v>275</v>
      </c>
      <c r="C198" t="s">
        <v>225</v>
      </c>
      <c r="D198" t="s">
        <v>154</v>
      </c>
      <c r="E198" t="b">
        <v>0</v>
      </c>
      <c r="F198" t="b">
        <v>0</v>
      </c>
      <c r="G198" t="s">
        <v>550</v>
      </c>
    </row>
    <row r="199" spans="1:7" x14ac:dyDescent="0.25">
      <c r="A199" t="str">
        <f t="shared" ca="1" si="3"/>
        <v>b3050000420007_productclient_entityid</v>
      </c>
      <c r="B199" t="s">
        <v>275</v>
      </c>
      <c r="C199" t="s">
        <v>167</v>
      </c>
      <c r="D199" t="s">
        <v>157</v>
      </c>
      <c r="E199" t="b">
        <v>0</v>
      </c>
      <c r="F199" t="b">
        <v>0</v>
      </c>
      <c r="G199" t="s">
        <v>473</v>
      </c>
    </row>
    <row r="200" spans="1:7" x14ac:dyDescent="0.25">
      <c r="A200" t="str">
        <f t="shared" ca="1" si="3"/>
        <v>b3050000420007_productclient_entityid_uid</v>
      </c>
      <c r="B200" t="s">
        <v>275</v>
      </c>
      <c r="C200" t="s">
        <v>227</v>
      </c>
      <c r="D200" t="s">
        <v>160</v>
      </c>
      <c r="E200" t="b">
        <v>0</v>
      </c>
      <c r="F200" t="b">
        <v>0</v>
      </c>
    </row>
    <row r="201" spans="1:7" x14ac:dyDescent="0.25">
      <c r="A201" t="str">
        <f t="shared" ca="1" si="3"/>
        <v>b3050000420007_productclientversion</v>
      </c>
      <c r="B201" t="s">
        <v>275</v>
      </c>
      <c r="C201" t="s">
        <v>168</v>
      </c>
      <c r="D201" t="s">
        <v>157</v>
      </c>
      <c r="E201" t="b">
        <v>0</v>
      </c>
      <c r="F201" t="b">
        <v>0</v>
      </c>
      <c r="G201" t="s">
        <v>474</v>
      </c>
    </row>
    <row r="202" spans="1:7" x14ac:dyDescent="0.25">
      <c r="A202" t="str">
        <f t="shared" ca="1" si="3"/>
        <v>b3050000420007_productclosedate</v>
      </c>
      <c r="B202" t="s">
        <v>275</v>
      </c>
      <c r="C202" t="s">
        <v>228</v>
      </c>
      <c r="D202" t="s">
        <v>154</v>
      </c>
      <c r="E202" t="b">
        <v>0</v>
      </c>
      <c r="F202" t="b">
        <v>0</v>
      </c>
      <c r="G202" t="s">
        <v>551</v>
      </c>
    </row>
    <row r="203" spans="1:7" x14ac:dyDescent="0.25">
      <c r="A203" t="str">
        <f t="shared" ca="1" si="3"/>
        <v>b3050000420007_productcontractbegindate</v>
      </c>
      <c r="B203" t="s">
        <v>275</v>
      </c>
      <c r="C203" t="s">
        <v>278</v>
      </c>
      <c r="D203" t="s">
        <v>154</v>
      </c>
      <c r="E203" t="b">
        <v>0</v>
      </c>
      <c r="F203" t="b">
        <v>0</v>
      </c>
      <c r="G203" t="s">
        <v>552</v>
      </c>
    </row>
    <row r="204" spans="1:7" x14ac:dyDescent="0.25">
      <c r="A204" t="str">
        <f t="shared" ca="1" si="3"/>
        <v>b3050000420007_productcontractground_id</v>
      </c>
      <c r="B204" t="s">
        <v>275</v>
      </c>
      <c r="C204" t="s">
        <v>279</v>
      </c>
      <c r="D204" t="s">
        <v>157</v>
      </c>
      <c r="E204" t="b">
        <v>0</v>
      </c>
      <c r="F204" t="b">
        <v>0</v>
      </c>
      <c r="G204" t="s">
        <v>553</v>
      </c>
    </row>
    <row r="205" spans="1:7" x14ac:dyDescent="0.25">
      <c r="A205" t="str">
        <f t="shared" ca="1" si="3"/>
        <v>b3050000420007_productcreatedate</v>
      </c>
      <c r="B205" t="s">
        <v>275</v>
      </c>
      <c r="C205" t="s">
        <v>169</v>
      </c>
      <c r="D205" t="s">
        <v>154</v>
      </c>
      <c r="E205" t="b">
        <v>0</v>
      </c>
      <c r="F205" t="b">
        <v>0</v>
      </c>
      <c r="G205" t="s">
        <v>554</v>
      </c>
    </row>
    <row r="206" spans="1:7" x14ac:dyDescent="0.25">
      <c r="A206" t="str">
        <f t="shared" ca="1" si="3"/>
        <v>b3050000420007_productcurrencycode</v>
      </c>
      <c r="B206" t="s">
        <v>275</v>
      </c>
      <c r="C206" t="s">
        <v>252</v>
      </c>
      <c r="D206" t="s">
        <v>157</v>
      </c>
      <c r="E206" t="b">
        <v>0</v>
      </c>
      <c r="F206" t="b">
        <v>0</v>
      </c>
      <c r="G206" t="s">
        <v>533</v>
      </c>
    </row>
    <row r="207" spans="1:7" x14ac:dyDescent="0.25">
      <c r="A207" t="str">
        <f t="shared" ca="1" si="3"/>
        <v>b3050000420007_productcurrencycode_uid</v>
      </c>
      <c r="B207" t="s">
        <v>275</v>
      </c>
      <c r="C207" t="s">
        <v>253</v>
      </c>
      <c r="D207" t="s">
        <v>160</v>
      </c>
      <c r="E207" t="b">
        <v>0</v>
      </c>
      <c r="F207" t="b">
        <v>0</v>
      </c>
    </row>
    <row r="208" spans="1:7" x14ac:dyDescent="0.25">
      <c r="A208" t="str">
        <f t="shared" ca="1" si="3"/>
        <v>b3050000420007_productdepartment_entityid</v>
      </c>
      <c r="B208" t="s">
        <v>275</v>
      </c>
      <c r="C208" t="s">
        <v>170</v>
      </c>
      <c r="D208" t="s">
        <v>157</v>
      </c>
      <c r="E208" t="b">
        <v>0</v>
      </c>
      <c r="F208" t="b">
        <v>0</v>
      </c>
      <c r="G208" t="s">
        <v>476</v>
      </c>
    </row>
    <row r="209" spans="1:7" x14ac:dyDescent="0.25">
      <c r="A209" t="str">
        <f t="shared" ca="1" si="3"/>
        <v>b3050000420007_productdivisioncode</v>
      </c>
      <c r="B209" t="s">
        <v>275</v>
      </c>
      <c r="C209" t="s">
        <v>172</v>
      </c>
      <c r="D209" t="s">
        <v>157</v>
      </c>
      <c r="E209" t="b">
        <v>0</v>
      </c>
      <c r="F209" t="b">
        <v>0</v>
      </c>
      <c r="G209" t="s">
        <v>478</v>
      </c>
    </row>
    <row r="210" spans="1:7" x14ac:dyDescent="0.25">
      <c r="A210" t="str">
        <f t="shared" ca="1" si="3"/>
        <v>b3050000420007_productdivisioncode_uid</v>
      </c>
      <c r="B210" t="s">
        <v>275</v>
      </c>
      <c r="C210" s="3" t="s">
        <v>229</v>
      </c>
      <c r="D210" t="s">
        <v>160</v>
      </c>
      <c r="E210" t="b">
        <v>0</v>
      </c>
      <c r="F210" t="b">
        <v>0</v>
      </c>
    </row>
    <row r="211" spans="1:7" x14ac:dyDescent="0.25">
      <c r="A211" t="str">
        <f t="shared" ca="1" si="3"/>
        <v>b3050000420007_productduration</v>
      </c>
      <c r="B211" t="s">
        <v>275</v>
      </c>
      <c r="C211" t="s">
        <v>280</v>
      </c>
      <c r="D211" t="s">
        <v>250</v>
      </c>
      <c r="E211" t="b">
        <v>0</v>
      </c>
      <c r="F211" t="b">
        <v>0</v>
      </c>
      <c r="G211" t="s">
        <v>555</v>
      </c>
    </row>
    <row r="212" spans="1:7" x14ac:dyDescent="0.25">
      <c r="A212" t="str">
        <f t="shared" ca="1" si="3"/>
        <v>b3050000420007_productenddate</v>
      </c>
      <c r="B212" t="s">
        <v>275</v>
      </c>
      <c r="C212" t="s">
        <v>174</v>
      </c>
      <c r="D212" t="s">
        <v>154</v>
      </c>
      <c r="E212" t="b">
        <v>0</v>
      </c>
      <c r="F212" t="b">
        <v>0</v>
      </c>
      <c r="G212" t="s">
        <v>556</v>
      </c>
    </row>
    <row r="213" spans="1:7" x14ac:dyDescent="0.25">
      <c r="A213" t="str">
        <f t="shared" ca="1" si="3"/>
        <v>b3050000420007_productgoldproduct</v>
      </c>
      <c r="B213" t="s">
        <v>275</v>
      </c>
      <c r="C213" t="s">
        <v>281</v>
      </c>
      <c r="D213" t="s">
        <v>164</v>
      </c>
      <c r="E213" t="b">
        <v>0</v>
      </c>
      <c r="F213" t="b">
        <v>0</v>
      </c>
      <c r="G213" t="s">
        <v>557</v>
      </c>
    </row>
    <row r="214" spans="1:7" x14ac:dyDescent="0.25">
      <c r="A214" t="str">
        <f t="shared" ca="1" si="3"/>
        <v>b3050000420007_productgoldproductremovedate</v>
      </c>
      <c r="B214" t="s">
        <v>275</v>
      </c>
      <c r="C214" t="s">
        <v>282</v>
      </c>
      <c r="D214" t="s">
        <v>154</v>
      </c>
      <c r="E214" t="b">
        <v>0</v>
      </c>
      <c r="F214" t="b">
        <v>0</v>
      </c>
      <c r="G214" t="s">
        <v>558</v>
      </c>
    </row>
    <row r="215" spans="1:7" x14ac:dyDescent="0.25">
      <c r="A215" t="str">
        <f t="shared" ca="1" si="3"/>
        <v>b3050000420007_productisresident</v>
      </c>
      <c r="B215" t="s">
        <v>275</v>
      </c>
      <c r="C215" t="s">
        <v>283</v>
      </c>
      <c r="D215" t="s">
        <v>164</v>
      </c>
      <c r="E215" t="b">
        <v>0</v>
      </c>
      <c r="F215" t="b">
        <v>0</v>
      </c>
      <c r="G215" t="s">
        <v>559</v>
      </c>
    </row>
    <row r="216" spans="1:7" x14ac:dyDescent="0.25">
      <c r="A216" t="str">
        <f t="shared" ca="1" si="3"/>
        <v>b3050000420007_productnotes</v>
      </c>
      <c r="B216" t="s">
        <v>275</v>
      </c>
      <c r="C216" t="s">
        <v>284</v>
      </c>
      <c r="D216" t="s">
        <v>157</v>
      </c>
      <c r="E216" t="b">
        <v>0</v>
      </c>
      <c r="F216" t="b">
        <v>0</v>
      </c>
      <c r="G216" t="s">
        <v>560</v>
      </c>
    </row>
    <row r="217" spans="1:7" x14ac:dyDescent="0.25">
      <c r="A217" t="str">
        <f t="shared" ca="1" si="3"/>
        <v>b3050000420007_productobject_id</v>
      </c>
      <c r="B217" t="s">
        <v>275</v>
      </c>
      <c r="C217" t="s">
        <v>179</v>
      </c>
      <c r="D217" t="s">
        <v>157</v>
      </c>
      <c r="E217" t="b">
        <v>1</v>
      </c>
      <c r="F217" t="b">
        <v>1</v>
      </c>
      <c r="G217" t="s">
        <v>485</v>
      </c>
    </row>
    <row r="218" spans="1:7" x14ac:dyDescent="0.25">
      <c r="A218" t="str">
        <f t="shared" ca="1" si="3"/>
        <v>b3050000420007_productobject_id_uid</v>
      </c>
      <c r="B218" t="s">
        <v>275</v>
      </c>
      <c r="C218" t="s">
        <v>180</v>
      </c>
      <c r="D218" t="s">
        <v>160</v>
      </c>
      <c r="E218" t="b">
        <v>0</v>
      </c>
      <c r="F218" t="b">
        <v>0</v>
      </c>
    </row>
    <row r="219" spans="1:7" x14ac:dyDescent="0.25">
      <c r="A219" t="str">
        <f t="shared" ca="1" si="3"/>
        <v>b3050000420007_productoffflag</v>
      </c>
      <c r="B219" t="s">
        <v>275</v>
      </c>
      <c r="C219" t="s">
        <v>181</v>
      </c>
      <c r="D219" t="s">
        <v>182</v>
      </c>
      <c r="E219" t="b">
        <v>0</v>
      </c>
      <c r="F219" t="b">
        <v>0</v>
      </c>
      <c r="G219" t="s">
        <v>486</v>
      </c>
    </row>
    <row r="220" spans="1:7" x14ac:dyDescent="0.25">
      <c r="A220" t="str">
        <f t="shared" ca="1" si="3"/>
        <v>b3050000420007_productpaymentperiod_id</v>
      </c>
      <c r="B220" t="s">
        <v>275</v>
      </c>
      <c r="C220" t="s">
        <v>285</v>
      </c>
      <c r="D220" t="s">
        <v>157</v>
      </c>
      <c r="E220" t="b">
        <v>0</v>
      </c>
      <c r="F220" t="b">
        <v>0</v>
      </c>
      <c r="G220" t="s">
        <v>436</v>
      </c>
    </row>
    <row r="221" spans="1:7" x14ac:dyDescent="0.25">
      <c r="A221" t="str">
        <f t="shared" ca="1" si="3"/>
        <v>b3050000420007_productpaymentperiod_id_uid</v>
      </c>
      <c r="B221" t="s">
        <v>275</v>
      </c>
      <c r="C221" t="s">
        <v>286</v>
      </c>
      <c r="D221" t="s">
        <v>160</v>
      </c>
      <c r="E221" t="b">
        <v>0</v>
      </c>
      <c r="F221" t="b">
        <v>0</v>
      </c>
    </row>
    <row r="222" spans="1:7" x14ac:dyDescent="0.25">
      <c r="A222" t="str">
        <f t="shared" ca="1" si="3"/>
        <v>b3050000420007_productproductkind_id</v>
      </c>
      <c r="B222" t="s">
        <v>275</v>
      </c>
      <c r="C222" t="s">
        <v>287</v>
      </c>
      <c r="D222" t="s">
        <v>157</v>
      </c>
      <c r="E222" t="b">
        <v>0</v>
      </c>
      <c r="F222" t="b">
        <v>0</v>
      </c>
      <c r="G222" t="s">
        <v>561</v>
      </c>
    </row>
    <row r="223" spans="1:7" x14ac:dyDescent="0.25">
      <c r="A223" t="str">
        <f t="shared" ca="1" si="3"/>
        <v>b3050000420007_productproductkind_id_uid</v>
      </c>
      <c r="B223" t="s">
        <v>275</v>
      </c>
      <c r="C223" t="s">
        <v>288</v>
      </c>
      <c r="D223" t="s">
        <v>160</v>
      </c>
      <c r="E223" t="b">
        <v>0</v>
      </c>
      <c r="F223" t="b">
        <v>0</v>
      </c>
    </row>
    <row r="224" spans="1:7" x14ac:dyDescent="0.25">
      <c r="A224" t="str">
        <f t="shared" ca="1" si="3"/>
        <v>b3050000420007_productproductnumber</v>
      </c>
      <c r="B224" t="s">
        <v>275</v>
      </c>
      <c r="C224" t="s">
        <v>289</v>
      </c>
      <c r="D224" t="s">
        <v>157</v>
      </c>
      <c r="E224" t="b">
        <v>0</v>
      </c>
      <c r="F224" t="b">
        <v>0</v>
      </c>
      <c r="G224" t="s">
        <v>562</v>
      </c>
    </row>
    <row r="225" spans="1:7" x14ac:dyDescent="0.25">
      <c r="A225" t="str">
        <f t="shared" ca="1" si="3"/>
        <v>b3050000420007_productproductrate_entityid</v>
      </c>
      <c r="B225" t="s">
        <v>275</v>
      </c>
      <c r="C225" t="s">
        <v>290</v>
      </c>
      <c r="D225" t="s">
        <v>157</v>
      </c>
      <c r="E225" t="b">
        <v>0</v>
      </c>
      <c r="F225" t="b">
        <v>0</v>
      </c>
      <c r="G225" t="s">
        <v>563</v>
      </c>
    </row>
    <row r="226" spans="1:7" x14ac:dyDescent="0.25">
      <c r="A226" t="str">
        <f t="shared" ca="1" si="3"/>
        <v>b3050000420007_productproducttaxrate_entityid</v>
      </c>
      <c r="B226" t="s">
        <v>275</v>
      </c>
      <c r="C226" t="s">
        <v>291</v>
      </c>
      <c r="D226" t="s">
        <v>157</v>
      </c>
      <c r="E226" t="b">
        <v>0</v>
      </c>
      <c r="F226" t="b">
        <v>0</v>
      </c>
      <c r="G226" t="s">
        <v>563</v>
      </c>
    </row>
    <row r="227" spans="1:7" x14ac:dyDescent="0.25">
      <c r="A227" t="str">
        <f t="shared" ca="1" si="3"/>
        <v>b3050000420007_productproducttype</v>
      </c>
      <c r="B227" t="s">
        <v>275</v>
      </c>
      <c r="C227" t="s">
        <v>292</v>
      </c>
      <c r="D227" t="s">
        <v>157</v>
      </c>
      <c r="E227" t="b">
        <v>0</v>
      </c>
      <c r="F227" t="b">
        <v>0</v>
      </c>
      <c r="G227" t="s">
        <v>564</v>
      </c>
    </row>
    <row r="228" spans="1:7" x14ac:dyDescent="0.25">
      <c r="A228" t="str">
        <f t="shared" ca="1" si="3"/>
        <v>b3050000420007_productproducttype_uid</v>
      </c>
      <c r="B228" t="s">
        <v>275</v>
      </c>
      <c r="C228" t="s">
        <v>293</v>
      </c>
      <c r="D228" t="s">
        <v>160</v>
      </c>
      <c r="E228" t="b">
        <v>0</v>
      </c>
      <c r="F228" t="b">
        <v>0</v>
      </c>
    </row>
    <row r="229" spans="1:7" x14ac:dyDescent="0.25">
      <c r="A229" t="str">
        <f t="shared" ca="1" si="3"/>
        <v>b3050000420007_productrate_entityid</v>
      </c>
      <c r="B229" t="s">
        <v>275</v>
      </c>
      <c r="C229" t="s">
        <v>294</v>
      </c>
      <c r="D229" t="s">
        <v>157</v>
      </c>
      <c r="E229" t="b">
        <v>0</v>
      </c>
      <c r="F229" t="b">
        <v>0</v>
      </c>
      <c r="G229" t="s">
        <v>563</v>
      </c>
    </row>
    <row r="230" spans="1:7" x14ac:dyDescent="0.25">
      <c r="A230" t="str">
        <f t="shared" ca="1" si="3"/>
        <v>b3050000420007_productstatusfordul_watcher_id</v>
      </c>
      <c r="B230" t="s">
        <v>275</v>
      </c>
      <c r="C230" t="s">
        <v>198</v>
      </c>
      <c r="D230" t="s">
        <v>157</v>
      </c>
      <c r="E230" t="b">
        <v>0</v>
      </c>
      <c r="F230" t="b">
        <v>0</v>
      </c>
      <c r="G230" t="s">
        <v>501</v>
      </c>
    </row>
    <row r="231" spans="1:7" x14ac:dyDescent="0.25">
      <c r="A231" t="str">
        <f t="shared" ca="1" si="3"/>
        <v>b3050000420007_productstatusfordul_watcher_id_uid</v>
      </c>
      <c r="B231" t="s">
        <v>275</v>
      </c>
      <c r="C231" t="s">
        <v>199</v>
      </c>
      <c r="D231" t="s">
        <v>160</v>
      </c>
      <c r="E231" t="b">
        <v>0</v>
      </c>
      <c r="F231" t="b">
        <v>0</v>
      </c>
    </row>
    <row r="232" spans="1:7" x14ac:dyDescent="0.25">
      <c r="A232" t="str">
        <f t="shared" ca="1" si="3"/>
        <v>b3050000420007_productstatusreasonfordul_watcher</v>
      </c>
      <c r="B232" t="s">
        <v>275</v>
      </c>
      <c r="C232" t="s">
        <v>200</v>
      </c>
      <c r="D232" t="s">
        <v>157</v>
      </c>
      <c r="E232" t="b">
        <v>0</v>
      </c>
      <c r="F232" t="b">
        <v>0</v>
      </c>
      <c r="G232" t="s">
        <v>502</v>
      </c>
    </row>
    <row r="233" spans="1:7" x14ac:dyDescent="0.25">
      <c r="A233" t="str">
        <f t="shared" ca="1" si="3"/>
        <v>b3050000420007_productsys_lastchangedate</v>
      </c>
      <c r="B233" t="s">
        <v>275</v>
      </c>
      <c r="C233" t="s">
        <v>203</v>
      </c>
      <c r="D233" t="s">
        <v>154</v>
      </c>
      <c r="E233" t="b">
        <v>0</v>
      </c>
      <c r="F233" t="b">
        <v>0</v>
      </c>
      <c r="G233" t="s">
        <v>505</v>
      </c>
    </row>
    <row r="234" spans="1:7" x14ac:dyDescent="0.25">
      <c r="A234" t="str">
        <f t="shared" ca="1" si="3"/>
        <v>b3050000420007_producttaxrate_entityid</v>
      </c>
      <c r="B234" t="s">
        <v>275</v>
      </c>
      <c r="C234" t="s">
        <v>295</v>
      </c>
      <c r="D234" t="s">
        <v>157</v>
      </c>
      <c r="E234" t="b">
        <v>0</v>
      </c>
      <c r="F234" t="b">
        <v>0</v>
      </c>
      <c r="G234" t="s">
        <v>565</v>
      </c>
    </row>
    <row r="235" spans="1:7" x14ac:dyDescent="0.25">
      <c r="A235" t="str">
        <f t="shared" ca="1" si="3"/>
        <v>b3050000420007_producttbcode</v>
      </c>
      <c r="B235" t="s">
        <v>275</v>
      </c>
      <c r="C235" t="s">
        <v>207</v>
      </c>
      <c r="D235" t="s">
        <v>157</v>
      </c>
      <c r="E235" t="b">
        <v>0</v>
      </c>
      <c r="F235" t="b">
        <v>0</v>
      </c>
      <c r="G235" t="s">
        <v>508</v>
      </c>
    </row>
    <row r="236" spans="1:7" x14ac:dyDescent="0.25">
      <c r="A236" t="str">
        <f t="shared" ca="1" si="3"/>
        <v>b3050000420007_producttype</v>
      </c>
      <c r="B236" t="s">
        <v>275</v>
      </c>
      <c r="C236" t="s">
        <v>208</v>
      </c>
      <c r="D236" t="s">
        <v>157</v>
      </c>
      <c r="E236" t="b">
        <v>0</v>
      </c>
      <c r="F236" t="b">
        <v>0</v>
      </c>
      <c r="G236" t="s">
        <v>509</v>
      </c>
    </row>
    <row r="237" spans="1:7" x14ac:dyDescent="0.25">
      <c r="A237" t="str">
        <f t="shared" ca="1" si="3"/>
        <v>b3050000420007_productctl_action</v>
      </c>
      <c r="B237" t="s">
        <v>275</v>
      </c>
      <c r="C237" t="s">
        <v>214</v>
      </c>
      <c r="D237" t="s">
        <v>157</v>
      </c>
      <c r="E237" t="b">
        <v>0</v>
      </c>
      <c r="F237" t="b">
        <v>0</v>
      </c>
    </row>
    <row r="238" spans="1:7" x14ac:dyDescent="0.25">
      <c r="A238" t="str">
        <f t="shared" ca="1" si="3"/>
        <v>b3050000420007_productctl_loading</v>
      </c>
      <c r="B238" t="s">
        <v>275</v>
      </c>
      <c r="C238" t="s">
        <v>215</v>
      </c>
      <c r="D238" t="s">
        <v>205</v>
      </c>
      <c r="E238" t="b">
        <v>0</v>
      </c>
      <c r="F238" t="b">
        <v>0</v>
      </c>
    </row>
    <row r="239" spans="1:7" x14ac:dyDescent="0.25">
      <c r="A239" t="str">
        <f t="shared" ca="1" si="3"/>
        <v>b3050000420007_productctl_validfrom</v>
      </c>
      <c r="B239" t="s">
        <v>275</v>
      </c>
      <c r="C239" t="s">
        <v>216</v>
      </c>
      <c r="D239" t="s">
        <v>154</v>
      </c>
      <c r="E239" t="b">
        <v>0</v>
      </c>
      <c r="F239" t="b">
        <v>0</v>
      </c>
    </row>
    <row r="240" spans="1:7" x14ac:dyDescent="0.25">
      <c r="A240" t="str">
        <f t="shared" ca="1" si="3"/>
        <v>b3050000420007_productinfo_system_id</v>
      </c>
      <c r="B240" t="s">
        <v>275</v>
      </c>
      <c r="C240" t="s">
        <v>217</v>
      </c>
      <c r="D240" t="s">
        <v>205</v>
      </c>
      <c r="E240" t="b">
        <v>0</v>
      </c>
      <c r="F240" t="b">
        <v>0</v>
      </c>
    </row>
    <row r="241" spans="1:7" x14ac:dyDescent="0.25">
      <c r="A241" t="str">
        <f t="shared" ca="1" si="3"/>
        <v>b3050000420007_productinfo_system_inst_cd</v>
      </c>
      <c r="B241" t="s">
        <v>275</v>
      </c>
      <c r="C241" t="s">
        <v>218</v>
      </c>
      <c r="D241" t="s">
        <v>157</v>
      </c>
      <c r="E241" t="b">
        <v>0</v>
      </c>
      <c r="F241" t="b">
        <v>0</v>
      </c>
    </row>
    <row r="242" spans="1:7" x14ac:dyDescent="0.25">
      <c r="A242" t="str">
        <f t="shared" ca="1" si="3"/>
        <v>b3050000420007_productinfo_system_type_cd</v>
      </c>
      <c r="B242" t="s">
        <v>275</v>
      </c>
      <c r="C242" t="s">
        <v>219</v>
      </c>
      <c r="D242" t="s">
        <v>157</v>
      </c>
      <c r="E242" t="b">
        <v>0</v>
      </c>
      <c r="F242" t="b">
        <v>0</v>
      </c>
    </row>
    <row r="243" spans="1:7" x14ac:dyDescent="0.25">
      <c r="A243" t="str">
        <f t="shared" ca="1" si="3"/>
        <v>b3050000420007_productinput_file_id</v>
      </c>
      <c r="B243" t="s">
        <v>275</v>
      </c>
      <c r="C243" t="s">
        <v>220</v>
      </c>
      <c r="D243" t="s">
        <v>205</v>
      </c>
      <c r="E243" t="b">
        <v>0</v>
      </c>
      <c r="F243" t="b">
        <v>0</v>
      </c>
    </row>
    <row r="244" spans="1:7" x14ac:dyDescent="0.25">
      <c r="A244" t="str">
        <f t="shared" ca="1" si="3"/>
        <v>b3050000420007_productinput_package_id</v>
      </c>
      <c r="B244" t="s">
        <v>275</v>
      </c>
      <c r="C244" t="s">
        <v>221</v>
      </c>
      <c r="D244" t="s">
        <v>205</v>
      </c>
      <c r="E244" t="b">
        <v>0</v>
      </c>
      <c r="F244" t="b">
        <v>0</v>
      </c>
    </row>
    <row r="245" spans="1:7" x14ac:dyDescent="0.25">
      <c r="A245" s="2" t="str">
        <f t="shared" ca="1" si="3"/>
        <v>b3050000420007_productworkflow_run_id</v>
      </c>
      <c r="B245" s="2" t="s">
        <v>275</v>
      </c>
      <c r="C245" s="2" t="s">
        <v>222</v>
      </c>
      <c r="D245" s="2" t="s">
        <v>205</v>
      </c>
      <c r="E245" s="2" t="b">
        <v>0</v>
      </c>
      <c r="F245" s="2" t="b">
        <v>0</v>
      </c>
      <c r="G245" s="2"/>
    </row>
    <row r="246" spans="1:7" x14ac:dyDescent="0.25">
      <c r="A246" t="str">
        <f t="shared" ca="1" si="3"/>
        <v>b3050000420008_productkindaggregateroot_id</v>
      </c>
      <c r="B246" t="s">
        <v>296</v>
      </c>
      <c r="C246" t="s">
        <v>233</v>
      </c>
      <c r="D246" t="s">
        <v>157</v>
      </c>
      <c r="E246" t="b">
        <v>0</v>
      </c>
      <c r="F246" t="b">
        <v>0</v>
      </c>
      <c r="G246" t="s">
        <v>519</v>
      </c>
    </row>
    <row r="247" spans="1:7" s="2" customFormat="1" x14ac:dyDescent="0.25">
      <c r="A247" t="str">
        <f t="shared" ca="1" si="3"/>
        <v>b3050000420008_productkindcode</v>
      </c>
      <c r="B247" t="s">
        <v>296</v>
      </c>
      <c r="C247" t="s">
        <v>273</v>
      </c>
      <c r="D247" t="s">
        <v>157</v>
      </c>
      <c r="E247" t="b">
        <v>0</v>
      </c>
      <c r="F247" t="b">
        <v>0</v>
      </c>
      <c r="G247" t="s">
        <v>548</v>
      </c>
    </row>
    <row r="248" spans="1:7" x14ac:dyDescent="0.25">
      <c r="A248" t="str">
        <f t="shared" ca="1" si="3"/>
        <v>b3050000420008_productkindisreplenishable</v>
      </c>
      <c r="B248" t="s">
        <v>296</v>
      </c>
      <c r="C248" t="s">
        <v>297</v>
      </c>
      <c r="D248" t="s">
        <v>164</v>
      </c>
      <c r="E248" t="b">
        <v>0</v>
      </c>
      <c r="F248" t="b">
        <v>0</v>
      </c>
      <c r="G248" t="s">
        <v>566</v>
      </c>
    </row>
    <row r="249" spans="1:7" x14ac:dyDescent="0.25">
      <c r="A249" t="str">
        <f t="shared" ca="1" si="3"/>
        <v>b3050000420008_productkindisstructural</v>
      </c>
      <c r="B249" t="s">
        <v>296</v>
      </c>
      <c r="C249" t="s">
        <v>298</v>
      </c>
      <c r="D249" t="s">
        <v>164</v>
      </c>
      <c r="E249" t="b">
        <v>0</v>
      </c>
      <c r="F249" t="b">
        <v>0</v>
      </c>
      <c r="G249" t="s">
        <v>567</v>
      </c>
    </row>
    <row r="250" spans="1:7" x14ac:dyDescent="0.25">
      <c r="A250" t="str">
        <f t="shared" ca="1" si="3"/>
        <v>b3050000420008_productkindname</v>
      </c>
      <c r="B250" t="s">
        <v>296</v>
      </c>
      <c r="C250" t="s">
        <v>274</v>
      </c>
      <c r="D250" t="s">
        <v>157</v>
      </c>
      <c r="E250" t="b">
        <v>0</v>
      </c>
      <c r="F250" t="b">
        <v>0</v>
      </c>
      <c r="G250" t="s">
        <v>549</v>
      </c>
    </row>
    <row r="251" spans="1:7" x14ac:dyDescent="0.25">
      <c r="A251" t="str">
        <f t="shared" ca="1" si="3"/>
        <v>b3050000420008_productkindnumberdaysforreplenishment</v>
      </c>
      <c r="B251" t="s">
        <v>296</v>
      </c>
      <c r="C251" t="s">
        <v>299</v>
      </c>
      <c r="D251" t="s">
        <v>182</v>
      </c>
      <c r="E251" t="b">
        <v>0</v>
      </c>
      <c r="F251" t="b">
        <v>0</v>
      </c>
      <c r="G251" t="s">
        <v>568</v>
      </c>
    </row>
    <row r="252" spans="1:7" x14ac:dyDescent="0.25">
      <c r="A252" t="str">
        <f t="shared" ca="1" si="3"/>
        <v>b3050000420008_productkindobject_id</v>
      </c>
      <c r="B252" t="s">
        <v>296</v>
      </c>
      <c r="C252" t="s">
        <v>179</v>
      </c>
      <c r="D252" t="s">
        <v>157</v>
      </c>
      <c r="E252" t="b">
        <v>1</v>
      </c>
      <c r="F252" t="b">
        <v>1</v>
      </c>
      <c r="G252" t="s">
        <v>485</v>
      </c>
    </row>
    <row r="253" spans="1:7" x14ac:dyDescent="0.25">
      <c r="A253" t="str">
        <f t="shared" ca="1" si="3"/>
        <v>b3050000420008_productkindobject_id_uid</v>
      </c>
      <c r="B253" t="s">
        <v>296</v>
      </c>
      <c r="C253" t="s">
        <v>180</v>
      </c>
      <c r="D253" t="s">
        <v>160</v>
      </c>
      <c r="E253" t="b">
        <v>0</v>
      </c>
      <c r="F253" t="b">
        <v>0</v>
      </c>
    </row>
    <row r="254" spans="1:7" x14ac:dyDescent="0.25">
      <c r="A254" t="str">
        <f t="shared" ca="1" si="3"/>
        <v>b3050000420008_productkindtype</v>
      </c>
      <c r="B254" t="s">
        <v>296</v>
      </c>
      <c r="C254" t="s">
        <v>208</v>
      </c>
      <c r="D254" t="s">
        <v>157</v>
      </c>
      <c r="E254" t="b">
        <v>0</v>
      </c>
      <c r="F254" t="b">
        <v>0</v>
      </c>
      <c r="G254" t="s">
        <v>509</v>
      </c>
    </row>
    <row r="255" spans="1:7" x14ac:dyDescent="0.25">
      <c r="A255" t="str">
        <f t="shared" ca="1" si="3"/>
        <v>b3050000420008_productkindtypecondition</v>
      </c>
      <c r="B255" t="s">
        <v>296</v>
      </c>
      <c r="C255" t="s">
        <v>300</v>
      </c>
      <c r="D255" t="s">
        <v>157</v>
      </c>
      <c r="E255" t="b">
        <v>0</v>
      </c>
      <c r="F255" t="b">
        <v>0</v>
      </c>
      <c r="G255" t="s">
        <v>569</v>
      </c>
    </row>
    <row r="256" spans="1:7" x14ac:dyDescent="0.25">
      <c r="A256" t="str">
        <f t="shared" ca="1" si="3"/>
        <v>b3050000420008_productkindctl_action</v>
      </c>
      <c r="B256" t="s">
        <v>296</v>
      </c>
      <c r="C256" t="s">
        <v>214</v>
      </c>
      <c r="D256" t="s">
        <v>157</v>
      </c>
      <c r="E256" t="b">
        <v>0</v>
      </c>
      <c r="F256" t="b">
        <v>0</v>
      </c>
    </row>
    <row r="257" spans="1:7" x14ac:dyDescent="0.25">
      <c r="A257" t="str">
        <f t="shared" ca="1" si="3"/>
        <v>b3050000420008_productkindctl_loading</v>
      </c>
      <c r="B257" t="s">
        <v>296</v>
      </c>
      <c r="C257" t="s">
        <v>215</v>
      </c>
      <c r="D257" t="s">
        <v>205</v>
      </c>
      <c r="E257" t="b">
        <v>0</v>
      </c>
      <c r="F257" t="b">
        <v>0</v>
      </c>
    </row>
    <row r="258" spans="1:7" x14ac:dyDescent="0.25">
      <c r="A258" t="str">
        <f t="shared" ref="A258:A321" ca="1" si="4">INDIRECT("R[0]C[1]",0)&amp;INDIRECT("R[0]C[2]",0)</f>
        <v>b3050000420008_productkindctl_validfrom</v>
      </c>
      <c r="B258" t="s">
        <v>296</v>
      </c>
      <c r="C258" t="s">
        <v>216</v>
      </c>
      <c r="D258" t="s">
        <v>154</v>
      </c>
      <c r="E258" t="b">
        <v>0</v>
      </c>
      <c r="F258" t="b">
        <v>0</v>
      </c>
    </row>
    <row r="259" spans="1:7" x14ac:dyDescent="0.25">
      <c r="A259" t="str">
        <f t="shared" ca="1" si="4"/>
        <v>b3050000420008_productkindinfo_system_id</v>
      </c>
      <c r="B259" t="s">
        <v>296</v>
      </c>
      <c r="C259" t="s">
        <v>217</v>
      </c>
      <c r="D259" t="s">
        <v>205</v>
      </c>
      <c r="E259" t="b">
        <v>0</v>
      </c>
      <c r="F259" t="b">
        <v>0</v>
      </c>
    </row>
    <row r="260" spans="1:7" x14ac:dyDescent="0.25">
      <c r="A260" t="str">
        <f t="shared" ca="1" si="4"/>
        <v>b3050000420008_productkindinfo_system_inst_cd</v>
      </c>
      <c r="B260" t="s">
        <v>296</v>
      </c>
      <c r="C260" t="s">
        <v>218</v>
      </c>
      <c r="D260" t="s">
        <v>157</v>
      </c>
      <c r="E260" t="b">
        <v>0</v>
      </c>
      <c r="F260" t="b">
        <v>0</v>
      </c>
    </row>
    <row r="261" spans="1:7" x14ac:dyDescent="0.25">
      <c r="A261" t="str">
        <f t="shared" ca="1" si="4"/>
        <v>b3050000420008_productkindinfo_system_type_cd</v>
      </c>
      <c r="B261" t="s">
        <v>296</v>
      </c>
      <c r="C261" t="s">
        <v>219</v>
      </c>
      <c r="D261" t="s">
        <v>157</v>
      </c>
      <c r="E261" t="b">
        <v>0</v>
      </c>
      <c r="F261" t="b">
        <v>0</v>
      </c>
    </row>
    <row r="262" spans="1:7" x14ac:dyDescent="0.25">
      <c r="A262" t="str">
        <f t="shared" ca="1" si="4"/>
        <v>b3050000420008_productkindinput_file_id</v>
      </c>
      <c r="B262" t="s">
        <v>296</v>
      </c>
      <c r="C262" t="s">
        <v>220</v>
      </c>
      <c r="D262" t="s">
        <v>205</v>
      </c>
      <c r="E262" t="b">
        <v>0</v>
      </c>
      <c r="F262" t="b">
        <v>0</v>
      </c>
    </row>
    <row r="263" spans="1:7" x14ac:dyDescent="0.25">
      <c r="A263" t="str">
        <f t="shared" ca="1" si="4"/>
        <v>b3050000420008_productkindinput_package_id</v>
      </c>
      <c r="B263" t="s">
        <v>296</v>
      </c>
      <c r="C263" t="s">
        <v>221</v>
      </c>
      <c r="D263" t="s">
        <v>205</v>
      </c>
      <c r="E263" t="b">
        <v>0</v>
      </c>
      <c r="F263" t="b">
        <v>0</v>
      </c>
    </row>
    <row r="264" spans="1:7" x14ac:dyDescent="0.25">
      <c r="A264" s="2" t="str">
        <f t="shared" ca="1" si="4"/>
        <v>b3050000420008_productkindworkflow_run_id</v>
      </c>
      <c r="B264" s="2" t="s">
        <v>296</v>
      </c>
      <c r="C264" s="2" t="s">
        <v>222</v>
      </c>
      <c r="D264" s="2" t="s">
        <v>205</v>
      </c>
      <c r="E264" s="2" t="b">
        <v>0</v>
      </c>
      <c r="F264" s="2" t="b">
        <v>0</v>
      </c>
      <c r="G264" s="2"/>
    </row>
    <row r="265" spans="1:7" x14ac:dyDescent="0.25">
      <c r="A265" t="str">
        <f t="shared" ca="1" si="4"/>
        <v>b3050000420009_productlegacyadditionalinformationaggregateroot_id</v>
      </c>
      <c r="B265" t="s">
        <v>301</v>
      </c>
      <c r="C265" t="s">
        <v>233</v>
      </c>
      <c r="D265" t="s">
        <v>157</v>
      </c>
      <c r="E265" t="b">
        <v>0</v>
      </c>
      <c r="F265" t="b">
        <v>0</v>
      </c>
      <c r="G265" t="s">
        <v>519</v>
      </c>
    </row>
    <row r="266" spans="1:7" s="2" customFormat="1" x14ac:dyDescent="0.25">
      <c r="A266" t="str">
        <f t="shared" ca="1" si="4"/>
        <v>b3050000420009_productlegacyadditionalinformationisaccountsexistinlegacy</v>
      </c>
      <c r="B266" t="s">
        <v>301</v>
      </c>
      <c r="C266" t="s">
        <v>302</v>
      </c>
      <c r="D266" t="s">
        <v>164</v>
      </c>
      <c r="E266" t="b">
        <v>0</v>
      </c>
      <c r="F266" t="b">
        <v>0</v>
      </c>
      <c r="G266" t="s">
        <v>570</v>
      </c>
    </row>
    <row r="267" spans="1:7" x14ac:dyDescent="0.25">
      <c r="A267" t="str">
        <f t="shared" ca="1" si="4"/>
        <v>b3050000420009_productlegacyadditionalinformationisregistermigratedinlegacy</v>
      </c>
      <c r="B267" t="s">
        <v>301</v>
      </c>
      <c r="C267" t="s">
        <v>303</v>
      </c>
      <c r="D267" t="s">
        <v>164</v>
      </c>
      <c r="E267" t="b">
        <v>0</v>
      </c>
      <c r="F267" t="b">
        <v>0</v>
      </c>
      <c r="G267" t="s">
        <v>571</v>
      </c>
    </row>
    <row r="268" spans="1:7" x14ac:dyDescent="0.25">
      <c r="A268" t="str">
        <f t="shared" ca="1" si="4"/>
        <v>b3050000420009_productlegacyadditionalinformationisregisterupdatedinppc</v>
      </c>
      <c r="B268" t="s">
        <v>301</v>
      </c>
      <c r="C268" t="s">
        <v>304</v>
      </c>
      <c r="D268" t="s">
        <v>164</v>
      </c>
      <c r="E268" t="b">
        <v>0</v>
      </c>
      <c r="F268" t="b">
        <v>0</v>
      </c>
      <c r="G268" t="s">
        <v>572</v>
      </c>
    </row>
    <row r="269" spans="1:7" x14ac:dyDescent="0.25">
      <c r="A269" t="str">
        <f t="shared" ca="1" si="4"/>
        <v>b3050000420009_productlegacyadditionalinformationisupdatedinppc</v>
      </c>
      <c r="B269" t="s">
        <v>301</v>
      </c>
      <c r="C269" t="s">
        <v>305</v>
      </c>
      <c r="D269" t="s">
        <v>164</v>
      </c>
      <c r="E269" t="b">
        <v>0</v>
      </c>
      <c r="F269" t="b">
        <v>0</v>
      </c>
      <c r="G269" t="s">
        <v>573</v>
      </c>
    </row>
    <row r="270" spans="1:7" x14ac:dyDescent="0.25">
      <c r="A270" t="str">
        <f t="shared" ca="1" si="4"/>
        <v>b3050000420009_productlegacyadditionalinformationlegacyproductid</v>
      </c>
      <c r="B270" t="s">
        <v>301</v>
      </c>
      <c r="C270" t="s">
        <v>306</v>
      </c>
      <c r="D270" t="s">
        <v>157</v>
      </c>
      <c r="E270" t="b">
        <v>0</v>
      </c>
      <c r="F270" t="b">
        <v>0</v>
      </c>
      <c r="G270" t="s">
        <v>574</v>
      </c>
    </row>
    <row r="271" spans="1:7" x14ac:dyDescent="0.25">
      <c r="A271" t="str">
        <f t="shared" ca="1" si="4"/>
        <v>b3050000420009_productlegacyadditionalinformationobject_id</v>
      </c>
      <c r="B271" t="s">
        <v>301</v>
      </c>
      <c r="C271" t="s">
        <v>179</v>
      </c>
      <c r="D271" t="s">
        <v>157</v>
      </c>
      <c r="E271" t="b">
        <v>1</v>
      </c>
      <c r="F271" t="b">
        <v>1</v>
      </c>
      <c r="G271" t="s">
        <v>485</v>
      </c>
    </row>
    <row r="272" spans="1:7" x14ac:dyDescent="0.25">
      <c r="A272" t="str">
        <f t="shared" ca="1" si="4"/>
        <v>b3050000420009_productlegacyadditionalinformationoffflag</v>
      </c>
      <c r="B272" t="s">
        <v>301</v>
      </c>
      <c r="C272" t="s">
        <v>181</v>
      </c>
      <c r="D272" t="s">
        <v>182</v>
      </c>
      <c r="E272" t="b">
        <v>0</v>
      </c>
      <c r="F272" t="b">
        <v>0</v>
      </c>
      <c r="G272" t="s">
        <v>486</v>
      </c>
    </row>
    <row r="273" spans="1:7" x14ac:dyDescent="0.25">
      <c r="A273" t="str">
        <f t="shared" ca="1" si="4"/>
        <v>b3050000420009_productlegacyadditionalinformationproduct_id</v>
      </c>
      <c r="B273" t="s">
        <v>301</v>
      </c>
      <c r="C273" t="s">
        <v>245</v>
      </c>
      <c r="D273" t="s">
        <v>157</v>
      </c>
      <c r="E273" t="b">
        <v>0</v>
      </c>
      <c r="F273" t="b">
        <v>0</v>
      </c>
      <c r="G273" t="s">
        <v>575</v>
      </c>
    </row>
    <row r="274" spans="1:7" x14ac:dyDescent="0.25">
      <c r="A274" t="str">
        <f t="shared" ca="1" si="4"/>
        <v>b3050000420009_productlegacyadditionalinformationsys_lastchangedate</v>
      </c>
      <c r="B274" t="s">
        <v>301</v>
      </c>
      <c r="C274" t="s">
        <v>203</v>
      </c>
      <c r="D274" t="s">
        <v>154</v>
      </c>
      <c r="E274" t="b">
        <v>0</v>
      </c>
      <c r="F274" t="b">
        <v>0</v>
      </c>
      <c r="G274" t="s">
        <v>505</v>
      </c>
    </row>
    <row r="275" spans="1:7" x14ac:dyDescent="0.25">
      <c r="A275" t="str">
        <f t="shared" ca="1" si="4"/>
        <v>b3050000420009_productlegacyadditionalinformationtype</v>
      </c>
      <c r="B275" t="s">
        <v>301</v>
      </c>
      <c r="C275" t="s">
        <v>208</v>
      </c>
      <c r="D275" t="s">
        <v>157</v>
      </c>
      <c r="E275" t="b">
        <v>0</v>
      </c>
      <c r="F275" t="b">
        <v>0</v>
      </c>
      <c r="G275" t="s">
        <v>509</v>
      </c>
    </row>
    <row r="276" spans="1:7" x14ac:dyDescent="0.25">
      <c r="A276" t="str">
        <f t="shared" ca="1" si="4"/>
        <v>b3050000420009_productlegacyadditionalinformationctl_action</v>
      </c>
      <c r="B276" t="s">
        <v>301</v>
      </c>
      <c r="C276" t="s">
        <v>214</v>
      </c>
      <c r="D276" t="s">
        <v>157</v>
      </c>
      <c r="E276" t="b">
        <v>0</v>
      </c>
      <c r="F276" t="b">
        <v>0</v>
      </c>
    </row>
    <row r="277" spans="1:7" x14ac:dyDescent="0.25">
      <c r="A277" t="str">
        <f t="shared" ca="1" si="4"/>
        <v>b3050000420009_productlegacyadditionalinformationctl_loading</v>
      </c>
      <c r="B277" t="s">
        <v>301</v>
      </c>
      <c r="C277" t="s">
        <v>215</v>
      </c>
      <c r="D277" t="s">
        <v>205</v>
      </c>
      <c r="E277" t="b">
        <v>0</v>
      </c>
      <c r="F277" t="b">
        <v>0</v>
      </c>
    </row>
    <row r="278" spans="1:7" x14ac:dyDescent="0.25">
      <c r="A278" t="str">
        <f t="shared" ca="1" si="4"/>
        <v>b3050000420009_productlegacyadditionalinformationctl_validfrom</v>
      </c>
      <c r="B278" t="s">
        <v>301</v>
      </c>
      <c r="C278" t="s">
        <v>216</v>
      </c>
      <c r="D278" t="s">
        <v>154</v>
      </c>
      <c r="E278" t="b">
        <v>0</v>
      </c>
      <c r="F278" t="b">
        <v>0</v>
      </c>
    </row>
    <row r="279" spans="1:7" x14ac:dyDescent="0.25">
      <c r="A279" t="str">
        <f t="shared" ca="1" si="4"/>
        <v>b3050000420009_productlegacyadditionalinformationinfo_system_id</v>
      </c>
      <c r="B279" t="s">
        <v>301</v>
      </c>
      <c r="C279" t="s">
        <v>217</v>
      </c>
      <c r="D279" t="s">
        <v>205</v>
      </c>
      <c r="E279" t="b">
        <v>0</v>
      </c>
      <c r="F279" t="b">
        <v>0</v>
      </c>
    </row>
    <row r="280" spans="1:7" x14ac:dyDescent="0.25">
      <c r="A280" t="str">
        <f t="shared" ca="1" si="4"/>
        <v>b3050000420009_productlegacyadditionalinformationinfo_system_inst_cd</v>
      </c>
      <c r="B280" t="s">
        <v>301</v>
      </c>
      <c r="C280" t="s">
        <v>218</v>
      </c>
      <c r="D280" t="s">
        <v>157</v>
      </c>
      <c r="E280" t="b">
        <v>0</v>
      </c>
      <c r="F280" t="b">
        <v>0</v>
      </c>
    </row>
    <row r="281" spans="1:7" x14ac:dyDescent="0.25">
      <c r="A281" t="str">
        <f t="shared" ca="1" si="4"/>
        <v>b3050000420009_productlegacyadditionalinformationinfo_system_type_cd</v>
      </c>
      <c r="B281" t="s">
        <v>301</v>
      </c>
      <c r="C281" t="s">
        <v>219</v>
      </c>
      <c r="D281" t="s">
        <v>157</v>
      </c>
      <c r="E281" t="b">
        <v>0</v>
      </c>
      <c r="F281" t="b">
        <v>0</v>
      </c>
    </row>
    <row r="282" spans="1:7" x14ac:dyDescent="0.25">
      <c r="A282" t="str">
        <f t="shared" ca="1" si="4"/>
        <v>b3050000420009_productlegacyadditionalinformationinput_file_id</v>
      </c>
      <c r="B282" t="s">
        <v>301</v>
      </c>
      <c r="C282" t="s">
        <v>220</v>
      </c>
      <c r="D282" t="s">
        <v>205</v>
      </c>
      <c r="E282" t="b">
        <v>0</v>
      </c>
      <c r="F282" t="b">
        <v>0</v>
      </c>
    </row>
    <row r="283" spans="1:7" x14ac:dyDescent="0.25">
      <c r="A283" t="str">
        <f t="shared" ca="1" si="4"/>
        <v>b3050000420009_productlegacyadditionalinformationinput_package_id</v>
      </c>
      <c r="B283" t="s">
        <v>301</v>
      </c>
      <c r="C283" t="s">
        <v>221</v>
      </c>
      <c r="D283" t="s">
        <v>205</v>
      </c>
      <c r="E283" t="b">
        <v>0</v>
      </c>
      <c r="F283" t="b">
        <v>0</v>
      </c>
    </row>
    <row r="284" spans="1:7" x14ac:dyDescent="0.25">
      <c r="A284" s="2" t="str">
        <f t="shared" ca="1" si="4"/>
        <v>b3050000420009_productlegacyadditionalinformationworkflow_run_id</v>
      </c>
      <c r="B284" s="2" t="s">
        <v>301</v>
      </c>
      <c r="C284" s="2" t="s">
        <v>222</v>
      </c>
      <c r="D284" s="2" t="s">
        <v>205</v>
      </c>
      <c r="E284" s="2" t="b">
        <v>0</v>
      </c>
      <c r="F284" s="2" t="b">
        <v>0</v>
      </c>
      <c r="G284" s="2"/>
    </row>
    <row r="285" spans="1:7" x14ac:dyDescent="0.25">
      <c r="A285" t="str">
        <f t="shared" ca="1" si="4"/>
        <v>b3050000420010_productserviceamount</v>
      </c>
      <c r="B285" t="s">
        <v>307</v>
      </c>
      <c r="C285" t="s">
        <v>249</v>
      </c>
      <c r="D285" t="s">
        <v>250</v>
      </c>
      <c r="E285" t="b">
        <v>0</v>
      </c>
      <c r="F285" t="b">
        <v>0</v>
      </c>
      <c r="G285" t="s">
        <v>531</v>
      </c>
    </row>
    <row r="286" spans="1:7" s="2" customFormat="1" x14ac:dyDescent="0.25">
      <c r="A286" t="str">
        <f t="shared" ca="1" si="4"/>
        <v>b3050000420010_productservicebpminstanceid</v>
      </c>
      <c r="B286" t="s">
        <v>307</v>
      </c>
      <c r="C286" t="s">
        <v>162</v>
      </c>
      <c r="D286" t="s">
        <v>157</v>
      </c>
      <c r="E286" t="b">
        <v>0</v>
      </c>
      <c r="F286" t="b">
        <v>0</v>
      </c>
      <c r="G286" t="s">
        <v>470</v>
      </c>
    </row>
    <row r="287" spans="1:7" x14ac:dyDescent="0.25">
      <c r="A287" t="str">
        <f t="shared" ca="1" si="4"/>
        <v>b3050000420010_productservicechanneltype</v>
      </c>
      <c r="B287" t="s">
        <v>307</v>
      </c>
      <c r="C287" t="s">
        <v>165</v>
      </c>
      <c r="D287" t="s">
        <v>157</v>
      </c>
      <c r="E287" t="b">
        <v>0</v>
      </c>
      <c r="F287" t="b">
        <v>0</v>
      </c>
      <c r="G287" t="s">
        <v>472</v>
      </c>
    </row>
    <row r="288" spans="1:7" x14ac:dyDescent="0.25">
      <c r="A288" t="str">
        <f t="shared" ca="1" si="4"/>
        <v>b3050000420010_productservicechanneltype_uid</v>
      </c>
      <c r="B288" t="s">
        <v>307</v>
      </c>
      <c r="C288" t="s">
        <v>166</v>
      </c>
      <c r="D288" t="s">
        <v>160</v>
      </c>
      <c r="E288" t="b">
        <v>0</v>
      </c>
      <c r="F288" t="b">
        <v>0</v>
      </c>
    </row>
    <row r="289" spans="1:7" x14ac:dyDescent="0.25">
      <c r="A289" t="str">
        <f t="shared" ca="1" si="4"/>
        <v>b3050000420010_productservicecheckingaccountnumber</v>
      </c>
      <c r="B289" t="s">
        <v>307</v>
      </c>
      <c r="C289" t="s">
        <v>308</v>
      </c>
      <c r="D289" t="s">
        <v>157</v>
      </c>
      <c r="E289" t="b">
        <v>0</v>
      </c>
      <c r="F289" t="b">
        <v>0</v>
      </c>
      <c r="G289" t="s">
        <v>529</v>
      </c>
    </row>
    <row r="290" spans="1:7" x14ac:dyDescent="0.25">
      <c r="A290" t="str">
        <f t="shared" ca="1" si="4"/>
        <v>b3050000420010_productserviceclient_entityid</v>
      </c>
      <c r="B290" t="s">
        <v>307</v>
      </c>
      <c r="C290" t="s">
        <v>167</v>
      </c>
      <c r="D290" t="s">
        <v>157</v>
      </c>
      <c r="E290" t="b">
        <v>0</v>
      </c>
      <c r="F290" t="b">
        <v>0</v>
      </c>
      <c r="G290" t="s">
        <v>473</v>
      </c>
    </row>
    <row r="291" spans="1:7" x14ac:dyDescent="0.25">
      <c r="A291" t="str">
        <f t="shared" ca="1" si="4"/>
        <v>b3050000420010_productserviceclientversion</v>
      </c>
      <c r="B291" t="s">
        <v>307</v>
      </c>
      <c r="C291" t="s">
        <v>168</v>
      </c>
      <c r="D291" t="s">
        <v>157</v>
      </c>
      <c r="E291" t="b">
        <v>0</v>
      </c>
      <c r="F291" t="b">
        <v>0</v>
      </c>
      <c r="G291" t="s">
        <v>474</v>
      </c>
    </row>
    <row r="292" spans="1:7" x14ac:dyDescent="0.25">
      <c r="A292" t="str">
        <f t="shared" ca="1" si="4"/>
        <v>b3050000420010_productservicecontractdate</v>
      </c>
      <c r="B292" t="s">
        <v>307</v>
      </c>
      <c r="C292" t="s">
        <v>309</v>
      </c>
      <c r="D292" t="s">
        <v>154</v>
      </c>
      <c r="E292" t="b">
        <v>0</v>
      </c>
      <c r="F292" t="b">
        <v>0</v>
      </c>
      <c r="G292" t="s">
        <v>576</v>
      </c>
    </row>
    <row r="293" spans="1:7" x14ac:dyDescent="0.25">
      <c r="A293" t="str">
        <f t="shared" ca="1" si="4"/>
        <v>b3050000420010_productservicecontractground_id</v>
      </c>
      <c r="B293" t="s">
        <v>307</v>
      </c>
      <c r="C293" t="s">
        <v>279</v>
      </c>
      <c r="D293" t="s">
        <v>157</v>
      </c>
      <c r="E293" t="b">
        <v>0</v>
      </c>
      <c r="F293" t="b">
        <v>0</v>
      </c>
      <c r="G293" t="s">
        <v>553</v>
      </c>
    </row>
    <row r="294" spans="1:7" x14ac:dyDescent="0.25">
      <c r="A294" t="str">
        <f t="shared" ca="1" si="4"/>
        <v>b3050000420010_productservicecontractnumber</v>
      </c>
      <c r="B294" t="s">
        <v>307</v>
      </c>
      <c r="C294" t="s">
        <v>310</v>
      </c>
      <c r="D294" t="s">
        <v>157</v>
      </c>
      <c r="E294" t="b">
        <v>0</v>
      </c>
      <c r="F294" t="b">
        <v>0</v>
      </c>
      <c r="G294" t="s">
        <v>562</v>
      </c>
    </row>
    <row r="295" spans="1:7" x14ac:dyDescent="0.25">
      <c r="A295" t="str">
        <f t="shared" ca="1" si="4"/>
        <v>b3050000420010_productservicecreatedate</v>
      </c>
      <c r="B295" t="s">
        <v>307</v>
      </c>
      <c r="C295" t="s">
        <v>169</v>
      </c>
      <c r="D295" t="s">
        <v>154</v>
      </c>
      <c r="E295" t="b">
        <v>0</v>
      </c>
      <c r="F295" t="b">
        <v>0</v>
      </c>
      <c r="G295" t="s">
        <v>475</v>
      </c>
    </row>
    <row r="296" spans="1:7" x14ac:dyDescent="0.25">
      <c r="A296" t="str">
        <f t="shared" ca="1" si="4"/>
        <v>b3050000420010_productservicecurrencycode</v>
      </c>
      <c r="B296" t="s">
        <v>307</v>
      </c>
      <c r="C296" t="s">
        <v>252</v>
      </c>
      <c r="D296" t="s">
        <v>157</v>
      </c>
      <c r="E296" t="b">
        <v>0</v>
      </c>
      <c r="F296" t="b">
        <v>0</v>
      </c>
      <c r="G296" t="s">
        <v>533</v>
      </c>
    </row>
    <row r="297" spans="1:7" x14ac:dyDescent="0.25">
      <c r="A297" t="str">
        <f t="shared" ca="1" si="4"/>
        <v>b3050000420010_productservicedebitdate</v>
      </c>
      <c r="B297" t="s">
        <v>307</v>
      </c>
      <c r="C297" t="s">
        <v>311</v>
      </c>
      <c r="D297" t="s">
        <v>154</v>
      </c>
      <c r="E297" t="b">
        <v>0</v>
      </c>
      <c r="F297" t="b">
        <v>0</v>
      </c>
      <c r="G297" t="s">
        <v>577</v>
      </c>
    </row>
    <row r="298" spans="1:7" x14ac:dyDescent="0.25">
      <c r="A298" t="str">
        <f t="shared" ca="1" si="4"/>
        <v>b3050000420010_productservicedepartment_entityid</v>
      </c>
      <c r="B298" t="s">
        <v>307</v>
      </c>
      <c r="C298" t="s">
        <v>170</v>
      </c>
      <c r="D298" t="s">
        <v>157</v>
      </c>
      <c r="E298" t="b">
        <v>0</v>
      </c>
      <c r="F298" t="b">
        <v>0</v>
      </c>
      <c r="G298" t="s">
        <v>476</v>
      </c>
    </row>
    <row r="299" spans="1:7" x14ac:dyDescent="0.25">
      <c r="A299" t="str">
        <f t="shared" ca="1" si="4"/>
        <v>b3050000420010_productservicedigitalid</v>
      </c>
      <c r="B299" t="s">
        <v>307</v>
      </c>
      <c r="C299" t="s">
        <v>171</v>
      </c>
      <c r="D299" t="s">
        <v>157</v>
      </c>
      <c r="E299" t="b">
        <v>0</v>
      </c>
      <c r="F299" t="b">
        <v>0</v>
      </c>
      <c r="G299" t="s">
        <v>477</v>
      </c>
    </row>
    <row r="300" spans="1:7" x14ac:dyDescent="0.25">
      <c r="A300" t="str">
        <f t="shared" ca="1" si="4"/>
        <v>b3050000420010_productservicedivisioncode</v>
      </c>
      <c r="B300" t="s">
        <v>307</v>
      </c>
      <c r="C300" t="s">
        <v>172</v>
      </c>
      <c r="D300" t="s">
        <v>157</v>
      </c>
      <c r="E300" t="b">
        <v>0</v>
      </c>
      <c r="F300" t="b">
        <v>0</v>
      </c>
      <c r="G300" t="s">
        <v>478</v>
      </c>
    </row>
    <row r="301" spans="1:7" x14ac:dyDescent="0.25">
      <c r="A301" t="str">
        <f t="shared" ca="1" si="4"/>
        <v>b3050000420010_productservicedocumentversion</v>
      </c>
      <c r="B301" t="s">
        <v>307</v>
      </c>
      <c r="C301" t="s">
        <v>173</v>
      </c>
      <c r="D301" t="s">
        <v>157</v>
      </c>
      <c r="E301" t="b">
        <v>0</v>
      </c>
      <c r="F301" t="b">
        <v>0</v>
      </c>
      <c r="G301" t="s">
        <v>479</v>
      </c>
    </row>
    <row r="302" spans="1:7" x14ac:dyDescent="0.25">
      <c r="A302" t="str">
        <f t="shared" ca="1" si="4"/>
        <v>b3050000420010_productserviceduration</v>
      </c>
      <c r="B302" t="s">
        <v>307</v>
      </c>
      <c r="C302" t="s">
        <v>280</v>
      </c>
      <c r="D302" t="s">
        <v>250</v>
      </c>
      <c r="E302" t="b">
        <v>0</v>
      </c>
      <c r="F302" t="b">
        <v>0</v>
      </c>
      <c r="G302" t="s">
        <v>555</v>
      </c>
    </row>
    <row r="303" spans="1:7" x14ac:dyDescent="0.25">
      <c r="A303" t="str">
        <f t="shared" ca="1" si="4"/>
        <v>b3050000420010_productserviceenddate</v>
      </c>
      <c r="B303" t="s">
        <v>307</v>
      </c>
      <c r="C303" t="s">
        <v>174</v>
      </c>
      <c r="D303" t="s">
        <v>154</v>
      </c>
      <c r="E303" t="b">
        <v>0</v>
      </c>
      <c r="F303" t="b">
        <v>0</v>
      </c>
      <c r="G303" t="s">
        <v>480</v>
      </c>
    </row>
    <row r="304" spans="1:7" x14ac:dyDescent="0.25">
      <c r="A304" t="str">
        <f t="shared" ca="1" si="4"/>
        <v>b3050000420010_productserviceerror</v>
      </c>
      <c r="B304" t="s">
        <v>307</v>
      </c>
      <c r="C304" t="s">
        <v>175</v>
      </c>
      <c r="D304" t="s">
        <v>157</v>
      </c>
      <c r="E304" t="b">
        <v>0</v>
      </c>
      <c r="F304" t="b">
        <v>0</v>
      </c>
      <c r="G304" t="s">
        <v>481</v>
      </c>
    </row>
    <row r="305" spans="1:7" x14ac:dyDescent="0.25">
      <c r="A305" t="str">
        <f t="shared" ca="1" si="4"/>
        <v>b3050000420010_productserviceidempotencykey</v>
      </c>
      <c r="B305" t="s">
        <v>307</v>
      </c>
      <c r="C305" t="s">
        <v>176</v>
      </c>
      <c r="D305" t="s">
        <v>157</v>
      </c>
      <c r="E305" t="b">
        <v>0</v>
      </c>
      <c r="F305" t="b">
        <v>0</v>
      </c>
      <c r="G305" t="s">
        <v>482</v>
      </c>
    </row>
    <row r="306" spans="1:7" x14ac:dyDescent="0.25">
      <c r="A306" t="str">
        <f t="shared" ca="1" si="4"/>
        <v>b3050000420010_productserviceinputtype</v>
      </c>
      <c r="B306" t="s">
        <v>307</v>
      </c>
      <c r="C306" t="s">
        <v>177</v>
      </c>
      <c r="D306" t="s">
        <v>157</v>
      </c>
      <c r="E306" t="b">
        <v>0</v>
      </c>
      <c r="F306" t="b">
        <v>0</v>
      </c>
      <c r="G306" t="s">
        <v>483</v>
      </c>
    </row>
    <row r="307" spans="1:7" x14ac:dyDescent="0.25">
      <c r="A307" t="str">
        <f t="shared" ca="1" si="4"/>
        <v>b3050000420010_productservicenote</v>
      </c>
      <c r="B307" t="s">
        <v>307</v>
      </c>
      <c r="C307" t="s">
        <v>178</v>
      </c>
      <c r="D307" t="s">
        <v>157</v>
      </c>
      <c r="E307" t="b">
        <v>0</v>
      </c>
      <c r="F307" t="b">
        <v>0</v>
      </c>
      <c r="G307" t="s">
        <v>484</v>
      </c>
    </row>
    <row r="308" spans="1:7" x14ac:dyDescent="0.25">
      <c r="A308" t="str">
        <f t="shared" ca="1" si="4"/>
        <v>b3050000420010_productserviceobject_id</v>
      </c>
      <c r="B308" t="s">
        <v>307</v>
      </c>
      <c r="C308" t="s">
        <v>179</v>
      </c>
      <c r="D308" t="s">
        <v>157</v>
      </c>
      <c r="E308" t="b">
        <v>1</v>
      </c>
      <c r="F308" t="b">
        <v>1</v>
      </c>
      <c r="G308" t="s">
        <v>485</v>
      </c>
    </row>
    <row r="309" spans="1:7" x14ac:dyDescent="0.25">
      <c r="A309" t="str">
        <f t="shared" ca="1" si="4"/>
        <v>b3050000420010_productserviceobject_id_uid</v>
      </c>
      <c r="B309" t="s">
        <v>307</v>
      </c>
      <c r="C309" t="s">
        <v>180</v>
      </c>
      <c r="D309" t="s">
        <v>160</v>
      </c>
      <c r="E309" t="b">
        <v>0</v>
      </c>
      <c r="F309" t="b">
        <v>0</v>
      </c>
    </row>
    <row r="310" spans="1:7" x14ac:dyDescent="0.25">
      <c r="A310" t="str">
        <f t="shared" ca="1" si="4"/>
        <v>b3050000420010_productserviceoffertype</v>
      </c>
      <c r="B310" t="s">
        <v>307</v>
      </c>
      <c r="C310" t="s">
        <v>312</v>
      </c>
      <c r="D310" t="s">
        <v>157</v>
      </c>
      <c r="E310" t="b">
        <v>0</v>
      </c>
      <c r="F310" t="b">
        <v>0</v>
      </c>
      <c r="G310" t="s">
        <v>578</v>
      </c>
    </row>
    <row r="311" spans="1:7" x14ac:dyDescent="0.25">
      <c r="A311" t="str">
        <f t="shared" ca="1" si="4"/>
        <v>b3050000420010_productserviceoffertype_uid</v>
      </c>
      <c r="B311" t="s">
        <v>307</v>
      </c>
      <c r="C311" t="s">
        <v>313</v>
      </c>
      <c r="D311" t="s">
        <v>160</v>
      </c>
      <c r="E311" t="b">
        <v>0</v>
      </c>
      <c r="F311" t="b">
        <v>0</v>
      </c>
    </row>
    <row r="312" spans="1:7" x14ac:dyDescent="0.25">
      <c r="A312" t="str">
        <f t="shared" ca="1" si="4"/>
        <v>b3050000420010_productserviceoffflag</v>
      </c>
      <c r="B312" t="s">
        <v>307</v>
      </c>
      <c r="C312" t="s">
        <v>181</v>
      </c>
      <c r="D312" t="s">
        <v>182</v>
      </c>
      <c r="E312" t="b">
        <v>0</v>
      </c>
      <c r="F312" t="b">
        <v>0</v>
      </c>
      <c r="G312" t="s">
        <v>486</v>
      </c>
    </row>
    <row r="313" spans="1:7" x14ac:dyDescent="0.25">
      <c r="A313" t="str">
        <f t="shared" ca="1" si="4"/>
        <v>b3050000420010_productserviceofficialdoc</v>
      </c>
      <c r="B313" t="s">
        <v>307</v>
      </c>
      <c r="C313" t="s">
        <v>183</v>
      </c>
      <c r="D313" t="s">
        <v>157</v>
      </c>
      <c r="E313" t="b">
        <v>0</v>
      </c>
      <c r="F313" t="b">
        <v>0</v>
      </c>
      <c r="G313" t="s">
        <v>487</v>
      </c>
    </row>
    <row r="314" spans="1:7" x14ac:dyDescent="0.25">
      <c r="A314" t="str">
        <f t="shared" ca="1" si="4"/>
        <v>b3050000420010_productserviceofficialinfo</v>
      </c>
      <c r="B314" t="s">
        <v>307</v>
      </c>
      <c r="C314" t="s">
        <v>184</v>
      </c>
      <c r="D314" t="s">
        <v>157</v>
      </c>
      <c r="E314" t="b">
        <v>0</v>
      </c>
      <c r="F314" t="b">
        <v>0</v>
      </c>
      <c r="G314" t="s">
        <v>488</v>
      </c>
    </row>
    <row r="315" spans="1:7" x14ac:dyDescent="0.25">
      <c r="A315" t="str">
        <f t="shared" ca="1" si="4"/>
        <v>b3050000420010_productserviceoperationdate</v>
      </c>
      <c r="B315" t="s">
        <v>307</v>
      </c>
      <c r="C315" t="s">
        <v>185</v>
      </c>
      <c r="D315" t="s">
        <v>154</v>
      </c>
      <c r="E315" t="b">
        <v>0</v>
      </c>
      <c r="F315" t="b">
        <v>0</v>
      </c>
      <c r="G315" t="s">
        <v>489</v>
      </c>
    </row>
    <row r="316" spans="1:7" x14ac:dyDescent="0.25">
      <c r="A316" t="str">
        <f t="shared" ca="1" si="4"/>
        <v>b3050000420010_productserviceoperationguid</v>
      </c>
      <c r="B316" t="s">
        <v>307</v>
      </c>
      <c r="C316" t="s">
        <v>186</v>
      </c>
      <c r="D316" t="s">
        <v>157</v>
      </c>
      <c r="E316" t="b">
        <v>0</v>
      </c>
      <c r="F316" t="b">
        <v>0</v>
      </c>
      <c r="G316" t="s">
        <v>490</v>
      </c>
    </row>
    <row r="317" spans="1:7" x14ac:dyDescent="0.25">
      <c r="A317" t="str">
        <f t="shared" ca="1" si="4"/>
        <v>b3050000420010_productservicepaymentperiodcode</v>
      </c>
      <c r="B317" t="s">
        <v>307</v>
      </c>
      <c r="C317" t="s">
        <v>314</v>
      </c>
      <c r="D317" t="s">
        <v>157</v>
      </c>
      <c r="E317" t="b">
        <v>0</v>
      </c>
      <c r="F317" t="b">
        <v>0</v>
      </c>
      <c r="G317" t="s">
        <v>436</v>
      </c>
    </row>
    <row r="318" spans="1:7" x14ac:dyDescent="0.25">
      <c r="A318" t="str">
        <f t="shared" ca="1" si="4"/>
        <v>b3050000420010_productserviceproduct_entityid</v>
      </c>
      <c r="B318" t="s">
        <v>307</v>
      </c>
      <c r="C318" t="s">
        <v>315</v>
      </c>
      <c r="D318" t="s">
        <v>157</v>
      </c>
      <c r="E318" t="b">
        <v>0</v>
      </c>
      <c r="F318" t="b">
        <v>0</v>
      </c>
      <c r="G318" t="s">
        <v>579</v>
      </c>
    </row>
    <row r="319" spans="1:7" x14ac:dyDescent="0.25">
      <c r="A319" t="str">
        <f t="shared" ca="1" si="4"/>
        <v>b3050000420010_productserviceproduct_entityid_uid</v>
      </c>
      <c r="B319" t="s">
        <v>307</v>
      </c>
      <c r="C319" t="s">
        <v>316</v>
      </c>
      <c r="D319" t="s">
        <v>160</v>
      </c>
      <c r="E319" t="b">
        <v>0</v>
      </c>
      <c r="F319" t="b">
        <v>0</v>
      </c>
    </row>
    <row r="320" spans="1:7" x14ac:dyDescent="0.25">
      <c r="A320" t="str">
        <f t="shared" ca="1" si="4"/>
        <v>b3050000420010_productserviceproductbegindate</v>
      </c>
      <c r="B320" t="s">
        <v>307</v>
      </c>
      <c r="C320" t="s">
        <v>317</v>
      </c>
      <c r="D320" t="s">
        <v>154</v>
      </c>
      <c r="E320" t="b">
        <v>0</v>
      </c>
      <c r="F320" t="b">
        <v>0</v>
      </c>
      <c r="G320" t="s">
        <v>550</v>
      </c>
    </row>
    <row r="321" spans="1:7" x14ac:dyDescent="0.25">
      <c r="A321" t="str">
        <f t="shared" ca="1" si="4"/>
        <v>b3050000420010_productserviceproductcode</v>
      </c>
      <c r="B321" t="s">
        <v>307</v>
      </c>
      <c r="C321" t="s">
        <v>318</v>
      </c>
      <c r="D321" t="s">
        <v>157</v>
      </c>
      <c r="E321" t="b">
        <v>0</v>
      </c>
      <c r="F321" t="b">
        <v>0</v>
      </c>
      <c r="G321" t="s">
        <v>580</v>
      </c>
    </row>
    <row r="322" spans="1:7" x14ac:dyDescent="0.25">
      <c r="A322" t="str">
        <f t="shared" ref="A322:A385" ca="1" si="5">INDIRECT("R[0]C[1]",0)&amp;INDIRECT("R[0]C[2]",0)</f>
        <v>b3050000420010_productserviceproductenddate</v>
      </c>
      <c r="B322" t="s">
        <v>307</v>
      </c>
      <c r="C322" t="s">
        <v>319</v>
      </c>
      <c r="D322" t="s">
        <v>154</v>
      </c>
      <c r="E322" t="b">
        <v>0</v>
      </c>
      <c r="F322" t="b">
        <v>0</v>
      </c>
      <c r="G322" t="s">
        <v>556</v>
      </c>
    </row>
    <row r="323" spans="1:7" x14ac:dyDescent="0.25">
      <c r="A323" t="str">
        <f t="shared" ca="1" si="5"/>
        <v>b3050000420010_productserviceproductid</v>
      </c>
      <c r="B323" t="s">
        <v>307</v>
      </c>
      <c r="C323" t="s">
        <v>320</v>
      </c>
      <c r="D323" t="s">
        <v>157</v>
      </c>
      <c r="E323" t="b">
        <v>0</v>
      </c>
      <c r="F323" t="b">
        <v>0</v>
      </c>
      <c r="G323" t="s">
        <v>581</v>
      </c>
    </row>
    <row r="324" spans="1:7" x14ac:dyDescent="0.25">
      <c r="A324" t="str">
        <f t="shared" ca="1" si="5"/>
        <v>b3050000420010_productserviceproductnumber</v>
      </c>
      <c r="B324" t="s">
        <v>307</v>
      </c>
      <c r="C324" t="s">
        <v>289</v>
      </c>
      <c r="D324" t="s">
        <v>157</v>
      </c>
      <c r="E324" t="b">
        <v>0</v>
      </c>
      <c r="F324" t="b">
        <v>0</v>
      </c>
      <c r="G324" t="s">
        <v>562</v>
      </c>
    </row>
    <row r="325" spans="1:7" x14ac:dyDescent="0.25">
      <c r="A325" t="str">
        <f t="shared" ca="1" si="5"/>
        <v>b3050000420010_productserviceproductrate_entityid</v>
      </c>
      <c r="B325" t="s">
        <v>307</v>
      </c>
      <c r="C325" t="s">
        <v>290</v>
      </c>
      <c r="D325" t="s">
        <v>157</v>
      </c>
      <c r="E325" t="b">
        <v>0</v>
      </c>
      <c r="F325" t="b">
        <v>0</v>
      </c>
      <c r="G325" t="s">
        <v>563</v>
      </c>
    </row>
    <row r="326" spans="1:7" x14ac:dyDescent="0.25">
      <c r="A326" t="str">
        <f t="shared" ca="1" si="5"/>
        <v>b3050000420010_productserviceproducttype</v>
      </c>
      <c r="B326" t="s">
        <v>307</v>
      </c>
      <c r="C326" t="s">
        <v>292</v>
      </c>
      <c r="D326" t="s">
        <v>157</v>
      </c>
      <c r="E326" t="b">
        <v>0</v>
      </c>
      <c r="F326" t="b">
        <v>0</v>
      </c>
      <c r="G326" t="s">
        <v>564</v>
      </c>
    </row>
    <row r="327" spans="1:7" x14ac:dyDescent="0.25">
      <c r="A327" t="str">
        <f t="shared" ca="1" si="5"/>
        <v>b3050000420010_productservicerate</v>
      </c>
      <c r="B327" t="s">
        <v>307</v>
      </c>
      <c r="C327" t="s">
        <v>321</v>
      </c>
      <c r="D327" t="s">
        <v>250</v>
      </c>
      <c r="E327" t="b">
        <v>0</v>
      </c>
      <c r="F327" t="b">
        <v>0</v>
      </c>
      <c r="G327" t="s">
        <v>563</v>
      </c>
    </row>
    <row r="328" spans="1:7" x14ac:dyDescent="0.25">
      <c r="A328" t="str">
        <f t="shared" ca="1" si="5"/>
        <v>b3050000420010_productservicerefusereason</v>
      </c>
      <c r="B328" t="s">
        <v>307</v>
      </c>
      <c r="C328" t="s">
        <v>187</v>
      </c>
      <c r="D328" t="s">
        <v>157</v>
      </c>
      <c r="E328" t="b">
        <v>0</v>
      </c>
      <c r="F328" t="b">
        <v>0</v>
      </c>
      <c r="G328" t="s">
        <v>491</v>
      </c>
    </row>
    <row r="329" spans="1:7" x14ac:dyDescent="0.25">
      <c r="A329" t="str">
        <f t="shared" ca="1" si="5"/>
        <v>b3050000420010_productservicereplenishmenttype</v>
      </c>
      <c r="B329" t="s">
        <v>307</v>
      </c>
      <c r="C329" t="s">
        <v>322</v>
      </c>
      <c r="D329" t="s">
        <v>157</v>
      </c>
      <c r="E329" t="b">
        <v>0</v>
      </c>
      <c r="F329" t="b">
        <v>0</v>
      </c>
      <c r="G329" t="s">
        <v>582</v>
      </c>
    </row>
    <row r="330" spans="1:7" x14ac:dyDescent="0.25">
      <c r="A330" t="str">
        <f t="shared" ca="1" si="5"/>
        <v>b3050000420010_productservicerequestdate</v>
      </c>
      <c r="B330" t="s">
        <v>307</v>
      </c>
      <c r="C330" t="s">
        <v>188</v>
      </c>
      <c r="D330" t="s">
        <v>154</v>
      </c>
      <c r="E330" t="b">
        <v>0</v>
      </c>
      <c r="F330" t="b">
        <v>0</v>
      </c>
      <c r="G330" t="s">
        <v>492</v>
      </c>
    </row>
    <row r="331" spans="1:7" x14ac:dyDescent="0.25">
      <c r="A331" t="str">
        <f t="shared" ca="1" si="5"/>
        <v>b3050000420010_productservicerequestnumber</v>
      </c>
      <c r="B331" t="s">
        <v>307</v>
      </c>
      <c r="C331" t="s">
        <v>189</v>
      </c>
      <c r="D331" t="s">
        <v>157</v>
      </c>
      <c r="E331" t="b">
        <v>0</v>
      </c>
      <c r="F331" t="b">
        <v>0</v>
      </c>
      <c r="G331" t="s">
        <v>493</v>
      </c>
    </row>
    <row r="332" spans="1:7" x14ac:dyDescent="0.25">
      <c r="A332" t="str">
        <f t="shared" ca="1" si="5"/>
        <v>b3050000420010_productserviceservicetype</v>
      </c>
      <c r="B332" t="s">
        <v>307</v>
      </c>
      <c r="C332" t="s">
        <v>190</v>
      </c>
      <c r="D332" t="s">
        <v>157</v>
      </c>
      <c r="E332" t="b">
        <v>0</v>
      </c>
      <c r="F332" t="b">
        <v>0</v>
      </c>
      <c r="G332" t="s">
        <v>494</v>
      </c>
    </row>
    <row r="333" spans="1:7" x14ac:dyDescent="0.25">
      <c r="A333" t="str">
        <f t="shared" ca="1" si="5"/>
        <v>b3050000420010_productserviceservicetype_uid</v>
      </c>
      <c r="B333" t="s">
        <v>307</v>
      </c>
      <c r="C333" t="s">
        <v>191</v>
      </c>
      <c r="D333" t="s">
        <v>160</v>
      </c>
      <c r="E333" t="b">
        <v>0</v>
      </c>
      <c r="F333" t="b">
        <v>0</v>
      </c>
    </row>
    <row r="334" spans="1:7" x14ac:dyDescent="0.25">
      <c r="A334" t="str">
        <f t="shared" ca="1" si="5"/>
        <v>b3050000420010_productservicesigndate</v>
      </c>
      <c r="B334" t="s">
        <v>307</v>
      </c>
      <c r="C334" t="s">
        <v>192</v>
      </c>
      <c r="D334" t="s">
        <v>154</v>
      </c>
      <c r="E334" t="b">
        <v>0</v>
      </c>
      <c r="F334" t="b">
        <v>0</v>
      </c>
      <c r="G334" t="s">
        <v>495</v>
      </c>
    </row>
    <row r="335" spans="1:7" x14ac:dyDescent="0.25">
      <c r="A335" t="str">
        <f t="shared" ca="1" si="5"/>
        <v>b3050000420010_productservicesigner_entityid</v>
      </c>
      <c r="B335" t="s">
        <v>307</v>
      </c>
      <c r="C335" t="s">
        <v>193</v>
      </c>
      <c r="D335" t="s">
        <v>157</v>
      </c>
      <c r="E335" t="b">
        <v>0</v>
      </c>
      <c r="F335" t="b">
        <v>0</v>
      </c>
      <c r="G335" t="s">
        <v>496</v>
      </c>
    </row>
    <row r="336" spans="1:7" x14ac:dyDescent="0.25">
      <c r="A336" t="str">
        <f t="shared" ca="1" si="5"/>
        <v>b3050000420010_productservicesignerfullname</v>
      </c>
      <c r="B336" t="s">
        <v>307</v>
      </c>
      <c r="C336" t="s">
        <v>194</v>
      </c>
      <c r="D336" t="s">
        <v>157</v>
      </c>
      <c r="E336" t="b">
        <v>0</v>
      </c>
      <c r="F336" t="b">
        <v>0</v>
      </c>
      <c r="G336" t="s">
        <v>497</v>
      </c>
    </row>
    <row r="337" spans="1:7" x14ac:dyDescent="0.25">
      <c r="A337" t="str">
        <f t="shared" ca="1" si="5"/>
        <v>b3050000420010_productservicesignidentifier_entityid</v>
      </c>
      <c r="B337" t="s">
        <v>307</v>
      </c>
      <c r="C337" t="s">
        <v>195</v>
      </c>
      <c r="D337" t="s">
        <v>157</v>
      </c>
      <c r="E337" t="b">
        <v>0</v>
      </c>
      <c r="F337" t="b">
        <v>0</v>
      </c>
      <c r="G337" t="s">
        <v>498</v>
      </c>
    </row>
    <row r="338" spans="1:7" x14ac:dyDescent="0.25">
      <c r="A338" t="str">
        <f t="shared" ca="1" si="5"/>
        <v>b3050000420010_productservicesigntype</v>
      </c>
      <c r="B338" t="s">
        <v>307</v>
      </c>
      <c r="C338" t="s">
        <v>196</v>
      </c>
      <c r="D338" t="s">
        <v>157</v>
      </c>
      <c r="E338" t="b">
        <v>0</v>
      </c>
      <c r="F338" t="b">
        <v>0</v>
      </c>
      <c r="G338" t="s">
        <v>499</v>
      </c>
    </row>
    <row r="339" spans="1:7" x14ac:dyDescent="0.25">
      <c r="A339" t="str">
        <f t="shared" ca="1" si="5"/>
        <v>b3050000420010_productservicestartdatetime</v>
      </c>
      <c r="B339" t="s">
        <v>307</v>
      </c>
      <c r="C339" t="s">
        <v>197</v>
      </c>
      <c r="D339" t="s">
        <v>154</v>
      </c>
      <c r="E339" t="b">
        <v>0</v>
      </c>
      <c r="F339" t="b">
        <v>0</v>
      </c>
      <c r="G339" t="s">
        <v>500</v>
      </c>
    </row>
    <row r="340" spans="1:7" x14ac:dyDescent="0.25">
      <c r="A340" t="str">
        <f t="shared" ca="1" si="5"/>
        <v>b3050000420010_productservicestatusfordul_watcher_id</v>
      </c>
      <c r="B340" t="s">
        <v>307</v>
      </c>
      <c r="C340" t="s">
        <v>198</v>
      </c>
      <c r="D340" t="s">
        <v>157</v>
      </c>
      <c r="E340" t="b">
        <v>0</v>
      </c>
      <c r="F340" t="b">
        <v>0</v>
      </c>
      <c r="G340" t="s">
        <v>501</v>
      </c>
    </row>
    <row r="341" spans="1:7" x14ac:dyDescent="0.25">
      <c r="A341" t="str">
        <f t="shared" ca="1" si="5"/>
        <v>b3050000420010_productservicestatusfordul_watcher_id_uid</v>
      </c>
      <c r="B341" t="s">
        <v>307</v>
      </c>
      <c r="C341" t="s">
        <v>199</v>
      </c>
      <c r="D341" t="s">
        <v>160</v>
      </c>
      <c r="E341" t="b">
        <v>0</v>
      </c>
      <c r="F341" t="b">
        <v>0</v>
      </c>
    </row>
    <row r="342" spans="1:7" x14ac:dyDescent="0.25">
      <c r="A342" t="str">
        <f t="shared" ca="1" si="5"/>
        <v>b3050000420010_productservicestatusreasonfordul_watcher</v>
      </c>
      <c r="B342" t="s">
        <v>307</v>
      </c>
      <c r="C342" t="s">
        <v>200</v>
      </c>
      <c r="D342" t="s">
        <v>157</v>
      </c>
      <c r="E342" t="b">
        <v>0</v>
      </c>
      <c r="F342" t="b">
        <v>0</v>
      </c>
      <c r="G342" t="s">
        <v>502</v>
      </c>
    </row>
    <row r="343" spans="1:7" x14ac:dyDescent="0.25">
      <c r="A343" t="str">
        <f t="shared" ca="1" si="5"/>
        <v>b3050000420010_productservicesubscribername</v>
      </c>
      <c r="B343" t="s">
        <v>307</v>
      </c>
      <c r="C343" t="s">
        <v>323</v>
      </c>
      <c r="D343" t="s">
        <v>157</v>
      </c>
      <c r="E343" t="b">
        <v>0</v>
      </c>
      <c r="F343" t="b">
        <v>0</v>
      </c>
      <c r="G343" t="s">
        <v>583</v>
      </c>
    </row>
    <row r="344" spans="1:7" x14ac:dyDescent="0.25">
      <c r="A344" t="str">
        <f t="shared" ca="1" si="5"/>
        <v>b3050000420010_productservicesubstatus</v>
      </c>
      <c r="B344" t="s">
        <v>307</v>
      </c>
      <c r="C344" t="s">
        <v>201</v>
      </c>
      <c r="D344" t="s">
        <v>157</v>
      </c>
      <c r="E344" t="b">
        <v>0</v>
      </c>
      <c r="F344" t="b">
        <v>0</v>
      </c>
      <c r="G344" t="s">
        <v>503</v>
      </c>
    </row>
    <row r="345" spans="1:7" x14ac:dyDescent="0.25">
      <c r="A345" t="str">
        <f t="shared" ca="1" si="5"/>
        <v>b3050000420010_productservicesuspendreason_id</v>
      </c>
      <c r="B345" t="s">
        <v>307</v>
      </c>
      <c r="C345" t="s">
        <v>202</v>
      </c>
      <c r="D345" t="s">
        <v>157</v>
      </c>
      <c r="E345" t="b">
        <v>0</v>
      </c>
      <c r="F345" t="b">
        <v>0</v>
      </c>
      <c r="G345" t="s">
        <v>504</v>
      </c>
    </row>
    <row r="346" spans="1:7" x14ac:dyDescent="0.25">
      <c r="A346" t="str">
        <f t="shared" ca="1" si="5"/>
        <v>b3050000420010_productservicesys_lastchangedate</v>
      </c>
      <c r="B346" t="s">
        <v>307</v>
      </c>
      <c r="C346" t="s">
        <v>203</v>
      </c>
      <c r="D346" t="s">
        <v>154</v>
      </c>
      <c r="E346" t="b">
        <v>0</v>
      </c>
      <c r="F346" t="b">
        <v>0</v>
      </c>
      <c r="G346" t="s">
        <v>505</v>
      </c>
    </row>
    <row r="347" spans="1:7" x14ac:dyDescent="0.25">
      <c r="A347" t="str">
        <f t="shared" ca="1" si="5"/>
        <v>b3050000420010_productservicesyshistnumber</v>
      </c>
      <c r="B347" t="s">
        <v>307</v>
      </c>
      <c r="C347" t="s">
        <v>204</v>
      </c>
      <c r="D347" t="s">
        <v>205</v>
      </c>
      <c r="E347" t="b">
        <v>0</v>
      </c>
      <c r="F347" t="b">
        <v>0</v>
      </c>
      <c r="G347" t="s">
        <v>506</v>
      </c>
    </row>
    <row r="348" spans="1:7" x14ac:dyDescent="0.25">
      <c r="A348" t="str">
        <f t="shared" ca="1" si="5"/>
        <v>b3050000420010_productservicesyslasthistversion</v>
      </c>
      <c r="B348" t="s">
        <v>307</v>
      </c>
      <c r="C348" t="s">
        <v>206</v>
      </c>
      <c r="D348" t="s">
        <v>205</v>
      </c>
      <c r="E348" t="b">
        <v>0</v>
      </c>
      <c r="F348" t="b">
        <v>0</v>
      </c>
      <c r="G348" t="s">
        <v>507</v>
      </c>
    </row>
    <row r="349" spans="1:7" x14ac:dyDescent="0.25">
      <c r="A349" t="str">
        <f t="shared" ca="1" si="5"/>
        <v>b3050000420010_productservicetaxrate</v>
      </c>
      <c r="B349" t="s">
        <v>307</v>
      </c>
      <c r="C349" t="s">
        <v>324</v>
      </c>
      <c r="D349" t="s">
        <v>250</v>
      </c>
      <c r="E349" t="b">
        <v>0</v>
      </c>
      <c r="F349" t="b">
        <v>0</v>
      </c>
      <c r="G349" t="s">
        <v>565</v>
      </c>
    </row>
    <row r="350" spans="1:7" x14ac:dyDescent="0.25">
      <c r="A350" t="str">
        <f t="shared" ca="1" si="5"/>
        <v>b3050000420010_productservicetbcode</v>
      </c>
      <c r="B350" t="s">
        <v>307</v>
      </c>
      <c r="C350" t="s">
        <v>207</v>
      </c>
      <c r="D350" t="s">
        <v>157</v>
      </c>
      <c r="E350" t="b">
        <v>0</v>
      </c>
      <c r="F350" t="b">
        <v>0</v>
      </c>
      <c r="G350" t="s">
        <v>508</v>
      </c>
    </row>
    <row r="351" spans="1:7" x14ac:dyDescent="0.25">
      <c r="A351" t="str">
        <f t="shared" ca="1" si="5"/>
        <v>b3050000420010_productservicetype</v>
      </c>
      <c r="B351" t="s">
        <v>307</v>
      </c>
      <c r="C351" t="s">
        <v>208</v>
      </c>
      <c r="D351" t="s">
        <v>157</v>
      </c>
      <c r="E351" t="b">
        <v>0</v>
      </c>
      <c r="F351" t="b">
        <v>0</v>
      </c>
      <c r="G351" t="s">
        <v>509</v>
      </c>
    </row>
    <row r="352" spans="1:7" x14ac:dyDescent="0.25">
      <c r="A352" t="str">
        <f t="shared" ca="1" si="5"/>
        <v>b3050000420010_productserviceusercreate_entityid</v>
      </c>
      <c r="B352" t="s">
        <v>307</v>
      </c>
      <c r="C352" t="s">
        <v>209</v>
      </c>
      <c r="D352" t="s">
        <v>157</v>
      </c>
      <c r="E352" t="b">
        <v>0</v>
      </c>
      <c r="F352" t="b">
        <v>0</v>
      </c>
      <c r="G352" t="s">
        <v>510</v>
      </c>
    </row>
    <row r="353" spans="1:7" x14ac:dyDescent="0.25">
      <c r="A353" t="str">
        <f t="shared" ca="1" si="5"/>
        <v>b3050000420010_productserviceusercreate_entityid_uid</v>
      </c>
      <c r="B353" t="s">
        <v>307</v>
      </c>
      <c r="C353" t="s">
        <v>210</v>
      </c>
      <c r="D353" t="s">
        <v>160</v>
      </c>
      <c r="E353" t="b">
        <v>0</v>
      </c>
      <c r="F353" t="b">
        <v>0</v>
      </c>
    </row>
    <row r="354" spans="1:7" x14ac:dyDescent="0.25">
      <c r="A354" t="str">
        <f t="shared" ca="1" si="5"/>
        <v>b3050000420010_productserviceuserfirsthand_entityid</v>
      </c>
      <c r="B354" t="s">
        <v>307</v>
      </c>
      <c r="C354" t="s">
        <v>211</v>
      </c>
      <c r="D354" t="s">
        <v>157</v>
      </c>
      <c r="E354" t="b">
        <v>0</v>
      </c>
      <c r="F354" t="b">
        <v>0</v>
      </c>
      <c r="G354" t="s">
        <v>511</v>
      </c>
    </row>
    <row r="355" spans="1:7" x14ac:dyDescent="0.25">
      <c r="A355" t="str">
        <f t="shared" ca="1" si="5"/>
        <v>b3050000420010_productserviceusersecondhand_entityid</v>
      </c>
      <c r="B355" t="s">
        <v>307</v>
      </c>
      <c r="C355" t="s">
        <v>212</v>
      </c>
      <c r="D355" t="s">
        <v>157</v>
      </c>
      <c r="E355" t="b">
        <v>0</v>
      </c>
      <c r="F355" t="b">
        <v>0</v>
      </c>
      <c r="G355" t="s">
        <v>512</v>
      </c>
    </row>
    <row r="356" spans="1:7" x14ac:dyDescent="0.25">
      <c r="A356" t="str">
        <f t="shared" ca="1" si="5"/>
        <v>b3050000420010_productservicevaluedate</v>
      </c>
      <c r="B356" t="s">
        <v>307</v>
      </c>
      <c r="C356" t="s">
        <v>213</v>
      </c>
      <c r="D356" t="s">
        <v>154</v>
      </c>
      <c r="E356" t="b">
        <v>0</v>
      </c>
      <c r="F356" t="b">
        <v>0</v>
      </c>
      <c r="G356" t="s">
        <v>513</v>
      </c>
    </row>
    <row r="357" spans="1:7" x14ac:dyDescent="0.25">
      <c r="A357" t="str">
        <f t="shared" ca="1" si="5"/>
        <v>b3050000420010_productservicectl_action</v>
      </c>
      <c r="B357" t="s">
        <v>307</v>
      </c>
      <c r="C357" t="s">
        <v>214</v>
      </c>
      <c r="D357" t="s">
        <v>157</v>
      </c>
      <c r="E357" t="b">
        <v>0</v>
      </c>
      <c r="F357" t="b">
        <v>0</v>
      </c>
    </row>
    <row r="358" spans="1:7" x14ac:dyDescent="0.25">
      <c r="A358" t="str">
        <f t="shared" ca="1" si="5"/>
        <v>b3050000420010_productservicectl_loading</v>
      </c>
      <c r="B358" t="s">
        <v>307</v>
      </c>
      <c r="C358" t="s">
        <v>215</v>
      </c>
      <c r="D358" t="s">
        <v>205</v>
      </c>
      <c r="E358" t="b">
        <v>0</v>
      </c>
      <c r="F358" t="b">
        <v>0</v>
      </c>
    </row>
    <row r="359" spans="1:7" x14ac:dyDescent="0.25">
      <c r="A359" t="str">
        <f t="shared" ca="1" si="5"/>
        <v>b3050000420010_productservicectl_validfrom</v>
      </c>
      <c r="B359" t="s">
        <v>307</v>
      </c>
      <c r="C359" t="s">
        <v>216</v>
      </c>
      <c r="D359" t="s">
        <v>154</v>
      </c>
      <c r="E359" t="b">
        <v>0</v>
      </c>
      <c r="F359" t="b">
        <v>0</v>
      </c>
    </row>
    <row r="360" spans="1:7" x14ac:dyDescent="0.25">
      <c r="A360" t="str">
        <f t="shared" ca="1" si="5"/>
        <v>b3050000420010_productserviceinfo_system_id</v>
      </c>
      <c r="B360" t="s">
        <v>307</v>
      </c>
      <c r="C360" t="s">
        <v>217</v>
      </c>
      <c r="D360" t="s">
        <v>205</v>
      </c>
      <c r="E360" t="b">
        <v>0</v>
      </c>
      <c r="F360" t="b">
        <v>0</v>
      </c>
    </row>
    <row r="361" spans="1:7" x14ac:dyDescent="0.25">
      <c r="A361" t="str">
        <f t="shared" ca="1" si="5"/>
        <v>b3050000420010_productserviceinfo_system_inst_cd</v>
      </c>
      <c r="B361" t="s">
        <v>307</v>
      </c>
      <c r="C361" t="s">
        <v>218</v>
      </c>
      <c r="D361" t="s">
        <v>157</v>
      </c>
      <c r="E361" t="b">
        <v>0</v>
      </c>
      <c r="F361" t="b">
        <v>0</v>
      </c>
    </row>
    <row r="362" spans="1:7" x14ac:dyDescent="0.25">
      <c r="A362" t="str">
        <f t="shared" ca="1" si="5"/>
        <v>b3050000420010_productserviceinfo_system_type_cd</v>
      </c>
      <c r="B362" t="s">
        <v>307</v>
      </c>
      <c r="C362" t="s">
        <v>219</v>
      </c>
      <c r="D362" t="s">
        <v>157</v>
      </c>
      <c r="E362" t="b">
        <v>0</v>
      </c>
      <c r="F362" t="b">
        <v>0</v>
      </c>
    </row>
    <row r="363" spans="1:7" x14ac:dyDescent="0.25">
      <c r="A363" t="str">
        <f t="shared" ca="1" si="5"/>
        <v>b3050000420010_productserviceinput_file_id</v>
      </c>
      <c r="B363" t="s">
        <v>307</v>
      </c>
      <c r="C363" t="s">
        <v>220</v>
      </c>
      <c r="D363" t="s">
        <v>205</v>
      </c>
      <c r="E363" t="b">
        <v>0</v>
      </c>
      <c r="F363" t="b">
        <v>0</v>
      </c>
    </row>
    <row r="364" spans="1:7" x14ac:dyDescent="0.25">
      <c r="A364" t="str">
        <f t="shared" ca="1" si="5"/>
        <v>b3050000420010_productserviceinput_package_id</v>
      </c>
      <c r="B364" t="s">
        <v>307</v>
      </c>
      <c r="C364" t="s">
        <v>221</v>
      </c>
      <c r="D364" t="s">
        <v>205</v>
      </c>
      <c r="E364" t="b">
        <v>0</v>
      </c>
      <c r="F364" t="b">
        <v>0</v>
      </c>
    </row>
    <row r="365" spans="1:7" x14ac:dyDescent="0.25">
      <c r="A365" s="2" t="str">
        <f t="shared" ca="1" si="5"/>
        <v>b3050000420010_productserviceworkflow_run_id</v>
      </c>
      <c r="B365" s="2" t="s">
        <v>307</v>
      </c>
      <c r="C365" s="2" t="s">
        <v>222</v>
      </c>
      <c r="D365" s="2" t="s">
        <v>205</v>
      </c>
      <c r="E365" s="2" t="b">
        <v>0</v>
      </c>
      <c r="F365" s="2" t="b">
        <v>0</v>
      </c>
      <c r="G365" s="2"/>
    </row>
    <row r="366" spans="1:7" x14ac:dyDescent="0.25">
      <c r="A366" t="str">
        <f t="shared" ca="1" si="5"/>
        <v>b3050000420012_registeraccountid</v>
      </c>
      <c r="B366" t="s">
        <v>325</v>
      </c>
      <c r="C366" t="s">
        <v>326</v>
      </c>
      <c r="D366" t="s">
        <v>157</v>
      </c>
      <c r="E366" t="b">
        <v>0</v>
      </c>
      <c r="F366" t="b">
        <v>0</v>
      </c>
      <c r="G366" t="s">
        <v>584</v>
      </c>
    </row>
    <row r="367" spans="1:7" s="2" customFormat="1" x14ac:dyDescent="0.25">
      <c r="A367" t="str">
        <f t="shared" ca="1" si="5"/>
        <v>b3050000420012_registeraggregateroot_id</v>
      </c>
      <c r="B367" t="s">
        <v>325</v>
      </c>
      <c r="C367" t="s">
        <v>233</v>
      </c>
      <c r="D367" t="s">
        <v>157</v>
      </c>
      <c r="E367" t="b">
        <v>0</v>
      </c>
      <c r="F367" t="b">
        <v>0</v>
      </c>
      <c r="G367" t="s">
        <v>519</v>
      </c>
    </row>
    <row r="368" spans="1:7" x14ac:dyDescent="0.25">
      <c r="A368" t="str">
        <f t="shared" ca="1" si="5"/>
        <v>b3050000420012_registerbegindate</v>
      </c>
      <c r="B368" t="s">
        <v>325</v>
      </c>
      <c r="C368" t="s">
        <v>225</v>
      </c>
      <c r="D368" t="s">
        <v>154</v>
      </c>
      <c r="E368" t="b">
        <v>0</v>
      </c>
      <c r="F368" t="b">
        <v>0</v>
      </c>
      <c r="G368" t="s">
        <v>514</v>
      </c>
    </row>
    <row r="369" spans="1:7" x14ac:dyDescent="0.25">
      <c r="A369" t="str">
        <f t="shared" ca="1" si="5"/>
        <v>b3050000420012_registerenddate</v>
      </c>
      <c r="B369" t="s">
        <v>325</v>
      </c>
      <c r="C369" t="s">
        <v>174</v>
      </c>
      <c r="D369" t="s">
        <v>154</v>
      </c>
      <c r="E369" t="b">
        <v>0</v>
      </c>
      <c r="F369" t="b">
        <v>0</v>
      </c>
      <c r="G369" t="s">
        <v>516</v>
      </c>
    </row>
    <row r="370" spans="1:7" x14ac:dyDescent="0.25">
      <c r="A370" t="str">
        <f t="shared" ca="1" si="5"/>
        <v>b3050000420012_registerobject_id</v>
      </c>
      <c r="B370" t="s">
        <v>325</v>
      </c>
      <c r="C370" t="s">
        <v>179</v>
      </c>
      <c r="D370" t="s">
        <v>157</v>
      </c>
      <c r="E370" t="b">
        <v>1</v>
      </c>
      <c r="F370" t="b">
        <v>1</v>
      </c>
      <c r="G370" t="s">
        <v>485</v>
      </c>
    </row>
    <row r="371" spans="1:7" x14ac:dyDescent="0.25">
      <c r="A371" t="str">
        <f t="shared" ca="1" si="5"/>
        <v>b3050000420012_registerobject_id_uid</v>
      </c>
      <c r="B371" t="s">
        <v>325</v>
      </c>
      <c r="C371" t="s">
        <v>180</v>
      </c>
      <c r="D371" t="s">
        <v>160</v>
      </c>
      <c r="E371" t="b">
        <v>0</v>
      </c>
      <c r="F371" t="b">
        <v>0</v>
      </c>
    </row>
    <row r="372" spans="1:7" x14ac:dyDescent="0.25">
      <c r="A372" t="str">
        <f t="shared" ca="1" si="5"/>
        <v>b3050000420012_registeroffflag</v>
      </c>
      <c r="B372" t="s">
        <v>325</v>
      </c>
      <c r="C372" t="s">
        <v>181</v>
      </c>
      <c r="D372" t="s">
        <v>182</v>
      </c>
      <c r="E372" t="b">
        <v>0</v>
      </c>
      <c r="F372" t="b">
        <v>0</v>
      </c>
      <c r="G372" t="s">
        <v>486</v>
      </c>
    </row>
    <row r="373" spans="1:7" x14ac:dyDescent="0.25">
      <c r="A373" t="str">
        <f t="shared" ca="1" si="5"/>
        <v>b3050000420012_registerproduct_id</v>
      </c>
      <c r="B373" t="s">
        <v>325</v>
      </c>
      <c r="C373" t="s">
        <v>245</v>
      </c>
      <c r="D373" t="s">
        <v>157</v>
      </c>
      <c r="E373" t="b">
        <v>0</v>
      </c>
      <c r="F373" t="b">
        <v>0</v>
      </c>
    </row>
    <row r="374" spans="1:7" x14ac:dyDescent="0.25">
      <c r="A374" t="str">
        <f t="shared" ca="1" si="5"/>
        <v>b3050000420012_registerproduct_id_uid</v>
      </c>
      <c r="B374" t="s">
        <v>325</v>
      </c>
      <c r="C374" t="s">
        <v>327</v>
      </c>
      <c r="D374" t="s">
        <v>160</v>
      </c>
      <c r="E374" t="b">
        <v>0</v>
      </c>
      <c r="F374" t="b">
        <v>0</v>
      </c>
    </row>
    <row r="375" spans="1:7" x14ac:dyDescent="0.25">
      <c r="A375" t="str">
        <f t="shared" ca="1" si="5"/>
        <v>b3050000420012_registerregisternumber</v>
      </c>
      <c r="B375" t="s">
        <v>325</v>
      </c>
      <c r="C375" t="s">
        <v>328</v>
      </c>
      <c r="D375" t="s">
        <v>157</v>
      </c>
      <c r="E375" t="b">
        <v>0</v>
      </c>
      <c r="F375" t="b">
        <v>0</v>
      </c>
      <c r="G375" t="s">
        <v>585</v>
      </c>
    </row>
    <row r="376" spans="1:7" x14ac:dyDescent="0.25">
      <c r="A376" t="str">
        <f t="shared" ca="1" si="5"/>
        <v>b3050000420012_registerstatusfordul_watcher_id</v>
      </c>
      <c r="B376" t="s">
        <v>325</v>
      </c>
      <c r="C376" t="s">
        <v>198</v>
      </c>
      <c r="D376" t="s">
        <v>157</v>
      </c>
      <c r="E376" t="b">
        <v>0</v>
      </c>
      <c r="F376" t="b">
        <v>0</v>
      </c>
      <c r="G376" t="s">
        <v>501</v>
      </c>
    </row>
    <row r="377" spans="1:7" x14ac:dyDescent="0.25">
      <c r="A377" t="str">
        <f t="shared" ca="1" si="5"/>
        <v>b3050000420012_registerstatusfordul_watcher_id_uid</v>
      </c>
      <c r="B377" t="s">
        <v>325</v>
      </c>
      <c r="C377" t="s">
        <v>199</v>
      </c>
      <c r="D377" t="s">
        <v>160</v>
      </c>
      <c r="E377" t="b">
        <v>0</v>
      </c>
      <c r="F377" t="b">
        <v>0</v>
      </c>
    </row>
    <row r="378" spans="1:7" x14ac:dyDescent="0.25">
      <c r="A378" t="str">
        <f t="shared" ca="1" si="5"/>
        <v>b3050000420012_registerstatusreasonfordul_watcher</v>
      </c>
      <c r="B378" t="s">
        <v>325</v>
      </c>
      <c r="C378" t="s">
        <v>200</v>
      </c>
      <c r="D378" t="s">
        <v>157</v>
      </c>
      <c r="E378" t="b">
        <v>0</v>
      </c>
      <c r="F378" t="b">
        <v>0</v>
      </c>
      <c r="G378" t="s">
        <v>502</v>
      </c>
    </row>
    <row r="379" spans="1:7" x14ac:dyDescent="0.25">
      <c r="A379" t="str">
        <f t="shared" ca="1" si="5"/>
        <v>b3050000420012_registersys_lastchangedate</v>
      </c>
      <c r="B379" t="s">
        <v>325</v>
      </c>
      <c r="C379" t="s">
        <v>203</v>
      </c>
      <c r="D379" t="s">
        <v>154</v>
      </c>
      <c r="E379" t="b">
        <v>0</v>
      </c>
      <c r="F379" t="b">
        <v>0</v>
      </c>
      <c r="G379" t="s">
        <v>505</v>
      </c>
    </row>
    <row r="380" spans="1:7" x14ac:dyDescent="0.25">
      <c r="A380" t="str">
        <f t="shared" ca="1" si="5"/>
        <v>b3050000420012_registertype</v>
      </c>
      <c r="B380" t="s">
        <v>325</v>
      </c>
      <c r="C380" t="s">
        <v>208</v>
      </c>
      <c r="D380" t="s">
        <v>157</v>
      </c>
      <c r="E380" t="b">
        <v>0</v>
      </c>
      <c r="F380" t="b">
        <v>0</v>
      </c>
      <c r="G380" t="s">
        <v>509</v>
      </c>
    </row>
    <row r="381" spans="1:7" x14ac:dyDescent="0.25">
      <c r="A381" t="str">
        <f t="shared" ca="1" si="5"/>
        <v>b3050000420012_registertyperegister</v>
      </c>
      <c r="B381" t="s">
        <v>325</v>
      </c>
      <c r="C381" t="s">
        <v>329</v>
      </c>
      <c r="D381" t="s">
        <v>157</v>
      </c>
      <c r="E381" t="b">
        <v>0</v>
      </c>
      <c r="F381" t="b">
        <v>0</v>
      </c>
      <c r="G381" t="s">
        <v>586</v>
      </c>
    </row>
    <row r="382" spans="1:7" x14ac:dyDescent="0.25">
      <c r="A382" t="str">
        <f t="shared" ca="1" si="5"/>
        <v>b3050000420012_registertyperegister_uid</v>
      </c>
      <c r="B382" t="s">
        <v>325</v>
      </c>
      <c r="C382" t="s">
        <v>330</v>
      </c>
      <c r="D382" t="s">
        <v>160</v>
      </c>
      <c r="E382" t="b">
        <v>0</v>
      </c>
      <c r="F382" t="b">
        <v>0</v>
      </c>
    </row>
    <row r="383" spans="1:7" x14ac:dyDescent="0.25">
      <c r="A383" t="str">
        <f t="shared" ca="1" si="5"/>
        <v>b3050000420012_registerctl_action</v>
      </c>
      <c r="B383" t="s">
        <v>325</v>
      </c>
      <c r="C383" t="s">
        <v>214</v>
      </c>
      <c r="D383" t="s">
        <v>157</v>
      </c>
      <c r="E383" t="b">
        <v>0</v>
      </c>
      <c r="F383" t="b">
        <v>0</v>
      </c>
    </row>
    <row r="384" spans="1:7" x14ac:dyDescent="0.25">
      <c r="A384" t="str">
        <f t="shared" ca="1" si="5"/>
        <v>b3050000420012_registerctl_loading</v>
      </c>
      <c r="B384" t="s">
        <v>325</v>
      </c>
      <c r="C384" t="s">
        <v>215</v>
      </c>
      <c r="D384" t="s">
        <v>205</v>
      </c>
      <c r="E384" t="b">
        <v>0</v>
      </c>
      <c r="F384" t="b">
        <v>0</v>
      </c>
    </row>
    <row r="385" spans="1:7" x14ac:dyDescent="0.25">
      <c r="A385" t="str">
        <f t="shared" ca="1" si="5"/>
        <v>b3050000420012_registerctl_validfrom</v>
      </c>
      <c r="B385" t="s">
        <v>325</v>
      </c>
      <c r="C385" t="s">
        <v>216</v>
      </c>
      <c r="D385" t="s">
        <v>154</v>
      </c>
      <c r="E385" t="b">
        <v>0</v>
      </c>
      <c r="F385" t="b">
        <v>0</v>
      </c>
    </row>
    <row r="386" spans="1:7" x14ac:dyDescent="0.25">
      <c r="A386" t="str">
        <f t="shared" ref="A386:A449" ca="1" si="6">INDIRECT("R[0]C[1]",0)&amp;INDIRECT("R[0]C[2]",0)</f>
        <v>b3050000420012_registerinfo_system_id</v>
      </c>
      <c r="B386" t="s">
        <v>325</v>
      </c>
      <c r="C386" t="s">
        <v>217</v>
      </c>
      <c r="D386" t="s">
        <v>205</v>
      </c>
      <c r="E386" t="b">
        <v>0</v>
      </c>
      <c r="F386" t="b">
        <v>0</v>
      </c>
    </row>
    <row r="387" spans="1:7" x14ac:dyDescent="0.25">
      <c r="A387" t="str">
        <f t="shared" ca="1" si="6"/>
        <v>b3050000420012_registerinfo_system_inst_cd</v>
      </c>
      <c r="B387" t="s">
        <v>325</v>
      </c>
      <c r="C387" t="s">
        <v>218</v>
      </c>
      <c r="D387" t="s">
        <v>157</v>
      </c>
      <c r="E387" t="b">
        <v>0</v>
      </c>
      <c r="F387" t="b">
        <v>0</v>
      </c>
    </row>
    <row r="388" spans="1:7" x14ac:dyDescent="0.25">
      <c r="A388" t="str">
        <f t="shared" ca="1" si="6"/>
        <v>b3050000420012_registerinfo_system_type_cd</v>
      </c>
      <c r="B388" t="s">
        <v>325</v>
      </c>
      <c r="C388" t="s">
        <v>219</v>
      </c>
      <c r="D388" t="s">
        <v>157</v>
      </c>
      <c r="E388" t="b">
        <v>0</v>
      </c>
      <c r="F388" t="b">
        <v>0</v>
      </c>
    </row>
    <row r="389" spans="1:7" x14ac:dyDescent="0.25">
      <c r="A389" t="str">
        <f t="shared" ca="1" si="6"/>
        <v>b3050000420012_registerinput_file_id</v>
      </c>
      <c r="B389" t="s">
        <v>325</v>
      </c>
      <c r="C389" t="s">
        <v>220</v>
      </c>
      <c r="D389" t="s">
        <v>205</v>
      </c>
      <c r="E389" t="b">
        <v>0</v>
      </c>
      <c r="F389" t="b">
        <v>0</v>
      </c>
    </row>
    <row r="390" spans="1:7" x14ac:dyDescent="0.25">
      <c r="A390" t="str">
        <f t="shared" ca="1" si="6"/>
        <v>b3050000420012_registerinput_package_id</v>
      </c>
      <c r="B390" t="s">
        <v>325</v>
      </c>
      <c r="C390" t="s">
        <v>221</v>
      </c>
      <c r="D390" t="s">
        <v>205</v>
      </c>
      <c r="E390" t="b">
        <v>0</v>
      </c>
      <c r="F390" t="b">
        <v>0</v>
      </c>
    </row>
    <row r="391" spans="1:7" x14ac:dyDescent="0.25">
      <c r="A391" s="2" t="str">
        <f t="shared" ca="1" si="6"/>
        <v>b3050000420012_registerworkflow_run_id</v>
      </c>
      <c r="B391" s="2" t="s">
        <v>325</v>
      </c>
      <c r="C391" s="2" t="s">
        <v>222</v>
      </c>
      <c r="D391" s="2" t="s">
        <v>205</v>
      </c>
      <c r="E391" s="2" t="b">
        <v>0</v>
      </c>
      <c r="F391" s="2" t="b">
        <v>0</v>
      </c>
      <c r="G391" s="2"/>
    </row>
    <row r="392" spans="1:7" x14ac:dyDescent="0.25">
      <c r="A392" t="str">
        <f t="shared" ca="1" si="6"/>
        <v>b3050000420013_specialattributesaggregateroot_id</v>
      </c>
      <c r="B392" t="s">
        <v>331</v>
      </c>
      <c r="C392" t="s">
        <v>233</v>
      </c>
      <c r="D392" t="s">
        <v>157</v>
      </c>
      <c r="E392" t="b">
        <v>0</v>
      </c>
      <c r="F392" t="b">
        <v>0</v>
      </c>
      <c r="G392" t="s">
        <v>519</v>
      </c>
    </row>
    <row r="393" spans="1:7" s="2" customFormat="1" x14ac:dyDescent="0.25">
      <c r="A393" t="str">
        <f t="shared" ca="1" si="6"/>
        <v>b3050000420013_specialattributescontrolbs</v>
      </c>
      <c r="B393" t="s">
        <v>331</v>
      </c>
      <c r="C393" t="s">
        <v>332</v>
      </c>
      <c r="D393" t="s">
        <v>164</v>
      </c>
      <c r="E393" t="b">
        <v>0</v>
      </c>
      <c r="F393" t="b">
        <v>0</v>
      </c>
      <c r="G393" t="s">
        <v>587</v>
      </c>
    </row>
    <row r="394" spans="1:7" x14ac:dyDescent="0.25">
      <c r="A394" t="str">
        <f t="shared" ca="1" si="6"/>
        <v>b3050000420013_specialattributesobject_id</v>
      </c>
      <c r="B394" t="s">
        <v>331</v>
      </c>
      <c r="C394" t="s">
        <v>179</v>
      </c>
      <c r="D394" t="s">
        <v>157</v>
      </c>
      <c r="E394" t="b">
        <v>1</v>
      </c>
      <c r="F394" t="b">
        <v>1</v>
      </c>
      <c r="G394" t="s">
        <v>485</v>
      </c>
    </row>
    <row r="395" spans="1:7" x14ac:dyDescent="0.25">
      <c r="A395" t="str">
        <f t="shared" ca="1" si="6"/>
        <v>b3050000420013_specialattributesoffflag</v>
      </c>
      <c r="B395" t="s">
        <v>331</v>
      </c>
      <c r="C395" t="s">
        <v>181</v>
      </c>
      <c r="D395" t="s">
        <v>182</v>
      </c>
      <c r="E395" t="b">
        <v>0</v>
      </c>
      <c r="F395" t="b">
        <v>0</v>
      </c>
      <c r="G395" t="s">
        <v>486</v>
      </c>
    </row>
    <row r="396" spans="1:7" x14ac:dyDescent="0.25">
      <c r="A396" t="str">
        <f t="shared" ca="1" si="6"/>
        <v>b3050000420013_specialattributesproduct_id</v>
      </c>
      <c r="B396" t="s">
        <v>331</v>
      </c>
      <c r="C396" t="s">
        <v>245</v>
      </c>
      <c r="D396" t="s">
        <v>157</v>
      </c>
      <c r="E396" t="b">
        <v>0</v>
      </c>
      <c r="F396" t="b">
        <v>0</v>
      </c>
    </row>
    <row r="397" spans="1:7" x14ac:dyDescent="0.25">
      <c r="A397" t="str">
        <f t="shared" ca="1" si="6"/>
        <v>b3050000420013_specialattributesspecialcode</v>
      </c>
      <c r="B397" t="s">
        <v>331</v>
      </c>
      <c r="C397" t="s">
        <v>333</v>
      </c>
      <c r="D397" t="s">
        <v>157</v>
      </c>
      <c r="E397" t="b">
        <v>0</v>
      </c>
      <c r="F397" t="b">
        <v>0</v>
      </c>
      <c r="G397" t="s">
        <v>588</v>
      </c>
    </row>
    <row r="398" spans="1:7" x14ac:dyDescent="0.25">
      <c r="A398" t="str">
        <f t="shared" ca="1" si="6"/>
        <v>b3050000420013_specialattributesspecialcode_uid</v>
      </c>
      <c r="B398" t="s">
        <v>331</v>
      </c>
      <c r="C398" t="s">
        <v>334</v>
      </c>
      <c r="D398" t="s">
        <v>160</v>
      </c>
      <c r="E398" t="b">
        <v>0</v>
      </c>
      <c r="F398" t="b">
        <v>0</v>
      </c>
    </row>
    <row r="399" spans="1:7" x14ac:dyDescent="0.25">
      <c r="A399" t="str">
        <f t="shared" ca="1" si="6"/>
        <v>b3050000420013_specialattributessys_lastchangedate</v>
      </c>
      <c r="B399" t="s">
        <v>331</v>
      </c>
      <c r="C399" t="s">
        <v>203</v>
      </c>
      <c r="D399" t="s">
        <v>154</v>
      </c>
      <c r="E399" t="b">
        <v>0</v>
      </c>
      <c r="F399" t="b">
        <v>0</v>
      </c>
      <c r="G399" t="s">
        <v>505</v>
      </c>
    </row>
    <row r="400" spans="1:7" x14ac:dyDescent="0.25">
      <c r="A400" t="str">
        <f t="shared" ca="1" si="6"/>
        <v>b3050000420013_specialattributestype</v>
      </c>
      <c r="B400" t="s">
        <v>331</v>
      </c>
      <c r="C400" t="s">
        <v>208</v>
      </c>
      <c r="D400" t="s">
        <v>157</v>
      </c>
      <c r="E400" t="b">
        <v>0</v>
      </c>
      <c r="F400" t="b">
        <v>0</v>
      </c>
      <c r="G400" t="s">
        <v>509</v>
      </c>
    </row>
    <row r="401" spans="1:7" x14ac:dyDescent="0.25">
      <c r="A401" t="str">
        <f t="shared" ca="1" si="6"/>
        <v>b3050000420013_specialattributesctl_action</v>
      </c>
      <c r="B401" t="s">
        <v>331</v>
      </c>
      <c r="C401" t="s">
        <v>214</v>
      </c>
      <c r="D401" t="s">
        <v>157</v>
      </c>
      <c r="E401" t="b">
        <v>0</v>
      </c>
      <c r="F401" t="b">
        <v>0</v>
      </c>
    </row>
    <row r="402" spans="1:7" x14ac:dyDescent="0.25">
      <c r="A402" t="str">
        <f t="shared" ca="1" si="6"/>
        <v>b3050000420013_specialattributesctl_loading</v>
      </c>
      <c r="B402" t="s">
        <v>331</v>
      </c>
      <c r="C402" t="s">
        <v>215</v>
      </c>
      <c r="D402" t="s">
        <v>205</v>
      </c>
      <c r="E402" t="b">
        <v>0</v>
      </c>
      <c r="F402" t="b">
        <v>0</v>
      </c>
    </row>
    <row r="403" spans="1:7" x14ac:dyDescent="0.25">
      <c r="A403" t="str">
        <f t="shared" ca="1" si="6"/>
        <v>b3050000420013_specialattributesctl_validfrom</v>
      </c>
      <c r="B403" t="s">
        <v>331</v>
      </c>
      <c r="C403" t="s">
        <v>216</v>
      </c>
      <c r="D403" t="s">
        <v>154</v>
      </c>
      <c r="E403" t="b">
        <v>0</v>
      </c>
      <c r="F403" t="b">
        <v>0</v>
      </c>
    </row>
    <row r="404" spans="1:7" x14ac:dyDescent="0.25">
      <c r="A404" t="str">
        <f t="shared" ca="1" si="6"/>
        <v>b3050000420013_specialattributesinfo_system_id</v>
      </c>
      <c r="B404" t="s">
        <v>331</v>
      </c>
      <c r="C404" t="s">
        <v>217</v>
      </c>
      <c r="D404" t="s">
        <v>205</v>
      </c>
      <c r="E404" t="b">
        <v>0</v>
      </c>
      <c r="F404" t="b">
        <v>0</v>
      </c>
    </row>
    <row r="405" spans="1:7" x14ac:dyDescent="0.25">
      <c r="A405" t="str">
        <f t="shared" ca="1" si="6"/>
        <v>b3050000420013_specialattributesinfo_system_inst_cd</v>
      </c>
      <c r="B405" t="s">
        <v>331</v>
      </c>
      <c r="C405" t="s">
        <v>218</v>
      </c>
      <c r="D405" t="s">
        <v>157</v>
      </c>
      <c r="E405" t="b">
        <v>0</v>
      </c>
      <c r="F405" t="b">
        <v>0</v>
      </c>
    </row>
    <row r="406" spans="1:7" x14ac:dyDescent="0.25">
      <c r="A406" t="str">
        <f t="shared" ca="1" si="6"/>
        <v>b3050000420013_specialattributesinfo_system_type_cd</v>
      </c>
      <c r="B406" t="s">
        <v>331</v>
      </c>
      <c r="C406" t="s">
        <v>219</v>
      </c>
      <c r="D406" t="s">
        <v>157</v>
      </c>
      <c r="E406" t="b">
        <v>0</v>
      </c>
      <c r="F406" t="b">
        <v>0</v>
      </c>
    </row>
    <row r="407" spans="1:7" x14ac:dyDescent="0.25">
      <c r="A407" t="str">
        <f t="shared" ca="1" si="6"/>
        <v>b3050000420013_specialattributesinput_file_id</v>
      </c>
      <c r="B407" t="s">
        <v>331</v>
      </c>
      <c r="C407" t="s">
        <v>220</v>
      </c>
      <c r="D407" t="s">
        <v>205</v>
      </c>
      <c r="E407" t="b">
        <v>0</v>
      </c>
      <c r="F407" t="b">
        <v>0</v>
      </c>
    </row>
    <row r="408" spans="1:7" x14ac:dyDescent="0.25">
      <c r="A408" t="str">
        <f t="shared" ca="1" si="6"/>
        <v>b3050000420013_specialattributesinput_package_id</v>
      </c>
      <c r="B408" t="s">
        <v>331</v>
      </c>
      <c r="C408" t="s">
        <v>221</v>
      </c>
      <c r="D408" t="s">
        <v>205</v>
      </c>
      <c r="E408" t="b">
        <v>0</v>
      </c>
      <c r="F408" t="b">
        <v>0</v>
      </c>
    </row>
    <row r="409" spans="1:7" x14ac:dyDescent="0.25">
      <c r="A409" s="2" t="str">
        <f t="shared" ca="1" si="6"/>
        <v>b3050000420013_specialattributesworkflow_run_id</v>
      </c>
      <c r="B409" s="2" t="s">
        <v>331</v>
      </c>
      <c r="C409" s="2" t="s">
        <v>222</v>
      </c>
      <c r="D409" s="2" t="s">
        <v>205</v>
      </c>
      <c r="E409" s="2" t="b">
        <v>0</v>
      </c>
      <c r="F409" s="2" t="b">
        <v>0</v>
      </c>
      <c r="G409" s="2"/>
    </row>
    <row r="410" spans="1:7" x14ac:dyDescent="0.25">
      <c r="A410" t="str">
        <f t="shared" ca="1" si="6"/>
        <v>b3050000420014_statusaggregateroot_id</v>
      </c>
      <c r="B410" t="s">
        <v>335</v>
      </c>
      <c r="C410" t="s">
        <v>233</v>
      </c>
      <c r="D410" t="s">
        <v>157</v>
      </c>
      <c r="E410" t="b">
        <v>0</v>
      </c>
      <c r="F410" t="b">
        <v>0</v>
      </c>
      <c r="G410" t="s">
        <v>519</v>
      </c>
    </row>
    <row r="411" spans="1:7" s="2" customFormat="1" x14ac:dyDescent="0.25">
      <c r="A411" t="str">
        <f t="shared" ca="1" si="6"/>
        <v>b3050000420014_statuscode</v>
      </c>
      <c r="B411" t="s">
        <v>335</v>
      </c>
      <c r="C411" t="s">
        <v>273</v>
      </c>
      <c r="D411" t="s">
        <v>157</v>
      </c>
      <c r="E411" t="b">
        <v>0</v>
      </c>
      <c r="F411" t="b">
        <v>0</v>
      </c>
      <c r="G411" t="s">
        <v>589</v>
      </c>
    </row>
    <row r="412" spans="1:7" x14ac:dyDescent="0.25">
      <c r="A412" t="str">
        <f t="shared" ca="1" si="6"/>
        <v>b3050000420014_statusdescription</v>
      </c>
      <c r="B412" t="s">
        <v>335</v>
      </c>
      <c r="C412" t="s">
        <v>336</v>
      </c>
      <c r="D412" t="s">
        <v>157</v>
      </c>
      <c r="E412" t="b">
        <v>0</v>
      </c>
      <c r="F412" t="b">
        <v>0</v>
      </c>
      <c r="G412" t="s">
        <v>590</v>
      </c>
    </row>
    <row r="413" spans="1:7" x14ac:dyDescent="0.25">
      <c r="A413" t="str">
        <f t="shared" ca="1" si="6"/>
        <v>b3050000420014_statusinitial_</v>
      </c>
      <c r="B413" t="s">
        <v>335</v>
      </c>
      <c r="C413" t="s">
        <v>337</v>
      </c>
      <c r="D413" t="s">
        <v>164</v>
      </c>
      <c r="E413" t="b">
        <v>0</v>
      </c>
      <c r="F413" t="b">
        <v>0</v>
      </c>
      <c r="G413" t="s">
        <v>591</v>
      </c>
    </row>
    <row r="414" spans="1:7" x14ac:dyDescent="0.25">
      <c r="A414" t="str">
        <f t="shared" ca="1" si="6"/>
        <v>b3050000420014_statusname</v>
      </c>
      <c r="B414" t="s">
        <v>335</v>
      </c>
      <c r="C414" t="s">
        <v>274</v>
      </c>
      <c r="D414" t="s">
        <v>157</v>
      </c>
      <c r="E414" t="b">
        <v>0</v>
      </c>
      <c r="F414" t="b">
        <v>0</v>
      </c>
      <c r="G414" t="s">
        <v>592</v>
      </c>
    </row>
    <row r="415" spans="1:7" x14ac:dyDescent="0.25">
      <c r="A415" t="str">
        <f t="shared" ca="1" si="6"/>
        <v>b3050000420014_statusobject_id</v>
      </c>
      <c r="B415" t="s">
        <v>335</v>
      </c>
      <c r="C415" t="s">
        <v>179</v>
      </c>
      <c r="D415" t="s">
        <v>157</v>
      </c>
      <c r="E415" t="b">
        <v>1</v>
      </c>
      <c r="F415" t="b">
        <v>1</v>
      </c>
      <c r="G415" t="s">
        <v>485</v>
      </c>
    </row>
    <row r="416" spans="1:7" x14ac:dyDescent="0.25">
      <c r="A416" t="str">
        <f t="shared" ca="1" si="6"/>
        <v>b3050000420014_statusobject_id_uid</v>
      </c>
      <c r="B416" t="s">
        <v>335</v>
      </c>
      <c r="C416" t="s">
        <v>180</v>
      </c>
      <c r="D416" t="s">
        <v>160</v>
      </c>
      <c r="E416" t="b">
        <v>0</v>
      </c>
      <c r="F416" t="b">
        <v>0</v>
      </c>
    </row>
    <row r="417" spans="1:7" x14ac:dyDescent="0.25">
      <c r="A417" t="str">
        <f t="shared" ca="1" si="6"/>
        <v>b3050000420014_statusoffflag</v>
      </c>
      <c r="B417" t="s">
        <v>335</v>
      </c>
      <c r="C417" t="s">
        <v>181</v>
      </c>
      <c r="D417" t="s">
        <v>182</v>
      </c>
      <c r="E417" t="b">
        <v>0</v>
      </c>
      <c r="F417" t="b">
        <v>0</v>
      </c>
      <c r="G417" t="s">
        <v>486</v>
      </c>
    </row>
    <row r="418" spans="1:7" x14ac:dyDescent="0.25">
      <c r="A418" t="str">
        <f t="shared" ca="1" si="6"/>
        <v>b3050000420014_statusstakeholder_id</v>
      </c>
      <c r="B418" t="s">
        <v>335</v>
      </c>
      <c r="C418" t="s">
        <v>338</v>
      </c>
      <c r="D418" t="s">
        <v>157</v>
      </c>
      <c r="E418" t="b">
        <v>0</v>
      </c>
      <c r="F418" t="b">
        <v>0</v>
      </c>
      <c r="G418" t="s">
        <v>593</v>
      </c>
    </row>
    <row r="419" spans="1:7" x14ac:dyDescent="0.25">
      <c r="A419" t="str">
        <f t="shared" ca="1" si="6"/>
        <v>b3050000420014_statusstatustype</v>
      </c>
      <c r="B419" t="s">
        <v>335</v>
      </c>
      <c r="C419" t="s">
        <v>339</v>
      </c>
      <c r="D419" t="s">
        <v>157</v>
      </c>
      <c r="E419" t="b">
        <v>0</v>
      </c>
      <c r="F419" t="b">
        <v>0</v>
      </c>
      <c r="G419" t="s">
        <v>594</v>
      </c>
    </row>
    <row r="420" spans="1:7" x14ac:dyDescent="0.25">
      <c r="A420" t="str">
        <f t="shared" ca="1" si="6"/>
        <v>b3050000420014_statussys_lastchangedate</v>
      </c>
      <c r="B420" t="s">
        <v>335</v>
      </c>
      <c r="C420" t="s">
        <v>203</v>
      </c>
      <c r="D420" t="s">
        <v>154</v>
      </c>
      <c r="E420" t="b">
        <v>0</v>
      </c>
      <c r="F420" t="b">
        <v>0</v>
      </c>
      <c r="G420" t="s">
        <v>505</v>
      </c>
    </row>
    <row r="421" spans="1:7" x14ac:dyDescent="0.25">
      <c r="A421" t="str">
        <f t="shared" ca="1" si="6"/>
        <v>b3050000420014_statusctl_action</v>
      </c>
      <c r="B421" t="s">
        <v>335</v>
      </c>
      <c r="C421" t="s">
        <v>214</v>
      </c>
      <c r="D421" t="s">
        <v>157</v>
      </c>
      <c r="E421" t="b">
        <v>0</v>
      </c>
      <c r="F421" t="b">
        <v>0</v>
      </c>
    </row>
    <row r="422" spans="1:7" x14ac:dyDescent="0.25">
      <c r="A422" t="str">
        <f t="shared" ca="1" si="6"/>
        <v>b3050000420014_statusctl_loading</v>
      </c>
      <c r="B422" t="s">
        <v>335</v>
      </c>
      <c r="C422" t="s">
        <v>215</v>
      </c>
      <c r="D422" t="s">
        <v>205</v>
      </c>
      <c r="E422" t="b">
        <v>0</v>
      </c>
      <c r="F422" t="b">
        <v>0</v>
      </c>
    </row>
    <row r="423" spans="1:7" x14ac:dyDescent="0.25">
      <c r="A423" t="str">
        <f t="shared" ca="1" si="6"/>
        <v>b3050000420014_statusctl_validfrom</v>
      </c>
      <c r="B423" t="s">
        <v>335</v>
      </c>
      <c r="C423" t="s">
        <v>216</v>
      </c>
      <c r="D423" t="s">
        <v>154</v>
      </c>
      <c r="E423" t="b">
        <v>0</v>
      </c>
      <c r="F423" t="b">
        <v>0</v>
      </c>
    </row>
    <row r="424" spans="1:7" x14ac:dyDescent="0.25">
      <c r="A424" t="str">
        <f t="shared" ca="1" si="6"/>
        <v>b3050000420014_statusinfo_system_id</v>
      </c>
      <c r="B424" t="s">
        <v>335</v>
      </c>
      <c r="C424" t="s">
        <v>217</v>
      </c>
      <c r="D424" t="s">
        <v>205</v>
      </c>
      <c r="E424" t="b">
        <v>0</v>
      </c>
      <c r="F424" t="b">
        <v>0</v>
      </c>
    </row>
    <row r="425" spans="1:7" x14ac:dyDescent="0.25">
      <c r="A425" t="str">
        <f t="shared" ca="1" si="6"/>
        <v>b3050000420014_statusinfo_system_inst_cd</v>
      </c>
      <c r="B425" t="s">
        <v>335</v>
      </c>
      <c r="C425" t="s">
        <v>218</v>
      </c>
      <c r="D425" t="s">
        <v>157</v>
      </c>
      <c r="E425" t="b">
        <v>0</v>
      </c>
      <c r="F425" t="b">
        <v>0</v>
      </c>
    </row>
    <row r="426" spans="1:7" x14ac:dyDescent="0.25">
      <c r="A426" t="str">
        <f t="shared" ca="1" si="6"/>
        <v>b3050000420014_statusinfo_system_type_cd</v>
      </c>
      <c r="B426" t="s">
        <v>335</v>
      </c>
      <c r="C426" t="s">
        <v>219</v>
      </c>
      <c r="D426" t="s">
        <v>157</v>
      </c>
      <c r="E426" t="b">
        <v>0</v>
      </c>
      <c r="F426" t="b">
        <v>0</v>
      </c>
    </row>
    <row r="427" spans="1:7" x14ac:dyDescent="0.25">
      <c r="A427" t="str">
        <f t="shared" ca="1" si="6"/>
        <v>b3050000420014_statusinput_file_id</v>
      </c>
      <c r="B427" t="s">
        <v>335</v>
      </c>
      <c r="C427" t="s">
        <v>220</v>
      </c>
      <c r="D427" t="s">
        <v>205</v>
      </c>
      <c r="E427" t="b">
        <v>0</v>
      </c>
      <c r="F427" t="b">
        <v>0</v>
      </c>
    </row>
    <row r="428" spans="1:7" x14ac:dyDescent="0.25">
      <c r="A428" t="str">
        <f t="shared" ca="1" si="6"/>
        <v>b3050000420014_statusinput_package_id</v>
      </c>
      <c r="B428" t="s">
        <v>335</v>
      </c>
      <c r="C428" t="s">
        <v>221</v>
      </c>
      <c r="D428" t="s">
        <v>205</v>
      </c>
      <c r="E428" t="b">
        <v>0</v>
      </c>
      <c r="F428" t="b">
        <v>0</v>
      </c>
    </row>
    <row r="429" spans="1:7" x14ac:dyDescent="0.25">
      <c r="A429" s="2" t="str">
        <f t="shared" ca="1" si="6"/>
        <v>b3050000420014_statusworkflow_run_id</v>
      </c>
      <c r="B429" s="2" t="s">
        <v>335</v>
      </c>
      <c r="C429" s="2" t="s">
        <v>222</v>
      </c>
      <c r="D429" s="2" t="s">
        <v>205</v>
      </c>
      <c r="E429" s="2" t="b">
        <v>0</v>
      </c>
      <c r="F429" s="2" t="b">
        <v>0</v>
      </c>
      <c r="G429" s="2"/>
    </row>
    <row r="430" spans="1:7" x14ac:dyDescent="0.25">
      <c r="A430" t="str">
        <f t="shared" ca="1" si="6"/>
        <v>b3050000420015_technicalservicebpminstanceid</v>
      </c>
      <c r="B430" t="s">
        <v>340</v>
      </c>
      <c r="C430" t="s">
        <v>162</v>
      </c>
      <c r="D430" t="s">
        <v>157</v>
      </c>
      <c r="E430" t="b">
        <v>0</v>
      </c>
      <c r="F430" t="b">
        <v>0</v>
      </c>
      <c r="G430" t="s">
        <v>470</v>
      </c>
    </row>
    <row r="431" spans="1:7" s="2" customFormat="1" x14ac:dyDescent="0.25">
      <c r="A431" t="str">
        <f t="shared" ca="1" si="6"/>
        <v>b3050000420015_technicalservicechanneltype</v>
      </c>
      <c r="B431" t="s">
        <v>340</v>
      </c>
      <c r="C431" t="s">
        <v>165</v>
      </c>
      <c r="D431" t="s">
        <v>157</v>
      </c>
      <c r="E431" t="b">
        <v>0</v>
      </c>
      <c r="F431" t="b">
        <v>0</v>
      </c>
      <c r="G431" t="s">
        <v>472</v>
      </c>
    </row>
    <row r="432" spans="1:7" x14ac:dyDescent="0.25">
      <c r="A432" t="str">
        <f t="shared" ca="1" si="6"/>
        <v>b3050000420015_technicalservicechanneltype_uid</v>
      </c>
      <c r="B432" t="s">
        <v>340</v>
      </c>
      <c r="C432" t="s">
        <v>166</v>
      </c>
      <c r="D432" t="s">
        <v>160</v>
      </c>
      <c r="E432" t="b">
        <v>0</v>
      </c>
      <c r="F432" t="b">
        <v>0</v>
      </c>
    </row>
    <row r="433" spans="1:7" x14ac:dyDescent="0.25">
      <c r="A433" t="str">
        <f t="shared" ca="1" si="6"/>
        <v>b3050000420015_technicalserviceclient_entityid</v>
      </c>
      <c r="B433" t="s">
        <v>340</v>
      </c>
      <c r="C433" t="s">
        <v>167</v>
      </c>
      <c r="D433" t="s">
        <v>157</v>
      </c>
      <c r="E433" t="b">
        <v>0</v>
      </c>
      <c r="F433" t="b">
        <v>0</v>
      </c>
      <c r="G433" t="s">
        <v>473</v>
      </c>
    </row>
    <row r="434" spans="1:7" x14ac:dyDescent="0.25">
      <c r="A434" t="str">
        <f t="shared" ca="1" si="6"/>
        <v>b3050000420015_technicalserviceclientversion</v>
      </c>
      <c r="B434" t="s">
        <v>340</v>
      </c>
      <c r="C434" t="s">
        <v>168</v>
      </c>
      <c r="D434" t="s">
        <v>157</v>
      </c>
      <c r="E434" t="b">
        <v>0</v>
      </c>
      <c r="F434" t="b">
        <v>0</v>
      </c>
      <c r="G434" t="s">
        <v>474</v>
      </c>
    </row>
    <row r="435" spans="1:7" x14ac:dyDescent="0.25">
      <c r="A435" t="str">
        <f t="shared" ca="1" si="6"/>
        <v>b3050000420015_technicalservicecreatedate</v>
      </c>
      <c r="B435" t="s">
        <v>340</v>
      </c>
      <c r="C435" t="s">
        <v>169</v>
      </c>
      <c r="D435" t="s">
        <v>154</v>
      </c>
      <c r="E435" t="b">
        <v>0</v>
      </c>
      <c r="F435" t="b">
        <v>0</v>
      </c>
      <c r="G435" t="s">
        <v>475</v>
      </c>
    </row>
    <row r="436" spans="1:7" x14ac:dyDescent="0.25">
      <c r="A436" t="str">
        <f t="shared" ca="1" si="6"/>
        <v>b3050000420015_technicalservicedepartment_entityid</v>
      </c>
      <c r="B436" t="s">
        <v>340</v>
      </c>
      <c r="C436" t="s">
        <v>170</v>
      </c>
      <c r="D436" t="s">
        <v>157</v>
      </c>
      <c r="E436" t="b">
        <v>0</v>
      </c>
      <c r="F436" t="b">
        <v>0</v>
      </c>
      <c r="G436" t="s">
        <v>476</v>
      </c>
    </row>
    <row r="437" spans="1:7" x14ac:dyDescent="0.25">
      <c r="A437" t="str">
        <f t="shared" ca="1" si="6"/>
        <v>b3050000420015_technicalservicedivisioncode</v>
      </c>
      <c r="B437" t="s">
        <v>340</v>
      </c>
      <c r="C437" t="s">
        <v>172</v>
      </c>
      <c r="D437" t="s">
        <v>157</v>
      </c>
      <c r="E437" t="b">
        <v>0</v>
      </c>
      <c r="F437" t="b">
        <v>0</v>
      </c>
      <c r="G437" t="s">
        <v>478</v>
      </c>
    </row>
    <row r="438" spans="1:7" x14ac:dyDescent="0.25">
      <c r="A438" t="str">
        <f t="shared" ca="1" si="6"/>
        <v>b3050000420015_technicalserviceenddate</v>
      </c>
      <c r="B438" t="s">
        <v>340</v>
      </c>
      <c r="C438" t="s">
        <v>174</v>
      </c>
      <c r="D438" t="s">
        <v>154</v>
      </c>
      <c r="E438" t="b">
        <v>0</v>
      </c>
      <c r="F438" t="b">
        <v>0</v>
      </c>
      <c r="G438" t="s">
        <v>480</v>
      </c>
    </row>
    <row r="439" spans="1:7" x14ac:dyDescent="0.25">
      <c r="A439" t="str">
        <f t="shared" ca="1" si="6"/>
        <v>b3050000420015_technicalserviceerror</v>
      </c>
      <c r="B439" t="s">
        <v>340</v>
      </c>
      <c r="C439" t="s">
        <v>175</v>
      </c>
      <c r="D439" t="s">
        <v>157</v>
      </c>
      <c r="E439" t="b">
        <v>0</v>
      </c>
      <c r="F439" t="b">
        <v>0</v>
      </c>
      <c r="G439" t="s">
        <v>481</v>
      </c>
    </row>
    <row r="440" spans="1:7" x14ac:dyDescent="0.25">
      <c r="A440" t="str">
        <f t="shared" ca="1" si="6"/>
        <v>b3050000420015_technicalserviceidempotencykey</v>
      </c>
      <c r="B440" t="s">
        <v>340</v>
      </c>
      <c r="C440" t="s">
        <v>176</v>
      </c>
      <c r="D440" t="s">
        <v>157</v>
      </c>
      <c r="E440" t="b">
        <v>0</v>
      </c>
      <c r="F440" t="b">
        <v>0</v>
      </c>
      <c r="G440" t="s">
        <v>482</v>
      </c>
    </row>
    <row r="441" spans="1:7" x14ac:dyDescent="0.25">
      <c r="A441" t="str">
        <f t="shared" ca="1" si="6"/>
        <v>b3050000420015_technicalserviceinitialclientservice_entityid</v>
      </c>
      <c r="B441" t="s">
        <v>340</v>
      </c>
      <c r="C441" t="s">
        <v>341</v>
      </c>
      <c r="D441" t="s">
        <v>157</v>
      </c>
      <c r="E441" t="b">
        <v>0</v>
      </c>
      <c r="F441" t="b">
        <v>0</v>
      </c>
      <c r="G441" t="s">
        <v>595</v>
      </c>
    </row>
    <row r="442" spans="1:7" x14ac:dyDescent="0.25">
      <c r="A442" t="str">
        <f t="shared" ca="1" si="6"/>
        <v>b3050000420015_technicalserviceinputtype</v>
      </c>
      <c r="B442" t="s">
        <v>340</v>
      </c>
      <c r="C442" t="s">
        <v>177</v>
      </c>
      <c r="D442" t="s">
        <v>157</v>
      </c>
      <c r="E442" t="b">
        <v>0</v>
      </c>
      <c r="F442" t="b">
        <v>0</v>
      </c>
      <c r="G442" t="s">
        <v>483</v>
      </c>
    </row>
    <row r="443" spans="1:7" x14ac:dyDescent="0.25">
      <c r="A443" t="str">
        <f t="shared" ca="1" si="6"/>
        <v>b3050000420015_technicalserviceobject_id</v>
      </c>
      <c r="B443" t="s">
        <v>340</v>
      </c>
      <c r="C443" t="s">
        <v>179</v>
      </c>
      <c r="D443" t="s">
        <v>157</v>
      </c>
      <c r="E443" t="b">
        <v>1</v>
      </c>
      <c r="F443" t="b">
        <v>1</v>
      </c>
      <c r="G443" t="s">
        <v>485</v>
      </c>
    </row>
    <row r="444" spans="1:7" x14ac:dyDescent="0.25">
      <c r="A444" t="str">
        <f t="shared" ca="1" si="6"/>
        <v>b3050000420015_technicalserviceobject_id_uid</v>
      </c>
      <c r="B444" t="s">
        <v>340</v>
      </c>
      <c r="C444" t="s">
        <v>180</v>
      </c>
      <c r="D444" t="s">
        <v>160</v>
      </c>
      <c r="E444" t="b">
        <v>0</v>
      </c>
      <c r="F444" t="b">
        <v>0</v>
      </c>
    </row>
    <row r="445" spans="1:7" x14ac:dyDescent="0.25">
      <c r="A445" t="str">
        <f t="shared" ca="1" si="6"/>
        <v>b3050000420015_technicalserviceoffflag</v>
      </c>
      <c r="B445" t="s">
        <v>340</v>
      </c>
      <c r="C445" t="s">
        <v>181</v>
      </c>
      <c r="D445" t="s">
        <v>182</v>
      </c>
      <c r="E445" t="b">
        <v>0</v>
      </c>
      <c r="F445" t="b">
        <v>0</v>
      </c>
      <c r="G445" t="s">
        <v>486</v>
      </c>
    </row>
    <row r="446" spans="1:7" x14ac:dyDescent="0.25">
      <c r="A446" t="str">
        <f t="shared" ca="1" si="6"/>
        <v>b3050000420015_technicalserviceoperationdate</v>
      </c>
      <c r="B446" t="s">
        <v>340</v>
      </c>
      <c r="C446" t="s">
        <v>185</v>
      </c>
      <c r="D446" t="s">
        <v>154</v>
      </c>
      <c r="E446" t="b">
        <v>0</v>
      </c>
      <c r="F446" t="b">
        <v>0</v>
      </c>
      <c r="G446" t="s">
        <v>489</v>
      </c>
    </row>
    <row r="447" spans="1:7" x14ac:dyDescent="0.25">
      <c r="A447" t="str">
        <f t="shared" ca="1" si="6"/>
        <v>b3050000420015_technicalserviceparentservice_entityid</v>
      </c>
      <c r="B447" t="s">
        <v>340</v>
      </c>
      <c r="C447" t="s">
        <v>342</v>
      </c>
      <c r="D447" t="s">
        <v>157</v>
      </c>
      <c r="E447" t="b">
        <v>0</v>
      </c>
      <c r="F447" t="b">
        <v>0</v>
      </c>
      <c r="G447" t="s">
        <v>596</v>
      </c>
    </row>
    <row r="448" spans="1:7" x14ac:dyDescent="0.25">
      <c r="A448" t="str">
        <f t="shared" ca="1" si="6"/>
        <v>b3050000420015_technicalserviceproduct_entityid</v>
      </c>
      <c r="B448" t="s">
        <v>340</v>
      </c>
      <c r="C448" t="s">
        <v>315</v>
      </c>
      <c r="D448" t="s">
        <v>157</v>
      </c>
      <c r="E448" t="b">
        <v>0</v>
      </c>
      <c r="F448" t="b">
        <v>0</v>
      </c>
      <c r="G448" t="s">
        <v>579</v>
      </c>
    </row>
    <row r="449" spans="1:7" x14ac:dyDescent="0.25">
      <c r="A449" t="str">
        <f t="shared" ca="1" si="6"/>
        <v>b3050000420015_technicalserviceproduct_entityid_uid</v>
      </c>
      <c r="B449" t="s">
        <v>340</v>
      </c>
      <c r="C449" t="s">
        <v>316</v>
      </c>
      <c r="D449" t="s">
        <v>160</v>
      </c>
      <c r="E449" t="b">
        <v>0</v>
      </c>
      <c r="F449" t="b">
        <v>0</v>
      </c>
    </row>
    <row r="450" spans="1:7" x14ac:dyDescent="0.25">
      <c r="A450" t="str">
        <f t="shared" ref="A450:A513" ca="1" si="7">INDIRECT("R[0]C[1]",0)&amp;INDIRECT("R[0]C[2]",0)</f>
        <v>b3050000420015_technicalservicerefusereason</v>
      </c>
      <c r="B450" t="s">
        <v>340</v>
      </c>
      <c r="C450" t="s">
        <v>187</v>
      </c>
      <c r="D450" t="s">
        <v>157</v>
      </c>
      <c r="E450" t="b">
        <v>0</v>
      </c>
      <c r="F450" t="b">
        <v>0</v>
      </c>
      <c r="G450" t="s">
        <v>491</v>
      </c>
    </row>
    <row r="451" spans="1:7" x14ac:dyDescent="0.25">
      <c r="A451" t="str">
        <f t="shared" ca="1" si="7"/>
        <v>b3050000420015_technicalserviceservicetype</v>
      </c>
      <c r="B451" t="s">
        <v>340</v>
      </c>
      <c r="C451" t="s">
        <v>190</v>
      </c>
      <c r="D451" t="s">
        <v>157</v>
      </c>
      <c r="E451" t="b">
        <v>0</v>
      </c>
      <c r="F451" t="b">
        <v>0</v>
      </c>
      <c r="G451" t="s">
        <v>597</v>
      </c>
    </row>
    <row r="452" spans="1:7" x14ac:dyDescent="0.25">
      <c r="A452" t="str">
        <f t="shared" ca="1" si="7"/>
        <v>b3050000420015_technicalserviceservicetype_uid</v>
      </c>
      <c r="B452" t="s">
        <v>340</v>
      </c>
      <c r="C452" t="s">
        <v>191</v>
      </c>
      <c r="D452" t="s">
        <v>160</v>
      </c>
      <c r="E452" t="b">
        <v>0</v>
      </c>
      <c r="F452" t="b">
        <v>0</v>
      </c>
    </row>
    <row r="453" spans="1:7" x14ac:dyDescent="0.25">
      <c r="A453" t="str">
        <f t="shared" ca="1" si="7"/>
        <v>b3050000420015_technicalservicestartdatetime</v>
      </c>
      <c r="B453" t="s">
        <v>340</v>
      </c>
      <c r="C453" t="s">
        <v>197</v>
      </c>
      <c r="D453" t="s">
        <v>154</v>
      </c>
      <c r="E453" t="b">
        <v>0</v>
      </c>
      <c r="F453" t="b">
        <v>0</v>
      </c>
      <c r="G453" t="s">
        <v>500</v>
      </c>
    </row>
    <row r="454" spans="1:7" x14ac:dyDescent="0.25">
      <c r="A454" t="str">
        <f t="shared" ca="1" si="7"/>
        <v>b3050000420015_technicalservicestatusfordul_watcher_id</v>
      </c>
      <c r="B454" t="s">
        <v>340</v>
      </c>
      <c r="C454" t="s">
        <v>198</v>
      </c>
      <c r="D454" t="s">
        <v>157</v>
      </c>
      <c r="E454" t="b">
        <v>0</v>
      </c>
      <c r="F454" t="b">
        <v>0</v>
      </c>
      <c r="G454" t="s">
        <v>501</v>
      </c>
    </row>
    <row r="455" spans="1:7" x14ac:dyDescent="0.25">
      <c r="A455" t="str">
        <f t="shared" ca="1" si="7"/>
        <v>b3050000420015_technicalservicestatusfordul_watcher_id_uid</v>
      </c>
      <c r="B455" t="s">
        <v>340</v>
      </c>
      <c r="C455" t="s">
        <v>199</v>
      </c>
      <c r="D455" t="s">
        <v>160</v>
      </c>
      <c r="E455" t="b">
        <v>0</v>
      </c>
      <c r="F455" t="b">
        <v>0</v>
      </c>
    </row>
    <row r="456" spans="1:7" x14ac:dyDescent="0.25">
      <c r="A456" t="str">
        <f t="shared" ca="1" si="7"/>
        <v>b3050000420015_technicalservicestatusreasonfordul_watcher</v>
      </c>
      <c r="B456" t="s">
        <v>340</v>
      </c>
      <c r="C456" t="s">
        <v>200</v>
      </c>
      <c r="D456" t="s">
        <v>157</v>
      </c>
      <c r="E456" t="b">
        <v>0</v>
      </c>
      <c r="F456" t="b">
        <v>0</v>
      </c>
      <c r="G456" t="s">
        <v>502</v>
      </c>
    </row>
    <row r="457" spans="1:7" x14ac:dyDescent="0.25">
      <c r="A457" t="str">
        <f t="shared" ca="1" si="7"/>
        <v>b3050000420015_technicalservicesubstatus</v>
      </c>
      <c r="B457" t="s">
        <v>340</v>
      </c>
      <c r="C457" t="s">
        <v>201</v>
      </c>
      <c r="D457" t="s">
        <v>157</v>
      </c>
      <c r="E457" t="b">
        <v>0</v>
      </c>
      <c r="F457" t="b">
        <v>0</v>
      </c>
      <c r="G457" t="s">
        <v>503</v>
      </c>
    </row>
    <row r="458" spans="1:7" x14ac:dyDescent="0.25">
      <c r="A458" t="str">
        <f t="shared" ca="1" si="7"/>
        <v>b3050000420015_technicalservicesuspendreason_id</v>
      </c>
      <c r="B458" t="s">
        <v>340</v>
      </c>
      <c r="C458" t="s">
        <v>202</v>
      </c>
      <c r="D458" t="s">
        <v>157</v>
      </c>
      <c r="E458" t="b">
        <v>0</v>
      </c>
      <c r="F458" t="b">
        <v>0</v>
      </c>
      <c r="G458" t="s">
        <v>504</v>
      </c>
    </row>
    <row r="459" spans="1:7" x14ac:dyDescent="0.25">
      <c r="A459" t="str">
        <f t="shared" ca="1" si="7"/>
        <v>b3050000420015_technicalservicesys_lastchangedate</v>
      </c>
      <c r="B459" t="s">
        <v>340</v>
      </c>
      <c r="C459" t="s">
        <v>203</v>
      </c>
      <c r="D459" t="s">
        <v>154</v>
      </c>
      <c r="E459" t="b">
        <v>0</v>
      </c>
      <c r="F459" t="b">
        <v>0</v>
      </c>
      <c r="G459" t="s">
        <v>505</v>
      </c>
    </row>
    <row r="460" spans="1:7" x14ac:dyDescent="0.25">
      <c r="A460" t="str">
        <f t="shared" ca="1" si="7"/>
        <v>b3050000420015_technicalservicesyshistnumber</v>
      </c>
      <c r="B460" t="s">
        <v>340</v>
      </c>
      <c r="C460" t="s">
        <v>204</v>
      </c>
      <c r="D460" t="s">
        <v>205</v>
      </c>
      <c r="E460" t="b">
        <v>0</v>
      </c>
      <c r="F460" t="b">
        <v>0</v>
      </c>
      <c r="G460" t="s">
        <v>506</v>
      </c>
    </row>
    <row r="461" spans="1:7" x14ac:dyDescent="0.25">
      <c r="A461" t="str">
        <f t="shared" ca="1" si="7"/>
        <v>b3050000420015_technicalservicesyslasthistversion</v>
      </c>
      <c r="B461" t="s">
        <v>340</v>
      </c>
      <c r="C461" t="s">
        <v>206</v>
      </c>
      <c r="D461" t="s">
        <v>205</v>
      </c>
      <c r="E461" t="b">
        <v>0</v>
      </c>
      <c r="F461" t="b">
        <v>0</v>
      </c>
      <c r="G461" t="s">
        <v>507</v>
      </c>
    </row>
    <row r="462" spans="1:7" x14ac:dyDescent="0.25">
      <c r="A462" t="str">
        <f t="shared" ca="1" si="7"/>
        <v>b3050000420015_technicalservicetbcode</v>
      </c>
      <c r="B462" t="s">
        <v>340</v>
      </c>
      <c r="C462" t="s">
        <v>207</v>
      </c>
      <c r="D462" t="s">
        <v>157</v>
      </c>
      <c r="E462" t="b">
        <v>0</v>
      </c>
      <c r="F462" t="b">
        <v>0</v>
      </c>
      <c r="G462" t="s">
        <v>508</v>
      </c>
    </row>
    <row r="463" spans="1:7" x14ac:dyDescent="0.25">
      <c r="A463" t="str">
        <f t="shared" ca="1" si="7"/>
        <v>b3050000420015_technicalservicetype</v>
      </c>
      <c r="B463" t="s">
        <v>340</v>
      </c>
      <c r="C463" t="s">
        <v>208</v>
      </c>
      <c r="D463" t="s">
        <v>157</v>
      </c>
      <c r="E463" t="b">
        <v>0</v>
      </c>
      <c r="F463" t="b">
        <v>0</v>
      </c>
      <c r="G463" t="s">
        <v>509</v>
      </c>
    </row>
    <row r="464" spans="1:7" x14ac:dyDescent="0.25">
      <c r="A464" t="str">
        <f t="shared" ca="1" si="7"/>
        <v>b3050000420015_technicalservicevaluedate</v>
      </c>
      <c r="B464" t="s">
        <v>340</v>
      </c>
      <c r="C464" t="s">
        <v>213</v>
      </c>
      <c r="D464" t="s">
        <v>154</v>
      </c>
      <c r="E464" t="b">
        <v>0</v>
      </c>
      <c r="F464" t="b">
        <v>0</v>
      </c>
      <c r="G464" t="s">
        <v>513</v>
      </c>
    </row>
    <row r="465" spans="1:7" x14ac:dyDescent="0.25">
      <c r="A465" t="str">
        <f t="shared" ca="1" si="7"/>
        <v>b3050000420015_technicalservicectl_action</v>
      </c>
      <c r="B465" t="s">
        <v>340</v>
      </c>
      <c r="C465" t="s">
        <v>214</v>
      </c>
      <c r="D465" t="s">
        <v>157</v>
      </c>
      <c r="E465" t="b">
        <v>0</v>
      </c>
      <c r="F465" t="b">
        <v>0</v>
      </c>
    </row>
    <row r="466" spans="1:7" x14ac:dyDescent="0.25">
      <c r="A466" t="str">
        <f t="shared" ca="1" si="7"/>
        <v>b3050000420015_technicalservicectl_loading</v>
      </c>
      <c r="B466" t="s">
        <v>340</v>
      </c>
      <c r="C466" t="s">
        <v>215</v>
      </c>
      <c r="D466" t="s">
        <v>205</v>
      </c>
      <c r="E466" t="b">
        <v>0</v>
      </c>
      <c r="F466" t="b">
        <v>0</v>
      </c>
    </row>
    <row r="467" spans="1:7" x14ac:dyDescent="0.25">
      <c r="A467" t="str">
        <f t="shared" ca="1" si="7"/>
        <v>b3050000420015_technicalservicectl_validfrom</v>
      </c>
      <c r="B467" t="s">
        <v>340</v>
      </c>
      <c r="C467" t="s">
        <v>216</v>
      </c>
      <c r="D467" t="s">
        <v>154</v>
      </c>
      <c r="E467" t="b">
        <v>0</v>
      </c>
      <c r="F467" t="b">
        <v>0</v>
      </c>
    </row>
    <row r="468" spans="1:7" x14ac:dyDescent="0.25">
      <c r="A468" t="str">
        <f t="shared" ca="1" si="7"/>
        <v>b3050000420015_technicalserviceinfo_system_id</v>
      </c>
      <c r="B468" t="s">
        <v>340</v>
      </c>
      <c r="C468" t="s">
        <v>217</v>
      </c>
      <c r="D468" t="s">
        <v>205</v>
      </c>
      <c r="E468" t="b">
        <v>0</v>
      </c>
      <c r="F468" t="b">
        <v>0</v>
      </c>
    </row>
    <row r="469" spans="1:7" x14ac:dyDescent="0.25">
      <c r="A469" t="str">
        <f t="shared" ca="1" si="7"/>
        <v>b3050000420015_technicalserviceinfo_system_inst_cd</v>
      </c>
      <c r="B469" t="s">
        <v>340</v>
      </c>
      <c r="C469" t="s">
        <v>218</v>
      </c>
      <c r="D469" t="s">
        <v>157</v>
      </c>
      <c r="E469" t="b">
        <v>0</v>
      </c>
      <c r="F469" t="b">
        <v>0</v>
      </c>
    </row>
    <row r="470" spans="1:7" x14ac:dyDescent="0.25">
      <c r="A470" t="str">
        <f t="shared" ca="1" si="7"/>
        <v>b3050000420015_technicalserviceinfo_system_type_cd</v>
      </c>
      <c r="B470" t="s">
        <v>340</v>
      </c>
      <c r="C470" t="s">
        <v>219</v>
      </c>
      <c r="D470" t="s">
        <v>157</v>
      </c>
      <c r="E470" t="b">
        <v>0</v>
      </c>
      <c r="F470" t="b">
        <v>0</v>
      </c>
    </row>
    <row r="471" spans="1:7" x14ac:dyDescent="0.25">
      <c r="A471" t="str">
        <f t="shared" ca="1" si="7"/>
        <v>b3050000420015_technicalserviceinput_file_id</v>
      </c>
      <c r="B471" t="s">
        <v>340</v>
      </c>
      <c r="C471" t="s">
        <v>220</v>
      </c>
      <c r="D471" t="s">
        <v>205</v>
      </c>
      <c r="E471" t="b">
        <v>0</v>
      </c>
      <c r="F471" t="b">
        <v>0</v>
      </c>
    </row>
    <row r="472" spans="1:7" x14ac:dyDescent="0.25">
      <c r="A472" t="str">
        <f t="shared" ca="1" si="7"/>
        <v>b3050000420015_technicalserviceinput_package_id</v>
      </c>
      <c r="B472" t="s">
        <v>340</v>
      </c>
      <c r="C472" t="s">
        <v>221</v>
      </c>
      <c r="D472" t="s">
        <v>205</v>
      </c>
      <c r="E472" t="b">
        <v>0</v>
      </c>
      <c r="F472" t="b">
        <v>0</v>
      </c>
    </row>
    <row r="473" spans="1:7" x14ac:dyDescent="0.25">
      <c r="A473" s="2" t="str">
        <f t="shared" ca="1" si="7"/>
        <v>b3050000420015_technicalserviceworkflow_run_id</v>
      </c>
      <c r="B473" s="2" t="s">
        <v>340</v>
      </c>
      <c r="C473" s="2" t="s">
        <v>222</v>
      </c>
      <c r="D473" s="2" t="s">
        <v>205</v>
      </c>
      <c r="E473" s="2" t="b">
        <v>0</v>
      </c>
      <c r="F473" s="2" t="b">
        <v>0</v>
      </c>
      <c r="G473" s="2"/>
    </row>
    <row r="474" spans="1:7" x14ac:dyDescent="0.25">
      <c r="A474" t="str">
        <f t="shared" ca="1" si="7"/>
        <v>b3050000420016_userinfofullname</v>
      </c>
      <c r="B474" t="s">
        <v>343</v>
      </c>
      <c r="C474" t="s">
        <v>344</v>
      </c>
      <c r="D474" t="s">
        <v>157</v>
      </c>
      <c r="E474" t="b">
        <v>0</v>
      </c>
      <c r="F474" t="b">
        <v>0</v>
      </c>
      <c r="G474" t="s">
        <v>598</v>
      </c>
    </row>
    <row r="475" spans="1:7" s="2" customFormat="1" x14ac:dyDescent="0.25">
      <c r="A475" t="str">
        <f t="shared" ca="1" si="7"/>
        <v>b3050000420016_userinfologin</v>
      </c>
      <c r="B475" t="s">
        <v>343</v>
      </c>
      <c r="C475" t="s">
        <v>345</v>
      </c>
      <c r="D475" t="s">
        <v>157</v>
      </c>
      <c r="E475" t="b">
        <v>0</v>
      </c>
      <c r="F475" t="b">
        <v>0</v>
      </c>
      <c r="G475" t="s">
        <v>599</v>
      </c>
    </row>
    <row r="476" spans="1:7" x14ac:dyDescent="0.25">
      <c r="A476" t="str">
        <f t="shared" ca="1" si="7"/>
        <v>b3050000420016_userinfomessage</v>
      </c>
      <c r="B476" t="s">
        <v>343</v>
      </c>
      <c r="C476" t="s">
        <v>346</v>
      </c>
      <c r="D476" t="s">
        <v>157</v>
      </c>
      <c r="E476" t="b">
        <v>0</v>
      </c>
      <c r="F476" t="b">
        <v>0</v>
      </c>
      <c r="G476" t="s">
        <v>600</v>
      </c>
    </row>
    <row r="477" spans="1:7" x14ac:dyDescent="0.25">
      <c r="A477" t="str">
        <f t="shared" ca="1" si="7"/>
        <v>b3050000420016_userinfonumber_</v>
      </c>
      <c r="B477" t="s">
        <v>343</v>
      </c>
      <c r="C477" t="s">
        <v>231</v>
      </c>
      <c r="D477" t="s">
        <v>157</v>
      </c>
      <c r="E477" t="b">
        <v>0</v>
      </c>
      <c r="F477" t="b">
        <v>0</v>
      </c>
      <c r="G477" t="s">
        <v>601</v>
      </c>
    </row>
    <row r="478" spans="1:7" x14ac:dyDescent="0.25">
      <c r="A478" t="str">
        <f t="shared" ca="1" si="7"/>
        <v>b3050000420016_userinfoobject_id</v>
      </c>
      <c r="B478" t="s">
        <v>343</v>
      </c>
      <c r="C478" t="s">
        <v>179</v>
      </c>
      <c r="D478" t="s">
        <v>157</v>
      </c>
      <c r="E478" t="b">
        <v>1</v>
      </c>
      <c r="F478" t="b">
        <v>1</v>
      </c>
      <c r="G478" t="s">
        <v>485</v>
      </c>
    </row>
    <row r="479" spans="1:7" x14ac:dyDescent="0.25">
      <c r="A479" t="str">
        <f t="shared" ca="1" si="7"/>
        <v>b3050000420016_userinfoobject_id_uid</v>
      </c>
      <c r="B479" t="s">
        <v>343</v>
      </c>
      <c r="C479" t="s">
        <v>180</v>
      </c>
      <c r="D479" t="s">
        <v>160</v>
      </c>
      <c r="E479" t="b">
        <v>0</v>
      </c>
      <c r="F479" t="b">
        <v>0</v>
      </c>
    </row>
    <row r="480" spans="1:7" x14ac:dyDescent="0.25">
      <c r="A480" t="str">
        <f t="shared" ca="1" si="7"/>
        <v>b3050000420016_userinfooffflag</v>
      </c>
      <c r="B480" t="s">
        <v>343</v>
      </c>
      <c r="C480" t="s">
        <v>181</v>
      </c>
      <c r="D480" t="s">
        <v>182</v>
      </c>
      <c r="E480" t="b">
        <v>0</v>
      </c>
      <c r="F480" t="b">
        <v>0</v>
      </c>
      <c r="G480" t="s">
        <v>486</v>
      </c>
    </row>
    <row r="481" spans="1:7" x14ac:dyDescent="0.25">
      <c r="A481" t="str">
        <f t="shared" ca="1" si="7"/>
        <v>b3050000420016_userinfosys_lastchangedate</v>
      </c>
      <c r="B481" t="s">
        <v>343</v>
      </c>
      <c r="C481" t="s">
        <v>203</v>
      </c>
      <c r="D481" t="s">
        <v>154</v>
      </c>
      <c r="E481" t="b">
        <v>0</v>
      </c>
      <c r="F481" t="b">
        <v>0</v>
      </c>
      <c r="G481" t="s">
        <v>505</v>
      </c>
    </row>
    <row r="482" spans="1:7" x14ac:dyDescent="0.25">
      <c r="A482" t="str">
        <f t="shared" ca="1" si="7"/>
        <v>b3050000420016_userinfotype</v>
      </c>
      <c r="B482" t="s">
        <v>343</v>
      </c>
      <c r="C482" t="s">
        <v>208</v>
      </c>
      <c r="D482" t="s">
        <v>157</v>
      </c>
      <c r="E482" t="b">
        <v>0</v>
      </c>
      <c r="F482" t="b">
        <v>0</v>
      </c>
      <c r="G482" t="s">
        <v>509</v>
      </c>
    </row>
    <row r="483" spans="1:7" x14ac:dyDescent="0.25">
      <c r="A483" t="str">
        <f t="shared" ca="1" si="7"/>
        <v>b3050000420016_userinfoctl_action</v>
      </c>
      <c r="B483" t="s">
        <v>343</v>
      </c>
      <c r="C483" t="s">
        <v>214</v>
      </c>
      <c r="D483" t="s">
        <v>157</v>
      </c>
      <c r="E483" t="b">
        <v>0</v>
      </c>
      <c r="F483" t="b">
        <v>0</v>
      </c>
    </row>
    <row r="484" spans="1:7" x14ac:dyDescent="0.25">
      <c r="A484" t="str">
        <f t="shared" ca="1" si="7"/>
        <v>b3050000420016_userinfoctl_loading</v>
      </c>
      <c r="B484" t="s">
        <v>343</v>
      </c>
      <c r="C484" t="s">
        <v>215</v>
      </c>
      <c r="D484" t="s">
        <v>205</v>
      </c>
      <c r="E484" t="b">
        <v>0</v>
      </c>
      <c r="F484" t="b">
        <v>0</v>
      </c>
    </row>
    <row r="485" spans="1:7" x14ac:dyDescent="0.25">
      <c r="A485" t="str">
        <f t="shared" ca="1" si="7"/>
        <v>b3050000420016_userinfoctl_validfrom</v>
      </c>
      <c r="B485" t="s">
        <v>343</v>
      </c>
      <c r="C485" t="s">
        <v>216</v>
      </c>
      <c r="D485" t="s">
        <v>154</v>
      </c>
      <c r="E485" t="b">
        <v>0</v>
      </c>
      <c r="F485" t="b">
        <v>0</v>
      </c>
    </row>
    <row r="486" spans="1:7" x14ac:dyDescent="0.25">
      <c r="A486" t="str">
        <f t="shared" ca="1" si="7"/>
        <v>b3050000420016_userinfoinfo_system_id</v>
      </c>
      <c r="B486" t="s">
        <v>343</v>
      </c>
      <c r="C486" t="s">
        <v>217</v>
      </c>
      <c r="D486" t="s">
        <v>205</v>
      </c>
      <c r="E486" t="b">
        <v>0</v>
      </c>
      <c r="F486" t="b">
        <v>0</v>
      </c>
    </row>
    <row r="487" spans="1:7" x14ac:dyDescent="0.25">
      <c r="A487" t="str">
        <f t="shared" ca="1" si="7"/>
        <v>b3050000420016_userinfoinfo_system_inst_cd</v>
      </c>
      <c r="B487" t="s">
        <v>343</v>
      </c>
      <c r="C487" t="s">
        <v>218</v>
      </c>
      <c r="D487" t="s">
        <v>157</v>
      </c>
      <c r="E487" t="b">
        <v>0</v>
      </c>
      <c r="F487" t="b">
        <v>0</v>
      </c>
    </row>
    <row r="488" spans="1:7" x14ac:dyDescent="0.25">
      <c r="A488" t="str">
        <f t="shared" ca="1" si="7"/>
        <v>b3050000420016_userinfoinfo_system_type_cd</v>
      </c>
      <c r="B488" t="s">
        <v>343</v>
      </c>
      <c r="C488" t="s">
        <v>219</v>
      </c>
      <c r="D488" t="s">
        <v>157</v>
      </c>
      <c r="E488" t="b">
        <v>0</v>
      </c>
      <c r="F488" t="b">
        <v>0</v>
      </c>
    </row>
    <row r="489" spans="1:7" x14ac:dyDescent="0.25">
      <c r="A489" t="str">
        <f t="shared" ca="1" si="7"/>
        <v>b3050000420016_userinfoinput_file_id</v>
      </c>
      <c r="B489" t="s">
        <v>343</v>
      </c>
      <c r="C489" t="s">
        <v>220</v>
      </c>
      <c r="D489" t="s">
        <v>205</v>
      </c>
      <c r="E489" t="b">
        <v>0</v>
      </c>
      <c r="F489" t="b">
        <v>0</v>
      </c>
    </row>
    <row r="490" spans="1:7" x14ac:dyDescent="0.25">
      <c r="A490" t="str">
        <f t="shared" ca="1" si="7"/>
        <v>b3050000420016_userinfoinput_package_id</v>
      </c>
      <c r="B490" t="s">
        <v>343</v>
      </c>
      <c r="C490" t="s">
        <v>221</v>
      </c>
      <c r="D490" t="s">
        <v>205</v>
      </c>
      <c r="E490" t="b">
        <v>0</v>
      </c>
      <c r="F490" t="b">
        <v>0</v>
      </c>
    </row>
    <row r="491" spans="1:7" x14ac:dyDescent="0.25">
      <c r="A491" s="2" t="str">
        <f t="shared" ca="1" si="7"/>
        <v>b3050000420016_userinfoworkflow_run_id</v>
      </c>
      <c r="B491" s="2" t="s">
        <v>343</v>
      </c>
      <c r="C491" s="2" t="s">
        <v>222</v>
      </c>
      <c r="D491" s="2" t="s">
        <v>205</v>
      </c>
      <c r="E491" s="2" t="b">
        <v>0</v>
      </c>
      <c r="F491" s="2" t="b">
        <v>0</v>
      </c>
      <c r="G491" s="2"/>
    </row>
    <row r="492" spans="1:7" x14ac:dyDescent="0.25">
      <c r="A492" t="str">
        <f t="shared" ca="1" si="7"/>
        <v>b3050000420017_interestrateaggregateroot_id</v>
      </c>
      <c r="B492" t="s">
        <v>347</v>
      </c>
      <c r="C492" t="s">
        <v>233</v>
      </c>
      <c r="D492" t="s">
        <v>157</v>
      </c>
      <c r="E492" t="b">
        <v>0</v>
      </c>
      <c r="F492" t="b">
        <v>0</v>
      </c>
      <c r="G492" t="s">
        <v>519</v>
      </c>
    </row>
    <row r="493" spans="1:7" s="2" customFormat="1" x14ac:dyDescent="0.25">
      <c r="A493" t="str">
        <f t="shared" ca="1" si="7"/>
        <v>b3050000420017_interestratebegindate</v>
      </c>
      <c r="B493" t="s">
        <v>347</v>
      </c>
      <c r="C493" t="s">
        <v>225</v>
      </c>
      <c r="D493" t="s">
        <v>154</v>
      </c>
      <c r="E493" t="b">
        <v>0</v>
      </c>
      <c r="F493" t="b">
        <v>0</v>
      </c>
      <c r="G493" t="s">
        <v>602</v>
      </c>
    </row>
    <row r="494" spans="1:7" x14ac:dyDescent="0.25">
      <c r="A494" t="str">
        <f t="shared" ca="1" si="7"/>
        <v>b3050000420017_interestrateobject_id</v>
      </c>
      <c r="B494" t="s">
        <v>347</v>
      </c>
      <c r="C494" t="s">
        <v>179</v>
      </c>
      <c r="D494" t="s">
        <v>157</v>
      </c>
      <c r="E494" t="b">
        <v>1</v>
      </c>
      <c r="F494" t="b">
        <v>1</v>
      </c>
      <c r="G494" t="s">
        <v>485</v>
      </c>
    </row>
    <row r="495" spans="1:7" x14ac:dyDescent="0.25">
      <c r="A495" t="str">
        <f t="shared" ca="1" si="7"/>
        <v>b3050000420017_interestrateobject_id_param_uid</v>
      </c>
      <c r="B495" t="s">
        <v>347</v>
      </c>
      <c r="C495" t="s">
        <v>348</v>
      </c>
      <c r="D495" t="s">
        <v>160</v>
      </c>
      <c r="E495" t="b">
        <v>0</v>
      </c>
      <c r="F495" t="b">
        <v>0</v>
      </c>
    </row>
    <row r="496" spans="1:7" x14ac:dyDescent="0.25">
      <c r="A496" t="str">
        <f t="shared" ca="1" si="7"/>
        <v>b3050000420017_interestrateobject_id_uid</v>
      </c>
      <c r="B496" t="s">
        <v>347</v>
      </c>
      <c r="C496" t="s">
        <v>180</v>
      </c>
      <c r="D496" t="s">
        <v>160</v>
      </c>
      <c r="E496" t="b">
        <v>0</v>
      </c>
      <c r="F496" t="b">
        <v>0</v>
      </c>
    </row>
    <row r="497" spans="1:7" x14ac:dyDescent="0.25">
      <c r="A497" t="str">
        <f t="shared" ca="1" si="7"/>
        <v>b3050000420017_interestrateoffflag</v>
      </c>
      <c r="B497" t="s">
        <v>347</v>
      </c>
      <c r="C497" t="s">
        <v>181</v>
      </c>
      <c r="D497" t="s">
        <v>182</v>
      </c>
      <c r="E497" t="b">
        <v>0</v>
      </c>
      <c r="F497" t="b">
        <v>0</v>
      </c>
      <c r="G497" t="s">
        <v>486</v>
      </c>
    </row>
    <row r="498" spans="1:7" x14ac:dyDescent="0.25">
      <c r="A498" t="str">
        <f t="shared" ca="1" si="7"/>
        <v>b3050000420017_interestraterate</v>
      </c>
      <c r="B498" t="s">
        <v>347</v>
      </c>
      <c r="C498" t="s">
        <v>321</v>
      </c>
      <c r="D498" t="s">
        <v>250</v>
      </c>
      <c r="E498" t="b">
        <v>0</v>
      </c>
      <c r="F498" t="b">
        <v>0</v>
      </c>
      <c r="G498" t="s">
        <v>563</v>
      </c>
    </row>
    <row r="499" spans="1:7" x14ac:dyDescent="0.25">
      <c r="A499" t="str">
        <f t="shared" ca="1" si="7"/>
        <v>b3050000420017_interestrateratekind</v>
      </c>
      <c r="B499" t="s">
        <v>347</v>
      </c>
      <c r="C499" t="s">
        <v>349</v>
      </c>
      <c r="D499" t="s">
        <v>157</v>
      </c>
      <c r="E499" t="b">
        <v>0</v>
      </c>
      <c r="F499" t="b">
        <v>0</v>
      </c>
      <c r="G499" t="s">
        <v>603</v>
      </c>
    </row>
    <row r="500" spans="1:7" x14ac:dyDescent="0.25">
      <c r="A500" t="str">
        <f t="shared" ca="1" si="7"/>
        <v>b3050000420017_interestrateratekind_uid</v>
      </c>
      <c r="B500" t="s">
        <v>347</v>
      </c>
      <c r="C500" t="s">
        <v>350</v>
      </c>
      <c r="D500" t="s">
        <v>160</v>
      </c>
      <c r="E500" t="b">
        <v>0</v>
      </c>
      <c r="F500" t="b">
        <v>0</v>
      </c>
    </row>
    <row r="501" spans="1:7" x14ac:dyDescent="0.25">
      <c r="A501" t="str">
        <f t="shared" ca="1" si="7"/>
        <v>b3050000420017_interestrateratetariff_id</v>
      </c>
      <c r="B501" t="s">
        <v>347</v>
      </c>
      <c r="C501" t="s">
        <v>351</v>
      </c>
      <c r="D501" t="s">
        <v>157</v>
      </c>
      <c r="E501" t="b">
        <v>0</v>
      </c>
      <c r="F501" t="b">
        <v>0</v>
      </c>
    </row>
    <row r="502" spans="1:7" x14ac:dyDescent="0.25">
      <c r="A502" t="str">
        <f t="shared" ca="1" si="7"/>
        <v>b3050000420017_interestratesys_lastchangedate</v>
      </c>
      <c r="B502" t="s">
        <v>347</v>
      </c>
      <c r="C502" t="s">
        <v>203</v>
      </c>
      <c r="D502" t="s">
        <v>154</v>
      </c>
      <c r="E502" t="b">
        <v>0</v>
      </c>
      <c r="F502" t="b">
        <v>0</v>
      </c>
      <c r="G502" t="s">
        <v>505</v>
      </c>
    </row>
    <row r="503" spans="1:7" x14ac:dyDescent="0.25">
      <c r="A503" t="str">
        <f t="shared" ca="1" si="7"/>
        <v>b3050000420017_interestratetype</v>
      </c>
      <c r="B503" t="s">
        <v>347</v>
      </c>
      <c r="C503" t="s">
        <v>208</v>
      </c>
      <c r="D503" t="s">
        <v>157</v>
      </c>
      <c r="E503" t="b">
        <v>0</v>
      </c>
      <c r="F503" t="b">
        <v>0</v>
      </c>
      <c r="G503" t="s">
        <v>509</v>
      </c>
    </row>
    <row r="504" spans="1:7" x14ac:dyDescent="0.25">
      <c r="A504" t="str">
        <f t="shared" ca="1" si="7"/>
        <v>b3050000420017_interestratectl_action</v>
      </c>
      <c r="B504" t="s">
        <v>347</v>
      </c>
      <c r="C504" t="s">
        <v>214</v>
      </c>
      <c r="D504" t="s">
        <v>157</v>
      </c>
      <c r="E504" t="b">
        <v>0</v>
      </c>
      <c r="F504" t="b">
        <v>0</v>
      </c>
    </row>
    <row r="505" spans="1:7" x14ac:dyDescent="0.25">
      <c r="A505" t="str">
        <f t="shared" ca="1" si="7"/>
        <v>b3050000420017_interestratectl_loading</v>
      </c>
      <c r="B505" t="s">
        <v>347</v>
      </c>
      <c r="C505" t="s">
        <v>215</v>
      </c>
      <c r="D505" t="s">
        <v>205</v>
      </c>
      <c r="E505" t="b">
        <v>0</v>
      </c>
      <c r="F505" t="b">
        <v>0</v>
      </c>
    </row>
    <row r="506" spans="1:7" x14ac:dyDescent="0.25">
      <c r="A506" t="str">
        <f t="shared" ca="1" si="7"/>
        <v>b3050000420017_interestratectl_validfrom</v>
      </c>
      <c r="B506" t="s">
        <v>347</v>
      </c>
      <c r="C506" t="s">
        <v>216</v>
      </c>
      <c r="D506" t="s">
        <v>154</v>
      </c>
      <c r="E506" t="b">
        <v>0</v>
      </c>
      <c r="F506" t="b">
        <v>0</v>
      </c>
    </row>
    <row r="507" spans="1:7" x14ac:dyDescent="0.25">
      <c r="A507" t="str">
        <f t="shared" ca="1" si="7"/>
        <v>b3050000420017_interestrateinfo_system_id</v>
      </c>
      <c r="B507" t="s">
        <v>347</v>
      </c>
      <c r="C507" t="s">
        <v>217</v>
      </c>
      <c r="D507" t="s">
        <v>205</v>
      </c>
      <c r="E507" t="b">
        <v>0</v>
      </c>
      <c r="F507" t="b">
        <v>0</v>
      </c>
    </row>
    <row r="508" spans="1:7" x14ac:dyDescent="0.25">
      <c r="A508" t="str">
        <f t="shared" ca="1" si="7"/>
        <v>b3050000420017_interestrateinfo_system_inst_cd</v>
      </c>
      <c r="B508" t="s">
        <v>347</v>
      </c>
      <c r="C508" t="s">
        <v>218</v>
      </c>
      <c r="D508" t="s">
        <v>157</v>
      </c>
      <c r="E508" t="b">
        <v>0</v>
      </c>
      <c r="F508" t="b">
        <v>0</v>
      </c>
    </row>
    <row r="509" spans="1:7" x14ac:dyDescent="0.25">
      <c r="A509" t="str">
        <f t="shared" ca="1" si="7"/>
        <v>b3050000420017_interestrateinfo_system_type_cd</v>
      </c>
      <c r="B509" t="s">
        <v>347</v>
      </c>
      <c r="C509" t="s">
        <v>219</v>
      </c>
      <c r="D509" t="s">
        <v>157</v>
      </c>
      <c r="E509" t="b">
        <v>0</v>
      </c>
      <c r="F509" t="b">
        <v>0</v>
      </c>
    </row>
    <row r="510" spans="1:7" x14ac:dyDescent="0.25">
      <c r="A510" t="str">
        <f t="shared" ca="1" si="7"/>
        <v>b3050000420017_interestrateinput_file_id</v>
      </c>
      <c r="B510" t="s">
        <v>347</v>
      </c>
      <c r="C510" t="s">
        <v>220</v>
      </c>
      <c r="D510" t="s">
        <v>205</v>
      </c>
      <c r="E510" t="b">
        <v>0</v>
      </c>
      <c r="F510" t="b">
        <v>0</v>
      </c>
    </row>
    <row r="511" spans="1:7" x14ac:dyDescent="0.25">
      <c r="A511" t="str">
        <f t="shared" ca="1" si="7"/>
        <v>b3050000420017_interestrateinput_package_id</v>
      </c>
      <c r="B511" t="s">
        <v>347</v>
      </c>
      <c r="C511" t="s">
        <v>221</v>
      </c>
      <c r="D511" t="s">
        <v>205</v>
      </c>
      <c r="E511" t="b">
        <v>0</v>
      </c>
      <c r="F511" t="b">
        <v>0</v>
      </c>
    </row>
    <row r="512" spans="1:7" x14ac:dyDescent="0.25">
      <c r="A512" s="2" t="str">
        <f t="shared" ca="1" si="7"/>
        <v>b3050000420017_interestrateworkflow_run_id</v>
      </c>
      <c r="B512" s="2" t="s">
        <v>347</v>
      </c>
      <c r="C512" s="2" t="s">
        <v>222</v>
      </c>
      <c r="D512" s="2" t="s">
        <v>205</v>
      </c>
      <c r="E512" s="2" t="b">
        <v>0</v>
      </c>
      <c r="F512" s="2" t="b">
        <v>0</v>
      </c>
      <c r="G512" s="2"/>
    </row>
    <row r="513" spans="1:7" x14ac:dyDescent="0.25">
      <c r="A513" t="str">
        <f t="shared" ca="1" si="7"/>
        <v>b3050000420018_ratetariffobject_id</v>
      </c>
      <c r="B513" t="s">
        <v>352</v>
      </c>
      <c r="C513" t="s">
        <v>179</v>
      </c>
      <c r="D513" t="s">
        <v>157</v>
      </c>
      <c r="E513" t="b">
        <v>1</v>
      </c>
      <c r="F513" t="b">
        <v>1</v>
      </c>
      <c r="G513" t="s">
        <v>485</v>
      </c>
    </row>
    <row r="514" spans="1:7" s="2" customFormat="1" x14ac:dyDescent="0.25">
      <c r="A514" t="str">
        <f t="shared" ref="A514:A577" ca="1" si="8">INDIRECT("R[0]C[1]",0)&amp;INDIRECT("R[0]C[2]",0)</f>
        <v>b3050000420018_ratetariffoffflag</v>
      </c>
      <c r="B514" t="s">
        <v>352</v>
      </c>
      <c r="C514" t="s">
        <v>181</v>
      </c>
      <c r="D514" t="s">
        <v>182</v>
      </c>
      <c r="E514" t="b">
        <v>0</v>
      </c>
      <c r="F514" t="b">
        <v>0</v>
      </c>
      <c r="G514" t="s">
        <v>486</v>
      </c>
    </row>
    <row r="515" spans="1:7" x14ac:dyDescent="0.25">
      <c r="A515" t="str">
        <f t="shared" ca="1" si="8"/>
        <v>b3050000420018_ratetariffsys_lastchangedate</v>
      </c>
      <c r="B515" t="s">
        <v>352</v>
      </c>
      <c r="C515" t="s">
        <v>203</v>
      </c>
      <c r="D515" t="s">
        <v>154</v>
      </c>
      <c r="E515" t="b">
        <v>0</v>
      </c>
      <c r="F515" t="b">
        <v>0</v>
      </c>
      <c r="G515" t="s">
        <v>505</v>
      </c>
    </row>
    <row r="516" spans="1:7" x14ac:dyDescent="0.25">
      <c r="A516" t="str">
        <f t="shared" ca="1" si="8"/>
        <v>b3050000420018_ratetarifftariffkind</v>
      </c>
      <c r="B516" t="s">
        <v>352</v>
      </c>
      <c r="C516" t="s">
        <v>353</v>
      </c>
      <c r="D516" t="s">
        <v>157</v>
      </c>
      <c r="E516" t="b">
        <v>0</v>
      </c>
      <c r="F516" t="b">
        <v>0</v>
      </c>
      <c r="G516" t="s">
        <v>604</v>
      </c>
    </row>
    <row r="517" spans="1:7" x14ac:dyDescent="0.25">
      <c r="A517" t="str">
        <f t="shared" ca="1" si="8"/>
        <v>b3050000420018_ratetarifftype</v>
      </c>
      <c r="B517" t="s">
        <v>352</v>
      </c>
      <c r="C517" t="s">
        <v>208</v>
      </c>
      <c r="D517" t="s">
        <v>157</v>
      </c>
      <c r="E517" t="b">
        <v>0</v>
      </c>
      <c r="F517" t="b">
        <v>0</v>
      </c>
      <c r="G517" t="s">
        <v>509</v>
      </c>
    </row>
    <row r="518" spans="1:7" x14ac:dyDescent="0.25">
      <c r="A518" t="str">
        <f t="shared" ca="1" si="8"/>
        <v>b3050000420018_ratetariffctl_action</v>
      </c>
      <c r="B518" t="s">
        <v>352</v>
      </c>
      <c r="C518" t="s">
        <v>214</v>
      </c>
      <c r="D518" t="s">
        <v>157</v>
      </c>
      <c r="E518" t="b">
        <v>0</v>
      </c>
      <c r="F518" t="b">
        <v>0</v>
      </c>
    </row>
    <row r="519" spans="1:7" x14ac:dyDescent="0.25">
      <c r="A519" t="str">
        <f t="shared" ca="1" si="8"/>
        <v>b3050000420018_ratetariffctl_loading</v>
      </c>
      <c r="B519" t="s">
        <v>352</v>
      </c>
      <c r="C519" t="s">
        <v>215</v>
      </c>
      <c r="D519" t="s">
        <v>205</v>
      </c>
      <c r="E519" t="b">
        <v>0</v>
      </c>
      <c r="F519" t="b">
        <v>0</v>
      </c>
    </row>
    <row r="520" spans="1:7" x14ac:dyDescent="0.25">
      <c r="A520" t="str">
        <f t="shared" ca="1" si="8"/>
        <v>b3050000420018_ratetariffctl_validfrom</v>
      </c>
      <c r="B520" t="s">
        <v>352</v>
      </c>
      <c r="C520" t="s">
        <v>216</v>
      </c>
      <c r="D520" t="s">
        <v>154</v>
      </c>
      <c r="E520" t="b">
        <v>0</v>
      </c>
      <c r="F520" t="b">
        <v>0</v>
      </c>
    </row>
    <row r="521" spans="1:7" x14ac:dyDescent="0.25">
      <c r="A521" t="str">
        <f t="shared" ca="1" si="8"/>
        <v>b3050000420018_ratetariffinfo_system_id</v>
      </c>
      <c r="B521" t="s">
        <v>352</v>
      </c>
      <c r="C521" t="s">
        <v>217</v>
      </c>
      <c r="D521" t="s">
        <v>205</v>
      </c>
      <c r="E521" t="b">
        <v>0</v>
      </c>
      <c r="F521" t="b">
        <v>0</v>
      </c>
    </row>
    <row r="522" spans="1:7" x14ac:dyDescent="0.25">
      <c r="A522" t="str">
        <f t="shared" ca="1" si="8"/>
        <v>b3050000420018_ratetariffinfo_system_inst_cd</v>
      </c>
      <c r="B522" t="s">
        <v>352</v>
      </c>
      <c r="C522" t="s">
        <v>218</v>
      </c>
      <c r="D522" t="s">
        <v>157</v>
      </c>
      <c r="E522" t="b">
        <v>0</v>
      </c>
      <c r="F522" t="b">
        <v>0</v>
      </c>
    </row>
    <row r="523" spans="1:7" x14ac:dyDescent="0.25">
      <c r="A523" t="str">
        <f t="shared" ca="1" si="8"/>
        <v>b3050000420018_ratetariffinfo_system_type_cd</v>
      </c>
      <c r="B523" t="s">
        <v>352</v>
      </c>
      <c r="C523" t="s">
        <v>219</v>
      </c>
      <c r="D523" t="s">
        <v>157</v>
      </c>
      <c r="E523" t="b">
        <v>0</v>
      </c>
      <c r="F523" t="b">
        <v>0</v>
      </c>
    </row>
    <row r="524" spans="1:7" x14ac:dyDescent="0.25">
      <c r="A524" t="str">
        <f t="shared" ca="1" si="8"/>
        <v>b3050000420018_ratetariffinput_file_id</v>
      </c>
      <c r="B524" t="s">
        <v>352</v>
      </c>
      <c r="C524" t="s">
        <v>220</v>
      </c>
      <c r="D524" t="s">
        <v>205</v>
      </c>
      <c r="E524" t="b">
        <v>0</v>
      </c>
      <c r="F524" t="b">
        <v>0</v>
      </c>
    </row>
    <row r="525" spans="1:7" x14ac:dyDescent="0.25">
      <c r="A525" t="str">
        <f t="shared" ca="1" si="8"/>
        <v>b3050000420018_ratetariffinput_package_id</v>
      </c>
      <c r="B525" t="s">
        <v>352</v>
      </c>
      <c r="C525" t="s">
        <v>221</v>
      </c>
      <c r="D525" t="s">
        <v>205</v>
      </c>
      <c r="E525" t="b">
        <v>0</v>
      </c>
      <c r="F525" t="b">
        <v>0</v>
      </c>
    </row>
    <row r="526" spans="1:7" x14ac:dyDescent="0.25">
      <c r="A526" s="2" t="str">
        <f t="shared" ca="1" si="8"/>
        <v>b3050000420018_ratetariffworkflow_run_id</v>
      </c>
      <c r="B526" s="2" t="s">
        <v>352</v>
      </c>
      <c r="C526" s="2" t="s">
        <v>222</v>
      </c>
      <c r="D526" s="2" t="s">
        <v>205</v>
      </c>
      <c r="E526" s="2" t="b">
        <v>0</v>
      </c>
      <c r="F526" s="2" t="b">
        <v>0</v>
      </c>
      <c r="G526" s="2"/>
    </row>
    <row r="527" spans="1:7" x14ac:dyDescent="0.25">
      <c r="A527" t="str">
        <f t="shared" ca="1" si="8"/>
        <v>b3050000420019_amountdependaggregateroot_id</v>
      </c>
      <c r="B527" t="s">
        <v>354</v>
      </c>
      <c r="C527" t="s">
        <v>233</v>
      </c>
      <c r="D527" t="s">
        <v>157</v>
      </c>
      <c r="E527" t="b">
        <v>0</v>
      </c>
      <c r="F527" t="b">
        <v>0</v>
      </c>
      <c r="G527" t="s">
        <v>519</v>
      </c>
    </row>
    <row r="528" spans="1:7" s="2" customFormat="1" x14ac:dyDescent="0.25">
      <c r="A528" t="str">
        <f t="shared" ca="1" si="8"/>
        <v>b3050000420019_amountdependamount</v>
      </c>
      <c r="B528" t="s">
        <v>354</v>
      </c>
      <c r="C528" t="s">
        <v>249</v>
      </c>
      <c r="D528" t="s">
        <v>250</v>
      </c>
      <c r="E528" t="b">
        <v>0</v>
      </c>
      <c r="F528" t="b">
        <v>0</v>
      </c>
      <c r="G528" t="s">
        <v>605</v>
      </c>
    </row>
    <row r="529" spans="1:7" x14ac:dyDescent="0.25">
      <c r="A529" t="str">
        <f t="shared" ca="1" si="8"/>
        <v>b3050000420019_amountdependcalculatedrateref_entityid</v>
      </c>
      <c r="B529" t="s">
        <v>354</v>
      </c>
      <c r="C529" t="s">
        <v>355</v>
      </c>
      <c r="D529" t="s">
        <v>157</v>
      </c>
      <c r="E529" t="b">
        <v>0</v>
      </c>
      <c r="F529" t="b">
        <v>0</v>
      </c>
      <c r="G529" t="s">
        <v>606</v>
      </c>
    </row>
    <row r="530" spans="1:7" x14ac:dyDescent="0.25">
      <c r="A530" t="str">
        <f t="shared" ca="1" si="8"/>
        <v>b3050000420019_amountdependcalculatedrateref_rootentityid</v>
      </c>
      <c r="B530" t="s">
        <v>354</v>
      </c>
      <c r="C530" t="s">
        <v>356</v>
      </c>
      <c r="D530" t="s">
        <v>157</v>
      </c>
      <c r="E530" t="b">
        <v>0</v>
      </c>
      <c r="F530" t="b">
        <v>0</v>
      </c>
      <c r="G530" t="s">
        <v>606</v>
      </c>
    </row>
    <row r="531" spans="1:7" x14ac:dyDescent="0.25">
      <c r="A531" t="str">
        <f t="shared" ca="1" si="8"/>
        <v>b3050000420019_amountdependobject_id</v>
      </c>
      <c r="B531" t="s">
        <v>354</v>
      </c>
      <c r="C531" t="s">
        <v>179</v>
      </c>
      <c r="D531" t="s">
        <v>157</v>
      </c>
      <c r="E531" t="b">
        <v>1</v>
      </c>
      <c r="F531" t="b">
        <v>1</v>
      </c>
      <c r="G531" t="s">
        <v>485</v>
      </c>
    </row>
    <row r="532" spans="1:7" x14ac:dyDescent="0.25">
      <c r="A532" t="str">
        <f t="shared" ca="1" si="8"/>
        <v>b3050000420019_amountdependobject_id_uid</v>
      </c>
      <c r="B532" t="s">
        <v>354</v>
      </c>
      <c r="C532" t="s">
        <v>180</v>
      </c>
      <c r="D532" t="s">
        <v>160</v>
      </c>
      <c r="E532" t="b">
        <v>0</v>
      </c>
      <c r="F532" t="b">
        <v>0</v>
      </c>
    </row>
    <row r="533" spans="1:7" x14ac:dyDescent="0.25">
      <c r="A533" t="str">
        <f t="shared" ca="1" si="8"/>
        <v>b3050000420019_amountdependoffflag</v>
      </c>
      <c r="B533" t="s">
        <v>354</v>
      </c>
      <c r="C533" t="s">
        <v>181</v>
      </c>
      <c r="D533" t="s">
        <v>182</v>
      </c>
      <c r="E533" t="b">
        <v>0</v>
      </c>
      <c r="F533" t="b">
        <v>0</v>
      </c>
      <c r="G533" t="s">
        <v>486</v>
      </c>
    </row>
    <row r="534" spans="1:7" x14ac:dyDescent="0.25">
      <c r="A534" t="str">
        <f t="shared" ca="1" si="8"/>
        <v>b3050000420019_amountdependrate</v>
      </c>
      <c r="B534" t="s">
        <v>354</v>
      </c>
      <c r="C534" t="s">
        <v>321</v>
      </c>
      <c r="D534" t="s">
        <v>250</v>
      </c>
      <c r="E534" t="b">
        <v>0</v>
      </c>
      <c r="F534" t="b">
        <v>0</v>
      </c>
      <c r="G534" t="s">
        <v>563</v>
      </c>
    </row>
    <row r="535" spans="1:7" x14ac:dyDescent="0.25">
      <c r="A535" t="str">
        <f t="shared" ca="1" si="8"/>
        <v>b3050000420019_amountdependratelink_id</v>
      </c>
      <c r="B535" t="s">
        <v>354</v>
      </c>
      <c r="C535" t="s">
        <v>357</v>
      </c>
      <c r="D535" t="s">
        <v>157</v>
      </c>
      <c r="E535" t="b">
        <v>0</v>
      </c>
      <c r="F535" t="b">
        <v>0</v>
      </c>
    </row>
    <row r="536" spans="1:7" x14ac:dyDescent="0.25">
      <c r="A536" t="str">
        <f t="shared" ca="1" si="8"/>
        <v>b3050000420019_amountdependratelink_id_uid</v>
      </c>
      <c r="B536" t="s">
        <v>354</v>
      </c>
      <c r="C536" t="s">
        <v>358</v>
      </c>
      <c r="D536" t="s">
        <v>160</v>
      </c>
      <c r="E536" t="b">
        <v>0</v>
      </c>
      <c r="F536" t="b">
        <v>0</v>
      </c>
    </row>
    <row r="537" spans="1:7" x14ac:dyDescent="0.25">
      <c r="A537" t="str">
        <f t="shared" ca="1" si="8"/>
        <v>b3050000420019_amountdependsys_lastchangedate</v>
      </c>
      <c r="B537" t="s">
        <v>354</v>
      </c>
      <c r="C537" t="s">
        <v>203</v>
      </c>
      <c r="D537" t="s">
        <v>154</v>
      </c>
      <c r="E537" t="b">
        <v>0</v>
      </c>
      <c r="F537" t="b">
        <v>0</v>
      </c>
      <c r="G537" t="s">
        <v>505</v>
      </c>
    </row>
    <row r="538" spans="1:7" x14ac:dyDescent="0.25">
      <c r="A538" t="str">
        <f t="shared" ca="1" si="8"/>
        <v>b3050000420019_amountdependtype</v>
      </c>
      <c r="B538" t="s">
        <v>354</v>
      </c>
      <c r="C538" t="s">
        <v>208</v>
      </c>
      <c r="D538" t="s">
        <v>157</v>
      </c>
      <c r="E538" t="b">
        <v>0</v>
      </c>
      <c r="F538" t="b">
        <v>0</v>
      </c>
      <c r="G538" t="s">
        <v>509</v>
      </c>
    </row>
    <row r="539" spans="1:7" x14ac:dyDescent="0.25">
      <c r="A539" t="str">
        <f t="shared" ca="1" si="8"/>
        <v>b3050000420019_amountdependctl_action</v>
      </c>
      <c r="B539" t="s">
        <v>354</v>
      </c>
      <c r="C539" t="s">
        <v>214</v>
      </c>
      <c r="D539" t="s">
        <v>157</v>
      </c>
      <c r="E539" t="b">
        <v>0</v>
      </c>
      <c r="F539" t="b">
        <v>0</v>
      </c>
    </row>
    <row r="540" spans="1:7" x14ac:dyDescent="0.25">
      <c r="A540" t="str">
        <f t="shared" ca="1" si="8"/>
        <v>b3050000420019_amountdependctl_loading</v>
      </c>
      <c r="B540" t="s">
        <v>354</v>
      </c>
      <c r="C540" t="s">
        <v>215</v>
      </c>
      <c r="D540" t="s">
        <v>205</v>
      </c>
      <c r="E540" t="b">
        <v>0</v>
      </c>
      <c r="F540" t="b">
        <v>0</v>
      </c>
    </row>
    <row r="541" spans="1:7" x14ac:dyDescent="0.25">
      <c r="A541" t="str">
        <f t="shared" ca="1" si="8"/>
        <v>b3050000420019_amountdependctl_validfrom</v>
      </c>
      <c r="B541" t="s">
        <v>354</v>
      </c>
      <c r="C541" t="s">
        <v>216</v>
      </c>
      <c r="D541" t="s">
        <v>154</v>
      </c>
      <c r="E541" t="b">
        <v>0</v>
      </c>
      <c r="F541" t="b">
        <v>0</v>
      </c>
    </row>
    <row r="542" spans="1:7" x14ac:dyDescent="0.25">
      <c r="A542" t="str">
        <f t="shared" ca="1" si="8"/>
        <v>b3050000420019_amountdependinfo_system_id</v>
      </c>
      <c r="B542" t="s">
        <v>354</v>
      </c>
      <c r="C542" t="s">
        <v>217</v>
      </c>
      <c r="D542" t="s">
        <v>205</v>
      </c>
      <c r="E542" t="b">
        <v>0</v>
      </c>
      <c r="F542" t="b">
        <v>0</v>
      </c>
    </row>
    <row r="543" spans="1:7" x14ac:dyDescent="0.25">
      <c r="A543" t="str">
        <f t="shared" ca="1" si="8"/>
        <v>b3050000420019_amountdependinfo_system_inst_cd</v>
      </c>
      <c r="B543" t="s">
        <v>354</v>
      </c>
      <c r="C543" t="s">
        <v>218</v>
      </c>
      <c r="D543" t="s">
        <v>157</v>
      </c>
      <c r="E543" t="b">
        <v>0</v>
      </c>
      <c r="F543" t="b">
        <v>0</v>
      </c>
    </row>
    <row r="544" spans="1:7" x14ac:dyDescent="0.25">
      <c r="A544" t="str">
        <f t="shared" ca="1" si="8"/>
        <v>b3050000420019_amountdependinfo_system_type_cd</v>
      </c>
      <c r="B544" t="s">
        <v>354</v>
      </c>
      <c r="C544" t="s">
        <v>219</v>
      </c>
      <c r="D544" t="s">
        <v>157</v>
      </c>
      <c r="E544" t="b">
        <v>0</v>
      </c>
      <c r="F544" t="b">
        <v>0</v>
      </c>
    </row>
    <row r="545" spans="1:7" x14ac:dyDescent="0.25">
      <c r="A545" t="str">
        <f t="shared" ca="1" si="8"/>
        <v>b3050000420019_amountdependinput_file_id</v>
      </c>
      <c r="B545" t="s">
        <v>354</v>
      </c>
      <c r="C545" t="s">
        <v>220</v>
      </c>
      <c r="D545" t="s">
        <v>205</v>
      </c>
      <c r="E545" t="b">
        <v>0</v>
      </c>
      <c r="F545" t="b">
        <v>0</v>
      </c>
    </row>
    <row r="546" spans="1:7" x14ac:dyDescent="0.25">
      <c r="A546" t="str">
        <f t="shared" ca="1" si="8"/>
        <v>b3050000420019_amountdependinput_package_id</v>
      </c>
      <c r="B546" t="s">
        <v>354</v>
      </c>
      <c r="C546" t="s">
        <v>221</v>
      </c>
      <c r="D546" t="s">
        <v>205</v>
      </c>
      <c r="E546" t="b">
        <v>0</v>
      </c>
      <c r="F546" t="b">
        <v>0</v>
      </c>
    </row>
    <row r="547" spans="1:7" x14ac:dyDescent="0.25">
      <c r="A547" s="2" t="str">
        <f t="shared" ca="1" si="8"/>
        <v>b3050000420019_amountdependworkflow_run_id</v>
      </c>
      <c r="B547" s="2" t="s">
        <v>354</v>
      </c>
      <c r="C547" s="2" t="s">
        <v>222</v>
      </c>
      <c r="D547" s="2" t="s">
        <v>205</v>
      </c>
      <c r="E547" s="2" t="b">
        <v>0</v>
      </c>
      <c r="F547" s="2" t="b">
        <v>0</v>
      </c>
      <c r="G547" s="2"/>
    </row>
    <row r="548" spans="1:7" x14ac:dyDescent="0.25">
      <c r="A548" t="str">
        <f t="shared" ca="1" si="8"/>
        <v>b3050000420020_calculatedonamountaggregateroot_id</v>
      </c>
      <c r="B548" t="s">
        <v>359</v>
      </c>
      <c r="C548" t="s">
        <v>233</v>
      </c>
      <c r="D548" t="s">
        <v>157</v>
      </c>
      <c r="E548" t="b">
        <v>0</v>
      </c>
      <c r="F548" t="b">
        <v>0</v>
      </c>
      <c r="G548" t="s">
        <v>519</v>
      </c>
    </row>
    <row r="549" spans="1:7" s="2" customFormat="1" x14ac:dyDescent="0.25">
      <c r="A549" t="str">
        <f t="shared" ca="1" si="8"/>
        <v>b3050000420020_calculatedonamountamount</v>
      </c>
      <c r="B549" t="s">
        <v>359</v>
      </c>
      <c r="C549" t="s">
        <v>249</v>
      </c>
      <c r="D549" t="s">
        <v>250</v>
      </c>
      <c r="E549" t="b">
        <v>0</v>
      </c>
      <c r="F549" t="b">
        <v>0</v>
      </c>
      <c r="G549" t="s">
        <v>605</v>
      </c>
    </row>
    <row r="550" spans="1:7" x14ac:dyDescent="0.25">
      <c r="A550" t="str">
        <f t="shared" ca="1" si="8"/>
        <v>b3050000420020_calculatedonamountindicator_</v>
      </c>
      <c r="B550" t="s">
        <v>359</v>
      </c>
      <c r="C550" t="s">
        <v>360</v>
      </c>
      <c r="D550" t="s">
        <v>157</v>
      </c>
      <c r="E550" t="b">
        <v>0</v>
      </c>
      <c r="F550" t="b">
        <v>0</v>
      </c>
      <c r="G550" t="s">
        <v>607</v>
      </c>
    </row>
    <row r="551" spans="1:7" x14ac:dyDescent="0.25">
      <c r="A551" t="str">
        <f t="shared" ca="1" si="8"/>
        <v>b3050000420020_calculatedonamountindicator_uid</v>
      </c>
      <c r="B551" t="s">
        <v>359</v>
      </c>
      <c r="C551" t="s">
        <v>361</v>
      </c>
      <c r="D551" t="s">
        <v>160</v>
      </c>
      <c r="E551" t="b">
        <v>0</v>
      </c>
      <c r="F551" t="b">
        <v>0</v>
      </c>
    </row>
    <row r="552" spans="1:7" x14ac:dyDescent="0.25">
      <c r="A552" t="str">
        <f t="shared" ca="1" si="8"/>
        <v>b3050000420020_calculatedonamountmaxratelimit</v>
      </c>
      <c r="B552" t="s">
        <v>359</v>
      </c>
      <c r="C552" t="s">
        <v>362</v>
      </c>
      <c r="D552" t="s">
        <v>250</v>
      </c>
      <c r="E552" t="b">
        <v>0</v>
      </c>
      <c r="F552" t="b">
        <v>0</v>
      </c>
      <c r="G552" t="s">
        <v>608</v>
      </c>
    </row>
    <row r="553" spans="1:7" x14ac:dyDescent="0.25">
      <c r="A553" t="str">
        <f t="shared" ca="1" si="8"/>
        <v>b3050000420020_calculatedonamountminratelimit</v>
      </c>
      <c r="B553" t="s">
        <v>359</v>
      </c>
      <c r="C553" t="s">
        <v>363</v>
      </c>
      <c r="D553" t="s">
        <v>250</v>
      </c>
      <c r="E553" t="b">
        <v>0</v>
      </c>
      <c r="F553" t="b">
        <v>0</v>
      </c>
      <c r="G553" t="s">
        <v>609</v>
      </c>
    </row>
    <row r="554" spans="1:7" x14ac:dyDescent="0.25">
      <c r="A554" t="str">
        <f t="shared" ca="1" si="8"/>
        <v>b3050000420020_calculatedonamountobject_id</v>
      </c>
      <c r="B554" t="s">
        <v>359</v>
      </c>
      <c r="C554" t="s">
        <v>179</v>
      </c>
      <c r="D554" t="s">
        <v>157</v>
      </c>
      <c r="E554" t="b">
        <v>1</v>
      </c>
      <c r="F554" t="b">
        <v>1</v>
      </c>
      <c r="G554" t="s">
        <v>485</v>
      </c>
    </row>
    <row r="555" spans="1:7" x14ac:dyDescent="0.25">
      <c r="A555" t="str">
        <f t="shared" ca="1" si="8"/>
        <v>b3050000420020_calculatedonamountobject_id_uid</v>
      </c>
      <c r="B555" t="s">
        <v>359</v>
      </c>
      <c r="C555" t="s">
        <v>180</v>
      </c>
      <c r="D555" t="s">
        <v>160</v>
      </c>
      <c r="E555" t="b">
        <v>0</v>
      </c>
      <c r="F555" t="b">
        <v>0</v>
      </c>
    </row>
    <row r="556" spans="1:7" x14ac:dyDescent="0.25">
      <c r="A556" t="str">
        <f t="shared" ca="1" si="8"/>
        <v>b3050000420020_calculatedonamountoffflag</v>
      </c>
      <c r="B556" t="s">
        <v>359</v>
      </c>
      <c r="C556" t="s">
        <v>181</v>
      </c>
      <c r="D556" t="s">
        <v>182</v>
      </c>
      <c r="E556" t="b">
        <v>0</v>
      </c>
      <c r="F556" t="b">
        <v>0</v>
      </c>
      <c r="G556" t="s">
        <v>486</v>
      </c>
    </row>
    <row r="557" spans="1:7" x14ac:dyDescent="0.25">
      <c r="A557" t="str">
        <f t="shared" ca="1" si="8"/>
        <v>b3050000420020_calculatedonamountoperation</v>
      </c>
      <c r="B557" t="s">
        <v>359</v>
      </c>
      <c r="C557" t="s">
        <v>364</v>
      </c>
      <c r="D557" t="s">
        <v>157</v>
      </c>
      <c r="E557" t="b">
        <v>0</v>
      </c>
      <c r="F557" t="b">
        <v>0</v>
      </c>
      <c r="G557" t="s">
        <v>610</v>
      </c>
    </row>
    <row r="558" spans="1:7" x14ac:dyDescent="0.25">
      <c r="A558" t="str">
        <f t="shared" ca="1" si="8"/>
        <v>b3050000420020_calculatedonamountrate</v>
      </c>
      <c r="B558" t="s">
        <v>359</v>
      </c>
      <c r="C558" t="s">
        <v>321</v>
      </c>
      <c r="D558" t="s">
        <v>250</v>
      </c>
      <c r="E558" t="b">
        <v>0</v>
      </c>
      <c r="F558" t="b">
        <v>0</v>
      </c>
      <c r="G558" t="s">
        <v>563</v>
      </c>
    </row>
    <row r="559" spans="1:7" x14ac:dyDescent="0.25">
      <c r="A559" t="str">
        <f t="shared" ca="1" si="8"/>
        <v>b3050000420020_calculatedonamountratelink_id</v>
      </c>
      <c r="B559" t="s">
        <v>359</v>
      </c>
      <c r="C559" t="s">
        <v>357</v>
      </c>
      <c r="D559" t="s">
        <v>157</v>
      </c>
      <c r="E559" t="b">
        <v>0</v>
      </c>
      <c r="F559" t="b">
        <v>0</v>
      </c>
    </row>
    <row r="560" spans="1:7" x14ac:dyDescent="0.25">
      <c r="A560" t="str">
        <f t="shared" ca="1" si="8"/>
        <v>b3050000420020_calculatedonamountratelink_id_uid</v>
      </c>
      <c r="B560" t="s">
        <v>359</v>
      </c>
      <c r="C560" t="s">
        <v>358</v>
      </c>
      <c r="D560" t="s">
        <v>160</v>
      </c>
      <c r="E560" t="b">
        <v>0</v>
      </c>
      <c r="F560" t="b">
        <v>0</v>
      </c>
    </row>
    <row r="561" spans="1:7" x14ac:dyDescent="0.25">
      <c r="A561" t="str">
        <f t="shared" ca="1" si="8"/>
        <v>b3050000420020_calculatedonamountratio</v>
      </c>
      <c r="B561" t="s">
        <v>359</v>
      </c>
      <c r="C561" t="s">
        <v>365</v>
      </c>
      <c r="D561" t="s">
        <v>250</v>
      </c>
      <c r="E561" t="b">
        <v>0</v>
      </c>
      <c r="F561" t="b">
        <v>0</v>
      </c>
      <c r="G561" t="s">
        <v>611</v>
      </c>
    </row>
    <row r="562" spans="1:7" x14ac:dyDescent="0.25">
      <c r="A562" t="str">
        <f t="shared" ca="1" si="8"/>
        <v>b3050000420020_calculatedonamountsys_lastchangedate</v>
      </c>
      <c r="B562" t="s">
        <v>359</v>
      </c>
      <c r="C562" t="s">
        <v>203</v>
      </c>
      <c r="D562" t="s">
        <v>154</v>
      </c>
      <c r="E562" t="b">
        <v>0</v>
      </c>
      <c r="F562" t="b">
        <v>0</v>
      </c>
      <c r="G562" t="s">
        <v>505</v>
      </c>
    </row>
    <row r="563" spans="1:7" x14ac:dyDescent="0.25">
      <c r="A563" t="str">
        <f t="shared" ca="1" si="8"/>
        <v>b3050000420020_calculatedonamounttype</v>
      </c>
      <c r="B563" t="s">
        <v>359</v>
      </c>
      <c r="C563" t="s">
        <v>208</v>
      </c>
      <c r="D563" t="s">
        <v>157</v>
      </c>
      <c r="E563" t="b">
        <v>0</v>
      </c>
      <c r="F563" t="b">
        <v>0</v>
      </c>
      <c r="G563" t="s">
        <v>509</v>
      </c>
    </row>
    <row r="564" spans="1:7" x14ac:dyDescent="0.25">
      <c r="A564" t="str">
        <f t="shared" ca="1" si="8"/>
        <v>b3050000420020_calculatedonamountctl_action</v>
      </c>
      <c r="B564" t="s">
        <v>359</v>
      </c>
      <c r="C564" t="s">
        <v>214</v>
      </c>
      <c r="D564" t="s">
        <v>157</v>
      </c>
      <c r="E564" t="b">
        <v>0</v>
      </c>
      <c r="F564" t="b">
        <v>0</v>
      </c>
    </row>
    <row r="565" spans="1:7" x14ac:dyDescent="0.25">
      <c r="A565" t="str">
        <f t="shared" ca="1" si="8"/>
        <v>b3050000420020_calculatedonamountctl_loading</v>
      </c>
      <c r="B565" t="s">
        <v>359</v>
      </c>
      <c r="C565" t="s">
        <v>215</v>
      </c>
      <c r="D565" t="s">
        <v>205</v>
      </c>
      <c r="E565" t="b">
        <v>0</v>
      </c>
      <c r="F565" t="b">
        <v>0</v>
      </c>
    </row>
    <row r="566" spans="1:7" x14ac:dyDescent="0.25">
      <c r="A566" t="str">
        <f t="shared" ca="1" si="8"/>
        <v>b3050000420020_calculatedonamountctl_validfrom</v>
      </c>
      <c r="B566" t="s">
        <v>359</v>
      </c>
      <c r="C566" t="s">
        <v>216</v>
      </c>
      <c r="D566" t="s">
        <v>154</v>
      </c>
      <c r="E566" t="b">
        <v>0</v>
      </c>
      <c r="F566" t="b">
        <v>0</v>
      </c>
    </row>
    <row r="567" spans="1:7" x14ac:dyDescent="0.25">
      <c r="A567" t="str">
        <f t="shared" ca="1" si="8"/>
        <v>b3050000420020_calculatedonamountinfo_system_id</v>
      </c>
      <c r="B567" t="s">
        <v>359</v>
      </c>
      <c r="C567" t="s">
        <v>217</v>
      </c>
      <c r="D567" t="s">
        <v>205</v>
      </c>
      <c r="E567" t="b">
        <v>0</v>
      </c>
      <c r="F567" t="b">
        <v>0</v>
      </c>
    </row>
    <row r="568" spans="1:7" x14ac:dyDescent="0.25">
      <c r="A568" t="str">
        <f t="shared" ca="1" si="8"/>
        <v>b3050000420020_calculatedonamountinfo_system_inst_cd</v>
      </c>
      <c r="B568" t="s">
        <v>359</v>
      </c>
      <c r="C568" t="s">
        <v>218</v>
      </c>
      <c r="D568" t="s">
        <v>157</v>
      </c>
      <c r="E568" t="b">
        <v>0</v>
      </c>
      <c r="F568" t="b">
        <v>0</v>
      </c>
    </row>
    <row r="569" spans="1:7" x14ac:dyDescent="0.25">
      <c r="A569" t="str">
        <f t="shared" ca="1" si="8"/>
        <v>b3050000420020_calculatedonamountinfo_system_type_cd</v>
      </c>
      <c r="B569" t="s">
        <v>359</v>
      </c>
      <c r="C569" t="s">
        <v>219</v>
      </c>
      <c r="D569" t="s">
        <v>157</v>
      </c>
      <c r="E569" t="b">
        <v>0</v>
      </c>
      <c r="F569" t="b">
        <v>0</v>
      </c>
    </row>
    <row r="570" spans="1:7" x14ac:dyDescent="0.25">
      <c r="A570" t="str">
        <f t="shared" ca="1" si="8"/>
        <v>b3050000420020_calculatedonamountinput_file_id</v>
      </c>
      <c r="B570" t="s">
        <v>359</v>
      </c>
      <c r="C570" t="s">
        <v>220</v>
      </c>
      <c r="D570" t="s">
        <v>205</v>
      </c>
      <c r="E570" t="b">
        <v>0</v>
      </c>
      <c r="F570" t="b">
        <v>0</v>
      </c>
    </row>
    <row r="571" spans="1:7" x14ac:dyDescent="0.25">
      <c r="A571" t="str">
        <f t="shared" ca="1" si="8"/>
        <v>b3050000420020_calculatedonamountinput_package_id</v>
      </c>
      <c r="B571" t="s">
        <v>359</v>
      </c>
      <c r="C571" t="s">
        <v>221</v>
      </c>
      <c r="D571" t="s">
        <v>205</v>
      </c>
      <c r="E571" t="b">
        <v>0</v>
      </c>
      <c r="F571" t="b">
        <v>0</v>
      </c>
    </row>
    <row r="572" spans="1:7" x14ac:dyDescent="0.25">
      <c r="A572" s="2" t="str">
        <f t="shared" ca="1" si="8"/>
        <v>b3050000420020_calculatedonamountworkflow_run_id</v>
      </c>
      <c r="B572" s="2" t="s">
        <v>359</v>
      </c>
      <c r="C572" s="2" t="s">
        <v>222</v>
      </c>
      <c r="D572" s="2" t="s">
        <v>205</v>
      </c>
      <c r="E572" s="2" t="b">
        <v>0</v>
      </c>
      <c r="F572" s="2" t="b">
        <v>0</v>
      </c>
      <c r="G572" s="2"/>
    </row>
    <row r="573" spans="1:7" x14ac:dyDescent="0.25">
      <c r="A573" t="str">
        <f t="shared" ca="1" si="8"/>
        <v>b3050000420021_calculateratestructureaggregateroot_id</v>
      </c>
      <c r="B573" t="s">
        <v>366</v>
      </c>
      <c r="C573" t="s">
        <v>233</v>
      </c>
      <c r="D573" t="s">
        <v>157</v>
      </c>
      <c r="E573" t="b">
        <v>0</v>
      </c>
      <c r="F573" t="b">
        <v>0</v>
      </c>
      <c r="G573" t="s">
        <v>519</v>
      </c>
    </row>
    <row r="574" spans="1:7" s="2" customFormat="1" x14ac:dyDescent="0.25">
      <c r="A574" t="str">
        <f t="shared" ca="1" si="8"/>
        <v>b3050000420021_calculateratestructureindicator_</v>
      </c>
      <c r="B574" t="s">
        <v>366</v>
      </c>
      <c r="C574" t="s">
        <v>360</v>
      </c>
      <c r="D574" t="s">
        <v>157</v>
      </c>
      <c r="E574" t="b">
        <v>0</v>
      </c>
      <c r="F574" t="b">
        <v>0</v>
      </c>
      <c r="G574" t="s">
        <v>607</v>
      </c>
    </row>
    <row r="575" spans="1:7" x14ac:dyDescent="0.25">
      <c r="A575" t="str">
        <f t="shared" ca="1" si="8"/>
        <v>b3050000420021_calculateratestructureindicator_uid</v>
      </c>
      <c r="B575" t="s">
        <v>366</v>
      </c>
      <c r="C575" t="s">
        <v>361</v>
      </c>
      <c r="D575" t="s">
        <v>160</v>
      </c>
      <c r="E575" t="b">
        <v>0</v>
      </c>
      <c r="F575" t="b">
        <v>0</v>
      </c>
    </row>
    <row r="576" spans="1:7" x14ac:dyDescent="0.25">
      <c r="A576" t="str">
        <f t="shared" ca="1" si="8"/>
        <v>b3050000420021_calculateratestructuremaxratelimit</v>
      </c>
      <c r="B576" t="s">
        <v>366</v>
      </c>
      <c r="C576" t="s">
        <v>362</v>
      </c>
      <c r="D576" t="s">
        <v>250</v>
      </c>
      <c r="E576" t="b">
        <v>0</v>
      </c>
      <c r="F576" t="b">
        <v>0</v>
      </c>
      <c r="G576" t="s">
        <v>608</v>
      </c>
    </row>
    <row r="577" spans="1:7" x14ac:dyDescent="0.25">
      <c r="A577" t="str">
        <f t="shared" ca="1" si="8"/>
        <v>b3050000420021_calculateratestructureminratelimit</v>
      </c>
      <c r="B577" t="s">
        <v>366</v>
      </c>
      <c r="C577" t="s">
        <v>363</v>
      </c>
      <c r="D577" t="s">
        <v>250</v>
      </c>
      <c r="E577" t="b">
        <v>0</v>
      </c>
      <c r="F577" t="b">
        <v>0</v>
      </c>
      <c r="G577" t="s">
        <v>609</v>
      </c>
    </row>
    <row r="578" spans="1:7" x14ac:dyDescent="0.25">
      <c r="A578" t="str">
        <f t="shared" ref="A578:A641" ca="1" si="9">INDIRECT("R[0]C[1]",0)&amp;INDIRECT("R[0]C[2]",0)</f>
        <v>b3050000420021_calculateratestructureobject_id</v>
      </c>
      <c r="B578" t="s">
        <v>366</v>
      </c>
      <c r="C578" t="s">
        <v>179</v>
      </c>
      <c r="D578" t="s">
        <v>157</v>
      </c>
      <c r="E578" t="b">
        <v>1</v>
      </c>
      <c r="F578" t="b">
        <v>1</v>
      </c>
      <c r="G578" t="s">
        <v>485</v>
      </c>
    </row>
    <row r="579" spans="1:7" x14ac:dyDescent="0.25">
      <c r="A579" t="str">
        <f t="shared" ca="1" si="9"/>
        <v>b3050000420021_calculateratestructureobject_id_uid</v>
      </c>
      <c r="B579" t="s">
        <v>366</v>
      </c>
      <c r="C579" t="s">
        <v>180</v>
      </c>
      <c r="D579" t="s">
        <v>160</v>
      </c>
      <c r="E579" t="b">
        <v>0</v>
      </c>
      <c r="F579" t="b">
        <v>0</v>
      </c>
    </row>
    <row r="580" spans="1:7" x14ac:dyDescent="0.25">
      <c r="A580" t="str">
        <f t="shared" ca="1" si="9"/>
        <v>b3050000420021_calculateratestructureoffflag</v>
      </c>
      <c r="B580" t="s">
        <v>366</v>
      </c>
      <c r="C580" t="s">
        <v>181</v>
      </c>
      <c r="D580" t="s">
        <v>182</v>
      </c>
      <c r="E580" t="b">
        <v>0</v>
      </c>
      <c r="F580" t="b">
        <v>0</v>
      </c>
      <c r="G580" t="s">
        <v>486</v>
      </c>
    </row>
    <row r="581" spans="1:7" x14ac:dyDescent="0.25">
      <c r="A581" t="str">
        <f t="shared" ca="1" si="9"/>
        <v>b3050000420021_calculateratestructureoperation</v>
      </c>
      <c r="B581" t="s">
        <v>366</v>
      </c>
      <c r="C581" t="s">
        <v>364</v>
      </c>
      <c r="D581" t="s">
        <v>157</v>
      </c>
      <c r="E581" t="b">
        <v>0</v>
      </c>
      <c r="F581" t="b">
        <v>0</v>
      </c>
      <c r="G581" t="s">
        <v>610</v>
      </c>
    </row>
    <row r="582" spans="1:7" x14ac:dyDescent="0.25">
      <c r="A582" t="str">
        <f t="shared" ca="1" si="9"/>
        <v>b3050000420021_calculateratestructureratelink_id</v>
      </c>
      <c r="B582" t="s">
        <v>366</v>
      </c>
      <c r="C582" t="s">
        <v>357</v>
      </c>
      <c r="D582" t="s">
        <v>157</v>
      </c>
      <c r="E582" t="b">
        <v>0</v>
      </c>
      <c r="F582" t="b">
        <v>0</v>
      </c>
    </row>
    <row r="583" spans="1:7" x14ac:dyDescent="0.25">
      <c r="A583" t="str">
        <f t="shared" ca="1" si="9"/>
        <v>b3050000420021_calculateratestructureratelink_id_uid</v>
      </c>
      <c r="B583" t="s">
        <v>366</v>
      </c>
      <c r="C583" t="s">
        <v>358</v>
      </c>
      <c r="D583" t="s">
        <v>160</v>
      </c>
      <c r="E583" t="b">
        <v>0</v>
      </c>
      <c r="F583" t="b">
        <v>0</v>
      </c>
    </row>
    <row r="584" spans="1:7" x14ac:dyDescent="0.25">
      <c r="A584" t="str">
        <f t="shared" ca="1" si="9"/>
        <v>b3050000420021_calculateratestructureratio</v>
      </c>
      <c r="B584" t="s">
        <v>366</v>
      </c>
      <c r="C584" t="s">
        <v>365</v>
      </c>
      <c r="D584" t="s">
        <v>250</v>
      </c>
      <c r="E584" t="b">
        <v>0</v>
      </c>
      <c r="F584" t="b">
        <v>0</v>
      </c>
      <c r="G584" t="s">
        <v>611</v>
      </c>
    </row>
    <row r="585" spans="1:7" x14ac:dyDescent="0.25">
      <c r="A585" t="str">
        <f t="shared" ca="1" si="9"/>
        <v>b3050000420021_calculateratestructuresys_lastchangedate</v>
      </c>
      <c r="B585" t="s">
        <v>366</v>
      </c>
      <c r="C585" t="s">
        <v>203</v>
      </c>
      <c r="D585" t="s">
        <v>154</v>
      </c>
      <c r="E585" t="b">
        <v>0</v>
      </c>
      <c r="F585" t="b">
        <v>0</v>
      </c>
      <c r="G585" t="s">
        <v>505</v>
      </c>
    </row>
    <row r="586" spans="1:7" x14ac:dyDescent="0.25">
      <c r="A586" t="str">
        <f t="shared" ca="1" si="9"/>
        <v>b3050000420021_calculateratestructuretype</v>
      </c>
      <c r="B586" t="s">
        <v>366</v>
      </c>
      <c r="C586" t="s">
        <v>208</v>
      </c>
      <c r="D586" t="s">
        <v>157</v>
      </c>
      <c r="E586" t="b">
        <v>0</v>
      </c>
      <c r="F586" t="b">
        <v>0</v>
      </c>
      <c r="G586" t="s">
        <v>509</v>
      </c>
    </row>
    <row r="587" spans="1:7" x14ac:dyDescent="0.25">
      <c r="A587" t="str">
        <f t="shared" ca="1" si="9"/>
        <v>b3050000420021_calculateratestructurectl_action</v>
      </c>
      <c r="B587" t="s">
        <v>366</v>
      </c>
      <c r="C587" t="s">
        <v>214</v>
      </c>
      <c r="D587" t="s">
        <v>157</v>
      </c>
      <c r="E587" t="b">
        <v>0</v>
      </c>
      <c r="F587" t="b">
        <v>0</v>
      </c>
    </row>
    <row r="588" spans="1:7" x14ac:dyDescent="0.25">
      <c r="A588" t="str">
        <f t="shared" ca="1" si="9"/>
        <v>b3050000420021_calculateratestructurectl_loading</v>
      </c>
      <c r="B588" t="s">
        <v>366</v>
      </c>
      <c r="C588" t="s">
        <v>215</v>
      </c>
      <c r="D588" t="s">
        <v>205</v>
      </c>
      <c r="E588" t="b">
        <v>0</v>
      </c>
      <c r="F588" t="b">
        <v>0</v>
      </c>
    </row>
    <row r="589" spans="1:7" x14ac:dyDescent="0.25">
      <c r="A589" t="str">
        <f t="shared" ca="1" si="9"/>
        <v>b3050000420021_calculateratestructurectl_validfrom</v>
      </c>
      <c r="B589" t="s">
        <v>366</v>
      </c>
      <c r="C589" t="s">
        <v>216</v>
      </c>
      <c r="D589" t="s">
        <v>154</v>
      </c>
      <c r="E589" t="b">
        <v>0</v>
      </c>
      <c r="F589" t="b">
        <v>0</v>
      </c>
    </row>
    <row r="590" spans="1:7" x14ac:dyDescent="0.25">
      <c r="A590" t="str">
        <f t="shared" ca="1" si="9"/>
        <v>b3050000420021_calculateratestructureinfo_system_id</v>
      </c>
      <c r="B590" t="s">
        <v>366</v>
      </c>
      <c r="C590" t="s">
        <v>217</v>
      </c>
      <c r="D590" t="s">
        <v>205</v>
      </c>
      <c r="E590" t="b">
        <v>0</v>
      </c>
      <c r="F590" t="b">
        <v>0</v>
      </c>
    </row>
    <row r="591" spans="1:7" x14ac:dyDescent="0.25">
      <c r="A591" t="str">
        <f t="shared" ca="1" si="9"/>
        <v>b3050000420021_calculateratestructureinfo_system_inst_cd</v>
      </c>
      <c r="B591" t="s">
        <v>366</v>
      </c>
      <c r="C591" t="s">
        <v>218</v>
      </c>
      <c r="D591" t="s">
        <v>157</v>
      </c>
      <c r="E591" t="b">
        <v>0</v>
      </c>
      <c r="F591" t="b">
        <v>0</v>
      </c>
    </row>
    <row r="592" spans="1:7" x14ac:dyDescent="0.25">
      <c r="A592" t="str">
        <f t="shared" ca="1" si="9"/>
        <v>b3050000420021_calculateratestructureinfo_system_type_cd</v>
      </c>
      <c r="B592" t="s">
        <v>366</v>
      </c>
      <c r="C592" t="s">
        <v>219</v>
      </c>
      <c r="D592" t="s">
        <v>157</v>
      </c>
      <c r="E592" t="b">
        <v>0</v>
      </c>
      <c r="F592" t="b">
        <v>0</v>
      </c>
    </row>
    <row r="593" spans="1:7" x14ac:dyDescent="0.25">
      <c r="A593" t="str">
        <f t="shared" ca="1" si="9"/>
        <v>b3050000420021_calculateratestructureinput_file_id</v>
      </c>
      <c r="B593" t="s">
        <v>366</v>
      </c>
      <c r="C593" t="s">
        <v>220</v>
      </c>
      <c r="D593" t="s">
        <v>205</v>
      </c>
      <c r="E593" t="b">
        <v>0</v>
      </c>
      <c r="F593" t="b">
        <v>0</v>
      </c>
    </row>
    <row r="594" spans="1:7" x14ac:dyDescent="0.25">
      <c r="A594" t="str">
        <f t="shared" ca="1" si="9"/>
        <v>b3050000420021_calculateratestructureinput_package_id</v>
      </c>
      <c r="B594" t="s">
        <v>366</v>
      </c>
      <c r="C594" t="s">
        <v>221</v>
      </c>
      <c r="D594" t="s">
        <v>205</v>
      </c>
      <c r="E594" t="b">
        <v>0</v>
      </c>
      <c r="F594" t="b">
        <v>0</v>
      </c>
    </row>
    <row r="595" spans="1:7" x14ac:dyDescent="0.25">
      <c r="A595" s="2" t="str">
        <f t="shared" ca="1" si="9"/>
        <v>b3050000420021_calculateratestructureworkflow_run_id</v>
      </c>
      <c r="B595" s="2" t="s">
        <v>366</v>
      </c>
      <c r="C595" s="2" t="s">
        <v>222</v>
      </c>
      <c r="D595" s="2" t="s">
        <v>205</v>
      </c>
      <c r="E595" s="2" t="b">
        <v>0</v>
      </c>
      <c r="F595" s="2" t="b">
        <v>0</v>
      </c>
      <c r="G595" s="2"/>
    </row>
    <row r="596" spans="1:7" x14ac:dyDescent="0.25">
      <c r="A596" t="str">
        <f t="shared" ca="1" si="9"/>
        <v>b3050000420022_termdependaggregateroot_id</v>
      </c>
      <c r="B596" t="s">
        <v>367</v>
      </c>
      <c r="C596" t="s">
        <v>233</v>
      </c>
      <c r="D596" t="s">
        <v>157</v>
      </c>
      <c r="E596" t="b">
        <v>0</v>
      </c>
      <c r="F596" t="b">
        <v>0</v>
      </c>
      <c r="G596" t="s">
        <v>519</v>
      </c>
    </row>
    <row r="597" spans="1:7" s="2" customFormat="1" x14ac:dyDescent="0.25">
      <c r="A597" t="str">
        <f t="shared" ca="1" si="9"/>
        <v>b3050000420022_termdependobject_id</v>
      </c>
      <c r="B597" t="s">
        <v>367</v>
      </c>
      <c r="C597" t="s">
        <v>179</v>
      </c>
      <c r="D597" t="s">
        <v>157</v>
      </c>
      <c r="E597" t="b">
        <v>1</v>
      </c>
      <c r="F597" t="b">
        <v>1</v>
      </c>
      <c r="G597" t="s">
        <v>485</v>
      </c>
    </row>
    <row r="598" spans="1:7" x14ac:dyDescent="0.25">
      <c r="A598" t="str">
        <f t="shared" ca="1" si="9"/>
        <v>b3050000420022_termdependobject_id_uid</v>
      </c>
      <c r="B598" t="s">
        <v>367</v>
      </c>
      <c r="C598" t="s">
        <v>180</v>
      </c>
      <c r="D598" t="s">
        <v>160</v>
      </c>
      <c r="E598" t="b">
        <v>0</v>
      </c>
      <c r="F598" t="b">
        <v>0</v>
      </c>
    </row>
    <row r="599" spans="1:7" x14ac:dyDescent="0.25">
      <c r="A599" t="str">
        <f t="shared" ca="1" si="9"/>
        <v>b3050000420022_termdependoffflag</v>
      </c>
      <c r="B599" t="s">
        <v>367</v>
      </c>
      <c r="C599" t="s">
        <v>181</v>
      </c>
      <c r="D599" t="s">
        <v>182</v>
      </c>
      <c r="E599" t="b">
        <v>0</v>
      </c>
      <c r="F599" t="b">
        <v>0</v>
      </c>
      <c r="G599" t="s">
        <v>486</v>
      </c>
    </row>
    <row r="600" spans="1:7" x14ac:dyDescent="0.25">
      <c r="A600" t="str">
        <f t="shared" ca="1" si="9"/>
        <v>b3050000420022_termdependrate</v>
      </c>
      <c r="B600" t="s">
        <v>367</v>
      </c>
      <c r="C600" t="s">
        <v>321</v>
      </c>
      <c r="D600" t="s">
        <v>250</v>
      </c>
      <c r="E600" t="b">
        <v>0</v>
      </c>
      <c r="F600" t="b">
        <v>0</v>
      </c>
      <c r="G600" t="s">
        <v>563</v>
      </c>
    </row>
    <row r="601" spans="1:7" x14ac:dyDescent="0.25">
      <c r="A601" t="str">
        <f t="shared" ca="1" si="9"/>
        <v>b3050000420022_termdependratelink_id</v>
      </c>
      <c r="B601" t="s">
        <v>367</v>
      </c>
      <c r="C601" t="s">
        <v>357</v>
      </c>
      <c r="D601" t="s">
        <v>157</v>
      </c>
      <c r="E601" t="b">
        <v>0</v>
      </c>
      <c r="F601" t="b">
        <v>0</v>
      </c>
    </row>
    <row r="602" spans="1:7" x14ac:dyDescent="0.25">
      <c r="A602" t="str">
        <f t="shared" ca="1" si="9"/>
        <v>b3050000420022_termdependratelink_id_uid</v>
      </c>
      <c r="B602" t="s">
        <v>367</v>
      </c>
      <c r="C602" t="s">
        <v>358</v>
      </c>
      <c r="D602" t="s">
        <v>160</v>
      </c>
      <c r="E602" t="b">
        <v>0</v>
      </c>
      <c r="F602" t="b">
        <v>0</v>
      </c>
    </row>
    <row r="603" spans="1:7" x14ac:dyDescent="0.25">
      <c r="A603" t="str">
        <f t="shared" ca="1" si="9"/>
        <v>b3050000420022_termdependsys_lastchangedate</v>
      </c>
      <c r="B603" t="s">
        <v>367</v>
      </c>
      <c r="C603" t="s">
        <v>203</v>
      </c>
      <c r="D603" t="s">
        <v>154</v>
      </c>
      <c r="E603" t="b">
        <v>0</v>
      </c>
      <c r="F603" t="b">
        <v>0</v>
      </c>
      <c r="G603" t="s">
        <v>505</v>
      </c>
    </row>
    <row r="604" spans="1:7" x14ac:dyDescent="0.25">
      <c r="A604" t="str">
        <f t="shared" ca="1" si="9"/>
        <v>b3050000420022_termdependterm</v>
      </c>
      <c r="B604" t="s">
        <v>367</v>
      </c>
      <c r="C604" t="s">
        <v>368</v>
      </c>
      <c r="D604" t="s">
        <v>369</v>
      </c>
      <c r="E604" t="b">
        <v>0</v>
      </c>
      <c r="F604" t="b">
        <v>0</v>
      </c>
      <c r="G604" t="s">
        <v>555</v>
      </c>
    </row>
    <row r="605" spans="1:7" x14ac:dyDescent="0.25">
      <c r="A605" t="str">
        <f t="shared" ca="1" si="9"/>
        <v>b3050000420022_termdependtype</v>
      </c>
      <c r="B605" t="s">
        <v>367</v>
      </c>
      <c r="C605" t="s">
        <v>208</v>
      </c>
      <c r="D605" t="s">
        <v>157</v>
      </c>
      <c r="E605" t="b">
        <v>0</v>
      </c>
      <c r="F605" t="b">
        <v>0</v>
      </c>
      <c r="G605" t="s">
        <v>509</v>
      </c>
    </row>
    <row r="606" spans="1:7" x14ac:dyDescent="0.25">
      <c r="A606" t="str">
        <f t="shared" ca="1" si="9"/>
        <v>b3050000420022_termdependctl_action</v>
      </c>
      <c r="B606" t="s">
        <v>367</v>
      </c>
      <c r="C606" t="s">
        <v>214</v>
      </c>
      <c r="D606" t="s">
        <v>157</v>
      </c>
      <c r="E606" t="b">
        <v>0</v>
      </c>
      <c r="F606" t="b">
        <v>0</v>
      </c>
    </row>
    <row r="607" spans="1:7" x14ac:dyDescent="0.25">
      <c r="A607" t="str">
        <f t="shared" ca="1" si="9"/>
        <v>b3050000420022_termdependctl_loading</v>
      </c>
      <c r="B607" t="s">
        <v>367</v>
      </c>
      <c r="C607" t="s">
        <v>215</v>
      </c>
      <c r="D607" t="s">
        <v>205</v>
      </c>
      <c r="E607" t="b">
        <v>0</v>
      </c>
      <c r="F607" t="b">
        <v>0</v>
      </c>
    </row>
    <row r="608" spans="1:7" x14ac:dyDescent="0.25">
      <c r="A608" t="str">
        <f t="shared" ca="1" si="9"/>
        <v>b3050000420022_termdependctl_validfrom</v>
      </c>
      <c r="B608" t="s">
        <v>367</v>
      </c>
      <c r="C608" t="s">
        <v>216</v>
      </c>
      <c r="D608" t="s">
        <v>154</v>
      </c>
      <c r="E608" t="b">
        <v>0</v>
      </c>
      <c r="F608" t="b">
        <v>0</v>
      </c>
    </row>
    <row r="609" spans="1:7" x14ac:dyDescent="0.25">
      <c r="A609" t="str">
        <f t="shared" ca="1" si="9"/>
        <v>b3050000420022_termdependinfo_system_id</v>
      </c>
      <c r="B609" t="s">
        <v>367</v>
      </c>
      <c r="C609" t="s">
        <v>217</v>
      </c>
      <c r="D609" t="s">
        <v>205</v>
      </c>
      <c r="E609" t="b">
        <v>0</v>
      </c>
      <c r="F609" t="b">
        <v>0</v>
      </c>
    </row>
    <row r="610" spans="1:7" x14ac:dyDescent="0.25">
      <c r="A610" t="str">
        <f t="shared" ca="1" si="9"/>
        <v>b3050000420022_termdependinfo_system_inst_cd</v>
      </c>
      <c r="B610" t="s">
        <v>367</v>
      </c>
      <c r="C610" t="s">
        <v>218</v>
      </c>
      <c r="D610" t="s">
        <v>157</v>
      </c>
      <c r="E610" t="b">
        <v>0</v>
      </c>
      <c r="F610" t="b">
        <v>0</v>
      </c>
    </row>
    <row r="611" spans="1:7" x14ac:dyDescent="0.25">
      <c r="A611" t="str">
        <f t="shared" ca="1" si="9"/>
        <v>b3050000420022_termdependinfo_system_type_cd</v>
      </c>
      <c r="B611" t="s">
        <v>367</v>
      </c>
      <c r="C611" t="s">
        <v>219</v>
      </c>
      <c r="D611" t="s">
        <v>157</v>
      </c>
      <c r="E611" t="b">
        <v>0</v>
      </c>
      <c r="F611" t="b">
        <v>0</v>
      </c>
    </row>
    <row r="612" spans="1:7" x14ac:dyDescent="0.25">
      <c r="A612" t="str">
        <f t="shared" ca="1" si="9"/>
        <v>b3050000420022_termdependinput_file_id</v>
      </c>
      <c r="B612" t="s">
        <v>367</v>
      </c>
      <c r="C612" t="s">
        <v>220</v>
      </c>
      <c r="D612" t="s">
        <v>205</v>
      </c>
      <c r="E612" t="b">
        <v>0</v>
      </c>
      <c r="F612" t="b">
        <v>0</v>
      </c>
    </row>
    <row r="613" spans="1:7" x14ac:dyDescent="0.25">
      <c r="A613" t="str">
        <f t="shared" ca="1" si="9"/>
        <v>b3050000420022_termdependinput_package_id</v>
      </c>
      <c r="B613" t="s">
        <v>367</v>
      </c>
      <c r="C613" t="s">
        <v>221</v>
      </c>
      <c r="D613" t="s">
        <v>205</v>
      </c>
      <c r="E613" t="b">
        <v>0</v>
      </c>
      <c r="F613" t="b">
        <v>0</v>
      </c>
    </row>
    <row r="614" spans="1:7" x14ac:dyDescent="0.25">
      <c r="A614" s="2" t="str">
        <f t="shared" ca="1" si="9"/>
        <v>b3050000420022_termdependworkflow_run_id</v>
      </c>
      <c r="B614" s="2" t="s">
        <v>367</v>
      </c>
      <c r="C614" s="2" t="s">
        <v>222</v>
      </c>
      <c r="D614" s="2" t="s">
        <v>205</v>
      </c>
      <c r="E614" s="2" t="b">
        <v>0</v>
      </c>
      <c r="F614" s="2" t="b">
        <v>0</v>
      </c>
      <c r="G614" s="2"/>
    </row>
    <row r="615" spans="1:7" x14ac:dyDescent="0.25">
      <c r="A615" t="str">
        <f t="shared" ca="1" si="9"/>
        <v>b3050000420025_productrecallconditionaggregateroot_id</v>
      </c>
      <c r="B615" t="s">
        <v>370</v>
      </c>
      <c r="C615" t="s">
        <v>233</v>
      </c>
      <c r="D615" t="s">
        <v>157</v>
      </c>
      <c r="E615" t="b">
        <v>0</v>
      </c>
      <c r="F615" t="b">
        <v>0</v>
      </c>
      <c r="G615" t="s">
        <v>519</v>
      </c>
    </row>
    <row r="616" spans="1:7" s="2" customFormat="1" x14ac:dyDescent="0.25">
      <c r="A616" t="str">
        <f t="shared" ca="1" si="9"/>
        <v>b3050000420025_productrecallconditionobject_id</v>
      </c>
      <c r="B616" t="s">
        <v>370</v>
      </c>
      <c r="C616" t="s">
        <v>179</v>
      </c>
      <c r="D616" t="s">
        <v>157</v>
      </c>
      <c r="E616" t="b">
        <v>1</v>
      </c>
      <c r="F616" t="b">
        <v>1</v>
      </c>
      <c r="G616" t="s">
        <v>485</v>
      </c>
    </row>
    <row r="617" spans="1:7" x14ac:dyDescent="0.25">
      <c r="A617" t="str">
        <f t="shared" ca="1" si="9"/>
        <v>b3050000420025_productrecallconditionoffflag</v>
      </c>
      <c r="B617" t="s">
        <v>370</v>
      </c>
      <c r="C617" t="s">
        <v>181</v>
      </c>
      <c r="D617" t="s">
        <v>182</v>
      </c>
      <c r="E617" t="b">
        <v>0</v>
      </c>
      <c r="F617" t="b">
        <v>0</v>
      </c>
      <c r="G617" t="s">
        <v>486</v>
      </c>
    </row>
    <row r="618" spans="1:7" x14ac:dyDescent="0.25">
      <c r="A618" t="str">
        <f t="shared" ca="1" si="9"/>
        <v>b3050000420025_productrecallconditionproduct_id</v>
      </c>
      <c r="B618" t="s">
        <v>370</v>
      </c>
      <c r="C618" t="s">
        <v>245</v>
      </c>
      <c r="D618" t="s">
        <v>157</v>
      </c>
      <c r="E618" t="b">
        <v>0</v>
      </c>
      <c r="F618" t="b">
        <v>0</v>
      </c>
      <c r="G618" t="s">
        <v>579</v>
      </c>
    </row>
    <row r="619" spans="1:7" x14ac:dyDescent="0.25">
      <c r="A619" t="str">
        <f t="shared" ca="1" si="9"/>
        <v>b3050000420025_productrecallconditionproductrecallrate_entityid</v>
      </c>
      <c r="B619" t="s">
        <v>370</v>
      </c>
      <c r="C619" t="s">
        <v>371</v>
      </c>
      <c r="D619" t="s">
        <v>157</v>
      </c>
      <c r="E619" t="b">
        <v>0</v>
      </c>
      <c r="F619" t="b">
        <v>0</v>
      </c>
      <c r="G619" t="s">
        <v>563</v>
      </c>
    </row>
    <row r="620" spans="1:7" x14ac:dyDescent="0.25">
      <c r="A620" t="str">
        <f t="shared" ca="1" si="9"/>
        <v>b3050000420025_productrecallconditionrate_entityid</v>
      </c>
      <c r="B620" t="s">
        <v>370</v>
      </c>
      <c r="C620" t="s">
        <v>294</v>
      </c>
      <c r="D620" t="s">
        <v>157</v>
      </c>
      <c r="E620" t="b">
        <v>0</v>
      </c>
      <c r="F620" t="b">
        <v>0</v>
      </c>
      <c r="G620" t="s">
        <v>563</v>
      </c>
    </row>
    <row r="621" spans="1:7" x14ac:dyDescent="0.25">
      <c r="A621" t="str">
        <f t="shared" ca="1" si="9"/>
        <v>b3050000420025_productrecallconditionrecalldate</v>
      </c>
      <c r="B621" t="s">
        <v>370</v>
      </c>
      <c r="C621" t="s">
        <v>372</v>
      </c>
      <c r="D621" t="s">
        <v>154</v>
      </c>
      <c r="E621" t="b">
        <v>0</v>
      </c>
      <c r="F621" t="b">
        <v>0</v>
      </c>
      <c r="G621" t="s">
        <v>612</v>
      </c>
    </row>
    <row r="622" spans="1:7" x14ac:dyDescent="0.25">
      <c r="A622" t="str">
        <f t="shared" ca="1" si="9"/>
        <v>b3050000420025_productrecallconditionrecallrate</v>
      </c>
      <c r="B622" t="s">
        <v>370</v>
      </c>
      <c r="C622" t="s">
        <v>373</v>
      </c>
      <c r="D622" t="s">
        <v>250</v>
      </c>
      <c r="E622" t="b">
        <v>0</v>
      </c>
      <c r="F622" t="b">
        <v>0</v>
      </c>
      <c r="G622" t="s">
        <v>613</v>
      </c>
    </row>
    <row r="623" spans="1:7" x14ac:dyDescent="0.25">
      <c r="A623" t="str">
        <f t="shared" ca="1" si="9"/>
        <v>b3050000420025_productrecallconditionsys_lastchangedate</v>
      </c>
      <c r="B623" t="s">
        <v>370</v>
      </c>
      <c r="C623" t="s">
        <v>203</v>
      </c>
      <c r="D623" t="s">
        <v>154</v>
      </c>
      <c r="E623" t="b">
        <v>0</v>
      </c>
      <c r="F623" t="b">
        <v>0</v>
      </c>
      <c r="G623" t="s">
        <v>505</v>
      </c>
    </row>
    <row r="624" spans="1:7" x14ac:dyDescent="0.25">
      <c r="A624" t="str">
        <f t="shared" ca="1" si="9"/>
        <v>b3050000420025_productrecallconditiontype</v>
      </c>
      <c r="B624" t="s">
        <v>370</v>
      </c>
      <c r="C624" t="s">
        <v>208</v>
      </c>
      <c r="D624" t="s">
        <v>157</v>
      </c>
      <c r="E624" t="b">
        <v>0</v>
      </c>
      <c r="F624" t="b">
        <v>0</v>
      </c>
      <c r="G624" t="s">
        <v>509</v>
      </c>
    </row>
    <row r="625" spans="1:7" x14ac:dyDescent="0.25">
      <c r="A625" t="str">
        <f t="shared" ca="1" si="9"/>
        <v>b3050000420025_productrecallconditionctl_action</v>
      </c>
      <c r="B625" t="s">
        <v>370</v>
      </c>
      <c r="C625" t="s">
        <v>214</v>
      </c>
      <c r="D625" t="s">
        <v>157</v>
      </c>
      <c r="E625" t="b">
        <v>0</v>
      </c>
      <c r="F625" t="b">
        <v>0</v>
      </c>
    </row>
    <row r="626" spans="1:7" x14ac:dyDescent="0.25">
      <c r="A626" t="str">
        <f t="shared" ca="1" si="9"/>
        <v>b3050000420025_productrecallconditionctl_loading</v>
      </c>
      <c r="B626" t="s">
        <v>370</v>
      </c>
      <c r="C626" t="s">
        <v>215</v>
      </c>
      <c r="D626" t="s">
        <v>205</v>
      </c>
      <c r="E626" t="b">
        <v>0</v>
      </c>
      <c r="F626" t="b">
        <v>0</v>
      </c>
    </row>
    <row r="627" spans="1:7" x14ac:dyDescent="0.25">
      <c r="A627" t="str">
        <f t="shared" ca="1" si="9"/>
        <v>b3050000420025_productrecallconditionctl_validfrom</v>
      </c>
      <c r="B627" t="s">
        <v>370</v>
      </c>
      <c r="C627" t="s">
        <v>216</v>
      </c>
      <c r="D627" t="s">
        <v>154</v>
      </c>
      <c r="E627" t="b">
        <v>0</v>
      </c>
      <c r="F627" t="b">
        <v>0</v>
      </c>
    </row>
    <row r="628" spans="1:7" x14ac:dyDescent="0.25">
      <c r="A628" t="str">
        <f t="shared" ca="1" si="9"/>
        <v>b3050000420025_productrecallconditioninfo_system_id</v>
      </c>
      <c r="B628" t="s">
        <v>370</v>
      </c>
      <c r="C628" t="s">
        <v>217</v>
      </c>
      <c r="D628" t="s">
        <v>205</v>
      </c>
      <c r="E628" t="b">
        <v>0</v>
      </c>
      <c r="F628" t="b">
        <v>0</v>
      </c>
    </row>
    <row r="629" spans="1:7" x14ac:dyDescent="0.25">
      <c r="A629" t="str">
        <f t="shared" ca="1" si="9"/>
        <v>b3050000420025_productrecallconditioninfo_system_inst_cd</v>
      </c>
      <c r="B629" t="s">
        <v>370</v>
      </c>
      <c r="C629" t="s">
        <v>218</v>
      </c>
      <c r="D629" t="s">
        <v>157</v>
      </c>
      <c r="E629" t="b">
        <v>0</v>
      </c>
      <c r="F629" t="b">
        <v>0</v>
      </c>
    </row>
    <row r="630" spans="1:7" x14ac:dyDescent="0.25">
      <c r="A630" t="str">
        <f t="shared" ca="1" si="9"/>
        <v>b3050000420025_productrecallconditioninfo_system_type_cd</v>
      </c>
      <c r="B630" t="s">
        <v>370</v>
      </c>
      <c r="C630" t="s">
        <v>219</v>
      </c>
      <c r="D630" t="s">
        <v>157</v>
      </c>
      <c r="E630" t="b">
        <v>0</v>
      </c>
      <c r="F630" t="b">
        <v>0</v>
      </c>
    </row>
    <row r="631" spans="1:7" x14ac:dyDescent="0.25">
      <c r="A631" t="str">
        <f t="shared" ca="1" si="9"/>
        <v>b3050000420025_productrecallconditioninput_file_id</v>
      </c>
      <c r="B631" t="s">
        <v>370</v>
      </c>
      <c r="C631" t="s">
        <v>220</v>
      </c>
      <c r="D631" t="s">
        <v>205</v>
      </c>
      <c r="E631" t="b">
        <v>0</v>
      </c>
      <c r="F631" t="b">
        <v>0</v>
      </c>
    </row>
    <row r="632" spans="1:7" x14ac:dyDescent="0.25">
      <c r="A632" t="str">
        <f t="shared" ca="1" si="9"/>
        <v>b3050000420025_productrecallconditioninput_package_id</v>
      </c>
      <c r="B632" t="s">
        <v>370</v>
      </c>
      <c r="C632" t="s">
        <v>221</v>
      </c>
      <c r="D632" t="s">
        <v>205</v>
      </c>
      <c r="E632" t="b">
        <v>0</v>
      </c>
      <c r="F632" t="b">
        <v>0</v>
      </c>
    </row>
    <row r="633" spans="1:7" x14ac:dyDescent="0.25">
      <c r="A633" s="2" t="str">
        <f t="shared" ca="1" si="9"/>
        <v>b3050000420025_productrecallconditionworkflow_run_id</v>
      </c>
      <c r="B633" s="2" t="s">
        <v>370</v>
      </c>
      <c r="C633" s="2" t="s">
        <v>222</v>
      </c>
      <c r="D633" s="2" t="s">
        <v>205</v>
      </c>
      <c r="E633" s="2" t="b">
        <v>0</v>
      </c>
      <c r="F633" s="2" t="b">
        <v>0</v>
      </c>
      <c r="G633" s="2"/>
    </row>
    <row r="634" spans="1:7" x14ac:dyDescent="0.25">
      <c r="A634" t="str">
        <f t="shared" ca="1" si="9"/>
        <v>b3050000420026_depositadditionalinfoaggregateroot_id</v>
      </c>
      <c r="B634" t="s">
        <v>374</v>
      </c>
      <c r="C634" t="s">
        <v>233</v>
      </c>
      <c r="D634" t="s">
        <v>157</v>
      </c>
      <c r="E634" t="b">
        <v>0</v>
      </c>
      <c r="F634" t="b">
        <v>0</v>
      </c>
      <c r="G634" t="s">
        <v>519</v>
      </c>
    </row>
    <row r="635" spans="1:7" s="2" customFormat="1" x14ac:dyDescent="0.25">
      <c r="A635" t="str">
        <f t="shared" ca="1" si="9"/>
        <v>b3050000420026_depositadditionalinfodebitdate</v>
      </c>
      <c r="B635" t="s">
        <v>374</v>
      </c>
      <c r="C635" t="s">
        <v>311</v>
      </c>
      <c r="D635" t="s">
        <v>154</v>
      </c>
      <c r="E635" t="b">
        <v>0</v>
      </c>
      <c r="F635" t="b">
        <v>0</v>
      </c>
      <c r="G635" t="s">
        <v>614</v>
      </c>
    </row>
    <row r="636" spans="1:7" x14ac:dyDescent="0.25">
      <c r="A636" t="str">
        <f t="shared" ca="1" si="9"/>
        <v>b3050000420026_depositadditionalinfodepositaccountname</v>
      </c>
      <c r="B636" t="s">
        <v>374</v>
      </c>
      <c r="C636" t="s">
        <v>375</v>
      </c>
      <c r="D636" t="s">
        <v>157</v>
      </c>
      <c r="E636" t="b">
        <v>0</v>
      </c>
      <c r="F636" t="b">
        <v>0</v>
      </c>
      <c r="G636" t="s">
        <v>615</v>
      </c>
    </row>
    <row r="637" spans="1:7" x14ac:dyDescent="0.25">
      <c r="A637" t="str">
        <f t="shared" ca="1" si="9"/>
        <v>b3050000420026_depositadditionalinfofirstproduct_entityid</v>
      </c>
      <c r="B637" t="s">
        <v>374</v>
      </c>
      <c r="C637" t="s">
        <v>376</v>
      </c>
      <c r="D637" t="s">
        <v>157</v>
      </c>
      <c r="E637" t="b">
        <v>0</v>
      </c>
      <c r="F637" t="b">
        <v>0</v>
      </c>
      <c r="G637" t="s">
        <v>616</v>
      </c>
    </row>
    <row r="638" spans="1:7" x14ac:dyDescent="0.25">
      <c r="A638" t="str">
        <f t="shared" ca="1" si="9"/>
        <v>b3050000420026_depositadditionalinfofirstproduct_entityid_uid</v>
      </c>
      <c r="B638" t="s">
        <v>374</v>
      </c>
      <c r="C638" t="s">
        <v>377</v>
      </c>
      <c r="D638" t="s">
        <v>160</v>
      </c>
      <c r="E638" t="b">
        <v>0</v>
      </c>
      <c r="F638" t="b">
        <v>0</v>
      </c>
    </row>
    <row r="639" spans="1:7" x14ac:dyDescent="0.25">
      <c r="A639" t="str">
        <f t="shared" ca="1" si="9"/>
        <v>b3050000420026_depositadditionalinfointerestdeductionaccount</v>
      </c>
      <c r="B639" t="s">
        <v>374</v>
      </c>
      <c r="C639" t="s">
        <v>378</v>
      </c>
      <c r="D639" t="s">
        <v>157</v>
      </c>
      <c r="E639" t="b">
        <v>0</v>
      </c>
      <c r="F639" t="b">
        <v>0</v>
      </c>
      <c r="G639" t="s">
        <v>617</v>
      </c>
    </row>
    <row r="640" spans="1:7" x14ac:dyDescent="0.25">
      <c r="A640" t="str">
        <f t="shared" ca="1" si="9"/>
        <v>b3050000420026_depositadditionalinfomaxamount</v>
      </c>
      <c r="B640" t="s">
        <v>374</v>
      </c>
      <c r="C640" t="s">
        <v>379</v>
      </c>
      <c r="D640" t="s">
        <v>250</v>
      </c>
      <c r="E640" t="b">
        <v>0</v>
      </c>
      <c r="F640" t="b">
        <v>0</v>
      </c>
      <c r="G640" t="s">
        <v>618</v>
      </c>
    </row>
    <row r="641" spans="1:7" x14ac:dyDescent="0.25">
      <c r="A641" t="str">
        <f t="shared" ca="1" si="9"/>
        <v>b3050000420026_depositadditionalinfomaxreplenishmentamount</v>
      </c>
      <c r="B641" t="s">
        <v>374</v>
      </c>
      <c r="C641" t="s">
        <v>380</v>
      </c>
      <c r="D641" t="s">
        <v>250</v>
      </c>
      <c r="E641" t="b">
        <v>0</v>
      </c>
      <c r="F641" t="b">
        <v>0</v>
      </c>
      <c r="G641" t="s">
        <v>619</v>
      </c>
    </row>
    <row r="642" spans="1:7" x14ac:dyDescent="0.25">
      <c r="A642" t="str">
        <f t="shared" ref="A642:A712" ca="1" si="10">INDIRECT("R[0]C[1]",0)&amp;INDIRECT("R[0]C[2]",0)</f>
        <v>b3050000420026_depositadditionalinfominamount</v>
      </c>
      <c r="B642" t="s">
        <v>374</v>
      </c>
      <c r="C642" t="s">
        <v>381</v>
      </c>
      <c r="D642" t="s">
        <v>250</v>
      </c>
      <c r="E642" t="b">
        <v>0</v>
      </c>
      <c r="F642" t="b">
        <v>0</v>
      </c>
      <c r="G642" t="s">
        <v>620</v>
      </c>
    </row>
    <row r="643" spans="1:7" x14ac:dyDescent="0.25">
      <c r="A643" t="str">
        <f t="shared" ca="1" si="10"/>
        <v>b3050000420026_depositadditionalinfominreplenishmentamount</v>
      </c>
      <c r="B643" t="s">
        <v>374</v>
      </c>
      <c r="C643" t="s">
        <v>382</v>
      </c>
      <c r="D643" t="s">
        <v>250</v>
      </c>
      <c r="E643" t="b">
        <v>0</v>
      </c>
      <c r="F643" t="b">
        <v>0</v>
      </c>
      <c r="G643" t="s">
        <v>621</v>
      </c>
    </row>
    <row r="644" spans="1:7" x14ac:dyDescent="0.25">
      <c r="A644" t="str">
        <f t="shared" ca="1" si="10"/>
        <v>b3050000420026_depositadditionalinfonewproduct_entityid</v>
      </c>
      <c r="B644" t="s">
        <v>374</v>
      </c>
      <c r="C644" t="s">
        <v>383</v>
      </c>
      <c r="D644" t="s">
        <v>157</v>
      </c>
      <c r="E644" t="b">
        <v>0</v>
      </c>
      <c r="F644" t="b">
        <v>0</v>
      </c>
      <c r="G644" t="s">
        <v>622</v>
      </c>
    </row>
    <row r="645" spans="1:7" x14ac:dyDescent="0.25">
      <c r="A645" t="str">
        <f t="shared" ca="1" si="10"/>
        <v>b3050000420026_depositadditionalinfonewproduct_entityid_uid</v>
      </c>
      <c r="B645" t="s">
        <v>374</v>
      </c>
      <c r="C645" t="s">
        <v>384</v>
      </c>
      <c r="D645" t="s">
        <v>160</v>
      </c>
      <c r="E645" t="b">
        <v>0</v>
      </c>
      <c r="F645" t="b">
        <v>0</v>
      </c>
    </row>
    <row r="646" spans="1:7" x14ac:dyDescent="0.25">
      <c r="A646" t="str">
        <f t="shared" ca="1" si="10"/>
        <v>b3050000420026_depositadditionalinfoobject_id</v>
      </c>
      <c r="B646" t="s">
        <v>374</v>
      </c>
      <c r="C646" t="s">
        <v>179</v>
      </c>
      <c r="D646" t="s">
        <v>157</v>
      </c>
      <c r="E646" t="b">
        <v>1</v>
      </c>
      <c r="F646" t="b">
        <v>1</v>
      </c>
      <c r="G646" t="s">
        <v>485</v>
      </c>
    </row>
    <row r="647" spans="1:7" x14ac:dyDescent="0.25">
      <c r="A647" t="str">
        <f t="shared" ca="1" si="10"/>
        <v>b3050000420026_depositadditionalinfooffflag</v>
      </c>
      <c r="B647" t="s">
        <v>374</v>
      </c>
      <c r="C647" t="s">
        <v>181</v>
      </c>
      <c r="D647" t="s">
        <v>182</v>
      </c>
      <c r="E647" t="b">
        <v>0</v>
      </c>
      <c r="F647" t="b">
        <v>0</v>
      </c>
      <c r="G647" t="s">
        <v>486</v>
      </c>
    </row>
    <row r="648" spans="1:7" x14ac:dyDescent="0.25">
      <c r="A648" t="str">
        <f t="shared" ca="1" si="10"/>
        <v>b3050000420026_depositadditionalinfopartialamounteditability</v>
      </c>
      <c r="B648" t="s">
        <v>374</v>
      </c>
      <c r="C648" t="s">
        <v>385</v>
      </c>
      <c r="D648" t="s">
        <v>164</v>
      </c>
      <c r="E648" t="b">
        <v>0</v>
      </c>
      <c r="F648" t="b">
        <v>0</v>
      </c>
      <c r="G648" t="s">
        <v>623</v>
      </c>
    </row>
    <row r="649" spans="1:7" x14ac:dyDescent="0.25">
      <c r="A649" t="str">
        <f t="shared" ca="1" si="10"/>
        <v>b3050000420026_depositadditionalinfopartialrecallrate_entityid</v>
      </c>
      <c r="B649" t="s">
        <v>374</v>
      </c>
      <c r="C649" t="s">
        <v>386</v>
      </c>
      <c r="D649" t="s">
        <v>157</v>
      </c>
      <c r="E649" t="b">
        <v>0</v>
      </c>
      <c r="F649" t="b">
        <v>0</v>
      </c>
      <c r="G649" t="s">
        <v>624</v>
      </c>
    </row>
    <row r="650" spans="1:7" x14ac:dyDescent="0.25">
      <c r="A650" t="str">
        <f t="shared" ca="1" si="10"/>
        <v>b3050000420026_depositadditionalinfopossibilitypartialrefund</v>
      </c>
      <c r="B650" t="s">
        <v>374</v>
      </c>
      <c r="C650" t="s">
        <v>387</v>
      </c>
      <c r="D650" t="s">
        <v>164</v>
      </c>
      <c r="E650" t="b">
        <v>0</v>
      </c>
      <c r="F650" t="b">
        <v>0</v>
      </c>
      <c r="G650" t="s">
        <v>625</v>
      </c>
    </row>
    <row r="651" spans="1:7" x14ac:dyDescent="0.25">
      <c r="A651" t="str">
        <f t="shared" ca="1" si="10"/>
        <v>b3050000420026_depositadditionalinfoproduct_id</v>
      </c>
      <c r="B651" t="s">
        <v>374</v>
      </c>
      <c r="C651" t="s">
        <v>245</v>
      </c>
      <c r="D651" t="s">
        <v>157</v>
      </c>
      <c r="E651" t="b">
        <v>0</v>
      </c>
      <c r="F651" t="b">
        <v>0</v>
      </c>
    </row>
    <row r="652" spans="1:7" x14ac:dyDescent="0.25">
      <c r="A652" t="str">
        <f t="shared" ca="1" si="10"/>
        <v>b3050000420026_depositadditionalinfoproduct_id_uid</v>
      </c>
      <c r="B652" t="s">
        <v>374</v>
      </c>
      <c r="C652" t="s">
        <v>327</v>
      </c>
      <c r="D652" t="s">
        <v>160</v>
      </c>
      <c r="E652" t="b">
        <v>0</v>
      </c>
      <c r="F652" t="b">
        <v>0</v>
      </c>
    </row>
    <row r="653" spans="1:7" x14ac:dyDescent="0.25">
      <c r="A653" t="str">
        <f t="shared" ca="1" si="10"/>
        <v>b3050000420026_depositadditionalinforecoveryrate_entityid</v>
      </c>
      <c r="B653" t="s">
        <v>374</v>
      </c>
      <c r="C653" t="s">
        <v>388</v>
      </c>
      <c r="D653" t="s">
        <v>157</v>
      </c>
      <c r="E653" t="b">
        <v>0</v>
      </c>
      <c r="F653" t="b">
        <v>0</v>
      </c>
      <c r="G653" t="s">
        <v>626</v>
      </c>
    </row>
    <row r="654" spans="1:7" x14ac:dyDescent="0.25">
      <c r="A654" t="str">
        <f t="shared" ca="1" si="10"/>
        <v>b3050000420026_depositadditionalinfostockexchange</v>
      </c>
      <c r="B654" t="s">
        <v>374</v>
      </c>
      <c r="C654" t="s">
        <v>389</v>
      </c>
      <c r="D654" t="s">
        <v>157</v>
      </c>
      <c r="E654" t="b">
        <v>0</v>
      </c>
      <c r="F654" t="b">
        <v>0</v>
      </c>
      <c r="G654" t="s">
        <v>627</v>
      </c>
    </row>
    <row r="655" spans="1:7" x14ac:dyDescent="0.25">
      <c r="A655" t="str">
        <f t="shared" ca="1" si="10"/>
        <v>b3050000420026_depositadditionalinfosys_lastchangedate</v>
      </c>
      <c r="B655" t="s">
        <v>374</v>
      </c>
      <c r="C655" t="s">
        <v>203</v>
      </c>
      <c r="D655" t="s">
        <v>154</v>
      </c>
      <c r="E655" t="b">
        <v>0</v>
      </c>
      <c r="F655" t="b">
        <v>0</v>
      </c>
      <c r="G655" t="s">
        <v>505</v>
      </c>
    </row>
    <row r="656" spans="1:7" x14ac:dyDescent="0.25">
      <c r="A656" t="str">
        <f t="shared" ca="1" si="10"/>
        <v>b3050000420026_depositadditionalinfotrustmanagementname</v>
      </c>
      <c r="B656" t="s">
        <v>374</v>
      </c>
      <c r="C656" t="s">
        <v>390</v>
      </c>
      <c r="D656" t="s">
        <v>157</v>
      </c>
      <c r="E656" t="b">
        <v>0</v>
      </c>
      <c r="F656" t="b">
        <v>0</v>
      </c>
      <c r="G656" t="s">
        <v>628</v>
      </c>
    </row>
    <row r="657" spans="1:7" x14ac:dyDescent="0.25">
      <c r="A657" t="str">
        <f t="shared" ca="1" si="10"/>
        <v>b3050000420026_depositadditionalinfotype</v>
      </c>
      <c r="B657" t="s">
        <v>374</v>
      </c>
      <c r="C657" t="s">
        <v>208</v>
      </c>
      <c r="D657" t="s">
        <v>157</v>
      </c>
      <c r="E657" t="b">
        <v>0</v>
      </c>
      <c r="F657" t="b">
        <v>0</v>
      </c>
      <c r="G657" t="s">
        <v>509</v>
      </c>
    </row>
    <row r="658" spans="1:7" s="15" customFormat="1" x14ac:dyDescent="0.25">
      <c r="B658" s="15" t="s">
        <v>374</v>
      </c>
      <c r="C658" s="15" t="s">
        <v>1529</v>
      </c>
      <c r="D658" s="15" t="s">
        <v>164</v>
      </c>
      <c r="E658" s="15" t="b">
        <v>0</v>
      </c>
      <c r="F658" s="15" t="b">
        <v>0</v>
      </c>
      <c r="G658" s="15" t="s">
        <v>1531</v>
      </c>
    </row>
    <row r="659" spans="1:7" s="15" customFormat="1" x14ac:dyDescent="0.25">
      <c r="B659" s="15" t="s">
        <v>374</v>
      </c>
      <c r="C659" s="15" t="s">
        <v>1620</v>
      </c>
      <c r="D659" s="15" t="s">
        <v>157</v>
      </c>
      <c r="E659" s="15" t="b">
        <v>0</v>
      </c>
      <c r="F659" s="15" t="b">
        <v>0</v>
      </c>
      <c r="G659" s="15" t="s">
        <v>1621</v>
      </c>
    </row>
    <row r="660" spans="1:7" s="15" customFormat="1" x14ac:dyDescent="0.25">
      <c r="B660" s="15" t="s">
        <v>374</v>
      </c>
      <c r="C660" s="15" t="s">
        <v>1530</v>
      </c>
      <c r="D660" s="15" t="s">
        <v>164</v>
      </c>
      <c r="E660" s="15" t="b">
        <v>0</v>
      </c>
      <c r="F660" s="15" t="b">
        <v>0</v>
      </c>
      <c r="G660" s="15" t="s">
        <v>566</v>
      </c>
    </row>
    <row r="661" spans="1:7" x14ac:dyDescent="0.25">
      <c r="A661" t="str">
        <f t="shared" ca="1" si="10"/>
        <v>b3050000420026_depositadditionalinfoctl_action</v>
      </c>
      <c r="B661" t="s">
        <v>374</v>
      </c>
      <c r="C661" t="s">
        <v>214</v>
      </c>
      <c r="D661" t="s">
        <v>157</v>
      </c>
      <c r="E661" t="b">
        <v>0</v>
      </c>
      <c r="F661" t="b">
        <v>0</v>
      </c>
    </row>
    <row r="662" spans="1:7" x14ac:dyDescent="0.25">
      <c r="A662" t="str">
        <f t="shared" ca="1" si="10"/>
        <v>b3050000420026_depositadditionalinfoctl_loading</v>
      </c>
      <c r="B662" t="s">
        <v>374</v>
      </c>
      <c r="C662" t="s">
        <v>215</v>
      </c>
      <c r="D662" t="s">
        <v>205</v>
      </c>
      <c r="E662" t="b">
        <v>0</v>
      </c>
      <c r="F662" t="b">
        <v>0</v>
      </c>
    </row>
    <row r="663" spans="1:7" x14ac:dyDescent="0.25">
      <c r="A663" t="str">
        <f t="shared" ca="1" si="10"/>
        <v>b3050000420026_depositadditionalinfoctl_validfrom</v>
      </c>
      <c r="B663" t="s">
        <v>374</v>
      </c>
      <c r="C663" t="s">
        <v>216</v>
      </c>
      <c r="D663" t="s">
        <v>154</v>
      </c>
      <c r="E663" t="b">
        <v>0</v>
      </c>
      <c r="F663" t="b">
        <v>0</v>
      </c>
    </row>
    <row r="664" spans="1:7" x14ac:dyDescent="0.25">
      <c r="A664" t="str">
        <f t="shared" ca="1" si="10"/>
        <v>b3050000420026_depositadditionalinfoinfo_system_id</v>
      </c>
      <c r="B664" t="s">
        <v>374</v>
      </c>
      <c r="C664" t="s">
        <v>217</v>
      </c>
      <c r="D664" t="s">
        <v>205</v>
      </c>
      <c r="E664" t="b">
        <v>0</v>
      </c>
      <c r="F664" t="b">
        <v>0</v>
      </c>
    </row>
    <row r="665" spans="1:7" x14ac:dyDescent="0.25">
      <c r="A665" t="str">
        <f t="shared" ca="1" si="10"/>
        <v>b3050000420026_depositadditionalinfoinfo_system_inst_cd</v>
      </c>
      <c r="B665" t="s">
        <v>374</v>
      </c>
      <c r="C665" t="s">
        <v>218</v>
      </c>
      <c r="D665" t="s">
        <v>157</v>
      </c>
      <c r="E665" t="b">
        <v>0</v>
      </c>
      <c r="F665" t="b">
        <v>0</v>
      </c>
    </row>
    <row r="666" spans="1:7" x14ac:dyDescent="0.25">
      <c r="A666" t="str">
        <f t="shared" ca="1" si="10"/>
        <v>b3050000420026_depositadditionalinfoinfo_system_type_cd</v>
      </c>
      <c r="B666" t="s">
        <v>374</v>
      </c>
      <c r="C666" t="s">
        <v>219</v>
      </c>
      <c r="D666" t="s">
        <v>157</v>
      </c>
      <c r="E666" t="b">
        <v>0</v>
      </c>
      <c r="F666" t="b">
        <v>0</v>
      </c>
    </row>
    <row r="667" spans="1:7" x14ac:dyDescent="0.25">
      <c r="A667" t="str">
        <f t="shared" ca="1" si="10"/>
        <v>b3050000420026_depositadditionalinfoinput_file_id</v>
      </c>
      <c r="B667" t="s">
        <v>374</v>
      </c>
      <c r="C667" t="s">
        <v>220</v>
      </c>
      <c r="D667" t="s">
        <v>205</v>
      </c>
      <c r="E667" t="b">
        <v>0</v>
      </c>
      <c r="F667" t="b">
        <v>0</v>
      </c>
    </row>
    <row r="668" spans="1:7" x14ac:dyDescent="0.25">
      <c r="A668" t="str">
        <f t="shared" ca="1" si="10"/>
        <v>b3050000420026_depositadditionalinfoinput_package_id</v>
      </c>
      <c r="B668" t="s">
        <v>374</v>
      </c>
      <c r="C668" t="s">
        <v>221</v>
      </c>
      <c r="D668" t="s">
        <v>205</v>
      </c>
      <c r="E668" t="b">
        <v>0</v>
      </c>
      <c r="F668" t="b">
        <v>0</v>
      </c>
    </row>
    <row r="669" spans="1:7" x14ac:dyDescent="0.25">
      <c r="A669" s="2" t="str">
        <f t="shared" ca="1" si="10"/>
        <v>b3050000420026_depositadditionalinfoworkflow_run_id</v>
      </c>
      <c r="B669" s="2" t="s">
        <v>374</v>
      </c>
      <c r="C669" s="2" t="s">
        <v>222</v>
      </c>
      <c r="D669" s="2" t="s">
        <v>205</v>
      </c>
      <c r="E669" s="2" t="b">
        <v>0</v>
      </c>
      <c r="F669" s="2" t="b">
        <v>0</v>
      </c>
      <c r="G669" s="2"/>
    </row>
    <row r="670" spans="1:7" x14ac:dyDescent="0.25">
      <c r="A670" t="str">
        <f t="shared" ca="1" si="10"/>
        <v>b3050000420027_productaccountaccountnumber</v>
      </c>
      <c r="B670" t="s">
        <v>391</v>
      </c>
      <c r="C670" t="s">
        <v>392</v>
      </c>
      <c r="D670" t="s">
        <v>157</v>
      </c>
      <c r="E670" t="b">
        <v>0</v>
      </c>
      <c r="F670" t="b">
        <v>0</v>
      </c>
      <c r="G670" t="s">
        <v>629</v>
      </c>
    </row>
    <row r="671" spans="1:7" s="2" customFormat="1" x14ac:dyDescent="0.25">
      <c r="A671" t="str">
        <f t="shared" ca="1" si="10"/>
        <v>b3050000420027_productaccountaccounttype</v>
      </c>
      <c r="B671" t="s">
        <v>391</v>
      </c>
      <c r="C671" t="s">
        <v>393</v>
      </c>
      <c r="D671" t="s">
        <v>157</v>
      </c>
      <c r="E671" t="b">
        <v>0</v>
      </c>
      <c r="F671" t="b">
        <v>0</v>
      </c>
      <c r="G671" t="s">
        <v>630</v>
      </c>
    </row>
    <row r="672" spans="1:7" s="31" customFormat="1" x14ac:dyDescent="0.25">
      <c r="A672" s="15"/>
      <c r="B672" s="15" t="s">
        <v>391</v>
      </c>
      <c r="C672" s="15" t="s">
        <v>1594</v>
      </c>
      <c r="D672" s="15" t="s">
        <v>160</v>
      </c>
      <c r="E672" s="15" t="b">
        <v>0</v>
      </c>
      <c r="F672" s="15" t="b">
        <v>0</v>
      </c>
      <c r="G672" s="15"/>
    </row>
    <row r="673" spans="1:7" x14ac:dyDescent="0.25">
      <c r="A673" t="str">
        <f t="shared" ca="1" si="10"/>
        <v>b3050000420027_productaccountaggregateroot_id</v>
      </c>
      <c r="B673" t="s">
        <v>391</v>
      </c>
      <c r="C673" t="s">
        <v>233</v>
      </c>
      <c r="D673" t="s">
        <v>157</v>
      </c>
      <c r="E673" t="b">
        <v>0</v>
      </c>
      <c r="F673" t="b">
        <v>0</v>
      </c>
      <c r="G673" t="s">
        <v>519</v>
      </c>
    </row>
    <row r="674" spans="1:7" x14ac:dyDescent="0.25">
      <c r="A674" t="str">
        <f t="shared" ca="1" si="10"/>
        <v>b3050000420027_productaccountbankbrokerswiftcode</v>
      </c>
      <c r="B674" t="s">
        <v>391</v>
      </c>
      <c r="C674" t="s">
        <v>394</v>
      </c>
      <c r="D674" t="s">
        <v>157</v>
      </c>
      <c r="E674" t="b">
        <v>0</v>
      </c>
      <c r="F674" t="b">
        <v>0</v>
      </c>
      <c r="G674" t="s">
        <v>631</v>
      </c>
    </row>
    <row r="675" spans="1:7" x14ac:dyDescent="0.25">
      <c r="A675" t="str">
        <f t="shared" ca="1" si="10"/>
        <v>b3050000420027_productaccountbankname</v>
      </c>
      <c r="B675" t="s">
        <v>391</v>
      </c>
      <c r="C675" t="s">
        <v>395</v>
      </c>
      <c r="D675" t="s">
        <v>157</v>
      </c>
      <c r="E675" t="b">
        <v>0</v>
      </c>
      <c r="F675" t="b">
        <v>0</v>
      </c>
      <c r="G675" t="s">
        <v>632</v>
      </c>
    </row>
    <row r="676" spans="1:7" x14ac:dyDescent="0.25">
      <c r="A676" t="str">
        <f t="shared" ca="1" si="10"/>
        <v>b3050000420027_productaccountbankswiftaddress</v>
      </c>
      <c r="B676" t="s">
        <v>391</v>
      </c>
      <c r="C676" t="s">
        <v>396</v>
      </c>
      <c r="D676" t="s">
        <v>157</v>
      </c>
      <c r="E676" t="b">
        <v>0</v>
      </c>
      <c r="F676" t="b">
        <v>0</v>
      </c>
      <c r="G676" t="s">
        <v>633</v>
      </c>
    </row>
    <row r="677" spans="1:7" x14ac:dyDescent="0.25">
      <c r="A677" t="str">
        <f t="shared" ca="1" si="10"/>
        <v>b3050000420027_productaccountbankswiftcode</v>
      </c>
      <c r="B677" t="s">
        <v>391</v>
      </c>
      <c r="C677" t="s">
        <v>397</v>
      </c>
      <c r="D677" t="s">
        <v>157</v>
      </c>
      <c r="E677" t="b">
        <v>0</v>
      </c>
      <c r="F677" t="b">
        <v>0</v>
      </c>
      <c r="G677" t="s">
        <v>634</v>
      </c>
    </row>
    <row r="678" spans="1:7" x14ac:dyDescent="0.25">
      <c r="A678" t="str">
        <f t="shared" ca="1" si="10"/>
        <v>b3050000420027_productaccountbankswiftname</v>
      </c>
      <c r="B678" t="s">
        <v>391</v>
      </c>
      <c r="C678" t="s">
        <v>398</v>
      </c>
      <c r="D678" t="s">
        <v>157</v>
      </c>
      <c r="E678" t="b">
        <v>0</v>
      </c>
      <c r="F678" t="b">
        <v>0</v>
      </c>
      <c r="G678" t="s">
        <v>635</v>
      </c>
    </row>
    <row r="679" spans="1:7" x14ac:dyDescent="0.25">
      <c r="A679" t="str">
        <f t="shared" ca="1" si="10"/>
        <v>b3050000420027_productaccountbic</v>
      </c>
      <c r="B679" t="s">
        <v>391</v>
      </c>
      <c r="C679" t="s">
        <v>399</v>
      </c>
      <c r="D679" t="s">
        <v>157</v>
      </c>
      <c r="E679" t="b">
        <v>0</v>
      </c>
      <c r="F679" t="b">
        <v>0</v>
      </c>
      <c r="G679" t="s">
        <v>629</v>
      </c>
    </row>
    <row r="680" spans="1:7" x14ac:dyDescent="0.25">
      <c r="A680" t="str">
        <f t="shared" ca="1" si="10"/>
        <v>b3050000420027_productaccountcorraccountnumber</v>
      </c>
      <c r="B680" t="s">
        <v>391</v>
      </c>
      <c r="C680" t="s">
        <v>400</v>
      </c>
      <c r="D680" t="s">
        <v>157</v>
      </c>
      <c r="E680" t="b">
        <v>0</v>
      </c>
      <c r="F680" t="b">
        <v>0</v>
      </c>
      <c r="G680" t="s">
        <v>636</v>
      </c>
    </row>
    <row r="681" spans="1:7" x14ac:dyDescent="0.25">
      <c r="A681" t="str">
        <f t="shared" ca="1" si="10"/>
        <v>b3050000420027_productaccountibancode</v>
      </c>
      <c r="B681" t="s">
        <v>391</v>
      </c>
      <c r="C681" t="s">
        <v>401</v>
      </c>
      <c r="D681" t="s">
        <v>157</v>
      </c>
      <c r="E681" t="b">
        <v>0</v>
      </c>
      <c r="F681" t="b">
        <v>0</v>
      </c>
      <c r="G681" t="s">
        <v>637</v>
      </c>
    </row>
    <row r="682" spans="1:7" x14ac:dyDescent="0.25">
      <c r="A682" t="str">
        <f t="shared" ca="1" si="10"/>
        <v>b3050000420027_productaccountinn</v>
      </c>
      <c r="B682" t="s">
        <v>391</v>
      </c>
      <c r="C682" t="s">
        <v>230</v>
      </c>
      <c r="D682" t="s">
        <v>157</v>
      </c>
      <c r="E682" t="b">
        <v>0</v>
      </c>
      <c r="F682" t="b">
        <v>0</v>
      </c>
      <c r="G682" t="s">
        <v>638</v>
      </c>
    </row>
    <row r="683" spans="1:7" x14ac:dyDescent="0.25">
      <c r="A683" t="str">
        <f t="shared" ca="1" si="10"/>
        <v>b3050000420027_productaccountissbrf</v>
      </c>
      <c r="B683" t="s">
        <v>391</v>
      </c>
      <c r="C683" t="s">
        <v>402</v>
      </c>
      <c r="D683" t="s">
        <v>164</v>
      </c>
      <c r="E683" t="b">
        <v>0</v>
      </c>
      <c r="F683" t="b">
        <v>0</v>
      </c>
      <c r="G683" t="s">
        <v>639</v>
      </c>
    </row>
    <row r="684" spans="1:7" x14ac:dyDescent="0.25">
      <c r="A684" t="str">
        <f t="shared" ca="1" si="10"/>
        <v>b3050000420027_productaccountkbk</v>
      </c>
      <c r="B684" t="s">
        <v>391</v>
      </c>
      <c r="C684" t="s">
        <v>403</v>
      </c>
      <c r="D684" t="s">
        <v>157</v>
      </c>
      <c r="E684" t="b">
        <v>0</v>
      </c>
      <c r="F684" t="b">
        <v>0</v>
      </c>
      <c r="G684" t="s">
        <v>640</v>
      </c>
    </row>
    <row r="685" spans="1:7" x14ac:dyDescent="0.25">
      <c r="A685" t="str">
        <f t="shared" ca="1" si="10"/>
        <v>b3050000420027_productaccountkpp</v>
      </c>
      <c r="B685" t="s">
        <v>391</v>
      </c>
      <c r="C685" t="s">
        <v>404</v>
      </c>
      <c r="D685" t="s">
        <v>157</v>
      </c>
      <c r="E685" t="b">
        <v>0</v>
      </c>
      <c r="F685" t="b">
        <v>0</v>
      </c>
      <c r="G685" t="s">
        <v>641</v>
      </c>
    </row>
    <row r="686" spans="1:7" x14ac:dyDescent="0.25">
      <c r="A686" t="str">
        <f t="shared" ca="1" si="10"/>
        <v>b3050000420027_productaccountnamebeneficiary</v>
      </c>
      <c r="B686" t="s">
        <v>391</v>
      </c>
      <c r="C686" t="s">
        <v>405</v>
      </c>
      <c r="D686" t="s">
        <v>157</v>
      </c>
      <c r="E686" t="b">
        <v>0</v>
      </c>
      <c r="F686" t="b">
        <v>0</v>
      </c>
      <c r="G686" t="s">
        <v>642</v>
      </c>
    </row>
    <row r="687" spans="1:7" x14ac:dyDescent="0.25">
      <c r="A687" t="str">
        <f t="shared" ca="1" si="10"/>
        <v>b3050000420027_productaccountnamecorrespondent</v>
      </c>
      <c r="B687" t="s">
        <v>391</v>
      </c>
      <c r="C687" t="s">
        <v>406</v>
      </c>
      <c r="D687" t="s">
        <v>157</v>
      </c>
      <c r="E687" t="b">
        <v>0</v>
      </c>
      <c r="F687" t="b">
        <v>0</v>
      </c>
      <c r="G687" t="s">
        <v>643</v>
      </c>
    </row>
    <row r="688" spans="1:7" x14ac:dyDescent="0.25">
      <c r="A688" t="str">
        <f t="shared" ca="1" si="10"/>
        <v>b3050000420027_productaccountobject_id</v>
      </c>
      <c r="B688" t="s">
        <v>391</v>
      </c>
      <c r="C688" t="s">
        <v>179</v>
      </c>
      <c r="D688" t="s">
        <v>157</v>
      </c>
      <c r="E688" t="b">
        <v>1</v>
      </c>
      <c r="F688" t="b">
        <v>1</v>
      </c>
      <c r="G688" t="s">
        <v>485</v>
      </c>
    </row>
    <row r="689" spans="1:7" s="15" customFormat="1" x14ac:dyDescent="0.25">
      <c r="B689" s="15" t="s">
        <v>391</v>
      </c>
      <c r="C689" s="15" t="s">
        <v>180</v>
      </c>
      <c r="D689" s="15" t="s">
        <v>160</v>
      </c>
      <c r="E689" s="15" t="b">
        <v>0</v>
      </c>
      <c r="F689" s="15" t="b">
        <v>0</v>
      </c>
    </row>
    <row r="690" spans="1:7" s="15" customFormat="1" x14ac:dyDescent="0.25">
      <c r="B690" s="15" t="s">
        <v>391</v>
      </c>
      <c r="C690" s="15" t="s">
        <v>1593</v>
      </c>
      <c r="D690" s="15" t="s">
        <v>160</v>
      </c>
      <c r="E690" s="15" t="b">
        <v>0</v>
      </c>
      <c r="F690" s="15" t="b">
        <v>0</v>
      </c>
    </row>
    <row r="691" spans="1:7" x14ac:dyDescent="0.25">
      <c r="A691" t="str">
        <f t="shared" ca="1" si="10"/>
        <v>b3050000420027_productaccountoffflag</v>
      </c>
      <c r="B691" t="s">
        <v>391</v>
      </c>
      <c r="C691" t="s">
        <v>181</v>
      </c>
      <c r="D691" t="s">
        <v>182</v>
      </c>
      <c r="E691" t="b">
        <v>0</v>
      </c>
      <c r="F691" t="b">
        <v>0</v>
      </c>
      <c r="G691" t="s">
        <v>486</v>
      </c>
    </row>
    <row r="692" spans="1:7" x14ac:dyDescent="0.25">
      <c r="A692" t="str">
        <f t="shared" ca="1" si="10"/>
        <v>b3050000420027_productaccountoktmo</v>
      </c>
      <c r="B692" t="s">
        <v>391</v>
      </c>
      <c r="C692" t="s">
        <v>407</v>
      </c>
      <c r="D692" t="s">
        <v>157</v>
      </c>
      <c r="E692" t="b">
        <v>0</v>
      </c>
      <c r="F692" t="b">
        <v>0</v>
      </c>
      <c r="G692" t="s">
        <v>644</v>
      </c>
    </row>
    <row r="693" spans="1:7" x14ac:dyDescent="0.25">
      <c r="A693" t="str">
        <f t="shared" ca="1" si="10"/>
        <v>b3050000420027_productaccountorgname</v>
      </c>
      <c r="B693" t="s">
        <v>391</v>
      </c>
      <c r="C693" t="s">
        <v>408</v>
      </c>
      <c r="D693" t="s">
        <v>157</v>
      </c>
      <c r="E693" t="b">
        <v>0</v>
      </c>
      <c r="F693" t="b">
        <v>0</v>
      </c>
      <c r="G693" t="s">
        <v>645</v>
      </c>
    </row>
    <row r="694" spans="1:7" x14ac:dyDescent="0.25">
      <c r="A694" t="str">
        <f t="shared" ca="1" si="10"/>
        <v>b3050000420027_productaccountproduct_id</v>
      </c>
      <c r="B694" t="s">
        <v>391</v>
      </c>
      <c r="C694" t="s">
        <v>245</v>
      </c>
      <c r="D694" t="s">
        <v>157</v>
      </c>
      <c r="E694" t="b">
        <v>0</v>
      </c>
      <c r="F694" t="b">
        <v>0</v>
      </c>
      <c r="G694" t="s">
        <v>575</v>
      </c>
    </row>
    <row r="695" spans="1:7" s="15" customFormat="1" x14ac:dyDescent="0.25">
      <c r="B695" s="15" t="s">
        <v>391</v>
      </c>
      <c r="C695" s="15" t="s">
        <v>327</v>
      </c>
      <c r="D695" s="15" t="s">
        <v>160</v>
      </c>
      <c r="E695" s="15" t="b">
        <v>0</v>
      </c>
      <c r="F695" s="15" t="b">
        <v>0</v>
      </c>
    </row>
    <row r="696" spans="1:7" x14ac:dyDescent="0.25">
      <c r="A696" t="str">
        <f t="shared" ca="1" si="10"/>
        <v>b3050000420027_productaccountsys_lastchangedate</v>
      </c>
      <c r="B696" t="s">
        <v>391</v>
      </c>
      <c r="C696" t="s">
        <v>203</v>
      </c>
      <c r="D696" t="s">
        <v>154</v>
      </c>
      <c r="E696" t="b">
        <v>0</v>
      </c>
      <c r="F696" t="b">
        <v>0</v>
      </c>
      <c r="G696" t="s">
        <v>505</v>
      </c>
    </row>
    <row r="697" spans="1:7" x14ac:dyDescent="0.25">
      <c r="A697" t="str">
        <f t="shared" ca="1" si="10"/>
        <v>b3050000420027_productaccounttype</v>
      </c>
      <c r="B697" t="s">
        <v>391</v>
      </c>
      <c r="C697" t="s">
        <v>208</v>
      </c>
      <c r="D697" t="s">
        <v>157</v>
      </c>
      <c r="E697" t="b">
        <v>0</v>
      </c>
      <c r="F697" t="b">
        <v>0</v>
      </c>
      <c r="G697" t="s">
        <v>509</v>
      </c>
    </row>
    <row r="698" spans="1:7" x14ac:dyDescent="0.25">
      <c r="A698" t="str">
        <f t="shared" ca="1" si="10"/>
        <v>b3050000420027_productaccountctl_action</v>
      </c>
      <c r="B698" t="s">
        <v>391</v>
      </c>
      <c r="C698" t="s">
        <v>214</v>
      </c>
      <c r="D698" t="s">
        <v>157</v>
      </c>
      <c r="E698" t="b">
        <v>0</v>
      </c>
      <c r="F698" t="b">
        <v>0</v>
      </c>
    </row>
    <row r="699" spans="1:7" x14ac:dyDescent="0.25">
      <c r="A699" t="str">
        <f t="shared" ca="1" si="10"/>
        <v>b3050000420027_productaccountctl_loading</v>
      </c>
      <c r="B699" t="s">
        <v>391</v>
      </c>
      <c r="C699" t="s">
        <v>215</v>
      </c>
      <c r="D699" t="s">
        <v>205</v>
      </c>
      <c r="E699" t="b">
        <v>0</v>
      </c>
      <c r="F699" t="b">
        <v>0</v>
      </c>
    </row>
    <row r="700" spans="1:7" x14ac:dyDescent="0.25">
      <c r="A700" t="str">
        <f t="shared" ca="1" si="10"/>
        <v>b3050000420027_productaccountctl_validfrom</v>
      </c>
      <c r="B700" t="s">
        <v>391</v>
      </c>
      <c r="C700" t="s">
        <v>216</v>
      </c>
      <c r="D700" t="s">
        <v>154</v>
      </c>
      <c r="E700" t="b">
        <v>0</v>
      </c>
      <c r="F700" t="b">
        <v>0</v>
      </c>
    </row>
    <row r="701" spans="1:7" x14ac:dyDescent="0.25">
      <c r="A701" t="str">
        <f t="shared" ca="1" si="10"/>
        <v>b3050000420027_productaccountinfo_system_id</v>
      </c>
      <c r="B701" t="s">
        <v>391</v>
      </c>
      <c r="C701" t="s">
        <v>217</v>
      </c>
      <c r="D701" t="s">
        <v>205</v>
      </c>
      <c r="E701" t="b">
        <v>0</v>
      </c>
      <c r="F701" t="b">
        <v>0</v>
      </c>
    </row>
    <row r="702" spans="1:7" x14ac:dyDescent="0.25">
      <c r="A702" t="str">
        <f t="shared" ca="1" si="10"/>
        <v>b3050000420027_productaccountinfo_system_inst_cd</v>
      </c>
      <c r="B702" t="s">
        <v>391</v>
      </c>
      <c r="C702" t="s">
        <v>218</v>
      </c>
      <c r="D702" t="s">
        <v>157</v>
      </c>
      <c r="E702" t="b">
        <v>0</v>
      </c>
      <c r="F702" t="b">
        <v>0</v>
      </c>
    </row>
    <row r="703" spans="1:7" x14ac:dyDescent="0.25">
      <c r="A703" t="str">
        <f t="shared" ca="1" si="10"/>
        <v>b3050000420027_productaccountinfo_system_type_cd</v>
      </c>
      <c r="B703" t="s">
        <v>391</v>
      </c>
      <c r="C703" t="s">
        <v>219</v>
      </c>
      <c r="D703" t="s">
        <v>157</v>
      </c>
      <c r="E703" t="b">
        <v>0</v>
      </c>
      <c r="F703" t="b">
        <v>0</v>
      </c>
    </row>
    <row r="704" spans="1:7" x14ac:dyDescent="0.25">
      <c r="A704" t="str">
        <f t="shared" ca="1" si="10"/>
        <v>b3050000420027_productaccountinput_file_id</v>
      </c>
      <c r="B704" t="s">
        <v>391</v>
      </c>
      <c r="C704" t="s">
        <v>220</v>
      </c>
      <c r="D704" t="s">
        <v>205</v>
      </c>
      <c r="E704" t="b">
        <v>0</v>
      </c>
      <c r="F704" t="b">
        <v>0</v>
      </c>
    </row>
    <row r="705" spans="1:7" x14ac:dyDescent="0.25">
      <c r="A705" t="str">
        <f t="shared" ca="1" si="10"/>
        <v>b3050000420027_productaccountinput_package_id</v>
      </c>
      <c r="B705" t="s">
        <v>391</v>
      </c>
      <c r="C705" t="s">
        <v>221</v>
      </c>
      <c r="D705" t="s">
        <v>205</v>
      </c>
      <c r="E705" t="b">
        <v>0</v>
      </c>
      <c r="F705" t="b">
        <v>0</v>
      </c>
    </row>
    <row r="706" spans="1:7" x14ac:dyDescent="0.25">
      <c r="A706" s="2" t="str">
        <f t="shared" ca="1" si="10"/>
        <v>b3050000420027_productaccountworkflow_run_id</v>
      </c>
      <c r="B706" s="2" t="s">
        <v>391</v>
      </c>
      <c r="C706" s="2" t="s">
        <v>222</v>
      </c>
      <c r="D706" s="2" t="s">
        <v>205</v>
      </c>
      <c r="E706" s="2" t="b">
        <v>0</v>
      </c>
      <c r="F706" s="2" t="b">
        <v>0</v>
      </c>
      <c r="G706" s="2"/>
    </row>
    <row r="707" spans="1:7" x14ac:dyDescent="0.25">
      <c r="A707" t="str">
        <f t="shared" ca="1" si="10"/>
        <v>b3050000420028_additionaltechnicaldataaggregateroot_id</v>
      </c>
      <c r="B707" t="s">
        <v>409</v>
      </c>
      <c r="C707" t="s">
        <v>233</v>
      </c>
      <c r="D707" t="s">
        <v>157</v>
      </c>
      <c r="E707" t="b">
        <v>0</v>
      </c>
      <c r="F707" t="b">
        <v>0</v>
      </c>
      <c r="G707" t="s">
        <v>519</v>
      </c>
    </row>
    <row r="708" spans="1:7" s="2" customFormat="1" x14ac:dyDescent="0.25">
      <c r="A708" t="str">
        <f t="shared" ca="1" si="10"/>
        <v>b3050000420028_additionaltechnicaldatabegincalcperiod</v>
      </c>
      <c r="B708" t="s">
        <v>409</v>
      </c>
      <c r="C708" t="s">
        <v>410</v>
      </c>
      <c r="D708" t="s">
        <v>154</v>
      </c>
      <c r="E708" t="b">
        <v>0</v>
      </c>
      <c r="F708" t="b">
        <v>0</v>
      </c>
      <c r="G708" t="s">
        <v>646</v>
      </c>
    </row>
    <row r="709" spans="1:7" x14ac:dyDescent="0.25">
      <c r="A709" t="str">
        <f t="shared" ca="1" si="10"/>
        <v>b3050000420028_additionaltechnicaldataendcalcperiod</v>
      </c>
      <c r="B709" t="s">
        <v>409</v>
      </c>
      <c r="C709" t="s">
        <v>411</v>
      </c>
      <c r="D709" t="s">
        <v>154</v>
      </c>
      <c r="E709" t="b">
        <v>0</v>
      </c>
      <c r="F709" t="b">
        <v>0</v>
      </c>
      <c r="G709" t="s">
        <v>647</v>
      </c>
    </row>
    <row r="710" spans="1:7" x14ac:dyDescent="0.25">
      <c r="A710" t="str">
        <f t="shared" ca="1" si="10"/>
        <v>b3050000420028_additionaltechnicaldataobject_id</v>
      </c>
      <c r="B710" t="s">
        <v>409</v>
      </c>
      <c r="C710" t="s">
        <v>179</v>
      </c>
      <c r="D710" t="s">
        <v>157</v>
      </c>
      <c r="E710" t="b">
        <v>1</v>
      </c>
      <c r="F710" t="b">
        <v>1</v>
      </c>
      <c r="G710" t="s">
        <v>485</v>
      </c>
    </row>
    <row r="711" spans="1:7" x14ac:dyDescent="0.25">
      <c r="A711" t="str">
        <f t="shared" ca="1" si="10"/>
        <v>b3050000420028_additionaltechnicaldataoffflag</v>
      </c>
      <c r="B711" t="s">
        <v>409</v>
      </c>
      <c r="C711" t="s">
        <v>181</v>
      </c>
      <c r="D711" t="s">
        <v>182</v>
      </c>
      <c r="E711" t="b">
        <v>0</v>
      </c>
      <c r="F711" t="b">
        <v>0</v>
      </c>
      <c r="G711" t="s">
        <v>486</v>
      </c>
    </row>
    <row r="712" spans="1:7" x14ac:dyDescent="0.25">
      <c r="A712" t="str">
        <f t="shared" ca="1" si="10"/>
        <v>b3050000420028_additionaltechnicaldatasys_lastchangedate</v>
      </c>
      <c r="B712" t="s">
        <v>409</v>
      </c>
      <c r="C712" t="s">
        <v>203</v>
      </c>
      <c r="D712" t="s">
        <v>154</v>
      </c>
      <c r="E712" t="b">
        <v>0</v>
      </c>
      <c r="F712" t="b">
        <v>0</v>
      </c>
      <c r="G712" t="s">
        <v>505</v>
      </c>
    </row>
    <row r="713" spans="1:7" x14ac:dyDescent="0.25">
      <c r="A713" t="str">
        <f t="shared" ref="A713:A773" ca="1" si="11">INDIRECT("R[0]C[1]",0)&amp;INDIRECT("R[0]C[2]",0)</f>
        <v>b3050000420028_additionaltechnicaldatatechnicalservice_id</v>
      </c>
      <c r="B713" t="s">
        <v>409</v>
      </c>
      <c r="C713" t="s">
        <v>269</v>
      </c>
      <c r="D713" t="s">
        <v>157</v>
      </c>
      <c r="E713" t="b">
        <v>0</v>
      </c>
      <c r="F713" t="b">
        <v>0</v>
      </c>
    </row>
    <row r="714" spans="1:7" x14ac:dyDescent="0.25">
      <c r="A714" t="str">
        <f t="shared" ca="1" si="11"/>
        <v>b3050000420028_additionaltechnicaldatatype</v>
      </c>
      <c r="B714" t="s">
        <v>409</v>
      </c>
      <c r="C714" t="s">
        <v>208</v>
      </c>
      <c r="D714" t="s">
        <v>157</v>
      </c>
      <c r="E714" t="b">
        <v>0</v>
      </c>
      <c r="F714" t="b">
        <v>0</v>
      </c>
      <c r="G714" t="s">
        <v>509</v>
      </c>
    </row>
    <row r="715" spans="1:7" x14ac:dyDescent="0.25">
      <c r="A715" t="str">
        <f t="shared" ca="1" si="11"/>
        <v>b3050000420028_additionaltechnicaldatactl_action</v>
      </c>
      <c r="B715" t="s">
        <v>409</v>
      </c>
      <c r="C715" t="s">
        <v>214</v>
      </c>
      <c r="D715" t="s">
        <v>157</v>
      </c>
      <c r="E715" t="b">
        <v>0</v>
      </c>
      <c r="F715" t="b">
        <v>0</v>
      </c>
    </row>
    <row r="716" spans="1:7" x14ac:dyDescent="0.25">
      <c r="A716" t="str">
        <f t="shared" ca="1" si="11"/>
        <v>b3050000420028_additionaltechnicaldatactl_loading</v>
      </c>
      <c r="B716" t="s">
        <v>409</v>
      </c>
      <c r="C716" t="s">
        <v>215</v>
      </c>
      <c r="D716" t="s">
        <v>205</v>
      </c>
      <c r="E716" t="b">
        <v>0</v>
      </c>
      <c r="F716" t="b">
        <v>0</v>
      </c>
    </row>
    <row r="717" spans="1:7" x14ac:dyDescent="0.25">
      <c r="A717" t="str">
        <f t="shared" ca="1" si="11"/>
        <v>b3050000420028_additionaltechnicaldatactl_validfrom</v>
      </c>
      <c r="B717" t="s">
        <v>409</v>
      </c>
      <c r="C717" t="s">
        <v>216</v>
      </c>
      <c r="D717" t="s">
        <v>154</v>
      </c>
      <c r="E717" t="b">
        <v>0</v>
      </c>
      <c r="F717" t="b">
        <v>0</v>
      </c>
    </row>
    <row r="718" spans="1:7" x14ac:dyDescent="0.25">
      <c r="A718" t="str">
        <f t="shared" ca="1" si="11"/>
        <v>b3050000420028_additionaltechnicaldatainfo_system_id</v>
      </c>
      <c r="B718" t="s">
        <v>409</v>
      </c>
      <c r="C718" t="s">
        <v>217</v>
      </c>
      <c r="D718" t="s">
        <v>205</v>
      </c>
      <c r="E718" t="b">
        <v>0</v>
      </c>
      <c r="F718" t="b">
        <v>0</v>
      </c>
    </row>
    <row r="719" spans="1:7" x14ac:dyDescent="0.25">
      <c r="A719" t="str">
        <f t="shared" ca="1" si="11"/>
        <v>b3050000420028_additionaltechnicaldatainfo_system_inst_cd</v>
      </c>
      <c r="B719" t="s">
        <v>409</v>
      </c>
      <c r="C719" t="s">
        <v>218</v>
      </c>
      <c r="D719" t="s">
        <v>157</v>
      </c>
      <c r="E719" t="b">
        <v>0</v>
      </c>
      <c r="F719" t="b">
        <v>0</v>
      </c>
    </row>
    <row r="720" spans="1:7" x14ac:dyDescent="0.25">
      <c r="A720" t="str">
        <f t="shared" ca="1" si="11"/>
        <v>b3050000420028_additionaltechnicaldatainfo_system_type_cd</v>
      </c>
      <c r="B720" t="s">
        <v>409</v>
      </c>
      <c r="C720" t="s">
        <v>219</v>
      </c>
      <c r="D720" t="s">
        <v>157</v>
      </c>
      <c r="E720" t="b">
        <v>0</v>
      </c>
      <c r="F720" t="b">
        <v>0</v>
      </c>
    </row>
    <row r="721" spans="1:7" x14ac:dyDescent="0.25">
      <c r="A721" t="str">
        <f t="shared" ca="1" si="11"/>
        <v>b3050000420028_additionaltechnicaldatainput_file_id</v>
      </c>
      <c r="B721" t="s">
        <v>409</v>
      </c>
      <c r="C721" t="s">
        <v>220</v>
      </c>
      <c r="D721" t="s">
        <v>205</v>
      </c>
      <c r="E721" t="b">
        <v>0</v>
      </c>
      <c r="F721" t="b">
        <v>0</v>
      </c>
    </row>
    <row r="722" spans="1:7" x14ac:dyDescent="0.25">
      <c r="A722" t="str">
        <f t="shared" ca="1" si="11"/>
        <v>b3050000420028_additionaltechnicaldatainput_package_id</v>
      </c>
      <c r="B722" t="s">
        <v>409</v>
      </c>
      <c r="C722" t="s">
        <v>221</v>
      </c>
      <c r="D722" t="s">
        <v>205</v>
      </c>
      <c r="E722" t="b">
        <v>0</v>
      </c>
      <c r="F722" t="b">
        <v>0</v>
      </c>
    </row>
    <row r="723" spans="1:7" x14ac:dyDescent="0.25">
      <c r="A723" s="2" t="str">
        <f t="shared" ca="1" si="11"/>
        <v>b3050000420028_additionaltechnicaldataworkflow_run_id</v>
      </c>
      <c r="B723" s="2" t="s">
        <v>409</v>
      </c>
      <c r="C723" s="2" t="s">
        <v>222</v>
      </c>
      <c r="D723" s="2" t="s">
        <v>205</v>
      </c>
      <c r="E723" s="2" t="b">
        <v>0</v>
      </c>
      <c r="F723" s="2" t="b">
        <v>0</v>
      </c>
      <c r="G723" s="2"/>
    </row>
    <row r="724" spans="1:7" x14ac:dyDescent="0.25">
      <c r="A724" t="str">
        <f t="shared" ca="1" si="11"/>
        <v>b3050000420029_planserviceaggregateroot_id</v>
      </c>
      <c r="B724" t="s">
        <v>412</v>
      </c>
      <c r="C724" t="s">
        <v>233</v>
      </c>
      <c r="D724" t="s">
        <v>157</v>
      </c>
      <c r="E724" t="b">
        <v>0</v>
      </c>
      <c r="F724" t="b">
        <v>0</v>
      </c>
      <c r="G724" t="s">
        <v>519</v>
      </c>
    </row>
    <row r="725" spans="1:7" s="2" customFormat="1" x14ac:dyDescent="0.25">
      <c r="A725" t="str">
        <f t="shared" ca="1" si="11"/>
        <v>b3050000420029_planserviceendcalcperiod</v>
      </c>
      <c r="B725" t="s">
        <v>412</v>
      </c>
      <c r="C725" t="s">
        <v>411</v>
      </c>
      <c r="D725" t="s">
        <v>154</v>
      </c>
      <c r="E725" t="b">
        <v>0</v>
      </c>
      <c r="F725" t="b">
        <v>0</v>
      </c>
      <c r="G725" t="s">
        <v>647</v>
      </c>
    </row>
    <row r="726" spans="1:7" x14ac:dyDescent="0.25">
      <c r="A726" t="str">
        <f t="shared" ca="1" si="11"/>
        <v>b3050000420029_planserviceerror</v>
      </c>
      <c r="B726" t="s">
        <v>412</v>
      </c>
      <c r="C726" t="s">
        <v>175</v>
      </c>
      <c r="D726" t="s">
        <v>157</v>
      </c>
      <c r="E726" t="b">
        <v>0</v>
      </c>
      <c r="F726" t="b">
        <v>0</v>
      </c>
      <c r="G726" t="s">
        <v>481</v>
      </c>
    </row>
    <row r="727" spans="1:7" x14ac:dyDescent="0.25">
      <c r="A727" t="str">
        <f t="shared" ca="1" si="11"/>
        <v>b3050000420029_planserviceinitialclientservice_entityid</v>
      </c>
      <c r="B727" t="s">
        <v>412</v>
      </c>
      <c r="C727" t="s">
        <v>341</v>
      </c>
      <c r="D727" t="s">
        <v>157</v>
      </c>
      <c r="E727" t="b">
        <v>0</v>
      </c>
      <c r="F727" t="b">
        <v>0</v>
      </c>
      <c r="G727" t="s">
        <v>595</v>
      </c>
    </row>
    <row r="728" spans="1:7" x14ac:dyDescent="0.25">
      <c r="A728" t="str">
        <f t="shared" ca="1" si="11"/>
        <v>b3050000420029_planserviceobject_id</v>
      </c>
      <c r="B728" t="s">
        <v>412</v>
      </c>
      <c r="C728" t="s">
        <v>179</v>
      </c>
      <c r="D728" t="s">
        <v>157</v>
      </c>
      <c r="E728" t="b">
        <v>1</v>
      </c>
      <c r="F728" t="b">
        <v>1</v>
      </c>
      <c r="G728" t="s">
        <v>485</v>
      </c>
    </row>
    <row r="729" spans="1:7" x14ac:dyDescent="0.25">
      <c r="A729" t="str">
        <f t="shared" ca="1" si="11"/>
        <v>b3050000420029_planserviceobject_id_uid</v>
      </c>
      <c r="B729" t="s">
        <v>412</v>
      </c>
      <c r="C729" t="s">
        <v>180</v>
      </c>
      <c r="D729" t="s">
        <v>160</v>
      </c>
      <c r="E729" t="b">
        <v>0</v>
      </c>
      <c r="F729" t="b">
        <v>0</v>
      </c>
    </row>
    <row r="730" spans="1:7" x14ac:dyDescent="0.25">
      <c r="A730" t="str">
        <f t="shared" ca="1" si="11"/>
        <v>b3050000420029_planserviceoffflag</v>
      </c>
      <c r="B730" t="s">
        <v>412</v>
      </c>
      <c r="C730" t="s">
        <v>181</v>
      </c>
      <c r="D730" t="s">
        <v>182</v>
      </c>
      <c r="E730" t="b">
        <v>0</v>
      </c>
      <c r="F730" t="b">
        <v>0</v>
      </c>
      <c r="G730" t="s">
        <v>486</v>
      </c>
    </row>
    <row r="731" spans="1:7" x14ac:dyDescent="0.25">
      <c r="A731" t="str">
        <f t="shared" ca="1" si="11"/>
        <v>b3050000420029_planserviceparentserviceid_entityid</v>
      </c>
      <c r="B731" t="s">
        <v>412</v>
      </c>
      <c r="C731" t="s">
        <v>413</v>
      </c>
      <c r="D731" t="s">
        <v>157</v>
      </c>
      <c r="E731" t="b">
        <v>0</v>
      </c>
      <c r="F731" t="b">
        <v>0</v>
      </c>
      <c r="G731" t="s">
        <v>596</v>
      </c>
    </row>
    <row r="732" spans="1:7" x14ac:dyDescent="0.25">
      <c r="A732" t="str">
        <f t="shared" ca="1" si="11"/>
        <v>b3050000420029_planserviceplanstartdate</v>
      </c>
      <c r="B732" t="s">
        <v>412</v>
      </c>
      <c r="C732" t="s">
        <v>414</v>
      </c>
      <c r="D732" t="s">
        <v>154</v>
      </c>
      <c r="E732" t="b">
        <v>0</v>
      </c>
      <c r="F732" t="b">
        <v>0</v>
      </c>
      <c r="G732" t="s">
        <v>648</v>
      </c>
    </row>
    <row r="733" spans="1:7" x14ac:dyDescent="0.25">
      <c r="A733" t="str">
        <f t="shared" ca="1" si="11"/>
        <v>b3050000420029_planserviceproduct_id</v>
      </c>
      <c r="B733" t="s">
        <v>412</v>
      </c>
      <c r="C733" t="s">
        <v>245</v>
      </c>
      <c r="D733" t="s">
        <v>157</v>
      </c>
      <c r="E733" t="b">
        <v>0</v>
      </c>
      <c r="F733" t="b">
        <v>0</v>
      </c>
    </row>
    <row r="734" spans="1:7" x14ac:dyDescent="0.25">
      <c r="A734" t="str">
        <f t="shared" ca="1" si="11"/>
        <v>b3050000420029_planserviceproduct_id_uid</v>
      </c>
      <c r="B734" t="s">
        <v>412</v>
      </c>
      <c r="C734" t="s">
        <v>327</v>
      </c>
      <c r="D734" t="s">
        <v>160</v>
      </c>
      <c r="E734" t="b">
        <v>0</v>
      </c>
      <c r="F734" t="b">
        <v>0</v>
      </c>
    </row>
    <row r="735" spans="1:7" x14ac:dyDescent="0.25">
      <c r="A735" t="str">
        <f t="shared" ca="1" si="11"/>
        <v>b3050000420029_planservicerundate</v>
      </c>
      <c r="B735" t="s">
        <v>412</v>
      </c>
      <c r="C735" t="s">
        <v>415</v>
      </c>
      <c r="D735" t="s">
        <v>154</v>
      </c>
      <c r="E735" t="b">
        <v>0</v>
      </c>
      <c r="F735" t="b">
        <v>0</v>
      </c>
      <c r="G735" t="s">
        <v>649</v>
      </c>
    </row>
    <row r="736" spans="1:7" x14ac:dyDescent="0.25">
      <c r="A736" t="str">
        <f t="shared" ca="1" si="11"/>
        <v>b3050000420029_planserviceservice_entityid</v>
      </c>
      <c r="B736" t="s">
        <v>412</v>
      </c>
      <c r="C736" t="s">
        <v>416</v>
      </c>
      <c r="D736" t="s">
        <v>157</v>
      </c>
      <c r="E736" t="b">
        <v>0</v>
      </c>
      <c r="F736" t="b">
        <v>0</v>
      </c>
      <c r="G736" t="s">
        <v>650</v>
      </c>
    </row>
    <row r="737" spans="1:7" x14ac:dyDescent="0.25">
      <c r="A737" t="str">
        <f t="shared" ca="1" si="11"/>
        <v>b3050000420029_planserviceservice_entityid_uid</v>
      </c>
      <c r="B737" t="s">
        <v>412</v>
      </c>
      <c r="C737" t="s">
        <v>417</v>
      </c>
      <c r="D737" t="s">
        <v>160</v>
      </c>
      <c r="E737" t="b">
        <v>0</v>
      </c>
      <c r="F737" t="b">
        <v>0</v>
      </c>
    </row>
    <row r="738" spans="1:7" x14ac:dyDescent="0.25">
      <c r="A738" t="str">
        <f t="shared" ca="1" si="11"/>
        <v>b3050000420029_planservicestatusfordul_watcher_id</v>
      </c>
      <c r="B738" t="s">
        <v>412</v>
      </c>
      <c r="C738" t="s">
        <v>198</v>
      </c>
      <c r="D738" t="s">
        <v>157</v>
      </c>
      <c r="E738" t="b">
        <v>0</v>
      </c>
      <c r="F738" t="b">
        <v>0</v>
      </c>
      <c r="G738" t="s">
        <v>501</v>
      </c>
    </row>
    <row r="739" spans="1:7" x14ac:dyDescent="0.25">
      <c r="A739" t="str">
        <f t="shared" ca="1" si="11"/>
        <v>b3050000420029_planservicestatusfordul_watcher_id_uid</v>
      </c>
      <c r="B739" t="s">
        <v>412</v>
      </c>
      <c r="C739" t="s">
        <v>199</v>
      </c>
      <c r="D739" t="s">
        <v>160</v>
      </c>
      <c r="E739" t="b">
        <v>0</v>
      </c>
      <c r="F739" t="b">
        <v>0</v>
      </c>
    </row>
    <row r="740" spans="1:7" x14ac:dyDescent="0.25">
      <c r="A740" t="str">
        <f t="shared" ca="1" si="11"/>
        <v>b3050000420029_planservicestatusreasonfordul_watcher</v>
      </c>
      <c r="B740" t="s">
        <v>412</v>
      </c>
      <c r="C740" t="s">
        <v>200</v>
      </c>
      <c r="D740" t="s">
        <v>157</v>
      </c>
      <c r="E740" t="b">
        <v>0</v>
      </c>
      <c r="F740" t="b">
        <v>0</v>
      </c>
      <c r="G740" t="s">
        <v>502</v>
      </c>
    </row>
    <row r="741" spans="1:7" x14ac:dyDescent="0.25">
      <c r="A741" t="str">
        <f t="shared" ca="1" si="11"/>
        <v>b3050000420029_planservicesys_lastchangedate</v>
      </c>
      <c r="B741" t="s">
        <v>412</v>
      </c>
      <c r="C741" t="s">
        <v>203</v>
      </c>
      <c r="D741" t="s">
        <v>154</v>
      </c>
      <c r="E741" t="b">
        <v>0</v>
      </c>
      <c r="F741" t="b">
        <v>0</v>
      </c>
      <c r="G741" t="s">
        <v>505</v>
      </c>
    </row>
    <row r="742" spans="1:7" x14ac:dyDescent="0.25">
      <c r="A742" t="str">
        <f t="shared" ca="1" si="11"/>
        <v>b3050000420029_planservicetype</v>
      </c>
      <c r="B742" t="s">
        <v>412</v>
      </c>
      <c r="C742" t="s">
        <v>208</v>
      </c>
      <c r="D742" t="s">
        <v>157</v>
      </c>
      <c r="E742" t="b">
        <v>0</v>
      </c>
      <c r="F742" t="b">
        <v>0</v>
      </c>
      <c r="G742" t="s">
        <v>509</v>
      </c>
    </row>
    <row r="743" spans="1:7" x14ac:dyDescent="0.25">
      <c r="A743" t="str">
        <f t="shared" ca="1" si="11"/>
        <v>b3050000420029_planservicetypeplanservice</v>
      </c>
      <c r="B743" t="s">
        <v>412</v>
      </c>
      <c r="C743" t="s">
        <v>418</v>
      </c>
      <c r="D743" t="s">
        <v>157</v>
      </c>
      <c r="E743" t="b">
        <v>0</v>
      </c>
      <c r="F743" t="b">
        <v>0</v>
      </c>
      <c r="G743" t="s">
        <v>494</v>
      </c>
    </row>
    <row r="744" spans="1:7" x14ac:dyDescent="0.25">
      <c r="A744" t="str">
        <f t="shared" ca="1" si="11"/>
        <v>b3050000420029_planservicetypeplanservice_uid</v>
      </c>
      <c r="B744" t="s">
        <v>412</v>
      </c>
      <c r="C744" t="s">
        <v>419</v>
      </c>
      <c r="D744" t="s">
        <v>160</v>
      </c>
      <c r="E744" t="b">
        <v>0</v>
      </c>
      <c r="F744" t="b">
        <v>0</v>
      </c>
    </row>
    <row r="745" spans="1:7" x14ac:dyDescent="0.25">
      <c r="A745" t="str">
        <f t="shared" ca="1" si="11"/>
        <v>b3050000420029_planserviceuodprocedure_entityid</v>
      </c>
      <c r="B745" t="s">
        <v>412</v>
      </c>
      <c r="C745" t="s">
        <v>420</v>
      </c>
      <c r="D745" t="s">
        <v>157</v>
      </c>
      <c r="E745" t="b">
        <v>0</v>
      </c>
      <c r="F745" t="b">
        <v>0</v>
      </c>
    </row>
    <row r="746" spans="1:7" x14ac:dyDescent="0.25">
      <c r="A746" t="str">
        <f t="shared" ca="1" si="11"/>
        <v>b3050000420029_planservicectl_action</v>
      </c>
      <c r="B746" t="s">
        <v>412</v>
      </c>
      <c r="C746" t="s">
        <v>214</v>
      </c>
      <c r="D746" t="s">
        <v>157</v>
      </c>
      <c r="E746" t="b">
        <v>0</v>
      </c>
      <c r="F746" t="b">
        <v>0</v>
      </c>
    </row>
    <row r="747" spans="1:7" x14ac:dyDescent="0.25">
      <c r="A747" t="str">
        <f t="shared" ca="1" si="11"/>
        <v>b3050000420029_planservicectl_loading</v>
      </c>
      <c r="B747" t="s">
        <v>412</v>
      </c>
      <c r="C747" t="s">
        <v>215</v>
      </c>
      <c r="D747" t="s">
        <v>205</v>
      </c>
      <c r="E747" t="b">
        <v>0</v>
      </c>
      <c r="F747" t="b">
        <v>0</v>
      </c>
    </row>
    <row r="748" spans="1:7" x14ac:dyDescent="0.25">
      <c r="A748" t="str">
        <f t="shared" ca="1" si="11"/>
        <v>b3050000420029_planservicectl_validfrom</v>
      </c>
      <c r="B748" t="s">
        <v>412</v>
      </c>
      <c r="C748" t="s">
        <v>216</v>
      </c>
      <c r="D748" t="s">
        <v>154</v>
      </c>
      <c r="E748" t="b">
        <v>0</v>
      </c>
      <c r="F748" t="b">
        <v>0</v>
      </c>
    </row>
    <row r="749" spans="1:7" x14ac:dyDescent="0.25">
      <c r="A749" t="str">
        <f t="shared" ca="1" si="11"/>
        <v>b3050000420029_planserviceinfo_system_id</v>
      </c>
      <c r="B749" t="s">
        <v>412</v>
      </c>
      <c r="C749" t="s">
        <v>217</v>
      </c>
      <c r="D749" t="s">
        <v>205</v>
      </c>
      <c r="E749" t="b">
        <v>0</v>
      </c>
      <c r="F749" t="b">
        <v>0</v>
      </c>
    </row>
    <row r="750" spans="1:7" x14ac:dyDescent="0.25">
      <c r="A750" t="str">
        <f t="shared" ca="1" si="11"/>
        <v>b3050000420029_planserviceinfo_system_inst_cd</v>
      </c>
      <c r="B750" t="s">
        <v>412</v>
      </c>
      <c r="C750" t="s">
        <v>218</v>
      </c>
      <c r="D750" t="s">
        <v>157</v>
      </c>
      <c r="E750" t="b">
        <v>0</v>
      </c>
      <c r="F750" t="b">
        <v>0</v>
      </c>
    </row>
    <row r="751" spans="1:7" x14ac:dyDescent="0.25">
      <c r="A751" t="str">
        <f t="shared" ca="1" si="11"/>
        <v>b3050000420029_planserviceinfo_system_type_cd</v>
      </c>
      <c r="B751" t="s">
        <v>412</v>
      </c>
      <c r="C751" t="s">
        <v>219</v>
      </c>
      <c r="D751" t="s">
        <v>157</v>
      </c>
      <c r="E751" t="b">
        <v>0</v>
      </c>
      <c r="F751" t="b">
        <v>0</v>
      </c>
    </row>
    <row r="752" spans="1:7" x14ac:dyDescent="0.25">
      <c r="A752" t="str">
        <f t="shared" ca="1" si="11"/>
        <v>b3050000420029_planserviceinput_file_id</v>
      </c>
      <c r="B752" t="s">
        <v>412</v>
      </c>
      <c r="C752" t="s">
        <v>220</v>
      </c>
      <c r="D752" t="s">
        <v>205</v>
      </c>
      <c r="E752" t="b">
        <v>0</v>
      </c>
      <c r="F752" t="b">
        <v>0</v>
      </c>
    </row>
    <row r="753" spans="1:7" x14ac:dyDescent="0.25">
      <c r="A753" t="str">
        <f t="shared" ca="1" si="11"/>
        <v>b3050000420029_planserviceinput_package_id</v>
      </c>
      <c r="B753" t="s">
        <v>412</v>
      </c>
      <c r="C753" t="s">
        <v>221</v>
      </c>
      <c r="D753" t="s">
        <v>205</v>
      </c>
      <c r="E753" t="b">
        <v>0</v>
      </c>
      <c r="F753" t="b">
        <v>0</v>
      </c>
    </row>
    <row r="754" spans="1:7" x14ac:dyDescent="0.25">
      <c r="A754" s="2" t="str">
        <f t="shared" ca="1" si="11"/>
        <v>b3050000420029_planserviceworkflow_run_id</v>
      </c>
      <c r="B754" s="2" t="s">
        <v>412</v>
      </c>
      <c r="C754" s="2" t="s">
        <v>222</v>
      </c>
      <c r="D754" s="2" t="s">
        <v>205</v>
      </c>
      <c r="E754" s="2" t="b">
        <v>0</v>
      </c>
      <c r="F754" s="2" t="b">
        <v>0</v>
      </c>
      <c r="G754" s="2"/>
    </row>
    <row r="755" spans="1:7" x14ac:dyDescent="0.25">
      <c r="A755" t="str">
        <f t="shared" ca="1" si="11"/>
        <v>b3050000420030_productsettingsaggregateroot_id</v>
      </c>
      <c r="B755" t="s">
        <v>421</v>
      </c>
      <c r="C755" t="s">
        <v>233</v>
      </c>
      <c r="D755" t="s">
        <v>157</v>
      </c>
      <c r="E755" t="b">
        <v>0</v>
      </c>
      <c r="F755" t="b">
        <v>0</v>
      </c>
      <c r="G755" t="s">
        <v>519</v>
      </c>
    </row>
    <row r="756" spans="1:7" s="2" customFormat="1" x14ac:dyDescent="0.25">
      <c r="A756" t="str">
        <f t="shared" ca="1" si="11"/>
        <v>b3050000420030_productsettingsdaysbeforereturn</v>
      </c>
      <c r="B756" t="s">
        <v>421</v>
      </c>
      <c r="C756" t="s">
        <v>422</v>
      </c>
      <c r="D756" t="s">
        <v>182</v>
      </c>
      <c r="E756" t="b">
        <v>0</v>
      </c>
      <c r="F756" t="b">
        <v>0</v>
      </c>
      <c r="G756" t="s">
        <v>651</v>
      </c>
    </row>
    <row r="757" spans="1:7" x14ac:dyDescent="0.25">
      <c r="A757" t="str">
        <f t="shared" ca="1" si="11"/>
        <v>b3050000420030_productsettingsdaysforreplenishment</v>
      </c>
      <c r="B757" t="s">
        <v>421</v>
      </c>
      <c r="C757" t="s">
        <v>423</v>
      </c>
      <c r="D757" t="s">
        <v>182</v>
      </c>
      <c r="E757" t="b">
        <v>0</v>
      </c>
      <c r="F757" t="b">
        <v>0</v>
      </c>
      <c r="G757" t="s">
        <v>568</v>
      </c>
    </row>
    <row r="758" spans="1:7" x14ac:dyDescent="0.25">
      <c r="A758" t="str">
        <f t="shared" ca="1" si="11"/>
        <v>b3050000420030_productsettingsdaysneedforrecallrequest</v>
      </c>
      <c r="B758" t="s">
        <v>421</v>
      </c>
      <c r="C758" t="s">
        <v>424</v>
      </c>
      <c r="D758" t="s">
        <v>182</v>
      </c>
      <c r="E758" t="b">
        <v>0</v>
      </c>
      <c r="F758" t="b">
        <v>0</v>
      </c>
      <c r="G758" t="s">
        <v>652</v>
      </c>
    </row>
    <row r="759" spans="1:7" x14ac:dyDescent="0.25">
      <c r="A759" t="str">
        <f t="shared" ca="1" si="11"/>
        <v>b3050000420030_productsettingsispartialrecallable</v>
      </c>
      <c r="B759" t="s">
        <v>421</v>
      </c>
      <c r="C759" t="s">
        <v>425</v>
      </c>
      <c r="D759" t="s">
        <v>164</v>
      </c>
      <c r="E759" t="b">
        <v>0</v>
      </c>
      <c r="F759" t="b">
        <v>0</v>
      </c>
      <c r="G759" t="s">
        <v>625</v>
      </c>
    </row>
    <row r="760" spans="1:7" x14ac:dyDescent="0.25">
      <c r="A760" t="str">
        <f t="shared" ca="1" si="11"/>
        <v>b3050000420030_productsettingsisrecallable</v>
      </c>
      <c r="B760" t="s">
        <v>421</v>
      </c>
      <c r="C760" t="s">
        <v>426</v>
      </c>
      <c r="D760" t="s">
        <v>164</v>
      </c>
      <c r="E760" t="b">
        <v>0</v>
      </c>
      <c r="F760" t="b">
        <v>0</v>
      </c>
      <c r="G760" t="s">
        <v>653</v>
      </c>
    </row>
    <row r="761" spans="1:7" x14ac:dyDescent="0.25">
      <c r="A761" t="str">
        <f t="shared" ca="1" si="11"/>
        <v>b3050000420030_productsettingsisreplenishable</v>
      </c>
      <c r="B761" t="s">
        <v>421</v>
      </c>
      <c r="C761" t="s">
        <v>297</v>
      </c>
      <c r="D761" t="s">
        <v>164</v>
      </c>
      <c r="E761" t="b">
        <v>0</v>
      </c>
      <c r="F761" t="b">
        <v>0</v>
      </c>
      <c r="G761" t="s">
        <v>566</v>
      </c>
    </row>
    <row r="762" spans="1:7" x14ac:dyDescent="0.25">
      <c r="A762" t="str">
        <f t="shared" ca="1" si="11"/>
        <v>b3050000420030_productsettingsobject_id</v>
      </c>
      <c r="B762" t="s">
        <v>421</v>
      </c>
      <c r="C762" t="s">
        <v>179</v>
      </c>
      <c r="D762" t="s">
        <v>157</v>
      </c>
      <c r="E762" t="b">
        <v>1</v>
      </c>
      <c r="F762" t="b">
        <v>1</v>
      </c>
      <c r="G762" t="s">
        <v>485</v>
      </c>
    </row>
    <row r="763" spans="1:7" x14ac:dyDescent="0.25">
      <c r="A763" t="str">
        <f t="shared" ca="1" si="11"/>
        <v>b3050000420030_productsettingsproductkind_id</v>
      </c>
      <c r="B763" t="s">
        <v>421</v>
      </c>
      <c r="C763" t="s">
        <v>287</v>
      </c>
      <c r="D763" t="s">
        <v>157</v>
      </c>
      <c r="E763" t="b">
        <v>0</v>
      </c>
      <c r="F763" t="b">
        <v>0</v>
      </c>
      <c r="G763" t="s">
        <v>654</v>
      </c>
    </row>
    <row r="764" spans="1:7" x14ac:dyDescent="0.25">
      <c r="A764" t="str">
        <f t="shared" ca="1" si="11"/>
        <v>b3050000420030_productsettingstype</v>
      </c>
      <c r="B764" t="s">
        <v>421</v>
      </c>
      <c r="C764" t="s">
        <v>208</v>
      </c>
      <c r="D764" t="s">
        <v>157</v>
      </c>
      <c r="E764" t="b">
        <v>0</v>
      </c>
      <c r="F764" t="b">
        <v>0</v>
      </c>
      <c r="G764" t="s">
        <v>509</v>
      </c>
    </row>
    <row r="765" spans="1:7" x14ac:dyDescent="0.25">
      <c r="A765" t="str">
        <f t="shared" ca="1" si="11"/>
        <v>b3050000420030_productsettingsctl_action</v>
      </c>
      <c r="B765" t="s">
        <v>421</v>
      </c>
      <c r="C765" t="s">
        <v>214</v>
      </c>
      <c r="D765" t="s">
        <v>157</v>
      </c>
      <c r="E765" t="b">
        <v>0</v>
      </c>
      <c r="F765" t="b">
        <v>0</v>
      </c>
    </row>
    <row r="766" spans="1:7" x14ac:dyDescent="0.25">
      <c r="A766" t="str">
        <f t="shared" ca="1" si="11"/>
        <v>b3050000420030_productsettingsctl_loading</v>
      </c>
      <c r="B766" t="s">
        <v>421</v>
      </c>
      <c r="C766" t="s">
        <v>215</v>
      </c>
      <c r="D766" t="s">
        <v>205</v>
      </c>
      <c r="E766" t="b">
        <v>0</v>
      </c>
      <c r="F766" t="b">
        <v>0</v>
      </c>
    </row>
    <row r="767" spans="1:7" x14ac:dyDescent="0.25">
      <c r="A767" t="str">
        <f t="shared" ca="1" si="11"/>
        <v>b3050000420030_productsettingsctl_validfrom</v>
      </c>
      <c r="B767" t="s">
        <v>421</v>
      </c>
      <c r="C767" t="s">
        <v>216</v>
      </c>
      <c r="D767" t="s">
        <v>154</v>
      </c>
      <c r="E767" t="b">
        <v>0</v>
      </c>
      <c r="F767" t="b">
        <v>0</v>
      </c>
    </row>
    <row r="768" spans="1:7" x14ac:dyDescent="0.25">
      <c r="A768" t="str">
        <f t="shared" ca="1" si="11"/>
        <v>b3050000420030_productsettingsinfo_system_id</v>
      </c>
      <c r="B768" t="s">
        <v>421</v>
      </c>
      <c r="C768" t="s">
        <v>217</v>
      </c>
      <c r="D768" t="s">
        <v>205</v>
      </c>
      <c r="E768" t="b">
        <v>0</v>
      </c>
      <c r="F768" t="b">
        <v>0</v>
      </c>
    </row>
    <row r="769" spans="1:7" x14ac:dyDescent="0.25">
      <c r="A769" t="str">
        <f t="shared" ca="1" si="11"/>
        <v>b3050000420030_productsettingsinfo_system_inst_cd</v>
      </c>
      <c r="B769" t="s">
        <v>421</v>
      </c>
      <c r="C769" t="s">
        <v>218</v>
      </c>
      <c r="D769" t="s">
        <v>157</v>
      </c>
      <c r="E769" t="b">
        <v>0</v>
      </c>
      <c r="F769" t="b">
        <v>0</v>
      </c>
    </row>
    <row r="770" spans="1:7" x14ac:dyDescent="0.25">
      <c r="A770" t="str">
        <f t="shared" ca="1" si="11"/>
        <v>b3050000420030_productsettingsinfo_system_type_cd</v>
      </c>
      <c r="B770" t="s">
        <v>421</v>
      </c>
      <c r="C770" t="s">
        <v>219</v>
      </c>
      <c r="D770" t="s">
        <v>157</v>
      </c>
      <c r="E770" t="b">
        <v>0</v>
      </c>
      <c r="F770" t="b">
        <v>0</v>
      </c>
    </row>
    <row r="771" spans="1:7" x14ac:dyDescent="0.25">
      <c r="A771" t="str">
        <f t="shared" ca="1" si="11"/>
        <v>b3050000420030_productsettingsinput_file_id</v>
      </c>
      <c r="B771" t="s">
        <v>421</v>
      </c>
      <c r="C771" t="s">
        <v>220</v>
      </c>
      <c r="D771" t="s">
        <v>205</v>
      </c>
      <c r="E771" t="b">
        <v>0</v>
      </c>
      <c r="F771" t="b">
        <v>0</v>
      </c>
    </row>
    <row r="772" spans="1:7" x14ac:dyDescent="0.25">
      <c r="A772" t="str">
        <f t="shared" ca="1" si="11"/>
        <v>b3050000420030_productsettingsinput_package_id</v>
      </c>
      <c r="B772" t="s">
        <v>421</v>
      </c>
      <c r="C772" t="s">
        <v>221</v>
      </c>
      <c r="D772" t="s">
        <v>205</v>
      </c>
      <c r="E772" t="b">
        <v>0</v>
      </c>
      <c r="F772" t="b">
        <v>0</v>
      </c>
    </row>
    <row r="773" spans="1:7" x14ac:dyDescent="0.25">
      <c r="A773" s="2" t="str">
        <f t="shared" ca="1" si="11"/>
        <v>b3050000420030_productsettingsworkflow_run_id</v>
      </c>
      <c r="B773" s="2" t="s">
        <v>421</v>
      </c>
      <c r="C773" s="2" t="s">
        <v>222</v>
      </c>
      <c r="D773" s="2" t="s">
        <v>205</v>
      </c>
      <c r="E773" s="2" t="b">
        <v>0</v>
      </c>
      <c r="F773" s="2" t="b">
        <v>0</v>
      </c>
      <c r="G773" s="2"/>
    </row>
    <row r="775" spans="1:7" s="2" customFormat="1" x14ac:dyDescent="0.25"/>
  </sheetData>
  <conditionalFormatting sqref="F1:F76 F211:F657 F78:F209 F661:F671 F673:F688 F691:F694 F696:F773">
    <cfRule type="cellIs" dxfId="183" priority="26" operator="equal">
      <formula>TRUE</formula>
    </cfRule>
  </conditionalFormatting>
  <conditionalFormatting sqref="E1:E76 E211:E657 E78:E209 E661:E671 E673:E688 E691:E694 E696:E773">
    <cfRule type="cellIs" dxfId="182" priority="25" operator="equal">
      <formula>TRUE</formula>
    </cfRule>
  </conditionalFormatting>
  <conditionalFormatting sqref="E211:E657 E661:E671 E673:E688 E691:E694 E696:E773">
    <cfRule type="cellIs" dxfId="181" priority="24" operator="equal">
      <formula>TRUE</formula>
    </cfRule>
  </conditionalFormatting>
  <conditionalFormatting sqref="F77">
    <cfRule type="cellIs" dxfId="180" priority="23" operator="equal">
      <formula>TRUE</formula>
    </cfRule>
  </conditionalFormatting>
  <conditionalFormatting sqref="E77">
    <cfRule type="cellIs" dxfId="179" priority="22" operator="equal">
      <formula>TRUE</formula>
    </cfRule>
  </conditionalFormatting>
  <conditionalFormatting sqref="E77">
    <cfRule type="cellIs" dxfId="178" priority="21" operator="equal">
      <formula>TRUE</formula>
    </cfRule>
  </conditionalFormatting>
  <conditionalFormatting sqref="F210">
    <cfRule type="cellIs" dxfId="177" priority="20" operator="equal">
      <formula>TRUE</formula>
    </cfRule>
  </conditionalFormatting>
  <conditionalFormatting sqref="E210">
    <cfRule type="cellIs" dxfId="176" priority="19" operator="equal">
      <formula>TRUE</formula>
    </cfRule>
  </conditionalFormatting>
  <conditionalFormatting sqref="E210">
    <cfRule type="cellIs" dxfId="175" priority="18" operator="equal">
      <formula>TRUE</formula>
    </cfRule>
  </conditionalFormatting>
  <conditionalFormatting sqref="F658">
    <cfRule type="cellIs" dxfId="174" priority="17" operator="equal">
      <formula>TRUE</formula>
    </cfRule>
  </conditionalFormatting>
  <conditionalFormatting sqref="E658">
    <cfRule type="cellIs" dxfId="173" priority="16" operator="equal">
      <formula>TRUE</formula>
    </cfRule>
  </conditionalFormatting>
  <conditionalFormatting sqref="E658">
    <cfRule type="cellIs" dxfId="172" priority="15" operator="equal">
      <formula>TRUE</formula>
    </cfRule>
  </conditionalFormatting>
  <conditionalFormatting sqref="F660">
    <cfRule type="cellIs" dxfId="171" priority="14" operator="equal">
      <formula>TRUE</formula>
    </cfRule>
  </conditionalFormatting>
  <conditionalFormatting sqref="E660">
    <cfRule type="cellIs" dxfId="170" priority="13" operator="equal">
      <formula>TRUE</formula>
    </cfRule>
  </conditionalFormatting>
  <conditionalFormatting sqref="E660">
    <cfRule type="cellIs" dxfId="169" priority="12" operator="equal">
      <formula>TRUE</formula>
    </cfRule>
  </conditionalFormatting>
  <conditionalFormatting sqref="F672">
    <cfRule type="cellIs" dxfId="168" priority="11" operator="equal">
      <formula>TRUE</formula>
    </cfRule>
  </conditionalFormatting>
  <conditionalFormatting sqref="E672">
    <cfRule type="cellIs" dxfId="167" priority="10" operator="equal">
      <formula>TRUE</formula>
    </cfRule>
  </conditionalFormatting>
  <conditionalFormatting sqref="F689">
    <cfRule type="cellIs" dxfId="166" priority="9" operator="equal">
      <formula>TRUE</formula>
    </cfRule>
  </conditionalFormatting>
  <conditionalFormatting sqref="E689">
    <cfRule type="cellIs" dxfId="165" priority="8" operator="equal">
      <formula>TRUE</formula>
    </cfRule>
  </conditionalFormatting>
  <conditionalFormatting sqref="F690">
    <cfRule type="cellIs" dxfId="164" priority="7" operator="equal">
      <formula>TRUE</formula>
    </cfRule>
  </conditionalFormatting>
  <conditionalFormatting sqref="E690">
    <cfRule type="cellIs" dxfId="163" priority="6" operator="equal">
      <formula>TRUE</formula>
    </cfRule>
  </conditionalFormatting>
  <conditionalFormatting sqref="F695">
    <cfRule type="cellIs" dxfId="162" priority="5" operator="equal">
      <formula>TRUE</formula>
    </cfRule>
  </conditionalFormatting>
  <conditionalFormatting sqref="E695">
    <cfRule type="cellIs" dxfId="161" priority="4" operator="equal">
      <formula>TRUE</formula>
    </cfRule>
  </conditionalFormatting>
  <conditionalFormatting sqref="F659">
    <cfRule type="cellIs" dxfId="160" priority="3" operator="equal">
      <formula>TRUE</formula>
    </cfRule>
  </conditionalFormatting>
  <conditionalFormatting sqref="E659">
    <cfRule type="cellIs" dxfId="159" priority="2" operator="equal">
      <formula>TRUE</formula>
    </cfRule>
  </conditionalFormatting>
  <conditionalFormatting sqref="E659">
    <cfRule type="cellIs" dxfId="158" priority="1" operator="equal">
      <formula>TRUE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A1:F48"/>
  <sheetViews>
    <sheetView zoomScale="66" zoomScaleNormal="66" workbookViewId="0">
      <selection activeCell="A4" sqref="A4"/>
    </sheetView>
  </sheetViews>
  <sheetFormatPr defaultRowHeight="15" x14ac:dyDescent="0.25"/>
  <cols>
    <col min="1" max="1" width="35.7109375" style="36" customWidth="1"/>
    <col min="2" max="2" width="125.7109375" style="36" customWidth="1"/>
    <col min="3" max="16384" width="9.140625" style="36"/>
  </cols>
  <sheetData>
    <row r="1" spans="1:6" x14ac:dyDescent="0.25">
      <c r="A1" s="36" t="s">
        <v>458</v>
      </c>
      <c r="B1" s="36" t="s">
        <v>336</v>
      </c>
      <c r="F1" s="37" t="s">
        <v>1542</v>
      </c>
    </row>
    <row r="2" spans="1:6" x14ac:dyDescent="0.25">
      <c r="A2" s="36" t="s">
        <v>655</v>
      </c>
      <c r="B2" s="36" t="s">
        <v>656</v>
      </c>
    </row>
    <row r="3" spans="1:6" x14ac:dyDescent="0.25">
      <c r="A3" s="36" t="s">
        <v>657</v>
      </c>
      <c r="B3" s="36" t="s">
        <v>658</v>
      </c>
    </row>
    <row r="4" spans="1:6" x14ac:dyDescent="0.25">
      <c r="A4" s="36" t="s">
        <v>1543</v>
      </c>
      <c r="B4" s="36" t="s">
        <v>1581</v>
      </c>
    </row>
    <row r="5" spans="1:6" x14ac:dyDescent="0.25">
      <c r="A5" s="36" t="s">
        <v>1550</v>
      </c>
      <c r="B5" s="36" t="s">
        <v>1582</v>
      </c>
    </row>
    <row r="6" spans="1:6" x14ac:dyDescent="0.25">
      <c r="A6" s="36" t="s">
        <v>659</v>
      </c>
      <c r="B6" s="36" t="s">
        <v>660</v>
      </c>
    </row>
    <row r="7" spans="1:6" x14ac:dyDescent="0.25">
      <c r="A7" s="36" t="s">
        <v>1557</v>
      </c>
      <c r="B7" s="36" t="s">
        <v>1584</v>
      </c>
    </row>
    <row r="8" spans="1:6" x14ac:dyDescent="0.25">
      <c r="A8" s="36" t="s">
        <v>1564</v>
      </c>
      <c r="B8" s="36" t="s">
        <v>1585</v>
      </c>
    </row>
    <row r="9" spans="1:6" x14ac:dyDescent="0.25">
      <c r="A9" s="36" t="s">
        <v>661</v>
      </c>
      <c r="B9" s="36" t="s">
        <v>662</v>
      </c>
    </row>
    <row r="10" spans="1:6" x14ac:dyDescent="0.25">
      <c r="A10" s="36" t="s">
        <v>663</v>
      </c>
      <c r="B10" s="36" t="s">
        <v>664</v>
      </c>
    </row>
    <row r="11" spans="1:6" x14ac:dyDescent="0.25">
      <c r="A11" s="36" t="s">
        <v>665</v>
      </c>
      <c r="B11" s="36" t="s">
        <v>666</v>
      </c>
    </row>
    <row r="12" spans="1:6" x14ac:dyDescent="0.25">
      <c r="A12" s="36" t="s">
        <v>667</v>
      </c>
      <c r="B12" s="36" t="s">
        <v>668</v>
      </c>
    </row>
    <row r="13" spans="1:6" x14ac:dyDescent="0.25">
      <c r="A13" s="36" t="s">
        <v>669</v>
      </c>
      <c r="B13" s="36" t="s">
        <v>670</v>
      </c>
    </row>
    <row r="14" spans="1:6" x14ac:dyDescent="0.25">
      <c r="A14" s="36" t="s">
        <v>671</v>
      </c>
      <c r="B14" s="36" t="s">
        <v>672</v>
      </c>
    </row>
    <row r="15" spans="1:6" x14ac:dyDescent="0.25">
      <c r="A15" s="36" t="s">
        <v>673</v>
      </c>
      <c r="B15" s="36" t="s">
        <v>674</v>
      </c>
    </row>
    <row r="16" spans="1:6" x14ac:dyDescent="0.25">
      <c r="A16" s="36" t="s">
        <v>675</v>
      </c>
      <c r="B16" s="36" t="s">
        <v>660</v>
      </c>
    </row>
    <row r="17" spans="1:2" x14ac:dyDescent="0.25">
      <c r="A17" s="36" t="s">
        <v>676</v>
      </c>
      <c r="B17" s="36" t="s">
        <v>677</v>
      </c>
    </row>
    <row r="18" spans="1:2" x14ac:dyDescent="0.25">
      <c r="A18" s="36" t="s">
        <v>678</v>
      </c>
      <c r="B18" s="36" t="s">
        <v>679</v>
      </c>
    </row>
    <row r="19" spans="1:2" x14ac:dyDescent="0.25">
      <c r="A19" s="36" t="s">
        <v>680</v>
      </c>
      <c r="B19" s="36" t="s">
        <v>681</v>
      </c>
    </row>
    <row r="20" spans="1:2" x14ac:dyDescent="0.25">
      <c r="A20" s="36" t="s">
        <v>682</v>
      </c>
      <c r="B20" s="36" t="s">
        <v>683</v>
      </c>
    </row>
    <row r="21" spans="1:2" x14ac:dyDescent="0.25">
      <c r="A21" s="36" t="s">
        <v>684</v>
      </c>
      <c r="B21" s="36" t="s">
        <v>685</v>
      </c>
    </row>
    <row r="22" spans="1:2" x14ac:dyDescent="0.25">
      <c r="A22" s="36" t="s">
        <v>686</v>
      </c>
      <c r="B22" s="36" t="s">
        <v>687</v>
      </c>
    </row>
    <row r="23" spans="1:2" x14ac:dyDescent="0.25">
      <c r="A23" s="36" t="s">
        <v>688</v>
      </c>
      <c r="B23" s="36" t="s">
        <v>689</v>
      </c>
    </row>
    <row r="24" spans="1:2" x14ac:dyDescent="0.25">
      <c r="A24" s="36" t="s">
        <v>690</v>
      </c>
      <c r="B24" s="36" t="s">
        <v>691</v>
      </c>
    </row>
    <row r="25" spans="1:2" x14ac:dyDescent="0.25">
      <c r="A25" s="36" t="s">
        <v>692</v>
      </c>
      <c r="B25" s="36" t="s">
        <v>693</v>
      </c>
    </row>
    <row r="26" spans="1:2" x14ac:dyDescent="0.25">
      <c r="A26" s="36" t="s">
        <v>694</v>
      </c>
      <c r="B26" s="36" t="s">
        <v>695</v>
      </c>
    </row>
    <row r="27" spans="1:2" x14ac:dyDescent="0.25">
      <c r="A27" s="36" t="s">
        <v>1571</v>
      </c>
      <c r="B27" s="36" t="s">
        <v>1583</v>
      </c>
    </row>
    <row r="28" spans="1:2" x14ac:dyDescent="0.25">
      <c r="A28" s="36" t="s">
        <v>696</v>
      </c>
      <c r="B28" s="36" t="s">
        <v>697</v>
      </c>
    </row>
    <row r="29" spans="1:2" x14ac:dyDescent="0.25">
      <c r="A29" s="36" t="s">
        <v>698</v>
      </c>
      <c r="B29" s="36" t="s">
        <v>699</v>
      </c>
    </row>
    <row r="30" spans="1:2" x14ac:dyDescent="0.25">
      <c r="A30" s="36" t="s">
        <v>700</v>
      </c>
      <c r="B30" s="36" t="s">
        <v>701</v>
      </c>
    </row>
    <row r="31" spans="1:2" x14ac:dyDescent="0.25">
      <c r="A31" s="36" t="s">
        <v>702</v>
      </c>
      <c r="B31" s="36" t="s">
        <v>703</v>
      </c>
    </row>
    <row r="32" spans="1:2" x14ac:dyDescent="0.25">
      <c r="A32" s="36" t="s">
        <v>1574</v>
      </c>
      <c r="B32" s="36" t="s">
        <v>1586</v>
      </c>
    </row>
    <row r="33" spans="1:2" x14ac:dyDescent="0.25">
      <c r="A33" s="36" t="s">
        <v>704</v>
      </c>
      <c r="B33" s="36" t="s">
        <v>705</v>
      </c>
    </row>
    <row r="34" spans="1:2" x14ac:dyDescent="0.25">
      <c r="A34" s="36" t="s">
        <v>706</v>
      </c>
      <c r="B34" s="36" t="s">
        <v>707</v>
      </c>
    </row>
    <row r="35" spans="1:2" x14ac:dyDescent="0.25">
      <c r="A35" s="36" t="s">
        <v>708</v>
      </c>
      <c r="B35" s="36" t="s">
        <v>709</v>
      </c>
    </row>
    <row r="36" spans="1:2" x14ac:dyDescent="0.25">
      <c r="A36" s="36" t="s">
        <v>710</v>
      </c>
      <c r="B36" s="36" t="s">
        <v>711</v>
      </c>
    </row>
    <row r="37" spans="1:2" x14ac:dyDescent="0.25">
      <c r="A37" s="36" t="s">
        <v>712</v>
      </c>
      <c r="B37" s="36" t="s">
        <v>713</v>
      </c>
    </row>
    <row r="38" spans="1:2" x14ac:dyDescent="0.25">
      <c r="A38" s="36" t="s">
        <v>714</v>
      </c>
      <c r="B38" s="36" t="s">
        <v>610</v>
      </c>
    </row>
    <row r="39" spans="1:2" x14ac:dyDescent="0.25">
      <c r="A39" s="36" t="s">
        <v>715</v>
      </c>
      <c r="B39" s="36" t="s">
        <v>579</v>
      </c>
    </row>
    <row r="40" spans="1:2" x14ac:dyDescent="0.25">
      <c r="A40" s="36" t="s">
        <v>716</v>
      </c>
      <c r="B40" s="36" t="s">
        <v>717</v>
      </c>
    </row>
    <row r="41" spans="1:2" x14ac:dyDescent="0.25">
      <c r="A41" s="36" t="s">
        <v>718</v>
      </c>
      <c r="B41" s="36" t="s">
        <v>719</v>
      </c>
    </row>
    <row r="42" spans="1:2" x14ac:dyDescent="0.25">
      <c r="A42" s="36" t="s">
        <v>720</v>
      </c>
      <c r="B42" s="36" t="s">
        <v>721</v>
      </c>
    </row>
    <row r="43" spans="1:2" x14ac:dyDescent="0.25">
      <c r="A43" s="36" t="s">
        <v>722</v>
      </c>
      <c r="B43" s="36" t="s">
        <v>723</v>
      </c>
    </row>
    <row r="44" spans="1:2" x14ac:dyDescent="0.25">
      <c r="A44" s="36" t="s">
        <v>724</v>
      </c>
      <c r="B44" s="36" t="s">
        <v>725</v>
      </c>
    </row>
    <row r="45" spans="1:2" x14ac:dyDescent="0.25">
      <c r="A45" s="36" t="s">
        <v>726</v>
      </c>
      <c r="B45" s="36" t="s">
        <v>727</v>
      </c>
    </row>
    <row r="46" spans="1:2" x14ac:dyDescent="0.25">
      <c r="A46" s="36" t="s">
        <v>728</v>
      </c>
      <c r="B46" s="36" t="s">
        <v>729</v>
      </c>
    </row>
    <row r="47" spans="1:2" x14ac:dyDescent="0.25">
      <c r="A47" s="36" t="s">
        <v>730</v>
      </c>
      <c r="B47" s="36" t="s">
        <v>731</v>
      </c>
    </row>
    <row r="48" spans="1:2" x14ac:dyDescent="0.25">
      <c r="A48" s="36" t="s">
        <v>732</v>
      </c>
      <c r="B48" s="36" t="s">
        <v>733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A1:M245"/>
  <sheetViews>
    <sheetView topLeftCell="B6" zoomScaleNormal="100" workbookViewId="0">
      <selection activeCell="C25" sqref="C25"/>
    </sheetView>
  </sheetViews>
  <sheetFormatPr defaultRowHeight="15" outlineLevelCol="1" x14ac:dyDescent="0.25"/>
  <cols>
    <col min="1" max="1" width="55.7109375" style="36" hidden="1" customWidth="1" outlineLevel="1"/>
    <col min="2" max="2" width="30.7109375" style="36" customWidth="1" collapsed="1"/>
    <col min="3" max="3" width="30.7109375" style="36" customWidth="1"/>
    <col min="4" max="7" width="9.140625" style="36"/>
    <col min="8" max="8" width="55.7109375" style="36" customWidth="1"/>
    <col min="9" max="9" width="200.7109375" style="36" customWidth="1"/>
    <col min="10" max="16384" width="9.140625" style="36"/>
  </cols>
  <sheetData>
    <row r="1" spans="1:13" x14ac:dyDescent="0.25">
      <c r="A1" s="36" t="s">
        <v>457</v>
      </c>
      <c r="B1" s="36" t="s">
        <v>458</v>
      </c>
      <c r="C1" s="36" t="s">
        <v>459</v>
      </c>
      <c r="D1" s="36" t="s">
        <v>460</v>
      </c>
      <c r="E1" s="36" t="s">
        <v>734</v>
      </c>
      <c r="F1" s="36" t="s">
        <v>462</v>
      </c>
      <c r="G1" s="36" t="s">
        <v>735</v>
      </c>
      <c r="H1" s="36" t="s">
        <v>736</v>
      </c>
      <c r="I1" s="36" t="s">
        <v>463</v>
      </c>
      <c r="M1" s="37" t="s">
        <v>1611</v>
      </c>
    </row>
    <row r="2" spans="1:13" x14ac:dyDescent="0.25">
      <c r="A2" s="36" t="str">
        <f t="shared" ref="A2:A66" ca="1" si="0">INDIRECT("R[0]C[1]", 0)&amp;INDIRECT("R[0]C[2]", 0)</f>
        <v>t_agr_depagr_dep_id</v>
      </c>
      <c r="B2" s="36" t="s">
        <v>655</v>
      </c>
      <c r="C2" s="36" t="s">
        <v>737</v>
      </c>
      <c r="D2" s="36" t="s">
        <v>160</v>
      </c>
      <c r="E2" s="36" t="b">
        <v>1</v>
      </c>
      <c r="F2" s="36" t="b">
        <v>1</v>
      </c>
      <c r="G2" s="36" t="b">
        <v>0</v>
      </c>
      <c r="I2" s="36" t="s">
        <v>738</v>
      </c>
    </row>
    <row r="3" spans="1:13" x14ac:dyDescent="0.25">
      <c r="A3" s="36" t="str">
        <f t="shared" ca="1" si="0"/>
        <v>t_agr_depagr_dep_num</v>
      </c>
      <c r="B3" s="36" t="s">
        <v>655</v>
      </c>
      <c r="C3" s="36" t="s">
        <v>739</v>
      </c>
      <c r="D3" s="36" t="s">
        <v>157</v>
      </c>
      <c r="E3" s="36" t="b">
        <v>0</v>
      </c>
      <c r="F3" s="36" t="b">
        <v>0</v>
      </c>
      <c r="G3" s="36" t="b">
        <v>0</v>
      </c>
      <c r="I3" s="36" t="s">
        <v>740</v>
      </c>
    </row>
    <row r="4" spans="1:13" x14ac:dyDescent="0.25">
      <c r="A4" s="36" t="str">
        <f t="shared" ca="1" si="0"/>
        <v>t_agr_depagr_dep_type_id</v>
      </c>
      <c r="B4" s="36" t="s">
        <v>655</v>
      </c>
      <c r="C4" s="36" t="s">
        <v>741</v>
      </c>
      <c r="D4" s="36" t="s">
        <v>160</v>
      </c>
      <c r="E4" s="36" t="b">
        <v>0</v>
      </c>
      <c r="F4" s="36" t="b">
        <v>0</v>
      </c>
      <c r="G4" s="36" t="b">
        <v>1</v>
      </c>
      <c r="H4" s="36" t="s">
        <v>742</v>
      </c>
      <c r="I4" s="36" t="s">
        <v>672</v>
      </c>
    </row>
    <row r="5" spans="1:13" x14ac:dyDescent="0.25">
      <c r="A5" s="36" t="str">
        <f t="shared" ca="1" si="0"/>
        <v>t_agr_depagr_frame_id</v>
      </c>
      <c r="B5" s="36" t="s">
        <v>655</v>
      </c>
      <c r="C5" s="36" t="s">
        <v>743</v>
      </c>
      <c r="D5" s="36" t="s">
        <v>160</v>
      </c>
      <c r="E5" s="36" t="b">
        <v>0</v>
      </c>
      <c r="F5" s="36" t="b">
        <v>0</v>
      </c>
      <c r="G5" s="36" t="b">
        <v>1</v>
      </c>
      <c r="H5" s="36" t="s">
        <v>744</v>
      </c>
      <c r="I5" s="36" t="s">
        <v>745</v>
      </c>
    </row>
    <row r="6" spans="1:13" x14ac:dyDescent="0.25">
      <c r="A6" s="36" t="str">
        <f t="shared" ca="1" si="0"/>
        <v>t_agr_depagr_rko_id</v>
      </c>
      <c r="B6" s="36" t="s">
        <v>655</v>
      </c>
      <c r="C6" s="36" t="s">
        <v>746</v>
      </c>
      <c r="D6" s="36" t="s">
        <v>160</v>
      </c>
      <c r="E6" s="36" t="b">
        <v>0</v>
      </c>
      <c r="F6" s="36" t="b">
        <v>0</v>
      </c>
      <c r="G6" s="36" t="b">
        <v>1</v>
      </c>
      <c r="H6" s="36" t="s">
        <v>747</v>
      </c>
      <c r="I6" s="36" t="s">
        <v>748</v>
      </c>
    </row>
    <row r="7" spans="1:13" x14ac:dyDescent="0.25">
      <c r="A7" s="36" t="str">
        <f t="shared" ca="1" si="0"/>
        <v>t_agr_depclose_dt</v>
      </c>
      <c r="B7" s="36" t="s">
        <v>655</v>
      </c>
      <c r="C7" s="36" t="s">
        <v>749</v>
      </c>
      <c r="D7" s="36" t="s">
        <v>750</v>
      </c>
      <c r="E7" s="36" t="b">
        <v>0</v>
      </c>
      <c r="F7" s="36" t="b">
        <v>0</v>
      </c>
      <c r="G7" s="36" t="b">
        <v>0</v>
      </c>
      <c r="I7" s="36" t="s">
        <v>751</v>
      </c>
    </row>
    <row r="8" spans="1:13" x14ac:dyDescent="0.25">
      <c r="A8" s="36" t="str">
        <f t="shared" ca="1" si="0"/>
        <v>t_agr_depcreate_dt</v>
      </c>
      <c r="B8" s="36" t="s">
        <v>655</v>
      </c>
      <c r="C8" s="36" t="s">
        <v>752</v>
      </c>
      <c r="D8" s="36" t="s">
        <v>750</v>
      </c>
      <c r="E8" s="36" t="b">
        <v>0</v>
      </c>
      <c r="F8" s="36" t="b">
        <v>0</v>
      </c>
      <c r="G8" s="36" t="b">
        <v>0</v>
      </c>
      <c r="I8" s="36" t="s">
        <v>753</v>
      </c>
    </row>
    <row r="9" spans="1:13" x14ac:dyDescent="0.25">
      <c r="A9" s="36" t="str">
        <f t="shared" ca="1" si="0"/>
        <v>t_agr_depcrncy_id</v>
      </c>
      <c r="B9" s="36" t="s">
        <v>655</v>
      </c>
      <c r="C9" s="36" t="s">
        <v>754</v>
      </c>
      <c r="D9" s="36" t="s">
        <v>160</v>
      </c>
      <c r="E9" s="36" t="b">
        <v>0</v>
      </c>
      <c r="F9" s="36" t="b">
        <v>0</v>
      </c>
      <c r="G9" s="36" t="b">
        <v>1</v>
      </c>
      <c r="H9" s="36" t="s">
        <v>755</v>
      </c>
      <c r="I9" s="36" t="s">
        <v>756</v>
      </c>
    </row>
    <row r="10" spans="1:13" x14ac:dyDescent="0.25">
      <c r="A10" s="36" t="str">
        <f t="shared" ca="1" si="0"/>
        <v>t_agr_depdel_dt</v>
      </c>
      <c r="B10" s="36" t="s">
        <v>655</v>
      </c>
      <c r="C10" s="36" t="s">
        <v>1612</v>
      </c>
      <c r="D10" s="36" t="s">
        <v>750</v>
      </c>
      <c r="E10" s="36" t="b">
        <v>0</v>
      </c>
      <c r="F10" s="36" t="b">
        <v>0</v>
      </c>
      <c r="G10" s="36" t="b">
        <v>0</v>
      </c>
      <c r="I10" s="36" t="s">
        <v>1613</v>
      </c>
    </row>
    <row r="11" spans="1:13" x14ac:dyDescent="0.25">
      <c r="A11" s="36" t="str">
        <f t="shared" ca="1" si="0"/>
        <v>t_agr_depexpiration_dt</v>
      </c>
      <c r="B11" s="36" t="s">
        <v>655</v>
      </c>
      <c r="C11" s="36" t="s">
        <v>757</v>
      </c>
      <c r="D11" s="36" t="s">
        <v>750</v>
      </c>
      <c r="E11" s="36" t="b">
        <v>0</v>
      </c>
      <c r="F11" s="36" t="b">
        <v>0</v>
      </c>
      <c r="G11" s="36" t="b">
        <v>0</v>
      </c>
      <c r="I11" s="36" t="s">
        <v>758</v>
      </c>
    </row>
    <row r="12" spans="1:13" x14ac:dyDescent="0.25">
      <c r="A12" s="36" t="str">
        <f t="shared" ca="1" si="0"/>
        <v>t_agr_dephost_agr_dep_id</v>
      </c>
      <c r="B12" s="36" t="s">
        <v>655</v>
      </c>
      <c r="C12" s="36" t="s">
        <v>759</v>
      </c>
      <c r="D12" s="36" t="s">
        <v>157</v>
      </c>
      <c r="E12" s="36" t="b">
        <v>0</v>
      </c>
      <c r="F12" s="36" t="b">
        <v>0</v>
      </c>
      <c r="G12" s="36" t="b">
        <v>0</v>
      </c>
      <c r="I12" s="36" t="s">
        <v>760</v>
      </c>
    </row>
    <row r="13" spans="1:13" x14ac:dyDescent="0.25">
      <c r="A13" s="36" t="str">
        <f t="shared" ca="1" si="0"/>
        <v>t_agr_depopen_dt</v>
      </c>
      <c r="B13" s="36" t="s">
        <v>655</v>
      </c>
      <c r="C13" s="36" t="s">
        <v>761</v>
      </c>
      <c r="D13" s="36" t="s">
        <v>750</v>
      </c>
      <c r="E13" s="36" t="b">
        <v>0</v>
      </c>
      <c r="F13" s="36" t="b">
        <v>0</v>
      </c>
      <c r="G13" s="36" t="b">
        <v>0</v>
      </c>
      <c r="I13" s="36" t="s">
        <v>762</v>
      </c>
    </row>
    <row r="14" spans="1:13" x14ac:dyDescent="0.25">
      <c r="A14" s="36" t="str">
        <f t="shared" ca="1" si="0"/>
        <v>t_agr_depprod_id</v>
      </c>
      <c r="B14" s="36" t="s">
        <v>655</v>
      </c>
      <c r="C14" s="36" t="s">
        <v>763</v>
      </c>
      <c r="D14" s="36" t="s">
        <v>160</v>
      </c>
      <c r="E14" s="36" t="b">
        <v>0</v>
      </c>
      <c r="F14" s="36" t="b">
        <v>0</v>
      </c>
      <c r="G14" s="36" t="b">
        <v>1</v>
      </c>
      <c r="H14" s="36" t="s">
        <v>764</v>
      </c>
      <c r="I14" s="36" t="s">
        <v>765</v>
      </c>
    </row>
    <row r="15" spans="1:13" x14ac:dyDescent="0.25">
      <c r="A15" s="36" t="str">
        <f t="shared" ca="1" si="0"/>
        <v>t_agr_deprko_coa_num</v>
      </c>
      <c r="B15" s="36" t="s">
        <v>655</v>
      </c>
      <c r="C15" s="36" t="s">
        <v>766</v>
      </c>
      <c r="D15" s="36" t="s">
        <v>157</v>
      </c>
      <c r="E15" s="36" t="b">
        <v>0</v>
      </c>
      <c r="F15" s="36" t="b">
        <v>0</v>
      </c>
      <c r="G15" s="36" t="b">
        <v>0</v>
      </c>
      <c r="I15" s="36" t="s">
        <v>767</v>
      </c>
    </row>
    <row r="16" spans="1:13" s="38" customFormat="1" ht="15.75" thickBot="1" x14ac:dyDescent="0.3">
      <c r="A16" s="38" t="str">
        <f t="shared" ca="1" si="0"/>
        <v>t_agr_depsign_dt</v>
      </c>
      <c r="B16" s="38" t="s">
        <v>655</v>
      </c>
      <c r="C16" s="38" t="s">
        <v>768</v>
      </c>
      <c r="D16" s="38" t="s">
        <v>750</v>
      </c>
      <c r="E16" s="38" t="b">
        <v>0</v>
      </c>
      <c r="F16" s="38" t="b">
        <v>0</v>
      </c>
      <c r="G16" s="38" t="b">
        <v>0</v>
      </c>
      <c r="I16" s="38" t="s">
        <v>769</v>
      </c>
    </row>
    <row r="17" spans="1:9" x14ac:dyDescent="0.25">
      <c r="A17" s="36" t="str">
        <f t="shared" ca="1" si="0"/>
        <v>t_agr_dep$dulagr_dep_id</v>
      </c>
      <c r="B17" s="36" t="s">
        <v>657</v>
      </c>
      <c r="C17" s="36" t="s">
        <v>737</v>
      </c>
      <c r="D17" s="36" t="s">
        <v>160</v>
      </c>
      <c r="E17" s="36" t="b">
        <v>1</v>
      </c>
      <c r="F17" s="36" t="b">
        <v>1</v>
      </c>
      <c r="G17" s="36" t="b">
        <v>1</v>
      </c>
      <c r="H17" s="36" t="s">
        <v>770</v>
      </c>
      <c r="I17" s="36" t="s">
        <v>738</v>
      </c>
    </row>
    <row r="18" spans="1:9" x14ac:dyDescent="0.25">
      <c r="A18" s="36" t="str">
        <f t="shared" ca="1" si="0"/>
        <v>t_agr_dep$duldul$agr_dep_desc</v>
      </c>
      <c r="B18" s="36" t="s">
        <v>657</v>
      </c>
      <c r="C18" s="36" t="s">
        <v>771</v>
      </c>
      <c r="D18" s="36" t="s">
        <v>157</v>
      </c>
      <c r="E18" s="36" t="b">
        <v>0</v>
      </c>
      <c r="F18" s="36" t="b">
        <v>0</v>
      </c>
      <c r="G18" s="36" t="b">
        <v>0</v>
      </c>
      <c r="I18" s="36" t="s">
        <v>772</v>
      </c>
    </row>
    <row r="19" spans="1:9" x14ac:dyDescent="0.25">
      <c r="A19" s="36" t="str">
        <f t="shared" ca="1" si="0"/>
        <v>t_agr_dep$duldul$agr_dep_purpose_type_id</v>
      </c>
      <c r="B19" s="36" t="s">
        <v>657</v>
      </c>
      <c r="C19" s="36" t="s">
        <v>773</v>
      </c>
      <c r="D19" s="36" t="s">
        <v>160</v>
      </c>
      <c r="E19" s="36" t="b">
        <v>0</v>
      </c>
      <c r="F19" s="36" t="b">
        <v>0</v>
      </c>
      <c r="G19" s="36" t="b">
        <v>1</v>
      </c>
      <c r="H19" s="36" t="s">
        <v>774</v>
      </c>
      <c r="I19" s="36" t="s">
        <v>775</v>
      </c>
    </row>
    <row r="20" spans="1:9" x14ac:dyDescent="0.25">
      <c r="A20" s="36" t="str">
        <f t="shared" ca="1" si="0"/>
        <v>t_agr_dep$duldul$first_agr_dep_id</v>
      </c>
      <c r="B20" s="36" t="s">
        <v>657</v>
      </c>
      <c r="C20" s="36" t="s">
        <v>776</v>
      </c>
      <c r="D20" s="36" t="s">
        <v>160</v>
      </c>
      <c r="E20" s="36" t="b">
        <v>0</v>
      </c>
      <c r="F20" s="36" t="b">
        <v>0</v>
      </c>
      <c r="G20" s="36" t="b">
        <v>1</v>
      </c>
      <c r="H20" s="36" t="s">
        <v>770</v>
      </c>
      <c r="I20" s="36" t="s">
        <v>777</v>
      </c>
    </row>
    <row r="21" spans="1:9" x14ac:dyDescent="0.25">
      <c r="A21" s="36" t="str">
        <f t="shared" ca="1" si="0"/>
        <v>t_agr_dep$duldul$full_refund_flag</v>
      </c>
      <c r="B21" s="36" t="s">
        <v>657</v>
      </c>
      <c r="C21" s="36" t="s">
        <v>1533</v>
      </c>
      <c r="D21" s="36" t="s">
        <v>157</v>
      </c>
      <c r="E21" s="36" t="b">
        <v>0</v>
      </c>
      <c r="F21" s="36" t="b">
        <v>0</v>
      </c>
      <c r="G21" s="36" t="b">
        <v>0</v>
      </c>
      <c r="I21" s="36" t="s">
        <v>1531</v>
      </c>
    </row>
    <row r="22" spans="1:9" x14ac:dyDescent="0.25">
      <c r="A22" s="36" t="str">
        <f t="shared" ca="1" si="0"/>
        <v>t_agr_dep$duldul$host_ext_id</v>
      </c>
      <c r="B22" s="36" t="s">
        <v>657</v>
      </c>
      <c r="C22" s="36" t="s">
        <v>778</v>
      </c>
      <c r="D22" s="36" t="s">
        <v>157</v>
      </c>
      <c r="E22" s="36" t="b">
        <v>0</v>
      </c>
      <c r="F22" s="36" t="b">
        <v>0</v>
      </c>
      <c r="G22" s="36" t="b">
        <v>0</v>
      </c>
      <c r="I22" s="36" t="s">
        <v>574</v>
      </c>
    </row>
    <row r="23" spans="1:9" x14ac:dyDescent="0.25">
      <c r="A23" s="36" t="str">
        <f t="shared" ca="1" si="0"/>
        <v>t_agr_dep$duldul$master_flag_del_dt</v>
      </c>
      <c r="B23" s="36" t="s">
        <v>657</v>
      </c>
      <c r="C23" s="36" t="s">
        <v>779</v>
      </c>
      <c r="D23" s="36" t="s">
        <v>750</v>
      </c>
      <c r="E23" s="36" t="b">
        <v>0</v>
      </c>
      <c r="F23" s="36" t="b">
        <v>0</v>
      </c>
      <c r="G23" s="36" t="b">
        <v>0</v>
      </c>
      <c r="I23" s="36" t="s">
        <v>780</v>
      </c>
    </row>
    <row r="24" spans="1:9" x14ac:dyDescent="0.25">
      <c r="A24" s="36" t="str">
        <f t="shared" ca="1" si="0"/>
        <v>t_agr_dep$duldul$new_agr_dep_id</v>
      </c>
      <c r="B24" s="36" t="s">
        <v>657</v>
      </c>
      <c r="C24" s="36" t="s">
        <v>781</v>
      </c>
      <c r="D24" s="36" t="s">
        <v>160</v>
      </c>
      <c r="E24" s="36" t="b">
        <v>0</v>
      </c>
      <c r="F24" s="36" t="b">
        <v>0</v>
      </c>
      <c r="G24" s="36" t="b">
        <v>1</v>
      </c>
      <c r="H24" s="36" t="s">
        <v>770</v>
      </c>
      <c r="I24" s="36" t="s">
        <v>782</v>
      </c>
    </row>
    <row r="25" spans="1:9" x14ac:dyDescent="0.25">
      <c r="A25" s="36" t="str">
        <f ca="1">INDIRECT("R[0]C[1]", 0)&amp;INDIRECT("R[0]C[2]", 0)</f>
        <v>t_agr_dep$duldul$intrst_pymnt_cd</v>
      </c>
      <c r="B25" s="36" t="s">
        <v>657</v>
      </c>
      <c r="C25" s="36" t="s">
        <v>1622</v>
      </c>
      <c r="D25" s="36" t="s">
        <v>157</v>
      </c>
      <c r="E25" s="36" t="b">
        <v>0</v>
      </c>
      <c r="F25" s="36" t="b">
        <v>0</v>
      </c>
      <c r="G25" s="36" t="b">
        <v>0</v>
      </c>
      <c r="I25" s="36" t="s">
        <v>1621</v>
      </c>
    </row>
    <row r="26" spans="1:9" x14ac:dyDescent="0.25">
      <c r="A26" s="36" t="str">
        <f t="shared" ca="1" si="0"/>
        <v>t_agr_dep$duldul$partial_refund_amount_change_flag</v>
      </c>
      <c r="B26" s="36" t="s">
        <v>657</v>
      </c>
      <c r="C26" s="36" t="s">
        <v>783</v>
      </c>
      <c r="D26" s="36" t="s">
        <v>157</v>
      </c>
      <c r="E26" s="36" t="b">
        <v>0</v>
      </c>
      <c r="F26" s="36" t="b">
        <v>0</v>
      </c>
      <c r="G26" s="36" t="b">
        <v>0</v>
      </c>
      <c r="I26" s="36" t="s">
        <v>623</v>
      </c>
    </row>
    <row r="27" spans="1:9" x14ac:dyDescent="0.25">
      <c r="A27" s="36" t="str">
        <f t="shared" ca="1" si="0"/>
        <v>t_agr_dep$duldul$partial_refund_flag</v>
      </c>
      <c r="B27" s="36" t="s">
        <v>657</v>
      </c>
      <c r="C27" s="36" t="s">
        <v>784</v>
      </c>
      <c r="D27" s="36" t="s">
        <v>157</v>
      </c>
      <c r="E27" s="36" t="b">
        <v>0</v>
      </c>
      <c r="F27" s="36" t="b">
        <v>0</v>
      </c>
      <c r="G27" s="36" t="b">
        <v>0</v>
      </c>
      <c r="I27" s="36" t="s">
        <v>625</v>
      </c>
    </row>
    <row r="28" spans="1:9" s="38" customFormat="1" ht="15.75" thickBot="1" x14ac:dyDescent="0.3">
      <c r="A28" s="38" t="str">
        <f t="shared" ca="1" si="0"/>
        <v>t_agr_dep$duldul$replenishable_flag</v>
      </c>
      <c r="B28" s="38" t="s">
        <v>657</v>
      </c>
      <c r="C28" s="38" t="s">
        <v>981</v>
      </c>
      <c r="D28" s="38" t="s">
        <v>157</v>
      </c>
      <c r="E28" s="38" t="b">
        <v>0</v>
      </c>
      <c r="F28" s="38" t="b">
        <v>0</v>
      </c>
      <c r="G28" s="38" t="b">
        <v>0</v>
      </c>
      <c r="I28" s="38" t="s">
        <v>566</v>
      </c>
    </row>
    <row r="29" spans="1:9" x14ac:dyDescent="0.25">
      <c r="A29" s="36" t="str">
        <f t="shared" ca="1" si="0"/>
        <v>t_agr_dep_coaagr_dep_coa_role_id</v>
      </c>
      <c r="B29" s="36" t="s">
        <v>1543</v>
      </c>
      <c r="C29" s="36" t="s">
        <v>1544</v>
      </c>
      <c r="D29" s="36" t="s">
        <v>160</v>
      </c>
      <c r="E29" s="36" t="b">
        <v>1</v>
      </c>
      <c r="F29" s="36" t="b">
        <v>1</v>
      </c>
      <c r="G29" s="36" t="b">
        <v>1</v>
      </c>
      <c r="H29" s="36" t="s">
        <v>1545</v>
      </c>
      <c r="I29" s="36" t="s">
        <v>1546</v>
      </c>
    </row>
    <row r="30" spans="1:9" x14ac:dyDescent="0.25">
      <c r="A30" s="36" t="str">
        <f t="shared" ca="1" si="0"/>
        <v>t_agr_dep_coaagr_dep_id</v>
      </c>
      <c r="B30" s="36" t="s">
        <v>1543</v>
      </c>
      <c r="C30" s="36" t="s">
        <v>737</v>
      </c>
      <c r="D30" s="36" t="s">
        <v>160</v>
      </c>
      <c r="E30" s="36" t="b">
        <v>1</v>
      </c>
      <c r="F30" s="36" t="b">
        <v>1</v>
      </c>
      <c r="G30" s="36" t="b">
        <v>1</v>
      </c>
      <c r="H30" s="36" t="s">
        <v>770</v>
      </c>
      <c r="I30" s="36" t="s">
        <v>738</v>
      </c>
    </row>
    <row r="31" spans="1:9" x14ac:dyDescent="0.25">
      <c r="A31" s="36" t="str">
        <f t="shared" ca="1" si="0"/>
        <v>t_agr_dep_coacoa_id</v>
      </c>
      <c r="B31" s="36" t="s">
        <v>1543</v>
      </c>
      <c r="C31" s="36" t="s">
        <v>1547</v>
      </c>
      <c r="D31" s="36" t="s">
        <v>160</v>
      </c>
      <c r="E31" s="36" t="b">
        <v>1</v>
      </c>
      <c r="F31" s="36" t="b">
        <v>1</v>
      </c>
      <c r="G31" s="36" t="b">
        <v>1</v>
      </c>
      <c r="H31" s="36" t="s">
        <v>1548</v>
      </c>
      <c r="I31" s="36" t="s">
        <v>1549</v>
      </c>
    </row>
    <row r="32" spans="1:9" x14ac:dyDescent="0.25">
      <c r="A32" s="36" t="str">
        <f t="shared" ca="1" si="0"/>
        <v>t_agr_dep_coastart_dt</v>
      </c>
      <c r="B32" s="36" t="s">
        <v>1543</v>
      </c>
      <c r="C32" s="36" t="s">
        <v>785</v>
      </c>
      <c r="D32" s="36" t="s">
        <v>750</v>
      </c>
      <c r="E32" s="36" t="b">
        <v>1</v>
      </c>
      <c r="F32" s="36" t="b">
        <v>1</v>
      </c>
      <c r="G32" s="36" t="b">
        <v>0</v>
      </c>
      <c r="I32" s="36" t="s">
        <v>786</v>
      </c>
    </row>
    <row r="33" spans="1:9" s="38" customFormat="1" ht="15.75" thickBot="1" x14ac:dyDescent="0.3">
      <c r="A33" s="38" t="str">
        <f t="shared" ca="1" si="0"/>
        <v>t_agr_dep_coaend_dt</v>
      </c>
      <c r="B33" s="38" t="s">
        <v>1543</v>
      </c>
      <c r="C33" s="38" t="s">
        <v>787</v>
      </c>
      <c r="D33" s="38" t="s">
        <v>750</v>
      </c>
      <c r="E33" s="38" t="b">
        <v>0</v>
      </c>
      <c r="F33" s="38" t="b">
        <v>0</v>
      </c>
      <c r="G33" s="38" t="b">
        <v>0</v>
      </c>
      <c r="I33" s="38" t="s">
        <v>788</v>
      </c>
    </row>
    <row r="34" spans="1:9" x14ac:dyDescent="0.25">
      <c r="A34" s="36" t="str">
        <f t="shared" ca="1" si="0"/>
        <v>t_agr_dep_coa_roleagr_dep_coa_role_id</v>
      </c>
      <c r="B34" s="36" t="s">
        <v>1550</v>
      </c>
      <c r="C34" s="36" t="s">
        <v>1544</v>
      </c>
      <c r="D34" s="36" t="s">
        <v>160</v>
      </c>
      <c r="E34" s="36" t="b">
        <v>1</v>
      </c>
      <c r="F34" s="36" t="b">
        <v>1</v>
      </c>
      <c r="G34" s="36" t="b">
        <v>0</v>
      </c>
      <c r="I34" s="36" t="s">
        <v>1546</v>
      </c>
    </row>
    <row r="35" spans="1:9" x14ac:dyDescent="0.25">
      <c r="A35" s="36" t="str">
        <f t="shared" ca="1" si="0"/>
        <v>t_agr_dep_coa_roleagr_dep_coa_role_cd</v>
      </c>
      <c r="B35" s="36" t="s">
        <v>1550</v>
      </c>
      <c r="C35" s="36" t="s">
        <v>1551</v>
      </c>
      <c r="D35" s="36" t="s">
        <v>157</v>
      </c>
      <c r="E35" s="36" t="b">
        <v>0</v>
      </c>
      <c r="F35" s="36" t="b">
        <v>0</v>
      </c>
      <c r="G35" s="36" t="b">
        <v>0</v>
      </c>
      <c r="I35" s="36" t="s">
        <v>1552</v>
      </c>
    </row>
    <row r="36" spans="1:9" x14ac:dyDescent="0.25">
      <c r="A36" s="36" t="str">
        <f t="shared" ca="1" si="0"/>
        <v>t_agr_dep_coa_roleagr_dep_coa_role_desc</v>
      </c>
      <c r="B36" s="36" t="s">
        <v>1550</v>
      </c>
      <c r="C36" s="36" t="s">
        <v>1553</v>
      </c>
      <c r="D36" s="36" t="s">
        <v>157</v>
      </c>
      <c r="E36" s="36" t="b">
        <v>0</v>
      </c>
      <c r="F36" s="36" t="b">
        <v>0</v>
      </c>
      <c r="G36" s="36" t="b">
        <v>0</v>
      </c>
      <c r="I36" s="36" t="s">
        <v>1554</v>
      </c>
    </row>
    <row r="37" spans="1:9" s="38" customFormat="1" ht="15.75" thickBot="1" x14ac:dyDescent="0.3">
      <c r="A37" s="38" t="str">
        <f t="shared" ca="1" si="0"/>
        <v>t_agr_dep_coa_rolehost_agr_dep_coa_role_id</v>
      </c>
      <c r="B37" s="38" t="s">
        <v>1550</v>
      </c>
      <c r="C37" s="38" t="s">
        <v>1555</v>
      </c>
      <c r="D37" s="38" t="s">
        <v>157</v>
      </c>
      <c r="E37" s="38" t="b">
        <v>0</v>
      </c>
      <c r="F37" s="38" t="b">
        <v>0</v>
      </c>
      <c r="G37" s="38" t="b">
        <v>0</v>
      </c>
      <c r="I37" s="38" t="s">
        <v>1556</v>
      </c>
    </row>
    <row r="38" spans="1:9" x14ac:dyDescent="0.25">
      <c r="A38" s="36" t="str">
        <f t="shared" ca="1" si="0"/>
        <v>t_agr_dep_custagr_dep_id</v>
      </c>
      <c r="B38" s="36" t="s">
        <v>659</v>
      </c>
      <c r="C38" s="36" t="s">
        <v>737</v>
      </c>
      <c r="D38" s="36" t="s">
        <v>160</v>
      </c>
      <c r="E38" s="36" t="b">
        <v>1</v>
      </c>
      <c r="F38" s="36" t="b">
        <v>1</v>
      </c>
      <c r="G38" s="36" t="b">
        <v>1</v>
      </c>
      <c r="H38" s="36" t="s">
        <v>770</v>
      </c>
      <c r="I38" s="36" t="s">
        <v>738</v>
      </c>
    </row>
    <row r="39" spans="1:9" x14ac:dyDescent="0.25">
      <c r="A39" s="36" t="str">
        <f t="shared" ca="1" si="0"/>
        <v>t_agr_dep_custstart_dt</v>
      </c>
      <c r="B39" s="36" t="s">
        <v>659</v>
      </c>
      <c r="C39" s="36" t="s">
        <v>785</v>
      </c>
      <c r="D39" s="36" t="s">
        <v>750</v>
      </c>
      <c r="E39" s="36" t="b">
        <v>1</v>
      </c>
      <c r="F39" s="36" t="b">
        <v>1</v>
      </c>
      <c r="G39" s="36" t="b">
        <v>0</v>
      </c>
      <c r="I39" s="36" t="s">
        <v>786</v>
      </c>
    </row>
    <row r="40" spans="1:9" x14ac:dyDescent="0.25">
      <c r="A40" s="36" t="str">
        <f t="shared" ca="1" si="0"/>
        <v>t_agr_dep_custend_dt</v>
      </c>
      <c r="B40" s="36" t="s">
        <v>659</v>
      </c>
      <c r="C40" s="36" t="s">
        <v>787</v>
      </c>
      <c r="D40" s="36" t="s">
        <v>750</v>
      </c>
      <c r="E40" s="36" t="b">
        <v>0</v>
      </c>
      <c r="F40" s="36" t="b">
        <v>0</v>
      </c>
      <c r="G40" s="36" t="b">
        <v>0</v>
      </c>
      <c r="I40" s="36" t="s">
        <v>788</v>
      </c>
    </row>
    <row r="41" spans="1:9" s="38" customFormat="1" ht="15.75" thickBot="1" x14ac:dyDescent="0.3">
      <c r="A41" s="38" t="str">
        <f t="shared" ca="1" si="0"/>
        <v>t_agr_dep_custcust_id</v>
      </c>
      <c r="B41" s="38" t="s">
        <v>659</v>
      </c>
      <c r="C41" s="38" t="s">
        <v>789</v>
      </c>
      <c r="D41" s="38" t="s">
        <v>160</v>
      </c>
      <c r="E41" s="38" t="b">
        <v>0</v>
      </c>
      <c r="F41" s="38" t="b">
        <v>0</v>
      </c>
      <c r="G41" s="38" t="b">
        <v>1</v>
      </c>
      <c r="H41" s="38" t="s">
        <v>790</v>
      </c>
      <c r="I41" s="38" t="s">
        <v>791</v>
      </c>
    </row>
    <row r="42" spans="1:9" x14ac:dyDescent="0.25">
      <c r="A42" s="36" t="str">
        <f t="shared" ca="1" si="0"/>
        <v>t_agr_dep_ext_coaagr_dep_ext_coa_role_id</v>
      </c>
      <c r="B42" s="36" t="s">
        <v>1557</v>
      </c>
      <c r="C42" s="36" t="s">
        <v>1558</v>
      </c>
      <c r="D42" s="36" t="s">
        <v>160</v>
      </c>
      <c r="E42" s="36" t="b">
        <v>1</v>
      </c>
      <c r="F42" s="36" t="b">
        <v>1</v>
      </c>
      <c r="G42" s="36" t="b">
        <v>1</v>
      </c>
      <c r="H42" s="36" t="s">
        <v>1559</v>
      </c>
      <c r="I42" s="36" t="s">
        <v>1560</v>
      </c>
    </row>
    <row r="43" spans="1:9" x14ac:dyDescent="0.25">
      <c r="A43" s="36" t="str">
        <f t="shared" ca="1" si="0"/>
        <v>t_agr_dep_ext_coaagr_dep_id</v>
      </c>
      <c r="B43" s="36" t="s">
        <v>1557</v>
      </c>
      <c r="C43" s="36" t="s">
        <v>737</v>
      </c>
      <c r="D43" s="36" t="s">
        <v>160</v>
      </c>
      <c r="E43" s="36" t="b">
        <v>1</v>
      </c>
      <c r="F43" s="36" t="b">
        <v>1</v>
      </c>
      <c r="G43" s="36" t="b">
        <v>1</v>
      </c>
      <c r="H43" s="36" t="s">
        <v>770</v>
      </c>
      <c r="I43" s="36" t="s">
        <v>738</v>
      </c>
    </row>
    <row r="44" spans="1:9" x14ac:dyDescent="0.25">
      <c r="A44" s="36" t="str">
        <f t="shared" ca="1" si="0"/>
        <v>t_agr_dep_ext_coaext_coa_id</v>
      </c>
      <c r="B44" s="36" t="s">
        <v>1557</v>
      </c>
      <c r="C44" s="36" t="s">
        <v>1561</v>
      </c>
      <c r="D44" s="36" t="s">
        <v>160</v>
      </c>
      <c r="E44" s="36" t="b">
        <v>1</v>
      </c>
      <c r="F44" s="36" t="b">
        <v>1</v>
      </c>
      <c r="G44" s="36" t="b">
        <v>1</v>
      </c>
      <c r="H44" s="36" t="s">
        <v>1562</v>
      </c>
      <c r="I44" s="36" t="s">
        <v>1563</v>
      </c>
    </row>
    <row r="45" spans="1:9" x14ac:dyDescent="0.25">
      <c r="A45" s="36" t="str">
        <f t="shared" ca="1" si="0"/>
        <v>t_agr_dep_ext_coastart_dt</v>
      </c>
      <c r="B45" s="36" t="s">
        <v>1557</v>
      </c>
      <c r="C45" s="36" t="s">
        <v>785</v>
      </c>
      <c r="D45" s="36" t="s">
        <v>750</v>
      </c>
      <c r="E45" s="36" t="b">
        <v>1</v>
      </c>
      <c r="F45" s="36" t="b">
        <v>1</v>
      </c>
      <c r="G45" s="36" t="b">
        <v>0</v>
      </c>
      <c r="I45" s="36" t="s">
        <v>786</v>
      </c>
    </row>
    <row r="46" spans="1:9" s="38" customFormat="1" ht="15.75" thickBot="1" x14ac:dyDescent="0.3">
      <c r="A46" s="38" t="str">
        <f t="shared" ca="1" si="0"/>
        <v>t_agr_dep_ext_coaend_dt</v>
      </c>
      <c r="B46" s="38" t="s">
        <v>1557</v>
      </c>
      <c r="C46" s="38" t="s">
        <v>787</v>
      </c>
      <c r="D46" s="38" t="s">
        <v>750</v>
      </c>
      <c r="E46" s="38" t="b">
        <v>0</v>
      </c>
      <c r="F46" s="38" t="b">
        <v>0</v>
      </c>
      <c r="G46" s="38" t="b">
        <v>0</v>
      </c>
      <c r="I46" s="38" t="s">
        <v>788</v>
      </c>
    </row>
    <row r="47" spans="1:9" x14ac:dyDescent="0.25">
      <c r="A47" s="36" t="str">
        <f t="shared" ca="1" si="0"/>
        <v>t_agr_dep_ext_coa_roleagr_dep_ext_coa_role_id</v>
      </c>
      <c r="B47" s="36" t="s">
        <v>1564</v>
      </c>
      <c r="C47" s="36" t="s">
        <v>1558</v>
      </c>
      <c r="D47" s="36" t="s">
        <v>160</v>
      </c>
      <c r="E47" s="36" t="b">
        <v>1</v>
      </c>
      <c r="F47" s="36" t="b">
        <v>1</v>
      </c>
      <c r="G47" s="36" t="b">
        <v>0</v>
      </c>
      <c r="I47" s="36" t="s">
        <v>1560</v>
      </c>
    </row>
    <row r="48" spans="1:9" x14ac:dyDescent="0.25">
      <c r="A48" s="36" t="str">
        <f t="shared" ca="1" si="0"/>
        <v>t_agr_dep_ext_coa_roleagr_dep_ext_coa_role_cd</v>
      </c>
      <c r="B48" s="36" t="s">
        <v>1564</v>
      </c>
      <c r="C48" s="36" t="s">
        <v>1565</v>
      </c>
      <c r="D48" s="36" t="s">
        <v>157</v>
      </c>
      <c r="E48" s="36" t="b">
        <v>0</v>
      </c>
      <c r="F48" s="36" t="b">
        <v>0</v>
      </c>
      <c r="G48" s="36" t="b">
        <v>0</v>
      </c>
      <c r="I48" s="36" t="s">
        <v>1566</v>
      </c>
    </row>
    <row r="49" spans="1:9" x14ac:dyDescent="0.25">
      <c r="A49" s="36" t="str">
        <f t="shared" ca="1" si="0"/>
        <v>t_agr_dep_ext_coa_roleagr_dep_ext_coa_role_desc</v>
      </c>
      <c r="B49" s="36" t="s">
        <v>1564</v>
      </c>
      <c r="C49" s="36" t="s">
        <v>1567</v>
      </c>
      <c r="D49" s="36" t="s">
        <v>157</v>
      </c>
      <c r="E49" s="36" t="b">
        <v>0</v>
      </c>
      <c r="F49" s="36" t="b">
        <v>0</v>
      </c>
      <c r="G49" s="36" t="b">
        <v>0</v>
      </c>
      <c r="I49" s="36" t="s">
        <v>1568</v>
      </c>
    </row>
    <row r="50" spans="1:9" s="38" customFormat="1" ht="15.75" thickBot="1" x14ac:dyDescent="0.3">
      <c r="A50" s="38" t="str">
        <f t="shared" ca="1" si="0"/>
        <v>t_agr_dep_ext_coa_rolehost_agr_dep_ext_coa_role_id</v>
      </c>
      <c r="B50" s="38" t="s">
        <v>1564</v>
      </c>
      <c r="C50" s="38" t="s">
        <v>1569</v>
      </c>
      <c r="D50" s="38" t="s">
        <v>157</v>
      </c>
      <c r="E50" s="38" t="b">
        <v>0</v>
      </c>
      <c r="F50" s="38" t="b">
        <v>0</v>
      </c>
      <c r="G50" s="38" t="b">
        <v>0</v>
      </c>
      <c r="I50" s="38" t="s">
        <v>1570</v>
      </c>
    </row>
    <row r="51" spans="1:9" x14ac:dyDescent="0.25">
      <c r="A51" s="36" t="str">
        <f t="shared" ca="1" si="0"/>
        <v>t_agr_dep_finagr_dep_id</v>
      </c>
      <c r="B51" s="36" t="s">
        <v>661</v>
      </c>
      <c r="C51" s="36" t="s">
        <v>737</v>
      </c>
      <c r="D51" s="36" t="s">
        <v>160</v>
      </c>
      <c r="E51" s="36" t="b">
        <v>1</v>
      </c>
      <c r="F51" s="36" t="b">
        <v>1</v>
      </c>
      <c r="G51" s="36" t="b">
        <v>1</v>
      </c>
      <c r="H51" s="36" t="s">
        <v>770</v>
      </c>
      <c r="I51" s="36" t="s">
        <v>738</v>
      </c>
    </row>
    <row r="52" spans="1:9" x14ac:dyDescent="0.25">
      <c r="A52" s="36" t="str">
        <f t="shared" ca="1" si="0"/>
        <v>t_agr_dep_finstart_dt</v>
      </c>
      <c r="B52" s="36" t="s">
        <v>661</v>
      </c>
      <c r="C52" s="36" t="s">
        <v>785</v>
      </c>
      <c r="D52" s="36" t="s">
        <v>750</v>
      </c>
      <c r="E52" s="36" t="b">
        <v>1</v>
      </c>
      <c r="F52" s="36" t="b">
        <v>1</v>
      </c>
      <c r="G52" s="36" t="b">
        <v>0</v>
      </c>
      <c r="I52" s="36" t="s">
        <v>786</v>
      </c>
    </row>
    <row r="53" spans="1:9" x14ac:dyDescent="0.25">
      <c r="A53" s="36" t="str">
        <f t="shared" ca="1" si="0"/>
        <v>t_agr_dep_finend_dt</v>
      </c>
      <c r="B53" s="36" t="s">
        <v>661</v>
      </c>
      <c r="C53" s="36" t="s">
        <v>787</v>
      </c>
      <c r="D53" s="36" t="s">
        <v>750</v>
      </c>
      <c r="E53" s="36" t="b">
        <v>0</v>
      </c>
      <c r="F53" s="36" t="b">
        <v>0</v>
      </c>
      <c r="G53" s="36" t="b">
        <v>0</v>
      </c>
      <c r="I53" s="36" t="s">
        <v>788</v>
      </c>
    </row>
    <row r="54" spans="1:9" x14ac:dyDescent="0.25">
      <c r="A54" s="36" t="str">
        <f t="shared" ca="1" si="0"/>
        <v>t_agr_dep_finagr_dep_crncy_amt</v>
      </c>
      <c r="B54" s="36" t="s">
        <v>661</v>
      </c>
      <c r="C54" s="36" t="s">
        <v>792</v>
      </c>
      <c r="D54" s="36" t="s">
        <v>793</v>
      </c>
      <c r="E54" s="36" t="b">
        <v>0</v>
      </c>
      <c r="F54" s="36" t="b">
        <v>0</v>
      </c>
      <c r="G54" s="36" t="b">
        <v>0</v>
      </c>
      <c r="I54" s="36" t="s">
        <v>794</v>
      </c>
    </row>
    <row r="55" spans="1:9" x14ac:dyDescent="0.25">
      <c r="A55" s="36" t="str">
        <f t="shared" ca="1" si="0"/>
        <v>t_agr_dep_finduration_days_val</v>
      </c>
      <c r="B55" s="36" t="s">
        <v>661</v>
      </c>
      <c r="C55" s="36" t="s">
        <v>795</v>
      </c>
      <c r="D55" s="36" t="s">
        <v>369</v>
      </c>
      <c r="E55" s="36" t="b">
        <v>0</v>
      </c>
      <c r="F55" s="36" t="b">
        <v>0</v>
      </c>
      <c r="G55" s="36" t="b">
        <v>0</v>
      </c>
      <c r="I55" s="36" t="s">
        <v>796</v>
      </c>
    </row>
    <row r="56" spans="1:9" x14ac:dyDescent="0.25">
      <c r="A56" s="36" t="str">
        <f t="shared" ca="1" si="0"/>
        <v>t_agr_dep_finintrst_pymnt_time_period_id</v>
      </c>
      <c r="B56" s="36" t="s">
        <v>661</v>
      </c>
      <c r="C56" s="36" t="s">
        <v>797</v>
      </c>
      <c r="D56" s="36" t="s">
        <v>160</v>
      </c>
      <c r="E56" s="36" t="b">
        <v>0</v>
      </c>
      <c r="F56" s="36" t="b">
        <v>0</v>
      </c>
      <c r="G56" s="36" t="b">
        <v>1</v>
      </c>
      <c r="H56" s="36" t="s">
        <v>798</v>
      </c>
      <c r="I56" s="36" t="s">
        <v>436</v>
      </c>
    </row>
    <row r="57" spans="1:9" x14ac:dyDescent="0.25">
      <c r="A57" s="36" t="str">
        <f t="shared" ca="1" si="0"/>
        <v>t_agr_dep_finmax_agr_dep_amt</v>
      </c>
      <c r="B57" s="36" t="s">
        <v>661</v>
      </c>
      <c r="C57" s="36" t="s">
        <v>799</v>
      </c>
      <c r="D57" s="36" t="s">
        <v>793</v>
      </c>
      <c r="E57" s="36" t="b">
        <v>0</v>
      </c>
      <c r="F57" s="36" t="b">
        <v>0</v>
      </c>
      <c r="G57" s="36" t="b">
        <v>0</v>
      </c>
      <c r="I57" s="36" t="s">
        <v>618</v>
      </c>
    </row>
    <row r="58" spans="1:9" x14ac:dyDescent="0.25">
      <c r="A58" s="36" t="str">
        <f t="shared" ca="1" si="0"/>
        <v>t_agr_dep_finmax_replenishment_amt</v>
      </c>
      <c r="B58" s="36" t="s">
        <v>661</v>
      </c>
      <c r="C58" s="36" t="s">
        <v>800</v>
      </c>
      <c r="D58" s="36" t="s">
        <v>793</v>
      </c>
      <c r="E58" s="36" t="b">
        <v>0</v>
      </c>
      <c r="F58" s="36" t="b">
        <v>0</v>
      </c>
      <c r="G58" s="36" t="b">
        <v>0</v>
      </c>
      <c r="I58" s="36" t="s">
        <v>619</v>
      </c>
    </row>
    <row r="59" spans="1:9" x14ac:dyDescent="0.25">
      <c r="A59" s="36" t="str">
        <f t="shared" ca="1" si="0"/>
        <v>t_agr_dep_finmin_agr_dep_amt</v>
      </c>
      <c r="B59" s="36" t="s">
        <v>661</v>
      </c>
      <c r="C59" s="36" t="s">
        <v>801</v>
      </c>
      <c r="D59" s="36" t="s">
        <v>793</v>
      </c>
      <c r="E59" s="36" t="b">
        <v>0</v>
      </c>
      <c r="F59" s="36" t="b">
        <v>0</v>
      </c>
      <c r="G59" s="36" t="b">
        <v>0</v>
      </c>
      <c r="I59" s="36" t="s">
        <v>620</v>
      </c>
    </row>
    <row r="60" spans="1:9" s="38" customFormat="1" ht="15.75" thickBot="1" x14ac:dyDescent="0.3">
      <c r="A60" s="38" t="str">
        <f t="shared" ca="1" si="0"/>
        <v>t_agr_dep_finmin_replenishment_amt</v>
      </c>
      <c r="B60" s="38" t="s">
        <v>661</v>
      </c>
      <c r="C60" s="38" t="s">
        <v>802</v>
      </c>
      <c r="D60" s="38" t="s">
        <v>793</v>
      </c>
      <c r="E60" s="38" t="b">
        <v>0</v>
      </c>
      <c r="F60" s="38" t="b">
        <v>0</v>
      </c>
      <c r="G60" s="38" t="b">
        <v>0</v>
      </c>
      <c r="I60" s="38" t="s">
        <v>621</v>
      </c>
    </row>
    <row r="61" spans="1:9" x14ac:dyDescent="0.25">
      <c r="A61" s="36" t="str">
        <f t="shared" ca="1" si="0"/>
        <v>t_agr_dep_int_orgagr_dep_id</v>
      </c>
      <c r="B61" s="36" t="s">
        <v>663</v>
      </c>
      <c r="C61" s="36" t="s">
        <v>737</v>
      </c>
      <c r="D61" s="36" t="s">
        <v>160</v>
      </c>
      <c r="E61" s="36" t="b">
        <v>1</v>
      </c>
      <c r="F61" s="36" t="b">
        <v>1</v>
      </c>
      <c r="G61" s="36" t="b">
        <v>1</v>
      </c>
      <c r="H61" s="36" t="s">
        <v>770</v>
      </c>
      <c r="I61" s="36" t="s">
        <v>738</v>
      </c>
    </row>
    <row r="62" spans="1:9" x14ac:dyDescent="0.25">
      <c r="A62" s="36" t="str">
        <f t="shared" ca="1" si="0"/>
        <v>t_agr_dep_int_orgstart_dt</v>
      </c>
      <c r="B62" s="36" t="s">
        <v>663</v>
      </c>
      <c r="C62" s="36" t="s">
        <v>785</v>
      </c>
      <c r="D62" s="36" t="s">
        <v>750</v>
      </c>
      <c r="E62" s="36" t="b">
        <v>1</v>
      </c>
      <c r="F62" s="36" t="b">
        <v>1</v>
      </c>
      <c r="G62" s="36" t="b">
        <v>0</v>
      </c>
      <c r="I62" s="36" t="s">
        <v>786</v>
      </c>
    </row>
    <row r="63" spans="1:9" x14ac:dyDescent="0.25">
      <c r="A63" s="36" t="str">
        <f t="shared" ca="1" si="0"/>
        <v>t_agr_dep_int_orgend_dt</v>
      </c>
      <c r="B63" s="36" t="s">
        <v>663</v>
      </c>
      <c r="C63" s="36" t="s">
        <v>787</v>
      </c>
      <c r="D63" s="36" t="s">
        <v>750</v>
      </c>
      <c r="E63" s="36" t="b">
        <v>0</v>
      </c>
      <c r="F63" s="36" t="b">
        <v>0</v>
      </c>
      <c r="G63" s="36" t="b">
        <v>0</v>
      </c>
      <c r="I63" s="36" t="s">
        <v>788</v>
      </c>
    </row>
    <row r="64" spans="1:9" s="38" customFormat="1" ht="15.75" thickBot="1" x14ac:dyDescent="0.3">
      <c r="A64" s="38" t="str">
        <f t="shared" ca="1" si="0"/>
        <v>t_agr_dep_int_orgint_org_id</v>
      </c>
      <c r="B64" s="38" t="s">
        <v>663</v>
      </c>
      <c r="C64" s="38" t="s">
        <v>803</v>
      </c>
      <c r="D64" s="38" t="s">
        <v>160</v>
      </c>
      <c r="E64" s="38" t="b">
        <v>0</v>
      </c>
      <c r="F64" s="38" t="b">
        <v>0</v>
      </c>
      <c r="G64" s="38" t="b">
        <v>1</v>
      </c>
      <c r="H64" s="38" t="s">
        <v>804</v>
      </c>
      <c r="I64" s="38" t="s">
        <v>805</v>
      </c>
    </row>
    <row r="65" spans="1:9" x14ac:dyDescent="0.25">
      <c r="A65" s="36" t="str">
        <f t="shared" ca="1" si="0"/>
        <v>t_agr_dep_purpose_typeagr_dep_purpose_type_id</v>
      </c>
      <c r="B65" s="36" t="s">
        <v>665</v>
      </c>
      <c r="C65" s="36" t="s">
        <v>806</v>
      </c>
      <c r="D65" s="36" t="s">
        <v>160</v>
      </c>
      <c r="E65" s="36" t="b">
        <v>1</v>
      </c>
      <c r="F65" s="36" t="b">
        <v>1</v>
      </c>
      <c r="G65" s="36" t="b">
        <v>0</v>
      </c>
      <c r="I65" s="36" t="s">
        <v>775</v>
      </c>
    </row>
    <row r="66" spans="1:9" x14ac:dyDescent="0.25">
      <c r="A66" s="36" t="str">
        <f t="shared" ca="1" si="0"/>
        <v>t_agr_dep_purpose_typeagr_dep_purpose_type_cd</v>
      </c>
      <c r="B66" s="36" t="s">
        <v>665</v>
      </c>
      <c r="C66" s="36" t="s">
        <v>807</v>
      </c>
      <c r="D66" s="36" t="s">
        <v>157</v>
      </c>
      <c r="E66" s="36" t="b">
        <v>0</v>
      </c>
      <c r="F66" s="36" t="b">
        <v>0</v>
      </c>
      <c r="G66" s="36" t="b">
        <v>0</v>
      </c>
      <c r="I66" s="36" t="s">
        <v>808</v>
      </c>
    </row>
    <row r="67" spans="1:9" x14ac:dyDescent="0.25">
      <c r="A67" s="36" t="str">
        <f t="shared" ref="A67:A130" ca="1" si="1">INDIRECT("R[0]C[1]", 0)&amp;INDIRECT("R[0]C[2]", 0)</f>
        <v>t_agr_dep_purpose_typeagr_dep_purpose_type_name</v>
      </c>
      <c r="B67" s="36" t="s">
        <v>665</v>
      </c>
      <c r="C67" s="36" t="s">
        <v>809</v>
      </c>
      <c r="D67" s="36" t="s">
        <v>157</v>
      </c>
      <c r="E67" s="36" t="b">
        <v>0</v>
      </c>
      <c r="F67" s="36" t="b">
        <v>0</v>
      </c>
      <c r="G67" s="36" t="b">
        <v>0</v>
      </c>
      <c r="I67" s="36" t="s">
        <v>810</v>
      </c>
    </row>
    <row r="68" spans="1:9" s="38" customFormat="1" ht="15.75" thickBot="1" x14ac:dyDescent="0.3">
      <c r="A68" s="38" t="str">
        <f t="shared" ca="1" si="1"/>
        <v>t_agr_dep_purpose_typehost_agr_dep_purpose_type_id</v>
      </c>
      <c r="B68" s="38" t="s">
        <v>665</v>
      </c>
      <c r="C68" s="38" t="s">
        <v>811</v>
      </c>
      <c r="D68" s="38" t="s">
        <v>157</v>
      </c>
      <c r="E68" s="38" t="b">
        <v>0</v>
      </c>
      <c r="F68" s="38" t="b">
        <v>0</v>
      </c>
      <c r="G68" s="38" t="b">
        <v>0</v>
      </c>
      <c r="I68" s="38" t="s">
        <v>812</v>
      </c>
    </row>
    <row r="69" spans="1:9" x14ac:dyDescent="0.25">
      <c r="A69" s="36" t="str">
        <f t="shared" ca="1" si="1"/>
        <v>t_agr_dep_rate_ruleagr_dep_id</v>
      </c>
      <c r="B69" s="36" t="s">
        <v>667</v>
      </c>
      <c r="C69" s="36" t="s">
        <v>737</v>
      </c>
      <c r="D69" s="36" t="s">
        <v>160</v>
      </c>
      <c r="E69" s="36" t="b">
        <v>1</v>
      </c>
      <c r="F69" s="36" t="b">
        <v>1</v>
      </c>
      <c r="G69" s="36" t="b">
        <v>1</v>
      </c>
      <c r="H69" s="36" t="s">
        <v>770</v>
      </c>
      <c r="I69" s="36" t="s">
        <v>738</v>
      </c>
    </row>
    <row r="70" spans="1:9" x14ac:dyDescent="0.25">
      <c r="A70" s="36" t="str">
        <f t="shared" ca="1" si="1"/>
        <v>t_agr_dep_rate_rulerate_rule_id</v>
      </c>
      <c r="B70" s="36" t="s">
        <v>667</v>
      </c>
      <c r="C70" s="36" t="s">
        <v>813</v>
      </c>
      <c r="D70" s="36" t="s">
        <v>160</v>
      </c>
      <c r="E70" s="36" t="b">
        <v>1</v>
      </c>
      <c r="F70" s="36" t="b">
        <v>1</v>
      </c>
      <c r="G70" s="36" t="b">
        <v>1</v>
      </c>
      <c r="H70" s="36" t="s">
        <v>814</v>
      </c>
      <c r="I70" s="36" t="s">
        <v>815</v>
      </c>
    </row>
    <row r="71" spans="1:9" s="38" customFormat="1" ht="15.75" thickBot="1" x14ac:dyDescent="0.3">
      <c r="A71" s="38" t="str">
        <f t="shared" ca="1" si="1"/>
        <v>t_agr_dep_rate_rulerate_type_id</v>
      </c>
      <c r="B71" s="38" t="s">
        <v>667</v>
      </c>
      <c r="C71" s="38" t="s">
        <v>816</v>
      </c>
      <c r="D71" s="38" t="s">
        <v>160</v>
      </c>
      <c r="E71" s="38" t="b">
        <v>0</v>
      </c>
      <c r="F71" s="38" t="b">
        <v>0</v>
      </c>
      <c r="G71" s="38" t="b">
        <v>1</v>
      </c>
      <c r="H71" s="38" t="s">
        <v>817</v>
      </c>
      <c r="I71" s="38" t="s">
        <v>818</v>
      </c>
    </row>
    <row r="72" spans="1:9" x14ac:dyDescent="0.25">
      <c r="A72" s="36" t="str">
        <f t="shared" ca="1" si="1"/>
        <v>t_agr_dep_sttsagr_dep_id</v>
      </c>
      <c r="B72" s="36" t="s">
        <v>669</v>
      </c>
      <c r="C72" s="36" t="s">
        <v>737</v>
      </c>
      <c r="D72" s="36" t="s">
        <v>160</v>
      </c>
      <c r="E72" s="36" t="b">
        <v>1</v>
      </c>
      <c r="F72" s="36" t="b">
        <v>1</v>
      </c>
      <c r="G72" s="36" t="b">
        <v>1</v>
      </c>
      <c r="H72" s="36" t="s">
        <v>770</v>
      </c>
      <c r="I72" s="36" t="s">
        <v>738</v>
      </c>
    </row>
    <row r="73" spans="1:9" x14ac:dyDescent="0.25">
      <c r="A73" s="36" t="str">
        <f t="shared" ca="1" si="1"/>
        <v>t_agr_dep_sttsstart_dt</v>
      </c>
      <c r="B73" s="36" t="s">
        <v>669</v>
      </c>
      <c r="C73" s="36" t="s">
        <v>785</v>
      </c>
      <c r="D73" s="36" t="s">
        <v>750</v>
      </c>
      <c r="E73" s="36" t="b">
        <v>1</v>
      </c>
      <c r="F73" s="36" t="b">
        <v>1</v>
      </c>
      <c r="G73" s="36" t="b">
        <v>0</v>
      </c>
      <c r="I73" s="36" t="s">
        <v>786</v>
      </c>
    </row>
    <row r="74" spans="1:9" x14ac:dyDescent="0.25">
      <c r="A74" s="36" t="str">
        <f t="shared" ca="1" si="1"/>
        <v>t_agr_dep_sttsend_dt</v>
      </c>
      <c r="B74" s="36" t="s">
        <v>669</v>
      </c>
      <c r="C74" s="36" t="s">
        <v>787</v>
      </c>
      <c r="D74" s="36" t="s">
        <v>750</v>
      </c>
      <c r="E74" s="36" t="b">
        <v>0</v>
      </c>
      <c r="F74" s="36" t="b">
        <v>0</v>
      </c>
      <c r="G74" s="36" t="b">
        <v>0</v>
      </c>
      <c r="I74" s="36" t="s">
        <v>788</v>
      </c>
    </row>
    <row r="75" spans="1:9" s="38" customFormat="1" ht="15.75" thickBot="1" x14ac:dyDescent="0.3">
      <c r="A75" s="38" t="str">
        <f t="shared" ca="1" si="1"/>
        <v>t_agr_dep_sttsagr_dep_stts_id</v>
      </c>
      <c r="B75" s="38" t="s">
        <v>669</v>
      </c>
      <c r="C75" s="38" t="s">
        <v>819</v>
      </c>
      <c r="D75" s="38" t="s">
        <v>160</v>
      </c>
      <c r="E75" s="38" t="b">
        <v>0</v>
      </c>
      <c r="F75" s="38" t="b">
        <v>0</v>
      </c>
      <c r="G75" s="38" t="b">
        <v>1</v>
      </c>
      <c r="H75" s="38" t="s">
        <v>820</v>
      </c>
      <c r="I75" s="38" t="s">
        <v>821</v>
      </c>
    </row>
    <row r="76" spans="1:9" x14ac:dyDescent="0.25">
      <c r="A76" s="36" t="str">
        <f t="shared" ca="1" si="1"/>
        <v>t_agr_dep_typeagr_dep_type_id</v>
      </c>
      <c r="B76" s="36" t="s">
        <v>671</v>
      </c>
      <c r="C76" s="36" t="s">
        <v>741</v>
      </c>
      <c r="D76" s="36" t="s">
        <v>160</v>
      </c>
      <c r="E76" s="36" t="b">
        <v>1</v>
      </c>
      <c r="F76" s="36" t="b">
        <v>1</v>
      </c>
      <c r="G76" s="36" t="b">
        <v>0</v>
      </c>
      <c r="I76" s="36" t="s">
        <v>822</v>
      </c>
    </row>
    <row r="77" spans="1:9" x14ac:dyDescent="0.25">
      <c r="A77" s="36" t="str">
        <f t="shared" ca="1" si="1"/>
        <v>t_agr_dep_typeagr_dep_type_cd</v>
      </c>
      <c r="B77" s="36" t="s">
        <v>671</v>
      </c>
      <c r="C77" s="36" t="s">
        <v>823</v>
      </c>
      <c r="D77" s="36" t="s">
        <v>157</v>
      </c>
      <c r="E77" s="36" t="b">
        <v>0</v>
      </c>
      <c r="F77" s="36" t="b">
        <v>0</v>
      </c>
      <c r="G77" s="36" t="b">
        <v>0</v>
      </c>
      <c r="I77" s="36" t="s">
        <v>824</v>
      </c>
    </row>
    <row r="78" spans="1:9" x14ac:dyDescent="0.25">
      <c r="A78" s="36" t="str">
        <f t="shared" ca="1" si="1"/>
        <v>t_agr_dep_typeagr_dep_type_desc</v>
      </c>
      <c r="B78" s="36" t="s">
        <v>671</v>
      </c>
      <c r="C78" s="36" t="s">
        <v>825</v>
      </c>
      <c r="D78" s="36" t="s">
        <v>157</v>
      </c>
      <c r="E78" s="36" t="b">
        <v>0</v>
      </c>
      <c r="F78" s="36" t="b">
        <v>0</v>
      </c>
      <c r="G78" s="36" t="b">
        <v>0</v>
      </c>
      <c r="I78" s="36" t="s">
        <v>826</v>
      </c>
    </row>
    <row r="79" spans="1:9" s="38" customFormat="1" ht="15.75" thickBot="1" x14ac:dyDescent="0.3">
      <c r="A79" s="38" t="str">
        <f t="shared" ca="1" si="1"/>
        <v>t_agr_dep_typehost_agr_dep_type_id</v>
      </c>
      <c r="B79" s="38" t="s">
        <v>671</v>
      </c>
      <c r="C79" s="38" t="s">
        <v>827</v>
      </c>
      <c r="D79" s="38" t="s">
        <v>157</v>
      </c>
      <c r="E79" s="38" t="b">
        <v>0</v>
      </c>
      <c r="F79" s="38" t="b">
        <v>0</v>
      </c>
      <c r="G79" s="38" t="b">
        <v>0</v>
      </c>
      <c r="I79" s="38" t="s">
        <v>828</v>
      </c>
    </row>
    <row r="80" spans="1:9" x14ac:dyDescent="0.25">
      <c r="A80" s="36" t="str">
        <f t="shared" ca="1" si="1"/>
        <v>t_agr_frameagr_frame_id</v>
      </c>
      <c r="B80" s="36" t="s">
        <v>673</v>
      </c>
      <c r="C80" s="36" t="s">
        <v>743</v>
      </c>
      <c r="D80" s="36" t="s">
        <v>160</v>
      </c>
      <c r="E80" s="36" t="b">
        <v>1</v>
      </c>
      <c r="F80" s="36" t="b">
        <v>1</v>
      </c>
      <c r="G80" s="36" t="b">
        <v>1</v>
      </c>
      <c r="H80" s="36" t="s">
        <v>744</v>
      </c>
      <c r="I80" s="36" t="s">
        <v>829</v>
      </c>
    </row>
    <row r="81" spans="1:9" x14ac:dyDescent="0.25">
      <c r="A81" s="36" t="str">
        <f t="shared" ca="1" si="1"/>
        <v>t_agr_framestart_dt</v>
      </c>
      <c r="B81" s="36" t="s">
        <v>673</v>
      </c>
      <c r="C81" s="36" t="s">
        <v>785</v>
      </c>
      <c r="D81" s="36" t="s">
        <v>750</v>
      </c>
      <c r="E81" s="36" t="b">
        <v>0</v>
      </c>
      <c r="F81" s="36" t="b">
        <v>0</v>
      </c>
      <c r="G81" s="36" t="b">
        <v>0</v>
      </c>
      <c r="I81" s="36" t="s">
        <v>786</v>
      </c>
    </row>
    <row r="82" spans="1:9" x14ac:dyDescent="0.25">
      <c r="A82" s="36" t="str">
        <f t="shared" ca="1" si="1"/>
        <v>t_agr_frameagr_frame_desc</v>
      </c>
      <c r="B82" s="36" t="s">
        <v>673</v>
      </c>
      <c r="C82" s="36" t="s">
        <v>830</v>
      </c>
      <c r="D82" s="36" t="s">
        <v>157</v>
      </c>
      <c r="E82" s="36" t="b">
        <v>0</v>
      </c>
      <c r="F82" s="36" t="b">
        <v>0</v>
      </c>
      <c r="G82" s="36" t="b">
        <v>0</v>
      </c>
      <c r="I82" s="36" t="s">
        <v>831</v>
      </c>
    </row>
    <row r="83" spans="1:9" x14ac:dyDescent="0.25">
      <c r="A83" s="36" t="str">
        <f t="shared" ca="1" si="1"/>
        <v>t_agr_frameagr_frame_num</v>
      </c>
      <c r="B83" s="36" t="s">
        <v>673</v>
      </c>
      <c r="C83" s="36" t="s">
        <v>832</v>
      </c>
      <c r="D83" s="36" t="s">
        <v>157</v>
      </c>
      <c r="E83" s="36" t="b">
        <v>0</v>
      </c>
      <c r="F83" s="36" t="b">
        <v>0</v>
      </c>
      <c r="G83" s="36" t="b">
        <v>0</v>
      </c>
      <c r="I83" s="36" t="s">
        <v>833</v>
      </c>
    </row>
    <row r="84" spans="1:9" x14ac:dyDescent="0.25">
      <c r="A84" s="36" t="str">
        <f t="shared" ca="1" si="1"/>
        <v>t_agr_frameagr_frame_type_id</v>
      </c>
      <c r="B84" s="36" t="s">
        <v>673</v>
      </c>
      <c r="C84" s="36" t="s">
        <v>834</v>
      </c>
      <c r="D84" s="36" t="s">
        <v>160</v>
      </c>
      <c r="E84" s="36" t="b">
        <v>0</v>
      </c>
      <c r="F84" s="36" t="b">
        <v>0</v>
      </c>
      <c r="G84" s="36" t="b">
        <v>1</v>
      </c>
      <c r="H84" s="36" t="s">
        <v>835</v>
      </c>
      <c r="I84" s="36" t="s">
        <v>836</v>
      </c>
    </row>
    <row r="85" spans="1:9" x14ac:dyDescent="0.25">
      <c r="A85" s="36" t="str">
        <f t="shared" ca="1" si="1"/>
        <v>t_agr_frameclose_dt</v>
      </c>
      <c r="B85" s="36" t="s">
        <v>673</v>
      </c>
      <c r="C85" s="36" t="s">
        <v>749</v>
      </c>
      <c r="D85" s="36" t="s">
        <v>750</v>
      </c>
      <c r="E85" s="36" t="b">
        <v>0</v>
      </c>
      <c r="F85" s="36" t="b">
        <v>0</v>
      </c>
      <c r="G85" s="36" t="b">
        <v>0</v>
      </c>
      <c r="I85" s="36" t="s">
        <v>516</v>
      </c>
    </row>
    <row r="86" spans="1:9" s="38" customFormat="1" ht="15.75" thickBot="1" x14ac:dyDescent="0.3">
      <c r="A86" s="38" t="str">
        <f t="shared" ca="1" si="1"/>
        <v>t_agr_framehost_agr_frame_id</v>
      </c>
      <c r="B86" s="38" t="s">
        <v>673</v>
      </c>
      <c r="C86" s="38" t="s">
        <v>837</v>
      </c>
      <c r="D86" s="38" t="s">
        <v>157</v>
      </c>
      <c r="E86" s="38" t="b">
        <v>0</v>
      </c>
      <c r="F86" s="38" t="b">
        <v>0</v>
      </c>
      <c r="G86" s="38" t="b">
        <v>0</v>
      </c>
      <c r="I86" s="38" t="s">
        <v>838</v>
      </c>
    </row>
    <row r="87" spans="1:9" x14ac:dyDescent="0.25">
      <c r="A87" s="36" t="str">
        <f t="shared" ca="1" si="1"/>
        <v>t_agr_frame_custagr_frame_id</v>
      </c>
      <c r="B87" s="36" t="s">
        <v>675</v>
      </c>
      <c r="C87" s="36" t="s">
        <v>743</v>
      </c>
      <c r="D87" s="36" t="s">
        <v>160</v>
      </c>
      <c r="E87" s="36" t="b">
        <v>1</v>
      </c>
      <c r="F87" s="36" t="b">
        <v>1</v>
      </c>
      <c r="G87" s="36" t="b">
        <v>1</v>
      </c>
      <c r="H87" s="36" t="s">
        <v>744</v>
      </c>
      <c r="I87" s="36" t="s">
        <v>829</v>
      </c>
    </row>
    <row r="88" spans="1:9" x14ac:dyDescent="0.25">
      <c r="A88" s="36" t="str">
        <f t="shared" ca="1" si="1"/>
        <v>t_agr_frame_custstart_dt</v>
      </c>
      <c r="B88" s="36" t="s">
        <v>675</v>
      </c>
      <c r="C88" s="36" t="s">
        <v>785</v>
      </c>
      <c r="D88" s="36" t="s">
        <v>750</v>
      </c>
      <c r="E88" s="36" t="b">
        <v>1</v>
      </c>
      <c r="F88" s="36" t="b">
        <v>1</v>
      </c>
      <c r="G88" s="36" t="b">
        <v>0</v>
      </c>
      <c r="I88" s="36" t="s">
        <v>786</v>
      </c>
    </row>
    <row r="89" spans="1:9" x14ac:dyDescent="0.25">
      <c r="A89" s="36" t="str">
        <f t="shared" ca="1" si="1"/>
        <v>t_agr_frame_custend_dt</v>
      </c>
      <c r="B89" s="36" t="s">
        <v>675</v>
      </c>
      <c r="C89" s="36" t="s">
        <v>787</v>
      </c>
      <c r="D89" s="36" t="s">
        <v>750</v>
      </c>
      <c r="E89" s="36" t="b">
        <v>0</v>
      </c>
      <c r="F89" s="36" t="b">
        <v>0</v>
      </c>
      <c r="G89" s="36" t="b">
        <v>0</v>
      </c>
      <c r="I89" s="36" t="s">
        <v>788</v>
      </c>
    </row>
    <row r="90" spans="1:9" s="38" customFormat="1" ht="15.75" thickBot="1" x14ac:dyDescent="0.3">
      <c r="A90" s="38" t="str">
        <f t="shared" ca="1" si="1"/>
        <v>t_agr_frame_custcust_id</v>
      </c>
      <c r="B90" s="38" t="s">
        <v>675</v>
      </c>
      <c r="C90" s="38" t="s">
        <v>789</v>
      </c>
      <c r="D90" s="38" t="s">
        <v>160</v>
      </c>
      <c r="E90" s="38" t="b">
        <v>0</v>
      </c>
      <c r="F90" s="38" t="b">
        <v>0</v>
      </c>
      <c r="G90" s="38" t="b">
        <v>1</v>
      </c>
      <c r="H90" s="38" t="s">
        <v>790</v>
      </c>
      <c r="I90" s="38" t="s">
        <v>791</v>
      </c>
    </row>
    <row r="91" spans="1:9" x14ac:dyDescent="0.25">
      <c r="A91" s="36" t="str">
        <f t="shared" ca="1" si="1"/>
        <v>t_agr_frame_int_orgagr_frame_id</v>
      </c>
      <c r="B91" s="36" t="s">
        <v>676</v>
      </c>
      <c r="C91" s="36" t="s">
        <v>743</v>
      </c>
      <c r="D91" s="36" t="s">
        <v>160</v>
      </c>
      <c r="E91" s="36" t="b">
        <v>1</v>
      </c>
      <c r="F91" s="36" t="b">
        <v>1</v>
      </c>
      <c r="G91" s="36" t="b">
        <v>1</v>
      </c>
      <c r="H91" s="36" t="s">
        <v>744</v>
      </c>
      <c r="I91" s="36" t="s">
        <v>829</v>
      </c>
    </row>
    <row r="92" spans="1:9" x14ac:dyDescent="0.25">
      <c r="A92" s="36" t="str">
        <f t="shared" ca="1" si="1"/>
        <v>t_agr_frame_int_orgstart_dt</v>
      </c>
      <c r="B92" s="36" t="s">
        <v>676</v>
      </c>
      <c r="C92" s="36" t="s">
        <v>785</v>
      </c>
      <c r="D92" s="36" t="s">
        <v>750</v>
      </c>
      <c r="E92" s="36" t="b">
        <v>1</v>
      </c>
      <c r="F92" s="36" t="b">
        <v>1</v>
      </c>
      <c r="G92" s="36" t="b">
        <v>0</v>
      </c>
      <c r="I92" s="36" t="s">
        <v>786</v>
      </c>
    </row>
    <row r="93" spans="1:9" x14ac:dyDescent="0.25">
      <c r="A93" s="36" t="str">
        <f t="shared" ca="1" si="1"/>
        <v>t_agr_frame_int_orgend_dt</v>
      </c>
      <c r="B93" s="36" t="s">
        <v>676</v>
      </c>
      <c r="C93" s="36" t="s">
        <v>787</v>
      </c>
      <c r="D93" s="36" t="s">
        <v>750</v>
      </c>
      <c r="E93" s="36" t="b">
        <v>0</v>
      </c>
      <c r="F93" s="36" t="b">
        <v>0</v>
      </c>
      <c r="G93" s="36" t="b">
        <v>0</v>
      </c>
      <c r="I93" s="36" t="s">
        <v>788</v>
      </c>
    </row>
    <row r="94" spans="1:9" s="38" customFormat="1" ht="15.75" thickBot="1" x14ac:dyDescent="0.3">
      <c r="A94" s="38" t="str">
        <f t="shared" ca="1" si="1"/>
        <v>t_agr_frame_int_orgint_org_id</v>
      </c>
      <c r="B94" s="38" t="s">
        <v>676</v>
      </c>
      <c r="C94" s="38" t="s">
        <v>803</v>
      </c>
      <c r="D94" s="38" t="s">
        <v>160</v>
      </c>
      <c r="E94" s="38" t="b">
        <v>0</v>
      </c>
      <c r="F94" s="38" t="b">
        <v>0</v>
      </c>
      <c r="G94" s="38" t="b">
        <v>1</v>
      </c>
      <c r="H94" s="38" t="s">
        <v>804</v>
      </c>
      <c r="I94" s="38" t="s">
        <v>805</v>
      </c>
    </row>
    <row r="95" spans="1:9" x14ac:dyDescent="0.25">
      <c r="A95" s="36" t="str">
        <f t="shared" ca="1" si="1"/>
        <v>t_agr_frame_sttsagr_frame_id</v>
      </c>
      <c r="B95" s="36" t="s">
        <v>678</v>
      </c>
      <c r="C95" s="36" t="s">
        <v>743</v>
      </c>
      <c r="D95" s="36" t="s">
        <v>160</v>
      </c>
      <c r="E95" s="36" t="b">
        <v>1</v>
      </c>
      <c r="F95" s="36" t="b">
        <v>1</v>
      </c>
      <c r="G95" s="36" t="b">
        <v>1</v>
      </c>
      <c r="H95" s="36" t="s">
        <v>744</v>
      </c>
      <c r="I95" s="36" t="s">
        <v>829</v>
      </c>
    </row>
    <row r="96" spans="1:9" x14ac:dyDescent="0.25">
      <c r="A96" s="36" t="str">
        <f t="shared" ca="1" si="1"/>
        <v>t_agr_frame_sttsstart_dt</v>
      </c>
      <c r="B96" s="36" t="s">
        <v>678</v>
      </c>
      <c r="C96" s="36" t="s">
        <v>785</v>
      </c>
      <c r="D96" s="36" t="s">
        <v>750</v>
      </c>
      <c r="E96" s="36" t="b">
        <v>1</v>
      </c>
      <c r="F96" s="36" t="b">
        <v>1</v>
      </c>
      <c r="G96" s="36" t="b">
        <v>0</v>
      </c>
      <c r="I96" s="36" t="s">
        <v>786</v>
      </c>
    </row>
    <row r="97" spans="1:9" x14ac:dyDescent="0.25">
      <c r="A97" s="36" t="str">
        <f t="shared" ca="1" si="1"/>
        <v>t_agr_frame_sttsend_dt</v>
      </c>
      <c r="B97" s="36" t="s">
        <v>678</v>
      </c>
      <c r="C97" s="36" t="s">
        <v>787</v>
      </c>
      <c r="D97" s="36" t="s">
        <v>750</v>
      </c>
      <c r="E97" s="36" t="b">
        <v>0</v>
      </c>
      <c r="F97" s="36" t="b">
        <v>0</v>
      </c>
      <c r="G97" s="36" t="b">
        <v>0</v>
      </c>
      <c r="I97" s="36" t="s">
        <v>788</v>
      </c>
    </row>
    <row r="98" spans="1:9" s="38" customFormat="1" ht="15.75" thickBot="1" x14ac:dyDescent="0.3">
      <c r="A98" s="38" t="str">
        <f t="shared" ca="1" si="1"/>
        <v>t_agr_frame_sttsagr_frame_stts_id</v>
      </c>
      <c r="B98" s="38" t="s">
        <v>678</v>
      </c>
      <c r="C98" s="38" t="s">
        <v>839</v>
      </c>
      <c r="D98" s="38" t="s">
        <v>160</v>
      </c>
      <c r="E98" s="38" t="b">
        <v>0</v>
      </c>
      <c r="F98" s="38" t="b">
        <v>0</v>
      </c>
      <c r="G98" s="38" t="b">
        <v>1</v>
      </c>
      <c r="H98" s="38" t="s">
        <v>820</v>
      </c>
      <c r="I98" s="38" t="s">
        <v>821</v>
      </c>
    </row>
    <row r="99" spans="1:9" x14ac:dyDescent="0.25">
      <c r="A99" s="36" t="str">
        <f t="shared" ca="1" si="1"/>
        <v>t_agr_frame_typeagr_frame_type_id</v>
      </c>
      <c r="B99" s="36" t="s">
        <v>680</v>
      </c>
      <c r="C99" s="36" t="s">
        <v>834</v>
      </c>
      <c r="D99" s="36" t="s">
        <v>160</v>
      </c>
      <c r="E99" s="36" t="b">
        <v>1</v>
      </c>
      <c r="F99" s="36" t="b">
        <v>1</v>
      </c>
      <c r="G99" s="36" t="b">
        <v>0</v>
      </c>
      <c r="I99" s="36" t="s">
        <v>840</v>
      </c>
    </row>
    <row r="100" spans="1:9" x14ac:dyDescent="0.25">
      <c r="A100" s="36" t="str">
        <f t="shared" ca="1" si="1"/>
        <v>t_agr_frame_typeagr_frame_type_cd</v>
      </c>
      <c r="B100" s="36" t="s">
        <v>680</v>
      </c>
      <c r="C100" s="36" t="s">
        <v>841</v>
      </c>
      <c r="D100" s="36" t="s">
        <v>157</v>
      </c>
      <c r="E100" s="36" t="b">
        <v>0</v>
      </c>
      <c r="F100" s="36" t="b">
        <v>0</v>
      </c>
      <c r="G100" s="36" t="b">
        <v>0</v>
      </c>
      <c r="I100" s="36" t="s">
        <v>842</v>
      </c>
    </row>
    <row r="101" spans="1:9" x14ac:dyDescent="0.25">
      <c r="A101" s="36" t="str">
        <f t="shared" ca="1" si="1"/>
        <v>t_agr_frame_typeagr_frame_type_desc</v>
      </c>
      <c r="B101" s="36" t="s">
        <v>680</v>
      </c>
      <c r="C101" s="36" t="s">
        <v>843</v>
      </c>
      <c r="D101" s="36" t="s">
        <v>157</v>
      </c>
      <c r="E101" s="36" t="b">
        <v>0</v>
      </c>
      <c r="F101" s="36" t="b">
        <v>0</v>
      </c>
      <c r="G101" s="36" t="b">
        <v>0</v>
      </c>
      <c r="I101" s="36" t="s">
        <v>844</v>
      </c>
    </row>
    <row r="102" spans="1:9" s="38" customFormat="1" ht="15.75" thickBot="1" x14ac:dyDescent="0.3">
      <c r="A102" s="38" t="str">
        <f t="shared" ca="1" si="1"/>
        <v>t_agr_frame_typehost_agr_frame_type_id</v>
      </c>
      <c r="B102" s="38" t="s">
        <v>680</v>
      </c>
      <c r="C102" s="38" t="s">
        <v>845</v>
      </c>
      <c r="D102" s="38" t="s">
        <v>157</v>
      </c>
      <c r="E102" s="38" t="b">
        <v>0</v>
      </c>
      <c r="F102" s="38" t="b">
        <v>0</v>
      </c>
      <c r="G102" s="38" t="b">
        <v>0</v>
      </c>
      <c r="I102" s="38" t="s">
        <v>846</v>
      </c>
    </row>
    <row r="103" spans="1:9" x14ac:dyDescent="0.25">
      <c r="A103" s="36" t="str">
        <f t="shared" ca="1" si="1"/>
        <v>t_bus_srvbus_srv_id</v>
      </c>
      <c r="B103" s="36" t="s">
        <v>682</v>
      </c>
      <c r="C103" s="36" t="s">
        <v>847</v>
      </c>
      <c r="D103" s="36" t="s">
        <v>160</v>
      </c>
      <c r="E103" s="36" t="b">
        <v>1</v>
      </c>
      <c r="F103" s="36" t="b">
        <v>1</v>
      </c>
      <c r="G103" s="36" t="b">
        <v>0</v>
      </c>
      <c r="I103" s="36" t="s">
        <v>848</v>
      </c>
    </row>
    <row r="104" spans="1:9" x14ac:dyDescent="0.25">
      <c r="A104" s="36" t="str">
        <f t="shared" ca="1" si="1"/>
        <v>t_bus_srvstart_dt</v>
      </c>
      <c r="B104" s="36" t="s">
        <v>682</v>
      </c>
      <c r="C104" s="36" t="s">
        <v>785</v>
      </c>
      <c r="D104" s="36" t="s">
        <v>750</v>
      </c>
      <c r="E104" s="36" t="b">
        <v>0</v>
      </c>
      <c r="F104" s="36" t="b">
        <v>0</v>
      </c>
      <c r="G104" s="36" t="b">
        <v>0</v>
      </c>
      <c r="I104" s="36" t="s">
        <v>514</v>
      </c>
    </row>
    <row r="105" spans="1:9" x14ac:dyDescent="0.25">
      <c r="A105" s="36" t="str">
        <f t="shared" ca="1" si="1"/>
        <v>t_bus_srvend_dt</v>
      </c>
      <c r="B105" s="36" t="s">
        <v>682</v>
      </c>
      <c r="C105" s="36" t="s">
        <v>787</v>
      </c>
      <c r="D105" s="36" t="s">
        <v>750</v>
      </c>
      <c r="E105" s="36" t="b">
        <v>0</v>
      </c>
      <c r="F105" s="36" t="b">
        <v>0</v>
      </c>
      <c r="G105" s="36" t="b">
        <v>0</v>
      </c>
      <c r="I105" s="36" t="s">
        <v>517</v>
      </c>
    </row>
    <row r="106" spans="1:9" x14ac:dyDescent="0.25">
      <c r="A106" s="36" t="str">
        <f t="shared" ca="1" si="1"/>
        <v>t_bus_srvagr_dep_id</v>
      </c>
      <c r="B106" s="36" t="s">
        <v>682</v>
      </c>
      <c r="C106" s="36" t="s">
        <v>737</v>
      </c>
      <c r="D106" s="36" t="s">
        <v>160</v>
      </c>
      <c r="E106" s="36" t="b">
        <v>0</v>
      </c>
      <c r="F106" s="36" t="b">
        <v>0</v>
      </c>
      <c r="G106" s="36" t="b">
        <v>1</v>
      </c>
      <c r="H106" s="36" t="s">
        <v>770</v>
      </c>
      <c r="I106" s="36" t="s">
        <v>738</v>
      </c>
    </row>
    <row r="107" spans="1:9" x14ac:dyDescent="0.25">
      <c r="A107" s="36" t="str">
        <f t="shared" ca="1" si="1"/>
        <v>t_bus_srvagr_frame_id</v>
      </c>
      <c r="B107" s="36" t="s">
        <v>682</v>
      </c>
      <c r="C107" s="36" t="s">
        <v>743</v>
      </c>
      <c r="D107" s="36" t="s">
        <v>160</v>
      </c>
      <c r="E107" s="36" t="b">
        <v>0</v>
      </c>
      <c r="F107" s="36" t="b">
        <v>0</v>
      </c>
      <c r="G107" s="36" t="b">
        <v>1</v>
      </c>
      <c r="H107" s="36" t="s">
        <v>744</v>
      </c>
      <c r="I107" s="36" t="s">
        <v>829</v>
      </c>
    </row>
    <row r="108" spans="1:9" x14ac:dyDescent="0.25">
      <c r="A108" s="36" t="str">
        <f t="shared" ca="1" si="1"/>
        <v>t_bus_srvbus_srv_categ_type_id</v>
      </c>
      <c r="B108" s="36" t="s">
        <v>682</v>
      </c>
      <c r="C108" s="36" t="s">
        <v>849</v>
      </c>
      <c r="D108" s="36" t="s">
        <v>160</v>
      </c>
      <c r="E108" s="36" t="b">
        <v>0</v>
      </c>
      <c r="F108" s="36" t="b">
        <v>0</v>
      </c>
      <c r="G108" s="36" t="b">
        <v>1</v>
      </c>
      <c r="H108" s="36" t="s">
        <v>850</v>
      </c>
      <c r="I108" s="36" t="s">
        <v>851</v>
      </c>
    </row>
    <row r="109" spans="1:9" x14ac:dyDescent="0.25">
      <c r="A109" s="36" t="str">
        <f t="shared" ca="1" si="1"/>
        <v>t_bus_srvbus_srv_dt</v>
      </c>
      <c r="B109" s="36" t="s">
        <v>682</v>
      </c>
      <c r="C109" s="36" t="s">
        <v>852</v>
      </c>
      <c r="D109" s="36" t="s">
        <v>750</v>
      </c>
      <c r="E109" s="36" t="b">
        <v>0</v>
      </c>
      <c r="F109" s="36" t="b">
        <v>0</v>
      </c>
      <c r="G109" s="36" t="b">
        <v>0</v>
      </c>
      <c r="I109" s="36" t="s">
        <v>853</v>
      </c>
    </row>
    <row r="110" spans="1:9" x14ac:dyDescent="0.25">
      <c r="A110" s="36" t="str">
        <f t="shared" ca="1" si="1"/>
        <v>t_bus_srvbus_srv_stts_id</v>
      </c>
      <c r="B110" s="36" t="s">
        <v>682</v>
      </c>
      <c r="C110" s="36" t="s">
        <v>854</v>
      </c>
      <c r="D110" s="36" t="s">
        <v>160</v>
      </c>
      <c r="E110" s="36" t="b">
        <v>0</v>
      </c>
      <c r="F110" s="36" t="b">
        <v>0</v>
      </c>
      <c r="G110" s="36" t="b">
        <v>1</v>
      </c>
      <c r="H110" s="36" t="s">
        <v>820</v>
      </c>
      <c r="I110" s="36" t="s">
        <v>855</v>
      </c>
    </row>
    <row r="111" spans="1:9" x14ac:dyDescent="0.25">
      <c r="A111" s="36" t="str">
        <f t="shared" ca="1" si="1"/>
        <v>t_bus_srvbus_srv_type_id</v>
      </c>
      <c r="B111" s="36" t="s">
        <v>682</v>
      </c>
      <c r="C111" s="36" t="s">
        <v>856</v>
      </c>
      <c r="D111" s="36" t="s">
        <v>160</v>
      </c>
      <c r="E111" s="36" t="b">
        <v>0</v>
      </c>
      <c r="F111" s="36" t="b">
        <v>0</v>
      </c>
      <c r="G111" s="36" t="b">
        <v>1</v>
      </c>
      <c r="H111" s="36" t="s">
        <v>857</v>
      </c>
      <c r="I111" s="36" t="s">
        <v>494</v>
      </c>
    </row>
    <row r="112" spans="1:9" x14ac:dyDescent="0.25">
      <c r="A112" s="36" t="str">
        <f t="shared" ca="1" si="1"/>
        <v>t_bus_srvchnl_type_id</v>
      </c>
      <c r="B112" s="36" t="s">
        <v>682</v>
      </c>
      <c r="C112" s="36" t="s">
        <v>858</v>
      </c>
      <c r="D112" s="36" t="s">
        <v>160</v>
      </c>
      <c r="E112" s="36" t="b">
        <v>0</v>
      </c>
      <c r="F112" s="36" t="b">
        <v>0</v>
      </c>
      <c r="G112" s="36" t="b">
        <v>1</v>
      </c>
      <c r="H112" s="36" t="s">
        <v>859</v>
      </c>
      <c r="I112" s="36" t="s">
        <v>860</v>
      </c>
    </row>
    <row r="113" spans="1:9" x14ac:dyDescent="0.25">
      <c r="A113" s="36" t="str">
        <f t="shared" ca="1" si="1"/>
        <v>t_bus_srvcreate_dt</v>
      </c>
      <c r="B113" s="36" t="s">
        <v>682</v>
      </c>
      <c r="C113" s="36" t="s">
        <v>752</v>
      </c>
      <c r="D113" s="36" t="s">
        <v>750</v>
      </c>
      <c r="E113" s="36" t="b">
        <v>0</v>
      </c>
      <c r="F113" s="36" t="b">
        <v>0</v>
      </c>
      <c r="G113" s="36" t="b">
        <v>0</v>
      </c>
      <c r="I113" s="36" t="s">
        <v>753</v>
      </c>
    </row>
    <row r="114" spans="1:9" x14ac:dyDescent="0.25">
      <c r="A114" s="36" t="str">
        <f t="shared" ca="1" si="1"/>
        <v>t_bus_srvcreate_emp_id</v>
      </c>
      <c r="B114" s="36" t="s">
        <v>682</v>
      </c>
      <c r="C114" s="36" t="s">
        <v>861</v>
      </c>
      <c r="D114" s="36" t="s">
        <v>160</v>
      </c>
      <c r="E114" s="36" t="b">
        <v>0</v>
      </c>
      <c r="F114" s="36" t="b">
        <v>0</v>
      </c>
      <c r="G114" s="36" t="b">
        <v>1</v>
      </c>
      <c r="H114" s="36" t="s">
        <v>862</v>
      </c>
      <c r="I114" s="36" t="s">
        <v>863</v>
      </c>
    </row>
    <row r="115" spans="1:9" s="38" customFormat="1" ht="15.75" thickBot="1" x14ac:dyDescent="0.3">
      <c r="A115" s="38" t="str">
        <f t="shared" ca="1" si="1"/>
        <v>t_bus_srvhost_bus_srv_id</v>
      </c>
      <c r="B115" s="38" t="s">
        <v>682</v>
      </c>
      <c r="C115" s="38" t="s">
        <v>864</v>
      </c>
      <c r="D115" s="38" t="s">
        <v>157</v>
      </c>
      <c r="E115" s="38" t="b">
        <v>0</v>
      </c>
      <c r="F115" s="38" t="b">
        <v>0</v>
      </c>
      <c r="G115" s="38" t="b">
        <v>0</v>
      </c>
      <c r="I115" s="38" t="s">
        <v>865</v>
      </c>
    </row>
    <row r="116" spans="1:9" x14ac:dyDescent="0.25">
      <c r="A116" s="36" t="str">
        <f t="shared" ca="1" si="1"/>
        <v>t_bus_srv$dulbus_srv_id</v>
      </c>
      <c r="B116" s="36" t="s">
        <v>684</v>
      </c>
      <c r="C116" s="36" t="s">
        <v>847</v>
      </c>
      <c r="D116" s="36" t="s">
        <v>160</v>
      </c>
      <c r="E116" s="36" t="b">
        <v>1</v>
      </c>
      <c r="F116" s="36" t="b">
        <v>1</v>
      </c>
      <c r="G116" s="36" t="b">
        <v>1</v>
      </c>
      <c r="H116" s="36" t="s">
        <v>866</v>
      </c>
      <c r="I116" s="36" t="s">
        <v>848</v>
      </c>
    </row>
    <row r="117" spans="1:9" x14ac:dyDescent="0.25">
      <c r="A117" s="36" t="str">
        <f t="shared" ca="1" si="1"/>
        <v>t_bus_srv$duldul$host_calypso_agr_id</v>
      </c>
      <c r="B117" s="36" t="s">
        <v>684</v>
      </c>
      <c r="C117" s="36" t="s">
        <v>867</v>
      </c>
      <c r="D117" s="36" t="s">
        <v>157</v>
      </c>
      <c r="E117" s="36" t="b">
        <v>0</v>
      </c>
      <c r="F117" s="36" t="b">
        <v>0</v>
      </c>
      <c r="G117" s="36" t="b">
        <v>0</v>
      </c>
      <c r="I117" s="36" t="s">
        <v>868</v>
      </c>
    </row>
    <row r="118" spans="1:9" x14ac:dyDescent="0.25">
      <c r="A118" s="36" t="str">
        <f t="shared" ca="1" si="1"/>
        <v>t_bus_srv$duldul$host_fc_calc_id</v>
      </c>
      <c r="B118" s="36" t="s">
        <v>684</v>
      </c>
      <c r="C118" s="36" t="s">
        <v>869</v>
      </c>
      <c r="D118" s="36" t="s">
        <v>157</v>
      </c>
      <c r="E118" s="36" t="b">
        <v>0</v>
      </c>
      <c r="F118" s="36" t="b">
        <v>0</v>
      </c>
      <c r="G118" s="36" t="b">
        <v>0</v>
      </c>
      <c r="I118" s="36" t="s">
        <v>870</v>
      </c>
    </row>
    <row r="119" spans="1:9" x14ac:dyDescent="0.25">
      <c r="A119" s="36" t="str">
        <f t="shared" ca="1" si="1"/>
        <v>t_bus_srv$duldul$input_type_cd</v>
      </c>
      <c r="B119" s="36" t="s">
        <v>684</v>
      </c>
      <c r="C119" s="36" t="s">
        <v>1596</v>
      </c>
      <c r="D119" s="36" t="s">
        <v>157</v>
      </c>
      <c r="E119" s="36" t="b">
        <v>0</v>
      </c>
      <c r="F119" s="36" t="b">
        <v>0</v>
      </c>
      <c r="G119" s="36" t="b">
        <v>0</v>
      </c>
      <c r="I119" s="36" t="s">
        <v>1597</v>
      </c>
    </row>
    <row r="120" spans="1:9" x14ac:dyDescent="0.25">
      <c r="A120" s="36" t="str">
        <f t="shared" ca="1" si="1"/>
        <v>t_bus_srv$duldul$offer_type_id</v>
      </c>
      <c r="B120" s="36" t="s">
        <v>684</v>
      </c>
      <c r="C120" s="36" t="s">
        <v>871</v>
      </c>
      <c r="D120" s="36" t="s">
        <v>160</v>
      </c>
      <c r="E120" s="36" t="b">
        <v>0</v>
      </c>
      <c r="F120" s="36" t="b">
        <v>0</v>
      </c>
      <c r="G120" s="36" t="b">
        <v>1</v>
      </c>
      <c r="H120" s="36" t="s">
        <v>872</v>
      </c>
      <c r="I120" s="36" t="s">
        <v>578</v>
      </c>
    </row>
    <row r="121" spans="1:9" s="38" customFormat="1" ht="15.75" thickBot="1" x14ac:dyDescent="0.3">
      <c r="A121" s="38" t="str">
        <f t="shared" ca="1" si="1"/>
        <v>t_bus_srv$duldul$refuse_reason_desc</v>
      </c>
      <c r="B121" s="38" t="s">
        <v>684</v>
      </c>
      <c r="C121" s="38" t="s">
        <v>873</v>
      </c>
      <c r="D121" s="38" t="s">
        <v>157</v>
      </c>
      <c r="E121" s="38" t="b">
        <v>0</v>
      </c>
      <c r="F121" s="38" t="b">
        <v>0</v>
      </c>
      <c r="G121" s="38" t="b">
        <v>0</v>
      </c>
      <c r="I121" s="38" t="s">
        <v>874</v>
      </c>
    </row>
    <row r="122" spans="1:9" x14ac:dyDescent="0.25">
      <c r="A122" s="36" t="str">
        <f t="shared" ca="1" si="1"/>
        <v>t_bus_srv_categ_typebus_srv_categ_type_id</v>
      </c>
      <c r="B122" s="36" t="s">
        <v>686</v>
      </c>
      <c r="C122" s="36" t="s">
        <v>849</v>
      </c>
      <c r="D122" s="36" t="s">
        <v>160</v>
      </c>
      <c r="E122" s="36" t="b">
        <v>1</v>
      </c>
      <c r="F122" s="36" t="b">
        <v>1</v>
      </c>
      <c r="G122" s="36" t="b">
        <v>0</v>
      </c>
      <c r="I122" s="36" t="s">
        <v>875</v>
      </c>
    </row>
    <row r="123" spans="1:9" x14ac:dyDescent="0.25">
      <c r="A123" s="36" t="str">
        <f t="shared" ca="1" si="1"/>
        <v>t_bus_srv_categ_typebus_srv_categ_type_cd</v>
      </c>
      <c r="B123" s="36" t="s">
        <v>686</v>
      </c>
      <c r="C123" s="36" t="s">
        <v>876</v>
      </c>
      <c r="D123" s="36" t="s">
        <v>157</v>
      </c>
      <c r="E123" s="36" t="b">
        <v>0</v>
      </c>
      <c r="F123" s="36" t="b">
        <v>0</v>
      </c>
      <c r="G123" s="36" t="b">
        <v>0</v>
      </c>
      <c r="I123" s="36" t="s">
        <v>877</v>
      </c>
    </row>
    <row r="124" spans="1:9" x14ac:dyDescent="0.25">
      <c r="A124" s="36" t="str">
        <f t="shared" ca="1" si="1"/>
        <v>t_bus_srv_categ_typebus_srv_categ_type_desc</v>
      </c>
      <c r="B124" s="36" t="s">
        <v>686</v>
      </c>
      <c r="C124" s="36" t="s">
        <v>878</v>
      </c>
      <c r="D124" s="36" t="s">
        <v>157</v>
      </c>
      <c r="E124" s="36" t="b">
        <v>0</v>
      </c>
      <c r="F124" s="36" t="b">
        <v>0</v>
      </c>
      <c r="G124" s="36" t="b">
        <v>0</v>
      </c>
      <c r="I124" s="36" t="s">
        <v>879</v>
      </c>
    </row>
    <row r="125" spans="1:9" s="38" customFormat="1" ht="15.75" thickBot="1" x14ac:dyDescent="0.3">
      <c r="A125" s="38" t="str">
        <f t="shared" ca="1" si="1"/>
        <v>t_bus_srv_categ_typehost_bus_srv_categ_type_id</v>
      </c>
      <c r="B125" s="38" t="s">
        <v>686</v>
      </c>
      <c r="C125" s="38" t="s">
        <v>880</v>
      </c>
      <c r="D125" s="38" t="s">
        <v>157</v>
      </c>
      <c r="E125" s="38" t="b">
        <v>0</v>
      </c>
      <c r="F125" s="38" t="b">
        <v>0</v>
      </c>
      <c r="G125" s="38" t="b">
        <v>0</v>
      </c>
      <c r="I125" s="38" t="s">
        <v>881</v>
      </c>
    </row>
    <row r="126" spans="1:9" x14ac:dyDescent="0.25">
      <c r="A126" s="36" t="str">
        <f t="shared" ca="1" si="1"/>
        <v>t_bus_srv_rel_role_typebus_srv_rel_role_id</v>
      </c>
      <c r="B126" s="36" t="s">
        <v>688</v>
      </c>
      <c r="C126" s="36" t="s">
        <v>882</v>
      </c>
      <c r="D126" s="36" t="s">
        <v>160</v>
      </c>
      <c r="E126" s="36" t="b">
        <v>1</v>
      </c>
      <c r="F126" s="36" t="b">
        <v>1</v>
      </c>
      <c r="G126" s="36" t="b">
        <v>0</v>
      </c>
      <c r="I126" s="36" t="s">
        <v>883</v>
      </c>
    </row>
    <row r="127" spans="1:9" x14ac:dyDescent="0.25">
      <c r="A127" s="36" t="str">
        <f t="shared" ca="1" si="1"/>
        <v>t_bus_srv_rel_role_typebus_srv_rel_role_desc</v>
      </c>
      <c r="B127" s="36" t="s">
        <v>688</v>
      </c>
      <c r="C127" s="36" t="s">
        <v>884</v>
      </c>
      <c r="D127" s="36" t="s">
        <v>157</v>
      </c>
      <c r="E127" s="36" t="b">
        <v>0</v>
      </c>
      <c r="F127" s="36" t="b">
        <v>0</v>
      </c>
      <c r="G127" s="36" t="b">
        <v>0</v>
      </c>
      <c r="I127" s="36" t="s">
        <v>885</v>
      </c>
    </row>
    <row r="128" spans="1:9" s="38" customFormat="1" ht="15.75" thickBot="1" x14ac:dyDescent="0.3">
      <c r="A128" s="38" t="str">
        <f t="shared" ca="1" si="1"/>
        <v>t_bus_srv_rel_role_typehost_bus_srv_rel_role_id</v>
      </c>
      <c r="B128" s="38" t="s">
        <v>688</v>
      </c>
      <c r="C128" s="38" t="s">
        <v>886</v>
      </c>
      <c r="D128" s="38" t="s">
        <v>157</v>
      </c>
      <c r="E128" s="38" t="b">
        <v>0</v>
      </c>
      <c r="F128" s="38" t="b">
        <v>0</v>
      </c>
      <c r="G128" s="38" t="b">
        <v>0</v>
      </c>
      <c r="I128" s="38" t="s">
        <v>887</v>
      </c>
    </row>
    <row r="129" spans="1:9" x14ac:dyDescent="0.25">
      <c r="A129" s="36" t="str">
        <f t="shared" ca="1" si="1"/>
        <v>t_bus_srv_relatedbus_srv_id</v>
      </c>
      <c r="B129" s="36" t="s">
        <v>690</v>
      </c>
      <c r="C129" s="36" t="s">
        <v>847</v>
      </c>
      <c r="D129" s="36" t="s">
        <v>160</v>
      </c>
      <c r="E129" s="36" t="b">
        <v>1</v>
      </c>
      <c r="F129" s="36" t="b">
        <v>1</v>
      </c>
      <c r="G129" s="36" t="b">
        <v>1</v>
      </c>
      <c r="H129" s="36" t="s">
        <v>866</v>
      </c>
      <c r="I129" s="36" t="s">
        <v>848</v>
      </c>
    </row>
    <row r="130" spans="1:9" x14ac:dyDescent="0.25">
      <c r="A130" s="36" t="str">
        <f t="shared" ca="1" si="1"/>
        <v>t_bus_srv_relatedbus_srv_rel_role_id</v>
      </c>
      <c r="B130" s="36" t="s">
        <v>690</v>
      </c>
      <c r="C130" s="36" t="s">
        <v>882</v>
      </c>
      <c r="D130" s="36" t="s">
        <v>160</v>
      </c>
      <c r="E130" s="36" t="b">
        <v>1</v>
      </c>
      <c r="F130" s="36" t="b">
        <v>1</v>
      </c>
      <c r="G130" s="36" t="b">
        <v>1</v>
      </c>
      <c r="H130" s="36" t="s">
        <v>888</v>
      </c>
      <c r="I130" s="36" t="s">
        <v>883</v>
      </c>
    </row>
    <row r="131" spans="1:9" s="38" customFormat="1" ht="15.75" thickBot="1" x14ac:dyDescent="0.3">
      <c r="A131" s="38" t="str">
        <f t="shared" ref="A131:A194" ca="1" si="2">INDIRECT("R[0]C[1]", 0)&amp;INDIRECT("R[0]C[2]", 0)</f>
        <v>t_bus_srv_relatedrelated_bus_srv_id</v>
      </c>
      <c r="B131" s="38" t="s">
        <v>690</v>
      </c>
      <c r="C131" s="38" t="s">
        <v>889</v>
      </c>
      <c r="D131" s="38" t="s">
        <v>160</v>
      </c>
      <c r="E131" s="38" t="b">
        <v>1</v>
      </c>
      <c r="F131" s="38" t="b">
        <v>1</v>
      </c>
      <c r="G131" s="38" t="b">
        <v>1</v>
      </c>
      <c r="H131" s="38" t="s">
        <v>866</v>
      </c>
      <c r="I131" s="38" t="s">
        <v>890</v>
      </c>
    </row>
    <row r="132" spans="1:9" x14ac:dyDescent="0.25">
      <c r="A132" s="36" t="str">
        <f t="shared" ca="1" si="2"/>
        <v>t_bus_srv_typebus_srv_type_id</v>
      </c>
      <c r="B132" s="36" t="s">
        <v>692</v>
      </c>
      <c r="C132" s="36" t="s">
        <v>856</v>
      </c>
      <c r="D132" s="36" t="s">
        <v>160</v>
      </c>
      <c r="E132" s="36" t="b">
        <v>1</v>
      </c>
      <c r="F132" s="36" t="b">
        <v>1</v>
      </c>
      <c r="G132" s="36" t="b">
        <v>0</v>
      </c>
      <c r="I132" s="36" t="s">
        <v>891</v>
      </c>
    </row>
    <row r="133" spans="1:9" x14ac:dyDescent="0.25">
      <c r="A133" s="36" t="str">
        <f t="shared" ca="1" si="2"/>
        <v>t_bus_srv_typebus_srv_type_cd</v>
      </c>
      <c r="B133" s="36" t="s">
        <v>692</v>
      </c>
      <c r="C133" s="36" t="s">
        <v>892</v>
      </c>
      <c r="D133" s="36" t="s">
        <v>157</v>
      </c>
      <c r="E133" s="36" t="b">
        <v>0</v>
      </c>
      <c r="F133" s="36" t="b">
        <v>0</v>
      </c>
      <c r="G133" s="36" t="b">
        <v>0</v>
      </c>
      <c r="I133" s="36" t="s">
        <v>893</v>
      </c>
    </row>
    <row r="134" spans="1:9" x14ac:dyDescent="0.25">
      <c r="A134" s="36" t="str">
        <f t="shared" ca="1" si="2"/>
        <v>t_bus_srv_typebus_srv_type_desc</v>
      </c>
      <c r="B134" s="36" t="s">
        <v>692</v>
      </c>
      <c r="C134" s="36" t="s">
        <v>894</v>
      </c>
      <c r="D134" s="36" t="s">
        <v>157</v>
      </c>
      <c r="E134" s="36" t="b">
        <v>0</v>
      </c>
      <c r="F134" s="36" t="b">
        <v>0</v>
      </c>
      <c r="G134" s="36" t="b">
        <v>0</v>
      </c>
      <c r="I134" s="36" t="s">
        <v>895</v>
      </c>
    </row>
    <row r="135" spans="1:9" s="38" customFormat="1" ht="15.75" thickBot="1" x14ac:dyDescent="0.3">
      <c r="A135" s="38" t="str">
        <f t="shared" ca="1" si="2"/>
        <v>t_bus_srv_typehost_bus_srv_type_id</v>
      </c>
      <c r="B135" s="38" t="s">
        <v>692</v>
      </c>
      <c r="C135" s="38" t="s">
        <v>896</v>
      </c>
      <c r="D135" s="38" t="s">
        <v>157</v>
      </c>
      <c r="E135" s="38" t="b">
        <v>0</v>
      </c>
      <c r="F135" s="38" t="b">
        <v>0</v>
      </c>
      <c r="G135" s="38" t="b">
        <v>0</v>
      </c>
      <c r="I135" s="38" t="s">
        <v>897</v>
      </c>
    </row>
    <row r="136" spans="1:9" x14ac:dyDescent="0.25">
      <c r="A136" s="36" t="str">
        <f t="shared" ca="1" si="2"/>
        <v>t_chnl_typechnl_type_id</v>
      </c>
      <c r="B136" s="36" t="s">
        <v>694</v>
      </c>
      <c r="C136" s="36" t="s">
        <v>858</v>
      </c>
      <c r="D136" s="36" t="s">
        <v>160</v>
      </c>
      <c r="E136" s="36" t="b">
        <v>1</v>
      </c>
      <c r="F136" s="36" t="b">
        <v>1</v>
      </c>
      <c r="G136" s="36" t="b">
        <v>0</v>
      </c>
      <c r="I136" s="36" t="s">
        <v>898</v>
      </c>
    </row>
    <row r="137" spans="1:9" x14ac:dyDescent="0.25">
      <c r="A137" s="36" t="str">
        <f t="shared" ca="1" si="2"/>
        <v>t_chnl_typechnl_type_cd</v>
      </c>
      <c r="B137" s="36" t="s">
        <v>694</v>
      </c>
      <c r="C137" s="36" t="s">
        <v>899</v>
      </c>
      <c r="D137" s="36" t="s">
        <v>157</v>
      </c>
      <c r="E137" s="36" t="b">
        <v>0</v>
      </c>
      <c r="F137" s="36" t="b">
        <v>0</v>
      </c>
      <c r="G137" s="36" t="b">
        <v>0</v>
      </c>
      <c r="I137" s="36" t="s">
        <v>900</v>
      </c>
    </row>
    <row r="138" spans="1:9" x14ac:dyDescent="0.25">
      <c r="A138" s="36" t="str">
        <f t="shared" ca="1" si="2"/>
        <v>t_chnl_typechnl_type_desc</v>
      </c>
      <c r="B138" s="36" t="s">
        <v>694</v>
      </c>
      <c r="C138" s="36" t="s">
        <v>901</v>
      </c>
      <c r="D138" s="36" t="s">
        <v>157</v>
      </c>
      <c r="E138" s="36" t="b">
        <v>0</v>
      </c>
      <c r="F138" s="36" t="b">
        <v>0</v>
      </c>
      <c r="G138" s="36" t="b">
        <v>0</v>
      </c>
      <c r="I138" s="36" t="s">
        <v>902</v>
      </c>
    </row>
    <row r="139" spans="1:9" s="38" customFormat="1" ht="15.75" thickBot="1" x14ac:dyDescent="0.3">
      <c r="A139" s="38" t="str">
        <f t="shared" ca="1" si="2"/>
        <v>t_chnl_typehost_chnl_type_id</v>
      </c>
      <c r="B139" s="38" t="s">
        <v>694</v>
      </c>
      <c r="C139" s="38" t="s">
        <v>903</v>
      </c>
      <c r="D139" s="38" t="s">
        <v>157</v>
      </c>
      <c r="E139" s="38" t="b">
        <v>0</v>
      </c>
      <c r="F139" s="38" t="b">
        <v>0</v>
      </c>
      <c r="G139" s="38" t="b">
        <v>0</v>
      </c>
      <c r="I139" s="38" t="s">
        <v>904</v>
      </c>
    </row>
    <row r="140" spans="1:9" x14ac:dyDescent="0.25">
      <c r="A140" s="36" t="str">
        <f t="shared" ca="1" si="2"/>
        <v>t_coacoa_id</v>
      </c>
      <c r="B140" s="36" t="s">
        <v>1571</v>
      </c>
      <c r="C140" s="36" t="s">
        <v>1547</v>
      </c>
      <c r="D140" s="36" t="s">
        <v>160</v>
      </c>
      <c r="E140" s="36" t="b">
        <v>1</v>
      </c>
      <c r="F140" s="36" t="b">
        <v>1</v>
      </c>
      <c r="G140" s="36" t="b">
        <v>0</v>
      </c>
      <c r="I140" s="36" t="s">
        <v>1549</v>
      </c>
    </row>
    <row r="141" spans="1:9" x14ac:dyDescent="0.25">
      <c r="A141" s="36" t="str">
        <f t="shared" ca="1" si="2"/>
        <v>t_coacoa_num</v>
      </c>
      <c r="B141" s="36" t="s">
        <v>1571</v>
      </c>
      <c r="C141" s="36" t="s">
        <v>1018</v>
      </c>
      <c r="D141" s="36" t="s">
        <v>157</v>
      </c>
      <c r="E141" s="36" t="b">
        <v>0</v>
      </c>
      <c r="F141" s="36" t="b">
        <v>0</v>
      </c>
      <c r="G141" s="36" t="b">
        <v>0</v>
      </c>
      <c r="I141" s="36" t="s">
        <v>629</v>
      </c>
    </row>
    <row r="142" spans="1:9" x14ac:dyDescent="0.25">
      <c r="A142" s="36" t="str">
        <f t="shared" ca="1" si="2"/>
        <v>t_coadel_dt</v>
      </c>
      <c r="B142" s="36" t="s">
        <v>1571</v>
      </c>
      <c r="C142" s="36" t="s">
        <v>1612</v>
      </c>
      <c r="D142" s="36" t="s">
        <v>750</v>
      </c>
      <c r="E142" s="36" t="b">
        <v>0</v>
      </c>
      <c r="F142" s="36" t="b">
        <v>0</v>
      </c>
      <c r="G142" s="36" t="b">
        <v>0</v>
      </c>
      <c r="I142" s="36" t="s">
        <v>1613</v>
      </c>
    </row>
    <row r="143" spans="1:9" s="38" customFormat="1" ht="15.75" thickBot="1" x14ac:dyDescent="0.3">
      <c r="A143" s="38" t="str">
        <f t="shared" ca="1" si="2"/>
        <v>t_coahost_coa_id</v>
      </c>
      <c r="B143" s="38" t="s">
        <v>1571</v>
      </c>
      <c r="C143" s="38" t="s">
        <v>1572</v>
      </c>
      <c r="D143" s="38" t="s">
        <v>157</v>
      </c>
      <c r="E143" s="38" t="b">
        <v>0</v>
      </c>
      <c r="F143" s="38" t="b">
        <v>0</v>
      </c>
      <c r="G143" s="38" t="b">
        <v>0</v>
      </c>
      <c r="I143" s="38" t="s">
        <v>1573</v>
      </c>
    </row>
    <row r="144" spans="1:9" x14ac:dyDescent="0.25">
      <c r="A144" s="36" t="str">
        <f t="shared" ca="1" si="2"/>
        <v>t_crncycrncy_id</v>
      </c>
      <c r="B144" s="36" t="s">
        <v>696</v>
      </c>
      <c r="C144" s="36" t="s">
        <v>754</v>
      </c>
      <c r="D144" s="36" t="s">
        <v>160</v>
      </c>
      <c r="E144" s="36" t="b">
        <v>1</v>
      </c>
      <c r="F144" s="36" t="b">
        <v>1</v>
      </c>
      <c r="G144" s="36" t="b">
        <v>0</v>
      </c>
      <c r="I144" s="36" t="s">
        <v>905</v>
      </c>
    </row>
    <row r="145" spans="1:9" x14ac:dyDescent="0.25">
      <c r="A145" s="36" t="str">
        <f t="shared" ca="1" si="2"/>
        <v>t_crncycrncy_iso_cd</v>
      </c>
      <c r="B145" s="36" t="s">
        <v>696</v>
      </c>
      <c r="C145" s="36" t="s">
        <v>906</v>
      </c>
      <c r="D145" s="36" t="s">
        <v>157</v>
      </c>
      <c r="E145" s="36" t="b">
        <v>0</v>
      </c>
      <c r="F145" s="36" t="b">
        <v>0</v>
      </c>
      <c r="G145" s="36" t="b">
        <v>0</v>
      </c>
      <c r="I145" s="36" t="s">
        <v>907</v>
      </c>
    </row>
    <row r="146" spans="1:9" s="38" customFormat="1" ht="15.75" thickBot="1" x14ac:dyDescent="0.3">
      <c r="A146" s="38" t="str">
        <f t="shared" ca="1" si="2"/>
        <v>t_crncyhost_crncy_id</v>
      </c>
      <c r="B146" s="38" t="s">
        <v>696</v>
      </c>
      <c r="C146" s="38" t="s">
        <v>908</v>
      </c>
      <c r="D146" s="38" t="s">
        <v>157</v>
      </c>
      <c r="E146" s="38" t="b">
        <v>0</v>
      </c>
      <c r="F146" s="38" t="b">
        <v>0</v>
      </c>
      <c r="G146" s="38" t="b">
        <v>0</v>
      </c>
      <c r="I146" s="38" t="s">
        <v>909</v>
      </c>
    </row>
    <row r="147" spans="1:9" x14ac:dyDescent="0.25">
      <c r="A147" s="36" t="str">
        <f t="shared" ca="1" si="2"/>
        <v>t_empemp_id</v>
      </c>
      <c r="B147" s="36" t="s">
        <v>698</v>
      </c>
      <c r="C147" s="36" t="s">
        <v>910</v>
      </c>
      <c r="D147" s="36" t="s">
        <v>160</v>
      </c>
      <c r="E147" s="36" t="b">
        <v>1</v>
      </c>
      <c r="F147" s="36" t="b">
        <v>1</v>
      </c>
      <c r="G147" s="36" t="b">
        <v>0</v>
      </c>
      <c r="I147" s="36" t="s">
        <v>911</v>
      </c>
    </row>
    <row r="148" spans="1:9" x14ac:dyDescent="0.25">
      <c r="A148" s="36" t="str">
        <f t="shared" ca="1" si="2"/>
        <v>t_emphost_emp_id</v>
      </c>
      <c r="B148" s="36" t="s">
        <v>698</v>
      </c>
      <c r="C148" s="36" t="s">
        <v>912</v>
      </c>
      <c r="D148" s="36" t="s">
        <v>157</v>
      </c>
      <c r="E148" s="36" t="b">
        <v>0</v>
      </c>
      <c r="F148" s="36" t="b">
        <v>0</v>
      </c>
      <c r="G148" s="36" t="b">
        <v>0</v>
      </c>
      <c r="I148" s="36" t="s">
        <v>913</v>
      </c>
    </row>
    <row r="149" spans="1:9" s="38" customFormat="1" ht="15.75" thickBot="1" x14ac:dyDescent="0.3">
      <c r="A149" s="38" t="str">
        <f t="shared" ca="1" si="2"/>
        <v>t_empprsnl_num</v>
      </c>
      <c r="B149" s="38" t="s">
        <v>698</v>
      </c>
      <c r="C149" s="38" t="s">
        <v>914</v>
      </c>
      <c r="D149" s="38" t="s">
        <v>157</v>
      </c>
      <c r="E149" s="38" t="b">
        <v>0</v>
      </c>
      <c r="F149" s="38" t="b">
        <v>0</v>
      </c>
      <c r="G149" s="38" t="b">
        <v>0</v>
      </c>
      <c r="I149" s="38" t="s">
        <v>601</v>
      </c>
    </row>
    <row r="150" spans="1:9" x14ac:dyDescent="0.25">
      <c r="A150" s="36" t="str">
        <f t="shared" ca="1" si="2"/>
        <v>t_emp_idfnemp_id</v>
      </c>
      <c r="B150" s="36" t="s">
        <v>700</v>
      </c>
      <c r="C150" s="36" t="s">
        <v>910</v>
      </c>
      <c r="D150" s="36" t="s">
        <v>160</v>
      </c>
      <c r="E150" s="36" t="b">
        <v>1</v>
      </c>
      <c r="F150" s="36" t="b">
        <v>1</v>
      </c>
      <c r="G150" s="36" t="b">
        <v>1</v>
      </c>
      <c r="H150" s="36" t="s">
        <v>862</v>
      </c>
      <c r="I150" s="36" t="s">
        <v>911</v>
      </c>
    </row>
    <row r="151" spans="1:9" x14ac:dyDescent="0.25">
      <c r="A151" s="36" t="str">
        <f t="shared" ca="1" si="2"/>
        <v>t_emp_idfnstart_dt</v>
      </c>
      <c r="B151" s="36" t="s">
        <v>700</v>
      </c>
      <c r="C151" s="36" t="s">
        <v>785</v>
      </c>
      <c r="D151" s="36" t="s">
        <v>750</v>
      </c>
      <c r="E151" s="36" t="b">
        <v>1</v>
      </c>
      <c r="F151" s="36" t="b">
        <v>1</v>
      </c>
      <c r="G151" s="36" t="b">
        <v>0</v>
      </c>
      <c r="I151" s="36" t="s">
        <v>786</v>
      </c>
    </row>
    <row r="152" spans="1:9" x14ac:dyDescent="0.25">
      <c r="A152" s="36" t="str">
        <f t="shared" ca="1" si="2"/>
        <v>t_emp_idfnend_dt</v>
      </c>
      <c r="B152" s="36" t="s">
        <v>700</v>
      </c>
      <c r="C152" s="36" t="s">
        <v>787</v>
      </c>
      <c r="D152" s="36" t="s">
        <v>750</v>
      </c>
      <c r="E152" s="36" t="b">
        <v>0</v>
      </c>
      <c r="F152" s="36" t="b">
        <v>0</v>
      </c>
      <c r="G152" s="36" t="b">
        <v>0</v>
      </c>
      <c r="I152" s="36" t="s">
        <v>788</v>
      </c>
    </row>
    <row r="153" spans="1:9" x14ac:dyDescent="0.25">
      <c r="A153" s="36" t="str">
        <f t="shared" ca="1" si="2"/>
        <v>t_emp_idfnfull_name</v>
      </c>
      <c r="B153" s="36" t="s">
        <v>700</v>
      </c>
      <c r="C153" s="36" t="s">
        <v>915</v>
      </c>
      <c r="D153" s="36" t="s">
        <v>157</v>
      </c>
      <c r="E153" s="36" t="b">
        <v>0</v>
      </c>
      <c r="F153" s="36" t="b">
        <v>0</v>
      </c>
      <c r="G153" s="36" t="b">
        <v>0</v>
      </c>
      <c r="I153" s="36" t="s">
        <v>598</v>
      </c>
    </row>
    <row r="154" spans="1:9" s="38" customFormat="1" ht="15.75" thickBot="1" x14ac:dyDescent="0.3">
      <c r="A154" s="38" t="str">
        <f t="shared" ca="1" si="2"/>
        <v>t_emp_idfnlogin_name</v>
      </c>
      <c r="B154" s="38" t="s">
        <v>700</v>
      </c>
      <c r="C154" s="38" t="s">
        <v>916</v>
      </c>
      <c r="D154" s="38" t="s">
        <v>157</v>
      </c>
      <c r="E154" s="38" t="b">
        <v>0</v>
      </c>
      <c r="F154" s="38" t="b">
        <v>0</v>
      </c>
      <c r="G154" s="38" t="b">
        <v>0</v>
      </c>
      <c r="I154" s="38" t="s">
        <v>917</v>
      </c>
    </row>
    <row r="155" spans="1:9" x14ac:dyDescent="0.25">
      <c r="A155" s="36" t="str">
        <f t="shared" ca="1" si="2"/>
        <v>t_entity_sttsentity_stts_id</v>
      </c>
      <c r="B155" s="36" t="s">
        <v>702</v>
      </c>
      <c r="C155" s="36" t="s">
        <v>918</v>
      </c>
      <c r="D155" s="36" t="s">
        <v>160</v>
      </c>
      <c r="E155" s="36" t="b">
        <v>1</v>
      </c>
      <c r="F155" s="36" t="b">
        <v>1</v>
      </c>
      <c r="G155" s="36" t="b">
        <v>0</v>
      </c>
      <c r="I155" s="36" t="s">
        <v>821</v>
      </c>
    </row>
    <row r="156" spans="1:9" x14ac:dyDescent="0.25">
      <c r="A156" s="36" t="str">
        <f t="shared" ca="1" si="2"/>
        <v>t_entity_sttsentity_stts_cd</v>
      </c>
      <c r="B156" s="36" t="s">
        <v>702</v>
      </c>
      <c r="C156" s="36" t="s">
        <v>919</v>
      </c>
      <c r="D156" s="36" t="s">
        <v>157</v>
      </c>
      <c r="E156" s="36" t="b">
        <v>0</v>
      </c>
      <c r="F156" s="36" t="b">
        <v>0</v>
      </c>
      <c r="G156" s="36" t="b">
        <v>0</v>
      </c>
      <c r="I156" s="36" t="s">
        <v>589</v>
      </c>
    </row>
    <row r="157" spans="1:9" x14ac:dyDescent="0.25">
      <c r="A157" s="36" t="str">
        <f t="shared" ca="1" si="2"/>
        <v>t_entity_sttsentity_stts_name</v>
      </c>
      <c r="B157" s="36" t="s">
        <v>702</v>
      </c>
      <c r="C157" s="36" t="s">
        <v>920</v>
      </c>
      <c r="D157" s="36" t="s">
        <v>157</v>
      </c>
      <c r="E157" s="36" t="b">
        <v>0</v>
      </c>
      <c r="F157" s="36" t="b">
        <v>0</v>
      </c>
      <c r="G157" s="36" t="b">
        <v>0</v>
      </c>
      <c r="I157" s="36" t="s">
        <v>921</v>
      </c>
    </row>
    <row r="158" spans="1:9" x14ac:dyDescent="0.25">
      <c r="A158" s="36" t="str">
        <f t="shared" ca="1" si="2"/>
        <v>t_entity_sttsentity_stts_type_cd</v>
      </c>
      <c r="B158" s="36" t="s">
        <v>702</v>
      </c>
      <c r="C158" s="36" t="s">
        <v>922</v>
      </c>
      <c r="D158" s="36" t="s">
        <v>157</v>
      </c>
      <c r="E158" s="36" t="b">
        <v>0</v>
      </c>
      <c r="F158" s="36" t="b">
        <v>0</v>
      </c>
      <c r="G158" s="36" t="b">
        <v>0</v>
      </c>
      <c r="I158" s="36" t="s">
        <v>923</v>
      </c>
    </row>
    <row r="159" spans="1:9" s="38" customFormat="1" ht="15.75" thickBot="1" x14ac:dyDescent="0.3">
      <c r="A159" s="38" t="str">
        <f t="shared" ca="1" si="2"/>
        <v>t_entity_sttshost_entity_stts_id</v>
      </c>
      <c r="B159" s="38" t="s">
        <v>702</v>
      </c>
      <c r="C159" s="38" t="s">
        <v>924</v>
      </c>
      <c r="D159" s="38" t="s">
        <v>157</v>
      </c>
      <c r="E159" s="38" t="b">
        <v>0</v>
      </c>
      <c r="F159" s="38" t="b">
        <v>0</v>
      </c>
      <c r="G159" s="38" t="b">
        <v>0</v>
      </c>
      <c r="I159" s="38" t="s">
        <v>925</v>
      </c>
    </row>
    <row r="160" spans="1:9" x14ac:dyDescent="0.25">
      <c r="A160" s="36" t="str">
        <f t="shared" ca="1" si="2"/>
        <v>t_ext_coaext_coa_id</v>
      </c>
      <c r="B160" s="36" t="s">
        <v>1574</v>
      </c>
      <c r="C160" s="36" t="s">
        <v>1561</v>
      </c>
      <c r="D160" s="36" t="s">
        <v>160</v>
      </c>
      <c r="E160" s="36" t="b">
        <v>1</v>
      </c>
      <c r="F160" s="36" t="b">
        <v>1</v>
      </c>
      <c r="G160" s="36" t="b">
        <v>0</v>
      </c>
      <c r="I160" s="36" t="s">
        <v>1563</v>
      </c>
    </row>
    <row r="161" spans="1:9" x14ac:dyDescent="0.25">
      <c r="A161" s="36" t="str">
        <f t="shared" ca="1" si="2"/>
        <v>t_ext_coadel_dt</v>
      </c>
      <c r="B161" s="36" t="s">
        <v>1574</v>
      </c>
      <c r="C161" s="36" t="s">
        <v>1612</v>
      </c>
      <c r="D161" s="36" t="s">
        <v>750</v>
      </c>
      <c r="E161" s="36" t="b">
        <v>0</v>
      </c>
      <c r="F161" s="36" t="b">
        <v>0</v>
      </c>
      <c r="G161" s="36" t="b">
        <v>0</v>
      </c>
      <c r="I161" s="36" t="s">
        <v>1613</v>
      </c>
    </row>
    <row r="162" spans="1:9" x14ac:dyDescent="0.25">
      <c r="A162" s="36" t="str">
        <f t="shared" ca="1" si="2"/>
        <v>t_ext_coaext_coa_num</v>
      </c>
      <c r="B162" s="36" t="s">
        <v>1574</v>
      </c>
      <c r="C162" s="36" t="s">
        <v>1575</v>
      </c>
      <c r="D162" s="36" t="s">
        <v>157</v>
      </c>
      <c r="E162" s="36" t="b">
        <v>0</v>
      </c>
      <c r="F162" s="36" t="b">
        <v>0</v>
      </c>
      <c r="G162" s="36" t="b">
        <v>0</v>
      </c>
      <c r="I162" s="36" t="s">
        <v>1576</v>
      </c>
    </row>
    <row r="163" spans="1:9" s="38" customFormat="1" ht="15.75" thickBot="1" x14ac:dyDescent="0.3">
      <c r="A163" s="38" t="str">
        <f t="shared" ca="1" si="2"/>
        <v>t_ext_coahost_ext_coa_id</v>
      </c>
      <c r="B163" s="38" t="s">
        <v>1574</v>
      </c>
      <c r="C163" s="38" t="s">
        <v>1577</v>
      </c>
      <c r="D163" s="38" t="s">
        <v>157</v>
      </c>
      <c r="E163" s="38" t="b">
        <v>0</v>
      </c>
      <c r="F163" s="38" t="b">
        <v>0</v>
      </c>
      <c r="G163" s="38" t="b">
        <v>0</v>
      </c>
      <c r="I163" s="38" t="s">
        <v>1578</v>
      </c>
    </row>
    <row r="164" spans="1:9" x14ac:dyDescent="0.25">
      <c r="A164" s="36" t="str">
        <f t="shared" ca="1" si="2"/>
        <v>t_info_systeminfo_system_id</v>
      </c>
      <c r="B164" s="36" t="s">
        <v>704</v>
      </c>
      <c r="C164" s="36" t="s">
        <v>217</v>
      </c>
      <c r="D164" s="36" t="s">
        <v>182</v>
      </c>
      <c r="E164" s="36" t="b">
        <v>1</v>
      </c>
      <c r="F164" s="36" t="b">
        <v>1</v>
      </c>
      <c r="G164" s="36" t="b">
        <v>0</v>
      </c>
      <c r="I164" s="36" t="s">
        <v>926</v>
      </c>
    </row>
    <row r="165" spans="1:9" x14ac:dyDescent="0.25">
      <c r="A165" s="36" t="str">
        <f t="shared" ca="1" si="2"/>
        <v>t_info_systeminfo_system_desc</v>
      </c>
      <c r="B165" s="36" t="s">
        <v>704</v>
      </c>
      <c r="C165" s="36" t="s">
        <v>927</v>
      </c>
      <c r="D165" s="36" t="s">
        <v>157</v>
      </c>
      <c r="E165" s="36" t="b">
        <v>0</v>
      </c>
      <c r="F165" s="36" t="b">
        <v>0</v>
      </c>
      <c r="G165" s="36" t="b">
        <v>0</v>
      </c>
      <c r="I165" s="36" t="s">
        <v>928</v>
      </c>
    </row>
    <row r="166" spans="1:9" x14ac:dyDescent="0.25">
      <c r="A166" s="36" t="str">
        <f t="shared" ca="1" si="2"/>
        <v>t_info_systeminfo_system_inst_cd</v>
      </c>
      <c r="B166" s="36" t="s">
        <v>704</v>
      </c>
      <c r="C166" s="36" t="s">
        <v>218</v>
      </c>
      <c r="D166" s="36" t="s">
        <v>157</v>
      </c>
      <c r="E166" s="36" t="b">
        <v>1</v>
      </c>
      <c r="F166" s="36" t="b">
        <v>0</v>
      </c>
      <c r="G166" s="36" t="b">
        <v>0</v>
      </c>
      <c r="I166" s="36" t="s">
        <v>929</v>
      </c>
    </row>
    <row r="167" spans="1:9" s="38" customFormat="1" ht="15.75" thickBot="1" x14ac:dyDescent="0.3">
      <c r="A167" s="38" t="str">
        <f t="shared" ca="1" si="2"/>
        <v>t_info_systeminfo_system_type_cd</v>
      </c>
      <c r="B167" s="38" t="s">
        <v>704</v>
      </c>
      <c r="C167" s="38" t="s">
        <v>219</v>
      </c>
      <c r="D167" s="38" t="s">
        <v>157</v>
      </c>
      <c r="E167" s="38" t="b">
        <v>0</v>
      </c>
      <c r="F167" s="38" t="b">
        <v>0</v>
      </c>
      <c r="G167" s="38" t="b">
        <v>0</v>
      </c>
      <c r="I167" s="38" t="s">
        <v>930</v>
      </c>
    </row>
    <row r="168" spans="1:9" x14ac:dyDescent="0.25">
      <c r="A168" s="36" t="str">
        <f t="shared" ca="1" si="2"/>
        <v>t_int_orgint_org_id</v>
      </c>
      <c r="B168" s="36" t="s">
        <v>706</v>
      </c>
      <c r="C168" s="36" t="s">
        <v>803</v>
      </c>
      <c r="D168" s="36" t="s">
        <v>160</v>
      </c>
      <c r="E168" s="36" t="b">
        <v>1</v>
      </c>
      <c r="F168" s="36" t="b">
        <v>1</v>
      </c>
      <c r="G168" s="36" t="b">
        <v>0</v>
      </c>
      <c r="I168" s="36" t="s">
        <v>805</v>
      </c>
    </row>
    <row r="169" spans="1:9" x14ac:dyDescent="0.25">
      <c r="A169" s="36" t="str">
        <f t="shared" ca="1" si="2"/>
        <v>t_int_orghost_int_org_id</v>
      </c>
      <c r="B169" s="36" t="s">
        <v>706</v>
      </c>
      <c r="C169" s="36" t="s">
        <v>931</v>
      </c>
      <c r="D169" s="36" t="s">
        <v>157</v>
      </c>
      <c r="E169" s="36" t="b">
        <v>0</v>
      </c>
      <c r="F169" s="36" t="b">
        <v>0</v>
      </c>
      <c r="G169" s="36" t="b">
        <v>0</v>
      </c>
      <c r="I169" s="36" t="s">
        <v>932</v>
      </c>
    </row>
    <row r="170" spans="1:9" s="38" customFormat="1" ht="15.75" thickBot="1" x14ac:dyDescent="0.3">
      <c r="A170" s="38" t="str">
        <f t="shared" ca="1" si="2"/>
        <v>t_int_orgint_org_num</v>
      </c>
      <c r="B170" s="38" t="s">
        <v>706</v>
      </c>
      <c r="C170" s="38" t="s">
        <v>933</v>
      </c>
      <c r="D170" s="38" t="s">
        <v>157</v>
      </c>
      <c r="E170" s="38" t="b">
        <v>0</v>
      </c>
      <c r="F170" s="38" t="b">
        <v>0</v>
      </c>
      <c r="G170" s="38" t="b">
        <v>0</v>
      </c>
      <c r="I170" s="38" t="s">
        <v>934</v>
      </c>
    </row>
    <row r="171" spans="1:9" x14ac:dyDescent="0.25">
      <c r="A171" s="36" t="str">
        <f t="shared" ca="1" si="2"/>
        <v>t_mkt_idxmkt_idx_id</v>
      </c>
      <c r="B171" s="36" t="s">
        <v>708</v>
      </c>
      <c r="C171" s="36" t="s">
        <v>935</v>
      </c>
      <c r="D171" s="36" t="s">
        <v>160</v>
      </c>
      <c r="E171" s="36" t="b">
        <v>1</v>
      </c>
      <c r="F171" s="36" t="b">
        <v>1</v>
      </c>
      <c r="G171" s="36" t="b">
        <v>0</v>
      </c>
      <c r="I171" s="36" t="s">
        <v>936</v>
      </c>
    </row>
    <row r="172" spans="1:9" x14ac:dyDescent="0.25">
      <c r="A172" s="36" t="str">
        <f t="shared" ca="1" si="2"/>
        <v>t_mkt_idxhost_mkt_idx_id</v>
      </c>
      <c r="B172" s="36" t="s">
        <v>708</v>
      </c>
      <c r="C172" s="36" t="s">
        <v>937</v>
      </c>
      <c r="D172" s="36" t="s">
        <v>157</v>
      </c>
      <c r="E172" s="36" t="b">
        <v>0</v>
      </c>
      <c r="F172" s="36" t="b">
        <v>0</v>
      </c>
      <c r="G172" s="36" t="b">
        <v>0</v>
      </c>
      <c r="I172" s="36" t="s">
        <v>938</v>
      </c>
    </row>
    <row r="173" spans="1:9" x14ac:dyDescent="0.25">
      <c r="A173" s="36" t="str">
        <f t="shared" ca="1" si="2"/>
        <v>t_mkt_idxmkt_idx_cd</v>
      </c>
      <c r="B173" s="36" t="s">
        <v>708</v>
      </c>
      <c r="C173" s="36" t="s">
        <v>939</v>
      </c>
      <c r="D173" s="36" t="s">
        <v>157</v>
      </c>
      <c r="E173" s="36" t="b">
        <v>0</v>
      </c>
      <c r="F173" s="36" t="b">
        <v>0</v>
      </c>
      <c r="G173" s="36" t="b">
        <v>0</v>
      </c>
      <c r="I173" s="36" t="s">
        <v>940</v>
      </c>
    </row>
    <row r="174" spans="1:9" x14ac:dyDescent="0.25">
      <c r="A174" s="36" t="str">
        <f t="shared" ca="1" si="2"/>
        <v>t_mkt_idxmkt_idx_desc</v>
      </c>
      <c r="B174" s="36" t="s">
        <v>708</v>
      </c>
      <c r="C174" s="36" t="s">
        <v>941</v>
      </c>
      <c r="D174" s="36" t="s">
        <v>157</v>
      </c>
      <c r="E174" s="36" t="b">
        <v>0</v>
      </c>
      <c r="F174" s="36" t="b">
        <v>0</v>
      </c>
      <c r="G174" s="36" t="b">
        <v>0</v>
      </c>
      <c r="I174" s="36" t="s">
        <v>942</v>
      </c>
    </row>
    <row r="175" spans="1:9" s="38" customFormat="1" ht="15.75" thickBot="1" x14ac:dyDescent="0.3">
      <c r="A175" s="38" t="str">
        <f t="shared" ca="1" si="2"/>
        <v>t_mkt_idxmkt_idx_type_id</v>
      </c>
      <c r="B175" s="38" t="s">
        <v>708</v>
      </c>
      <c r="C175" s="38" t="s">
        <v>943</v>
      </c>
      <c r="D175" s="38" t="s">
        <v>160</v>
      </c>
      <c r="E175" s="38" t="b">
        <v>0</v>
      </c>
      <c r="F175" s="38" t="b">
        <v>0</v>
      </c>
      <c r="G175" s="38" t="b">
        <v>0</v>
      </c>
      <c r="I175" s="38" t="s">
        <v>944</v>
      </c>
    </row>
    <row r="176" spans="1:9" x14ac:dyDescent="0.25">
      <c r="A176" s="36" t="str">
        <f t="shared" ca="1" si="2"/>
        <v>t_offer_typeoffer_type_id</v>
      </c>
      <c r="B176" s="36" t="s">
        <v>710</v>
      </c>
      <c r="C176" s="36" t="s">
        <v>945</v>
      </c>
      <c r="D176" s="36" t="s">
        <v>160</v>
      </c>
      <c r="E176" s="36" t="b">
        <v>1</v>
      </c>
      <c r="F176" s="36" t="b">
        <v>1</v>
      </c>
      <c r="G176" s="36" t="b">
        <v>0</v>
      </c>
      <c r="I176" s="36" t="s">
        <v>946</v>
      </c>
    </row>
    <row r="177" spans="1:9" x14ac:dyDescent="0.25">
      <c r="A177" s="36" t="str">
        <f t="shared" ca="1" si="2"/>
        <v>t_offer_typehost_offer_type_id</v>
      </c>
      <c r="B177" s="36" t="s">
        <v>710</v>
      </c>
      <c r="C177" s="36" t="s">
        <v>947</v>
      </c>
      <c r="D177" s="36" t="s">
        <v>157</v>
      </c>
      <c r="E177" s="36" t="b">
        <v>0</v>
      </c>
      <c r="F177" s="36" t="b">
        <v>0</v>
      </c>
      <c r="G177" s="36" t="b">
        <v>0</v>
      </c>
      <c r="I177" s="36" t="s">
        <v>948</v>
      </c>
    </row>
    <row r="178" spans="1:9" x14ac:dyDescent="0.25">
      <c r="A178" s="36" t="str">
        <f t="shared" ca="1" si="2"/>
        <v>t_offer_typeoffer_type_cd</v>
      </c>
      <c r="B178" s="36" t="s">
        <v>710</v>
      </c>
      <c r="C178" s="36" t="s">
        <v>949</v>
      </c>
      <c r="D178" s="36" t="s">
        <v>157</v>
      </c>
      <c r="E178" s="36" t="b">
        <v>0</v>
      </c>
      <c r="F178" s="36" t="b">
        <v>0</v>
      </c>
      <c r="G178" s="36" t="b">
        <v>0</v>
      </c>
      <c r="I178" s="36" t="s">
        <v>950</v>
      </c>
    </row>
    <row r="179" spans="1:9" s="38" customFormat="1" ht="15.75" thickBot="1" x14ac:dyDescent="0.3">
      <c r="A179" s="38" t="str">
        <f t="shared" ca="1" si="2"/>
        <v>t_offer_typeoffer_type_desc</v>
      </c>
      <c r="B179" s="38" t="s">
        <v>710</v>
      </c>
      <c r="C179" s="38" t="s">
        <v>951</v>
      </c>
      <c r="D179" s="38" t="s">
        <v>157</v>
      </c>
      <c r="E179" s="38" t="b">
        <v>0</v>
      </c>
      <c r="F179" s="38" t="b">
        <v>0</v>
      </c>
      <c r="G179" s="38" t="b">
        <v>0</v>
      </c>
      <c r="I179" s="38" t="s">
        <v>952</v>
      </c>
    </row>
    <row r="180" spans="1:9" x14ac:dyDescent="0.25">
      <c r="A180" s="36" t="str">
        <f t="shared" ca="1" si="2"/>
        <v>t_optnoptn_id</v>
      </c>
      <c r="B180" s="36" t="s">
        <v>712</v>
      </c>
      <c r="C180" s="36" t="s">
        <v>953</v>
      </c>
      <c r="D180" s="36" t="s">
        <v>160</v>
      </c>
      <c r="E180" s="36" t="b">
        <v>1</v>
      </c>
      <c r="F180" s="36" t="b">
        <v>1</v>
      </c>
      <c r="G180" s="36" t="b">
        <v>0</v>
      </c>
      <c r="I180" s="36" t="s">
        <v>954</v>
      </c>
    </row>
    <row r="181" spans="1:9" x14ac:dyDescent="0.25">
      <c r="A181" s="36" t="str">
        <f t="shared" ca="1" si="2"/>
        <v>t_optnstart_dt</v>
      </c>
      <c r="B181" s="36" t="s">
        <v>712</v>
      </c>
      <c r="C181" s="36" t="s">
        <v>785</v>
      </c>
      <c r="D181" s="36" t="s">
        <v>750</v>
      </c>
      <c r="E181" s="36" t="b">
        <v>0</v>
      </c>
      <c r="F181" s="36" t="b">
        <v>0</v>
      </c>
      <c r="G181" s="36" t="b">
        <v>0</v>
      </c>
      <c r="I181" s="36" t="s">
        <v>513</v>
      </c>
    </row>
    <row r="182" spans="1:9" x14ac:dyDescent="0.25">
      <c r="A182" s="36" t="str">
        <f t="shared" ca="1" si="2"/>
        <v>t_optnagr_dep_id</v>
      </c>
      <c r="B182" s="36" t="s">
        <v>712</v>
      </c>
      <c r="C182" s="36" t="s">
        <v>737</v>
      </c>
      <c r="D182" s="36" t="s">
        <v>160</v>
      </c>
      <c r="E182" s="36" t="b">
        <v>0</v>
      </c>
      <c r="F182" s="36" t="b">
        <v>0</v>
      </c>
      <c r="G182" s="36" t="b">
        <v>1</v>
      </c>
      <c r="H182" s="36" t="s">
        <v>770</v>
      </c>
      <c r="I182" s="36" t="s">
        <v>738</v>
      </c>
    </row>
    <row r="183" spans="1:9" x14ac:dyDescent="0.25">
      <c r="A183" s="36" t="str">
        <f t="shared" ca="1" si="2"/>
        <v>t_optnbus_srv_id</v>
      </c>
      <c r="B183" s="36" t="s">
        <v>712</v>
      </c>
      <c r="C183" s="36" t="s">
        <v>847</v>
      </c>
      <c r="D183" s="36" t="s">
        <v>160</v>
      </c>
      <c r="E183" s="36" t="b">
        <v>0</v>
      </c>
      <c r="F183" s="36" t="b">
        <v>0</v>
      </c>
      <c r="G183" s="36" t="b">
        <v>1</v>
      </c>
      <c r="H183" s="36" t="s">
        <v>866</v>
      </c>
      <c r="I183" s="36" t="s">
        <v>848</v>
      </c>
    </row>
    <row r="184" spans="1:9" x14ac:dyDescent="0.25">
      <c r="A184" s="36" t="str">
        <f t="shared" ca="1" si="2"/>
        <v>t_optncrncy_id</v>
      </c>
      <c r="B184" s="36" t="s">
        <v>712</v>
      </c>
      <c r="C184" s="36" t="s">
        <v>754</v>
      </c>
      <c r="D184" s="36" t="s">
        <v>160</v>
      </c>
      <c r="E184" s="36" t="b">
        <v>0</v>
      </c>
      <c r="F184" s="36" t="b">
        <v>0</v>
      </c>
      <c r="G184" s="36" t="b">
        <v>1</v>
      </c>
      <c r="H184" s="36" t="s">
        <v>755</v>
      </c>
      <c r="I184" s="36" t="s">
        <v>955</v>
      </c>
    </row>
    <row r="185" spans="1:9" x14ac:dyDescent="0.25">
      <c r="A185" s="36" t="str">
        <f t="shared" ca="1" si="2"/>
        <v>t_optnhost_optn_id</v>
      </c>
      <c r="B185" s="36" t="s">
        <v>712</v>
      </c>
      <c r="C185" s="36" t="s">
        <v>956</v>
      </c>
      <c r="D185" s="36" t="s">
        <v>157</v>
      </c>
      <c r="E185" s="36" t="b">
        <v>0</v>
      </c>
      <c r="F185" s="36" t="b">
        <v>0</v>
      </c>
      <c r="G185" s="36" t="b">
        <v>0</v>
      </c>
      <c r="I185" s="36" t="s">
        <v>957</v>
      </c>
    </row>
    <row r="186" spans="1:9" x14ac:dyDescent="0.25">
      <c r="A186" s="36" t="str">
        <f t="shared" ca="1" si="2"/>
        <v>t_optnoptn_amt</v>
      </c>
      <c r="B186" s="36" t="s">
        <v>712</v>
      </c>
      <c r="C186" s="36" t="s">
        <v>958</v>
      </c>
      <c r="D186" s="36" t="s">
        <v>793</v>
      </c>
      <c r="E186" s="36" t="b">
        <v>0</v>
      </c>
      <c r="F186" s="36" t="b">
        <v>0</v>
      </c>
      <c r="G186" s="36" t="b">
        <v>0</v>
      </c>
      <c r="I186" s="36" t="s">
        <v>959</v>
      </c>
    </row>
    <row r="187" spans="1:9" x14ac:dyDescent="0.25">
      <c r="A187" s="36" t="str">
        <f t="shared" ca="1" si="2"/>
        <v>t_optnoptn_amt_rub</v>
      </c>
      <c r="B187" s="36" t="s">
        <v>712</v>
      </c>
      <c r="C187" s="36" t="s">
        <v>960</v>
      </c>
      <c r="D187" s="36" t="s">
        <v>793</v>
      </c>
      <c r="E187" s="36" t="b">
        <v>0</v>
      </c>
      <c r="F187" s="36" t="b">
        <v>0</v>
      </c>
      <c r="G187" s="36" t="b">
        <v>0</v>
      </c>
      <c r="I187" s="36" t="s">
        <v>532</v>
      </c>
    </row>
    <row r="188" spans="1:9" x14ac:dyDescent="0.25">
      <c r="A188" s="36" t="str">
        <f t="shared" ca="1" si="2"/>
        <v>t_optnoptn_type_id</v>
      </c>
      <c r="B188" s="36" t="s">
        <v>712</v>
      </c>
      <c r="C188" s="36" t="s">
        <v>961</v>
      </c>
      <c r="D188" s="36" t="s">
        <v>160</v>
      </c>
      <c r="E188" s="36" t="b">
        <v>0</v>
      </c>
      <c r="F188" s="36" t="b">
        <v>0</v>
      </c>
      <c r="G188" s="36" t="b">
        <v>1</v>
      </c>
      <c r="H188" s="36" t="s">
        <v>962</v>
      </c>
      <c r="I188" s="36" t="s">
        <v>963</v>
      </c>
    </row>
    <row r="189" spans="1:9" s="38" customFormat="1" ht="15.75" thickBot="1" x14ac:dyDescent="0.3">
      <c r="A189" s="38" t="str">
        <f t="shared" ca="1" si="2"/>
        <v>t_optnregistry_id</v>
      </c>
      <c r="B189" s="38" t="s">
        <v>712</v>
      </c>
      <c r="C189" s="38" t="s">
        <v>964</v>
      </c>
      <c r="D189" s="38" t="s">
        <v>160</v>
      </c>
      <c r="E189" s="38" t="b">
        <v>0</v>
      </c>
      <c r="F189" s="38" t="b">
        <v>0</v>
      </c>
      <c r="G189" s="38" t="b">
        <v>1</v>
      </c>
      <c r="H189" s="38" t="s">
        <v>965</v>
      </c>
      <c r="I189" s="38" t="s">
        <v>966</v>
      </c>
    </row>
    <row r="190" spans="1:9" x14ac:dyDescent="0.25">
      <c r="A190" s="36" t="str">
        <f t="shared" ca="1" si="2"/>
        <v>t_optn_typeoptn_type_id</v>
      </c>
      <c r="B190" s="36" t="s">
        <v>714</v>
      </c>
      <c r="C190" s="36" t="s">
        <v>961</v>
      </c>
      <c r="D190" s="36" t="s">
        <v>160</v>
      </c>
      <c r="E190" s="36" t="b">
        <v>1</v>
      </c>
      <c r="F190" s="36" t="b">
        <v>1</v>
      </c>
      <c r="G190" s="36" t="b">
        <v>0</v>
      </c>
      <c r="I190" s="36" t="s">
        <v>963</v>
      </c>
    </row>
    <row r="191" spans="1:9" x14ac:dyDescent="0.25">
      <c r="A191" s="36" t="str">
        <f t="shared" ca="1" si="2"/>
        <v>t_optn_typehost_optn_type_id</v>
      </c>
      <c r="B191" s="36" t="s">
        <v>714</v>
      </c>
      <c r="C191" s="36" t="s">
        <v>967</v>
      </c>
      <c r="D191" s="36" t="s">
        <v>157</v>
      </c>
      <c r="E191" s="36" t="b">
        <v>0</v>
      </c>
      <c r="F191" s="36" t="b">
        <v>0</v>
      </c>
      <c r="G191" s="36" t="b">
        <v>0</v>
      </c>
      <c r="I191" s="36" t="s">
        <v>968</v>
      </c>
    </row>
    <row r="192" spans="1:9" x14ac:dyDescent="0.25">
      <c r="A192" s="36" t="str">
        <f t="shared" ca="1" si="2"/>
        <v>t_optn_typeoptn_type_cd</v>
      </c>
      <c r="B192" s="36" t="s">
        <v>714</v>
      </c>
      <c r="C192" s="36" t="s">
        <v>969</v>
      </c>
      <c r="D192" s="36" t="s">
        <v>157</v>
      </c>
      <c r="E192" s="36" t="b">
        <v>0</v>
      </c>
      <c r="F192" s="36" t="b">
        <v>0</v>
      </c>
      <c r="G192" s="36" t="b">
        <v>0</v>
      </c>
      <c r="I192" s="36" t="s">
        <v>538</v>
      </c>
    </row>
    <row r="193" spans="1:9" s="38" customFormat="1" ht="15.75" thickBot="1" x14ac:dyDescent="0.3">
      <c r="A193" s="38" t="str">
        <f t="shared" ca="1" si="2"/>
        <v>t_optn_typeoptn_type_name</v>
      </c>
      <c r="B193" s="38" t="s">
        <v>714</v>
      </c>
      <c r="C193" s="38" t="s">
        <v>970</v>
      </c>
      <c r="D193" s="38" t="s">
        <v>157</v>
      </c>
      <c r="E193" s="38" t="b">
        <v>0</v>
      </c>
      <c r="F193" s="38" t="b">
        <v>0</v>
      </c>
      <c r="G193" s="38" t="b">
        <v>0</v>
      </c>
      <c r="I193" s="38" t="s">
        <v>971</v>
      </c>
    </row>
    <row r="194" spans="1:9" x14ac:dyDescent="0.25">
      <c r="A194" s="36" t="str">
        <f t="shared" ca="1" si="2"/>
        <v>t_prodprod_id</v>
      </c>
      <c r="B194" s="36" t="s">
        <v>715</v>
      </c>
      <c r="C194" s="36" t="s">
        <v>763</v>
      </c>
      <c r="D194" s="36" t="s">
        <v>160</v>
      </c>
      <c r="E194" s="36" t="b">
        <v>1</v>
      </c>
      <c r="F194" s="36" t="b">
        <v>1</v>
      </c>
      <c r="G194" s="36" t="b">
        <v>0</v>
      </c>
      <c r="I194" s="36" t="s">
        <v>765</v>
      </c>
    </row>
    <row r="195" spans="1:9" x14ac:dyDescent="0.25">
      <c r="A195" s="36" t="str">
        <f t="shared" ref="A195:A245" ca="1" si="3">INDIRECT("R[0]C[1]", 0)&amp;INDIRECT("R[0]C[2]", 0)</f>
        <v>t_prodhost_prod_id</v>
      </c>
      <c r="B195" s="36" t="s">
        <v>715</v>
      </c>
      <c r="C195" s="36" t="s">
        <v>972</v>
      </c>
      <c r="D195" s="36" t="s">
        <v>157</v>
      </c>
      <c r="E195" s="36" t="b">
        <v>0</v>
      </c>
      <c r="F195" s="36" t="b">
        <v>0</v>
      </c>
      <c r="G195" s="36" t="b">
        <v>0</v>
      </c>
      <c r="I195" s="36" t="s">
        <v>973</v>
      </c>
    </row>
    <row r="196" spans="1:9" x14ac:dyDescent="0.25">
      <c r="A196" s="36" t="str">
        <f t="shared" ca="1" si="3"/>
        <v>t_prodprod_cd</v>
      </c>
      <c r="B196" s="36" t="s">
        <v>715</v>
      </c>
      <c r="C196" s="36" t="s">
        <v>974</v>
      </c>
      <c r="D196" s="36" t="s">
        <v>157</v>
      </c>
      <c r="E196" s="36" t="b">
        <v>0</v>
      </c>
      <c r="F196" s="36" t="b">
        <v>0</v>
      </c>
      <c r="G196" s="36" t="b">
        <v>0</v>
      </c>
      <c r="I196" s="36" t="s">
        <v>975</v>
      </c>
    </row>
    <row r="197" spans="1:9" s="38" customFormat="1" ht="15.75" thickBot="1" x14ac:dyDescent="0.3">
      <c r="A197" s="38" t="str">
        <f t="shared" ca="1" si="3"/>
        <v>t_prodprod_name</v>
      </c>
      <c r="B197" s="38" t="s">
        <v>715</v>
      </c>
      <c r="C197" s="38" t="s">
        <v>976</v>
      </c>
      <c r="D197" s="38" t="s">
        <v>157</v>
      </c>
      <c r="E197" s="38" t="b">
        <v>0</v>
      </c>
      <c r="F197" s="38" t="b">
        <v>0</v>
      </c>
      <c r="G197" s="38" t="b">
        <v>0</v>
      </c>
      <c r="I197" s="38" t="s">
        <v>977</v>
      </c>
    </row>
    <row r="198" spans="1:9" x14ac:dyDescent="0.25">
      <c r="A198" s="36" t="str">
        <f t="shared" ca="1" si="3"/>
        <v>t_prod$dulprod_id</v>
      </c>
      <c r="B198" s="36" t="s">
        <v>716</v>
      </c>
      <c r="C198" s="36" t="s">
        <v>763</v>
      </c>
      <c r="D198" s="36" t="s">
        <v>160</v>
      </c>
      <c r="E198" s="36" t="b">
        <v>1</v>
      </c>
      <c r="F198" s="36" t="b">
        <v>1</v>
      </c>
      <c r="G198" s="36" t="b">
        <v>1</v>
      </c>
      <c r="H198" s="36" t="s">
        <v>764</v>
      </c>
      <c r="I198" s="36" t="s">
        <v>765</v>
      </c>
    </row>
    <row r="199" spans="1:9" x14ac:dyDescent="0.25">
      <c r="A199" s="36" t="str">
        <f t="shared" ca="1" si="3"/>
        <v>t_prod$duldul$condition_cd</v>
      </c>
      <c r="B199" s="36" t="s">
        <v>716</v>
      </c>
      <c r="C199" s="36" t="s">
        <v>978</v>
      </c>
      <c r="D199" s="36" t="s">
        <v>157</v>
      </c>
      <c r="E199" s="36" t="b">
        <v>0</v>
      </c>
      <c r="F199" s="36" t="b">
        <v>0</v>
      </c>
      <c r="G199" s="36" t="b">
        <v>0</v>
      </c>
      <c r="I199" s="36" t="s">
        <v>569</v>
      </c>
    </row>
    <row r="200" spans="1:9" x14ac:dyDescent="0.25">
      <c r="A200" s="36" t="str">
        <f t="shared" ca="1" si="3"/>
        <v>t_prod$duldul$partial_recallable_flag</v>
      </c>
      <c r="B200" s="36" t="s">
        <v>716</v>
      </c>
      <c r="C200" s="36" t="s">
        <v>980</v>
      </c>
      <c r="D200" s="36" t="s">
        <v>157</v>
      </c>
      <c r="E200" s="36" t="b">
        <v>0</v>
      </c>
      <c r="F200" s="36" t="b">
        <v>0</v>
      </c>
      <c r="G200" s="36" t="b">
        <v>0</v>
      </c>
      <c r="I200" s="36" t="s">
        <v>1579</v>
      </c>
    </row>
    <row r="201" spans="1:9" x14ac:dyDescent="0.25">
      <c r="A201" s="36" t="str">
        <f t="shared" ca="1" si="3"/>
        <v>t_prod$duldul$recallable_flag</v>
      </c>
      <c r="B201" s="36" t="s">
        <v>716</v>
      </c>
      <c r="C201" s="36" t="s">
        <v>979</v>
      </c>
      <c r="D201" s="36" t="s">
        <v>157</v>
      </c>
      <c r="E201" s="36" t="b">
        <v>0</v>
      </c>
      <c r="F201" s="36" t="b">
        <v>0</v>
      </c>
      <c r="G201" s="36" t="b">
        <v>0</v>
      </c>
      <c r="I201" s="36" t="s">
        <v>653</v>
      </c>
    </row>
    <row r="202" spans="1:9" x14ac:dyDescent="0.25">
      <c r="A202" s="36" t="str">
        <f t="shared" ca="1" si="3"/>
        <v>t_prod$duldul$replenishable_flag</v>
      </c>
      <c r="B202" s="36" t="s">
        <v>716</v>
      </c>
      <c r="C202" s="36" t="s">
        <v>981</v>
      </c>
      <c r="D202" s="36" t="s">
        <v>157</v>
      </c>
      <c r="E202" s="36" t="b">
        <v>0</v>
      </c>
      <c r="F202" s="36" t="b">
        <v>0</v>
      </c>
      <c r="G202" s="36" t="b">
        <v>0</v>
      </c>
      <c r="I202" s="36" t="s">
        <v>566</v>
      </c>
    </row>
    <row r="203" spans="1:9" s="38" customFormat="1" ht="15.75" thickBot="1" x14ac:dyDescent="0.3">
      <c r="A203" s="38" t="str">
        <f t="shared" ca="1" si="3"/>
        <v>t_prod$duldul$structural_flag</v>
      </c>
      <c r="B203" s="38" t="s">
        <v>716</v>
      </c>
      <c r="C203" s="38" t="s">
        <v>982</v>
      </c>
      <c r="D203" s="38" t="s">
        <v>157</v>
      </c>
      <c r="E203" s="38" t="b">
        <v>0</v>
      </c>
      <c r="F203" s="38" t="b">
        <v>0</v>
      </c>
      <c r="G203" s="38" t="b">
        <v>0</v>
      </c>
      <c r="I203" s="38" t="s">
        <v>983</v>
      </c>
    </row>
    <row r="204" spans="1:9" x14ac:dyDescent="0.25">
      <c r="A204" s="36" t="str">
        <f t="shared" ca="1" si="3"/>
        <v>t_rate_rulerate_rule_id</v>
      </c>
      <c r="B204" s="36" t="s">
        <v>718</v>
      </c>
      <c r="C204" s="36" t="s">
        <v>813</v>
      </c>
      <c r="D204" s="36" t="s">
        <v>160</v>
      </c>
      <c r="E204" s="36" t="b">
        <v>1</v>
      </c>
      <c r="F204" s="36" t="b">
        <v>1</v>
      </c>
      <c r="G204" s="36" t="b">
        <v>0</v>
      </c>
      <c r="I204" s="36" t="s">
        <v>815</v>
      </c>
    </row>
    <row r="205" spans="1:9" x14ac:dyDescent="0.25">
      <c r="A205" s="36" t="str">
        <f t="shared" ca="1" si="3"/>
        <v>t_rate_rulevisibility_start_dt</v>
      </c>
      <c r="B205" s="36" t="s">
        <v>718</v>
      </c>
      <c r="C205" s="36" t="s">
        <v>984</v>
      </c>
      <c r="D205" s="36" t="s">
        <v>750</v>
      </c>
      <c r="E205" s="36" t="b">
        <v>0</v>
      </c>
      <c r="F205" s="36" t="b">
        <v>0</v>
      </c>
      <c r="G205" s="36" t="b">
        <v>0</v>
      </c>
      <c r="I205" s="36" t="s">
        <v>985</v>
      </c>
    </row>
    <row r="206" spans="1:9" x14ac:dyDescent="0.25">
      <c r="A206" s="36" t="str">
        <f t="shared" ca="1" si="3"/>
        <v>t_rate_rulehost_rate_rule_id</v>
      </c>
      <c r="B206" s="36" t="s">
        <v>718</v>
      </c>
      <c r="C206" s="36" t="s">
        <v>986</v>
      </c>
      <c r="D206" s="36" t="s">
        <v>157</v>
      </c>
      <c r="E206" s="36" t="b">
        <v>0</v>
      </c>
      <c r="F206" s="36" t="b">
        <v>0</v>
      </c>
      <c r="G206" s="36" t="b">
        <v>0</v>
      </c>
      <c r="I206" s="36" t="s">
        <v>987</v>
      </c>
    </row>
    <row r="207" spans="1:9" s="38" customFormat="1" ht="15.75" thickBot="1" x14ac:dyDescent="0.3">
      <c r="A207" s="38" t="str">
        <f t="shared" ca="1" si="3"/>
        <v>t_rate_ruletariff_type_id</v>
      </c>
      <c r="B207" s="38" t="s">
        <v>718</v>
      </c>
      <c r="C207" s="38" t="s">
        <v>988</v>
      </c>
      <c r="D207" s="38" t="s">
        <v>160</v>
      </c>
      <c r="E207" s="38" t="b">
        <v>0</v>
      </c>
      <c r="F207" s="38" t="b">
        <v>0</v>
      </c>
      <c r="G207" s="38" t="b">
        <v>1</v>
      </c>
      <c r="H207" s="38" t="s">
        <v>989</v>
      </c>
      <c r="I207" s="38" t="s">
        <v>990</v>
      </c>
    </row>
    <row r="208" spans="1:9" x14ac:dyDescent="0.25">
      <c r="A208" s="36" t="str">
        <f t="shared" ca="1" si="3"/>
        <v>t_rate_rule_paramrate_rule_param_id</v>
      </c>
      <c r="B208" s="36" t="s">
        <v>720</v>
      </c>
      <c r="C208" s="36" t="s">
        <v>991</v>
      </c>
      <c r="D208" s="36" t="s">
        <v>160</v>
      </c>
      <c r="E208" s="36" t="b">
        <v>1</v>
      </c>
      <c r="F208" s="36" t="b">
        <v>1</v>
      </c>
      <c r="G208" s="36" t="b">
        <v>0</v>
      </c>
      <c r="I208" s="36" t="s">
        <v>992</v>
      </c>
    </row>
    <row r="209" spans="1:9" x14ac:dyDescent="0.25">
      <c r="A209" s="36" t="str">
        <f t="shared" ca="1" si="3"/>
        <v>t_rate_rule_paramagr_dep_rate</v>
      </c>
      <c r="B209" s="36" t="s">
        <v>720</v>
      </c>
      <c r="C209" s="36" t="s">
        <v>993</v>
      </c>
      <c r="D209" s="36" t="s">
        <v>793</v>
      </c>
      <c r="E209" s="36" t="b">
        <v>0</v>
      </c>
      <c r="F209" s="36" t="b">
        <v>0</v>
      </c>
      <c r="G209" s="36" t="b">
        <v>0</v>
      </c>
      <c r="I209" s="36" t="s">
        <v>994</v>
      </c>
    </row>
    <row r="210" spans="1:9" x14ac:dyDescent="0.25">
      <c r="A210" s="36" t="str">
        <f t="shared" ca="1" si="3"/>
        <v>t_rate_rule_paramamount_val</v>
      </c>
      <c r="B210" s="36" t="s">
        <v>720</v>
      </c>
      <c r="C210" s="36" t="s">
        <v>995</v>
      </c>
      <c r="D210" s="36" t="s">
        <v>793</v>
      </c>
      <c r="E210" s="36" t="b">
        <v>0</v>
      </c>
      <c r="F210" s="36" t="b">
        <v>0</v>
      </c>
      <c r="G210" s="36" t="b">
        <v>0</v>
      </c>
      <c r="I210" s="36" t="s">
        <v>996</v>
      </c>
    </row>
    <row r="211" spans="1:9" x14ac:dyDescent="0.25">
      <c r="A211" s="36" t="str">
        <f t="shared" ca="1" si="3"/>
        <v>t_rate_rule_paramcap_rate</v>
      </c>
      <c r="B211" s="36" t="s">
        <v>720</v>
      </c>
      <c r="C211" s="36" t="s">
        <v>997</v>
      </c>
      <c r="D211" s="36" t="s">
        <v>793</v>
      </c>
      <c r="E211" s="36" t="b">
        <v>0</v>
      </c>
      <c r="F211" s="36" t="b">
        <v>0</v>
      </c>
      <c r="G211" s="36" t="b">
        <v>0</v>
      </c>
      <c r="I211" s="36" t="s">
        <v>998</v>
      </c>
    </row>
    <row r="212" spans="1:9" x14ac:dyDescent="0.25">
      <c r="A212" s="36" t="str">
        <f t="shared" ca="1" si="3"/>
        <v>t_rate_rule_paramfloor_rate</v>
      </c>
      <c r="B212" s="36" t="s">
        <v>720</v>
      </c>
      <c r="C212" s="36" t="s">
        <v>999</v>
      </c>
      <c r="D212" s="36" t="s">
        <v>793</v>
      </c>
      <c r="E212" s="36" t="b">
        <v>0</v>
      </c>
      <c r="F212" s="36" t="b">
        <v>0</v>
      </c>
      <c r="G212" s="36" t="b">
        <v>0</v>
      </c>
      <c r="I212" s="36" t="s">
        <v>1000</v>
      </c>
    </row>
    <row r="213" spans="1:9" x14ac:dyDescent="0.25">
      <c r="A213" s="36" t="str">
        <f t="shared" ca="1" si="3"/>
        <v>t_rate_rule_paramhost_rate_rule_param_id</v>
      </c>
      <c r="B213" s="36" t="s">
        <v>720</v>
      </c>
      <c r="C213" s="36" t="s">
        <v>1001</v>
      </c>
      <c r="D213" s="36" t="s">
        <v>157</v>
      </c>
      <c r="E213" s="36" t="b">
        <v>0</v>
      </c>
      <c r="F213" s="36" t="b">
        <v>0</v>
      </c>
      <c r="G213" s="36" t="b">
        <v>0</v>
      </c>
      <c r="I213" s="36" t="s">
        <v>1002</v>
      </c>
    </row>
    <row r="214" spans="1:9" x14ac:dyDescent="0.25">
      <c r="A214" s="36" t="str">
        <f t="shared" ca="1" si="3"/>
        <v>t_rate_rule_parammkt_idx_id</v>
      </c>
      <c r="B214" s="36" t="s">
        <v>720</v>
      </c>
      <c r="C214" s="36" t="s">
        <v>935</v>
      </c>
      <c r="D214" s="36" t="s">
        <v>160</v>
      </c>
      <c r="E214" s="36" t="b">
        <v>0</v>
      </c>
      <c r="F214" s="36" t="b">
        <v>0</v>
      </c>
      <c r="G214" s="36" t="b">
        <v>1</v>
      </c>
      <c r="H214" s="36" t="s">
        <v>1003</v>
      </c>
      <c r="I214" s="36" t="s">
        <v>1004</v>
      </c>
    </row>
    <row r="215" spans="1:9" x14ac:dyDescent="0.25">
      <c r="A215" s="36" t="str">
        <f t="shared" ca="1" si="3"/>
        <v>t_rate_rule_paramoperation_cd</v>
      </c>
      <c r="B215" s="36" t="s">
        <v>720</v>
      </c>
      <c r="C215" s="36" t="s">
        <v>1005</v>
      </c>
      <c r="D215" s="36" t="s">
        <v>157</v>
      </c>
      <c r="E215" s="36" t="b">
        <v>0</v>
      </c>
      <c r="F215" s="36" t="b">
        <v>0</v>
      </c>
      <c r="G215" s="36" t="b">
        <v>0</v>
      </c>
      <c r="I215" s="36" t="s">
        <v>1006</v>
      </c>
    </row>
    <row r="216" spans="1:9" x14ac:dyDescent="0.25">
      <c r="A216" s="36" t="str">
        <f t="shared" ca="1" si="3"/>
        <v>t_rate_rule_paramrate_rule_id</v>
      </c>
      <c r="B216" s="36" t="s">
        <v>720</v>
      </c>
      <c r="C216" s="36" t="s">
        <v>813</v>
      </c>
      <c r="D216" s="36" t="s">
        <v>160</v>
      </c>
      <c r="E216" s="36" t="b">
        <v>0</v>
      </c>
      <c r="F216" s="36" t="b">
        <v>0</v>
      </c>
      <c r="G216" s="36" t="b">
        <v>1</v>
      </c>
      <c r="H216" s="36" t="s">
        <v>814</v>
      </c>
      <c r="I216" s="36" t="s">
        <v>815</v>
      </c>
    </row>
    <row r="217" spans="1:9" x14ac:dyDescent="0.25">
      <c r="A217" s="36" t="str">
        <f t="shared" ca="1" si="3"/>
        <v>t_rate_rule_paramratio_val</v>
      </c>
      <c r="B217" s="36" t="s">
        <v>720</v>
      </c>
      <c r="C217" s="36" t="s">
        <v>1007</v>
      </c>
      <c r="D217" s="36" t="s">
        <v>793</v>
      </c>
      <c r="E217" s="36" t="b">
        <v>0</v>
      </c>
      <c r="F217" s="36" t="b">
        <v>0</v>
      </c>
      <c r="G217" s="36" t="b">
        <v>0</v>
      </c>
      <c r="I217" s="36" t="s">
        <v>1008</v>
      </c>
    </row>
    <row r="218" spans="1:9" s="38" customFormat="1" ht="15.75" thickBot="1" x14ac:dyDescent="0.3">
      <c r="A218" s="38" t="str">
        <f t="shared" ca="1" si="3"/>
        <v>t_rate_rule_paramterm_val</v>
      </c>
      <c r="B218" s="38" t="s">
        <v>720</v>
      </c>
      <c r="C218" s="38" t="s">
        <v>1009</v>
      </c>
      <c r="D218" s="38" t="s">
        <v>369</v>
      </c>
      <c r="E218" s="38" t="b">
        <v>0</v>
      </c>
      <c r="F218" s="38" t="b">
        <v>0</v>
      </c>
      <c r="G218" s="38" t="b">
        <v>0</v>
      </c>
      <c r="I218" s="38" t="s">
        <v>1010</v>
      </c>
    </row>
    <row r="219" spans="1:9" x14ac:dyDescent="0.25">
      <c r="A219" s="36" t="str">
        <f t="shared" ca="1" si="3"/>
        <v>t_rate_typerate_type_id</v>
      </c>
      <c r="B219" s="36" t="s">
        <v>722</v>
      </c>
      <c r="C219" s="36" t="s">
        <v>816</v>
      </c>
      <c r="D219" s="36" t="s">
        <v>160</v>
      </c>
      <c r="E219" s="36" t="b">
        <v>1</v>
      </c>
      <c r="F219" s="36" t="b">
        <v>1</v>
      </c>
      <c r="G219" s="36" t="b">
        <v>0</v>
      </c>
      <c r="I219" s="36" t="s">
        <v>818</v>
      </c>
    </row>
    <row r="220" spans="1:9" x14ac:dyDescent="0.25">
      <c r="A220" s="36" t="str">
        <f t="shared" ca="1" si="3"/>
        <v>t_rate_typehost_rate_type_id</v>
      </c>
      <c r="B220" s="36" t="s">
        <v>722</v>
      </c>
      <c r="C220" s="36" t="s">
        <v>1011</v>
      </c>
      <c r="D220" s="36" t="s">
        <v>157</v>
      </c>
      <c r="E220" s="36" t="b">
        <v>0</v>
      </c>
      <c r="F220" s="36" t="b">
        <v>0</v>
      </c>
      <c r="G220" s="36" t="b">
        <v>0</v>
      </c>
      <c r="I220" s="36" t="s">
        <v>1012</v>
      </c>
    </row>
    <row r="221" spans="1:9" s="38" customFormat="1" ht="15.75" thickBot="1" x14ac:dyDescent="0.3">
      <c r="A221" s="38" t="str">
        <f t="shared" ca="1" si="3"/>
        <v>t_rate_typerate_type_desc</v>
      </c>
      <c r="B221" s="38" t="s">
        <v>722</v>
      </c>
      <c r="C221" s="38" t="s">
        <v>1013</v>
      </c>
      <c r="D221" s="38" t="s">
        <v>157</v>
      </c>
      <c r="E221" s="38" t="b">
        <v>0</v>
      </c>
      <c r="F221" s="38" t="b">
        <v>0</v>
      </c>
      <c r="G221" s="38" t="b">
        <v>0</v>
      </c>
      <c r="I221" s="38" t="s">
        <v>1014</v>
      </c>
    </row>
    <row r="222" spans="1:9" x14ac:dyDescent="0.25">
      <c r="A222" s="36" t="str">
        <f t="shared" ca="1" si="3"/>
        <v>t_registryregistry_id</v>
      </c>
      <c r="B222" s="36" t="s">
        <v>724</v>
      </c>
      <c r="C222" s="36" t="s">
        <v>964</v>
      </c>
      <c r="D222" s="36" t="s">
        <v>160</v>
      </c>
      <c r="E222" s="36" t="b">
        <v>1</v>
      </c>
      <c r="F222" s="36" t="b">
        <v>1</v>
      </c>
      <c r="G222" s="36" t="b">
        <v>0</v>
      </c>
      <c r="I222" s="36" t="s">
        <v>966</v>
      </c>
    </row>
    <row r="223" spans="1:9" x14ac:dyDescent="0.25">
      <c r="A223" s="36" t="str">
        <f t="shared" ca="1" si="3"/>
        <v>t_registrystart_dt</v>
      </c>
      <c r="B223" s="36" t="s">
        <v>724</v>
      </c>
      <c r="C223" s="36" t="s">
        <v>785</v>
      </c>
      <c r="D223" s="36" t="s">
        <v>750</v>
      </c>
      <c r="E223" s="36" t="b">
        <v>0</v>
      </c>
      <c r="F223" s="36" t="b">
        <v>0</v>
      </c>
      <c r="G223" s="36" t="b">
        <v>0</v>
      </c>
      <c r="I223" s="36" t="s">
        <v>1015</v>
      </c>
    </row>
    <row r="224" spans="1:9" x14ac:dyDescent="0.25">
      <c r="A224" s="36" t="str">
        <f t="shared" ca="1" si="3"/>
        <v>t_registryend_dt</v>
      </c>
      <c r="B224" s="36" t="s">
        <v>724</v>
      </c>
      <c r="C224" s="36" t="s">
        <v>787</v>
      </c>
      <c r="D224" s="36" t="s">
        <v>750</v>
      </c>
      <c r="E224" s="36" t="b">
        <v>0</v>
      </c>
      <c r="F224" s="36" t="b">
        <v>0</v>
      </c>
      <c r="G224" s="36" t="b">
        <v>0</v>
      </c>
      <c r="I224" s="36" t="s">
        <v>1017</v>
      </c>
    </row>
    <row r="225" spans="1:9" x14ac:dyDescent="0.25">
      <c r="A225" s="36" t="str">
        <f t="shared" ca="1" si="3"/>
        <v>t_registryagr_dep_id</v>
      </c>
      <c r="B225" s="36" t="s">
        <v>724</v>
      </c>
      <c r="C225" s="36" t="s">
        <v>737</v>
      </c>
      <c r="D225" s="36" t="s">
        <v>160</v>
      </c>
      <c r="E225" s="36" t="b">
        <v>0</v>
      </c>
      <c r="F225" s="36" t="b">
        <v>0</v>
      </c>
      <c r="G225" s="36" t="b">
        <v>1</v>
      </c>
      <c r="H225" s="36" t="s">
        <v>770</v>
      </c>
      <c r="I225" s="36" t="s">
        <v>738</v>
      </c>
    </row>
    <row r="226" spans="1:9" x14ac:dyDescent="0.25">
      <c r="A226" s="36" t="str">
        <f t="shared" ca="1" si="3"/>
        <v>t_registrycoa_num</v>
      </c>
      <c r="B226" s="36" t="s">
        <v>724</v>
      </c>
      <c r="C226" s="36" t="s">
        <v>1018</v>
      </c>
      <c r="D226" s="36" t="s">
        <v>157</v>
      </c>
      <c r="E226" s="36" t="b">
        <v>0</v>
      </c>
      <c r="F226" s="36" t="b">
        <v>0</v>
      </c>
      <c r="G226" s="36" t="b">
        <v>0</v>
      </c>
      <c r="I226" s="36" t="s">
        <v>1019</v>
      </c>
    </row>
    <row r="227" spans="1:9" x14ac:dyDescent="0.25">
      <c r="A227" s="36" t="str">
        <f t="shared" ca="1" si="3"/>
        <v>t_registryhost_registry_id</v>
      </c>
      <c r="B227" s="36" t="s">
        <v>724</v>
      </c>
      <c r="C227" s="36" t="s">
        <v>1020</v>
      </c>
      <c r="D227" s="36" t="s">
        <v>157</v>
      </c>
      <c r="E227" s="36" t="b">
        <v>0</v>
      </c>
      <c r="F227" s="36" t="b">
        <v>0</v>
      </c>
      <c r="G227" s="36" t="b">
        <v>0</v>
      </c>
      <c r="I227" s="36" t="s">
        <v>1021</v>
      </c>
    </row>
    <row r="228" spans="1:9" x14ac:dyDescent="0.25">
      <c r="A228" s="36" t="str">
        <f t="shared" ca="1" si="3"/>
        <v>t_registryprnt_registry_id</v>
      </c>
      <c r="B228" s="36" t="s">
        <v>724</v>
      </c>
      <c r="C228" s="36" t="s">
        <v>1016</v>
      </c>
      <c r="D228" s="36" t="s">
        <v>160</v>
      </c>
      <c r="E228" s="36" t="b">
        <v>0</v>
      </c>
      <c r="F228" s="36" t="b">
        <v>0</v>
      </c>
      <c r="G228" s="36" t="b">
        <v>1</v>
      </c>
      <c r="H228" s="36" t="s">
        <v>965</v>
      </c>
      <c r="I228" s="36" t="s">
        <v>1580</v>
      </c>
    </row>
    <row r="229" spans="1:9" s="38" customFormat="1" ht="15.75" thickBot="1" x14ac:dyDescent="0.3">
      <c r="A229" s="38" t="str">
        <f t="shared" ca="1" si="3"/>
        <v>t_registryregistry_type_id</v>
      </c>
      <c r="B229" s="38" t="s">
        <v>724</v>
      </c>
      <c r="C229" s="38" t="s">
        <v>1022</v>
      </c>
      <c r="D229" s="38" t="s">
        <v>160</v>
      </c>
      <c r="E229" s="38" t="b">
        <v>0</v>
      </c>
      <c r="F229" s="38" t="b">
        <v>0</v>
      </c>
      <c r="G229" s="38" t="b">
        <v>1</v>
      </c>
      <c r="H229" s="38" t="s">
        <v>1023</v>
      </c>
      <c r="I229" s="38" t="s">
        <v>1024</v>
      </c>
    </row>
    <row r="230" spans="1:9" x14ac:dyDescent="0.25">
      <c r="A230" s="36" t="str">
        <f t="shared" ca="1" si="3"/>
        <v>t_registry_sttsregistry_id</v>
      </c>
      <c r="B230" s="36" t="s">
        <v>726</v>
      </c>
      <c r="C230" s="36" t="s">
        <v>964</v>
      </c>
      <c r="D230" s="36" t="s">
        <v>160</v>
      </c>
      <c r="E230" s="36" t="b">
        <v>1</v>
      </c>
      <c r="F230" s="36" t="b">
        <v>1</v>
      </c>
      <c r="G230" s="36" t="b">
        <v>1</v>
      </c>
      <c r="H230" s="36" t="s">
        <v>965</v>
      </c>
      <c r="I230" s="36" t="s">
        <v>966</v>
      </c>
    </row>
    <row r="231" spans="1:9" x14ac:dyDescent="0.25">
      <c r="A231" s="36" t="str">
        <f t="shared" ca="1" si="3"/>
        <v>t_registry_sttsstart_dt</v>
      </c>
      <c r="B231" s="36" t="s">
        <v>726</v>
      </c>
      <c r="C231" s="36" t="s">
        <v>785</v>
      </c>
      <c r="D231" s="36" t="s">
        <v>750</v>
      </c>
      <c r="E231" s="36" t="b">
        <v>1</v>
      </c>
      <c r="F231" s="36" t="b">
        <v>1</v>
      </c>
      <c r="G231" s="36" t="b">
        <v>0</v>
      </c>
      <c r="I231" s="36" t="s">
        <v>786</v>
      </c>
    </row>
    <row r="232" spans="1:9" x14ac:dyDescent="0.25">
      <c r="A232" s="36" t="str">
        <f t="shared" ca="1" si="3"/>
        <v>t_registry_sttsend_dt</v>
      </c>
      <c r="B232" s="36" t="s">
        <v>726</v>
      </c>
      <c r="C232" s="36" t="s">
        <v>787</v>
      </c>
      <c r="D232" s="36" t="s">
        <v>750</v>
      </c>
      <c r="E232" s="36" t="b">
        <v>0</v>
      </c>
      <c r="F232" s="36" t="b">
        <v>0</v>
      </c>
      <c r="G232" s="36" t="b">
        <v>0</v>
      </c>
      <c r="I232" s="36" t="s">
        <v>788</v>
      </c>
    </row>
    <row r="233" spans="1:9" s="38" customFormat="1" ht="15.75" thickBot="1" x14ac:dyDescent="0.3">
      <c r="A233" s="38" t="str">
        <f t="shared" ca="1" si="3"/>
        <v>t_registry_sttsregistry_stts_id</v>
      </c>
      <c r="B233" s="38" t="s">
        <v>726</v>
      </c>
      <c r="C233" s="38" t="s">
        <v>1025</v>
      </c>
      <c r="D233" s="38" t="s">
        <v>160</v>
      </c>
      <c r="E233" s="38" t="b">
        <v>0</v>
      </c>
      <c r="F233" s="38" t="b">
        <v>0</v>
      </c>
      <c r="G233" s="38" t="b">
        <v>1</v>
      </c>
      <c r="H233" s="38" t="s">
        <v>820</v>
      </c>
      <c r="I233" s="38" t="s">
        <v>821</v>
      </c>
    </row>
    <row r="234" spans="1:9" x14ac:dyDescent="0.25">
      <c r="A234" s="36" t="str">
        <f t="shared" ca="1" si="3"/>
        <v>t_registry_typeregistry_type_id</v>
      </c>
      <c r="B234" s="36" t="s">
        <v>728</v>
      </c>
      <c r="C234" s="36" t="s">
        <v>1022</v>
      </c>
      <c r="D234" s="36" t="s">
        <v>160</v>
      </c>
      <c r="E234" s="36" t="b">
        <v>1</v>
      </c>
      <c r="F234" s="36" t="b">
        <v>1</v>
      </c>
      <c r="G234" s="36" t="b">
        <v>0</v>
      </c>
      <c r="I234" s="36" t="s">
        <v>1026</v>
      </c>
    </row>
    <row r="235" spans="1:9" x14ac:dyDescent="0.25">
      <c r="A235" s="36" t="str">
        <f t="shared" ca="1" si="3"/>
        <v>t_registry_typehost_registry_type_id</v>
      </c>
      <c r="B235" s="36" t="s">
        <v>728</v>
      </c>
      <c r="C235" s="36" t="s">
        <v>1027</v>
      </c>
      <c r="D235" s="36" t="s">
        <v>157</v>
      </c>
      <c r="E235" s="36" t="b">
        <v>0</v>
      </c>
      <c r="F235" s="36" t="b">
        <v>0</v>
      </c>
      <c r="G235" s="36" t="b">
        <v>0</v>
      </c>
      <c r="I235" s="36" t="s">
        <v>1028</v>
      </c>
    </row>
    <row r="236" spans="1:9" x14ac:dyDescent="0.25">
      <c r="A236" s="36" t="str">
        <f t="shared" ca="1" si="3"/>
        <v>t_registry_typeregistry_type_cd</v>
      </c>
      <c r="B236" s="36" t="s">
        <v>728</v>
      </c>
      <c r="C236" s="36" t="s">
        <v>1029</v>
      </c>
      <c r="D236" s="36" t="s">
        <v>157</v>
      </c>
      <c r="E236" s="36" t="b">
        <v>0</v>
      </c>
      <c r="F236" s="36" t="b">
        <v>0</v>
      </c>
      <c r="G236" s="36" t="b">
        <v>0</v>
      </c>
      <c r="I236" s="36" t="s">
        <v>1030</v>
      </c>
    </row>
    <row r="237" spans="1:9" s="38" customFormat="1" ht="15.75" thickBot="1" x14ac:dyDescent="0.3">
      <c r="A237" s="38" t="str">
        <f t="shared" ca="1" si="3"/>
        <v>t_registry_typeregistry_type_desc</v>
      </c>
      <c r="B237" s="38" t="s">
        <v>728</v>
      </c>
      <c r="C237" s="38" t="s">
        <v>1031</v>
      </c>
      <c r="D237" s="38" t="s">
        <v>157</v>
      </c>
      <c r="E237" s="38" t="b">
        <v>0</v>
      </c>
      <c r="F237" s="38" t="b">
        <v>0</v>
      </c>
      <c r="G237" s="38" t="b">
        <v>0</v>
      </c>
      <c r="I237" s="38" t="s">
        <v>1032</v>
      </c>
    </row>
    <row r="238" spans="1:9" x14ac:dyDescent="0.25">
      <c r="A238" s="36" t="str">
        <f t="shared" ca="1" si="3"/>
        <v>t_tariff_typetariff_type_id</v>
      </c>
      <c r="B238" s="36" t="s">
        <v>730</v>
      </c>
      <c r="C238" s="36" t="s">
        <v>988</v>
      </c>
      <c r="D238" s="36" t="s">
        <v>160</v>
      </c>
      <c r="E238" s="36" t="b">
        <v>1</v>
      </c>
      <c r="F238" s="36" t="b">
        <v>1</v>
      </c>
      <c r="G238" s="36" t="b">
        <v>0</v>
      </c>
      <c r="I238" s="36" t="s">
        <v>990</v>
      </c>
    </row>
    <row r="239" spans="1:9" x14ac:dyDescent="0.25">
      <c r="A239" s="36" t="str">
        <f t="shared" ca="1" si="3"/>
        <v>t_tariff_typehost_tariff_type_id</v>
      </c>
      <c r="B239" s="36" t="s">
        <v>730</v>
      </c>
      <c r="C239" s="36" t="s">
        <v>1033</v>
      </c>
      <c r="D239" s="36" t="s">
        <v>157</v>
      </c>
      <c r="E239" s="36" t="b">
        <v>0</v>
      </c>
      <c r="F239" s="36" t="b">
        <v>0</v>
      </c>
      <c r="G239" s="36" t="b">
        <v>0</v>
      </c>
      <c r="I239" s="36" t="s">
        <v>1034</v>
      </c>
    </row>
    <row r="240" spans="1:9" x14ac:dyDescent="0.25">
      <c r="A240" s="36" t="str">
        <f t="shared" ca="1" si="3"/>
        <v>t_tariff_typetariff_type_cd</v>
      </c>
      <c r="B240" s="36" t="s">
        <v>730</v>
      </c>
      <c r="C240" s="36" t="s">
        <v>1035</v>
      </c>
      <c r="D240" s="36" t="s">
        <v>157</v>
      </c>
      <c r="E240" s="36" t="b">
        <v>0</v>
      </c>
      <c r="F240" s="36" t="b">
        <v>0</v>
      </c>
      <c r="G240" s="36" t="b">
        <v>0</v>
      </c>
      <c r="I240" s="36" t="s">
        <v>1036</v>
      </c>
    </row>
    <row r="241" spans="1:9" s="38" customFormat="1" ht="15.75" thickBot="1" x14ac:dyDescent="0.3">
      <c r="A241" s="38" t="str">
        <f t="shared" ca="1" si="3"/>
        <v>t_tariff_typetariff_type_desc</v>
      </c>
      <c r="B241" s="38" t="s">
        <v>730</v>
      </c>
      <c r="C241" s="38" t="s">
        <v>1037</v>
      </c>
      <c r="D241" s="38" t="s">
        <v>157</v>
      </c>
      <c r="E241" s="38" t="b">
        <v>0</v>
      </c>
      <c r="F241" s="38" t="b">
        <v>0</v>
      </c>
      <c r="G241" s="38" t="b">
        <v>0</v>
      </c>
      <c r="I241" s="38" t="s">
        <v>1038</v>
      </c>
    </row>
    <row r="242" spans="1:9" x14ac:dyDescent="0.25">
      <c r="A242" s="36" t="str">
        <f t="shared" ca="1" si="3"/>
        <v>t_time_period_typetime_period_type_id</v>
      </c>
      <c r="B242" s="36" t="s">
        <v>732</v>
      </c>
      <c r="C242" s="36" t="s">
        <v>1039</v>
      </c>
      <c r="D242" s="36" t="s">
        <v>160</v>
      </c>
      <c r="E242" s="36" t="b">
        <v>1</v>
      </c>
      <c r="F242" s="36" t="b">
        <v>1</v>
      </c>
      <c r="G242" s="36" t="b">
        <v>0</v>
      </c>
      <c r="I242" s="36" t="s">
        <v>1040</v>
      </c>
    </row>
    <row r="243" spans="1:9" x14ac:dyDescent="0.25">
      <c r="A243" s="36" t="str">
        <f t="shared" ca="1" si="3"/>
        <v>t_time_period_typehost_time_period_type_id</v>
      </c>
      <c r="B243" s="36" t="s">
        <v>732</v>
      </c>
      <c r="C243" s="36" t="s">
        <v>1041</v>
      </c>
      <c r="D243" s="36" t="s">
        <v>157</v>
      </c>
      <c r="E243" s="36" t="b">
        <v>0</v>
      </c>
      <c r="F243" s="36" t="b">
        <v>0</v>
      </c>
      <c r="G243" s="36" t="b">
        <v>0</v>
      </c>
      <c r="I243" s="36" t="s">
        <v>1042</v>
      </c>
    </row>
    <row r="244" spans="1:9" x14ac:dyDescent="0.25">
      <c r="A244" s="36" t="str">
        <f t="shared" ca="1" si="3"/>
        <v>t_time_period_typetime_period_type_cd</v>
      </c>
      <c r="B244" s="36" t="s">
        <v>732</v>
      </c>
      <c r="C244" s="36" t="s">
        <v>1043</v>
      </c>
      <c r="D244" s="36" t="s">
        <v>157</v>
      </c>
      <c r="E244" s="36" t="b">
        <v>0</v>
      </c>
      <c r="F244" s="36" t="b">
        <v>0</v>
      </c>
      <c r="G244" s="36" t="b">
        <v>0</v>
      </c>
      <c r="I244" s="36" t="s">
        <v>1044</v>
      </c>
    </row>
    <row r="245" spans="1:9" s="38" customFormat="1" ht="15.75" thickBot="1" x14ac:dyDescent="0.3">
      <c r="A245" s="38" t="str">
        <f t="shared" ca="1" si="3"/>
        <v>t_time_period_typetime_period_type_name</v>
      </c>
      <c r="B245" s="38" t="s">
        <v>732</v>
      </c>
      <c r="C245" s="38" t="s">
        <v>1045</v>
      </c>
      <c r="D245" s="38" t="s">
        <v>157</v>
      </c>
      <c r="E245" s="38" t="b">
        <v>0</v>
      </c>
      <c r="F245" s="38" t="b">
        <v>0</v>
      </c>
      <c r="G245" s="38" t="b">
        <v>0</v>
      </c>
      <c r="I245" s="38" t="s">
        <v>1046</v>
      </c>
    </row>
  </sheetData>
  <conditionalFormatting sqref="E1:E245">
    <cfRule type="cellIs" dxfId="157" priority="3" operator="equal">
      <formula>TRUE</formula>
    </cfRule>
  </conditionalFormatting>
  <conditionalFormatting sqref="F1:F24 F26:F245">
    <cfRule type="cellIs" dxfId="156" priority="4" operator="equal">
      <formula>TRUE</formula>
    </cfRule>
  </conditionalFormatting>
  <conditionalFormatting sqref="G1:G24 G26:G245">
    <cfRule type="cellIs" dxfId="155" priority="5" operator="equal">
      <formula>TRUE</formula>
    </cfRule>
  </conditionalFormatting>
  <conditionalFormatting sqref="F25">
    <cfRule type="cellIs" dxfId="154" priority="2" operator="equal">
      <formula>TRUE</formula>
    </cfRule>
  </conditionalFormatting>
  <conditionalFormatting sqref="G25">
    <cfRule type="cellIs" dxfId="153" priority="1" operator="equal">
      <formula>TRUE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DAEEF3"/>
  </sheetPr>
  <dimension ref="A1:W342"/>
  <sheetViews>
    <sheetView zoomScaleNormal="100" workbookViewId="0">
      <pane xSplit="3" ySplit="1" topLeftCell="J2" activePane="bottomRight" state="frozen"/>
      <selection activeCell="K10" sqref="K10"/>
      <selection pane="topRight"/>
      <selection pane="bottomLeft"/>
      <selection pane="bottomRight" activeCell="C26" sqref="C26"/>
    </sheetView>
  </sheetViews>
  <sheetFormatPr defaultRowHeight="15" outlineLevelCol="1" x14ac:dyDescent="0.25"/>
  <cols>
    <col min="1" max="1" width="6.5703125" customWidth="1"/>
    <col min="2" max="2" width="24.140625" bestFit="1" customWidth="1"/>
    <col min="3" max="3" width="31.5703125" customWidth="1"/>
    <col min="4" max="7" width="15.7109375" hidden="1" customWidth="1" outlineLevel="1"/>
    <col min="8" max="9" width="55.7109375" hidden="1" customWidth="1" outlineLevel="1"/>
    <col min="10" max="10" width="16.85546875" bestFit="1" customWidth="1" collapsed="1"/>
    <col min="11" max="11" width="41.5703125" customWidth="1"/>
    <col min="12" max="12" width="43.28515625" bestFit="1" customWidth="1"/>
    <col min="13" max="15" width="15.7109375" hidden="1" customWidth="1" outlineLevel="1"/>
    <col min="16" max="16" width="55.7109375" hidden="1" customWidth="1" outlineLevel="1"/>
    <col min="17" max="17" width="18.42578125" customWidth="1" collapsed="1"/>
    <col min="18" max="18" width="10.7109375" customWidth="1"/>
    <col min="19" max="19" width="15.7109375" customWidth="1"/>
    <col min="20" max="20" width="10.7109375" customWidth="1"/>
    <col min="21" max="21" width="63.5703125" customWidth="1"/>
    <col min="22" max="22" width="55.7109375" customWidth="1"/>
    <col min="23" max="23" width="50.140625" style="25" customWidth="1"/>
  </cols>
  <sheetData>
    <row r="1" spans="1:23" x14ac:dyDescent="0.25">
      <c r="A1" s="9" t="s">
        <v>1047</v>
      </c>
      <c r="B1" s="9" t="s">
        <v>1048</v>
      </c>
      <c r="C1" s="9" t="s">
        <v>1049</v>
      </c>
      <c r="D1" s="9" t="s">
        <v>1050</v>
      </c>
      <c r="E1" s="9" t="s">
        <v>1051</v>
      </c>
      <c r="F1" s="9" t="s">
        <v>1052</v>
      </c>
      <c r="G1" s="9" t="s">
        <v>1053</v>
      </c>
      <c r="H1" s="9" t="s">
        <v>1054</v>
      </c>
      <c r="I1" s="9" t="s">
        <v>1055</v>
      </c>
      <c r="J1" s="9" t="s">
        <v>1056</v>
      </c>
      <c r="K1" s="9" t="s">
        <v>1057</v>
      </c>
      <c r="L1" s="9" t="s">
        <v>1058</v>
      </c>
      <c r="M1" s="9" t="s">
        <v>1050</v>
      </c>
      <c r="N1" s="9" t="s">
        <v>1051</v>
      </c>
      <c r="O1" s="9" t="s">
        <v>1052</v>
      </c>
      <c r="P1" s="9" t="s">
        <v>1055</v>
      </c>
      <c r="Q1" s="9" t="s">
        <v>1059</v>
      </c>
      <c r="R1" s="9" t="s">
        <v>1060</v>
      </c>
      <c r="S1" s="9" t="s">
        <v>3</v>
      </c>
      <c r="T1" s="9" t="s">
        <v>1061</v>
      </c>
      <c r="U1" s="9" t="s">
        <v>1062</v>
      </c>
      <c r="V1" s="9" t="s">
        <v>1063</v>
      </c>
      <c r="W1" s="24" t="s">
        <v>1509</v>
      </c>
    </row>
    <row r="2" spans="1:23" x14ac:dyDescent="0.25">
      <c r="A2" s="10">
        <v>10</v>
      </c>
      <c r="B2" t="s">
        <v>655</v>
      </c>
      <c r="C2" t="s">
        <v>737</v>
      </c>
      <c r="D2" t="str">
        <f t="shared" ref="D2:D45" ca="1" si="0">VLOOKUP(B2&amp;C2, INDIRECT("target_columns"), 4, FALSE)</f>
        <v>uuid</v>
      </c>
      <c r="E2" t="b">
        <f t="shared" ref="E2:E45" ca="1" si="1">VLOOKUP(B2&amp;C2, INDIRECT("target_columns"), 5, FALSE)</f>
        <v>1</v>
      </c>
      <c r="F2" t="b">
        <f t="shared" ref="F2:F45" ca="1" si="2">VLOOKUP(B2&amp;C2, INDIRECT("target_columns"), 6, FALSE)</f>
        <v>1</v>
      </c>
      <c r="G2" t="b">
        <f t="shared" ref="G2:G45" ca="1" si="3">VLOOKUP(B2&amp;C2, INDIRECT("target_columns"), 7, FALSE)</f>
        <v>0</v>
      </c>
      <c r="H2">
        <f t="shared" ref="H2:H45" ca="1" si="4">VLOOKUP(B2&amp;C2, INDIRECT("target_columns"), 8, FALSE)</f>
        <v>0</v>
      </c>
      <c r="I2" t="str">
        <f t="shared" ref="I2:I45" ca="1" si="5">VLOOKUP(B2&amp;C2, INDIRECT("target_columns"), 9, FALSE)</f>
        <v>id депозитного договора</v>
      </c>
      <c r="J2">
        <v>7</v>
      </c>
      <c r="K2" t="str">
        <f t="shared" ref="K2:K45" ca="1" si="6">VLOOKUP(J2, INDIRECT("source_tables"), 2, FALSE)</f>
        <v>b3050000420007_product</v>
      </c>
      <c r="L2" t="s">
        <v>180</v>
      </c>
      <c r="M2" t="str">
        <f t="shared" ref="M2:M45" ca="1" si="7">VLOOKUP(K2&amp;L2, INDIRECT("source_columns"), 4, FALSE)</f>
        <v>uuid</v>
      </c>
      <c r="N2" t="b">
        <f t="shared" ref="N2:N45" ca="1" si="8">VLOOKUP(K2&amp;L2, INDIRECT("source_columns"), 5, FALSE)</f>
        <v>0</v>
      </c>
      <c r="O2" t="b">
        <f t="shared" ref="O2:O45" ca="1" si="9">VLOOKUP(K2&amp;L2, INDIRECT("source_columns"), 6, FALSE)</f>
        <v>0</v>
      </c>
      <c r="P2">
        <f t="shared" ref="P2:P45" ca="1" si="10">VLOOKUP(K2&amp;L2, INDIRECT("source_columns"), 7, FALSE)</f>
        <v>0</v>
      </c>
      <c r="R2" t="s">
        <v>1064</v>
      </c>
      <c r="S2" s="15" t="s">
        <v>1071</v>
      </c>
      <c r="U2" s="51" t="s">
        <v>1614</v>
      </c>
      <c r="V2" t="str">
        <f>"n305000042" &amp; TEXT(A2, "0000") &amp; "_" &amp; RIGHT(B2, LEN(B2) - 2)</f>
        <v>n3050000420010_agr_dep</v>
      </c>
      <c r="W2" s="61" t="s">
        <v>656</v>
      </c>
    </row>
    <row r="3" spans="1:23" x14ac:dyDescent="0.25">
      <c r="A3">
        <f>A2</f>
        <v>10</v>
      </c>
      <c r="B3" t="s">
        <v>655</v>
      </c>
      <c r="C3" t="s">
        <v>739</v>
      </c>
      <c r="D3" t="str">
        <f t="shared" ca="1" si="0"/>
        <v>text</v>
      </c>
      <c r="E3" t="b">
        <f t="shared" ca="1" si="1"/>
        <v>0</v>
      </c>
      <c r="F3" t="b">
        <f t="shared" ca="1" si="2"/>
        <v>0</v>
      </c>
      <c r="G3" t="b">
        <f t="shared" ca="1" si="3"/>
        <v>0</v>
      </c>
      <c r="H3">
        <f t="shared" ca="1" si="4"/>
        <v>0</v>
      </c>
      <c r="I3" t="str">
        <f t="shared" ca="1" si="5"/>
        <v>Номер депозитного договора</v>
      </c>
      <c r="J3">
        <v>7</v>
      </c>
      <c r="K3" t="str">
        <f t="shared" ca="1" si="6"/>
        <v>b3050000420007_product</v>
      </c>
      <c r="L3" t="s">
        <v>289</v>
      </c>
      <c r="M3" t="str">
        <f t="shared" ca="1" si="7"/>
        <v>text</v>
      </c>
      <c r="N3" t="b">
        <f t="shared" ca="1" si="8"/>
        <v>0</v>
      </c>
      <c r="O3" t="b">
        <f t="shared" ca="1" si="9"/>
        <v>0</v>
      </c>
      <c r="P3" t="str">
        <f t="shared" ca="1" si="10"/>
        <v>Номер продукта</v>
      </c>
      <c r="U3" s="52"/>
      <c r="W3" s="60"/>
    </row>
    <row r="4" spans="1:23" x14ac:dyDescent="0.25">
      <c r="A4">
        <f>A2</f>
        <v>10</v>
      </c>
      <c r="B4" t="s">
        <v>655</v>
      </c>
      <c r="C4" t="s">
        <v>741</v>
      </c>
      <c r="D4" t="str">
        <f t="shared" ca="1" si="0"/>
        <v>uuid</v>
      </c>
      <c r="E4" t="b">
        <f t="shared" ca="1" si="1"/>
        <v>0</v>
      </c>
      <c r="F4" t="b">
        <f t="shared" ca="1" si="2"/>
        <v>0</v>
      </c>
      <c r="G4" t="b">
        <f t="shared" ca="1" si="3"/>
        <v>1</v>
      </c>
      <c r="H4" t="str">
        <f t="shared" ca="1" si="4"/>
        <v>t_agr_dep_type.agr_dep_type_id</v>
      </c>
      <c r="I4" t="str">
        <f t="shared" ca="1" si="5"/>
        <v>Тип депозитного договора</v>
      </c>
      <c r="J4">
        <v>7</v>
      </c>
      <c r="K4" t="str">
        <f t="shared" ca="1" si="6"/>
        <v>b3050000420007_product</v>
      </c>
      <c r="L4" t="s">
        <v>293</v>
      </c>
      <c r="M4" t="str">
        <f t="shared" ca="1" si="7"/>
        <v>uuid</v>
      </c>
      <c r="N4" t="b">
        <f t="shared" ca="1" si="8"/>
        <v>0</v>
      </c>
      <c r="O4" t="b">
        <f t="shared" ca="1" si="9"/>
        <v>0</v>
      </c>
      <c r="P4">
        <f t="shared" ca="1" si="10"/>
        <v>0</v>
      </c>
      <c r="U4" s="52"/>
      <c r="W4" s="60"/>
    </row>
    <row r="5" spans="1:23" x14ac:dyDescent="0.25">
      <c r="A5">
        <f>A2</f>
        <v>10</v>
      </c>
      <c r="B5" t="s">
        <v>655</v>
      </c>
      <c r="C5" t="s">
        <v>743</v>
      </c>
      <c r="D5" t="str">
        <f t="shared" ca="1" si="0"/>
        <v>uuid</v>
      </c>
      <c r="E5" t="b">
        <f t="shared" ca="1" si="1"/>
        <v>0</v>
      </c>
      <c r="F5" t="b">
        <f t="shared" ca="1" si="2"/>
        <v>0</v>
      </c>
      <c r="G5" t="b">
        <f t="shared" ca="1" si="3"/>
        <v>1</v>
      </c>
      <c r="H5" t="str">
        <f t="shared" ca="1" si="4"/>
        <v>t_agr_frame.agr_frame_id</v>
      </c>
      <c r="I5" t="str">
        <f t="shared" ca="1" si="5"/>
        <v>id рамочного соглашения</v>
      </c>
      <c r="J5">
        <v>7</v>
      </c>
      <c r="K5" t="str">
        <f t="shared" ca="1" si="6"/>
        <v>b3050000420007_product</v>
      </c>
      <c r="L5" t="s">
        <v>277</v>
      </c>
      <c r="M5" t="str">
        <f t="shared" ca="1" si="7"/>
        <v>uuid</v>
      </c>
      <c r="N5" t="b">
        <f t="shared" ca="1" si="8"/>
        <v>0</v>
      </c>
      <c r="O5" t="b">
        <f t="shared" ca="1" si="9"/>
        <v>0</v>
      </c>
      <c r="P5">
        <f t="shared" ca="1" si="10"/>
        <v>0</v>
      </c>
      <c r="U5" s="52"/>
      <c r="W5" s="60"/>
    </row>
    <row r="6" spans="1:23" x14ac:dyDescent="0.25">
      <c r="A6">
        <f>A2</f>
        <v>10</v>
      </c>
      <c r="B6" t="s">
        <v>655</v>
      </c>
      <c r="C6" t="s">
        <v>749</v>
      </c>
      <c r="D6" t="str">
        <f t="shared" ca="1" si="0"/>
        <v>date</v>
      </c>
      <c r="E6" t="b">
        <f t="shared" ca="1" si="1"/>
        <v>0</v>
      </c>
      <c r="F6" t="b">
        <f t="shared" ca="1" si="2"/>
        <v>0</v>
      </c>
      <c r="G6" t="b">
        <f t="shared" ca="1" si="3"/>
        <v>0</v>
      </c>
      <c r="H6">
        <f t="shared" ca="1" si="4"/>
        <v>0</v>
      </c>
      <c r="I6" t="str">
        <f t="shared" ca="1" si="5"/>
        <v>Фактическая дата закрытия депозитного договора</v>
      </c>
      <c r="J6">
        <v>7</v>
      </c>
      <c r="K6" t="str">
        <f t="shared" ca="1" si="6"/>
        <v>b3050000420007_product</v>
      </c>
      <c r="L6" s="3" t="s">
        <v>228</v>
      </c>
      <c r="M6" t="str">
        <f t="shared" ca="1" si="7"/>
        <v>timestamp without time zone</v>
      </c>
      <c r="N6" t="b">
        <f t="shared" ca="1" si="8"/>
        <v>0</v>
      </c>
      <c r="O6" t="b">
        <f t="shared" ca="1" si="9"/>
        <v>0</v>
      </c>
      <c r="P6" t="str">
        <f t="shared" ca="1" si="10"/>
        <v>Фактическая дата закрытия продукта</v>
      </c>
      <c r="U6" s="52"/>
      <c r="W6" s="60"/>
    </row>
    <row r="7" spans="1:23" x14ac:dyDescent="0.25">
      <c r="A7">
        <f>A2</f>
        <v>10</v>
      </c>
      <c r="B7" t="s">
        <v>655</v>
      </c>
      <c r="C7" t="s">
        <v>752</v>
      </c>
      <c r="D7" t="str">
        <f t="shared" ca="1" si="0"/>
        <v>date</v>
      </c>
      <c r="E7" t="b">
        <f t="shared" ca="1" si="1"/>
        <v>0</v>
      </c>
      <c r="F7" t="b">
        <f t="shared" ca="1" si="2"/>
        <v>0</v>
      </c>
      <c r="G7" t="b">
        <f t="shared" ca="1" si="3"/>
        <v>0</v>
      </c>
      <c r="H7">
        <f t="shared" ca="1" si="4"/>
        <v>0</v>
      </c>
      <c r="I7" t="str">
        <f t="shared" ca="1" si="5"/>
        <v>Дата создания</v>
      </c>
      <c r="J7">
        <v>7</v>
      </c>
      <c r="K7" t="str">
        <f t="shared" ca="1" si="6"/>
        <v>b3050000420007_product</v>
      </c>
      <c r="L7" s="3" t="s">
        <v>169</v>
      </c>
      <c r="M7" t="str">
        <f t="shared" ca="1" si="7"/>
        <v>timestamp without time zone</v>
      </c>
      <c r="N7" t="b">
        <f t="shared" ca="1" si="8"/>
        <v>0</v>
      </c>
      <c r="O7" t="b">
        <f t="shared" ca="1" si="9"/>
        <v>0</v>
      </c>
      <c r="P7" t="str">
        <f t="shared" ca="1" si="10"/>
        <v>Дата и время создания сущности</v>
      </c>
      <c r="U7" s="52"/>
      <c r="W7" s="60"/>
    </row>
    <row r="8" spans="1:23" x14ac:dyDescent="0.25">
      <c r="A8">
        <f>A2</f>
        <v>10</v>
      </c>
      <c r="B8" t="s">
        <v>655</v>
      </c>
      <c r="C8" t="s">
        <v>754</v>
      </c>
      <c r="D8" t="str">
        <f t="shared" ca="1" si="0"/>
        <v>uuid</v>
      </c>
      <c r="E8" t="b">
        <f t="shared" ca="1" si="1"/>
        <v>0</v>
      </c>
      <c r="F8" t="b">
        <f t="shared" ca="1" si="2"/>
        <v>0</v>
      </c>
      <c r="G8" t="b">
        <f t="shared" ca="1" si="3"/>
        <v>1</v>
      </c>
      <c r="H8" t="str">
        <f t="shared" ca="1" si="4"/>
        <v>t_crncy.crncy_id</v>
      </c>
      <c r="I8" t="str">
        <f t="shared" ca="1" si="5"/>
        <v>id валюты договора</v>
      </c>
      <c r="J8">
        <v>7</v>
      </c>
      <c r="K8" t="str">
        <f t="shared" ca="1" si="6"/>
        <v>b3050000420007_product</v>
      </c>
      <c r="L8" s="3" t="s">
        <v>253</v>
      </c>
      <c r="M8" t="str">
        <f t="shared" ca="1" si="7"/>
        <v>uuid</v>
      </c>
      <c r="N8" t="b">
        <f t="shared" ca="1" si="8"/>
        <v>0</v>
      </c>
      <c r="O8" t="b">
        <f t="shared" ca="1" si="9"/>
        <v>0</v>
      </c>
      <c r="P8">
        <f t="shared" ca="1" si="10"/>
        <v>0</v>
      </c>
      <c r="U8" s="52"/>
      <c r="W8" s="60"/>
    </row>
    <row r="9" spans="1:23" x14ac:dyDescent="0.25">
      <c r="A9">
        <f>A2</f>
        <v>10</v>
      </c>
      <c r="B9" t="s">
        <v>655</v>
      </c>
      <c r="C9" t="s">
        <v>757</v>
      </c>
      <c r="D9" t="str">
        <f t="shared" ca="1" si="0"/>
        <v>date</v>
      </c>
      <c r="E9" t="b">
        <f t="shared" ca="1" si="1"/>
        <v>0</v>
      </c>
      <c r="F9" t="b">
        <f t="shared" ca="1" si="2"/>
        <v>0</v>
      </c>
      <c r="G9" t="b">
        <f t="shared" ca="1" si="3"/>
        <v>0</v>
      </c>
      <c r="H9">
        <f t="shared" ca="1" si="4"/>
        <v>0</v>
      </c>
      <c r="I9" t="str">
        <f t="shared" ca="1" si="5"/>
        <v>Дата окончания действия депозитного договора</v>
      </c>
      <c r="J9">
        <v>7</v>
      </c>
      <c r="K9" t="str">
        <f t="shared" ca="1" si="6"/>
        <v>b3050000420007_product</v>
      </c>
      <c r="L9" s="3" t="s">
        <v>174</v>
      </c>
      <c r="M9" t="str">
        <f t="shared" ca="1" si="7"/>
        <v>timestamp without time zone</v>
      </c>
      <c r="N9" t="b">
        <f t="shared" ca="1" si="8"/>
        <v>0</v>
      </c>
      <c r="O9" t="b">
        <f t="shared" ca="1" si="9"/>
        <v>0</v>
      </c>
      <c r="P9" t="str">
        <f t="shared" ca="1" si="10"/>
        <v>Дата окончания действия продукта</v>
      </c>
      <c r="U9" s="52"/>
      <c r="W9" s="60"/>
    </row>
    <row r="10" spans="1:23" x14ac:dyDescent="0.25">
      <c r="A10">
        <f>A2</f>
        <v>10</v>
      </c>
      <c r="B10" t="s">
        <v>655</v>
      </c>
      <c r="C10" t="s">
        <v>759</v>
      </c>
      <c r="D10" t="str">
        <f t="shared" ca="1" si="0"/>
        <v>text</v>
      </c>
      <c r="E10" t="b">
        <f t="shared" ca="1" si="1"/>
        <v>0</v>
      </c>
      <c r="F10" t="b">
        <f t="shared" ca="1" si="2"/>
        <v>0</v>
      </c>
      <c r="G10" t="b">
        <f t="shared" ca="1" si="3"/>
        <v>0</v>
      </c>
      <c r="H10">
        <f t="shared" ca="1" si="4"/>
        <v>0</v>
      </c>
      <c r="I10" t="str">
        <f t="shared" ca="1" si="5"/>
        <v>id депозитного договора в источнике</v>
      </c>
      <c r="J10">
        <v>7</v>
      </c>
      <c r="K10" t="str">
        <f t="shared" ca="1" si="6"/>
        <v>b3050000420007_product</v>
      </c>
      <c r="L10" s="3" t="s">
        <v>179</v>
      </c>
      <c r="M10" t="str">
        <f t="shared" ca="1" si="7"/>
        <v>text</v>
      </c>
      <c r="N10" t="b">
        <f t="shared" ca="1" si="8"/>
        <v>1</v>
      </c>
      <c r="O10" t="b">
        <f t="shared" ca="1" si="9"/>
        <v>1</v>
      </c>
      <c r="P10" t="str">
        <f t="shared" ca="1" si="10"/>
        <v>Прикладной ID объекта</v>
      </c>
      <c r="U10" s="52"/>
      <c r="W10" s="60"/>
    </row>
    <row r="11" spans="1:23" x14ac:dyDescent="0.25">
      <c r="A11">
        <f>A2</f>
        <v>10</v>
      </c>
      <c r="B11" t="s">
        <v>655</v>
      </c>
      <c r="C11" t="s">
        <v>761</v>
      </c>
      <c r="D11" t="str">
        <f t="shared" ca="1" si="0"/>
        <v>date</v>
      </c>
      <c r="E11" t="b">
        <f t="shared" ca="1" si="1"/>
        <v>0</v>
      </c>
      <c r="F11" t="b">
        <f t="shared" ca="1" si="2"/>
        <v>0</v>
      </c>
      <c r="G11" t="b">
        <f t="shared" ca="1" si="3"/>
        <v>0</v>
      </c>
      <c r="H11">
        <f t="shared" ca="1" si="4"/>
        <v>0</v>
      </c>
      <c r="I11" t="str">
        <f t="shared" ca="1" si="5"/>
        <v>Дата начала действия депозитного договора</v>
      </c>
      <c r="J11">
        <v>7</v>
      </c>
      <c r="K11" t="str">
        <f t="shared" ca="1" si="6"/>
        <v>b3050000420007_product</v>
      </c>
      <c r="L11" s="3" t="s">
        <v>225</v>
      </c>
      <c r="M11" t="str">
        <f t="shared" ca="1" si="7"/>
        <v>timestamp without time zone</v>
      </c>
      <c r="N11" t="b">
        <f t="shared" ca="1" si="8"/>
        <v>0</v>
      </c>
      <c r="O11" t="b">
        <f t="shared" ca="1" si="9"/>
        <v>0</v>
      </c>
      <c r="P11" t="str">
        <f t="shared" ca="1" si="10"/>
        <v>Дата начала действия продукта</v>
      </c>
      <c r="U11" s="52"/>
      <c r="W11" s="60"/>
    </row>
    <row r="12" spans="1:23" x14ac:dyDescent="0.25">
      <c r="A12">
        <f>A2</f>
        <v>10</v>
      </c>
      <c r="B12" t="s">
        <v>655</v>
      </c>
      <c r="C12" t="s">
        <v>763</v>
      </c>
      <c r="D12" t="str">
        <f t="shared" ca="1" si="0"/>
        <v>uuid</v>
      </c>
      <c r="E12" t="b">
        <f t="shared" ca="1" si="1"/>
        <v>0</v>
      </c>
      <c r="F12" t="b">
        <f t="shared" ca="1" si="2"/>
        <v>0</v>
      </c>
      <c r="G12" t="b">
        <f t="shared" ca="1" si="3"/>
        <v>1</v>
      </c>
      <c r="H12" t="str">
        <f t="shared" ca="1" si="4"/>
        <v>t_prod.prod_id</v>
      </c>
      <c r="I12" t="str">
        <f t="shared" ca="1" si="5"/>
        <v>id продукта</v>
      </c>
      <c r="J12">
        <v>7</v>
      </c>
      <c r="K12" t="str">
        <f t="shared" ca="1" si="6"/>
        <v>b3050000420007_product</v>
      </c>
      <c r="L12" s="3" t="s">
        <v>288</v>
      </c>
      <c r="M12" t="str">
        <f t="shared" ca="1" si="7"/>
        <v>uuid</v>
      </c>
      <c r="N12" t="b">
        <f t="shared" ca="1" si="8"/>
        <v>0</v>
      </c>
      <c r="O12" t="b">
        <f t="shared" ca="1" si="9"/>
        <v>0</v>
      </c>
      <c r="P12">
        <f t="shared" ca="1" si="10"/>
        <v>0</v>
      </c>
      <c r="U12" s="52"/>
      <c r="W12" s="60"/>
    </row>
    <row r="13" spans="1:23" x14ac:dyDescent="0.25">
      <c r="A13">
        <f t="shared" ref="A13:A14" si="11">A2</f>
        <v>10</v>
      </c>
      <c r="B13" t="s">
        <v>655</v>
      </c>
      <c r="C13" t="s">
        <v>766</v>
      </c>
      <c r="D13" t="str">
        <f t="shared" ca="1" si="0"/>
        <v>text</v>
      </c>
      <c r="E13" t="b">
        <f t="shared" ca="1" si="1"/>
        <v>0</v>
      </c>
      <c r="F13" t="b">
        <f t="shared" ca="1" si="2"/>
        <v>0</v>
      </c>
      <c r="G13" t="b">
        <f t="shared" ca="1" si="3"/>
        <v>0</v>
      </c>
      <c r="H13">
        <f t="shared" ca="1" si="4"/>
        <v>0</v>
      </c>
      <c r="I13" t="str">
        <f t="shared" ca="1" si="5"/>
        <v>Номер счета договора РКО</v>
      </c>
      <c r="J13">
        <v>4</v>
      </c>
      <c r="K13" t="str">
        <f t="shared" ca="1" si="6"/>
        <v>b3050000420004_nsoadditionalinfo</v>
      </c>
      <c r="L13" s="3" t="s">
        <v>766</v>
      </c>
      <c r="M13" t="e">
        <f t="shared" ca="1" si="7"/>
        <v>#N/A</v>
      </c>
      <c r="N13" t="e">
        <f t="shared" ca="1" si="8"/>
        <v>#N/A</v>
      </c>
      <c r="O13" t="e">
        <f t="shared" ca="1" si="9"/>
        <v>#N/A</v>
      </c>
      <c r="P13" t="e">
        <f t="shared" ca="1" si="10"/>
        <v>#N/A</v>
      </c>
      <c r="U13" s="52"/>
      <c r="W13" s="60"/>
    </row>
    <row r="14" spans="1:23" x14ac:dyDescent="0.25">
      <c r="A14">
        <f t="shared" si="11"/>
        <v>10</v>
      </c>
      <c r="B14" t="s">
        <v>655</v>
      </c>
      <c r="C14" t="s">
        <v>746</v>
      </c>
      <c r="D14" s="15" t="str">
        <f t="shared" ref="D14" ca="1" si="12">VLOOKUP(B14&amp;C14, INDIRECT("target_columns"), 4, FALSE)</f>
        <v>uuid</v>
      </c>
      <c r="E14" s="15" t="b">
        <f t="shared" ref="E14" ca="1" si="13">VLOOKUP(B14&amp;C14, INDIRECT("target_columns"), 5, FALSE)</f>
        <v>0</v>
      </c>
      <c r="F14" s="15" t="b">
        <f t="shared" ref="F14" ca="1" si="14">VLOOKUP(B14&amp;C14, INDIRECT("target_columns"), 6, FALSE)</f>
        <v>0</v>
      </c>
      <c r="G14" s="15" t="b">
        <f t="shared" ref="G14" ca="1" si="15">VLOOKUP(B14&amp;C14, INDIRECT("target_columns"), 7, FALSE)</f>
        <v>1</v>
      </c>
      <c r="H14" s="15" t="str">
        <f t="shared" ref="H14" ca="1" si="16">VLOOKUP(B14&amp;C14, INDIRECT("target_columns"), 8, FALSE)</f>
        <v>t_agr_rko.agr_rko_id</v>
      </c>
      <c r="I14" s="15" t="str">
        <f t="shared" ref="I14" ca="1" si="17">VLOOKUP(B14&amp;C14, INDIRECT("target_columns"), 9, FALSE)</f>
        <v>id договора РКО</v>
      </c>
      <c r="J14">
        <v>4</v>
      </c>
      <c r="K14" t="str">
        <f t="shared" ca="1" si="6"/>
        <v>b3050000420004_nsoadditionalinfo</v>
      </c>
      <c r="L14" s="3" t="s">
        <v>242</v>
      </c>
      <c r="M14" t="str">
        <f t="shared" ca="1" si="7"/>
        <v>uuid</v>
      </c>
      <c r="N14" t="b">
        <f t="shared" ca="1" si="8"/>
        <v>0</v>
      </c>
      <c r="O14" t="b">
        <f t="shared" ca="1" si="9"/>
        <v>0</v>
      </c>
      <c r="P14">
        <f t="shared" ca="1" si="10"/>
        <v>0</v>
      </c>
      <c r="U14" s="52"/>
      <c r="W14" s="60"/>
    </row>
    <row r="15" spans="1:23" s="15" customFormat="1" x14ac:dyDescent="0.25">
      <c r="A15" s="31">
        <f>A2</f>
        <v>10</v>
      </c>
      <c r="B15" s="31" t="s">
        <v>655</v>
      </c>
      <c r="C15" s="31" t="s">
        <v>768</v>
      </c>
      <c r="D15" s="31" t="str">
        <f t="shared" ref="D15" ca="1" si="18">VLOOKUP(B15&amp;C15, INDIRECT("target_columns"), 4, FALSE)</f>
        <v>date</v>
      </c>
      <c r="E15" s="31" t="b">
        <f t="shared" ref="E15" ca="1" si="19">VLOOKUP(B15&amp;C15, INDIRECT("target_columns"), 5, FALSE)</f>
        <v>0</v>
      </c>
      <c r="F15" s="31" t="b">
        <f t="shared" ref="F15" ca="1" si="20">VLOOKUP(B15&amp;C15, INDIRECT("target_columns"), 6, FALSE)</f>
        <v>0</v>
      </c>
      <c r="G15" s="31" t="b">
        <f t="shared" ref="G15" ca="1" si="21">VLOOKUP(B15&amp;C15, INDIRECT("target_columns"), 7, FALSE)</f>
        <v>0</v>
      </c>
      <c r="H15" s="31">
        <f t="shared" ref="H15" ca="1" si="22">VLOOKUP(B15&amp;C15, INDIRECT("target_columns"), 8, FALSE)</f>
        <v>0</v>
      </c>
      <c r="I15" s="31" t="str">
        <f t="shared" ref="I15" ca="1" si="23">VLOOKUP(B15&amp;C15, INDIRECT("target_columns"), 9, FALSE)</f>
        <v>Дата заключения депозитного договора</v>
      </c>
      <c r="J15" s="31">
        <v>7</v>
      </c>
      <c r="K15" s="31" t="str">
        <f t="shared" ref="K15" ca="1" si="24">VLOOKUP(J15, INDIRECT("source_tables"), 2, FALSE)</f>
        <v>b3050000420007_product</v>
      </c>
      <c r="L15" s="31" t="s">
        <v>278</v>
      </c>
      <c r="M15" s="31" t="str">
        <f t="shared" ref="M15" ca="1" si="25">VLOOKUP(K15&amp;L15, INDIRECT("source_columns"), 4, FALSE)</f>
        <v>timestamp without time zone</v>
      </c>
      <c r="N15" s="31" t="b">
        <f t="shared" ref="N15" ca="1" si="26">VLOOKUP(K15&amp;L15, INDIRECT("source_columns"), 5, FALSE)</f>
        <v>0</v>
      </c>
      <c r="O15" s="31" t="b">
        <f t="shared" ref="O15" ca="1" si="27">VLOOKUP(K15&amp;L15, INDIRECT("source_columns"), 6, FALSE)</f>
        <v>0</v>
      </c>
      <c r="P15" s="31" t="str">
        <f t="shared" ref="P15" ca="1" si="28">VLOOKUP(K15&amp;L15, INDIRECT("source_columns"), 7, FALSE)</f>
        <v>Дата заключения договора</v>
      </c>
      <c r="Q15" s="31"/>
      <c r="U15" s="52"/>
      <c r="W15" s="60"/>
    </row>
    <row r="16" spans="1:23" s="2" customFormat="1" ht="15.75" thickBot="1" x14ac:dyDescent="0.3">
      <c r="A16" s="2">
        <f>A2</f>
        <v>10</v>
      </c>
      <c r="B16" s="2" t="s">
        <v>655</v>
      </c>
      <c r="C16" s="2" t="s">
        <v>1612</v>
      </c>
      <c r="D16" s="2" t="str">
        <f t="shared" ca="1" si="0"/>
        <v>date</v>
      </c>
      <c r="E16" s="2" t="b">
        <f t="shared" ca="1" si="1"/>
        <v>0</v>
      </c>
      <c r="F16" s="2" t="b">
        <f t="shared" ca="1" si="2"/>
        <v>0</v>
      </c>
      <c r="G16" s="2" t="b">
        <f t="shared" ca="1" si="3"/>
        <v>0</v>
      </c>
      <c r="H16" s="2">
        <f t="shared" ca="1" si="4"/>
        <v>0</v>
      </c>
      <c r="I16" s="2" t="str">
        <f t="shared" ca="1" si="5"/>
        <v>Дата удаления на источнике</v>
      </c>
      <c r="J16" s="2">
        <v>7</v>
      </c>
      <c r="K16" s="2" t="str">
        <f t="shared" ca="1" si="6"/>
        <v>b3050000420007_product</v>
      </c>
      <c r="L16" s="2" t="s">
        <v>1612</v>
      </c>
      <c r="M16" s="2" t="e">
        <f t="shared" ca="1" si="7"/>
        <v>#N/A</v>
      </c>
      <c r="N16" s="2" t="e">
        <f t="shared" ca="1" si="8"/>
        <v>#N/A</v>
      </c>
      <c r="O16" s="2" t="e">
        <f t="shared" ca="1" si="9"/>
        <v>#N/A</v>
      </c>
      <c r="P16" s="2" t="e">
        <f t="shared" ca="1" si="10"/>
        <v>#N/A</v>
      </c>
      <c r="U16" s="53"/>
      <c r="W16" s="53"/>
    </row>
    <row r="17" spans="1:23" ht="15" customHeight="1" x14ac:dyDescent="0.25">
      <c r="A17" s="10">
        <v>20</v>
      </c>
      <c r="B17" t="s">
        <v>657</v>
      </c>
      <c r="C17" t="s">
        <v>737</v>
      </c>
      <c r="D17" t="str">
        <f t="shared" ca="1" si="0"/>
        <v>uuid</v>
      </c>
      <c r="E17" t="b">
        <f t="shared" ca="1" si="1"/>
        <v>1</v>
      </c>
      <c r="F17" t="b">
        <f t="shared" ca="1" si="2"/>
        <v>1</v>
      </c>
      <c r="G17" t="b">
        <f t="shared" ca="1" si="3"/>
        <v>1</v>
      </c>
      <c r="H17" t="str">
        <f t="shared" ca="1" si="4"/>
        <v>t_agr_dep.agr_dep_id</v>
      </c>
      <c r="I17" t="str">
        <f t="shared" ca="1" si="5"/>
        <v>id депозитного договора</v>
      </c>
      <c r="J17">
        <v>7</v>
      </c>
      <c r="K17" t="str">
        <f t="shared" ca="1" si="6"/>
        <v>b3050000420007_product</v>
      </c>
      <c r="L17" s="3" t="s">
        <v>180</v>
      </c>
      <c r="M17" t="str">
        <f t="shared" ca="1" si="7"/>
        <v>uuid</v>
      </c>
      <c r="N17" t="b">
        <f t="shared" ca="1" si="8"/>
        <v>0</v>
      </c>
      <c r="O17" t="b">
        <f t="shared" ca="1" si="9"/>
        <v>0</v>
      </c>
      <c r="P17">
        <f t="shared" ca="1" si="10"/>
        <v>0</v>
      </c>
      <c r="R17" t="s">
        <v>1064</v>
      </c>
      <c r="S17" t="s">
        <v>8</v>
      </c>
      <c r="U17" s="65" t="s">
        <v>1623</v>
      </c>
      <c r="V17" t="str">
        <f>"n305000042" &amp; TEXT(A17, "0000") &amp; "_" &amp; RIGHT(B17, LEN(B17) - 2)</f>
        <v>n3050000420020_agr_dep$dul</v>
      </c>
      <c r="W17" s="48" t="s">
        <v>658</v>
      </c>
    </row>
    <row r="18" spans="1:23" x14ac:dyDescent="0.25">
      <c r="A18">
        <f>A17</f>
        <v>20</v>
      </c>
      <c r="B18" t="s">
        <v>657</v>
      </c>
      <c r="C18" t="s">
        <v>771</v>
      </c>
      <c r="D18" t="str">
        <f t="shared" ca="1" si="0"/>
        <v>text</v>
      </c>
      <c r="E18" t="b">
        <f t="shared" ca="1" si="1"/>
        <v>0</v>
      </c>
      <c r="F18" t="b">
        <f t="shared" ca="1" si="2"/>
        <v>0</v>
      </c>
      <c r="G18" t="b">
        <f t="shared" ca="1" si="3"/>
        <v>0</v>
      </c>
      <c r="H18">
        <f t="shared" ca="1" si="4"/>
        <v>0</v>
      </c>
      <c r="I18" t="str">
        <f t="shared" ca="1" si="5"/>
        <v>Дополнительная информация по сделке</v>
      </c>
      <c r="J18">
        <v>7</v>
      </c>
      <c r="K18" t="str">
        <f t="shared" ca="1" si="6"/>
        <v>b3050000420007_product</v>
      </c>
      <c r="L18" s="3" t="s">
        <v>284</v>
      </c>
      <c r="M18" t="str">
        <f t="shared" ca="1" si="7"/>
        <v>text</v>
      </c>
      <c r="N18" t="b">
        <f t="shared" ca="1" si="8"/>
        <v>0</v>
      </c>
      <c r="O18" t="b">
        <f t="shared" ca="1" si="9"/>
        <v>0</v>
      </c>
      <c r="P18" t="str">
        <f t="shared" ca="1" si="10"/>
        <v>Дополнительная информация</v>
      </c>
      <c r="U18" s="58"/>
      <c r="W18" s="49"/>
    </row>
    <row r="19" spans="1:23" x14ac:dyDescent="0.25">
      <c r="A19">
        <f>A17</f>
        <v>20</v>
      </c>
      <c r="B19" t="s">
        <v>657</v>
      </c>
      <c r="C19" t="s">
        <v>773</v>
      </c>
      <c r="D19" t="str">
        <f t="shared" ca="1" si="0"/>
        <v>uuid</v>
      </c>
      <c r="E19" t="b">
        <f t="shared" ca="1" si="1"/>
        <v>0</v>
      </c>
      <c r="F19" t="b">
        <f t="shared" ca="1" si="2"/>
        <v>0</v>
      </c>
      <c r="G19" t="b">
        <f t="shared" ca="1" si="3"/>
        <v>1</v>
      </c>
      <c r="H19" t="str">
        <f t="shared" ca="1" si="4"/>
        <v>t_agr_dep_purpose_type.agr_dep_purpose_type_id</v>
      </c>
      <c r="I19" t="str">
        <f t="shared" ca="1" si="5"/>
        <v>id назначения депозитного договора</v>
      </c>
      <c r="J19">
        <v>13</v>
      </c>
      <c r="K19" t="str">
        <f t="shared" ca="1" si="6"/>
        <v>b3050000420013_specialattributes</v>
      </c>
      <c r="L19" s="3" t="s">
        <v>334</v>
      </c>
      <c r="M19" t="str">
        <f t="shared" ca="1" si="7"/>
        <v>uuid</v>
      </c>
      <c r="N19" t="b">
        <f t="shared" ca="1" si="8"/>
        <v>0</v>
      </c>
      <c r="O19" t="b">
        <f t="shared" ca="1" si="9"/>
        <v>0</v>
      </c>
      <c r="P19">
        <f t="shared" ca="1" si="10"/>
        <v>0</v>
      </c>
      <c r="U19" s="58"/>
      <c r="W19" s="49"/>
    </row>
    <row r="20" spans="1:23" x14ac:dyDescent="0.25">
      <c r="A20">
        <f t="shared" ref="A20:A25" si="29">A17</f>
        <v>20</v>
      </c>
      <c r="B20" t="s">
        <v>657</v>
      </c>
      <c r="C20" t="s">
        <v>778</v>
      </c>
      <c r="D20" t="str">
        <f t="shared" ca="1" si="0"/>
        <v>text</v>
      </c>
      <c r="E20" t="b">
        <f t="shared" ca="1" si="1"/>
        <v>0</v>
      </c>
      <c r="F20" t="b">
        <f t="shared" ca="1" si="2"/>
        <v>0</v>
      </c>
      <c r="G20" t="b">
        <f t="shared" ca="1" si="3"/>
        <v>0</v>
      </c>
      <c r="H20">
        <f t="shared" ca="1" si="4"/>
        <v>0</v>
      </c>
      <c r="I20" t="str">
        <f t="shared" ca="1" si="5"/>
        <v>id продукта 3-го поколения</v>
      </c>
      <c r="J20">
        <v>9</v>
      </c>
      <c r="K20" t="str">
        <f t="shared" ca="1" si="6"/>
        <v>b3050000420009_productlegacyadditionalinformation</v>
      </c>
      <c r="L20" s="3" t="s">
        <v>306</v>
      </c>
      <c r="M20" t="str">
        <f t="shared" ca="1" si="7"/>
        <v>text</v>
      </c>
      <c r="N20" t="b">
        <f t="shared" ca="1" si="8"/>
        <v>0</v>
      </c>
      <c r="O20" t="b">
        <f t="shared" ca="1" si="9"/>
        <v>0</v>
      </c>
      <c r="P20" t="str">
        <f t="shared" ca="1" si="10"/>
        <v>id продукта 3-го поколения</v>
      </c>
      <c r="U20" s="58"/>
      <c r="W20" s="49"/>
    </row>
    <row r="21" spans="1:23" x14ac:dyDescent="0.25">
      <c r="A21">
        <f t="shared" si="29"/>
        <v>20</v>
      </c>
      <c r="B21" s="3" t="s">
        <v>657</v>
      </c>
      <c r="C21" s="3" t="s">
        <v>779</v>
      </c>
      <c r="D21" s="3" t="str">
        <f t="shared" ref="D21:D28" ca="1" si="30">VLOOKUP(B21&amp;C21, INDIRECT("target_columns"), 4, FALSE)</f>
        <v>date</v>
      </c>
      <c r="E21" s="3" t="b">
        <f t="shared" ref="E21:E28" ca="1" si="31">VLOOKUP(B21&amp;C21, INDIRECT("target_columns"), 5, FALSE)</f>
        <v>0</v>
      </c>
      <c r="F21" s="3" t="b">
        <f t="shared" ref="F21:F28" ca="1" si="32">VLOOKUP(B21&amp;C21, INDIRECT("target_columns"), 6, FALSE)</f>
        <v>0</v>
      </c>
      <c r="G21" s="3" t="b">
        <f t="shared" ref="G21:G28" ca="1" si="33">VLOOKUP(B21&amp;C21, INDIRECT("target_columns"), 7, FALSE)</f>
        <v>0</v>
      </c>
      <c r="H21" s="3">
        <f t="shared" ref="H21:H28" ca="1" si="34">VLOOKUP(B21&amp;C21, INDIRECT("target_columns"), 8, FALSE)</f>
        <v>0</v>
      </c>
      <c r="I21" s="3" t="str">
        <f t="shared" ref="I21:I28" ca="1" si="35">VLOOKUP(B21&amp;C21, INDIRECT("target_columns"), 9, FALSE)</f>
        <v>Дата последнего снятия признака золотого продукта</v>
      </c>
      <c r="J21" s="3">
        <v>7</v>
      </c>
      <c r="K21" s="3" t="str">
        <f t="shared" ref="K21:K28" ca="1" si="36">VLOOKUP(J21, INDIRECT("source_tables"), 2, FALSE)</f>
        <v>b3050000420007_product</v>
      </c>
      <c r="L21" s="3" t="s">
        <v>779</v>
      </c>
      <c r="M21" s="3" t="e">
        <f t="shared" ref="M21:M25" ca="1" si="37">VLOOKUP(K21&amp;L21, INDIRECT("source_columns"), 4, FALSE)</f>
        <v>#N/A</v>
      </c>
      <c r="N21" s="3" t="e">
        <f t="shared" ref="N21:N25" ca="1" si="38">VLOOKUP(K21&amp;L21, INDIRECT("source_columns"), 5, FALSE)</f>
        <v>#N/A</v>
      </c>
      <c r="O21" s="3" t="e">
        <f t="shared" ref="O21:O25" ca="1" si="39">VLOOKUP(K21&amp;L21, INDIRECT("source_columns"), 6, FALSE)</f>
        <v>#N/A</v>
      </c>
      <c r="P21" s="3" t="e">
        <f t="shared" ref="P21:P25" ca="1" si="40">VLOOKUP(K21&amp;L21, INDIRECT("source_columns"), 7, FALSE)</f>
        <v>#N/A</v>
      </c>
      <c r="Q21" s="3"/>
      <c r="U21" s="58"/>
      <c r="W21" s="49"/>
    </row>
    <row r="22" spans="1:23" x14ac:dyDescent="0.25">
      <c r="A22">
        <f t="shared" si="29"/>
        <v>20</v>
      </c>
      <c r="B22" t="s">
        <v>657</v>
      </c>
      <c r="C22" s="3" t="s">
        <v>776</v>
      </c>
      <c r="D22" t="str">
        <f t="shared" ca="1" si="30"/>
        <v>uuid</v>
      </c>
      <c r="E22" t="b">
        <f t="shared" ca="1" si="31"/>
        <v>0</v>
      </c>
      <c r="F22" t="b">
        <f t="shared" ca="1" si="32"/>
        <v>0</v>
      </c>
      <c r="G22" t="b">
        <f t="shared" ca="1" si="33"/>
        <v>1</v>
      </c>
      <c r="H22" t="str">
        <f t="shared" ca="1" si="34"/>
        <v>t_agr_dep.agr_dep_id</v>
      </c>
      <c r="I22" t="str">
        <f t="shared" ca="1" si="35"/>
        <v>id первого депозитного договора</v>
      </c>
      <c r="J22">
        <v>26</v>
      </c>
      <c r="K22" t="str">
        <f t="shared" ca="1" si="36"/>
        <v>b3050000420026_depositadditionalinfo</v>
      </c>
      <c r="L22" s="3" t="s">
        <v>377</v>
      </c>
      <c r="M22" t="str">
        <f t="shared" ca="1" si="37"/>
        <v>uuid</v>
      </c>
      <c r="N22" t="b">
        <f t="shared" ca="1" si="38"/>
        <v>0</v>
      </c>
      <c r="O22" t="b">
        <f t="shared" ca="1" si="39"/>
        <v>0</v>
      </c>
      <c r="P22">
        <f t="shared" ca="1" si="40"/>
        <v>0</v>
      </c>
      <c r="U22" s="58"/>
      <c r="W22" s="49"/>
    </row>
    <row r="23" spans="1:23" x14ac:dyDescent="0.25">
      <c r="A23">
        <f t="shared" si="29"/>
        <v>20</v>
      </c>
      <c r="B23" t="s">
        <v>657</v>
      </c>
      <c r="C23" s="3" t="s">
        <v>781</v>
      </c>
      <c r="D23" t="str">
        <f t="shared" ca="1" si="30"/>
        <v>uuid</v>
      </c>
      <c r="E23" t="b">
        <f t="shared" ca="1" si="31"/>
        <v>0</v>
      </c>
      <c r="F23" t="b">
        <f t="shared" ca="1" si="32"/>
        <v>0</v>
      </c>
      <c r="G23" t="b">
        <f t="shared" ca="1" si="33"/>
        <v>1</v>
      </c>
      <c r="H23" t="str">
        <f t="shared" ca="1" si="34"/>
        <v>t_agr_dep.agr_dep_id</v>
      </c>
      <c r="I23" t="str">
        <f t="shared" ca="1" si="35"/>
        <v>id нового пролонгированого депозитного договора</v>
      </c>
      <c r="J23">
        <v>26</v>
      </c>
      <c r="K23" t="str">
        <f t="shared" ca="1" si="36"/>
        <v>b3050000420026_depositadditionalinfo</v>
      </c>
      <c r="L23" s="3" t="s">
        <v>384</v>
      </c>
      <c r="M23" t="str">
        <f t="shared" ca="1" si="37"/>
        <v>uuid</v>
      </c>
      <c r="N23" t="b">
        <f t="shared" ca="1" si="38"/>
        <v>0</v>
      </c>
      <c r="O23" t="b">
        <f t="shared" ca="1" si="39"/>
        <v>0</v>
      </c>
      <c r="P23">
        <f t="shared" ca="1" si="40"/>
        <v>0</v>
      </c>
      <c r="U23" s="58"/>
      <c r="W23" s="49"/>
    </row>
    <row r="24" spans="1:23" x14ac:dyDescent="0.25">
      <c r="A24">
        <f t="shared" si="29"/>
        <v>20</v>
      </c>
      <c r="B24" t="s">
        <v>657</v>
      </c>
      <c r="C24" s="3" t="s">
        <v>783</v>
      </c>
      <c r="D24" t="str">
        <f t="shared" ca="1" si="30"/>
        <v>text</v>
      </c>
      <c r="E24" t="b">
        <f t="shared" ca="1" si="31"/>
        <v>0</v>
      </c>
      <c r="F24" t="b">
        <f t="shared" ca="1" si="32"/>
        <v>0</v>
      </c>
      <c r="G24" t="b">
        <f t="shared" ca="1" si="33"/>
        <v>0</v>
      </c>
      <c r="H24">
        <f t="shared" ca="1" si="34"/>
        <v>0</v>
      </c>
      <c r="I24" t="str">
        <f t="shared" ca="1" si="35"/>
        <v>Возможность изменения суммы частично-досрочного отзыва</v>
      </c>
      <c r="J24">
        <v>26</v>
      </c>
      <c r="K24" t="str">
        <f t="shared" ca="1" si="36"/>
        <v>b3050000420026_depositadditionalinfo</v>
      </c>
      <c r="L24" s="3" t="s">
        <v>783</v>
      </c>
      <c r="M24" t="e">
        <f t="shared" ca="1" si="37"/>
        <v>#N/A</v>
      </c>
      <c r="N24" t="e">
        <f t="shared" ca="1" si="38"/>
        <v>#N/A</v>
      </c>
      <c r="O24" t="e">
        <f t="shared" ca="1" si="39"/>
        <v>#N/A</v>
      </c>
      <c r="P24" t="e">
        <f t="shared" ca="1" si="40"/>
        <v>#N/A</v>
      </c>
      <c r="U24" s="58"/>
      <c r="W24" s="49"/>
    </row>
    <row r="25" spans="1:23" x14ac:dyDescent="0.25">
      <c r="A25" s="31">
        <f t="shared" si="29"/>
        <v>20</v>
      </c>
      <c r="B25" s="31" t="s">
        <v>657</v>
      </c>
      <c r="C25" s="31" t="s">
        <v>784</v>
      </c>
      <c r="D25" s="31" t="str">
        <f t="shared" ca="1" si="30"/>
        <v>text</v>
      </c>
      <c r="E25" s="31" t="b">
        <f t="shared" ca="1" si="31"/>
        <v>0</v>
      </c>
      <c r="F25" s="31" t="b">
        <f t="shared" ca="1" si="32"/>
        <v>0</v>
      </c>
      <c r="G25" s="31" t="b">
        <f t="shared" ca="1" si="33"/>
        <v>0</v>
      </c>
      <c r="H25" s="31">
        <f t="shared" ca="1" si="34"/>
        <v>0</v>
      </c>
      <c r="I25" s="31" t="str">
        <f t="shared" ca="1" si="35"/>
        <v>Возможность частично-досрочного отзыва</v>
      </c>
      <c r="J25" s="31">
        <v>26</v>
      </c>
      <c r="K25" s="31" t="str">
        <f t="shared" ca="1" si="36"/>
        <v>b3050000420026_depositadditionalinfo</v>
      </c>
      <c r="L25" s="31" t="s">
        <v>784</v>
      </c>
      <c r="M25" s="31" t="e">
        <f t="shared" ca="1" si="37"/>
        <v>#N/A</v>
      </c>
      <c r="N25" s="31" t="e">
        <f t="shared" ca="1" si="38"/>
        <v>#N/A</v>
      </c>
      <c r="O25" s="31" t="e">
        <f t="shared" ca="1" si="39"/>
        <v>#N/A</v>
      </c>
      <c r="P25" s="31" t="e">
        <f t="shared" ca="1" si="40"/>
        <v>#N/A</v>
      </c>
      <c r="Q25" s="31"/>
      <c r="R25" s="31"/>
      <c r="S25" s="31"/>
      <c r="T25" s="31"/>
      <c r="U25" s="58"/>
      <c r="V25" s="31"/>
      <c r="W25" s="49"/>
    </row>
    <row r="26" spans="1:23" s="15" customFormat="1" x14ac:dyDescent="0.25">
      <c r="A26" s="31">
        <v>20</v>
      </c>
      <c r="B26" s="31" t="s">
        <v>657</v>
      </c>
      <c r="C26" s="68" t="s">
        <v>1622</v>
      </c>
      <c r="D26" s="31"/>
      <c r="E26" s="31"/>
      <c r="F26" s="31"/>
      <c r="G26" s="31"/>
      <c r="H26" s="31"/>
      <c r="I26" s="31"/>
      <c r="J26" s="32">
        <v>26</v>
      </c>
      <c r="K26" s="32" t="str">
        <f t="shared" ca="1" si="36"/>
        <v>b3050000420026_depositadditionalinfo</v>
      </c>
      <c r="L26" s="31" t="s">
        <v>1622</v>
      </c>
      <c r="M26" s="31"/>
      <c r="N26" s="31"/>
      <c r="O26" s="31"/>
      <c r="P26" s="31"/>
      <c r="Q26" s="31"/>
      <c r="R26" s="31"/>
      <c r="S26" s="31"/>
      <c r="T26" s="31"/>
      <c r="U26" s="58"/>
      <c r="V26" s="31"/>
      <c r="W26" s="49"/>
    </row>
    <row r="27" spans="1:23" s="15" customFormat="1" x14ac:dyDescent="0.25">
      <c r="A27" s="31">
        <v>20</v>
      </c>
      <c r="B27" s="32" t="s">
        <v>657</v>
      </c>
      <c r="C27" s="31" t="s">
        <v>1533</v>
      </c>
      <c r="D27" s="32" t="str">
        <f t="shared" ca="1" si="30"/>
        <v>text</v>
      </c>
      <c r="E27" s="32" t="b">
        <f t="shared" ca="1" si="31"/>
        <v>0</v>
      </c>
      <c r="F27" s="32" t="b">
        <f t="shared" ca="1" si="32"/>
        <v>0</v>
      </c>
      <c r="G27" s="32" t="b">
        <f t="shared" ca="1" si="33"/>
        <v>0</v>
      </c>
      <c r="H27" s="32">
        <f t="shared" ca="1" si="34"/>
        <v>0</v>
      </c>
      <c r="I27" s="32" t="str">
        <f t="shared" ca="1" si="35"/>
        <v>Возможность полного отзыва</v>
      </c>
      <c r="J27" s="32">
        <v>26</v>
      </c>
      <c r="K27" s="32" t="str">
        <f t="shared" ca="1" si="36"/>
        <v>b3050000420026_depositadditionalinfo</v>
      </c>
      <c r="L27" s="31" t="s">
        <v>1533</v>
      </c>
      <c r="M27" s="31" t="e">
        <f t="shared" ref="M27:M28" ca="1" si="41">VLOOKUP(K27&amp;L27, INDIRECT("source_columns"), 4, FALSE)</f>
        <v>#N/A</v>
      </c>
      <c r="N27" s="31" t="e">
        <f t="shared" ref="N27:N28" ca="1" si="42">VLOOKUP(K27&amp;L27, INDIRECT("source_columns"), 5, FALSE)</f>
        <v>#N/A</v>
      </c>
      <c r="O27" s="31" t="e">
        <f t="shared" ref="O27:O28" ca="1" si="43">VLOOKUP(K27&amp;L27, INDIRECT("source_columns"), 6, FALSE)</f>
        <v>#N/A</v>
      </c>
      <c r="P27" s="31" t="e">
        <f t="shared" ref="P27:P28" ca="1" si="44">VLOOKUP(K27&amp;L27, INDIRECT("source_columns"), 7, FALSE)</f>
        <v>#N/A</v>
      </c>
      <c r="Q27" s="31"/>
      <c r="R27" s="31"/>
      <c r="S27" s="31"/>
      <c r="T27" s="31"/>
      <c r="U27" s="58"/>
      <c r="V27" s="31"/>
      <c r="W27" s="49"/>
    </row>
    <row r="28" spans="1:23" s="15" customFormat="1" ht="15.75" thickBot="1" x14ac:dyDescent="0.3">
      <c r="A28" s="2">
        <v>20</v>
      </c>
      <c r="B28" s="2" t="s">
        <v>657</v>
      </c>
      <c r="C28" s="2" t="s">
        <v>981</v>
      </c>
      <c r="D28" s="2" t="str">
        <f t="shared" ca="1" si="30"/>
        <v>text</v>
      </c>
      <c r="E28" s="2" t="b">
        <f t="shared" ca="1" si="31"/>
        <v>0</v>
      </c>
      <c r="F28" s="2" t="b">
        <f t="shared" ca="1" si="32"/>
        <v>0</v>
      </c>
      <c r="G28" s="2" t="b">
        <f t="shared" ca="1" si="33"/>
        <v>0</v>
      </c>
      <c r="H28" s="2">
        <f t="shared" ca="1" si="34"/>
        <v>0</v>
      </c>
      <c r="I28" s="2" t="str">
        <f t="shared" ca="1" si="35"/>
        <v>Возможность пополнения</v>
      </c>
      <c r="J28" s="2">
        <v>26</v>
      </c>
      <c r="K28" s="2" t="str">
        <f t="shared" ca="1" si="36"/>
        <v>b3050000420026_depositadditionalinfo</v>
      </c>
      <c r="L28" s="2" t="s">
        <v>981</v>
      </c>
      <c r="M28" s="2" t="e">
        <f t="shared" ca="1" si="41"/>
        <v>#N/A</v>
      </c>
      <c r="N28" s="2" t="e">
        <f t="shared" ca="1" si="42"/>
        <v>#N/A</v>
      </c>
      <c r="O28" s="2" t="e">
        <f t="shared" ca="1" si="43"/>
        <v>#N/A</v>
      </c>
      <c r="P28" s="2" t="e">
        <f t="shared" ca="1" si="44"/>
        <v>#N/A</v>
      </c>
      <c r="Q28" s="2"/>
      <c r="R28" s="2"/>
      <c r="S28" s="2"/>
      <c r="T28" s="2"/>
      <c r="U28" s="59"/>
      <c r="V28" s="2"/>
      <c r="W28" s="50"/>
    </row>
    <row r="29" spans="1:23" x14ac:dyDescent="0.25">
      <c r="A29" s="10">
        <v>30</v>
      </c>
      <c r="B29" t="s">
        <v>659</v>
      </c>
      <c r="C29" t="s">
        <v>737</v>
      </c>
      <c r="D29" t="str">
        <f t="shared" ca="1" si="0"/>
        <v>uuid</v>
      </c>
      <c r="E29" t="b">
        <f t="shared" ca="1" si="1"/>
        <v>1</v>
      </c>
      <c r="F29" t="b">
        <f t="shared" ca="1" si="2"/>
        <v>1</v>
      </c>
      <c r="G29" t="b">
        <f t="shared" ca="1" si="3"/>
        <v>1</v>
      </c>
      <c r="H29" t="str">
        <f t="shared" ca="1" si="4"/>
        <v>t_agr_dep.agr_dep_id</v>
      </c>
      <c r="I29" t="str">
        <f t="shared" ca="1" si="5"/>
        <v>id депозитного договора</v>
      </c>
      <c r="J29">
        <v>7</v>
      </c>
      <c r="K29" t="str">
        <f t="shared" ca="1" si="6"/>
        <v>b3050000420007_product</v>
      </c>
      <c r="L29" s="3" t="s">
        <v>180</v>
      </c>
      <c r="M29" s="3" t="str">
        <f t="shared" ca="1" si="7"/>
        <v>uuid</v>
      </c>
      <c r="N29" s="3" t="b">
        <f t="shared" ca="1" si="8"/>
        <v>0</v>
      </c>
      <c r="O29" s="3" t="b">
        <f t="shared" ca="1" si="9"/>
        <v>0</v>
      </c>
      <c r="P29" s="3">
        <f t="shared" ca="1" si="10"/>
        <v>0</v>
      </c>
      <c r="Q29" s="3"/>
      <c r="R29" s="3" t="s">
        <v>1064</v>
      </c>
      <c r="S29" s="3" t="s">
        <v>1065</v>
      </c>
      <c r="T29" s="3"/>
      <c r="U29" s="54" t="s">
        <v>1066</v>
      </c>
      <c r="V29" t="str">
        <f>"n305000042" &amp; TEXT(A29, "0000") &amp; "_" &amp; RIGHT(B29, LEN(B29) - 2)</f>
        <v>n3050000420030_agr_dep_cust</v>
      </c>
      <c r="W29" s="54" t="s">
        <v>660</v>
      </c>
    </row>
    <row r="30" spans="1:23" x14ac:dyDescent="0.25">
      <c r="A30">
        <f>A29</f>
        <v>30</v>
      </c>
      <c r="B30" t="s">
        <v>659</v>
      </c>
      <c r="C30" t="s">
        <v>785</v>
      </c>
      <c r="D30" t="str">
        <f t="shared" ca="1" si="0"/>
        <v>date</v>
      </c>
      <c r="E30" t="b">
        <f t="shared" ca="1" si="1"/>
        <v>1</v>
      </c>
      <c r="F30" t="b">
        <f t="shared" ca="1" si="2"/>
        <v>1</v>
      </c>
      <c r="G30" t="b">
        <f t="shared" ca="1" si="3"/>
        <v>0</v>
      </c>
      <c r="H30">
        <f t="shared" ca="1" si="4"/>
        <v>0</v>
      </c>
      <c r="I30" t="str">
        <f t="shared" ca="1" si="5"/>
        <v>Дата начала действия</v>
      </c>
      <c r="J30">
        <v>7</v>
      </c>
      <c r="K30" t="str">
        <f t="shared" ca="1" si="6"/>
        <v>b3050000420007_product</v>
      </c>
      <c r="L30" s="3" t="s">
        <v>216</v>
      </c>
      <c r="M30" s="3" t="str">
        <f t="shared" ca="1" si="7"/>
        <v>timestamp without time zone</v>
      </c>
      <c r="N30" s="3" t="b">
        <f t="shared" ca="1" si="8"/>
        <v>0</v>
      </c>
      <c r="O30" s="3" t="b">
        <f t="shared" ca="1" si="9"/>
        <v>0</v>
      </c>
      <c r="P30" s="3">
        <f t="shared" ca="1" si="10"/>
        <v>0</v>
      </c>
      <c r="Q30" s="3"/>
      <c r="R30" s="3" t="s">
        <v>1067</v>
      </c>
      <c r="S30" s="3"/>
      <c r="T30" s="3"/>
      <c r="U30" s="55"/>
      <c r="W30" s="60"/>
    </row>
    <row r="31" spans="1:23" x14ac:dyDescent="0.25">
      <c r="A31">
        <f>A29</f>
        <v>30</v>
      </c>
      <c r="B31" t="s">
        <v>659</v>
      </c>
      <c r="C31" t="s">
        <v>787</v>
      </c>
      <c r="D31" t="str">
        <f t="shared" ca="1" si="0"/>
        <v>date</v>
      </c>
      <c r="E31" t="b">
        <f t="shared" ca="1" si="1"/>
        <v>0</v>
      </c>
      <c r="F31" t="b">
        <f t="shared" ca="1" si="2"/>
        <v>0</v>
      </c>
      <c r="G31" t="b">
        <f t="shared" ca="1" si="3"/>
        <v>0</v>
      </c>
      <c r="H31">
        <f t="shared" ca="1" si="4"/>
        <v>0</v>
      </c>
      <c r="I31" t="str">
        <f t="shared" ca="1" si="5"/>
        <v>Дата окончания действия</v>
      </c>
      <c r="J31">
        <v>7</v>
      </c>
      <c r="K31" t="str">
        <f t="shared" ca="1" si="6"/>
        <v>b3050000420007_product</v>
      </c>
      <c r="L31" s="3" t="s">
        <v>1068</v>
      </c>
      <c r="M31" s="3" t="e">
        <f t="shared" ca="1" si="7"/>
        <v>#N/A</v>
      </c>
      <c r="N31" s="3" t="e">
        <f t="shared" ca="1" si="8"/>
        <v>#N/A</v>
      </c>
      <c r="O31" s="3" t="e">
        <f t="shared" ca="1" si="9"/>
        <v>#N/A</v>
      </c>
      <c r="P31" s="3" t="e">
        <f t="shared" ca="1" si="10"/>
        <v>#N/A</v>
      </c>
      <c r="Q31" s="3"/>
      <c r="R31" s="3" t="s">
        <v>1069</v>
      </c>
      <c r="S31" s="3"/>
      <c r="T31" s="3"/>
      <c r="U31" s="55"/>
      <c r="W31" s="60"/>
    </row>
    <row r="32" spans="1:23" s="2" customFormat="1" ht="15.75" thickBot="1" x14ac:dyDescent="0.3">
      <c r="A32" s="2">
        <f>A29</f>
        <v>30</v>
      </c>
      <c r="B32" s="2" t="s">
        <v>659</v>
      </c>
      <c r="C32" s="2" t="s">
        <v>789</v>
      </c>
      <c r="D32" s="2" t="str">
        <f t="shared" ca="1" si="0"/>
        <v>uuid</v>
      </c>
      <c r="E32" s="2" t="b">
        <f t="shared" ca="1" si="1"/>
        <v>0</v>
      </c>
      <c r="F32" s="2" t="b">
        <f t="shared" ca="1" si="2"/>
        <v>0</v>
      </c>
      <c r="G32" s="2" t="b">
        <f t="shared" ca="1" si="3"/>
        <v>1</v>
      </c>
      <c r="H32" s="2" t="str">
        <f t="shared" ca="1" si="4"/>
        <v>t_cust.cust_id</v>
      </c>
      <c r="I32" s="2" t="str">
        <f t="shared" ca="1" si="5"/>
        <v>id клиента</v>
      </c>
      <c r="J32" s="2">
        <v>7</v>
      </c>
      <c r="K32" s="2" t="str">
        <f t="shared" ca="1" si="6"/>
        <v>b3050000420007_product</v>
      </c>
      <c r="L32" s="2" t="s">
        <v>227</v>
      </c>
      <c r="M32" s="2" t="str">
        <f t="shared" ca="1" si="7"/>
        <v>uuid</v>
      </c>
      <c r="N32" s="2" t="b">
        <f t="shared" ca="1" si="8"/>
        <v>0</v>
      </c>
      <c r="O32" s="2" t="b">
        <f t="shared" ca="1" si="9"/>
        <v>0</v>
      </c>
      <c r="P32" s="2">
        <f t="shared" ca="1" si="10"/>
        <v>0</v>
      </c>
      <c r="U32" s="56"/>
      <c r="W32" s="53"/>
    </row>
    <row r="33" spans="1:23" x14ac:dyDescent="0.25">
      <c r="A33" s="10">
        <v>40</v>
      </c>
      <c r="B33" t="s">
        <v>661</v>
      </c>
      <c r="C33" t="s">
        <v>737</v>
      </c>
      <c r="D33" t="str">
        <f t="shared" ca="1" si="0"/>
        <v>uuid</v>
      </c>
      <c r="E33" t="b">
        <f t="shared" ca="1" si="1"/>
        <v>1</v>
      </c>
      <c r="F33" t="b">
        <f t="shared" ca="1" si="2"/>
        <v>1</v>
      </c>
      <c r="G33" t="b">
        <f t="shared" ca="1" si="3"/>
        <v>1</v>
      </c>
      <c r="H33" t="str">
        <f t="shared" ca="1" si="4"/>
        <v>t_agr_dep.agr_dep_id</v>
      </c>
      <c r="I33" t="str">
        <f t="shared" ca="1" si="5"/>
        <v>id депозитного договора</v>
      </c>
      <c r="J33">
        <v>7</v>
      </c>
      <c r="K33" t="str">
        <f t="shared" ca="1" si="6"/>
        <v>b3050000420007_product</v>
      </c>
      <c r="L33" s="3" t="s">
        <v>180</v>
      </c>
      <c r="M33" t="str">
        <f t="shared" ca="1" si="7"/>
        <v>uuid</v>
      </c>
      <c r="N33" t="b">
        <f t="shared" ca="1" si="8"/>
        <v>0</v>
      </c>
      <c r="O33" t="b">
        <f t="shared" ca="1" si="9"/>
        <v>0</v>
      </c>
      <c r="P33">
        <f t="shared" ca="1" si="10"/>
        <v>0</v>
      </c>
      <c r="R33" t="s">
        <v>1064</v>
      </c>
      <c r="S33" t="s">
        <v>1065</v>
      </c>
      <c r="U33" s="57" t="s">
        <v>1539</v>
      </c>
      <c r="V33" t="str">
        <f>"n305000042" &amp; TEXT(A33, "0000") &amp; "_" &amp; RIGHT(B33, LEN(B33) - 2)</f>
        <v>n3050000420040_agr_dep_fin</v>
      </c>
      <c r="W33" s="54" t="s">
        <v>662</v>
      </c>
    </row>
    <row r="34" spans="1:23" x14ac:dyDescent="0.25">
      <c r="A34">
        <f>A33</f>
        <v>40</v>
      </c>
      <c r="B34" t="s">
        <v>661</v>
      </c>
      <c r="C34" t="s">
        <v>785</v>
      </c>
      <c r="D34" t="str">
        <f t="shared" ca="1" si="0"/>
        <v>date</v>
      </c>
      <c r="E34" t="b">
        <f t="shared" ca="1" si="1"/>
        <v>1</v>
      </c>
      <c r="F34" t="b">
        <f t="shared" ca="1" si="2"/>
        <v>1</v>
      </c>
      <c r="G34" t="b">
        <f t="shared" ca="1" si="3"/>
        <v>0</v>
      </c>
      <c r="H34">
        <f t="shared" ca="1" si="4"/>
        <v>0</v>
      </c>
      <c r="I34" t="str">
        <f t="shared" ca="1" si="5"/>
        <v>Дата начала действия</v>
      </c>
      <c r="J34">
        <v>7</v>
      </c>
      <c r="K34" t="str">
        <f t="shared" ca="1" si="6"/>
        <v>b3050000420007_product</v>
      </c>
      <c r="L34" s="3" t="s">
        <v>216</v>
      </c>
      <c r="M34" t="str">
        <f t="shared" ca="1" si="7"/>
        <v>timestamp without time zone</v>
      </c>
      <c r="N34" t="b">
        <f t="shared" ca="1" si="8"/>
        <v>0</v>
      </c>
      <c r="O34" t="b">
        <f t="shared" ca="1" si="9"/>
        <v>0</v>
      </c>
      <c r="P34">
        <f t="shared" ca="1" si="10"/>
        <v>0</v>
      </c>
      <c r="R34" t="s">
        <v>1067</v>
      </c>
      <c r="U34" s="55"/>
      <c r="W34" s="60"/>
    </row>
    <row r="35" spans="1:23" x14ac:dyDescent="0.25">
      <c r="A35">
        <f>A33</f>
        <v>40</v>
      </c>
      <c r="B35" t="s">
        <v>661</v>
      </c>
      <c r="C35" t="s">
        <v>787</v>
      </c>
      <c r="D35" t="str">
        <f t="shared" ca="1" si="0"/>
        <v>date</v>
      </c>
      <c r="E35" t="b">
        <f t="shared" ca="1" si="1"/>
        <v>0</v>
      </c>
      <c r="F35" t="b">
        <f t="shared" ca="1" si="2"/>
        <v>0</v>
      </c>
      <c r="G35" t="b">
        <f t="shared" ca="1" si="3"/>
        <v>0</v>
      </c>
      <c r="H35">
        <f t="shared" ca="1" si="4"/>
        <v>0</v>
      </c>
      <c r="I35" t="str">
        <f t="shared" ca="1" si="5"/>
        <v>Дата окончания действия</v>
      </c>
      <c r="J35">
        <v>7</v>
      </c>
      <c r="K35" t="str">
        <f t="shared" ca="1" si="6"/>
        <v>b3050000420007_product</v>
      </c>
      <c r="L35" s="3" t="s">
        <v>1068</v>
      </c>
      <c r="M35" t="e">
        <f t="shared" ca="1" si="7"/>
        <v>#N/A</v>
      </c>
      <c r="N35" t="e">
        <f t="shared" ca="1" si="8"/>
        <v>#N/A</v>
      </c>
      <c r="O35" t="e">
        <f t="shared" ca="1" si="9"/>
        <v>#N/A</v>
      </c>
      <c r="P35" t="e">
        <f t="shared" ca="1" si="10"/>
        <v>#N/A</v>
      </c>
      <c r="R35" t="s">
        <v>1069</v>
      </c>
      <c r="U35" s="55"/>
      <c r="W35" s="60"/>
    </row>
    <row r="36" spans="1:23" x14ac:dyDescent="0.25">
      <c r="A36">
        <f>A33</f>
        <v>40</v>
      </c>
      <c r="B36" t="s">
        <v>661</v>
      </c>
      <c r="C36" t="s">
        <v>792</v>
      </c>
      <c r="D36" t="str">
        <f t="shared" ca="1" si="0"/>
        <v>numeric</v>
      </c>
      <c r="E36" t="b">
        <f t="shared" ca="1" si="1"/>
        <v>0</v>
      </c>
      <c r="F36" t="b">
        <f t="shared" ca="1" si="2"/>
        <v>0</v>
      </c>
      <c r="G36" t="b">
        <f t="shared" ca="1" si="3"/>
        <v>0</v>
      </c>
      <c r="H36">
        <f t="shared" ca="1" si="4"/>
        <v>0</v>
      </c>
      <c r="I36" t="str">
        <f t="shared" ca="1" si="5"/>
        <v>Сумма в валюте договора</v>
      </c>
      <c r="J36">
        <v>7</v>
      </c>
      <c r="K36" t="str">
        <f t="shared" ca="1" si="6"/>
        <v>b3050000420007_product</v>
      </c>
      <c r="L36" s="3" t="s">
        <v>249</v>
      </c>
      <c r="M36" t="str">
        <f t="shared" ca="1" si="7"/>
        <v>numeric(38,10)</v>
      </c>
      <c r="N36" t="b">
        <f t="shared" ca="1" si="8"/>
        <v>0</v>
      </c>
      <c r="O36" t="b">
        <f t="shared" ca="1" si="9"/>
        <v>0</v>
      </c>
      <c r="P36" t="str">
        <f t="shared" ca="1" si="10"/>
        <v>Сумма</v>
      </c>
      <c r="U36" s="55"/>
      <c r="W36" s="60"/>
    </row>
    <row r="37" spans="1:23" x14ac:dyDescent="0.25">
      <c r="A37">
        <f>A33</f>
        <v>40</v>
      </c>
      <c r="B37" t="s">
        <v>661</v>
      </c>
      <c r="C37" t="s">
        <v>795</v>
      </c>
      <c r="D37" t="str">
        <f t="shared" ca="1" si="0"/>
        <v>integer</v>
      </c>
      <c r="E37" t="b">
        <f t="shared" ca="1" si="1"/>
        <v>0</v>
      </c>
      <c r="F37" t="b">
        <f t="shared" ca="1" si="2"/>
        <v>0</v>
      </c>
      <c r="G37" t="b">
        <f t="shared" ca="1" si="3"/>
        <v>0</v>
      </c>
      <c r="H37">
        <f t="shared" ca="1" si="4"/>
        <v>0</v>
      </c>
      <c r="I37" t="str">
        <f t="shared" ca="1" si="5"/>
        <v>Длительность в днях</v>
      </c>
      <c r="J37">
        <v>7</v>
      </c>
      <c r="K37" t="str">
        <f t="shared" ca="1" si="6"/>
        <v>b3050000420007_product</v>
      </c>
      <c r="L37" s="3" t="s">
        <v>280</v>
      </c>
      <c r="M37" t="str">
        <f t="shared" ca="1" si="7"/>
        <v>numeric(38,10)</v>
      </c>
      <c r="N37" t="b">
        <f t="shared" ca="1" si="8"/>
        <v>0</v>
      </c>
      <c r="O37" t="b">
        <f t="shared" ca="1" si="9"/>
        <v>0</v>
      </c>
      <c r="P37" t="str">
        <f t="shared" ca="1" si="10"/>
        <v>Срок</v>
      </c>
      <c r="U37" s="55"/>
      <c r="W37" s="60"/>
    </row>
    <row r="38" spans="1:23" x14ac:dyDescent="0.25">
      <c r="A38">
        <f>A33</f>
        <v>40</v>
      </c>
      <c r="B38" s="3" t="s">
        <v>661</v>
      </c>
      <c r="C38" s="3" t="s">
        <v>797</v>
      </c>
      <c r="D38" s="3" t="str">
        <f t="shared" ref="D38:D42" ca="1" si="45">VLOOKUP(B38&amp;C38, INDIRECT("target_columns"), 4, FALSE)</f>
        <v>uuid</v>
      </c>
      <c r="E38" s="3" t="b">
        <f t="shared" ref="E38:E42" ca="1" si="46">VLOOKUP(B38&amp;C38, INDIRECT("target_columns"), 5, FALSE)</f>
        <v>0</v>
      </c>
      <c r="F38" s="3" t="b">
        <f t="shared" ref="F38:F42" ca="1" si="47">VLOOKUP(B38&amp;C38, INDIRECT("target_columns"), 6, FALSE)</f>
        <v>0</v>
      </c>
      <c r="G38" s="3" t="b">
        <f t="shared" ref="G38:G42" ca="1" si="48">VLOOKUP(B38&amp;C38, INDIRECT("target_columns"), 7, FALSE)</f>
        <v>1</v>
      </c>
      <c r="H38" s="3" t="str">
        <f t="shared" ref="H38:H42" ca="1" si="49">VLOOKUP(B38&amp;C38, INDIRECT("target_columns"), 8, FALSE)</f>
        <v>t_time_period_type.time_period_type_id</v>
      </c>
      <c r="I38" s="3" t="str">
        <f t="shared" ref="I38:I42" ca="1" si="50">VLOOKUP(B38&amp;C38, INDIRECT("target_columns"), 9, FALSE)</f>
        <v>Периодичность выплаты процентов</v>
      </c>
      <c r="J38" s="3">
        <v>7</v>
      </c>
      <c r="K38" s="3" t="str">
        <f t="shared" ref="K38:K42" ca="1" si="51">VLOOKUP(J38, INDIRECT("source_tables"), 2, FALSE)</f>
        <v>b3050000420007_product</v>
      </c>
      <c r="L38" s="3" t="s">
        <v>286</v>
      </c>
      <c r="M38" s="3" t="str">
        <f t="shared" ref="M38:M42" ca="1" si="52">VLOOKUP(K38&amp;L38, INDIRECT("source_columns"), 4, FALSE)</f>
        <v>uuid</v>
      </c>
      <c r="N38" s="3" t="b">
        <f t="shared" ref="N38:N42" ca="1" si="53">VLOOKUP(K38&amp;L38, INDIRECT("source_columns"), 5, FALSE)</f>
        <v>0</v>
      </c>
      <c r="O38" s="3" t="b">
        <f t="shared" ref="O38:O42" ca="1" si="54">VLOOKUP(K38&amp;L38, INDIRECT("source_columns"), 6, FALSE)</f>
        <v>0</v>
      </c>
      <c r="P38" s="3">
        <f t="shared" ref="P38:P42" ca="1" si="55">VLOOKUP(K38&amp;L38, INDIRECT("source_columns"), 7, FALSE)</f>
        <v>0</v>
      </c>
      <c r="U38" s="55"/>
      <c r="W38" s="60"/>
    </row>
    <row r="39" spans="1:23" x14ac:dyDescent="0.25">
      <c r="A39">
        <f>A33</f>
        <v>40</v>
      </c>
      <c r="B39" t="s">
        <v>661</v>
      </c>
      <c r="C39" s="3" t="s">
        <v>799</v>
      </c>
      <c r="D39" t="str">
        <f t="shared" ca="1" si="45"/>
        <v>numeric</v>
      </c>
      <c r="E39" t="b">
        <f t="shared" ca="1" si="46"/>
        <v>0</v>
      </c>
      <c r="F39" t="b">
        <f t="shared" ca="1" si="47"/>
        <v>0</v>
      </c>
      <c r="G39" t="b">
        <f t="shared" ca="1" si="48"/>
        <v>0</v>
      </c>
      <c r="H39">
        <f t="shared" ca="1" si="49"/>
        <v>0</v>
      </c>
      <c r="I39" t="str">
        <f t="shared" ca="1" si="50"/>
        <v>Максимальная сумма депозита</v>
      </c>
      <c r="J39">
        <v>26</v>
      </c>
      <c r="K39" t="str">
        <f t="shared" ca="1" si="51"/>
        <v>b3050000420026_depositadditionalinfo</v>
      </c>
      <c r="L39" t="s">
        <v>379</v>
      </c>
      <c r="M39" t="str">
        <f t="shared" ca="1" si="52"/>
        <v>numeric(38,10)</v>
      </c>
      <c r="N39" t="b">
        <f t="shared" ca="1" si="53"/>
        <v>0</v>
      </c>
      <c r="O39" t="b">
        <f t="shared" ca="1" si="54"/>
        <v>0</v>
      </c>
      <c r="P39" t="str">
        <f t="shared" ca="1" si="55"/>
        <v>Максимальная сумма депозита</v>
      </c>
      <c r="U39" s="55"/>
      <c r="W39" s="60"/>
    </row>
    <row r="40" spans="1:23" x14ac:dyDescent="0.25">
      <c r="A40">
        <f>A33</f>
        <v>40</v>
      </c>
      <c r="B40" t="s">
        <v>661</v>
      </c>
      <c r="C40" s="3" t="s">
        <v>800</v>
      </c>
      <c r="D40" t="str">
        <f t="shared" ca="1" si="45"/>
        <v>numeric</v>
      </c>
      <c r="E40" t="b">
        <f t="shared" ca="1" si="46"/>
        <v>0</v>
      </c>
      <c r="F40" t="b">
        <f t="shared" ca="1" si="47"/>
        <v>0</v>
      </c>
      <c r="G40" t="b">
        <f t="shared" ca="1" si="48"/>
        <v>0</v>
      </c>
      <c r="H40">
        <f t="shared" ca="1" si="49"/>
        <v>0</v>
      </c>
      <c r="I40" t="str">
        <f t="shared" ca="1" si="50"/>
        <v>Максимальная сумма для единовременного пополнения</v>
      </c>
      <c r="J40">
        <v>26</v>
      </c>
      <c r="K40" t="str">
        <f t="shared" ca="1" si="51"/>
        <v>b3050000420026_depositadditionalinfo</v>
      </c>
      <c r="L40" t="s">
        <v>380</v>
      </c>
      <c r="M40" t="str">
        <f t="shared" ca="1" si="52"/>
        <v>numeric(38,10)</v>
      </c>
      <c r="N40" t="b">
        <f t="shared" ca="1" si="53"/>
        <v>0</v>
      </c>
      <c r="O40" t="b">
        <f t="shared" ca="1" si="54"/>
        <v>0</v>
      </c>
      <c r="P40" t="str">
        <f t="shared" ca="1" si="55"/>
        <v>Максимальная сумма для единовременного пополнения</v>
      </c>
      <c r="U40" s="55"/>
      <c r="W40" s="60"/>
    </row>
    <row r="41" spans="1:23" x14ac:dyDescent="0.25">
      <c r="A41">
        <f>A33</f>
        <v>40</v>
      </c>
      <c r="B41" t="s">
        <v>661</v>
      </c>
      <c r="C41" s="3" t="s">
        <v>801</v>
      </c>
      <c r="D41" t="str">
        <f t="shared" ca="1" si="45"/>
        <v>numeric</v>
      </c>
      <c r="E41" t="b">
        <f t="shared" ca="1" si="46"/>
        <v>0</v>
      </c>
      <c r="F41" t="b">
        <f t="shared" ca="1" si="47"/>
        <v>0</v>
      </c>
      <c r="G41" t="b">
        <f t="shared" ca="1" si="48"/>
        <v>0</v>
      </c>
      <c r="H41">
        <f t="shared" ca="1" si="49"/>
        <v>0</v>
      </c>
      <c r="I41" t="str">
        <f t="shared" ca="1" si="50"/>
        <v>Минимальная сумма депозита</v>
      </c>
      <c r="J41">
        <v>26</v>
      </c>
      <c r="K41" t="str">
        <f t="shared" ca="1" si="51"/>
        <v>b3050000420026_depositadditionalinfo</v>
      </c>
      <c r="L41" t="s">
        <v>381</v>
      </c>
      <c r="M41" t="str">
        <f t="shared" ca="1" si="52"/>
        <v>numeric(38,10)</v>
      </c>
      <c r="N41" t="b">
        <f t="shared" ca="1" si="53"/>
        <v>0</v>
      </c>
      <c r="O41" t="b">
        <f t="shared" ca="1" si="54"/>
        <v>0</v>
      </c>
      <c r="P41" t="str">
        <f t="shared" ca="1" si="55"/>
        <v>Минимальная сумма депозита</v>
      </c>
      <c r="U41" s="55"/>
      <c r="W41" s="60"/>
    </row>
    <row r="42" spans="1:23" ht="15.75" thickBot="1" x14ac:dyDescent="0.3">
      <c r="A42" s="2">
        <f>A33</f>
        <v>40</v>
      </c>
      <c r="B42" s="2" t="s">
        <v>661</v>
      </c>
      <c r="C42" s="2" t="s">
        <v>802</v>
      </c>
      <c r="D42" s="2" t="str">
        <f t="shared" ca="1" si="45"/>
        <v>numeric</v>
      </c>
      <c r="E42" s="2" t="b">
        <f t="shared" ca="1" si="46"/>
        <v>0</v>
      </c>
      <c r="F42" s="2" t="b">
        <f t="shared" ca="1" si="47"/>
        <v>0</v>
      </c>
      <c r="G42" s="2" t="b">
        <f t="shared" ca="1" si="48"/>
        <v>0</v>
      </c>
      <c r="H42" s="2">
        <f t="shared" ca="1" si="49"/>
        <v>0</v>
      </c>
      <c r="I42" s="2" t="str">
        <f t="shared" ca="1" si="50"/>
        <v>Минимальная сумма для единовременного пополнения</v>
      </c>
      <c r="J42" s="2">
        <v>26</v>
      </c>
      <c r="K42" s="2" t="str">
        <f t="shared" ca="1" si="51"/>
        <v>b3050000420026_depositadditionalinfo</v>
      </c>
      <c r="L42" s="2" t="s">
        <v>382</v>
      </c>
      <c r="M42" s="2" t="str">
        <f t="shared" ca="1" si="52"/>
        <v>numeric(38,10)</v>
      </c>
      <c r="N42" s="2" t="b">
        <f t="shared" ca="1" si="53"/>
        <v>0</v>
      </c>
      <c r="O42" s="2" t="b">
        <f t="shared" ca="1" si="54"/>
        <v>0</v>
      </c>
      <c r="P42" s="2" t="str">
        <f t="shared" ca="1" si="55"/>
        <v>Минимальная сумма для единовременного пополнения</v>
      </c>
      <c r="Q42" s="2"/>
      <c r="R42" s="2"/>
      <c r="S42" s="2"/>
      <c r="T42" s="2"/>
      <c r="U42" s="55"/>
      <c r="V42" s="2"/>
      <c r="W42" s="53"/>
    </row>
    <row r="43" spans="1:23" x14ac:dyDescent="0.25">
      <c r="A43" s="10">
        <v>50</v>
      </c>
      <c r="B43" t="s">
        <v>663</v>
      </c>
      <c r="C43" t="s">
        <v>737</v>
      </c>
      <c r="D43" t="str">
        <f t="shared" ca="1" si="0"/>
        <v>uuid</v>
      </c>
      <c r="E43" t="b">
        <f t="shared" ca="1" si="1"/>
        <v>1</v>
      </c>
      <c r="F43" t="b">
        <f t="shared" ca="1" si="2"/>
        <v>1</v>
      </c>
      <c r="G43" t="b">
        <f t="shared" ca="1" si="3"/>
        <v>1</v>
      </c>
      <c r="H43" t="str">
        <f t="shared" ca="1" si="4"/>
        <v>t_agr_dep.agr_dep_id</v>
      </c>
      <c r="I43" t="str">
        <f t="shared" ca="1" si="5"/>
        <v>id депозитного договора</v>
      </c>
      <c r="J43">
        <v>7</v>
      </c>
      <c r="K43" t="str">
        <f t="shared" ca="1" si="6"/>
        <v>b3050000420007_product</v>
      </c>
      <c r="L43" s="3" t="s">
        <v>180</v>
      </c>
      <c r="M43" t="str">
        <f t="shared" ca="1" si="7"/>
        <v>uuid</v>
      </c>
      <c r="N43" t="b">
        <f t="shared" ca="1" si="8"/>
        <v>0</v>
      </c>
      <c r="O43" t="b">
        <f t="shared" ca="1" si="9"/>
        <v>0</v>
      </c>
      <c r="P43">
        <f t="shared" ca="1" si="10"/>
        <v>0</v>
      </c>
      <c r="R43" t="s">
        <v>1064</v>
      </c>
      <c r="S43" t="s">
        <v>1065</v>
      </c>
      <c r="U43" s="54" t="s">
        <v>1070</v>
      </c>
      <c r="V43" t="str">
        <f>"n305000042" &amp; TEXT(A43, "0000") &amp; "_" &amp; RIGHT(B43, LEN(B43) - 2)</f>
        <v>n3050000420050_agr_dep_int_org</v>
      </c>
      <c r="W43" s="54" t="s">
        <v>664</v>
      </c>
    </row>
    <row r="44" spans="1:23" x14ac:dyDescent="0.25">
      <c r="A44">
        <f>A43</f>
        <v>50</v>
      </c>
      <c r="B44" t="s">
        <v>663</v>
      </c>
      <c r="C44" t="s">
        <v>785</v>
      </c>
      <c r="D44" t="str">
        <f t="shared" ca="1" si="0"/>
        <v>date</v>
      </c>
      <c r="E44" t="b">
        <f t="shared" ca="1" si="1"/>
        <v>1</v>
      </c>
      <c r="F44" t="b">
        <f t="shared" ca="1" si="2"/>
        <v>1</v>
      </c>
      <c r="G44" t="b">
        <f t="shared" ca="1" si="3"/>
        <v>0</v>
      </c>
      <c r="H44">
        <f t="shared" ca="1" si="4"/>
        <v>0</v>
      </c>
      <c r="I44" t="str">
        <f t="shared" ca="1" si="5"/>
        <v>Дата начала действия</v>
      </c>
      <c r="J44">
        <v>7</v>
      </c>
      <c r="K44" t="str">
        <f t="shared" ca="1" si="6"/>
        <v>b3050000420007_product</v>
      </c>
      <c r="L44" s="3" t="s">
        <v>216</v>
      </c>
      <c r="M44" t="str">
        <f t="shared" ca="1" si="7"/>
        <v>timestamp without time zone</v>
      </c>
      <c r="N44" t="b">
        <f t="shared" ca="1" si="8"/>
        <v>0</v>
      </c>
      <c r="O44" t="b">
        <f t="shared" ca="1" si="9"/>
        <v>0</v>
      </c>
      <c r="P44">
        <f t="shared" ca="1" si="10"/>
        <v>0</v>
      </c>
      <c r="R44" t="s">
        <v>1067</v>
      </c>
      <c r="U44" s="55"/>
      <c r="W44" s="60"/>
    </row>
    <row r="45" spans="1:23" x14ac:dyDescent="0.25">
      <c r="A45">
        <f>A43</f>
        <v>50</v>
      </c>
      <c r="B45" t="s">
        <v>663</v>
      </c>
      <c r="C45" t="s">
        <v>787</v>
      </c>
      <c r="D45" t="str">
        <f t="shared" ca="1" si="0"/>
        <v>date</v>
      </c>
      <c r="E45" t="b">
        <f t="shared" ca="1" si="1"/>
        <v>0</v>
      </c>
      <c r="F45" t="b">
        <f t="shared" ca="1" si="2"/>
        <v>0</v>
      </c>
      <c r="G45" t="b">
        <f t="shared" ca="1" si="3"/>
        <v>0</v>
      </c>
      <c r="H45">
        <f t="shared" ca="1" si="4"/>
        <v>0</v>
      </c>
      <c r="I45" t="str">
        <f t="shared" ca="1" si="5"/>
        <v>Дата окончания действия</v>
      </c>
      <c r="J45">
        <v>7</v>
      </c>
      <c r="K45" t="str">
        <f t="shared" ca="1" si="6"/>
        <v>b3050000420007_product</v>
      </c>
      <c r="L45" s="3" t="s">
        <v>1068</v>
      </c>
      <c r="M45" t="e">
        <f t="shared" ca="1" si="7"/>
        <v>#N/A</v>
      </c>
      <c r="N45" t="e">
        <f t="shared" ca="1" si="8"/>
        <v>#N/A</v>
      </c>
      <c r="O45" t="e">
        <f t="shared" ca="1" si="9"/>
        <v>#N/A</v>
      </c>
      <c r="P45" t="e">
        <f t="shared" ca="1" si="10"/>
        <v>#N/A</v>
      </c>
      <c r="R45" t="s">
        <v>1069</v>
      </c>
      <c r="U45" s="55"/>
      <c r="W45" s="60"/>
    </row>
    <row r="46" spans="1:23" s="2" customFormat="1" ht="15.75" thickBot="1" x14ac:dyDescent="0.3">
      <c r="A46" s="2">
        <f>A43</f>
        <v>50</v>
      </c>
      <c r="B46" s="2" t="s">
        <v>663</v>
      </c>
      <c r="C46" s="2" t="s">
        <v>803</v>
      </c>
      <c r="D46" s="2" t="str">
        <f t="shared" ref="D46:D107" ca="1" si="56">VLOOKUP(B46&amp;C46, INDIRECT("target_columns"), 4, FALSE)</f>
        <v>uuid</v>
      </c>
      <c r="E46" s="2" t="b">
        <f t="shared" ref="E46:E107" ca="1" si="57">VLOOKUP(B46&amp;C46, INDIRECT("target_columns"), 5, FALSE)</f>
        <v>0</v>
      </c>
      <c r="F46" s="2" t="b">
        <f t="shared" ref="F46:F107" ca="1" si="58">VLOOKUP(B46&amp;C46, INDIRECT("target_columns"), 6, FALSE)</f>
        <v>0</v>
      </c>
      <c r="G46" s="2" t="b">
        <f t="shared" ref="G46:G107" ca="1" si="59">VLOOKUP(B46&amp;C46, INDIRECT("target_columns"), 7, FALSE)</f>
        <v>1</v>
      </c>
      <c r="H46" s="2" t="str">
        <f t="shared" ref="H46:H107" ca="1" si="60">VLOOKUP(B46&amp;C46, INDIRECT("target_columns"), 8, FALSE)</f>
        <v>t_int_org.int_org_id</v>
      </c>
      <c r="I46" s="2" t="str">
        <f t="shared" ref="I46:I107" ca="1" si="61">VLOOKUP(B46&amp;C46, INDIRECT("target_columns"), 9, FALSE)</f>
        <v>id подразделения</v>
      </c>
      <c r="J46" s="2">
        <v>7</v>
      </c>
      <c r="K46" s="2" t="str">
        <f t="shared" ref="K46:K107" ca="1" si="62">VLOOKUP(J46, INDIRECT("source_tables"), 2, FALSE)</f>
        <v>b3050000420007_product</v>
      </c>
      <c r="L46" s="2" t="s">
        <v>229</v>
      </c>
      <c r="M46" s="2" t="str">
        <f t="shared" ref="M46:M107" ca="1" si="63">VLOOKUP(K46&amp;L46, INDIRECT("source_columns"), 4, FALSE)</f>
        <v>uuid</v>
      </c>
      <c r="N46" s="2" t="b">
        <f t="shared" ref="N46:N107" ca="1" si="64">VLOOKUP(K46&amp;L46, INDIRECT("source_columns"), 5, FALSE)</f>
        <v>0</v>
      </c>
      <c r="O46" s="2" t="b">
        <f t="shared" ref="O46:O107" ca="1" si="65">VLOOKUP(K46&amp;L46, INDIRECT("source_columns"), 6, FALSE)</f>
        <v>0</v>
      </c>
      <c r="P46" s="2">
        <f t="shared" ref="P46:P107" ca="1" si="66">VLOOKUP(K46&amp;L46, INDIRECT("source_columns"), 7, FALSE)</f>
        <v>0</v>
      </c>
      <c r="U46" s="56"/>
      <c r="W46" s="53"/>
    </row>
    <row r="47" spans="1:23" x14ac:dyDescent="0.25">
      <c r="A47" s="10">
        <v>60</v>
      </c>
      <c r="B47" t="s">
        <v>665</v>
      </c>
      <c r="C47" t="s">
        <v>806</v>
      </c>
      <c r="D47" t="str">
        <f t="shared" ca="1" si="56"/>
        <v>uuid</v>
      </c>
      <c r="E47" t="b">
        <f t="shared" ca="1" si="57"/>
        <v>1</v>
      </c>
      <c r="F47" t="b">
        <f t="shared" ca="1" si="58"/>
        <v>1</v>
      </c>
      <c r="G47" t="b">
        <f t="shared" ca="1" si="59"/>
        <v>0</v>
      </c>
      <c r="H47">
        <f t="shared" ca="1" si="60"/>
        <v>0</v>
      </c>
      <c r="I47" t="str">
        <f t="shared" ca="1" si="61"/>
        <v>id назначения депозитного договора</v>
      </c>
      <c r="J47">
        <v>13</v>
      </c>
      <c r="K47" t="str">
        <f t="shared" ca="1" si="62"/>
        <v>b3050000420013_specialattributes</v>
      </c>
      <c r="L47" s="3" t="s">
        <v>334</v>
      </c>
      <c r="M47" t="str">
        <f t="shared" ca="1" si="63"/>
        <v>uuid</v>
      </c>
      <c r="N47" t="b">
        <f t="shared" ca="1" si="64"/>
        <v>0</v>
      </c>
      <c r="O47" t="b">
        <f t="shared" ca="1" si="65"/>
        <v>0</v>
      </c>
      <c r="P47">
        <f t="shared" ca="1" si="66"/>
        <v>0</v>
      </c>
      <c r="R47" t="s">
        <v>1064</v>
      </c>
      <c r="S47" t="s">
        <v>1071</v>
      </c>
      <c r="U47" s="54" t="s">
        <v>1072</v>
      </c>
      <c r="V47" t="str">
        <f>"n305000042" &amp; TEXT(A47, "0000") &amp; "_" &amp; RIGHT(B47, LEN(B47) - 2)</f>
        <v>n3050000420060_agr_dep_purpose_type</v>
      </c>
      <c r="W47" s="54" t="s">
        <v>666</v>
      </c>
    </row>
    <row r="48" spans="1:23" x14ac:dyDescent="0.25">
      <c r="A48">
        <f>A47</f>
        <v>60</v>
      </c>
      <c r="B48" t="s">
        <v>665</v>
      </c>
      <c r="C48" t="s">
        <v>807</v>
      </c>
      <c r="D48" t="str">
        <f t="shared" ca="1" si="56"/>
        <v>text</v>
      </c>
      <c r="E48" t="b">
        <f t="shared" ca="1" si="57"/>
        <v>0</v>
      </c>
      <c r="F48" t="b">
        <f t="shared" ca="1" si="58"/>
        <v>0</v>
      </c>
      <c r="G48" t="b">
        <f t="shared" ca="1" si="59"/>
        <v>0</v>
      </c>
      <c r="H48">
        <f t="shared" ca="1" si="60"/>
        <v>0</v>
      </c>
      <c r="I48" t="str">
        <f t="shared" ca="1" si="61"/>
        <v>Код назначения депозитного договора</v>
      </c>
      <c r="J48">
        <v>13</v>
      </c>
      <c r="K48" t="str">
        <f t="shared" ca="1" si="62"/>
        <v>b3050000420013_specialattributes</v>
      </c>
      <c r="L48" s="3" t="s">
        <v>333</v>
      </c>
      <c r="M48" t="str">
        <f t="shared" ca="1" si="63"/>
        <v>text</v>
      </c>
      <c r="N48" t="b">
        <f t="shared" ca="1" si="64"/>
        <v>0</v>
      </c>
      <c r="O48" t="b">
        <f t="shared" ca="1" si="65"/>
        <v>0</v>
      </c>
      <c r="P48" t="str">
        <f t="shared" ca="1" si="66"/>
        <v>Код спец. признака продукта</v>
      </c>
      <c r="U48" s="55"/>
      <c r="W48" s="60"/>
    </row>
    <row r="49" spans="1:23" x14ac:dyDescent="0.25">
      <c r="A49">
        <f>A47</f>
        <v>60</v>
      </c>
      <c r="B49" t="s">
        <v>665</v>
      </c>
      <c r="C49" t="s">
        <v>809</v>
      </c>
      <c r="D49" t="str">
        <f t="shared" ca="1" si="56"/>
        <v>text</v>
      </c>
      <c r="E49" t="b">
        <f t="shared" ca="1" si="57"/>
        <v>0</v>
      </c>
      <c r="F49" t="b">
        <f t="shared" ca="1" si="58"/>
        <v>0</v>
      </c>
      <c r="G49" t="b">
        <f t="shared" ca="1" si="59"/>
        <v>0</v>
      </c>
      <c r="H49">
        <f t="shared" ca="1" si="60"/>
        <v>0</v>
      </c>
      <c r="I49" t="str">
        <f t="shared" ca="1" si="61"/>
        <v>Наименование назначения депозитного договора</v>
      </c>
      <c r="J49">
        <v>13</v>
      </c>
      <c r="K49" t="str">
        <f t="shared" ca="1" si="62"/>
        <v>b3050000420013_specialattributes</v>
      </c>
      <c r="L49" s="3"/>
      <c r="M49" t="e">
        <f t="shared" ca="1" si="63"/>
        <v>#N/A</v>
      </c>
      <c r="N49" t="e">
        <f t="shared" ca="1" si="64"/>
        <v>#N/A</v>
      </c>
      <c r="O49" t="e">
        <f t="shared" ca="1" si="65"/>
        <v>#N/A</v>
      </c>
      <c r="P49" t="e">
        <f t="shared" ca="1" si="66"/>
        <v>#N/A</v>
      </c>
      <c r="U49" s="55"/>
      <c r="W49" s="60"/>
    </row>
    <row r="50" spans="1:23" s="2" customFormat="1" ht="15.75" thickBot="1" x14ac:dyDescent="0.3">
      <c r="A50" s="2">
        <f>A47</f>
        <v>60</v>
      </c>
      <c r="B50" s="2" t="s">
        <v>665</v>
      </c>
      <c r="C50" s="2" t="s">
        <v>811</v>
      </c>
      <c r="D50" s="2" t="str">
        <f t="shared" ca="1" si="56"/>
        <v>text</v>
      </c>
      <c r="E50" s="2" t="b">
        <f t="shared" ca="1" si="57"/>
        <v>0</v>
      </c>
      <c r="F50" s="2" t="b">
        <f t="shared" ca="1" si="58"/>
        <v>0</v>
      </c>
      <c r="G50" s="2" t="b">
        <f t="shared" ca="1" si="59"/>
        <v>0</v>
      </c>
      <c r="H50" s="2">
        <f t="shared" ca="1" si="60"/>
        <v>0</v>
      </c>
      <c r="I50" s="2" t="str">
        <f t="shared" ca="1" si="61"/>
        <v>id назначения депозитного в источнике</v>
      </c>
      <c r="J50" s="2">
        <v>13</v>
      </c>
      <c r="K50" s="2" t="str">
        <f t="shared" ca="1" si="62"/>
        <v>b3050000420013_specialattributes</v>
      </c>
      <c r="L50" s="2" t="s">
        <v>333</v>
      </c>
      <c r="M50" s="2" t="str">
        <f t="shared" ca="1" si="63"/>
        <v>text</v>
      </c>
      <c r="N50" s="2" t="b">
        <f t="shared" ca="1" si="64"/>
        <v>0</v>
      </c>
      <c r="O50" s="2" t="b">
        <f t="shared" ca="1" si="65"/>
        <v>0</v>
      </c>
      <c r="P50" s="2" t="str">
        <f t="shared" ca="1" si="66"/>
        <v>Код спец. признака продукта</v>
      </c>
      <c r="U50" s="56"/>
      <c r="W50" s="53"/>
    </row>
    <row r="51" spans="1:23" x14ac:dyDescent="0.25">
      <c r="A51" s="10">
        <v>80</v>
      </c>
      <c r="B51" t="s">
        <v>669</v>
      </c>
      <c r="C51" t="s">
        <v>737</v>
      </c>
      <c r="D51" t="str">
        <f t="shared" ca="1" si="56"/>
        <v>uuid</v>
      </c>
      <c r="E51" t="b">
        <f t="shared" ca="1" si="57"/>
        <v>1</v>
      </c>
      <c r="F51" t="b">
        <f t="shared" ca="1" si="58"/>
        <v>1</v>
      </c>
      <c r="G51" t="b">
        <f t="shared" ca="1" si="59"/>
        <v>1</v>
      </c>
      <c r="H51" t="str">
        <f t="shared" ca="1" si="60"/>
        <v>t_agr_dep.agr_dep_id</v>
      </c>
      <c r="I51" t="str">
        <f t="shared" ca="1" si="61"/>
        <v>id депозитного договора</v>
      </c>
      <c r="J51">
        <v>7</v>
      </c>
      <c r="K51" t="str">
        <f t="shared" ca="1" si="62"/>
        <v>b3050000420007_product</v>
      </c>
      <c r="L51" s="3" t="s">
        <v>180</v>
      </c>
      <c r="M51" t="str">
        <f t="shared" ca="1" si="63"/>
        <v>uuid</v>
      </c>
      <c r="N51" t="b">
        <f t="shared" ca="1" si="64"/>
        <v>0</v>
      </c>
      <c r="O51" t="b">
        <f t="shared" ca="1" si="65"/>
        <v>0</v>
      </c>
      <c r="P51">
        <f t="shared" ca="1" si="66"/>
        <v>0</v>
      </c>
      <c r="R51" t="s">
        <v>1064</v>
      </c>
      <c r="S51" t="s">
        <v>1065</v>
      </c>
      <c r="U51" s="54" t="s">
        <v>1073</v>
      </c>
      <c r="V51" t="str">
        <f>"n305000042" &amp; TEXT(A51, "0000") &amp; "_" &amp; RIGHT(B51, LEN(B51) - 2)</f>
        <v>n3050000420080_agr_dep_stts</v>
      </c>
      <c r="W51" s="54" t="s">
        <v>670</v>
      </c>
    </row>
    <row r="52" spans="1:23" x14ac:dyDescent="0.25">
      <c r="A52">
        <f>A51</f>
        <v>80</v>
      </c>
      <c r="B52" t="s">
        <v>669</v>
      </c>
      <c r="C52" t="s">
        <v>785</v>
      </c>
      <c r="D52" t="str">
        <f t="shared" ca="1" si="56"/>
        <v>date</v>
      </c>
      <c r="E52" t="b">
        <f t="shared" ca="1" si="57"/>
        <v>1</v>
      </c>
      <c r="F52" t="b">
        <f t="shared" ca="1" si="58"/>
        <v>1</v>
      </c>
      <c r="G52" t="b">
        <f t="shared" ca="1" si="59"/>
        <v>0</v>
      </c>
      <c r="H52">
        <f t="shared" ca="1" si="60"/>
        <v>0</v>
      </c>
      <c r="I52" t="str">
        <f t="shared" ca="1" si="61"/>
        <v>Дата начала действия</v>
      </c>
      <c r="J52">
        <v>7</v>
      </c>
      <c r="K52" t="str">
        <f t="shared" ca="1" si="62"/>
        <v>b3050000420007_product</v>
      </c>
      <c r="L52" s="3" t="s">
        <v>216</v>
      </c>
      <c r="M52" t="str">
        <f t="shared" ca="1" si="63"/>
        <v>timestamp without time zone</v>
      </c>
      <c r="N52" t="b">
        <f t="shared" ca="1" si="64"/>
        <v>0</v>
      </c>
      <c r="O52" t="b">
        <f t="shared" ca="1" si="65"/>
        <v>0</v>
      </c>
      <c r="P52">
        <f t="shared" ca="1" si="66"/>
        <v>0</v>
      </c>
      <c r="R52" t="s">
        <v>1067</v>
      </c>
      <c r="U52" s="55"/>
      <c r="W52" s="60"/>
    </row>
    <row r="53" spans="1:23" x14ac:dyDescent="0.25">
      <c r="A53">
        <f>A51</f>
        <v>80</v>
      </c>
      <c r="B53" t="s">
        <v>669</v>
      </c>
      <c r="C53" t="s">
        <v>787</v>
      </c>
      <c r="D53" t="str">
        <f t="shared" ca="1" si="56"/>
        <v>date</v>
      </c>
      <c r="E53" t="b">
        <f t="shared" ca="1" si="57"/>
        <v>0</v>
      </c>
      <c r="F53" t="b">
        <f t="shared" ca="1" si="58"/>
        <v>0</v>
      </c>
      <c r="G53" t="b">
        <f t="shared" ca="1" si="59"/>
        <v>0</v>
      </c>
      <c r="H53">
        <f t="shared" ca="1" si="60"/>
        <v>0</v>
      </c>
      <c r="I53" t="str">
        <f t="shared" ca="1" si="61"/>
        <v>Дата окончания действия</v>
      </c>
      <c r="J53">
        <v>7</v>
      </c>
      <c r="K53" t="str">
        <f t="shared" ca="1" si="62"/>
        <v>b3050000420007_product</v>
      </c>
      <c r="L53" s="3" t="s">
        <v>1068</v>
      </c>
      <c r="M53" t="e">
        <f t="shared" ca="1" si="63"/>
        <v>#N/A</v>
      </c>
      <c r="N53" t="e">
        <f t="shared" ca="1" si="64"/>
        <v>#N/A</v>
      </c>
      <c r="O53" t="e">
        <f t="shared" ca="1" si="65"/>
        <v>#N/A</v>
      </c>
      <c r="P53" t="e">
        <f t="shared" ca="1" si="66"/>
        <v>#N/A</v>
      </c>
      <c r="R53" t="s">
        <v>1069</v>
      </c>
      <c r="U53" s="55"/>
      <c r="W53" s="60"/>
    </row>
    <row r="54" spans="1:23" s="2" customFormat="1" ht="15.75" thickBot="1" x14ac:dyDescent="0.3">
      <c r="A54" s="2">
        <f>A51</f>
        <v>80</v>
      </c>
      <c r="B54" s="2" t="s">
        <v>669</v>
      </c>
      <c r="C54" s="2" t="s">
        <v>819</v>
      </c>
      <c r="D54" s="2" t="str">
        <f t="shared" ca="1" si="56"/>
        <v>uuid</v>
      </c>
      <c r="E54" s="2" t="b">
        <f t="shared" ca="1" si="57"/>
        <v>0</v>
      </c>
      <c r="F54" s="2" t="b">
        <f t="shared" ca="1" si="58"/>
        <v>0</v>
      </c>
      <c r="G54" s="2" t="b">
        <f t="shared" ca="1" si="59"/>
        <v>1</v>
      </c>
      <c r="H54" s="2" t="str">
        <f t="shared" ca="1" si="60"/>
        <v>t_entity_stts.entity_stts_id</v>
      </c>
      <c r="I54" s="2" t="str">
        <f t="shared" ca="1" si="61"/>
        <v>id статуса</v>
      </c>
      <c r="J54" s="2">
        <v>7</v>
      </c>
      <c r="K54" s="2" t="str">
        <f t="shared" ca="1" si="62"/>
        <v>b3050000420007_product</v>
      </c>
      <c r="L54" s="2" t="s">
        <v>199</v>
      </c>
      <c r="M54" s="2" t="str">
        <f t="shared" ca="1" si="63"/>
        <v>uuid</v>
      </c>
      <c r="N54" s="2" t="b">
        <f t="shared" ca="1" si="64"/>
        <v>0</v>
      </c>
      <c r="O54" s="2" t="b">
        <f t="shared" ca="1" si="65"/>
        <v>0</v>
      </c>
      <c r="P54" s="2">
        <f t="shared" ca="1" si="66"/>
        <v>0</v>
      </c>
      <c r="U54" s="56"/>
      <c r="W54" s="53"/>
    </row>
    <row r="55" spans="1:23" x14ac:dyDescent="0.25">
      <c r="A55" s="10">
        <v>90</v>
      </c>
      <c r="B55" t="s">
        <v>671</v>
      </c>
      <c r="C55" t="s">
        <v>741</v>
      </c>
      <c r="D55" t="str">
        <f t="shared" ca="1" si="56"/>
        <v>uuid</v>
      </c>
      <c r="E55" t="b">
        <f t="shared" ca="1" si="57"/>
        <v>1</v>
      </c>
      <c r="F55" t="b">
        <f t="shared" ca="1" si="58"/>
        <v>1</v>
      </c>
      <c r="G55" t="b">
        <f t="shared" ca="1" si="59"/>
        <v>0</v>
      </c>
      <c r="H55">
        <f t="shared" ca="1" si="60"/>
        <v>0</v>
      </c>
      <c r="I55" t="str">
        <f t="shared" ca="1" si="61"/>
        <v>id типа депозитного договора</v>
      </c>
      <c r="J55">
        <v>7</v>
      </c>
      <c r="K55" t="str">
        <f t="shared" ca="1" si="62"/>
        <v>b3050000420007_product</v>
      </c>
      <c r="L55" s="3" t="s">
        <v>293</v>
      </c>
      <c r="M55" t="str">
        <f t="shared" ca="1" si="63"/>
        <v>uuid</v>
      </c>
      <c r="N55" t="b">
        <f t="shared" ca="1" si="64"/>
        <v>0</v>
      </c>
      <c r="O55" t="b">
        <f t="shared" ca="1" si="65"/>
        <v>0</v>
      </c>
      <c r="P55">
        <f t="shared" ca="1" si="66"/>
        <v>0</v>
      </c>
      <c r="R55" t="s">
        <v>1064</v>
      </c>
      <c r="S55" t="s">
        <v>1071</v>
      </c>
      <c r="U55" s="54" t="s">
        <v>1074</v>
      </c>
      <c r="V55" t="str">
        <f>"n305000042" &amp; TEXT(A55, "0000") &amp; "_" &amp; RIGHT(B55, LEN(B55) - 2)</f>
        <v>n3050000420090_agr_dep_type</v>
      </c>
      <c r="W55" s="54" t="s">
        <v>672</v>
      </c>
    </row>
    <row r="56" spans="1:23" x14ac:dyDescent="0.25">
      <c r="A56">
        <f>A55</f>
        <v>90</v>
      </c>
      <c r="B56" t="s">
        <v>671</v>
      </c>
      <c r="C56" t="s">
        <v>823</v>
      </c>
      <c r="D56" t="str">
        <f t="shared" ca="1" si="56"/>
        <v>text</v>
      </c>
      <c r="E56" t="b">
        <f t="shared" ca="1" si="57"/>
        <v>0</v>
      </c>
      <c r="F56" t="b">
        <f t="shared" ca="1" si="58"/>
        <v>0</v>
      </c>
      <c r="G56" t="b">
        <f t="shared" ca="1" si="59"/>
        <v>0</v>
      </c>
      <c r="H56">
        <f t="shared" ca="1" si="60"/>
        <v>0</v>
      </c>
      <c r="I56" t="str">
        <f t="shared" ca="1" si="61"/>
        <v>Код типа депозитного договора</v>
      </c>
      <c r="J56">
        <v>7</v>
      </c>
      <c r="K56" t="str">
        <f t="shared" ca="1" si="62"/>
        <v>b3050000420007_product</v>
      </c>
      <c r="L56" s="3" t="s">
        <v>292</v>
      </c>
      <c r="M56" t="str">
        <f t="shared" ca="1" si="63"/>
        <v>text</v>
      </c>
      <c r="N56" t="b">
        <f t="shared" ca="1" si="64"/>
        <v>0</v>
      </c>
      <c r="O56" t="b">
        <f t="shared" ca="1" si="65"/>
        <v>0</v>
      </c>
      <c r="P56" t="str">
        <f t="shared" ca="1" si="66"/>
        <v>Тип продукта</v>
      </c>
      <c r="U56" s="55"/>
      <c r="W56" s="60"/>
    </row>
    <row r="57" spans="1:23" x14ac:dyDescent="0.25">
      <c r="A57">
        <f>A55</f>
        <v>90</v>
      </c>
      <c r="B57" t="s">
        <v>671</v>
      </c>
      <c r="C57" t="s">
        <v>825</v>
      </c>
      <c r="D57" t="str">
        <f t="shared" ca="1" si="56"/>
        <v>text</v>
      </c>
      <c r="E57" t="b">
        <f t="shared" ca="1" si="57"/>
        <v>0</v>
      </c>
      <c r="F57" t="b">
        <f t="shared" ca="1" si="58"/>
        <v>0</v>
      </c>
      <c r="G57" t="b">
        <f t="shared" ca="1" si="59"/>
        <v>0</v>
      </c>
      <c r="H57">
        <f t="shared" ca="1" si="60"/>
        <v>0</v>
      </c>
      <c r="I57" t="str">
        <f t="shared" ca="1" si="61"/>
        <v>Описание типа депозитного договора</v>
      </c>
      <c r="J57">
        <v>7</v>
      </c>
      <c r="K57" t="str">
        <f t="shared" ca="1" si="62"/>
        <v>b3050000420007_product</v>
      </c>
      <c r="L57" s="3" t="s">
        <v>1075</v>
      </c>
      <c r="M57" t="e">
        <f t="shared" ca="1" si="63"/>
        <v>#N/A</v>
      </c>
      <c r="N57" t="e">
        <f t="shared" ca="1" si="64"/>
        <v>#N/A</v>
      </c>
      <c r="O57" t="e">
        <f t="shared" ca="1" si="65"/>
        <v>#N/A</v>
      </c>
      <c r="P57" t="e">
        <f t="shared" ca="1" si="66"/>
        <v>#N/A</v>
      </c>
      <c r="U57" s="55"/>
      <c r="W57" s="60"/>
    </row>
    <row r="58" spans="1:23" s="2" customFormat="1" ht="15.75" thickBot="1" x14ac:dyDescent="0.3">
      <c r="A58" s="2">
        <f>A55</f>
        <v>90</v>
      </c>
      <c r="B58" s="2" t="s">
        <v>671</v>
      </c>
      <c r="C58" s="2" t="s">
        <v>827</v>
      </c>
      <c r="D58" s="2" t="str">
        <f t="shared" ca="1" si="56"/>
        <v>text</v>
      </c>
      <c r="E58" s="2" t="b">
        <f t="shared" ca="1" si="57"/>
        <v>0</v>
      </c>
      <c r="F58" s="2" t="b">
        <f t="shared" ca="1" si="58"/>
        <v>0</v>
      </c>
      <c r="G58" s="2" t="b">
        <f t="shared" ca="1" si="59"/>
        <v>0</v>
      </c>
      <c r="H58" s="2">
        <f t="shared" ca="1" si="60"/>
        <v>0</v>
      </c>
      <c r="I58" s="2" t="str">
        <f t="shared" ca="1" si="61"/>
        <v>id типа депозитного договора в источнике</v>
      </c>
      <c r="J58" s="2">
        <v>7</v>
      </c>
      <c r="K58" s="2" t="str">
        <f t="shared" ca="1" si="62"/>
        <v>b3050000420007_product</v>
      </c>
      <c r="L58" s="2" t="s">
        <v>292</v>
      </c>
      <c r="M58" s="2" t="str">
        <f t="shared" ca="1" si="63"/>
        <v>text</v>
      </c>
      <c r="N58" s="2" t="b">
        <f t="shared" ca="1" si="64"/>
        <v>0</v>
      </c>
      <c r="O58" s="2" t="b">
        <f t="shared" ca="1" si="65"/>
        <v>0</v>
      </c>
      <c r="P58" s="2" t="str">
        <f t="shared" ca="1" si="66"/>
        <v>Тип продукта</v>
      </c>
      <c r="U58" s="56"/>
      <c r="W58" s="53"/>
    </row>
    <row r="59" spans="1:23" x14ac:dyDescent="0.25">
      <c r="A59" s="10">
        <v>100</v>
      </c>
      <c r="B59" t="s">
        <v>673</v>
      </c>
      <c r="C59" t="s">
        <v>743</v>
      </c>
      <c r="D59" t="str">
        <f t="shared" ca="1" si="56"/>
        <v>uuid</v>
      </c>
      <c r="E59" t="b">
        <f t="shared" ca="1" si="57"/>
        <v>1</v>
      </c>
      <c r="F59" t="b">
        <f t="shared" ca="1" si="58"/>
        <v>1</v>
      </c>
      <c r="G59" t="b">
        <f t="shared" ca="1" si="59"/>
        <v>1</v>
      </c>
      <c r="H59" t="str">
        <f t="shared" ca="1" si="60"/>
        <v>t_agr_frame.agr_frame_id</v>
      </c>
      <c r="I59" t="str">
        <f t="shared" ca="1" si="61"/>
        <v>id рамочного договора</v>
      </c>
      <c r="J59">
        <v>2</v>
      </c>
      <c r="K59" t="str">
        <f t="shared" ca="1" si="62"/>
        <v>b3050000420002_baseagreement</v>
      </c>
      <c r="L59" s="3" t="s">
        <v>180</v>
      </c>
      <c r="M59" t="str">
        <f t="shared" ca="1" si="63"/>
        <v>uuid</v>
      </c>
      <c r="N59" t="b">
        <f t="shared" ca="1" si="64"/>
        <v>0</v>
      </c>
      <c r="O59" t="b">
        <f t="shared" ca="1" si="65"/>
        <v>0</v>
      </c>
      <c r="P59">
        <f t="shared" ca="1" si="66"/>
        <v>0</v>
      </c>
      <c r="R59" t="s">
        <v>1064</v>
      </c>
      <c r="S59" t="s">
        <v>8</v>
      </c>
      <c r="U59" s="54" t="s">
        <v>1076</v>
      </c>
      <c r="V59" t="str">
        <f>"n305000042" &amp; TEXT(A59, "0000") &amp; "_" &amp; RIGHT(B59, LEN(B59) - 2)</f>
        <v>n3050000420100_agr_frame</v>
      </c>
      <c r="W59" s="54" t="s">
        <v>674</v>
      </c>
    </row>
    <row r="60" spans="1:23" x14ac:dyDescent="0.25">
      <c r="A60">
        <f>A59</f>
        <v>100</v>
      </c>
      <c r="B60" t="s">
        <v>673</v>
      </c>
      <c r="C60" t="s">
        <v>785</v>
      </c>
      <c r="D60" t="str">
        <f t="shared" ca="1" si="56"/>
        <v>date</v>
      </c>
      <c r="E60" t="b">
        <f t="shared" ca="1" si="57"/>
        <v>0</v>
      </c>
      <c r="F60" t="b">
        <f t="shared" ca="1" si="58"/>
        <v>0</v>
      </c>
      <c r="G60" t="b">
        <f t="shared" ca="1" si="59"/>
        <v>0</v>
      </c>
      <c r="H60">
        <f t="shared" ca="1" si="60"/>
        <v>0</v>
      </c>
      <c r="I60" t="str">
        <f t="shared" ca="1" si="61"/>
        <v>Дата начала действия</v>
      </c>
      <c r="J60">
        <v>2</v>
      </c>
      <c r="K60" t="str">
        <f t="shared" ca="1" si="62"/>
        <v>b3050000420002_baseagreement</v>
      </c>
      <c r="L60" s="3" t="s">
        <v>225</v>
      </c>
      <c r="M60" t="str">
        <f t="shared" ca="1" si="63"/>
        <v>timestamp without time zone</v>
      </c>
      <c r="N60" t="b">
        <f t="shared" ca="1" si="64"/>
        <v>0</v>
      </c>
      <c r="O60" t="b">
        <f t="shared" ca="1" si="65"/>
        <v>0</v>
      </c>
      <c r="P60" t="str">
        <f t="shared" ca="1" si="66"/>
        <v>Дата начала</v>
      </c>
      <c r="U60" s="55"/>
      <c r="W60" s="60"/>
    </row>
    <row r="61" spans="1:23" x14ac:dyDescent="0.25">
      <c r="A61">
        <f>A59</f>
        <v>100</v>
      </c>
      <c r="B61" t="s">
        <v>673</v>
      </c>
      <c r="C61" t="s">
        <v>830</v>
      </c>
      <c r="D61" t="str">
        <f t="shared" ca="1" si="56"/>
        <v>text</v>
      </c>
      <c r="E61" t="b">
        <f t="shared" ca="1" si="57"/>
        <v>0</v>
      </c>
      <c r="F61" t="b">
        <f t="shared" ca="1" si="58"/>
        <v>0</v>
      </c>
      <c r="G61" t="b">
        <f t="shared" ca="1" si="59"/>
        <v>0</v>
      </c>
      <c r="H61">
        <f t="shared" ca="1" si="60"/>
        <v>0</v>
      </c>
      <c r="I61" t="str">
        <f t="shared" ca="1" si="61"/>
        <v>Дополнительная информация по рамочному договору</v>
      </c>
      <c r="J61">
        <v>2</v>
      </c>
      <c r="K61" t="str">
        <f t="shared" ca="1" si="62"/>
        <v>b3050000420002_baseagreement</v>
      </c>
      <c r="L61" s="3" t="s">
        <v>178</v>
      </c>
      <c r="M61" t="str">
        <f t="shared" ca="1" si="63"/>
        <v>text</v>
      </c>
      <c r="N61" t="b">
        <f t="shared" ca="1" si="64"/>
        <v>0</v>
      </c>
      <c r="O61" t="b">
        <f t="shared" ca="1" si="65"/>
        <v>0</v>
      </c>
      <c r="P61" t="str">
        <f t="shared" ca="1" si="66"/>
        <v>Примечание</v>
      </c>
      <c r="U61" s="55"/>
      <c r="W61" s="60"/>
    </row>
    <row r="62" spans="1:23" x14ac:dyDescent="0.25">
      <c r="A62">
        <f>A59</f>
        <v>100</v>
      </c>
      <c r="B62" t="s">
        <v>673</v>
      </c>
      <c r="C62" t="s">
        <v>832</v>
      </c>
      <c r="D62" t="str">
        <f t="shared" ca="1" si="56"/>
        <v>text</v>
      </c>
      <c r="E62" t="b">
        <f t="shared" ca="1" si="57"/>
        <v>0</v>
      </c>
      <c r="F62" t="b">
        <f t="shared" ca="1" si="58"/>
        <v>0</v>
      </c>
      <c r="G62" t="b">
        <f t="shared" ca="1" si="59"/>
        <v>0</v>
      </c>
      <c r="H62">
        <f t="shared" ca="1" si="60"/>
        <v>0</v>
      </c>
      <c r="I62" t="str">
        <f t="shared" ca="1" si="61"/>
        <v>Номер рамочного договора</v>
      </c>
      <c r="J62">
        <v>2</v>
      </c>
      <c r="K62" t="str">
        <f t="shared" ca="1" si="62"/>
        <v>b3050000420002_baseagreement</v>
      </c>
      <c r="L62" s="3" t="s">
        <v>231</v>
      </c>
      <c r="M62" t="str">
        <f t="shared" ca="1" si="63"/>
        <v>text</v>
      </c>
      <c r="N62" t="b">
        <f t="shared" ca="1" si="64"/>
        <v>0</v>
      </c>
      <c r="O62" t="b">
        <f t="shared" ca="1" si="65"/>
        <v>0</v>
      </c>
      <c r="P62" t="str">
        <f t="shared" ca="1" si="66"/>
        <v>Номер соглашения</v>
      </c>
      <c r="U62" s="55"/>
      <c r="W62" s="60"/>
    </row>
    <row r="63" spans="1:23" x14ac:dyDescent="0.25">
      <c r="A63">
        <f>A59</f>
        <v>100</v>
      </c>
      <c r="B63" t="s">
        <v>673</v>
      </c>
      <c r="C63" t="s">
        <v>834</v>
      </c>
      <c r="D63" t="str">
        <f t="shared" ca="1" si="56"/>
        <v>uuid</v>
      </c>
      <c r="E63" t="b">
        <f t="shared" ca="1" si="57"/>
        <v>0</v>
      </c>
      <c r="F63" t="b">
        <f t="shared" ca="1" si="58"/>
        <v>0</v>
      </c>
      <c r="G63" t="b">
        <f t="shared" ca="1" si="59"/>
        <v>1</v>
      </c>
      <c r="H63" t="str">
        <f t="shared" ca="1" si="60"/>
        <v>t_agr_frame_type.agr_frame_type_id</v>
      </c>
      <c r="I63" t="str">
        <f t="shared" ca="1" si="61"/>
        <v>id типа рамочного договора</v>
      </c>
      <c r="J63">
        <v>2</v>
      </c>
      <c r="K63" t="str">
        <f t="shared" ca="1" si="62"/>
        <v>b3050000420002_baseagreement</v>
      </c>
      <c r="L63" s="3" t="s">
        <v>224</v>
      </c>
      <c r="M63" t="str">
        <f t="shared" ca="1" si="63"/>
        <v>uuid</v>
      </c>
      <c r="N63" t="b">
        <f t="shared" ca="1" si="64"/>
        <v>0</v>
      </c>
      <c r="O63" t="b">
        <f t="shared" ca="1" si="65"/>
        <v>0</v>
      </c>
      <c r="P63">
        <f t="shared" ca="1" si="66"/>
        <v>0</v>
      </c>
      <c r="U63" s="55"/>
      <c r="W63" s="60"/>
    </row>
    <row r="64" spans="1:23" x14ac:dyDescent="0.25">
      <c r="A64">
        <f>A59</f>
        <v>100</v>
      </c>
      <c r="B64" t="s">
        <v>673</v>
      </c>
      <c r="C64" t="s">
        <v>749</v>
      </c>
      <c r="D64" t="str">
        <f t="shared" ca="1" si="56"/>
        <v>date</v>
      </c>
      <c r="E64" t="b">
        <f t="shared" ca="1" si="57"/>
        <v>0</v>
      </c>
      <c r="F64" t="b">
        <f t="shared" ca="1" si="58"/>
        <v>0</v>
      </c>
      <c r="G64" t="b">
        <f t="shared" ca="1" si="59"/>
        <v>0</v>
      </c>
      <c r="H64">
        <f t="shared" ca="1" si="60"/>
        <v>0</v>
      </c>
      <c r="I64" t="str">
        <f t="shared" ca="1" si="61"/>
        <v>Дата закрытия</v>
      </c>
      <c r="J64">
        <v>2</v>
      </c>
      <c r="K64" t="str">
        <f t="shared" ca="1" si="62"/>
        <v>b3050000420002_baseagreement</v>
      </c>
      <c r="L64" s="3" t="s">
        <v>228</v>
      </c>
      <c r="M64" t="str">
        <f t="shared" ca="1" si="63"/>
        <v>timestamp without time zone</v>
      </c>
      <c r="N64" t="b">
        <f t="shared" ca="1" si="64"/>
        <v>0</v>
      </c>
      <c r="O64" t="b">
        <f t="shared" ca="1" si="65"/>
        <v>0</v>
      </c>
      <c r="P64" t="str">
        <f t="shared" ca="1" si="66"/>
        <v>Дата закрытия</v>
      </c>
      <c r="U64" s="55"/>
      <c r="W64" s="60"/>
    </row>
    <row r="65" spans="1:23" s="2" customFormat="1" ht="15.75" thickBot="1" x14ac:dyDescent="0.3">
      <c r="A65" s="2">
        <f>A59</f>
        <v>100</v>
      </c>
      <c r="B65" s="2" t="s">
        <v>673</v>
      </c>
      <c r="C65" s="2" t="s">
        <v>837</v>
      </c>
      <c r="D65" s="2" t="str">
        <f t="shared" ca="1" si="56"/>
        <v>text</v>
      </c>
      <c r="E65" s="2" t="b">
        <f t="shared" ca="1" si="57"/>
        <v>0</v>
      </c>
      <c r="F65" s="2" t="b">
        <f t="shared" ca="1" si="58"/>
        <v>0</v>
      </c>
      <c r="G65" s="2" t="b">
        <f t="shared" ca="1" si="59"/>
        <v>0</v>
      </c>
      <c r="H65" s="2">
        <f t="shared" ca="1" si="60"/>
        <v>0</v>
      </c>
      <c r="I65" s="2" t="str">
        <f t="shared" ca="1" si="61"/>
        <v>id рамочного договора в источнике</v>
      </c>
      <c r="J65" s="2">
        <v>2</v>
      </c>
      <c r="K65" s="2" t="str">
        <f t="shared" ca="1" si="62"/>
        <v>b3050000420002_baseagreement</v>
      </c>
      <c r="L65" s="2" t="s">
        <v>179</v>
      </c>
      <c r="M65" s="2" t="str">
        <f t="shared" ca="1" si="63"/>
        <v>text</v>
      </c>
      <c r="N65" s="2" t="b">
        <f t="shared" ca="1" si="64"/>
        <v>1</v>
      </c>
      <c r="O65" s="2" t="b">
        <f t="shared" ca="1" si="65"/>
        <v>1</v>
      </c>
      <c r="P65" s="2" t="str">
        <f t="shared" ca="1" si="66"/>
        <v>Прикладной ID объекта</v>
      </c>
      <c r="U65" s="56"/>
      <c r="W65" s="53"/>
    </row>
    <row r="66" spans="1:23" x14ac:dyDescent="0.25">
      <c r="A66" s="10">
        <v>110</v>
      </c>
      <c r="B66" t="s">
        <v>675</v>
      </c>
      <c r="C66" t="s">
        <v>743</v>
      </c>
      <c r="D66" t="str">
        <f t="shared" ca="1" si="56"/>
        <v>uuid</v>
      </c>
      <c r="E66" t="b">
        <f t="shared" ca="1" si="57"/>
        <v>1</v>
      </c>
      <c r="F66" t="b">
        <f t="shared" ca="1" si="58"/>
        <v>1</v>
      </c>
      <c r="G66" t="b">
        <f t="shared" ca="1" si="59"/>
        <v>1</v>
      </c>
      <c r="H66" t="str">
        <f t="shared" ca="1" si="60"/>
        <v>t_agr_frame.agr_frame_id</v>
      </c>
      <c r="I66" t="str">
        <f t="shared" ca="1" si="61"/>
        <v>id рамочного договора</v>
      </c>
      <c r="J66">
        <v>2</v>
      </c>
      <c r="K66" t="str">
        <f t="shared" ca="1" si="62"/>
        <v>b3050000420002_baseagreement</v>
      </c>
      <c r="L66" s="3" t="s">
        <v>180</v>
      </c>
      <c r="M66" t="str">
        <f t="shared" ca="1" si="63"/>
        <v>uuid</v>
      </c>
      <c r="N66" t="b">
        <f t="shared" ca="1" si="64"/>
        <v>0</v>
      </c>
      <c r="O66" t="b">
        <f t="shared" ca="1" si="65"/>
        <v>0</v>
      </c>
      <c r="P66">
        <f t="shared" ca="1" si="66"/>
        <v>0</v>
      </c>
      <c r="R66" t="s">
        <v>1064</v>
      </c>
      <c r="S66" t="s">
        <v>1065</v>
      </c>
      <c r="U66" s="54" t="s">
        <v>1077</v>
      </c>
      <c r="V66" t="str">
        <f>"n305000042" &amp; TEXT(A66, "0000") &amp; "_" &amp; RIGHT(B66, LEN(B66) - 2)</f>
        <v>n3050000420110_agr_frame_cust</v>
      </c>
      <c r="W66" s="54" t="s">
        <v>660</v>
      </c>
    </row>
    <row r="67" spans="1:23" x14ac:dyDescent="0.25">
      <c r="A67">
        <f>A66</f>
        <v>110</v>
      </c>
      <c r="B67" t="s">
        <v>675</v>
      </c>
      <c r="C67" t="s">
        <v>785</v>
      </c>
      <c r="D67" t="str">
        <f t="shared" ca="1" si="56"/>
        <v>date</v>
      </c>
      <c r="E67" t="b">
        <f t="shared" ca="1" si="57"/>
        <v>1</v>
      </c>
      <c r="F67" t="b">
        <f t="shared" ca="1" si="58"/>
        <v>1</v>
      </c>
      <c r="G67" t="b">
        <f t="shared" ca="1" si="59"/>
        <v>0</v>
      </c>
      <c r="H67">
        <f t="shared" ca="1" si="60"/>
        <v>0</v>
      </c>
      <c r="I67" t="str">
        <f t="shared" ca="1" si="61"/>
        <v>Дата начала действия</v>
      </c>
      <c r="J67">
        <v>2</v>
      </c>
      <c r="K67" t="str">
        <f t="shared" ca="1" si="62"/>
        <v>b3050000420002_baseagreement</v>
      </c>
      <c r="L67" s="3" t="s">
        <v>216</v>
      </c>
      <c r="M67" t="str">
        <f t="shared" ca="1" si="63"/>
        <v>timestamp without time zone</v>
      </c>
      <c r="N67" t="b">
        <f t="shared" ca="1" si="64"/>
        <v>0</v>
      </c>
      <c r="O67" t="b">
        <f t="shared" ca="1" si="65"/>
        <v>0</v>
      </c>
      <c r="P67">
        <f t="shared" ca="1" si="66"/>
        <v>0</v>
      </c>
      <c r="R67" t="s">
        <v>1067</v>
      </c>
      <c r="U67" s="55"/>
      <c r="W67" s="60"/>
    </row>
    <row r="68" spans="1:23" x14ac:dyDescent="0.25">
      <c r="A68">
        <f>A66</f>
        <v>110</v>
      </c>
      <c r="B68" t="s">
        <v>675</v>
      </c>
      <c r="C68" t="s">
        <v>787</v>
      </c>
      <c r="D68" t="str">
        <f t="shared" ca="1" si="56"/>
        <v>date</v>
      </c>
      <c r="E68" t="b">
        <f t="shared" ca="1" si="57"/>
        <v>0</v>
      </c>
      <c r="F68" t="b">
        <f t="shared" ca="1" si="58"/>
        <v>0</v>
      </c>
      <c r="G68" t="b">
        <f t="shared" ca="1" si="59"/>
        <v>0</v>
      </c>
      <c r="H68">
        <f t="shared" ca="1" si="60"/>
        <v>0</v>
      </c>
      <c r="I68" t="str">
        <f t="shared" ca="1" si="61"/>
        <v>Дата окончания действия</v>
      </c>
      <c r="J68">
        <v>2</v>
      </c>
      <c r="K68" t="str">
        <f t="shared" ca="1" si="62"/>
        <v>b3050000420002_baseagreement</v>
      </c>
      <c r="L68" s="3" t="s">
        <v>1068</v>
      </c>
      <c r="M68" t="e">
        <f t="shared" ca="1" si="63"/>
        <v>#N/A</v>
      </c>
      <c r="N68" t="e">
        <f t="shared" ca="1" si="64"/>
        <v>#N/A</v>
      </c>
      <c r="O68" t="e">
        <f t="shared" ca="1" si="65"/>
        <v>#N/A</v>
      </c>
      <c r="P68" t="e">
        <f t="shared" ca="1" si="66"/>
        <v>#N/A</v>
      </c>
      <c r="R68" t="s">
        <v>1069</v>
      </c>
      <c r="U68" s="55"/>
      <c r="W68" s="60"/>
    </row>
    <row r="69" spans="1:23" s="2" customFormat="1" ht="15.75" thickBot="1" x14ac:dyDescent="0.3">
      <c r="A69" s="2">
        <f>A66</f>
        <v>110</v>
      </c>
      <c r="B69" s="2" t="s">
        <v>675</v>
      </c>
      <c r="C69" s="2" t="s">
        <v>789</v>
      </c>
      <c r="D69" s="2" t="str">
        <f t="shared" ca="1" si="56"/>
        <v>uuid</v>
      </c>
      <c r="E69" s="2" t="b">
        <f t="shared" ca="1" si="57"/>
        <v>0</v>
      </c>
      <c r="F69" s="2" t="b">
        <f t="shared" ca="1" si="58"/>
        <v>0</v>
      </c>
      <c r="G69" s="2" t="b">
        <f t="shared" ca="1" si="59"/>
        <v>1</v>
      </c>
      <c r="H69" s="2" t="str">
        <f t="shared" ca="1" si="60"/>
        <v>t_cust.cust_id</v>
      </c>
      <c r="I69" s="2" t="str">
        <f t="shared" ca="1" si="61"/>
        <v>id клиента</v>
      </c>
      <c r="J69" s="2">
        <v>2</v>
      </c>
      <c r="K69" s="2" t="str">
        <f t="shared" ca="1" si="62"/>
        <v>b3050000420002_baseagreement</v>
      </c>
      <c r="L69" s="2" t="s">
        <v>227</v>
      </c>
      <c r="M69" s="2" t="str">
        <f t="shared" ca="1" si="63"/>
        <v>uuid</v>
      </c>
      <c r="N69" s="2" t="b">
        <f t="shared" ca="1" si="64"/>
        <v>0</v>
      </c>
      <c r="O69" s="2" t="b">
        <f t="shared" ca="1" si="65"/>
        <v>0</v>
      </c>
      <c r="P69" s="2">
        <f t="shared" ca="1" si="66"/>
        <v>0</v>
      </c>
      <c r="U69" s="56"/>
      <c r="W69" s="53"/>
    </row>
    <row r="70" spans="1:23" x14ac:dyDescent="0.25">
      <c r="A70" s="10">
        <v>120</v>
      </c>
      <c r="B70" t="s">
        <v>676</v>
      </c>
      <c r="C70" t="s">
        <v>743</v>
      </c>
      <c r="D70" t="str">
        <f t="shared" ca="1" si="56"/>
        <v>uuid</v>
      </c>
      <c r="E70" t="b">
        <f t="shared" ca="1" si="57"/>
        <v>1</v>
      </c>
      <c r="F70" t="b">
        <f t="shared" ca="1" si="58"/>
        <v>1</v>
      </c>
      <c r="G70" t="b">
        <f t="shared" ca="1" si="59"/>
        <v>1</v>
      </c>
      <c r="H70" t="str">
        <f t="shared" ca="1" si="60"/>
        <v>t_agr_frame.agr_frame_id</v>
      </c>
      <c r="I70" t="str">
        <f t="shared" ca="1" si="61"/>
        <v>id рамочного договора</v>
      </c>
      <c r="J70">
        <v>2</v>
      </c>
      <c r="K70" t="str">
        <f t="shared" ca="1" si="62"/>
        <v>b3050000420002_baseagreement</v>
      </c>
      <c r="L70" s="3" t="s">
        <v>180</v>
      </c>
      <c r="M70" t="str">
        <f t="shared" ca="1" si="63"/>
        <v>uuid</v>
      </c>
      <c r="N70" t="b">
        <f t="shared" ca="1" si="64"/>
        <v>0</v>
      </c>
      <c r="O70" t="b">
        <f t="shared" ca="1" si="65"/>
        <v>0</v>
      </c>
      <c r="P70">
        <f t="shared" ca="1" si="66"/>
        <v>0</v>
      </c>
      <c r="R70" t="s">
        <v>1064</v>
      </c>
      <c r="S70" t="s">
        <v>1065</v>
      </c>
      <c r="U70" s="54" t="s">
        <v>1078</v>
      </c>
      <c r="V70" t="str">
        <f>"n305000042" &amp; TEXT(A70, "0000") &amp; "_" &amp; RIGHT(B70, LEN(B70) - 2)</f>
        <v>n3050000420120_agr_frame_int_org</v>
      </c>
      <c r="W70" s="54" t="s">
        <v>677</v>
      </c>
    </row>
    <row r="71" spans="1:23" x14ac:dyDescent="0.25">
      <c r="A71">
        <f>A70</f>
        <v>120</v>
      </c>
      <c r="B71" t="s">
        <v>676</v>
      </c>
      <c r="C71" t="s">
        <v>785</v>
      </c>
      <c r="D71" t="str">
        <f t="shared" ca="1" si="56"/>
        <v>date</v>
      </c>
      <c r="E71" t="b">
        <f t="shared" ca="1" si="57"/>
        <v>1</v>
      </c>
      <c r="F71" t="b">
        <f t="shared" ca="1" si="58"/>
        <v>1</v>
      </c>
      <c r="G71" t="b">
        <f t="shared" ca="1" si="59"/>
        <v>0</v>
      </c>
      <c r="H71">
        <f t="shared" ca="1" si="60"/>
        <v>0</v>
      </c>
      <c r="I71" t="str">
        <f t="shared" ca="1" si="61"/>
        <v>Дата начала действия</v>
      </c>
      <c r="J71">
        <v>2</v>
      </c>
      <c r="K71" t="str">
        <f t="shared" ca="1" si="62"/>
        <v>b3050000420002_baseagreement</v>
      </c>
      <c r="L71" s="3" t="s">
        <v>216</v>
      </c>
      <c r="M71" t="str">
        <f t="shared" ca="1" si="63"/>
        <v>timestamp without time zone</v>
      </c>
      <c r="N71" t="b">
        <f t="shared" ca="1" si="64"/>
        <v>0</v>
      </c>
      <c r="O71" t="b">
        <f t="shared" ca="1" si="65"/>
        <v>0</v>
      </c>
      <c r="P71">
        <f t="shared" ca="1" si="66"/>
        <v>0</v>
      </c>
      <c r="R71" t="s">
        <v>1067</v>
      </c>
      <c r="U71" s="55"/>
      <c r="W71" s="60"/>
    </row>
    <row r="72" spans="1:23" x14ac:dyDescent="0.25">
      <c r="A72">
        <f>A70</f>
        <v>120</v>
      </c>
      <c r="B72" t="s">
        <v>676</v>
      </c>
      <c r="C72" t="s">
        <v>787</v>
      </c>
      <c r="D72" t="str">
        <f t="shared" ca="1" si="56"/>
        <v>date</v>
      </c>
      <c r="E72" t="b">
        <f t="shared" ca="1" si="57"/>
        <v>0</v>
      </c>
      <c r="F72" t="b">
        <f t="shared" ca="1" si="58"/>
        <v>0</v>
      </c>
      <c r="G72" t="b">
        <f t="shared" ca="1" si="59"/>
        <v>0</v>
      </c>
      <c r="H72">
        <f t="shared" ca="1" si="60"/>
        <v>0</v>
      </c>
      <c r="I72" t="str">
        <f t="shared" ca="1" si="61"/>
        <v>Дата окончания действия</v>
      </c>
      <c r="J72">
        <v>2</v>
      </c>
      <c r="K72" t="str">
        <f t="shared" ca="1" si="62"/>
        <v>b3050000420002_baseagreement</v>
      </c>
      <c r="L72" s="3" t="s">
        <v>1068</v>
      </c>
      <c r="M72" t="e">
        <f t="shared" ca="1" si="63"/>
        <v>#N/A</v>
      </c>
      <c r="N72" t="e">
        <f t="shared" ca="1" si="64"/>
        <v>#N/A</v>
      </c>
      <c r="O72" t="e">
        <f t="shared" ca="1" si="65"/>
        <v>#N/A</v>
      </c>
      <c r="P72" t="e">
        <f t="shared" ca="1" si="66"/>
        <v>#N/A</v>
      </c>
      <c r="R72" t="s">
        <v>1069</v>
      </c>
      <c r="U72" s="55"/>
      <c r="W72" s="60"/>
    </row>
    <row r="73" spans="1:23" s="2" customFormat="1" ht="15.75" thickBot="1" x14ac:dyDescent="0.3">
      <c r="A73" s="2">
        <f>A70</f>
        <v>120</v>
      </c>
      <c r="B73" s="2" t="s">
        <v>676</v>
      </c>
      <c r="C73" s="2" t="s">
        <v>803</v>
      </c>
      <c r="D73" s="2" t="str">
        <f t="shared" ca="1" si="56"/>
        <v>uuid</v>
      </c>
      <c r="E73" s="2" t="b">
        <f t="shared" ca="1" si="57"/>
        <v>0</v>
      </c>
      <c r="F73" s="2" t="b">
        <f t="shared" ca="1" si="58"/>
        <v>0</v>
      </c>
      <c r="G73" s="2" t="b">
        <f t="shared" ca="1" si="59"/>
        <v>1</v>
      </c>
      <c r="H73" s="2" t="str">
        <f t="shared" ca="1" si="60"/>
        <v>t_int_org.int_org_id</v>
      </c>
      <c r="I73" s="2" t="str">
        <f t="shared" ca="1" si="61"/>
        <v>id подразделения</v>
      </c>
      <c r="J73" s="2">
        <v>2</v>
      </c>
      <c r="K73" s="2" t="str">
        <f t="shared" ca="1" si="62"/>
        <v>b3050000420002_baseagreement</v>
      </c>
      <c r="L73" s="2" t="s">
        <v>229</v>
      </c>
      <c r="M73" s="2" t="str">
        <f t="shared" ca="1" si="63"/>
        <v>uuid</v>
      </c>
      <c r="N73" s="2" t="b">
        <f t="shared" ca="1" si="64"/>
        <v>0</v>
      </c>
      <c r="O73" s="2" t="b">
        <f t="shared" ca="1" si="65"/>
        <v>0</v>
      </c>
      <c r="P73" s="2">
        <f t="shared" ca="1" si="66"/>
        <v>0</v>
      </c>
      <c r="U73" s="56"/>
      <c r="W73" s="53"/>
    </row>
    <row r="74" spans="1:23" x14ac:dyDescent="0.25">
      <c r="A74" s="10">
        <v>130</v>
      </c>
      <c r="B74" t="s">
        <v>678</v>
      </c>
      <c r="C74" t="s">
        <v>743</v>
      </c>
      <c r="D74" t="str">
        <f t="shared" ca="1" si="56"/>
        <v>uuid</v>
      </c>
      <c r="E74" t="b">
        <f t="shared" ca="1" si="57"/>
        <v>1</v>
      </c>
      <c r="F74" t="b">
        <f t="shared" ca="1" si="58"/>
        <v>1</v>
      </c>
      <c r="G74" t="b">
        <f t="shared" ca="1" si="59"/>
        <v>1</v>
      </c>
      <c r="H74" t="str">
        <f t="shared" ca="1" si="60"/>
        <v>t_agr_frame.agr_frame_id</v>
      </c>
      <c r="I74" t="str">
        <f t="shared" ca="1" si="61"/>
        <v>id рамочного договора</v>
      </c>
      <c r="J74">
        <v>2</v>
      </c>
      <c r="K74" t="str">
        <f t="shared" ca="1" si="62"/>
        <v>b3050000420002_baseagreement</v>
      </c>
      <c r="L74" s="3" t="s">
        <v>180</v>
      </c>
      <c r="M74" t="str">
        <f t="shared" ca="1" si="63"/>
        <v>uuid</v>
      </c>
      <c r="N74" t="b">
        <f t="shared" ca="1" si="64"/>
        <v>0</v>
      </c>
      <c r="O74" t="b">
        <f t="shared" ca="1" si="65"/>
        <v>0</v>
      </c>
      <c r="P74">
        <f t="shared" ca="1" si="66"/>
        <v>0</v>
      </c>
      <c r="R74" t="s">
        <v>1064</v>
      </c>
      <c r="S74" t="s">
        <v>1065</v>
      </c>
      <c r="U74" s="54" t="s">
        <v>1079</v>
      </c>
      <c r="V74" t="str">
        <f>"n305000042" &amp; TEXT(A74, "0000") &amp; "_" &amp; RIGHT(B74, LEN(B74) - 2)</f>
        <v>n3050000420130_agr_frame_stts</v>
      </c>
      <c r="W74" s="54" t="s">
        <v>679</v>
      </c>
    </row>
    <row r="75" spans="1:23" x14ac:dyDescent="0.25">
      <c r="A75">
        <f>A74</f>
        <v>130</v>
      </c>
      <c r="B75" t="s">
        <v>678</v>
      </c>
      <c r="C75" t="s">
        <v>785</v>
      </c>
      <c r="D75" t="str">
        <f t="shared" ca="1" si="56"/>
        <v>date</v>
      </c>
      <c r="E75" t="b">
        <f t="shared" ca="1" si="57"/>
        <v>1</v>
      </c>
      <c r="F75" t="b">
        <f t="shared" ca="1" si="58"/>
        <v>1</v>
      </c>
      <c r="G75" t="b">
        <f t="shared" ca="1" si="59"/>
        <v>0</v>
      </c>
      <c r="H75">
        <f t="shared" ca="1" si="60"/>
        <v>0</v>
      </c>
      <c r="I75" t="str">
        <f t="shared" ca="1" si="61"/>
        <v>Дата начала действия</v>
      </c>
      <c r="J75">
        <v>2</v>
      </c>
      <c r="K75" t="str">
        <f t="shared" ca="1" si="62"/>
        <v>b3050000420002_baseagreement</v>
      </c>
      <c r="L75" s="3" t="s">
        <v>216</v>
      </c>
      <c r="M75" t="str">
        <f t="shared" ca="1" si="63"/>
        <v>timestamp without time zone</v>
      </c>
      <c r="N75" t="b">
        <f t="shared" ca="1" si="64"/>
        <v>0</v>
      </c>
      <c r="O75" t="b">
        <f t="shared" ca="1" si="65"/>
        <v>0</v>
      </c>
      <c r="P75">
        <f t="shared" ca="1" si="66"/>
        <v>0</v>
      </c>
      <c r="R75" t="s">
        <v>1067</v>
      </c>
      <c r="U75" s="55"/>
      <c r="W75" s="60"/>
    </row>
    <row r="76" spans="1:23" x14ac:dyDescent="0.25">
      <c r="A76">
        <f>A74</f>
        <v>130</v>
      </c>
      <c r="B76" t="s">
        <v>678</v>
      </c>
      <c r="C76" t="s">
        <v>787</v>
      </c>
      <c r="D76" t="str">
        <f t="shared" ca="1" si="56"/>
        <v>date</v>
      </c>
      <c r="E76" t="b">
        <f t="shared" ca="1" si="57"/>
        <v>0</v>
      </c>
      <c r="F76" t="b">
        <f t="shared" ca="1" si="58"/>
        <v>0</v>
      </c>
      <c r="G76" t="b">
        <f t="shared" ca="1" si="59"/>
        <v>0</v>
      </c>
      <c r="H76">
        <f t="shared" ca="1" si="60"/>
        <v>0</v>
      </c>
      <c r="I76" t="str">
        <f t="shared" ca="1" si="61"/>
        <v>Дата окончания действия</v>
      </c>
      <c r="J76">
        <v>2</v>
      </c>
      <c r="K76" t="str">
        <f t="shared" ca="1" si="62"/>
        <v>b3050000420002_baseagreement</v>
      </c>
      <c r="L76" s="3" t="s">
        <v>1068</v>
      </c>
      <c r="M76" t="e">
        <f t="shared" ca="1" si="63"/>
        <v>#N/A</v>
      </c>
      <c r="N76" t="e">
        <f t="shared" ca="1" si="64"/>
        <v>#N/A</v>
      </c>
      <c r="O76" t="e">
        <f t="shared" ca="1" si="65"/>
        <v>#N/A</v>
      </c>
      <c r="P76" t="e">
        <f t="shared" ca="1" si="66"/>
        <v>#N/A</v>
      </c>
      <c r="R76" t="s">
        <v>1069</v>
      </c>
      <c r="U76" s="55"/>
      <c r="W76" s="60"/>
    </row>
    <row r="77" spans="1:23" s="2" customFormat="1" ht="15.75" thickBot="1" x14ac:dyDescent="0.3">
      <c r="A77" s="2">
        <f>A74</f>
        <v>130</v>
      </c>
      <c r="B77" s="2" t="s">
        <v>678</v>
      </c>
      <c r="C77" s="2" t="s">
        <v>839</v>
      </c>
      <c r="D77" s="2" t="str">
        <f t="shared" ca="1" si="56"/>
        <v>uuid</v>
      </c>
      <c r="E77" s="2" t="b">
        <f t="shared" ca="1" si="57"/>
        <v>0</v>
      </c>
      <c r="F77" s="2" t="b">
        <f t="shared" ca="1" si="58"/>
        <v>0</v>
      </c>
      <c r="G77" s="2" t="b">
        <f t="shared" ca="1" si="59"/>
        <v>1</v>
      </c>
      <c r="H77" s="2" t="str">
        <f t="shared" ca="1" si="60"/>
        <v>t_entity_stts.entity_stts_id</v>
      </c>
      <c r="I77" s="2" t="str">
        <f t="shared" ca="1" si="61"/>
        <v>id статуса</v>
      </c>
      <c r="J77" s="2">
        <v>2</v>
      </c>
      <c r="K77" s="2" t="str">
        <f t="shared" ca="1" si="62"/>
        <v>b3050000420002_baseagreement</v>
      </c>
      <c r="L77" s="2" t="s">
        <v>199</v>
      </c>
      <c r="M77" s="2" t="str">
        <f t="shared" ca="1" si="63"/>
        <v>uuid</v>
      </c>
      <c r="N77" s="2" t="b">
        <f t="shared" ca="1" si="64"/>
        <v>0</v>
      </c>
      <c r="O77" s="2" t="b">
        <f t="shared" ca="1" si="65"/>
        <v>0</v>
      </c>
      <c r="P77" s="2">
        <f t="shared" ca="1" si="66"/>
        <v>0</v>
      </c>
      <c r="U77" s="56"/>
      <c r="W77" s="53"/>
    </row>
    <row r="78" spans="1:23" x14ac:dyDescent="0.25">
      <c r="A78" s="10">
        <v>140</v>
      </c>
      <c r="B78" t="s">
        <v>680</v>
      </c>
      <c r="C78" t="s">
        <v>834</v>
      </c>
      <c r="D78" t="str">
        <f t="shared" ca="1" si="56"/>
        <v>uuid</v>
      </c>
      <c r="E78" t="b">
        <f t="shared" ca="1" si="57"/>
        <v>1</v>
      </c>
      <c r="F78" t="b">
        <f t="shared" ca="1" si="58"/>
        <v>1</v>
      </c>
      <c r="G78" t="b">
        <f t="shared" ca="1" si="59"/>
        <v>0</v>
      </c>
      <c r="H78">
        <f t="shared" ca="1" si="60"/>
        <v>0</v>
      </c>
      <c r="I78" t="str">
        <f t="shared" ca="1" si="61"/>
        <v>id типа договора обслуживания</v>
      </c>
      <c r="J78">
        <v>2</v>
      </c>
      <c r="K78" t="str">
        <f t="shared" ca="1" si="62"/>
        <v>b3050000420002_baseagreement</v>
      </c>
      <c r="L78" s="3" t="s">
        <v>224</v>
      </c>
      <c r="M78" t="str">
        <f t="shared" ca="1" si="63"/>
        <v>uuid</v>
      </c>
      <c r="N78" t="b">
        <f t="shared" ca="1" si="64"/>
        <v>0</v>
      </c>
      <c r="O78" t="b">
        <f t="shared" ca="1" si="65"/>
        <v>0</v>
      </c>
      <c r="P78">
        <f t="shared" ca="1" si="66"/>
        <v>0</v>
      </c>
      <c r="R78" t="s">
        <v>1064</v>
      </c>
      <c r="S78" t="s">
        <v>1071</v>
      </c>
      <c r="U78" s="54" t="s">
        <v>1080</v>
      </c>
      <c r="V78" t="str">
        <f>"n305000042" &amp; TEXT(A78, "0000") &amp; "_" &amp; RIGHT(B78, LEN(B78) - 2)</f>
        <v>n3050000420140_agr_frame_type</v>
      </c>
      <c r="W78" s="54" t="s">
        <v>681</v>
      </c>
    </row>
    <row r="79" spans="1:23" x14ac:dyDescent="0.25">
      <c r="A79">
        <f>A78</f>
        <v>140</v>
      </c>
      <c r="B79" t="s">
        <v>680</v>
      </c>
      <c r="C79" t="s">
        <v>841</v>
      </c>
      <c r="D79" t="str">
        <f t="shared" ca="1" si="56"/>
        <v>text</v>
      </c>
      <c r="E79" t="b">
        <f t="shared" ca="1" si="57"/>
        <v>0</v>
      </c>
      <c r="F79" t="b">
        <f t="shared" ca="1" si="58"/>
        <v>0</v>
      </c>
      <c r="G79" t="b">
        <f t="shared" ca="1" si="59"/>
        <v>0</v>
      </c>
      <c r="H79">
        <f t="shared" ca="1" si="60"/>
        <v>0</v>
      </c>
      <c r="I79" t="str">
        <f t="shared" ca="1" si="61"/>
        <v>Код типа договора обслуживания</v>
      </c>
      <c r="J79">
        <v>2</v>
      </c>
      <c r="K79" t="str">
        <f t="shared" ca="1" si="62"/>
        <v>b3050000420002_baseagreement</v>
      </c>
      <c r="L79" s="3" t="s">
        <v>161</v>
      </c>
      <c r="M79" t="str">
        <f t="shared" ca="1" si="63"/>
        <v>text</v>
      </c>
      <c r="N79" t="b">
        <f t="shared" ca="1" si="64"/>
        <v>0</v>
      </c>
      <c r="O79" t="b">
        <f t="shared" ca="1" si="65"/>
        <v>0</v>
      </c>
      <c r="P79" t="str">
        <f t="shared" ca="1" si="66"/>
        <v>Тип соглашения</v>
      </c>
      <c r="U79" s="55"/>
      <c r="W79" s="60"/>
    </row>
    <row r="80" spans="1:23" x14ac:dyDescent="0.25">
      <c r="A80">
        <f>A78</f>
        <v>140</v>
      </c>
      <c r="B80" t="s">
        <v>680</v>
      </c>
      <c r="C80" t="s">
        <v>843</v>
      </c>
      <c r="D80" t="str">
        <f t="shared" ca="1" si="56"/>
        <v>text</v>
      </c>
      <c r="E80" t="b">
        <f t="shared" ca="1" si="57"/>
        <v>0</v>
      </c>
      <c r="F80" t="b">
        <f t="shared" ca="1" si="58"/>
        <v>0</v>
      </c>
      <c r="G80" t="b">
        <f t="shared" ca="1" si="59"/>
        <v>0</v>
      </c>
      <c r="H80">
        <f t="shared" ca="1" si="60"/>
        <v>0</v>
      </c>
      <c r="I80" t="str">
        <f t="shared" ca="1" si="61"/>
        <v>Описание типа договора обслуживания</v>
      </c>
      <c r="J80">
        <v>2</v>
      </c>
      <c r="K80" t="str">
        <f t="shared" ca="1" si="62"/>
        <v>b3050000420002_baseagreement</v>
      </c>
      <c r="L80" s="3" t="s">
        <v>1075</v>
      </c>
      <c r="M80" t="e">
        <f t="shared" ca="1" si="63"/>
        <v>#N/A</v>
      </c>
      <c r="N80" t="e">
        <f t="shared" ca="1" si="64"/>
        <v>#N/A</v>
      </c>
      <c r="O80" t="e">
        <f t="shared" ca="1" si="65"/>
        <v>#N/A</v>
      </c>
      <c r="P80" t="e">
        <f t="shared" ca="1" si="66"/>
        <v>#N/A</v>
      </c>
      <c r="U80" s="55"/>
      <c r="W80" s="60"/>
    </row>
    <row r="81" spans="1:23" s="2" customFormat="1" ht="15.75" thickBot="1" x14ac:dyDescent="0.3">
      <c r="A81" s="2">
        <f>A78</f>
        <v>140</v>
      </c>
      <c r="B81" s="2" t="s">
        <v>680</v>
      </c>
      <c r="C81" s="2" t="s">
        <v>845</v>
      </c>
      <c r="D81" s="2" t="str">
        <f t="shared" ca="1" si="56"/>
        <v>text</v>
      </c>
      <c r="E81" s="2" t="b">
        <f t="shared" ca="1" si="57"/>
        <v>0</v>
      </c>
      <c r="F81" s="2" t="b">
        <f t="shared" ca="1" si="58"/>
        <v>0</v>
      </c>
      <c r="G81" s="2" t="b">
        <f t="shared" ca="1" si="59"/>
        <v>0</v>
      </c>
      <c r="H81" s="2">
        <f t="shared" ca="1" si="60"/>
        <v>0</v>
      </c>
      <c r="I81" s="2" t="str">
        <f t="shared" ca="1" si="61"/>
        <v>id типа договора обслуживания в источнике</v>
      </c>
      <c r="J81" s="2">
        <v>2</v>
      </c>
      <c r="K81" s="2" t="str">
        <f t="shared" ca="1" si="62"/>
        <v>b3050000420002_baseagreement</v>
      </c>
      <c r="L81" s="2" t="s">
        <v>161</v>
      </c>
      <c r="M81" s="2" t="str">
        <f t="shared" ca="1" si="63"/>
        <v>text</v>
      </c>
      <c r="N81" s="2" t="b">
        <f t="shared" ca="1" si="64"/>
        <v>0</v>
      </c>
      <c r="O81" s="2" t="b">
        <f t="shared" ca="1" si="65"/>
        <v>0</v>
      </c>
      <c r="P81" s="2" t="str">
        <f t="shared" ca="1" si="66"/>
        <v>Тип соглашения</v>
      </c>
      <c r="U81" s="56"/>
      <c r="W81" s="53"/>
    </row>
    <row r="82" spans="1:23" ht="15" customHeight="1" x14ac:dyDescent="0.25">
      <c r="A82" s="10">
        <v>150</v>
      </c>
      <c r="B82" t="s">
        <v>682</v>
      </c>
      <c r="C82" t="s">
        <v>847</v>
      </c>
      <c r="D82" t="str">
        <f t="shared" ca="1" si="56"/>
        <v>uuid</v>
      </c>
      <c r="E82" t="b">
        <f t="shared" ca="1" si="57"/>
        <v>1</v>
      </c>
      <c r="F82" t="b">
        <f t="shared" ca="1" si="58"/>
        <v>1</v>
      </c>
      <c r="G82" t="b">
        <f t="shared" ca="1" si="59"/>
        <v>0</v>
      </c>
      <c r="H82">
        <f t="shared" ca="1" si="60"/>
        <v>0</v>
      </c>
      <c r="I82" t="str">
        <f t="shared" ca="1" si="61"/>
        <v>id сервиса</v>
      </c>
      <c r="J82">
        <v>1</v>
      </c>
      <c r="K82" t="str">
        <f t="shared" ca="1" si="62"/>
        <v>b3050000420001_agreementservice</v>
      </c>
      <c r="L82" s="3" t="s">
        <v>180</v>
      </c>
      <c r="M82" t="str">
        <f t="shared" ca="1" si="63"/>
        <v>uuid</v>
      </c>
      <c r="N82" t="b">
        <f t="shared" ca="1" si="64"/>
        <v>0</v>
      </c>
      <c r="O82" t="b">
        <f t="shared" ca="1" si="65"/>
        <v>0</v>
      </c>
      <c r="P82">
        <f t="shared" ca="1" si="66"/>
        <v>0</v>
      </c>
      <c r="R82" t="s">
        <v>1064</v>
      </c>
      <c r="S82" t="s">
        <v>8</v>
      </c>
      <c r="U82" s="57" t="s">
        <v>1541</v>
      </c>
      <c r="V82" t="str">
        <f>"n305000042" &amp; TEXT(A82, "0000") &amp; "_" &amp; RIGHT(B82, LEN(B82) - 2)</f>
        <v>n3050000420150_bus_srv</v>
      </c>
      <c r="W82" s="54" t="s">
        <v>1519</v>
      </c>
    </row>
    <row r="83" spans="1:23" x14ac:dyDescent="0.25">
      <c r="A83">
        <f>A82</f>
        <v>150</v>
      </c>
      <c r="B83" t="s">
        <v>682</v>
      </c>
      <c r="C83" t="s">
        <v>737</v>
      </c>
      <c r="D83" t="str">
        <f t="shared" ca="1" si="56"/>
        <v>uuid</v>
      </c>
      <c r="E83" t="b">
        <f t="shared" ca="1" si="57"/>
        <v>0</v>
      </c>
      <c r="F83" t="b">
        <f t="shared" ca="1" si="58"/>
        <v>0</v>
      </c>
      <c r="G83" t="b">
        <f t="shared" ca="1" si="59"/>
        <v>1</v>
      </c>
      <c r="H83" t="str">
        <f t="shared" ca="1" si="60"/>
        <v>t_agr_dep.agr_dep_id</v>
      </c>
      <c r="I83" t="str">
        <f t="shared" ca="1" si="61"/>
        <v>id депозитного договора</v>
      </c>
      <c r="J83">
        <v>1</v>
      </c>
      <c r="K83" t="str">
        <f t="shared" ca="1" si="62"/>
        <v>b3050000420001_agreementservice</v>
      </c>
      <c r="L83" s="3"/>
      <c r="M83" t="e">
        <f t="shared" ca="1" si="63"/>
        <v>#N/A</v>
      </c>
      <c r="N83" t="e">
        <f t="shared" ca="1" si="64"/>
        <v>#N/A</v>
      </c>
      <c r="O83" t="e">
        <f t="shared" ca="1" si="65"/>
        <v>#N/A</v>
      </c>
      <c r="P83" t="e">
        <f t="shared" ca="1" si="66"/>
        <v>#N/A</v>
      </c>
      <c r="U83" s="52"/>
      <c r="W83" s="60"/>
    </row>
    <row r="84" spans="1:23" x14ac:dyDescent="0.25">
      <c r="A84">
        <f>A82</f>
        <v>150</v>
      </c>
      <c r="B84" t="s">
        <v>682</v>
      </c>
      <c r="C84" t="s">
        <v>743</v>
      </c>
      <c r="D84" t="str">
        <f t="shared" ca="1" si="56"/>
        <v>uuid</v>
      </c>
      <c r="E84" t="b">
        <f t="shared" ca="1" si="57"/>
        <v>0</v>
      </c>
      <c r="F84" t="b">
        <f t="shared" ca="1" si="58"/>
        <v>0</v>
      </c>
      <c r="G84" t="b">
        <f t="shared" ca="1" si="59"/>
        <v>1</v>
      </c>
      <c r="H84" t="str">
        <f t="shared" ca="1" si="60"/>
        <v>t_agr_frame.agr_frame_id</v>
      </c>
      <c r="I84" t="str">
        <f t="shared" ca="1" si="61"/>
        <v>id рамочного договора</v>
      </c>
      <c r="J84">
        <v>1</v>
      </c>
      <c r="K84" t="str">
        <f t="shared" ca="1" si="62"/>
        <v>b3050000420001_agreementservice</v>
      </c>
      <c r="L84" s="3" t="s">
        <v>159</v>
      </c>
      <c r="M84" t="str">
        <f t="shared" ca="1" si="63"/>
        <v>uuid</v>
      </c>
      <c r="N84" t="b">
        <f t="shared" ca="1" si="64"/>
        <v>0</v>
      </c>
      <c r="O84" t="b">
        <f t="shared" ca="1" si="65"/>
        <v>0</v>
      </c>
      <c r="P84">
        <f t="shared" ca="1" si="66"/>
        <v>0</v>
      </c>
      <c r="U84" s="52"/>
      <c r="W84" s="60"/>
    </row>
    <row r="85" spans="1:23" x14ac:dyDescent="0.25">
      <c r="A85">
        <f>A82</f>
        <v>150</v>
      </c>
      <c r="B85" t="s">
        <v>682</v>
      </c>
      <c r="C85" t="s">
        <v>849</v>
      </c>
      <c r="D85" t="str">
        <f t="shared" ca="1" si="56"/>
        <v>uuid</v>
      </c>
      <c r="E85" t="b">
        <f t="shared" ca="1" si="57"/>
        <v>0</v>
      </c>
      <c r="F85" t="b">
        <f t="shared" ca="1" si="58"/>
        <v>0</v>
      </c>
      <c r="G85" t="b">
        <f t="shared" ca="1" si="59"/>
        <v>1</v>
      </c>
      <c r="H85" t="str">
        <f t="shared" ca="1" si="60"/>
        <v>t_bus_srv_categ_type.bus_srv_categ_type_id</v>
      </c>
      <c r="I85" t="str">
        <f t="shared" ca="1" si="61"/>
        <v>Категория сервиса</v>
      </c>
      <c r="J85">
        <v>1</v>
      </c>
      <c r="K85" t="str">
        <f t="shared" ca="1" si="62"/>
        <v>b3050000420001_agreementservice</v>
      </c>
      <c r="L85" s="13" t="s">
        <v>1081</v>
      </c>
      <c r="M85" t="e">
        <f t="shared" ca="1" si="63"/>
        <v>#N/A</v>
      </c>
      <c r="N85" t="e">
        <f t="shared" ca="1" si="64"/>
        <v>#N/A</v>
      </c>
      <c r="O85" t="e">
        <f t="shared" ca="1" si="65"/>
        <v>#N/A</v>
      </c>
      <c r="P85" t="e">
        <f t="shared" ca="1" si="66"/>
        <v>#N/A</v>
      </c>
      <c r="Q85" s="13" t="s">
        <v>1082</v>
      </c>
      <c r="U85" s="52"/>
      <c r="W85" s="60"/>
    </row>
    <row r="86" spans="1:23" x14ac:dyDescent="0.25">
      <c r="A86">
        <f>A82</f>
        <v>150</v>
      </c>
      <c r="B86" t="s">
        <v>682</v>
      </c>
      <c r="C86" t="s">
        <v>854</v>
      </c>
      <c r="D86" t="str">
        <f t="shared" ca="1" si="56"/>
        <v>uuid</v>
      </c>
      <c r="E86" t="b">
        <f t="shared" ca="1" si="57"/>
        <v>0</v>
      </c>
      <c r="F86" t="b">
        <f t="shared" ca="1" si="58"/>
        <v>0</v>
      </c>
      <c r="G86" t="b">
        <f t="shared" ca="1" si="59"/>
        <v>1</v>
      </c>
      <c r="H86" t="str">
        <f t="shared" ca="1" si="60"/>
        <v>t_entity_stts.entity_stts_id</v>
      </c>
      <c r="I86" t="str">
        <f t="shared" ca="1" si="61"/>
        <v>Статус сервиса</v>
      </c>
      <c r="J86">
        <v>1</v>
      </c>
      <c r="K86" t="str">
        <f t="shared" ca="1" si="62"/>
        <v>b3050000420001_agreementservice</v>
      </c>
      <c r="L86" s="3" t="s">
        <v>199</v>
      </c>
      <c r="M86" t="str">
        <f t="shared" ca="1" si="63"/>
        <v>uuid</v>
      </c>
      <c r="N86" t="b">
        <f t="shared" ca="1" si="64"/>
        <v>0</v>
      </c>
      <c r="O86" t="b">
        <f t="shared" ca="1" si="65"/>
        <v>0</v>
      </c>
      <c r="P86">
        <f t="shared" ca="1" si="66"/>
        <v>0</v>
      </c>
      <c r="U86" s="52"/>
      <c r="W86" s="60"/>
    </row>
    <row r="87" spans="1:23" x14ac:dyDescent="0.25">
      <c r="A87">
        <f>A82</f>
        <v>150</v>
      </c>
      <c r="B87" t="s">
        <v>682</v>
      </c>
      <c r="C87" t="s">
        <v>856</v>
      </c>
      <c r="D87" t="str">
        <f t="shared" ca="1" si="56"/>
        <v>uuid</v>
      </c>
      <c r="E87" t="b">
        <f t="shared" ca="1" si="57"/>
        <v>0</v>
      </c>
      <c r="F87" t="b">
        <f t="shared" ca="1" si="58"/>
        <v>0</v>
      </c>
      <c r="G87" t="b">
        <f t="shared" ca="1" si="59"/>
        <v>1</v>
      </c>
      <c r="H87" t="str">
        <f t="shared" ca="1" si="60"/>
        <v>t_bus_srv_type.bus_srv_type_id</v>
      </c>
      <c r="I87" t="str">
        <f t="shared" ca="1" si="61"/>
        <v>Тип сервиса</v>
      </c>
      <c r="J87">
        <v>1</v>
      </c>
      <c r="K87" t="str">
        <f t="shared" ca="1" si="62"/>
        <v>b3050000420001_agreementservice</v>
      </c>
      <c r="L87" s="3" t="s">
        <v>191</v>
      </c>
      <c r="M87" t="str">
        <f t="shared" ca="1" si="63"/>
        <v>uuid</v>
      </c>
      <c r="N87" t="b">
        <f t="shared" ca="1" si="64"/>
        <v>0</v>
      </c>
      <c r="O87" t="b">
        <f t="shared" ca="1" si="65"/>
        <v>0</v>
      </c>
      <c r="P87">
        <f t="shared" ca="1" si="66"/>
        <v>0</v>
      </c>
      <c r="U87" s="52"/>
      <c r="W87" s="60"/>
    </row>
    <row r="88" spans="1:23" x14ac:dyDescent="0.25">
      <c r="A88">
        <f>A82</f>
        <v>150</v>
      </c>
      <c r="B88" t="s">
        <v>682</v>
      </c>
      <c r="C88" t="s">
        <v>858</v>
      </c>
      <c r="D88" t="str">
        <f t="shared" ca="1" si="56"/>
        <v>uuid</v>
      </c>
      <c r="E88" t="b">
        <f t="shared" ca="1" si="57"/>
        <v>0</v>
      </c>
      <c r="F88" t="b">
        <f t="shared" ca="1" si="58"/>
        <v>0</v>
      </c>
      <c r="G88" t="b">
        <f t="shared" ca="1" si="59"/>
        <v>1</v>
      </c>
      <c r="H88" t="str">
        <f t="shared" ca="1" si="60"/>
        <v>t_chnl_type.chnl_type_id</v>
      </c>
      <c r="I88" t="str">
        <f t="shared" ca="1" si="61"/>
        <v>Тип канала</v>
      </c>
      <c r="J88">
        <v>1</v>
      </c>
      <c r="K88" t="str">
        <f t="shared" ca="1" si="62"/>
        <v>b3050000420001_agreementservice</v>
      </c>
      <c r="L88" s="3" t="s">
        <v>166</v>
      </c>
      <c r="M88" t="str">
        <f t="shared" ca="1" si="63"/>
        <v>uuid</v>
      </c>
      <c r="N88" t="b">
        <f t="shared" ca="1" si="64"/>
        <v>0</v>
      </c>
      <c r="O88" t="b">
        <f t="shared" ca="1" si="65"/>
        <v>0</v>
      </c>
      <c r="P88">
        <f t="shared" ca="1" si="66"/>
        <v>0</v>
      </c>
      <c r="U88" s="52"/>
      <c r="W88" s="60"/>
    </row>
    <row r="89" spans="1:23" x14ac:dyDescent="0.25">
      <c r="A89">
        <f>A82</f>
        <v>150</v>
      </c>
      <c r="B89" t="s">
        <v>682</v>
      </c>
      <c r="C89" t="s">
        <v>752</v>
      </c>
      <c r="D89" t="str">
        <f t="shared" ca="1" si="56"/>
        <v>date</v>
      </c>
      <c r="E89" t="b">
        <f t="shared" ca="1" si="57"/>
        <v>0</v>
      </c>
      <c r="F89" t="b">
        <f t="shared" ca="1" si="58"/>
        <v>0</v>
      </c>
      <c r="G89" t="b">
        <f t="shared" ca="1" si="59"/>
        <v>0</v>
      </c>
      <c r="H89">
        <f t="shared" ca="1" si="60"/>
        <v>0</v>
      </c>
      <c r="I89" t="str">
        <f t="shared" ca="1" si="61"/>
        <v>Дата создания</v>
      </c>
      <c r="J89">
        <v>1</v>
      </c>
      <c r="K89" t="str">
        <f t="shared" ca="1" si="62"/>
        <v>b3050000420001_agreementservice</v>
      </c>
      <c r="L89" s="3" t="s">
        <v>169</v>
      </c>
      <c r="M89" t="str">
        <f t="shared" ca="1" si="63"/>
        <v>timestamp without time zone</v>
      </c>
      <c r="N89" t="b">
        <f t="shared" ca="1" si="64"/>
        <v>0</v>
      </c>
      <c r="O89" t="b">
        <f t="shared" ca="1" si="65"/>
        <v>0</v>
      </c>
      <c r="P89" t="str">
        <f t="shared" ca="1" si="66"/>
        <v>Дата создания сервиса</v>
      </c>
      <c r="U89" s="52"/>
      <c r="W89" s="60"/>
    </row>
    <row r="90" spans="1:23" x14ac:dyDescent="0.25">
      <c r="A90">
        <f t="shared" ref="A90:A93" si="67">A82</f>
        <v>150</v>
      </c>
      <c r="B90" t="s">
        <v>682</v>
      </c>
      <c r="C90" t="s">
        <v>861</v>
      </c>
      <c r="D90" t="str">
        <f t="shared" ca="1" si="56"/>
        <v>uuid</v>
      </c>
      <c r="E90" t="b">
        <f t="shared" ca="1" si="57"/>
        <v>0</v>
      </c>
      <c r="F90" t="b">
        <f t="shared" ca="1" si="58"/>
        <v>0</v>
      </c>
      <c r="G90" t="b">
        <f t="shared" ca="1" si="59"/>
        <v>1</v>
      </c>
      <c r="H90" t="str">
        <f t="shared" ca="1" si="60"/>
        <v>t_emp.emp_id</v>
      </c>
      <c r="I90" t="str">
        <f t="shared" ca="1" si="61"/>
        <v>id сотрудника, создавшего сервис</v>
      </c>
      <c r="J90">
        <v>1</v>
      </c>
      <c r="K90" t="str">
        <f t="shared" ca="1" si="62"/>
        <v>b3050000420001_agreementservice</v>
      </c>
      <c r="L90" s="3" t="s">
        <v>861</v>
      </c>
      <c r="M90" t="e">
        <f t="shared" ca="1" si="63"/>
        <v>#N/A</v>
      </c>
      <c r="N90" t="e">
        <f t="shared" ca="1" si="64"/>
        <v>#N/A</v>
      </c>
      <c r="O90" t="e">
        <f t="shared" ca="1" si="65"/>
        <v>#N/A</v>
      </c>
      <c r="P90" t="e">
        <f t="shared" ca="1" si="66"/>
        <v>#N/A</v>
      </c>
      <c r="U90" s="52"/>
      <c r="W90" s="60"/>
    </row>
    <row r="91" spans="1:23" x14ac:dyDescent="0.25">
      <c r="A91">
        <f t="shared" si="67"/>
        <v>150</v>
      </c>
      <c r="B91" t="s">
        <v>682</v>
      </c>
      <c r="C91" t="s">
        <v>864</v>
      </c>
      <c r="D91" t="str">
        <f t="shared" ca="1" si="56"/>
        <v>text</v>
      </c>
      <c r="E91" t="b">
        <f t="shared" ca="1" si="57"/>
        <v>0</v>
      </c>
      <c r="F91" t="b">
        <f t="shared" ca="1" si="58"/>
        <v>0</v>
      </c>
      <c r="G91" t="b">
        <f t="shared" ca="1" si="59"/>
        <v>0</v>
      </c>
      <c r="H91">
        <f t="shared" ca="1" si="60"/>
        <v>0</v>
      </c>
      <c r="I91" t="str">
        <f t="shared" ca="1" si="61"/>
        <v>id сервиса в источнике</v>
      </c>
      <c r="J91">
        <v>1</v>
      </c>
      <c r="K91" t="str">
        <f t="shared" ca="1" si="62"/>
        <v>b3050000420001_agreementservice</v>
      </c>
      <c r="L91" s="3" t="s">
        <v>179</v>
      </c>
      <c r="M91" t="str">
        <f t="shared" ca="1" si="63"/>
        <v>text</v>
      </c>
      <c r="N91" t="b">
        <f t="shared" ca="1" si="64"/>
        <v>1</v>
      </c>
      <c r="O91" t="b">
        <f t="shared" ca="1" si="65"/>
        <v>1</v>
      </c>
      <c r="P91" t="str">
        <f t="shared" ca="1" si="66"/>
        <v>Прикладной ID объекта</v>
      </c>
      <c r="U91" s="52"/>
      <c r="W91" s="60"/>
    </row>
    <row r="92" spans="1:23" x14ac:dyDescent="0.25">
      <c r="A92">
        <f t="shared" si="67"/>
        <v>150</v>
      </c>
      <c r="B92" t="s">
        <v>682</v>
      </c>
      <c r="C92" t="s">
        <v>852</v>
      </c>
      <c r="D92" t="str">
        <f t="shared" ca="1" si="56"/>
        <v>date</v>
      </c>
      <c r="E92" t="b">
        <f t="shared" ca="1" si="57"/>
        <v>0</v>
      </c>
      <c r="F92" t="b">
        <f t="shared" ca="1" si="58"/>
        <v>0</v>
      </c>
      <c r="G92" t="b">
        <f t="shared" ca="1" si="59"/>
        <v>0</v>
      </c>
      <c r="H92">
        <f t="shared" ca="1" si="60"/>
        <v>0</v>
      </c>
      <c r="I92" t="str">
        <f t="shared" ca="1" si="61"/>
        <v>Дата выполнения</v>
      </c>
      <c r="J92">
        <v>1</v>
      </c>
      <c r="K92" t="str">
        <f t="shared" ca="1" si="62"/>
        <v>b3050000420001_agreementservice</v>
      </c>
      <c r="L92" s="3"/>
      <c r="M92" t="e">
        <f t="shared" ca="1" si="63"/>
        <v>#N/A</v>
      </c>
      <c r="N92" t="e">
        <f t="shared" ca="1" si="64"/>
        <v>#N/A</v>
      </c>
      <c r="O92" t="e">
        <f t="shared" ca="1" si="65"/>
        <v>#N/A</v>
      </c>
      <c r="P92" t="e">
        <f t="shared" ca="1" si="66"/>
        <v>#N/A</v>
      </c>
      <c r="U92" s="52"/>
      <c r="W92" s="60"/>
    </row>
    <row r="93" spans="1:23" x14ac:dyDescent="0.25">
      <c r="A93">
        <f t="shared" si="67"/>
        <v>150</v>
      </c>
      <c r="B93" t="s">
        <v>682</v>
      </c>
      <c r="C93" t="s">
        <v>785</v>
      </c>
      <c r="D93" t="str">
        <f t="shared" ca="1" si="56"/>
        <v>date</v>
      </c>
      <c r="E93" t="b">
        <f t="shared" ca="1" si="57"/>
        <v>0</v>
      </c>
      <c r="F93" t="b">
        <f t="shared" ca="1" si="58"/>
        <v>0</v>
      </c>
      <c r="G93" t="b">
        <f t="shared" ca="1" si="59"/>
        <v>0</v>
      </c>
      <c r="H93">
        <f t="shared" ca="1" si="60"/>
        <v>0</v>
      </c>
      <c r="I93" t="str">
        <f t="shared" ca="1" si="61"/>
        <v>Дата начала</v>
      </c>
      <c r="J93">
        <v>1</v>
      </c>
      <c r="K93" t="str">
        <f t="shared" ca="1" si="62"/>
        <v>b3050000420001_agreementservice</v>
      </c>
      <c r="L93" s="3"/>
      <c r="M93" t="e">
        <f t="shared" ca="1" si="63"/>
        <v>#N/A</v>
      </c>
      <c r="N93" t="e">
        <f t="shared" ca="1" si="64"/>
        <v>#N/A</v>
      </c>
      <c r="O93" t="e">
        <f t="shared" ca="1" si="65"/>
        <v>#N/A</v>
      </c>
      <c r="P93" t="e">
        <f t="shared" ca="1" si="66"/>
        <v>#N/A</v>
      </c>
      <c r="U93" s="52"/>
      <c r="W93" s="60"/>
    </row>
    <row r="94" spans="1:23" s="2" customFormat="1" ht="15.75" thickBot="1" x14ac:dyDescent="0.3">
      <c r="A94" s="2">
        <f>A82</f>
        <v>150</v>
      </c>
      <c r="B94" s="2" t="s">
        <v>682</v>
      </c>
      <c r="C94" s="2" t="s">
        <v>787</v>
      </c>
      <c r="D94" s="2" t="str">
        <f t="shared" ca="1" si="56"/>
        <v>date</v>
      </c>
      <c r="E94" s="2" t="b">
        <f t="shared" ca="1" si="57"/>
        <v>0</v>
      </c>
      <c r="F94" s="2" t="b">
        <f t="shared" ca="1" si="58"/>
        <v>0</v>
      </c>
      <c r="G94" s="2" t="b">
        <f t="shared" ca="1" si="59"/>
        <v>0</v>
      </c>
      <c r="H94" s="2">
        <f t="shared" ca="1" si="60"/>
        <v>0</v>
      </c>
      <c r="I94" s="2" t="str">
        <f t="shared" ca="1" si="61"/>
        <v>Дата окончания</v>
      </c>
      <c r="J94" s="2">
        <v>1</v>
      </c>
      <c r="K94" s="2" t="str">
        <f t="shared" ca="1" si="62"/>
        <v>b3050000420001_agreementservice</v>
      </c>
      <c r="M94" s="2" t="e">
        <f t="shared" ca="1" si="63"/>
        <v>#N/A</v>
      </c>
      <c r="N94" s="2" t="e">
        <f t="shared" ca="1" si="64"/>
        <v>#N/A</v>
      </c>
      <c r="O94" s="2" t="e">
        <f t="shared" ca="1" si="65"/>
        <v>#N/A</v>
      </c>
      <c r="P94" s="2" t="e">
        <f t="shared" ca="1" si="66"/>
        <v>#N/A</v>
      </c>
      <c r="U94" s="53"/>
      <c r="W94" s="53"/>
    </row>
    <row r="95" spans="1:23" x14ac:dyDescent="0.25">
      <c r="A95" s="10">
        <v>160</v>
      </c>
      <c r="B95" s="3" t="s">
        <v>684</v>
      </c>
      <c r="C95" t="s">
        <v>847</v>
      </c>
      <c r="D95" t="str">
        <f t="shared" ca="1" si="56"/>
        <v>uuid</v>
      </c>
      <c r="E95" t="b">
        <f t="shared" ca="1" si="57"/>
        <v>1</v>
      </c>
      <c r="F95" t="b">
        <f t="shared" ca="1" si="58"/>
        <v>1</v>
      </c>
      <c r="G95" t="b">
        <f t="shared" ca="1" si="59"/>
        <v>1</v>
      </c>
      <c r="H95" t="str">
        <f t="shared" ca="1" si="60"/>
        <v>t_bus_srv.bus_srv_id</v>
      </c>
      <c r="I95" t="str">
        <f t="shared" ca="1" si="61"/>
        <v>id сервиса</v>
      </c>
      <c r="J95">
        <v>1</v>
      </c>
      <c r="K95" t="str">
        <f t="shared" ca="1" si="62"/>
        <v>b3050000420001_agreementservice</v>
      </c>
      <c r="L95" s="3" t="s">
        <v>180</v>
      </c>
      <c r="M95" t="str">
        <f t="shared" ca="1" si="63"/>
        <v>uuid</v>
      </c>
      <c r="N95" t="b">
        <f t="shared" ca="1" si="64"/>
        <v>0</v>
      </c>
      <c r="O95" t="b">
        <f t="shared" ca="1" si="65"/>
        <v>0</v>
      </c>
      <c r="P95">
        <f t="shared" ca="1" si="66"/>
        <v>0</v>
      </c>
      <c r="R95" t="s">
        <v>1064</v>
      </c>
      <c r="S95" t="s">
        <v>8</v>
      </c>
      <c r="U95" s="54" t="s">
        <v>1083</v>
      </c>
      <c r="V95" t="str">
        <f>"n305000042" &amp; TEXT(A95, "0000") &amp; "_" &amp; RIGHT(B95, LEN(B95) - 2)</f>
        <v>n3050000420160_bus_srv$dul</v>
      </c>
      <c r="W95" s="54" t="s">
        <v>1523</v>
      </c>
    </row>
    <row r="96" spans="1:23" x14ac:dyDescent="0.25">
      <c r="A96">
        <f>A95</f>
        <v>160</v>
      </c>
      <c r="B96" s="3" t="s">
        <v>684</v>
      </c>
      <c r="C96" t="s">
        <v>867</v>
      </c>
      <c r="D96" t="str">
        <f t="shared" ca="1" si="56"/>
        <v>text</v>
      </c>
      <c r="E96" t="b">
        <f t="shared" ca="1" si="57"/>
        <v>0</v>
      </c>
      <c r="F96" t="b">
        <f t="shared" ca="1" si="58"/>
        <v>0</v>
      </c>
      <c r="G96" t="b">
        <f t="shared" ca="1" si="59"/>
        <v>0</v>
      </c>
      <c r="H96">
        <f t="shared" ca="1" si="60"/>
        <v>0</v>
      </c>
      <c r="I96" t="str">
        <f t="shared" ca="1" si="61"/>
        <v>id структурной сделки в АС Calypso</v>
      </c>
      <c r="J96">
        <v>1</v>
      </c>
      <c r="K96" t="str">
        <f t="shared" ca="1" si="62"/>
        <v>b3050000420001_agreementservice</v>
      </c>
      <c r="L96" s="3"/>
      <c r="M96" t="e">
        <f t="shared" ca="1" si="63"/>
        <v>#N/A</v>
      </c>
      <c r="N96" t="e">
        <f t="shared" ca="1" si="64"/>
        <v>#N/A</v>
      </c>
      <c r="O96" t="e">
        <f t="shared" ca="1" si="65"/>
        <v>#N/A</v>
      </c>
      <c r="P96" t="e">
        <f t="shared" ca="1" si="66"/>
        <v>#N/A</v>
      </c>
      <c r="U96" s="55"/>
      <c r="W96" s="60"/>
    </row>
    <row r="97" spans="1:23" x14ac:dyDescent="0.25">
      <c r="A97">
        <f>A95</f>
        <v>160</v>
      </c>
      <c r="B97" s="3" t="s">
        <v>684</v>
      </c>
      <c r="C97" t="s">
        <v>869</v>
      </c>
      <c r="D97" t="str">
        <f t="shared" ca="1" si="56"/>
        <v>text</v>
      </c>
      <c r="E97" t="b">
        <f t="shared" ca="1" si="57"/>
        <v>0</v>
      </c>
      <c r="F97" t="b">
        <f t="shared" ca="1" si="58"/>
        <v>0</v>
      </c>
      <c r="G97" t="b">
        <f t="shared" ca="1" si="59"/>
        <v>0</v>
      </c>
      <c r="H97">
        <f t="shared" ca="1" si="60"/>
        <v>0</v>
      </c>
      <c r="I97" t="str">
        <f t="shared" ca="1" si="61"/>
        <v>id финансового калькулятора (id расчета в АС ФК)</v>
      </c>
      <c r="J97">
        <v>1</v>
      </c>
      <c r="K97" t="str">
        <f t="shared" ca="1" si="62"/>
        <v>b3050000420001_agreementservice</v>
      </c>
      <c r="L97" s="3"/>
      <c r="M97" t="e">
        <f t="shared" ca="1" si="63"/>
        <v>#N/A</v>
      </c>
      <c r="N97" t="e">
        <f t="shared" ca="1" si="64"/>
        <v>#N/A</v>
      </c>
      <c r="O97" t="e">
        <f t="shared" ca="1" si="65"/>
        <v>#N/A</v>
      </c>
      <c r="P97" t="e">
        <f t="shared" ca="1" si="66"/>
        <v>#N/A</v>
      </c>
      <c r="U97" s="55"/>
      <c r="W97" s="60"/>
    </row>
    <row r="98" spans="1:23" x14ac:dyDescent="0.25">
      <c r="A98">
        <f>A95</f>
        <v>160</v>
      </c>
      <c r="B98" s="3" t="s">
        <v>684</v>
      </c>
      <c r="C98" t="s">
        <v>871</v>
      </c>
      <c r="D98" t="str">
        <f t="shared" ca="1" si="56"/>
        <v>uuid</v>
      </c>
      <c r="E98" t="b">
        <f t="shared" ca="1" si="57"/>
        <v>0</v>
      </c>
      <c r="F98" t="b">
        <f t="shared" ca="1" si="58"/>
        <v>0</v>
      </c>
      <c r="G98" t="b">
        <f t="shared" ca="1" si="59"/>
        <v>1</v>
      </c>
      <c r="H98" t="str">
        <f t="shared" ca="1" si="60"/>
        <v>t_offer_type.offer_type_id</v>
      </c>
      <c r="I98" t="str">
        <f t="shared" ca="1" si="61"/>
        <v>Тип коммерческого предложения</v>
      </c>
      <c r="J98">
        <v>1</v>
      </c>
      <c r="K98" t="str">
        <f t="shared" ca="1" si="62"/>
        <v>b3050000420001_agreementservice</v>
      </c>
      <c r="L98" s="3"/>
      <c r="M98" t="e">
        <f t="shared" ca="1" si="63"/>
        <v>#N/A</v>
      </c>
      <c r="N98" t="e">
        <f t="shared" ca="1" si="64"/>
        <v>#N/A</v>
      </c>
      <c r="O98" t="e">
        <f t="shared" ca="1" si="65"/>
        <v>#N/A</v>
      </c>
      <c r="P98" t="e">
        <f t="shared" ca="1" si="66"/>
        <v>#N/A</v>
      </c>
      <c r="U98" s="55"/>
      <c r="W98" s="60"/>
    </row>
    <row r="99" spans="1:23" s="15" customFormat="1" x14ac:dyDescent="0.25">
      <c r="A99" s="15">
        <f>A95</f>
        <v>160</v>
      </c>
      <c r="B99" s="15" t="s">
        <v>684</v>
      </c>
      <c r="C99" s="15" t="s">
        <v>873</v>
      </c>
      <c r="D99" s="32" t="str">
        <f t="shared" ca="1" si="56"/>
        <v>text</v>
      </c>
      <c r="E99" s="32" t="b">
        <f t="shared" ca="1" si="57"/>
        <v>0</v>
      </c>
      <c r="F99" s="32" t="b">
        <f t="shared" ca="1" si="58"/>
        <v>0</v>
      </c>
      <c r="G99" s="32" t="b">
        <f t="shared" ca="1" si="59"/>
        <v>0</v>
      </c>
      <c r="H99" s="32">
        <f t="shared" ca="1" si="60"/>
        <v>0</v>
      </c>
      <c r="I99" s="32" t="str">
        <f t="shared" ca="1" si="61"/>
        <v>Причина отмены сервиса</v>
      </c>
      <c r="J99" s="15">
        <v>1</v>
      </c>
      <c r="K99" s="32" t="str">
        <f t="shared" ca="1" si="62"/>
        <v>b3050000420001_agreementservice</v>
      </c>
      <c r="L99" s="15" t="s">
        <v>1084</v>
      </c>
      <c r="M99" s="32" t="str">
        <f t="shared" ca="1" si="63"/>
        <v>text</v>
      </c>
      <c r="N99" s="32" t="b">
        <f t="shared" ca="1" si="64"/>
        <v>0</v>
      </c>
      <c r="O99" s="32" t="b">
        <f t="shared" ca="1" si="65"/>
        <v>0</v>
      </c>
      <c r="P99" s="32" t="str">
        <f t="shared" ca="1" si="66"/>
        <v>Причина отмены</v>
      </c>
      <c r="U99" s="55"/>
      <c r="W99" s="60"/>
    </row>
    <row r="100" spans="1:23" s="2" customFormat="1" ht="15.75" thickBot="1" x14ac:dyDescent="0.3">
      <c r="A100" s="2">
        <f>A95</f>
        <v>160</v>
      </c>
      <c r="B100" s="2" t="s">
        <v>684</v>
      </c>
      <c r="C100" s="2" t="s">
        <v>1596</v>
      </c>
      <c r="D100" s="2" t="str">
        <f t="shared" ca="1" si="56"/>
        <v>text</v>
      </c>
      <c r="E100" s="2" t="b">
        <f t="shared" ca="1" si="57"/>
        <v>0</v>
      </c>
      <c r="F100" s="2" t="b">
        <f t="shared" ca="1" si="58"/>
        <v>0</v>
      </c>
      <c r="G100" s="2" t="b">
        <f t="shared" ca="1" si="59"/>
        <v>0</v>
      </c>
      <c r="H100" s="2">
        <f t="shared" ca="1" si="60"/>
        <v>0</v>
      </c>
      <c r="I100" s="2" t="str">
        <f t="shared" ca="1" si="61"/>
        <v>Способ ввода заявки на депозит.</v>
      </c>
      <c r="J100" s="2">
        <v>1</v>
      </c>
      <c r="K100" s="2" t="str">
        <f t="shared" ca="1" si="62"/>
        <v>b3050000420001_agreementservice</v>
      </c>
      <c r="M100" s="2" t="e">
        <f t="shared" ca="1" si="63"/>
        <v>#N/A</v>
      </c>
      <c r="N100" s="2" t="e">
        <f t="shared" ca="1" si="64"/>
        <v>#N/A</v>
      </c>
      <c r="O100" s="2" t="e">
        <f t="shared" ca="1" si="65"/>
        <v>#N/A</v>
      </c>
      <c r="P100" s="2" t="e">
        <f t="shared" ca="1" si="66"/>
        <v>#N/A</v>
      </c>
      <c r="U100" s="56"/>
      <c r="W100" s="53"/>
    </row>
    <row r="101" spans="1:23" s="3" customFormat="1" x14ac:dyDescent="0.25">
      <c r="A101" s="10">
        <v>170</v>
      </c>
      <c r="B101" s="3" t="s">
        <v>684</v>
      </c>
      <c r="C101" t="s">
        <v>847</v>
      </c>
      <c r="D101" t="str">
        <f t="shared" ca="1" si="56"/>
        <v>uuid</v>
      </c>
      <c r="E101" t="b">
        <f t="shared" ca="1" si="57"/>
        <v>1</v>
      </c>
      <c r="F101" t="b">
        <f t="shared" ca="1" si="58"/>
        <v>1</v>
      </c>
      <c r="G101" t="b">
        <f t="shared" ca="1" si="59"/>
        <v>1</v>
      </c>
      <c r="H101" t="str">
        <f t="shared" ca="1" si="60"/>
        <v>t_bus_srv.bus_srv_id</v>
      </c>
      <c r="I101" t="str">
        <f t="shared" ca="1" si="61"/>
        <v>id сервиса</v>
      </c>
      <c r="J101">
        <v>10</v>
      </c>
      <c r="K101" t="str">
        <f t="shared" ca="1" si="62"/>
        <v>b3050000420010_productservice</v>
      </c>
      <c r="L101" s="3" t="s">
        <v>180</v>
      </c>
      <c r="M101" t="str">
        <f t="shared" ca="1" si="63"/>
        <v>uuid</v>
      </c>
      <c r="N101" t="b">
        <f t="shared" ca="1" si="64"/>
        <v>0</v>
      </c>
      <c r="O101" t="b">
        <f t="shared" ca="1" si="65"/>
        <v>0</v>
      </c>
      <c r="P101">
        <f t="shared" ca="1" si="66"/>
        <v>0</v>
      </c>
      <c r="R101" t="s">
        <v>1064</v>
      </c>
      <c r="S101" t="s">
        <v>8</v>
      </c>
      <c r="U101" s="57" t="s">
        <v>1599</v>
      </c>
      <c r="V101" t="str">
        <f>"n305000042" &amp; TEXT(A101, "0000") &amp; "_" &amp; RIGHT(B101, LEN(B101) - 2)</f>
        <v>n3050000420170_bus_srv$dul</v>
      </c>
      <c r="W101" s="54" t="s">
        <v>1524</v>
      </c>
    </row>
    <row r="102" spans="1:23" s="3" customFormat="1" x14ac:dyDescent="0.25">
      <c r="A102">
        <f>A101</f>
        <v>170</v>
      </c>
      <c r="B102" s="3" t="s">
        <v>684</v>
      </c>
      <c r="C102" t="s">
        <v>867</v>
      </c>
      <c r="D102" t="str">
        <f t="shared" ca="1" si="56"/>
        <v>text</v>
      </c>
      <c r="E102" t="b">
        <f t="shared" ca="1" si="57"/>
        <v>0</v>
      </c>
      <c r="F102" t="b">
        <f t="shared" ca="1" si="58"/>
        <v>0</v>
      </c>
      <c r="G102" t="b">
        <f t="shared" ca="1" si="59"/>
        <v>0</v>
      </c>
      <c r="H102">
        <f t="shared" ca="1" si="60"/>
        <v>0</v>
      </c>
      <c r="I102" t="str">
        <f t="shared" ca="1" si="61"/>
        <v>id структурной сделки в АС Calypso</v>
      </c>
      <c r="J102">
        <v>10</v>
      </c>
      <c r="K102" t="str">
        <f t="shared" ca="1" si="62"/>
        <v>b3050000420010_productservice</v>
      </c>
      <c r="L102" s="3" t="s">
        <v>189</v>
      </c>
      <c r="M102" t="str">
        <f t="shared" ca="1" si="63"/>
        <v>text</v>
      </c>
      <c r="N102" t="b">
        <f t="shared" ca="1" si="64"/>
        <v>0</v>
      </c>
      <c r="O102" t="b">
        <f t="shared" ca="1" si="65"/>
        <v>0</v>
      </c>
      <c r="P102" t="str">
        <f t="shared" ca="1" si="66"/>
        <v>Номер запроса</v>
      </c>
      <c r="U102" s="55"/>
      <c r="W102" s="60"/>
    </row>
    <row r="103" spans="1:23" s="3" customFormat="1" x14ac:dyDescent="0.25">
      <c r="A103">
        <f>A101</f>
        <v>170</v>
      </c>
      <c r="B103" s="3" t="s">
        <v>684</v>
      </c>
      <c r="C103" t="s">
        <v>869</v>
      </c>
      <c r="D103" t="str">
        <f t="shared" ca="1" si="56"/>
        <v>text</v>
      </c>
      <c r="E103" t="b">
        <f t="shared" ca="1" si="57"/>
        <v>0</v>
      </c>
      <c r="F103" t="b">
        <f t="shared" ca="1" si="58"/>
        <v>0</v>
      </c>
      <c r="G103" t="b">
        <f t="shared" ca="1" si="59"/>
        <v>0</v>
      </c>
      <c r="H103">
        <f t="shared" ca="1" si="60"/>
        <v>0</v>
      </c>
      <c r="I103" t="str">
        <f t="shared" ca="1" si="61"/>
        <v>id финансового калькулятора (id расчета в АС ФК)</v>
      </c>
      <c r="J103">
        <v>3</v>
      </c>
      <c r="K103" t="str">
        <f t="shared" ca="1" si="62"/>
        <v>b3050000420003_individualparams</v>
      </c>
      <c r="L103" s="3" t="s">
        <v>235</v>
      </c>
      <c r="M103" t="str">
        <f t="shared" ca="1" si="63"/>
        <v>text</v>
      </c>
      <c r="N103" t="b">
        <f t="shared" ca="1" si="64"/>
        <v>0</v>
      </c>
      <c r="O103" t="b">
        <f t="shared" ca="1" si="65"/>
        <v>0</v>
      </c>
      <c r="P103" t="str">
        <f t="shared" ca="1" si="66"/>
        <v>ИД финансового калькулятора</v>
      </c>
      <c r="U103" s="55"/>
      <c r="W103" s="60"/>
    </row>
    <row r="104" spans="1:23" s="3" customFormat="1" x14ac:dyDescent="0.25">
      <c r="A104">
        <f>A101</f>
        <v>170</v>
      </c>
      <c r="B104" s="3" t="s">
        <v>684</v>
      </c>
      <c r="C104" t="s">
        <v>871</v>
      </c>
      <c r="D104" t="str">
        <f t="shared" ca="1" si="56"/>
        <v>uuid</v>
      </c>
      <c r="E104" t="b">
        <f t="shared" ca="1" si="57"/>
        <v>0</v>
      </c>
      <c r="F104" t="b">
        <f t="shared" ca="1" si="58"/>
        <v>0</v>
      </c>
      <c r="G104" t="b">
        <f t="shared" ca="1" si="59"/>
        <v>1</v>
      </c>
      <c r="H104" t="str">
        <f t="shared" ca="1" si="60"/>
        <v>t_offer_type.offer_type_id</v>
      </c>
      <c r="I104" t="str">
        <f t="shared" ca="1" si="61"/>
        <v>Тип коммерческого предложения</v>
      </c>
      <c r="J104">
        <v>10</v>
      </c>
      <c r="K104" t="str">
        <f t="shared" ca="1" si="62"/>
        <v>b3050000420010_productservice</v>
      </c>
      <c r="L104" s="3" t="s">
        <v>313</v>
      </c>
      <c r="M104" t="str">
        <f t="shared" ca="1" si="63"/>
        <v>uuid</v>
      </c>
      <c r="N104" t="b">
        <f t="shared" ca="1" si="64"/>
        <v>0</v>
      </c>
      <c r="O104" t="b">
        <f t="shared" ca="1" si="65"/>
        <v>0</v>
      </c>
      <c r="P104">
        <f t="shared" ca="1" si="66"/>
        <v>0</v>
      </c>
      <c r="U104" s="55"/>
      <c r="W104" s="60"/>
    </row>
    <row r="105" spans="1:23" s="15" customFormat="1" x14ac:dyDescent="0.25">
      <c r="A105" s="15">
        <f>A101</f>
        <v>170</v>
      </c>
      <c r="B105" s="15" t="s">
        <v>684</v>
      </c>
      <c r="C105" s="15" t="s">
        <v>873</v>
      </c>
      <c r="D105" s="15" t="str">
        <f t="shared" ref="D105" ca="1" si="68">VLOOKUP(B105&amp;C105, INDIRECT("target_columns"), 4, FALSE)</f>
        <v>text</v>
      </c>
      <c r="E105" s="15" t="b">
        <f t="shared" ref="E105" ca="1" si="69">VLOOKUP(B105&amp;C105, INDIRECT("target_columns"), 5, FALSE)</f>
        <v>0</v>
      </c>
      <c r="F105" s="15" t="b">
        <f t="shared" ref="F105" ca="1" si="70">VLOOKUP(B105&amp;C105, INDIRECT("target_columns"), 6, FALSE)</f>
        <v>0</v>
      </c>
      <c r="G105" s="15" t="b">
        <f t="shared" ref="G105" ca="1" si="71">VLOOKUP(B105&amp;C105, INDIRECT("target_columns"), 7, FALSE)</f>
        <v>0</v>
      </c>
      <c r="H105" s="15">
        <f t="shared" ref="H105" ca="1" si="72">VLOOKUP(B105&amp;C105, INDIRECT("target_columns"), 8, FALSE)</f>
        <v>0</v>
      </c>
      <c r="I105" s="15" t="str">
        <f t="shared" ref="I105" ca="1" si="73">VLOOKUP(B105&amp;C105, INDIRECT("target_columns"), 9, FALSE)</f>
        <v>Причина отмены сервиса</v>
      </c>
      <c r="J105" s="15">
        <v>10</v>
      </c>
      <c r="K105" s="15" t="str">
        <f t="shared" ref="K105" ca="1" si="74">VLOOKUP(J105, INDIRECT("source_tables"), 2, FALSE)</f>
        <v>b3050000420010_productservice</v>
      </c>
      <c r="M105" s="15" t="e">
        <f t="shared" ref="M105" ca="1" si="75">VLOOKUP(K105&amp;L105, INDIRECT("source_columns"), 4, FALSE)</f>
        <v>#N/A</v>
      </c>
      <c r="N105" s="15" t="e">
        <f t="shared" ref="N105" ca="1" si="76">VLOOKUP(K105&amp;L105, INDIRECT("source_columns"), 5, FALSE)</f>
        <v>#N/A</v>
      </c>
      <c r="O105" s="15" t="e">
        <f t="shared" ref="O105" ca="1" si="77">VLOOKUP(K105&amp;L105, INDIRECT("source_columns"), 6, FALSE)</f>
        <v>#N/A</v>
      </c>
      <c r="P105" s="15" t="e">
        <f t="shared" ref="P105" ca="1" si="78">VLOOKUP(K105&amp;L105, INDIRECT("source_columns"), 7, FALSE)</f>
        <v>#N/A</v>
      </c>
      <c r="U105" s="55"/>
      <c r="W105" s="60"/>
    </row>
    <row r="106" spans="1:23" s="3" customFormat="1" ht="15.75" thickBot="1" x14ac:dyDescent="0.3">
      <c r="A106" s="2">
        <f>A101</f>
        <v>170</v>
      </c>
      <c r="B106" s="2" t="s">
        <v>684</v>
      </c>
      <c r="C106" s="2" t="s">
        <v>1596</v>
      </c>
      <c r="D106" s="2" t="str">
        <f t="shared" ca="1" si="56"/>
        <v>text</v>
      </c>
      <c r="E106" s="2" t="b">
        <f t="shared" ca="1" si="57"/>
        <v>0</v>
      </c>
      <c r="F106" s="2" t="b">
        <f t="shared" ca="1" si="58"/>
        <v>0</v>
      </c>
      <c r="G106" s="2" t="b">
        <f t="shared" ca="1" si="59"/>
        <v>0</v>
      </c>
      <c r="H106" s="2">
        <f t="shared" ca="1" si="60"/>
        <v>0</v>
      </c>
      <c r="I106" s="2" t="str">
        <f t="shared" ca="1" si="61"/>
        <v>Способ ввода заявки на депозит.</v>
      </c>
      <c r="J106" s="2">
        <v>10</v>
      </c>
      <c r="K106" s="2" t="str">
        <f t="shared" ca="1" si="62"/>
        <v>b3050000420010_productservice</v>
      </c>
      <c r="L106" s="2" t="s">
        <v>177</v>
      </c>
      <c r="M106" s="2" t="str">
        <f t="shared" ca="1" si="63"/>
        <v>text</v>
      </c>
      <c r="N106" s="2" t="b">
        <f t="shared" ca="1" si="64"/>
        <v>0</v>
      </c>
      <c r="O106" s="2" t="b">
        <f t="shared" ca="1" si="65"/>
        <v>0</v>
      </c>
      <c r="P106" s="2" t="str">
        <f t="shared" ca="1" si="66"/>
        <v>Способ ввода</v>
      </c>
      <c r="Q106" s="2"/>
      <c r="R106" s="2"/>
      <c r="S106" s="2"/>
      <c r="T106" s="2"/>
      <c r="U106" s="56"/>
      <c r="V106" s="2"/>
      <c r="W106" s="53"/>
    </row>
    <row r="107" spans="1:23" x14ac:dyDescent="0.25">
      <c r="A107" s="10">
        <v>180</v>
      </c>
      <c r="B107" t="s">
        <v>692</v>
      </c>
      <c r="C107" t="s">
        <v>856</v>
      </c>
      <c r="D107" t="str">
        <f t="shared" ca="1" si="56"/>
        <v>uuid</v>
      </c>
      <c r="E107" t="b">
        <f t="shared" ca="1" si="57"/>
        <v>1</v>
      </c>
      <c r="F107" t="b">
        <f t="shared" ca="1" si="58"/>
        <v>1</v>
      </c>
      <c r="G107" t="b">
        <f t="shared" ca="1" si="59"/>
        <v>0</v>
      </c>
      <c r="H107">
        <f t="shared" ca="1" si="60"/>
        <v>0</v>
      </c>
      <c r="I107" t="str">
        <f t="shared" ca="1" si="61"/>
        <v>id типа бизнес сервиса</v>
      </c>
      <c r="J107">
        <v>1</v>
      </c>
      <c r="K107" t="str">
        <f t="shared" ca="1" si="62"/>
        <v>b3050000420001_agreementservice</v>
      </c>
      <c r="L107" s="3" t="s">
        <v>191</v>
      </c>
      <c r="M107" t="str">
        <f t="shared" ca="1" si="63"/>
        <v>uuid</v>
      </c>
      <c r="N107" t="b">
        <f t="shared" ca="1" si="64"/>
        <v>0</v>
      </c>
      <c r="O107" t="b">
        <f t="shared" ca="1" si="65"/>
        <v>0</v>
      </c>
      <c r="P107">
        <f t="shared" ca="1" si="66"/>
        <v>0</v>
      </c>
      <c r="R107" t="s">
        <v>1064</v>
      </c>
      <c r="S107" t="s">
        <v>1071</v>
      </c>
      <c r="U107" s="54" t="s">
        <v>1085</v>
      </c>
      <c r="V107" t="str">
        <f>"n305000042" &amp; TEXT(A107, "0000") &amp; "_" &amp; RIGHT(B107, LEN(B107) - 2)</f>
        <v>n3050000420180_bus_srv_type</v>
      </c>
      <c r="W107" s="54" t="s">
        <v>1525</v>
      </c>
    </row>
    <row r="108" spans="1:23" x14ac:dyDescent="0.25">
      <c r="A108">
        <f>A107</f>
        <v>180</v>
      </c>
      <c r="B108" t="s">
        <v>692</v>
      </c>
      <c r="C108" t="s">
        <v>892</v>
      </c>
      <c r="D108" t="str">
        <f t="shared" ref="D108:D171" ca="1" si="79">VLOOKUP(B108&amp;C108, INDIRECT("target_columns"), 4, FALSE)</f>
        <v>text</v>
      </c>
      <c r="E108" t="b">
        <f t="shared" ref="E108:E171" ca="1" si="80">VLOOKUP(B108&amp;C108, INDIRECT("target_columns"), 5, FALSE)</f>
        <v>0</v>
      </c>
      <c r="F108" t="b">
        <f t="shared" ref="F108:F171" ca="1" si="81">VLOOKUP(B108&amp;C108, INDIRECT("target_columns"), 6, FALSE)</f>
        <v>0</v>
      </c>
      <c r="G108" t="b">
        <f t="shared" ref="G108:G171" ca="1" si="82">VLOOKUP(B108&amp;C108, INDIRECT("target_columns"), 7, FALSE)</f>
        <v>0</v>
      </c>
      <c r="H108">
        <f t="shared" ref="H108:H171" ca="1" si="83">VLOOKUP(B108&amp;C108, INDIRECT("target_columns"), 8, FALSE)</f>
        <v>0</v>
      </c>
      <c r="I108" t="str">
        <f t="shared" ref="I108:I171" ca="1" si="84">VLOOKUP(B108&amp;C108, INDIRECT("target_columns"), 9, FALSE)</f>
        <v>Код типа бизнес сервиса</v>
      </c>
      <c r="J108">
        <v>1</v>
      </c>
      <c r="K108" t="str">
        <f t="shared" ref="K108:K171" ca="1" si="85">VLOOKUP(J108, INDIRECT("source_tables"), 2, FALSE)</f>
        <v>b3050000420001_agreementservice</v>
      </c>
      <c r="L108" s="3" t="s">
        <v>190</v>
      </c>
      <c r="M108" t="str">
        <f t="shared" ref="M108:M171" ca="1" si="86">VLOOKUP(K108&amp;L108, INDIRECT("source_columns"), 4, FALSE)</f>
        <v>text</v>
      </c>
      <c r="N108" t="b">
        <f t="shared" ref="N108:N171" ca="1" si="87">VLOOKUP(K108&amp;L108, INDIRECT("source_columns"), 5, FALSE)</f>
        <v>0</v>
      </c>
      <c r="O108" t="b">
        <f t="shared" ref="O108:O171" ca="1" si="88">VLOOKUP(K108&amp;L108, INDIRECT("source_columns"), 6, FALSE)</f>
        <v>0</v>
      </c>
      <c r="P108" t="str">
        <f t="shared" ref="P108:P171" ca="1" si="89">VLOOKUP(K108&amp;L108, INDIRECT("source_columns"), 7, FALSE)</f>
        <v>Тип сервиса</v>
      </c>
      <c r="U108" s="55"/>
      <c r="W108" s="60"/>
    </row>
    <row r="109" spans="1:23" x14ac:dyDescent="0.25">
      <c r="A109">
        <f>A107</f>
        <v>180</v>
      </c>
      <c r="B109" t="s">
        <v>692</v>
      </c>
      <c r="C109" t="s">
        <v>894</v>
      </c>
      <c r="D109" t="str">
        <f t="shared" ca="1" si="79"/>
        <v>text</v>
      </c>
      <c r="E109" t="b">
        <f t="shared" ca="1" si="80"/>
        <v>0</v>
      </c>
      <c r="F109" t="b">
        <f t="shared" ca="1" si="81"/>
        <v>0</v>
      </c>
      <c r="G109" t="b">
        <f t="shared" ca="1" si="82"/>
        <v>0</v>
      </c>
      <c r="H109">
        <f t="shared" ca="1" si="83"/>
        <v>0</v>
      </c>
      <c r="I109" t="str">
        <f t="shared" ca="1" si="84"/>
        <v>Описание типа бизнес сервиса</v>
      </c>
      <c r="J109">
        <v>1</v>
      </c>
      <c r="K109" t="str">
        <f t="shared" ca="1" si="85"/>
        <v>b3050000420001_agreementservice</v>
      </c>
      <c r="L109" s="3" t="s">
        <v>1075</v>
      </c>
      <c r="M109" t="e">
        <f t="shared" ca="1" si="86"/>
        <v>#N/A</v>
      </c>
      <c r="N109" t="e">
        <f t="shared" ca="1" si="87"/>
        <v>#N/A</v>
      </c>
      <c r="O109" t="e">
        <f t="shared" ca="1" si="88"/>
        <v>#N/A</v>
      </c>
      <c r="P109" t="e">
        <f t="shared" ca="1" si="89"/>
        <v>#N/A</v>
      </c>
      <c r="U109" s="55"/>
      <c r="W109" s="60"/>
    </row>
    <row r="110" spans="1:23" s="2" customFormat="1" ht="15.75" thickBot="1" x14ac:dyDescent="0.3">
      <c r="A110" s="2">
        <f>A107</f>
        <v>180</v>
      </c>
      <c r="B110" s="2" t="s">
        <v>692</v>
      </c>
      <c r="C110" s="2" t="s">
        <v>896</v>
      </c>
      <c r="D110" s="2" t="str">
        <f t="shared" ca="1" si="79"/>
        <v>text</v>
      </c>
      <c r="E110" s="2" t="b">
        <f t="shared" ca="1" si="80"/>
        <v>0</v>
      </c>
      <c r="F110" s="2" t="b">
        <f t="shared" ca="1" si="81"/>
        <v>0</v>
      </c>
      <c r="G110" s="2" t="b">
        <f t="shared" ca="1" si="82"/>
        <v>0</v>
      </c>
      <c r="H110" s="2">
        <f t="shared" ca="1" si="83"/>
        <v>0</v>
      </c>
      <c r="I110" s="2" t="str">
        <f t="shared" ca="1" si="84"/>
        <v>id типа бизнес сервиса в источнике</v>
      </c>
      <c r="J110" s="2">
        <v>1</v>
      </c>
      <c r="K110" s="2" t="str">
        <f t="shared" ca="1" si="85"/>
        <v>b3050000420001_agreementservice</v>
      </c>
      <c r="L110" s="2" t="s">
        <v>190</v>
      </c>
      <c r="M110" s="2" t="str">
        <f t="shared" ca="1" si="86"/>
        <v>text</v>
      </c>
      <c r="N110" s="2" t="b">
        <f t="shared" ca="1" si="87"/>
        <v>0</v>
      </c>
      <c r="O110" s="2" t="b">
        <f t="shared" ca="1" si="88"/>
        <v>0</v>
      </c>
      <c r="P110" s="2" t="str">
        <f t="shared" ca="1" si="89"/>
        <v>Тип сервиса</v>
      </c>
      <c r="U110" s="56"/>
      <c r="W110" s="53"/>
    </row>
    <row r="111" spans="1:23" x14ac:dyDescent="0.25">
      <c r="A111" s="10">
        <v>190</v>
      </c>
      <c r="B111" t="s">
        <v>694</v>
      </c>
      <c r="C111" t="s">
        <v>858</v>
      </c>
      <c r="D111" t="str">
        <f t="shared" ca="1" si="79"/>
        <v>uuid</v>
      </c>
      <c r="E111" t="b">
        <f t="shared" ca="1" si="80"/>
        <v>1</v>
      </c>
      <c r="F111" t="b">
        <f t="shared" ca="1" si="81"/>
        <v>1</v>
      </c>
      <c r="G111" t="b">
        <f t="shared" ca="1" si="82"/>
        <v>0</v>
      </c>
      <c r="H111">
        <f t="shared" ca="1" si="83"/>
        <v>0</v>
      </c>
      <c r="I111" t="str">
        <f t="shared" ca="1" si="84"/>
        <v>id типа канала</v>
      </c>
      <c r="J111">
        <v>1</v>
      </c>
      <c r="K111" t="str">
        <f t="shared" ca="1" si="85"/>
        <v>b3050000420001_agreementservice</v>
      </c>
      <c r="L111" s="3" t="s">
        <v>166</v>
      </c>
      <c r="M111" t="str">
        <f t="shared" ca="1" si="86"/>
        <v>uuid</v>
      </c>
      <c r="N111" t="b">
        <f t="shared" ca="1" si="87"/>
        <v>0</v>
      </c>
      <c r="O111" t="b">
        <f t="shared" ca="1" si="88"/>
        <v>0</v>
      </c>
      <c r="P111">
        <f t="shared" ca="1" si="89"/>
        <v>0</v>
      </c>
      <c r="R111" t="s">
        <v>1064</v>
      </c>
      <c r="S111" t="s">
        <v>1071</v>
      </c>
      <c r="U111" s="54" t="s">
        <v>1086</v>
      </c>
      <c r="V111" t="str">
        <f>"n305000042" &amp; TEXT(A111, "0000") &amp; "_" &amp; RIGHT(B111, LEN(B111) - 2)</f>
        <v>n3050000420190_chnl_type</v>
      </c>
      <c r="W111" s="54" t="s">
        <v>695</v>
      </c>
    </row>
    <row r="112" spans="1:23" x14ac:dyDescent="0.25">
      <c r="A112">
        <f>A111</f>
        <v>190</v>
      </c>
      <c r="B112" t="s">
        <v>694</v>
      </c>
      <c r="C112" t="s">
        <v>899</v>
      </c>
      <c r="D112" t="str">
        <f t="shared" ca="1" si="79"/>
        <v>text</v>
      </c>
      <c r="E112" t="b">
        <f t="shared" ca="1" si="80"/>
        <v>0</v>
      </c>
      <c r="F112" t="b">
        <f t="shared" ca="1" si="81"/>
        <v>0</v>
      </c>
      <c r="G112" t="b">
        <f t="shared" ca="1" si="82"/>
        <v>0</v>
      </c>
      <c r="H112">
        <f t="shared" ca="1" si="83"/>
        <v>0</v>
      </c>
      <c r="I112" t="str">
        <f t="shared" ca="1" si="84"/>
        <v>Код типа канала</v>
      </c>
      <c r="J112">
        <v>1</v>
      </c>
      <c r="K112" t="str">
        <f t="shared" ca="1" si="85"/>
        <v>b3050000420001_agreementservice</v>
      </c>
      <c r="L112" s="3" t="s">
        <v>165</v>
      </c>
      <c r="M112" t="str">
        <f t="shared" ca="1" si="86"/>
        <v>text</v>
      </c>
      <c r="N112" t="b">
        <f t="shared" ca="1" si="87"/>
        <v>0</v>
      </c>
      <c r="O112" t="b">
        <f t="shared" ca="1" si="88"/>
        <v>0</v>
      </c>
      <c r="P112" t="str">
        <f t="shared" ca="1" si="89"/>
        <v>Канал поступления</v>
      </c>
      <c r="U112" s="55"/>
      <c r="W112" s="60"/>
    </row>
    <row r="113" spans="1:23" x14ac:dyDescent="0.25">
      <c r="A113">
        <f>A111</f>
        <v>190</v>
      </c>
      <c r="B113" t="s">
        <v>694</v>
      </c>
      <c r="C113" t="s">
        <v>901</v>
      </c>
      <c r="D113" t="str">
        <f t="shared" ca="1" si="79"/>
        <v>text</v>
      </c>
      <c r="E113" t="b">
        <f t="shared" ca="1" si="80"/>
        <v>0</v>
      </c>
      <c r="F113" t="b">
        <f t="shared" ca="1" si="81"/>
        <v>0</v>
      </c>
      <c r="G113" t="b">
        <f t="shared" ca="1" si="82"/>
        <v>0</v>
      </c>
      <c r="H113">
        <f t="shared" ca="1" si="83"/>
        <v>0</v>
      </c>
      <c r="I113" t="str">
        <f t="shared" ca="1" si="84"/>
        <v>Описание типа канала</v>
      </c>
      <c r="J113">
        <v>1</v>
      </c>
      <c r="K113" t="str">
        <f t="shared" ca="1" si="85"/>
        <v>b3050000420001_agreementservice</v>
      </c>
      <c r="L113" s="3" t="s">
        <v>1075</v>
      </c>
      <c r="M113" t="e">
        <f t="shared" ca="1" si="86"/>
        <v>#N/A</v>
      </c>
      <c r="N113" t="e">
        <f t="shared" ca="1" si="87"/>
        <v>#N/A</v>
      </c>
      <c r="O113" t="e">
        <f t="shared" ca="1" si="88"/>
        <v>#N/A</v>
      </c>
      <c r="P113" t="e">
        <f t="shared" ca="1" si="89"/>
        <v>#N/A</v>
      </c>
      <c r="U113" s="55"/>
      <c r="W113" s="60"/>
    </row>
    <row r="114" spans="1:23" s="2" customFormat="1" ht="15.75" thickBot="1" x14ac:dyDescent="0.3">
      <c r="A114" s="2">
        <f>A111</f>
        <v>190</v>
      </c>
      <c r="B114" s="2" t="s">
        <v>694</v>
      </c>
      <c r="C114" s="2" t="s">
        <v>903</v>
      </c>
      <c r="D114" s="2" t="str">
        <f t="shared" ca="1" si="79"/>
        <v>text</v>
      </c>
      <c r="E114" s="2" t="b">
        <f t="shared" ca="1" si="80"/>
        <v>0</v>
      </c>
      <c r="F114" s="2" t="b">
        <f t="shared" ca="1" si="81"/>
        <v>0</v>
      </c>
      <c r="G114" s="2" t="b">
        <f t="shared" ca="1" si="82"/>
        <v>0</v>
      </c>
      <c r="H114" s="2">
        <f t="shared" ca="1" si="83"/>
        <v>0</v>
      </c>
      <c r="I114" s="2" t="str">
        <f t="shared" ca="1" si="84"/>
        <v>id типа канала в источнике</v>
      </c>
      <c r="J114" s="2">
        <v>1</v>
      </c>
      <c r="K114" s="2" t="str">
        <f t="shared" ca="1" si="85"/>
        <v>b3050000420001_agreementservice</v>
      </c>
      <c r="L114" s="2" t="s">
        <v>165</v>
      </c>
      <c r="M114" s="2" t="str">
        <f t="shared" ca="1" si="86"/>
        <v>text</v>
      </c>
      <c r="N114" s="2" t="b">
        <f t="shared" ca="1" si="87"/>
        <v>0</v>
      </c>
      <c r="O114" s="2" t="b">
        <f t="shared" ca="1" si="88"/>
        <v>0</v>
      </c>
      <c r="P114" s="2" t="str">
        <f t="shared" ca="1" si="89"/>
        <v>Канал поступления</v>
      </c>
      <c r="U114" s="56"/>
      <c r="W114" s="53"/>
    </row>
    <row r="115" spans="1:23" x14ac:dyDescent="0.25">
      <c r="A115" s="10">
        <v>200</v>
      </c>
      <c r="B115" t="s">
        <v>696</v>
      </c>
      <c r="C115" t="s">
        <v>754</v>
      </c>
      <c r="D115" t="str">
        <f t="shared" ca="1" si="79"/>
        <v>uuid</v>
      </c>
      <c r="E115" t="b">
        <f t="shared" ca="1" si="80"/>
        <v>1</v>
      </c>
      <c r="F115" t="b">
        <f t="shared" ca="1" si="81"/>
        <v>1</v>
      </c>
      <c r="G115" t="b">
        <f t="shared" ca="1" si="82"/>
        <v>0</v>
      </c>
      <c r="H115">
        <f t="shared" ca="1" si="83"/>
        <v>0</v>
      </c>
      <c r="I115" t="str">
        <f t="shared" ca="1" si="84"/>
        <v>id валюты</v>
      </c>
      <c r="J115">
        <v>7</v>
      </c>
      <c r="K115" t="str">
        <f t="shared" ca="1" si="85"/>
        <v>b3050000420007_product</v>
      </c>
      <c r="L115" s="3" t="s">
        <v>253</v>
      </c>
      <c r="M115" t="str">
        <f t="shared" ca="1" si="86"/>
        <v>uuid</v>
      </c>
      <c r="N115" t="b">
        <f t="shared" ca="1" si="87"/>
        <v>0</v>
      </c>
      <c r="O115" t="b">
        <f t="shared" ca="1" si="88"/>
        <v>0</v>
      </c>
      <c r="P115">
        <f t="shared" ca="1" si="89"/>
        <v>0</v>
      </c>
      <c r="R115" t="s">
        <v>1064</v>
      </c>
      <c r="S115" t="s">
        <v>1071</v>
      </c>
      <c r="U115" s="54" t="s">
        <v>1087</v>
      </c>
      <c r="V115" t="str">
        <f>"n305000042" &amp; TEXT(A115, "0000") &amp; "_" &amp; RIGHT(B115, LEN(B115) - 2)</f>
        <v>n3050000420200_crncy</v>
      </c>
      <c r="W115" s="54" t="s">
        <v>697</v>
      </c>
    </row>
    <row r="116" spans="1:23" x14ac:dyDescent="0.25">
      <c r="A116">
        <f>A115</f>
        <v>200</v>
      </c>
      <c r="B116" t="s">
        <v>696</v>
      </c>
      <c r="C116" t="s">
        <v>906</v>
      </c>
      <c r="D116" t="str">
        <f t="shared" ca="1" si="79"/>
        <v>text</v>
      </c>
      <c r="E116" t="b">
        <f t="shared" ca="1" si="80"/>
        <v>0</v>
      </c>
      <c r="F116" t="b">
        <f t="shared" ca="1" si="81"/>
        <v>0</v>
      </c>
      <c r="G116" t="b">
        <f t="shared" ca="1" si="82"/>
        <v>0</v>
      </c>
      <c r="H116">
        <f t="shared" ca="1" si="83"/>
        <v>0</v>
      </c>
      <c r="I116" t="str">
        <f t="shared" ca="1" si="84"/>
        <v>ISO код валюты</v>
      </c>
      <c r="J116">
        <v>7</v>
      </c>
      <c r="K116" t="str">
        <f t="shared" ca="1" si="85"/>
        <v>b3050000420007_product</v>
      </c>
      <c r="L116" s="3" t="s">
        <v>252</v>
      </c>
      <c r="M116" t="str">
        <f t="shared" ca="1" si="86"/>
        <v>text</v>
      </c>
      <c r="N116" t="b">
        <f t="shared" ca="1" si="87"/>
        <v>0</v>
      </c>
      <c r="O116" t="b">
        <f t="shared" ca="1" si="88"/>
        <v>0</v>
      </c>
      <c r="P116" t="str">
        <f t="shared" ca="1" si="89"/>
        <v>Код валюты</v>
      </c>
      <c r="U116" s="55"/>
      <c r="W116" s="60"/>
    </row>
    <row r="117" spans="1:23" s="2" customFormat="1" ht="15.75" thickBot="1" x14ac:dyDescent="0.3">
      <c r="A117" s="2">
        <f>A115</f>
        <v>200</v>
      </c>
      <c r="B117" s="2" t="s">
        <v>696</v>
      </c>
      <c r="C117" s="2" t="s">
        <v>908</v>
      </c>
      <c r="D117" s="2" t="str">
        <f t="shared" ca="1" si="79"/>
        <v>text</v>
      </c>
      <c r="E117" s="2" t="b">
        <f t="shared" ca="1" si="80"/>
        <v>0</v>
      </c>
      <c r="F117" s="2" t="b">
        <f t="shared" ca="1" si="81"/>
        <v>0</v>
      </c>
      <c r="G117" s="2" t="b">
        <f t="shared" ca="1" si="82"/>
        <v>0</v>
      </c>
      <c r="H117" s="2">
        <f t="shared" ca="1" si="83"/>
        <v>0</v>
      </c>
      <c r="I117" s="2" t="str">
        <f t="shared" ca="1" si="84"/>
        <v>id валюты в источнике</v>
      </c>
      <c r="J117" s="2">
        <v>7</v>
      </c>
      <c r="K117" s="2" t="str">
        <f t="shared" ca="1" si="85"/>
        <v>b3050000420007_product</v>
      </c>
      <c r="L117" s="2" t="s">
        <v>252</v>
      </c>
      <c r="M117" s="2" t="str">
        <f t="shared" ca="1" si="86"/>
        <v>text</v>
      </c>
      <c r="N117" s="2" t="b">
        <f t="shared" ca="1" si="87"/>
        <v>0</v>
      </c>
      <c r="O117" s="2" t="b">
        <f t="shared" ca="1" si="88"/>
        <v>0</v>
      </c>
      <c r="P117" s="2" t="str">
        <f t="shared" ca="1" si="89"/>
        <v>Код валюты</v>
      </c>
      <c r="U117" s="56"/>
      <c r="W117" s="53"/>
    </row>
    <row r="118" spans="1:23" x14ac:dyDescent="0.25">
      <c r="A118" s="10">
        <v>210</v>
      </c>
      <c r="B118" t="s">
        <v>698</v>
      </c>
      <c r="C118" t="s">
        <v>910</v>
      </c>
      <c r="D118" t="str">
        <f t="shared" ca="1" si="79"/>
        <v>uuid</v>
      </c>
      <c r="E118" t="b">
        <f t="shared" ca="1" si="80"/>
        <v>1</v>
      </c>
      <c r="F118" t="b">
        <f t="shared" ca="1" si="81"/>
        <v>1</v>
      </c>
      <c r="G118" t="b">
        <f t="shared" ca="1" si="82"/>
        <v>0</v>
      </c>
      <c r="H118">
        <f t="shared" ca="1" si="83"/>
        <v>0</v>
      </c>
      <c r="I118" t="str">
        <f t="shared" ca="1" si="84"/>
        <v>id сотрудника</v>
      </c>
      <c r="J118">
        <v>16</v>
      </c>
      <c r="K118" t="str">
        <f t="shared" ca="1" si="85"/>
        <v>b3050000420016_userinfo</v>
      </c>
      <c r="L118" s="3" t="s">
        <v>180</v>
      </c>
      <c r="M118" t="str">
        <f t="shared" ca="1" si="86"/>
        <v>uuid</v>
      </c>
      <c r="N118" t="b">
        <f t="shared" ca="1" si="87"/>
        <v>0</v>
      </c>
      <c r="O118" t="b">
        <f t="shared" ca="1" si="88"/>
        <v>0</v>
      </c>
      <c r="P118">
        <f t="shared" ca="1" si="89"/>
        <v>0</v>
      </c>
      <c r="R118" t="s">
        <v>1064</v>
      </c>
      <c r="S118" t="s">
        <v>1071</v>
      </c>
      <c r="U118" s="54" t="s">
        <v>1088</v>
      </c>
      <c r="V118" t="str">
        <f>"n305000042" &amp; TEXT(A118, "0000") &amp; "_" &amp; RIGHT(B118, LEN(B118) - 2)</f>
        <v>n3050000420210_emp</v>
      </c>
      <c r="W118" s="54" t="s">
        <v>699</v>
      </c>
    </row>
    <row r="119" spans="1:23" x14ac:dyDescent="0.25">
      <c r="A119">
        <f>A118</f>
        <v>210</v>
      </c>
      <c r="B119" t="s">
        <v>698</v>
      </c>
      <c r="C119" t="s">
        <v>912</v>
      </c>
      <c r="D119" t="str">
        <f t="shared" ca="1" si="79"/>
        <v>text</v>
      </c>
      <c r="E119" t="b">
        <f t="shared" ca="1" si="80"/>
        <v>0</v>
      </c>
      <c r="F119" t="b">
        <f t="shared" ca="1" si="81"/>
        <v>0</v>
      </c>
      <c r="G119" t="b">
        <f t="shared" ca="1" si="82"/>
        <v>0</v>
      </c>
      <c r="H119">
        <f t="shared" ca="1" si="83"/>
        <v>0</v>
      </c>
      <c r="I119" t="str">
        <f t="shared" ca="1" si="84"/>
        <v>id сотрудника в источнике</v>
      </c>
      <c r="J119">
        <v>16</v>
      </c>
      <c r="K119" t="str">
        <f t="shared" ca="1" si="85"/>
        <v>b3050000420016_userinfo</v>
      </c>
      <c r="L119" s="3" t="s">
        <v>179</v>
      </c>
      <c r="M119" t="str">
        <f t="shared" ca="1" si="86"/>
        <v>text</v>
      </c>
      <c r="N119" t="b">
        <f t="shared" ca="1" si="87"/>
        <v>1</v>
      </c>
      <c r="O119" t="b">
        <f t="shared" ca="1" si="88"/>
        <v>1</v>
      </c>
      <c r="P119" t="str">
        <f t="shared" ca="1" si="89"/>
        <v>Прикладной ID объекта</v>
      </c>
      <c r="U119" s="55"/>
      <c r="W119" s="60"/>
    </row>
    <row r="120" spans="1:23" s="2" customFormat="1" ht="15.75" thickBot="1" x14ac:dyDescent="0.3">
      <c r="A120" s="2">
        <f>A118</f>
        <v>210</v>
      </c>
      <c r="B120" s="2" t="s">
        <v>698</v>
      </c>
      <c r="C120" s="2" t="s">
        <v>914</v>
      </c>
      <c r="D120" s="2" t="str">
        <f t="shared" ca="1" si="79"/>
        <v>text</v>
      </c>
      <c r="E120" s="2" t="b">
        <f t="shared" ca="1" si="80"/>
        <v>0</v>
      </c>
      <c r="F120" s="2" t="b">
        <f t="shared" ca="1" si="81"/>
        <v>0</v>
      </c>
      <c r="G120" s="2" t="b">
        <f t="shared" ca="1" si="82"/>
        <v>0</v>
      </c>
      <c r="H120" s="2">
        <f t="shared" ca="1" si="83"/>
        <v>0</v>
      </c>
      <c r="I120" s="2" t="str">
        <f t="shared" ca="1" si="84"/>
        <v>Табельный номер</v>
      </c>
      <c r="J120" s="2">
        <v>16</v>
      </c>
      <c r="K120" s="2" t="str">
        <f t="shared" ca="1" si="85"/>
        <v>b3050000420016_userinfo</v>
      </c>
      <c r="L120" s="2" t="s">
        <v>231</v>
      </c>
      <c r="M120" s="2" t="str">
        <f t="shared" ca="1" si="86"/>
        <v>text</v>
      </c>
      <c r="N120" s="2" t="b">
        <f t="shared" ca="1" si="87"/>
        <v>0</v>
      </c>
      <c r="O120" s="2" t="b">
        <f t="shared" ca="1" si="88"/>
        <v>0</v>
      </c>
      <c r="P120" s="2" t="str">
        <f t="shared" ca="1" si="89"/>
        <v>Табельный номер</v>
      </c>
      <c r="U120" s="56"/>
      <c r="W120" s="53"/>
    </row>
    <row r="121" spans="1:23" x14ac:dyDescent="0.25">
      <c r="A121" s="10">
        <v>220</v>
      </c>
      <c r="B121" t="s">
        <v>700</v>
      </c>
      <c r="C121" t="s">
        <v>910</v>
      </c>
      <c r="D121" t="str">
        <f t="shared" ca="1" si="79"/>
        <v>uuid</v>
      </c>
      <c r="E121" t="b">
        <f t="shared" ca="1" si="80"/>
        <v>1</v>
      </c>
      <c r="F121" t="b">
        <f t="shared" ca="1" si="81"/>
        <v>1</v>
      </c>
      <c r="G121" t="b">
        <f t="shared" ca="1" si="82"/>
        <v>1</v>
      </c>
      <c r="H121" t="str">
        <f t="shared" ca="1" si="83"/>
        <v>t_emp.emp_id</v>
      </c>
      <c r="I121" t="str">
        <f t="shared" ca="1" si="84"/>
        <v>id сотрудника</v>
      </c>
      <c r="J121">
        <v>16</v>
      </c>
      <c r="K121" t="str">
        <f t="shared" ca="1" si="85"/>
        <v>b3050000420016_userinfo</v>
      </c>
      <c r="L121" s="3" t="s">
        <v>180</v>
      </c>
      <c r="M121" t="str">
        <f t="shared" ca="1" si="86"/>
        <v>uuid</v>
      </c>
      <c r="N121" t="b">
        <f t="shared" ca="1" si="87"/>
        <v>0</v>
      </c>
      <c r="O121" t="b">
        <f t="shared" ca="1" si="88"/>
        <v>0</v>
      </c>
      <c r="P121">
        <f t="shared" ca="1" si="89"/>
        <v>0</v>
      </c>
      <c r="R121" t="s">
        <v>1064</v>
      </c>
      <c r="S121" t="s">
        <v>1065</v>
      </c>
      <c r="U121" s="54" t="s">
        <v>1089</v>
      </c>
      <c r="V121" t="str">
        <f>"n305000042" &amp; TEXT(A121, "0000") &amp; "_" &amp; RIGHT(B121, LEN(B121) - 2)</f>
        <v>n3050000420220_emp_idfn</v>
      </c>
      <c r="W121" s="54" t="s">
        <v>701</v>
      </c>
    </row>
    <row r="122" spans="1:23" x14ac:dyDescent="0.25">
      <c r="A122">
        <f>A121</f>
        <v>220</v>
      </c>
      <c r="B122" t="s">
        <v>700</v>
      </c>
      <c r="C122" t="s">
        <v>785</v>
      </c>
      <c r="D122" t="str">
        <f t="shared" ca="1" si="79"/>
        <v>date</v>
      </c>
      <c r="E122" t="b">
        <f t="shared" ca="1" si="80"/>
        <v>1</v>
      </c>
      <c r="F122" t="b">
        <f t="shared" ca="1" si="81"/>
        <v>1</v>
      </c>
      <c r="G122" t="b">
        <f t="shared" ca="1" si="82"/>
        <v>0</v>
      </c>
      <c r="H122">
        <f t="shared" ca="1" si="83"/>
        <v>0</v>
      </c>
      <c r="I122" t="str">
        <f t="shared" ca="1" si="84"/>
        <v>Дата начала действия</v>
      </c>
      <c r="J122">
        <v>16</v>
      </c>
      <c r="K122" t="str">
        <f t="shared" ca="1" si="85"/>
        <v>b3050000420016_userinfo</v>
      </c>
      <c r="L122" s="3" t="s">
        <v>216</v>
      </c>
      <c r="M122" t="str">
        <f t="shared" ca="1" si="86"/>
        <v>timestamp without time zone</v>
      </c>
      <c r="N122" t="b">
        <f t="shared" ca="1" si="87"/>
        <v>0</v>
      </c>
      <c r="O122" t="b">
        <f t="shared" ca="1" si="88"/>
        <v>0</v>
      </c>
      <c r="P122">
        <f t="shared" ca="1" si="89"/>
        <v>0</v>
      </c>
      <c r="R122" t="s">
        <v>1067</v>
      </c>
      <c r="U122" s="55"/>
      <c r="W122" s="60"/>
    </row>
    <row r="123" spans="1:23" x14ac:dyDescent="0.25">
      <c r="A123">
        <f>A121</f>
        <v>220</v>
      </c>
      <c r="B123" t="s">
        <v>700</v>
      </c>
      <c r="C123" t="s">
        <v>787</v>
      </c>
      <c r="D123" t="str">
        <f t="shared" ca="1" si="79"/>
        <v>date</v>
      </c>
      <c r="E123" t="b">
        <f t="shared" ca="1" si="80"/>
        <v>0</v>
      </c>
      <c r="F123" t="b">
        <f t="shared" ca="1" si="81"/>
        <v>0</v>
      </c>
      <c r="G123" t="b">
        <f t="shared" ca="1" si="82"/>
        <v>0</v>
      </c>
      <c r="H123">
        <f t="shared" ca="1" si="83"/>
        <v>0</v>
      </c>
      <c r="I123" t="str">
        <f t="shared" ca="1" si="84"/>
        <v>Дата окончания действия</v>
      </c>
      <c r="J123">
        <v>16</v>
      </c>
      <c r="K123" t="str">
        <f t="shared" ca="1" si="85"/>
        <v>b3050000420016_userinfo</v>
      </c>
      <c r="L123" s="3" t="s">
        <v>1068</v>
      </c>
      <c r="M123" t="e">
        <f t="shared" ca="1" si="86"/>
        <v>#N/A</v>
      </c>
      <c r="N123" t="e">
        <f t="shared" ca="1" si="87"/>
        <v>#N/A</v>
      </c>
      <c r="O123" t="e">
        <f t="shared" ca="1" si="88"/>
        <v>#N/A</v>
      </c>
      <c r="P123" t="e">
        <f t="shared" ca="1" si="89"/>
        <v>#N/A</v>
      </c>
      <c r="R123" t="s">
        <v>1069</v>
      </c>
      <c r="U123" s="55"/>
      <c r="W123" s="60"/>
    </row>
    <row r="124" spans="1:23" x14ac:dyDescent="0.25">
      <c r="A124">
        <f>A121</f>
        <v>220</v>
      </c>
      <c r="B124" t="s">
        <v>700</v>
      </c>
      <c r="C124" t="s">
        <v>915</v>
      </c>
      <c r="D124" t="str">
        <f t="shared" ca="1" si="79"/>
        <v>text</v>
      </c>
      <c r="E124" t="b">
        <f t="shared" ca="1" si="80"/>
        <v>0</v>
      </c>
      <c r="F124" t="b">
        <f t="shared" ca="1" si="81"/>
        <v>0</v>
      </c>
      <c r="G124" t="b">
        <f t="shared" ca="1" si="82"/>
        <v>0</v>
      </c>
      <c r="H124">
        <f t="shared" ca="1" si="83"/>
        <v>0</v>
      </c>
      <c r="I124" t="str">
        <f t="shared" ca="1" si="84"/>
        <v>ФИО</v>
      </c>
      <c r="J124">
        <v>16</v>
      </c>
      <c r="K124" t="str">
        <f t="shared" ca="1" si="85"/>
        <v>b3050000420016_userinfo</v>
      </c>
      <c r="L124" s="3" t="s">
        <v>344</v>
      </c>
      <c r="M124" t="str">
        <f t="shared" ca="1" si="86"/>
        <v>text</v>
      </c>
      <c r="N124" t="b">
        <f t="shared" ca="1" si="87"/>
        <v>0</v>
      </c>
      <c r="O124" t="b">
        <f t="shared" ca="1" si="88"/>
        <v>0</v>
      </c>
      <c r="P124" t="str">
        <f t="shared" ca="1" si="89"/>
        <v>ФИО</v>
      </c>
      <c r="U124" s="55"/>
      <c r="W124" s="60"/>
    </row>
    <row r="125" spans="1:23" s="2" customFormat="1" ht="15.75" thickBot="1" x14ac:dyDescent="0.3">
      <c r="A125" s="2">
        <f>A121</f>
        <v>220</v>
      </c>
      <c r="B125" s="2" t="s">
        <v>700</v>
      </c>
      <c r="C125" s="2" t="s">
        <v>916</v>
      </c>
      <c r="D125" s="2" t="str">
        <f t="shared" ca="1" si="79"/>
        <v>text</v>
      </c>
      <c r="E125" s="2" t="b">
        <f t="shared" ca="1" si="80"/>
        <v>0</v>
      </c>
      <c r="F125" s="2" t="b">
        <f t="shared" ca="1" si="81"/>
        <v>0</v>
      </c>
      <c r="G125" s="2" t="b">
        <f t="shared" ca="1" si="82"/>
        <v>0</v>
      </c>
      <c r="H125" s="2">
        <f t="shared" ca="1" si="83"/>
        <v>0</v>
      </c>
      <c r="I125" s="2" t="str">
        <f t="shared" ca="1" si="84"/>
        <v>Логин</v>
      </c>
      <c r="J125" s="2">
        <v>16</v>
      </c>
      <c r="K125" s="2" t="str">
        <f t="shared" ca="1" si="85"/>
        <v>b3050000420016_userinfo</v>
      </c>
      <c r="L125" s="2" t="s">
        <v>345</v>
      </c>
      <c r="M125" s="2" t="str">
        <f t="shared" ca="1" si="86"/>
        <v>text</v>
      </c>
      <c r="N125" s="2" t="b">
        <f t="shared" ca="1" si="87"/>
        <v>0</v>
      </c>
      <c r="O125" s="2" t="b">
        <f t="shared" ca="1" si="88"/>
        <v>0</v>
      </c>
      <c r="P125" s="2" t="str">
        <f t="shared" ca="1" si="89"/>
        <v>Логин пользователя</v>
      </c>
      <c r="U125" s="56"/>
      <c r="W125" s="53"/>
    </row>
    <row r="126" spans="1:23" x14ac:dyDescent="0.25">
      <c r="A126" s="10">
        <v>230</v>
      </c>
      <c r="B126" t="s">
        <v>702</v>
      </c>
      <c r="C126" t="s">
        <v>918</v>
      </c>
      <c r="D126" t="str">
        <f t="shared" ca="1" si="79"/>
        <v>uuid</v>
      </c>
      <c r="E126" t="b">
        <f t="shared" ca="1" si="80"/>
        <v>1</v>
      </c>
      <c r="F126" t="b">
        <f t="shared" ca="1" si="81"/>
        <v>1</v>
      </c>
      <c r="G126" t="b">
        <f t="shared" ca="1" si="82"/>
        <v>0</v>
      </c>
      <c r="H126">
        <f t="shared" ca="1" si="83"/>
        <v>0</v>
      </c>
      <c r="I126" t="str">
        <f t="shared" ca="1" si="84"/>
        <v>id статуса</v>
      </c>
      <c r="J126">
        <v>14</v>
      </c>
      <c r="K126" t="str">
        <f t="shared" ca="1" si="85"/>
        <v>b3050000420014_status</v>
      </c>
      <c r="L126" s="3" t="s">
        <v>180</v>
      </c>
      <c r="M126" t="str">
        <f t="shared" ca="1" si="86"/>
        <v>uuid</v>
      </c>
      <c r="N126" t="b">
        <f t="shared" ca="1" si="87"/>
        <v>0</v>
      </c>
      <c r="O126" t="b">
        <f t="shared" ca="1" si="88"/>
        <v>0</v>
      </c>
      <c r="P126">
        <f t="shared" ca="1" si="89"/>
        <v>0</v>
      </c>
      <c r="R126" t="s">
        <v>1064</v>
      </c>
      <c r="S126" t="s">
        <v>1071</v>
      </c>
      <c r="U126" s="54" t="s">
        <v>1090</v>
      </c>
      <c r="V126" t="str">
        <f>"n305000042" &amp; TEXT(A126, "0000") &amp; "_" &amp; RIGHT(B126, LEN(B126) - 2)</f>
        <v>n3050000420230_entity_stts</v>
      </c>
      <c r="W126" s="54" t="s">
        <v>703</v>
      </c>
    </row>
    <row r="127" spans="1:23" x14ac:dyDescent="0.25">
      <c r="A127">
        <f>A126</f>
        <v>230</v>
      </c>
      <c r="B127" t="s">
        <v>702</v>
      </c>
      <c r="C127" t="s">
        <v>919</v>
      </c>
      <c r="D127" t="str">
        <f t="shared" ca="1" si="79"/>
        <v>text</v>
      </c>
      <c r="E127" t="b">
        <f t="shared" ca="1" si="80"/>
        <v>0</v>
      </c>
      <c r="F127" t="b">
        <f t="shared" ca="1" si="81"/>
        <v>0</v>
      </c>
      <c r="G127" t="b">
        <f t="shared" ca="1" si="82"/>
        <v>0</v>
      </c>
      <c r="H127">
        <f t="shared" ca="1" si="83"/>
        <v>0</v>
      </c>
      <c r="I127" t="str">
        <f t="shared" ca="1" si="84"/>
        <v>Код статуса</v>
      </c>
      <c r="J127">
        <v>14</v>
      </c>
      <c r="K127" t="str">
        <f t="shared" ca="1" si="85"/>
        <v>b3050000420014_status</v>
      </c>
      <c r="L127" s="3" t="s">
        <v>273</v>
      </c>
      <c r="M127" t="str">
        <f t="shared" ca="1" si="86"/>
        <v>text</v>
      </c>
      <c r="N127" t="b">
        <f t="shared" ca="1" si="87"/>
        <v>0</v>
      </c>
      <c r="O127" t="b">
        <f t="shared" ca="1" si="88"/>
        <v>0</v>
      </c>
      <c r="P127" t="str">
        <f t="shared" ca="1" si="89"/>
        <v>Код статуса</v>
      </c>
      <c r="U127" s="55"/>
      <c r="W127" s="60"/>
    </row>
    <row r="128" spans="1:23" x14ac:dyDescent="0.25">
      <c r="A128">
        <f>A126</f>
        <v>230</v>
      </c>
      <c r="B128" t="s">
        <v>702</v>
      </c>
      <c r="C128" t="s">
        <v>920</v>
      </c>
      <c r="D128" t="str">
        <f t="shared" ca="1" si="79"/>
        <v>text</v>
      </c>
      <c r="E128" t="b">
        <f t="shared" ca="1" si="80"/>
        <v>0</v>
      </c>
      <c r="F128" t="b">
        <f t="shared" ca="1" si="81"/>
        <v>0</v>
      </c>
      <c r="G128" t="b">
        <f t="shared" ca="1" si="82"/>
        <v>0</v>
      </c>
      <c r="H128">
        <f t="shared" ca="1" si="83"/>
        <v>0</v>
      </c>
      <c r="I128" t="str">
        <f t="shared" ca="1" si="84"/>
        <v>Наименование статуса</v>
      </c>
      <c r="J128">
        <v>14</v>
      </c>
      <c r="K128" t="str">
        <f t="shared" ca="1" si="85"/>
        <v>b3050000420014_status</v>
      </c>
      <c r="L128" s="3" t="s">
        <v>274</v>
      </c>
      <c r="M128" t="str">
        <f t="shared" ca="1" si="86"/>
        <v>text</v>
      </c>
      <c r="N128" t="b">
        <f t="shared" ca="1" si="87"/>
        <v>0</v>
      </c>
      <c r="O128" t="b">
        <f t="shared" ca="1" si="88"/>
        <v>0</v>
      </c>
      <c r="P128" t="str">
        <f t="shared" ca="1" si="89"/>
        <v>Название статуса</v>
      </c>
      <c r="U128" s="55"/>
      <c r="W128" s="60"/>
    </row>
    <row r="129" spans="1:23" x14ac:dyDescent="0.25">
      <c r="A129">
        <f>A126</f>
        <v>230</v>
      </c>
      <c r="B129" t="s">
        <v>702</v>
      </c>
      <c r="C129" t="s">
        <v>922</v>
      </c>
      <c r="D129" t="str">
        <f t="shared" ca="1" si="79"/>
        <v>text</v>
      </c>
      <c r="E129" t="b">
        <f t="shared" ca="1" si="80"/>
        <v>0</v>
      </c>
      <c r="F129" t="b">
        <f t="shared" ca="1" si="81"/>
        <v>0</v>
      </c>
      <c r="G129" t="b">
        <f t="shared" ca="1" si="82"/>
        <v>0</v>
      </c>
      <c r="H129">
        <f t="shared" ca="1" si="83"/>
        <v>0</v>
      </c>
      <c r="I129" t="str">
        <f t="shared" ca="1" si="84"/>
        <v>Код типа статуса</v>
      </c>
      <c r="J129">
        <v>14</v>
      </c>
      <c r="K129" t="str">
        <f t="shared" ca="1" si="85"/>
        <v>b3050000420014_status</v>
      </c>
      <c r="L129" s="3" t="s">
        <v>339</v>
      </c>
      <c r="M129" t="str">
        <f t="shared" ca="1" si="86"/>
        <v>text</v>
      </c>
      <c r="N129" t="b">
        <f t="shared" ca="1" si="87"/>
        <v>0</v>
      </c>
      <c r="O129" t="b">
        <f t="shared" ca="1" si="88"/>
        <v>0</v>
      </c>
      <c r="P129" t="str">
        <f t="shared" ca="1" si="89"/>
        <v>Тип базового класса</v>
      </c>
      <c r="U129" s="55"/>
      <c r="W129" s="60"/>
    </row>
    <row r="130" spans="1:23" s="2" customFormat="1" ht="15.75" thickBot="1" x14ac:dyDescent="0.3">
      <c r="A130" s="2">
        <f>A126</f>
        <v>230</v>
      </c>
      <c r="B130" s="2" t="s">
        <v>702</v>
      </c>
      <c r="C130" s="2" t="s">
        <v>924</v>
      </c>
      <c r="D130" s="2" t="str">
        <f t="shared" ca="1" si="79"/>
        <v>text</v>
      </c>
      <c r="E130" s="2" t="b">
        <f t="shared" ca="1" si="80"/>
        <v>0</v>
      </c>
      <c r="F130" s="2" t="b">
        <f t="shared" ca="1" si="81"/>
        <v>0</v>
      </c>
      <c r="G130" s="2" t="b">
        <f t="shared" ca="1" si="82"/>
        <v>0</v>
      </c>
      <c r="H130" s="2">
        <f t="shared" ca="1" si="83"/>
        <v>0</v>
      </c>
      <c r="I130" s="2" t="str">
        <f t="shared" ca="1" si="84"/>
        <v>id статуса в источнике</v>
      </c>
      <c r="J130" s="2">
        <v>14</v>
      </c>
      <c r="K130" s="2" t="str">
        <f t="shared" ca="1" si="85"/>
        <v>b3050000420014_status</v>
      </c>
      <c r="L130" s="2" t="s">
        <v>179</v>
      </c>
      <c r="M130" s="2" t="str">
        <f t="shared" ca="1" si="86"/>
        <v>text</v>
      </c>
      <c r="N130" s="2" t="b">
        <f t="shared" ca="1" si="87"/>
        <v>1</v>
      </c>
      <c r="O130" s="2" t="b">
        <f t="shared" ca="1" si="88"/>
        <v>1</v>
      </c>
      <c r="P130" s="2" t="str">
        <f t="shared" ca="1" si="89"/>
        <v>Прикладной ID объекта</v>
      </c>
      <c r="U130" s="56"/>
      <c r="W130" s="53"/>
    </row>
    <row r="131" spans="1:23" x14ac:dyDescent="0.25">
      <c r="A131" s="10">
        <v>250</v>
      </c>
      <c r="B131" t="s">
        <v>706</v>
      </c>
      <c r="C131" t="s">
        <v>803</v>
      </c>
      <c r="D131" t="str">
        <f t="shared" ca="1" si="79"/>
        <v>uuid</v>
      </c>
      <c r="E131" t="b">
        <f t="shared" ca="1" si="80"/>
        <v>1</v>
      </c>
      <c r="F131" t="b">
        <f t="shared" ca="1" si="81"/>
        <v>1</v>
      </c>
      <c r="G131" t="b">
        <f t="shared" ca="1" si="82"/>
        <v>0</v>
      </c>
      <c r="H131">
        <f t="shared" ca="1" si="83"/>
        <v>0</v>
      </c>
      <c r="I131" t="str">
        <f t="shared" ca="1" si="84"/>
        <v>id подразделения</v>
      </c>
      <c r="J131">
        <v>7</v>
      </c>
      <c r="K131" t="s">
        <v>1091</v>
      </c>
      <c r="L131" s="3" t="s">
        <v>229</v>
      </c>
      <c r="M131" t="e">
        <f t="shared" ca="1" si="86"/>
        <v>#N/A</v>
      </c>
      <c r="N131" t="e">
        <f t="shared" ca="1" si="87"/>
        <v>#N/A</v>
      </c>
      <c r="O131" t="e">
        <f t="shared" ca="1" si="88"/>
        <v>#N/A</v>
      </c>
      <c r="P131" t="e">
        <f t="shared" ca="1" si="89"/>
        <v>#N/A</v>
      </c>
      <c r="R131" t="s">
        <v>1064</v>
      </c>
      <c r="S131" t="s">
        <v>1071</v>
      </c>
      <c r="U131" s="54" t="s">
        <v>1092</v>
      </c>
      <c r="V131" t="str">
        <f>"n305000042" &amp; TEXT(A131, "0000") &amp; "_" &amp; RIGHT(B131, LEN(B131) - 2)</f>
        <v>n3050000420250_int_org</v>
      </c>
      <c r="W131" s="54" t="s">
        <v>707</v>
      </c>
    </row>
    <row r="132" spans="1:23" x14ac:dyDescent="0.25">
      <c r="A132">
        <f>A131</f>
        <v>250</v>
      </c>
      <c r="B132" t="s">
        <v>706</v>
      </c>
      <c r="C132" t="s">
        <v>931</v>
      </c>
      <c r="D132" t="str">
        <f t="shared" ca="1" si="79"/>
        <v>text</v>
      </c>
      <c r="E132" t="b">
        <f t="shared" ca="1" si="80"/>
        <v>0</v>
      </c>
      <c r="F132" t="b">
        <f t="shared" ca="1" si="81"/>
        <v>0</v>
      </c>
      <c r="G132" t="b">
        <f t="shared" ca="1" si="82"/>
        <v>0</v>
      </c>
      <c r="H132">
        <f t="shared" ca="1" si="83"/>
        <v>0</v>
      </c>
      <c r="I132" t="str">
        <f t="shared" ca="1" si="84"/>
        <v>id подразделения в источнике</v>
      </c>
      <c r="J132">
        <v>7</v>
      </c>
      <c r="K132" s="3" t="s">
        <v>1091</v>
      </c>
      <c r="L132" s="3" t="s">
        <v>172</v>
      </c>
      <c r="M132" t="e">
        <f t="shared" ca="1" si="86"/>
        <v>#N/A</v>
      </c>
      <c r="N132" t="e">
        <f t="shared" ca="1" si="87"/>
        <v>#N/A</v>
      </c>
      <c r="O132" t="e">
        <f t="shared" ca="1" si="88"/>
        <v>#N/A</v>
      </c>
      <c r="P132" t="e">
        <f t="shared" ca="1" si="89"/>
        <v>#N/A</v>
      </c>
      <c r="U132" s="55"/>
      <c r="W132" s="60"/>
    </row>
    <row r="133" spans="1:23" s="2" customFormat="1" ht="15.75" thickBot="1" x14ac:dyDescent="0.3">
      <c r="A133" s="2">
        <f>A131</f>
        <v>250</v>
      </c>
      <c r="B133" s="2" t="s">
        <v>706</v>
      </c>
      <c r="C133" s="2" t="s">
        <v>933</v>
      </c>
      <c r="D133" s="2" t="str">
        <f t="shared" ca="1" si="79"/>
        <v>text</v>
      </c>
      <c r="E133" s="2" t="b">
        <f t="shared" ca="1" si="80"/>
        <v>0</v>
      </c>
      <c r="F133" s="2" t="b">
        <f t="shared" ca="1" si="81"/>
        <v>0</v>
      </c>
      <c r="G133" s="2" t="b">
        <f t="shared" ca="1" si="82"/>
        <v>0</v>
      </c>
      <c r="H133" s="2">
        <f t="shared" ca="1" si="83"/>
        <v>0</v>
      </c>
      <c r="I133" s="2" t="str">
        <f t="shared" ca="1" si="84"/>
        <v>Номер подразделения</v>
      </c>
      <c r="J133" s="2">
        <v>7</v>
      </c>
      <c r="K133" s="2" t="s">
        <v>1091</v>
      </c>
      <c r="L133" s="2" t="s">
        <v>172</v>
      </c>
      <c r="M133" s="2" t="e">
        <f t="shared" ca="1" si="86"/>
        <v>#N/A</v>
      </c>
      <c r="N133" s="2" t="e">
        <f t="shared" ca="1" si="87"/>
        <v>#N/A</v>
      </c>
      <c r="O133" s="2" t="e">
        <f t="shared" ca="1" si="88"/>
        <v>#N/A</v>
      </c>
      <c r="P133" s="2" t="e">
        <f t="shared" ca="1" si="89"/>
        <v>#N/A</v>
      </c>
      <c r="U133" s="56"/>
      <c r="W133" s="53"/>
    </row>
    <row r="134" spans="1:23" x14ac:dyDescent="0.25">
      <c r="A134" s="10">
        <v>270</v>
      </c>
      <c r="B134" s="3" t="s">
        <v>710</v>
      </c>
      <c r="C134" t="s">
        <v>945</v>
      </c>
      <c r="D134" t="str">
        <f t="shared" ca="1" si="79"/>
        <v>uuid</v>
      </c>
      <c r="E134" t="b">
        <f t="shared" ca="1" si="80"/>
        <v>1</v>
      </c>
      <c r="F134" t="b">
        <f t="shared" ca="1" si="81"/>
        <v>1</v>
      </c>
      <c r="G134" t="b">
        <f t="shared" ca="1" si="82"/>
        <v>0</v>
      </c>
      <c r="H134">
        <f t="shared" ca="1" si="83"/>
        <v>0</v>
      </c>
      <c r="I134" t="str">
        <f t="shared" ca="1" si="84"/>
        <v>id типа предложения</v>
      </c>
      <c r="J134">
        <v>10</v>
      </c>
      <c r="K134" t="str">
        <f t="shared" ca="1" si="85"/>
        <v>b3050000420010_productservice</v>
      </c>
      <c r="L134" s="3" t="s">
        <v>313</v>
      </c>
      <c r="M134" t="str">
        <f t="shared" ca="1" si="86"/>
        <v>uuid</v>
      </c>
      <c r="N134" t="b">
        <f t="shared" ca="1" si="87"/>
        <v>0</v>
      </c>
      <c r="O134" t="b">
        <f t="shared" ca="1" si="88"/>
        <v>0</v>
      </c>
      <c r="P134">
        <f t="shared" ca="1" si="89"/>
        <v>0</v>
      </c>
      <c r="R134" t="s">
        <v>1064</v>
      </c>
      <c r="S134" t="s">
        <v>1071</v>
      </c>
      <c r="U134" s="54" t="s">
        <v>1093</v>
      </c>
      <c r="V134" t="str">
        <f>"n305000042" &amp; TEXT(A134, "0000") &amp; "_" &amp; RIGHT(B134, LEN(B134) - 2)</f>
        <v>n3050000420270_offer_type</v>
      </c>
      <c r="W134" s="54" t="s">
        <v>711</v>
      </c>
    </row>
    <row r="135" spans="1:23" x14ac:dyDescent="0.25">
      <c r="A135">
        <f>A134</f>
        <v>270</v>
      </c>
      <c r="B135" s="3" t="s">
        <v>710</v>
      </c>
      <c r="C135" t="s">
        <v>947</v>
      </c>
      <c r="D135" t="str">
        <f t="shared" ca="1" si="79"/>
        <v>text</v>
      </c>
      <c r="E135" t="b">
        <f t="shared" ca="1" si="80"/>
        <v>0</v>
      </c>
      <c r="F135" t="b">
        <f t="shared" ca="1" si="81"/>
        <v>0</v>
      </c>
      <c r="G135" t="b">
        <f t="shared" ca="1" si="82"/>
        <v>0</v>
      </c>
      <c r="H135">
        <f t="shared" ca="1" si="83"/>
        <v>0</v>
      </c>
      <c r="I135" t="str">
        <f t="shared" ca="1" si="84"/>
        <v>id типа предложения в источнике</v>
      </c>
      <c r="J135">
        <v>10</v>
      </c>
      <c r="K135" t="str">
        <f t="shared" ca="1" si="85"/>
        <v>b3050000420010_productservice</v>
      </c>
      <c r="L135" s="3" t="s">
        <v>312</v>
      </c>
      <c r="M135" t="str">
        <f t="shared" ca="1" si="86"/>
        <v>text</v>
      </c>
      <c r="N135" t="b">
        <f t="shared" ca="1" si="87"/>
        <v>0</v>
      </c>
      <c r="O135" t="b">
        <f t="shared" ca="1" si="88"/>
        <v>0</v>
      </c>
      <c r="P135" t="str">
        <f t="shared" ca="1" si="89"/>
        <v>Тип коммерческого предложения</v>
      </c>
      <c r="U135" s="55"/>
      <c r="W135" s="60"/>
    </row>
    <row r="136" spans="1:23" x14ac:dyDescent="0.25">
      <c r="A136">
        <f>A134</f>
        <v>270</v>
      </c>
      <c r="B136" s="3" t="s">
        <v>710</v>
      </c>
      <c r="C136" t="s">
        <v>949</v>
      </c>
      <c r="D136" t="str">
        <f t="shared" ca="1" si="79"/>
        <v>text</v>
      </c>
      <c r="E136" t="b">
        <f t="shared" ca="1" si="80"/>
        <v>0</v>
      </c>
      <c r="F136" t="b">
        <f t="shared" ca="1" si="81"/>
        <v>0</v>
      </c>
      <c r="G136" t="b">
        <f t="shared" ca="1" si="82"/>
        <v>0</v>
      </c>
      <c r="H136">
        <f t="shared" ca="1" si="83"/>
        <v>0</v>
      </c>
      <c r="I136" t="str">
        <f t="shared" ca="1" si="84"/>
        <v>Код типа предложения</v>
      </c>
      <c r="J136">
        <v>10</v>
      </c>
      <c r="K136" t="str">
        <f t="shared" ca="1" si="85"/>
        <v>b3050000420010_productservice</v>
      </c>
      <c r="L136" s="3" t="s">
        <v>312</v>
      </c>
      <c r="M136" t="str">
        <f t="shared" ca="1" si="86"/>
        <v>text</v>
      </c>
      <c r="N136" t="b">
        <f t="shared" ca="1" si="87"/>
        <v>0</v>
      </c>
      <c r="O136" t="b">
        <f t="shared" ca="1" si="88"/>
        <v>0</v>
      </c>
      <c r="P136" t="str">
        <f t="shared" ca="1" si="89"/>
        <v>Тип коммерческого предложения</v>
      </c>
      <c r="U136" s="55"/>
      <c r="W136" s="60"/>
    </row>
    <row r="137" spans="1:23" s="2" customFormat="1" ht="15.75" thickBot="1" x14ac:dyDescent="0.3">
      <c r="A137" s="2">
        <f>A134</f>
        <v>270</v>
      </c>
      <c r="B137" s="2" t="s">
        <v>710</v>
      </c>
      <c r="C137" s="2" t="s">
        <v>951</v>
      </c>
      <c r="D137" s="2" t="str">
        <f t="shared" ca="1" si="79"/>
        <v>text</v>
      </c>
      <c r="E137" s="2" t="b">
        <f t="shared" ca="1" si="80"/>
        <v>0</v>
      </c>
      <c r="F137" s="2" t="b">
        <f t="shared" ca="1" si="81"/>
        <v>0</v>
      </c>
      <c r="G137" s="2" t="b">
        <f t="shared" ca="1" si="82"/>
        <v>0</v>
      </c>
      <c r="H137" s="2">
        <f t="shared" ca="1" si="83"/>
        <v>0</v>
      </c>
      <c r="I137" s="2" t="str">
        <f t="shared" ca="1" si="84"/>
        <v>Описание тип предложения</v>
      </c>
      <c r="J137" s="2">
        <v>10</v>
      </c>
      <c r="K137" s="2" t="str">
        <f t="shared" ca="1" si="85"/>
        <v>b3050000420010_productservice</v>
      </c>
      <c r="L137" s="2" t="s">
        <v>1075</v>
      </c>
      <c r="M137" s="2" t="e">
        <f t="shared" ca="1" si="86"/>
        <v>#N/A</v>
      </c>
      <c r="N137" s="2" t="e">
        <f t="shared" ca="1" si="87"/>
        <v>#N/A</v>
      </c>
      <c r="O137" s="2" t="e">
        <f t="shared" ca="1" si="88"/>
        <v>#N/A</v>
      </c>
      <c r="P137" s="2" t="e">
        <f t="shared" ca="1" si="89"/>
        <v>#N/A</v>
      </c>
      <c r="U137" s="56"/>
      <c r="W137" s="53"/>
    </row>
    <row r="138" spans="1:23" x14ac:dyDescent="0.25">
      <c r="A138" s="10">
        <v>280</v>
      </c>
      <c r="B138" t="s">
        <v>712</v>
      </c>
      <c r="C138" t="s">
        <v>953</v>
      </c>
      <c r="D138" t="str">
        <f t="shared" ca="1" si="79"/>
        <v>uuid</v>
      </c>
      <c r="E138" t="b">
        <f t="shared" ca="1" si="80"/>
        <v>1</v>
      </c>
      <c r="F138" t="b">
        <f t="shared" ca="1" si="81"/>
        <v>1</v>
      </c>
      <c r="G138" t="b">
        <f t="shared" ca="1" si="82"/>
        <v>0</v>
      </c>
      <c r="H138">
        <f t="shared" ca="1" si="83"/>
        <v>0</v>
      </c>
      <c r="I138" t="str">
        <f t="shared" ca="1" si="84"/>
        <v>id операции</v>
      </c>
      <c r="J138">
        <v>5</v>
      </c>
      <c r="K138" t="str">
        <f t="shared" ca="1" si="85"/>
        <v>b3050000420005_paymentdetails</v>
      </c>
      <c r="L138" s="3" t="s">
        <v>180</v>
      </c>
      <c r="M138" t="str">
        <f t="shared" ca="1" si="86"/>
        <v>uuid</v>
      </c>
      <c r="N138" t="b">
        <f t="shared" ca="1" si="87"/>
        <v>0</v>
      </c>
      <c r="O138" t="b">
        <f t="shared" ca="1" si="88"/>
        <v>0</v>
      </c>
      <c r="P138">
        <f t="shared" ca="1" si="89"/>
        <v>0</v>
      </c>
      <c r="R138" t="s">
        <v>1064</v>
      </c>
      <c r="S138" t="s">
        <v>8</v>
      </c>
      <c r="U138" s="57" t="s">
        <v>1535</v>
      </c>
      <c r="V138" t="str">
        <f>"n305000042" &amp; TEXT(A138, "0000") &amp; "_" &amp; RIGHT(B138, LEN(B138) - 2)</f>
        <v>n3050000420280_optn</v>
      </c>
      <c r="W138" s="54" t="s">
        <v>713</v>
      </c>
    </row>
    <row r="139" spans="1:23" x14ac:dyDescent="0.25">
      <c r="A139">
        <f>A138</f>
        <v>280</v>
      </c>
      <c r="B139" t="s">
        <v>712</v>
      </c>
      <c r="C139" t="s">
        <v>785</v>
      </c>
      <c r="D139" t="str">
        <f t="shared" ca="1" si="79"/>
        <v>date</v>
      </c>
      <c r="E139" t="b">
        <f t="shared" ca="1" si="80"/>
        <v>0</v>
      </c>
      <c r="F139" t="b">
        <f t="shared" ca="1" si="81"/>
        <v>0</v>
      </c>
      <c r="G139" t="b">
        <f t="shared" ca="1" si="82"/>
        <v>0</v>
      </c>
      <c r="H139">
        <f t="shared" ca="1" si="83"/>
        <v>0</v>
      </c>
      <c r="I139" t="str">
        <f t="shared" ca="1" si="84"/>
        <v>Дата валютирования</v>
      </c>
      <c r="J139">
        <v>5</v>
      </c>
      <c r="K139" t="str">
        <f t="shared" ca="1" si="85"/>
        <v>b3050000420005_paymentdetails</v>
      </c>
      <c r="L139" s="3" t="s">
        <v>213</v>
      </c>
      <c r="M139" t="str">
        <f t="shared" ca="1" si="86"/>
        <v>timestamp without time zone</v>
      </c>
      <c r="N139" t="b">
        <f t="shared" ca="1" si="87"/>
        <v>0</v>
      </c>
      <c r="O139" t="b">
        <f t="shared" ca="1" si="88"/>
        <v>0</v>
      </c>
      <c r="P139" t="str">
        <f t="shared" ca="1" si="89"/>
        <v>Дата валютирования</v>
      </c>
      <c r="U139" s="55"/>
      <c r="W139" s="60"/>
    </row>
    <row r="140" spans="1:23" x14ac:dyDescent="0.25">
      <c r="A140">
        <f>A138</f>
        <v>280</v>
      </c>
      <c r="B140" t="s">
        <v>712</v>
      </c>
      <c r="C140" t="s">
        <v>737</v>
      </c>
      <c r="D140" t="str">
        <f t="shared" ca="1" si="79"/>
        <v>uuid</v>
      </c>
      <c r="E140" t="b">
        <f t="shared" ca="1" si="80"/>
        <v>0</v>
      </c>
      <c r="F140" t="b">
        <f t="shared" ca="1" si="81"/>
        <v>0</v>
      </c>
      <c r="G140" t="b">
        <f t="shared" ca="1" si="82"/>
        <v>1</v>
      </c>
      <c r="H140" t="str">
        <f t="shared" ca="1" si="83"/>
        <v>t_agr_dep.agr_dep_id</v>
      </c>
      <c r="I140" t="str">
        <f t="shared" ca="1" si="84"/>
        <v>id депозитного договора</v>
      </c>
      <c r="J140">
        <v>15</v>
      </c>
      <c r="K140" t="str">
        <f t="shared" ca="1" si="85"/>
        <v>b3050000420015_technicalservice</v>
      </c>
      <c r="L140" s="3" t="s">
        <v>316</v>
      </c>
      <c r="M140" t="str">
        <f t="shared" ca="1" si="86"/>
        <v>uuid</v>
      </c>
      <c r="N140" t="b">
        <f t="shared" ca="1" si="87"/>
        <v>0</v>
      </c>
      <c r="O140" t="b">
        <f t="shared" ca="1" si="88"/>
        <v>0</v>
      </c>
      <c r="P140">
        <f t="shared" ca="1" si="89"/>
        <v>0</v>
      </c>
      <c r="U140" s="55"/>
      <c r="W140" s="60"/>
    </row>
    <row r="141" spans="1:23" x14ac:dyDescent="0.25">
      <c r="A141">
        <f>A138</f>
        <v>280</v>
      </c>
      <c r="B141" t="s">
        <v>712</v>
      </c>
      <c r="C141" t="s">
        <v>847</v>
      </c>
      <c r="D141" t="str">
        <f t="shared" ca="1" si="79"/>
        <v>uuid</v>
      </c>
      <c r="E141" t="b">
        <f t="shared" ca="1" si="80"/>
        <v>0</v>
      </c>
      <c r="F141" t="b">
        <f t="shared" ca="1" si="81"/>
        <v>0</v>
      </c>
      <c r="G141" t="b">
        <f t="shared" ca="1" si="82"/>
        <v>1</v>
      </c>
      <c r="H141" t="str">
        <f t="shared" ca="1" si="83"/>
        <v>t_bus_srv.bus_srv_id</v>
      </c>
      <c r="I141" t="str">
        <f t="shared" ca="1" si="84"/>
        <v>id сервиса</v>
      </c>
      <c r="J141">
        <v>5</v>
      </c>
      <c r="K141" t="str">
        <f t="shared" ca="1" si="85"/>
        <v>b3050000420005_paymentdetails</v>
      </c>
      <c r="L141" s="3" t="s">
        <v>270</v>
      </c>
      <c r="M141" t="str">
        <f t="shared" ca="1" si="86"/>
        <v>uuid</v>
      </c>
      <c r="N141" t="b">
        <f t="shared" ca="1" si="87"/>
        <v>0</v>
      </c>
      <c r="O141" t="b">
        <f t="shared" ca="1" si="88"/>
        <v>0</v>
      </c>
      <c r="P141">
        <f t="shared" ca="1" si="89"/>
        <v>0</v>
      </c>
      <c r="U141" s="55"/>
      <c r="W141" s="60"/>
    </row>
    <row r="142" spans="1:23" x14ac:dyDescent="0.25">
      <c r="A142">
        <f>A138</f>
        <v>280</v>
      </c>
      <c r="B142" t="s">
        <v>712</v>
      </c>
      <c r="C142" t="s">
        <v>754</v>
      </c>
      <c r="D142" t="str">
        <f t="shared" ca="1" si="79"/>
        <v>uuid</v>
      </c>
      <c r="E142" t="b">
        <f t="shared" ca="1" si="80"/>
        <v>0</v>
      </c>
      <c r="F142" t="b">
        <f t="shared" ca="1" si="81"/>
        <v>0</v>
      </c>
      <c r="G142" t="b">
        <f t="shared" ca="1" si="82"/>
        <v>1</v>
      </c>
      <c r="H142" t="str">
        <f t="shared" ca="1" si="83"/>
        <v>t_crncy.crncy_id</v>
      </c>
      <c r="I142" t="str">
        <f t="shared" ca="1" si="84"/>
        <v>Валюта операции</v>
      </c>
      <c r="J142">
        <v>5</v>
      </c>
      <c r="K142" t="str">
        <f t="shared" ca="1" si="85"/>
        <v>b3050000420005_paymentdetails</v>
      </c>
      <c r="L142" s="3" t="s">
        <v>253</v>
      </c>
      <c r="M142" t="str">
        <f t="shared" ca="1" si="86"/>
        <v>uuid</v>
      </c>
      <c r="N142" t="b">
        <f t="shared" ca="1" si="87"/>
        <v>0</v>
      </c>
      <c r="O142" t="b">
        <f t="shared" ca="1" si="88"/>
        <v>0</v>
      </c>
      <c r="P142">
        <f t="shared" ca="1" si="89"/>
        <v>0</v>
      </c>
      <c r="U142" s="55"/>
      <c r="W142" s="60"/>
    </row>
    <row r="143" spans="1:23" x14ac:dyDescent="0.25">
      <c r="A143">
        <f>A138</f>
        <v>280</v>
      </c>
      <c r="B143" t="s">
        <v>712</v>
      </c>
      <c r="C143" t="s">
        <v>956</v>
      </c>
      <c r="D143" t="str">
        <f t="shared" ca="1" si="79"/>
        <v>text</v>
      </c>
      <c r="E143" t="b">
        <f t="shared" ca="1" si="80"/>
        <v>0</v>
      </c>
      <c r="F143" t="b">
        <f t="shared" ca="1" si="81"/>
        <v>0</v>
      </c>
      <c r="G143" t="b">
        <f t="shared" ca="1" si="82"/>
        <v>0</v>
      </c>
      <c r="H143">
        <f t="shared" ca="1" si="83"/>
        <v>0</v>
      </c>
      <c r="I143" t="str">
        <f t="shared" ca="1" si="84"/>
        <v>id операции в источнике</v>
      </c>
      <c r="J143">
        <v>5</v>
      </c>
      <c r="K143" t="str">
        <f t="shared" ca="1" si="85"/>
        <v>b3050000420005_paymentdetails</v>
      </c>
      <c r="L143" s="3" t="s">
        <v>179</v>
      </c>
      <c r="M143" t="str">
        <f t="shared" ca="1" si="86"/>
        <v>text</v>
      </c>
      <c r="N143" t="b">
        <f t="shared" ca="1" si="87"/>
        <v>1</v>
      </c>
      <c r="O143" t="b">
        <f t="shared" ca="1" si="88"/>
        <v>1</v>
      </c>
      <c r="P143" t="str">
        <f t="shared" ca="1" si="89"/>
        <v>Прикладной ID объекта</v>
      </c>
      <c r="U143" s="55"/>
      <c r="W143" s="60"/>
    </row>
    <row r="144" spans="1:23" x14ac:dyDescent="0.25">
      <c r="A144">
        <f t="shared" ref="A144:A146" si="90">A138</f>
        <v>280</v>
      </c>
      <c r="B144" t="s">
        <v>712</v>
      </c>
      <c r="C144" t="s">
        <v>958</v>
      </c>
      <c r="D144" t="str">
        <f t="shared" ca="1" si="79"/>
        <v>numeric</v>
      </c>
      <c r="E144" t="b">
        <f t="shared" ca="1" si="80"/>
        <v>0</v>
      </c>
      <c r="F144" t="b">
        <f t="shared" ca="1" si="81"/>
        <v>0</v>
      </c>
      <c r="G144" t="b">
        <f t="shared" ca="1" si="82"/>
        <v>0</v>
      </c>
      <c r="H144">
        <f t="shared" ca="1" si="83"/>
        <v>0</v>
      </c>
      <c r="I144" t="str">
        <f t="shared" ca="1" si="84"/>
        <v>Сумма операции в валюте операции</v>
      </c>
      <c r="J144">
        <v>5</v>
      </c>
      <c r="K144" t="str">
        <f t="shared" ca="1" si="85"/>
        <v>b3050000420005_paymentdetails</v>
      </c>
      <c r="L144" s="3" t="s">
        <v>249</v>
      </c>
      <c r="M144" t="str">
        <f t="shared" ca="1" si="86"/>
        <v>numeric(38,10)</v>
      </c>
      <c r="N144" t="b">
        <f t="shared" ca="1" si="87"/>
        <v>0</v>
      </c>
      <c r="O144" t="b">
        <f t="shared" ca="1" si="88"/>
        <v>0</v>
      </c>
      <c r="P144" t="str">
        <f t="shared" ca="1" si="89"/>
        <v>Сумма</v>
      </c>
      <c r="U144" s="55"/>
      <c r="W144" s="60"/>
    </row>
    <row r="145" spans="1:23" x14ac:dyDescent="0.25">
      <c r="A145">
        <f t="shared" si="90"/>
        <v>280</v>
      </c>
      <c r="B145" t="s">
        <v>712</v>
      </c>
      <c r="C145" s="3" t="s">
        <v>960</v>
      </c>
      <c r="D145" t="str">
        <f t="shared" ca="1" si="79"/>
        <v>numeric</v>
      </c>
      <c r="E145" t="b">
        <f t="shared" ca="1" si="80"/>
        <v>0</v>
      </c>
      <c r="F145" t="b">
        <f t="shared" ca="1" si="81"/>
        <v>0</v>
      </c>
      <c r="G145" t="b">
        <f t="shared" ca="1" si="82"/>
        <v>0</v>
      </c>
      <c r="H145">
        <f t="shared" ca="1" si="83"/>
        <v>0</v>
      </c>
      <c r="I145" t="str">
        <f t="shared" ca="1" si="84"/>
        <v>Сумма в рублях</v>
      </c>
      <c r="J145">
        <v>5</v>
      </c>
      <c r="K145" t="str">
        <f t="shared" ca="1" si="85"/>
        <v>b3050000420005_paymentdetails</v>
      </c>
      <c r="L145" s="3" t="s">
        <v>251</v>
      </c>
      <c r="M145" t="str">
        <f t="shared" ca="1" si="86"/>
        <v>numeric(38,10)</v>
      </c>
      <c r="N145" t="b">
        <f t="shared" ca="1" si="87"/>
        <v>0</v>
      </c>
      <c r="O145" t="b">
        <f t="shared" ca="1" si="88"/>
        <v>0</v>
      </c>
      <c r="P145" t="str">
        <f t="shared" ca="1" si="89"/>
        <v>Сумма в рублях</v>
      </c>
      <c r="U145" s="55"/>
      <c r="W145" s="60"/>
    </row>
    <row r="146" spans="1:23" x14ac:dyDescent="0.25">
      <c r="A146">
        <f t="shared" si="90"/>
        <v>280</v>
      </c>
      <c r="B146" t="s">
        <v>712</v>
      </c>
      <c r="C146" s="3" t="s">
        <v>961</v>
      </c>
      <c r="D146" t="str">
        <f t="shared" ca="1" si="79"/>
        <v>uuid</v>
      </c>
      <c r="E146" t="b">
        <f t="shared" ca="1" si="80"/>
        <v>0</v>
      </c>
      <c r="F146" t="b">
        <f t="shared" ca="1" si="81"/>
        <v>0</v>
      </c>
      <c r="G146" t="b">
        <f t="shared" ca="1" si="82"/>
        <v>1</v>
      </c>
      <c r="H146" t="str">
        <f t="shared" ca="1" si="83"/>
        <v>t_optn_type.optn_type_id</v>
      </c>
      <c r="I146" t="str">
        <f t="shared" ca="1" si="84"/>
        <v>id типа операции</v>
      </c>
      <c r="J146">
        <v>5</v>
      </c>
      <c r="K146" t="str">
        <f t="shared" ca="1" si="85"/>
        <v>b3050000420005_paymentdetails</v>
      </c>
      <c r="L146" s="3" t="s">
        <v>259</v>
      </c>
      <c r="M146" t="str">
        <f t="shared" ca="1" si="86"/>
        <v>uuid</v>
      </c>
      <c r="N146" t="b">
        <f t="shared" ca="1" si="87"/>
        <v>0</v>
      </c>
      <c r="O146" t="b">
        <f t="shared" ca="1" si="88"/>
        <v>0</v>
      </c>
      <c r="P146">
        <f t="shared" ca="1" si="89"/>
        <v>0</v>
      </c>
      <c r="U146" s="55"/>
      <c r="W146" s="60"/>
    </row>
    <row r="147" spans="1:23" s="2" customFormat="1" ht="15.75" thickBot="1" x14ac:dyDescent="0.3">
      <c r="A147" s="2">
        <f>A138</f>
        <v>280</v>
      </c>
      <c r="B147" s="2" t="s">
        <v>712</v>
      </c>
      <c r="C147" s="2" t="s">
        <v>964</v>
      </c>
      <c r="D147" s="2" t="str">
        <f t="shared" ca="1" si="79"/>
        <v>uuid</v>
      </c>
      <c r="E147" s="2" t="b">
        <f t="shared" ca="1" si="80"/>
        <v>0</v>
      </c>
      <c r="F147" s="2" t="b">
        <f t="shared" ca="1" si="81"/>
        <v>0</v>
      </c>
      <c r="G147" s="2" t="b">
        <f t="shared" ca="1" si="82"/>
        <v>1</v>
      </c>
      <c r="H147" s="2" t="str">
        <f t="shared" ca="1" si="83"/>
        <v>t_registry.registry_id</v>
      </c>
      <c r="I147" s="2" t="str">
        <f t="shared" ca="1" si="84"/>
        <v>id регистра</v>
      </c>
      <c r="J147" s="2">
        <v>5</v>
      </c>
      <c r="K147" s="2" t="str">
        <f t="shared" ca="1" si="85"/>
        <v>b3050000420005_paymentdetails</v>
      </c>
      <c r="L147" s="2" t="s">
        <v>265</v>
      </c>
      <c r="M147" s="2" t="str">
        <f t="shared" ca="1" si="86"/>
        <v>uuid</v>
      </c>
      <c r="N147" s="2" t="b">
        <f t="shared" ca="1" si="87"/>
        <v>0</v>
      </c>
      <c r="O147" s="2" t="b">
        <f t="shared" ca="1" si="88"/>
        <v>0</v>
      </c>
      <c r="P147" s="2">
        <f t="shared" ca="1" si="89"/>
        <v>0</v>
      </c>
      <c r="U147" s="56"/>
      <c r="W147" s="53"/>
    </row>
    <row r="148" spans="1:23" x14ac:dyDescent="0.25">
      <c r="A148" s="10">
        <v>290</v>
      </c>
      <c r="B148" t="s">
        <v>715</v>
      </c>
      <c r="C148" t="s">
        <v>763</v>
      </c>
      <c r="D148" t="str">
        <f t="shared" ca="1" si="79"/>
        <v>uuid</v>
      </c>
      <c r="E148" t="b">
        <f t="shared" ca="1" si="80"/>
        <v>1</v>
      </c>
      <c r="F148" t="b">
        <f t="shared" ca="1" si="81"/>
        <v>1</v>
      </c>
      <c r="G148" t="b">
        <f t="shared" ca="1" si="82"/>
        <v>0</v>
      </c>
      <c r="H148">
        <f t="shared" ca="1" si="83"/>
        <v>0</v>
      </c>
      <c r="I148" t="str">
        <f t="shared" ca="1" si="84"/>
        <v>id продукта</v>
      </c>
      <c r="J148">
        <v>8</v>
      </c>
      <c r="K148" t="str">
        <f t="shared" ca="1" si="85"/>
        <v>b3050000420008_productkind</v>
      </c>
      <c r="L148" s="3" t="s">
        <v>180</v>
      </c>
      <c r="M148" t="str">
        <f t="shared" ca="1" si="86"/>
        <v>uuid</v>
      </c>
      <c r="N148" t="b">
        <f t="shared" ca="1" si="87"/>
        <v>0</v>
      </c>
      <c r="O148" t="b">
        <f t="shared" ca="1" si="88"/>
        <v>0</v>
      </c>
      <c r="P148">
        <f t="shared" ca="1" si="89"/>
        <v>0</v>
      </c>
      <c r="R148" t="s">
        <v>1064</v>
      </c>
      <c r="S148" t="s">
        <v>1071</v>
      </c>
      <c r="U148" s="54" t="s">
        <v>1094</v>
      </c>
      <c r="V148" t="str">
        <f>"n305000042" &amp; TEXT(A148, "0000") &amp; "_" &amp; RIGHT(B148, LEN(B148) - 2)</f>
        <v>n3050000420290_prod</v>
      </c>
      <c r="W148" s="54" t="s">
        <v>579</v>
      </c>
    </row>
    <row r="149" spans="1:23" x14ac:dyDescent="0.25">
      <c r="A149">
        <f>A148</f>
        <v>290</v>
      </c>
      <c r="B149" t="s">
        <v>715</v>
      </c>
      <c r="C149" t="s">
        <v>972</v>
      </c>
      <c r="D149" t="str">
        <f t="shared" ca="1" si="79"/>
        <v>text</v>
      </c>
      <c r="E149" t="b">
        <f t="shared" ca="1" si="80"/>
        <v>0</v>
      </c>
      <c r="F149" t="b">
        <f t="shared" ca="1" si="81"/>
        <v>0</v>
      </c>
      <c r="G149" t="b">
        <f t="shared" ca="1" si="82"/>
        <v>0</v>
      </c>
      <c r="H149">
        <f t="shared" ca="1" si="83"/>
        <v>0</v>
      </c>
      <c r="I149" t="str">
        <f t="shared" ca="1" si="84"/>
        <v>id продукта в источнике</v>
      </c>
      <c r="J149">
        <v>8</v>
      </c>
      <c r="K149" t="str">
        <f t="shared" ca="1" si="85"/>
        <v>b3050000420008_productkind</v>
      </c>
      <c r="L149" s="3" t="s">
        <v>179</v>
      </c>
      <c r="M149" t="str">
        <f t="shared" ca="1" si="86"/>
        <v>text</v>
      </c>
      <c r="N149" t="b">
        <f t="shared" ca="1" si="87"/>
        <v>1</v>
      </c>
      <c r="O149" t="b">
        <f t="shared" ca="1" si="88"/>
        <v>1</v>
      </c>
      <c r="P149" t="str">
        <f t="shared" ca="1" si="89"/>
        <v>Прикладной ID объекта</v>
      </c>
      <c r="U149" s="55"/>
      <c r="W149" s="60"/>
    </row>
    <row r="150" spans="1:23" x14ac:dyDescent="0.25">
      <c r="A150">
        <f>A148</f>
        <v>290</v>
      </c>
      <c r="B150" t="s">
        <v>715</v>
      </c>
      <c r="C150" t="s">
        <v>974</v>
      </c>
      <c r="D150" t="str">
        <f t="shared" ca="1" si="79"/>
        <v>text</v>
      </c>
      <c r="E150" t="b">
        <f t="shared" ca="1" si="80"/>
        <v>0</v>
      </c>
      <c r="F150" t="b">
        <f t="shared" ca="1" si="81"/>
        <v>0</v>
      </c>
      <c r="G150" t="b">
        <f t="shared" ca="1" si="82"/>
        <v>0</v>
      </c>
      <c r="H150">
        <f t="shared" ca="1" si="83"/>
        <v>0</v>
      </c>
      <c r="I150" t="str">
        <f t="shared" ca="1" si="84"/>
        <v>Код продукта</v>
      </c>
      <c r="J150">
        <v>8</v>
      </c>
      <c r="K150" t="str">
        <f t="shared" ca="1" si="85"/>
        <v>b3050000420008_productkind</v>
      </c>
      <c r="L150" s="3" t="s">
        <v>273</v>
      </c>
      <c r="M150" t="str">
        <f t="shared" ca="1" si="86"/>
        <v>text</v>
      </c>
      <c r="N150" t="b">
        <f t="shared" ca="1" si="87"/>
        <v>0</v>
      </c>
      <c r="O150" t="b">
        <f t="shared" ca="1" si="88"/>
        <v>0</v>
      </c>
      <c r="P150" t="str">
        <f t="shared" ca="1" si="89"/>
        <v>Код</v>
      </c>
      <c r="U150" s="55"/>
      <c r="W150" s="60"/>
    </row>
    <row r="151" spans="1:23" s="2" customFormat="1" ht="15.75" thickBot="1" x14ac:dyDescent="0.3">
      <c r="A151" s="2">
        <f>A148</f>
        <v>290</v>
      </c>
      <c r="B151" s="2" t="s">
        <v>715</v>
      </c>
      <c r="C151" s="2" t="s">
        <v>976</v>
      </c>
      <c r="D151" s="2" t="str">
        <f t="shared" ca="1" si="79"/>
        <v>text</v>
      </c>
      <c r="E151" s="2" t="b">
        <f t="shared" ca="1" si="80"/>
        <v>0</v>
      </c>
      <c r="F151" s="2" t="b">
        <f t="shared" ca="1" si="81"/>
        <v>0</v>
      </c>
      <c r="G151" s="2" t="b">
        <f t="shared" ca="1" si="82"/>
        <v>0</v>
      </c>
      <c r="H151" s="2">
        <f t="shared" ca="1" si="83"/>
        <v>0</v>
      </c>
      <c r="I151" s="2" t="str">
        <f t="shared" ca="1" si="84"/>
        <v>Наименование продукта</v>
      </c>
      <c r="J151" s="2">
        <v>8</v>
      </c>
      <c r="K151" s="2" t="str">
        <f t="shared" ca="1" si="85"/>
        <v>b3050000420008_productkind</v>
      </c>
      <c r="L151" s="2" t="s">
        <v>274</v>
      </c>
      <c r="M151" s="2" t="str">
        <f t="shared" ca="1" si="86"/>
        <v>text</v>
      </c>
      <c r="N151" s="2" t="b">
        <f t="shared" ca="1" si="87"/>
        <v>0</v>
      </c>
      <c r="O151" s="2" t="b">
        <f t="shared" ca="1" si="88"/>
        <v>0</v>
      </c>
      <c r="P151" s="2" t="str">
        <f t="shared" ca="1" si="89"/>
        <v>Наименование</v>
      </c>
      <c r="U151" s="56"/>
      <c r="W151" s="53"/>
    </row>
    <row r="152" spans="1:23" x14ac:dyDescent="0.25">
      <c r="A152" s="10">
        <v>320</v>
      </c>
      <c r="B152" t="s">
        <v>724</v>
      </c>
      <c r="C152" t="s">
        <v>964</v>
      </c>
      <c r="D152" t="str">
        <f t="shared" ca="1" si="79"/>
        <v>uuid</v>
      </c>
      <c r="E152" t="b">
        <f t="shared" ca="1" si="80"/>
        <v>1</v>
      </c>
      <c r="F152" t="b">
        <f t="shared" ca="1" si="81"/>
        <v>1</v>
      </c>
      <c r="G152" t="b">
        <f t="shared" ca="1" si="82"/>
        <v>0</v>
      </c>
      <c r="H152">
        <f t="shared" ca="1" si="83"/>
        <v>0</v>
      </c>
      <c r="I152" t="str">
        <f t="shared" ca="1" si="84"/>
        <v>id регистра</v>
      </c>
      <c r="J152">
        <v>12</v>
      </c>
      <c r="K152" t="str">
        <f t="shared" ca="1" si="85"/>
        <v>b3050000420012_register</v>
      </c>
      <c r="L152" s="3" t="s">
        <v>180</v>
      </c>
      <c r="M152" t="str">
        <f t="shared" ca="1" si="86"/>
        <v>uuid</v>
      </c>
      <c r="N152" t="b">
        <f t="shared" ca="1" si="87"/>
        <v>0</v>
      </c>
      <c r="O152" t="b">
        <f t="shared" ca="1" si="88"/>
        <v>0</v>
      </c>
      <c r="P152">
        <f t="shared" ca="1" si="89"/>
        <v>0</v>
      </c>
      <c r="R152" t="s">
        <v>1064</v>
      </c>
      <c r="S152" t="s">
        <v>8</v>
      </c>
      <c r="U152" s="54" t="s">
        <v>1095</v>
      </c>
      <c r="V152" t="str">
        <f>"n305000042" &amp; TEXT(A152, "0000") &amp; "_" &amp; RIGHT(B152, LEN(B152) - 2)</f>
        <v>n3050000420320_registry</v>
      </c>
      <c r="W152" s="54" t="s">
        <v>725</v>
      </c>
    </row>
    <row r="153" spans="1:23" x14ac:dyDescent="0.25">
      <c r="A153">
        <f>A152</f>
        <v>320</v>
      </c>
      <c r="B153" t="s">
        <v>724</v>
      </c>
      <c r="C153" t="s">
        <v>785</v>
      </c>
      <c r="D153" t="str">
        <f t="shared" ca="1" si="79"/>
        <v>date</v>
      </c>
      <c r="E153" t="b">
        <f t="shared" ca="1" si="80"/>
        <v>0</v>
      </c>
      <c r="F153" t="b">
        <f t="shared" ca="1" si="81"/>
        <v>0</v>
      </c>
      <c r="G153" t="b">
        <f t="shared" ca="1" si="82"/>
        <v>0</v>
      </c>
      <c r="H153">
        <f t="shared" ca="1" si="83"/>
        <v>0</v>
      </c>
      <c r="I153" t="str">
        <f t="shared" ca="1" si="84"/>
        <v>Дата опердня, в которую был открыт регистр</v>
      </c>
      <c r="J153">
        <v>12</v>
      </c>
      <c r="K153" t="str">
        <f t="shared" ca="1" si="85"/>
        <v>b3050000420012_register</v>
      </c>
      <c r="L153" s="3" t="s">
        <v>225</v>
      </c>
      <c r="M153" t="str">
        <f t="shared" ca="1" si="86"/>
        <v>timestamp without time zone</v>
      </c>
      <c r="N153" t="b">
        <f t="shared" ca="1" si="87"/>
        <v>0</v>
      </c>
      <c r="O153" t="b">
        <f t="shared" ca="1" si="88"/>
        <v>0</v>
      </c>
      <c r="P153" t="str">
        <f t="shared" ca="1" si="89"/>
        <v>Дата начала</v>
      </c>
      <c r="U153" s="55"/>
      <c r="W153" s="60"/>
    </row>
    <row r="154" spans="1:23" x14ac:dyDescent="0.25">
      <c r="A154">
        <f>A152</f>
        <v>320</v>
      </c>
      <c r="B154" t="s">
        <v>724</v>
      </c>
      <c r="C154" t="s">
        <v>787</v>
      </c>
      <c r="D154" t="str">
        <f t="shared" ca="1" si="79"/>
        <v>date</v>
      </c>
      <c r="E154" t="b">
        <f t="shared" ca="1" si="80"/>
        <v>0</v>
      </c>
      <c r="F154" t="b">
        <f t="shared" ca="1" si="81"/>
        <v>0</v>
      </c>
      <c r="G154" t="b">
        <f t="shared" ca="1" si="82"/>
        <v>0</v>
      </c>
      <c r="H154">
        <f t="shared" ca="1" si="83"/>
        <v>0</v>
      </c>
      <c r="I154" t="str">
        <f t="shared" ca="1" si="84"/>
        <v>Дата опердня, в которую был закрыт регистр</v>
      </c>
      <c r="J154">
        <v>12</v>
      </c>
      <c r="K154" s="15" t="str">
        <f t="shared" ca="1" si="85"/>
        <v>b3050000420012_register</v>
      </c>
      <c r="L154" s="3" t="s">
        <v>174</v>
      </c>
      <c r="M154" t="str">
        <f t="shared" ca="1" si="86"/>
        <v>timestamp without time zone</v>
      </c>
      <c r="N154" t="b">
        <f t="shared" ca="1" si="87"/>
        <v>0</v>
      </c>
      <c r="O154" t="b">
        <f t="shared" ca="1" si="88"/>
        <v>0</v>
      </c>
      <c r="P154" t="str">
        <f t="shared" ca="1" si="89"/>
        <v>Дата закрытия</v>
      </c>
      <c r="U154" s="55"/>
      <c r="W154" s="60"/>
    </row>
    <row r="155" spans="1:23" x14ac:dyDescent="0.25">
      <c r="A155" s="7">
        <v>320</v>
      </c>
      <c r="B155" s="14" t="s">
        <v>724</v>
      </c>
      <c r="C155" s="8" t="s">
        <v>1016</v>
      </c>
      <c r="D155" s="15" t="str">
        <f t="shared" ref="D155:D156" ca="1" si="91">VLOOKUP(B155&amp;C155, INDIRECT("target_columns"), 4, FALSE)</f>
        <v>uuid</v>
      </c>
      <c r="E155" s="15" t="b">
        <f t="shared" ref="E155:E156" ca="1" si="92">VLOOKUP(B155&amp;C155, INDIRECT("target_columns"), 5, FALSE)</f>
        <v>0</v>
      </c>
      <c r="F155" s="15" t="b">
        <f t="shared" ref="F155:F156" ca="1" si="93">VLOOKUP(B155&amp;C155, INDIRECT("target_columns"), 6, FALSE)</f>
        <v>0</v>
      </c>
      <c r="G155" s="15" t="b">
        <f t="shared" ref="G155:G156" ca="1" si="94">VLOOKUP(B155&amp;C155, INDIRECT("target_columns"), 7, FALSE)</f>
        <v>1</v>
      </c>
      <c r="H155" s="15" t="str">
        <f t="shared" ref="H155:H156" ca="1" si="95">VLOOKUP(B155&amp;C155, INDIRECT("target_columns"), 8, FALSE)</f>
        <v>t_registry.registry_id</v>
      </c>
      <c r="I155" s="15" t="str">
        <f t="shared" ref="I155:I156" ca="1" si="96">VLOOKUP(B155&amp;C155, INDIRECT("target_columns"), 9, FALSE)</f>
        <v>Идентификатор родительского регистра</v>
      </c>
      <c r="J155" s="7">
        <v>12</v>
      </c>
      <c r="K155" s="15" t="str">
        <f t="shared" ca="1" si="85"/>
        <v>b3050000420012_register</v>
      </c>
      <c r="L155" s="15" t="s">
        <v>1096</v>
      </c>
      <c r="M155" s="7"/>
      <c r="N155" s="7"/>
      <c r="O155" s="7"/>
      <c r="P155" s="7"/>
      <c r="U155" s="55"/>
      <c r="W155" s="60"/>
    </row>
    <row r="156" spans="1:23" x14ac:dyDescent="0.25">
      <c r="A156">
        <f>A152</f>
        <v>320</v>
      </c>
      <c r="B156" t="s">
        <v>724</v>
      </c>
      <c r="C156" t="s">
        <v>737</v>
      </c>
      <c r="D156" s="15" t="str">
        <f t="shared" ca="1" si="91"/>
        <v>uuid</v>
      </c>
      <c r="E156" s="15" t="b">
        <f t="shared" ca="1" si="92"/>
        <v>0</v>
      </c>
      <c r="F156" s="15" t="b">
        <f t="shared" ca="1" si="93"/>
        <v>0</v>
      </c>
      <c r="G156" s="15" t="b">
        <f t="shared" ca="1" si="94"/>
        <v>1</v>
      </c>
      <c r="H156" s="15" t="str">
        <f t="shared" ca="1" si="95"/>
        <v>t_agr_dep.agr_dep_id</v>
      </c>
      <c r="I156" s="15" t="str">
        <f t="shared" ca="1" si="96"/>
        <v>id депозитного договора</v>
      </c>
      <c r="J156">
        <v>12</v>
      </c>
      <c r="K156" t="str">
        <f t="shared" ca="1" si="85"/>
        <v>b3050000420012_register</v>
      </c>
      <c r="L156" s="3" t="s">
        <v>327</v>
      </c>
      <c r="M156" t="str">
        <f t="shared" ca="1" si="86"/>
        <v>uuid</v>
      </c>
      <c r="N156" t="b">
        <f t="shared" ca="1" si="87"/>
        <v>0</v>
      </c>
      <c r="O156" t="b">
        <f t="shared" ca="1" si="88"/>
        <v>0</v>
      </c>
      <c r="P156">
        <f t="shared" ca="1" si="89"/>
        <v>0</v>
      </c>
      <c r="U156" s="55"/>
      <c r="W156" s="60"/>
    </row>
    <row r="157" spans="1:23" x14ac:dyDescent="0.25">
      <c r="A157">
        <f>A152</f>
        <v>320</v>
      </c>
      <c r="B157" t="s">
        <v>724</v>
      </c>
      <c r="C157" t="s">
        <v>1018</v>
      </c>
      <c r="D157" t="str">
        <f t="shared" ca="1" si="79"/>
        <v>text</v>
      </c>
      <c r="E157" t="b">
        <f t="shared" ca="1" si="80"/>
        <v>0</v>
      </c>
      <c r="F157" t="b">
        <f t="shared" ca="1" si="81"/>
        <v>0</v>
      </c>
      <c r="G157" t="b">
        <f t="shared" ca="1" si="82"/>
        <v>0</v>
      </c>
      <c r="H157">
        <f t="shared" ca="1" si="83"/>
        <v>0</v>
      </c>
      <c r="I157" t="str">
        <f t="shared" ca="1" si="84"/>
        <v>Лицевой счет</v>
      </c>
      <c r="J157">
        <v>12</v>
      </c>
      <c r="K157" t="str">
        <f t="shared" ca="1" si="85"/>
        <v>b3050000420012_register</v>
      </c>
      <c r="L157" s="3" t="s">
        <v>328</v>
      </c>
      <c r="M157" t="str">
        <f t="shared" ca="1" si="86"/>
        <v>text</v>
      </c>
      <c r="N157" t="b">
        <f t="shared" ca="1" si="87"/>
        <v>0</v>
      </c>
      <c r="O157" t="b">
        <f t="shared" ca="1" si="88"/>
        <v>0</v>
      </c>
      <c r="P157" t="str">
        <f t="shared" ca="1" si="89"/>
        <v>Номер счета регистра</v>
      </c>
      <c r="U157" s="55"/>
      <c r="W157" s="60"/>
    </row>
    <row r="158" spans="1:23" x14ac:dyDescent="0.25">
      <c r="A158">
        <f>A152</f>
        <v>320</v>
      </c>
      <c r="B158" t="s">
        <v>724</v>
      </c>
      <c r="C158" t="s">
        <v>1020</v>
      </c>
      <c r="D158" t="str">
        <f t="shared" ca="1" si="79"/>
        <v>text</v>
      </c>
      <c r="E158" t="b">
        <f t="shared" ca="1" si="80"/>
        <v>0</v>
      </c>
      <c r="F158" t="b">
        <f t="shared" ca="1" si="81"/>
        <v>0</v>
      </c>
      <c r="G158" t="b">
        <f t="shared" ca="1" si="82"/>
        <v>0</v>
      </c>
      <c r="H158">
        <f t="shared" ca="1" si="83"/>
        <v>0</v>
      </c>
      <c r="I158" t="str">
        <f t="shared" ca="1" si="84"/>
        <v>id регистра в источнике</v>
      </c>
      <c r="J158">
        <v>12</v>
      </c>
      <c r="K158" t="str">
        <f t="shared" ca="1" si="85"/>
        <v>b3050000420012_register</v>
      </c>
      <c r="L158" s="3" t="s">
        <v>179</v>
      </c>
      <c r="M158" t="str">
        <f t="shared" ca="1" si="86"/>
        <v>text</v>
      </c>
      <c r="N158" t="b">
        <f t="shared" ca="1" si="87"/>
        <v>1</v>
      </c>
      <c r="O158" t="b">
        <f t="shared" ca="1" si="88"/>
        <v>1</v>
      </c>
      <c r="P158" t="str">
        <f t="shared" ca="1" si="89"/>
        <v>Прикладной ID объекта</v>
      </c>
      <c r="U158" s="55"/>
      <c r="W158" s="60"/>
    </row>
    <row r="159" spans="1:23" s="2" customFormat="1" ht="15.75" thickBot="1" x14ac:dyDescent="0.3">
      <c r="A159" s="2">
        <f>A152</f>
        <v>320</v>
      </c>
      <c r="B159" s="2" t="s">
        <v>724</v>
      </c>
      <c r="C159" s="2" t="s">
        <v>1022</v>
      </c>
      <c r="D159" s="2" t="str">
        <f t="shared" ca="1" si="79"/>
        <v>uuid</v>
      </c>
      <c r="E159" s="2" t="b">
        <f t="shared" ca="1" si="80"/>
        <v>0</v>
      </c>
      <c r="F159" s="2" t="b">
        <f t="shared" ca="1" si="81"/>
        <v>0</v>
      </c>
      <c r="G159" s="2" t="b">
        <f t="shared" ca="1" si="82"/>
        <v>1</v>
      </c>
      <c r="H159" s="2" t="str">
        <f t="shared" ca="1" si="83"/>
        <v>t_registry_type.registry_type_id</v>
      </c>
      <c r="I159" s="2" t="str">
        <f t="shared" ca="1" si="84"/>
        <v>Тип регистра</v>
      </c>
      <c r="J159" s="2">
        <v>12</v>
      </c>
      <c r="K159" s="2" t="str">
        <f t="shared" ca="1" si="85"/>
        <v>b3050000420012_register</v>
      </c>
      <c r="L159" s="2" t="s">
        <v>330</v>
      </c>
      <c r="M159" s="2" t="str">
        <f t="shared" ca="1" si="86"/>
        <v>uuid</v>
      </c>
      <c r="N159" s="2" t="b">
        <f t="shared" ca="1" si="87"/>
        <v>0</v>
      </c>
      <c r="O159" s="2" t="b">
        <f t="shared" ca="1" si="88"/>
        <v>0</v>
      </c>
      <c r="P159" s="2">
        <f t="shared" ca="1" si="89"/>
        <v>0</v>
      </c>
      <c r="U159" s="56"/>
      <c r="W159" s="53"/>
    </row>
    <row r="160" spans="1:23" x14ac:dyDescent="0.25">
      <c r="A160" s="10">
        <v>330</v>
      </c>
      <c r="B160" t="s">
        <v>726</v>
      </c>
      <c r="C160" t="s">
        <v>964</v>
      </c>
      <c r="D160" t="str">
        <f t="shared" ca="1" si="79"/>
        <v>uuid</v>
      </c>
      <c r="E160" t="b">
        <f t="shared" ca="1" si="80"/>
        <v>1</v>
      </c>
      <c r="F160" t="b">
        <f t="shared" ca="1" si="81"/>
        <v>1</v>
      </c>
      <c r="G160" t="b">
        <f t="shared" ca="1" si="82"/>
        <v>1</v>
      </c>
      <c r="H160" t="str">
        <f t="shared" ca="1" si="83"/>
        <v>t_registry.registry_id</v>
      </c>
      <c r="I160" t="str">
        <f t="shared" ca="1" si="84"/>
        <v>id регистра</v>
      </c>
      <c r="J160">
        <v>12</v>
      </c>
      <c r="K160" t="str">
        <f t="shared" ca="1" si="85"/>
        <v>b3050000420012_register</v>
      </c>
      <c r="L160" s="3" t="s">
        <v>180</v>
      </c>
      <c r="M160" t="str">
        <f t="shared" ca="1" si="86"/>
        <v>uuid</v>
      </c>
      <c r="N160" t="b">
        <f t="shared" ca="1" si="87"/>
        <v>0</v>
      </c>
      <c r="O160" t="b">
        <f t="shared" ca="1" si="88"/>
        <v>0</v>
      </c>
      <c r="P160">
        <f t="shared" ca="1" si="89"/>
        <v>0</v>
      </c>
      <c r="R160" t="s">
        <v>1064</v>
      </c>
      <c r="S160" t="s">
        <v>1065</v>
      </c>
      <c r="U160" s="54" t="s">
        <v>1097</v>
      </c>
      <c r="V160" t="str">
        <f>"n305000042"&amp;TEXT(A160,"0000")&amp;"_"&amp;RIGHT(B160,LEN(B160)-2)</f>
        <v>n3050000420330_registry_stts</v>
      </c>
      <c r="W160" s="54" t="s">
        <v>727</v>
      </c>
    </row>
    <row r="161" spans="1:23" x14ac:dyDescent="0.25">
      <c r="A161">
        <f>A160</f>
        <v>330</v>
      </c>
      <c r="B161" t="s">
        <v>726</v>
      </c>
      <c r="C161" t="s">
        <v>785</v>
      </c>
      <c r="D161" t="str">
        <f t="shared" ca="1" si="79"/>
        <v>date</v>
      </c>
      <c r="E161" t="b">
        <f t="shared" ca="1" si="80"/>
        <v>1</v>
      </c>
      <c r="F161" t="b">
        <f t="shared" ca="1" si="81"/>
        <v>1</v>
      </c>
      <c r="G161" t="b">
        <f t="shared" ca="1" si="82"/>
        <v>0</v>
      </c>
      <c r="H161">
        <f t="shared" ca="1" si="83"/>
        <v>0</v>
      </c>
      <c r="I161" t="str">
        <f t="shared" ca="1" si="84"/>
        <v>Дата начала действия</v>
      </c>
      <c r="J161">
        <v>12</v>
      </c>
      <c r="K161" t="str">
        <f t="shared" ca="1" si="85"/>
        <v>b3050000420012_register</v>
      </c>
      <c r="L161" s="3" t="s">
        <v>216</v>
      </c>
      <c r="M161" t="str">
        <f t="shared" ca="1" si="86"/>
        <v>timestamp without time zone</v>
      </c>
      <c r="N161" t="b">
        <f t="shared" ca="1" si="87"/>
        <v>0</v>
      </c>
      <c r="O161" t="b">
        <f t="shared" ca="1" si="88"/>
        <v>0</v>
      </c>
      <c r="P161">
        <f t="shared" ca="1" si="89"/>
        <v>0</v>
      </c>
      <c r="R161" t="s">
        <v>1067</v>
      </c>
      <c r="U161" s="55"/>
      <c r="W161" s="60"/>
    </row>
    <row r="162" spans="1:23" x14ac:dyDescent="0.25">
      <c r="A162">
        <f>A160</f>
        <v>330</v>
      </c>
      <c r="B162" t="s">
        <v>726</v>
      </c>
      <c r="C162" t="s">
        <v>787</v>
      </c>
      <c r="D162" t="str">
        <f t="shared" ca="1" si="79"/>
        <v>date</v>
      </c>
      <c r="E162" t="b">
        <f t="shared" ca="1" si="80"/>
        <v>0</v>
      </c>
      <c r="F162" t="b">
        <f t="shared" ca="1" si="81"/>
        <v>0</v>
      </c>
      <c r="G162" t="b">
        <f t="shared" ca="1" si="82"/>
        <v>0</v>
      </c>
      <c r="H162">
        <f t="shared" ca="1" si="83"/>
        <v>0</v>
      </c>
      <c r="I162" t="str">
        <f t="shared" ca="1" si="84"/>
        <v>Дата окончания действия</v>
      </c>
      <c r="J162">
        <v>12</v>
      </c>
      <c r="K162" t="str">
        <f t="shared" ca="1" si="85"/>
        <v>b3050000420012_register</v>
      </c>
      <c r="L162" s="3" t="s">
        <v>1068</v>
      </c>
      <c r="M162" t="e">
        <f t="shared" ca="1" si="86"/>
        <v>#N/A</v>
      </c>
      <c r="N162" t="e">
        <f t="shared" ca="1" si="87"/>
        <v>#N/A</v>
      </c>
      <c r="O162" t="e">
        <f t="shared" ca="1" si="88"/>
        <v>#N/A</v>
      </c>
      <c r="P162" t="e">
        <f t="shared" ca="1" si="89"/>
        <v>#N/A</v>
      </c>
      <c r="R162" t="s">
        <v>1069</v>
      </c>
      <c r="U162" s="55"/>
      <c r="W162" s="60"/>
    </row>
    <row r="163" spans="1:23" s="2" customFormat="1" ht="15.75" thickBot="1" x14ac:dyDescent="0.3">
      <c r="A163" s="2">
        <f>A160</f>
        <v>330</v>
      </c>
      <c r="B163" s="2" t="s">
        <v>726</v>
      </c>
      <c r="C163" s="2" t="s">
        <v>1025</v>
      </c>
      <c r="D163" s="2" t="str">
        <f t="shared" ca="1" si="79"/>
        <v>uuid</v>
      </c>
      <c r="E163" s="2" t="b">
        <f t="shared" ca="1" si="80"/>
        <v>0</v>
      </c>
      <c r="F163" s="2" t="b">
        <f t="shared" ca="1" si="81"/>
        <v>0</v>
      </c>
      <c r="G163" s="2" t="b">
        <f t="shared" ca="1" si="82"/>
        <v>1</v>
      </c>
      <c r="H163" s="2" t="str">
        <f t="shared" ca="1" si="83"/>
        <v>t_entity_stts.entity_stts_id</v>
      </c>
      <c r="I163" s="2" t="str">
        <f t="shared" ca="1" si="84"/>
        <v>id статуса</v>
      </c>
      <c r="J163" s="2">
        <v>12</v>
      </c>
      <c r="K163" s="2" t="str">
        <f t="shared" ca="1" si="85"/>
        <v>b3050000420012_register</v>
      </c>
      <c r="L163" s="2" t="s">
        <v>199</v>
      </c>
      <c r="M163" s="2" t="str">
        <f t="shared" ca="1" si="86"/>
        <v>uuid</v>
      </c>
      <c r="N163" s="2" t="b">
        <f t="shared" ca="1" si="87"/>
        <v>0</v>
      </c>
      <c r="O163" s="2" t="b">
        <f t="shared" ca="1" si="88"/>
        <v>0</v>
      </c>
      <c r="P163" s="2">
        <f t="shared" ca="1" si="89"/>
        <v>0</v>
      </c>
      <c r="U163" s="56"/>
      <c r="W163" s="53"/>
    </row>
    <row r="164" spans="1:23" x14ac:dyDescent="0.25">
      <c r="A164" s="10">
        <v>340</v>
      </c>
      <c r="B164" t="s">
        <v>728</v>
      </c>
      <c r="C164" t="s">
        <v>1022</v>
      </c>
      <c r="D164" t="str">
        <f t="shared" ca="1" si="79"/>
        <v>uuid</v>
      </c>
      <c r="E164" t="b">
        <f t="shared" ca="1" si="80"/>
        <v>1</v>
      </c>
      <c r="F164" t="b">
        <f t="shared" ca="1" si="81"/>
        <v>1</v>
      </c>
      <c r="G164" t="b">
        <f t="shared" ca="1" si="82"/>
        <v>0</v>
      </c>
      <c r="H164">
        <f t="shared" ca="1" si="83"/>
        <v>0</v>
      </c>
      <c r="I164" t="str">
        <f t="shared" ca="1" si="84"/>
        <v>id типа регистра</v>
      </c>
      <c r="J164">
        <v>12</v>
      </c>
      <c r="K164" t="str">
        <f t="shared" ca="1" si="85"/>
        <v>b3050000420012_register</v>
      </c>
      <c r="L164" s="3" t="s">
        <v>330</v>
      </c>
      <c r="M164" t="str">
        <f t="shared" ca="1" si="86"/>
        <v>uuid</v>
      </c>
      <c r="N164" t="b">
        <f t="shared" ca="1" si="87"/>
        <v>0</v>
      </c>
      <c r="O164" t="b">
        <f t="shared" ca="1" si="88"/>
        <v>0</v>
      </c>
      <c r="P164">
        <f t="shared" ca="1" si="89"/>
        <v>0</v>
      </c>
      <c r="R164" t="s">
        <v>1064</v>
      </c>
      <c r="S164" t="s">
        <v>1071</v>
      </c>
      <c r="U164" s="54" t="s">
        <v>1098</v>
      </c>
      <c r="V164" t="str">
        <f>"n305000042"&amp;TEXT(A164,"0000")&amp;"_"&amp;RIGHT(B164,LEN(B164)-2)</f>
        <v>n3050000420340_registry_type</v>
      </c>
      <c r="W164" s="54" t="s">
        <v>729</v>
      </c>
    </row>
    <row r="165" spans="1:23" x14ac:dyDescent="0.25">
      <c r="A165">
        <f>A164</f>
        <v>340</v>
      </c>
      <c r="B165" t="s">
        <v>728</v>
      </c>
      <c r="C165" t="s">
        <v>1027</v>
      </c>
      <c r="D165" t="str">
        <f t="shared" ca="1" si="79"/>
        <v>text</v>
      </c>
      <c r="E165" t="b">
        <f t="shared" ca="1" si="80"/>
        <v>0</v>
      </c>
      <c r="F165" t="b">
        <f t="shared" ca="1" si="81"/>
        <v>0</v>
      </c>
      <c r="G165" t="b">
        <f t="shared" ca="1" si="82"/>
        <v>0</v>
      </c>
      <c r="H165">
        <f t="shared" ca="1" si="83"/>
        <v>0</v>
      </c>
      <c r="I165" t="str">
        <f t="shared" ca="1" si="84"/>
        <v>id типа регистра в источнике</v>
      </c>
      <c r="J165">
        <v>12</v>
      </c>
      <c r="K165" t="str">
        <f t="shared" ca="1" si="85"/>
        <v>b3050000420012_register</v>
      </c>
      <c r="L165" s="3" t="s">
        <v>329</v>
      </c>
      <c r="M165" t="str">
        <f t="shared" ca="1" si="86"/>
        <v>text</v>
      </c>
      <c r="N165" t="b">
        <f t="shared" ca="1" si="87"/>
        <v>0</v>
      </c>
      <c r="O165" t="b">
        <f t="shared" ca="1" si="88"/>
        <v>0</v>
      </c>
      <c r="P165" t="str">
        <f t="shared" ca="1" si="89"/>
        <v>тип регистра</v>
      </c>
      <c r="U165" s="55"/>
      <c r="W165" s="60"/>
    </row>
    <row r="166" spans="1:23" x14ac:dyDescent="0.25">
      <c r="A166">
        <f>A164</f>
        <v>340</v>
      </c>
      <c r="B166" t="s">
        <v>728</v>
      </c>
      <c r="C166" t="s">
        <v>1029</v>
      </c>
      <c r="D166" t="str">
        <f t="shared" ca="1" si="79"/>
        <v>text</v>
      </c>
      <c r="E166" t="b">
        <f t="shared" ca="1" si="80"/>
        <v>0</v>
      </c>
      <c r="F166" t="b">
        <f t="shared" ca="1" si="81"/>
        <v>0</v>
      </c>
      <c r="G166" t="b">
        <f t="shared" ca="1" si="82"/>
        <v>0</v>
      </c>
      <c r="H166">
        <f t="shared" ca="1" si="83"/>
        <v>0</v>
      </c>
      <c r="I166" t="str">
        <f t="shared" ca="1" si="84"/>
        <v>Код типа регистра</v>
      </c>
      <c r="J166">
        <v>12</v>
      </c>
      <c r="K166" t="str">
        <f t="shared" ca="1" si="85"/>
        <v>b3050000420012_register</v>
      </c>
      <c r="L166" s="3" t="s">
        <v>329</v>
      </c>
      <c r="M166" t="str">
        <f t="shared" ca="1" si="86"/>
        <v>text</v>
      </c>
      <c r="N166" t="b">
        <f t="shared" ca="1" si="87"/>
        <v>0</v>
      </c>
      <c r="O166" t="b">
        <f t="shared" ca="1" si="88"/>
        <v>0</v>
      </c>
      <c r="P166" t="str">
        <f t="shared" ca="1" si="89"/>
        <v>тип регистра</v>
      </c>
      <c r="U166" s="55"/>
      <c r="W166" s="60"/>
    </row>
    <row r="167" spans="1:23" s="2" customFormat="1" ht="15.75" thickBot="1" x14ac:dyDescent="0.3">
      <c r="A167" s="2">
        <f>A164</f>
        <v>340</v>
      </c>
      <c r="B167" s="2" t="s">
        <v>728</v>
      </c>
      <c r="C167" s="2" t="s">
        <v>1031</v>
      </c>
      <c r="D167" s="2" t="str">
        <f t="shared" ca="1" si="79"/>
        <v>text</v>
      </c>
      <c r="E167" s="2" t="b">
        <f t="shared" ca="1" si="80"/>
        <v>0</v>
      </c>
      <c r="F167" s="2" t="b">
        <f t="shared" ca="1" si="81"/>
        <v>0</v>
      </c>
      <c r="G167" s="2" t="b">
        <f t="shared" ca="1" si="82"/>
        <v>0</v>
      </c>
      <c r="H167" s="2">
        <f t="shared" ca="1" si="83"/>
        <v>0</v>
      </c>
      <c r="I167" s="2" t="str">
        <f t="shared" ca="1" si="84"/>
        <v>Описание типа регистра</v>
      </c>
      <c r="J167" s="2">
        <v>12</v>
      </c>
      <c r="K167" s="2" t="str">
        <f t="shared" ca="1" si="85"/>
        <v>b3050000420012_register</v>
      </c>
      <c r="L167" s="2" t="s">
        <v>1075</v>
      </c>
      <c r="M167" s="2" t="e">
        <f t="shared" ca="1" si="86"/>
        <v>#N/A</v>
      </c>
      <c r="N167" s="2" t="e">
        <f t="shared" ca="1" si="87"/>
        <v>#N/A</v>
      </c>
      <c r="O167" s="2" t="e">
        <f t="shared" ca="1" si="88"/>
        <v>#N/A</v>
      </c>
      <c r="P167" s="2" t="e">
        <f t="shared" ca="1" si="89"/>
        <v>#N/A</v>
      </c>
      <c r="U167" s="56"/>
      <c r="W167" s="53"/>
    </row>
    <row r="168" spans="1:23" x14ac:dyDescent="0.25">
      <c r="A168" s="10">
        <v>350</v>
      </c>
      <c r="B168" t="s">
        <v>730</v>
      </c>
      <c r="C168" t="s">
        <v>988</v>
      </c>
      <c r="D168" t="str">
        <f t="shared" ca="1" si="79"/>
        <v>uuid</v>
      </c>
      <c r="E168" t="b">
        <f t="shared" ca="1" si="80"/>
        <v>1</v>
      </c>
      <c r="F168" t="b">
        <f t="shared" ca="1" si="81"/>
        <v>1</v>
      </c>
      <c r="G168" t="b">
        <f t="shared" ca="1" si="82"/>
        <v>0</v>
      </c>
      <c r="H168">
        <f t="shared" ca="1" si="83"/>
        <v>0</v>
      </c>
      <c r="I168" t="str">
        <f t="shared" ca="1" si="84"/>
        <v>id типа тарифа</v>
      </c>
      <c r="J168">
        <v>17</v>
      </c>
      <c r="K168" t="str">
        <f t="shared" ca="1" si="85"/>
        <v>b3050000420017_interestrate</v>
      </c>
      <c r="L168" s="3" t="s">
        <v>350</v>
      </c>
      <c r="M168" t="str">
        <f t="shared" ca="1" si="86"/>
        <v>uuid</v>
      </c>
      <c r="N168" t="b">
        <f t="shared" ca="1" si="87"/>
        <v>0</v>
      </c>
      <c r="O168" t="b">
        <f t="shared" ca="1" si="88"/>
        <v>0</v>
      </c>
      <c r="P168">
        <f t="shared" ca="1" si="89"/>
        <v>0</v>
      </c>
      <c r="R168" t="s">
        <v>1064</v>
      </c>
      <c r="S168" t="s">
        <v>1071</v>
      </c>
      <c r="U168" s="54" t="s">
        <v>1099</v>
      </c>
      <c r="V168" t="str">
        <f>"n305000042"&amp;TEXT(A168,"0000")&amp;"_"&amp;RIGHT(B168,LEN(B168)-2)</f>
        <v>n3050000420350_tariff_type</v>
      </c>
      <c r="W168" s="54" t="s">
        <v>731</v>
      </c>
    </row>
    <row r="169" spans="1:23" x14ac:dyDescent="0.25">
      <c r="A169">
        <f>A168</f>
        <v>350</v>
      </c>
      <c r="B169" t="s">
        <v>730</v>
      </c>
      <c r="C169" t="s">
        <v>1033</v>
      </c>
      <c r="D169" t="str">
        <f t="shared" ca="1" si="79"/>
        <v>text</v>
      </c>
      <c r="E169" t="b">
        <f t="shared" ca="1" si="80"/>
        <v>0</v>
      </c>
      <c r="F169" t="b">
        <f t="shared" ca="1" si="81"/>
        <v>0</v>
      </c>
      <c r="G169" t="b">
        <f t="shared" ca="1" si="82"/>
        <v>0</v>
      </c>
      <c r="H169">
        <f t="shared" ca="1" si="83"/>
        <v>0</v>
      </c>
      <c r="I169" t="str">
        <f t="shared" ca="1" si="84"/>
        <v>id типа тарифа в источнике</v>
      </c>
      <c r="J169">
        <v>17</v>
      </c>
      <c r="K169" t="str">
        <f t="shared" ca="1" si="85"/>
        <v>b3050000420017_interestrate</v>
      </c>
      <c r="L169" s="3" t="s">
        <v>349</v>
      </c>
      <c r="M169" t="str">
        <f t="shared" ca="1" si="86"/>
        <v>text</v>
      </c>
      <c r="N169" t="b">
        <f t="shared" ca="1" si="87"/>
        <v>0</v>
      </c>
      <c r="O169" t="b">
        <f t="shared" ca="1" si="88"/>
        <v>0</v>
      </c>
      <c r="P169" t="str">
        <f t="shared" ca="1" si="89"/>
        <v>Вид ставки</v>
      </c>
      <c r="U169" s="55"/>
      <c r="W169" s="60"/>
    </row>
    <row r="170" spans="1:23" x14ac:dyDescent="0.25">
      <c r="A170">
        <f>A168</f>
        <v>350</v>
      </c>
      <c r="B170" t="s">
        <v>730</v>
      </c>
      <c r="C170" t="s">
        <v>1035</v>
      </c>
      <c r="D170" t="str">
        <f t="shared" ca="1" si="79"/>
        <v>text</v>
      </c>
      <c r="E170" t="b">
        <f t="shared" ca="1" si="80"/>
        <v>0</v>
      </c>
      <c r="F170" t="b">
        <f t="shared" ca="1" si="81"/>
        <v>0</v>
      </c>
      <c r="G170" t="b">
        <f t="shared" ca="1" si="82"/>
        <v>0</v>
      </c>
      <c r="H170">
        <f t="shared" ca="1" si="83"/>
        <v>0</v>
      </c>
      <c r="I170" t="str">
        <f t="shared" ca="1" si="84"/>
        <v>Код типа тарифа</v>
      </c>
      <c r="J170">
        <v>17</v>
      </c>
      <c r="K170" t="str">
        <f t="shared" ca="1" si="85"/>
        <v>b3050000420017_interestrate</v>
      </c>
      <c r="L170" s="3" t="s">
        <v>349</v>
      </c>
      <c r="M170" t="str">
        <f t="shared" ca="1" si="86"/>
        <v>text</v>
      </c>
      <c r="N170" t="b">
        <f t="shared" ca="1" si="87"/>
        <v>0</v>
      </c>
      <c r="O170" t="b">
        <f t="shared" ca="1" si="88"/>
        <v>0</v>
      </c>
      <c r="P170" t="str">
        <f t="shared" ca="1" si="89"/>
        <v>Вид ставки</v>
      </c>
      <c r="U170" s="55"/>
      <c r="W170" s="60"/>
    </row>
    <row r="171" spans="1:23" s="2" customFormat="1" ht="15.75" thickBot="1" x14ac:dyDescent="0.3">
      <c r="A171" s="2">
        <f>A168</f>
        <v>350</v>
      </c>
      <c r="B171" s="2" t="s">
        <v>730</v>
      </c>
      <c r="C171" s="2" t="s">
        <v>1037</v>
      </c>
      <c r="D171" s="2" t="str">
        <f t="shared" ca="1" si="79"/>
        <v>text</v>
      </c>
      <c r="E171" s="2" t="b">
        <f t="shared" ca="1" si="80"/>
        <v>0</v>
      </c>
      <c r="F171" s="2" t="b">
        <f t="shared" ca="1" si="81"/>
        <v>0</v>
      </c>
      <c r="G171" s="2" t="b">
        <f t="shared" ca="1" si="82"/>
        <v>0</v>
      </c>
      <c r="H171" s="2">
        <f t="shared" ca="1" si="83"/>
        <v>0</v>
      </c>
      <c r="I171" s="2" t="str">
        <f t="shared" ca="1" si="84"/>
        <v>Описание типа тарифа</v>
      </c>
      <c r="J171" s="2">
        <v>17</v>
      </c>
      <c r="K171" s="2" t="str">
        <f t="shared" ca="1" si="85"/>
        <v>b3050000420017_interestrate</v>
      </c>
      <c r="L171" s="2" t="s">
        <v>1075</v>
      </c>
      <c r="M171" s="2" t="e">
        <f t="shared" ca="1" si="86"/>
        <v>#N/A</v>
      </c>
      <c r="N171" s="2" t="e">
        <f t="shared" ca="1" si="87"/>
        <v>#N/A</v>
      </c>
      <c r="O171" s="2" t="e">
        <f t="shared" ca="1" si="88"/>
        <v>#N/A</v>
      </c>
      <c r="P171" s="2" t="e">
        <f t="shared" ca="1" si="89"/>
        <v>#N/A</v>
      </c>
      <c r="U171" s="56"/>
      <c r="W171" s="53"/>
    </row>
    <row r="172" spans="1:23" x14ac:dyDescent="0.25">
      <c r="A172" s="10">
        <v>360</v>
      </c>
      <c r="B172" t="s">
        <v>732</v>
      </c>
      <c r="C172" t="s">
        <v>1039</v>
      </c>
      <c r="D172" t="str">
        <f t="shared" ref="D172" ca="1" si="97">VLOOKUP(B172&amp;C172,INDIRECT("target_columns"),4,FALSE)</f>
        <v>uuid</v>
      </c>
      <c r="E172" t="b">
        <f t="shared" ref="E172" ca="1" si="98">VLOOKUP(B172&amp;C172,INDIRECT("target_columns"),5,FALSE)</f>
        <v>1</v>
      </c>
      <c r="F172" t="b">
        <f t="shared" ref="F172" ca="1" si="99">VLOOKUP(B172&amp;C172,INDIRECT("target_columns"),6,FALSE)</f>
        <v>1</v>
      </c>
      <c r="G172" t="b">
        <f t="shared" ref="G172" ca="1" si="100">VLOOKUP(B172&amp;C172,INDIRECT("target_columns"),7,FALSE)</f>
        <v>0</v>
      </c>
      <c r="H172">
        <f t="shared" ref="H172" ca="1" si="101">VLOOKUP(B172&amp;C172,INDIRECT("target_columns"),8,FALSE)</f>
        <v>0</v>
      </c>
      <c r="I172" t="str">
        <f t="shared" ref="I172" ca="1" si="102">VLOOKUP(B172&amp;C172,INDIRECT("target_columns"),9,FALSE)</f>
        <v>id периодичности</v>
      </c>
      <c r="J172">
        <v>6</v>
      </c>
      <c r="K172" t="str">
        <f t="shared" ref="K172" ca="1" si="103">VLOOKUP(J172,INDIRECT("source_tables"),2,FALSE)</f>
        <v>b3050000420006_paymentperiod</v>
      </c>
      <c r="L172" s="3" t="s">
        <v>180</v>
      </c>
      <c r="M172" t="str">
        <f t="shared" ref="M172" ca="1" si="104">VLOOKUP(K172&amp;L172,INDIRECT("source_columns"),4,FALSE)</f>
        <v>uuid</v>
      </c>
      <c r="N172" t="b">
        <f t="shared" ref="N172" ca="1" si="105">VLOOKUP(K172&amp;L172,INDIRECT("source_columns"),5,FALSE)</f>
        <v>0</v>
      </c>
      <c r="O172" t="b">
        <f t="shared" ref="O172" ca="1" si="106">VLOOKUP(K172&amp;L172,INDIRECT("source_columns"),6,FALSE)</f>
        <v>0</v>
      </c>
      <c r="P172">
        <f t="shared" ref="P172" ca="1" si="107">VLOOKUP(K172&amp;L172,INDIRECT("source_columns"),7,FALSE)</f>
        <v>0</v>
      </c>
      <c r="R172" t="s">
        <v>1064</v>
      </c>
      <c r="S172" t="s">
        <v>1071</v>
      </c>
      <c r="U172" s="54" t="s">
        <v>1100</v>
      </c>
      <c r="V172" t="str">
        <f>"n305000042"&amp;TEXT(A172,"0000")&amp;"_"&amp;RIGHT(B172,LEN(B172)-2)</f>
        <v>n3050000420360_time_period_type</v>
      </c>
      <c r="W172" s="54" t="s">
        <v>733</v>
      </c>
    </row>
    <row r="173" spans="1:23" x14ac:dyDescent="0.25">
      <c r="A173">
        <f>A172</f>
        <v>360</v>
      </c>
      <c r="B173" t="s">
        <v>732</v>
      </c>
      <c r="C173" t="s">
        <v>1041</v>
      </c>
      <c r="D173" t="str">
        <f t="shared" ref="D173:D236" ca="1" si="108">VLOOKUP(B173&amp;C173,INDIRECT("target_columns"),4,FALSE)</f>
        <v>text</v>
      </c>
      <c r="E173" t="b">
        <f t="shared" ref="E173:E236" ca="1" si="109">VLOOKUP(B173&amp;C173,INDIRECT("target_columns"),5,FALSE)</f>
        <v>0</v>
      </c>
      <c r="F173" t="b">
        <f t="shared" ref="F173:F236" ca="1" si="110">VLOOKUP(B173&amp;C173,INDIRECT("target_columns"),6,FALSE)</f>
        <v>0</v>
      </c>
      <c r="G173" t="b">
        <f t="shared" ref="G173:G236" ca="1" si="111">VLOOKUP(B173&amp;C173,INDIRECT("target_columns"),7,FALSE)</f>
        <v>0</v>
      </c>
      <c r="H173">
        <f t="shared" ref="H173:H236" ca="1" si="112">VLOOKUP(B173&amp;C173,INDIRECT("target_columns"),8,FALSE)</f>
        <v>0</v>
      </c>
      <c r="I173" t="str">
        <f t="shared" ref="I173:I236" ca="1" si="113">VLOOKUP(B173&amp;C173,INDIRECT("target_columns"),9,FALSE)</f>
        <v>id периодичности в источнике</v>
      </c>
      <c r="J173">
        <v>6</v>
      </c>
      <c r="K173" t="str">
        <f t="shared" ref="K173:K236" ca="1" si="114">VLOOKUP(J173,INDIRECT("source_tables"),2,FALSE)</f>
        <v>b3050000420006_paymentperiod</v>
      </c>
      <c r="L173" s="3" t="s">
        <v>179</v>
      </c>
      <c r="M173" t="str">
        <f t="shared" ref="M173:M236" ca="1" si="115">VLOOKUP(K173&amp;L173,INDIRECT("source_columns"),4,FALSE)</f>
        <v>text</v>
      </c>
      <c r="N173" t="b">
        <f t="shared" ref="N173:N236" ca="1" si="116">VLOOKUP(K173&amp;L173,INDIRECT("source_columns"),5,FALSE)</f>
        <v>1</v>
      </c>
      <c r="O173" t="b">
        <f t="shared" ref="O173:O236" ca="1" si="117">VLOOKUP(K173&amp;L173,INDIRECT("source_columns"),6,FALSE)</f>
        <v>1</v>
      </c>
      <c r="P173" t="str">
        <f t="shared" ref="P173:P236" ca="1" si="118">VLOOKUP(K173&amp;L173,INDIRECT("source_columns"),7,FALSE)</f>
        <v>Прикладной ID объекта</v>
      </c>
      <c r="U173" s="55"/>
      <c r="W173" s="60"/>
    </row>
    <row r="174" spans="1:23" x14ac:dyDescent="0.25">
      <c r="A174">
        <f>A172</f>
        <v>360</v>
      </c>
      <c r="B174" t="s">
        <v>732</v>
      </c>
      <c r="C174" t="s">
        <v>1043</v>
      </c>
      <c r="D174" t="str">
        <f t="shared" ca="1" si="108"/>
        <v>text</v>
      </c>
      <c r="E174" t="b">
        <f t="shared" ca="1" si="109"/>
        <v>0</v>
      </c>
      <c r="F174" t="b">
        <f t="shared" ca="1" si="110"/>
        <v>0</v>
      </c>
      <c r="G174" t="b">
        <f t="shared" ca="1" si="111"/>
        <v>0</v>
      </c>
      <c r="H174">
        <f t="shared" ca="1" si="112"/>
        <v>0</v>
      </c>
      <c r="I174" t="str">
        <f t="shared" ca="1" si="113"/>
        <v>Код периодичности</v>
      </c>
      <c r="J174">
        <v>6</v>
      </c>
      <c r="K174" t="str">
        <f t="shared" ca="1" si="114"/>
        <v>b3050000420006_paymentperiod</v>
      </c>
      <c r="L174" s="3" t="s">
        <v>273</v>
      </c>
      <c r="M174" t="str">
        <f t="shared" ca="1" si="115"/>
        <v>text</v>
      </c>
      <c r="N174" t="b">
        <f t="shared" ca="1" si="116"/>
        <v>0</v>
      </c>
      <c r="O174" t="b">
        <f t="shared" ca="1" si="117"/>
        <v>0</v>
      </c>
      <c r="P174" t="str">
        <f t="shared" ca="1" si="118"/>
        <v>Код</v>
      </c>
      <c r="U174" s="55"/>
      <c r="W174" s="60"/>
    </row>
    <row r="175" spans="1:23" s="2" customFormat="1" ht="15.75" thickBot="1" x14ac:dyDescent="0.3">
      <c r="A175" s="2">
        <f>A172</f>
        <v>360</v>
      </c>
      <c r="B175" s="2" t="s">
        <v>732</v>
      </c>
      <c r="C175" s="2" t="s">
        <v>1045</v>
      </c>
      <c r="D175" s="2" t="str">
        <f t="shared" ca="1" si="108"/>
        <v>text</v>
      </c>
      <c r="E175" s="2" t="b">
        <f t="shared" ca="1" si="109"/>
        <v>0</v>
      </c>
      <c r="F175" s="2" t="b">
        <f t="shared" ca="1" si="110"/>
        <v>0</v>
      </c>
      <c r="G175" s="2" t="b">
        <f t="shared" ca="1" si="111"/>
        <v>0</v>
      </c>
      <c r="H175" s="2">
        <f t="shared" ca="1" si="112"/>
        <v>0</v>
      </c>
      <c r="I175" s="2" t="str">
        <f t="shared" ca="1" si="113"/>
        <v>Наименование периодичности</v>
      </c>
      <c r="J175" s="2">
        <v>6</v>
      </c>
      <c r="K175" s="2" t="str">
        <f t="shared" ca="1" si="114"/>
        <v>b3050000420006_paymentperiod</v>
      </c>
      <c r="L175" s="2" t="s">
        <v>274</v>
      </c>
      <c r="M175" s="2" t="str">
        <f t="shared" ca="1" si="115"/>
        <v>text</v>
      </c>
      <c r="N175" s="2" t="b">
        <f t="shared" ca="1" si="116"/>
        <v>0</v>
      </c>
      <c r="O175" s="2" t="b">
        <f t="shared" ca="1" si="117"/>
        <v>0</v>
      </c>
      <c r="P175" s="2" t="str">
        <f t="shared" ca="1" si="118"/>
        <v>Наименование</v>
      </c>
      <c r="U175" s="56"/>
      <c r="W175" s="53"/>
    </row>
    <row r="176" spans="1:23" x14ac:dyDescent="0.25">
      <c r="A176" s="10">
        <v>370</v>
      </c>
      <c r="B176" t="s">
        <v>682</v>
      </c>
      <c r="C176" t="s">
        <v>847</v>
      </c>
      <c r="D176" t="str">
        <f t="shared" ca="1" si="108"/>
        <v>uuid</v>
      </c>
      <c r="E176" t="b">
        <f t="shared" ca="1" si="109"/>
        <v>1</v>
      </c>
      <c r="F176" t="b">
        <f t="shared" ca="1" si="110"/>
        <v>1</v>
      </c>
      <c r="G176" t="b">
        <f t="shared" ca="1" si="111"/>
        <v>0</v>
      </c>
      <c r="H176">
        <f t="shared" ca="1" si="112"/>
        <v>0</v>
      </c>
      <c r="I176" t="str">
        <f t="shared" ca="1" si="113"/>
        <v>id сервиса</v>
      </c>
      <c r="J176">
        <v>10</v>
      </c>
      <c r="K176" t="str">
        <f t="shared" ca="1" si="114"/>
        <v>b3050000420010_productservice</v>
      </c>
      <c r="L176" s="3" t="s">
        <v>180</v>
      </c>
      <c r="M176" t="str">
        <f t="shared" ca="1" si="115"/>
        <v>uuid</v>
      </c>
      <c r="N176" t="b">
        <f t="shared" ca="1" si="116"/>
        <v>0</v>
      </c>
      <c r="O176" t="b">
        <f t="shared" ca="1" si="117"/>
        <v>0</v>
      </c>
      <c r="P176">
        <f t="shared" ca="1" si="118"/>
        <v>0</v>
      </c>
      <c r="R176" t="s">
        <v>1064</v>
      </c>
      <c r="S176" t="s">
        <v>8</v>
      </c>
      <c r="U176" s="57" t="s">
        <v>1536</v>
      </c>
      <c r="V176" t="str">
        <f>"n305000042"&amp;TEXT(A176,"0000")&amp;"_"&amp;RIGHT(B176,LEN(B176)-2)</f>
        <v>n3050000420370_bus_srv</v>
      </c>
      <c r="W176" s="54" t="s">
        <v>1520</v>
      </c>
    </row>
    <row r="177" spans="1:23" x14ac:dyDescent="0.25">
      <c r="A177">
        <f>A176</f>
        <v>370</v>
      </c>
      <c r="B177" t="s">
        <v>682</v>
      </c>
      <c r="C177" t="s">
        <v>737</v>
      </c>
      <c r="D177" t="str">
        <f t="shared" ca="1" si="108"/>
        <v>uuid</v>
      </c>
      <c r="E177" t="b">
        <f t="shared" ca="1" si="109"/>
        <v>0</v>
      </c>
      <c r="F177" t="b">
        <f t="shared" ca="1" si="110"/>
        <v>0</v>
      </c>
      <c r="G177" t="b">
        <f t="shared" ca="1" si="111"/>
        <v>1</v>
      </c>
      <c r="H177" t="str">
        <f t="shared" ca="1" si="112"/>
        <v>t_agr_dep.agr_dep_id</v>
      </c>
      <c r="I177" t="str">
        <f t="shared" ca="1" si="113"/>
        <v>id депозитного договора</v>
      </c>
      <c r="J177">
        <v>10</v>
      </c>
      <c r="K177" t="str">
        <f t="shared" ca="1" si="114"/>
        <v>b3050000420010_productservice</v>
      </c>
      <c r="L177" s="3" t="s">
        <v>316</v>
      </c>
      <c r="M177" t="str">
        <f t="shared" ca="1" si="115"/>
        <v>uuid</v>
      </c>
      <c r="N177" t="b">
        <f t="shared" ca="1" si="116"/>
        <v>0</v>
      </c>
      <c r="O177" t="b">
        <f t="shared" ca="1" si="117"/>
        <v>0</v>
      </c>
      <c r="P177">
        <f t="shared" ca="1" si="118"/>
        <v>0</v>
      </c>
      <c r="U177" s="55"/>
      <c r="W177" s="60"/>
    </row>
    <row r="178" spans="1:23" x14ac:dyDescent="0.25">
      <c r="A178">
        <f>A176</f>
        <v>370</v>
      </c>
      <c r="B178" t="s">
        <v>682</v>
      </c>
      <c r="C178" t="s">
        <v>743</v>
      </c>
      <c r="D178" t="str">
        <f t="shared" ca="1" si="108"/>
        <v>uuid</v>
      </c>
      <c r="E178" t="b">
        <f t="shared" ca="1" si="109"/>
        <v>0</v>
      </c>
      <c r="F178" t="b">
        <f t="shared" ca="1" si="110"/>
        <v>0</v>
      </c>
      <c r="G178" t="b">
        <f t="shared" ca="1" si="111"/>
        <v>1</v>
      </c>
      <c r="H178" t="str">
        <f t="shared" ca="1" si="112"/>
        <v>t_agr_frame.agr_frame_id</v>
      </c>
      <c r="I178" t="str">
        <f t="shared" ca="1" si="113"/>
        <v>id рамочного договора</v>
      </c>
      <c r="J178">
        <v>10</v>
      </c>
      <c r="K178" t="str">
        <f t="shared" ca="1" si="114"/>
        <v>b3050000420010_productservice</v>
      </c>
      <c r="L178" s="3"/>
      <c r="M178" t="e">
        <f t="shared" ca="1" si="115"/>
        <v>#N/A</v>
      </c>
      <c r="N178" t="e">
        <f t="shared" ca="1" si="116"/>
        <v>#N/A</v>
      </c>
      <c r="O178" t="e">
        <f t="shared" ca="1" si="117"/>
        <v>#N/A</v>
      </c>
      <c r="P178" t="e">
        <f t="shared" ca="1" si="118"/>
        <v>#N/A</v>
      </c>
      <c r="U178" s="55"/>
      <c r="W178" s="60"/>
    </row>
    <row r="179" spans="1:23" x14ac:dyDescent="0.25">
      <c r="A179">
        <f>A176</f>
        <v>370</v>
      </c>
      <c r="B179" t="s">
        <v>682</v>
      </c>
      <c r="C179" t="s">
        <v>849</v>
      </c>
      <c r="D179" t="str">
        <f t="shared" ca="1" si="108"/>
        <v>uuid</v>
      </c>
      <c r="E179" t="b">
        <f t="shared" ca="1" si="109"/>
        <v>0</v>
      </c>
      <c r="F179" t="b">
        <f t="shared" ca="1" si="110"/>
        <v>0</v>
      </c>
      <c r="G179" t="b">
        <f t="shared" ca="1" si="111"/>
        <v>1</v>
      </c>
      <c r="H179" t="str">
        <f t="shared" ca="1" si="112"/>
        <v>t_bus_srv_categ_type.bus_srv_categ_type_id</v>
      </c>
      <c r="I179" t="str">
        <f t="shared" ca="1" si="113"/>
        <v>Категория сервиса</v>
      </c>
      <c r="J179">
        <v>10</v>
      </c>
      <c r="K179" t="str">
        <f t="shared" ca="1" si="114"/>
        <v>b3050000420010_productservice</v>
      </c>
      <c r="L179" s="13" t="s">
        <v>1101</v>
      </c>
      <c r="M179" t="e">
        <f t="shared" ca="1" si="115"/>
        <v>#N/A</v>
      </c>
      <c r="N179" t="e">
        <f t="shared" ca="1" si="116"/>
        <v>#N/A</v>
      </c>
      <c r="O179" t="e">
        <f t="shared" ca="1" si="117"/>
        <v>#N/A</v>
      </c>
      <c r="P179" t="e">
        <f t="shared" ca="1" si="118"/>
        <v>#N/A</v>
      </c>
      <c r="Q179" s="13" t="s">
        <v>1102</v>
      </c>
      <c r="U179" s="55"/>
      <c r="W179" s="60"/>
    </row>
    <row r="180" spans="1:23" x14ac:dyDescent="0.25">
      <c r="A180">
        <f>A176</f>
        <v>370</v>
      </c>
      <c r="B180" t="s">
        <v>682</v>
      </c>
      <c r="C180" t="s">
        <v>854</v>
      </c>
      <c r="D180" t="str">
        <f t="shared" ca="1" si="108"/>
        <v>uuid</v>
      </c>
      <c r="E180" t="b">
        <f t="shared" ca="1" si="109"/>
        <v>0</v>
      </c>
      <c r="F180" t="b">
        <f t="shared" ca="1" si="110"/>
        <v>0</v>
      </c>
      <c r="G180" t="b">
        <f t="shared" ca="1" si="111"/>
        <v>1</v>
      </c>
      <c r="H180" t="str">
        <f t="shared" ca="1" si="112"/>
        <v>t_entity_stts.entity_stts_id</v>
      </c>
      <c r="I180" t="str">
        <f t="shared" ca="1" si="113"/>
        <v>Статус сервиса</v>
      </c>
      <c r="J180">
        <v>10</v>
      </c>
      <c r="K180" t="str">
        <f t="shared" ca="1" si="114"/>
        <v>b3050000420010_productservice</v>
      </c>
      <c r="L180" s="3" t="s">
        <v>199</v>
      </c>
      <c r="M180" t="str">
        <f t="shared" ca="1" si="115"/>
        <v>uuid</v>
      </c>
      <c r="N180" t="b">
        <f t="shared" ca="1" si="116"/>
        <v>0</v>
      </c>
      <c r="O180" t="b">
        <f t="shared" ca="1" si="117"/>
        <v>0</v>
      </c>
      <c r="P180">
        <f t="shared" ca="1" si="118"/>
        <v>0</v>
      </c>
      <c r="U180" s="55"/>
      <c r="W180" s="60"/>
    </row>
    <row r="181" spans="1:23" x14ac:dyDescent="0.25">
      <c r="A181">
        <f>A176</f>
        <v>370</v>
      </c>
      <c r="B181" t="s">
        <v>682</v>
      </c>
      <c r="C181" t="s">
        <v>856</v>
      </c>
      <c r="D181" t="str">
        <f t="shared" ca="1" si="108"/>
        <v>uuid</v>
      </c>
      <c r="E181" t="b">
        <f t="shared" ca="1" si="109"/>
        <v>0</v>
      </c>
      <c r="F181" t="b">
        <f t="shared" ca="1" si="110"/>
        <v>0</v>
      </c>
      <c r="G181" t="b">
        <f t="shared" ca="1" si="111"/>
        <v>1</v>
      </c>
      <c r="H181" t="str">
        <f t="shared" ca="1" si="112"/>
        <v>t_bus_srv_type.bus_srv_type_id</v>
      </c>
      <c r="I181" t="str">
        <f t="shared" ca="1" si="113"/>
        <v>Тип сервиса</v>
      </c>
      <c r="J181">
        <v>10</v>
      </c>
      <c r="K181" t="str">
        <f t="shared" ca="1" si="114"/>
        <v>b3050000420010_productservice</v>
      </c>
      <c r="L181" s="3" t="s">
        <v>191</v>
      </c>
      <c r="M181" t="str">
        <f t="shared" ca="1" si="115"/>
        <v>uuid</v>
      </c>
      <c r="N181" t="b">
        <f t="shared" ca="1" si="116"/>
        <v>0</v>
      </c>
      <c r="O181" t="b">
        <f t="shared" ca="1" si="117"/>
        <v>0</v>
      </c>
      <c r="P181">
        <f t="shared" ca="1" si="118"/>
        <v>0</v>
      </c>
      <c r="U181" s="55"/>
      <c r="W181" s="60"/>
    </row>
    <row r="182" spans="1:23" x14ac:dyDescent="0.25">
      <c r="A182">
        <f>A176</f>
        <v>370</v>
      </c>
      <c r="B182" t="s">
        <v>682</v>
      </c>
      <c r="C182" t="s">
        <v>858</v>
      </c>
      <c r="D182" t="str">
        <f t="shared" ca="1" si="108"/>
        <v>uuid</v>
      </c>
      <c r="E182" t="b">
        <f t="shared" ca="1" si="109"/>
        <v>0</v>
      </c>
      <c r="F182" t="b">
        <f t="shared" ca="1" si="110"/>
        <v>0</v>
      </c>
      <c r="G182" t="b">
        <f t="shared" ca="1" si="111"/>
        <v>1</v>
      </c>
      <c r="H182" t="str">
        <f t="shared" ca="1" si="112"/>
        <v>t_chnl_type.chnl_type_id</v>
      </c>
      <c r="I182" t="str">
        <f t="shared" ca="1" si="113"/>
        <v>Тип канала</v>
      </c>
      <c r="J182">
        <v>10</v>
      </c>
      <c r="K182" t="str">
        <f t="shared" ca="1" si="114"/>
        <v>b3050000420010_productservice</v>
      </c>
      <c r="L182" s="3" t="s">
        <v>166</v>
      </c>
      <c r="M182" t="str">
        <f t="shared" ca="1" si="115"/>
        <v>uuid</v>
      </c>
      <c r="N182" t="b">
        <f t="shared" ca="1" si="116"/>
        <v>0</v>
      </c>
      <c r="O182" t="b">
        <f t="shared" ca="1" si="117"/>
        <v>0</v>
      </c>
      <c r="P182">
        <f t="shared" ca="1" si="118"/>
        <v>0</v>
      </c>
      <c r="U182" s="55"/>
      <c r="W182" s="60"/>
    </row>
    <row r="183" spans="1:23" x14ac:dyDescent="0.25">
      <c r="A183">
        <f>A176</f>
        <v>370</v>
      </c>
      <c r="B183" t="s">
        <v>682</v>
      </c>
      <c r="C183" t="s">
        <v>752</v>
      </c>
      <c r="D183" t="str">
        <f t="shared" ca="1" si="108"/>
        <v>date</v>
      </c>
      <c r="E183" t="b">
        <f t="shared" ca="1" si="109"/>
        <v>0</v>
      </c>
      <c r="F183" t="b">
        <f t="shared" ca="1" si="110"/>
        <v>0</v>
      </c>
      <c r="G183" t="b">
        <f t="shared" ca="1" si="111"/>
        <v>0</v>
      </c>
      <c r="H183">
        <f t="shared" ca="1" si="112"/>
        <v>0</v>
      </c>
      <c r="I183" t="str">
        <f t="shared" ca="1" si="113"/>
        <v>Дата создания</v>
      </c>
      <c r="J183">
        <v>10</v>
      </c>
      <c r="K183" t="str">
        <f t="shared" ca="1" si="114"/>
        <v>b3050000420010_productservice</v>
      </c>
      <c r="L183" s="3" t="s">
        <v>169</v>
      </c>
      <c r="M183" t="str">
        <f t="shared" ca="1" si="115"/>
        <v>timestamp without time zone</v>
      </c>
      <c r="N183" t="b">
        <f t="shared" ca="1" si="116"/>
        <v>0</v>
      </c>
      <c r="O183" t="b">
        <f t="shared" ca="1" si="117"/>
        <v>0</v>
      </c>
      <c r="P183" t="str">
        <f t="shared" ca="1" si="118"/>
        <v>Дата создания сервиса</v>
      </c>
      <c r="U183" s="55"/>
      <c r="W183" s="60"/>
    </row>
    <row r="184" spans="1:23" x14ac:dyDescent="0.25">
      <c r="A184">
        <f t="shared" ref="A184:A187" si="119">A176</f>
        <v>370</v>
      </c>
      <c r="B184" t="s">
        <v>682</v>
      </c>
      <c r="C184" t="s">
        <v>861</v>
      </c>
      <c r="D184" t="str">
        <f t="shared" ca="1" si="108"/>
        <v>uuid</v>
      </c>
      <c r="E184" t="b">
        <f t="shared" ca="1" si="109"/>
        <v>0</v>
      </c>
      <c r="F184" t="b">
        <f t="shared" ca="1" si="110"/>
        <v>0</v>
      </c>
      <c r="G184" t="b">
        <f t="shared" ca="1" si="111"/>
        <v>1</v>
      </c>
      <c r="H184" t="str">
        <f t="shared" ca="1" si="112"/>
        <v>t_emp.emp_id</v>
      </c>
      <c r="I184" t="str">
        <f t="shared" ca="1" si="113"/>
        <v>id сотрудника, создавшего сервис</v>
      </c>
      <c r="J184">
        <v>10</v>
      </c>
      <c r="K184" t="str">
        <f t="shared" ca="1" si="114"/>
        <v>b3050000420010_productservice</v>
      </c>
      <c r="L184" s="3" t="s">
        <v>861</v>
      </c>
      <c r="M184" t="e">
        <f t="shared" ca="1" si="115"/>
        <v>#N/A</v>
      </c>
      <c r="N184" t="e">
        <f t="shared" ca="1" si="116"/>
        <v>#N/A</v>
      </c>
      <c r="O184" t="e">
        <f t="shared" ca="1" si="117"/>
        <v>#N/A</v>
      </c>
      <c r="P184" t="e">
        <f t="shared" ca="1" si="118"/>
        <v>#N/A</v>
      </c>
      <c r="U184" s="55"/>
      <c r="W184" s="60"/>
    </row>
    <row r="185" spans="1:23" x14ac:dyDescent="0.25">
      <c r="A185">
        <f t="shared" si="119"/>
        <v>370</v>
      </c>
      <c r="B185" t="s">
        <v>682</v>
      </c>
      <c r="C185" t="s">
        <v>864</v>
      </c>
      <c r="D185" t="str">
        <f t="shared" ca="1" si="108"/>
        <v>text</v>
      </c>
      <c r="E185" t="b">
        <f t="shared" ca="1" si="109"/>
        <v>0</v>
      </c>
      <c r="F185" t="b">
        <f t="shared" ca="1" si="110"/>
        <v>0</v>
      </c>
      <c r="G185" t="b">
        <f t="shared" ca="1" si="111"/>
        <v>0</v>
      </c>
      <c r="H185">
        <f t="shared" ca="1" si="112"/>
        <v>0</v>
      </c>
      <c r="I185" t="str">
        <f t="shared" ca="1" si="113"/>
        <v>id сервиса в источнике</v>
      </c>
      <c r="J185">
        <v>10</v>
      </c>
      <c r="K185" t="str">
        <f t="shared" ca="1" si="114"/>
        <v>b3050000420010_productservice</v>
      </c>
      <c r="L185" s="3" t="s">
        <v>179</v>
      </c>
      <c r="M185" t="str">
        <f t="shared" ca="1" si="115"/>
        <v>text</v>
      </c>
      <c r="N185" t="b">
        <f t="shared" ca="1" si="116"/>
        <v>1</v>
      </c>
      <c r="O185" t="b">
        <f t="shared" ca="1" si="117"/>
        <v>1</v>
      </c>
      <c r="P185" t="str">
        <f t="shared" ca="1" si="118"/>
        <v>Прикладной ID объекта</v>
      </c>
      <c r="U185" s="55"/>
      <c r="W185" s="60"/>
    </row>
    <row r="186" spans="1:23" x14ac:dyDescent="0.25">
      <c r="A186">
        <f t="shared" si="119"/>
        <v>370</v>
      </c>
      <c r="B186" t="s">
        <v>682</v>
      </c>
      <c r="C186" t="s">
        <v>852</v>
      </c>
      <c r="D186" t="str">
        <f t="shared" ca="1" si="108"/>
        <v>date</v>
      </c>
      <c r="E186" t="b">
        <f t="shared" ca="1" si="109"/>
        <v>0</v>
      </c>
      <c r="F186" t="b">
        <f t="shared" ca="1" si="110"/>
        <v>0</v>
      </c>
      <c r="G186" t="b">
        <f t="shared" ca="1" si="111"/>
        <v>0</v>
      </c>
      <c r="H186">
        <f t="shared" ca="1" si="112"/>
        <v>0</v>
      </c>
      <c r="I186" t="str">
        <f t="shared" ca="1" si="113"/>
        <v>Дата выполнения</v>
      </c>
      <c r="J186">
        <v>10</v>
      </c>
      <c r="K186" t="str">
        <f t="shared" ca="1" si="114"/>
        <v>b3050000420010_productservice</v>
      </c>
      <c r="L186" s="3"/>
      <c r="M186" t="e">
        <f t="shared" ca="1" si="115"/>
        <v>#N/A</v>
      </c>
      <c r="N186" t="e">
        <f t="shared" ca="1" si="116"/>
        <v>#N/A</v>
      </c>
      <c r="O186" t="e">
        <f t="shared" ca="1" si="117"/>
        <v>#N/A</v>
      </c>
      <c r="P186" t="e">
        <f t="shared" ca="1" si="118"/>
        <v>#N/A</v>
      </c>
      <c r="U186" s="55"/>
      <c r="W186" s="60"/>
    </row>
    <row r="187" spans="1:23" x14ac:dyDescent="0.25">
      <c r="A187">
        <f t="shared" si="119"/>
        <v>370</v>
      </c>
      <c r="B187" t="s">
        <v>682</v>
      </c>
      <c r="C187" t="s">
        <v>785</v>
      </c>
      <c r="D187" t="str">
        <f t="shared" ca="1" si="108"/>
        <v>date</v>
      </c>
      <c r="E187" t="b">
        <f t="shared" ca="1" si="109"/>
        <v>0</v>
      </c>
      <c r="F187" t="b">
        <f t="shared" ca="1" si="110"/>
        <v>0</v>
      </c>
      <c r="G187" t="b">
        <f t="shared" ca="1" si="111"/>
        <v>0</v>
      </c>
      <c r="H187">
        <f t="shared" ca="1" si="112"/>
        <v>0</v>
      </c>
      <c r="I187" t="str">
        <f t="shared" ca="1" si="113"/>
        <v>Дата начала</v>
      </c>
      <c r="J187">
        <v>10</v>
      </c>
      <c r="K187" t="str">
        <f t="shared" ca="1" si="114"/>
        <v>b3050000420010_productservice</v>
      </c>
      <c r="L187" s="3"/>
      <c r="M187" t="e">
        <f t="shared" ca="1" si="115"/>
        <v>#N/A</v>
      </c>
      <c r="N187" t="e">
        <f t="shared" ca="1" si="116"/>
        <v>#N/A</v>
      </c>
      <c r="O187" t="e">
        <f t="shared" ca="1" si="117"/>
        <v>#N/A</v>
      </c>
      <c r="P187" t="e">
        <f t="shared" ca="1" si="118"/>
        <v>#N/A</v>
      </c>
      <c r="U187" s="55"/>
      <c r="W187" s="60"/>
    </row>
    <row r="188" spans="1:23" s="2" customFormat="1" ht="15.75" thickBot="1" x14ac:dyDescent="0.3">
      <c r="A188" s="2">
        <f>A176</f>
        <v>370</v>
      </c>
      <c r="B188" s="2" t="s">
        <v>682</v>
      </c>
      <c r="C188" s="2" t="s">
        <v>787</v>
      </c>
      <c r="D188" s="2" t="str">
        <f t="shared" ca="1" si="108"/>
        <v>date</v>
      </c>
      <c r="E188" s="2" t="b">
        <f t="shared" ca="1" si="109"/>
        <v>0</v>
      </c>
      <c r="F188" s="2" t="b">
        <f t="shared" ca="1" si="110"/>
        <v>0</v>
      </c>
      <c r="G188" s="2" t="b">
        <f t="shared" ca="1" si="111"/>
        <v>0</v>
      </c>
      <c r="H188" s="2">
        <f t="shared" ca="1" si="112"/>
        <v>0</v>
      </c>
      <c r="I188" s="2" t="str">
        <f t="shared" ca="1" si="113"/>
        <v>Дата окончания</v>
      </c>
      <c r="J188" s="2">
        <v>10</v>
      </c>
      <c r="K188" s="2" t="str">
        <f t="shared" ca="1" si="114"/>
        <v>b3050000420010_productservice</v>
      </c>
      <c r="M188" s="2" t="e">
        <f t="shared" ca="1" si="115"/>
        <v>#N/A</v>
      </c>
      <c r="N188" s="2" t="e">
        <f t="shared" ca="1" si="116"/>
        <v>#N/A</v>
      </c>
      <c r="O188" s="2" t="e">
        <f t="shared" ca="1" si="117"/>
        <v>#N/A</v>
      </c>
      <c r="P188" s="2" t="e">
        <f t="shared" ca="1" si="118"/>
        <v>#N/A</v>
      </c>
      <c r="U188" s="56"/>
      <c r="W188" s="53"/>
    </row>
    <row r="189" spans="1:23" x14ac:dyDescent="0.25">
      <c r="A189" s="10">
        <v>380</v>
      </c>
      <c r="B189" t="s">
        <v>692</v>
      </c>
      <c r="C189" t="s">
        <v>856</v>
      </c>
      <c r="D189" t="str">
        <f t="shared" ca="1" si="108"/>
        <v>uuid</v>
      </c>
      <c r="E189" t="b">
        <f t="shared" ca="1" si="109"/>
        <v>1</v>
      </c>
      <c r="F189" t="b">
        <f t="shared" ca="1" si="110"/>
        <v>1</v>
      </c>
      <c r="G189" t="b">
        <f t="shared" ca="1" si="111"/>
        <v>0</v>
      </c>
      <c r="H189">
        <f t="shared" ca="1" si="112"/>
        <v>0</v>
      </c>
      <c r="I189" t="str">
        <f t="shared" ca="1" si="113"/>
        <v>id типа бизнес сервиса</v>
      </c>
      <c r="J189">
        <v>10</v>
      </c>
      <c r="K189" t="str">
        <f t="shared" ca="1" si="114"/>
        <v>b3050000420010_productservice</v>
      </c>
      <c r="L189" s="3" t="s">
        <v>191</v>
      </c>
      <c r="M189" t="str">
        <f t="shared" ca="1" si="115"/>
        <v>uuid</v>
      </c>
      <c r="N189" t="b">
        <f t="shared" ca="1" si="116"/>
        <v>0</v>
      </c>
      <c r="O189" t="b">
        <f t="shared" ca="1" si="117"/>
        <v>0</v>
      </c>
      <c r="P189">
        <f t="shared" ca="1" si="118"/>
        <v>0</v>
      </c>
      <c r="R189" t="s">
        <v>1064</v>
      </c>
      <c r="S189" t="s">
        <v>1071</v>
      </c>
      <c r="U189" s="54" t="s">
        <v>1103</v>
      </c>
      <c r="V189" t="str">
        <f>"n305000042"&amp;TEXT(A189,"0000")&amp;"_"&amp;RIGHT(B189,LEN(B189)-2)</f>
        <v>n3050000420380_bus_srv_type</v>
      </c>
      <c r="W189" s="54" t="s">
        <v>1526</v>
      </c>
    </row>
    <row r="190" spans="1:23" x14ac:dyDescent="0.25">
      <c r="A190">
        <f>A189</f>
        <v>380</v>
      </c>
      <c r="B190" t="s">
        <v>692</v>
      </c>
      <c r="C190" t="s">
        <v>892</v>
      </c>
      <c r="D190" t="str">
        <f t="shared" ca="1" si="108"/>
        <v>text</v>
      </c>
      <c r="E190" t="b">
        <f t="shared" ca="1" si="109"/>
        <v>0</v>
      </c>
      <c r="F190" t="b">
        <f t="shared" ca="1" si="110"/>
        <v>0</v>
      </c>
      <c r="G190" t="b">
        <f t="shared" ca="1" si="111"/>
        <v>0</v>
      </c>
      <c r="H190">
        <f t="shared" ca="1" si="112"/>
        <v>0</v>
      </c>
      <c r="I190" t="str">
        <f t="shared" ca="1" si="113"/>
        <v>Код типа бизнес сервиса</v>
      </c>
      <c r="J190">
        <v>10</v>
      </c>
      <c r="K190" t="str">
        <f t="shared" ca="1" si="114"/>
        <v>b3050000420010_productservice</v>
      </c>
      <c r="L190" s="3" t="s">
        <v>190</v>
      </c>
      <c r="M190" t="str">
        <f t="shared" ca="1" si="115"/>
        <v>text</v>
      </c>
      <c r="N190" t="b">
        <f t="shared" ca="1" si="116"/>
        <v>0</v>
      </c>
      <c r="O190" t="b">
        <f t="shared" ca="1" si="117"/>
        <v>0</v>
      </c>
      <c r="P190" t="str">
        <f t="shared" ca="1" si="118"/>
        <v>Тип сервиса</v>
      </c>
      <c r="U190" s="55"/>
      <c r="W190" s="60"/>
    </row>
    <row r="191" spans="1:23" x14ac:dyDescent="0.25">
      <c r="A191">
        <f>A189</f>
        <v>380</v>
      </c>
      <c r="B191" t="s">
        <v>692</v>
      </c>
      <c r="C191" t="s">
        <v>894</v>
      </c>
      <c r="D191" t="str">
        <f t="shared" ca="1" si="108"/>
        <v>text</v>
      </c>
      <c r="E191" t="b">
        <f t="shared" ca="1" si="109"/>
        <v>0</v>
      </c>
      <c r="F191" t="b">
        <f t="shared" ca="1" si="110"/>
        <v>0</v>
      </c>
      <c r="G191" t="b">
        <f t="shared" ca="1" si="111"/>
        <v>0</v>
      </c>
      <c r="H191">
        <f t="shared" ca="1" si="112"/>
        <v>0</v>
      </c>
      <c r="I191" t="str">
        <f t="shared" ca="1" si="113"/>
        <v>Описание типа бизнес сервиса</v>
      </c>
      <c r="J191">
        <v>10</v>
      </c>
      <c r="K191" t="str">
        <f t="shared" ca="1" si="114"/>
        <v>b3050000420010_productservice</v>
      </c>
      <c r="L191" s="3" t="s">
        <v>1075</v>
      </c>
      <c r="M191" t="e">
        <f t="shared" ca="1" si="115"/>
        <v>#N/A</v>
      </c>
      <c r="N191" t="e">
        <f t="shared" ca="1" si="116"/>
        <v>#N/A</v>
      </c>
      <c r="O191" t="e">
        <f t="shared" ca="1" si="117"/>
        <v>#N/A</v>
      </c>
      <c r="P191" t="e">
        <f t="shared" ca="1" si="118"/>
        <v>#N/A</v>
      </c>
      <c r="U191" s="55"/>
      <c r="W191" s="60"/>
    </row>
    <row r="192" spans="1:23" s="2" customFormat="1" ht="15.75" thickBot="1" x14ac:dyDescent="0.3">
      <c r="A192" s="2">
        <f>A189</f>
        <v>380</v>
      </c>
      <c r="B192" s="2" t="s">
        <v>692</v>
      </c>
      <c r="C192" s="2" t="s">
        <v>896</v>
      </c>
      <c r="D192" s="2" t="str">
        <f t="shared" ca="1" si="108"/>
        <v>text</v>
      </c>
      <c r="E192" s="2" t="b">
        <f t="shared" ca="1" si="109"/>
        <v>0</v>
      </c>
      <c r="F192" s="2" t="b">
        <f t="shared" ca="1" si="110"/>
        <v>0</v>
      </c>
      <c r="G192" s="2" t="b">
        <f t="shared" ca="1" si="111"/>
        <v>0</v>
      </c>
      <c r="H192" s="2">
        <f t="shared" ca="1" si="112"/>
        <v>0</v>
      </c>
      <c r="I192" s="2" t="str">
        <f t="shared" ca="1" si="113"/>
        <v>id типа бизнес сервиса в источнике</v>
      </c>
      <c r="J192" s="2">
        <v>10</v>
      </c>
      <c r="K192" s="2" t="str">
        <f t="shared" ca="1" si="114"/>
        <v>b3050000420010_productservice</v>
      </c>
      <c r="L192" s="2" t="s">
        <v>190</v>
      </c>
      <c r="M192" s="2" t="str">
        <f t="shared" ca="1" si="115"/>
        <v>text</v>
      </c>
      <c r="N192" s="2" t="b">
        <f t="shared" ca="1" si="116"/>
        <v>0</v>
      </c>
      <c r="O192" s="2" t="b">
        <f t="shared" ca="1" si="117"/>
        <v>0</v>
      </c>
      <c r="P192" s="2" t="str">
        <f t="shared" ca="1" si="118"/>
        <v>Тип сервиса</v>
      </c>
      <c r="U192" s="56"/>
      <c r="W192" s="53"/>
    </row>
    <row r="193" spans="1:23" x14ac:dyDescent="0.25">
      <c r="A193" s="10">
        <v>390</v>
      </c>
      <c r="B193" t="s">
        <v>682</v>
      </c>
      <c r="C193" s="3" t="s">
        <v>847</v>
      </c>
      <c r="D193" t="str">
        <f t="shared" ca="1" si="108"/>
        <v>uuid</v>
      </c>
      <c r="E193" t="b">
        <f t="shared" ca="1" si="109"/>
        <v>1</v>
      </c>
      <c r="F193" t="b">
        <f t="shared" ca="1" si="110"/>
        <v>1</v>
      </c>
      <c r="G193" t="b">
        <f t="shared" ca="1" si="111"/>
        <v>0</v>
      </c>
      <c r="H193">
        <f t="shared" ca="1" si="112"/>
        <v>0</v>
      </c>
      <c r="I193" t="str">
        <f t="shared" ca="1" si="113"/>
        <v>id сервиса</v>
      </c>
      <c r="J193" s="3">
        <v>15</v>
      </c>
      <c r="K193" s="3" t="str">
        <f t="shared" ca="1" si="114"/>
        <v>b3050000420015_technicalservice</v>
      </c>
      <c r="L193" s="3" t="s">
        <v>180</v>
      </c>
      <c r="M193" t="str">
        <f t="shared" ca="1" si="115"/>
        <v>uuid</v>
      </c>
      <c r="N193" t="b">
        <f t="shared" ca="1" si="116"/>
        <v>0</v>
      </c>
      <c r="O193" t="b">
        <f t="shared" ca="1" si="117"/>
        <v>0</v>
      </c>
      <c r="P193">
        <f t="shared" ca="1" si="118"/>
        <v>0</v>
      </c>
      <c r="R193" t="s">
        <v>1064</v>
      </c>
      <c r="S193" t="s">
        <v>8</v>
      </c>
      <c r="U193" s="57" t="s">
        <v>1537</v>
      </c>
      <c r="V193" t="str">
        <f>"n305000042"&amp;TEXT(A193,"0000")&amp;"_"&amp;RIGHT(B193,LEN(B193)-2)</f>
        <v>n3050000420390_bus_srv</v>
      </c>
      <c r="W193" s="54" t="s">
        <v>1521</v>
      </c>
    </row>
    <row r="194" spans="1:23" x14ac:dyDescent="0.25">
      <c r="A194">
        <f>A193</f>
        <v>390</v>
      </c>
      <c r="B194" t="s">
        <v>682</v>
      </c>
      <c r="C194" s="3" t="s">
        <v>737</v>
      </c>
      <c r="D194" t="str">
        <f t="shared" ca="1" si="108"/>
        <v>uuid</v>
      </c>
      <c r="E194" t="b">
        <f t="shared" ca="1" si="109"/>
        <v>0</v>
      </c>
      <c r="F194" t="b">
        <f t="shared" ca="1" si="110"/>
        <v>0</v>
      </c>
      <c r="G194" t="b">
        <f t="shared" ca="1" si="111"/>
        <v>1</v>
      </c>
      <c r="H194" t="str">
        <f t="shared" ca="1" si="112"/>
        <v>t_agr_dep.agr_dep_id</v>
      </c>
      <c r="I194" t="str">
        <f t="shared" ca="1" si="113"/>
        <v>id депозитного договора</v>
      </c>
      <c r="J194" s="3">
        <v>15</v>
      </c>
      <c r="K194" s="3" t="str">
        <f t="shared" ca="1" si="114"/>
        <v>b3050000420015_technicalservice</v>
      </c>
      <c r="L194" s="3" t="s">
        <v>316</v>
      </c>
      <c r="M194" t="str">
        <f t="shared" ca="1" si="115"/>
        <v>uuid</v>
      </c>
      <c r="N194" t="b">
        <f t="shared" ca="1" si="116"/>
        <v>0</v>
      </c>
      <c r="O194" t="b">
        <f t="shared" ca="1" si="117"/>
        <v>0</v>
      </c>
      <c r="P194">
        <f t="shared" ca="1" si="118"/>
        <v>0</v>
      </c>
      <c r="U194" s="55"/>
      <c r="W194" s="60"/>
    </row>
    <row r="195" spans="1:23" x14ac:dyDescent="0.25">
      <c r="A195">
        <f>A193</f>
        <v>390</v>
      </c>
      <c r="B195" t="s">
        <v>682</v>
      </c>
      <c r="C195" s="3" t="s">
        <v>743</v>
      </c>
      <c r="D195" t="str">
        <f t="shared" ca="1" si="108"/>
        <v>uuid</v>
      </c>
      <c r="E195" t="b">
        <f t="shared" ca="1" si="109"/>
        <v>0</v>
      </c>
      <c r="F195" t="b">
        <f t="shared" ca="1" si="110"/>
        <v>0</v>
      </c>
      <c r="G195" t="b">
        <f t="shared" ca="1" si="111"/>
        <v>1</v>
      </c>
      <c r="H195" t="str">
        <f t="shared" ca="1" si="112"/>
        <v>t_agr_frame.agr_frame_id</v>
      </c>
      <c r="I195" t="str">
        <f t="shared" ca="1" si="113"/>
        <v>id рамочного договора</v>
      </c>
      <c r="J195" s="3">
        <v>15</v>
      </c>
      <c r="K195" s="3" t="str">
        <f t="shared" ca="1" si="114"/>
        <v>b3050000420015_technicalservice</v>
      </c>
      <c r="L195" s="3"/>
      <c r="M195" t="e">
        <f t="shared" ca="1" si="115"/>
        <v>#N/A</v>
      </c>
      <c r="N195" t="e">
        <f t="shared" ca="1" si="116"/>
        <v>#N/A</v>
      </c>
      <c r="O195" t="e">
        <f t="shared" ca="1" si="117"/>
        <v>#N/A</v>
      </c>
      <c r="P195" t="e">
        <f t="shared" ca="1" si="118"/>
        <v>#N/A</v>
      </c>
      <c r="U195" s="55"/>
      <c r="W195" s="60"/>
    </row>
    <row r="196" spans="1:23" x14ac:dyDescent="0.25">
      <c r="A196">
        <f>A193</f>
        <v>390</v>
      </c>
      <c r="B196" t="s">
        <v>682</v>
      </c>
      <c r="C196" s="3" t="s">
        <v>849</v>
      </c>
      <c r="D196" t="str">
        <f t="shared" ca="1" si="108"/>
        <v>uuid</v>
      </c>
      <c r="E196" t="b">
        <f t="shared" ca="1" si="109"/>
        <v>0</v>
      </c>
      <c r="F196" t="b">
        <f t="shared" ca="1" si="110"/>
        <v>0</v>
      </c>
      <c r="G196" t="b">
        <f t="shared" ca="1" si="111"/>
        <v>1</v>
      </c>
      <c r="H196" t="str">
        <f t="shared" ca="1" si="112"/>
        <v>t_bus_srv_categ_type.bus_srv_categ_type_id</v>
      </c>
      <c r="I196" t="str">
        <f t="shared" ca="1" si="113"/>
        <v>Категория сервиса</v>
      </c>
      <c r="J196" s="3">
        <v>15</v>
      </c>
      <c r="K196" s="3" t="str">
        <f t="shared" ca="1" si="114"/>
        <v>b3050000420015_technicalservice</v>
      </c>
      <c r="L196" s="13" t="s">
        <v>1104</v>
      </c>
      <c r="M196" t="e">
        <f t="shared" ca="1" si="115"/>
        <v>#N/A</v>
      </c>
      <c r="N196" t="e">
        <f t="shared" ca="1" si="116"/>
        <v>#N/A</v>
      </c>
      <c r="O196" t="e">
        <f t="shared" ca="1" si="117"/>
        <v>#N/A</v>
      </c>
      <c r="P196" t="e">
        <f t="shared" ca="1" si="118"/>
        <v>#N/A</v>
      </c>
      <c r="Q196" s="13" t="s">
        <v>1105</v>
      </c>
      <c r="U196" s="55"/>
      <c r="W196" s="60"/>
    </row>
    <row r="197" spans="1:23" x14ac:dyDescent="0.25">
      <c r="A197">
        <f>A193</f>
        <v>390</v>
      </c>
      <c r="B197" t="s">
        <v>682</v>
      </c>
      <c r="C197" s="3" t="s">
        <v>854</v>
      </c>
      <c r="D197" t="str">
        <f t="shared" ca="1" si="108"/>
        <v>uuid</v>
      </c>
      <c r="E197" t="b">
        <f t="shared" ca="1" si="109"/>
        <v>0</v>
      </c>
      <c r="F197" t="b">
        <f t="shared" ca="1" si="110"/>
        <v>0</v>
      </c>
      <c r="G197" t="b">
        <f t="shared" ca="1" si="111"/>
        <v>1</v>
      </c>
      <c r="H197" t="str">
        <f t="shared" ca="1" si="112"/>
        <v>t_entity_stts.entity_stts_id</v>
      </c>
      <c r="I197" t="str">
        <f t="shared" ca="1" si="113"/>
        <v>Статус сервиса</v>
      </c>
      <c r="J197" s="3">
        <v>15</v>
      </c>
      <c r="K197" s="3" t="str">
        <f t="shared" ca="1" si="114"/>
        <v>b3050000420015_technicalservice</v>
      </c>
      <c r="L197" s="3" t="s">
        <v>199</v>
      </c>
      <c r="M197" t="str">
        <f t="shared" ca="1" si="115"/>
        <v>uuid</v>
      </c>
      <c r="N197" t="b">
        <f t="shared" ca="1" si="116"/>
        <v>0</v>
      </c>
      <c r="O197" t="b">
        <f t="shared" ca="1" si="117"/>
        <v>0</v>
      </c>
      <c r="P197">
        <f t="shared" ca="1" si="118"/>
        <v>0</v>
      </c>
      <c r="U197" s="55"/>
      <c r="W197" s="60"/>
    </row>
    <row r="198" spans="1:23" x14ac:dyDescent="0.25">
      <c r="A198">
        <f>A193</f>
        <v>390</v>
      </c>
      <c r="B198" t="s">
        <v>682</v>
      </c>
      <c r="C198" s="3" t="s">
        <v>856</v>
      </c>
      <c r="D198" t="str">
        <f t="shared" ca="1" si="108"/>
        <v>uuid</v>
      </c>
      <c r="E198" t="b">
        <f t="shared" ca="1" si="109"/>
        <v>0</v>
      </c>
      <c r="F198" t="b">
        <f t="shared" ca="1" si="110"/>
        <v>0</v>
      </c>
      <c r="G198" t="b">
        <f t="shared" ca="1" si="111"/>
        <v>1</v>
      </c>
      <c r="H198" t="str">
        <f t="shared" ca="1" si="112"/>
        <v>t_bus_srv_type.bus_srv_type_id</v>
      </c>
      <c r="I198" t="str">
        <f t="shared" ca="1" si="113"/>
        <v>Тип сервиса</v>
      </c>
      <c r="J198" s="3">
        <v>15</v>
      </c>
      <c r="K198" s="3" t="str">
        <f t="shared" ca="1" si="114"/>
        <v>b3050000420015_technicalservice</v>
      </c>
      <c r="L198" s="3" t="s">
        <v>191</v>
      </c>
      <c r="M198" t="str">
        <f t="shared" ca="1" si="115"/>
        <v>uuid</v>
      </c>
      <c r="N198" t="b">
        <f t="shared" ca="1" si="116"/>
        <v>0</v>
      </c>
      <c r="O198" t="b">
        <f t="shared" ca="1" si="117"/>
        <v>0</v>
      </c>
      <c r="P198">
        <f t="shared" ca="1" si="118"/>
        <v>0</v>
      </c>
      <c r="U198" s="55"/>
      <c r="W198" s="60"/>
    </row>
    <row r="199" spans="1:23" x14ac:dyDescent="0.25">
      <c r="A199">
        <f>A193</f>
        <v>390</v>
      </c>
      <c r="B199" t="s">
        <v>682</v>
      </c>
      <c r="C199" s="3" t="s">
        <v>858</v>
      </c>
      <c r="D199" t="str">
        <f t="shared" ca="1" si="108"/>
        <v>uuid</v>
      </c>
      <c r="E199" t="b">
        <f t="shared" ca="1" si="109"/>
        <v>0</v>
      </c>
      <c r="F199" t="b">
        <f t="shared" ca="1" si="110"/>
        <v>0</v>
      </c>
      <c r="G199" t="b">
        <f t="shared" ca="1" si="111"/>
        <v>1</v>
      </c>
      <c r="H199" t="str">
        <f t="shared" ca="1" si="112"/>
        <v>t_chnl_type.chnl_type_id</v>
      </c>
      <c r="I199" t="str">
        <f t="shared" ca="1" si="113"/>
        <v>Тип канала</v>
      </c>
      <c r="J199" s="3">
        <v>15</v>
      </c>
      <c r="K199" s="3" t="str">
        <f t="shared" ca="1" si="114"/>
        <v>b3050000420015_technicalservice</v>
      </c>
      <c r="L199" s="3" t="s">
        <v>166</v>
      </c>
      <c r="M199" t="str">
        <f t="shared" ca="1" si="115"/>
        <v>uuid</v>
      </c>
      <c r="N199" t="b">
        <f t="shared" ca="1" si="116"/>
        <v>0</v>
      </c>
      <c r="O199" t="b">
        <f t="shared" ca="1" si="117"/>
        <v>0</v>
      </c>
      <c r="P199">
        <f t="shared" ca="1" si="118"/>
        <v>0</v>
      </c>
      <c r="U199" s="55"/>
      <c r="W199" s="60"/>
    </row>
    <row r="200" spans="1:23" x14ac:dyDescent="0.25">
      <c r="A200">
        <f>A193</f>
        <v>390</v>
      </c>
      <c r="B200" t="s">
        <v>682</v>
      </c>
      <c r="C200" s="3" t="s">
        <v>752</v>
      </c>
      <c r="D200" t="str">
        <f t="shared" ca="1" si="108"/>
        <v>date</v>
      </c>
      <c r="E200" t="b">
        <f t="shared" ca="1" si="109"/>
        <v>0</v>
      </c>
      <c r="F200" t="b">
        <f t="shared" ca="1" si="110"/>
        <v>0</v>
      </c>
      <c r="G200" t="b">
        <f t="shared" ca="1" si="111"/>
        <v>0</v>
      </c>
      <c r="H200">
        <f t="shared" ca="1" si="112"/>
        <v>0</v>
      </c>
      <c r="I200" t="str">
        <f t="shared" ca="1" si="113"/>
        <v>Дата создания</v>
      </c>
      <c r="J200" s="3">
        <v>15</v>
      </c>
      <c r="K200" s="3" t="str">
        <f t="shared" ca="1" si="114"/>
        <v>b3050000420015_technicalservice</v>
      </c>
      <c r="L200" s="3" t="s">
        <v>169</v>
      </c>
      <c r="M200" t="str">
        <f t="shared" ca="1" si="115"/>
        <v>timestamp without time zone</v>
      </c>
      <c r="N200" t="b">
        <f t="shared" ca="1" si="116"/>
        <v>0</v>
      </c>
      <c r="O200" t="b">
        <f t="shared" ca="1" si="117"/>
        <v>0</v>
      </c>
      <c r="P200" t="str">
        <f t="shared" ca="1" si="118"/>
        <v>Дата создания сервиса</v>
      </c>
      <c r="U200" s="55"/>
      <c r="W200" s="60"/>
    </row>
    <row r="201" spans="1:23" x14ac:dyDescent="0.25">
      <c r="A201">
        <f t="shared" ref="A201:A204" si="120">A193</f>
        <v>390</v>
      </c>
      <c r="B201" t="s">
        <v>682</v>
      </c>
      <c r="C201" s="3" t="s">
        <v>861</v>
      </c>
      <c r="D201" t="str">
        <f t="shared" ca="1" si="108"/>
        <v>uuid</v>
      </c>
      <c r="E201" t="b">
        <f t="shared" ca="1" si="109"/>
        <v>0</v>
      </c>
      <c r="F201" t="b">
        <f t="shared" ca="1" si="110"/>
        <v>0</v>
      </c>
      <c r="G201" t="b">
        <f t="shared" ca="1" si="111"/>
        <v>1</v>
      </c>
      <c r="H201" t="str">
        <f t="shared" ca="1" si="112"/>
        <v>t_emp.emp_id</v>
      </c>
      <c r="I201" t="str">
        <f t="shared" ca="1" si="113"/>
        <v>id сотрудника, создавшего сервис</v>
      </c>
      <c r="J201" s="3">
        <v>15</v>
      </c>
      <c r="K201" s="3" t="str">
        <f t="shared" ca="1" si="114"/>
        <v>b3050000420015_technicalservice</v>
      </c>
      <c r="L201" s="3"/>
      <c r="M201" t="e">
        <f t="shared" ca="1" si="115"/>
        <v>#N/A</v>
      </c>
      <c r="N201" t="e">
        <f t="shared" ca="1" si="116"/>
        <v>#N/A</v>
      </c>
      <c r="O201" t="e">
        <f t="shared" ca="1" si="117"/>
        <v>#N/A</v>
      </c>
      <c r="P201" t="e">
        <f t="shared" ca="1" si="118"/>
        <v>#N/A</v>
      </c>
      <c r="U201" s="55"/>
      <c r="W201" s="60"/>
    </row>
    <row r="202" spans="1:23" x14ac:dyDescent="0.25">
      <c r="A202">
        <f t="shared" si="120"/>
        <v>390</v>
      </c>
      <c r="B202" t="s">
        <v>682</v>
      </c>
      <c r="C202" s="3" t="s">
        <v>864</v>
      </c>
      <c r="D202" t="str">
        <f t="shared" ca="1" si="108"/>
        <v>text</v>
      </c>
      <c r="E202" t="b">
        <f t="shared" ca="1" si="109"/>
        <v>0</v>
      </c>
      <c r="F202" t="b">
        <f t="shared" ca="1" si="110"/>
        <v>0</v>
      </c>
      <c r="G202" t="b">
        <f t="shared" ca="1" si="111"/>
        <v>0</v>
      </c>
      <c r="H202">
        <f t="shared" ca="1" si="112"/>
        <v>0</v>
      </c>
      <c r="I202" t="str">
        <f t="shared" ca="1" si="113"/>
        <v>id сервиса в источнике</v>
      </c>
      <c r="J202" s="3">
        <v>15</v>
      </c>
      <c r="K202" s="3" t="str">
        <f t="shared" ca="1" si="114"/>
        <v>b3050000420015_technicalservice</v>
      </c>
      <c r="L202" s="3" t="s">
        <v>179</v>
      </c>
      <c r="M202" t="str">
        <f t="shared" ca="1" si="115"/>
        <v>text</v>
      </c>
      <c r="N202" t="b">
        <f t="shared" ca="1" si="116"/>
        <v>1</v>
      </c>
      <c r="O202" t="b">
        <f t="shared" ca="1" si="117"/>
        <v>1</v>
      </c>
      <c r="P202" t="str">
        <f t="shared" ca="1" si="118"/>
        <v>Прикладной ID объекта</v>
      </c>
      <c r="U202" s="55"/>
      <c r="W202" s="60"/>
    </row>
    <row r="203" spans="1:23" x14ac:dyDescent="0.25">
      <c r="A203">
        <f t="shared" si="120"/>
        <v>390</v>
      </c>
      <c r="B203" t="s">
        <v>682</v>
      </c>
      <c r="C203" s="3" t="s">
        <v>852</v>
      </c>
      <c r="D203" t="str">
        <f t="shared" ca="1" si="108"/>
        <v>date</v>
      </c>
      <c r="E203" t="b">
        <f t="shared" ca="1" si="109"/>
        <v>0</v>
      </c>
      <c r="F203" t="b">
        <f t="shared" ca="1" si="110"/>
        <v>0</v>
      </c>
      <c r="G203" t="b">
        <f t="shared" ca="1" si="111"/>
        <v>0</v>
      </c>
      <c r="H203">
        <f t="shared" ca="1" si="112"/>
        <v>0</v>
      </c>
      <c r="I203" t="str">
        <f t="shared" ca="1" si="113"/>
        <v>Дата выполнения</v>
      </c>
      <c r="J203" s="3">
        <v>15</v>
      </c>
      <c r="K203" s="3" t="str">
        <f t="shared" ca="1" si="114"/>
        <v>b3050000420015_technicalservice</v>
      </c>
      <c r="L203" s="3"/>
      <c r="M203" t="e">
        <f t="shared" ca="1" si="115"/>
        <v>#N/A</v>
      </c>
      <c r="N203" t="e">
        <f t="shared" ca="1" si="116"/>
        <v>#N/A</v>
      </c>
      <c r="O203" t="e">
        <f t="shared" ca="1" si="117"/>
        <v>#N/A</v>
      </c>
      <c r="P203" t="e">
        <f t="shared" ca="1" si="118"/>
        <v>#N/A</v>
      </c>
      <c r="U203" s="55"/>
      <c r="W203" s="60"/>
    </row>
    <row r="204" spans="1:23" x14ac:dyDescent="0.25">
      <c r="A204">
        <f t="shared" si="120"/>
        <v>390</v>
      </c>
      <c r="B204" t="s">
        <v>682</v>
      </c>
      <c r="C204" s="3" t="s">
        <v>785</v>
      </c>
      <c r="D204" t="str">
        <f t="shared" ca="1" si="108"/>
        <v>date</v>
      </c>
      <c r="E204" t="b">
        <f t="shared" ca="1" si="109"/>
        <v>0</v>
      </c>
      <c r="F204" t="b">
        <f t="shared" ca="1" si="110"/>
        <v>0</v>
      </c>
      <c r="G204" t="b">
        <f t="shared" ca="1" si="111"/>
        <v>0</v>
      </c>
      <c r="H204">
        <f t="shared" ca="1" si="112"/>
        <v>0</v>
      </c>
      <c r="I204" t="str">
        <f t="shared" ca="1" si="113"/>
        <v>Дата начала</v>
      </c>
      <c r="J204" s="3">
        <v>28</v>
      </c>
      <c r="K204" s="3" t="str">
        <f t="shared" ca="1" si="114"/>
        <v>b3050000420028_additionaltechnicaldata</v>
      </c>
      <c r="L204" s="3" t="s">
        <v>1106</v>
      </c>
      <c r="M204" t="str">
        <f t="shared" ca="1" si="115"/>
        <v>timestamp without time zone</v>
      </c>
      <c r="N204" t="b">
        <f t="shared" ca="1" si="116"/>
        <v>0</v>
      </c>
      <c r="O204" t="b">
        <f t="shared" ca="1" si="117"/>
        <v>0</v>
      </c>
      <c r="P204" t="str">
        <f t="shared" ca="1" si="118"/>
        <v>Дата начала расчетного периода</v>
      </c>
      <c r="U204" s="55"/>
      <c r="W204" s="60"/>
    </row>
    <row r="205" spans="1:23" s="2" customFormat="1" ht="15.75" thickBot="1" x14ac:dyDescent="0.3">
      <c r="A205" s="2">
        <f>A193</f>
        <v>390</v>
      </c>
      <c r="B205" s="2" t="s">
        <v>682</v>
      </c>
      <c r="C205" s="2" t="s">
        <v>787</v>
      </c>
      <c r="D205" s="2" t="str">
        <f t="shared" ca="1" si="108"/>
        <v>date</v>
      </c>
      <c r="E205" s="2" t="b">
        <f t="shared" ca="1" si="109"/>
        <v>0</v>
      </c>
      <c r="F205" s="2" t="b">
        <f t="shared" ca="1" si="110"/>
        <v>0</v>
      </c>
      <c r="G205" s="2" t="b">
        <f t="shared" ca="1" si="111"/>
        <v>0</v>
      </c>
      <c r="H205" s="2">
        <f t="shared" ca="1" si="112"/>
        <v>0</v>
      </c>
      <c r="I205" s="2" t="str">
        <f t="shared" ca="1" si="113"/>
        <v>Дата окончания</v>
      </c>
      <c r="J205" s="2">
        <v>28</v>
      </c>
      <c r="K205" s="2" t="str">
        <f t="shared" ca="1" si="114"/>
        <v>b3050000420028_additionaltechnicaldata</v>
      </c>
      <c r="L205" s="2" t="s">
        <v>1107</v>
      </c>
      <c r="M205" s="2" t="str">
        <f t="shared" ca="1" si="115"/>
        <v>timestamp without time zone</v>
      </c>
      <c r="N205" s="2" t="b">
        <f t="shared" ca="1" si="116"/>
        <v>0</v>
      </c>
      <c r="O205" s="2" t="b">
        <f t="shared" ca="1" si="117"/>
        <v>0</v>
      </c>
      <c r="P205" s="2" t="str">
        <f t="shared" ca="1" si="118"/>
        <v>Дата окончания расчетного периода</v>
      </c>
      <c r="U205" s="56"/>
      <c r="W205" s="53"/>
    </row>
    <row r="206" spans="1:23" x14ac:dyDescent="0.25">
      <c r="A206" s="10">
        <v>400</v>
      </c>
      <c r="B206" s="35" t="s">
        <v>667</v>
      </c>
      <c r="C206" t="s">
        <v>737</v>
      </c>
      <c r="D206" t="str">
        <f t="shared" ca="1" si="108"/>
        <v>uuid</v>
      </c>
      <c r="E206" t="b">
        <f t="shared" ca="1" si="109"/>
        <v>1</v>
      </c>
      <c r="F206" t="b">
        <f t="shared" ca="1" si="110"/>
        <v>1</v>
      </c>
      <c r="G206" t="b">
        <f t="shared" ca="1" si="111"/>
        <v>1</v>
      </c>
      <c r="H206" t="str">
        <f t="shared" ca="1" si="112"/>
        <v>t_agr_dep.agr_dep_id</v>
      </c>
      <c r="I206" t="str">
        <f t="shared" ca="1" si="113"/>
        <v>id депозитного договора</v>
      </c>
      <c r="J206">
        <v>7</v>
      </c>
      <c r="K206" t="str">
        <f t="shared" ca="1" si="114"/>
        <v>b3050000420007_product</v>
      </c>
      <c r="L206" s="3" t="s">
        <v>180</v>
      </c>
      <c r="M206" t="str">
        <f t="shared" ca="1" si="115"/>
        <v>uuid</v>
      </c>
      <c r="N206" t="b">
        <f t="shared" ca="1" si="116"/>
        <v>0</v>
      </c>
      <c r="O206" t="b">
        <f t="shared" ca="1" si="117"/>
        <v>0</v>
      </c>
      <c r="P206">
        <f t="shared" ca="1" si="118"/>
        <v>0</v>
      </c>
      <c r="R206" t="s">
        <v>1064</v>
      </c>
      <c r="S206" t="s">
        <v>8</v>
      </c>
      <c r="U206" s="62" t="s">
        <v>1609</v>
      </c>
      <c r="V206" t="str">
        <f>"n305000042"&amp;TEXT(A206,"0000")&amp;"_"&amp;RIGHT(B206,LEN(B206)-2)</f>
        <v>n3050000420400_agr_dep_rate_rule</v>
      </c>
      <c r="W206" s="48" t="s">
        <v>1510</v>
      </c>
    </row>
    <row r="207" spans="1:23" x14ac:dyDescent="0.25">
      <c r="A207">
        <f>A206</f>
        <v>400</v>
      </c>
      <c r="B207" t="s">
        <v>667</v>
      </c>
      <c r="C207" t="s">
        <v>813</v>
      </c>
      <c r="D207" t="str">
        <f t="shared" ca="1" si="108"/>
        <v>uuid</v>
      </c>
      <c r="E207" t="b">
        <f t="shared" ca="1" si="109"/>
        <v>1</v>
      </c>
      <c r="F207" t="b">
        <f t="shared" ca="1" si="110"/>
        <v>1</v>
      </c>
      <c r="G207" t="b">
        <f t="shared" ca="1" si="111"/>
        <v>1</v>
      </c>
      <c r="H207" t="str">
        <f t="shared" ca="1" si="112"/>
        <v>t_rate_rule.rate_rule_id</v>
      </c>
      <c r="I207" t="str">
        <f t="shared" ca="1" si="113"/>
        <v>id процентной схемы</v>
      </c>
      <c r="J207">
        <v>17</v>
      </c>
      <c r="K207" t="str">
        <f t="shared" ca="1" si="114"/>
        <v>b3050000420017_interestrate</v>
      </c>
      <c r="L207" s="3" t="s">
        <v>813</v>
      </c>
      <c r="M207" t="e">
        <f t="shared" ca="1" si="115"/>
        <v>#N/A</v>
      </c>
      <c r="N207" t="e">
        <f t="shared" ca="1" si="116"/>
        <v>#N/A</v>
      </c>
      <c r="O207" t="e">
        <f t="shared" ca="1" si="117"/>
        <v>#N/A</v>
      </c>
      <c r="P207" t="e">
        <f t="shared" ca="1" si="118"/>
        <v>#N/A</v>
      </c>
      <c r="R207" t="s">
        <v>1064</v>
      </c>
      <c r="U207" s="63"/>
      <c r="W207" s="60"/>
    </row>
    <row r="208" spans="1:23" s="2" customFormat="1" ht="15.75" thickBot="1" x14ac:dyDescent="0.3">
      <c r="A208" s="2">
        <f>A206</f>
        <v>400</v>
      </c>
      <c r="B208" s="2" t="s">
        <v>667</v>
      </c>
      <c r="C208" s="2" t="s">
        <v>816</v>
      </c>
      <c r="D208" s="2" t="str">
        <f t="shared" ca="1" si="108"/>
        <v>uuid</v>
      </c>
      <c r="E208" s="2" t="b">
        <f t="shared" ca="1" si="109"/>
        <v>0</v>
      </c>
      <c r="F208" s="2" t="b">
        <f t="shared" ca="1" si="110"/>
        <v>0</v>
      </c>
      <c r="G208" s="2" t="b">
        <f t="shared" ca="1" si="111"/>
        <v>1</v>
      </c>
      <c r="H208" s="2" t="str">
        <f t="shared" ca="1" si="112"/>
        <v>t_rate_type.rate_type_id</v>
      </c>
      <c r="I208" s="2" t="str">
        <f t="shared" ca="1" si="113"/>
        <v>id типа ставки</v>
      </c>
      <c r="J208" s="2">
        <v>17</v>
      </c>
      <c r="K208" s="2" t="str">
        <f t="shared" ca="1" si="114"/>
        <v>b3050000420017_interestrate</v>
      </c>
      <c r="L208" s="16" t="s">
        <v>1081</v>
      </c>
      <c r="M208" s="2" t="e">
        <f t="shared" ca="1" si="115"/>
        <v>#N/A</v>
      </c>
      <c r="N208" s="2" t="e">
        <f t="shared" ca="1" si="116"/>
        <v>#N/A</v>
      </c>
      <c r="O208" s="2" t="e">
        <f t="shared" ca="1" si="117"/>
        <v>#N/A</v>
      </c>
      <c r="P208" s="2" t="e">
        <f t="shared" ca="1" si="118"/>
        <v>#N/A</v>
      </c>
      <c r="Q208" s="16" t="s">
        <v>1108</v>
      </c>
      <c r="R208" s="2" t="s">
        <v>1064</v>
      </c>
      <c r="U208" s="64"/>
      <c r="W208" s="53"/>
    </row>
    <row r="209" spans="1:23" x14ac:dyDescent="0.25">
      <c r="A209" s="10">
        <v>410</v>
      </c>
      <c r="B209" t="s">
        <v>718</v>
      </c>
      <c r="C209" t="s">
        <v>813</v>
      </c>
      <c r="D209" t="str">
        <f t="shared" ca="1" si="108"/>
        <v>uuid</v>
      </c>
      <c r="E209" t="b">
        <f t="shared" ca="1" si="109"/>
        <v>1</v>
      </c>
      <c r="F209" t="b">
        <f t="shared" ca="1" si="110"/>
        <v>1</v>
      </c>
      <c r="G209" t="b">
        <f t="shared" ca="1" si="111"/>
        <v>0</v>
      </c>
      <c r="H209">
        <f t="shared" ca="1" si="112"/>
        <v>0</v>
      </c>
      <c r="I209" t="str">
        <f t="shared" ca="1" si="113"/>
        <v>id процентной схемы</v>
      </c>
      <c r="J209">
        <v>17</v>
      </c>
      <c r="K209" t="str">
        <f t="shared" ca="1" si="114"/>
        <v>b3050000420017_interestrate</v>
      </c>
      <c r="L209" t="s">
        <v>180</v>
      </c>
      <c r="M209" t="str">
        <f t="shared" ca="1" si="115"/>
        <v>uuid</v>
      </c>
      <c r="N209" t="b">
        <f t="shared" ca="1" si="116"/>
        <v>0</v>
      </c>
      <c r="O209" t="b">
        <f t="shared" ca="1" si="117"/>
        <v>0</v>
      </c>
      <c r="P209">
        <f t="shared" ca="1" si="118"/>
        <v>0</v>
      </c>
      <c r="R209" t="s">
        <v>1064</v>
      </c>
      <c r="S209" t="s">
        <v>8</v>
      </c>
      <c r="U209" s="54" t="s">
        <v>1109</v>
      </c>
      <c r="V209" t="str">
        <f>"n305000042"&amp;TEXT(A209,"0000")&amp;"_"&amp;RIGHT(B209,LEN(B209)-2)</f>
        <v>n3050000420410_rate_rule</v>
      </c>
      <c r="W209" s="54" t="s">
        <v>719</v>
      </c>
    </row>
    <row r="210" spans="1:23" x14ac:dyDescent="0.25">
      <c r="A210">
        <f>A209</f>
        <v>410</v>
      </c>
      <c r="B210" t="s">
        <v>718</v>
      </c>
      <c r="C210" t="s">
        <v>984</v>
      </c>
      <c r="D210" t="str">
        <f t="shared" ca="1" si="108"/>
        <v>date</v>
      </c>
      <c r="E210" t="b">
        <f t="shared" ca="1" si="109"/>
        <v>0</v>
      </c>
      <c r="F210" t="b">
        <f t="shared" ca="1" si="110"/>
        <v>0</v>
      </c>
      <c r="G210" t="b">
        <f t="shared" ca="1" si="111"/>
        <v>0</v>
      </c>
      <c r="H210">
        <f t="shared" ca="1" si="112"/>
        <v>0</v>
      </c>
      <c r="I210" t="str">
        <f t="shared" ca="1" si="113"/>
        <v>дата начала действия процентной схемы</v>
      </c>
      <c r="J210">
        <v>17</v>
      </c>
      <c r="K210" t="str">
        <f t="shared" ca="1" si="114"/>
        <v>b3050000420017_interestrate</v>
      </c>
      <c r="L210" t="s">
        <v>1110</v>
      </c>
      <c r="M210" t="e">
        <f t="shared" ca="1" si="115"/>
        <v>#N/A</v>
      </c>
      <c r="N210" t="e">
        <f t="shared" ca="1" si="116"/>
        <v>#N/A</v>
      </c>
      <c r="O210" t="e">
        <f t="shared" ca="1" si="117"/>
        <v>#N/A</v>
      </c>
      <c r="P210" t="e">
        <f t="shared" ca="1" si="118"/>
        <v>#N/A</v>
      </c>
      <c r="U210" s="55"/>
      <c r="W210" s="60"/>
    </row>
    <row r="211" spans="1:23" x14ac:dyDescent="0.25">
      <c r="A211">
        <f>A209</f>
        <v>410</v>
      </c>
      <c r="B211" t="s">
        <v>718</v>
      </c>
      <c r="C211" t="s">
        <v>986</v>
      </c>
      <c r="D211" t="str">
        <f t="shared" ca="1" si="108"/>
        <v>text</v>
      </c>
      <c r="E211" t="b">
        <f t="shared" ca="1" si="109"/>
        <v>0</v>
      </c>
      <c r="F211" t="b">
        <f t="shared" ca="1" si="110"/>
        <v>0</v>
      </c>
      <c r="G211" t="b">
        <f t="shared" ca="1" si="111"/>
        <v>0</v>
      </c>
      <c r="H211">
        <f t="shared" ca="1" si="112"/>
        <v>0</v>
      </c>
      <c r="I211" t="str">
        <f t="shared" ca="1" si="113"/>
        <v>id процентной схемы в системе-источнике</v>
      </c>
      <c r="J211">
        <v>17</v>
      </c>
      <c r="K211" t="str">
        <f t="shared" ca="1" si="114"/>
        <v>b3050000420017_interestrate</v>
      </c>
      <c r="L211" t="s">
        <v>179</v>
      </c>
      <c r="M211" t="str">
        <f t="shared" ca="1" si="115"/>
        <v>text</v>
      </c>
      <c r="N211" t="b">
        <f t="shared" ca="1" si="116"/>
        <v>1</v>
      </c>
      <c r="O211" t="b">
        <f t="shared" ca="1" si="117"/>
        <v>1</v>
      </c>
      <c r="P211" t="str">
        <f t="shared" ca="1" si="118"/>
        <v>Прикладной ID объекта</v>
      </c>
      <c r="U211" s="55"/>
      <c r="W211" s="60"/>
    </row>
    <row r="212" spans="1:23" s="2" customFormat="1" ht="15.75" thickBot="1" x14ac:dyDescent="0.3">
      <c r="A212" s="2">
        <f>A209</f>
        <v>410</v>
      </c>
      <c r="B212" s="2" t="s">
        <v>718</v>
      </c>
      <c r="C212" s="2" t="s">
        <v>988</v>
      </c>
      <c r="D212" s="2" t="str">
        <f t="shared" ca="1" si="108"/>
        <v>uuid</v>
      </c>
      <c r="E212" s="2" t="b">
        <f t="shared" ca="1" si="109"/>
        <v>0</v>
      </c>
      <c r="F212" s="2" t="b">
        <f t="shared" ca="1" si="110"/>
        <v>0</v>
      </c>
      <c r="G212" s="2" t="b">
        <f t="shared" ca="1" si="111"/>
        <v>1</v>
      </c>
      <c r="H212" s="2" t="str">
        <f t="shared" ca="1" si="112"/>
        <v>t_tariff_type.tariff_type_id</v>
      </c>
      <c r="I212" s="2" t="str">
        <f t="shared" ca="1" si="113"/>
        <v>id типа тарифа</v>
      </c>
      <c r="J212" s="2">
        <v>17</v>
      </c>
      <c r="K212" s="2" t="str">
        <f t="shared" ca="1" si="114"/>
        <v>b3050000420017_interestrate</v>
      </c>
      <c r="L212" s="2" t="s">
        <v>350</v>
      </c>
      <c r="M212" s="2" t="str">
        <f t="shared" ca="1" si="115"/>
        <v>uuid</v>
      </c>
      <c r="N212" s="2" t="b">
        <f t="shared" ca="1" si="116"/>
        <v>0</v>
      </c>
      <c r="O212" s="2" t="b">
        <f t="shared" ca="1" si="117"/>
        <v>0</v>
      </c>
      <c r="P212" s="2">
        <f t="shared" ca="1" si="118"/>
        <v>0</v>
      </c>
      <c r="U212" s="56"/>
      <c r="W212" s="53"/>
    </row>
    <row r="213" spans="1:23" x14ac:dyDescent="0.25">
      <c r="A213" s="10">
        <v>420</v>
      </c>
      <c r="B213" t="s">
        <v>720</v>
      </c>
      <c r="C213" t="s">
        <v>991</v>
      </c>
      <c r="D213" t="str">
        <f t="shared" ca="1" si="108"/>
        <v>uuid</v>
      </c>
      <c r="E213" t="b">
        <f t="shared" ca="1" si="109"/>
        <v>1</v>
      </c>
      <c r="F213" t="b">
        <f t="shared" ca="1" si="110"/>
        <v>1</v>
      </c>
      <c r="G213" t="b">
        <f t="shared" ca="1" si="111"/>
        <v>0</v>
      </c>
      <c r="H213">
        <f t="shared" ca="1" si="112"/>
        <v>0</v>
      </c>
      <c r="I213" t="str">
        <f t="shared" ca="1" si="113"/>
        <v>id параметров процентной схемы</v>
      </c>
      <c r="J213">
        <v>17</v>
      </c>
      <c r="K213" t="str">
        <f t="shared" ca="1" si="114"/>
        <v>b3050000420017_interestrate</v>
      </c>
      <c r="L213" s="3" t="s">
        <v>348</v>
      </c>
      <c r="M213" t="str">
        <f t="shared" ca="1" si="115"/>
        <v>uuid</v>
      </c>
      <c r="N213" t="b">
        <f t="shared" ca="1" si="116"/>
        <v>0</v>
      </c>
      <c r="O213" t="b">
        <f t="shared" ca="1" si="117"/>
        <v>0</v>
      </c>
      <c r="P213">
        <f t="shared" ca="1" si="118"/>
        <v>0</v>
      </c>
      <c r="R213" t="s">
        <v>1064</v>
      </c>
      <c r="S213" t="s">
        <v>8</v>
      </c>
      <c r="U213" s="54" t="s">
        <v>1111</v>
      </c>
      <c r="V213" t="str">
        <f>"n305000042"&amp;TEXT(A213,"0000")&amp;"_"&amp;RIGHT(B213,LEN(B213)-2)</f>
        <v>n3050000420420_rate_rule_param</v>
      </c>
      <c r="W213" s="48" t="s">
        <v>1514</v>
      </c>
    </row>
    <row r="214" spans="1:23" x14ac:dyDescent="0.25">
      <c r="A214">
        <f>A213</f>
        <v>420</v>
      </c>
      <c r="B214" t="s">
        <v>720</v>
      </c>
      <c r="C214" t="s">
        <v>993</v>
      </c>
      <c r="D214" t="str">
        <f t="shared" ca="1" si="108"/>
        <v>numeric</v>
      </c>
      <c r="E214" t="b">
        <f t="shared" ca="1" si="109"/>
        <v>0</v>
      </c>
      <c r="F214" t="b">
        <f t="shared" ca="1" si="110"/>
        <v>0</v>
      </c>
      <c r="G214" t="b">
        <f t="shared" ca="1" si="111"/>
        <v>0</v>
      </c>
      <c r="H214">
        <f t="shared" ca="1" si="112"/>
        <v>0</v>
      </c>
      <c r="I214" t="str">
        <f t="shared" ca="1" si="113"/>
        <v>процентная ставка</v>
      </c>
      <c r="J214">
        <v>17</v>
      </c>
      <c r="K214" t="str">
        <f t="shared" ca="1" si="114"/>
        <v>b3050000420017_interestrate</v>
      </c>
      <c r="L214" s="3" t="s">
        <v>321</v>
      </c>
      <c r="M214" t="str">
        <f t="shared" ca="1" si="115"/>
        <v>numeric(38,10)</v>
      </c>
      <c r="N214" t="b">
        <f t="shared" ca="1" si="116"/>
        <v>0</v>
      </c>
      <c r="O214" t="b">
        <f t="shared" ca="1" si="117"/>
        <v>0</v>
      </c>
      <c r="P214" t="str">
        <f t="shared" ca="1" si="118"/>
        <v>Процентная ставка</v>
      </c>
      <c r="U214" s="55"/>
      <c r="W214" s="60"/>
    </row>
    <row r="215" spans="1:23" x14ac:dyDescent="0.25">
      <c r="A215">
        <f>A213</f>
        <v>420</v>
      </c>
      <c r="B215" t="s">
        <v>720</v>
      </c>
      <c r="C215" t="s">
        <v>995</v>
      </c>
      <c r="D215" t="str">
        <f t="shared" ca="1" si="108"/>
        <v>numeric</v>
      </c>
      <c r="E215" t="b">
        <f t="shared" ca="1" si="109"/>
        <v>0</v>
      </c>
      <c r="F215" t="b">
        <f t="shared" ca="1" si="110"/>
        <v>0</v>
      </c>
      <c r="G215" t="b">
        <f t="shared" ca="1" si="111"/>
        <v>0</v>
      </c>
      <c r="H215">
        <f t="shared" ca="1" si="112"/>
        <v>0</v>
      </c>
      <c r="I215" t="str">
        <f t="shared" ca="1" si="113"/>
        <v>значение параметра - остаток</v>
      </c>
      <c r="J215">
        <v>17</v>
      </c>
      <c r="K215" t="str">
        <f t="shared" ca="1" si="114"/>
        <v>b3050000420017_interestrate</v>
      </c>
      <c r="M215" t="e">
        <f t="shared" ca="1" si="115"/>
        <v>#N/A</v>
      </c>
      <c r="N215" t="e">
        <f t="shared" ca="1" si="116"/>
        <v>#N/A</v>
      </c>
      <c r="O215" t="e">
        <f t="shared" ca="1" si="117"/>
        <v>#N/A</v>
      </c>
      <c r="P215" t="e">
        <f t="shared" ca="1" si="118"/>
        <v>#N/A</v>
      </c>
      <c r="U215" s="55"/>
      <c r="W215" s="60"/>
    </row>
    <row r="216" spans="1:23" x14ac:dyDescent="0.25">
      <c r="A216">
        <f>A213</f>
        <v>420</v>
      </c>
      <c r="B216" t="s">
        <v>720</v>
      </c>
      <c r="C216" t="s">
        <v>997</v>
      </c>
      <c r="D216" t="str">
        <f t="shared" ca="1" si="108"/>
        <v>numeric</v>
      </c>
      <c r="E216" t="b">
        <f t="shared" ca="1" si="109"/>
        <v>0</v>
      </c>
      <c r="F216" t="b">
        <f t="shared" ca="1" si="110"/>
        <v>0</v>
      </c>
      <c r="G216" t="b">
        <f t="shared" ca="1" si="111"/>
        <v>0</v>
      </c>
      <c r="H216">
        <f t="shared" ca="1" si="112"/>
        <v>0</v>
      </c>
      <c r="I216" t="str">
        <f t="shared" ca="1" si="113"/>
        <v>максимальное значение ставки</v>
      </c>
      <c r="J216">
        <v>17</v>
      </c>
      <c r="K216" t="str">
        <f t="shared" ca="1" si="114"/>
        <v>b3050000420017_interestrate</v>
      </c>
      <c r="M216" t="e">
        <f t="shared" ca="1" si="115"/>
        <v>#N/A</v>
      </c>
      <c r="N216" t="e">
        <f t="shared" ca="1" si="116"/>
        <v>#N/A</v>
      </c>
      <c r="O216" t="e">
        <f t="shared" ca="1" si="117"/>
        <v>#N/A</v>
      </c>
      <c r="P216" t="e">
        <f t="shared" ca="1" si="118"/>
        <v>#N/A</v>
      </c>
      <c r="U216" s="55"/>
      <c r="W216" s="60"/>
    </row>
    <row r="217" spans="1:23" x14ac:dyDescent="0.25">
      <c r="A217">
        <f>A213</f>
        <v>420</v>
      </c>
      <c r="B217" t="s">
        <v>720</v>
      </c>
      <c r="C217" t="s">
        <v>999</v>
      </c>
      <c r="D217" t="str">
        <f t="shared" ca="1" si="108"/>
        <v>numeric</v>
      </c>
      <c r="E217" t="b">
        <f t="shared" ca="1" si="109"/>
        <v>0</v>
      </c>
      <c r="F217" t="b">
        <f t="shared" ca="1" si="110"/>
        <v>0</v>
      </c>
      <c r="G217" t="b">
        <f t="shared" ca="1" si="111"/>
        <v>0</v>
      </c>
      <c r="H217">
        <f t="shared" ca="1" si="112"/>
        <v>0</v>
      </c>
      <c r="I217" t="str">
        <f t="shared" ca="1" si="113"/>
        <v>минимальное значение ставки</v>
      </c>
      <c r="J217">
        <v>17</v>
      </c>
      <c r="K217" t="str">
        <f t="shared" ca="1" si="114"/>
        <v>b3050000420017_interestrate</v>
      </c>
      <c r="M217" t="e">
        <f t="shared" ca="1" si="115"/>
        <v>#N/A</v>
      </c>
      <c r="N217" t="e">
        <f t="shared" ca="1" si="116"/>
        <v>#N/A</v>
      </c>
      <c r="O217" t="e">
        <f t="shared" ca="1" si="117"/>
        <v>#N/A</v>
      </c>
      <c r="P217" t="e">
        <f t="shared" ca="1" si="118"/>
        <v>#N/A</v>
      </c>
      <c r="U217" s="55"/>
      <c r="W217" s="60"/>
    </row>
    <row r="218" spans="1:23" x14ac:dyDescent="0.25">
      <c r="A218">
        <f>A213</f>
        <v>420</v>
      </c>
      <c r="B218" t="s">
        <v>720</v>
      </c>
      <c r="C218" t="s">
        <v>1001</v>
      </c>
      <c r="D218" t="str">
        <f t="shared" ca="1" si="108"/>
        <v>text</v>
      </c>
      <c r="E218" t="b">
        <f t="shared" ca="1" si="109"/>
        <v>0</v>
      </c>
      <c r="F218" t="b">
        <f t="shared" ca="1" si="110"/>
        <v>0</v>
      </c>
      <c r="G218" t="b">
        <f t="shared" ca="1" si="111"/>
        <v>0</v>
      </c>
      <c r="H218">
        <f t="shared" ca="1" si="112"/>
        <v>0</v>
      </c>
      <c r="I218" t="str">
        <f t="shared" ca="1" si="113"/>
        <v>id параметров процентной схемы в системе-источника</v>
      </c>
      <c r="J218">
        <v>17</v>
      </c>
      <c r="K218" t="str">
        <f t="shared" ca="1" si="114"/>
        <v>b3050000420017_interestrate</v>
      </c>
      <c r="L218" t="s">
        <v>179</v>
      </c>
      <c r="M218" t="str">
        <f t="shared" ca="1" si="115"/>
        <v>text</v>
      </c>
      <c r="N218" t="b">
        <f t="shared" ca="1" si="116"/>
        <v>1</v>
      </c>
      <c r="O218" t="b">
        <f t="shared" ca="1" si="117"/>
        <v>1</v>
      </c>
      <c r="P218" t="str">
        <f t="shared" ca="1" si="118"/>
        <v>Прикладной ID объекта</v>
      </c>
      <c r="U218" s="55"/>
      <c r="W218" s="60"/>
    </row>
    <row r="219" spans="1:23" x14ac:dyDescent="0.25">
      <c r="A219">
        <f>A213</f>
        <v>420</v>
      </c>
      <c r="B219" t="s">
        <v>720</v>
      </c>
      <c r="C219" t="s">
        <v>935</v>
      </c>
      <c r="D219" t="str">
        <f t="shared" ca="1" si="108"/>
        <v>uuid</v>
      </c>
      <c r="E219" t="b">
        <f t="shared" ca="1" si="109"/>
        <v>0</v>
      </c>
      <c r="F219" t="b">
        <f t="shared" ca="1" si="110"/>
        <v>0</v>
      </c>
      <c r="G219" t="b">
        <f t="shared" ca="1" si="111"/>
        <v>1</v>
      </c>
      <c r="H219" t="str">
        <f t="shared" ca="1" si="112"/>
        <v>t_mkt_idx.mkt_idx_id</v>
      </c>
      <c r="I219" t="str">
        <f t="shared" ca="1" si="113"/>
        <v>id рыночного индикатора</v>
      </c>
      <c r="J219">
        <v>17</v>
      </c>
      <c r="K219" t="str">
        <f t="shared" ca="1" si="114"/>
        <v>b3050000420017_interestrate</v>
      </c>
      <c r="M219" t="e">
        <f t="shared" ca="1" si="115"/>
        <v>#N/A</v>
      </c>
      <c r="N219" t="e">
        <f t="shared" ca="1" si="116"/>
        <v>#N/A</v>
      </c>
      <c r="O219" t="e">
        <f t="shared" ca="1" si="117"/>
        <v>#N/A</v>
      </c>
      <c r="P219" t="e">
        <f t="shared" ca="1" si="118"/>
        <v>#N/A</v>
      </c>
      <c r="U219" s="55"/>
      <c r="W219" s="60"/>
    </row>
    <row r="220" spans="1:23" x14ac:dyDescent="0.25">
      <c r="A220">
        <f>A213</f>
        <v>420</v>
      </c>
      <c r="B220" t="s">
        <v>720</v>
      </c>
      <c r="C220" t="s">
        <v>1005</v>
      </c>
      <c r="D220" t="str">
        <f t="shared" ca="1" si="108"/>
        <v>text</v>
      </c>
      <c r="E220" t="b">
        <f t="shared" ca="1" si="109"/>
        <v>0</v>
      </c>
      <c r="F220" t="b">
        <f t="shared" ca="1" si="110"/>
        <v>0</v>
      </c>
      <c r="G220" t="b">
        <f t="shared" ca="1" si="111"/>
        <v>0</v>
      </c>
      <c r="H220">
        <f t="shared" ca="1" si="112"/>
        <v>0</v>
      </c>
      <c r="I220" t="str">
        <f t="shared" ca="1" si="113"/>
        <v>код типа операции</v>
      </c>
      <c r="J220">
        <v>17</v>
      </c>
      <c r="K220" t="str">
        <f t="shared" ca="1" si="114"/>
        <v>b3050000420017_interestrate</v>
      </c>
      <c r="M220" t="e">
        <f t="shared" ca="1" si="115"/>
        <v>#N/A</v>
      </c>
      <c r="N220" t="e">
        <f t="shared" ca="1" si="116"/>
        <v>#N/A</v>
      </c>
      <c r="O220" t="e">
        <f t="shared" ca="1" si="117"/>
        <v>#N/A</v>
      </c>
      <c r="P220" t="e">
        <f t="shared" ca="1" si="118"/>
        <v>#N/A</v>
      </c>
      <c r="U220" s="55"/>
      <c r="W220" s="60"/>
    </row>
    <row r="221" spans="1:23" x14ac:dyDescent="0.25">
      <c r="A221">
        <f>A213</f>
        <v>420</v>
      </c>
      <c r="B221" t="s">
        <v>720</v>
      </c>
      <c r="C221" t="s">
        <v>813</v>
      </c>
      <c r="D221" t="str">
        <f t="shared" ca="1" si="108"/>
        <v>uuid</v>
      </c>
      <c r="E221" t="b">
        <f t="shared" ca="1" si="109"/>
        <v>0</v>
      </c>
      <c r="F221" t="b">
        <f t="shared" ca="1" si="110"/>
        <v>0</v>
      </c>
      <c r="G221" t="b">
        <f t="shared" ca="1" si="111"/>
        <v>1</v>
      </c>
      <c r="H221" t="str">
        <f t="shared" ca="1" si="112"/>
        <v>t_rate_rule.rate_rule_id</v>
      </c>
      <c r="I221" t="str">
        <f t="shared" ca="1" si="113"/>
        <v>id процентной схемы</v>
      </c>
      <c r="J221">
        <v>17</v>
      </c>
      <c r="K221" t="str">
        <f t="shared" ca="1" si="114"/>
        <v>b3050000420017_interestrate</v>
      </c>
      <c r="L221" t="s">
        <v>180</v>
      </c>
      <c r="M221" t="str">
        <f t="shared" ca="1" si="115"/>
        <v>uuid</v>
      </c>
      <c r="N221" t="b">
        <f t="shared" ca="1" si="116"/>
        <v>0</v>
      </c>
      <c r="O221" t="b">
        <f t="shared" ca="1" si="117"/>
        <v>0</v>
      </c>
      <c r="P221">
        <f t="shared" ca="1" si="118"/>
        <v>0</v>
      </c>
      <c r="U221" s="55"/>
      <c r="W221" s="60"/>
    </row>
    <row r="222" spans="1:23" x14ac:dyDescent="0.25">
      <c r="A222">
        <f>A213</f>
        <v>420</v>
      </c>
      <c r="B222" t="s">
        <v>720</v>
      </c>
      <c r="C222" t="s">
        <v>1007</v>
      </c>
      <c r="D222" t="str">
        <f t="shared" ca="1" si="108"/>
        <v>numeric</v>
      </c>
      <c r="E222" t="b">
        <f t="shared" ca="1" si="109"/>
        <v>0</v>
      </c>
      <c r="F222" t="b">
        <f t="shared" ca="1" si="110"/>
        <v>0</v>
      </c>
      <c r="G222" t="b">
        <f t="shared" ca="1" si="111"/>
        <v>0</v>
      </c>
      <c r="H222">
        <f t="shared" ca="1" si="112"/>
        <v>0</v>
      </c>
      <c r="I222" t="str">
        <f t="shared" ca="1" si="113"/>
        <v>значение параметра - коэффициент</v>
      </c>
      <c r="J222">
        <v>17</v>
      </c>
      <c r="K222" t="str">
        <f t="shared" ca="1" si="114"/>
        <v>b3050000420017_interestrate</v>
      </c>
      <c r="M222" t="e">
        <f t="shared" ca="1" si="115"/>
        <v>#N/A</v>
      </c>
      <c r="N222" t="e">
        <f t="shared" ca="1" si="116"/>
        <v>#N/A</v>
      </c>
      <c r="O222" t="e">
        <f t="shared" ca="1" si="117"/>
        <v>#N/A</v>
      </c>
      <c r="P222" t="e">
        <f t="shared" ca="1" si="118"/>
        <v>#N/A</v>
      </c>
      <c r="U222" s="55"/>
      <c r="W222" s="60"/>
    </row>
    <row r="223" spans="1:23" s="2" customFormat="1" ht="15.75" thickBot="1" x14ac:dyDescent="0.3">
      <c r="A223" s="2">
        <f>A213</f>
        <v>420</v>
      </c>
      <c r="B223" s="2" t="s">
        <v>720</v>
      </c>
      <c r="C223" s="2" t="s">
        <v>1009</v>
      </c>
      <c r="D223" s="2" t="str">
        <f t="shared" ca="1" si="108"/>
        <v>integer</v>
      </c>
      <c r="E223" s="2" t="b">
        <f t="shared" ca="1" si="109"/>
        <v>0</v>
      </c>
      <c r="F223" s="2" t="b">
        <f t="shared" ca="1" si="110"/>
        <v>0</v>
      </c>
      <c r="G223" s="2" t="b">
        <f t="shared" ca="1" si="111"/>
        <v>0</v>
      </c>
      <c r="H223" s="2">
        <f t="shared" ca="1" si="112"/>
        <v>0</v>
      </c>
      <c r="I223" s="2" t="str">
        <f t="shared" ca="1" si="113"/>
        <v>значение параметра - срок</v>
      </c>
      <c r="J223" s="2">
        <v>17</v>
      </c>
      <c r="K223" s="2" t="str">
        <f t="shared" ca="1" si="114"/>
        <v>b3050000420017_interestrate</v>
      </c>
      <c r="M223" s="2" t="e">
        <f t="shared" ca="1" si="115"/>
        <v>#N/A</v>
      </c>
      <c r="N223" s="2" t="e">
        <f t="shared" ca="1" si="116"/>
        <v>#N/A</v>
      </c>
      <c r="O223" s="2" t="e">
        <f t="shared" ca="1" si="117"/>
        <v>#N/A</v>
      </c>
      <c r="P223" s="2" t="e">
        <f t="shared" ca="1" si="118"/>
        <v>#N/A</v>
      </c>
      <c r="U223" s="56"/>
      <c r="W223" s="53"/>
    </row>
    <row r="224" spans="1:23" x14ac:dyDescent="0.25">
      <c r="A224" s="10">
        <v>430</v>
      </c>
      <c r="B224" t="s">
        <v>667</v>
      </c>
      <c r="C224" t="s">
        <v>737</v>
      </c>
      <c r="D224" t="str">
        <f t="shared" ca="1" si="108"/>
        <v>uuid</v>
      </c>
      <c r="E224" t="b">
        <f t="shared" ca="1" si="109"/>
        <v>1</v>
      </c>
      <c r="F224" t="b">
        <f t="shared" ca="1" si="110"/>
        <v>1</v>
      </c>
      <c r="G224" t="b">
        <f t="shared" ca="1" si="111"/>
        <v>1</v>
      </c>
      <c r="H224" t="str">
        <f t="shared" ca="1" si="112"/>
        <v>t_agr_dep.agr_dep_id</v>
      </c>
      <c r="I224" t="str">
        <f t="shared" ca="1" si="113"/>
        <v>id депозитного договора</v>
      </c>
      <c r="J224">
        <v>7</v>
      </c>
      <c r="K224" t="str">
        <f t="shared" ca="1" si="114"/>
        <v>b3050000420007_product</v>
      </c>
      <c r="L224" s="3" t="s">
        <v>180</v>
      </c>
      <c r="M224" t="str">
        <f t="shared" ca="1" si="115"/>
        <v>uuid</v>
      </c>
      <c r="N224" t="b">
        <f t="shared" ca="1" si="116"/>
        <v>0</v>
      </c>
      <c r="O224" t="b">
        <f t="shared" ca="1" si="117"/>
        <v>0</v>
      </c>
      <c r="P224">
        <f t="shared" ca="1" si="118"/>
        <v>0</v>
      </c>
      <c r="R224" t="s">
        <v>1064</v>
      </c>
      <c r="S224" t="s">
        <v>8</v>
      </c>
      <c r="U224" s="57" t="s">
        <v>1618</v>
      </c>
      <c r="V224" t="str">
        <f>"n305000042"&amp;TEXT(A224,"0000")&amp;"_"&amp;RIGHT(B224,LEN(B224)-2)</f>
        <v>n3050000420430_agr_dep_rate_rule</v>
      </c>
      <c r="W224" s="48" t="s">
        <v>1511</v>
      </c>
    </row>
    <row r="225" spans="1:23" x14ac:dyDescent="0.25">
      <c r="A225">
        <f>A224</f>
        <v>430</v>
      </c>
      <c r="B225" t="s">
        <v>667</v>
      </c>
      <c r="C225" t="s">
        <v>813</v>
      </c>
      <c r="D225" t="str">
        <f t="shared" ca="1" si="108"/>
        <v>uuid</v>
      </c>
      <c r="E225" t="b">
        <f t="shared" ca="1" si="109"/>
        <v>1</v>
      </c>
      <c r="F225" t="b">
        <f t="shared" ca="1" si="110"/>
        <v>1</v>
      </c>
      <c r="G225" t="b">
        <f t="shared" ca="1" si="111"/>
        <v>1</v>
      </c>
      <c r="H225" t="str">
        <f t="shared" ca="1" si="112"/>
        <v>t_rate_rule.rate_rule_id</v>
      </c>
      <c r="I225" t="str">
        <f t="shared" ca="1" si="113"/>
        <v>id процентной схемы</v>
      </c>
      <c r="J225">
        <v>17</v>
      </c>
      <c r="K225" t="str">
        <f t="shared" ca="1" si="114"/>
        <v>b3050000420017_interestrate</v>
      </c>
      <c r="L225" s="3" t="s">
        <v>813</v>
      </c>
      <c r="M225" t="e">
        <f t="shared" ca="1" si="115"/>
        <v>#N/A</v>
      </c>
      <c r="N225" t="e">
        <f t="shared" ca="1" si="116"/>
        <v>#N/A</v>
      </c>
      <c r="O225" t="e">
        <f t="shared" ca="1" si="117"/>
        <v>#N/A</v>
      </c>
      <c r="P225" t="e">
        <f t="shared" ca="1" si="118"/>
        <v>#N/A</v>
      </c>
      <c r="R225" t="s">
        <v>1064</v>
      </c>
      <c r="U225" s="63"/>
      <c r="W225" s="60"/>
    </row>
    <row r="226" spans="1:23" s="2" customFormat="1" ht="15.75" thickBot="1" x14ac:dyDescent="0.3">
      <c r="A226" s="2">
        <f>A224</f>
        <v>430</v>
      </c>
      <c r="B226" s="2" t="s">
        <v>667</v>
      </c>
      <c r="C226" s="2" t="s">
        <v>816</v>
      </c>
      <c r="D226" s="2" t="str">
        <f t="shared" ca="1" si="108"/>
        <v>uuid</v>
      </c>
      <c r="E226" s="2" t="b">
        <f t="shared" ca="1" si="109"/>
        <v>0</v>
      </c>
      <c r="F226" s="2" t="b">
        <f t="shared" ca="1" si="110"/>
        <v>0</v>
      </c>
      <c r="G226" s="2" t="b">
        <f t="shared" ca="1" si="111"/>
        <v>1</v>
      </c>
      <c r="H226" s="2" t="str">
        <f t="shared" ca="1" si="112"/>
        <v>t_rate_type.rate_type_id</v>
      </c>
      <c r="I226" s="2" t="str">
        <f t="shared" ca="1" si="113"/>
        <v>id типа ставки</v>
      </c>
      <c r="J226" s="2">
        <v>17</v>
      </c>
      <c r="K226" s="2" t="str">
        <f t="shared" ca="1" si="114"/>
        <v>b3050000420017_interestrate</v>
      </c>
      <c r="L226" s="16" t="s">
        <v>1101</v>
      </c>
      <c r="M226" s="2" t="e">
        <f t="shared" ca="1" si="115"/>
        <v>#N/A</v>
      </c>
      <c r="N226" s="2" t="e">
        <f t="shared" ca="1" si="116"/>
        <v>#N/A</v>
      </c>
      <c r="O226" s="2" t="e">
        <f t="shared" ca="1" si="117"/>
        <v>#N/A</v>
      </c>
      <c r="P226" s="2" t="e">
        <f t="shared" ca="1" si="118"/>
        <v>#N/A</v>
      </c>
      <c r="Q226" s="16" t="s">
        <v>1112</v>
      </c>
      <c r="R226" s="2" t="s">
        <v>1064</v>
      </c>
      <c r="U226" s="64"/>
      <c r="W226" s="53"/>
    </row>
    <row r="227" spans="1:23" x14ac:dyDescent="0.25">
      <c r="A227" s="10">
        <v>440</v>
      </c>
      <c r="B227" t="s">
        <v>667</v>
      </c>
      <c r="C227" t="s">
        <v>737</v>
      </c>
      <c r="D227" t="str">
        <f t="shared" ca="1" si="108"/>
        <v>uuid</v>
      </c>
      <c r="E227" t="b">
        <f t="shared" ca="1" si="109"/>
        <v>1</v>
      </c>
      <c r="F227" t="b">
        <f t="shared" ca="1" si="110"/>
        <v>1</v>
      </c>
      <c r="G227" t="b">
        <f t="shared" ca="1" si="111"/>
        <v>1</v>
      </c>
      <c r="H227" t="str">
        <f t="shared" ca="1" si="112"/>
        <v>t_agr_dep.agr_dep_id</v>
      </c>
      <c r="I227" t="str">
        <f t="shared" ca="1" si="113"/>
        <v>id депозитного договора</v>
      </c>
      <c r="J227">
        <v>7</v>
      </c>
      <c r="K227" t="str">
        <f t="shared" ca="1" si="114"/>
        <v>b3050000420007_product</v>
      </c>
      <c r="L227" s="3" t="s">
        <v>180</v>
      </c>
      <c r="M227" t="str">
        <f t="shared" ca="1" si="115"/>
        <v>uuid</v>
      </c>
      <c r="N227" t="b">
        <f t="shared" ca="1" si="116"/>
        <v>0</v>
      </c>
      <c r="O227" t="b">
        <f t="shared" ca="1" si="117"/>
        <v>0</v>
      </c>
      <c r="P227">
        <f t="shared" ca="1" si="118"/>
        <v>0</v>
      </c>
      <c r="R227" t="s">
        <v>1064</v>
      </c>
      <c r="S227" t="s">
        <v>8</v>
      </c>
      <c r="U227" s="57" t="s">
        <v>1607</v>
      </c>
      <c r="V227" t="str">
        <f>"n305000042"&amp;TEXT(A227,"0000")&amp;"_"&amp;RIGHT(B227,LEN(B227)-2)</f>
        <v>n3050000420440_agr_dep_rate_rule</v>
      </c>
      <c r="W227" s="48" t="s">
        <v>1512</v>
      </c>
    </row>
    <row r="228" spans="1:23" x14ac:dyDescent="0.25">
      <c r="A228">
        <f>A227</f>
        <v>440</v>
      </c>
      <c r="B228" t="s">
        <v>667</v>
      </c>
      <c r="C228" t="s">
        <v>813</v>
      </c>
      <c r="D228" t="str">
        <f t="shared" ca="1" si="108"/>
        <v>uuid</v>
      </c>
      <c r="E228" t="b">
        <f t="shared" ca="1" si="109"/>
        <v>1</v>
      </c>
      <c r="F228" t="b">
        <f t="shared" ca="1" si="110"/>
        <v>1</v>
      </c>
      <c r="G228" t="b">
        <f t="shared" ca="1" si="111"/>
        <v>1</v>
      </c>
      <c r="H228" t="str">
        <f t="shared" ca="1" si="112"/>
        <v>t_rate_rule.rate_rule_id</v>
      </c>
      <c r="I228" t="str">
        <f t="shared" ca="1" si="113"/>
        <v>id процентной схемы</v>
      </c>
      <c r="J228">
        <v>17</v>
      </c>
      <c r="K228" t="str">
        <f t="shared" ca="1" si="114"/>
        <v>b3050000420017_interestrate</v>
      </c>
      <c r="L228" s="3" t="s">
        <v>813</v>
      </c>
      <c r="M228" t="e">
        <f t="shared" ca="1" si="115"/>
        <v>#N/A</v>
      </c>
      <c r="N228" t="e">
        <f t="shared" ca="1" si="116"/>
        <v>#N/A</v>
      </c>
      <c r="O228" t="e">
        <f t="shared" ca="1" si="117"/>
        <v>#N/A</v>
      </c>
      <c r="P228" t="e">
        <f t="shared" ca="1" si="118"/>
        <v>#N/A</v>
      </c>
      <c r="R228" t="s">
        <v>1064</v>
      </c>
      <c r="U228" s="63"/>
      <c r="W228" s="60"/>
    </row>
    <row r="229" spans="1:23" s="2" customFormat="1" ht="15.75" thickBot="1" x14ac:dyDescent="0.3">
      <c r="A229" s="2">
        <f>A227</f>
        <v>440</v>
      </c>
      <c r="B229" s="2" t="s">
        <v>667</v>
      </c>
      <c r="C229" s="2" t="s">
        <v>816</v>
      </c>
      <c r="D229" s="2" t="str">
        <f t="shared" ca="1" si="108"/>
        <v>uuid</v>
      </c>
      <c r="E229" s="2" t="b">
        <f t="shared" ca="1" si="109"/>
        <v>0</v>
      </c>
      <c r="F229" s="2" t="b">
        <f t="shared" ca="1" si="110"/>
        <v>0</v>
      </c>
      <c r="G229" s="2" t="b">
        <f t="shared" ca="1" si="111"/>
        <v>1</v>
      </c>
      <c r="H229" s="2" t="str">
        <f t="shared" ca="1" si="112"/>
        <v>t_rate_type.rate_type_id</v>
      </c>
      <c r="I229" s="2" t="str">
        <f t="shared" ca="1" si="113"/>
        <v>id типа ставки</v>
      </c>
      <c r="J229" s="2">
        <v>17</v>
      </c>
      <c r="K229" s="2" t="str">
        <f t="shared" ca="1" si="114"/>
        <v>b3050000420017_interestrate</v>
      </c>
      <c r="L229" s="16" t="s">
        <v>1104</v>
      </c>
      <c r="M229" s="2" t="e">
        <f t="shared" ca="1" si="115"/>
        <v>#N/A</v>
      </c>
      <c r="N229" s="2" t="e">
        <f t="shared" ca="1" si="116"/>
        <v>#N/A</v>
      </c>
      <c r="O229" s="2" t="e">
        <f t="shared" ca="1" si="117"/>
        <v>#N/A</v>
      </c>
      <c r="P229" s="2" t="e">
        <f t="shared" ca="1" si="118"/>
        <v>#N/A</v>
      </c>
      <c r="Q229" s="16" t="s">
        <v>1113</v>
      </c>
      <c r="R229" s="2" t="s">
        <v>1064</v>
      </c>
      <c r="U229" s="64"/>
      <c r="W229" s="53"/>
    </row>
    <row r="230" spans="1:23" x14ac:dyDescent="0.25">
      <c r="A230" s="10">
        <v>450</v>
      </c>
      <c r="B230" t="s">
        <v>667</v>
      </c>
      <c r="C230" t="s">
        <v>737</v>
      </c>
      <c r="D230" t="str">
        <f t="shared" ca="1" si="108"/>
        <v>uuid</v>
      </c>
      <c r="E230" t="b">
        <f t="shared" ca="1" si="109"/>
        <v>1</v>
      </c>
      <c r="F230" t="b">
        <f t="shared" ca="1" si="110"/>
        <v>1</v>
      </c>
      <c r="G230" t="b">
        <f t="shared" ca="1" si="111"/>
        <v>1</v>
      </c>
      <c r="H230" t="str">
        <f t="shared" ca="1" si="112"/>
        <v>t_agr_dep.agr_dep_id</v>
      </c>
      <c r="I230" t="str">
        <f t="shared" ca="1" si="113"/>
        <v>id депозитного договора</v>
      </c>
      <c r="J230">
        <v>7</v>
      </c>
      <c r="K230" t="str">
        <f t="shared" ca="1" si="114"/>
        <v>b3050000420007_product</v>
      </c>
      <c r="L230" s="3" t="s">
        <v>180</v>
      </c>
      <c r="M230" t="str">
        <f t="shared" ca="1" si="115"/>
        <v>uuid</v>
      </c>
      <c r="N230" t="b">
        <f t="shared" ca="1" si="116"/>
        <v>0</v>
      </c>
      <c r="O230" t="b">
        <f t="shared" ca="1" si="117"/>
        <v>0</v>
      </c>
      <c r="P230">
        <f t="shared" ca="1" si="118"/>
        <v>0</v>
      </c>
      <c r="R230" t="s">
        <v>1064</v>
      </c>
      <c r="S230" t="s">
        <v>8</v>
      </c>
      <c r="U230" s="62" t="s">
        <v>1608</v>
      </c>
      <c r="V230" t="str">
        <f>"n305000042"&amp;TEXT(A230,"0000")&amp;"_"&amp;RIGHT(B230,LEN(B230)-2)</f>
        <v>n3050000420450_agr_dep_rate_rule</v>
      </c>
      <c r="W230" s="48" t="s">
        <v>1513</v>
      </c>
    </row>
    <row r="231" spans="1:23" x14ac:dyDescent="0.25">
      <c r="A231">
        <f>A230</f>
        <v>450</v>
      </c>
      <c r="B231" t="s">
        <v>667</v>
      </c>
      <c r="C231" t="s">
        <v>813</v>
      </c>
      <c r="D231" t="str">
        <f t="shared" ca="1" si="108"/>
        <v>uuid</v>
      </c>
      <c r="E231" t="b">
        <f t="shared" ca="1" si="109"/>
        <v>1</v>
      </c>
      <c r="F231" t="b">
        <f t="shared" ca="1" si="110"/>
        <v>1</v>
      </c>
      <c r="G231" t="b">
        <f t="shared" ca="1" si="111"/>
        <v>1</v>
      </c>
      <c r="H231" t="str">
        <f t="shared" ca="1" si="112"/>
        <v>t_rate_rule.rate_rule_id</v>
      </c>
      <c r="I231" t="str">
        <f t="shared" ca="1" si="113"/>
        <v>id процентной схемы</v>
      </c>
      <c r="J231">
        <v>17</v>
      </c>
      <c r="K231" t="str">
        <f t="shared" ca="1" si="114"/>
        <v>b3050000420017_interestrate</v>
      </c>
      <c r="L231" s="3" t="s">
        <v>813</v>
      </c>
      <c r="M231" t="e">
        <f t="shared" ca="1" si="115"/>
        <v>#N/A</v>
      </c>
      <c r="N231" t="e">
        <f t="shared" ca="1" si="116"/>
        <v>#N/A</v>
      </c>
      <c r="O231" t="e">
        <f t="shared" ca="1" si="117"/>
        <v>#N/A</v>
      </c>
      <c r="P231" t="e">
        <f t="shared" ca="1" si="118"/>
        <v>#N/A</v>
      </c>
      <c r="R231" t="s">
        <v>1064</v>
      </c>
      <c r="U231" s="63"/>
      <c r="W231" s="60"/>
    </row>
    <row r="232" spans="1:23" s="2" customFormat="1" ht="15.75" thickBot="1" x14ac:dyDescent="0.3">
      <c r="A232" s="2">
        <f>A230</f>
        <v>450</v>
      </c>
      <c r="B232" s="2" t="s">
        <v>667</v>
      </c>
      <c r="C232" s="2" t="s">
        <v>816</v>
      </c>
      <c r="D232" s="2" t="str">
        <f t="shared" ca="1" si="108"/>
        <v>uuid</v>
      </c>
      <c r="E232" s="2" t="b">
        <f t="shared" ca="1" si="109"/>
        <v>0</v>
      </c>
      <c r="F232" s="2" t="b">
        <f t="shared" ca="1" si="110"/>
        <v>0</v>
      </c>
      <c r="G232" s="2" t="b">
        <f t="shared" ca="1" si="111"/>
        <v>1</v>
      </c>
      <c r="H232" s="2" t="str">
        <f t="shared" ca="1" si="112"/>
        <v>t_rate_type.rate_type_id</v>
      </c>
      <c r="I232" s="2" t="str">
        <f t="shared" ca="1" si="113"/>
        <v>id типа ставки</v>
      </c>
      <c r="J232" s="2">
        <v>17</v>
      </c>
      <c r="K232" s="2" t="str">
        <f t="shared" ca="1" si="114"/>
        <v>b3050000420017_interestrate</v>
      </c>
      <c r="L232" s="16" t="s">
        <v>1114</v>
      </c>
      <c r="M232" s="2" t="e">
        <f t="shared" ca="1" si="115"/>
        <v>#N/A</v>
      </c>
      <c r="N232" s="2" t="e">
        <f t="shared" ca="1" si="116"/>
        <v>#N/A</v>
      </c>
      <c r="O232" s="2" t="e">
        <f t="shared" ca="1" si="117"/>
        <v>#N/A</v>
      </c>
      <c r="P232" s="2" t="e">
        <f t="shared" ca="1" si="118"/>
        <v>#N/A</v>
      </c>
      <c r="Q232" s="16" t="s">
        <v>1115</v>
      </c>
      <c r="R232" s="2" t="s">
        <v>1064</v>
      </c>
      <c r="U232" s="64"/>
      <c r="W232" s="53"/>
    </row>
    <row r="233" spans="1:23" x14ac:dyDescent="0.25">
      <c r="A233" s="10">
        <v>460</v>
      </c>
      <c r="B233" t="s">
        <v>720</v>
      </c>
      <c r="C233" t="s">
        <v>991</v>
      </c>
      <c r="D233" t="str">
        <f t="shared" ca="1" si="108"/>
        <v>uuid</v>
      </c>
      <c r="E233" t="b">
        <f t="shared" ca="1" si="109"/>
        <v>1</v>
      </c>
      <c r="F233" t="b">
        <f t="shared" ca="1" si="110"/>
        <v>1</v>
      </c>
      <c r="G233" t="b">
        <f t="shared" ca="1" si="111"/>
        <v>0</v>
      </c>
      <c r="H233">
        <f t="shared" ca="1" si="112"/>
        <v>0</v>
      </c>
      <c r="I233" t="str">
        <f t="shared" ca="1" si="113"/>
        <v>id параметров процентной схемы</v>
      </c>
      <c r="J233">
        <v>19</v>
      </c>
      <c r="K233" t="str">
        <f t="shared" ca="1" si="114"/>
        <v>b3050000420019_amountdepend</v>
      </c>
      <c r="L233" s="3" t="s">
        <v>180</v>
      </c>
      <c r="M233" t="str">
        <f t="shared" ca="1" si="115"/>
        <v>uuid</v>
      </c>
      <c r="N233" t="b">
        <f t="shared" ca="1" si="116"/>
        <v>0</v>
      </c>
      <c r="O233" t="b">
        <f t="shared" ca="1" si="117"/>
        <v>0</v>
      </c>
      <c r="P233">
        <f t="shared" ca="1" si="118"/>
        <v>0</v>
      </c>
      <c r="R233" t="s">
        <v>1064</v>
      </c>
      <c r="S233" t="s">
        <v>8</v>
      </c>
      <c r="U233" s="54" t="s">
        <v>1116</v>
      </c>
      <c r="V233" t="str">
        <f>"n305000042"&amp;TEXT(A233,"0000")&amp;"_"&amp;RIGHT(B233,LEN(B233)-2)</f>
        <v>n3050000420460_rate_rule_param</v>
      </c>
      <c r="W233" s="48" t="s">
        <v>1515</v>
      </c>
    </row>
    <row r="234" spans="1:23" x14ac:dyDescent="0.25">
      <c r="A234">
        <f>A233</f>
        <v>460</v>
      </c>
      <c r="B234" t="s">
        <v>720</v>
      </c>
      <c r="C234" t="s">
        <v>993</v>
      </c>
      <c r="D234" t="str">
        <f t="shared" ca="1" si="108"/>
        <v>numeric</v>
      </c>
      <c r="E234" t="b">
        <f t="shared" ca="1" si="109"/>
        <v>0</v>
      </c>
      <c r="F234" t="b">
        <f t="shared" ca="1" si="110"/>
        <v>0</v>
      </c>
      <c r="G234" t="b">
        <f t="shared" ca="1" si="111"/>
        <v>0</v>
      </c>
      <c r="H234">
        <f t="shared" ca="1" si="112"/>
        <v>0</v>
      </c>
      <c r="I234" t="str">
        <f t="shared" ca="1" si="113"/>
        <v>процентная ставка</v>
      </c>
      <c r="J234">
        <v>19</v>
      </c>
      <c r="K234" t="str">
        <f t="shared" ca="1" si="114"/>
        <v>b3050000420019_amountdepend</v>
      </c>
      <c r="L234" s="3" t="s">
        <v>321</v>
      </c>
      <c r="M234" t="str">
        <f t="shared" ca="1" si="115"/>
        <v>numeric(38,10)</v>
      </c>
      <c r="N234" t="b">
        <f t="shared" ca="1" si="116"/>
        <v>0</v>
      </c>
      <c r="O234" t="b">
        <f t="shared" ca="1" si="117"/>
        <v>0</v>
      </c>
      <c r="P234" t="str">
        <f t="shared" ca="1" si="118"/>
        <v>Процентная ставка</v>
      </c>
      <c r="U234" s="55"/>
      <c r="W234" s="60"/>
    </row>
    <row r="235" spans="1:23" x14ac:dyDescent="0.25">
      <c r="A235">
        <f>A233</f>
        <v>460</v>
      </c>
      <c r="B235" t="s">
        <v>720</v>
      </c>
      <c r="C235" t="s">
        <v>995</v>
      </c>
      <c r="D235" t="str">
        <f t="shared" ca="1" si="108"/>
        <v>numeric</v>
      </c>
      <c r="E235" t="b">
        <f t="shared" ca="1" si="109"/>
        <v>0</v>
      </c>
      <c r="F235" t="b">
        <f t="shared" ca="1" si="110"/>
        <v>0</v>
      </c>
      <c r="G235" t="b">
        <f t="shared" ca="1" si="111"/>
        <v>0</v>
      </c>
      <c r="H235">
        <f t="shared" ca="1" si="112"/>
        <v>0</v>
      </c>
      <c r="I235" t="str">
        <f t="shared" ca="1" si="113"/>
        <v>значение параметра - остаток</v>
      </c>
      <c r="J235">
        <v>19</v>
      </c>
      <c r="K235" t="str">
        <f t="shared" ca="1" si="114"/>
        <v>b3050000420019_amountdepend</v>
      </c>
      <c r="L235" t="s">
        <v>249</v>
      </c>
      <c r="M235" t="str">
        <f t="shared" ca="1" si="115"/>
        <v>numeric(38,10)</v>
      </c>
      <c r="N235" t="b">
        <f t="shared" ca="1" si="116"/>
        <v>0</v>
      </c>
      <c r="O235" t="b">
        <f t="shared" ca="1" si="117"/>
        <v>0</v>
      </c>
      <c r="P235" t="str">
        <f t="shared" ca="1" si="118"/>
        <v>Остаток</v>
      </c>
      <c r="U235" s="55"/>
      <c r="W235" s="60"/>
    </row>
    <row r="236" spans="1:23" x14ac:dyDescent="0.25">
      <c r="A236">
        <f>A233</f>
        <v>460</v>
      </c>
      <c r="B236" t="s">
        <v>720</v>
      </c>
      <c r="C236" t="s">
        <v>997</v>
      </c>
      <c r="D236" t="str">
        <f t="shared" ca="1" si="108"/>
        <v>numeric</v>
      </c>
      <c r="E236" t="b">
        <f t="shared" ca="1" si="109"/>
        <v>0</v>
      </c>
      <c r="F236" t="b">
        <f t="shared" ca="1" si="110"/>
        <v>0</v>
      </c>
      <c r="G236" t="b">
        <f t="shared" ca="1" si="111"/>
        <v>0</v>
      </c>
      <c r="H236">
        <f t="shared" ca="1" si="112"/>
        <v>0</v>
      </c>
      <c r="I236" t="str">
        <f t="shared" ca="1" si="113"/>
        <v>максимальное значение ставки</v>
      </c>
      <c r="J236">
        <v>19</v>
      </c>
      <c r="K236" t="str">
        <f t="shared" ca="1" si="114"/>
        <v>b3050000420019_amountdepend</v>
      </c>
      <c r="M236" t="e">
        <f t="shared" ca="1" si="115"/>
        <v>#N/A</v>
      </c>
      <c r="N236" t="e">
        <f t="shared" ca="1" si="116"/>
        <v>#N/A</v>
      </c>
      <c r="O236" t="e">
        <f t="shared" ca="1" si="117"/>
        <v>#N/A</v>
      </c>
      <c r="P236" t="e">
        <f t="shared" ca="1" si="118"/>
        <v>#N/A</v>
      </c>
      <c r="U236" s="55"/>
      <c r="W236" s="60"/>
    </row>
    <row r="237" spans="1:23" x14ac:dyDescent="0.25">
      <c r="A237">
        <f>A233</f>
        <v>460</v>
      </c>
      <c r="B237" t="s">
        <v>720</v>
      </c>
      <c r="C237" t="s">
        <v>999</v>
      </c>
      <c r="D237" t="str">
        <f t="shared" ref="D237:D300" ca="1" si="121">VLOOKUP(B237&amp;C237,INDIRECT("target_columns"),4,FALSE)</f>
        <v>numeric</v>
      </c>
      <c r="E237" t="b">
        <f t="shared" ref="E237:E300" ca="1" si="122">VLOOKUP(B237&amp;C237,INDIRECT("target_columns"),5,FALSE)</f>
        <v>0</v>
      </c>
      <c r="F237" t="b">
        <f t="shared" ref="F237:F300" ca="1" si="123">VLOOKUP(B237&amp;C237,INDIRECT("target_columns"),6,FALSE)</f>
        <v>0</v>
      </c>
      <c r="G237" t="b">
        <f t="shared" ref="G237:G300" ca="1" si="124">VLOOKUP(B237&amp;C237,INDIRECT("target_columns"),7,FALSE)</f>
        <v>0</v>
      </c>
      <c r="H237">
        <f t="shared" ref="H237:H300" ca="1" si="125">VLOOKUP(B237&amp;C237,INDIRECT("target_columns"),8,FALSE)</f>
        <v>0</v>
      </c>
      <c r="I237" t="str">
        <f t="shared" ref="I237:I300" ca="1" si="126">VLOOKUP(B237&amp;C237,INDIRECT("target_columns"),9,FALSE)</f>
        <v>минимальное значение ставки</v>
      </c>
      <c r="J237">
        <v>19</v>
      </c>
      <c r="K237" t="str">
        <f t="shared" ref="K237:K300" ca="1" si="127">VLOOKUP(J237,INDIRECT("source_tables"),2,FALSE)</f>
        <v>b3050000420019_amountdepend</v>
      </c>
      <c r="M237" t="e">
        <f t="shared" ref="M237:M300" ca="1" si="128">VLOOKUP(K237&amp;L237,INDIRECT("source_columns"),4,FALSE)</f>
        <v>#N/A</v>
      </c>
      <c r="N237" t="e">
        <f t="shared" ref="N237:N300" ca="1" si="129">VLOOKUP(K237&amp;L237,INDIRECT("source_columns"),5,FALSE)</f>
        <v>#N/A</v>
      </c>
      <c r="O237" t="e">
        <f t="shared" ref="O237:O300" ca="1" si="130">VLOOKUP(K237&amp;L237,INDIRECT("source_columns"),6,FALSE)</f>
        <v>#N/A</v>
      </c>
      <c r="P237" t="e">
        <f t="shared" ref="P237:P300" ca="1" si="131">VLOOKUP(K237&amp;L237,INDIRECT("source_columns"),7,FALSE)</f>
        <v>#N/A</v>
      </c>
      <c r="U237" s="55"/>
      <c r="W237" s="60"/>
    </row>
    <row r="238" spans="1:23" x14ac:dyDescent="0.25">
      <c r="A238">
        <f>A233</f>
        <v>460</v>
      </c>
      <c r="B238" t="s">
        <v>720</v>
      </c>
      <c r="C238" t="s">
        <v>1001</v>
      </c>
      <c r="D238" t="str">
        <f t="shared" ca="1" si="121"/>
        <v>text</v>
      </c>
      <c r="E238" t="b">
        <f t="shared" ca="1" si="122"/>
        <v>0</v>
      </c>
      <c r="F238" t="b">
        <f t="shared" ca="1" si="123"/>
        <v>0</v>
      </c>
      <c r="G238" t="b">
        <f t="shared" ca="1" si="124"/>
        <v>0</v>
      </c>
      <c r="H238">
        <f t="shared" ca="1" si="125"/>
        <v>0</v>
      </c>
      <c r="I238" t="str">
        <f t="shared" ca="1" si="126"/>
        <v>id параметров процентной схемы в системе-источника</v>
      </c>
      <c r="J238">
        <v>19</v>
      </c>
      <c r="K238" t="str">
        <f t="shared" ca="1" si="127"/>
        <v>b3050000420019_amountdepend</v>
      </c>
      <c r="L238" t="s">
        <v>179</v>
      </c>
      <c r="M238" t="str">
        <f t="shared" ca="1" si="128"/>
        <v>text</v>
      </c>
      <c r="N238" t="b">
        <f t="shared" ca="1" si="129"/>
        <v>1</v>
      </c>
      <c r="O238" t="b">
        <f t="shared" ca="1" si="130"/>
        <v>1</v>
      </c>
      <c r="P238" t="str">
        <f t="shared" ca="1" si="131"/>
        <v>Прикладной ID объекта</v>
      </c>
      <c r="U238" s="55"/>
      <c r="W238" s="60"/>
    </row>
    <row r="239" spans="1:23" x14ac:dyDescent="0.25">
      <c r="A239">
        <f>A233</f>
        <v>460</v>
      </c>
      <c r="B239" t="s">
        <v>720</v>
      </c>
      <c r="C239" t="s">
        <v>935</v>
      </c>
      <c r="D239" t="str">
        <f t="shared" ca="1" si="121"/>
        <v>uuid</v>
      </c>
      <c r="E239" t="b">
        <f t="shared" ca="1" si="122"/>
        <v>0</v>
      </c>
      <c r="F239" t="b">
        <f t="shared" ca="1" si="123"/>
        <v>0</v>
      </c>
      <c r="G239" t="b">
        <f t="shared" ca="1" si="124"/>
        <v>1</v>
      </c>
      <c r="H239" t="str">
        <f t="shared" ca="1" si="125"/>
        <v>t_mkt_idx.mkt_idx_id</v>
      </c>
      <c r="I239" t="str">
        <f t="shared" ca="1" si="126"/>
        <v>id рыночного индикатора</v>
      </c>
      <c r="J239">
        <v>19</v>
      </c>
      <c r="K239" t="str">
        <f t="shared" ca="1" si="127"/>
        <v>b3050000420019_amountdepend</v>
      </c>
      <c r="M239" t="e">
        <f t="shared" ca="1" si="128"/>
        <v>#N/A</v>
      </c>
      <c r="N239" t="e">
        <f t="shared" ca="1" si="129"/>
        <v>#N/A</v>
      </c>
      <c r="O239" t="e">
        <f t="shared" ca="1" si="130"/>
        <v>#N/A</v>
      </c>
      <c r="P239" t="e">
        <f t="shared" ca="1" si="131"/>
        <v>#N/A</v>
      </c>
      <c r="U239" s="55"/>
      <c r="W239" s="60"/>
    </row>
    <row r="240" spans="1:23" x14ac:dyDescent="0.25">
      <c r="A240">
        <f>A233</f>
        <v>460</v>
      </c>
      <c r="B240" t="s">
        <v>720</v>
      </c>
      <c r="C240" t="s">
        <v>1005</v>
      </c>
      <c r="D240" t="str">
        <f t="shared" ca="1" si="121"/>
        <v>text</v>
      </c>
      <c r="E240" t="b">
        <f t="shared" ca="1" si="122"/>
        <v>0</v>
      </c>
      <c r="F240" t="b">
        <f t="shared" ca="1" si="123"/>
        <v>0</v>
      </c>
      <c r="G240" t="b">
        <f t="shared" ca="1" si="124"/>
        <v>0</v>
      </c>
      <c r="H240">
        <f t="shared" ca="1" si="125"/>
        <v>0</v>
      </c>
      <c r="I240" t="str">
        <f t="shared" ca="1" si="126"/>
        <v>код типа операции</v>
      </c>
      <c r="J240">
        <v>19</v>
      </c>
      <c r="K240" t="str">
        <f t="shared" ca="1" si="127"/>
        <v>b3050000420019_amountdepend</v>
      </c>
      <c r="M240" t="e">
        <f t="shared" ca="1" si="128"/>
        <v>#N/A</v>
      </c>
      <c r="N240" t="e">
        <f t="shared" ca="1" si="129"/>
        <v>#N/A</v>
      </c>
      <c r="O240" t="e">
        <f t="shared" ca="1" si="130"/>
        <v>#N/A</v>
      </c>
      <c r="P240" t="e">
        <f t="shared" ca="1" si="131"/>
        <v>#N/A</v>
      </c>
      <c r="U240" s="55"/>
      <c r="W240" s="60"/>
    </row>
    <row r="241" spans="1:23" x14ac:dyDescent="0.25">
      <c r="A241">
        <f>A233</f>
        <v>460</v>
      </c>
      <c r="B241" t="s">
        <v>720</v>
      </c>
      <c r="C241" t="s">
        <v>813</v>
      </c>
      <c r="D241" t="str">
        <f t="shared" ca="1" si="121"/>
        <v>uuid</v>
      </c>
      <c r="E241" t="b">
        <f t="shared" ca="1" si="122"/>
        <v>0</v>
      </c>
      <c r="F241" t="b">
        <f t="shared" ca="1" si="123"/>
        <v>0</v>
      </c>
      <c r="G241" t="b">
        <f t="shared" ca="1" si="124"/>
        <v>1</v>
      </c>
      <c r="H241" t="str">
        <f t="shared" ca="1" si="125"/>
        <v>t_rate_rule.rate_rule_id</v>
      </c>
      <c r="I241" t="str">
        <f t="shared" ca="1" si="126"/>
        <v>id процентной схемы</v>
      </c>
      <c r="J241">
        <v>19</v>
      </c>
      <c r="K241" t="str">
        <f t="shared" ca="1" si="127"/>
        <v>b3050000420019_amountdepend</v>
      </c>
      <c r="L241" t="s">
        <v>358</v>
      </c>
      <c r="M241" t="str">
        <f t="shared" ca="1" si="128"/>
        <v>uuid</v>
      </c>
      <c r="N241" t="b">
        <f t="shared" ca="1" si="129"/>
        <v>0</v>
      </c>
      <c r="O241" t="b">
        <f t="shared" ca="1" si="130"/>
        <v>0</v>
      </c>
      <c r="P241">
        <f t="shared" ca="1" si="131"/>
        <v>0</v>
      </c>
      <c r="U241" s="55"/>
      <c r="W241" s="60"/>
    </row>
    <row r="242" spans="1:23" x14ac:dyDescent="0.25">
      <c r="A242">
        <f>A233</f>
        <v>460</v>
      </c>
      <c r="B242" t="s">
        <v>720</v>
      </c>
      <c r="C242" t="s">
        <v>1007</v>
      </c>
      <c r="D242" t="str">
        <f t="shared" ca="1" si="121"/>
        <v>numeric</v>
      </c>
      <c r="E242" t="b">
        <f t="shared" ca="1" si="122"/>
        <v>0</v>
      </c>
      <c r="F242" t="b">
        <f t="shared" ca="1" si="123"/>
        <v>0</v>
      </c>
      <c r="G242" t="b">
        <f t="shared" ca="1" si="124"/>
        <v>0</v>
      </c>
      <c r="H242">
        <f t="shared" ca="1" si="125"/>
        <v>0</v>
      </c>
      <c r="I242" t="str">
        <f t="shared" ca="1" si="126"/>
        <v>значение параметра - коэффициент</v>
      </c>
      <c r="J242">
        <v>19</v>
      </c>
      <c r="K242" t="str">
        <f t="shared" ca="1" si="127"/>
        <v>b3050000420019_amountdepend</v>
      </c>
      <c r="M242" t="e">
        <f t="shared" ca="1" si="128"/>
        <v>#N/A</v>
      </c>
      <c r="N242" t="e">
        <f t="shared" ca="1" si="129"/>
        <v>#N/A</v>
      </c>
      <c r="O242" t="e">
        <f t="shared" ca="1" si="130"/>
        <v>#N/A</v>
      </c>
      <c r="P242" t="e">
        <f t="shared" ca="1" si="131"/>
        <v>#N/A</v>
      </c>
      <c r="U242" s="55"/>
      <c r="W242" s="60"/>
    </row>
    <row r="243" spans="1:23" s="2" customFormat="1" ht="15.75" thickBot="1" x14ac:dyDescent="0.3">
      <c r="A243" s="2">
        <f>A233</f>
        <v>460</v>
      </c>
      <c r="B243" s="2" t="s">
        <v>720</v>
      </c>
      <c r="C243" s="2" t="s">
        <v>1009</v>
      </c>
      <c r="D243" s="2" t="str">
        <f t="shared" ca="1" si="121"/>
        <v>integer</v>
      </c>
      <c r="E243" s="2" t="b">
        <f t="shared" ca="1" si="122"/>
        <v>0</v>
      </c>
      <c r="F243" s="2" t="b">
        <f t="shared" ca="1" si="123"/>
        <v>0</v>
      </c>
      <c r="G243" s="2" t="b">
        <f t="shared" ca="1" si="124"/>
        <v>0</v>
      </c>
      <c r="H243" s="2">
        <f t="shared" ca="1" si="125"/>
        <v>0</v>
      </c>
      <c r="I243" s="2" t="str">
        <f t="shared" ca="1" si="126"/>
        <v>значение параметра - срок</v>
      </c>
      <c r="J243" s="2">
        <v>19</v>
      </c>
      <c r="K243" s="2" t="str">
        <f t="shared" ca="1" si="127"/>
        <v>b3050000420019_amountdepend</v>
      </c>
      <c r="M243" s="2" t="e">
        <f t="shared" ca="1" si="128"/>
        <v>#N/A</v>
      </c>
      <c r="N243" s="2" t="e">
        <f t="shared" ca="1" si="129"/>
        <v>#N/A</v>
      </c>
      <c r="O243" s="2" t="e">
        <f t="shared" ca="1" si="130"/>
        <v>#N/A</v>
      </c>
      <c r="P243" s="2" t="e">
        <f t="shared" ca="1" si="131"/>
        <v>#N/A</v>
      </c>
      <c r="U243" s="56"/>
      <c r="W243" s="53"/>
    </row>
    <row r="244" spans="1:23" x14ac:dyDescent="0.25">
      <c r="A244" s="10">
        <v>470</v>
      </c>
      <c r="B244" t="s">
        <v>720</v>
      </c>
      <c r="C244" t="s">
        <v>991</v>
      </c>
      <c r="D244" t="str">
        <f t="shared" ca="1" si="121"/>
        <v>uuid</v>
      </c>
      <c r="E244" t="b">
        <f t="shared" ca="1" si="122"/>
        <v>1</v>
      </c>
      <c r="F244" t="b">
        <f t="shared" ca="1" si="123"/>
        <v>1</v>
      </c>
      <c r="G244" t="b">
        <f t="shared" ca="1" si="124"/>
        <v>0</v>
      </c>
      <c r="H244">
        <f t="shared" ca="1" si="125"/>
        <v>0</v>
      </c>
      <c r="I244" t="str">
        <f t="shared" ca="1" si="126"/>
        <v>id параметров процентной схемы</v>
      </c>
      <c r="J244">
        <v>22</v>
      </c>
      <c r="K244" t="str">
        <f t="shared" ca="1" si="127"/>
        <v>b3050000420022_termdepend</v>
      </c>
      <c r="L244" s="3" t="s">
        <v>180</v>
      </c>
      <c r="M244" t="str">
        <f t="shared" ca="1" si="128"/>
        <v>uuid</v>
      </c>
      <c r="N244" t="b">
        <f t="shared" ca="1" si="129"/>
        <v>0</v>
      </c>
      <c r="O244" t="b">
        <f t="shared" ca="1" si="130"/>
        <v>0</v>
      </c>
      <c r="P244">
        <f t="shared" ca="1" si="131"/>
        <v>0</v>
      </c>
      <c r="R244" t="s">
        <v>1064</v>
      </c>
      <c r="S244" t="s">
        <v>8</v>
      </c>
      <c r="U244" s="54" t="s">
        <v>1117</v>
      </c>
      <c r="V244" t="str">
        <f>"n305000042"&amp;TEXT(A244,"0000")&amp;"_"&amp;RIGHT(B244,LEN(B244)-2)</f>
        <v>n3050000420470_rate_rule_param</v>
      </c>
      <c r="W244" s="48" t="s">
        <v>1518</v>
      </c>
    </row>
    <row r="245" spans="1:23" x14ac:dyDescent="0.25">
      <c r="A245">
        <f>A244</f>
        <v>470</v>
      </c>
      <c r="B245" t="s">
        <v>720</v>
      </c>
      <c r="C245" t="s">
        <v>993</v>
      </c>
      <c r="D245" t="str">
        <f t="shared" ca="1" si="121"/>
        <v>numeric</v>
      </c>
      <c r="E245" t="b">
        <f t="shared" ca="1" si="122"/>
        <v>0</v>
      </c>
      <c r="F245" t="b">
        <f t="shared" ca="1" si="123"/>
        <v>0</v>
      </c>
      <c r="G245" t="b">
        <f t="shared" ca="1" si="124"/>
        <v>0</v>
      </c>
      <c r="H245">
        <f t="shared" ca="1" si="125"/>
        <v>0</v>
      </c>
      <c r="I245" t="str">
        <f t="shared" ca="1" si="126"/>
        <v>процентная ставка</v>
      </c>
      <c r="J245">
        <v>22</v>
      </c>
      <c r="K245" t="str">
        <f t="shared" ca="1" si="127"/>
        <v>b3050000420022_termdepend</v>
      </c>
      <c r="L245" s="3" t="s">
        <v>321</v>
      </c>
      <c r="M245" t="str">
        <f t="shared" ca="1" si="128"/>
        <v>numeric(38,10)</v>
      </c>
      <c r="N245" t="b">
        <f t="shared" ca="1" si="129"/>
        <v>0</v>
      </c>
      <c r="O245" t="b">
        <f t="shared" ca="1" si="130"/>
        <v>0</v>
      </c>
      <c r="P245" t="str">
        <f t="shared" ca="1" si="131"/>
        <v>Процентная ставка</v>
      </c>
      <c r="U245" s="55"/>
      <c r="W245" s="60"/>
    </row>
    <row r="246" spans="1:23" x14ac:dyDescent="0.25">
      <c r="A246">
        <f>A244</f>
        <v>470</v>
      </c>
      <c r="B246" t="s">
        <v>720</v>
      </c>
      <c r="C246" t="s">
        <v>995</v>
      </c>
      <c r="D246" t="str">
        <f t="shared" ca="1" si="121"/>
        <v>numeric</v>
      </c>
      <c r="E246" t="b">
        <f t="shared" ca="1" si="122"/>
        <v>0</v>
      </c>
      <c r="F246" t="b">
        <f t="shared" ca="1" si="123"/>
        <v>0</v>
      </c>
      <c r="G246" t="b">
        <f t="shared" ca="1" si="124"/>
        <v>0</v>
      </c>
      <c r="H246">
        <f t="shared" ca="1" si="125"/>
        <v>0</v>
      </c>
      <c r="I246" t="str">
        <f t="shared" ca="1" si="126"/>
        <v>значение параметра - остаток</v>
      </c>
      <c r="J246">
        <v>22</v>
      </c>
      <c r="K246" t="str">
        <f t="shared" ca="1" si="127"/>
        <v>b3050000420022_termdepend</v>
      </c>
      <c r="M246" t="e">
        <f t="shared" ca="1" si="128"/>
        <v>#N/A</v>
      </c>
      <c r="N246" t="e">
        <f t="shared" ca="1" si="129"/>
        <v>#N/A</v>
      </c>
      <c r="O246" t="e">
        <f t="shared" ca="1" si="130"/>
        <v>#N/A</v>
      </c>
      <c r="P246" t="e">
        <f t="shared" ca="1" si="131"/>
        <v>#N/A</v>
      </c>
      <c r="U246" s="55"/>
      <c r="W246" s="60"/>
    </row>
    <row r="247" spans="1:23" x14ac:dyDescent="0.25">
      <c r="A247">
        <f>A244</f>
        <v>470</v>
      </c>
      <c r="B247" t="s">
        <v>720</v>
      </c>
      <c r="C247" t="s">
        <v>997</v>
      </c>
      <c r="D247" t="str">
        <f t="shared" ca="1" si="121"/>
        <v>numeric</v>
      </c>
      <c r="E247" t="b">
        <f t="shared" ca="1" si="122"/>
        <v>0</v>
      </c>
      <c r="F247" t="b">
        <f t="shared" ca="1" si="123"/>
        <v>0</v>
      </c>
      <c r="G247" t="b">
        <f t="shared" ca="1" si="124"/>
        <v>0</v>
      </c>
      <c r="H247">
        <f t="shared" ca="1" si="125"/>
        <v>0</v>
      </c>
      <c r="I247" t="str">
        <f t="shared" ca="1" si="126"/>
        <v>максимальное значение ставки</v>
      </c>
      <c r="J247">
        <v>22</v>
      </c>
      <c r="K247" t="str">
        <f t="shared" ca="1" si="127"/>
        <v>b3050000420022_termdepend</v>
      </c>
      <c r="M247" t="e">
        <f t="shared" ca="1" si="128"/>
        <v>#N/A</v>
      </c>
      <c r="N247" t="e">
        <f t="shared" ca="1" si="129"/>
        <v>#N/A</v>
      </c>
      <c r="O247" t="e">
        <f t="shared" ca="1" si="130"/>
        <v>#N/A</v>
      </c>
      <c r="P247" t="e">
        <f t="shared" ca="1" si="131"/>
        <v>#N/A</v>
      </c>
      <c r="U247" s="55"/>
      <c r="W247" s="60"/>
    </row>
    <row r="248" spans="1:23" x14ac:dyDescent="0.25">
      <c r="A248">
        <f>A244</f>
        <v>470</v>
      </c>
      <c r="B248" t="s">
        <v>720</v>
      </c>
      <c r="C248" t="s">
        <v>999</v>
      </c>
      <c r="D248" t="str">
        <f t="shared" ca="1" si="121"/>
        <v>numeric</v>
      </c>
      <c r="E248" t="b">
        <f t="shared" ca="1" si="122"/>
        <v>0</v>
      </c>
      <c r="F248" t="b">
        <f t="shared" ca="1" si="123"/>
        <v>0</v>
      </c>
      <c r="G248" t="b">
        <f t="shared" ca="1" si="124"/>
        <v>0</v>
      </c>
      <c r="H248">
        <f t="shared" ca="1" si="125"/>
        <v>0</v>
      </c>
      <c r="I248" t="str">
        <f t="shared" ca="1" si="126"/>
        <v>минимальное значение ставки</v>
      </c>
      <c r="J248">
        <v>22</v>
      </c>
      <c r="K248" t="str">
        <f t="shared" ca="1" si="127"/>
        <v>b3050000420022_termdepend</v>
      </c>
      <c r="M248" t="e">
        <f t="shared" ca="1" si="128"/>
        <v>#N/A</v>
      </c>
      <c r="N248" t="e">
        <f t="shared" ca="1" si="129"/>
        <v>#N/A</v>
      </c>
      <c r="O248" t="e">
        <f t="shared" ca="1" si="130"/>
        <v>#N/A</v>
      </c>
      <c r="P248" t="e">
        <f t="shared" ca="1" si="131"/>
        <v>#N/A</v>
      </c>
      <c r="U248" s="55"/>
      <c r="W248" s="60"/>
    </row>
    <row r="249" spans="1:23" x14ac:dyDescent="0.25">
      <c r="A249">
        <f>A244</f>
        <v>470</v>
      </c>
      <c r="B249" t="s">
        <v>720</v>
      </c>
      <c r="C249" t="s">
        <v>1001</v>
      </c>
      <c r="D249" t="str">
        <f t="shared" ca="1" si="121"/>
        <v>text</v>
      </c>
      <c r="E249" t="b">
        <f t="shared" ca="1" si="122"/>
        <v>0</v>
      </c>
      <c r="F249" t="b">
        <f t="shared" ca="1" si="123"/>
        <v>0</v>
      </c>
      <c r="G249" t="b">
        <f t="shared" ca="1" si="124"/>
        <v>0</v>
      </c>
      <c r="H249">
        <f t="shared" ca="1" si="125"/>
        <v>0</v>
      </c>
      <c r="I249" t="str">
        <f t="shared" ca="1" si="126"/>
        <v>id параметров процентной схемы в системе-источника</v>
      </c>
      <c r="J249">
        <v>22</v>
      </c>
      <c r="K249" t="str">
        <f t="shared" ca="1" si="127"/>
        <v>b3050000420022_termdepend</v>
      </c>
      <c r="L249" t="s">
        <v>179</v>
      </c>
      <c r="M249" t="str">
        <f t="shared" ca="1" si="128"/>
        <v>text</v>
      </c>
      <c r="N249" t="b">
        <f t="shared" ca="1" si="129"/>
        <v>1</v>
      </c>
      <c r="O249" t="b">
        <f t="shared" ca="1" si="130"/>
        <v>1</v>
      </c>
      <c r="P249" t="str">
        <f t="shared" ca="1" si="131"/>
        <v>Прикладной ID объекта</v>
      </c>
      <c r="U249" s="55"/>
      <c r="W249" s="60"/>
    </row>
    <row r="250" spans="1:23" x14ac:dyDescent="0.25">
      <c r="A250">
        <f>A244</f>
        <v>470</v>
      </c>
      <c r="B250" t="s">
        <v>720</v>
      </c>
      <c r="C250" t="s">
        <v>935</v>
      </c>
      <c r="D250" t="str">
        <f t="shared" ca="1" si="121"/>
        <v>uuid</v>
      </c>
      <c r="E250" t="b">
        <f t="shared" ca="1" si="122"/>
        <v>0</v>
      </c>
      <c r="F250" t="b">
        <f t="shared" ca="1" si="123"/>
        <v>0</v>
      </c>
      <c r="G250" t="b">
        <f t="shared" ca="1" si="124"/>
        <v>1</v>
      </c>
      <c r="H250" t="str">
        <f t="shared" ca="1" si="125"/>
        <v>t_mkt_idx.mkt_idx_id</v>
      </c>
      <c r="I250" t="str">
        <f t="shared" ca="1" si="126"/>
        <v>id рыночного индикатора</v>
      </c>
      <c r="J250">
        <v>22</v>
      </c>
      <c r="K250" t="str">
        <f t="shared" ca="1" si="127"/>
        <v>b3050000420022_termdepend</v>
      </c>
      <c r="M250" t="e">
        <f t="shared" ca="1" si="128"/>
        <v>#N/A</v>
      </c>
      <c r="N250" t="e">
        <f t="shared" ca="1" si="129"/>
        <v>#N/A</v>
      </c>
      <c r="O250" t="e">
        <f t="shared" ca="1" si="130"/>
        <v>#N/A</v>
      </c>
      <c r="P250" t="e">
        <f t="shared" ca="1" si="131"/>
        <v>#N/A</v>
      </c>
      <c r="U250" s="55"/>
      <c r="W250" s="60"/>
    </row>
    <row r="251" spans="1:23" x14ac:dyDescent="0.25">
      <c r="A251">
        <f>A244</f>
        <v>470</v>
      </c>
      <c r="B251" t="s">
        <v>720</v>
      </c>
      <c r="C251" t="s">
        <v>1005</v>
      </c>
      <c r="D251" t="str">
        <f t="shared" ca="1" si="121"/>
        <v>text</v>
      </c>
      <c r="E251" t="b">
        <f t="shared" ca="1" si="122"/>
        <v>0</v>
      </c>
      <c r="F251" t="b">
        <f t="shared" ca="1" si="123"/>
        <v>0</v>
      </c>
      <c r="G251" t="b">
        <f t="shared" ca="1" si="124"/>
        <v>0</v>
      </c>
      <c r="H251">
        <f t="shared" ca="1" si="125"/>
        <v>0</v>
      </c>
      <c r="I251" t="str">
        <f t="shared" ca="1" si="126"/>
        <v>код типа операции</v>
      </c>
      <c r="J251">
        <v>22</v>
      </c>
      <c r="K251" t="str">
        <f t="shared" ca="1" si="127"/>
        <v>b3050000420022_termdepend</v>
      </c>
      <c r="M251" t="e">
        <f t="shared" ca="1" si="128"/>
        <v>#N/A</v>
      </c>
      <c r="N251" t="e">
        <f t="shared" ca="1" si="129"/>
        <v>#N/A</v>
      </c>
      <c r="O251" t="e">
        <f t="shared" ca="1" si="130"/>
        <v>#N/A</v>
      </c>
      <c r="P251" t="e">
        <f t="shared" ca="1" si="131"/>
        <v>#N/A</v>
      </c>
      <c r="U251" s="55"/>
      <c r="W251" s="60"/>
    </row>
    <row r="252" spans="1:23" x14ac:dyDescent="0.25">
      <c r="A252">
        <f>A244</f>
        <v>470</v>
      </c>
      <c r="B252" t="s">
        <v>720</v>
      </c>
      <c r="C252" t="s">
        <v>813</v>
      </c>
      <c r="D252" t="str">
        <f t="shared" ca="1" si="121"/>
        <v>uuid</v>
      </c>
      <c r="E252" t="b">
        <f t="shared" ca="1" si="122"/>
        <v>0</v>
      </c>
      <c r="F252" t="b">
        <f t="shared" ca="1" si="123"/>
        <v>0</v>
      </c>
      <c r="G252" t="b">
        <f t="shared" ca="1" si="124"/>
        <v>1</v>
      </c>
      <c r="H252" t="str">
        <f t="shared" ca="1" si="125"/>
        <v>t_rate_rule.rate_rule_id</v>
      </c>
      <c r="I252" t="str">
        <f t="shared" ca="1" si="126"/>
        <v>id процентной схемы</v>
      </c>
      <c r="J252">
        <v>22</v>
      </c>
      <c r="K252" t="str">
        <f t="shared" ca="1" si="127"/>
        <v>b3050000420022_termdepend</v>
      </c>
      <c r="L252" t="s">
        <v>358</v>
      </c>
      <c r="M252" t="str">
        <f t="shared" ca="1" si="128"/>
        <v>uuid</v>
      </c>
      <c r="N252" t="b">
        <f t="shared" ca="1" si="129"/>
        <v>0</v>
      </c>
      <c r="O252" t="b">
        <f t="shared" ca="1" si="130"/>
        <v>0</v>
      </c>
      <c r="P252">
        <f t="shared" ca="1" si="131"/>
        <v>0</v>
      </c>
      <c r="U252" s="55"/>
      <c r="W252" s="60"/>
    </row>
    <row r="253" spans="1:23" x14ac:dyDescent="0.25">
      <c r="A253">
        <f>A244</f>
        <v>470</v>
      </c>
      <c r="B253" t="s">
        <v>720</v>
      </c>
      <c r="C253" t="s">
        <v>1007</v>
      </c>
      <c r="D253" t="str">
        <f t="shared" ca="1" si="121"/>
        <v>numeric</v>
      </c>
      <c r="E253" t="b">
        <f t="shared" ca="1" si="122"/>
        <v>0</v>
      </c>
      <c r="F253" t="b">
        <f t="shared" ca="1" si="123"/>
        <v>0</v>
      </c>
      <c r="G253" t="b">
        <f t="shared" ca="1" si="124"/>
        <v>0</v>
      </c>
      <c r="H253">
        <f t="shared" ca="1" si="125"/>
        <v>0</v>
      </c>
      <c r="I253" t="str">
        <f t="shared" ca="1" si="126"/>
        <v>значение параметра - коэффициент</v>
      </c>
      <c r="J253">
        <v>22</v>
      </c>
      <c r="K253" t="str">
        <f t="shared" ca="1" si="127"/>
        <v>b3050000420022_termdepend</v>
      </c>
      <c r="M253" t="e">
        <f t="shared" ca="1" si="128"/>
        <v>#N/A</v>
      </c>
      <c r="N253" t="e">
        <f t="shared" ca="1" si="129"/>
        <v>#N/A</v>
      </c>
      <c r="O253" t="e">
        <f t="shared" ca="1" si="130"/>
        <v>#N/A</v>
      </c>
      <c r="P253" t="e">
        <f t="shared" ca="1" si="131"/>
        <v>#N/A</v>
      </c>
      <c r="U253" s="55"/>
      <c r="W253" s="60"/>
    </row>
    <row r="254" spans="1:23" s="2" customFormat="1" ht="15.75" thickBot="1" x14ac:dyDescent="0.3">
      <c r="A254" s="2">
        <f>A244</f>
        <v>470</v>
      </c>
      <c r="B254" s="2" t="s">
        <v>720</v>
      </c>
      <c r="C254" s="2" t="s">
        <v>1009</v>
      </c>
      <c r="D254" s="2" t="str">
        <f t="shared" ca="1" si="121"/>
        <v>integer</v>
      </c>
      <c r="E254" s="2" t="b">
        <f t="shared" ca="1" si="122"/>
        <v>0</v>
      </c>
      <c r="F254" s="2" t="b">
        <f t="shared" ca="1" si="123"/>
        <v>0</v>
      </c>
      <c r="G254" s="2" t="b">
        <f t="shared" ca="1" si="124"/>
        <v>0</v>
      </c>
      <c r="H254" s="2">
        <f t="shared" ca="1" si="125"/>
        <v>0</v>
      </c>
      <c r="I254" s="2" t="str">
        <f t="shared" ca="1" si="126"/>
        <v>значение параметра - срок</v>
      </c>
      <c r="J254" s="2">
        <v>22</v>
      </c>
      <c r="K254" s="2" t="str">
        <f t="shared" ca="1" si="127"/>
        <v>b3050000420022_termdepend</v>
      </c>
      <c r="L254" s="2" t="s">
        <v>368</v>
      </c>
      <c r="M254" s="2" t="str">
        <f t="shared" ca="1" si="128"/>
        <v>integer</v>
      </c>
      <c r="N254" s="2" t="b">
        <f t="shared" ca="1" si="129"/>
        <v>0</v>
      </c>
      <c r="O254" s="2" t="b">
        <f t="shared" ca="1" si="130"/>
        <v>0</v>
      </c>
      <c r="P254" s="2" t="str">
        <f t="shared" ca="1" si="131"/>
        <v>Срок</v>
      </c>
      <c r="U254" s="56"/>
      <c r="W254" s="53"/>
    </row>
    <row r="255" spans="1:23" x14ac:dyDescent="0.25">
      <c r="A255" s="10">
        <v>480</v>
      </c>
      <c r="B255" t="s">
        <v>720</v>
      </c>
      <c r="C255" t="s">
        <v>991</v>
      </c>
      <c r="D255" t="str">
        <f t="shared" ca="1" si="121"/>
        <v>uuid</v>
      </c>
      <c r="E255" t="b">
        <f t="shared" ca="1" si="122"/>
        <v>1</v>
      </c>
      <c r="F255" t="b">
        <f t="shared" ca="1" si="123"/>
        <v>1</v>
      </c>
      <c r="G255" t="b">
        <f t="shared" ca="1" si="124"/>
        <v>0</v>
      </c>
      <c r="H255">
        <f t="shared" ca="1" si="125"/>
        <v>0</v>
      </c>
      <c r="I255" t="str">
        <f t="shared" ca="1" si="126"/>
        <v>id параметров процентной схемы</v>
      </c>
      <c r="J255">
        <v>20</v>
      </c>
      <c r="K255" t="str">
        <f t="shared" ca="1" si="127"/>
        <v>b3050000420020_calculatedonamount</v>
      </c>
      <c r="L255" s="3" t="s">
        <v>180</v>
      </c>
      <c r="M255" t="str">
        <f t="shared" ca="1" si="128"/>
        <v>uuid</v>
      </c>
      <c r="N255" t="b">
        <f t="shared" ca="1" si="129"/>
        <v>0</v>
      </c>
      <c r="O255" t="b">
        <f t="shared" ca="1" si="130"/>
        <v>0</v>
      </c>
      <c r="P255">
        <f t="shared" ca="1" si="131"/>
        <v>0</v>
      </c>
      <c r="R255" t="s">
        <v>1064</v>
      </c>
      <c r="S255" t="s">
        <v>8</v>
      </c>
      <c r="U255" s="54" t="s">
        <v>1118</v>
      </c>
      <c r="V255" t="str">
        <f>"n305000042"&amp;TEXT(A255,"0000")&amp;"_"&amp;RIGHT(B255,LEN(B255)-2)</f>
        <v>n3050000420480_rate_rule_param</v>
      </c>
      <c r="W255" s="48" t="s">
        <v>1516</v>
      </c>
    </row>
    <row r="256" spans="1:23" x14ac:dyDescent="0.25">
      <c r="A256">
        <f>A255</f>
        <v>480</v>
      </c>
      <c r="B256" t="s">
        <v>720</v>
      </c>
      <c r="C256" t="s">
        <v>993</v>
      </c>
      <c r="D256" t="str">
        <f t="shared" ca="1" si="121"/>
        <v>numeric</v>
      </c>
      <c r="E256" t="b">
        <f t="shared" ca="1" si="122"/>
        <v>0</v>
      </c>
      <c r="F256" t="b">
        <f t="shared" ca="1" si="123"/>
        <v>0</v>
      </c>
      <c r="G256" t="b">
        <f t="shared" ca="1" si="124"/>
        <v>0</v>
      </c>
      <c r="H256">
        <f t="shared" ca="1" si="125"/>
        <v>0</v>
      </c>
      <c r="I256" t="str">
        <f t="shared" ca="1" si="126"/>
        <v>процентная ставка</v>
      </c>
      <c r="J256">
        <v>20</v>
      </c>
      <c r="K256" t="str">
        <f t="shared" ca="1" si="127"/>
        <v>b3050000420020_calculatedonamount</v>
      </c>
      <c r="L256" s="3" t="s">
        <v>321</v>
      </c>
      <c r="M256" t="str">
        <f t="shared" ca="1" si="128"/>
        <v>numeric(38,10)</v>
      </c>
      <c r="N256" t="b">
        <f t="shared" ca="1" si="129"/>
        <v>0</v>
      </c>
      <c r="O256" t="b">
        <f t="shared" ca="1" si="130"/>
        <v>0</v>
      </c>
      <c r="P256" t="str">
        <f t="shared" ca="1" si="131"/>
        <v>Процентная ставка</v>
      </c>
      <c r="U256" s="55"/>
      <c r="W256" s="60"/>
    </row>
    <row r="257" spans="1:23" x14ac:dyDescent="0.25">
      <c r="A257">
        <f>A255</f>
        <v>480</v>
      </c>
      <c r="B257" t="s">
        <v>720</v>
      </c>
      <c r="C257" t="s">
        <v>995</v>
      </c>
      <c r="D257" t="str">
        <f t="shared" ca="1" si="121"/>
        <v>numeric</v>
      </c>
      <c r="E257" t="b">
        <f t="shared" ca="1" si="122"/>
        <v>0</v>
      </c>
      <c r="F257" t="b">
        <f t="shared" ca="1" si="123"/>
        <v>0</v>
      </c>
      <c r="G257" t="b">
        <f t="shared" ca="1" si="124"/>
        <v>0</v>
      </c>
      <c r="H257">
        <f t="shared" ca="1" si="125"/>
        <v>0</v>
      </c>
      <c r="I257" t="str">
        <f t="shared" ca="1" si="126"/>
        <v>значение параметра - остаток</v>
      </c>
      <c r="J257">
        <v>20</v>
      </c>
      <c r="K257" t="str">
        <f t="shared" ca="1" si="127"/>
        <v>b3050000420020_calculatedonamount</v>
      </c>
      <c r="L257" t="s">
        <v>249</v>
      </c>
      <c r="M257" t="str">
        <f t="shared" ca="1" si="128"/>
        <v>numeric(38,10)</v>
      </c>
      <c r="N257" t="b">
        <f t="shared" ca="1" si="129"/>
        <v>0</v>
      </c>
      <c r="O257" t="b">
        <f t="shared" ca="1" si="130"/>
        <v>0</v>
      </c>
      <c r="P257" t="str">
        <f t="shared" ca="1" si="131"/>
        <v>Остаток</v>
      </c>
      <c r="U257" s="55"/>
      <c r="W257" s="60"/>
    </row>
    <row r="258" spans="1:23" x14ac:dyDescent="0.25">
      <c r="A258">
        <f>A255</f>
        <v>480</v>
      </c>
      <c r="B258" t="s">
        <v>720</v>
      </c>
      <c r="C258" t="s">
        <v>997</v>
      </c>
      <c r="D258" t="str">
        <f t="shared" ca="1" si="121"/>
        <v>numeric</v>
      </c>
      <c r="E258" t="b">
        <f t="shared" ca="1" si="122"/>
        <v>0</v>
      </c>
      <c r="F258" t="b">
        <f t="shared" ca="1" si="123"/>
        <v>0</v>
      </c>
      <c r="G258" t="b">
        <f t="shared" ca="1" si="124"/>
        <v>0</v>
      </c>
      <c r="H258">
        <f t="shared" ca="1" si="125"/>
        <v>0</v>
      </c>
      <c r="I258" t="str">
        <f t="shared" ca="1" si="126"/>
        <v>максимальное значение ставки</v>
      </c>
      <c r="J258">
        <v>20</v>
      </c>
      <c r="K258" t="str">
        <f t="shared" ca="1" si="127"/>
        <v>b3050000420020_calculatedonamount</v>
      </c>
      <c r="L258" t="s">
        <v>362</v>
      </c>
      <c r="M258" t="str">
        <f t="shared" ca="1" si="128"/>
        <v>numeric(38,10)</v>
      </c>
      <c r="N258" t="b">
        <f t="shared" ca="1" si="129"/>
        <v>0</v>
      </c>
      <c r="O258" t="b">
        <f t="shared" ca="1" si="130"/>
        <v>0</v>
      </c>
      <c r="P258" t="str">
        <f t="shared" ca="1" si="131"/>
        <v>Верхняя граница ставки</v>
      </c>
      <c r="U258" s="55"/>
      <c r="W258" s="60"/>
    </row>
    <row r="259" spans="1:23" x14ac:dyDescent="0.25">
      <c r="A259">
        <f>A255</f>
        <v>480</v>
      </c>
      <c r="B259" t="s">
        <v>720</v>
      </c>
      <c r="C259" t="s">
        <v>999</v>
      </c>
      <c r="D259" t="str">
        <f t="shared" ca="1" si="121"/>
        <v>numeric</v>
      </c>
      <c r="E259" t="b">
        <f t="shared" ca="1" si="122"/>
        <v>0</v>
      </c>
      <c r="F259" t="b">
        <f t="shared" ca="1" si="123"/>
        <v>0</v>
      </c>
      <c r="G259" t="b">
        <f t="shared" ca="1" si="124"/>
        <v>0</v>
      </c>
      <c r="H259">
        <f t="shared" ca="1" si="125"/>
        <v>0</v>
      </c>
      <c r="I259" t="str">
        <f t="shared" ca="1" si="126"/>
        <v>минимальное значение ставки</v>
      </c>
      <c r="J259">
        <v>20</v>
      </c>
      <c r="K259" t="str">
        <f t="shared" ca="1" si="127"/>
        <v>b3050000420020_calculatedonamount</v>
      </c>
      <c r="L259" t="s">
        <v>363</v>
      </c>
      <c r="M259" t="str">
        <f t="shared" ca="1" si="128"/>
        <v>numeric(38,10)</v>
      </c>
      <c r="N259" t="b">
        <f t="shared" ca="1" si="129"/>
        <v>0</v>
      </c>
      <c r="O259" t="b">
        <f t="shared" ca="1" si="130"/>
        <v>0</v>
      </c>
      <c r="P259" t="str">
        <f t="shared" ca="1" si="131"/>
        <v>Нижняя граница ставки</v>
      </c>
      <c r="U259" s="55"/>
      <c r="W259" s="60"/>
    </row>
    <row r="260" spans="1:23" x14ac:dyDescent="0.25">
      <c r="A260">
        <f>A255</f>
        <v>480</v>
      </c>
      <c r="B260" t="s">
        <v>720</v>
      </c>
      <c r="C260" t="s">
        <v>1001</v>
      </c>
      <c r="D260" t="str">
        <f t="shared" ca="1" si="121"/>
        <v>text</v>
      </c>
      <c r="E260" t="b">
        <f t="shared" ca="1" si="122"/>
        <v>0</v>
      </c>
      <c r="F260" t="b">
        <f t="shared" ca="1" si="123"/>
        <v>0</v>
      </c>
      <c r="G260" t="b">
        <f t="shared" ca="1" si="124"/>
        <v>0</v>
      </c>
      <c r="H260">
        <f t="shared" ca="1" si="125"/>
        <v>0</v>
      </c>
      <c r="I260" t="str">
        <f t="shared" ca="1" si="126"/>
        <v>id параметров процентной схемы в системе-источника</v>
      </c>
      <c r="J260">
        <v>20</v>
      </c>
      <c r="K260" t="str">
        <f t="shared" ca="1" si="127"/>
        <v>b3050000420020_calculatedonamount</v>
      </c>
      <c r="L260" t="s">
        <v>179</v>
      </c>
      <c r="M260" t="str">
        <f t="shared" ca="1" si="128"/>
        <v>text</v>
      </c>
      <c r="N260" t="b">
        <f t="shared" ca="1" si="129"/>
        <v>1</v>
      </c>
      <c r="O260" t="b">
        <f t="shared" ca="1" si="130"/>
        <v>1</v>
      </c>
      <c r="P260" t="str">
        <f t="shared" ca="1" si="131"/>
        <v>Прикладной ID объекта</v>
      </c>
      <c r="U260" s="55"/>
      <c r="W260" s="60"/>
    </row>
    <row r="261" spans="1:23" x14ac:dyDescent="0.25">
      <c r="A261">
        <f>A255</f>
        <v>480</v>
      </c>
      <c r="B261" t="s">
        <v>720</v>
      </c>
      <c r="C261" t="s">
        <v>935</v>
      </c>
      <c r="D261" t="str">
        <f t="shared" ca="1" si="121"/>
        <v>uuid</v>
      </c>
      <c r="E261" t="b">
        <f t="shared" ca="1" si="122"/>
        <v>0</v>
      </c>
      <c r="F261" t="b">
        <f t="shared" ca="1" si="123"/>
        <v>0</v>
      </c>
      <c r="G261" t="b">
        <f t="shared" ca="1" si="124"/>
        <v>1</v>
      </c>
      <c r="H261" t="str">
        <f t="shared" ca="1" si="125"/>
        <v>t_mkt_idx.mkt_idx_id</v>
      </c>
      <c r="I261" t="str">
        <f t="shared" ca="1" si="126"/>
        <v>id рыночного индикатора</v>
      </c>
      <c r="J261">
        <v>20</v>
      </c>
      <c r="K261" t="str">
        <f t="shared" ca="1" si="127"/>
        <v>b3050000420020_calculatedonamount</v>
      </c>
      <c r="L261" t="s">
        <v>361</v>
      </c>
      <c r="M261" t="str">
        <f t="shared" ca="1" si="128"/>
        <v>uuid</v>
      </c>
      <c r="N261" t="b">
        <f t="shared" ca="1" si="129"/>
        <v>0</v>
      </c>
      <c r="O261" t="b">
        <f t="shared" ca="1" si="130"/>
        <v>0</v>
      </c>
      <c r="P261">
        <f t="shared" ca="1" si="131"/>
        <v>0</v>
      </c>
      <c r="U261" s="55"/>
      <c r="W261" s="60"/>
    </row>
    <row r="262" spans="1:23" x14ac:dyDescent="0.25">
      <c r="A262">
        <f>A255</f>
        <v>480</v>
      </c>
      <c r="B262" t="s">
        <v>720</v>
      </c>
      <c r="C262" t="s">
        <v>1005</v>
      </c>
      <c r="D262" t="str">
        <f t="shared" ca="1" si="121"/>
        <v>text</v>
      </c>
      <c r="E262" t="b">
        <f t="shared" ca="1" si="122"/>
        <v>0</v>
      </c>
      <c r="F262" t="b">
        <f t="shared" ca="1" si="123"/>
        <v>0</v>
      </c>
      <c r="G262" t="b">
        <f t="shared" ca="1" si="124"/>
        <v>0</v>
      </c>
      <c r="H262">
        <f t="shared" ca="1" si="125"/>
        <v>0</v>
      </c>
      <c r="I262" t="str">
        <f t="shared" ca="1" si="126"/>
        <v>код типа операции</v>
      </c>
      <c r="J262">
        <v>20</v>
      </c>
      <c r="K262" t="str">
        <f t="shared" ca="1" si="127"/>
        <v>b3050000420020_calculatedonamount</v>
      </c>
      <c r="L262" t="s">
        <v>364</v>
      </c>
      <c r="M262" t="str">
        <f t="shared" ca="1" si="128"/>
        <v>text</v>
      </c>
      <c r="N262" t="b">
        <f t="shared" ca="1" si="129"/>
        <v>0</v>
      </c>
      <c r="O262" t="b">
        <f t="shared" ca="1" si="130"/>
        <v>0</v>
      </c>
      <c r="P262" t="str">
        <f t="shared" ca="1" si="131"/>
        <v>Тип операции</v>
      </c>
      <c r="U262" s="55"/>
      <c r="W262" s="60"/>
    </row>
    <row r="263" spans="1:23" x14ac:dyDescent="0.25">
      <c r="A263">
        <f>A255</f>
        <v>480</v>
      </c>
      <c r="B263" t="s">
        <v>720</v>
      </c>
      <c r="C263" t="s">
        <v>813</v>
      </c>
      <c r="D263" t="str">
        <f t="shared" ca="1" si="121"/>
        <v>uuid</v>
      </c>
      <c r="E263" t="b">
        <f t="shared" ca="1" si="122"/>
        <v>0</v>
      </c>
      <c r="F263" t="b">
        <f t="shared" ca="1" si="123"/>
        <v>0</v>
      </c>
      <c r="G263" t="b">
        <f t="shared" ca="1" si="124"/>
        <v>1</v>
      </c>
      <c r="H263" t="str">
        <f t="shared" ca="1" si="125"/>
        <v>t_rate_rule.rate_rule_id</v>
      </c>
      <c r="I263" t="str">
        <f t="shared" ca="1" si="126"/>
        <v>id процентной схемы</v>
      </c>
      <c r="J263">
        <v>20</v>
      </c>
      <c r="K263" t="str">
        <f t="shared" ca="1" si="127"/>
        <v>b3050000420020_calculatedonamount</v>
      </c>
      <c r="L263" t="s">
        <v>358</v>
      </c>
      <c r="M263" t="str">
        <f t="shared" ca="1" si="128"/>
        <v>uuid</v>
      </c>
      <c r="N263" t="b">
        <f t="shared" ca="1" si="129"/>
        <v>0</v>
      </c>
      <c r="O263" t="b">
        <f t="shared" ca="1" si="130"/>
        <v>0</v>
      </c>
      <c r="P263">
        <f t="shared" ca="1" si="131"/>
        <v>0</v>
      </c>
      <c r="U263" s="55"/>
      <c r="W263" s="60"/>
    </row>
    <row r="264" spans="1:23" x14ac:dyDescent="0.25">
      <c r="A264">
        <f>A255</f>
        <v>480</v>
      </c>
      <c r="B264" t="s">
        <v>720</v>
      </c>
      <c r="C264" t="s">
        <v>1007</v>
      </c>
      <c r="D264" t="str">
        <f t="shared" ca="1" si="121"/>
        <v>numeric</v>
      </c>
      <c r="E264" t="b">
        <f t="shared" ca="1" si="122"/>
        <v>0</v>
      </c>
      <c r="F264" t="b">
        <f t="shared" ca="1" si="123"/>
        <v>0</v>
      </c>
      <c r="G264" t="b">
        <f t="shared" ca="1" si="124"/>
        <v>0</v>
      </c>
      <c r="H264">
        <f t="shared" ca="1" si="125"/>
        <v>0</v>
      </c>
      <c r="I264" t="str">
        <f t="shared" ca="1" si="126"/>
        <v>значение параметра - коэффициент</v>
      </c>
      <c r="J264">
        <v>20</v>
      </c>
      <c r="K264" t="str">
        <f t="shared" ca="1" si="127"/>
        <v>b3050000420020_calculatedonamount</v>
      </c>
      <c r="L264" t="s">
        <v>365</v>
      </c>
      <c r="M264" t="str">
        <f t="shared" ca="1" si="128"/>
        <v>numeric(38,10)</v>
      </c>
      <c r="N264" t="b">
        <f t="shared" ca="1" si="129"/>
        <v>0</v>
      </c>
      <c r="O264" t="b">
        <f t="shared" ca="1" si="130"/>
        <v>0</v>
      </c>
      <c r="P264" t="str">
        <f t="shared" ca="1" si="131"/>
        <v>Коэффициент</v>
      </c>
      <c r="U264" s="55"/>
      <c r="W264" s="60"/>
    </row>
    <row r="265" spans="1:23" s="2" customFormat="1" ht="15.75" thickBot="1" x14ac:dyDescent="0.3">
      <c r="A265" s="2">
        <f>A255</f>
        <v>480</v>
      </c>
      <c r="B265" s="2" t="s">
        <v>720</v>
      </c>
      <c r="C265" s="2" t="s">
        <v>1009</v>
      </c>
      <c r="D265" s="2" t="str">
        <f t="shared" ca="1" si="121"/>
        <v>integer</v>
      </c>
      <c r="E265" s="2" t="b">
        <f t="shared" ca="1" si="122"/>
        <v>0</v>
      </c>
      <c r="F265" s="2" t="b">
        <f t="shared" ca="1" si="123"/>
        <v>0</v>
      </c>
      <c r="G265" s="2" t="b">
        <f t="shared" ca="1" si="124"/>
        <v>0</v>
      </c>
      <c r="H265" s="2">
        <f t="shared" ca="1" si="125"/>
        <v>0</v>
      </c>
      <c r="I265" s="2" t="str">
        <f t="shared" ca="1" si="126"/>
        <v>значение параметра - срок</v>
      </c>
      <c r="J265" s="2">
        <v>20</v>
      </c>
      <c r="K265" s="2" t="str">
        <f t="shared" ca="1" si="127"/>
        <v>b3050000420020_calculatedonamount</v>
      </c>
      <c r="M265" s="2" t="e">
        <f t="shared" ca="1" si="128"/>
        <v>#N/A</v>
      </c>
      <c r="N265" s="2" t="e">
        <f t="shared" ca="1" si="129"/>
        <v>#N/A</v>
      </c>
      <c r="O265" s="2" t="e">
        <f t="shared" ca="1" si="130"/>
        <v>#N/A</v>
      </c>
      <c r="P265" s="2" t="e">
        <f t="shared" ca="1" si="131"/>
        <v>#N/A</v>
      </c>
      <c r="U265" s="56"/>
      <c r="W265" s="53"/>
    </row>
    <row r="266" spans="1:23" x14ac:dyDescent="0.25">
      <c r="A266" s="10">
        <v>490</v>
      </c>
      <c r="B266" t="s">
        <v>720</v>
      </c>
      <c r="C266" t="s">
        <v>991</v>
      </c>
      <c r="D266" t="str">
        <f t="shared" ca="1" si="121"/>
        <v>uuid</v>
      </c>
      <c r="E266" t="b">
        <f t="shared" ca="1" si="122"/>
        <v>1</v>
      </c>
      <c r="F266" t="b">
        <f t="shared" ca="1" si="123"/>
        <v>1</v>
      </c>
      <c r="G266" t="b">
        <f t="shared" ca="1" si="124"/>
        <v>0</v>
      </c>
      <c r="H266">
        <f t="shared" ca="1" si="125"/>
        <v>0</v>
      </c>
      <c r="I266" t="str">
        <f t="shared" ca="1" si="126"/>
        <v>id параметров процентной схемы</v>
      </c>
      <c r="J266">
        <v>21</v>
      </c>
      <c r="K266" t="str">
        <f t="shared" ca="1" si="127"/>
        <v>b3050000420021_calculateratestructure</v>
      </c>
      <c r="L266" s="3" t="s">
        <v>180</v>
      </c>
      <c r="M266" t="str">
        <f t="shared" ca="1" si="128"/>
        <v>uuid</v>
      </c>
      <c r="N266" t="b">
        <f t="shared" ca="1" si="129"/>
        <v>0</v>
      </c>
      <c r="O266" t="b">
        <f t="shared" ca="1" si="130"/>
        <v>0</v>
      </c>
      <c r="P266">
        <f t="shared" ca="1" si="131"/>
        <v>0</v>
      </c>
      <c r="R266" t="s">
        <v>1064</v>
      </c>
      <c r="S266" t="s">
        <v>8</v>
      </c>
      <c r="U266" s="54" t="s">
        <v>1119</v>
      </c>
      <c r="V266" t="str">
        <f>"n305000042"&amp;TEXT(A266,"0000")&amp;"_"&amp;RIGHT(B266,LEN(B266)-2)</f>
        <v>n3050000420490_rate_rule_param</v>
      </c>
      <c r="W266" s="48" t="s">
        <v>1517</v>
      </c>
    </row>
    <row r="267" spans="1:23" x14ac:dyDescent="0.25">
      <c r="A267">
        <f>A266</f>
        <v>490</v>
      </c>
      <c r="B267" t="s">
        <v>720</v>
      </c>
      <c r="C267" t="s">
        <v>993</v>
      </c>
      <c r="D267" t="str">
        <f t="shared" ca="1" si="121"/>
        <v>numeric</v>
      </c>
      <c r="E267" t="b">
        <f t="shared" ca="1" si="122"/>
        <v>0</v>
      </c>
      <c r="F267" t="b">
        <f t="shared" ca="1" si="123"/>
        <v>0</v>
      </c>
      <c r="G267" t="b">
        <f t="shared" ca="1" si="124"/>
        <v>0</v>
      </c>
      <c r="H267">
        <f t="shared" ca="1" si="125"/>
        <v>0</v>
      </c>
      <c r="I267" t="str">
        <f t="shared" ca="1" si="126"/>
        <v>процентная ставка</v>
      </c>
      <c r="J267">
        <v>21</v>
      </c>
      <c r="K267" t="str">
        <f t="shared" ca="1" si="127"/>
        <v>b3050000420021_calculateratestructure</v>
      </c>
      <c r="L267" s="3"/>
      <c r="M267" t="e">
        <f t="shared" ca="1" si="128"/>
        <v>#N/A</v>
      </c>
      <c r="N267" t="e">
        <f t="shared" ca="1" si="129"/>
        <v>#N/A</v>
      </c>
      <c r="O267" t="e">
        <f t="shared" ca="1" si="130"/>
        <v>#N/A</v>
      </c>
      <c r="P267" t="e">
        <f t="shared" ca="1" si="131"/>
        <v>#N/A</v>
      </c>
      <c r="U267" s="55"/>
      <c r="W267" s="60"/>
    </row>
    <row r="268" spans="1:23" x14ac:dyDescent="0.25">
      <c r="A268">
        <f>A266</f>
        <v>490</v>
      </c>
      <c r="B268" t="s">
        <v>720</v>
      </c>
      <c r="C268" t="s">
        <v>995</v>
      </c>
      <c r="D268" t="str">
        <f t="shared" ca="1" si="121"/>
        <v>numeric</v>
      </c>
      <c r="E268" t="b">
        <f t="shared" ca="1" si="122"/>
        <v>0</v>
      </c>
      <c r="F268" t="b">
        <f t="shared" ca="1" si="123"/>
        <v>0</v>
      </c>
      <c r="G268" t="b">
        <f t="shared" ca="1" si="124"/>
        <v>0</v>
      </c>
      <c r="H268">
        <f t="shared" ca="1" si="125"/>
        <v>0</v>
      </c>
      <c r="I268" t="str">
        <f t="shared" ca="1" si="126"/>
        <v>значение параметра - остаток</v>
      </c>
      <c r="J268">
        <v>21</v>
      </c>
      <c r="K268" t="str">
        <f t="shared" ca="1" si="127"/>
        <v>b3050000420021_calculateratestructure</v>
      </c>
      <c r="M268" t="e">
        <f t="shared" ca="1" si="128"/>
        <v>#N/A</v>
      </c>
      <c r="N268" t="e">
        <f t="shared" ca="1" si="129"/>
        <v>#N/A</v>
      </c>
      <c r="O268" t="e">
        <f t="shared" ca="1" si="130"/>
        <v>#N/A</v>
      </c>
      <c r="P268" t="e">
        <f t="shared" ca="1" si="131"/>
        <v>#N/A</v>
      </c>
      <c r="U268" s="55"/>
      <c r="W268" s="60"/>
    </row>
    <row r="269" spans="1:23" x14ac:dyDescent="0.25">
      <c r="A269">
        <f>A266</f>
        <v>490</v>
      </c>
      <c r="B269" t="s">
        <v>720</v>
      </c>
      <c r="C269" t="s">
        <v>997</v>
      </c>
      <c r="D269" t="str">
        <f t="shared" ca="1" si="121"/>
        <v>numeric</v>
      </c>
      <c r="E269" t="b">
        <f t="shared" ca="1" si="122"/>
        <v>0</v>
      </c>
      <c r="F269" t="b">
        <f t="shared" ca="1" si="123"/>
        <v>0</v>
      </c>
      <c r="G269" t="b">
        <f t="shared" ca="1" si="124"/>
        <v>0</v>
      </c>
      <c r="H269">
        <f t="shared" ca="1" si="125"/>
        <v>0</v>
      </c>
      <c r="I269" t="str">
        <f t="shared" ca="1" si="126"/>
        <v>максимальное значение ставки</v>
      </c>
      <c r="J269">
        <v>21</v>
      </c>
      <c r="K269" t="str">
        <f t="shared" ca="1" si="127"/>
        <v>b3050000420021_calculateratestructure</v>
      </c>
      <c r="L269" t="s">
        <v>362</v>
      </c>
      <c r="M269" t="str">
        <f t="shared" ca="1" si="128"/>
        <v>numeric(38,10)</v>
      </c>
      <c r="N269" t="b">
        <f t="shared" ca="1" si="129"/>
        <v>0</v>
      </c>
      <c r="O269" t="b">
        <f t="shared" ca="1" si="130"/>
        <v>0</v>
      </c>
      <c r="P269" t="str">
        <f t="shared" ca="1" si="131"/>
        <v>Верхняя граница ставки</v>
      </c>
      <c r="U269" s="55"/>
      <c r="W269" s="60"/>
    </row>
    <row r="270" spans="1:23" x14ac:dyDescent="0.25">
      <c r="A270">
        <f>A266</f>
        <v>490</v>
      </c>
      <c r="B270" t="s">
        <v>720</v>
      </c>
      <c r="C270" t="s">
        <v>999</v>
      </c>
      <c r="D270" t="str">
        <f t="shared" ca="1" si="121"/>
        <v>numeric</v>
      </c>
      <c r="E270" t="b">
        <f t="shared" ca="1" si="122"/>
        <v>0</v>
      </c>
      <c r="F270" t="b">
        <f t="shared" ca="1" si="123"/>
        <v>0</v>
      </c>
      <c r="G270" t="b">
        <f t="shared" ca="1" si="124"/>
        <v>0</v>
      </c>
      <c r="H270">
        <f t="shared" ca="1" si="125"/>
        <v>0</v>
      </c>
      <c r="I270" t="str">
        <f t="shared" ca="1" si="126"/>
        <v>минимальное значение ставки</v>
      </c>
      <c r="J270">
        <v>21</v>
      </c>
      <c r="K270" t="str">
        <f t="shared" ca="1" si="127"/>
        <v>b3050000420021_calculateratestructure</v>
      </c>
      <c r="L270" t="s">
        <v>363</v>
      </c>
      <c r="M270" t="str">
        <f t="shared" ca="1" si="128"/>
        <v>numeric(38,10)</v>
      </c>
      <c r="N270" t="b">
        <f t="shared" ca="1" si="129"/>
        <v>0</v>
      </c>
      <c r="O270" t="b">
        <f t="shared" ca="1" si="130"/>
        <v>0</v>
      </c>
      <c r="P270" t="str">
        <f t="shared" ca="1" si="131"/>
        <v>Нижняя граница ставки</v>
      </c>
      <c r="U270" s="55"/>
      <c r="W270" s="60"/>
    </row>
    <row r="271" spans="1:23" x14ac:dyDescent="0.25">
      <c r="A271">
        <f>A266</f>
        <v>490</v>
      </c>
      <c r="B271" t="s">
        <v>720</v>
      </c>
      <c r="C271" t="s">
        <v>1001</v>
      </c>
      <c r="D271" t="str">
        <f t="shared" ca="1" si="121"/>
        <v>text</v>
      </c>
      <c r="E271" t="b">
        <f t="shared" ca="1" si="122"/>
        <v>0</v>
      </c>
      <c r="F271" t="b">
        <f t="shared" ca="1" si="123"/>
        <v>0</v>
      </c>
      <c r="G271" t="b">
        <f t="shared" ca="1" si="124"/>
        <v>0</v>
      </c>
      <c r="H271">
        <f t="shared" ca="1" si="125"/>
        <v>0</v>
      </c>
      <c r="I271" t="str">
        <f t="shared" ca="1" si="126"/>
        <v>id параметров процентной схемы в системе-источника</v>
      </c>
      <c r="J271">
        <v>21</v>
      </c>
      <c r="K271" t="str">
        <f t="shared" ca="1" si="127"/>
        <v>b3050000420021_calculateratestructure</v>
      </c>
      <c r="L271" t="s">
        <v>179</v>
      </c>
      <c r="M271" t="str">
        <f t="shared" ca="1" si="128"/>
        <v>text</v>
      </c>
      <c r="N271" t="b">
        <f t="shared" ca="1" si="129"/>
        <v>1</v>
      </c>
      <c r="O271" t="b">
        <f t="shared" ca="1" si="130"/>
        <v>1</v>
      </c>
      <c r="P271" t="str">
        <f t="shared" ca="1" si="131"/>
        <v>Прикладной ID объекта</v>
      </c>
      <c r="U271" s="55"/>
      <c r="W271" s="60"/>
    </row>
    <row r="272" spans="1:23" x14ac:dyDescent="0.25">
      <c r="A272">
        <f>A266</f>
        <v>490</v>
      </c>
      <c r="B272" t="s">
        <v>720</v>
      </c>
      <c r="C272" t="s">
        <v>935</v>
      </c>
      <c r="D272" t="str">
        <f t="shared" ca="1" si="121"/>
        <v>uuid</v>
      </c>
      <c r="E272" t="b">
        <f t="shared" ca="1" si="122"/>
        <v>0</v>
      </c>
      <c r="F272" t="b">
        <f t="shared" ca="1" si="123"/>
        <v>0</v>
      </c>
      <c r="G272" t="b">
        <f t="shared" ca="1" si="124"/>
        <v>1</v>
      </c>
      <c r="H272" t="str">
        <f t="shared" ca="1" si="125"/>
        <v>t_mkt_idx.mkt_idx_id</v>
      </c>
      <c r="I272" t="str">
        <f t="shared" ca="1" si="126"/>
        <v>id рыночного индикатора</v>
      </c>
      <c r="J272">
        <v>21</v>
      </c>
      <c r="K272" t="str">
        <f t="shared" ca="1" si="127"/>
        <v>b3050000420021_calculateratestructure</v>
      </c>
      <c r="L272" t="s">
        <v>361</v>
      </c>
      <c r="M272" t="str">
        <f t="shared" ca="1" si="128"/>
        <v>uuid</v>
      </c>
      <c r="N272" t="b">
        <f t="shared" ca="1" si="129"/>
        <v>0</v>
      </c>
      <c r="O272" t="b">
        <f t="shared" ca="1" si="130"/>
        <v>0</v>
      </c>
      <c r="P272">
        <f t="shared" ca="1" si="131"/>
        <v>0</v>
      </c>
      <c r="U272" s="55"/>
      <c r="W272" s="60"/>
    </row>
    <row r="273" spans="1:23" x14ac:dyDescent="0.25">
      <c r="A273">
        <f>A266</f>
        <v>490</v>
      </c>
      <c r="B273" t="s">
        <v>720</v>
      </c>
      <c r="C273" t="s">
        <v>1005</v>
      </c>
      <c r="D273" t="str">
        <f t="shared" ca="1" si="121"/>
        <v>text</v>
      </c>
      <c r="E273" t="b">
        <f t="shared" ca="1" si="122"/>
        <v>0</v>
      </c>
      <c r="F273" t="b">
        <f t="shared" ca="1" si="123"/>
        <v>0</v>
      </c>
      <c r="G273" t="b">
        <f t="shared" ca="1" si="124"/>
        <v>0</v>
      </c>
      <c r="H273">
        <f t="shared" ca="1" si="125"/>
        <v>0</v>
      </c>
      <c r="I273" t="str">
        <f t="shared" ca="1" si="126"/>
        <v>код типа операции</v>
      </c>
      <c r="J273">
        <v>21</v>
      </c>
      <c r="K273" t="str">
        <f t="shared" ca="1" si="127"/>
        <v>b3050000420021_calculateratestructure</v>
      </c>
      <c r="L273" t="s">
        <v>364</v>
      </c>
      <c r="M273" t="str">
        <f t="shared" ca="1" si="128"/>
        <v>text</v>
      </c>
      <c r="N273" t="b">
        <f t="shared" ca="1" si="129"/>
        <v>0</v>
      </c>
      <c r="O273" t="b">
        <f t="shared" ca="1" si="130"/>
        <v>0</v>
      </c>
      <c r="P273" t="str">
        <f t="shared" ca="1" si="131"/>
        <v>Тип операции</v>
      </c>
      <c r="U273" s="55"/>
      <c r="W273" s="60"/>
    </row>
    <row r="274" spans="1:23" x14ac:dyDescent="0.25">
      <c r="A274">
        <f>A266</f>
        <v>490</v>
      </c>
      <c r="B274" t="s">
        <v>720</v>
      </c>
      <c r="C274" t="s">
        <v>813</v>
      </c>
      <c r="D274" t="str">
        <f t="shared" ca="1" si="121"/>
        <v>uuid</v>
      </c>
      <c r="E274" t="b">
        <f t="shared" ca="1" si="122"/>
        <v>0</v>
      </c>
      <c r="F274" t="b">
        <f t="shared" ca="1" si="123"/>
        <v>0</v>
      </c>
      <c r="G274" t="b">
        <f t="shared" ca="1" si="124"/>
        <v>1</v>
      </c>
      <c r="H274" t="str">
        <f t="shared" ca="1" si="125"/>
        <v>t_rate_rule.rate_rule_id</v>
      </c>
      <c r="I274" t="str">
        <f t="shared" ca="1" si="126"/>
        <v>id процентной схемы</v>
      </c>
      <c r="J274">
        <v>21</v>
      </c>
      <c r="K274" t="str">
        <f t="shared" ca="1" si="127"/>
        <v>b3050000420021_calculateratestructure</v>
      </c>
      <c r="L274" t="s">
        <v>358</v>
      </c>
      <c r="M274" t="str">
        <f t="shared" ca="1" si="128"/>
        <v>uuid</v>
      </c>
      <c r="N274" t="b">
        <f t="shared" ca="1" si="129"/>
        <v>0</v>
      </c>
      <c r="O274" t="b">
        <f t="shared" ca="1" si="130"/>
        <v>0</v>
      </c>
      <c r="P274">
        <f t="shared" ca="1" si="131"/>
        <v>0</v>
      </c>
      <c r="U274" s="55"/>
      <c r="W274" s="60"/>
    </row>
    <row r="275" spans="1:23" x14ac:dyDescent="0.25">
      <c r="A275">
        <f>A266</f>
        <v>490</v>
      </c>
      <c r="B275" t="s">
        <v>720</v>
      </c>
      <c r="C275" t="s">
        <v>1007</v>
      </c>
      <c r="D275" t="str">
        <f t="shared" ca="1" si="121"/>
        <v>numeric</v>
      </c>
      <c r="E275" t="b">
        <f t="shared" ca="1" si="122"/>
        <v>0</v>
      </c>
      <c r="F275" t="b">
        <f t="shared" ca="1" si="123"/>
        <v>0</v>
      </c>
      <c r="G275" t="b">
        <f t="shared" ca="1" si="124"/>
        <v>0</v>
      </c>
      <c r="H275">
        <f t="shared" ca="1" si="125"/>
        <v>0</v>
      </c>
      <c r="I275" t="str">
        <f t="shared" ca="1" si="126"/>
        <v>значение параметра - коэффициент</v>
      </c>
      <c r="J275">
        <v>21</v>
      </c>
      <c r="K275" t="str">
        <f t="shared" ca="1" si="127"/>
        <v>b3050000420021_calculateratestructure</v>
      </c>
      <c r="L275" t="s">
        <v>365</v>
      </c>
      <c r="M275" t="str">
        <f t="shared" ca="1" si="128"/>
        <v>numeric(38,10)</v>
      </c>
      <c r="N275" t="b">
        <f t="shared" ca="1" si="129"/>
        <v>0</v>
      </c>
      <c r="O275" t="b">
        <f t="shared" ca="1" si="130"/>
        <v>0</v>
      </c>
      <c r="P275" t="str">
        <f t="shared" ca="1" si="131"/>
        <v>Коэффициент</v>
      </c>
      <c r="U275" s="55"/>
      <c r="W275" s="60"/>
    </row>
    <row r="276" spans="1:23" s="2" customFormat="1" ht="15.75" thickBot="1" x14ac:dyDescent="0.3">
      <c r="A276" s="2">
        <f>A266</f>
        <v>490</v>
      </c>
      <c r="B276" s="2" t="s">
        <v>720</v>
      </c>
      <c r="C276" s="2" t="s">
        <v>1009</v>
      </c>
      <c r="D276" s="2" t="str">
        <f t="shared" ca="1" si="121"/>
        <v>integer</v>
      </c>
      <c r="E276" s="2" t="b">
        <f t="shared" ca="1" si="122"/>
        <v>0</v>
      </c>
      <c r="F276" s="2" t="b">
        <f t="shared" ca="1" si="123"/>
        <v>0</v>
      </c>
      <c r="G276" s="2" t="b">
        <f t="shared" ca="1" si="124"/>
        <v>0</v>
      </c>
      <c r="H276" s="2">
        <f t="shared" ca="1" si="125"/>
        <v>0</v>
      </c>
      <c r="I276" s="2" t="str">
        <f t="shared" ca="1" si="126"/>
        <v>значение параметра - срок</v>
      </c>
      <c r="J276" s="2">
        <v>21</v>
      </c>
      <c r="K276" s="2" t="str">
        <f t="shared" ca="1" si="127"/>
        <v>b3050000420021_calculateratestructure</v>
      </c>
      <c r="M276" s="2" t="e">
        <f t="shared" ca="1" si="128"/>
        <v>#N/A</v>
      </c>
      <c r="N276" s="2" t="e">
        <f t="shared" ca="1" si="129"/>
        <v>#N/A</v>
      </c>
      <c r="O276" s="2" t="e">
        <f t="shared" ca="1" si="130"/>
        <v>#N/A</v>
      </c>
      <c r="P276" s="2" t="e">
        <f t="shared" ca="1" si="131"/>
        <v>#N/A</v>
      </c>
      <c r="U276" s="56"/>
      <c r="W276" s="53"/>
    </row>
    <row r="277" spans="1:23" x14ac:dyDescent="0.25">
      <c r="A277" s="10">
        <v>500</v>
      </c>
      <c r="B277" t="s">
        <v>708</v>
      </c>
      <c r="C277" t="s">
        <v>935</v>
      </c>
      <c r="D277" t="str">
        <f t="shared" ca="1" si="121"/>
        <v>uuid</v>
      </c>
      <c r="E277" t="b">
        <f t="shared" ca="1" si="122"/>
        <v>1</v>
      </c>
      <c r="F277" t="b">
        <f t="shared" ca="1" si="123"/>
        <v>1</v>
      </c>
      <c r="G277" t="b">
        <f t="shared" ca="1" si="124"/>
        <v>0</v>
      </c>
      <c r="H277">
        <f t="shared" ca="1" si="125"/>
        <v>0</v>
      </c>
      <c r="I277" t="str">
        <f t="shared" ca="1" si="126"/>
        <v>Уникальный идентификатор рыночного индикатора</v>
      </c>
      <c r="J277">
        <v>20</v>
      </c>
      <c r="K277" t="str">
        <f t="shared" ca="1" si="127"/>
        <v>b3050000420020_calculatedonamount</v>
      </c>
      <c r="L277" s="3" t="s">
        <v>1120</v>
      </c>
      <c r="M277" t="e">
        <f t="shared" ca="1" si="128"/>
        <v>#N/A</v>
      </c>
      <c r="N277" t="e">
        <f t="shared" ca="1" si="129"/>
        <v>#N/A</v>
      </c>
      <c r="O277" t="e">
        <f t="shared" ca="1" si="130"/>
        <v>#N/A</v>
      </c>
      <c r="P277" t="e">
        <f t="shared" ca="1" si="131"/>
        <v>#N/A</v>
      </c>
      <c r="R277" t="s">
        <v>1064</v>
      </c>
      <c r="S277" t="s">
        <v>8</v>
      </c>
      <c r="U277" s="54" t="s">
        <v>1121</v>
      </c>
      <c r="V277" t="str">
        <f>"n305000042"&amp;TEXT(A277,"0000")&amp;"_"&amp;RIGHT(B277,LEN(B277)-2)</f>
        <v>n3050000420500_mkt_idx</v>
      </c>
      <c r="W277" s="54" t="s">
        <v>709</v>
      </c>
    </row>
    <row r="278" spans="1:23" x14ac:dyDescent="0.25">
      <c r="A278">
        <f>A277</f>
        <v>500</v>
      </c>
      <c r="B278" t="s">
        <v>708</v>
      </c>
      <c r="C278" t="s">
        <v>937</v>
      </c>
      <c r="D278" t="str">
        <f t="shared" ca="1" si="121"/>
        <v>text</v>
      </c>
      <c r="E278" t="b">
        <f t="shared" ca="1" si="122"/>
        <v>0</v>
      </c>
      <c r="F278" t="b">
        <f t="shared" ca="1" si="123"/>
        <v>0</v>
      </c>
      <c r="G278" t="b">
        <f t="shared" ca="1" si="124"/>
        <v>0</v>
      </c>
      <c r="H278">
        <f t="shared" ca="1" si="125"/>
        <v>0</v>
      </c>
      <c r="I278" t="str">
        <f t="shared" ca="1" si="126"/>
        <v>Уникальный идентификатор рыночного индикатора в источнике</v>
      </c>
      <c r="J278">
        <v>20</v>
      </c>
      <c r="K278" t="str">
        <f t="shared" ca="1" si="127"/>
        <v>b3050000420020_calculatedonamount</v>
      </c>
      <c r="L278" s="3" t="s">
        <v>1122</v>
      </c>
      <c r="M278" t="e">
        <f t="shared" ca="1" si="128"/>
        <v>#N/A</v>
      </c>
      <c r="N278" t="e">
        <f t="shared" ca="1" si="129"/>
        <v>#N/A</v>
      </c>
      <c r="O278" t="e">
        <f t="shared" ca="1" si="130"/>
        <v>#N/A</v>
      </c>
      <c r="P278" t="e">
        <f t="shared" ca="1" si="131"/>
        <v>#N/A</v>
      </c>
      <c r="U278" s="55"/>
      <c r="W278" s="60"/>
    </row>
    <row r="279" spans="1:23" x14ac:dyDescent="0.25">
      <c r="A279">
        <f>A277</f>
        <v>500</v>
      </c>
      <c r="B279" t="s">
        <v>708</v>
      </c>
      <c r="C279" t="s">
        <v>939</v>
      </c>
      <c r="D279" t="str">
        <f t="shared" ca="1" si="121"/>
        <v>text</v>
      </c>
      <c r="E279" t="b">
        <f t="shared" ca="1" si="122"/>
        <v>0</v>
      </c>
      <c r="F279" t="b">
        <f t="shared" ca="1" si="123"/>
        <v>0</v>
      </c>
      <c r="G279" t="b">
        <f t="shared" ca="1" si="124"/>
        <v>0</v>
      </c>
      <c r="H279">
        <f t="shared" ca="1" si="125"/>
        <v>0</v>
      </c>
      <c r="I279" t="str">
        <f t="shared" ca="1" si="126"/>
        <v>Код рыночного индикатора</v>
      </c>
      <c r="J279">
        <v>20</v>
      </c>
      <c r="K279" t="str">
        <f t="shared" ca="1" si="127"/>
        <v>b3050000420020_calculatedonamount</v>
      </c>
      <c r="L279" s="3" t="s">
        <v>1122</v>
      </c>
      <c r="M279" t="e">
        <f t="shared" ca="1" si="128"/>
        <v>#N/A</v>
      </c>
      <c r="N279" t="e">
        <f t="shared" ca="1" si="129"/>
        <v>#N/A</v>
      </c>
      <c r="O279" t="e">
        <f t="shared" ca="1" si="130"/>
        <v>#N/A</v>
      </c>
      <c r="P279" t="e">
        <f t="shared" ca="1" si="131"/>
        <v>#N/A</v>
      </c>
      <c r="U279" s="55"/>
      <c r="W279" s="60"/>
    </row>
    <row r="280" spans="1:23" x14ac:dyDescent="0.25">
      <c r="A280">
        <f>A277</f>
        <v>500</v>
      </c>
      <c r="B280" t="s">
        <v>708</v>
      </c>
      <c r="C280" t="s">
        <v>941</v>
      </c>
      <c r="D280" t="str">
        <f t="shared" ca="1" si="121"/>
        <v>text</v>
      </c>
      <c r="E280" t="b">
        <f t="shared" ca="1" si="122"/>
        <v>0</v>
      </c>
      <c r="F280" t="b">
        <f t="shared" ca="1" si="123"/>
        <v>0</v>
      </c>
      <c r="G280" t="b">
        <f t="shared" ca="1" si="124"/>
        <v>0</v>
      </c>
      <c r="H280">
        <f t="shared" ca="1" si="125"/>
        <v>0</v>
      </c>
      <c r="I280" t="str">
        <f t="shared" ca="1" si="126"/>
        <v>Описание рыночного индикатора</v>
      </c>
      <c r="J280">
        <v>20</v>
      </c>
      <c r="K280" t="str">
        <f t="shared" ca="1" si="127"/>
        <v>b3050000420020_calculatedonamount</v>
      </c>
      <c r="L280" s="3" t="s">
        <v>1075</v>
      </c>
      <c r="M280" t="e">
        <f t="shared" ca="1" si="128"/>
        <v>#N/A</v>
      </c>
      <c r="N280" t="e">
        <f t="shared" ca="1" si="129"/>
        <v>#N/A</v>
      </c>
      <c r="O280" t="e">
        <f t="shared" ca="1" si="130"/>
        <v>#N/A</v>
      </c>
      <c r="P280" t="e">
        <f t="shared" ca="1" si="131"/>
        <v>#N/A</v>
      </c>
      <c r="U280" s="55"/>
      <c r="W280" s="60"/>
    </row>
    <row r="281" spans="1:23" s="2" customFormat="1" ht="15.75" thickBot="1" x14ac:dyDescent="0.3">
      <c r="A281" s="2">
        <f>A277</f>
        <v>500</v>
      </c>
      <c r="B281" s="2" t="s">
        <v>708</v>
      </c>
      <c r="C281" s="2" t="s">
        <v>943</v>
      </c>
      <c r="D281" s="2" t="str">
        <f t="shared" ca="1" si="121"/>
        <v>uuid</v>
      </c>
      <c r="E281" s="2" t="b">
        <f t="shared" ca="1" si="122"/>
        <v>0</v>
      </c>
      <c r="F281" s="2" t="b">
        <f t="shared" ca="1" si="123"/>
        <v>0</v>
      </c>
      <c r="G281" s="2" t="b">
        <f t="shared" ca="1" si="124"/>
        <v>0</v>
      </c>
      <c r="H281" s="2">
        <f t="shared" ca="1" si="125"/>
        <v>0</v>
      </c>
      <c r="I281" s="2" t="str">
        <f t="shared" ca="1" si="126"/>
        <v>Ссылка на тип рыночного индикатора</v>
      </c>
      <c r="J281" s="2">
        <v>20</v>
      </c>
      <c r="K281" s="2" t="str">
        <f t="shared" ca="1" si="127"/>
        <v>b3050000420020_calculatedonamount</v>
      </c>
      <c r="M281" s="2" t="e">
        <f t="shared" ca="1" si="128"/>
        <v>#N/A</v>
      </c>
      <c r="N281" s="2" t="e">
        <f t="shared" ca="1" si="129"/>
        <v>#N/A</v>
      </c>
      <c r="O281" s="2" t="e">
        <f t="shared" ca="1" si="130"/>
        <v>#N/A</v>
      </c>
      <c r="P281" s="2" t="e">
        <f t="shared" ca="1" si="131"/>
        <v>#N/A</v>
      </c>
      <c r="U281" s="56"/>
      <c r="W281" s="53"/>
    </row>
    <row r="282" spans="1:23" x14ac:dyDescent="0.25">
      <c r="A282" s="10">
        <v>510</v>
      </c>
      <c r="B282" t="s">
        <v>682</v>
      </c>
      <c r="C282" s="3" t="s">
        <v>847</v>
      </c>
      <c r="D282" t="str">
        <f t="shared" ca="1" si="121"/>
        <v>uuid</v>
      </c>
      <c r="E282" t="b">
        <f t="shared" ca="1" si="122"/>
        <v>1</v>
      </c>
      <c r="F282" t="b">
        <f t="shared" ca="1" si="123"/>
        <v>1</v>
      </c>
      <c r="G282" t="b">
        <f t="shared" ca="1" si="124"/>
        <v>0</v>
      </c>
      <c r="H282">
        <f t="shared" ca="1" si="125"/>
        <v>0</v>
      </c>
      <c r="I282" t="str">
        <f t="shared" ca="1" si="126"/>
        <v>id сервиса</v>
      </c>
      <c r="J282">
        <v>29</v>
      </c>
      <c r="K282" t="str">
        <f t="shared" ca="1" si="127"/>
        <v>b3050000420029_planservice</v>
      </c>
      <c r="L282" s="3" t="s">
        <v>180</v>
      </c>
      <c r="M282" t="str">
        <f t="shared" ca="1" si="128"/>
        <v>uuid</v>
      </c>
      <c r="N282" t="b">
        <f t="shared" ca="1" si="129"/>
        <v>0</v>
      </c>
      <c r="O282" t="b">
        <f t="shared" ca="1" si="130"/>
        <v>0</v>
      </c>
      <c r="P282">
        <f t="shared" ca="1" si="131"/>
        <v>0</v>
      </c>
      <c r="R282" t="s">
        <v>1064</v>
      </c>
      <c r="S282" t="s">
        <v>8</v>
      </c>
      <c r="U282" s="54" t="s">
        <v>1123</v>
      </c>
      <c r="V282" t="str">
        <f>"n305000042"&amp;TEXT(A282,"0000")&amp;"_"&amp;RIGHT(B282,LEN(B282)-2)</f>
        <v>n3050000420510_bus_srv</v>
      </c>
      <c r="W282" s="54" t="s">
        <v>1522</v>
      </c>
    </row>
    <row r="283" spans="1:23" x14ac:dyDescent="0.25">
      <c r="A283">
        <f>A282</f>
        <v>510</v>
      </c>
      <c r="B283" t="s">
        <v>682</v>
      </c>
      <c r="C283" s="3" t="s">
        <v>737</v>
      </c>
      <c r="D283" t="str">
        <f t="shared" ca="1" si="121"/>
        <v>uuid</v>
      </c>
      <c r="E283" t="b">
        <f t="shared" ca="1" si="122"/>
        <v>0</v>
      </c>
      <c r="F283" t="b">
        <f t="shared" ca="1" si="123"/>
        <v>0</v>
      </c>
      <c r="G283" t="b">
        <f t="shared" ca="1" si="124"/>
        <v>1</v>
      </c>
      <c r="H283" t="str">
        <f t="shared" ca="1" si="125"/>
        <v>t_agr_dep.agr_dep_id</v>
      </c>
      <c r="I283" t="str">
        <f t="shared" ca="1" si="126"/>
        <v>id депозитного договора</v>
      </c>
      <c r="J283">
        <v>29</v>
      </c>
      <c r="K283" t="str">
        <f t="shared" ca="1" si="127"/>
        <v>b3050000420029_planservice</v>
      </c>
      <c r="L283" s="3" t="s">
        <v>327</v>
      </c>
      <c r="M283" t="str">
        <f t="shared" ca="1" si="128"/>
        <v>uuid</v>
      </c>
      <c r="N283" t="b">
        <f t="shared" ca="1" si="129"/>
        <v>0</v>
      </c>
      <c r="O283" t="b">
        <f t="shared" ca="1" si="130"/>
        <v>0</v>
      </c>
      <c r="P283">
        <f t="shared" ca="1" si="131"/>
        <v>0</v>
      </c>
      <c r="U283" s="55"/>
      <c r="W283" s="60"/>
    </row>
    <row r="284" spans="1:23" x14ac:dyDescent="0.25">
      <c r="A284">
        <f>A282</f>
        <v>510</v>
      </c>
      <c r="B284" t="s">
        <v>682</v>
      </c>
      <c r="C284" s="3" t="s">
        <v>743</v>
      </c>
      <c r="D284" t="str">
        <f t="shared" ca="1" si="121"/>
        <v>uuid</v>
      </c>
      <c r="E284" t="b">
        <f t="shared" ca="1" si="122"/>
        <v>0</v>
      </c>
      <c r="F284" t="b">
        <f t="shared" ca="1" si="123"/>
        <v>0</v>
      </c>
      <c r="G284" t="b">
        <f t="shared" ca="1" si="124"/>
        <v>1</v>
      </c>
      <c r="H284" t="str">
        <f t="shared" ca="1" si="125"/>
        <v>t_agr_frame.agr_frame_id</v>
      </c>
      <c r="I284" t="str">
        <f t="shared" ca="1" si="126"/>
        <v>id рамочного договора</v>
      </c>
      <c r="J284">
        <v>29</v>
      </c>
      <c r="K284" t="str">
        <f t="shared" ca="1" si="127"/>
        <v>b3050000420029_planservice</v>
      </c>
      <c r="L284" s="3"/>
      <c r="M284" t="e">
        <f t="shared" ca="1" si="128"/>
        <v>#N/A</v>
      </c>
      <c r="N284" t="e">
        <f t="shared" ca="1" si="129"/>
        <v>#N/A</v>
      </c>
      <c r="O284" t="e">
        <f t="shared" ca="1" si="130"/>
        <v>#N/A</v>
      </c>
      <c r="P284" t="e">
        <f t="shared" ca="1" si="131"/>
        <v>#N/A</v>
      </c>
      <c r="U284" s="55"/>
      <c r="W284" s="60"/>
    </row>
    <row r="285" spans="1:23" x14ac:dyDescent="0.25">
      <c r="A285">
        <f>A282</f>
        <v>510</v>
      </c>
      <c r="B285" t="s">
        <v>682</v>
      </c>
      <c r="C285" s="3" t="s">
        <v>849</v>
      </c>
      <c r="D285" t="str">
        <f t="shared" ca="1" si="121"/>
        <v>uuid</v>
      </c>
      <c r="E285" t="b">
        <f t="shared" ca="1" si="122"/>
        <v>0</v>
      </c>
      <c r="F285" t="b">
        <f t="shared" ca="1" si="123"/>
        <v>0</v>
      </c>
      <c r="G285" t="b">
        <f t="shared" ca="1" si="124"/>
        <v>1</v>
      </c>
      <c r="H285" t="str">
        <f t="shared" ca="1" si="125"/>
        <v>t_bus_srv_categ_type.bus_srv_categ_type_id</v>
      </c>
      <c r="I285" t="str">
        <f t="shared" ca="1" si="126"/>
        <v>Категория сервиса</v>
      </c>
      <c r="J285">
        <v>29</v>
      </c>
      <c r="K285" t="str">
        <f t="shared" ca="1" si="127"/>
        <v>b3050000420029_planservice</v>
      </c>
      <c r="L285" s="13" t="s">
        <v>1114</v>
      </c>
      <c r="M285" s="3" t="e">
        <f t="shared" ca="1" si="128"/>
        <v>#N/A</v>
      </c>
      <c r="N285" s="3" t="e">
        <f t="shared" ca="1" si="129"/>
        <v>#N/A</v>
      </c>
      <c r="O285" s="3" t="e">
        <f t="shared" ca="1" si="130"/>
        <v>#N/A</v>
      </c>
      <c r="P285" s="3" t="e">
        <f t="shared" ca="1" si="131"/>
        <v>#N/A</v>
      </c>
      <c r="Q285" s="13" t="s">
        <v>1124</v>
      </c>
      <c r="U285" s="55"/>
      <c r="W285" s="60"/>
    </row>
    <row r="286" spans="1:23" x14ac:dyDescent="0.25">
      <c r="A286">
        <f>A282</f>
        <v>510</v>
      </c>
      <c r="B286" t="s">
        <v>682</v>
      </c>
      <c r="C286" s="3" t="s">
        <v>854</v>
      </c>
      <c r="D286" t="str">
        <f t="shared" ca="1" si="121"/>
        <v>uuid</v>
      </c>
      <c r="E286" t="b">
        <f t="shared" ca="1" si="122"/>
        <v>0</v>
      </c>
      <c r="F286" t="b">
        <f t="shared" ca="1" si="123"/>
        <v>0</v>
      </c>
      <c r="G286" t="b">
        <f t="shared" ca="1" si="124"/>
        <v>1</v>
      </c>
      <c r="H286" t="str">
        <f t="shared" ca="1" si="125"/>
        <v>t_entity_stts.entity_stts_id</v>
      </c>
      <c r="I286" t="str">
        <f t="shared" ca="1" si="126"/>
        <v>Статус сервиса</v>
      </c>
      <c r="J286">
        <v>29</v>
      </c>
      <c r="K286" t="str">
        <f t="shared" ca="1" si="127"/>
        <v>b3050000420029_planservice</v>
      </c>
      <c r="L286" s="3" t="s">
        <v>199</v>
      </c>
      <c r="M286" t="str">
        <f t="shared" ca="1" si="128"/>
        <v>uuid</v>
      </c>
      <c r="N286" t="b">
        <f t="shared" ca="1" si="129"/>
        <v>0</v>
      </c>
      <c r="O286" t="b">
        <f t="shared" ca="1" si="130"/>
        <v>0</v>
      </c>
      <c r="P286">
        <f t="shared" ca="1" si="131"/>
        <v>0</v>
      </c>
      <c r="U286" s="55"/>
      <c r="W286" s="60"/>
    </row>
    <row r="287" spans="1:23" x14ac:dyDescent="0.25">
      <c r="A287">
        <f>A282</f>
        <v>510</v>
      </c>
      <c r="B287" t="s">
        <v>682</v>
      </c>
      <c r="C287" s="3" t="s">
        <v>856</v>
      </c>
      <c r="D287" t="str">
        <f t="shared" ca="1" si="121"/>
        <v>uuid</v>
      </c>
      <c r="E287" t="b">
        <f t="shared" ca="1" si="122"/>
        <v>0</v>
      </c>
      <c r="F287" t="b">
        <f t="shared" ca="1" si="123"/>
        <v>0</v>
      </c>
      <c r="G287" t="b">
        <f t="shared" ca="1" si="124"/>
        <v>1</v>
      </c>
      <c r="H287" t="str">
        <f t="shared" ca="1" si="125"/>
        <v>t_bus_srv_type.bus_srv_type_id</v>
      </c>
      <c r="I287" t="str">
        <f t="shared" ca="1" si="126"/>
        <v>Тип сервиса</v>
      </c>
      <c r="J287">
        <v>29</v>
      </c>
      <c r="K287" t="str">
        <f t="shared" ca="1" si="127"/>
        <v>b3050000420029_planservice</v>
      </c>
      <c r="L287" s="3" t="s">
        <v>419</v>
      </c>
      <c r="M287" t="str">
        <f t="shared" ca="1" si="128"/>
        <v>uuid</v>
      </c>
      <c r="N287" t="b">
        <f t="shared" ca="1" si="129"/>
        <v>0</v>
      </c>
      <c r="O287" t="b">
        <f t="shared" ca="1" si="130"/>
        <v>0</v>
      </c>
      <c r="P287">
        <f t="shared" ca="1" si="131"/>
        <v>0</v>
      </c>
      <c r="U287" s="55"/>
      <c r="W287" s="60"/>
    </row>
    <row r="288" spans="1:23" x14ac:dyDescent="0.25">
      <c r="A288">
        <f>A282</f>
        <v>510</v>
      </c>
      <c r="B288" t="s">
        <v>682</v>
      </c>
      <c r="C288" s="3" t="s">
        <v>858</v>
      </c>
      <c r="D288" t="str">
        <f t="shared" ca="1" si="121"/>
        <v>uuid</v>
      </c>
      <c r="E288" t="b">
        <f t="shared" ca="1" si="122"/>
        <v>0</v>
      </c>
      <c r="F288" t="b">
        <f t="shared" ca="1" si="123"/>
        <v>0</v>
      </c>
      <c r="G288" t="b">
        <f t="shared" ca="1" si="124"/>
        <v>1</v>
      </c>
      <c r="H288" t="str">
        <f t="shared" ca="1" si="125"/>
        <v>t_chnl_type.chnl_type_id</v>
      </c>
      <c r="I288" t="str">
        <f t="shared" ca="1" si="126"/>
        <v>Тип канала</v>
      </c>
      <c r="J288">
        <v>29</v>
      </c>
      <c r="K288" t="str">
        <f t="shared" ca="1" si="127"/>
        <v>b3050000420029_planservice</v>
      </c>
      <c r="L288" s="3"/>
      <c r="M288" t="e">
        <f t="shared" ca="1" si="128"/>
        <v>#N/A</v>
      </c>
      <c r="N288" t="e">
        <f t="shared" ca="1" si="129"/>
        <v>#N/A</v>
      </c>
      <c r="O288" t="e">
        <f t="shared" ca="1" si="130"/>
        <v>#N/A</v>
      </c>
      <c r="P288" t="e">
        <f t="shared" ca="1" si="131"/>
        <v>#N/A</v>
      </c>
      <c r="U288" s="55"/>
      <c r="W288" s="60"/>
    </row>
    <row r="289" spans="1:23" x14ac:dyDescent="0.25">
      <c r="A289">
        <f>A282</f>
        <v>510</v>
      </c>
      <c r="B289" t="s">
        <v>682</v>
      </c>
      <c r="C289" s="3" t="s">
        <v>752</v>
      </c>
      <c r="D289" t="str">
        <f t="shared" ca="1" si="121"/>
        <v>date</v>
      </c>
      <c r="E289" t="b">
        <f t="shared" ca="1" si="122"/>
        <v>0</v>
      </c>
      <c r="F289" t="b">
        <f t="shared" ca="1" si="123"/>
        <v>0</v>
      </c>
      <c r="G289" t="b">
        <f t="shared" ca="1" si="124"/>
        <v>0</v>
      </c>
      <c r="H289">
        <f t="shared" ca="1" si="125"/>
        <v>0</v>
      </c>
      <c r="I289" t="str">
        <f t="shared" ca="1" si="126"/>
        <v>Дата создания</v>
      </c>
      <c r="J289">
        <v>29</v>
      </c>
      <c r="K289" t="str">
        <f t="shared" ca="1" si="127"/>
        <v>b3050000420029_planservice</v>
      </c>
      <c r="L289" s="3"/>
      <c r="M289" t="e">
        <f t="shared" ca="1" si="128"/>
        <v>#N/A</v>
      </c>
      <c r="N289" t="e">
        <f t="shared" ca="1" si="129"/>
        <v>#N/A</v>
      </c>
      <c r="O289" t="e">
        <f t="shared" ca="1" si="130"/>
        <v>#N/A</v>
      </c>
      <c r="P289" t="e">
        <f t="shared" ca="1" si="131"/>
        <v>#N/A</v>
      </c>
      <c r="U289" s="55"/>
      <c r="W289" s="60"/>
    </row>
    <row r="290" spans="1:23" x14ac:dyDescent="0.25">
      <c r="A290">
        <f t="shared" ref="A290:A293" si="132">A282</f>
        <v>510</v>
      </c>
      <c r="B290" t="s">
        <v>682</v>
      </c>
      <c r="C290" s="3" t="s">
        <v>861</v>
      </c>
      <c r="D290" t="str">
        <f t="shared" ca="1" si="121"/>
        <v>uuid</v>
      </c>
      <c r="E290" t="b">
        <f t="shared" ca="1" si="122"/>
        <v>0</v>
      </c>
      <c r="F290" t="b">
        <f t="shared" ca="1" si="123"/>
        <v>0</v>
      </c>
      <c r="G290" t="b">
        <f t="shared" ca="1" si="124"/>
        <v>1</v>
      </c>
      <c r="H290" t="str">
        <f t="shared" ca="1" si="125"/>
        <v>t_emp.emp_id</v>
      </c>
      <c r="I290" t="str">
        <f t="shared" ca="1" si="126"/>
        <v>id сотрудника, создавшего сервис</v>
      </c>
      <c r="J290">
        <v>29</v>
      </c>
      <c r="K290" t="str">
        <f t="shared" ca="1" si="127"/>
        <v>b3050000420029_planservice</v>
      </c>
      <c r="L290" s="3"/>
      <c r="M290" t="e">
        <f t="shared" ca="1" si="128"/>
        <v>#N/A</v>
      </c>
      <c r="N290" t="e">
        <f t="shared" ca="1" si="129"/>
        <v>#N/A</v>
      </c>
      <c r="O290" t="e">
        <f t="shared" ca="1" si="130"/>
        <v>#N/A</v>
      </c>
      <c r="P290" t="e">
        <f t="shared" ca="1" si="131"/>
        <v>#N/A</v>
      </c>
      <c r="U290" s="55"/>
      <c r="W290" s="60"/>
    </row>
    <row r="291" spans="1:23" x14ac:dyDescent="0.25">
      <c r="A291">
        <f t="shared" si="132"/>
        <v>510</v>
      </c>
      <c r="B291" t="s">
        <v>682</v>
      </c>
      <c r="C291" s="3" t="s">
        <v>864</v>
      </c>
      <c r="D291" t="str">
        <f t="shared" ca="1" si="121"/>
        <v>text</v>
      </c>
      <c r="E291" t="b">
        <f t="shared" ca="1" si="122"/>
        <v>0</v>
      </c>
      <c r="F291" t="b">
        <f t="shared" ca="1" si="123"/>
        <v>0</v>
      </c>
      <c r="G291" t="b">
        <f t="shared" ca="1" si="124"/>
        <v>0</v>
      </c>
      <c r="H291">
        <f t="shared" ca="1" si="125"/>
        <v>0</v>
      </c>
      <c r="I291" t="str">
        <f t="shared" ca="1" si="126"/>
        <v>id сервиса в источнике</v>
      </c>
      <c r="J291">
        <v>29</v>
      </c>
      <c r="K291" t="str">
        <f t="shared" ca="1" si="127"/>
        <v>b3050000420029_planservice</v>
      </c>
      <c r="L291" s="3" t="s">
        <v>179</v>
      </c>
      <c r="M291" t="str">
        <f t="shared" ca="1" si="128"/>
        <v>text</v>
      </c>
      <c r="N291" t="b">
        <f t="shared" ca="1" si="129"/>
        <v>1</v>
      </c>
      <c r="O291" t="b">
        <f t="shared" ca="1" si="130"/>
        <v>1</v>
      </c>
      <c r="P291" t="str">
        <f t="shared" ca="1" si="131"/>
        <v>Прикладной ID объекта</v>
      </c>
      <c r="U291" s="55"/>
      <c r="W291" s="60"/>
    </row>
    <row r="292" spans="1:23" x14ac:dyDescent="0.25">
      <c r="A292">
        <f t="shared" si="132"/>
        <v>510</v>
      </c>
      <c r="B292" t="s">
        <v>682</v>
      </c>
      <c r="C292" s="3" t="s">
        <v>852</v>
      </c>
      <c r="D292" t="str">
        <f t="shared" ca="1" si="121"/>
        <v>date</v>
      </c>
      <c r="E292" t="b">
        <f t="shared" ca="1" si="122"/>
        <v>0</v>
      </c>
      <c r="F292" t="b">
        <f t="shared" ca="1" si="123"/>
        <v>0</v>
      </c>
      <c r="G292" t="b">
        <f t="shared" ca="1" si="124"/>
        <v>0</v>
      </c>
      <c r="H292">
        <f t="shared" ca="1" si="125"/>
        <v>0</v>
      </c>
      <c r="I292" t="str">
        <f t="shared" ca="1" si="126"/>
        <v>Дата выполнения</v>
      </c>
      <c r="J292">
        <v>29</v>
      </c>
      <c r="K292" t="str">
        <f t="shared" ca="1" si="127"/>
        <v>b3050000420029_planservice</v>
      </c>
      <c r="L292" s="3" t="s">
        <v>414</v>
      </c>
      <c r="M292" t="str">
        <f t="shared" ca="1" si="128"/>
        <v>timestamp without time zone</v>
      </c>
      <c r="N292" t="b">
        <f t="shared" ca="1" si="129"/>
        <v>0</v>
      </c>
      <c r="O292" t="b">
        <f t="shared" ca="1" si="130"/>
        <v>0</v>
      </c>
      <c r="P292" t="str">
        <f t="shared" ca="1" si="131"/>
        <v>Плановая дата запуска сервиса</v>
      </c>
      <c r="U292" s="55"/>
      <c r="W292" s="60"/>
    </row>
    <row r="293" spans="1:23" x14ac:dyDescent="0.25">
      <c r="A293">
        <f t="shared" si="132"/>
        <v>510</v>
      </c>
      <c r="B293" t="s">
        <v>682</v>
      </c>
      <c r="C293" s="3" t="s">
        <v>785</v>
      </c>
      <c r="D293" t="str">
        <f t="shared" ca="1" si="121"/>
        <v>date</v>
      </c>
      <c r="E293" t="b">
        <f t="shared" ca="1" si="122"/>
        <v>0</v>
      </c>
      <c r="F293" t="b">
        <f t="shared" ca="1" si="123"/>
        <v>0</v>
      </c>
      <c r="G293" t="b">
        <f t="shared" ca="1" si="124"/>
        <v>0</v>
      </c>
      <c r="H293">
        <f t="shared" ca="1" si="125"/>
        <v>0</v>
      </c>
      <c r="I293" t="str">
        <f t="shared" ca="1" si="126"/>
        <v>Дата начала</v>
      </c>
      <c r="J293">
        <v>29</v>
      </c>
      <c r="K293" t="str">
        <f t="shared" ca="1" si="127"/>
        <v>b3050000420029_planservice</v>
      </c>
      <c r="L293" s="3"/>
      <c r="M293" t="e">
        <f t="shared" ca="1" si="128"/>
        <v>#N/A</v>
      </c>
      <c r="N293" t="e">
        <f t="shared" ca="1" si="129"/>
        <v>#N/A</v>
      </c>
      <c r="O293" t="e">
        <f t="shared" ca="1" si="130"/>
        <v>#N/A</v>
      </c>
      <c r="P293" t="e">
        <f t="shared" ca="1" si="131"/>
        <v>#N/A</v>
      </c>
      <c r="U293" s="55"/>
      <c r="W293" s="60"/>
    </row>
    <row r="294" spans="1:23" ht="15.75" thickBot="1" x14ac:dyDescent="0.3">
      <c r="A294" s="2">
        <f>A282</f>
        <v>510</v>
      </c>
      <c r="B294" s="2" t="s">
        <v>682</v>
      </c>
      <c r="C294" s="2" t="s">
        <v>787</v>
      </c>
      <c r="D294" s="2" t="str">
        <f t="shared" ca="1" si="121"/>
        <v>date</v>
      </c>
      <c r="E294" s="2" t="b">
        <f t="shared" ca="1" si="122"/>
        <v>0</v>
      </c>
      <c r="F294" s="2" t="b">
        <f t="shared" ca="1" si="123"/>
        <v>0</v>
      </c>
      <c r="G294" s="2" t="b">
        <f t="shared" ca="1" si="124"/>
        <v>0</v>
      </c>
      <c r="H294" s="2">
        <f t="shared" ca="1" si="125"/>
        <v>0</v>
      </c>
      <c r="I294" s="2" t="str">
        <f t="shared" ca="1" si="126"/>
        <v>Дата окончания</v>
      </c>
      <c r="J294" s="2">
        <v>29</v>
      </c>
      <c r="K294" s="2" t="str">
        <f t="shared" ca="1" si="127"/>
        <v>b3050000420029_planservice</v>
      </c>
      <c r="L294" s="2"/>
      <c r="M294" s="2" t="e">
        <f t="shared" ca="1" si="128"/>
        <v>#N/A</v>
      </c>
      <c r="N294" s="2" t="e">
        <f t="shared" ca="1" si="129"/>
        <v>#N/A</v>
      </c>
      <c r="O294" s="2" t="e">
        <f t="shared" ca="1" si="130"/>
        <v>#N/A</v>
      </c>
      <c r="P294" s="2" t="e">
        <f t="shared" ca="1" si="131"/>
        <v>#N/A</v>
      </c>
      <c r="Q294" s="2"/>
      <c r="R294" s="2"/>
      <c r="S294" s="2"/>
      <c r="T294" s="2"/>
      <c r="U294" s="56"/>
      <c r="V294" s="2"/>
      <c r="W294" s="53"/>
    </row>
    <row r="295" spans="1:23" x14ac:dyDescent="0.25">
      <c r="A295" s="10">
        <v>520</v>
      </c>
      <c r="B295" t="s">
        <v>690</v>
      </c>
      <c r="C295" s="3" t="s">
        <v>847</v>
      </c>
      <c r="D295" t="str">
        <f t="shared" ca="1" si="121"/>
        <v>uuid</v>
      </c>
      <c r="E295" t="b">
        <f t="shared" ca="1" si="122"/>
        <v>1</v>
      </c>
      <c r="F295" t="b">
        <f t="shared" ca="1" si="123"/>
        <v>1</v>
      </c>
      <c r="G295" t="b">
        <f t="shared" ca="1" si="124"/>
        <v>1</v>
      </c>
      <c r="H295" t="str">
        <f t="shared" ca="1" si="125"/>
        <v>t_bus_srv.bus_srv_id</v>
      </c>
      <c r="I295" t="str">
        <f t="shared" ca="1" si="126"/>
        <v>id сервиса</v>
      </c>
      <c r="J295">
        <v>29</v>
      </c>
      <c r="K295" t="str">
        <f t="shared" ca="1" si="127"/>
        <v>b3050000420029_planservice</v>
      </c>
      <c r="L295" t="s">
        <v>180</v>
      </c>
      <c r="M295" t="str">
        <f t="shared" ca="1" si="128"/>
        <v>uuid</v>
      </c>
      <c r="N295" t="b">
        <f t="shared" ca="1" si="129"/>
        <v>0</v>
      </c>
      <c r="O295" t="b">
        <f t="shared" ca="1" si="130"/>
        <v>0</v>
      </c>
      <c r="P295">
        <f t="shared" ca="1" si="131"/>
        <v>0</v>
      </c>
      <c r="R295" t="s">
        <v>1064</v>
      </c>
      <c r="S295" t="s">
        <v>8</v>
      </c>
      <c r="U295" s="54" t="s">
        <v>1125</v>
      </c>
      <c r="V295" t="str">
        <f>"n305000042"&amp;TEXT(A295,"0000")&amp;"_"&amp;RIGHT(B295,LEN(B295)-2)</f>
        <v>n3050000420520_bus_srv_related</v>
      </c>
      <c r="W295" s="54" t="s">
        <v>691</v>
      </c>
    </row>
    <row r="296" spans="1:23" x14ac:dyDescent="0.25">
      <c r="A296">
        <f>A295</f>
        <v>520</v>
      </c>
      <c r="B296" t="s">
        <v>690</v>
      </c>
      <c r="C296" s="3" t="s">
        <v>882</v>
      </c>
      <c r="D296" t="str">
        <f t="shared" ca="1" si="121"/>
        <v>uuid</v>
      </c>
      <c r="E296" t="b">
        <f t="shared" ca="1" si="122"/>
        <v>1</v>
      </c>
      <c r="F296" t="b">
        <f t="shared" ca="1" si="123"/>
        <v>1</v>
      </c>
      <c r="G296" t="b">
        <f t="shared" ca="1" si="124"/>
        <v>1</v>
      </c>
      <c r="H296" t="str">
        <f t="shared" ca="1" si="125"/>
        <v>t_bus_srv_rel_role_type.bus_srv_rel_role_id</v>
      </c>
      <c r="I296" t="str">
        <f t="shared" ca="1" si="126"/>
        <v>id роли связи сервиса</v>
      </c>
      <c r="J296">
        <v>29</v>
      </c>
      <c r="K296" t="str">
        <f t="shared" ca="1" si="127"/>
        <v>b3050000420029_planservice</v>
      </c>
      <c r="L296" s="13" t="s">
        <v>1081</v>
      </c>
      <c r="M296" t="e">
        <f t="shared" ca="1" si="128"/>
        <v>#N/A</v>
      </c>
      <c r="N296" t="e">
        <f t="shared" ca="1" si="129"/>
        <v>#N/A</v>
      </c>
      <c r="O296" t="e">
        <f t="shared" ca="1" si="130"/>
        <v>#N/A</v>
      </c>
      <c r="P296" t="e">
        <f t="shared" ca="1" si="131"/>
        <v>#N/A</v>
      </c>
      <c r="Q296" s="13" t="s">
        <v>1528</v>
      </c>
      <c r="R296" t="s">
        <v>1064</v>
      </c>
      <c r="U296" s="55"/>
      <c r="W296" s="60"/>
    </row>
    <row r="297" spans="1:23" ht="15.75" thickBot="1" x14ac:dyDescent="0.3">
      <c r="A297" s="2">
        <f>A295</f>
        <v>520</v>
      </c>
      <c r="B297" s="2" t="s">
        <v>690</v>
      </c>
      <c r="C297" s="2" t="s">
        <v>889</v>
      </c>
      <c r="D297" s="2" t="str">
        <f t="shared" ca="1" si="121"/>
        <v>uuid</v>
      </c>
      <c r="E297" s="2" t="b">
        <f t="shared" ca="1" si="122"/>
        <v>1</v>
      </c>
      <c r="F297" s="2" t="b">
        <f t="shared" ca="1" si="123"/>
        <v>1</v>
      </c>
      <c r="G297" s="2" t="b">
        <f t="shared" ca="1" si="124"/>
        <v>1</v>
      </c>
      <c r="H297" s="2" t="str">
        <f t="shared" ca="1" si="125"/>
        <v>t_bus_srv.bus_srv_id</v>
      </c>
      <c r="I297" s="2" t="str">
        <f t="shared" ca="1" si="126"/>
        <v>id связанного сервиса</v>
      </c>
      <c r="J297" s="2">
        <v>29</v>
      </c>
      <c r="K297" s="2" t="str">
        <f t="shared" ca="1" si="127"/>
        <v>b3050000420029_planservice</v>
      </c>
      <c r="L297" s="2" t="s">
        <v>417</v>
      </c>
      <c r="M297" s="2" t="str">
        <f t="shared" ca="1" si="128"/>
        <v>uuid</v>
      </c>
      <c r="N297" s="2" t="b">
        <f t="shared" ca="1" si="129"/>
        <v>0</v>
      </c>
      <c r="O297" s="2" t="b">
        <f t="shared" ca="1" si="130"/>
        <v>0</v>
      </c>
      <c r="P297" s="2">
        <f t="shared" ca="1" si="131"/>
        <v>0</v>
      </c>
      <c r="Q297" s="2"/>
      <c r="R297" s="2"/>
      <c r="S297" s="2"/>
      <c r="T297" s="2"/>
      <c r="U297" s="56"/>
      <c r="V297" s="2"/>
      <c r="W297" s="53"/>
    </row>
    <row r="298" spans="1:23" x14ac:dyDescent="0.25">
      <c r="A298" s="10">
        <v>530</v>
      </c>
      <c r="B298" t="s">
        <v>714</v>
      </c>
      <c r="C298" s="3" t="s">
        <v>961</v>
      </c>
      <c r="D298" t="str">
        <f t="shared" ca="1" si="121"/>
        <v>uuid</v>
      </c>
      <c r="E298" t="b">
        <f t="shared" ca="1" si="122"/>
        <v>1</v>
      </c>
      <c r="F298" t="b">
        <f t="shared" ca="1" si="123"/>
        <v>1</v>
      </c>
      <c r="G298" t="b">
        <f t="shared" ca="1" si="124"/>
        <v>0</v>
      </c>
      <c r="H298">
        <f t="shared" ca="1" si="125"/>
        <v>0</v>
      </c>
      <c r="I298" t="str">
        <f t="shared" ca="1" si="126"/>
        <v>id типа операции</v>
      </c>
      <c r="J298">
        <v>5</v>
      </c>
      <c r="K298" t="str">
        <f t="shared" ca="1" si="127"/>
        <v>b3050000420005_paymentdetails</v>
      </c>
      <c r="L298" s="3" t="s">
        <v>259</v>
      </c>
      <c r="M298" t="str">
        <f t="shared" ca="1" si="128"/>
        <v>uuid</v>
      </c>
      <c r="N298" t="b">
        <f t="shared" ca="1" si="129"/>
        <v>0</v>
      </c>
      <c r="O298" t="b">
        <f t="shared" ca="1" si="130"/>
        <v>0</v>
      </c>
      <c r="P298">
        <f t="shared" ca="1" si="131"/>
        <v>0</v>
      </c>
      <c r="R298" t="s">
        <v>1064</v>
      </c>
      <c r="S298" t="s">
        <v>1071</v>
      </c>
      <c r="U298" s="54" t="s">
        <v>1126</v>
      </c>
      <c r="V298" t="str">
        <f>"n305000042"&amp;TEXT(A298,"0000")&amp;"_"&amp;RIGHT(B298,LEN(B298)-2)</f>
        <v>n3050000420530_optn_type</v>
      </c>
      <c r="W298" s="54" t="s">
        <v>610</v>
      </c>
    </row>
    <row r="299" spans="1:23" x14ac:dyDescent="0.25">
      <c r="A299">
        <f>A298</f>
        <v>530</v>
      </c>
      <c r="B299" t="s">
        <v>714</v>
      </c>
      <c r="C299" s="3" t="s">
        <v>967</v>
      </c>
      <c r="D299" t="str">
        <f t="shared" ca="1" si="121"/>
        <v>text</v>
      </c>
      <c r="E299" t="b">
        <f t="shared" ca="1" si="122"/>
        <v>0</v>
      </c>
      <c r="F299" t="b">
        <f t="shared" ca="1" si="123"/>
        <v>0</v>
      </c>
      <c r="G299" t="b">
        <f t="shared" ca="1" si="124"/>
        <v>0</v>
      </c>
      <c r="H299">
        <f t="shared" ca="1" si="125"/>
        <v>0</v>
      </c>
      <c r="I299" t="str">
        <f t="shared" ca="1" si="126"/>
        <v>id типа операции в источнике</v>
      </c>
      <c r="J299">
        <v>5</v>
      </c>
      <c r="K299" t="str">
        <f t="shared" ca="1" si="127"/>
        <v>b3050000420005_paymentdetails</v>
      </c>
      <c r="L299" s="3" t="s">
        <v>258</v>
      </c>
      <c r="M299" t="str">
        <f t="shared" ca="1" si="128"/>
        <v>text</v>
      </c>
      <c r="N299" t="b">
        <f t="shared" ca="1" si="129"/>
        <v>0</v>
      </c>
      <c r="O299" t="b">
        <f t="shared" ca="1" si="130"/>
        <v>0</v>
      </c>
      <c r="P299" t="str">
        <f t="shared" ca="1" si="131"/>
        <v>Код типа операции</v>
      </c>
      <c r="U299" s="55"/>
      <c r="W299" s="60"/>
    </row>
    <row r="300" spans="1:23" x14ac:dyDescent="0.25">
      <c r="A300">
        <f>A298</f>
        <v>530</v>
      </c>
      <c r="B300" t="s">
        <v>714</v>
      </c>
      <c r="C300" s="3" t="s">
        <v>969</v>
      </c>
      <c r="D300" t="str">
        <f t="shared" ca="1" si="121"/>
        <v>text</v>
      </c>
      <c r="E300" t="b">
        <f t="shared" ca="1" si="122"/>
        <v>0</v>
      </c>
      <c r="F300" t="b">
        <f t="shared" ca="1" si="123"/>
        <v>0</v>
      </c>
      <c r="G300" t="b">
        <f t="shared" ca="1" si="124"/>
        <v>0</v>
      </c>
      <c r="H300">
        <f t="shared" ca="1" si="125"/>
        <v>0</v>
      </c>
      <c r="I300" t="str">
        <f t="shared" ca="1" si="126"/>
        <v>Код типа операции</v>
      </c>
      <c r="J300">
        <v>5</v>
      </c>
      <c r="K300" t="str">
        <f t="shared" ca="1" si="127"/>
        <v>b3050000420005_paymentdetails</v>
      </c>
      <c r="L300" s="3" t="s">
        <v>258</v>
      </c>
      <c r="M300" t="str">
        <f t="shared" ca="1" si="128"/>
        <v>text</v>
      </c>
      <c r="N300" t="b">
        <f t="shared" ca="1" si="129"/>
        <v>0</v>
      </c>
      <c r="O300" t="b">
        <f t="shared" ca="1" si="130"/>
        <v>0</v>
      </c>
      <c r="P300" t="str">
        <f t="shared" ca="1" si="131"/>
        <v>Код типа операции</v>
      </c>
      <c r="U300" s="55"/>
      <c r="W300" s="60"/>
    </row>
    <row r="301" spans="1:23" ht="15.75" thickBot="1" x14ac:dyDescent="0.3">
      <c r="A301" s="2">
        <f>A298</f>
        <v>530</v>
      </c>
      <c r="B301" s="2" t="s">
        <v>714</v>
      </c>
      <c r="C301" s="2" t="s">
        <v>970</v>
      </c>
      <c r="D301" s="2" t="str">
        <f t="shared" ref="D301:D307" ca="1" si="133">VLOOKUP(B301&amp;C301,INDIRECT("target_columns"),4,FALSE)</f>
        <v>text</v>
      </c>
      <c r="E301" s="2" t="b">
        <f t="shared" ref="E301:E307" ca="1" si="134">VLOOKUP(B301&amp;C301,INDIRECT("target_columns"),5,FALSE)</f>
        <v>0</v>
      </c>
      <c r="F301" s="2" t="b">
        <f t="shared" ref="F301:F307" ca="1" si="135">VLOOKUP(B301&amp;C301,INDIRECT("target_columns"),6,FALSE)</f>
        <v>0</v>
      </c>
      <c r="G301" s="2" t="b">
        <f t="shared" ref="G301:G307" ca="1" si="136">VLOOKUP(B301&amp;C301,INDIRECT("target_columns"),7,FALSE)</f>
        <v>0</v>
      </c>
      <c r="H301" s="2">
        <f t="shared" ref="H301:H307" ca="1" si="137">VLOOKUP(B301&amp;C301,INDIRECT("target_columns"),8,FALSE)</f>
        <v>0</v>
      </c>
      <c r="I301" s="2" t="str">
        <f t="shared" ref="I301:I333" ca="1" si="138">VLOOKUP(B301&amp;C301,INDIRECT("target_columns"),9,FALSE)</f>
        <v>Наименование типа операции</v>
      </c>
      <c r="J301" s="2">
        <v>5</v>
      </c>
      <c r="K301" s="2" t="str">
        <f t="shared" ref="K301:K307" ca="1" si="139">VLOOKUP(J301,INDIRECT("source_tables"),2,FALSE)</f>
        <v>b3050000420005_paymentdetails</v>
      </c>
      <c r="L301" s="2" t="s">
        <v>1075</v>
      </c>
      <c r="M301" s="2" t="e">
        <f t="shared" ref="M301:M305" ca="1" si="140">VLOOKUP(K301&amp;L301,INDIRECT("source_columns"),4,FALSE)</f>
        <v>#N/A</v>
      </c>
      <c r="N301" s="2" t="e">
        <f t="shared" ref="N301:N305" ca="1" si="141">VLOOKUP(K301&amp;L301,INDIRECT("source_columns"),5,FALSE)</f>
        <v>#N/A</v>
      </c>
      <c r="O301" s="2" t="e">
        <f t="shared" ref="O301:O305" ca="1" si="142">VLOOKUP(K301&amp;L301,INDIRECT("source_columns"),6,FALSE)</f>
        <v>#N/A</v>
      </c>
      <c r="P301" s="2" t="e">
        <f t="shared" ref="P301:P305" ca="1" si="143">VLOOKUP(K301&amp;L301,INDIRECT("source_columns"),7,FALSE)</f>
        <v>#N/A</v>
      </c>
      <c r="Q301" s="2"/>
      <c r="R301" s="2"/>
      <c r="S301" s="2"/>
      <c r="T301" s="2"/>
      <c r="U301" s="56"/>
      <c r="V301" s="2"/>
      <c r="W301" s="53"/>
    </row>
    <row r="302" spans="1:23" x14ac:dyDescent="0.25">
      <c r="A302" s="10">
        <v>540</v>
      </c>
      <c r="B302" t="s">
        <v>716</v>
      </c>
      <c r="C302" s="3" t="s">
        <v>763</v>
      </c>
      <c r="D302" t="str">
        <f t="shared" ca="1" si="133"/>
        <v>uuid</v>
      </c>
      <c r="E302" t="b">
        <f t="shared" ca="1" si="134"/>
        <v>1</v>
      </c>
      <c r="F302" t="b">
        <f t="shared" ca="1" si="135"/>
        <v>1</v>
      </c>
      <c r="G302" t="b">
        <f t="shared" ca="1" si="136"/>
        <v>1</v>
      </c>
      <c r="H302" t="str">
        <f t="shared" ca="1" si="137"/>
        <v>t_prod.prod_id</v>
      </c>
      <c r="I302" t="str">
        <f t="shared" ca="1" si="138"/>
        <v>id продукта</v>
      </c>
      <c r="J302">
        <v>8</v>
      </c>
      <c r="K302" t="str">
        <f t="shared" ca="1" si="139"/>
        <v>b3050000420008_productkind</v>
      </c>
      <c r="L302" s="3" t="s">
        <v>180</v>
      </c>
      <c r="M302" t="str">
        <f t="shared" ca="1" si="140"/>
        <v>uuid</v>
      </c>
      <c r="N302" t="b">
        <f t="shared" ca="1" si="141"/>
        <v>0</v>
      </c>
      <c r="O302" t="b">
        <f t="shared" ca="1" si="142"/>
        <v>0</v>
      </c>
      <c r="P302">
        <f t="shared" ca="1" si="143"/>
        <v>0</v>
      </c>
      <c r="R302" t="s">
        <v>1064</v>
      </c>
      <c r="S302" t="s">
        <v>1071</v>
      </c>
      <c r="U302" s="57" t="s">
        <v>1538</v>
      </c>
      <c r="V302" t="str">
        <f>"n305000042"&amp;TEXT(A302,"0000")&amp;"_"&amp;RIGHT(B302,LEN(B302)-2)</f>
        <v>n3050000420540_prod$dul</v>
      </c>
      <c r="W302" s="54" t="s">
        <v>717</v>
      </c>
    </row>
    <row r="303" spans="1:23" x14ac:dyDescent="0.25">
      <c r="A303">
        <f t="shared" ref="A303:A304" si="144">A302</f>
        <v>540</v>
      </c>
      <c r="B303" t="s">
        <v>716</v>
      </c>
      <c r="C303" s="3" t="s">
        <v>978</v>
      </c>
      <c r="D303" t="str">
        <f t="shared" ca="1" si="133"/>
        <v>text</v>
      </c>
      <c r="E303" t="b">
        <f t="shared" ca="1" si="134"/>
        <v>0</v>
      </c>
      <c r="F303" t="b">
        <f t="shared" ca="1" si="135"/>
        <v>0</v>
      </c>
      <c r="G303" t="b">
        <f t="shared" ca="1" si="136"/>
        <v>0</v>
      </c>
      <c r="H303">
        <f t="shared" ca="1" si="137"/>
        <v>0</v>
      </c>
      <c r="I303" t="str">
        <f t="shared" ca="1" si="138"/>
        <v>Тип условий</v>
      </c>
      <c r="J303">
        <v>8</v>
      </c>
      <c r="K303" t="str">
        <f t="shared" ca="1" si="139"/>
        <v>b3050000420008_productkind</v>
      </c>
      <c r="L303" t="s">
        <v>1127</v>
      </c>
      <c r="M303" t="str">
        <f t="shared" ca="1" si="140"/>
        <v>text</v>
      </c>
      <c r="N303" t="b">
        <f t="shared" ca="1" si="141"/>
        <v>0</v>
      </c>
      <c r="O303" t="b">
        <f t="shared" ca="1" si="142"/>
        <v>0</v>
      </c>
      <c r="P303" t="str">
        <f t="shared" ca="1" si="143"/>
        <v>Тип условий</v>
      </c>
      <c r="U303" s="55"/>
      <c r="W303" s="60"/>
    </row>
    <row r="304" spans="1:23" x14ac:dyDescent="0.25">
      <c r="A304" s="3">
        <f t="shared" si="144"/>
        <v>540</v>
      </c>
      <c r="B304" s="3" t="s">
        <v>716</v>
      </c>
      <c r="C304" t="s">
        <v>980</v>
      </c>
      <c r="D304" s="3" t="str">
        <f t="shared" ca="1" si="133"/>
        <v>text</v>
      </c>
      <c r="E304" s="3" t="b">
        <f t="shared" ca="1" si="134"/>
        <v>0</v>
      </c>
      <c r="F304" s="3" t="b">
        <f t="shared" ca="1" si="135"/>
        <v>0</v>
      </c>
      <c r="G304" s="3" t="b">
        <f t="shared" ca="1" si="136"/>
        <v>0</v>
      </c>
      <c r="H304" s="3">
        <f t="shared" ca="1" si="137"/>
        <v>0</v>
      </c>
      <c r="I304" s="3" t="str">
        <f t="shared" ca="1" si="138"/>
        <v xml:space="preserve">Признак возможности частично-досрочного расторжения </v>
      </c>
      <c r="J304" s="3">
        <v>30</v>
      </c>
      <c r="K304" s="3" t="str">
        <f t="shared" ca="1" si="139"/>
        <v>b3050000420030_productsettings</v>
      </c>
      <c r="L304" s="3" t="s">
        <v>980</v>
      </c>
      <c r="M304" s="3"/>
      <c r="N304" s="3"/>
      <c r="O304" s="3"/>
      <c r="P304" s="3"/>
      <c r="U304" s="55"/>
      <c r="W304" s="60"/>
    </row>
    <row r="305" spans="1:23" x14ac:dyDescent="0.25">
      <c r="A305">
        <f>A302</f>
        <v>540</v>
      </c>
      <c r="B305" t="s">
        <v>716</v>
      </c>
      <c r="C305" s="3" t="s">
        <v>979</v>
      </c>
      <c r="D305" t="str">
        <f t="shared" ca="1" si="133"/>
        <v>text</v>
      </c>
      <c r="E305" t="b">
        <f t="shared" ca="1" si="134"/>
        <v>0</v>
      </c>
      <c r="F305" t="b">
        <f t="shared" ca="1" si="135"/>
        <v>0</v>
      </c>
      <c r="G305" t="b">
        <f t="shared" ca="1" si="136"/>
        <v>0</v>
      </c>
      <c r="H305">
        <f t="shared" ca="1" si="137"/>
        <v>0</v>
      </c>
      <c r="I305" t="str">
        <f t="shared" ca="1" si="138"/>
        <v>Возможность отзыва</v>
      </c>
      <c r="J305">
        <v>30</v>
      </c>
      <c r="K305" t="str">
        <f t="shared" ca="1" si="139"/>
        <v>b3050000420030_productsettings</v>
      </c>
      <c r="L305" t="s">
        <v>979</v>
      </c>
      <c r="M305" t="e">
        <f t="shared" ca="1" si="140"/>
        <v>#N/A</v>
      </c>
      <c r="N305" t="e">
        <f t="shared" ca="1" si="141"/>
        <v>#N/A</v>
      </c>
      <c r="O305" t="e">
        <f t="shared" ca="1" si="142"/>
        <v>#N/A</v>
      </c>
      <c r="P305" t="e">
        <f t="shared" ca="1" si="143"/>
        <v>#N/A</v>
      </c>
      <c r="U305" s="55"/>
      <c r="W305" s="60"/>
    </row>
    <row r="306" spans="1:23" x14ac:dyDescent="0.25">
      <c r="A306">
        <f>A302</f>
        <v>540</v>
      </c>
      <c r="B306" t="s">
        <v>716</v>
      </c>
      <c r="C306" s="3" t="s">
        <v>981</v>
      </c>
      <c r="D306" t="str">
        <f t="shared" ca="1" si="133"/>
        <v>text</v>
      </c>
      <c r="E306" t="b">
        <f t="shared" ca="1" si="134"/>
        <v>0</v>
      </c>
      <c r="F306" t="b">
        <f t="shared" ca="1" si="135"/>
        <v>0</v>
      </c>
      <c r="G306" t="b">
        <f t="shared" ca="1" si="136"/>
        <v>0</v>
      </c>
      <c r="H306">
        <f t="shared" ca="1" si="137"/>
        <v>0</v>
      </c>
      <c r="I306" t="str">
        <f t="shared" ca="1" si="138"/>
        <v>Возможность пополнения</v>
      </c>
      <c r="J306">
        <v>30</v>
      </c>
      <c r="K306" t="str">
        <f t="shared" ca="1" si="139"/>
        <v>b3050000420030_productsettings</v>
      </c>
      <c r="L306" t="s">
        <v>981</v>
      </c>
      <c r="M306" s="15" t="e">
        <f t="shared" ref="M306:M333" ca="1" si="145">VLOOKUP(K306&amp;L306,INDIRECT("source_columns"),4,FALSE)</f>
        <v>#N/A</v>
      </c>
      <c r="N306" s="15" t="e">
        <f t="shared" ref="N306:N333" ca="1" si="146">VLOOKUP(K306&amp;L306,INDIRECT("source_columns"),5,FALSE)</f>
        <v>#N/A</v>
      </c>
      <c r="O306" s="15" t="e">
        <f t="shared" ref="O306:O333" ca="1" si="147">VLOOKUP(K306&amp;L306,INDIRECT("source_columns"),6,FALSE)</f>
        <v>#N/A</v>
      </c>
      <c r="P306" s="15" t="e">
        <f t="shared" ref="P306:P333" ca="1" si="148">VLOOKUP(K306&amp;L306,INDIRECT("source_columns"),7,FALSE)</f>
        <v>#N/A</v>
      </c>
      <c r="U306" s="55"/>
      <c r="W306" s="60"/>
    </row>
    <row r="307" spans="1:23" ht="15.75" thickBot="1" x14ac:dyDescent="0.3">
      <c r="A307" s="2">
        <f>A302</f>
        <v>540</v>
      </c>
      <c r="B307" s="2" t="s">
        <v>716</v>
      </c>
      <c r="C307" s="2" t="s">
        <v>982</v>
      </c>
      <c r="D307" s="2" t="str">
        <f t="shared" ca="1" si="133"/>
        <v>text</v>
      </c>
      <c r="E307" s="2" t="b">
        <f t="shared" ca="1" si="134"/>
        <v>0</v>
      </c>
      <c r="F307" s="2" t="b">
        <f t="shared" ca="1" si="135"/>
        <v>0</v>
      </c>
      <c r="G307" s="2" t="b">
        <f t="shared" ca="1" si="136"/>
        <v>0</v>
      </c>
      <c r="H307" s="2">
        <f t="shared" ca="1" si="137"/>
        <v>0</v>
      </c>
      <c r="I307" s="2" t="str">
        <f t="shared" ca="1" si="138"/>
        <v>Признак структурного депозита (DCD)</v>
      </c>
      <c r="J307" s="2">
        <v>8</v>
      </c>
      <c r="K307" s="2" t="str">
        <f t="shared" ca="1" si="139"/>
        <v>b3050000420008_productkind</v>
      </c>
      <c r="L307" s="2" t="s">
        <v>982</v>
      </c>
      <c r="M307" s="2" t="e">
        <f t="shared" ca="1" si="145"/>
        <v>#N/A</v>
      </c>
      <c r="N307" s="2" t="e">
        <f t="shared" ca="1" si="146"/>
        <v>#N/A</v>
      </c>
      <c r="O307" s="2" t="e">
        <f t="shared" ca="1" si="147"/>
        <v>#N/A</v>
      </c>
      <c r="P307" s="2" t="e">
        <f t="shared" ca="1" si="148"/>
        <v>#N/A</v>
      </c>
      <c r="Q307" s="2"/>
      <c r="R307" s="2"/>
      <c r="S307" s="2"/>
      <c r="T307" s="2"/>
      <c r="U307" s="56"/>
      <c r="V307" s="2"/>
      <c r="W307" s="53"/>
    </row>
    <row r="308" spans="1:23" s="15" customFormat="1" x14ac:dyDescent="0.25">
      <c r="A308" s="40">
        <v>550</v>
      </c>
      <c r="B308" s="15" t="s">
        <v>1571</v>
      </c>
      <c r="C308" s="15" t="s">
        <v>1547</v>
      </c>
      <c r="D308" s="15" t="s">
        <v>160</v>
      </c>
      <c r="E308" s="15" t="b">
        <v>1</v>
      </c>
      <c r="F308" s="15" t="b">
        <v>1</v>
      </c>
      <c r="G308" s="15" t="b">
        <v>0</v>
      </c>
      <c r="H308" s="15">
        <v>0</v>
      </c>
      <c r="I308" s="31" t="str">
        <f t="shared" ca="1" si="138"/>
        <v>id счета</v>
      </c>
      <c r="J308" s="15">
        <v>27</v>
      </c>
      <c r="K308" s="15" t="str">
        <f t="shared" ref="K308:K315" ca="1" si="149">VLOOKUP(J308, INDIRECT("source_tables"), 2, FALSE)</f>
        <v>b3050000420027_productaccount</v>
      </c>
      <c r="L308" s="32" t="s">
        <v>180</v>
      </c>
      <c r="M308" s="15" t="e">
        <f t="shared" ca="1" si="145"/>
        <v>#N/A</v>
      </c>
      <c r="N308" s="15" t="e">
        <f t="shared" ca="1" si="146"/>
        <v>#N/A</v>
      </c>
      <c r="O308" s="15" t="e">
        <f t="shared" ca="1" si="147"/>
        <v>#N/A</v>
      </c>
      <c r="P308" s="15" t="e">
        <f t="shared" ca="1" si="148"/>
        <v>#N/A</v>
      </c>
      <c r="R308" s="15" t="s">
        <v>1064</v>
      </c>
      <c r="S308" s="15" t="s">
        <v>1071</v>
      </c>
      <c r="U308" s="54" t="s">
        <v>1615</v>
      </c>
      <c r="V308" s="15" t="s">
        <v>1591</v>
      </c>
      <c r="W308" s="54" t="s">
        <v>1583</v>
      </c>
    </row>
    <row r="309" spans="1:23" s="15" customFormat="1" x14ac:dyDescent="0.25">
      <c r="A309" s="15">
        <f>A308</f>
        <v>550</v>
      </c>
      <c r="B309" s="15" t="s">
        <v>1571</v>
      </c>
      <c r="C309" s="15" t="s">
        <v>1018</v>
      </c>
      <c r="D309" s="15" t="s">
        <v>157</v>
      </c>
      <c r="E309" s="15" t="b">
        <v>0</v>
      </c>
      <c r="F309" s="15" t="b">
        <v>0</v>
      </c>
      <c r="G309" s="15" t="b">
        <v>0</v>
      </c>
      <c r="H309" s="15">
        <v>0</v>
      </c>
      <c r="I309" s="31" t="str">
        <f t="shared" ca="1" si="138"/>
        <v>Номер счета</v>
      </c>
      <c r="J309" s="15">
        <v>27</v>
      </c>
      <c r="K309" s="15" t="str">
        <f t="shared" ca="1" si="149"/>
        <v>b3050000420027_productaccount</v>
      </c>
      <c r="L309" s="32" t="s">
        <v>392</v>
      </c>
      <c r="M309" s="15" t="str">
        <f t="shared" ca="1" si="145"/>
        <v>text</v>
      </c>
      <c r="N309" s="15" t="b">
        <f t="shared" ca="1" si="146"/>
        <v>0</v>
      </c>
      <c r="O309" s="15" t="b">
        <f t="shared" ca="1" si="147"/>
        <v>0</v>
      </c>
      <c r="P309" s="15" t="str">
        <f t="shared" ca="1" si="148"/>
        <v>Номер счета</v>
      </c>
      <c r="U309" s="55"/>
      <c r="W309" s="60"/>
    </row>
    <row r="310" spans="1:23" s="15" customFormat="1" x14ac:dyDescent="0.25">
      <c r="A310" s="31">
        <f>A308</f>
        <v>550</v>
      </c>
      <c r="B310" s="31" t="s">
        <v>1571</v>
      </c>
      <c r="C310" s="31" t="s">
        <v>1572</v>
      </c>
      <c r="D310" s="31" t="s">
        <v>157</v>
      </c>
      <c r="E310" s="31" t="b">
        <v>0</v>
      </c>
      <c r="F310" s="31" t="b">
        <v>0</v>
      </c>
      <c r="G310" s="31" t="b">
        <v>0</v>
      </c>
      <c r="H310" s="31">
        <v>0</v>
      </c>
      <c r="I310" s="31" t="str">
        <f t="shared" ca="1" si="138"/>
        <v>id счета в системе-источнике</v>
      </c>
      <c r="J310" s="31">
        <v>27</v>
      </c>
      <c r="K310" s="31" t="str">
        <f t="shared" ref="K310" ca="1" si="150">VLOOKUP(J310, INDIRECT("source_tables"), 2, FALSE)</f>
        <v>b3050000420027_productaccount</v>
      </c>
      <c r="L310" s="31" t="s">
        <v>179</v>
      </c>
      <c r="M310" s="31" t="str">
        <f t="shared" ref="M310" ca="1" si="151">VLOOKUP(K310&amp;L310,INDIRECT("source_columns"),4,FALSE)</f>
        <v>text</v>
      </c>
      <c r="N310" s="31" t="b">
        <f t="shared" ref="N310" ca="1" si="152">VLOOKUP(K310&amp;L310,INDIRECT("source_columns"),5,FALSE)</f>
        <v>1</v>
      </c>
      <c r="O310" s="31" t="b">
        <f t="shared" ref="O310" ca="1" si="153">VLOOKUP(K310&amp;L310,INDIRECT("source_columns"),6,FALSE)</f>
        <v>1</v>
      </c>
      <c r="P310" s="31" t="str">
        <f t="shared" ref="P310" ca="1" si="154">VLOOKUP(K310&amp;L310,INDIRECT("source_columns"),7,FALSE)</f>
        <v>Прикладной ID объекта</v>
      </c>
      <c r="U310" s="55"/>
      <c r="W310" s="60"/>
    </row>
    <row r="311" spans="1:23" s="15" customFormat="1" ht="15.75" thickBot="1" x14ac:dyDescent="0.3">
      <c r="A311" s="2">
        <f>A308</f>
        <v>550</v>
      </c>
      <c r="B311" s="2" t="s">
        <v>1571</v>
      </c>
      <c r="C311" s="2" t="s">
        <v>1612</v>
      </c>
      <c r="D311" s="2" t="s">
        <v>157</v>
      </c>
      <c r="E311" s="2" t="b">
        <v>0</v>
      </c>
      <c r="F311" s="2" t="b">
        <v>0</v>
      </c>
      <c r="G311" s="2" t="b">
        <v>0</v>
      </c>
      <c r="H311" s="2">
        <v>0</v>
      </c>
      <c r="I311" s="2" t="str">
        <f t="shared" ca="1" si="138"/>
        <v>Дата удаления на источнике</v>
      </c>
      <c r="J311" s="2">
        <v>27</v>
      </c>
      <c r="K311" s="2" t="str">
        <f t="shared" ca="1" si="149"/>
        <v>b3050000420027_productaccount</v>
      </c>
      <c r="L311" s="2" t="s">
        <v>1612</v>
      </c>
      <c r="M311" s="2" t="e">
        <f t="shared" ca="1" si="145"/>
        <v>#N/A</v>
      </c>
      <c r="N311" s="2" t="e">
        <f t="shared" ca="1" si="146"/>
        <v>#N/A</v>
      </c>
      <c r="O311" s="2" t="e">
        <f t="shared" ca="1" si="147"/>
        <v>#N/A</v>
      </c>
      <c r="P311" s="2" t="e">
        <f t="shared" ca="1" si="148"/>
        <v>#N/A</v>
      </c>
      <c r="Q311" s="2"/>
      <c r="R311" s="2"/>
      <c r="S311" s="2"/>
      <c r="T311" s="2"/>
      <c r="U311" s="56"/>
      <c r="V311" s="2"/>
      <c r="W311" s="53"/>
    </row>
    <row r="312" spans="1:23" s="15" customFormat="1" x14ac:dyDescent="0.25">
      <c r="A312" s="40">
        <v>560</v>
      </c>
      <c r="B312" s="15" t="s">
        <v>1574</v>
      </c>
      <c r="C312" s="15" t="s">
        <v>1561</v>
      </c>
      <c r="D312" s="15" t="s">
        <v>160</v>
      </c>
      <c r="E312" s="15" t="b">
        <v>1</v>
      </c>
      <c r="F312" s="15" t="b">
        <v>1</v>
      </c>
      <c r="G312" s="15" t="b">
        <v>0</v>
      </c>
      <c r="H312" s="15">
        <v>0</v>
      </c>
      <c r="I312" s="31" t="str">
        <f t="shared" ca="1" si="138"/>
        <v>id внешнего счета</v>
      </c>
      <c r="J312" s="15">
        <v>27</v>
      </c>
      <c r="K312" s="15" t="str">
        <f t="shared" ca="1" si="149"/>
        <v>b3050000420027_productaccount</v>
      </c>
      <c r="L312" s="32" t="s">
        <v>1593</v>
      </c>
      <c r="M312" s="15" t="e">
        <f t="shared" ca="1" si="145"/>
        <v>#N/A</v>
      </c>
      <c r="N312" s="15" t="e">
        <f t="shared" ca="1" si="146"/>
        <v>#N/A</v>
      </c>
      <c r="O312" s="15" t="e">
        <f t="shared" ca="1" si="147"/>
        <v>#N/A</v>
      </c>
      <c r="P312" s="15" t="e">
        <f t="shared" ca="1" si="148"/>
        <v>#N/A</v>
      </c>
      <c r="R312" s="15" t="s">
        <v>1064</v>
      </c>
      <c r="S312" s="15" t="s">
        <v>1071</v>
      </c>
      <c r="U312" s="54" t="s">
        <v>1616</v>
      </c>
      <c r="V312" s="15" t="s">
        <v>1592</v>
      </c>
      <c r="W312" s="54" t="s">
        <v>1586</v>
      </c>
    </row>
    <row r="313" spans="1:23" s="15" customFormat="1" x14ac:dyDescent="0.25">
      <c r="A313" s="15">
        <f>A312</f>
        <v>560</v>
      </c>
      <c r="B313" s="15" t="s">
        <v>1574</v>
      </c>
      <c r="C313" s="15" t="s">
        <v>1575</v>
      </c>
      <c r="D313" s="15" t="s">
        <v>157</v>
      </c>
      <c r="E313" s="15" t="b">
        <v>0</v>
      </c>
      <c r="F313" s="15" t="b">
        <v>0</v>
      </c>
      <c r="G313" s="15" t="b">
        <v>0</v>
      </c>
      <c r="H313" s="15">
        <v>0</v>
      </c>
      <c r="I313" s="31" t="str">
        <f t="shared" ca="1" si="138"/>
        <v>Номер внешнего счета</v>
      </c>
      <c r="J313" s="15">
        <v>27</v>
      </c>
      <c r="K313" s="15" t="str">
        <f t="shared" ca="1" si="149"/>
        <v>b3050000420027_productaccount</v>
      </c>
      <c r="L313" s="32" t="s">
        <v>392</v>
      </c>
      <c r="M313" s="15" t="str">
        <f t="shared" ca="1" si="145"/>
        <v>text</v>
      </c>
      <c r="N313" s="15" t="b">
        <f t="shared" ca="1" si="146"/>
        <v>0</v>
      </c>
      <c r="O313" s="15" t="b">
        <f t="shared" ca="1" si="147"/>
        <v>0</v>
      </c>
      <c r="P313" s="15" t="str">
        <f t="shared" ca="1" si="148"/>
        <v>Номер счета</v>
      </c>
      <c r="U313" s="55"/>
      <c r="W313" s="60"/>
    </row>
    <row r="314" spans="1:23" s="15" customFormat="1" x14ac:dyDescent="0.25">
      <c r="A314" s="31">
        <f>A312</f>
        <v>560</v>
      </c>
      <c r="B314" s="31" t="s">
        <v>1574</v>
      </c>
      <c r="C314" s="31" t="s">
        <v>1577</v>
      </c>
      <c r="D314" s="31" t="s">
        <v>157</v>
      </c>
      <c r="E314" s="31" t="b">
        <v>0</v>
      </c>
      <c r="F314" s="31" t="b">
        <v>0</v>
      </c>
      <c r="G314" s="31" t="b">
        <v>0</v>
      </c>
      <c r="H314" s="31">
        <v>0</v>
      </c>
      <c r="I314" s="31" t="str">
        <f t="shared" ref="I314" ca="1" si="155">VLOOKUP(B314&amp;C314,INDIRECT("target_columns"),9,FALSE)</f>
        <v>id внешнего счета в системе-источнике</v>
      </c>
      <c r="J314" s="31">
        <v>27</v>
      </c>
      <c r="K314" s="31" t="str">
        <f t="shared" ref="K314" ca="1" si="156">VLOOKUP(J314, INDIRECT("source_tables"), 2, FALSE)</f>
        <v>b3050000420027_productaccount</v>
      </c>
      <c r="L314" s="31" t="s">
        <v>179</v>
      </c>
      <c r="M314" s="31" t="str">
        <f t="shared" ref="M314" ca="1" si="157">VLOOKUP(K314&amp;L314,INDIRECT("source_columns"),4,FALSE)</f>
        <v>text</v>
      </c>
      <c r="N314" s="31" t="b">
        <f t="shared" ref="N314" ca="1" si="158">VLOOKUP(K314&amp;L314,INDIRECT("source_columns"),5,FALSE)</f>
        <v>1</v>
      </c>
      <c r="O314" s="31" t="b">
        <f t="shared" ref="O314" ca="1" si="159">VLOOKUP(K314&amp;L314,INDIRECT("source_columns"),6,FALSE)</f>
        <v>1</v>
      </c>
      <c r="P314" s="31" t="str">
        <f t="shared" ref="P314" ca="1" si="160">VLOOKUP(K314&amp;L314,INDIRECT("source_columns"),7,FALSE)</f>
        <v>Прикладной ID объекта</v>
      </c>
      <c r="U314" s="55"/>
      <c r="W314" s="60"/>
    </row>
    <row r="315" spans="1:23" s="15" customFormat="1" ht="15.75" thickBot="1" x14ac:dyDescent="0.3">
      <c r="A315" s="2">
        <f>A312</f>
        <v>560</v>
      </c>
      <c r="B315" s="2" t="s">
        <v>1574</v>
      </c>
      <c r="C315" s="2" t="s">
        <v>1612</v>
      </c>
      <c r="D315" s="2" t="s">
        <v>157</v>
      </c>
      <c r="E315" s="2" t="b">
        <v>0</v>
      </c>
      <c r="F315" s="2" t="b">
        <v>0</v>
      </c>
      <c r="G315" s="2" t="b">
        <v>0</v>
      </c>
      <c r="H315" s="2">
        <v>0</v>
      </c>
      <c r="I315" s="2" t="str">
        <f t="shared" ca="1" si="138"/>
        <v>Дата удаления на источнике</v>
      </c>
      <c r="J315" s="2">
        <v>27</v>
      </c>
      <c r="K315" s="2" t="str">
        <f t="shared" ca="1" si="149"/>
        <v>b3050000420027_productaccount</v>
      </c>
      <c r="L315" s="2" t="s">
        <v>1612</v>
      </c>
      <c r="M315" s="2" t="e">
        <f t="shared" ca="1" si="145"/>
        <v>#N/A</v>
      </c>
      <c r="N315" s="2" t="e">
        <f t="shared" ca="1" si="146"/>
        <v>#N/A</v>
      </c>
      <c r="O315" s="2" t="e">
        <f t="shared" ca="1" si="147"/>
        <v>#N/A</v>
      </c>
      <c r="P315" s="2" t="e">
        <f t="shared" ca="1" si="148"/>
        <v>#N/A</v>
      </c>
      <c r="Q315" s="2"/>
      <c r="R315" s="2"/>
      <c r="S315" s="2"/>
      <c r="T315" s="2"/>
      <c r="U315" s="56"/>
      <c r="V315" s="2"/>
      <c r="W315" s="53"/>
    </row>
    <row r="316" spans="1:23" s="15" customFormat="1" x14ac:dyDescent="0.25">
      <c r="A316" s="40">
        <v>570</v>
      </c>
      <c r="B316" s="15" t="s">
        <v>1550</v>
      </c>
      <c r="C316" s="15" t="s">
        <v>1544</v>
      </c>
      <c r="D316" s="15" t="s">
        <v>160</v>
      </c>
      <c r="E316" s="15" t="b">
        <v>1</v>
      </c>
      <c r="F316" s="15" t="b">
        <v>1</v>
      </c>
      <c r="G316" s="15" t="b">
        <v>0</v>
      </c>
      <c r="H316" s="15">
        <v>0</v>
      </c>
      <c r="I316" s="31" t="str">
        <f t="shared" ca="1" si="138"/>
        <v>id роли счета</v>
      </c>
      <c r="J316" s="15">
        <v>27</v>
      </c>
      <c r="K316" s="15" t="str">
        <f t="shared" ref="K316:K323" ca="1" si="161">VLOOKUP(J316, INDIRECT("source_tables"), 2, FALSE)</f>
        <v>b3050000420027_productaccount</v>
      </c>
      <c r="L316" s="15" t="s">
        <v>1594</v>
      </c>
      <c r="M316" s="15" t="e">
        <f t="shared" ca="1" si="145"/>
        <v>#N/A</v>
      </c>
      <c r="N316" s="15" t="e">
        <f t="shared" ca="1" si="146"/>
        <v>#N/A</v>
      </c>
      <c r="O316" s="15" t="e">
        <f t="shared" ca="1" si="147"/>
        <v>#N/A</v>
      </c>
      <c r="P316" s="15" t="e">
        <f t="shared" ca="1" si="148"/>
        <v>#N/A</v>
      </c>
      <c r="R316" s="15" t="s">
        <v>1064</v>
      </c>
      <c r="S316" s="15" t="s">
        <v>1071</v>
      </c>
      <c r="U316" s="54" t="s">
        <v>1595</v>
      </c>
      <c r="V316" s="15" t="s">
        <v>1588</v>
      </c>
      <c r="W316" s="54" t="s">
        <v>1582</v>
      </c>
    </row>
    <row r="317" spans="1:23" s="15" customFormat="1" x14ac:dyDescent="0.25">
      <c r="A317" s="15">
        <f>A316</f>
        <v>570</v>
      </c>
      <c r="B317" s="15" t="s">
        <v>1550</v>
      </c>
      <c r="C317" s="15" t="s">
        <v>1551</v>
      </c>
      <c r="D317" s="15" t="s">
        <v>157</v>
      </c>
      <c r="E317" s="15" t="b">
        <v>0</v>
      </c>
      <c r="F317" s="15" t="b">
        <v>0</v>
      </c>
      <c r="G317" s="15" t="b">
        <v>0</v>
      </c>
      <c r="H317" s="15">
        <v>0</v>
      </c>
      <c r="I317" s="31" t="str">
        <f t="shared" ca="1" si="138"/>
        <v>Код роли счета</v>
      </c>
      <c r="J317" s="15">
        <v>27</v>
      </c>
      <c r="K317" s="15" t="str">
        <f t="shared" ca="1" si="161"/>
        <v>b3050000420027_productaccount</v>
      </c>
      <c r="L317" s="15" t="s">
        <v>393</v>
      </c>
      <c r="M317" s="15" t="str">
        <f t="shared" ca="1" si="145"/>
        <v>text</v>
      </c>
      <c r="N317" s="15" t="b">
        <f t="shared" ca="1" si="146"/>
        <v>0</v>
      </c>
      <c r="O317" s="15" t="b">
        <f t="shared" ca="1" si="147"/>
        <v>0</v>
      </c>
      <c r="P317" s="15" t="str">
        <f t="shared" ca="1" si="148"/>
        <v>Тип счета</v>
      </c>
      <c r="U317" s="55"/>
      <c r="W317" s="60"/>
    </row>
    <row r="318" spans="1:23" s="15" customFormat="1" x14ac:dyDescent="0.25">
      <c r="A318" s="15">
        <f>A316</f>
        <v>570</v>
      </c>
      <c r="B318" s="15" t="s">
        <v>1550</v>
      </c>
      <c r="C318" s="15" t="s">
        <v>1553</v>
      </c>
      <c r="D318" s="15" t="s">
        <v>157</v>
      </c>
      <c r="E318" s="15" t="b">
        <v>0</v>
      </c>
      <c r="F318" s="15" t="b">
        <v>0</v>
      </c>
      <c r="G318" s="15" t="b">
        <v>0</v>
      </c>
      <c r="H318" s="15">
        <v>0</v>
      </c>
      <c r="I318" s="31" t="str">
        <f t="shared" ca="1" si="138"/>
        <v>Описание роли счета</v>
      </c>
      <c r="J318" s="15">
        <v>27</v>
      </c>
      <c r="K318" s="15" t="str">
        <f t="shared" ca="1" si="161"/>
        <v>b3050000420027_productaccount</v>
      </c>
      <c r="L318" s="15" t="s">
        <v>1075</v>
      </c>
      <c r="M318" s="15" t="e">
        <f t="shared" ca="1" si="145"/>
        <v>#N/A</v>
      </c>
      <c r="N318" s="15" t="e">
        <f t="shared" ca="1" si="146"/>
        <v>#N/A</v>
      </c>
      <c r="O318" s="15" t="e">
        <f t="shared" ca="1" si="147"/>
        <v>#N/A</v>
      </c>
      <c r="P318" s="15" t="e">
        <f t="shared" ca="1" si="148"/>
        <v>#N/A</v>
      </c>
      <c r="U318" s="55"/>
      <c r="W318" s="60"/>
    </row>
    <row r="319" spans="1:23" s="15" customFormat="1" ht="15.75" thickBot="1" x14ac:dyDescent="0.3">
      <c r="A319" s="2">
        <f>A316</f>
        <v>570</v>
      </c>
      <c r="B319" s="2" t="s">
        <v>1550</v>
      </c>
      <c r="C319" s="2" t="s">
        <v>1555</v>
      </c>
      <c r="D319" s="2" t="s">
        <v>157</v>
      </c>
      <c r="E319" s="2" t="b">
        <v>0</v>
      </c>
      <c r="F319" s="2" t="b">
        <v>0</v>
      </c>
      <c r="G319" s="2" t="b">
        <v>0</v>
      </c>
      <c r="H319" s="2">
        <v>0</v>
      </c>
      <c r="I319" s="2" t="str">
        <f t="shared" ca="1" si="138"/>
        <v>id роли счета в системе-источнике</v>
      </c>
      <c r="J319" s="2">
        <v>27</v>
      </c>
      <c r="K319" s="2" t="str">
        <f t="shared" ca="1" si="161"/>
        <v>b3050000420027_productaccount</v>
      </c>
      <c r="L319" s="2" t="s">
        <v>393</v>
      </c>
      <c r="M319" s="2" t="str">
        <f t="shared" ca="1" si="145"/>
        <v>text</v>
      </c>
      <c r="N319" s="2" t="b">
        <f t="shared" ca="1" si="146"/>
        <v>0</v>
      </c>
      <c r="O319" s="2" t="b">
        <f t="shared" ca="1" si="147"/>
        <v>0</v>
      </c>
      <c r="P319" s="2" t="str">
        <f t="shared" ca="1" si="148"/>
        <v>Тип счета</v>
      </c>
      <c r="Q319" s="2"/>
      <c r="R319" s="2"/>
      <c r="S319" s="2"/>
      <c r="T319" s="2"/>
      <c r="U319" s="56"/>
      <c r="V319" s="2"/>
      <c r="W319" s="53"/>
    </row>
    <row r="320" spans="1:23" s="15" customFormat="1" x14ac:dyDescent="0.25">
      <c r="A320" s="40">
        <v>580</v>
      </c>
      <c r="B320" s="15" t="s">
        <v>1564</v>
      </c>
      <c r="C320" s="15" t="s">
        <v>1558</v>
      </c>
      <c r="D320" s="15" t="s">
        <v>160</v>
      </c>
      <c r="E320" s="15" t="b">
        <v>1</v>
      </c>
      <c r="F320" s="15" t="b">
        <v>1</v>
      </c>
      <c r="G320" s="15" t="b">
        <v>0</v>
      </c>
      <c r="H320" s="15">
        <v>0</v>
      </c>
      <c r="I320" s="31" t="str">
        <f t="shared" ca="1" si="138"/>
        <v>id роли внешнего счета</v>
      </c>
      <c r="J320" s="15">
        <v>27</v>
      </c>
      <c r="K320" s="15" t="str">
        <f t="shared" ca="1" si="161"/>
        <v>b3050000420027_productaccount</v>
      </c>
      <c r="L320" s="15" t="s">
        <v>1594</v>
      </c>
      <c r="M320" s="15" t="e">
        <f t="shared" ca="1" si="145"/>
        <v>#N/A</v>
      </c>
      <c r="N320" s="15" t="e">
        <f t="shared" ca="1" si="146"/>
        <v>#N/A</v>
      </c>
      <c r="O320" s="15" t="e">
        <f t="shared" ca="1" si="147"/>
        <v>#N/A</v>
      </c>
      <c r="P320" s="15" t="e">
        <f t="shared" ca="1" si="148"/>
        <v>#N/A</v>
      </c>
      <c r="R320" s="15" t="s">
        <v>1064</v>
      </c>
      <c r="S320" s="15" t="s">
        <v>1071</v>
      </c>
      <c r="U320" s="54" t="s">
        <v>1595</v>
      </c>
      <c r="V320" s="15" t="s">
        <v>1590</v>
      </c>
      <c r="W320" s="54" t="s">
        <v>1585</v>
      </c>
    </row>
    <row r="321" spans="1:23" s="15" customFormat="1" x14ac:dyDescent="0.25">
      <c r="A321" s="15">
        <f>A320</f>
        <v>580</v>
      </c>
      <c r="B321" s="15" t="s">
        <v>1564</v>
      </c>
      <c r="C321" s="15" t="s">
        <v>1565</v>
      </c>
      <c r="D321" s="15" t="s">
        <v>157</v>
      </c>
      <c r="E321" s="15" t="b">
        <v>0</v>
      </c>
      <c r="F321" s="15" t="b">
        <v>0</v>
      </c>
      <c r="G321" s="15" t="b">
        <v>0</v>
      </c>
      <c r="H321" s="15">
        <v>0</v>
      </c>
      <c r="I321" s="31" t="str">
        <f t="shared" ca="1" si="138"/>
        <v>Код роли внешнего счета</v>
      </c>
      <c r="J321" s="15">
        <v>27</v>
      </c>
      <c r="K321" s="15" t="str">
        <f t="shared" ca="1" si="161"/>
        <v>b3050000420027_productaccount</v>
      </c>
      <c r="L321" s="15" t="s">
        <v>393</v>
      </c>
      <c r="M321" s="15" t="str">
        <f t="shared" ca="1" si="145"/>
        <v>text</v>
      </c>
      <c r="N321" s="15" t="b">
        <f t="shared" ca="1" si="146"/>
        <v>0</v>
      </c>
      <c r="O321" s="15" t="b">
        <f t="shared" ca="1" si="147"/>
        <v>0</v>
      </c>
      <c r="P321" s="15" t="str">
        <f t="shared" ca="1" si="148"/>
        <v>Тип счета</v>
      </c>
      <c r="U321" s="55"/>
      <c r="W321" s="60"/>
    </row>
    <row r="322" spans="1:23" s="15" customFormat="1" x14ac:dyDescent="0.25">
      <c r="A322" s="15">
        <f>A320</f>
        <v>580</v>
      </c>
      <c r="B322" s="15" t="s">
        <v>1564</v>
      </c>
      <c r="C322" s="15" t="s">
        <v>1567</v>
      </c>
      <c r="D322" s="15" t="s">
        <v>157</v>
      </c>
      <c r="E322" s="15" t="b">
        <v>0</v>
      </c>
      <c r="F322" s="15" t="b">
        <v>0</v>
      </c>
      <c r="G322" s="15" t="b">
        <v>0</v>
      </c>
      <c r="H322" s="15">
        <v>0</v>
      </c>
      <c r="I322" s="31" t="str">
        <f t="shared" ca="1" si="138"/>
        <v>Описание роли внешнего счета</v>
      </c>
      <c r="J322" s="15">
        <v>27</v>
      </c>
      <c r="K322" s="15" t="str">
        <f t="shared" ca="1" si="161"/>
        <v>b3050000420027_productaccount</v>
      </c>
      <c r="L322" s="15" t="s">
        <v>1075</v>
      </c>
      <c r="M322" s="15" t="e">
        <f t="shared" ca="1" si="145"/>
        <v>#N/A</v>
      </c>
      <c r="N322" s="15" t="e">
        <f t="shared" ca="1" si="146"/>
        <v>#N/A</v>
      </c>
      <c r="O322" s="15" t="e">
        <f t="shared" ca="1" si="147"/>
        <v>#N/A</v>
      </c>
      <c r="P322" s="15" t="e">
        <f t="shared" ca="1" si="148"/>
        <v>#N/A</v>
      </c>
      <c r="U322" s="55"/>
      <c r="W322" s="60"/>
    </row>
    <row r="323" spans="1:23" s="15" customFormat="1" ht="15.75" thickBot="1" x14ac:dyDescent="0.3">
      <c r="A323" s="2">
        <f>A320</f>
        <v>580</v>
      </c>
      <c r="B323" s="2" t="s">
        <v>1564</v>
      </c>
      <c r="C323" s="2" t="s">
        <v>1569</v>
      </c>
      <c r="D323" s="2" t="s">
        <v>157</v>
      </c>
      <c r="E323" s="2" t="b">
        <v>0</v>
      </c>
      <c r="F323" s="2" t="b">
        <v>0</v>
      </c>
      <c r="G323" s="2" t="b">
        <v>0</v>
      </c>
      <c r="H323" s="2">
        <v>0</v>
      </c>
      <c r="I323" s="2" t="str">
        <f t="shared" ca="1" si="138"/>
        <v>id роли внешнего счета в системе-источнике</v>
      </c>
      <c r="J323" s="2">
        <v>27</v>
      </c>
      <c r="K323" s="2" t="str">
        <f t="shared" ca="1" si="161"/>
        <v>b3050000420027_productaccount</v>
      </c>
      <c r="L323" s="2" t="s">
        <v>393</v>
      </c>
      <c r="M323" s="2" t="str">
        <f t="shared" ca="1" si="145"/>
        <v>text</v>
      </c>
      <c r="N323" s="2" t="b">
        <f t="shared" ca="1" si="146"/>
        <v>0</v>
      </c>
      <c r="O323" s="2" t="b">
        <f t="shared" ca="1" si="147"/>
        <v>0</v>
      </c>
      <c r="P323" s="2" t="str">
        <f t="shared" ca="1" si="148"/>
        <v>Тип счета</v>
      </c>
      <c r="Q323" s="2"/>
      <c r="R323" s="2"/>
      <c r="S323" s="2"/>
      <c r="T323" s="2"/>
      <c r="U323" s="56"/>
      <c r="V323" s="2"/>
      <c r="W323" s="53"/>
    </row>
    <row r="324" spans="1:23" x14ac:dyDescent="0.25">
      <c r="A324" s="40">
        <v>590</v>
      </c>
      <c r="B324" s="15" t="s">
        <v>1543</v>
      </c>
      <c r="C324" s="15" t="s">
        <v>1544</v>
      </c>
      <c r="D324" s="15" t="s">
        <v>160</v>
      </c>
      <c r="E324" s="15" t="b">
        <v>1</v>
      </c>
      <c r="F324" s="15" t="b">
        <v>1</v>
      </c>
      <c r="G324" s="15" t="b">
        <v>1</v>
      </c>
      <c r="H324" s="15" t="s">
        <v>1545</v>
      </c>
      <c r="I324" s="31" t="str">
        <f t="shared" ca="1" si="138"/>
        <v>id роли счета</v>
      </c>
      <c r="J324" s="15">
        <v>27</v>
      </c>
      <c r="K324" s="15" t="str">
        <f t="shared" ref="K324:K333" ca="1" si="162">VLOOKUP(J324, INDIRECT("source_tables"), 2, FALSE)</f>
        <v>b3050000420027_productaccount</v>
      </c>
      <c r="L324" s="15" t="s">
        <v>1600</v>
      </c>
      <c r="M324" s="15" t="e">
        <f t="shared" ca="1" si="145"/>
        <v>#N/A</v>
      </c>
      <c r="N324" s="15" t="e">
        <f t="shared" ca="1" si="146"/>
        <v>#N/A</v>
      </c>
      <c r="O324" s="15" t="e">
        <f t="shared" ca="1" si="147"/>
        <v>#N/A</v>
      </c>
      <c r="P324" s="15" t="e">
        <f t="shared" ca="1" si="148"/>
        <v>#N/A</v>
      </c>
      <c r="Q324" s="15"/>
      <c r="R324" s="15" t="s">
        <v>1064</v>
      </c>
      <c r="S324" s="15" t="s">
        <v>1065</v>
      </c>
      <c r="T324" s="15"/>
      <c r="U324" s="57" t="s">
        <v>1603</v>
      </c>
      <c r="V324" s="15" t="s">
        <v>1587</v>
      </c>
      <c r="W324" s="54" t="s">
        <v>1581</v>
      </c>
    </row>
    <row r="325" spans="1:23" x14ac:dyDescent="0.25">
      <c r="A325" s="15">
        <f>A324</f>
        <v>590</v>
      </c>
      <c r="B325" s="15" t="s">
        <v>1543</v>
      </c>
      <c r="C325" s="15" t="s">
        <v>737</v>
      </c>
      <c r="D325" s="15" t="s">
        <v>160</v>
      </c>
      <c r="E325" s="15" t="b">
        <v>1</v>
      </c>
      <c r="F325" s="15" t="b">
        <v>1</v>
      </c>
      <c r="G325" s="15" t="b">
        <v>1</v>
      </c>
      <c r="H325" s="15" t="s">
        <v>770</v>
      </c>
      <c r="I325" s="31" t="str">
        <f t="shared" ca="1" si="138"/>
        <v>id депозитного договора</v>
      </c>
      <c r="J325" s="15">
        <v>27</v>
      </c>
      <c r="K325" s="15" t="str">
        <f t="shared" ca="1" si="162"/>
        <v>b3050000420027_productaccount</v>
      </c>
      <c r="L325" s="15" t="s">
        <v>327</v>
      </c>
      <c r="M325" s="15" t="e">
        <f t="shared" ca="1" si="145"/>
        <v>#N/A</v>
      </c>
      <c r="N325" s="15" t="e">
        <f t="shared" ca="1" si="146"/>
        <v>#N/A</v>
      </c>
      <c r="O325" s="15" t="e">
        <f t="shared" ca="1" si="147"/>
        <v>#N/A</v>
      </c>
      <c r="P325" s="15" t="e">
        <f t="shared" ca="1" si="148"/>
        <v>#N/A</v>
      </c>
      <c r="Q325" s="15"/>
      <c r="R325" s="15" t="s">
        <v>1064</v>
      </c>
      <c r="S325" s="15"/>
      <c r="T325" s="15"/>
      <c r="U325" s="63"/>
      <c r="V325" s="15"/>
      <c r="W325" s="60"/>
    </row>
    <row r="326" spans="1:23" x14ac:dyDescent="0.25">
      <c r="A326" s="15">
        <f>A324</f>
        <v>590</v>
      </c>
      <c r="B326" s="15" t="s">
        <v>1543</v>
      </c>
      <c r="C326" s="15" t="s">
        <v>1547</v>
      </c>
      <c r="D326" s="15" t="s">
        <v>160</v>
      </c>
      <c r="E326" s="15" t="b">
        <v>1</v>
      </c>
      <c r="F326" s="15" t="b">
        <v>1</v>
      </c>
      <c r="G326" s="15" t="b">
        <v>1</v>
      </c>
      <c r="H326" s="15" t="s">
        <v>1548</v>
      </c>
      <c r="I326" s="31" t="str">
        <f t="shared" ca="1" si="138"/>
        <v>id счета</v>
      </c>
      <c r="J326" s="15">
        <v>27</v>
      </c>
      <c r="K326" s="15" t="str">
        <f t="shared" ca="1" si="162"/>
        <v>b3050000420027_productaccount</v>
      </c>
      <c r="L326" s="32" t="s">
        <v>180</v>
      </c>
      <c r="M326" s="15" t="e">
        <f t="shared" ca="1" si="145"/>
        <v>#N/A</v>
      </c>
      <c r="N326" s="15" t="e">
        <f t="shared" ca="1" si="146"/>
        <v>#N/A</v>
      </c>
      <c r="O326" s="15" t="e">
        <f t="shared" ca="1" si="147"/>
        <v>#N/A</v>
      </c>
      <c r="P326" s="15" t="e">
        <f t="shared" ca="1" si="148"/>
        <v>#N/A</v>
      </c>
      <c r="Q326" s="15"/>
      <c r="R326" s="15"/>
      <c r="S326" s="15"/>
      <c r="T326" s="15"/>
      <c r="U326" s="63"/>
      <c r="V326" s="15"/>
      <c r="W326" s="60"/>
    </row>
    <row r="327" spans="1:23" x14ac:dyDescent="0.25">
      <c r="A327" s="15">
        <f>A324</f>
        <v>590</v>
      </c>
      <c r="B327" s="15" t="s">
        <v>1543</v>
      </c>
      <c r="C327" s="15" t="s">
        <v>785</v>
      </c>
      <c r="D327" s="15" t="s">
        <v>750</v>
      </c>
      <c r="E327" s="15" t="b">
        <v>1</v>
      </c>
      <c r="F327" s="15" t="b">
        <v>1</v>
      </c>
      <c r="G327" s="15" t="b">
        <v>0</v>
      </c>
      <c r="H327" s="15">
        <v>0</v>
      </c>
      <c r="I327" s="31" t="str">
        <f t="shared" ca="1" si="138"/>
        <v>Дата начала действия</v>
      </c>
      <c r="J327" s="15">
        <v>27</v>
      </c>
      <c r="K327" s="15" t="str">
        <f t="shared" ca="1" si="162"/>
        <v>b3050000420027_productaccount</v>
      </c>
      <c r="L327" s="15" t="s">
        <v>216</v>
      </c>
      <c r="M327" s="15" t="str">
        <f t="shared" ca="1" si="145"/>
        <v>timestamp without time zone</v>
      </c>
      <c r="N327" s="15" t="b">
        <f t="shared" ca="1" si="146"/>
        <v>0</v>
      </c>
      <c r="O327" s="15" t="b">
        <f t="shared" ca="1" si="147"/>
        <v>0</v>
      </c>
      <c r="P327" s="15">
        <f t="shared" ca="1" si="148"/>
        <v>0</v>
      </c>
      <c r="Q327" s="15"/>
      <c r="R327" s="15" t="s">
        <v>1067</v>
      </c>
      <c r="S327" s="15"/>
      <c r="T327" s="15"/>
      <c r="U327" s="63"/>
      <c r="V327" s="15"/>
      <c r="W327" s="60"/>
    </row>
    <row r="328" spans="1:23" ht="15.75" thickBot="1" x14ac:dyDescent="0.3">
      <c r="A328" s="2">
        <f>A324</f>
        <v>590</v>
      </c>
      <c r="B328" s="2" t="s">
        <v>1543</v>
      </c>
      <c r="C328" s="2" t="s">
        <v>787</v>
      </c>
      <c r="D328" s="2" t="s">
        <v>750</v>
      </c>
      <c r="E328" s="2" t="b">
        <v>0</v>
      </c>
      <c r="F328" s="2" t="b">
        <v>0</v>
      </c>
      <c r="G328" s="2" t="b">
        <v>0</v>
      </c>
      <c r="H328" s="2">
        <v>0</v>
      </c>
      <c r="I328" s="2" t="str">
        <f t="shared" ca="1" si="138"/>
        <v>Дата окончания действия</v>
      </c>
      <c r="J328" s="2">
        <v>27</v>
      </c>
      <c r="K328" s="2" t="str">
        <f t="shared" ca="1" si="162"/>
        <v>b3050000420027_productaccount</v>
      </c>
      <c r="L328" s="2" t="s">
        <v>1068</v>
      </c>
      <c r="M328" s="2" t="e">
        <f t="shared" ca="1" si="145"/>
        <v>#N/A</v>
      </c>
      <c r="N328" s="2" t="e">
        <f t="shared" ca="1" si="146"/>
        <v>#N/A</v>
      </c>
      <c r="O328" s="2" t="e">
        <f t="shared" ca="1" si="147"/>
        <v>#N/A</v>
      </c>
      <c r="P328" s="2" t="e">
        <f t="shared" ca="1" si="148"/>
        <v>#N/A</v>
      </c>
      <c r="Q328" s="2"/>
      <c r="R328" s="2" t="s">
        <v>1069</v>
      </c>
      <c r="S328" s="2"/>
      <c r="T328" s="2"/>
      <c r="U328" s="64"/>
      <c r="V328" s="2"/>
      <c r="W328" s="53"/>
    </row>
    <row r="329" spans="1:23" x14ac:dyDescent="0.25">
      <c r="A329" s="40">
        <v>600</v>
      </c>
      <c r="B329" s="15" t="s">
        <v>1557</v>
      </c>
      <c r="C329" s="15" t="s">
        <v>1558</v>
      </c>
      <c r="D329" s="15" t="s">
        <v>160</v>
      </c>
      <c r="E329" s="15" t="b">
        <v>1</v>
      </c>
      <c r="F329" s="15" t="b">
        <v>1</v>
      </c>
      <c r="G329" s="15" t="b">
        <v>1</v>
      </c>
      <c r="H329" s="15" t="s">
        <v>1559</v>
      </c>
      <c r="I329" s="31" t="str">
        <f t="shared" ca="1" si="138"/>
        <v>id роли внешнего счета</v>
      </c>
      <c r="J329" s="15">
        <v>27</v>
      </c>
      <c r="K329" s="15" t="str">
        <f t="shared" ca="1" si="162"/>
        <v>b3050000420027_productaccount</v>
      </c>
      <c r="L329" s="15" t="s">
        <v>1600</v>
      </c>
      <c r="M329" s="15" t="e">
        <f t="shared" ca="1" si="145"/>
        <v>#N/A</v>
      </c>
      <c r="N329" s="15" t="e">
        <f t="shared" ca="1" si="146"/>
        <v>#N/A</v>
      </c>
      <c r="O329" s="15" t="e">
        <f t="shared" ca="1" si="147"/>
        <v>#N/A</v>
      </c>
      <c r="P329" s="15" t="e">
        <f t="shared" ca="1" si="148"/>
        <v>#N/A</v>
      </c>
      <c r="Q329" s="15"/>
      <c r="R329" s="15" t="s">
        <v>1064</v>
      </c>
      <c r="S329" s="15" t="s">
        <v>1065</v>
      </c>
      <c r="T329" s="15"/>
      <c r="U329" s="57" t="s">
        <v>1604</v>
      </c>
      <c r="V329" s="15" t="s">
        <v>1589</v>
      </c>
      <c r="W329" s="54" t="s">
        <v>1584</v>
      </c>
    </row>
    <row r="330" spans="1:23" x14ac:dyDescent="0.25">
      <c r="A330" s="15">
        <f>A329</f>
        <v>600</v>
      </c>
      <c r="B330" s="15" t="s">
        <v>1557</v>
      </c>
      <c r="C330" s="15" t="s">
        <v>737</v>
      </c>
      <c r="D330" s="15" t="s">
        <v>160</v>
      </c>
      <c r="E330" s="15" t="b">
        <v>1</v>
      </c>
      <c r="F330" s="15" t="b">
        <v>1</v>
      </c>
      <c r="G330" s="15" t="b">
        <v>1</v>
      </c>
      <c r="H330" s="15" t="s">
        <v>770</v>
      </c>
      <c r="I330" s="31" t="str">
        <f t="shared" ca="1" si="138"/>
        <v>id депозитного договора</v>
      </c>
      <c r="J330" s="15">
        <v>27</v>
      </c>
      <c r="K330" s="15" t="str">
        <f t="shared" ca="1" si="162"/>
        <v>b3050000420027_productaccount</v>
      </c>
      <c r="L330" s="15" t="s">
        <v>327</v>
      </c>
      <c r="M330" s="15" t="e">
        <f t="shared" ca="1" si="145"/>
        <v>#N/A</v>
      </c>
      <c r="N330" s="15" t="e">
        <f t="shared" ca="1" si="146"/>
        <v>#N/A</v>
      </c>
      <c r="O330" s="15" t="e">
        <f t="shared" ca="1" si="147"/>
        <v>#N/A</v>
      </c>
      <c r="P330" s="15" t="e">
        <f t="shared" ca="1" si="148"/>
        <v>#N/A</v>
      </c>
      <c r="Q330" s="15"/>
      <c r="R330" s="15" t="s">
        <v>1064</v>
      </c>
      <c r="S330" s="15"/>
      <c r="T330" s="15"/>
      <c r="U330" s="63"/>
      <c r="V330" s="15"/>
      <c r="W330" s="60"/>
    </row>
    <row r="331" spans="1:23" x14ac:dyDescent="0.25">
      <c r="A331" s="15">
        <f>A329</f>
        <v>600</v>
      </c>
      <c r="B331" s="15" t="s">
        <v>1557</v>
      </c>
      <c r="C331" s="15" t="s">
        <v>1561</v>
      </c>
      <c r="D331" s="15" t="s">
        <v>160</v>
      </c>
      <c r="E331" s="15" t="b">
        <v>1</v>
      </c>
      <c r="F331" s="15" t="b">
        <v>1</v>
      </c>
      <c r="G331" s="15" t="b">
        <v>1</v>
      </c>
      <c r="H331" s="15" t="s">
        <v>1562</v>
      </c>
      <c r="I331" s="31" t="str">
        <f t="shared" ca="1" si="138"/>
        <v>id внешнего счета</v>
      </c>
      <c r="J331" s="15">
        <v>27</v>
      </c>
      <c r="K331" s="15" t="str">
        <f t="shared" ca="1" si="162"/>
        <v>b3050000420027_productaccount</v>
      </c>
      <c r="L331" s="32" t="s">
        <v>1593</v>
      </c>
      <c r="M331" s="15" t="e">
        <f t="shared" ca="1" si="145"/>
        <v>#N/A</v>
      </c>
      <c r="N331" s="15" t="e">
        <f t="shared" ca="1" si="146"/>
        <v>#N/A</v>
      </c>
      <c r="O331" s="15" t="e">
        <f t="shared" ca="1" si="147"/>
        <v>#N/A</v>
      </c>
      <c r="P331" s="15" t="e">
        <f t="shared" ca="1" si="148"/>
        <v>#N/A</v>
      </c>
      <c r="Q331" s="15"/>
      <c r="R331" s="15"/>
      <c r="S331" s="15"/>
      <c r="T331" s="15"/>
      <c r="U331" s="63"/>
      <c r="V331" s="15"/>
      <c r="W331" s="60"/>
    </row>
    <row r="332" spans="1:23" x14ac:dyDescent="0.25">
      <c r="A332" s="15">
        <f>A329</f>
        <v>600</v>
      </c>
      <c r="B332" s="15" t="s">
        <v>1557</v>
      </c>
      <c r="C332" s="15" t="s">
        <v>785</v>
      </c>
      <c r="D332" s="15" t="s">
        <v>750</v>
      </c>
      <c r="E332" s="15" t="b">
        <v>1</v>
      </c>
      <c r="F332" s="15" t="b">
        <v>1</v>
      </c>
      <c r="G332" s="15" t="b">
        <v>0</v>
      </c>
      <c r="H332" s="15">
        <v>0</v>
      </c>
      <c r="I332" s="31" t="str">
        <f t="shared" ca="1" si="138"/>
        <v>Дата начала действия</v>
      </c>
      <c r="J332" s="15">
        <v>27</v>
      </c>
      <c r="K332" s="15" t="str">
        <f t="shared" ca="1" si="162"/>
        <v>b3050000420027_productaccount</v>
      </c>
      <c r="L332" s="15" t="s">
        <v>216</v>
      </c>
      <c r="M332" s="15" t="str">
        <f t="shared" ca="1" si="145"/>
        <v>timestamp without time zone</v>
      </c>
      <c r="N332" s="15" t="b">
        <f t="shared" ca="1" si="146"/>
        <v>0</v>
      </c>
      <c r="O332" s="15" t="b">
        <f t="shared" ca="1" si="147"/>
        <v>0</v>
      </c>
      <c r="P332" s="15">
        <f t="shared" ca="1" si="148"/>
        <v>0</v>
      </c>
      <c r="Q332" s="15"/>
      <c r="R332" s="15" t="s">
        <v>1067</v>
      </c>
      <c r="S332" s="15"/>
      <c r="T332" s="15"/>
      <c r="U332" s="63"/>
      <c r="V332" s="15"/>
      <c r="W332" s="60"/>
    </row>
    <row r="333" spans="1:23" ht="15.75" thickBot="1" x14ac:dyDescent="0.3">
      <c r="A333" s="2">
        <f>A329</f>
        <v>600</v>
      </c>
      <c r="B333" s="2" t="s">
        <v>1557</v>
      </c>
      <c r="C333" s="2" t="s">
        <v>787</v>
      </c>
      <c r="D333" s="2" t="s">
        <v>750</v>
      </c>
      <c r="E333" s="2" t="b">
        <v>0</v>
      </c>
      <c r="F333" s="2" t="b">
        <v>0</v>
      </c>
      <c r="G333" s="2" t="b">
        <v>0</v>
      </c>
      <c r="H333" s="2">
        <v>0</v>
      </c>
      <c r="I333" s="2" t="str">
        <f t="shared" ca="1" si="138"/>
        <v>Дата окончания действия</v>
      </c>
      <c r="J333" s="2">
        <v>27</v>
      </c>
      <c r="K333" s="2" t="str">
        <f t="shared" ca="1" si="162"/>
        <v>b3050000420027_productaccount</v>
      </c>
      <c r="L333" s="2" t="s">
        <v>1068</v>
      </c>
      <c r="M333" s="2" t="e">
        <f t="shared" ca="1" si="145"/>
        <v>#N/A</v>
      </c>
      <c r="N333" s="2" t="e">
        <f t="shared" ca="1" si="146"/>
        <v>#N/A</v>
      </c>
      <c r="O333" s="2" t="e">
        <f t="shared" ca="1" si="147"/>
        <v>#N/A</v>
      </c>
      <c r="P333" s="2" t="e">
        <f t="shared" ca="1" si="148"/>
        <v>#N/A</v>
      </c>
      <c r="Q333" s="2"/>
      <c r="R333" s="2" t="s">
        <v>1069</v>
      </c>
      <c r="S333" s="2"/>
      <c r="T333" s="2"/>
      <c r="U333" s="64"/>
      <c r="V333" s="2"/>
      <c r="W333" s="53"/>
    </row>
    <row r="336" spans="1:23" x14ac:dyDescent="0.25">
      <c r="V336" s="15"/>
    </row>
    <row r="337" spans="12:22" x14ac:dyDescent="0.25">
      <c r="V337" s="15"/>
    </row>
    <row r="338" spans="12:22" x14ac:dyDescent="0.25">
      <c r="L338" s="15"/>
      <c r="V338" s="15"/>
    </row>
    <row r="339" spans="12:22" x14ac:dyDescent="0.25">
      <c r="V339" s="15"/>
    </row>
    <row r="340" spans="12:22" x14ac:dyDescent="0.25">
      <c r="V340" s="15"/>
    </row>
    <row r="341" spans="12:22" x14ac:dyDescent="0.25">
      <c r="V341" s="15"/>
    </row>
    <row r="342" spans="12:22" x14ac:dyDescent="0.25">
      <c r="V342" s="15"/>
    </row>
  </sheetData>
  <autoFilter ref="A1:W333"/>
  <mergeCells count="110">
    <mergeCell ref="W324:W328"/>
    <mergeCell ref="W329:W333"/>
    <mergeCell ref="U308:U311"/>
    <mergeCell ref="U312:U315"/>
    <mergeCell ref="U324:U328"/>
    <mergeCell ref="U329:U333"/>
    <mergeCell ref="U316:U319"/>
    <mergeCell ref="U320:U323"/>
    <mergeCell ref="W308:W311"/>
    <mergeCell ref="W312:W315"/>
    <mergeCell ref="W316:W319"/>
    <mergeCell ref="W320:W323"/>
    <mergeCell ref="W302:W307"/>
    <mergeCell ref="W101:W106"/>
    <mergeCell ref="W107:W110"/>
    <mergeCell ref="W266:W276"/>
    <mergeCell ref="W277:W281"/>
    <mergeCell ref="W282:W294"/>
    <mergeCell ref="W295:W297"/>
    <mergeCell ref="W298:W301"/>
    <mergeCell ref="W227:W229"/>
    <mergeCell ref="W230:W232"/>
    <mergeCell ref="W233:W243"/>
    <mergeCell ref="W244:W254"/>
    <mergeCell ref="W255:W265"/>
    <mergeCell ref="W193:W205"/>
    <mergeCell ref="W206:W208"/>
    <mergeCell ref="W209:W212"/>
    <mergeCell ref="W224:W226"/>
    <mergeCell ref="W164:W167"/>
    <mergeCell ref="W168:W171"/>
    <mergeCell ref="W172:W175"/>
    <mergeCell ref="W176:W188"/>
    <mergeCell ref="W189:W192"/>
    <mergeCell ref="W138:W147"/>
    <mergeCell ref="W148:W151"/>
    <mergeCell ref="W152:W159"/>
    <mergeCell ref="W160:W163"/>
    <mergeCell ref="W213:W223"/>
    <mergeCell ref="W118:W120"/>
    <mergeCell ref="W121:W125"/>
    <mergeCell ref="W126:W130"/>
    <mergeCell ref="W131:W133"/>
    <mergeCell ref="W134:W137"/>
    <mergeCell ref="W82:W94"/>
    <mergeCell ref="W95:W100"/>
    <mergeCell ref="W111:W114"/>
    <mergeCell ref="U282:U294"/>
    <mergeCell ref="U244:U254"/>
    <mergeCell ref="U255:U265"/>
    <mergeCell ref="U266:U276"/>
    <mergeCell ref="U277:U281"/>
    <mergeCell ref="U209:U212"/>
    <mergeCell ref="U213:U223"/>
    <mergeCell ref="U224:U226"/>
    <mergeCell ref="U227:U229"/>
    <mergeCell ref="U230:U232"/>
    <mergeCell ref="U172:U175"/>
    <mergeCell ref="U176:U188"/>
    <mergeCell ref="W115:W117"/>
    <mergeCell ref="U295:U297"/>
    <mergeCell ref="U298:U301"/>
    <mergeCell ref="U302:U307"/>
    <mergeCell ref="W2:W16"/>
    <mergeCell ref="W29:W32"/>
    <mergeCell ref="W33:W42"/>
    <mergeCell ref="W43:W46"/>
    <mergeCell ref="W47:W50"/>
    <mergeCell ref="W51:W54"/>
    <mergeCell ref="W55:W58"/>
    <mergeCell ref="W59:W65"/>
    <mergeCell ref="W66:W69"/>
    <mergeCell ref="W70:W73"/>
    <mergeCell ref="W74:W77"/>
    <mergeCell ref="U233:U243"/>
    <mergeCell ref="W78:W81"/>
    <mergeCell ref="U189:U192"/>
    <mergeCell ref="U193:U205"/>
    <mergeCell ref="U206:U208"/>
    <mergeCell ref="U148:U151"/>
    <mergeCell ref="U152:U159"/>
    <mergeCell ref="U168:U171"/>
    <mergeCell ref="U121:U125"/>
    <mergeCell ref="U126:U130"/>
    <mergeCell ref="U131:U133"/>
    <mergeCell ref="U134:U137"/>
    <mergeCell ref="U138:U147"/>
    <mergeCell ref="U101:U106"/>
    <mergeCell ref="U107:U110"/>
    <mergeCell ref="U111:U114"/>
    <mergeCell ref="U115:U117"/>
    <mergeCell ref="U118:U120"/>
    <mergeCell ref="U82:U94"/>
    <mergeCell ref="U95:U100"/>
    <mergeCell ref="U47:U50"/>
    <mergeCell ref="U51:U54"/>
    <mergeCell ref="U55:U58"/>
    <mergeCell ref="U59:U65"/>
    <mergeCell ref="U66:U69"/>
    <mergeCell ref="U160:U163"/>
    <mergeCell ref="U164:U167"/>
    <mergeCell ref="W17:W28"/>
    <mergeCell ref="U2:U16"/>
    <mergeCell ref="U29:U32"/>
    <mergeCell ref="U33:U42"/>
    <mergeCell ref="U43:U46"/>
    <mergeCell ref="U17:U28"/>
    <mergeCell ref="U70:U73"/>
    <mergeCell ref="U74:U77"/>
    <mergeCell ref="U78:U81"/>
  </mergeCells>
  <conditionalFormatting sqref="E304">
    <cfRule type="cellIs" dxfId="152" priority="168" operator="equal">
      <formula>TRUE</formula>
    </cfRule>
  </conditionalFormatting>
  <conditionalFormatting sqref="F304">
    <cfRule type="cellIs" dxfId="151" priority="167" operator="equal">
      <formula>TRUE</formula>
    </cfRule>
  </conditionalFormatting>
  <conditionalFormatting sqref="G304">
    <cfRule type="cellIs" dxfId="150" priority="166" operator="equal">
      <formula>TRUE</formula>
    </cfRule>
  </conditionalFormatting>
  <conditionalFormatting sqref="G22:G37 G43:G100 G107:G174 G16:G20 G1:G14">
    <cfRule type="cellIs" dxfId="149" priority="165" operator="equal">
      <formula>TRUE</formula>
    </cfRule>
  </conditionalFormatting>
  <conditionalFormatting sqref="O107:O174 O1:O14 O94:O100 F22:F37 O43:O91 F43:F100 O22:O37 F107:F174 F16:F20 O16:O20 F1:F14">
    <cfRule type="cellIs" dxfId="148" priority="164" operator="equal">
      <formula>TRUE</formula>
    </cfRule>
  </conditionalFormatting>
  <conditionalFormatting sqref="N107:N174 N1:N14 N94:N100 E22:E37 N43:N91 E43:E100 N22:N37 E107:E174 E16:E20 N16:N20 E1:E14">
    <cfRule type="cellIs" dxfId="147" priority="163" operator="equal">
      <formula>TRUE</formula>
    </cfRule>
  </conditionalFormatting>
  <conditionalFormatting sqref="A1:V1">
    <cfRule type="cellIs" dxfId="146" priority="162" operator="greaterThan">
      <formula>-99999999999</formula>
    </cfRule>
  </conditionalFormatting>
  <conditionalFormatting sqref="O176:O184">
    <cfRule type="cellIs" dxfId="145" priority="161" operator="equal">
      <formula>TRUE</formula>
    </cfRule>
  </conditionalFormatting>
  <conditionalFormatting sqref="N176:N184">
    <cfRule type="cellIs" dxfId="144" priority="160" operator="equal">
      <formula>TRUE</formula>
    </cfRule>
  </conditionalFormatting>
  <conditionalFormatting sqref="G176:G184">
    <cfRule type="cellIs" dxfId="143" priority="159" operator="equal">
      <formula>TRUE</formula>
    </cfRule>
  </conditionalFormatting>
  <conditionalFormatting sqref="F176:F184">
    <cfRule type="cellIs" dxfId="142" priority="158" operator="equal">
      <formula>TRUE</formula>
    </cfRule>
  </conditionalFormatting>
  <conditionalFormatting sqref="E176:E184">
    <cfRule type="cellIs" dxfId="141" priority="157" operator="equal">
      <formula>TRUE</formula>
    </cfRule>
  </conditionalFormatting>
  <conditionalFormatting sqref="O189:O192">
    <cfRule type="cellIs" dxfId="140" priority="156" operator="equal">
      <formula>TRUE</formula>
    </cfRule>
  </conditionalFormatting>
  <conditionalFormatting sqref="N189:N192">
    <cfRule type="cellIs" dxfId="139" priority="155" operator="equal">
      <formula>TRUE</formula>
    </cfRule>
  </conditionalFormatting>
  <conditionalFormatting sqref="G189:G192">
    <cfRule type="cellIs" dxfId="138" priority="154" operator="equal">
      <formula>TRUE</formula>
    </cfRule>
  </conditionalFormatting>
  <conditionalFormatting sqref="F189:F192">
    <cfRule type="cellIs" dxfId="137" priority="153" operator="equal">
      <formula>TRUE</formula>
    </cfRule>
  </conditionalFormatting>
  <conditionalFormatting sqref="E189:E192">
    <cfRule type="cellIs" dxfId="136" priority="152" operator="equal">
      <formula>TRUE</formula>
    </cfRule>
  </conditionalFormatting>
  <conditionalFormatting sqref="O193:O201">
    <cfRule type="cellIs" dxfId="135" priority="151" operator="equal">
      <formula>TRUE</formula>
    </cfRule>
  </conditionalFormatting>
  <conditionalFormatting sqref="N193:N201">
    <cfRule type="cellIs" dxfId="134" priority="150" operator="equal">
      <formula>TRUE</formula>
    </cfRule>
  </conditionalFormatting>
  <conditionalFormatting sqref="G193:G201">
    <cfRule type="cellIs" dxfId="133" priority="149" operator="equal">
      <formula>TRUE</formula>
    </cfRule>
  </conditionalFormatting>
  <conditionalFormatting sqref="F193:F201">
    <cfRule type="cellIs" dxfId="132" priority="148" operator="equal">
      <formula>TRUE</formula>
    </cfRule>
  </conditionalFormatting>
  <conditionalFormatting sqref="E193:E201">
    <cfRule type="cellIs" dxfId="131" priority="147" operator="equal">
      <formula>TRUE</formula>
    </cfRule>
  </conditionalFormatting>
  <conditionalFormatting sqref="G101:G106">
    <cfRule type="cellIs" dxfId="130" priority="141" operator="equal">
      <formula>TRUE</formula>
    </cfRule>
  </conditionalFormatting>
  <conditionalFormatting sqref="F101:F106 O101:O106">
    <cfRule type="cellIs" dxfId="129" priority="140" operator="equal">
      <formula>TRUE</formula>
    </cfRule>
  </conditionalFormatting>
  <conditionalFormatting sqref="E101:E106 N101:N106">
    <cfRule type="cellIs" dxfId="128" priority="139" operator="equal">
      <formula>TRUE</formula>
    </cfRule>
  </conditionalFormatting>
  <conditionalFormatting sqref="O206:O208">
    <cfRule type="cellIs" dxfId="127" priority="135" operator="equal">
      <formula>TRUE</formula>
    </cfRule>
  </conditionalFormatting>
  <conditionalFormatting sqref="N206:N208">
    <cfRule type="cellIs" dxfId="126" priority="134" operator="equal">
      <formula>TRUE</formula>
    </cfRule>
  </conditionalFormatting>
  <conditionalFormatting sqref="G206:G208">
    <cfRule type="cellIs" dxfId="125" priority="133" operator="equal">
      <formula>TRUE</formula>
    </cfRule>
  </conditionalFormatting>
  <conditionalFormatting sqref="F206:F208">
    <cfRule type="cellIs" dxfId="124" priority="132" operator="equal">
      <formula>TRUE</formula>
    </cfRule>
  </conditionalFormatting>
  <conditionalFormatting sqref="E206:E208">
    <cfRule type="cellIs" dxfId="123" priority="131" operator="equal">
      <formula>TRUE</formula>
    </cfRule>
  </conditionalFormatting>
  <conditionalFormatting sqref="O209:O212">
    <cfRule type="cellIs" dxfId="122" priority="130" operator="equal">
      <formula>TRUE</formula>
    </cfRule>
  </conditionalFormatting>
  <conditionalFormatting sqref="N209:N212">
    <cfRule type="cellIs" dxfId="121" priority="129" operator="equal">
      <formula>TRUE</formula>
    </cfRule>
  </conditionalFormatting>
  <conditionalFormatting sqref="G209:G212">
    <cfRule type="cellIs" dxfId="120" priority="128" operator="equal">
      <formula>TRUE</formula>
    </cfRule>
  </conditionalFormatting>
  <conditionalFormatting sqref="F209:F212">
    <cfRule type="cellIs" dxfId="119" priority="127" operator="equal">
      <formula>TRUE</formula>
    </cfRule>
  </conditionalFormatting>
  <conditionalFormatting sqref="E209:E212">
    <cfRule type="cellIs" dxfId="118" priority="126" operator="equal">
      <formula>TRUE</formula>
    </cfRule>
  </conditionalFormatting>
  <conditionalFormatting sqref="O213:O223">
    <cfRule type="cellIs" dxfId="117" priority="125" operator="equal">
      <formula>TRUE</formula>
    </cfRule>
  </conditionalFormatting>
  <conditionalFormatting sqref="N213:N223">
    <cfRule type="cellIs" dxfId="116" priority="124" operator="equal">
      <formula>TRUE</formula>
    </cfRule>
  </conditionalFormatting>
  <conditionalFormatting sqref="G213:G223">
    <cfRule type="cellIs" dxfId="115" priority="123" operator="equal">
      <formula>TRUE</formula>
    </cfRule>
  </conditionalFormatting>
  <conditionalFormatting sqref="F213:F223">
    <cfRule type="cellIs" dxfId="114" priority="122" operator="equal">
      <formula>TRUE</formula>
    </cfRule>
  </conditionalFormatting>
  <conditionalFormatting sqref="E213:E223">
    <cfRule type="cellIs" dxfId="113" priority="121" operator="equal">
      <formula>TRUE</formula>
    </cfRule>
  </conditionalFormatting>
  <conditionalFormatting sqref="O224:O226">
    <cfRule type="cellIs" dxfId="112" priority="120" operator="equal">
      <formula>TRUE</formula>
    </cfRule>
  </conditionalFormatting>
  <conditionalFormatting sqref="N224:N226">
    <cfRule type="cellIs" dxfId="111" priority="119" operator="equal">
      <formula>TRUE</formula>
    </cfRule>
  </conditionalFormatting>
  <conditionalFormatting sqref="G224:G226">
    <cfRule type="cellIs" dxfId="110" priority="118" operator="equal">
      <formula>TRUE</formula>
    </cfRule>
  </conditionalFormatting>
  <conditionalFormatting sqref="F224:F226">
    <cfRule type="cellIs" dxfId="109" priority="117" operator="equal">
      <formula>TRUE</formula>
    </cfRule>
  </conditionalFormatting>
  <conditionalFormatting sqref="E224:E226">
    <cfRule type="cellIs" dxfId="108" priority="116" operator="equal">
      <formula>TRUE</formula>
    </cfRule>
  </conditionalFormatting>
  <conditionalFormatting sqref="O227:O229">
    <cfRule type="cellIs" dxfId="107" priority="115" operator="equal">
      <formula>TRUE</formula>
    </cfRule>
  </conditionalFormatting>
  <conditionalFormatting sqref="N227:N229">
    <cfRule type="cellIs" dxfId="106" priority="114" operator="equal">
      <formula>TRUE</formula>
    </cfRule>
  </conditionalFormatting>
  <conditionalFormatting sqref="G227:G229">
    <cfRule type="cellIs" dxfId="105" priority="113" operator="equal">
      <formula>TRUE</formula>
    </cfRule>
  </conditionalFormatting>
  <conditionalFormatting sqref="F227:F229">
    <cfRule type="cellIs" dxfId="104" priority="112" operator="equal">
      <formula>TRUE</formula>
    </cfRule>
  </conditionalFormatting>
  <conditionalFormatting sqref="E227:E229">
    <cfRule type="cellIs" dxfId="103" priority="111" operator="equal">
      <formula>TRUE</formula>
    </cfRule>
  </conditionalFormatting>
  <conditionalFormatting sqref="O230:O232">
    <cfRule type="cellIs" dxfId="102" priority="110" operator="equal">
      <formula>TRUE</formula>
    </cfRule>
  </conditionalFormatting>
  <conditionalFormatting sqref="N230:N232">
    <cfRule type="cellIs" dxfId="101" priority="109" operator="equal">
      <formula>TRUE</formula>
    </cfRule>
  </conditionalFormatting>
  <conditionalFormatting sqref="G230:G232">
    <cfRule type="cellIs" dxfId="100" priority="108" operator="equal">
      <formula>TRUE</formula>
    </cfRule>
  </conditionalFormatting>
  <conditionalFormatting sqref="F230:F232">
    <cfRule type="cellIs" dxfId="99" priority="107" operator="equal">
      <formula>TRUE</formula>
    </cfRule>
  </conditionalFormatting>
  <conditionalFormatting sqref="E230:E232">
    <cfRule type="cellIs" dxfId="98" priority="106" operator="equal">
      <formula>TRUE</formula>
    </cfRule>
  </conditionalFormatting>
  <conditionalFormatting sqref="O233:O243">
    <cfRule type="cellIs" dxfId="97" priority="105" operator="equal">
      <formula>TRUE</formula>
    </cfRule>
  </conditionalFormatting>
  <conditionalFormatting sqref="N233:N243">
    <cfRule type="cellIs" dxfId="96" priority="104" operator="equal">
      <formula>TRUE</formula>
    </cfRule>
  </conditionalFormatting>
  <conditionalFormatting sqref="G233:G243">
    <cfRule type="cellIs" dxfId="95" priority="103" operator="equal">
      <formula>TRUE</formula>
    </cfRule>
  </conditionalFormatting>
  <conditionalFormatting sqref="F233:F243">
    <cfRule type="cellIs" dxfId="94" priority="102" operator="equal">
      <formula>TRUE</formula>
    </cfRule>
  </conditionalFormatting>
  <conditionalFormatting sqref="E233:E243">
    <cfRule type="cellIs" dxfId="93" priority="101" operator="equal">
      <formula>TRUE</formula>
    </cfRule>
  </conditionalFormatting>
  <conditionalFormatting sqref="O244:O254">
    <cfRule type="cellIs" dxfId="92" priority="100" operator="equal">
      <formula>TRUE</formula>
    </cfRule>
  </conditionalFormatting>
  <conditionalFormatting sqref="N244:N254">
    <cfRule type="cellIs" dxfId="91" priority="99" operator="equal">
      <formula>TRUE</formula>
    </cfRule>
  </conditionalFormatting>
  <conditionalFormatting sqref="G244:G254">
    <cfRule type="cellIs" dxfId="90" priority="98" operator="equal">
      <formula>TRUE</formula>
    </cfRule>
  </conditionalFormatting>
  <conditionalFormatting sqref="F244:F254">
    <cfRule type="cellIs" dxfId="89" priority="97" operator="equal">
      <formula>TRUE</formula>
    </cfRule>
  </conditionalFormatting>
  <conditionalFormatting sqref="E244:E254">
    <cfRule type="cellIs" dxfId="88" priority="96" operator="equal">
      <formula>TRUE</formula>
    </cfRule>
  </conditionalFormatting>
  <conditionalFormatting sqref="O255:O265">
    <cfRule type="cellIs" dxfId="87" priority="95" operator="equal">
      <formula>TRUE</formula>
    </cfRule>
  </conditionalFormatting>
  <conditionalFormatting sqref="N255:N265">
    <cfRule type="cellIs" dxfId="86" priority="94" operator="equal">
      <formula>TRUE</formula>
    </cfRule>
  </conditionalFormatting>
  <conditionalFormatting sqref="G255:G265">
    <cfRule type="cellIs" dxfId="85" priority="93" operator="equal">
      <formula>TRUE</formula>
    </cfRule>
  </conditionalFormatting>
  <conditionalFormatting sqref="F255:F265">
    <cfRule type="cellIs" dxfId="84" priority="92" operator="equal">
      <formula>TRUE</formula>
    </cfRule>
  </conditionalFormatting>
  <conditionalFormatting sqref="E255:E265">
    <cfRule type="cellIs" dxfId="83" priority="91" operator="equal">
      <formula>TRUE</formula>
    </cfRule>
  </conditionalFormatting>
  <conditionalFormatting sqref="O266:O276">
    <cfRule type="cellIs" dxfId="82" priority="90" operator="equal">
      <formula>TRUE</formula>
    </cfRule>
  </conditionalFormatting>
  <conditionalFormatting sqref="N266:N276">
    <cfRule type="cellIs" dxfId="81" priority="89" operator="equal">
      <formula>TRUE</formula>
    </cfRule>
  </conditionalFormatting>
  <conditionalFormatting sqref="G266:G276">
    <cfRule type="cellIs" dxfId="80" priority="88" operator="equal">
      <formula>TRUE</formula>
    </cfRule>
  </conditionalFormatting>
  <conditionalFormatting sqref="F266:F276">
    <cfRule type="cellIs" dxfId="79" priority="87" operator="equal">
      <formula>TRUE</formula>
    </cfRule>
  </conditionalFormatting>
  <conditionalFormatting sqref="E266:E276">
    <cfRule type="cellIs" dxfId="78" priority="86" operator="equal">
      <formula>TRUE</formula>
    </cfRule>
  </conditionalFormatting>
  <conditionalFormatting sqref="O277:O281">
    <cfRule type="cellIs" dxfId="77" priority="85" operator="equal">
      <formula>TRUE</formula>
    </cfRule>
  </conditionalFormatting>
  <conditionalFormatting sqref="N277:N281">
    <cfRule type="cellIs" dxfId="76" priority="84" operator="equal">
      <formula>TRUE</formula>
    </cfRule>
  </conditionalFormatting>
  <conditionalFormatting sqref="G277:G281">
    <cfRule type="cellIs" dxfId="75" priority="83" operator="equal">
      <formula>TRUE</formula>
    </cfRule>
  </conditionalFormatting>
  <conditionalFormatting sqref="F277:F281">
    <cfRule type="cellIs" dxfId="74" priority="82" operator="equal">
      <formula>TRUE</formula>
    </cfRule>
  </conditionalFormatting>
  <conditionalFormatting sqref="E277:E281">
    <cfRule type="cellIs" dxfId="73" priority="81" operator="equal">
      <formula>TRUE</formula>
    </cfRule>
  </conditionalFormatting>
  <conditionalFormatting sqref="O92">
    <cfRule type="cellIs" dxfId="72" priority="80" operator="equal">
      <formula>TRUE</formula>
    </cfRule>
  </conditionalFormatting>
  <conditionalFormatting sqref="N92">
    <cfRule type="cellIs" dxfId="71" priority="79" operator="equal">
      <formula>TRUE</formula>
    </cfRule>
  </conditionalFormatting>
  <conditionalFormatting sqref="O93">
    <cfRule type="cellIs" dxfId="70" priority="78" operator="equal">
      <formula>TRUE</formula>
    </cfRule>
  </conditionalFormatting>
  <conditionalFormatting sqref="N93">
    <cfRule type="cellIs" dxfId="69" priority="77" operator="equal">
      <formula>TRUE</formula>
    </cfRule>
  </conditionalFormatting>
  <conditionalFormatting sqref="G185:G188">
    <cfRule type="cellIs" dxfId="68" priority="76" operator="equal">
      <formula>TRUE</formula>
    </cfRule>
  </conditionalFormatting>
  <conditionalFormatting sqref="O185 F185:F188 O188">
    <cfRule type="cellIs" dxfId="67" priority="75" operator="equal">
      <formula>TRUE</formula>
    </cfRule>
  </conditionalFormatting>
  <conditionalFormatting sqref="N185 E185:E188 N188">
    <cfRule type="cellIs" dxfId="66" priority="74" operator="equal">
      <formula>TRUE</formula>
    </cfRule>
  </conditionalFormatting>
  <conditionalFormatting sqref="O186">
    <cfRule type="cellIs" dxfId="65" priority="73" operator="equal">
      <formula>TRUE</formula>
    </cfRule>
  </conditionalFormatting>
  <conditionalFormatting sqref="N186">
    <cfRule type="cellIs" dxfId="64" priority="72" operator="equal">
      <formula>TRUE</formula>
    </cfRule>
  </conditionalFormatting>
  <conditionalFormatting sqref="O187">
    <cfRule type="cellIs" dxfId="63" priority="71" operator="equal">
      <formula>TRUE</formula>
    </cfRule>
  </conditionalFormatting>
  <conditionalFormatting sqref="N187">
    <cfRule type="cellIs" dxfId="62" priority="70" operator="equal">
      <formula>TRUE</formula>
    </cfRule>
  </conditionalFormatting>
  <conditionalFormatting sqref="G202:G205">
    <cfRule type="cellIs" dxfId="61" priority="69" operator="equal">
      <formula>TRUE</formula>
    </cfRule>
  </conditionalFormatting>
  <conditionalFormatting sqref="O202 F202:F205 O205">
    <cfRule type="cellIs" dxfId="60" priority="68" operator="equal">
      <formula>TRUE</formula>
    </cfRule>
  </conditionalFormatting>
  <conditionalFormatting sqref="N202 E202:E205 N205">
    <cfRule type="cellIs" dxfId="59" priority="67" operator="equal">
      <formula>TRUE</formula>
    </cfRule>
  </conditionalFormatting>
  <conditionalFormatting sqref="O203">
    <cfRule type="cellIs" dxfId="58" priority="66" operator="equal">
      <formula>TRUE</formula>
    </cfRule>
  </conditionalFormatting>
  <conditionalFormatting sqref="N203">
    <cfRule type="cellIs" dxfId="57" priority="65" operator="equal">
      <formula>TRUE</formula>
    </cfRule>
  </conditionalFormatting>
  <conditionalFormatting sqref="O204">
    <cfRule type="cellIs" dxfId="56" priority="64" operator="equal">
      <formula>TRUE</formula>
    </cfRule>
  </conditionalFormatting>
  <conditionalFormatting sqref="N204">
    <cfRule type="cellIs" dxfId="55" priority="63" operator="equal">
      <formula>TRUE</formula>
    </cfRule>
  </conditionalFormatting>
  <conditionalFormatting sqref="O282:O290">
    <cfRule type="cellIs" dxfId="54" priority="62" operator="equal">
      <formula>TRUE</formula>
    </cfRule>
  </conditionalFormatting>
  <conditionalFormatting sqref="N282:N290">
    <cfRule type="cellIs" dxfId="53" priority="61" operator="equal">
      <formula>TRUE</formula>
    </cfRule>
  </conditionalFormatting>
  <conditionalFormatting sqref="G282:G290">
    <cfRule type="cellIs" dxfId="52" priority="60" operator="equal">
      <formula>TRUE</formula>
    </cfRule>
  </conditionalFormatting>
  <conditionalFormatting sqref="F282:F290">
    <cfRule type="cellIs" dxfId="51" priority="59" operator="equal">
      <formula>TRUE</formula>
    </cfRule>
  </conditionalFormatting>
  <conditionalFormatting sqref="E282:E290">
    <cfRule type="cellIs" dxfId="50" priority="58" operator="equal">
      <formula>TRUE</formula>
    </cfRule>
  </conditionalFormatting>
  <conditionalFormatting sqref="G291:G294">
    <cfRule type="cellIs" dxfId="49" priority="57" operator="equal">
      <formula>TRUE</formula>
    </cfRule>
  </conditionalFormatting>
  <conditionalFormatting sqref="O291 F291:F294 O294">
    <cfRule type="cellIs" dxfId="48" priority="56" operator="equal">
      <formula>TRUE</formula>
    </cfRule>
  </conditionalFormatting>
  <conditionalFormatting sqref="N291 E291:E294 N294">
    <cfRule type="cellIs" dxfId="47" priority="55" operator="equal">
      <formula>TRUE</formula>
    </cfRule>
  </conditionalFormatting>
  <conditionalFormatting sqref="O292">
    <cfRule type="cellIs" dxfId="46" priority="54" operator="equal">
      <formula>TRUE</formula>
    </cfRule>
  </conditionalFormatting>
  <conditionalFormatting sqref="N292">
    <cfRule type="cellIs" dxfId="45" priority="53" operator="equal">
      <formula>TRUE</formula>
    </cfRule>
  </conditionalFormatting>
  <conditionalFormatting sqref="O293">
    <cfRule type="cellIs" dxfId="44" priority="52" operator="equal">
      <formula>TRUE</formula>
    </cfRule>
  </conditionalFormatting>
  <conditionalFormatting sqref="N293">
    <cfRule type="cellIs" dxfId="43" priority="51" operator="equal">
      <formula>TRUE</formula>
    </cfRule>
  </conditionalFormatting>
  <conditionalFormatting sqref="O295:O297">
    <cfRule type="cellIs" dxfId="42" priority="50" operator="equal">
      <formula>TRUE</formula>
    </cfRule>
  </conditionalFormatting>
  <conditionalFormatting sqref="N295:N297">
    <cfRule type="cellIs" dxfId="41" priority="49" operator="equal">
      <formula>TRUE</formula>
    </cfRule>
  </conditionalFormatting>
  <conditionalFormatting sqref="G295:G297">
    <cfRule type="cellIs" dxfId="40" priority="48" operator="equal">
      <formula>TRUE</formula>
    </cfRule>
  </conditionalFormatting>
  <conditionalFormatting sqref="F295:F297">
    <cfRule type="cellIs" dxfId="39" priority="47" operator="equal">
      <formula>TRUE</formula>
    </cfRule>
  </conditionalFormatting>
  <conditionalFormatting sqref="E295:E297">
    <cfRule type="cellIs" dxfId="38" priority="46" operator="equal">
      <formula>TRUE</formula>
    </cfRule>
  </conditionalFormatting>
  <conditionalFormatting sqref="O298:O301">
    <cfRule type="cellIs" dxfId="37" priority="45" operator="equal">
      <formula>TRUE</formula>
    </cfRule>
  </conditionalFormatting>
  <conditionalFormatting sqref="N298:N301">
    <cfRule type="cellIs" dxfId="36" priority="44" operator="equal">
      <formula>TRUE</formula>
    </cfRule>
  </conditionalFormatting>
  <conditionalFormatting sqref="G298:G301">
    <cfRule type="cellIs" dxfId="35" priority="43" operator="equal">
      <formula>TRUE</formula>
    </cfRule>
  </conditionalFormatting>
  <conditionalFormatting sqref="F298:F301">
    <cfRule type="cellIs" dxfId="34" priority="42" operator="equal">
      <formula>TRUE</formula>
    </cfRule>
  </conditionalFormatting>
  <conditionalFormatting sqref="E298:E301">
    <cfRule type="cellIs" dxfId="33" priority="41" operator="equal">
      <formula>TRUE</formula>
    </cfRule>
  </conditionalFormatting>
  <conditionalFormatting sqref="G21">
    <cfRule type="cellIs" dxfId="32" priority="35" operator="equal">
      <formula>TRUE</formula>
    </cfRule>
  </conditionalFormatting>
  <conditionalFormatting sqref="F21 O21">
    <cfRule type="cellIs" dxfId="31" priority="34" operator="equal">
      <formula>TRUE</formula>
    </cfRule>
  </conditionalFormatting>
  <conditionalFormatting sqref="E21 N21">
    <cfRule type="cellIs" dxfId="30" priority="33" operator="equal">
      <formula>TRUE</formula>
    </cfRule>
  </conditionalFormatting>
  <conditionalFormatting sqref="O39:O42">
    <cfRule type="cellIs" dxfId="29" priority="32" operator="equal">
      <formula>TRUE</formula>
    </cfRule>
  </conditionalFormatting>
  <conditionalFormatting sqref="N39:N42">
    <cfRule type="cellIs" dxfId="28" priority="31" operator="equal">
      <formula>TRUE</formula>
    </cfRule>
  </conditionalFormatting>
  <conditionalFormatting sqref="G39:G42">
    <cfRule type="cellIs" dxfId="27" priority="30" operator="equal">
      <formula>TRUE</formula>
    </cfRule>
  </conditionalFormatting>
  <conditionalFormatting sqref="F39:F42">
    <cfRule type="cellIs" dxfId="26" priority="29" operator="equal">
      <formula>TRUE</formula>
    </cfRule>
  </conditionalFormatting>
  <conditionalFormatting sqref="E39:E42">
    <cfRule type="cellIs" dxfId="25" priority="28" operator="equal">
      <formula>TRUE</formula>
    </cfRule>
  </conditionalFormatting>
  <conditionalFormatting sqref="G38">
    <cfRule type="cellIs" dxfId="24" priority="27" operator="equal">
      <formula>TRUE</formula>
    </cfRule>
  </conditionalFormatting>
  <conditionalFormatting sqref="O38 F38">
    <cfRule type="cellIs" dxfId="23" priority="26" operator="equal">
      <formula>TRUE</formula>
    </cfRule>
  </conditionalFormatting>
  <conditionalFormatting sqref="N38 E38">
    <cfRule type="cellIs" dxfId="22" priority="25" operator="equal">
      <formula>TRUE</formula>
    </cfRule>
  </conditionalFormatting>
  <conditionalFormatting sqref="O302:O309 O311:O313 O315:O333">
    <cfRule type="cellIs" dxfId="21" priority="24" operator="equal">
      <formula>TRUE</formula>
    </cfRule>
  </conditionalFormatting>
  <conditionalFormatting sqref="N302:N309 N311:N313 N315:N333">
    <cfRule type="cellIs" dxfId="20" priority="23" operator="equal">
      <formula>TRUE</formula>
    </cfRule>
  </conditionalFormatting>
  <conditionalFormatting sqref="G302:G307">
    <cfRule type="cellIs" dxfId="19" priority="22" operator="equal">
      <formula>TRUE</formula>
    </cfRule>
  </conditionalFormatting>
  <conditionalFormatting sqref="F302:F307">
    <cfRule type="cellIs" dxfId="18" priority="21" operator="equal">
      <formula>TRUE</formula>
    </cfRule>
  </conditionalFormatting>
  <conditionalFormatting sqref="E302:E307">
    <cfRule type="cellIs" dxfId="17" priority="20" operator="equal">
      <formula>TRUE</formula>
    </cfRule>
  </conditionalFormatting>
  <conditionalFormatting sqref="W1">
    <cfRule type="cellIs" dxfId="16" priority="19" operator="greaterThan">
      <formula>-99999999999</formula>
    </cfRule>
  </conditionalFormatting>
  <conditionalFormatting sqref="E308:E309 E311:E313 E315:E333">
    <cfRule type="cellIs" dxfId="15" priority="14" operator="equal">
      <formula>TRUE</formula>
    </cfRule>
  </conditionalFormatting>
  <conditionalFormatting sqref="F308:F309 F311:F313 F315:F333">
    <cfRule type="cellIs" dxfId="14" priority="15" operator="equal">
      <formula>TRUE</formula>
    </cfRule>
  </conditionalFormatting>
  <conditionalFormatting sqref="G308:G309 G311:G313 G315:G333">
    <cfRule type="cellIs" dxfId="13" priority="16" operator="equal">
      <formula>TRUE</formula>
    </cfRule>
  </conditionalFormatting>
  <conditionalFormatting sqref="G15">
    <cfRule type="cellIs" dxfId="12" priority="13" operator="equal">
      <formula>TRUE</formula>
    </cfRule>
  </conditionalFormatting>
  <conditionalFormatting sqref="F15 O15">
    <cfRule type="cellIs" dxfId="11" priority="12" operator="equal">
      <formula>TRUE</formula>
    </cfRule>
  </conditionalFormatting>
  <conditionalFormatting sqref="E15 N15">
    <cfRule type="cellIs" dxfId="10" priority="11" operator="equal">
      <formula>TRUE</formula>
    </cfRule>
  </conditionalFormatting>
  <conditionalFormatting sqref="O310">
    <cfRule type="cellIs" dxfId="9" priority="10" operator="equal">
      <formula>TRUE</formula>
    </cfRule>
  </conditionalFormatting>
  <conditionalFormatting sqref="N310">
    <cfRule type="cellIs" dxfId="8" priority="9" operator="equal">
      <formula>TRUE</formula>
    </cfRule>
  </conditionalFormatting>
  <conditionalFormatting sqref="E310">
    <cfRule type="cellIs" dxfId="7" priority="6" operator="equal">
      <formula>TRUE</formula>
    </cfRule>
  </conditionalFormatting>
  <conditionalFormatting sqref="F310">
    <cfRule type="cellIs" dxfId="6" priority="7" operator="equal">
      <formula>TRUE</formula>
    </cfRule>
  </conditionalFormatting>
  <conditionalFormatting sqref="G310">
    <cfRule type="cellIs" dxfId="5" priority="8" operator="equal">
      <formula>TRUE</formula>
    </cfRule>
  </conditionalFormatting>
  <conditionalFormatting sqref="O314">
    <cfRule type="cellIs" dxfId="4" priority="5" operator="equal">
      <formula>TRUE</formula>
    </cfRule>
  </conditionalFormatting>
  <conditionalFormatting sqref="N314">
    <cfRule type="cellIs" dxfId="3" priority="4" operator="equal">
      <formula>TRUE</formula>
    </cfRule>
  </conditionalFormatting>
  <conditionalFormatting sqref="E314">
    <cfRule type="cellIs" dxfId="2" priority="1" operator="equal">
      <formula>TRUE</formula>
    </cfRule>
  </conditionalFormatting>
  <conditionalFormatting sqref="F314">
    <cfRule type="cellIs" dxfId="1" priority="2" operator="equal">
      <formula>TRUE</formula>
    </cfRule>
  </conditionalFormatting>
  <conditionalFormatting sqref="G314">
    <cfRule type="cellIs" dxfId="0" priority="3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CDDC"/>
  </sheetPr>
  <dimension ref="A1:F27"/>
  <sheetViews>
    <sheetView zoomScale="70" workbookViewId="0">
      <selection activeCell="B3" sqref="B3"/>
    </sheetView>
  </sheetViews>
  <sheetFormatPr defaultRowHeight="15" x14ac:dyDescent="0.25"/>
  <cols>
    <col min="1" max="1" width="56.42578125" bestFit="1" customWidth="1"/>
    <col min="2" max="2" width="180.7109375" customWidth="1"/>
  </cols>
  <sheetData>
    <row r="1" spans="1:6" x14ac:dyDescent="0.25">
      <c r="A1" t="s">
        <v>274</v>
      </c>
      <c r="B1" t="s">
        <v>1128</v>
      </c>
    </row>
    <row r="2" spans="1:6" ht="45" hidden="1" x14ac:dyDescent="0.25">
      <c r="A2" s="12" t="s">
        <v>1129</v>
      </c>
      <c r="B2" s="17" t="s">
        <v>1130</v>
      </c>
    </row>
    <row r="3" spans="1:6" ht="210" x14ac:dyDescent="0.25">
      <c r="A3" s="12" t="s">
        <v>1131</v>
      </c>
      <c r="B3" s="17" t="s">
        <v>1132</v>
      </c>
    </row>
    <row r="4" spans="1:6" ht="210" hidden="1" x14ac:dyDescent="0.25">
      <c r="A4" s="12" t="s">
        <v>1133</v>
      </c>
      <c r="B4" s="11" t="s">
        <v>1134</v>
      </c>
    </row>
    <row r="5" spans="1:6" ht="225" x14ac:dyDescent="0.25">
      <c r="A5" s="12" t="s">
        <v>1135</v>
      </c>
      <c r="B5" s="11" t="s">
        <v>1136</v>
      </c>
    </row>
    <row r="6" spans="1:6" ht="225" x14ac:dyDescent="0.25">
      <c r="A6" s="12" t="s">
        <v>1137</v>
      </c>
      <c r="B6" s="11" t="s">
        <v>1138</v>
      </c>
    </row>
    <row r="7" spans="1:6" ht="225" x14ac:dyDescent="0.25">
      <c r="A7" s="12" t="s">
        <v>1139</v>
      </c>
      <c r="B7" s="11" t="s">
        <v>1140</v>
      </c>
    </row>
    <row r="8" spans="1:6" ht="240" hidden="1" x14ac:dyDescent="0.25">
      <c r="A8" s="12" t="s">
        <v>1141</v>
      </c>
      <c r="B8" s="11" t="s">
        <v>1142</v>
      </c>
    </row>
    <row r="9" spans="1:6" ht="225" hidden="1" x14ac:dyDescent="0.25">
      <c r="A9" s="12" t="s">
        <v>1143</v>
      </c>
      <c r="B9" s="11" t="s">
        <v>1144</v>
      </c>
      <c r="E9" s="3"/>
      <c r="F9" s="3"/>
    </row>
    <row r="10" spans="1:6" hidden="1" x14ac:dyDescent="0.25">
      <c r="A10" s="12" t="s">
        <v>1145</v>
      </c>
      <c r="B10" t="s">
        <v>1146</v>
      </c>
      <c r="E10" s="3"/>
      <c r="F10" s="3"/>
    </row>
    <row r="11" spans="1:6" hidden="1" x14ac:dyDescent="0.25">
      <c r="A11" s="12" t="s">
        <v>1147</v>
      </c>
      <c r="B11" t="s">
        <v>1148</v>
      </c>
      <c r="E11" s="3"/>
      <c r="F11" s="3"/>
    </row>
    <row r="12" spans="1:6" hidden="1" x14ac:dyDescent="0.25">
      <c r="A12" s="12" t="s">
        <v>1149</v>
      </c>
      <c r="B12" t="s">
        <v>1150</v>
      </c>
      <c r="E12" s="3"/>
      <c r="F12" s="3"/>
    </row>
    <row r="13" spans="1:6" x14ac:dyDescent="0.25">
      <c r="A13" s="12" t="s">
        <v>1151</v>
      </c>
      <c r="B13" s="12" t="s">
        <v>1152</v>
      </c>
      <c r="E13" s="3"/>
      <c r="F13" s="3"/>
    </row>
    <row r="14" spans="1:6" hidden="1" x14ac:dyDescent="0.25">
      <c r="A14" s="12" t="s">
        <v>1153</v>
      </c>
      <c r="B14" t="s">
        <v>1154</v>
      </c>
      <c r="E14" s="3"/>
      <c r="F14" s="3"/>
    </row>
    <row r="15" spans="1:6" hidden="1" x14ac:dyDescent="0.25">
      <c r="A15" s="12" t="s">
        <v>1155</v>
      </c>
      <c r="B15" t="s">
        <v>1156</v>
      </c>
      <c r="E15" s="3"/>
      <c r="F15" s="3"/>
    </row>
    <row r="16" spans="1:6" hidden="1" x14ac:dyDescent="0.25">
      <c r="A16" s="12" t="s">
        <v>1157</v>
      </c>
      <c r="B16" t="s">
        <v>1158</v>
      </c>
      <c r="E16" s="3"/>
      <c r="F16" s="3"/>
    </row>
    <row r="17" spans="1:6" hidden="1" x14ac:dyDescent="0.25">
      <c r="A17" s="12" t="s">
        <v>1159</v>
      </c>
      <c r="B17" t="s">
        <v>1160</v>
      </c>
      <c r="E17" s="3"/>
      <c r="F17" s="3"/>
    </row>
    <row r="18" spans="1:6" hidden="1" x14ac:dyDescent="0.25">
      <c r="A18" s="12" t="s">
        <v>1161</v>
      </c>
      <c r="B18" t="s">
        <v>1162</v>
      </c>
      <c r="E18" s="3"/>
      <c r="F18" s="3"/>
    </row>
    <row r="19" spans="1:6" hidden="1" x14ac:dyDescent="0.25">
      <c r="A19" s="12" t="s">
        <v>1163</v>
      </c>
      <c r="B19" s="12" t="s">
        <v>1164</v>
      </c>
      <c r="E19" s="3"/>
      <c r="F19" s="3"/>
    </row>
    <row r="20" spans="1:6" x14ac:dyDescent="0.25">
      <c r="A20" s="12" t="s">
        <v>1165</v>
      </c>
      <c r="B20" t="s">
        <v>1166</v>
      </c>
      <c r="E20" s="3"/>
      <c r="F20" s="3"/>
    </row>
    <row r="21" spans="1:6" x14ac:dyDescent="0.25">
      <c r="A21" s="12" t="s">
        <v>1167</v>
      </c>
      <c r="B21" s="12" t="s">
        <v>1168</v>
      </c>
      <c r="E21" s="3"/>
      <c r="F21" s="3"/>
    </row>
    <row r="22" spans="1:6" hidden="1" x14ac:dyDescent="0.25">
      <c r="A22" s="12" t="s">
        <v>1169</v>
      </c>
      <c r="B22" t="s">
        <v>1170</v>
      </c>
      <c r="E22" s="3"/>
      <c r="F22" s="3"/>
    </row>
    <row r="23" spans="1:6" x14ac:dyDescent="0.25">
      <c r="A23" s="12" t="s">
        <v>1171</v>
      </c>
      <c r="B23" s="12" t="s">
        <v>1172</v>
      </c>
    </row>
    <row r="24" spans="1:6" x14ac:dyDescent="0.25">
      <c r="A24" s="12" t="s">
        <v>1173</v>
      </c>
      <c r="B24" s="12" t="s">
        <v>1174</v>
      </c>
    </row>
    <row r="25" spans="1:6" hidden="1" x14ac:dyDescent="0.25">
      <c r="A25" s="12" t="s">
        <v>1175</v>
      </c>
      <c r="B25" s="12" t="s">
        <v>1176</v>
      </c>
    </row>
    <row r="26" spans="1:6" hidden="1" x14ac:dyDescent="0.25">
      <c r="A26" s="12" t="s">
        <v>1177</v>
      </c>
      <c r="B26" s="12" t="s">
        <v>1178</v>
      </c>
    </row>
    <row r="27" spans="1:6" hidden="1" x14ac:dyDescent="0.25">
      <c r="A27" s="12" t="s">
        <v>1179</v>
      </c>
      <c r="B27" t="s">
        <v>1180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201"/>
  <sheetViews>
    <sheetView tabSelected="1" topLeftCell="A43" zoomScale="91" workbookViewId="0">
      <selection activeCell="D51" sqref="D51"/>
    </sheetView>
  </sheetViews>
  <sheetFormatPr defaultRowHeight="15" x14ac:dyDescent="0.25"/>
  <cols>
    <col min="1" max="1" width="10.7109375" customWidth="1"/>
    <col min="2" max="3" width="15.7109375" customWidth="1"/>
    <col min="4" max="4" width="165.85546875" bestFit="1" customWidth="1"/>
  </cols>
  <sheetData>
    <row r="1" spans="1:4" x14ac:dyDescent="0.25">
      <c r="A1" t="s">
        <v>1181</v>
      </c>
      <c r="B1" t="s">
        <v>1182</v>
      </c>
      <c r="C1" t="s">
        <v>1183</v>
      </c>
      <c r="D1" t="s">
        <v>1184</v>
      </c>
    </row>
    <row r="2" spans="1:4" x14ac:dyDescent="0.25">
      <c r="A2">
        <v>1</v>
      </c>
      <c r="B2" s="27">
        <v>45395</v>
      </c>
      <c r="C2" t="s">
        <v>1185</v>
      </c>
      <c r="D2" t="s">
        <v>1186</v>
      </c>
    </row>
    <row r="3" spans="1:4" ht="409.5" x14ac:dyDescent="0.25">
      <c r="A3" s="18">
        <v>2</v>
      </c>
      <c r="B3" s="28">
        <v>45396</v>
      </c>
      <c r="C3" s="18" t="s">
        <v>1187</v>
      </c>
      <c r="D3" s="11" t="s">
        <v>1188</v>
      </c>
    </row>
    <row r="4" spans="1:4" ht="60" x14ac:dyDescent="0.25">
      <c r="A4" s="18">
        <v>3</v>
      </c>
      <c r="B4" s="28">
        <v>45397</v>
      </c>
      <c r="C4" s="18" t="s">
        <v>1187</v>
      </c>
      <c r="D4" s="11" t="s">
        <v>1189</v>
      </c>
    </row>
    <row r="5" spans="1:4" x14ac:dyDescent="0.25">
      <c r="A5" s="18">
        <v>4</v>
      </c>
      <c r="B5" s="28">
        <v>45397</v>
      </c>
      <c r="C5" s="18" t="s">
        <v>1187</v>
      </c>
      <c r="D5" s="12" t="s">
        <v>1190</v>
      </c>
    </row>
    <row r="6" spans="1:4" ht="240" x14ac:dyDescent="0.25">
      <c r="A6" s="18">
        <v>5</v>
      </c>
      <c r="B6" s="28">
        <v>45398</v>
      </c>
      <c r="C6" s="18" t="s">
        <v>1187</v>
      </c>
      <c r="D6" s="11" t="s">
        <v>1191</v>
      </c>
    </row>
    <row r="7" spans="1:4" x14ac:dyDescent="0.25">
      <c r="A7" s="18">
        <v>6</v>
      </c>
      <c r="B7" s="28">
        <v>45398</v>
      </c>
      <c r="C7" s="18" t="s">
        <v>1187</v>
      </c>
      <c r="D7" s="12" t="s">
        <v>1192</v>
      </c>
    </row>
    <row r="8" spans="1:4" ht="30" x14ac:dyDescent="0.25">
      <c r="A8" s="18">
        <v>7</v>
      </c>
      <c r="B8" s="28">
        <v>45398</v>
      </c>
      <c r="C8" s="18" t="s">
        <v>1187</v>
      </c>
      <c r="D8" s="11" t="s">
        <v>1193</v>
      </c>
    </row>
    <row r="9" spans="1:4" ht="75" x14ac:dyDescent="0.25">
      <c r="A9" s="18">
        <v>8</v>
      </c>
      <c r="B9" s="28">
        <v>45400</v>
      </c>
      <c r="C9" s="18" t="s">
        <v>1187</v>
      </c>
      <c r="D9" s="11" t="s">
        <v>1194</v>
      </c>
    </row>
    <row r="10" spans="1:4" ht="45" x14ac:dyDescent="0.25">
      <c r="A10" s="18">
        <v>9</v>
      </c>
      <c r="B10" s="28">
        <v>45400</v>
      </c>
      <c r="C10" s="18" t="s">
        <v>1187</v>
      </c>
      <c r="D10" s="11" t="s">
        <v>1195</v>
      </c>
    </row>
    <row r="11" spans="1:4" ht="180" x14ac:dyDescent="0.25">
      <c r="A11" s="18">
        <v>10</v>
      </c>
      <c r="B11" s="28">
        <v>45405</v>
      </c>
      <c r="C11" s="18" t="s">
        <v>1187</v>
      </c>
      <c r="D11" s="11" t="s">
        <v>1196</v>
      </c>
    </row>
    <row r="12" spans="1:4" ht="30" x14ac:dyDescent="0.25">
      <c r="A12" s="18">
        <v>11</v>
      </c>
      <c r="B12" s="28">
        <v>45419</v>
      </c>
      <c r="C12" s="18" t="s">
        <v>1187</v>
      </c>
      <c r="D12" s="11" t="s">
        <v>1197</v>
      </c>
    </row>
    <row r="13" spans="1:4" x14ac:dyDescent="0.25">
      <c r="A13" s="18">
        <v>12</v>
      </c>
      <c r="B13" s="28">
        <v>45579</v>
      </c>
      <c r="C13" s="18" t="s">
        <v>1187</v>
      </c>
      <c r="D13" s="12" t="s">
        <v>1198</v>
      </c>
    </row>
    <row r="14" spans="1:4" x14ac:dyDescent="0.25">
      <c r="A14" s="18">
        <v>13</v>
      </c>
      <c r="B14" s="28">
        <v>45581</v>
      </c>
      <c r="C14" s="18" t="s">
        <v>1187</v>
      </c>
      <c r="D14" s="12" t="s">
        <v>1199</v>
      </c>
    </row>
    <row r="15" spans="1:4" ht="165" x14ac:dyDescent="0.25">
      <c r="A15" s="18">
        <v>14</v>
      </c>
      <c r="B15" s="28">
        <v>45581</v>
      </c>
      <c r="C15" s="18" t="s">
        <v>1187</v>
      </c>
      <c r="D15" s="11" t="s">
        <v>1200</v>
      </c>
    </row>
    <row r="16" spans="1:4" ht="210" x14ac:dyDescent="0.25">
      <c r="A16" s="18">
        <v>15</v>
      </c>
      <c r="B16" s="28">
        <v>45610</v>
      </c>
      <c r="C16" s="18" t="s">
        <v>1185</v>
      </c>
      <c r="D16" s="11" t="s">
        <v>1201</v>
      </c>
    </row>
    <row r="17" spans="1:4" ht="270" x14ac:dyDescent="0.25">
      <c r="A17" s="18">
        <v>16</v>
      </c>
      <c r="B17" s="28">
        <v>45611</v>
      </c>
      <c r="C17" s="18" t="s">
        <v>1185</v>
      </c>
      <c r="D17" s="11" t="s">
        <v>1202</v>
      </c>
    </row>
    <row r="18" spans="1:4" ht="30" x14ac:dyDescent="0.25">
      <c r="A18" s="18">
        <v>17</v>
      </c>
      <c r="B18" s="28">
        <v>45614</v>
      </c>
      <c r="C18" s="18" t="s">
        <v>1187</v>
      </c>
      <c r="D18" s="11" t="s">
        <v>1203</v>
      </c>
    </row>
    <row r="19" spans="1:4" ht="75" x14ac:dyDescent="0.25">
      <c r="A19" s="18">
        <v>18</v>
      </c>
      <c r="B19" s="28">
        <v>45614</v>
      </c>
      <c r="C19" s="18" t="s">
        <v>1187</v>
      </c>
      <c r="D19" s="11" t="s">
        <v>1204</v>
      </c>
    </row>
    <row r="20" spans="1:4" ht="30" x14ac:dyDescent="0.25">
      <c r="A20" s="18">
        <v>19</v>
      </c>
      <c r="B20" s="28">
        <v>45614</v>
      </c>
      <c r="C20" s="18" t="s">
        <v>1187</v>
      </c>
      <c r="D20" s="11" t="s">
        <v>1205</v>
      </c>
    </row>
    <row r="21" spans="1:4" ht="30" x14ac:dyDescent="0.25">
      <c r="A21" s="18">
        <v>20</v>
      </c>
      <c r="B21" s="28">
        <v>45615</v>
      </c>
      <c r="C21" s="18" t="s">
        <v>1185</v>
      </c>
      <c r="D21" s="11" t="s">
        <v>1206</v>
      </c>
    </row>
    <row r="22" spans="1:4" ht="150" x14ac:dyDescent="0.25">
      <c r="A22" s="18">
        <v>21</v>
      </c>
      <c r="B22" s="28">
        <v>45616</v>
      </c>
      <c r="C22" s="18" t="s">
        <v>1187</v>
      </c>
      <c r="D22" s="11" t="s">
        <v>1207</v>
      </c>
    </row>
    <row r="23" spans="1:4" ht="30" x14ac:dyDescent="0.25">
      <c r="A23" s="18">
        <v>22</v>
      </c>
      <c r="B23" s="28">
        <v>45616</v>
      </c>
      <c r="C23" s="18" t="s">
        <v>1187</v>
      </c>
      <c r="D23" s="11" t="s">
        <v>1208</v>
      </c>
    </row>
    <row r="24" spans="1:4" x14ac:dyDescent="0.25">
      <c r="A24" s="18">
        <v>23</v>
      </c>
      <c r="B24" s="28">
        <v>45626</v>
      </c>
      <c r="C24" s="18" t="s">
        <v>1187</v>
      </c>
      <c r="D24" s="12" t="s">
        <v>1209</v>
      </c>
    </row>
    <row r="25" spans="1:4" ht="150" x14ac:dyDescent="0.25">
      <c r="A25" s="18">
        <v>24</v>
      </c>
      <c r="B25" s="28">
        <v>45643</v>
      </c>
      <c r="C25" s="18" t="s">
        <v>1187</v>
      </c>
      <c r="D25" s="11" t="s">
        <v>1210</v>
      </c>
    </row>
    <row r="26" spans="1:4" ht="30" x14ac:dyDescent="0.25">
      <c r="A26" s="18">
        <v>25</v>
      </c>
      <c r="B26" s="28">
        <v>45643</v>
      </c>
      <c r="C26" s="18" t="s">
        <v>1187</v>
      </c>
      <c r="D26" s="11" t="s">
        <v>1211</v>
      </c>
    </row>
    <row r="27" spans="1:4" ht="60" x14ac:dyDescent="0.25">
      <c r="A27" s="18">
        <v>26</v>
      </c>
      <c r="B27" s="28">
        <v>45644</v>
      </c>
      <c r="C27" s="18" t="s">
        <v>1187</v>
      </c>
      <c r="D27" s="11" t="s">
        <v>1212</v>
      </c>
    </row>
    <row r="28" spans="1:4" ht="60" x14ac:dyDescent="0.25">
      <c r="A28" s="18">
        <v>27</v>
      </c>
      <c r="B28" s="28">
        <v>45673</v>
      </c>
      <c r="C28" s="18" t="s">
        <v>1187</v>
      </c>
      <c r="D28" s="11" t="s">
        <v>1213</v>
      </c>
    </row>
    <row r="29" spans="1:4" ht="90" x14ac:dyDescent="0.25">
      <c r="A29" s="18">
        <v>28</v>
      </c>
      <c r="B29" s="28">
        <v>45680</v>
      </c>
      <c r="C29" s="18" t="s">
        <v>1187</v>
      </c>
      <c r="D29" s="11" t="s">
        <v>1214</v>
      </c>
    </row>
    <row r="30" spans="1:4" ht="30" x14ac:dyDescent="0.25">
      <c r="A30" s="18">
        <v>29</v>
      </c>
      <c r="B30" s="28">
        <v>45685</v>
      </c>
      <c r="C30" s="18" t="s">
        <v>1187</v>
      </c>
      <c r="D30" s="11" t="s">
        <v>1215</v>
      </c>
    </row>
    <row r="31" spans="1:4" ht="210" x14ac:dyDescent="0.25">
      <c r="A31" s="18">
        <v>30</v>
      </c>
      <c r="B31" s="28">
        <v>45701</v>
      </c>
      <c r="C31" s="18" t="s">
        <v>1187</v>
      </c>
      <c r="D31" s="11" t="s">
        <v>1216</v>
      </c>
    </row>
    <row r="32" spans="1:4" ht="315" x14ac:dyDescent="0.25">
      <c r="A32" s="18">
        <v>31</v>
      </c>
      <c r="B32" s="28">
        <v>45708</v>
      </c>
      <c r="C32" s="18" t="s">
        <v>1187</v>
      </c>
      <c r="D32" s="11" t="s">
        <v>1217</v>
      </c>
    </row>
    <row r="33" spans="1:4" x14ac:dyDescent="0.25">
      <c r="A33" s="18">
        <v>32</v>
      </c>
      <c r="B33" s="28">
        <v>45764</v>
      </c>
      <c r="C33" s="18" t="s">
        <v>1218</v>
      </c>
      <c r="D33" s="12" t="s">
        <v>1219</v>
      </c>
    </row>
    <row r="34" spans="1:4" ht="60" x14ac:dyDescent="0.25">
      <c r="A34" s="18">
        <v>33</v>
      </c>
      <c r="B34" s="28">
        <v>45776</v>
      </c>
      <c r="C34" s="18" t="s">
        <v>1187</v>
      </c>
      <c r="D34" s="34" t="s">
        <v>1220</v>
      </c>
    </row>
    <row r="35" spans="1:4" ht="30" x14ac:dyDescent="0.25">
      <c r="A35" s="18">
        <v>34</v>
      </c>
      <c r="B35" s="28">
        <v>45784</v>
      </c>
      <c r="C35" s="18" t="s">
        <v>1187</v>
      </c>
      <c r="D35" s="11" t="s">
        <v>1221</v>
      </c>
    </row>
    <row r="36" spans="1:4" ht="30" x14ac:dyDescent="0.25">
      <c r="A36" s="18">
        <v>35</v>
      </c>
      <c r="B36" s="28">
        <v>45793</v>
      </c>
      <c r="C36" s="18" t="s">
        <v>1187</v>
      </c>
      <c r="D36" s="11" t="s">
        <v>1222</v>
      </c>
    </row>
    <row r="37" spans="1:4" x14ac:dyDescent="0.25">
      <c r="A37" s="18">
        <v>36</v>
      </c>
      <c r="B37" s="28">
        <v>45839</v>
      </c>
      <c r="C37" s="18" t="s">
        <v>1218</v>
      </c>
      <c r="D37" s="19" t="s">
        <v>1223</v>
      </c>
    </row>
    <row r="38" spans="1:4" x14ac:dyDescent="0.25">
      <c r="A38" s="18">
        <v>37</v>
      </c>
      <c r="B38" s="28">
        <v>45861</v>
      </c>
      <c r="C38" s="18" t="s">
        <v>1187</v>
      </c>
      <c r="D38" s="26" t="s">
        <v>1527</v>
      </c>
    </row>
    <row r="39" spans="1:4" x14ac:dyDescent="0.25">
      <c r="A39" s="18">
        <v>38</v>
      </c>
      <c r="B39" s="28">
        <v>45903</v>
      </c>
      <c r="C39" s="18" t="s">
        <v>1187</v>
      </c>
      <c r="D39" s="29" t="s">
        <v>1532</v>
      </c>
    </row>
    <row r="40" spans="1:4" ht="30" x14ac:dyDescent="0.25">
      <c r="A40" s="18">
        <v>39</v>
      </c>
      <c r="B40" s="28">
        <v>45904</v>
      </c>
      <c r="C40" s="18" t="s">
        <v>1187</v>
      </c>
      <c r="D40" s="30" t="s">
        <v>1534</v>
      </c>
    </row>
    <row r="41" spans="1:4" ht="150" x14ac:dyDescent="0.25">
      <c r="A41" s="18">
        <v>40</v>
      </c>
      <c r="B41" s="28">
        <v>45951</v>
      </c>
      <c r="C41" s="18" t="s">
        <v>1187</v>
      </c>
      <c r="D41" s="33" t="s">
        <v>1540</v>
      </c>
    </row>
    <row r="42" spans="1:4" ht="409.5" x14ac:dyDescent="0.25">
      <c r="A42" s="18">
        <v>41</v>
      </c>
      <c r="B42" s="28">
        <v>45954</v>
      </c>
      <c r="C42" s="18" t="s">
        <v>1187</v>
      </c>
      <c r="D42" s="39" t="s">
        <v>1598</v>
      </c>
    </row>
    <row r="43" spans="1:4" ht="60" x14ac:dyDescent="0.25">
      <c r="A43" s="18">
        <v>42</v>
      </c>
      <c r="B43" s="28">
        <v>45978</v>
      </c>
      <c r="C43" s="18" t="s">
        <v>1187</v>
      </c>
      <c r="D43" s="41" t="s">
        <v>1601</v>
      </c>
    </row>
    <row r="44" spans="1:4" ht="30" x14ac:dyDescent="0.25">
      <c r="A44" s="18">
        <v>43</v>
      </c>
      <c r="B44" s="28">
        <v>45979</v>
      </c>
      <c r="C44" s="18" t="s">
        <v>1187</v>
      </c>
      <c r="D44" s="42" t="s">
        <v>1602</v>
      </c>
    </row>
    <row r="45" spans="1:4" ht="105" x14ac:dyDescent="0.25">
      <c r="A45" s="18">
        <v>44</v>
      </c>
      <c r="B45" s="28">
        <v>45982</v>
      </c>
      <c r="C45" s="18" t="s">
        <v>1187</v>
      </c>
      <c r="D45" s="43" t="s">
        <v>1605</v>
      </c>
    </row>
    <row r="46" spans="1:4" ht="45" x14ac:dyDescent="0.25">
      <c r="A46" s="18">
        <v>45</v>
      </c>
      <c r="B46" s="28">
        <v>45982</v>
      </c>
      <c r="C46" s="18" t="s">
        <v>1187</v>
      </c>
      <c r="D46" s="44" t="s">
        <v>1606</v>
      </c>
    </row>
    <row r="47" spans="1:4" ht="150" x14ac:dyDescent="0.25">
      <c r="A47" s="18">
        <v>46</v>
      </c>
      <c r="B47" s="28">
        <v>45988</v>
      </c>
      <c r="C47" s="18" t="s">
        <v>1187</v>
      </c>
      <c r="D47" s="45" t="s">
        <v>1610</v>
      </c>
    </row>
    <row r="48" spans="1:4" ht="75" x14ac:dyDescent="0.25">
      <c r="A48" s="18">
        <v>47</v>
      </c>
      <c r="B48" s="28">
        <v>45988</v>
      </c>
      <c r="C48" s="18" t="s">
        <v>1187</v>
      </c>
      <c r="D48" s="46" t="s">
        <v>1617</v>
      </c>
    </row>
    <row r="49" spans="1:4" ht="30" x14ac:dyDescent="0.25">
      <c r="A49" s="18">
        <v>48</v>
      </c>
      <c r="B49" s="28">
        <v>45993</v>
      </c>
      <c r="C49" s="18" t="s">
        <v>1187</v>
      </c>
      <c r="D49" s="47" t="s">
        <v>1619</v>
      </c>
    </row>
    <row r="50" spans="1:4" x14ac:dyDescent="0.25">
      <c r="A50" s="18">
        <v>49</v>
      </c>
      <c r="B50" s="28">
        <v>46043</v>
      </c>
      <c r="C50" s="66" t="s">
        <v>1218</v>
      </c>
      <c r="D50" s="67" t="s">
        <v>1624</v>
      </c>
    </row>
    <row r="51" spans="1:4" x14ac:dyDescent="0.25">
      <c r="A51" s="18"/>
      <c r="B51" s="28"/>
      <c r="C51" s="18"/>
      <c r="D51" s="12"/>
    </row>
    <row r="52" spans="1:4" x14ac:dyDescent="0.25">
      <c r="A52" s="18"/>
      <c r="B52" s="28"/>
      <c r="C52" s="18"/>
      <c r="D52" s="12"/>
    </row>
    <row r="53" spans="1:4" x14ac:dyDescent="0.25">
      <c r="A53" s="18"/>
      <c r="B53" s="28"/>
      <c r="C53" s="18"/>
      <c r="D53" s="12"/>
    </row>
    <row r="54" spans="1:4" x14ac:dyDescent="0.25">
      <c r="A54" s="18"/>
      <c r="B54" s="28"/>
      <c r="C54" s="18"/>
      <c r="D54" s="12"/>
    </row>
    <row r="55" spans="1:4" x14ac:dyDescent="0.25">
      <c r="A55" s="18"/>
      <c r="B55" s="28"/>
      <c r="C55" s="18"/>
      <c r="D55" s="12"/>
    </row>
    <row r="56" spans="1:4" x14ac:dyDescent="0.25">
      <c r="A56" s="18"/>
      <c r="B56" s="28"/>
      <c r="C56" s="18"/>
      <c r="D56" s="12"/>
    </row>
    <row r="57" spans="1:4" x14ac:dyDescent="0.25">
      <c r="A57" s="18"/>
      <c r="B57" s="28"/>
      <c r="C57" s="18"/>
      <c r="D57" s="12"/>
    </row>
    <row r="58" spans="1:4" x14ac:dyDescent="0.25">
      <c r="A58" s="18"/>
      <c r="B58" s="28"/>
      <c r="C58" s="18"/>
      <c r="D58" s="12"/>
    </row>
    <row r="59" spans="1:4" x14ac:dyDescent="0.25">
      <c r="A59" s="18"/>
      <c r="B59" s="28"/>
      <c r="C59" s="18"/>
      <c r="D59" s="12"/>
    </row>
    <row r="60" spans="1:4" x14ac:dyDescent="0.25">
      <c r="A60" s="18"/>
      <c r="B60" s="28"/>
      <c r="C60" s="18"/>
      <c r="D60" s="12"/>
    </row>
    <row r="61" spans="1:4" x14ac:dyDescent="0.25">
      <c r="A61" s="18"/>
      <c r="B61" s="28"/>
      <c r="C61" s="18"/>
      <c r="D61" s="12"/>
    </row>
    <row r="62" spans="1:4" x14ac:dyDescent="0.25">
      <c r="A62" s="18"/>
      <c r="B62" s="28"/>
      <c r="C62" s="18"/>
      <c r="D62" s="12"/>
    </row>
    <row r="63" spans="1:4" x14ac:dyDescent="0.25">
      <c r="A63" s="18"/>
      <c r="B63" s="28"/>
      <c r="C63" s="18"/>
      <c r="D63" s="12"/>
    </row>
    <row r="64" spans="1:4" x14ac:dyDescent="0.25">
      <c r="A64" s="18"/>
      <c r="B64" s="28"/>
      <c r="C64" s="18"/>
      <c r="D64" s="12"/>
    </row>
    <row r="65" spans="1:4" x14ac:dyDescent="0.25">
      <c r="A65" s="18"/>
      <c r="B65" s="28"/>
      <c r="C65" s="18"/>
      <c r="D65" s="12"/>
    </row>
    <row r="66" spans="1:4" x14ac:dyDescent="0.25">
      <c r="A66" s="18"/>
      <c r="B66" s="28"/>
      <c r="C66" s="18"/>
      <c r="D66" s="12"/>
    </row>
    <row r="67" spans="1:4" x14ac:dyDescent="0.25">
      <c r="A67" s="18"/>
      <c r="B67" s="28"/>
      <c r="C67" s="18"/>
      <c r="D67" s="12"/>
    </row>
    <row r="68" spans="1:4" x14ac:dyDescent="0.25">
      <c r="A68" s="18"/>
      <c r="B68" s="28"/>
      <c r="C68" s="18"/>
      <c r="D68" s="12"/>
    </row>
    <row r="69" spans="1:4" x14ac:dyDescent="0.25">
      <c r="A69" s="18"/>
      <c r="B69" s="28"/>
      <c r="C69" s="18"/>
      <c r="D69" s="12"/>
    </row>
    <row r="70" spans="1:4" x14ac:dyDescent="0.25">
      <c r="A70" s="18"/>
      <c r="B70" s="28"/>
      <c r="C70" s="18"/>
      <c r="D70" s="12"/>
    </row>
    <row r="71" spans="1:4" x14ac:dyDescent="0.25">
      <c r="A71" s="18"/>
      <c r="B71" s="28"/>
      <c r="C71" s="18"/>
      <c r="D71" s="12"/>
    </row>
    <row r="72" spans="1:4" x14ac:dyDescent="0.25">
      <c r="A72" s="18"/>
      <c r="B72" s="28"/>
      <c r="C72" s="18"/>
      <c r="D72" s="12"/>
    </row>
    <row r="73" spans="1:4" x14ac:dyDescent="0.25">
      <c r="A73" s="18"/>
      <c r="B73" s="28"/>
      <c r="C73" s="18"/>
      <c r="D73" s="12"/>
    </row>
    <row r="74" spans="1:4" x14ac:dyDescent="0.25">
      <c r="A74" s="18"/>
      <c r="B74" s="28"/>
      <c r="C74" s="18"/>
      <c r="D74" s="12"/>
    </row>
    <row r="75" spans="1:4" x14ac:dyDescent="0.25">
      <c r="A75" s="18"/>
      <c r="B75" s="28"/>
      <c r="C75" s="18"/>
      <c r="D75" s="12"/>
    </row>
    <row r="76" spans="1:4" x14ac:dyDescent="0.25">
      <c r="A76" s="18"/>
      <c r="B76" s="28"/>
      <c r="C76" s="18"/>
      <c r="D76" s="12"/>
    </row>
    <row r="77" spans="1:4" x14ac:dyDescent="0.25">
      <c r="A77" s="18"/>
      <c r="B77" s="28"/>
      <c r="C77" s="18"/>
      <c r="D77" s="12"/>
    </row>
    <row r="78" spans="1:4" x14ac:dyDescent="0.25">
      <c r="A78" s="18"/>
      <c r="B78" s="28"/>
      <c r="C78" s="18"/>
      <c r="D78" s="12"/>
    </row>
    <row r="79" spans="1:4" x14ac:dyDescent="0.25">
      <c r="A79" s="18"/>
      <c r="B79" s="28"/>
      <c r="C79" s="18"/>
      <c r="D79" s="12"/>
    </row>
    <row r="80" spans="1:4" x14ac:dyDescent="0.25">
      <c r="A80" s="18"/>
      <c r="B80" s="28"/>
      <c r="C80" s="18"/>
      <c r="D80" s="12"/>
    </row>
    <row r="81" spans="1:4" x14ac:dyDescent="0.25">
      <c r="A81" s="18"/>
      <c r="B81" s="28"/>
      <c r="C81" s="18"/>
      <c r="D81" s="12"/>
    </row>
    <row r="82" spans="1:4" x14ac:dyDescent="0.25">
      <c r="A82" s="18"/>
      <c r="B82" s="28"/>
      <c r="C82" s="18"/>
      <c r="D82" s="12"/>
    </row>
    <row r="83" spans="1:4" x14ac:dyDescent="0.25">
      <c r="A83" s="18"/>
      <c r="B83" s="28"/>
      <c r="C83" s="18"/>
      <c r="D83" s="12"/>
    </row>
    <row r="84" spans="1:4" x14ac:dyDescent="0.25">
      <c r="A84" s="18"/>
      <c r="B84" s="28"/>
      <c r="C84" s="18"/>
      <c r="D84" s="12"/>
    </row>
    <row r="85" spans="1:4" x14ac:dyDescent="0.25">
      <c r="A85" s="18"/>
      <c r="B85" s="28"/>
      <c r="C85" s="18"/>
      <c r="D85" s="12"/>
    </row>
    <row r="86" spans="1:4" x14ac:dyDescent="0.25">
      <c r="A86" s="18"/>
      <c r="B86" s="28"/>
      <c r="C86" s="18"/>
      <c r="D86" s="12"/>
    </row>
    <row r="87" spans="1:4" x14ac:dyDescent="0.25">
      <c r="A87" s="18"/>
      <c r="B87" s="28"/>
      <c r="C87" s="18"/>
      <c r="D87" s="12"/>
    </row>
    <row r="88" spans="1:4" x14ac:dyDescent="0.25">
      <c r="A88" s="18"/>
      <c r="B88" s="28"/>
      <c r="C88" s="18"/>
      <c r="D88" s="12"/>
    </row>
    <row r="89" spans="1:4" x14ac:dyDescent="0.25">
      <c r="A89" s="18"/>
      <c r="B89" s="28"/>
      <c r="C89" s="18"/>
      <c r="D89" s="12"/>
    </row>
    <row r="90" spans="1:4" x14ac:dyDescent="0.25">
      <c r="A90" s="18"/>
      <c r="B90" s="28"/>
      <c r="C90" s="18"/>
      <c r="D90" s="12"/>
    </row>
    <row r="91" spans="1:4" x14ac:dyDescent="0.25">
      <c r="A91" s="18"/>
      <c r="B91" s="28"/>
      <c r="C91" s="18"/>
      <c r="D91" s="12"/>
    </row>
    <row r="92" spans="1:4" x14ac:dyDescent="0.25">
      <c r="A92" s="18"/>
      <c r="B92" s="28"/>
      <c r="C92" s="18"/>
      <c r="D92" s="12"/>
    </row>
    <row r="93" spans="1:4" x14ac:dyDescent="0.25">
      <c r="A93" s="18"/>
      <c r="B93" s="28"/>
      <c r="C93" s="18"/>
      <c r="D93" s="12"/>
    </row>
    <row r="94" spans="1:4" x14ac:dyDescent="0.25">
      <c r="A94" s="18"/>
      <c r="B94" s="28"/>
      <c r="C94" s="18"/>
      <c r="D94" s="12"/>
    </row>
    <row r="95" spans="1:4" x14ac:dyDescent="0.25">
      <c r="A95" s="18"/>
      <c r="B95" s="28"/>
      <c r="C95" s="18"/>
      <c r="D95" s="12"/>
    </row>
    <row r="96" spans="1:4" x14ac:dyDescent="0.25">
      <c r="A96" s="18"/>
      <c r="B96" s="28"/>
      <c r="C96" s="18"/>
      <c r="D96" s="12"/>
    </row>
    <row r="97" spans="1:4" x14ac:dyDescent="0.25">
      <c r="A97" s="18"/>
      <c r="B97" s="28"/>
      <c r="C97" s="18"/>
      <c r="D97" s="12"/>
    </row>
    <row r="98" spans="1:4" x14ac:dyDescent="0.25">
      <c r="A98" s="18"/>
      <c r="B98" s="28"/>
      <c r="C98" s="18"/>
      <c r="D98" s="12"/>
    </row>
    <row r="99" spans="1:4" x14ac:dyDescent="0.25">
      <c r="A99" s="18"/>
      <c r="B99" s="28"/>
      <c r="C99" s="18"/>
      <c r="D99" s="12"/>
    </row>
    <row r="100" spans="1:4" x14ac:dyDescent="0.25">
      <c r="A100" s="18"/>
      <c r="B100" s="28"/>
      <c r="C100" s="18"/>
      <c r="D100" s="12"/>
    </row>
    <row r="101" spans="1:4" x14ac:dyDescent="0.25">
      <c r="A101" s="18"/>
      <c r="B101" s="28"/>
      <c r="C101" s="18"/>
      <c r="D101" s="12"/>
    </row>
    <row r="102" spans="1:4" x14ac:dyDescent="0.25">
      <c r="A102" s="18"/>
      <c r="B102" s="28"/>
      <c r="C102" s="18"/>
      <c r="D102" s="12"/>
    </row>
    <row r="103" spans="1:4" x14ac:dyDescent="0.25">
      <c r="A103" s="18"/>
      <c r="B103" s="28"/>
      <c r="C103" s="18"/>
      <c r="D103" s="12"/>
    </row>
    <row r="104" spans="1:4" x14ac:dyDescent="0.25">
      <c r="A104" s="18"/>
      <c r="B104" s="28"/>
      <c r="C104" s="18"/>
      <c r="D104" s="12"/>
    </row>
    <row r="105" spans="1:4" x14ac:dyDescent="0.25">
      <c r="A105" s="18"/>
      <c r="B105" s="28"/>
      <c r="C105" s="18"/>
      <c r="D105" s="12"/>
    </row>
    <row r="106" spans="1:4" x14ac:dyDescent="0.25">
      <c r="A106" s="18"/>
      <c r="B106" s="28"/>
      <c r="C106" s="18"/>
      <c r="D106" s="12"/>
    </row>
    <row r="107" spans="1:4" x14ac:dyDescent="0.25">
      <c r="A107" s="18"/>
      <c r="B107" s="28"/>
      <c r="C107" s="18"/>
      <c r="D107" s="12"/>
    </row>
    <row r="108" spans="1:4" x14ac:dyDescent="0.25">
      <c r="A108" s="18"/>
      <c r="B108" s="28"/>
      <c r="C108" s="18"/>
      <c r="D108" s="12"/>
    </row>
    <row r="109" spans="1:4" x14ac:dyDescent="0.25">
      <c r="A109" s="18"/>
      <c r="B109" s="28"/>
      <c r="C109" s="18"/>
      <c r="D109" s="12"/>
    </row>
    <row r="110" spans="1:4" x14ac:dyDescent="0.25">
      <c r="A110" s="18"/>
      <c r="B110" s="28"/>
      <c r="C110" s="18"/>
      <c r="D110" s="12"/>
    </row>
    <row r="111" spans="1:4" x14ac:dyDescent="0.25">
      <c r="A111" s="18"/>
      <c r="B111" s="28"/>
      <c r="C111" s="18"/>
      <c r="D111" s="12"/>
    </row>
    <row r="112" spans="1:4" x14ac:dyDescent="0.25">
      <c r="A112" s="18"/>
      <c r="B112" s="28"/>
      <c r="C112" s="18"/>
      <c r="D112" s="12"/>
    </row>
    <row r="113" spans="1:4" x14ac:dyDescent="0.25">
      <c r="A113" s="18"/>
      <c r="B113" s="28"/>
      <c r="C113" s="18"/>
      <c r="D113" s="12"/>
    </row>
    <row r="114" spans="1:4" x14ac:dyDescent="0.25">
      <c r="A114" s="18"/>
      <c r="B114" s="28"/>
      <c r="C114" s="18"/>
      <c r="D114" s="12"/>
    </row>
    <row r="115" spans="1:4" x14ac:dyDescent="0.25">
      <c r="A115" s="18"/>
      <c r="B115" s="28"/>
      <c r="C115" s="18"/>
      <c r="D115" s="12"/>
    </row>
    <row r="116" spans="1:4" x14ac:dyDescent="0.25">
      <c r="A116" s="18"/>
      <c r="B116" s="28"/>
      <c r="C116" s="18"/>
      <c r="D116" s="12"/>
    </row>
    <row r="117" spans="1:4" x14ac:dyDescent="0.25">
      <c r="A117" s="18"/>
      <c r="B117" s="28"/>
      <c r="C117" s="18"/>
      <c r="D117" s="12"/>
    </row>
    <row r="118" spans="1:4" x14ac:dyDescent="0.25">
      <c r="A118" s="18"/>
      <c r="B118" s="28"/>
      <c r="C118" s="18"/>
      <c r="D118" s="12"/>
    </row>
    <row r="119" spans="1:4" x14ac:dyDescent="0.25">
      <c r="A119" s="18"/>
      <c r="B119" s="28"/>
      <c r="C119" s="18"/>
      <c r="D119" s="12"/>
    </row>
    <row r="120" spans="1:4" x14ac:dyDescent="0.25">
      <c r="A120" s="18"/>
      <c r="B120" s="28"/>
      <c r="C120" s="18"/>
      <c r="D120" s="12"/>
    </row>
    <row r="121" spans="1:4" x14ac:dyDescent="0.25">
      <c r="A121" s="18"/>
      <c r="B121" s="28"/>
      <c r="C121" s="18"/>
      <c r="D121" s="12"/>
    </row>
    <row r="122" spans="1:4" x14ac:dyDescent="0.25">
      <c r="A122" s="18"/>
      <c r="B122" s="28"/>
      <c r="C122" s="18"/>
      <c r="D122" s="12"/>
    </row>
    <row r="123" spans="1:4" x14ac:dyDescent="0.25">
      <c r="A123" s="18"/>
      <c r="B123" s="28"/>
      <c r="C123" s="18"/>
      <c r="D123" s="12"/>
    </row>
    <row r="124" spans="1:4" x14ac:dyDescent="0.25">
      <c r="A124" s="18"/>
      <c r="B124" s="28"/>
      <c r="C124" s="18"/>
      <c r="D124" s="12"/>
    </row>
    <row r="125" spans="1:4" x14ac:dyDescent="0.25">
      <c r="A125" s="18"/>
      <c r="B125" s="28"/>
      <c r="C125" s="18"/>
      <c r="D125" s="12"/>
    </row>
    <row r="126" spans="1:4" x14ac:dyDescent="0.25">
      <c r="A126" s="18"/>
      <c r="B126" s="28"/>
      <c r="C126" s="18"/>
      <c r="D126" s="12"/>
    </row>
    <row r="127" spans="1:4" x14ac:dyDescent="0.25">
      <c r="A127" s="18"/>
      <c r="B127" s="28"/>
      <c r="C127" s="18"/>
      <c r="D127" s="12"/>
    </row>
    <row r="128" spans="1:4" x14ac:dyDescent="0.25">
      <c r="A128" s="18"/>
      <c r="B128" s="28"/>
      <c r="C128" s="18"/>
      <c r="D128" s="12"/>
    </row>
    <row r="129" spans="1:4" x14ac:dyDescent="0.25">
      <c r="A129" s="18"/>
      <c r="B129" s="28"/>
      <c r="C129" s="18"/>
      <c r="D129" s="12"/>
    </row>
    <row r="130" spans="1:4" x14ac:dyDescent="0.25">
      <c r="A130" s="18"/>
      <c r="B130" s="28"/>
      <c r="C130" s="18"/>
      <c r="D130" s="12"/>
    </row>
    <row r="131" spans="1:4" x14ac:dyDescent="0.25">
      <c r="A131" s="18"/>
      <c r="B131" s="28"/>
      <c r="C131" s="18"/>
      <c r="D131" s="12"/>
    </row>
    <row r="132" spans="1:4" x14ac:dyDescent="0.25">
      <c r="A132" s="18"/>
      <c r="B132" s="28"/>
      <c r="C132" s="18"/>
      <c r="D132" s="12"/>
    </row>
    <row r="133" spans="1:4" x14ac:dyDescent="0.25">
      <c r="A133" s="18"/>
      <c r="B133" s="28"/>
      <c r="C133" s="18"/>
      <c r="D133" s="12"/>
    </row>
    <row r="134" spans="1:4" x14ac:dyDescent="0.25">
      <c r="A134" s="18"/>
      <c r="B134" s="28"/>
      <c r="C134" s="18"/>
      <c r="D134" s="12"/>
    </row>
    <row r="135" spans="1:4" x14ac:dyDescent="0.25">
      <c r="A135" s="18"/>
      <c r="B135" s="28"/>
      <c r="C135" s="18"/>
      <c r="D135" s="12"/>
    </row>
    <row r="136" spans="1:4" x14ac:dyDescent="0.25">
      <c r="A136" s="18"/>
      <c r="B136" s="28"/>
      <c r="C136" s="18"/>
      <c r="D136" s="12"/>
    </row>
    <row r="137" spans="1:4" x14ac:dyDescent="0.25">
      <c r="A137" s="18"/>
      <c r="B137" s="28"/>
      <c r="C137" s="18"/>
      <c r="D137" s="12"/>
    </row>
    <row r="138" spans="1:4" x14ac:dyDescent="0.25">
      <c r="A138" s="18"/>
      <c r="B138" s="28"/>
      <c r="C138" s="18"/>
      <c r="D138" s="12"/>
    </row>
    <row r="139" spans="1:4" x14ac:dyDescent="0.25">
      <c r="A139" s="18"/>
      <c r="B139" s="28"/>
      <c r="C139" s="18"/>
      <c r="D139" s="12"/>
    </row>
    <row r="140" spans="1:4" x14ac:dyDescent="0.25">
      <c r="A140" s="18"/>
      <c r="B140" s="28"/>
      <c r="C140" s="18"/>
      <c r="D140" s="12"/>
    </row>
    <row r="141" spans="1:4" x14ac:dyDescent="0.25">
      <c r="A141" s="18"/>
      <c r="B141" s="28"/>
      <c r="C141" s="18"/>
      <c r="D141" s="12"/>
    </row>
    <row r="142" spans="1:4" x14ac:dyDescent="0.25">
      <c r="A142" s="18"/>
      <c r="B142" s="28"/>
      <c r="C142" s="18"/>
      <c r="D142" s="12"/>
    </row>
    <row r="143" spans="1:4" x14ac:dyDescent="0.25">
      <c r="A143" s="18"/>
      <c r="B143" s="28"/>
      <c r="C143" s="18"/>
      <c r="D143" s="12"/>
    </row>
    <row r="144" spans="1:4" x14ac:dyDescent="0.25">
      <c r="A144" s="18"/>
      <c r="B144" s="28"/>
      <c r="C144" s="18"/>
      <c r="D144" s="12"/>
    </row>
    <row r="145" spans="1:4" x14ac:dyDescent="0.25">
      <c r="A145" s="18"/>
      <c r="B145" s="28"/>
      <c r="C145" s="18"/>
      <c r="D145" s="12"/>
    </row>
    <row r="146" spans="1:4" x14ac:dyDescent="0.25">
      <c r="A146" s="18"/>
      <c r="B146" s="28"/>
      <c r="C146" s="18"/>
      <c r="D146" s="12"/>
    </row>
    <row r="147" spans="1:4" x14ac:dyDescent="0.25">
      <c r="A147" s="18"/>
      <c r="B147" s="28"/>
      <c r="C147" s="18"/>
      <c r="D147" s="12"/>
    </row>
    <row r="148" spans="1:4" x14ac:dyDescent="0.25">
      <c r="A148" s="18"/>
      <c r="B148" s="28"/>
      <c r="C148" s="18"/>
      <c r="D148" s="12"/>
    </row>
    <row r="149" spans="1:4" x14ac:dyDescent="0.25">
      <c r="A149" s="18"/>
      <c r="B149" s="28"/>
      <c r="C149" s="18"/>
      <c r="D149" s="12"/>
    </row>
    <row r="150" spans="1:4" x14ac:dyDescent="0.25">
      <c r="A150" s="18"/>
      <c r="B150" s="28"/>
      <c r="C150" s="18"/>
      <c r="D150" s="12"/>
    </row>
    <row r="151" spans="1:4" x14ac:dyDescent="0.25">
      <c r="A151" s="18"/>
      <c r="B151" s="28"/>
      <c r="C151" s="18"/>
      <c r="D151" s="12"/>
    </row>
    <row r="152" spans="1:4" x14ac:dyDescent="0.25">
      <c r="A152" s="18"/>
      <c r="B152" s="28"/>
      <c r="C152" s="18"/>
      <c r="D152" s="12"/>
    </row>
    <row r="153" spans="1:4" x14ac:dyDescent="0.25">
      <c r="A153" s="18"/>
      <c r="B153" s="28"/>
      <c r="C153" s="18"/>
      <c r="D153" s="12"/>
    </row>
    <row r="154" spans="1:4" x14ac:dyDescent="0.25">
      <c r="A154" s="18"/>
      <c r="B154" s="28"/>
      <c r="C154" s="18"/>
      <c r="D154" s="12"/>
    </row>
    <row r="155" spans="1:4" x14ac:dyDescent="0.25">
      <c r="A155" s="18"/>
      <c r="B155" s="28"/>
      <c r="C155" s="18"/>
      <c r="D155" s="12"/>
    </row>
    <row r="156" spans="1:4" x14ac:dyDescent="0.25">
      <c r="A156" s="18"/>
      <c r="B156" s="28"/>
      <c r="C156" s="18"/>
      <c r="D156" s="12"/>
    </row>
    <row r="157" spans="1:4" x14ac:dyDescent="0.25">
      <c r="A157" s="18"/>
      <c r="B157" s="28"/>
      <c r="C157" s="18"/>
      <c r="D157" s="12"/>
    </row>
    <row r="158" spans="1:4" x14ac:dyDescent="0.25">
      <c r="A158" s="18"/>
      <c r="B158" s="28"/>
      <c r="C158" s="18"/>
      <c r="D158" s="12"/>
    </row>
    <row r="159" spans="1:4" x14ac:dyDescent="0.25">
      <c r="A159" s="18"/>
      <c r="B159" s="28"/>
      <c r="C159" s="18"/>
      <c r="D159" s="12"/>
    </row>
    <row r="160" spans="1:4" x14ac:dyDescent="0.25">
      <c r="A160" s="18"/>
      <c r="B160" s="28"/>
      <c r="C160" s="18"/>
      <c r="D160" s="12"/>
    </row>
    <row r="161" spans="1:4" x14ac:dyDescent="0.25">
      <c r="A161" s="18"/>
      <c r="B161" s="28"/>
      <c r="C161" s="18"/>
      <c r="D161" s="12"/>
    </row>
    <row r="162" spans="1:4" x14ac:dyDescent="0.25">
      <c r="A162" s="18"/>
      <c r="B162" s="28"/>
      <c r="C162" s="18"/>
      <c r="D162" s="12"/>
    </row>
    <row r="163" spans="1:4" x14ac:dyDescent="0.25">
      <c r="A163" s="18"/>
      <c r="B163" s="28"/>
      <c r="C163" s="18"/>
      <c r="D163" s="12"/>
    </row>
    <row r="164" spans="1:4" x14ac:dyDescent="0.25">
      <c r="A164" s="18"/>
      <c r="B164" s="28"/>
      <c r="C164" s="18"/>
      <c r="D164" s="12"/>
    </row>
    <row r="165" spans="1:4" x14ac:dyDescent="0.25">
      <c r="A165" s="18"/>
      <c r="B165" s="28"/>
      <c r="C165" s="18"/>
      <c r="D165" s="12"/>
    </row>
    <row r="166" spans="1:4" x14ac:dyDescent="0.25">
      <c r="A166" s="18"/>
      <c r="B166" s="28"/>
      <c r="C166" s="18"/>
      <c r="D166" s="12"/>
    </row>
    <row r="167" spans="1:4" x14ac:dyDescent="0.25">
      <c r="A167" s="18"/>
      <c r="B167" s="28"/>
      <c r="C167" s="18"/>
      <c r="D167" s="12"/>
    </row>
    <row r="168" spans="1:4" x14ac:dyDescent="0.25">
      <c r="A168" s="18"/>
      <c r="B168" s="28"/>
      <c r="C168" s="18"/>
      <c r="D168" s="12"/>
    </row>
    <row r="169" spans="1:4" x14ac:dyDescent="0.25">
      <c r="A169" s="18"/>
      <c r="B169" s="28"/>
      <c r="C169" s="18"/>
      <c r="D169" s="12"/>
    </row>
    <row r="170" spans="1:4" x14ac:dyDescent="0.25">
      <c r="A170" s="18"/>
      <c r="B170" s="28"/>
      <c r="C170" s="18"/>
      <c r="D170" s="12"/>
    </row>
    <row r="171" spans="1:4" x14ac:dyDescent="0.25">
      <c r="A171" s="18"/>
      <c r="B171" s="28"/>
      <c r="C171" s="18"/>
      <c r="D171" s="12"/>
    </row>
    <row r="172" spans="1:4" x14ac:dyDescent="0.25">
      <c r="A172" s="18"/>
      <c r="B172" s="28"/>
      <c r="C172" s="18"/>
      <c r="D172" s="12"/>
    </row>
    <row r="173" spans="1:4" x14ac:dyDescent="0.25">
      <c r="A173" s="18"/>
      <c r="B173" s="28"/>
      <c r="C173" s="18"/>
      <c r="D173" s="12"/>
    </row>
    <row r="174" spans="1:4" x14ac:dyDescent="0.25">
      <c r="A174" s="18"/>
      <c r="B174" s="28"/>
      <c r="C174" s="18"/>
      <c r="D174" s="12"/>
    </row>
    <row r="175" spans="1:4" x14ac:dyDescent="0.25">
      <c r="A175" s="18"/>
      <c r="B175" s="28"/>
      <c r="C175" s="18"/>
      <c r="D175" s="12"/>
    </row>
    <row r="176" spans="1:4" x14ac:dyDescent="0.25">
      <c r="A176" s="18"/>
      <c r="B176" s="28"/>
      <c r="C176" s="18"/>
      <c r="D176" s="12"/>
    </row>
    <row r="177" spans="1:4" x14ac:dyDescent="0.25">
      <c r="A177" s="18"/>
      <c r="B177" s="28"/>
      <c r="C177" s="18"/>
      <c r="D177" s="12"/>
    </row>
    <row r="178" spans="1:4" x14ac:dyDescent="0.25">
      <c r="A178" s="18"/>
      <c r="B178" s="28"/>
      <c r="C178" s="18"/>
      <c r="D178" s="12"/>
    </row>
    <row r="179" spans="1:4" x14ac:dyDescent="0.25">
      <c r="A179" s="18"/>
      <c r="B179" s="28"/>
      <c r="C179" s="18"/>
      <c r="D179" s="12"/>
    </row>
    <row r="180" spans="1:4" x14ac:dyDescent="0.25">
      <c r="A180" s="18"/>
      <c r="B180" s="28"/>
      <c r="C180" s="18"/>
      <c r="D180" s="12"/>
    </row>
    <row r="181" spans="1:4" x14ac:dyDescent="0.25">
      <c r="A181" s="18"/>
      <c r="B181" s="28"/>
      <c r="C181" s="18"/>
      <c r="D181" s="12"/>
    </row>
    <row r="182" spans="1:4" x14ac:dyDescent="0.25">
      <c r="A182" s="18"/>
      <c r="B182" s="28"/>
      <c r="C182" s="18"/>
      <c r="D182" s="12"/>
    </row>
    <row r="183" spans="1:4" x14ac:dyDescent="0.25">
      <c r="A183" s="18"/>
      <c r="B183" s="28"/>
      <c r="C183" s="18"/>
      <c r="D183" s="12"/>
    </row>
    <row r="184" spans="1:4" x14ac:dyDescent="0.25">
      <c r="A184" s="18"/>
      <c r="B184" s="28"/>
      <c r="C184" s="18"/>
      <c r="D184" s="12"/>
    </row>
    <row r="185" spans="1:4" x14ac:dyDescent="0.25">
      <c r="A185" s="18"/>
      <c r="B185" s="28"/>
      <c r="C185" s="18"/>
      <c r="D185" s="12"/>
    </row>
    <row r="186" spans="1:4" x14ac:dyDescent="0.25">
      <c r="A186" s="18"/>
      <c r="B186" s="28"/>
      <c r="C186" s="18"/>
      <c r="D186" s="12"/>
    </row>
    <row r="187" spans="1:4" x14ac:dyDescent="0.25">
      <c r="A187" s="18"/>
      <c r="B187" s="28"/>
      <c r="C187" s="18"/>
      <c r="D187" s="12"/>
    </row>
    <row r="188" spans="1:4" x14ac:dyDescent="0.25">
      <c r="A188" s="18"/>
      <c r="B188" s="28"/>
      <c r="C188" s="18"/>
      <c r="D188" s="12"/>
    </row>
    <row r="189" spans="1:4" x14ac:dyDescent="0.25">
      <c r="A189" s="18"/>
      <c r="B189" s="28"/>
      <c r="C189" s="18"/>
      <c r="D189" s="12"/>
    </row>
    <row r="190" spans="1:4" x14ac:dyDescent="0.25">
      <c r="A190" s="18"/>
      <c r="B190" s="28"/>
      <c r="C190" s="18"/>
      <c r="D190" s="12"/>
    </row>
    <row r="191" spans="1:4" x14ac:dyDescent="0.25">
      <c r="A191" s="18"/>
      <c r="B191" s="28"/>
      <c r="C191" s="18"/>
      <c r="D191" s="12"/>
    </row>
    <row r="192" spans="1:4" x14ac:dyDescent="0.25">
      <c r="A192" s="18"/>
      <c r="B192" s="28"/>
      <c r="C192" s="18"/>
      <c r="D192" s="12"/>
    </row>
    <row r="193" spans="1:4" x14ac:dyDescent="0.25">
      <c r="A193" s="18"/>
      <c r="B193" s="28"/>
      <c r="C193" s="18"/>
      <c r="D193" s="12"/>
    </row>
    <row r="194" spans="1:4" x14ac:dyDescent="0.25">
      <c r="A194" s="18"/>
      <c r="B194" s="28"/>
      <c r="C194" s="18"/>
      <c r="D194" s="12"/>
    </row>
    <row r="195" spans="1:4" x14ac:dyDescent="0.25">
      <c r="A195" s="18"/>
      <c r="B195" s="28"/>
      <c r="C195" s="18"/>
      <c r="D195" s="12"/>
    </row>
    <row r="196" spans="1:4" x14ac:dyDescent="0.25">
      <c r="A196" s="18"/>
      <c r="B196" s="28"/>
      <c r="C196" s="18"/>
      <c r="D196" s="12"/>
    </row>
    <row r="197" spans="1:4" x14ac:dyDescent="0.25">
      <c r="A197" s="18"/>
      <c r="B197" s="28"/>
      <c r="C197" s="18"/>
      <c r="D197" s="12"/>
    </row>
    <row r="198" spans="1:4" x14ac:dyDescent="0.25">
      <c r="A198" s="18"/>
      <c r="B198" s="28"/>
      <c r="C198" s="18"/>
      <c r="D198" s="12"/>
    </row>
    <row r="199" spans="1:4" x14ac:dyDescent="0.25">
      <c r="A199" s="18"/>
      <c r="B199" s="28"/>
      <c r="C199" s="18"/>
      <c r="D199" s="12"/>
    </row>
    <row r="200" spans="1:4" x14ac:dyDescent="0.25">
      <c r="A200" s="18"/>
      <c r="B200" s="28"/>
      <c r="C200" s="18"/>
      <c r="D200" s="12"/>
    </row>
    <row r="201" spans="1:4" x14ac:dyDescent="0.25">
      <c r="A201" s="18"/>
      <c r="B201" s="28"/>
      <c r="C201" s="18"/>
      <c r="D201" s="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"/>
  <sheetViews>
    <sheetView topLeftCell="A5" workbookViewId="0">
      <selection activeCell="A12" sqref="A12"/>
    </sheetView>
  </sheetViews>
  <sheetFormatPr defaultRowHeight="15" x14ac:dyDescent="0.25"/>
  <sheetData>
    <row r="1" spans="1:1" x14ac:dyDescent="0.25">
      <c r="A1" s="20" t="s">
        <v>1224</v>
      </c>
    </row>
    <row r="2" spans="1:1" x14ac:dyDescent="0.25">
      <c r="A2" s="21" t="s">
        <v>1225</v>
      </c>
    </row>
    <row r="3" spans="1:1" x14ac:dyDescent="0.25">
      <c r="A3" s="20" t="s">
        <v>1226</v>
      </c>
    </row>
    <row r="4" spans="1:1" x14ac:dyDescent="0.25">
      <c r="A4" s="21" t="s">
        <v>1227</v>
      </c>
    </row>
    <row r="5" spans="1:1" x14ac:dyDescent="0.25">
      <c r="A5" s="21" t="s">
        <v>1228</v>
      </c>
    </row>
    <row r="6" spans="1:1" x14ac:dyDescent="0.25">
      <c r="A6" s="21" t="s">
        <v>1229</v>
      </c>
    </row>
    <row r="7" spans="1:1" x14ac:dyDescent="0.25">
      <c r="A7" s="21" t="s">
        <v>1230</v>
      </c>
    </row>
    <row r="8" spans="1:1" x14ac:dyDescent="0.25">
      <c r="A8" s="21" t="s">
        <v>1231</v>
      </c>
    </row>
    <row r="9" spans="1:1" x14ac:dyDescent="0.25">
      <c r="A9" s="21" t="s">
        <v>1232</v>
      </c>
    </row>
    <row r="10" spans="1:1" x14ac:dyDescent="0.25">
      <c r="A10" s="21" t="s">
        <v>1233</v>
      </c>
    </row>
    <row r="11" spans="1:1" x14ac:dyDescent="0.25">
      <c r="A11" s="21" t="s">
        <v>1234</v>
      </c>
    </row>
    <row r="12" spans="1:1" x14ac:dyDescent="0.25">
      <c r="A12" s="21" t="s">
        <v>1235</v>
      </c>
    </row>
    <row r="13" spans="1:1" x14ac:dyDescent="0.25">
      <c r="A13" s="21" t="s">
        <v>1236</v>
      </c>
    </row>
    <row r="14" spans="1:1" x14ac:dyDescent="0.25">
      <c r="A14" s="21" t="s">
        <v>1237</v>
      </c>
    </row>
    <row r="15" spans="1:1" x14ac:dyDescent="0.25">
      <c r="A15" s="21" t="s">
        <v>1238</v>
      </c>
    </row>
    <row r="16" spans="1:1" x14ac:dyDescent="0.25">
      <c r="A16" s="21" t="s">
        <v>1239</v>
      </c>
    </row>
    <row r="17" spans="1:1" x14ac:dyDescent="0.25">
      <c r="A17" s="21" t="s">
        <v>1240</v>
      </c>
    </row>
    <row r="18" spans="1:1" x14ac:dyDescent="0.25">
      <c r="A18" s="21" t="s">
        <v>1241</v>
      </c>
    </row>
    <row r="19" spans="1:1" x14ac:dyDescent="0.25">
      <c r="A19" s="21" t="s">
        <v>1242</v>
      </c>
    </row>
    <row r="20" spans="1:1" x14ac:dyDescent="0.25">
      <c r="A20" s="21" t="s">
        <v>1243</v>
      </c>
    </row>
    <row r="21" spans="1:1" x14ac:dyDescent="0.25">
      <c r="A21" s="21" t="s">
        <v>1244</v>
      </c>
    </row>
    <row r="22" spans="1:1" x14ac:dyDescent="0.25">
      <c r="A22" s="21" t="s">
        <v>1245</v>
      </c>
    </row>
    <row r="23" spans="1:1" x14ac:dyDescent="0.25">
      <c r="A23" s="21" t="s">
        <v>1246</v>
      </c>
    </row>
    <row r="24" spans="1:1" x14ac:dyDescent="0.25">
      <c r="A24" s="21" t="s">
        <v>1247</v>
      </c>
    </row>
    <row r="25" spans="1:1" x14ac:dyDescent="0.25">
      <c r="A25" s="21" t="s">
        <v>1248</v>
      </c>
    </row>
    <row r="26" spans="1:1" x14ac:dyDescent="0.25">
      <c r="A26" s="21" t="s">
        <v>1249</v>
      </c>
    </row>
    <row r="27" spans="1:1" x14ac:dyDescent="0.25">
      <c r="A27" s="21" t="s">
        <v>1250</v>
      </c>
    </row>
    <row r="28" spans="1:1" x14ac:dyDescent="0.25">
      <c r="A28" s="21" t="s">
        <v>1251</v>
      </c>
    </row>
    <row r="29" spans="1:1" x14ac:dyDescent="0.25">
      <c r="A29" s="21" t="s">
        <v>1252</v>
      </c>
    </row>
    <row r="30" spans="1:1" x14ac:dyDescent="0.25">
      <c r="A30" s="21" t="s">
        <v>1253</v>
      </c>
    </row>
    <row r="31" spans="1:1" x14ac:dyDescent="0.25">
      <c r="A31" s="21" t="s">
        <v>1254</v>
      </c>
    </row>
    <row r="32" spans="1:1" x14ac:dyDescent="0.25">
      <c r="A32" s="21" t="s">
        <v>1255</v>
      </c>
    </row>
    <row r="33" spans="1:1" x14ac:dyDescent="0.25">
      <c r="A33" s="21" t="s">
        <v>1256</v>
      </c>
    </row>
    <row r="34" spans="1:1" x14ac:dyDescent="0.25">
      <c r="A34" s="21" t="s">
        <v>1257</v>
      </c>
    </row>
    <row r="35" spans="1:1" x14ac:dyDescent="0.25">
      <c r="A35" s="21" t="s">
        <v>1258</v>
      </c>
    </row>
    <row r="36" spans="1:1" x14ac:dyDescent="0.25">
      <c r="A36" s="21" t="s">
        <v>1259</v>
      </c>
    </row>
    <row r="37" spans="1:1" x14ac:dyDescent="0.25">
      <c r="A37" s="21" t="s">
        <v>1260</v>
      </c>
    </row>
    <row r="38" spans="1:1" x14ac:dyDescent="0.25">
      <c r="A38" s="21" t="s">
        <v>1261</v>
      </c>
    </row>
    <row r="39" spans="1:1" x14ac:dyDescent="0.25">
      <c r="A39" s="21" t="s">
        <v>1262</v>
      </c>
    </row>
    <row r="40" spans="1:1" x14ac:dyDescent="0.25">
      <c r="A40" s="21" t="s">
        <v>1263</v>
      </c>
    </row>
    <row r="41" spans="1:1" x14ac:dyDescent="0.25">
      <c r="A41" s="21" t="s">
        <v>1264</v>
      </c>
    </row>
    <row r="42" spans="1:1" x14ac:dyDescent="0.25">
      <c r="A42" s="21" t="s">
        <v>1265</v>
      </c>
    </row>
    <row r="43" spans="1:1" x14ac:dyDescent="0.25">
      <c r="A43" s="21" t="s">
        <v>1266</v>
      </c>
    </row>
    <row r="44" spans="1:1" x14ac:dyDescent="0.25">
      <c r="A44" s="21" t="s">
        <v>1267</v>
      </c>
    </row>
    <row r="45" spans="1:1" x14ac:dyDescent="0.25">
      <c r="A45" s="21" t="s">
        <v>1268</v>
      </c>
    </row>
    <row r="46" spans="1:1" x14ac:dyDescent="0.25">
      <c r="A46" s="21" t="s">
        <v>1269</v>
      </c>
    </row>
    <row r="47" spans="1:1" x14ac:dyDescent="0.25">
      <c r="A47" s="21" t="s">
        <v>1270</v>
      </c>
    </row>
    <row r="48" spans="1:1" x14ac:dyDescent="0.25">
      <c r="A48" s="21" t="s">
        <v>1271</v>
      </c>
    </row>
    <row r="49" spans="1:1" x14ac:dyDescent="0.25">
      <c r="A49" s="21" t="s">
        <v>1272</v>
      </c>
    </row>
    <row r="50" spans="1:1" x14ac:dyDescent="0.25">
      <c r="A50" s="21" t="s">
        <v>1273</v>
      </c>
    </row>
    <row r="51" spans="1:1" x14ac:dyDescent="0.25">
      <c r="A51" s="21" t="s">
        <v>1274</v>
      </c>
    </row>
    <row r="52" spans="1:1" x14ac:dyDescent="0.25">
      <c r="A52" s="21" t="s">
        <v>1275</v>
      </c>
    </row>
    <row r="53" spans="1:1" x14ac:dyDescent="0.25">
      <c r="A53" s="21" t="s">
        <v>1276</v>
      </c>
    </row>
    <row r="54" spans="1:1" x14ac:dyDescent="0.25">
      <c r="A54" s="21" t="s">
        <v>1277</v>
      </c>
    </row>
    <row r="55" spans="1:1" x14ac:dyDescent="0.25">
      <c r="A55" s="21" t="s">
        <v>1278</v>
      </c>
    </row>
    <row r="56" spans="1:1" x14ac:dyDescent="0.25">
      <c r="A56" s="21" t="s">
        <v>1279</v>
      </c>
    </row>
    <row r="57" spans="1:1" x14ac:dyDescent="0.25">
      <c r="A57" s="21" t="s">
        <v>1280</v>
      </c>
    </row>
    <row r="58" spans="1:1" x14ac:dyDescent="0.25">
      <c r="A58" s="21" t="s">
        <v>1281</v>
      </c>
    </row>
    <row r="59" spans="1:1" x14ac:dyDescent="0.25">
      <c r="A59" s="21" t="s">
        <v>1282</v>
      </c>
    </row>
    <row r="60" spans="1:1" x14ac:dyDescent="0.25">
      <c r="A60" s="21" t="s">
        <v>1283</v>
      </c>
    </row>
    <row r="61" spans="1:1" x14ac:dyDescent="0.25">
      <c r="A61" s="21" t="s">
        <v>1284</v>
      </c>
    </row>
    <row r="62" spans="1:1" x14ac:dyDescent="0.25">
      <c r="A62" s="21" t="s">
        <v>1285</v>
      </c>
    </row>
    <row r="63" spans="1:1" x14ac:dyDescent="0.25">
      <c r="A63" s="21" t="s">
        <v>1286</v>
      </c>
    </row>
    <row r="64" spans="1:1" x14ac:dyDescent="0.25">
      <c r="A64" s="21" t="s">
        <v>1287</v>
      </c>
    </row>
    <row r="65" spans="1:1" x14ac:dyDescent="0.25">
      <c r="A65" s="21" t="s">
        <v>1288</v>
      </c>
    </row>
    <row r="66" spans="1:1" x14ac:dyDescent="0.25">
      <c r="A66" s="21" t="s">
        <v>1289</v>
      </c>
    </row>
    <row r="67" spans="1:1" x14ac:dyDescent="0.25">
      <c r="A67" s="21" t="s">
        <v>1290</v>
      </c>
    </row>
    <row r="68" spans="1:1" x14ac:dyDescent="0.25">
      <c r="A68" s="21" t="s">
        <v>1291</v>
      </c>
    </row>
    <row r="69" spans="1:1" x14ac:dyDescent="0.25">
      <c r="A69" s="21" t="s">
        <v>1292</v>
      </c>
    </row>
    <row r="70" spans="1:1" x14ac:dyDescent="0.25">
      <c r="A70" s="21" t="s">
        <v>1293</v>
      </c>
    </row>
    <row r="71" spans="1:1" x14ac:dyDescent="0.25">
      <c r="A71" s="21" t="s">
        <v>1294</v>
      </c>
    </row>
    <row r="72" spans="1:1" x14ac:dyDescent="0.25">
      <c r="A72" s="21" t="s">
        <v>1295</v>
      </c>
    </row>
    <row r="73" spans="1:1" x14ac:dyDescent="0.25">
      <c r="A73" s="21" t="s">
        <v>1296</v>
      </c>
    </row>
    <row r="74" spans="1:1" x14ac:dyDescent="0.25">
      <c r="A74" s="21" t="s">
        <v>1297</v>
      </c>
    </row>
    <row r="75" spans="1:1" x14ac:dyDescent="0.25">
      <c r="A75" s="21" t="s">
        <v>1298</v>
      </c>
    </row>
    <row r="76" spans="1:1" x14ac:dyDescent="0.25">
      <c r="A76" s="21" t="s">
        <v>1299</v>
      </c>
    </row>
    <row r="77" spans="1:1" x14ac:dyDescent="0.25">
      <c r="A77" s="21" t="s">
        <v>1300</v>
      </c>
    </row>
    <row r="78" spans="1:1" x14ac:dyDescent="0.25">
      <c r="A78" s="21" t="s">
        <v>1301</v>
      </c>
    </row>
    <row r="79" spans="1:1" x14ac:dyDescent="0.25">
      <c r="A79" s="21" t="s">
        <v>1302</v>
      </c>
    </row>
    <row r="80" spans="1:1" x14ac:dyDescent="0.25">
      <c r="A80" s="21" t="s">
        <v>1303</v>
      </c>
    </row>
    <row r="81" spans="1:1" x14ac:dyDescent="0.25">
      <c r="A81" s="21" t="s">
        <v>1304</v>
      </c>
    </row>
    <row r="82" spans="1:1" x14ac:dyDescent="0.25">
      <c r="A82" s="21" t="s">
        <v>1305</v>
      </c>
    </row>
    <row r="83" spans="1:1" x14ac:dyDescent="0.25">
      <c r="A83" s="21" t="s">
        <v>1306</v>
      </c>
    </row>
    <row r="84" spans="1:1" x14ac:dyDescent="0.25">
      <c r="A84" s="21" t="s">
        <v>1307</v>
      </c>
    </row>
    <row r="85" spans="1:1" x14ac:dyDescent="0.25">
      <c r="A85" s="21" t="s">
        <v>1308</v>
      </c>
    </row>
    <row r="86" spans="1:1" x14ac:dyDescent="0.25">
      <c r="A86" s="21" t="s">
        <v>1309</v>
      </c>
    </row>
    <row r="87" spans="1:1" x14ac:dyDescent="0.25">
      <c r="A87" s="21" t="s">
        <v>1310</v>
      </c>
    </row>
    <row r="88" spans="1:1" x14ac:dyDescent="0.25">
      <c r="A88" s="21" t="s">
        <v>1311</v>
      </c>
    </row>
    <row r="89" spans="1:1" x14ac:dyDescent="0.25">
      <c r="A89" s="21" t="s">
        <v>1312</v>
      </c>
    </row>
    <row r="90" spans="1:1" x14ac:dyDescent="0.25">
      <c r="A90" s="21" t="s">
        <v>1313</v>
      </c>
    </row>
    <row r="91" spans="1:1" x14ac:dyDescent="0.25">
      <c r="A91" s="21" t="s">
        <v>1314</v>
      </c>
    </row>
    <row r="92" spans="1:1" x14ac:dyDescent="0.25">
      <c r="A92" s="21" t="s">
        <v>1315</v>
      </c>
    </row>
    <row r="93" spans="1:1" x14ac:dyDescent="0.25">
      <c r="A93" s="21" t="s">
        <v>1316</v>
      </c>
    </row>
    <row r="94" spans="1:1" x14ac:dyDescent="0.25">
      <c r="A94" s="21" t="s">
        <v>1317</v>
      </c>
    </row>
    <row r="95" spans="1:1" x14ac:dyDescent="0.25">
      <c r="A95" s="21" t="s">
        <v>1318</v>
      </c>
    </row>
    <row r="96" spans="1:1" x14ac:dyDescent="0.25">
      <c r="A96" s="21" t="s">
        <v>1319</v>
      </c>
    </row>
    <row r="97" spans="1:1" x14ac:dyDescent="0.25">
      <c r="A97" s="21" t="s">
        <v>1320</v>
      </c>
    </row>
    <row r="98" spans="1:1" x14ac:dyDescent="0.25">
      <c r="A98" s="21" t="s">
        <v>1321</v>
      </c>
    </row>
    <row r="99" spans="1:1" x14ac:dyDescent="0.25">
      <c r="A99" s="21" t="s">
        <v>1322</v>
      </c>
    </row>
    <row r="100" spans="1:1" x14ac:dyDescent="0.25">
      <c r="A100" s="21" t="s">
        <v>1323</v>
      </c>
    </row>
    <row r="101" spans="1:1" x14ac:dyDescent="0.25">
      <c r="A101" s="21" t="s">
        <v>1324</v>
      </c>
    </row>
    <row r="102" spans="1:1" x14ac:dyDescent="0.25">
      <c r="A102" s="21" t="s">
        <v>1325</v>
      </c>
    </row>
    <row r="103" spans="1:1" x14ac:dyDescent="0.25">
      <c r="A103" s="21" t="s">
        <v>1326</v>
      </c>
    </row>
    <row r="104" spans="1:1" x14ac:dyDescent="0.25">
      <c r="A104" s="21" t="s">
        <v>1327</v>
      </c>
    </row>
    <row r="105" spans="1:1" x14ac:dyDescent="0.25">
      <c r="A105" s="21" t="s">
        <v>1328</v>
      </c>
    </row>
    <row r="106" spans="1:1" x14ac:dyDescent="0.25">
      <c r="A106" s="21" t="s">
        <v>1329</v>
      </c>
    </row>
    <row r="107" spans="1:1" x14ac:dyDescent="0.25">
      <c r="A107" s="21" t="s">
        <v>1330</v>
      </c>
    </row>
    <row r="108" spans="1:1" x14ac:dyDescent="0.25">
      <c r="A108" s="21" t="s">
        <v>1331</v>
      </c>
    </row>
    <row r="109" spans="1:1" x14ac:dyDescent="0.25">
      <c r="A109" s="21" t="s">
        <v>1332</v>
      </c>
    </row>
    <row r="110" spans="1:1" x14ac:dyDescent="0.25">
      <c r="A110" s="21" t="s">
        <v>1333</v>
      </c>
    </row>
    <row r="111" spans="1:1" x14ac:dyDescent="0.25">
      <c r="A111" s="21" t="s">
        <v>1334</v>
      </c>
    </row>
    <row r="112" spans="1:1" x14ac:dyDescent="0.25">
      <c r="A112" s="21" t="s">
        <v>1335</v>
      </c>
    </row>
    <row r="113" spans="1:1" x14ac:dyDescent="0.25">
      <c r="A113" s="21" t="s">
        <v>1336</v>
      </c>
    </row>
    <row r="114" spans="1:1" x14ac:dyDescent="0.25">
      <c r="A114" s="21" t="s">
        <v>1337</v>
      </c>
    </row>
    <row r="115" spans="1:1" x14ac:dyDescent="0.25">
      <c r="A115" s="21" t="s">
        <v>1338</v>
      </c>
    </row>
    <row r="116" spans="1:1" x14ac:dyDescent="0.25">
      <c r="A116" s="21" t="s">
        <v>1339</v>
      </c>
    </row>
    <row r="117" spans="1:1" x14ac:dyDescent="0.25">
      <c r="A117" s="21" t="s">
        <v>1340</v>
      </c>
    </row>
    <row r="118" spans="1:1" x14ac:dyDescent="0.25">
      <c r="A118" s="21" t="s">
        <v>1341</v>
      </c>
    </row>
    <row r="119" spans="1:1" x14ac:dyDescent="0.25">
      <c r="A119" s="21" t="s">
        <v>1342</v>
      </c>
    </row>
    <row r="120" spans="1:1" x14ac:dyDescent="0.25">
      <c r="A120" s="21" t="s">
        <v>1343</v>
      </c>
    </row>
    <row r="121" spans="1:1" x14ac:dyDescent="0.25">
      <c r="A121" s="21" t="s">
        <v>1344</v>
      </c>
    </row>
    <row r="122" spans="1:1" x14ac:dyDescent="0.25">
      <c r="A122" s="21" t="s">
        <v>1345</v>
      </c>
    </row>
    <row r="123" spans="1:1" x14ac:dyDescent="0.25">
      <c r="A123" s="21" t="s">
        <v>1346</v>
      </c>
    </row>
    <row r="124" spans="1:1" x14ac:dyDescent="0.25">
      <c r="A124" s="21" t="s">
        <v>1347</v>
      </c>
    </row>
    <row r="125" spans="1:1" x14ac:dyDescent="0.25">
      <c r="A125" s="21" t="s">
        <v>1348</v>
      </c>
    </row>
    <row r="126" spans="1:1" x14ac:dyDescent="0.25">
      <c r="A126" s="21" t="s">
        <v>1349</v>
      </c>
    </row>
    <row r="127" spans="1:1" x14ac:dyDescent="0.25">
      <c r="A127" s="21" t="s">
        <v>1350</v>
      </c>
    </row>
    <row r="128" spans="1:1" x14ac:dyDescent="0.25">
      <c r="A128" s="21" t="s">
        <v>1351</v>
      </c>
    </row>
    <row r="129" spans="1:1" x14ac:dyDescent="0.25">
      <c r="A129" s="21" t="s">
        <v>1352</v>
      </c>
    </row>
    <row r="130" spans="1:1" x14ac:dyDescent="0.25">
      <c r="A130" s="21" t="s">
        <v>1353</v>
      </c>
    </row>
    <row r="131" spans="1:1" x14ac:dyDescent="0.25">
      <c r="A131" s="21" t="s">
        <v>1354</v>
      </c>
    </row>
    <row r="132" spans="1:1" x14ac:dyDescent="0.25">
      <c r="A132" s="21" t="s">
        <v>1355</v>
      </c>
    </row>
    <row r="133" spans="1:1" x14ac:dyDescent="0.25">
      <c r="A133" s="21" t="s">
        <v>1356</v>
      </c>
    </row>
    <row r="134" spans="1:1" x14ac:dyDescent="0.25">
      <c r="A134" s="21" t="s">
        <v>1357</v>
      </c>
    </row>
    <row r="135" spans="1:1" x14ac:dyDescent="0.25">
      <c r="A135" s="21" t="s">
        <v>1358</v>
      </c>
    </row>
    <row r="136" spans="1:1" x14ac:dyDescent="0.25">
      <c r="A136" s="21" t="s">
        <v>1359</v>
      </c>
    </row>
    <row r="137" spans="1:1" x14ac:dyDescent="0.25">
      <c r="A137" s="21" t="s">
        <v>1360</v>
      </c>
    </row>
    <row r="138" spans="1:1" x14ac:dyDescent="0.25">
      <c r="A138" s="21" t="s">
        <v>1361</v>
      </c>
    </row>
    <row r="139" spans="1:1" x14ac:dyDescent="0.25">
      <c r="A139" s="21" t="s">
        <v>1362</v>
      </c>
    </row>
    <row r="140" spans="1:1" x14ac:dyDescent="0.25">
      <c r="A140" s="21" t="s">
        <v>1363</v>
      </c>
    </row>
    <row r="141" spans="1:1" x14ac:dyDescent="0.25">
      <c r="A141" s="21" t="s">
        <v>1364</v>
      </c>
    </row>
    <row r="142" spans="1:1" x14ac:dyDescent="0.25">
      <c r="A142" s="21" t="s">
        <v>1365</v>
      </c>
    </row>
    <row r="143" spans="1:1" x14ac:dyDescent="0.25">
      <c r="A143" s="21" t="s">
        <v>1366</v>
      </c>
    </row>
    <row r="144" spans="1:1" x14ac:dyDescent="0.25">
      <c r="A144" s="21" t="s">
        <v>1367</v>
      </c>
    </row>
    <row r="145" spans="1:1" x14ac:dyDescent="0.25">
      <c r="A145" s="21" t="s">
        <v>1368</v>
      </c>
    </row>
    <row r="146" spans="1:1" x14ac:dyDescent="0.25">
      <c r="A146" s="21" t="s">
        <v>1369</v>
      </c>
    </row>
    <row r="147" spans="1:1" x14ac:dyDescent="0.25">
      <c r="A147" s="21" t="s">
        <v>1370</v>
      </c>
    </row>
    <row r="148" spans="1:1" x14ac:dyDescent="0.25">
      <c r="A148" s="21" t="s">
        <v>1371</v>
      </c>
    </row>
    <row r="149" spans="1:1" x14ac:dyDescent="0.25">
      <c r="A149" s="21" t="s">
        <v>1372</v>
      </c>
    </row>
    <row r="150" spans="1:1" x14ac:dyDescent="0.25">
      <c r="A150" s="21" t="s">
        <v>1373</v>
      </c>
    </row>
    <row r="151" spans="1:1" x14ac:dyDescent="0.25">
      <c r="A151" s="21" t="s">
        <v>1374</v>
      </c>
    </row>
    <row r="152" spans="1:1" x14ac:dyDescent="0.25">
      <c r="A152" s="21" t="s">
        <v>1375</v>
      </c>
    </row>
    <row r="153" spans="1:1" x14ac:dyDescent="0.25">
      <c r="A153" s="21" t="s">
        <v>1376</v>
      </c>
    </row>
    <row r="154" spans="1:1" x14ac:dyDescent="0.25">
      <c r="A154" s="21" t="s">
        <v>1377</v>
      </c>
    </row>
    <row r="155" spans="1:1" x14ac:dyDescent="0.25">
      <c r="A155" s="21" t="s">
        <v>1378</v>
      </c>
    </row>
    <row r="156" spans="1:1" x14ac:dyDescent="0.25">
      <c r="A156" s="21" t="s">
        <v>1379</v>
      </c>
    </row>
    <row r="157" spans="1:1" x14ac:dyDescent="0.25">
      <c r="A157" s="21" t="s">
        <v>1380</v>
      </c>
    </row>
    <row r="158" spans="1:1" x14ac:dyDescent="0.25">
      <c r="A158" s="21" t="s">
        <v>1381</v>
      </c>
    </row>
    <row r="159" spans="1:1" x14ac:dyDescent="0.25">
      <c r="A159" s="21" t="s">
        <v>1382</v>
      </c>
    </row>
    <row r="160" spans="1:1" x14ac:dyDescent="0.25">
      <c r="A160" s="21" t="s">
        <v>1383</v>
      </c>
    </row>
    <row r="161" spans="1:1" x14ac:dyDescent="0.25">
      <c r="A161" s="21" t="s">
        <v>1384</v>
      </c>
    </row>
    <row r="162" spans="1:1" x14ac:dyDescent="0.25">
      <c r="A162" s="21" t="s">
        <v>1385</v>
      </c>
    </row>
    <row r="163" spans="1:1" x14ac:dyDescent="0.25">
      <c r="A163" s="21" t="s">
        <v>1386</v>
      </c>
    </row>
    <row r="164" spans="1:1" x14ac:dyDescent="0.25">
      <c r="A164" s="21" t="s">
        <v>1387</v>
      </c>
    </row>
    <row r="165" spans="1:1" x14ac:dyDescent="0.25">
      <c r="A165" s="21" t="s">
        <v>1388</v>
      </c>
    </row>
    <row r="166" spans="1:1" x14ac:dyDescent="0.25">
      <c r="A166" s="21" t="s">
        <v>1389</v>
      </c>
    </row>
    <row r="167" spans="1:1" x14ac:dyDescent="0.25">
      <c r="A167" s="21" t="s">
        <v>1390</v>
      </c>
    </row>
    <row r="168" spans="1:1" x14ac:dyDescent="0.25">
      <c r="A168" s="21" t="s">
        <v>1391</v>
      </c>
    </row>
    <row r="169" spans="1:1" x14ac:dyDescent="0.25">
      <c r="A169" s="21" t="s">
        <v>1392</v>
      </c>
    </row>
    <row r="170" spans="1:1" x14ac:dyDescent="0.25">
      <c r="A170" s="21" t="s">
        <v>1393</v>
      </c>
    </row>
    <row r="171" spans="1:1" x14ac:dyDescent="0.25">
      <c r="A171" s="21" t="s">
        <v>1394</v>
      </c>
    </row>
    <row r="172" spans="1:1" x14ac:dyDescent="0.25">
      <c r="A172" s="21" t="s">
        <v>1395</v>
      </c>
    </row>
    <row r="173" spans="1:1" x14ac:dyDescent="0.25">
      <c r="A173" s="21" t="s">
        <v>1396</v>
      </c>
    </row>
    <row r="174" spans="1:1" x14ac:dyDescent="0.25">
      <c r="A174" s="21" t="s">
        <v>1397</v>
      </c>
    </row>
    <row r="175" spans="1:1" x14ac:dyDescent="0.25">
      <c r="A175" s="21" t="s">
        <v>1398</v>
      </c>
    </row>
    <row r="176" spans="1:1" x14ac:dyDescent="0.25">
      <c r="A176" s="21" t="s">
        <v>1399</v>
      </c>
    </row>
    <row r="177" spans="1:1" x14ac:dyDescent="0.25">
      <c r="A177" s="21" t="s">
        <v>1400</v>
      </c>
    </row>
    <row r="178" spans="1:1" x14ac:dyDescent="0.25">
      <c r="A178" s="21" t="s">
        <v>1401</v>
      </c>
    </row>
    <row r="179" spans="1:1" x14ac:dyDescent="0.25">
      <c r="A179" s="21" t="s">
        <v>1402</v>
      </c>
    </row>
    <row r="180" spans="1:1" x14ac:dyDescent="0.25">
      <c r="A180" s="21" t="s">
        <v>1403</v>
      </c>
    </row>
    <row r="181" spans="1:1" x14ac:dyDescent="0.25">
      <c r="A181" s="21" t="s">
        <v>1404</v>
      </c>
    </row>
    <row r="182" spans="1:1" x14ac:dyDescent="0.25">
      <c r="A182" s="21" t="s">
        <v>1405</v>
      </c>
    </row>
    <row r="183" spans="1:1" x14ac:dyDescent="0.25">
      <c r="A183" s="21" t="s">
        <v>1406</v>
      </c>
    </row>
    <row r="184" spans="1:1" x14ac:dyDescent="0.25">
      <c r="A184" s="21" t="s">
        <v>1407</v>
      </c>
    </row>
    <row r="185" spans="1:1" x14ac:dyDescent="0.25">
      <c r="A185" s="21" t="s">
        <v>1408</v>
      </c>
    </row>
    <row r="186" spans="1:1" x14ac:dyDescent="0.25">
      <c r="A186" s="21" t="s">
        <v>1409</v>
      </c>
    </row>
    <row r="187" spans="1:1" x14ac:dyDescent="0.25">
      <c r="A187" s="21" t="s">
        <v>1410</v>
      </c>
    </row>
    <row r="188" spans="1:1" x14ac:dyDescent="0.25">
      <c r="A188" s="21" t="s">
        <v>1411</v>
      </c>
    </row>
    <row r="189" spans="1:1" x14ac:dyDescent="0.25">
      <c r="A189" s="21" t="s">
        <v>1412</v>
      </c>
    </row>
    <row r="190" spans="1:1" x14ac:dyDescent="0.25">
      <c r="A190" s="21" t="s">
        <v>1413</v>
      </c>
    </row>
    <row r="191" spans="1:1" x14ac:dyDescent="0.25">
      <c r="A191" s="21" t="s">
        <v>1414</v>
      </c>
    </row>
    <row r="192" spans="1:1" x14ac:dyDescent="0.25">
      <c r="A192" s="21" t="s">
        <v>1415</v>
      </c>
    </row>
    <row r="193" spans="1:1" x14ac:dyDescent="0.25">
      <c r="A193" s="21" t="s">
        <v>1416</v>
      </c>
    </row>
    <row r="194" spans="1:1" x14ac:dyDescent="0.25">
      <c r="A194" s="21" t="s">
        <v>1417</v>
      </c>
    </row>
    <row r="195" spans="1:1" x14ac:dyDescent="0.25">
      <c r="A195" s="21" t="s">
        <v>1418</v>
      </c>
    </row>
    <row r="196" spans="1:1" x14ac:dyDescent="0.25">
      <c r="A196" s="21" t="s">
        <v>1419</v>
      </c>
    </row>
    <row r="197" spans="1:1" x14ac:dyDescent="0.25">
      <c r="A197" s="21" t="s">
        <v>1420</v>
      </c>
    </row>
    <row r="198" spans="1:1" x14ac:dyDescent="0.25">
      <c r="A198" s="21" t="s">
        <v>1421</v>
      </c>
    </row>
    <row r="199" spans="1:1" x14ac:dyDescent="0.25">
      <c r="A199" s="21" t="s">
        <v>1422</v>
      </c>
    </row>
    <row r="200" spans="1:1" x14ac:dyDescent="0.25">
      <c r="A200" s="21" t="s">
        <v>1423</v>
      </c>
    </row>
    <row r="201" spans="1:1" x14ac:dyDescent="0.25">
      <c r="A201" s="21" t="s">
        <v>1424</v>
      </c>
    </row>
    <row r="202" spans="1:1" x14ac:dyDescent="0.25">
      <c r="A202" s="21" t="s">
        <v>1425</v>
      </c>
    </row>
    <row r="203" spans="1:1" x14ac:dyDescent="0.25">
      <c r="A203" s="21" t="s">
        <v>1426</v>
      </c>
    </row>
    <row r="204" spans="1:1" x14ac:dyDescent="0.25">
      <c r="A204" s="21" t="s">
        <v>1427</v>
      </c>
    </row>
    <row r="205" spans="1:1" x14ac:dyDescent="0.25">
      <c r="A205" s="21" t="s">
        <v>1428</v>
      </c>
    </row>
    <row r="206" spans="1:1" x14ac:dyDescent="0.25">
      <c r="A206" s="21" t="s">
        <v>1429</v>
      </c>
    </row>
    <row r="207" spans="1:1" x14ac:dyDescent="0.25">
      <c r="A207" s="21" t="s">
        <v>1430</v>
      </c>
    </row>
    <row r="208" spans="1:1" x14ac:dyDescent="0.25">
      <c r="A208" s="21" t="s">
        <v>1431</v>
      </c>
    </row>
    <row r="209" spans="1:1" x14ac:dyDescent="0.25">
      <c r="A209" s="21" t="s">
        <v>1432</v>
      </c>
    </row>
    <row r="210" spans="1:1" x14ac:dyDescent="0.25">
      <c r="A210" s="21" t="s">
        <v>1433</v>
      </c>
    </row>
    <row r="211" spans="1:1" x14ac:dyDescent="0.25">
      <c r="A211" s="21" t="s">
        <v>1434</v>
      </c>
    </row>
    <row r="212" spans="1:1" x14ac:dyDescent="0.25">
      <c r="A212" s="21" t="s">
        <v>1435</v>
      </c>
    </row>
    <row r="213" spans="1:1" x14ac:dyDescent="0.25">
      <c r="A213" s="21" t="s">
        <v>1436</v>
      </c>
    </row>
    <row r="214" spans="1:1" x14ac:dyDescent="0.25">
      <c r="A214" s="21" t="s">
        <v>1437</v>
      </c>
    </row>
    <row r="215" spans="1:1" x14ac:dyDescent="0.25">
      <c r="A215" s="21" t="s">
        <v>1438</v>
      </c>
    </row>
    <row r="216" spans="1:1" x14ac:dyDescent="0.25">
      <c r="A216" s="21" t="s">
        <v>1439</v>
      </c>
    </row>
    <row r="217" spans="1:1" x14ac:dyDescent="0.25">
      <c r="A217" s="21" t="s">
        <v>1440</v>
      </c>
    </row>
    <row r="218" spans="1:1" x14ac:dyDescent="0.25">
      <c r="A218" s="21" t="s">
        <v>1441</v>
      </c>
    </row>
    <row r="219" spans="1:1" x14ac:dyDescent="0.25">
      <c r="A219" s="21" t="s">
        <v>1442</v>
      </c>
    </row>
    <row r="220" spans="1:1" x14ac:dyDescent="0.25">
      <c r="A220" s="21" t="s">
        <v>1443</v>
      </c>
    </row>
    <row r="221" spans="1:1" x14ac:dyDescent="0.25">
      <c r="A221" s="21" t="s">
        <v>1444</v>
      </c>
    </row>
    <row r="222" spans="1:1" x14ac:dyDescent="0.25">
      <c r="A222" s="21" t="s">
        <v>1445</v>
      </c>
    </row>
    <row r="223" spans="1:1" x14ac:dyDescent="0.25">
      <c r="A223" s="21" t="s">
        <v>1446</v>
      </c>
    </row>
    <row r="224" spans="1:1" x14ac:dyDescent="0.25">
      <c r="A224" s="21" t="s">
        <v>1447</v>
      </c>
    </row>
    <row r="225" spans="1:1" x14ac:dyDescent="0.25">
      <c r="A225" s="21" t="s">
        <v>1448</v>
      </c>
    </row>
    <row r="226" spans="1:1" x14ac:dyDescent="0.25">
      <c r="A226" s="21" t="s">
        <v>1449</v>
      </c>
    </row>
    <row r="227" spans="1:1" x14ac:dyDescent="0.25">
      <c r="A227" s="21" t="s">
        <v>1450</v>
      </c>
    </row>
    <row r="228" spans="1:1" x14ac:dyDescent="0.25">
      <c r="A228" s="21" t="s">
        <v>1451</v>
      </c>
    </row>
    <row r="229" spans="1:1" x14ac:dyDescent="0.25">
      <c r="A229" s="21" t="s">
        <v>1452</v>
      </c>
    </row>
    <row r="230" spans="1:1" x14ac:dyDescent="0.25">
      <c r="A230" s="21" t="s">
        <v>1453</v>
      </c>
    </row>
    <row r="231" spans="1:1" x14ac:dyDescent="0.25">
      <c r="A231" s="21" t="s">
        <v>1454</v>
      </c>
    </row>
    <row r="232" spans="1:1" x14ac:dyDescent="0.25">
      <c r="A232" s="21" t="s">
        <v>1455</v>
      </c>
    </row>
    <row r="233" spans="1:1" x14ac:dyDescent="0.25">
      <c r="A233" s="21" t="s">
        <v>1456</v>
      </c>
    </row>
    <row r="234" spans="1:1" x14ac:dyDescent="0.25">
      <c r="A234" s="21" t="s">
        <v>1457</v>
      </c>
    </row>
    <row r="235" spans="1:1" x14ac:dyDescent="0.25">
      <c r="A235" s="21" t="s">
        <v>1458</v>
      </c>
    </row>
    <row r="236" spans="1:1" x14ac:dyDescent="0.25">
      <c r="A236" s="21" t="s">
        <v>1459</v>
      </c>
    </row>
    <row r="237" spans="1:1" x14ac:dyDescent="0.25">
      <c r="A237" s="21" t="s">
        <v>1460</v>
      </c>
    </row>
    <row r="238" spans="1:1" x14ac:dyDescent="0.25">
      <c r="A238" s="21" t="s">
        <v>1461</v>
      </c>
    </row>
    <row r="239" spans="1:1" x14ac:dyDescent="0.25">
      <c r="A239" s="21" t="s">
        <v>1462</v>
      </c>
    </row>
    <row r="240" spans="1:1" x14ac:dyDescent="0.25">
      <c r="A240" s="21" t="s">
        <v>1463</v>
      </c>
    </row>
    <row r="241" spans="1:1" x14ac:dyDescent="0.25">
      <c r="A241" s="21" t="s">
        <v>1464</v>
      </c>
    </row>
    <row r="242" spans="1:1" x14ac:dyDescent="0.25">
      <c r="A242" s="21" t="s">
        <v>1465</v>
      </c>
    </row>
    <row r="243" spans="1:1" x14ac:dyDescent="0.25">
      <c r="A243" s="21" t="s">
        <v>1466</v>
      </c>
    </row>
    <row r="244" spans="1:1" x14ac:dyDescent="0.25">
      <c r="A244" s="21" t="s">
        <v>1467</v>
      </c>
    </row>
    <row r="245" spans="1:1" x14ac:dyDescent="0.25">
      <c r="A245" s="21" t="s">
        <v>1468</v>
      </c>
    </row>
    <row r="246" spans="1:1" x14ac:dyDescent="0.25">
      <c r="A246" s="21" t="s">
        <v>1469</v>
      </c>
    </row>
    <row r="247" spans="1:1" x14ac:dyDescent="0.25">
      <c r="A247" s="21" t="s">
        <v>1470</v>
      </c>
    </row>
    <row r="248" spans="1:1" x14ac:dyDescent="0.25">
      <c r="A248" s="21" t="s">
        <v>1471</v>
      </c>
    </row>
    <row r="249" spans="1:1" x14ac:dyDescent="0.25">
      <c r="A249" s="21" t="s">
        <v>1472</v>
      </c>
    </row>
    <row r="250" spans="1:1" x14ac:dyDescent="0.25">
      <c r="A250" s="21" t="s">
        <v>1473</v>
      </c>
    </row>
    <row r="251" spans="1:1" x14ac:dyDescent="0.25">
      <c r="A251" s="21" t="s">
        <v>1474</v>
      </c>
    </row>
    <row r="252" spans="1:1" x14ac:dyDescent="0.25">
      <c r="A252" s="21" t="s">
        <v>1475</v>
      </c>
    </row>
    <row r="253" spans="1:1" x14ac:dyDescent="0.25">
      <c r="A253" s="21" t="s">
        <v>1476</v>
      </c>
    </row>
    <row r="254" spans="1:1" x14ac:dyDescent="0.25">
      <c r="A254" s="21" t="s">
        <v>1477</v>
      </c>
    </row>
    <row r="255" spans="1:1" x14ac:dyDescent="0.25">
      <c r="A255" s="21" t="s">
        <v>1478</v>
      </c>
    </row>
    <row r="256" spans="1:1" x14ac:dyDescent="0.25">
      <c r="A256" s="21" t="s">
        <v>1479</v>
      </c>
    </row>
    <row r="257" spans="1:1" x14ac:dyDescent="0.25">
      <c r="A257" s="21" t="s">
        <v>1480</v>
      </c>
    </row>
    <row r="258" spans="1:1" x14ac:dyDescent="0.25">
      <c r="A258" s="21" t="s">
        <v>1481</v>
      </c>
    </row>
    <row r="259" spans="1:1" x14ac:dyDescent="0.25">
      <c r="A259" s="21" t="s">
        <v>1482</v>
      </c>
    </row>
    <row r="260" spans="1:1" x14ac:dyDescent="0.25">
      <c r="A260" s="21" t="s">
        <v>1483</v>
      </c>
    </row>
    <row r="261" spans="1:1" x14ac:dyDescent="0.25">
      <c r="A261" s="21" t="s">
        <v>1484</v>
      </c>
    </row>
    <row r="262" spans="1:1" x14ac:dyDescent="0.25">
      <c r="A262" s="21" t="s">
        <v>1485</v>
      </c>
    </row>
    <row r="263" spans="1:1" x14ac:dyDescent="0.25">
      <c r="A263" s="21" t="s">
        <v>1486</v>
      </c>
    </row>
    <row r="264" spans="1:1" x14ac:dyDescent="0.25">
      <c r="A264" s="21" t="s">
        <v>1487</v>
      </c>
    </row>
    <row r="265" spans="1:1" x14ac:dyDescent="0.25">
      <c r="A265" s="21" t="s">
        <v>1488</v>
      </c>
    </row>
    <row r="266" spans="1:1" x14ac:dyDescent="0.25">
      <c r="A266" s="21" t="s">
        <v>1489</v>
      </c>
    </row>
    <row r="267" spans="1:1" x14ac:dyDescent="0.25">
      <c r="A267" s="21" t="s">
        <v>1490</v>
      </c>
    </row>
    <row r="268" spans="1:1" x14ac:dyDescent="0.25">
      <c r="A268" s="21" t="s">
        <v>1491</v>
      </c>
    </row>
    <row r="269" spans="1:1" x14ac:dyDescent="0.25">
      <c r="A269" s="21" t="s">
        <v>1492</v>
      </c>
    </row>
    <row r="270" spans="1:1" x14ac:dyDescent="0.25">
      <c r="A270" s="21" t="s">
        <v>1493</v>
      </c>
    </row>
    <row r="271" spans="1:1" x14ac:dyDescent="0.25">
      <c r="A271" s="21" t="s">
        <v>1494</v>
      </c>
    </row>
    <row r="272" spans="1:1" x14ac:dyDescent="0.25">
      <c r="A272" s="21" t="s">
        <v>1495</v>
      </c>
    </row>
    <row r="273" spans="1:1" x14ac:dyDescent="0.25">
      <c r="A273" s="21" t="s">
        <v>1496</v>
      </c>
    </row>
    <row r="274" spans="1:1" x14ac:dyDescent="0.25">
      <c r="A274" s="21" t="s">
        <v>1497</v>
      </c>
    </row>
    <row r="275" spans="1:1" x14ac:dyDescent="0.25">
      <c r="A275" s="21" t="s">
        <v>1498</v>
      </c>
    </row>
    <row r="276" spans="1:1" x14ac:dyDescent="0.25">
      <c r="A276" s="21" t="s">
        <v>1499</v>
      </c>
    </row>
    <row r="277" spans="1:1" x14ac:dyDescent="0.25">
      <c r="A277" s="21" t="s">
        <v>1500</v>
      </c>
    </row>
    <row r="278" spans="1:1" x14ac:dyDescent="0.25">
      <c r="A278" s="20" t="s">
        <v>1501</v>
      </c>
    </row>
    <row r="279" spans="1:1" x14ac:dyDescent="0.25">
      <c r="A279" s="20" t="s">
        <v>1502</v>
      </c>
    </row>
    <row r="280" spans="1:1" x14ac:dyDescent="0.25">
      <c r="A280" s="20" t="s">
        <v>1503</v>
      </c>
    </row>
    <row r="281" spans="1:1" x14ac:dyDescent="0.25">
      <c r="A281" s="20" t="s">
        <v>1504</v>
      </c>
    </row>
    <row r="282" spans="1:1" x14ac:dyDescent="0.25">
      <c r="A282" s="20" t="s">
        <v>1505</v>
      </c>
    </row>
    <row r="283" spans="1:1" x14ac:dyDescent="0.25">
      <c r="A283" s="21" t="s">
        <v>1225</v>
      </c>
    </row>
    <row r="284" spans="1:1" x14ac:dyDescent="0.25">
      <c r="A284" s="20" t="s">
        <v>1506</v>
      </c>
    </row>
    <row r="285" spans="1:1" x14ac:dyDescent="0.25">
      <c r="A285" s="20" t="s">
        <v>1507</v>
      </c>
    </row>
    <row r="286" spans="1:1" x14ac:dyDescent="0.25">
      <c r="A286" s="21" t="s">
        <v>1500</v>
      </c>
    </row>
    <row r="287" spans="1:1" x14ac:dyDescent="0.25">
      <c r="A287" s="22" t="s">
        <v>1508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pxf2a</vt:lpstr>
      <vt:lpstr>a2b_columns</vt:lpstr>
      <vt:lpstr>source_tables</vt:lpstr>
      <vt:lpstr>source_columns</vt:lpstr>
      <vt:lpstr>target_tables</vt:lpstr>
      <vt:lpstr>target_columns</vt:lpstr>
      <vt:lpstr>s2t</vt:lpstr>
      <vt:lpstr>additional_objects</vt:lpstr>
      <vt:lpstr>change_log</vt:lpstr>
      <vt:lpstr>s305_0999_enums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Афанасова Вера Алексеевна</dc:creator>
  <cp:lastModifiedBy>Сорокин Максим Борисович</cp:lastModifiedBy>
  <cp:revision>2</cp:revision>
  <dcterms:created xsi:type="dcterms:W3CDTF">2024-04-12T11:44:00Z</dcterms:created>
  <dcterms:modified xsi:type="dcterms:W3CDTF">2026-01-21T13:39:00Z</dcterms:modified>
</cp:coreProperties>
</file>